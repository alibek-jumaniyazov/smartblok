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gentlar hisob kitobi\"/>
    </mc:Choice>
  </mc:AlternateContent>
  <xr:revisionPtr revIDLastSave="0" documentId="13_ncr:1_{3118DA79-F0E5-4866-82DD-54F3B98B3799}" xr6:coauthVersionLast="47" xr6:coauthVersionMax="47" xr10:uidLastSave="{00000000-0000-0000-0000-000000000000}"/>
  <bookViews>
    <workbookView xWindow="-120" yWindow="-120" windowWidth="29040" windowHeight="15840" tabRatio="952" activeTab="6" xr2:uid="{191EF6FC-FDAA-4DD6-B013-D7B913021F43}"/>
  </bookViews>
  <sheets>
    <sheet name="Кўрсаткичлар" sheetId="72" r:id="rId1"/>
    <sheet name="Мижоз картаси" sheetId="74" r:id="rId2"/>
    <sheet name="Мижозлар қолдиғи" sheetId="73" r:id="rId3"/>
    <sheet name="Қидирув" sheetId="76" state="hidden" r:id="rId4"/>
    <sheet name="Поставшиклар ҳисоби" sheetId="77" state="hidden" r:id="rId5"/>
    <sheet name="Акт сверка" sheetId="78" state="hidden" r:id="rId6"/>
    <sheet name="Ҳисобот" sheetId="82" r:id="rId7"/>
    <sheet name="Акт (умумий)" sheetId="80" r:id="rId8"/>
    <sheet name="KPI" sheetId="81" r:id="rId9"/>
    <sheet name="Поддон қайтариш заводга" sheetId="79" r:id="rId10"/>
    <sheet name="Поддон қайтариш" sheetId="71" r:id="rId11"/>
    <sheet name="Оплата" sheetId="4" r:id="rId12"/>
    <sheet name="Оплата поставшику" sheetId="19" r:id="rId13"/>
    <sheet name="Товар" sheetId="1" r:id="rId14"/>
    <sheet name="Текширув" sheetId="75" r:id="rId15"/>
  </sheets>
  <definedNames>
    <definedName name="_xlnm._FilterDatabase" localSheetId="2" hidden="1">'Мижозлар қолдиғи'!$A$4:$M$60</definedName>
    <definedName name="АгентРўйхати">Агентлар[Агент]</definedName>
    <definedName name="МижозРўйхати">Мижозлар[Расмий ном]</definedName>
    <definedName name="ПоставшикРўйхати">Поставшиклар[Поставшик]</definedName>
    <definedName name="ТурРўйхати">ТўловТури[Тур]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80" l="1" a="1"/>
  <c r="AA2" i="80" s="1"/>
  <c r="R8" i="80"/>
  <c r="D2" i="80"/>
  <c r="F16" i="79"/>
  <c r="G183" i="4" l="1"/>
  <c r="C38" i="75" a="1"/>
  <c r="C38" i="75" s="1"/>
  <c r="B38" i="75" a="1"/>
  <c r="B38" i="75" s="1"/>
  <c r="A38" i="75" a="1"/>
  <c r="A38" i="75" s="1"/>
  <c r="A6" i="75" a="1"/>
  <c r="A6" i="75" s="1"/>
  <c r="S383" i="1" l="1"/>
  <c r="S384" i="1"/>
  <c r="S382" i="1"/>
  <c r="J367" i="1"/>
  <c r="M367" i="1"/>
  <c r="P367" i="1"/>
  <c r="U367" i="1"/>
  <c r="V367" i="1"/>
  <c r="W367" i="1"/>
  <c r="G181" i="4"/>
  <c r="K181" i="4"/>
  <c r="N181" i="4" a="1"/>
  <c r="N181" i="4" s="1"/>
  <c r="O181" i="4" s="1"/>
  <c r="Q181" i="4"/>
  <c r="R181" i="4"/>
  <c r="S181" i="4"/>
  <c r="R367" i="1" l="1"/>
  <c r="N367" i="1"/>
  <c r="T367" i="1"/>
  <c r="P181" i="4"/>
  <c r="P352" i="1"/>
  <c r="M352" i="1"/>
  <c r="J352" i="1"/>
  <c r="N352" i="1" l="1"/>
  <c r="F10" i="79"/>
  <c r="G153" i="4"/>
  <c r="K153" i="4"/>
  <c r="N153" i="4" a="1"/>
  <c r="N153" i="4" s="1"/>
  <c r="O153" i="4" s="1"/>
  <c r="P153" i="4" s="1"/>
  <c r="Q153" i="4"/>
  <c r="R153" i="4"/>
  <c r="S153" i="4"/>
  <c r="D5" i="82"/>
  <c r="K5" i="79"/>
  <c r="K4" i="79"/>
  <c r="A31" i="81"/>
  <c r="B31" i="81" s="1"/>
  <c r="D29" i="81"/>
  <c r="K7" i="79" l="1"/>
  <c r="K6" i="79"/>
  <c r="L6" i="79" s="1"/>
  <c r="A32" i="81"/>
  <c r="A33" i="81" s="1"/>
  <c r="A34" i="81" s="1"/>
  <c r="B32" i="81" l="1"/>
  <c r="B33" i="81"/>
  <c r="B34" i="81"/>
  <c r="A35" i="81"/>
  <c r="A36" i="81" l="1"/>
  <c r="B35" i="81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5" i="4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72" i="1"/>
  <c r="W373" i="1"/>
  <c r="W362" i="1"/>
  <c r="W363" i="1"/>
  <c r="W364" i="1"/>
  <c r="W365" i="1"/>
  <c r="W366" i="1"/>
  <c r="W368" i="1"/>
  <c r="W369" i="1"/>
  <c r="W370" i="1"/>
  <c r="W371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4" i="1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38" i="4"/>
  <c r="R339" i="4"/>
  <c r="R340" i="4"/>
  <c r="R341" i="4"/>
  <c r="R342" i="4"/>
  <c r="R343" i="4"/>
  <c r="R344" i="4"/>
  <c r="R345" i="4"/>
  <c r="R346" i="4"/>
  <c r="R347" i="4"/>
  <c r="R348" i="4"/>
  <c r="R349" i="4"/>
  <c r="R350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R637" i="4"/>
  <c r="R638" i="4"/>
  <c r="R639" i="4"/>
  <c r="R640" i="4"/>
  <c r="R641" i="4"/>
  <c r="R642" i="4"/>
  <c r="R643" i="4"/>
  <c r="R644" i="4"/>
  <c r="R645" i="4"/>
  <c r="R646" i="4"/>
  <c r="R647" i="4"/>
  <c r="R648" i="4"/>
  <c r="R649" i="4"/>
  <c r="R650" i="4"/>
  <c r="R651" i="4"/>
  <c r="R652" i="4"/>
  <c r="R653" i="4"/>
  <c r="R654" i="4"/>
  <c r="R655" i="4"/>
  <c r="R656" i="4"/>
  <c r="R657" i="4"/>
  <c r="R658" i="4"/>
  <c r="R659" i="4"/>
  <c r="R660" i="4"/>
  <c r="R661" i="4"/>
  <c r="R662" i="4"/>
  <c r="R663" i="4"/>
  <c r="R664" i="4"/>
  <c r="R665" i="4"/>
  <c r="R666" i="4"/>
  <c r="R667" i="4"/>
  <c r="R668" i="4"/>
  <c r="R669" i="4"/>
  <c r="R670" i="4"/>
  <c r="R671" i="4"/>
  <c r="R672" i="4"/>
  <c r="R673" i="4"/>
  <c r="R674" i="4"/>
  <c r="R675" i="4"/>
  <c r="R676" i="4"/>
  <c r="R677" i="4"/>
  <c r="R678" i="4"/>
  <c r="R679" i="4"/>
  <c r="R680" i="4"/>
  <c r="R681" i="4"/>
  <c r="R682" i="4"/>
  <c r="R683" i="4"/>
  <c r="R684" i="4"/>
  <c r="R685" i="4"/>
  <c r="R686" i="4"/>
  <c r="R687" i="4"/>
  <c r="R688" i="4"/>
  <c r="R689" i="4"/>
  <c r="R690" i="4"/>
  <c r="R691" i="4"/>
  <c r="R692" i="4"/>
  <c r="R693" i="4"/>
  <c r="R694" i="4"/>
  <c r="R695" i="4"/>
  <c r="R696" i="4"/>
  <c r="R697" i="4"/>
  <c r="R698" i="4"/>
  <c r="R699" i="4"/>
  <c r="R700" i="4"/>
  <c r="R701" i="4"/>
  <c r="R702" i="4"/>
  <c r="R703" i="4"/>
  <c r="R704" i="4"/>
  <c r="R705" i="4"/>
  <c r="R706" i="4"/>
  <c r="R707" i="4"/>
  <c r="R708" i="4"/>
  <c r="R709" i="4"/>
  <c r="R710" i="4"/>
  <c r="R711" i="4"/>
  <c r="R712" i="4"/>
  <c r="R713" i="4"/>
  <c r="R714" i="4"/>
  <c r="R715" i="4"/>
  <c r="R716" i="4"/>
  <c r="R717" i="4"/>
  <c r="R718" i="4"/>
  <c r="R719" i="4"/>
  <c r="R720" i="4"/>
  <c r="R721" i="4"/>
  <c r="R722" i="4"/>
  <c r="R723" i="4"/>
  <c r="R724" i="4"/>
  <c r="R725" i="4"/>
  <c r="R726" i="4"/>
  <c r="R727" i="4"/>
  <c r="R728" i="4"/>
  <c r="R729" i="4"/>
  <c r="R730" i="4"/>
  <c r="R731" i="4"/>
  <c r="R732" i="4"/>
  <c r="R733" i="4"/>
  <c r="R734" i="4"/>
  <c r="R735" i="4"/>
  <c r="R736" i="4"/>
  <c r="R737" i="4"/>
  <c r="R738" i="4"/>
  <c r="R739" i="4"/>
  <c r="R740" i="4"/>
  <c r="R741" i="4"/>
  <c r="R742" i="4"/>
  <c r="R743" i="4"/>
  <c r="R744" i="4"/>
  <c r="R745" i="4"/>
  <c r="R746" i="4"/>
  <c r="R747" i="4"/>
  <c r="R748" i="4"/>
  <c r="R749" i="4"/>
  <c r="R750" i="4"/>
  <c r="R751" i="4"/>
  <c r="R752" i="4"/>
  <c r="R753" i="4"/>
  <c r="R754" i="4"/>
  <c r="R755" i="4"/>
  <c r="R756" i="4"/>
  <c r="R757" i="4"/>
  <c r="R758" i="4"/>
  <c r="R759" i="4"/>
  <c r="R760" i="4"/>
  <c r="R761" i="4"/>
  <c r="R762" i="4"/>
  <c r="R763" i="4"/>
  <c r="R764" i="4"/>
  <c r="R765" i="4"/>
  <c r="R766" i="4"/>
  <c r="R767" i="4"/>
  <c r="R768" i="4"/>
  <c r="R769" i="4"/>
  <c r="R770" i="4"/>
  <c r="R771" i="4"/>
  <c r="R772" i="4"/>
  <c r="R773" i="4"/>
  <c r="R774" i="4"/>
  <c r="R775" i="4"/>
  <c r="R776" i="4"/>
  <c r="R777" i="4"/>
  <c r="R778" i="4"/>
  <c r="R779" i="4"/>
  <c r="R780" i="4"/>
  <c r="R781" i="4"/>
  <c r="R782" i="4"/>
  <c r="R783" i="4"/>
  <c r="R784" i="4"/>
  <c r="R785" i="4"/>
  <c r="R786" i="4"/>
  <c r="R787" i="4"/>
  <c r="R788" i="4"/>
  <c r="R789" i="4"/>
  <c r="R790" i="4"/>
  <c r="R791" i="4"/>
  <c r="R792" i="4"/>
  <c r="R793" i="4"/>
  <c r="R794" i="4"/>
  <c r="R795" i="4"/>
  <c r="R796" i="4"/>
  <c r="R797" i="4"/>
  <c r="R798" i="4"/>
  <c r="R799" i="4"/>
  <c r="R800" i="4"/>
  <c r="R801" i="4"/>
  <c r="R802" i="4"/>
  <c r="R803" i="4"/>
  <c r="R804" i="4"/>
  <c r="R805" i="4"/>
  <c r="R806" i="4"/>
  <c r="R807" i="4"/>
  <c r="R808" i="4"/>
  <c r="R809" i="4"/>
  <c r="R810" i="4"/>
  <c r="R811" i="4"/>
  <c r="R812" i="4"/>
  <c r="R813" i="4"/>
  <c r="R814" i="4"/>
  <c r="R815" i="4"/>
  <c r="R816" i="4"/>
  <c r="R817" i="4"/>
  <c r="R818" i="4"/>
  <c r="R819" i="4"/>
  <c r="R820" i="4"/>
  <c r="R821" i="4"/>
  <c r="R822" i="4"/>
  <c r="R823" i="4"/>
  <c r="R824" i="4"/>
  <c r="R825" i="4"/>
  <c r="R826" i="4"/>
  <c r="R827" i="4"/>
  <c r="R828" i="4"/>
  <c r="R829" i="4"/>
  <c r="R830" i="4"/>
  <c r="R831" i="4"/>
  <c r="R832" i="4"/>
  <c r="R833" i="4"/>
  <c r="R834" i="4"/>
  <c r="R835" i="4"/>
  <c r="R836" i="4"/>
  <c r="R837" i="4"/>
  <c r="R838" i="4"/>
  <c r="R839" i="4"/>
  <c r="R840" i="4"/>
  <c r="R841" i="4"/>
  <c r="R842" i="4"/>
  <c r="R843" i="4"/>
  <c r="R844" i="4"/>
  <c r="R845" i="4"/>
  <c r="R846" i="4"/>
  <c r="R847" i="4"/>
  <c r="R848" i="4"/>
  <c r="R849" i="4"/>
  <c r="R850" i="4"/>
  <c r="R851" i="4"/>
  <c r="R852" i="4"/>
  <c r="R853" i="4"/>
  <c r="R854" i="4"/>
  <c r="R855" i="4"/>
  <c r="R856" i="4"/>
  <c r="R857" i="4"/>
  <c r="R858" i="4"/>
  <c r="R859" i="4"/>
  <c r="R860" i="4"/>
  <c r="R861" i="4"/>
  <c r="R862" i="4"/>
  <c r="R863" i="4"/>
  <c r="R864" i="4"/>
  <c r="R865" i="4"/>
  <c r="R866" i="4"/>
  <c r="R867" i="4"/>
  <c r="R868" i="4"/>
  <c r="R869" i="4"/>
  <c r="R870" i="4"/>
  <c r="R871" i="4"/>
  <c r="R872" i="4"/>
  <c r="R873" i="4"/>
  <c r="R874" i="4"/>
  <c r="R875" i="4"/>
  <c r="R876" i="4"/>
  <c r="R877" i="4"/>
  <c r="R878" i="4"/>
  <c r="R879" i="4"/>
  <c r="R880" i="4"/>
  <c r="R881" i="4"/>
  <c r="R882" i="4"/>
  <c r="R883" i="4"/>
  <c r="R884" i="4"/>
  <c r="R885" i="4"/>
  <c r="R886" i="4"/>
  <c r="R887" i="4"/>
  <c r="R888" i="4"/>
  <c r="R889" i="4"/>
  <c r="R890" i="4"/>
  <c r="R891" i="4"/>
  <c r="R892" i="4"/>
  <c r="R893" i="4"/>
  <c r="R894" i="4"/>
  <c r="R895" i="4"/>
  <c r="R896" i="4"/>
  <c r="R897" i="4"/>
  <c r="R898" i="4"/>
  <c r="R899" i="4"/>
  <c r="R900" i="4"/>
  <c r="R901" i="4"/>
  <c r="R902" i="4"/>
  <c r="R903" i="4"/>
  <c r="R904" i="4"/>
  <c r="R905" i="4"/>
  <c r="R906" i="4"/>
  <c r="R907" i="4"/>
  <c r="R908" i="4"/>
  <c r="R909" i="4"/>
  <c r="R910" i="4"/>
  <c r="R911" i="4"/>
  <c r="R912" i="4"/>
  <c r="R913" i="4"/>
  <c r="R914" i="4"/>
  <c r="R915" i="4"/>
  <c r="R916" i="4"/>
  <c r="R917" i="4"/>
  <c r="R918" i="4"/>
  <c r="R919" i="4"/>
  <c r="R920" i="4"/>
  <c r="R921" i="4"/>
  <c r="R922" i="4"/>
  <c r="R923" i="4"/>
  <c r="R924" i="4"/>
  <c r="R925" i="4"/>
  <c r="R926" i="4"/>
  <c r="R927" i="4"/>
  <c r="R928" i="4"/>
  <c r="R929" i="4"/>
  <c r="R930" i="4"/>
  <c r="R931" i="4"/>
  <c r="R932" i="4"/>
  <c r="R933" i="4"/>
  <c r="R934" i="4"/>
  <c r="R935" i="4"/>
  <c r="R936" i="4"/>
  <c r="R937" i="4"/>
  <c r="R938" i="4"/>
  <c r="R939" i="4"/>
  <c r="R940" i="4"/>
  <c r="R941" i="4"/>
  <c r="R942" i="4"/>
  <c r="R943" i="4"/>
  <c r="R944" i="4"/>
  <c r="R945" i="4"/>
  <c r="R946" i="4"/>
  <c r="R947" i="4"/>
  <c r="R948" i="4"/>
  <c r="R949" i="4"/>
  <c r="R950" i="4"/>
  <c r="R951" i="4"/>
  <c r="R952" i="4"/>
  <c r="R953" i="4"/>
  <c r="R954" i="4"/>
  <c r="R955" i="4"/>
  <c r="R956" i="4"/>
  <c r="R957" i="4"/>
  <c r="R958" i="4"/>
  <c r="R959" i="4"/>
  <c r="R960" i="4"/>
  <c r="R961" i="4"/>
  <c r="R962" i="4"/>
  <c r="R963" i="4"/>
  <c r="R964" i="4"/>
  <c r="R965" i="4"/>
  <c r="R966" i="4"/>
  <c r="R967" i="4"/>
  <c r="R968" i="4"/>
  <c r="R969" i="4"/>
  <c r="R970" i="4"/>
  <c r="R971" i="4"/>
  <c r="R972" i="4"/>
  <c r="R973" i="4"/>
  <c r="R974" i="4"/>
  <c r="R975" i="4"/>
  <c r="R976" i="4"/>
  <c r="R977" i="4"/>
  <c r="R978" i="4"/>
  <c r="R979" i="4"/>
  <c r="R980" i="4"/>
  <c r="R981" i="4"/>
  <c r="R982" i="4"/>
  <c r="R983" i="4"/>
  <c r="R984" i="4"/>
  <c r="R985" i="4"/>
  <c r="R986" i="4"/>
  <c r="R987" i="4"/>
  <c r="R988" i="4"/>
  <c r="R989" i="4"/>
  <c r="R990" i="4"/>
  <c r="R991" i="4"/>
  <c r="R992" i="4"/>
  <c r="R993" i="4"/>
  <c r="R994" i="4"/>
  <c r="R995" i="4"/>
  <c r="R996" i="4"/>
  <c r="R997" i="4"/>
  <c r="R998" i="4"/>
  <c r="R999" i="4"/>
  <c r="R1000" i="4"/>
  <c r="R1001" i="4"/>
  <c r="R1002" i="4"/>
  <c r="R1003" i="4"/>
  <c r="R1004" i="4"/>
  <c r="R1005" i="4"/>
  <c r="R1006" i="4"/>
  <c r="R1007" i="4"/>
  <c r="R1008" i="4"/>
  <c r="R1009" i="4"/>
  <c r="R1010" i="4"/>
  <c r="R1011" i="4"/>
  <c r="R1012" i="4"/>
  <c r="R1013" i="4"/>
  <c r="R1014" i="4"/>
  <c r="R1015" i="4"/>
  <c r="R1016" i="4"/>
  <c r="R1017" i="4"/>
  <c r="R1018" i="4"/>
  <c r="R1019" i="4"/>
  <c r="R1020" i="4"/>
  <c r="R1021" i="4"/>
  <c r="R1022" i="4"/>
  <c r="R1023" i="4"/>
  <c r="R1024" i="4"/>
  <c r="R1025" i="4"/>
  <c r="R1026" i="4"/>
  <c r="R1027" i="4"/>
  <c r="R1028" i="4"/>
  <c r="R1029" i="4"/>
  <c r="R1030" i="4"/>
  <c r="R1031" i="4"/>
  <c r="R1032" i="4"/>
  <c r="R1033" i="4"/>
  <c r="R1034" i="4"/>
  <c r="R1035" i="4"/>
  <c r="R1036" i="4"/>
  <c r="R1037" i="4"/>
  <c r="R1038" i="4"/>
  <c r="R1039" i="4"/>
  <c r="R1040" i="4"/>
  <c r="R1041" i="4"/>
  <c r="R1042" i="4"/>
  <c r="R1043" i="4"/>
  <c r="R1044" i="4"/>
  <c r="R1045" i="4"/>
  <c r="R1046" i="4"/>
  <c r="R1047" i="4"/>
  <c r="R1048" i="4"/>
  <c r="R1049" i="4"/>
  <c r="R1050" i="4"/>
  <c r="R1051" i="4"/>
  <c r="R1052" i="4"/>
  <c r="R1053" i="4"/>
  <c r="R1054" i="4"/>
  <c r="R1055" i="4"/>
  <c r="R1056" i="4"/>
  <c r="R1057" i="4"/>
  <c r="R1058" i="4"/>
  <c r="R1059" i="4"/>
  <c r="R1060" i="4"/>
  <c r="R1061" i="4"/>
  <c r="R1062" i="4"/>
  <c r="R1063" i="4"/>
  <c r="R5" i="4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72" i="1"/>
  <c r="V373" i="1"/>
  <c r="V362" i="1"/>
  <c r="V363" i="1"/>
  <c r="V364" i="1"/>
  <c r="V365" i="1"/>
  <c r="V366" i="1"/>
  <c r="V368" i="1"/>
  <c r="V369" i="1"/>
  <c r="V370" i="1"/>
  <c r="V371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4" i="1"/>
  <c r="L3" i="81" a="1"/>
  <c r="L3" i="81" s="1"/>
  <c r="F18" i="81"/>
  <c r="B10" i="81"/>
  <c r="A11" i="81"/>
  <c r="A12" i="81" s="1"/>
  <c r="A13" i="81" s="1"/>
  <c r="A14" i="81" s="1"/>
  <c r="A15" i="81" s="1"/>
  <c r="B11" i="81"/>
  <c r="B21" i="81" s="1"/>
  <c r="B12" i="81"/>
  <c r="B22" i="81" s="1"/>
  <c r="B13" i="81"/>
  <c r="B23" i="81" s="1"/>
  <c r="B14" i="81"/>
  <c r="B24" i="81" s="1"/>
  <c r="B15" i="81"/>
  <c r="B25" i="81" s="1"/>
  <c r="A21" i="81"/>
  <c r="A22" i="81" s="1"/>
  <c r="A23" i="81" s="1"/>
  <c r="A24" i="81" s="1"/>
  <c r="A25" i="81" s="1"/>
  <c r="F3" i="81"/>
  <c r="D5" i="81"/>
  <c r="D4" i="81"/>
  <c r="D31" i="81" s="1"/>
  <c r="E22" i="81" l="1"/>
  <c r="E14" i="81"/>
  <c r="E11" i="81"/>
  <c r="E24" i="81"/>
  <c r="E15" i="81"/>
  <c r="E13" i="81"/>
  <c r="E25" i="81"/>
  <c r="E23" i="81"/>
  <c r="E12" i="81"/>
  <c r="E20" i="81"/>
  <c r="E10" i="81"/>
  <c r="D32" i="81"/>
  <c r="E21" i="81"/>
  <c r="D35" i="81"/>
  <c r="D33" i="81"/>
  <c r="D34" i="81"/>
  <c r="B36" i="81"/>
  <c r="D36" i="81" s="1"/>
  <c r="A37" i="81"/>
  <c r="B20" i="81"/>
  <c r="B31" i="82"/>
  <c r="M31" i="82" s="1"/>
  <c r="B30" i="82"/>
  <c r="M30" i="82" s="1"/>
  <c r="B27" i="82"/>
  <c r="B21" i="82"/>
  <c r="B18" i="82"/>
  <c r="B13" i="82"/>
  <c r="B14" i="82" s="1"/>
  <c r="J30" i="82" l="1"/>
  <c r="G30" i="82"/>
  <c r="H30" i="82"/>
  <c r="I30" i="82" s="1"/>
  <c r="G31" i="82"/>
  <c r="H31" i="82"/>
  <c r="I31" i="82" s="1"/>
  <c r="B37" i="81"/>
  <c r="D37" i="81" s="1"/>
  <c r="A38" i="81"/>
  <c r="M32" i="82"/>
  <c r="G32" i="82" l="1"/>
  <c r="K30" i="82"/>
  <c r="I32" i="82"/>
  <c r="H32" i="82"/>
  <c r="B38" i="81"/>
  <c r="D38" i="81" s="1"/>
  <c r="A39" i="81"/>
  <c r="B39" i="81" l="1"/>
  <c r="D39" i="81" s="1"/>
  <c r="A40" i="81"/>
  <c r="B40" i="81" l="1"/>
  <c r="D40" i="81" s="1"/>
  <c r="A41" i="81"/>
  <c r="A42" i="81" l="1"/>
  <c r="B41" i="81"/>
  <c r="D41" i="81" s="1"/>
  <c r="B42" i="81" l="1"/>
  <c r="D42" i="81" s="1"/>
  <c r="A43" i="81"/>
  <c r="A44" i="81" l="1"/>
  <c r="B43" i="81"/>
  <c r="D43" i="81" s="1"/>
  <c r="A45" i="81" l="1"/>
  <c r="B44" i="81"/>
  <c r="D44" i="81" s="1"/>
  <c r="A46" i="81" l="1"/>
  <c r="B45" i="81"/>
  <c r="D45" i="81" s="1"/>
  <c r="B46" i="81" l="1"/>
  <c r="D46" i="81" s="1"/>
  <c r="A47" i="81"/>
  <c r="A48" i="81" l="1"/>
  <c r="B47" i="81"/>
  <c r="D47" i="81" s="1"/>
  <c r="B48" i="81" l="1"/>
  <c r="D48" i="81" s="1"/>
  <c r="A49" i="81"/>
  <c r="B49" i="81" l="1"/>
  <c r="D49" i="81" s="1"/>
  <c r="A50" i="81"/>
  <c r="A51" i="81" l="1"/>
  <c r="B51" i="81" l="1"/>
  <c r="D51" i="81" s="1"/>
  <c r="A52" i="81"/>
  <c r="A53" i="81" l="1"/>
  <c r="B52" i="81"/>
  <c r="D52" i="81" s="1"/>
  <c r="A54" i="81" l="1"/>
  <c r="B53" i="81"/>
  <c r="D53" i="81" s="1"/>
  <c r="B54" i="81" l="1"/>
  <c r="D54" i="81" s="1"/>
  <c r="A55" i="81"/>
  <c r="A56" i="81" l="1"/>
  <c r="B55" i="81"/>
  <c r="D55" i="81" s="1"/>
  <c r="A57" i="81" l="1"/>
  <c r="B56" i="81"/>
  <c r="D56" i="81" s="1"/>
  <c r="A58" i="81" l="1"/>
  <c r="B57" i="81"/>
  <c r="D57" i="81" s="1"/>
  <c r="B58" i="81" l="1"/>
  <c r="D58" i="81" s="1"/>
  <c r="A59" i="81"/>
  <c r="A60" i="81" l="1"/>
  <c r="B59" i="81"/>
  <c r="D59" i="81" s="1"/>
  <c r="B60" i="81" l="1"/>
  <c r="D60" i="81" s="1"/>
  <c r="A61" i="81"/>
  <c r="B61" i="81" l="1"/>
  <c r="D61" i="81" l="1"/>
  <c r="E11" i="82" l="1"/>
  <c r="E10" i="82"/>
  <c r="E9" i="82"/>
  <c r="E8" i="82"/>
  <c r="B12" i="82"/>
  <c r="Q155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322" i="4"/>
  <c r="Q323" i="4"/>
  <c r="Q324" i="4"/>
  <c r="Q325" i="4"/>
  <c r="Q326" i="4"/>
  <c r="Q327" i="4"/>
  <c r="Q328" i="4"/>
  <c r="Q329" i="4"/>
  <c r="Q330" i="4"/>
  <c r="Q331" i="4"/>
  <c r="Q332" i="4"/>
  <c r="Q333" i="4"/>
  <c r="Q334" i="4"/>
  <c r="Q335" i="4"/>
  <c r="Q336" i="4"/>
  <c r="Q337" i="4"/>
  <c r="Q338" i="4"/>
  <c r="Q339" i="4"/>
  <c r="Q340" i="4"/>
  <c r="Q341" i="4"/>
  <c r="Q342" i="4"/>
  <c r="Q343" i="4"/>
  <c r="Q344" i="4"/>
  <c r="Q345" i="4"/>
  <c r="Q346" i="4"/>
  <c r="Q347" i="4"/>
  <c r="Q348" i="4"/>
  <c r="Q349" i="4"/>
  <c r="Q350" i="4"/>
  <c r="Q351" i="4"/>
  <c r="Q352" i="4"/>
  <c r="Q353" i="4"/>
  <c r="Q354" i="4"/>
  <c r="Q355" i="4"/>
  <c r="Q356" i="4"/>
  <c r="Q357" i="4"/>
  <c r="Q358" i="4"/>
  <c r="Q359" i="4"/>
  <c r="Q360" i="4"/>
  <c r="Q361" i="4"/>
  <c r="Q362" i="4"/>
  <c r="Q363" i="4"/>
  <c r="Q364" i="4"/>
  <c r="Q365" i="4"/>
  <c r="Q366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79" i="4"/>
  <c r="Q380" i="4"/>
  <c r="Q381" i="4"/>
  <c r="Q382" i="4"/>
  <c r="Q383" i="4"/>
  <c r="Q384" i="4"/>
  <c r="Q385" i="4"/>
  <c r="Q386" i="4"/>
  <c r="Q387" i="4"/>
  <c r="Q388" i="4"/>
  <c r="Q389" i="4"/>
  <c r="Q390" i="4"/>
  <c r="Q391" i="4"/>
  <c r="Q392" i="4"/>
  <c r="Q393" i="4"/>
  <c r="Q394" i="4"/>
  <c r="Q395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09" i="4"/>
  <c r="Q410" i="4"/>
  <c r="Q411" i="4"/>
  <c r="Q412" i="4"/>
  <c r="Q413" i="4"/>
  <c r="Q414" i="4"/>
  <c r="Q415" i="4"/>
  <c r="Q416" i="4"/>
  <c r="Q417" i="4"/>
  <c r="Q418" i="4"/>
  <c r="Q419" i="4"/>
  <c r="Q420" i="4"/>
  <c r="Q421" i="4"/>
  <c r="Q422" i="4"/>
  <c r="Q423" i="4"/>
  <c r="Q424" i="4"/>
  <c r="Q425" i="4"/>
  <c r="Q426" i="4"/>
  <c r="Q427" i="4"/>
  <c r="Q428" i="4"/>
  <c r="Q429" i="4"/>
  <c r="Q430" i="4"/>
  <c r="Q431" i="4"/>
  <c r="Q432" i="4"/>
  <c r="Q433" i="4"/>
  <c r="Q434" i="4"/>
  <c r="Q435" i="4"/>
  <c r="Q436" i="4"/>
  <c r="Q437" i="4"/>
  <c r="Q438" i="4"/>
  <c r="Q439" i="4"/>
  <c r="Q440" i="4"/>
  <c r="Q441" i="4"/>
  <c r="Q442" i="4"/>
  <c r="Q443" i="4"/>
  <c r="Q444" i="4"/>
  <c r="Q445" i="4"/>
  <c r="Q446" i="4"/>
  <c r="Q447" i="4"/>
  <c r="Q448" i="4"/>
  <c r="Q449" i="4"/>
  <c r="Q450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2" i="4"/>
  <c r="Q473" i="4"/>
  <c r="Q474" i="4"/>
  <c r="Q475" i="4"/>
  <c r="Q476" i="4"/>
  <c r="Q477" i="4"/>
  <c r="Q478" i="4"/>
  <c r="Q479" i="4"/>
  <c r="Q480" i="4"/>
  <c r="Q481" i="4"/>
  <c r="Q482" i="4"/>
  <c r="Q483" i="4"/>
  <c r="Q484" i="4"/>
  <c r="Q485" i="4"/>
  <c r="Q486" i="4"/>
  <c r="Q487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0" i="4"/>
  <c r="Q501" i="4"/>
  <c r="Q502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6" i="4"/>
  <c r="Q517" i="4"/>
  <c r="Q518" i="4"/>
  <c r="Q519" i="4"/>
  <c r="Q520" i="4"/>
  <c r="Q521" i="4"/>
  <c r="Q522" i="4"/>
  <c r="Q523" i="4"/>
  <c r="Q524" i="4"/>
  <c r="Q525" i="4"/>
  <c r="Q526" i="4"/>
  <c r="Q527" i="4"/>
  <c r="Q528" i="4"/>
  <c r="Q529" i="4"/>
  <c r="Q530" i="4"/>
  <c r="Q531" i="4"/>
  <c r="Q532" i="4"/>
  <c r="Q533" i="4"/>
  <c r="Q534" i="4"/>
  <c r="Q535" i="4"/>
  <c r="Q536" i="4"/>
  <c r="Q537" i="4"/>
  <c r="Q538" i="4"/>
  <c r="Q539" i="4"/>
  <c r="Q540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7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2" i="4"/>
  <c r="Q573" i="4"/>
  <c r="Q574" i="4"/>
  <c r="Q575" i="4"/>
  <c r="Q576" i="4"/>
  <c r="Q577" i="4"/>
  <c r="Q578" i="4"/>
  <c r="Q579" i="4"/>
  <c r="Q580" i="4"/>
  <c r="Q581" i="4"/>
  <c r="Q582" i="4"/>
  <c r="Q583" i="4"/>
  <c r="Q584" i="4"/>
  <c r="Q585" i="4"/>
  <c r="Q586" i="4"/>
  <c r="Q587" i="4"/>
  <c r="Q588" i="4"/>
  <c r="Q589" i="4"/>
  <c r="Q590" i="4"/>
  <c r="Q591" i="4"/>
  <c r="Q592" i="4"/>
  <c r="Q593" i="4"/>
  <c r="Q594" i="4"/>
  <c r="Q595" i="4"/>
  <c r="Q596" i="4"/>
  <c r="Q597" i="4"/>
  <c r="Q598" i="4"/>
  <c r="Q599" i="4"/>
  <c r="Q600" i="4"/>
  <c r="Q601" i="4"/>
  <c r="Q602" i="4"/>
  <c r="Q603" i="4"/>
  <c r="Q604" i="4"/>
  <c r="Q605" i="4"/>
  <c r="Q606" i="4"/>
  <c r="Q607" i="4"/>
  <c r="Q608" i="4"/>
  <c r="Q609" i="4"/>
  <c r="Q610" i="4"/>
  <c r="Q611" i="4"/>
  <c r="Q612" i="4"/>
  <c r="Q613" i="4"/>
  <c r="Q614" i="4"/>
  <c r="Q615" i="4"/>
  <c r="Q616" i="4"/>
  <c r="Q617" i="4"/>
  <c r="Q618" i="4"/>
  <c r="Q619" i="4"/>
  <c r="Q620" i="4"/>
  <c r="Q621" i="4"/>
  <c r="Q622" i="4"/>
  <c r="Q623" i="4"/>
  <c r="Q624" i="4"/>
  <c r="Q625" i="4"/>
  <c r="Q626" i="4"/>
  <c r="Q627" i="4"/>
  <c r="Q628" i="4"/>
  <c r="Q629" i="4"/>
  <c r="Q630" i="4"/>
  <c r="Q631" i="4"/>
  <c r="Q632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0" i="4"/>
  <c r="Q651" i="4"/>
  <c r="Q652" i="4"/>
  <c r="Q653" i="4"/>
  <c r="Q654" i="4"/>
  <c r="Q655" i="4"/>
  <c r="Q656" i="4"/>
  <c r="Q657" i="4"/>
  <c r="Q658" i="4"/>
  <c r="Q659" i="4"/>
  <c r="Q660" i="4"/>
  <c r="Q661" i="4"/>
  <c r="Q662" i="4"/>
  <c r="Q663" i="4"/>
  <c r="Q664" i="4"/>
  <c r="Q665" i="4"/>
  <c r="Q666" i="4"/>
  <c r="Q667" i="4"/>
  <c r="Q668" i="4"/>
  <c r="Q669" i="4"/>
  <c r="Q670" i="4"/>
  <c r="Q671" i="4"/>
  <c r="Q672" i="4"/>
  <c r="Q673" i="4"/>
  <c r="Q674" i="4"/>
  <c r="Q675" i="4"/>
  <c r="Q676" i="4"/>
  <c r="Q677" i="4"/>
  <c r="Q678" i="4"/>
  <c r="Q679" i="4"/>
  <c r="Q680" i="4"/>
  <c r="Q681" i="4"/>
  <c r="Q682" i="4"/>
  <c r="Q683" i="4"/>
  <c r="Q684" i="4"/>
  <c r="Q685" i="4"/>
  <c r="Q686" i="4"/>
  <c r="Q687" i="4"/>
  <c r="Q688" i="4"/>
  <c r="Q689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6" i="4"/>
  <c r="Q707" i="4"/>
  <c r="Q708" i="4"/>
  <c r="Q709" i="4"/>
  <c r="Q710" i="4"/>
  <c r="Q711" i="4"/>
  <c r="Q712" i="4"/>
  <c r="Q713" i="4"/>
  <c r="Q714" i="4"/>
  <c r="Q715" i="4"/>
  <c r="Q716" i="4"/>
  <c r="Q717" i="4"/>
  <c r="Q718" i="4"/>
  <c r="Q719" i="4"/>
  <c r="Q720" i="4"/>
  <c r="Q721" i="4"/>
  <c r="Q722" i="4"/>
  <c r="Q723" i="4"/>
  <c r="Q724" i="4"/>
  <c r="Q725" i="4"/>
  <c r="Q726" i="4"/>
  <c r="Q727" i="4"/>
  <c r="Q728" i="4"/>
  <c r="Q729" i="4"/>
  <c r="Q730" i="4"/>
  <c r="Q731" i="4"/>
  <c r="Q732" i="4"/>
  <c r="Q733" i="4"/>
  <c r="Q734" i="4"/>
  <c r="Q735" i="4"/>
  <c r="Q736" i="4"/>
  <c r="Q737" i="4"/>
  <c r="Q738" i="4"/>
  <c r="Q739" i="4"/>
  <c r="Q740" i="4"/>
  <c r="Q741" i="4"/>
  <c r="Q742" i="4"/>
  <c r="Q743" i="4"/>
  <c r="Q744" i="4"/>
  <c r="Q745" i="4"/>
  <c r="Q746" i="4"/>
  <c r="Q747" i="4"/>
  <c r="Q748" i="4"/>
  <c r="Q749" i="4"/>
  <c r="Q750" i="4"/>
  <c r="Q751" i="4"/>
  <c r="Q752" i="4"/>
  <c r="Q753" i="4"/>
  <c r="Q754" i="4"/>
  <c r="Q755" i="4"/>
  <c r="Q756" i="4"/>
  <c r="Q757" i="4"/>
  <c r="Q758" i="4"/>
  <c r="Q759" i="4"/>
  <c r="Q760" i="4"/>
  <c r="Q761" i="4"/>
  <c r="Q762" i="4"/>
  <c r="Q763" i="4"/>
  <c r="Q764" i="4"/>
  <c r="Q765" i="4"/>
  <c r="Q766" i="4"/>
  <c r="Q767" i="4"/>
  <c r="Q768" i="4"/>
  <c r="Q769" i="4"/>
  <c r="Q770" i="4"/>
  <c r="Q771" i="4"/>
  <c r="Q772" i="4"/>
  <c r="Q773" i="4"/>
  <c r="Q774" i="4"/>
  <c r="Q775" i="4"/>
  <c r="Q776" i="4"/>
  <c r="Q777" i="4"/>
  <c r="Q778" i="4"/>
  <c r="Q779" i="4"/>
  <c r="Q780" i="4"/>
  <c r="Q781" i="4"/>
  <c r="Q782" i="4"/>
  <c r="Q783" i="4"/>
  <c r="Q784" i="4"/>
  <c r="Q785" i="4"/>
  <c r="Q786" i="4"/>
  <c r="Q787" i="4"/>
  <c r="Q788" i="4"/>
  <c r="Q789" i="4"/>
  <c r="Q790" i="4"/>
  <c r="Q791" i="4"/>
  <c r="Q792" i="4"/>
  <c r="Q793" i="4"/>
  <c r="Q794" i="4"/>
  <c r="Q795" i="4"/>
  <c r="Q796" i="4"/>
  <c r="Q797" i="4"/>
  <c r="Q798" i="4"/>
  <c r="Q799" i="4"/>
  <c r="Q800" i="4"/>
  <c r="Q801" i="4"/>
  <c r="Q802" i="4"/>
  <c r="Q803" i="4"/>
  <c r="Q804" i="4"/>
  <c r="Q805" i="4"/>
  <c r="Q806" i="4"/>
  <c r="Q807" i="4"/>
  <c r="Q808" i="4"/>
  <c r="Q809" i="4"/>
  <c r="Q810" i="4"/>
  <c r="Q811" i="4"/>
  <c r="Q812" i="4"/>
  <c r="Q813" i="4"/>
  <c r="Q814" i="4"/>
  <c r="Q815" i="4"/>
  <c r="Q816" i="4"/>
  <c r="Q817" i="4"/>
  <c r="Q818" i="4"/>
  <c r="Q819" i="4"/>
  <c r="Q820" i="4"/>
  <c r="Q821" i="4"/>
  <c r="Q822" i="4"/>
  <c r="Q823" i="4"/>
  <c r="Q824" i="4"/>
  <c r="Q825" i="4"/>
  <c r="Q826" i="4"/>
  <c r="Q827" i="4"/>
  <c r="Q828" i="4"/>
  <c r="Q829" i="4"/>
  <c r="Q830" i="4"/>
  <c r="Q831" i="4"/>
  <c r="Q832" i="4"/>
  <c r="Q833" i="4"/>
  <c r="Q834" i="4"/>
  <c r="Q835" i="4"/>
  <c r="Q836" i="4"/>
  <c r="Q837" i="4"/>
  <c r="Q838" i="4"/>
  <c r="Q839" i="4"/>
  <c r="Q840" i="4"/>
  <c r="Q841" i="4"/>
  <c r="Q842" i="4"/>
  <c r="Q843" i="4"/>
  <c r="Q844" i="4"/>
  <c r="Q845" i="4"/>
  <c r="Q846" i="4"/>
  <c r="Q847" i="4"/>
  <c r="Q848" i="4"/>
  <c r="Q849" i="4"/>
  <c r="Q850" i="4"/>
  <c r="Q851" i="4"/>
  <c r="Q852" i="4"/>
  <c r="Q853" i="4"/>
  <c r="Q854" i="4"/>
  <c r="Q855" i="4"/>
  <c r="Q856" i="4"/>
  <c r="Q857" i="4"/>
  <c r="Q858" i="4"/>
  <c r="Q859" i="4"/>
  <c r="Q860" i="4"/>
  <c r="Q861" i="4"/>
  <c r="Q862" i="4"/>
  <c r="Q863" i="4"/>
  <c r="Q864" i="4"/>
  <c r="Q865" i="4"/>
  <c r="Q866" i="4"/>
  <c r="Q867" i="4"/>
  <c r="Q868" i="4"/>
  <c r="Q869" i="4"/>
  <c r="Q870" i="4"/>
  <c r="Q871" i="4"/>
  <c r="Q872" i="4"/>
  <c r="Q873" i="4"/>
  <c r="Q874" i="4"/>
  <c r="Q875" i="4"/>
  <c r="Q876" i="4"/>
  <c r="Q877" i="4"/>
  <c r="Q878" i="4"/>
  <c r="Q879" i="4"/>
  <c r="Q880" i="4"/>
  <c r="Q881" i="4"/>
  <c r="Q882" i="4"/>
  <c r="Q883" i="4"/>
  <c r="Q884" i="4"/>
  <c r="Q885" i="4"/>
  <c r="Q886" i="4"/>
  <c r="Q887" i="4"/>
  <c r="Q888" i="4"/>
  <c r="Q889" i="4"/>
  <c r="Q890" i="4"/>
  <c r="Q891" i="4"/>
  <c r="Q892" i="4"/>
  <c r="Q893" i="4"/>
  <c r="Q894" i="4"/>
  <c r="Q895" i="4"/>
  <c r="Q896" i="4"/>
  <c r="Q897" i="4"/>
  <c r="Q898" i="4"/>
  <c r="Q899" i="4"/>
  <c r="Q900" i="4"/>
  <c r="Q901" i="4"/>
  <c r="Q902" i="4"/>
  <c r="Q903" i="4"/>
  <c r="Q904" i="4"/>
  <c r="Q905" i="4"/>
  <c r="Q906" i="4"/>
  <c r="Q907" i="4"/>
  <c r="Q908" i="4"/>
  <c r="Q909" i="4"/>
  <c r="Q910" i="4"/>
  <c r="Q911" i="4"/>
  <c r="Q912" i="4"/>
  <c r="Q913" i="4"/>
  <c r="Q914" i="4"/>
  <c r="Q915" i="4"/>
  <c r="Q916" i="4"/>
  <c r="Q917" i="4"/>
  <c r="Q918" i="4"/>
  <c r="Q919" i="4"/>
  <c r="Q920" i="4"/>
  <c r="Q921" i="4"/>
  <c r="Q922" i="4"/>
  <c r="Q923" i="4"/>
  <c r="Q924" i="4"/>
  <c r="Q925" i="4"/>
  <c r="Q926" i="4"/>
  <c r="Q927" i="4"/>
  <c r="Q928" i="4"/>
  <c r="Q929" i="4"/>
  <c r="Q930" i="4"/>
  <c r="Q931" i="4"/>
  <c r="Q932" i="4"/>
  <c r="Q933" i="4"/>
  <c r="Q934" i="4"/>
  <c r="Q935" i="4"/>
  <c r="Q936" i="4"/>
  <c r="Q937" i="4"/>
  <c r="Q938" i="4"/>
  <c r="Q939" i="4"/>
  <c r="Q940" i="4"/>
  <c r="Q941" i="4"/>
  <c r="Q942" i="4"/>
  <c r="Q943" i="4"/>
  <c r="Q944" i="4"/>
  <c r="Q945" i="4"/>
  <c r="Q946" i="4"/>
  <c r="Q947" i="4"/>
  <c r="Q948" i="4"/>
  <c r="Q949" i="4"/>
  <c r="Q950" i="4"/>
  <c r="Q951" i="4"/>
  <c r="Q952" i="4"/>
  <c r="Q953" i="4"/>
  <c r="Q954" i="4"/>
  <c r="Q955" i="4"/>
  <c r="Q956" i="4"/>
  <c r="Q957" i="4"/>
  <c r="Q958" i="4"/>
  <c r="Q959" i="4"/>
  <c r="Q960" i="4"/>
  <c r="Q961" i="4"/>
  <c r="Q962" i="4"/>
  <c r="Q963" i="4"/>
  <c r="Q964" i="4"/>
  <c r="Q965" i="4"/>
  <c r="Q966" i="4"/>
  <c r="Q967" i="4"/>
  <c r="Q968" i="4"/>
  <c r="Q969" i="4"/>
  <c r="Q970" i="4"/>
  <c r="Q971" i="4"/>
  <c r="Q972" i="4"/>
  <c r="Q973" i="4"/>
  <c r="Q974" i="4"/>
  <c r="Q975" i="4"/>
  <c r="Q976" i="4"/>
  <c r="Q977" i="4"/>
  <c r="Q978" i="4"/>
  <c r="Q979" i="4"/>
  <c r="Q980" i="4"/>
  <c r="Q981" i="4"/>
  <c r="Q982" i="4"/>
  <c r="Q983" i="4"/>
  <c r="Q984" i="4"/>
  <c r="Q985" i="4"/>
  <c r="Q986" i="4"/>
  <c r="Q987" i="4"/>
  <c r="Q988" i="4"/>
  <c r="Q989" i="4"/>
  <c r="Q990" i="4"/>
  <c r="Q991" i="4"/>
  <c r="Q992" i="4"/>
  <c r="Q993" i="4"/>
  <c r="Q994" i="4"/>
  <c r="Q995" i="4"/>
  <c r="Q996" i="4"/>
  <c r="Q997" i="4"/>
  <c r="Q998" i="4"/>
  <c r="Q999" i="4"/>
  <c r="Q1000" i="4"/>
  <c r="Q1001" i="4"/>
  <c r="Q1002" i="4"/>
  <c r="Q1003" i="4"/>
  <c r="Q1004" i="4"/>
  <c r="Q1005" i="4"/>
  <c r="Q1006" i="4"/>
  <c r="Q1007" i="4"/>
  <c r="Q1008" i="4"/>
  <c r="Q1009" i="4"/>
  <c r="Q1010" i="4"/>
  <c r="Q1011" i="4"/>
  <c r="Q1012" i="4"/>
  <c r="Q1013" i="4"/>
  <c r="Q1014" i="4"/>
  <c r="Q1015" i="4"/>
  <c r="Q1016" i="4"/>
  <c r="Q1017" i="4"/>
  <c r="Q1018" i="4"/>
  <c r="Q1019" i="4"/>
  <c r="Q1020" i="4"/>
  <c r="Q1021" i="4"/>
  <c r="Q1022" i="4"/>
  <c r="Q1023" i="4"/>
  <c r="Q1024" i="4"/>
  <c r="Q1025" i="4"/>
  <c r="Q1026" i="4"/>
  <c r="Q1027" i="4"/>
  <c r="Q1028" i="4"/>
  <c r="Q1029" i="4"/>
  <c r="Q1030" i="4"/>
  <c r="Q1031" i="4"/>
  <c r="Q1032" i="4"/>
  <c r="Q1033" i="4"/>
  <c r="Q1034" i="4"/>
  <c r="Q1035" i="4"/>
  <c r="Q1036" i="4"/>
  <c r="Q1037" i="4"/>
  <c r="Q1038" i="4"/>
  <c r="Q1039" i="4"/>
  <c r="Q1040" i="4"/>
  <c r="Q1041" i="4"/>
  <c r="Q1042" i="4"/>
  <c r="Q1043" i="4"/>
  <c r="Q1044" i="4"/>
  <c r="Q1045" i="4"/>
  <c r="Q1046" i="4"/>
  <c r="Q1047" i="4"/>
  <c r="Q1048" i="4"/>
  <c r="Q1049" i="4"/>
  <c r="Q1050" i="4"/>
  <c r="Q1051" i="4"/>
  <c r="Q1052" i="4"/>
  <c r="Q1053" i="4"/>
  <c r="Q1054" i="4"/>
  <c r="Q1055" i="4"/>
  <c r="Q1056" i="4"/>
  <c r="Q1057" i="4"/>
  <c r="Q1058" i="4"/>
  <c r="Q1059" i="4"/>
  <c r="Q1060" i="4"/>
  <c r="Q1061" i="4"/>
  <c r="Q1062" i="4"/>
  <c r="Q1063" i="4"/>
  <c r="U310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72" i="1"/>
  <c r="U373" i="1"/>
  <c r="U362" i="1"/>
  <c r="U363" i="1"/>
  <c r="U364" i="1"/>
  <c r="U365" i="1"/>
  <c r="U366" i="1"/>
  <c r="U368" i="1"/>
  <c r="U369" i="1"/>
  <c r="U370" i="1"/>
  <c r="U371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Q107" i="4"/>
  <c r="Q142" i="4"/>
  <c r="B60" i="73" a="1"/>
  <c r="B60" i="73" s="1"/>
  <c r="A60" i="73" s="1"/>
  <c r="B59" i="73" a="1"/>
  <c r="B59" i="73" s="1"/>
  <c r="A59" i="73" s="1"/>
  <c r="B58" i="73" a="1"/>
  <c r="B58" i="73" s="1"/>
  <c r="A58" i="73" s="1"/>
  <c r="B57" i="73" a="1"/>
  <c r="B57" i="73" s="1"/>
  <c r="A57" i="73" s="1"/>
  <c r="B56" i="73" a="1"/>
  <c r="B56" i="73" s="1"/>
  <c r="A56" i="73" s="1"/>
  <c r="B55" i="73" a="1"/>
  <c r="B55" i="73" s="1"/>
  <c r="A55" i="73" s="1"/>
  <c r="B54" i="73" a="1"/>
  <c r="B54" i="73" s="1"/>
  <c r="A54" i="73" s="1"/>
  <c r="B53" i="73" a="1"/>
  <c r="B53" i="73" s="1"/>
  <c r="A53" i="73" s="1"/>
  <c r="B52" i="73" a="1"/>
  <c r="B52" i="73" s="1"/>
  <c r="A52" i="73" s="1"/>
  <c r="B51" i="73" a="1"/>
  <c r="B51" i="73" s="1"/>
  <c r="A51" i="73" s="1"/>
  <c r="B48" i="73" a="1"/>
  <c r="B48" i="73" s="1"/>
  <c r="A48" i="73" s="1"/>
  <c r="B49" i="73" a="1"/>
  <c r="B49" i="73" s="1"/>
  <c r="A49" i="73" s="1"/>
  <c r="B34" i="73" a="1"/>
  <c r="B34" i="73" s="1"/>
  <c r="A34" i="73" s="1"/>
  <c r="B47" i="73" a="1"/>
  <c r="B47" i="73" s="1"/>
  <c r="A47" i="73" s="1"/>
  <c r="B46" i="73" a="1"/>
  <c r="B46" i="73" s="1"/>
  <c r="A46" i="73" s="1"/>
  <c r="B31" i="73" a="1"/>
  <c r="B31" i="73" s="1"/>
  <c r="A31" i="73" s="1"/>
  <c r="B44" i="73" a="1"/>
  <c r="B44" i="73" s="1"/>
  <c r="A44" i="73" s="1"/>
  <c r="B37" i="73" a="1"/>
  <c r="B37" i="73" s="1"/>
  <c r="A37" i="73" s="1"/>
  <c r="B7" i="73" a="1"/>
  <c r="B7" i="73" s="1"/>
  <c r="A7" i="73" s="1"/>
  <c r="B41" i="73" a="1"/>
  <c r="B41" i="73" s="1"/>
  <c r="A41" i="73" s="1"/>
  <c r="B40" i="73" a="1"/>
  <c r="B40" i="73" s="1"/>
  <c r="A40" i="73" s="1"/>
  <c r="B39" i="73" a="1"/>
  <c r="B39" i="73" s="1"/>
  <c r="A39" i="73" s="1"/>
  <c r="B38" i="73" a="1"/>
  <c r="B38" i="73" s="1"/>
  <c r="A38" i="73" s="1"/>
  <c r="B43" i="73" a="1"/>
  <c r="B43" i="73" s="1"/>
  <c r="B35" i="73" a="1"/>
  <c r="B35" i="73" s="1"/>
  <c r="A35" i="73" s="1"/>
  <c r="B28" i="73" a="1"/>
  <c r="B28" i="73" s="1"/>
  <c r="A28" i="73" s="1"/>
  <c r="B50" i="73" a="1"/>
  <c r="B50" i="73" s="1"/>
  <c r="A50" i="73" s="1"/>
  <c r="B33" i="73" a="1"/>
  <c r="B33" i="73" s="1"/>
  <c r="A33" i="73" s="1"/>
  <c r="B32" i="73" a="1"/>
  <c r="B32" i="73" s="1"/>
  <c r="A32" i="73" s="1"/>
  <c r="B29" i="73" a="1"/>
  <c r="B29" i="73" s="1"/>
  <c r="A29" i="73" s="1"/>
  <c r="B30" i="73" a="1"/>
  <c r="B30" i="73" s="1"/>
  <c r="A30" i="73" s="1"/>
  <c r="B45" i="73" a="1"/>
  <c r="B45" i="73" s="1"/>
  <c r="A45" i="73" s="1"/>
  <c r="B36" i="73" a="1"/>
  <c r="B36" i="73" s="1"/>
  <c r="A36" i="73" s="1"/>
  <c r="B27" i="73" a="1"/>
  <c r="B27" i="73" s="1"/>
  <c r="A27" i="73" s="1"/>
  <c r="B26" i="73" a="1"/>
  <c r="B26" i="73" s="1"/>
  <c r="A26" i="73" s="1"/>
  <c r="B25" i="73" a="1"/>
  <c r="B25" i="73" s="1"/>
  <c r="B24" i="73" a="1"/>
  <c r="B24" i="73" s="1"/>
  <c r="A24" i="73" s="1"/>
  <c r="B23" i="73" a="1"/>
  <c r="B23" i="73" s="1"/>
  <c r="A23" i="73" s="1"/>
  <c r="B22" i="73" a="1"/>
  <c r="B22" i="73" s="1"/>
  <c r="A22" i="73" s="1"/>
  <c r="B21" i="73" a="1"/>
  <c r="B21" i="73" s="1"/>
  <c r="A21" i="73" s="1"/>
  <c r="B20" i="73" a="1"/>
  <c r="B20" i="73" s="1"/>
  <c r="A20" i="73" s="1"/>
  <c r="B19" i="73" a="1"/>
  <c r="B19" i="73" s="1"/>
  <c r="A19" i="73" s="1"/>
  <c r="B17" i="73" a="1"/>
  <c r="B17" i="73" s="1"/>
  <c r="A17" i="73" s="1"/>
  <c r="B42" i="73" a="1"/>
  <c r="B42" i="73" s="1"/>
  <c r="A42" i="73" s="1"/>
  <c r="B16" i="73" a="1"/>
  <c r="B16" i="73" s="1"/>
  <c r="A16" i="73" s="1"/>
  <c r="B10" i="73" a="1"/>
  <c r="B10" i="73" s="1"/>
  <c r="A10" i="73" s="1"/>
  <c r="B14" i="73" a="1"/>
  <c r="B14" i="73" s="1"/>
  <c r="A14" i="73" s="1"/>
  <c r="B13" i="73" a="1"/>
  <c r="B13" i="73" s="1"/>
  <c r="A13" i="73" s="1"/>
  <c r="B12" i="73" a="1"/>
  <c r="B12" i="73" s="1"/>
  <c r="A12" i="73" s="1"/>
  <c r="B5" i="73" a="1"/>
  <c r="B5" i="73" s="1"/>
  <c r="A5" i="73" s="1"/>
  <c r="B15" i="73" a="1"/>
  <c r="B15" i="73" s="1"/>
  <c r="A15" i="73" s="1"/>
  <c r="B9" i="73" a="1"/>
  <c r="B9" i="73" s="1"/>
  <c r="A9" i="73" s="1"/>
  <c r="B8" i="73" a="1"/>
  <c r="B8" i="73" s="1"/>
  <c r="A8" i="73" s="1"/>
  <c r="B18" i="73" a="1"/>
  <c r="B18" i="73" s="1"/>
  <c r="A18" i="73" s="1"/>
  <c r="B6" i="73" a="1"/>
  <c r="B6" i="73" s="1"/>
  <c r="A6" i="73" s="1"/>
  <c r="B11" i="73" a="1"/>
  <c r="B11" i="73" s="1"/>
  <c r="A11" i="73" s="1"/>
  <c r="U317" i="1" l="1"/>
  <c r="Q166" i="4"/>
  <c r="Q165" i="4"/>
  <c r="Q164" i="4"/>
  <c r="Q162" i="4"/>
  <c r="Q161" i="4"/>
  <c r="Q160" i="4"/>
  <c r="Q163" i="4"/>
  <c r="U316" i="1"/>
  <c r="U315" i="1"/>
  <c r="U309" i="1"/>
  <c r="U308" i="1"/>
  <c r="U305" i="1"/>
  <c r="U293" i="1"/>
  <c r="U281" i="1"/>
  <c r="U269" i="1"/>
  <c r="U257" i="1"/>
  <c r="U245" i="1"/>
  <c r="U233" i="1"/>
  <c r="U221" i="1"/>
  <c r="U209" i="1"/>
  <c r="U197" i="1"/>
  <c r="U185" i="1"/>
  <c r="U173" i="1"/>
  <c r="U161" i="1"/>
  <c r="U149" i="1"/>
  <c r="U137" i="1"/>
  <c r="U125" i="1"/>
  <c r="U113" i="1"/>
  <c r="U101" i="1"/>
  <c r="U89" i="1"/>
  <c r="U77" i="1"/>
  <c r="U65" i="1"/>
  <c r="U53" i="1"/>
  <c r="U41" i="1"/>
  <c r="U29" i="1"/>
  <c r="U17" i="1"/>
  <c r="U5" i="1"/>
  <c r="Q152" i="4"/>
  <c r="Q140" i="4"/>
  <c r="Q128" i="4"/>
  <c r="Q116" i="4"/>
  <c r="Q104" i="4"/>
  <c r="Q92" i="4"/>
  <c r="Q80" i="4"/>
  <c r="Q68" i="4"/>
  <c r="Q56" i="4"/>
  <c r="Q44" i="4"/>
  <c r="Q32" i="4"/>
  <c r="Q20" i="4"/>
  <c r="Q8" i="4"/>
  <c r="U304" i="1"/>
  <c r="U292" i="1"/>
  <c r="U280" i="1"/>
  <c r="U268" i="1"/>
  <c r="U256" i="1"/>
  <c r="U244" i="1"/>
  <c r="U232" i="1"/>
  <c r="U220" i="1"/>
  <c r="U208" i="1"/>
  <c r="U196" i="1"/>
  <c r="U184" i="1"/>
  <c r="U172" i="1"/>
  <c r="U160" i="1"/>
  <c r="U148" i="1"/>
  <c r="U136" i="1"/>
  <c r="U124" i="1"/>
  <c r="U112" i="1"/>
  <c r="U100" i="1"/>
  <c r="U88" i="1"/>
  <c r="U76" i="1"/>
  <c r="U64" i="1"/>
  <c r="U52" i="1"/>
  <c r="U40" i="1"/>
  <c r="U28" i="1"/>
  <c r="U16" i="1"/>
  <c r="Q5" i="4"/>
  <c r="Q151" i="4"/>
  <c r="Q139" i="4"/>
  <c r="Q127" i="4"/>
  <c r="Q115" i="4"/>
  <c r="Q103" i="4"/>
  <c r="Q91" i="4"/>
  <c r="Q79" i="4"/>
  <c r="Q67" i="4"/>
  <c r="Q55" i="4"/>
  <c r="Q43" i="4"/>
  <c r="Q31" i="4"/>
  <c r="Q19" i="4"/>
  <c r="Q7" i="4"/>
  <c r="U4" i="1"/>
  <c r="U303" i="1"/>
  <c r="U291" i="1"/>
  <c r="U279" i="1"/>
  <c r="U267" i="1"/>
  <c r="U255" i="1"/>
  <c r="U243" i="1"/>
  <c r="U231" i="1"/>
  <c r="U219" i="1"/>
  <c r="U207" i="1"/>
  <c r="U195" i="1"/>
  <c r="U183" i="1"/>
  <c r="U171" i="1"/>
  <c r="U159" i="1"/>
  <c r="U147" i="1"/>
  <c r="U135" i="1"/>
  <c r="U123" i="1"/>
  <c r="U111" i="1"/>
  <c r="U99" i="1"/>
  <c r="U87" i="1"/>
  <c r="U75" i="1"/>
  <c r="U63" i="1"/>
  <c r="U51" i="1"/>
  <c r="U39" i="1"/>
  <c r="U27" i="1"/>
  <c r="U15" i="1"/>
  <c r="Q150" i="4"/>
  <c r="Q138" i="4"/>
  <c r="Q126" i="4"/>
  <c r="Q114" i="4"/>
  <c r="Q102" i="4"/>
  <c r="Q90" i="4"/>
  <c r="Q78" i="4"/>
  <c r="Q66" i="4"/>
  <c r="Q54" i="4"/>
  <c r="Q42" i="4"/>
  <c r="Q30" i="4"/>
  <c r="Q18" i="4"/>
  <c r="Q6" i="4"/>
  <c r="A25" i="73"/>
  <c r="U314" i="1"/>
  <c r="U302" i="1"/>
  <c r="U290" i="1"/>
  <c r="U278" i="1"/>
  <c r="U266" i="1"/>
  <c r="U254" i="1"/>
  <c r="U242" i="1"/>
  <c r="U230" i="1"/>
  <c r="U218" i="1"/>
  <c r="U206" i="1"/>
  <c r="U194" i="1"/>
  <c r="U182" i="1"/>
  <c r="U170" i="1"/>
  <c r="U158" i="1"/>
  <c r="U146" i="1"/>
  <c r="U134" i="1"/>
  <c r="U122" i="1"/>
  <c r="U110" i="1"/>
  <c r="U98" i="1"/>
  <c r="U86" i="1"/>
  <c r="U74" i="1"/>
  <c r="U62" i="1"/>
  <c r="U50" i="1"/>
  <c r="U38" i="1"/>
  <c r="U26" i="1"/>
  <c r="U14" i="1"/>
  <c r="Q149" i="4"/>
  <c r="Q137" i="4"/>
  <c r="Q125" i="4"/>
  <c r="Q113" i="4"/>
  <c r="Q101" i="4"/>
  <c r="Q89" i="4"/>
  <c r="Q77" i="4"/>
  <c r="Q65" i="4"/>
  <c r="Q53" i="4"/>
  <c r="Q41" i="4"/>
  <c r="Q29" i="4"/>
  <c r="Q17" i="4"/>
  <c r="E3" i="74"/>
  <c r="A43" i="73"/>
  <c r="U313" i="1"/>
  <c r="U301" i="1"/>
  <c r="U289" i="1"/>
  <c r="U277" i="1"/>
  <c r="U265" i="1"/>
  <c r="U253" i="1"/>
  <c r="U241" i="1"/>
  <c r="U229" i="1"/>
  <c r="U217" i="1"/>
  <c r="U205" i="1"/>
  <c r="U193" i="1"/>
  <c r="U181" i="1"/>
  <c r="U169" i="1"/>
  <c r="U157" i="1"/>
  <c r="U145" i="1"/>
  <c r="U133" i="1"/>
  <c r="U121" i="1"/>
  <c r="U109" i="1"/>
  <c r="U97" i="1"/>
  <c r="U85" i="1"/>
  <c r="U73" i="1"/>
  <c r="U61" i="1"/>
  <c r="U49" i="1"/>
  <c r="U37" i="1"/>
  <c r="U25" i="1"/>
  <c r="U13" i="1"/>
  <c r="Q148" i="4"/>
  <c r="Q136" i="4"/>
  <c r="Q124" i="4"/>
  <c r="Q112" i="4"/>
  <c r="Q100" i="4"/>
  <c r="Q88" i="4"/>
  <c r="Q76" i="4"/>
  <c r="Q64" i="4"/>
  <c r="Q52" i="4"/>
  <c r="Q40" i="4"/>
  <c r="Q28" i="4"/>
  <c r="Q16" i="4"/>
  <c r="U312" i="1"/>
  <c r="U300" i="1"/>
  <c r="U288" i="1"/>
  <c r="U276" i="1"/>
  <c r="U264" i="1"/>
  <c r="U252" i="1"/>
  <c r="U240" i="1"/>
  <c r="U228" i="1"/>
  <c r="U216" i="1"/>
  <c r="U204" i="1"/>
  <c r="U192" i="1"/>
  <c r="U180" i="1"/>
  <c r="U168" i="1"/>
  <c r="U156" i="1"/>
  <c r="U144" i="1"/>
  <c r="U132" i="1"/>
  <c r="U120" i="1"/>
  <c r="U108" i="1"/>
  <c r="U96" i="1"/>
  <c r="U84" i="1"/>
  <c r="U72" i="1"/>
  <c r="U60" i="1"/>
  <c r="U48" i="1"/>
  <c r="U36" i="1"/>
  <c r="U24" i="1"/>
  <c r="U12" i="1"/>
  <c r="Q147" i="4"/>
  <c r="Q135" i="4"/>
  <c r="Q123" i="4"/>
  <c r="Q111" i="4"/>
  <c r="Q99" i="4"/>
  <c r="Q87" i="4"/>
  <c r="Q75" i="4"/>
  <c r="Q63" i="4"/>
  <c r="Q51" i="4"/>
  <c r="Q39" i="4"/>
  <c r="Q27" i="4"/>
  <c r="Q15" i="4"/>
  <c r="U311" i="1"/>
  <c r="U299" i="1"/>
  <c r="U287" i="1"/>
  <c r="U275" i="1"/>
  <c r="U263" i="1"/>
  <c r="U251" i="1"/>
  <c r="U239" i="1"/>
  <c r="U227" i="1"/>
  <c r="U215" i="1"/>
  <c r="U203" i="1"/>
  <c r="U191" i="1"/>
  <c r="U179" i="1"/>
  <c r="U167" i="1"/>
  <c r="U155" i="1"/>
  <c r="U143" i="1"/>
  <c r="U131" i="1"/>
  <c r="U119" i="1"/>
  <c r="U107" i="1"/>
  <c r="U95" i="1"/>
  <c r="U83" i="1"/>
  <c r="U71" i="1"/>
  <c r="U59" i="1"/>
  <c r="U47" i="1"/>
  <c r="U35" i="1"/>
  <c r="U23" i="1"/>
  <c r="U11" i="1"/>
  <c r="Q159" i="4"/>
  <c r="Q146" i="4"/>
  <c r="Q134" i="4"/>
  <c r="Q122" i="4"/>
  <c r="Q110" i="4"/>
  <c r="Q98" i="4"/>
  <c r="Q86" i="4"/>
  <c r="Q74" i="4"/>
  <c r="Q62" i="4"/>
  <c r="Q50" i="4"/>
  <c r="Q38" i="4"/>
  <c r="Q26" i="4"/>
  <c r="Q14" i="4"/>
  <c r="U298" i="1"/>
  <c r="U286" i="1"/>
  <c r="U274" i="1"/>
  <c r="U262" i="1"/>
  <c r="U250" i="1"/>
  <c r="U238" i="1"/>
  <c r="U226" i="1"/>
  <c r="U214" i="1"/>
  <c r="U202" i="1"/>
  <c r="U190" i="1"/>
  <c r="U178" i="1"/>
  <c r="U166" i="1"/>
  <c r="U154" i="1"/>
  <c r="U142" i="1"/>
  <c r="U130" i="1"/>
  <c r="U118" i="1"/>
  <c r="U106" i="1"/>
  <c r="U94" i="1"/>
  <c r="U82" i="1"/>
  <c r="U70" i="1"/>
  <c r="U58" i="1"/>
  <c r="U46" i="1"/>
  <c r="U34" i="1"/>
  <c r="U22" i="1"/>
  <c r="U10" i="1"/>
  <c r="Q158" i="4"/>
  <c r="Q145" i="4"/>
  <c r="Q133" i="4"/>
  <c r="Q121" i="4"/>
  <c r="Q109" i="4"/>
  <c r="Q97" i="4"/>
  <c r="Q85" i="4"/>
  <c r="Q73" i="4"/>
  <c r="Q61" i="4"/>
  <c r="Q49" i="4"/>
  <c r="Q37" i="4"/>
  <c r="Q25" i="4"/>
  <c r="Q13" i="4"/>
  <c r="U297" i="1"/>
  <c r="U285" i="1"/>
  <c r="U273" i="1"/>
  <c r="U261" i="1"/>
  <c r="U249" i="1"/>
  <c r="U237" i="1"/>
  <c r="U225" i="1"/>
  <c r="U213" i="1"/>
  <c r="U201" i="1"/>
  <c r="U189" i="1"/>
  <c r="U177" i="1"/>
  <c r="U165" i="1"/>
  <c r="U153" i="1"/>
  <c r="U141" i="1"/>
  <c r="U129" i="1"/>
  <c r="U117" i="1"/>
  <c r="U105" i="1"/>
  <c r="U93" i="1"/>
  <c r="U81" i="1"/>
  <c r="U69" i="1"/>
  <c r="U57" i="1"/>
  <c r="U45" i="1"/>
  <c r="U33" i="1"/>
  <c r="U21" i="1"/>
  <c r="U9" i="1"/>
  <c r="Q157" i="4"/>
  <c r="Q144" i="4"/>
  <c r="Q132" i="4"/>
  <c r="Q120" i="4"/>
  <c r="Q108" i="4"/>
  <c r="Q96" i="4"/>
  <c r="Q84" i="4"/>
  <c r="Q72" i="4"/>
  <c r="Q60" i="4"/>
  <c r="Q48" i="4"/>
  <c r="Q36" i="4"/>
  <c r="Q24" i="4"/>
  <c r="Q12" i="4"/>
  <c r="U296" i="1"/>
  <c r="U284" i="1"/>
  <c r="U272" i="1"/>
  <c r="U260" i="1"/>
  <c r="U248" i="1"/>
  <c r="U236" i="1"/>
  <c r="U224" i="1"/>
  <c r="U212" i="1"/>
  <c r="U200" i="1"/>
  <c r="U188" i="1"/>
  <c r="U176" i="1"/>
  <c r="U164" i="1"/>
  <c r="U152" i="1"/>
  <c r="U140" i="1"/>
  <c r="U128" i="1"/>
  <c r="U116" i="1"/>
  <c r="U104" i="1"/>
  <c r="U92" i="1"/>
  <c r="U80" i="1"/>
  <c r="U68" i="1"/>
  <c r="U56" i="1"/>
  <c r="U44" i="1"/>
  <c r="U32" i="1"/>
  <c r="U20" i="1"/>
  <c r="U8" i="1"/>
  <c r="Q156" i="4"/>
  <c r="Q143" i="4"/>
  <c r="Q131" i="4"/>
  <c r="Q119" i="4"/>
  <c r="Q95" i="4"/>
  <c r="Q83" i="4"/>
  <c r="Q71" i="4"/>
  <c r="Q59" i="4"/>
  <c r="Q47" i="4"/>
  <c r="Q35" i="4"/>
  <c r="Q23" i="4"/>
  <c r="Q11" i="4"/>
  <c r="U307" i="1"/>
  <c r="U295" i="1"/>
  <c r="U283" i="1"/>
  <c r="U271" i="1"/>
  <c r="U259" i="1"/>
  <c r="U247" i="1"/>
  <c r="U235" i="1"/>
  <c r="U223" i="1"/>
  <c r="U211" i="1"/>
  <c r="U199" i="1"/>
  <c r="U187" i="1"/>
  <c r="U175" i="1"/>
  <c r="U163" i="1"/>
  <c r="U151" i="1"/>
  <c r="U139" i="1"/>
  <c r="U127" i="1"/>
  <c r="U115" i="1"/>
  <c r="U103" i="1"/>
  <c r="U91" i="1"/>
  <c r="U79" i="1"/>
  <c r="U67" i="1"/>
  <c r="U55" i="1"/>
  <c r="U43" i="1"/>
  <c r="U31" i="1"/>
  <c r="U19" i="1"/>
  <c r="U7" i="1"/>
  <c r="Q130" i="4"/>
  <c r="Q118" i="4"/>
  <c r="Q106" i="4"/>
  <c r="Q94" i="4"/>
  <c r="Q82" i="4"/>
  <c r="Q70" i="4"/>
  <c r="Q58" i="4"/>
  <c r="Q46" i="4"/>
  <c r="Q34" i="4"/>
  <c r="Q22" i="4"/>
  <c r="Q10" i="4"/>
  <c r="U306" i="1"/>
  <c r="U294" i="1"/>
  <c r="U282" i="1"/>
  <c r="U270" i="1"/>
  <c r="U258" i="1"/>
  <c r="U246" i="1"/>
  <c r="U234" i="1"/>
  <c r="U222" i="1"/>
  <c r="U210" i="1"/>
  <c r="U198" i="1"/>
  <c r="U186" i="1"/>
  <c r="U174" i="1"/>
  <c r="U162" i="1"/>
  <c r="U150" i="1"/>
  <c r="U138" i="1"/>
  <c r="U126" i="1"/>
  <c r="U114" i="1"/>
  <c r="U102" i="1"/>
  <c r="U90" i="1"/>
  <c r="U78" i="1"/>
  <c r="U66" i="1"/>
  <c r="U54" i="1"/>
  <c r="U42" i="1"/>
  <c r="U30" i="1"/>
  <c r="U18" i="1"/>
  <c r="U6" i="1"/>
  <c r="Q154" i="4"/>
  <c r="Q141" i="4"/>
  <c r="Q129" i="4"/>
  <c r="Q117" i="4"/>
  <c r="Q105" i="4"/>
  <c r="Q93" i="4"/>
  <c r="Q81" i="4"/>
  <c r="Q69" i="4"/>
  <c r="Q57" i="4"/>
  <c r="Q45" i="4"/>
  <c r="Q33" i="4"/>
  <c r="Q21" i="4"/>
  <c r="Q9" i="4"/>
  <c r="C13" i="81" l="1"/>
  <c r="F13" i="81" s="1"/>
  <c r="C11" i="81"/>
  <c r="F11" i="81" s="1"/>
  <c r="C14" i="81"/>
  <c r="F14" i="81" s="1"/>
  <c r="C12" i="81"/>
  <c r="F12" i="81" s="1"/>
  <c r="C10" i="81"/>
  <c r="G66" i="4"/>
  <c r="K66" i="4"/>
  <c r="N66" i="4" a="1"/>
  <c r="N66" i="4" s="1"/>
  <c r="O66" i="4" s="1"/>
  <c r="F10" i="81" l="1"/>
  <c r="P66" i="4"/>
  <c r="E57" i="73" l="1"/>
  <c r="I53" i="73"/>
  <c r="H48" i="73"/>
  <c r="H47" i="73"/>
  <c r="G7" i="73"/>
  <c r="K41" i="73" a="1"/>
  <c r="K41" i="73" s="1"/>
  <c r="H40" i="73"/>
  <c r="G39" i="73"/>
  <c r="G28" i="73"/>
  <c r="K50" i="73" a="1"/>
  <c r="K50" i="73" s="1"/>
  <c r="K45" i="73" a="1"/>
  <c r="K45" i="73" s="1"/>
  <c r="F27" i="73"/>
  <c r="G26" i="73"/>
  <c r="G24" i="73"/>
  <c r="K23" i="73" a="1"/>
  <c r="K23" i="73" s="1"/>
  <c r="G20" i="73"/>
  <c r="F17" i="73"/>
  <c r="G42" i="73"/>
  <c r="G10" i="73"/>
  <c r="K14" i="73" a="1"/>
  <c r="K14" i="73" s="1"/>
  <c r="F9" i="73"/>
  <c r="K8" i="73" a="1"/>
  <c r="K8" i="73" s="1"/>
  <c r="G6" i="73"/>
  <c r="A59" i="75"/>
  <c r="A58" i="75"/>
  <c r="A57" i="75"/>
  <c r="A56" i="75"/>
  <c r="A55" i="75"/>
  <c r="A54" i="75"/>
  <c r="D43" i="75" a="1"/>
  <c r="D43" i="75" s="1"/>
  <c r="D44" i="75" a="1"/>
  <c r="D44" i="75" s="1"/>
  <c r="D45" i="75" a="1"/>
  <c r="D45" i="75" s="1"/>
  <c r="D46" i="75" a="1"/>
  <c r="D46" i="75" s="1"/>
  <c r="D47" i="75" a="1"/>
  <c r="D47" i="75" s="1"/>
  <c r="D48" i="75" a="1"/>
  <c r="D48" i="75" s="1"/>
  <c r="D49" i="75" a="1"/>
  <c r="D49" i="75" s="1"/>
  <c r="D50" i="75" a="1"/>
  <c r="D50" i="75" s="1"/>
  <c r="B43" i="75" a="1"/>
  <c r="B43" i="75" s="1"/>
  <c r="C43" i="75" s="1"/>
  <c r="B44" i="75" a="1"/>
  <c r="B44" i="75" s="1"/>
  <c r="C44" i="75" s="1"/>
  <c r="B45" i="75" a="1"/>
  <c r="B45" i="75" s="1"/>
  <c r="C45" i="75" s="1"/>
  <c r="B46" i="75" a="1"/>
  <c r="B46" i="75" s="1"/>
  <c r="C46" i="75" s="1"/>
  <c r="B47" i="75" a="1"/>
  <c r="B47" i="75" s="1"/>
  <c r="C47" i="75" s="1"/>
  <c r="B48" i="75" a="1"/>
  <c r="B48" i="75" s="1"/>
  <c r="C48" i="75" s="1"/>
  <c r="B49" i="75" a="1"/>
  <c r="B49" i="75" s="1"/>
  <c r="C49" i="75" s="1"/>
  <c r="B50" i="75" a="1"/>
  <c r="B50" i="75" s="1"/>
  <c r="C50" i="75" s="1"/>
  <c r="F38" i="75" a="1"/>
  <c r="F38" i="75" s="1"/>
  <c r="E38" i="75" a="1"/>
  <c r="E38" i="75" s="1"/>
  <c r="D38" i="75" a="1"/>
  <c r="D38" i="75" s="1"/>
  <c r="B13" i="75"/>
  <c r="F13" i="75" s="1"/>
  <c r="B12" i="75"/>
  <c r="F12" i="75" s="1"/>
  <c r="B11" i="75"/>
  <c r="C11" i="75" s="1"/>
  <c r="B10" i="75"/>
  <c r="F10" i="75" s="1"/>
  <c r="B9" i="75"/>
  <c r="B8" i="75"/>
  <c r="A2" i="75"/>
  <c r="G45" i="73" l="1"/>
  <c r="F10" i="73"/>
  <c r="H23" i="73"/>
  <c r="G14" i="73"/>
  <c r="G23" i="73"/>
  <c r="K18" i="73" a="1"/>
  <c r="K18" i="73" s="1"/>
  <c r="H14" i="73"/>
  <c r="G8" i="73"/>
  <c r="K11" i="73" a="1"/>
  <c r="K11" i="73" s="1"/>
  <c r="K42" i="73" a="1"/>
  <c r="K42" i="73" s="1"/>
  <c r="H11" i="73"/>
  <c r="K16" i="73" a="1"/>
  <c r="K16" i="73" s="1"/>
  <c r="D11" i="73"/>
  <c r="H38" i="73"/>
  <c r="F11" i="73"/>
  <c r="H44" i="73"/>
  <c r="G11" i="73"/>
  <c r="K44" i="73" a="1"/>
  <c r="K44" i="73" s="1"/>
  <c r="H50" i="73"/>
  <c r="H53" i="73"/>
  <c r="I11" i="73"/>
  <c r="F6" i="73"/>
  <c r="B6" i="75"/>
  <c r="F6" i="75" s="1"/>
  <c r="B7" i="75"/>
  <c r="F7" i="75" s="1"/>
  <c r="G36" i="73"/>
  <c r="F36" i="73"/>
  <c r="H36" i="73"/>
  <c r="K36" i="73" a="1"/>
  <c r="K36" i="73" s="1"/>
  <c r="G25" i="73"/>
  <c r="F25" i="73"/>
  <c r="K25" i="73" a="1"/>
  <c r="K25" i="73" s="1"/>
  <c r="H25" i="73"/>
  <c r="K21" i="73" a="1"/>
  <c r="K21" i="73" s="1"/>
  <c r="H21" i="73"/>
  <c r="G22" i="73"/>
  <c r="F22" i="73"/>
  <c r="K32" i="73" a="1"/>
  <c r="K32" i="73" s="1"/>
  <c r="K35" i="73" a="1"/>
  <c r="K35" i="73" s="1"/>
  <c r="H35" i="73"/>
  <c r="F35" i="73"/>
  <c r="F48" i="73"/>
  <c r="K48" i="73" a="1"/>
  <c r="K48" i="73" s="1"/>
  <c r="G48" i="73"/>
  <c r="D57" i="73"/>
  <c r="K12" i="73" a="1"/>
  <c r="K12" i="73" s="1"/>
  <c r="H12" i="73"/>
  <c r="G13" i="73"/>
  <c r="F13" i="73"/>
  <c r="K30" i="73" a="1"/>
  <c r="K30" i="73" s="1"/>
  <c r="H30" i="73"/>
  <c r="H29" i="73"/>
  <c r="M54" i="73"/>
  <c r="L54" i="73"/>
  <c r="K54" i="73" a="1"/>
  <c r="K54" i="73" s="1"/>
  <c r="J54" i="73"/>
  <c r="I54" i="73"/>
  <c r="H54" i="73"/>
  <c r="G54" i="73"/>
  <c r="F54" i="73"/>
  <c r="C54" i="73"/>
  <c r="H13" i="73"/>
  <c r="H22" i="73"/>
  <c r="F26" i="73"/>
  <c r="K29" i="73" a="1"/>
  <c r="K29" i="73" s="1"/>
  <c r="K33" i="73" a="1"/>
  <c r="K33" i="73" s="1"/>
  <c r="H33" i="73"/>
  <c r="F33" i="73"/>
  <c r="F38" i="73"/>
  <c r="G38" i="73"/>
  <c r="G40" i="73"/>
  <c r="F40" i="73"/>
  <c r="K40" i="73" a="1"/>
  <c r="K40" i="73" s="1"/>
  <c r="K7" i="73" a="1"/>
  <c r="K7" i="73" s="1"/>
  <c r="H7" i="73"/>
  <c r="F7" i="73"/>
  <c r="F44" i="73"/>
  <c r="G44" i="73"/>
  <c r="F47" i="73"/>
  <c r="K47" i="73" a="1"/>
  <c r="K47" i="73" s="1"/>
  <c r="G47" i="73"/>
  <c r="D54" i="73"/>
  <c r="K9" i="73" a="1"/>
  <c r="K9" i="73" s="1"/>
  <c r="H9" i="73"/>
  <c r="G15" i="73"/>
  <c r="F15" i="73"/>
  <c r="F12" i="73"/>
  <c r="K17" i="73" a="1"/>
  <c r="K17" i="73" s="1"/>
  <c r="H17" i="73"/>
  <c r="G19" i="73"/>
  <c r="F19" i="73"/>
  <c r="F21" i="73"/>
  <c r="K51" i="73" a="1"/>
  <c r="K51" i="73" s="1"/>
  <c r="I51" i="73"/>
  <c r="H51" i="73"/>
  <c r="G51" i="73"/>
  <c r="F51" i="73"/>
  <c r="E54" i="73"/>
  <c r="J58" i="73"/>
  <c r="I58" i="73"/>
  <c r="H58" i="73"/>
  <c r="G58" i="73"/>
  <c r="F58" i="73"/>
  <c r="E58" i="73"/>
  <c r="D58" i="73"/>
  <c r="C58" i="73"/>
  <c r="M58" i="73"/>
  <c r="K58" i="73" a="1"/>
  <c r="K58" i="73" s="1"/>
  <c r="G12" i="73"/>
  <c r="K13" i="73" a="1"/>
  <c r="K13" i="73" s="1"/>
  <c r="K22" i="73" a="1"/>
  <c r="K22" i="73" s="1"/>
  <c r="D51" i="73"/>
  <c r="K27" i="73" a="1"/>
  <c r="K27" i="73" s="1"/>
  <c r="H27" i="73"/>
  <c r="K34" i="73" a="1"/>
  <c r="K34" i="73" s="1"/>
  <c r="H34" i="73"/>
  <c r="G34" i="73"/>
  <c r="F34" i="73"/>
  <c r="J55" i="73"/>
  <c r="I55" i="73"/>
  <c r="H55" i="73"/>
  <c r="G55" i="73"/>
  <c r="F55" i="73"/>
  <c r="E55" i="73"/>
  <c r="D55" i="73"/>
  <c r="C55" i="73"/>
  <c r="M55" i="73"/>
  <c r="K55" i="73" a="1"/>
  <c r="K55" i="73" s="1"/>
  <c r="L58" i="73"/>
  <c r="F5" i="73"/>
  <c r="F20" i="73"/>
  <c r="G27" i="73"/>
  <c r="G35" i="73"/>
  <c r="F8" i="73"/>
  <c r="H5" i="73"/>
  <c r="F42" i="73"/>
  <c r="H20" i="73"/>
  <c r="F45" i="73"/>
  <c r="F30" i="73"/>
  <c r="F28" i="73"/>
  <c r="H15" i="73"/>
  <c r="H19" i="73"/>
  <c r="K24" i="73" a="1"/>
  <c r="K24" i="73" s="1"/>
  <c r="H24" i="73"/>
  <c r="H26" i="73"/>
  <c r="G30" i="73"/>
  <c r="G33" i="73"/>
  <c r="K38" i="73" a="1"/>
  <c r="K38" i="73" s="1"/>
  <c r="K31" i="73" a="1"/>
  <c r="K31" i="73" s="1"/>
  <c r="H31" i="73"/>
  <c r="F31" i="73"/>
  <c r="F59" i="73"/>
  <c r="E59" i="73"/>
  <c r="D59" i="73"/>
  <c r="C59" i="73"/>
  <c r="M59" i="73"/>
  <c r="L59" i="73"/>
  <c r="K59" i="73" a="1"/>
  <c r="K59" i="73" s="1"/>
  <c r="J59" i="73"/>
  <c r="G59" i="73"/>
  <c r="G5" i="73"/>
  <c r="G21" i="73"/>
  <c r="K6" i="73" a="1"/>
  <c r="K6" i="73" s="1"/>
  <c r="H6" i="73"/>
  <c r="G18" i="73"/>
  <c r="F18" i="73"/>
  <c r="K10" i="73" a="1"/>
  <c r="K10" i="73" s="1"/>
  <c r="H10" i="73"/>
  <c r="G16" i="73"/>
  <c r="F16" i="73"/>
  <c r="H52" i="73"/>
  <c r="G52" i="73"/>
  <c r="F52" i="73"/>
  <c r="K52" i="73" a="1"/>
  <c r="K52" i="73" s="1"/>
  <c r="L55" i="73"/>
  <c r="H59" i="73"/>
  <c r="H46" i="73"/>
  <c r="G46" i="73"/>
  <c r="F46" i="73"/>
  <c r="K46" i="73" a="1"/>
  <c r="K46" i="73" s="1"/>
  <c r="M57" i="73"/>
  <c r="L57" i="73"/>
  <c r="K57" i="73" a="1"/>
  <c r="K57" i="73" s="1"/>
  <c r="J57" i="73"/>
  <c r="I57" i="73"/>
  <c r="H57" i="73"/>
  <c r="G57" i="73"/>
  <c r="F57" i="73"/>
  <c r="C57" i="73"/>
  <c r="F32" i="73"/>
  <c r="K5" i="73" a="1"/>
  <c r="K5" i="73" s="1"/>
  <c r="H28" i="73"/>
  <c r="G43" i="73"/>
  <c r="F43" i="73"/>
  <c r="K43" i="73" a="1"/>
  <c r="K43" i="73" s="1"/>
  <c r="K39" i="73" a="1"/>
  <c r="K39" i="73" s="1"/>
  <c r="H39" i="73"/>
  <c r="F39" i="73"/>
  <c r="F41" i="73"/>
  <c r="G41" i="73"/>
  <c r="G37" i="73"/>
  <c r="F37" i="73"/>
  <c r="K37" i="73" a="1"/>
  <c r="K37" i="73" s="1"/>
  <c r="F56" i="73"/>
  <c r="E56" i="73"/>
  <c r="D56" i="73"/>
  <c r="C56" i="73"/>
  <c r="M56" i="73"/>
  <c r="L56" i="73"/>
  <c r="K56" i="73" a="1"/>
  <c r="K56" i="73" s="1"/>
  <c r="J56" i="73"/>
  <c r="G56" i="73"/>
  <c r="I59" i="73"/>
  <c r="G9" i="73"/>
  <c r="K15" i="73" a="1"/>
  <c r="K15" i="73" s="1"/>
  <c r="H45" i="73"/>
  <c r="H8" i="73"/>
  <c r="F14" i="73"/>
  <c r="H42" i="73"/>
  <c r="F23" i="73"/>
  <c r="K26" i="73" a="1"/>
  <c r="K26" i="73" s="1"/>
  <c r="G32" i="73"/>
  <c r="G31" i="73"/>
  <c r="H49" i="73"/>
  <c r="G49" i="73"/>
  <c r="F49" i="73"/>
  <c r="K49" i="73" a="1"/>
  <c r="K49" i="73" s="1"/>
  <c r="H56" i="73"/>
  <c r="M60" i="73"/>
  <c r="L60" i="73"/>
  <c r="K60" i="73" a="1"/>
  <c r="K60" i="73" s="1"/>
  <c r="J60" i="73"/>
  <c r="I60" i="73"/>
  <c r="H60" i="73"/>
  <c r="G60" i="73"/>
  <c r="F60" i="73"/>
  <c r="D60" i="73"/>
  <c r="C60" i="73"/>
  <c r="G29" i="73"/>
  <c r="F29" i="73"/>
  <c r="G17" i="73"/>
  <c r="K19" i="73" a="1"/>
  <c r="K19" i="73" s="1"/>
  <c r="K20" i="73" a="1"/>
  <c r="K20" i="73" s="1"/>
  <c r="H18" i="73"/>
  <c r="H16" i="73"/>
  <c r="F24" i="73"/>
  <c r="H32" i="73"/>
  <c r="G50" i="73"/>
  <c r="F50" i="73"/>
  <c r="K28" i="73" a="1"/>
  <c r="K28" i="73" s="1"/>
  <c r="H43" i="73"/>
  <c r="H41" i="73"/>
  <c r="H37" i="73"/>
  <c r="F53" i="73"/>
  <c r="E53" i="73"/>
  <c r="D53" i="73"/>
  <c r="C53" i="73"/>
  <c r="M53" i="73"/>
  <c r="L53" i="73"/>
  <c r="K53" i="73" a="1"/>
  <c r="K53" i="73" s="1"/>
  <c r="J53" i="73"/>
  <c r="G53" i="73"/>
  <c r="I56" i="73"/>
  <c r="E60" i="73"/>
  <c r="F11" i="75"/>
  <c r="D11" i="75"/>
  <c r="E11" i="75" s="1"/>
  <c r="F8" i="75"/>
  <c r="F9" i="75"/>
  <c r="C12" i="75"/>
  <c r="C9" i="75"/>
  <c r="D12" i="75"/>
  <c r="D9" i="75"/>
  <c r="C10" i="75"/>
  <c r="D10" i="75"/>
  <c r="C8" i="75"/>
  <c r="D8" i="75"/>
  <c r="C13" i="75"/>
  <c r="D13" i="75"/>
  <c r="J10" i="73" l="1"/>
  <c r="L10" i="73" s="1"/>
  <c r="J52" i="73"/>
  <c r="L52" i="73" s="1"/>
  <c r="J51" i="73"/>
  <c r="L51" i="73" s="1"/>
  <c r="E13" i="75"/>
  <c r="J48" i="73"/>
  <c r="L48" i="73" s="1"/>
  <c r="E12" i="75"/>
  <c r="J49" i="73"/>
  <c r="L49" i="73" s="1"/>
  <c r="E10" i="75"/>
  <c r="E9" i="75"/>
  <c r="E8" i="75"/>
  <c r="J14" i="73"/>
  <c r="L14" i="73" s="1"/>
  <c r="J6" i="73"/>
  <c r="L6" i="73" s="1"/>
  <c r="J23" i="73"/>
  <c r="L23" i="73" s="1"/>
  <c r="C7" i="75"/>
  <c r="C6" i="75"/>
  <c r="D6" i="75"/>
  <c r="D7" i="75"/>
  <c r="J11" i="73"/>
  <c r="L11" i="73" s="1"/>
  <c r="J34" i="73"/>
  <c r="L34" i="73" s="1"/>
  <c r="J8" i="73"/>
  <c r="L8" i="73" s="1"/>
  <c r="J42" i="73"/>
  <c r="L42" i="73" s="1"/>
  <c r="J7" i="73"/>
  <c r="L7" i="73" s="1"/>
  <c r="J28" i="73"/>
  <c r="L28" i="73" s="1"/>
  <c r="J45" i="73"/>
  <c r="L45" i="73" s="1"/>
  <c r="J44" i="73"/>
  <c r="L44" i="73" s="1"/>
  <c r="J17" i="73"/>
  <c r="L17" i="73" s="1"/>
  <c r="J31" i="73"/>
  <c r="L31" i="73" s="1"/>
  <c r="J29" i="73"/>
  <c r="L29" i="73" s="1"/>
  <c r="J21" i="73"/>
  <c r="L21" i="73" s="1"/>
  <c r="J30" i="73"/>
  <c r="L30" i="73" s="1"/>
  <c r="J20" i="73"/>
  <c r="L20" i="73" s="1"/>
  <c r="J24" i="73"/>
  <c r="L24" i="73" s="1"/>
  <c r="J33" i="73"/>
  <c r="L33" i="73" s="1"/>
  <c r="J5" i="73"/>
  <c r="L5" i="73" s="1"/>
  <c r="J22" i="73"/>
  <c r="L22" i="73" s="1"/>
  <c r="J27" i="73"/>
  <c r="L27" i="73" s="1"/>
  <c r="J32" i="73"/>
  <c r="L32" i="73" s="1"/>
  <c r="J9" i="73"/>
  <c r="L9" i="73" s="1"/>
  <c r="J37" i="73"/>
  <c r="L37" i="73" s="1"/>
  <c r="J47" i="73"/>
  <c r="L47" i="73" s="1"/>
  <c r="J38" i="73"/>
  <c r="L38" i="73" s="1"/>
  <c r="J26" i="73"/>
  <c r="L26" i="73" s="1"/>
  <c r="J13" i="73"/>
  <c r="L13" i="73" s="1"/>
  <c r="J16" i="73"/>
  <c r="L16" i="73" s="1"/>
  <c r="J46" i="73"/>
  <c r="L46" i="73" s="1"/>
  <c r="J41" i="73"/>
  <c r="L41" i="73" s="1"/>
  <c r="J43" i="73"/>
  <c r="L43" i="73" s="1"/>
  <c r="J18" i="73"/>
  <c r="L18" i="73" s="1"/>
  <c r="J35" i="73"/>
  <c r="L35" i="73" s="1"/>
  <c r="J25" i="73"/>
  <c r="L25" i="73" s="1"/>
  <c r="J12" i="73"/>
  <c r="L12" i="73" s="1"/>
  <c r="J15" i="73"/>
  <c r="L15" i="73" s="1"/>
  <c r="J39" i="73"/>
  <c r="L39" i="73" s="1"/>
  <c r="J19" i="73"/>
  <c r="L19" i="73" s="1"/>
  <c r="J40" i="73"/>
  <c r="L40" i="73" s="1"/>
  <c r="J36" i="73"/>
  <c r="L36" i="73" s="1"/>
  <c r="J50" i="73"/>
  <c r="L50" i="73" s="1"/>
  <c r="E7" i="75" l="1"/>
  <c r="E6" i="75"/>
  <c r="G36" i="4" l="1"/>
  <c r="K36" i="4"/>
  <c r="N36" i="4" a="1"/>
  <c r="N36" i="4" s="1"/>
  <c r="O36" i="4" s="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5" i="4"/>
  <c r="G80" i="4"/>
  <c r="N80" i="4" a="1"/>
  <c r="N80" i="4" s="1"/>
  <c r="O80" i="4" s="1"/>
  <c r="C55" i="75" l="1"/>
  <c r="C57" i="75"/>
  <c r="C56" i="75"/>
  <c r="C58" i="75"/>
  <c r="C54" i="75"/>
  <c r="C59" i="75"/>
  <c r="P36" i="4"/>
  <c r="P80" i="4"/>
  <c r="C60" i="75" l="1"/>
  <c r="G99" i="4"/>
  <c r="N99" i="4" a="1"/>
  <c r="N99" i="4" s="1"/>
  <c r="O99" i="4" s="1"/>
  <c r="G98" i="4"/>
  <c r="N98" i="4" a="1"/>
  <c r="N98" i="4" s="1"/>
  <c r="O98" i="4" s="1"/>
  <c r="P99" i="4" l="1"/>
  <c r="P98" i="4"/>
  <c r="G46" i="4" l="1"/>
  <c r="N46" i="4" a="1"/>
  <c r="N46" i="4" s="1"/>
  <c r="O46" i="4" s="1"/>
  <c r="G134" i="4"/>
  <c r="N134" i="4" a="1"/>
  <c r="N134" i="4" s="1"/>
  <c r="O134" i="4" s="1"/>
  <c r="G17" i="4"/>
  <c r="N17" i="4" a="1"/>
  <c r="N17" i="4" s="1"/>
  <c r="O17" i="4" s="1"/>
  <c r="P17" i="4" s="1"/>
  <c r="G25" i="4"/>
  <c r="N25" i="4" a="1"/>
  <c r="N25" i="4" s="1"/>
  <c r="O25" i="4" s="1"/>
  <c r="P46" i="4" l="1"/>
  <c r="P134" i="4"/>
  <c r="P25" i="4"/>
  <c r="C4" i="73"/>
  <c r="S2" i="1" l="1"/>
  <c r="F11" i="79" l="1"/>
  <c r="F12" i="79"/>
  <c r="F13" i="79"/>
  <c r="F14" i="79"/>
  <c r="F15" i="79"/>
  <c r="F17" i="79"/>
  <c r="F18" i="79"/>
  <c r="F19" i="79"/>
  <c r="F20" i="79"/>
  <c r="F21" i="79"/>
  <c r="F22" i="79"/>
  <c r="F23" i="79"/>
  <c r="F24" i="79"/>
  <c r="F25" i="79"/>
  <c r="F26" i="79"/>
  <c r="F27" i="79"/>
  <c r="F28" i="79"/>
  <c r="F29" i="79"/>
  <c r="F30" i="79"/>
  <c r="B15" i="82" l="1"/>
  <c r="B16" i="82" s="1"/>
  <c r="J31" i="82"/>
  <c r="B2" i="79"/>
  <c r="B14" i="80"/>
  <c r="B13" i="80"/>
  <c r="J275" i="1"/>
  <c r="F9" i="79"/>
  <c r="F8" i="79"/>
  <c r="F7" i="79"/>
  <c r="F6" i="79"/>
  <c r="F5" i="79"/>
  <c r="F4" i="79"/>
  <c r="H13" i="80" l="1"/>
  <c r="Q13" i="80"/>
  <c r="P13" i="80" s="1"/>
  <c r="O13" i="80"/>
  <c r="N13" i="80" s="1"/>
  <c r="D13" i="80"/>
  <c r="D14" i="80"/>
  <c r="Q14" i="80"/>
  <c r="P14" i="80" s="1"/>
  <c r="O14" i="80"/>
  <c r="N14" i="80" s="1"/>
  <c r="C14" i="80"/>
  <c r="C13" i="80"/>
  <c r="J32" i="82"/>
  <c r="K31" i="82"/>
  <c r="K32" i="82" s="1"/>
  <c r="J14" i="80"/>
  <c r="L14" i="80"/>
  <c r="T14" i="80"/>
  <c r="J13" i="80"/>
  <c r="L13" i="80"/>
  <c r="T13" i="80"/>
  <c r="F13" i="80"/>
  <c r="F14" i="80"/>
  <c r="F2" i="79"/>
  <c r="B8" i="80"/>
  <c r="B7" i="80"/>
  <c r="Z2" i="78" a="1"/>
  <c r="Z2" i="78" s="1"/>
  <c r="K3" i="78" a="1"/>
  <c r="K3" i="78" s="1"/>
  <c r="I19" i="78" a="1"/>
  <c r="I19" i="78" s="1"/>
  <c r="E14" i="78"/>
  <c r="C14" i="78"/>
  <c r="F12" i="78"/>
  <c r="D12" i="78"/>
  <c r="D11" i="78"/>
  <c r="E10" i="78"/>
  <c r="C10" i="78"/>
  <c r="D5" i="78"/>
  <c r="I20" i="77"/>
  <c r="H20" i="77"/>
  <c r="G20" i="77"/>
  <c r="F20" i="77"/>
  <c r="I19" i="77"/>
  <c r="H19" i="77"/>
  <c r="G19" i="77"/>
  <c r="F19" i="77"/>
  <c r="I18" i="77"/>
  <c r="H18" i="77"/>
  <c r="G18" i="77"/>
  <c r="F18" i="77"/>
  <c r="I17" i="77"/>
  <c r="H17" i="77"/>
  <c r="G17" i="77"/>
  <c r="F17" i="77"/>
  <c r="I16" i="77"/>
  <c r="H16" i="77"/>
  <c r="G16" i="77"/>
  <c r="F16" i="77"/>
  <c r="I15" i="77"/>
  <c r="H15" i="77"/>
  <c r="G15" i="77"/>
  <c r="F15" i="77"/>
  <c r="E12" i="77" a="1"/>
  <c r="A12" i="77" a="1"/>
  <c r="A12" i="77" s="1"/>
  <c r="A5" i="77"/>
  <c r="G5" i="77" s="1"/>
  <c r="A4" i="77"/>
  <c r="G4" i="77" s="1"/>
  <c r="D6" i="76" a="1"/>
  <c r="D6" i="76" s="1"/>
  <c r="E5" i="76" s="1"/>
  <c r="A6" i="76" a="1"/>
  <c r="A6" i="76" s="1"/>
  <c r="B5" i="76" s="1"/>
  <c r="P15" i="80" l="1"/>
  <c r="D7" i="80"/>
  <c r="Q7" i="80"/>
  <c r="P7" i="80" s="1"/>
  <c r="O7" i="80"/>
  <c r="N7" i="80" s="1"/>
  <c r="C7" i="80"/>
  <c r="Q8" i="80"/>
  <c r="O8" i="80"/>
  <c r="D8" i="80"/>
  <c r="C8" i="80"/>
  <c r="T7" i="80"/>
  <c r="Q15" i="80"/>
  <c r="N15" i="80"/>
  <c r="J15" i="80"/>
  <c r="F15" i="80"/>
  <c r="O15" i="80"/>
  <c r="T15" i="80"/>
  <c r="L15" i="80"/>
  <c r="E7" i="80"/>
  <c r="B4" i="77"/>
  <c r="F7" i="80"/>
  <c r="H7" i="80"/>
  <c r="D4" i="77"/>
  <c r="I7" i="80"/>
  <c r="J7" i="80"/>
  <c r="L7" i="80"/>
  <c r="D15" i="80"/>
  <c r="C15" i="80"/>
  <c r="T8" i="80"/>
  <c r="J8" i="80"/>
  <c r="L8" i="80"/>
  <c r="F8" i="80"/>
  <c r="H8" i="80"/>
  <c r="G10" i="78"/>
  <c r="H12" i="78"/>
  <c r="G14" i="78"/>
  <c r="G6" i="77"/>
  <c r="E12" i="77"/>
  <c r="F13" i="77"/>
  <c r="H13" i="77"/>
  <c r="F14" i="77"/>
  <c r="H14" i="77"/>
  <c r="D5" i="77"/>
  <c r="T9" i="80" l="1"/>
  <c r="E36" i="82" s="1"/>
  <c r="B24" i="82"/>
  <c r="B25" i="82" s="1"/>
  <c r="D6" i="77"/>
  <c r="D9" i="80"/>
  <c r="C9" i="80"/>
  <c r="H9" i="80"/>
  <c r="F9" i="80"/>
  <c r="L9" i="80"/>
  <c r="J9" i="80"/>
  <c r="O9" i="80"/>
  <c r="N8" i="80"/>
  <c r="Q9" i="80"/>
  <c r="P8" i="80"/>
  <c r="P9" i="80" s="1"/>
  <c r="H12" i="77"/>
  <c r="F12" i="77"/>
  <c r="N9" i="80" l="1"/>
  <c r="C2" i="71"/>
  <c r="F3" i="4"/>
  <c r="G131" i="4"/>
  <c r="S7" i="74" a="1"/>
  <c r="S7" i="74" s="1"/>
  <c r="N1063" i="4" a="1"/>
  <c r="N1063" i="4" s="1"/>
  <c r="O1063" i="4" s="1"/>
  <c r="N1062" i="4" a="1"/>
  <c r="N1062" i="4" s="1"/>
  <c r="O1062" i="4" s="1"/>
  <c r="N1061" i="4" a="1"/>
  <c r="N1061" i="4" s="1"/>
  <c r="O1061" i="4" s="1"/>
  <c r="N1060" i="4" a="1"/>
  <c r="N1060" i="4" s="1"/>
  <c r="O1060" i="4" s="1"/>
  <c r="N1059" i="4" a="1"/>
  <c r="N1059" i="4" s="1"/>
  <c r="O1059" i="4" s="1"/>
  <c r="N1058" i="4" a="1"/>
  <c r="N1058" i="4" s="1"/>
  <c r="O1058" i="4" s="1"/>
  <c r="N1057" i="4" a="1"/>
  <c r="N1057" i="4" s="1"/>
  <c r="O1057" i="4" s="1"/>
  <c r="N1056" i="4" a="1"/>
  <c r="N1056" i="4" s="1"/>
  <c r="O1056" i="4" s="1"/>
  <c r="N1055" i="4" a="1"/>
  <c r="N1055" i="4" s="1"/>
  <c r="O1055" i="4" s="1"/>
  <c r="N1054" i="4" a="1"/>
  <c r="N1054" i="4" s="1"/>
  <c r="O1054" i="4" s="1"/>
  <c r="N1053" i="4" a="1"/>
  <c r="N1053" i="4" s="1"/>
  <c r="O1053" i="4" s="1"/>
  <c r="N1052" i="4" a="1"/>
  <c r="N1052" i="4" s="1"/>
  <c r="O1052" i="4" s="1"/>
  <c r="N1051" i="4" a="1"/>
  <c r="N1051" i="4" s="1"/>
  <c r="O1051" i="4" s="1"/>
  <c r="N1050" i="4" a="1"/>
  <c r="N1050" i="4" s="1"/>
  <c r="O1050" i="4" s="1"/>
  <c r="N1049" i="4" a="1"/>
  <c r="N1049" i="4" s="1"/>
  <c r="O1049" i="4" s="1"/>
  <c r="N1048" i="4" a="1"/>
  <c r="N1048" i="4" s="1"/>
  <c r="O1048" i="4" s="1"/>
  <c r="N1047" i="4" a="1"/>
  <c r="N1047" i="4" s="1"/>
  <c r="O1047" i="4" s="1"/>
  <c r="N1046" i="4" a="1"/>
  <c r="N1046" i="4" s="1"/>
  <c r="O1046" i="4" s="1"/>
  <c r="N1045" i="4" a="1"/>
  <c r="N1045" i="4" s="1"/>
  <c r="O1045" i="4" s="1"/>
  <c r="N1044" i="4" a="1"/>
  <c r="N1044" i="4" s="1"/>
  <c r="O1044" i="4" s="1"/>
  <c r="N1043" i="4" a="1"/>
  <c r="N1043" i="4" s="1"/>
  <c r="O1043" i="4" s="1"/>
  <c r="N1042" i="4" a="1"/>
  <c r="N1042" i="4" s="1"/>
  <c r="O1042" i="4" s="1"/>
  <c r="P1042" i="4" s="1"/>
  <c r="N1041" i="4" a="1"/>
  <c r="N1041" i="4" s="1"/>
  <c r="O1041" i="4" s="1"/>
  <c r="N1040" i="4" a="1"/>
  <c r="N1040" i="4" s="1"/>
  <c r="O1040" i="4" s="1"/>
  <c r="N1039" i="4" a="1"/>
  <c r="N1039" i="4" s="1"/>
  <c r="O1039" i="4" s="1"/>
  <c r="N1038" i="4" a="1"/>
  <c r="N1038" i="4" s="1"/>
  <c r="O1038" i="4" s="1"/>
  <c r="N1037" i="4" a="1"/>
  <c r="N1037" i="4" s="1"/>
  <c r="O1037" i="4" s="1"/>
  <c r="N1036" i="4" a="1"/>
  <c r="N1036" i="4" s="1"/>
  <c r="O1036" i="4" s="1"/>
  <c r="N1035" i="4" a="1"/>
  <c r="N1035" i="4" s="1"/>
  <c r="O1035" i="4" s="1"/>
  <c r="N1034" i="4" a="1"/>
  <c r="N1034" i="4" s="1"/>
  <c r="O1034" i="4" s="1"/>
  <c r="N1033" i="4" a="1"/>
  <c r="N1033" i="4" s="1"/>
  <c r="O1033" i="4" s="1"/>
  <c r="N1032" i="4" a="1"/>
  <c r="N1032" i="4" s="1"/>
  <c r="O1032" i="4" s="1"/>
  <c r="N1031" i="4" a="1"/>
  <c r="N1031" i="4" s="1"/>
  <c r="O1031" i="4" s="1"/>
  <c r="N1030" i="4" a="1"/>
  <c r="N1030" i="4" s="1"/>
  <c r="O1030" i="4" s="1"/>
  <c r="N1029" i="4" a="1"/>
  <c r="N1029" i="4" s="1"/>
  <c r="O1029" i="4" s="1"/>
  <c r="N1028" i="4" a="1"/>
  <c r="N1028" i="4" s="1"/>
  <c r="O1028" i="4" s="1"/>
  <c r="N1027" i="4" a="1"/>
  <c r="N1027" i="4" s="1"/>
  <c r="O1027" i="4" s="1"/>
  <c r="N1026" i="4" a="1"/>
  <c r="N1026" i="4" s="1"/>
  <c r="O1026" i="4" s="1"/>
  <c r="N1025" i="4" a="1"/>
  <c r="N1025" i="4" s="1"/>
  <c r="O1025" i="4" s="1"/>
  <c r="N1024" i="4" a="1"/>
  <c r="N1024" i="4" s="1"/>
  <c r="O1024" i="4" s="1"/>
  <c r="N1023" i="4" a="1"/>
  <c r="N1023" i="4" s="1"/>
  <c r="O1023" i="4" s="1"/>
  <c r="N1022" i="4" a="1"/>
  <c r="N1022" i="4" s="1"/>
  <c r="O1022" i="4" s="1"/>
  <c r="N1021" i="4" a="1"/>
  <c r="N1021" i="4" s="1"/>
  <c r="O1021" i="4" s="1"/>
  <c r="N1020" i="4" a="1"/>
  <c r="N1020" i="4" s="1"/>
  <c r="O1020" i="4" s="1"/>
  <c r="N1019" i="4" a="1"/>
  <c r="N1019" i="4" s="1"/>
  <c r="O1019" i="4" s="1"/>
  <c r="N1018" i="4" a="1"/>
  <c r="N1018" i="4" s="1"/>
  <c r="O1018" i="4" s="1"/>
  <c r="N1017" i="4" a="1"/>
  <c r="N1017" i="4" s="1"/>
  <c r="O1017" i="4" s="1"/>
  <c r="N1016" i="4" a="1"/>
  <c r="N1016" i="4" s="1"/>
  <c r="O1016" i="4" s="1"/>
  <c r="N1015" i="4" a="1"/>
  <c r="N1015" i="4" s="1"/>
  <c r="O1015" i="4" s="1"/>
  <c r="N1014" i="4" a="1"/>
  <c r="N1014" i="4" s="1"/>
  <c r="O1014" i="4" s="1"/>
  <c r="N1013" i="4" a="1"/>
  <c r="N1013" i="4" s="1"/>
  <c r="O1013" i="4" s="1"/>
  <c r="N1012" i="4" a="1"/>
  <c r="N1012" i="4" s="1"/>
  <c r="O1012" i="4" s="1"/>
  <c r="N1011" i="4" a="1"/>
  <c r="N1011" i="4" s="1"/>
  <c r="O1011" i="4" s="1"/>
  <c r="N1010" i="4" a="1"/>
  <c r="N1010" i="4" s="1"/>
  <c r="O1010" i="4" s="1"/>
  <c r="N1009" i="4" a="1"/>
  <c r="N1009" i="4" s="1"/>
  <c r="O1009" i="4" s="1"/>
  <c r="N1008" i="4" a="1"/>
  <c r="N1008" i="4" s="1"/>
  <c r="O1008" i="4" s="1"/>
  <c r="N1007" i="4" a="1"/>
  <c r="N1007" i="4" s="1"/>
  <c r="O1007" i="4" s="1"/>
  <c r="N1006" i="4" a="1"/>
  <c r="N1006" i="4" s="1"/>
  <c r="O1006" i="4" s="1"/>
  <c r="N1005" i="4" a="1"/>
  <c r="N1005" i="4" s="1"/>
  <c r="O1005" i="4" s="1"/>
  <c r="N1004" i="4" a="1"/>
  <c r="N1004" i="4" s="1"/>
  <c r="O1004" i="4" s="1"/>
  <c r="N1003" i="4" a="1"/>
  <c r="N1003" i="4" s="1"/>
  <c r="O1003" i="4" s="1"/>
  <c r="N1002" i="4" a="1"/>
  <c r="N1002" i="4" s="1"/>
  <c r="O1002" i="4" s="1"/>
  <c r="N1001" i="4" a="1"/>
  <c r="N1001" i="4" s="1"/>
  <c r="O1001" i="4" s="1"/>
  <c r="N1000" i="4" a="1"/>
  <c r="N1000" i="4" s="1"/>
  <c r="O1000" i="4" s="1"/>
  <c r="N999" i="4" a="1"/>
  <c r="N999" i="4" s="1"/>
  <c r="O999" i="4" s="1"/>
  <c r="N998" i="4" a="1"/>
  <c r="N998" i="4" s="1"/>
  <c r="O998" i="4" s="1"/>
  <c r="N997" i="4" a="1"/>
  <c r="N997" i="4" s="1"/>
  <c r="O997" i="4" s="1"/>
  <c r="N996" i="4" a="1"/>
  <c r="N996" i="4" s="1"/>
  <c r="O996" i="4" s="1"/>
  <c r="N995" i="4" a="1"/>
  <c r="N995" i="4" s="1"/>
  <c r="O995" i="4" s="1"/>
  <c r="N994" i="4" a="1"/>
  <c r="N994" i="4" s="1"/>
  <c r="O994" i="4" s="1"/>
  <c r="N993" i="4" a="1"/>
  <c r="N993" i="4" s="1"/>
  <c r="O993" i="4" s="1"/>
  <c r="N992" i="4" a="1"/>
  <c r="N992" i="4" s="1"/>
  <c r="O992" i="4" s="1"/>
  <c r="N991" i="4" a="1"/>
  <c r="N991" i="4" s="1"/>
  <c r="O991" i="4" s="1"/>
  <c r="N990" i="4" a="1"/>
  <c r="N990" i="4" s="1"/>
  <c r="O990" i="4" s="1"/>
  <c r="N989" i="4" a="1"/>
  <c r="N989" i="4" s="1"/>
  <c r="O989" i="4" s="1"/>
  <c r="N988" i="4" a="1"/>
  <c r="N988" i="4" s="1"/>
  <c r="O988" i="4" s="1"/>
  <c r="N987" i="4" a="1"/>
  <c r="N987" i="4" s="1"/>
  <c r="O987" i="4" s="1"/>
  <c r="N986" i="4" a="1"/>
  <c r="N986" i="4" s="1"/>
  <c r="O986" i="4" s="1"/>
  <c r="N985" i="4" a="1"/>
  <c r="N985" i="4" s="1"/>
  <c r="O985" i="4" s="1"/>
  <c r="N984" i="4" a="1"/>
  <c r="N984" i="4" s="1"/>
  <c r="O984" i="4" s="1"/>
  <c r="N983" i="4" a="1"/>
  <c r="N983" i="4" s="1"/>
  <c r="O983" i="4" s="1"/>
  <c r="N982" i="4" a="1"/>
  <c r="N982" i="4" s="1"/>
  <c r="O982" i="4" s="1"/>
  <c r="N981" i="4" a="1"/>
  <c r="N981" i="4" s="1"/>
  <c r="O981" i="4" s="1"/>
  <c r="N980" i="4" a="1"/>
  <c r="N980" i="4" s="1"/>
  <c r="O980" i="4" s="1"/>
  <c r="N979" i="4" a="1"/>
  <c r="N979" i="4" s="1"/>
  <c r="O979" i="4" s="1"/>
  <c r="N978" i="4" a="1"/>
  <c r="N978" i="4" s="1"/>
  <c r="O978" i="4" s="1"/>
  <c r="N977" i="4" a="1"/>
  <c r="N977" i="4" s="1"/>
  <c r="O977" i="4" s="1"/>
  <c r="N976" i="4" a="1"/>
  <c r="N976" i="4" s="1"/>
  <c r="O976" i="4" s="1"/>
  <c r="N975" i="4" a="1"/>
  <c r="N975" i="4" s="1"/>
  <c r="O975" i="4" s="1"/>
  <c r="N974" i="4" a="1"/>
  <c r="N974" i="4" s="1"/>
  <c r="O974" i="4" s="1"/>
  <c r="P974" i="4" s="1"/>
  <c r="N973" i="4" a="1"/>
  <c r="N973" i="4" s="1"/>
  <c r="O973" i="4" s="1"/>
  <c r="N972" i="4" a="1"/>
  <c r="N972" i="4" s="1"/>
  <c r="O972" i="4" s="1"/>
  <c r="N971" i="4" a="1"/>
  <c r="N971" i="4" s="1"/>
  <c r="O971" i="4" s="1"/>
  <c r="N970" i="4" a="1"/>
  <c r="N970" i="4" s="1"/>
  <c r="O970" i="4" s="1"/>
  <c r="N969" i="4" a="1"/>
  <c r="N969" i="4" s="1"/>
  <c r="O969" i="4" s="1"/>
  <c r="N968" i="4" a="1"/>
  <c r="N968" i="4" s="1"/>
  <c r="O968" i="4" s="1"/>
  <c r="N967" i="4" a="1"/>
  <c r="N967" i="4" s="1"/>
  <c r="O967" i="4" s="1"/>
  <c r="N966" i="4" a="1"/>
  <c r="N966" i="4" s="1"/>
  <c r="O966" i="4" s="1"/>
  <c r="N965" i="4" a="1"/>
  <c r="N965" i="4" s="1"/>
  <c r="O965" i="4" s="1"/>
  <c r="N964" i="4" a="1"/>
  <c r="N964" i="4" s="1"/>
  <c r="O964" i="4" s="1"/>
  <c r="N963" i="4" a="1"/>
  <c r="N963" i="4" s="1"/>
  <c r="O963" i="4" s="1"/>
  <c r="N962" i="4" a="1"/>
  <c r="N962" i="4" s="1"/>
  <c r="O962" i="4" s="1"/>
  <c r="N961" i="4" a="1"/>
  <c r="N961" i="4" s="1"/>
  <c r="O961" i="4" s="1"/>
  <c r="N960" i="4" a="1"/>
  <c r="N960" i="4" s="1"/>
  <c r="O960" i="4" s="1"/>
  <c r="N959" i="4" a="1"/>
  <c r="N959" i="4" s="1"/>
  <c r="O959" i="4" s="1"/>
  <c r="N958" i="4" a="1"/>
  <c r="N958" i="4" s="1"/>
  <c r="O958" i="4" s="1"/>
  <c r="N957" i="4" a="1"/>
  <c r="N957" i="4" s="1"/>
  <c r="O957" i="4" s="1"/>
  <c r="N956" i="4" a="1"/>
  <c r="N956" i="4" s="1"/>
  <c r="O956" i="4" s="1"/>
  <c r="N955" i="4" a="1"/>
  <c r="N955" i="4" s="1"/>
  <c r="O955" i="4" s="1"/>
  <c r="N954" i="4" a="1"/>
  <c r="N954" i="4" s="1"/>
  <c r="O954" i="4" s="1"/>
  <c r="N953" i="4" a="1"/>
  <c r="N953" i="4" s="1"/>
  <c r="O953" i="4" s="1"/>
  <c r="N952" i="4" a="1"/>
  <c r="N952" i="4" s="1"/>
  <c r="O952" i="4" s="1"/>
  <c r="N951" i="4" a="1"/>
  <c r="N951" i="4" s="1"/>
  <c r="O951" i="4" s="1"/>
  <c r="N950" i="4" a="1"/>
  <c r="N950" i="4" s="1"/>
  <c r="O950" i="4" s="1"/>
  <c r="N949" i="4" a="1"/>
  <c r="N949" i="4" s="1"/>
  <c r="O949" i="4" s="1"/>
  <c r="N948" i="4" a="1"/>
  <c r="N948" i="4" s="1"/>
  <c r="O948" i="4" s="1"/>
  <c r="N947" i="4" a="1"/>
  <c r="N947" i="4" s="1"/>
  <c r="O947" i="4" s="1"/>
  <c r="N946" i="4" a="1"/>
  <c r="N946" i="4" s="1"/>
  <c r="O946" i="4" s="1"/>
  <c r="N945" i="4" a="1"/>
  <c r="N945" i="4" s="1"/>
  <c r="O945" i="4" s="1"/>
  <c r="N944" i="4" a="1"/>
  <c r="N944" i="4" s="1"/>
  <c r="O944" i="4" s="1"/>
  <c r="N943" i="4" a="1"/>
  <c r="N943" i="4" s="1"/>
  <c r="O943" i="4" s="1"/>
  <c r="N942" i="4" a="1"/>
  <c r="N942" i="4" s="1"/>
  <c r="O942" i="4" s="1"/>
  <c r="N941" i="4" a="1"/>
  <c r="N941" i="4" s="1"/>
  <c r="O941" i="4" s="1"/>
  <c r="N940" i="4" a="1"/>
  <c r="N940" i="4" s="1"/>
  <c r="O940" i="4" s="1"/>
  <c r="N939" i="4" a="1"/>
  <c r="N939" i="4" s="1"/>
  <c r="O939" i="4" s="1"/>
  <c r="N938" i="4" a="1"/>
  <c r="N938" i="4" s="1"/>
  <c r="O938" i="4" s="1"/>
  <c r="N937" i="4" a="1"/>
  <c r="N937" i="4" s="1"/>
  <c r="O937" i="4" s="1"/>
  <c r="N936" i="4" a="1"/>
  <c r="N936" i="4" s="1"/>
  <c r="O936" i="4" s="1"/>
  <c r="N935" i="4" a="1"/>
  <c r="N935" i="4" s="1"/>
  <c r="O935" i="4" s="1"/>
  <c r="N934" i="4" a="1"/>
  <c r="N934" i="4" s="1"/>
  <c r="O934" i="4" s="1"/>
  <c r="N933" i="4" a="1"/>
  <c r="N933" i="4" s="1"/>
  <c r="O933" i="4" s="1"/>
  <c r="N932" i="4" a="1"/>
  <c r="N932" i="4" s="1"/>
  <c r="O932" i="4" s="1"/>
  <c r="N931" i="4" a="1"/>
  <c r="N931" i="4" s="1"/>
  <c r="O931" i="4" s="1"/>
  <c r="N930" i="4" a="1"/>
  <c r="N930" i="4" s="1"/>
  <c r="O930" i="4" s="1"/>
  <c r="N929" i="4" a="1"/>
  <c r="N929" i="4" s="1"/>
  <c r="O929" i="4" s="1"/>
  <c r="N928" i="4" a="1"/>
  <c r="N928" i="4" s="1"/>
  <c r="O928" i="4" s="1"/>
  <c r="N927" i="4" a="1"/>
  <c r="N927" i="4" s="1"/>
  <c r="O927" i="4" s="1"/>
  <c r="N926" i="4" a="1"/>
  <c r="N926" i="4" s="1"/>
  <c r="O926" i="4" s="1"/>
  <c r="N925" i="4" a="1"/>
  <c r="N925" i="4" s="1"/>
  <c r="O925" i="4" s="1"/>
  <c r="N924" i="4" a="1"/>
  <c r="N924" i="4" s="1"/>
  <c r="O924" i="4" s="1"/>
  <c r="N923" i="4" a="1"/>
  <c r="N923" i="4" s="1"/>
  <c r="O923" i="4" s="1"/>
  <c r="N922" i="4" a="1"/>
  <c r="N922" i="4" s="1"/>
  <c r="O922" i="4" s="1"/>
  <c r="N921" i="4" a="1"/>
  <c r="N921" i="4" s="1"/>
  <c r="O921" i="4" s="1"/>
  <c r="N920" i="4" a="1"/>
  <c r="N920" i="4" s="1"/>
  <c r="O920" i="4" s="1"/>
  <c r="N919" i="4" a="1"/>
  <c r="N919" i="4" s="1"/>
  <c r="O919" i="4" s="1"/>
  <c r="N918" i="4" a="1"/>
  <c r="N918" i="4" s="1"/>
  <c r="O918" i="4" s="1"/>
  <c r="N917" i="4" a="1"/>
  <c r="N917" i="4" s="1"/>
  <c r="O917" i="4" s="1"/>
  <c r="N916" i="4" a="1"/>
  <c r="N916" i="4" s="1"/>
  <c r="O916" i="4" s="1"/>
  <c r="N915" i="4" a="1"/>
  <c r="N915" i="4" s="1"/>
  <c r="O915" i="4" s="1"/>
  <c r="N914" i="4" a="1"/>
  <c r="N914" i="4" s="1"/>
  <c r="O914" i="4" s="1"/>
  <c r="N913" i="4" a="1"/>
  <c r="N913" i="4" s="1"/>
  <c r="O913" i="4" s="1"/>
  <c r="N912" i="4" a="1"/>
  <c r="N912" i="4" s="1"/>
  <c r="O912" i="4" s="1"/>
  <c r="N911" i="4" a="1"/>
  <c r="N911" i="4" s="1"/>
  <c r="O911" i="4" s="1"/>
  <c r="N910" i="4" a="1"/>
  <c r="N910" i="4" s="1"/>
  <c r="O910" i="4" s="1"/>
  <c r="N909" i="4" a="1"/>
  <c r="N909" i="4" s="1"/>
  <c r="O909" i="4" s="1"/>
  <c r="N908" i="4" a="1"/>
  <c r="N908" i="4" s="1"/>
  <c r="O908" i="4" s="1"/>
  <c r="N907" i="4" a="1"/>
  <c r="N907" i="4" s="1"/>
  <c r="O907" i="4" s="1"/>
  <c r="N906" i="4" a="1"/>
  <c r="N906" i="4" s="1"/>
  <c r="O906" i="4" s="1"/>
  <c r="N905" i="4" a="1"/>
  <c r="N905" i="4" s="1"/>
  <c r="O905" i="4" s="1"/>
  <c r="N904" i="4" a="1"/>
  <c r="N904" i="4" s="1"/>
  <c r="O904" i="4" s="1"/>
  <c r="N903" i="4" a="1"/>
  <c r="N903" i="4" s="1"/>
  <c r="O903" i="4" s="1"/>
  <c r="N902" i="4" a="1"/>
  <c r="N902" i="4" s="1"/>
  <c r="O902" i="4" s="1"/>
  <c r="N901" i="4" a="1"/>
  <c r="N901" i="4" s="1"/>
  <c r="O901" i="4" s="1"/>
  <c r="N900" i="4" a="1"/>
  <c r="N900" i="4" s="1"/>
  <c r="O900" i="4" s="1"/>
  <c r="N899" i="4" a="1"/>
  <c r="N899" i="4" s="1"/>
  <c r="O899" i="4" s="1"/>
  <c r="N898" i="4" a="1"/>
  <c r="N898" i="4" s="1"/>
  <c r="O898" i="4" s="1"/>
  <c r="N897" i="4" a="1"/>
  <c r="N897" i="4" s="1"/>
  <c r="O897" i="4" s="1"/>
  <c r="N896" i="4" a="1"/>
  <c r="N896" i="4" s="1"/>
  <c r="O896" i="4" s="1"/>
  <c r="N895" i="4" a="1"/>
  <c r="N895" i="4" s="1"/>
  <c r="O895" i="4" s="1"/>
  <c r="N894" i="4" a="1"/>
  <c r="N894" i="4" s="1"/>
  <c r="O894" i="4" s="1"/>
  <c r="N893" i="4" a="1"/>
  <c r="N893" i="4" s="1"/>
  <c r="O893" i="4" s="1"/>
  <c r="N892" i="4" a="1"/>
  <c r="N892" i="4" s="1"/>
  <c r="O892" i="4" s="1"/>
  <c r="N891" i="4" a="1"/>
  <c r="N891" i="4" s="1"/>
  <c r="O891" i="4" s="1"/>
  <c r="N890" i="4" a="1"/>
  <c r="N890" i="4" s="1"/>
  <c r="O890" i="4" s="1"/>
  <c r="P890" i="4" s="1"/>
  <c r="N889" i="4" a="1"/>
  <c r="N889" i="4" s="1"/>
  <c r="O889" i="4" s="1"/>
  <c r="N888" i="4" a="1"/>
  <c r="N888" i="4" s="1"/>
  <c r="O888" i="4" s="1"/>
  <c r="N887" i="4" a="1"/>
  <c r="N887" i="4" s="1"/>
  <c r="O887" i="4" s="1"/>
  <c r="N886" i="4" a="1"/>
  <c r="N886" i="4" s="1"/>
  <c r="O886" i="4" s="1"/>
  <c r="N885" i="4" a="1"/>
  <c r="N885" i="4" s="1"/>
  <c r="O885" i="4" s="1"/>
  <c r="N884" i="4" a="1"/>
  <c r="N884" i="4" s="1"/>
  <c r="O884" i="4" s="1"/>
  <c r="N883" i="4" a="1"/>
  <c r="N883" i="4" s="1"/>
  <c r="O883" i="4" s="1"/>
  <c r="N882" i="4" a="1"/>
  <c r="N882" i="4" s="1"/>
  <c r="O882" i="4" s="1"/>
  <c r="N881" i="4" a="1"/>
  <c r="N881" i="4" s="1"/>
  <c r="O881" i="4" s="1"/>
  <c r="N880" i="4" a="1"/>
  <c r="N880" i="4" s="1"/>
  <c r="O880" i="4" s="1"/>
  <c r="N879" i="4" a="1"/>
  <c r="N879" i="4" s="1"/>
  <c r="O879" i="4" s="1"/>
  <c r="N878" i="4" a="1"/>
  <c r="N878" i="4" s="1"/>
  <c r="O878" i="4" s="1"/>
  <c r="N877" i="4" a="1"/>
  <c r="N877" i="4" s="1"/>
  <c r="O877" i="4" s="1"/>
  <c r="N876" i="4" a="1"/>
  <c r="N876" i="4" s="1"/>
  <c r="O876" i="4" s="1"/>
  <c r="N875" i="4" a="1"/>
  <c r="N875" i="4" s="1"/>
  <c r="O875" i="4" s="1"/>
  <c r="N874" i="4" a="1"/>
  <c r="N874" i="4" s="1"/>
  <c r="O874" i="4" s="1"/>
  <c r="N873" i="4" a="1"/>
  <c r="N873" i="4" s="1"/>
  <c r="O873" i="4" s="1"/>
  <c r="N872" i="4" a="1"/>
  <c r="N872" i="4" s="1"/>
  <c r="O872" i="4" s="1"/>
  <c r="N871" i="4" a="1"/>
  <c r="N871" i="4" s="1"/>
  <c r="O871" i="4" s="1"/>
  <c r="N870" i="4" a="1"/>
  <c r="N870" i="4" s="1"/>
  <c r="O870" i="4" s="1"/>
  <c r="N869" i="4" a="1"/>
  <c r="N869" i="4" s="1"/>
  <c r="O869" i="4" s="1"/>
  <c r="N868" i="4" a="1"/>
  <c r="N868" i="4" s="1"/>
  <c r="O868" i="4" s="1"/>
  <c r="N867" i="4" a="1"/>
  <c r="N867" i="4" s="1"/>
  <c r="O867" i="4" s="1"/>
  <c r="N866" i="4" a="1"/>
  <c r="N866" i="4" s="1"/>
  <c r="O866" i="4" s="1"/>
  <c r="N865" i="4" a="1"/>
  <c r="N865" i="4" s="1"/>
  <c r="O865" i="4" s="1"/>
  <c r="N864" i="4" a="1"/>
  <c r="N864" i="4" s="1"/>
  <c r="O864" i="4" s="1"/>
  <c r="N863" i="4" a="1"/>
  <c r="N863" i="4" s="1"/>
  <c r="O863" i="4" s="1"/>
  <c r="N862" i="4" a="1"/>
  <c r="N862" i="4" s="1"/>
  <c r="O862" i="4" s="1"/>
  <c r="N861" i="4" a="1"/>
  <c r="N861" i="4" s="1"/>
  <c r="O861" i="4" s="1"/>
  <c r="N860" i="4" a="1"/>
  <c r="N860" i="4" s="1"/>
  <c r="O860" i="4" s="1"/>
  <c r="N859" i="4" a="1"/>
  <c r="N859" i="4" s="1"/>
  <c r="O859" i="4" s="1"/>
  <c r="N858" i="4" a="1"/>
  <c r="N858" i="4" s="1"/>
  <c r="O858" i="4" s="1"/>
  <c r="N857" i="4" a="1"/>
  <c r="N857" i="4" s="1"/>
  <c r="O857" i="4" s="1"/>
  <c r="N856" i="4" a="1"/>
  <c r="N856" i="4" s="1"/>
  <c r="O856" i="4" s="1"/>
  <c r="N855" i="4" a="1"/>
  <c r="N855" i="4" s="1"/>
  <c r="O855" i="4" s="1"/>
  <c r="N854" i="4" a="1"/>
  <c r="N854" i="4" s="1"/>
  <c r="O854" i="4" s="1"/>
  <c r="N853" i="4" a="1"/>
  <c r="N853" i="4" s="1"/>
  <c r="O853" i="4" s="1"/>
  <c r="N852" i="4" a="1"/>
  <c r="N852" i="4" s="1"/>
  <c r="O852" i="4" s="1"/>
  <c r="N851" i="4" a="1"/>
  <c r="N851" i="4" s="1"/>
  <c r="O851" i="4" s="1"/>
  <c r="N850" i="4" a="1"/>
  <c r="N850" i="4" s="1"/>
  <c r="O850" i="4" s="1"/>
  <c r="N849" i="4" a="1"/>
  <c r="N849" i="4" s="1"/>
  <c r="O849" i="4" s="1"/>
  <c r="N848" i="4" a="1"/>
  <c r="N848" i="4" s="1"/>
  <c r="O848" i="4" s="1"/>
  <c r="N847" i="4" a="1"/>
  <c r="N847" i="4" s="1"/>
  <c r="O847" i="4" s="1"/>
  <c r="N846" i="4" a="1"/>
  <c r="N846" i="4" s="1"/>
  <c r="O846" i="4" s="1"/>
  <c r="N845" i="4" a="1"/>
  <c r="N845" i="4" s="1"/>
  <c r="O845" i="4" s="1"/>
  <c r="N844" i="4" a="1"/>
  <c r="N844" i="4" s="1"/>
  <c r="O844" i="4" s="1"/>
  <c r="N843" i="4" a="1"/>
  <c r="N843" i="4" s="1"/>
  <c r="O843" i="4" s="1"/>
  <c r="N842" i="4" a="1"/>
  <c r="N842" i="4" s="1"/>
  <c r="O842" i="4" s="1"/>
  <c r="N841" i="4" a="1"/>
  <c r="N841" i="4" s="1"/>
  <c r="O841" i="4" s="1"/>
  <c r="N840" i="4" a="1"/>
  <c r="N840" i="4" s="1"/>
  <c r="O840" i="4" s="1"/>
  <c r="N839" i="4" a="1"/>
  <c r="N839" i="4" s="1"/>
  <c r="O839" i="4" s="1"/>
  <c r="N838" i="4" a="1"/>
  <c r="N838" i="4" s="1"/>
  <c r="O838" i="4" s="1"/>
  <c r="N837" i="4" a="1"/>
  <c r="N837" i="4" s="1"/>
  <c r="O837" i="4" s="1"/>
  <c r="N836" i="4" a="1"/>
  <c r="N836" i="4" s="1"/>
  <c r="O836" i="4" s="1"/>
  <c r="N835" i="4" a="1"/>
  <c r="N835" i="4" s="1"/>
  <c r="O835" i="4" s="1"/>
  <c r="N834" i="4" a="1"/>
  <c r="N834" i="4" s="1"/>
  <c r="O834" i="4" s="1"/>
  <c r="N833" i="4" a="1"/>
  <c r="N833" i="4" s="1"/>
  <c r="O833" i="4" s="1"/>
  <c r="N832" i="4" a="1"/>
  <c r="N832" i="4" s="1"/>
  <c r="O832" i="4" s="1"/>
  <c r="N831" i="4" a="1"/>
  <c r="N831" i="4" s="1"/>
  <c r="O831" i="4" s="1"/>
  <c r="N830" i="4" a="1"/>
  <c r="N830" i="4" s="1"/>
  <c r="O830" i="4" s="1"/>
  <c r="P830" i="4" s="1"/>
  <c r="N829" i="4" a="1"/>
  <c r="N829" i="4" s="1"/>
  <c r="O829" i="4" s="1"/>
  <c r="N828" i="4" a="1"/>
  <c r="N828" i="4" s="1"/>
  <c r="O828" i="4" s="1"/>
  <c r="N827" i="4" a="1"/>
  <c r="N827" i="4" s="1"/>
  <c r="O827" i="4" s="1"/>
  <c r="N826" i="4" a="1"/>
  <c r="N826" i="4" s="1"/>
  <c r="O826" i="4" s="1"/>
  <c r="N825" i="4" a="1"/>
  <c r="N825" i="4" s="1"/>
  <c r="O825" i="4" s="1"/>
  <c r="P825" i="4" s="1"/>
  <c r="N824" i="4" a="1"/>
  <c r="N824" i="4" s="1"/>
  <c r="O824" i="4" s="1"/>
  <c r="P824" i="4" s="1"/>
  <c r="N823" i="4" a="1"/>
  <c r="N823" i="4" s="1"/>
  <c r="O823" i="4" s="1"/>
  <c r="N822" i="4" a="1"/>
  <c r="N822" i="4" s="1"/>
  <c r="O822" i="4" s="1"/>
  <c r="N821" i="4" a="1"/>
  <c r="N821" i="4" s="1"/>
  <c r="O821" i="4" s="1"/>
  <c r="N820" i="4" a="1"/>
  <c r="N820" i="4" s="1"/>
  <c r="O820" i="4" s="1"/>
  <c r="N819" i="4" a="1"/>
  <c r="N819" i="4" s="1"/>
  <c r="O819" i="4" s="1"/>
  <c r="N818" i="4" a="1"/>
  <c r="N818" i="4" s="1"/>
  <c r="O818" i="4" s="1"/>
  <c r="N817" i="4" a="1"/>
  <c r="N817" i="4" s="1"/>
  <c r="O817" i="4" s="1"/>
  <c r="N816" i="4" a="1"/>
  <c r="N816" i="4" s="1"/>
  <c r="O816" i="4" s="1"/>
  <c r="N815" i="4" a="1"/>
  <c r="N815" i="4" s="1"/>
  <c r="O815" i="4" s="1"/>
  <c r="N814" i="4" a="1"/>
  <c r="N814" i="4" s="1"/>
  <c r="O814" i="4" s="1"/>
  <c r="N813" i="4" a="1"/>
  <c r="N813" i="4" s="1"/>
  <c r="O813" i="4" s="1"/>
  <c r="N812" i="4" a="1"/>
  <c r="N812" i="4" s="1"/>
  <c r="O812" i="4" s="1"/>
  <c r="N811" i="4" a="1"/>
  <c r="N811" i="4" s="1"/>
  <c r="O811" i="4" s="1"/>
  <c r="N810" i="4" a="1"/>
  <c r="N810" i="4" s="1"/>
  <c r="O810" i="4" s="1"/>
  <c r="N809" i="4" a="1"/>
  <c r="N809" i="4" s="1"/>
  <c r="O809" i="4" s="1"/>
  <c r="N808" i="4" a="1"/>
  <c r="N808" i="4" s="1"/>
  <c r="O808" i="4" s="1"/>
  <c r="N807" i="4" a="1"/>
  <c r="N807" i="4" s="1"/>
  <c r="O807" i="4" s="1"/>
  <c r="N806" i="4" a="1"/>
  <c r="N806" i="4" s="1"/>
  <c r="O806" i="4" s="1"/>
  <c r="N805" i="4" a="1"/>
  <c r="N805" i="4" s="1"/>
  <c r="O805" i="4" s="1"/>
  <c r="N804" i="4" a="1"/>
  <c r="N804" i="4" s="1"/>
  <c r="O804" i="4" s="1"/>
  <c r="N803" i="4" a="1"/>
  <c r="N803" i="4" s="1"/>
  <c r="O803" i="4" s="1"/>
  <c r="N802" i="4" a="1"/>
  <c r="N802" i="4" s="1"/>
  <c r="O802" i="4" s="1"/>
  <c r="N801" i="4" a="1"/>
  <c r="N801" i="4" s="1"/>
  <c r="O801" i="4" s="1"/>
  <c r="N800" i="4" a="1"/>
  <c r="N800" i="4" s="1"/>
  <c r="O800" i="4" s="1"/>
  <c r="N799" i="4" a="1"/>
  <c r="N799" i="4" s="1"/>
  <c r="O799" i="4" s="1"/>
  <c r="N798" i="4" a="1"/>
  <c r="N798" i="4" s="1"/>
  <c r="O798" i="4" s="1"/>
  <c r="N797" i="4" a="1"/>
  <c r="N797" i="4" s="1"/>
  <c r="O797" i="4" s="1"/>
  <c r="N796" i="4" a="1"/>
  <c r="N796" i="4" s="1"/>
  <c r="O796" i="4" s="1"/>
  <c r="N795" i="4" a="1"/>
  <c r="N795" i="4" s="1"/>
  <c r="O795" i="4" s="1"/>
  <c r="N794" i="4" a="1"/>
  <c r="N794" i="4" s="1"/>
  <c r="O794" i="4" s="1"/>
  <c r="N793" i="4" a="1"/>
  <c r="N793" i="4" s="1"/>
  <c r="O793" i="4" s="1"/>
  <c r="N792" i="4" a="1"/>
  <c r="N792" i="4" s="1"/>
  <c r="O792" i="4" s="1"/>
  <c r="N791" i="4" a="1"/>
  <c r="N791" i="4" s="1"/>
  <c r="O791" i="4" s="1"/>
  <c r="N790" i="4" a="1"/>
  <c r="N790" i="4" s="1"/>
  <c r="O790" i="4" s="1"/>
  <c r="N789" i="4" a="1"/>
  <c r="N789" i="4" s="1"/>
  <c r="O789" i="4" s="1"/>
  <c r="N788" i="4" a="1"/>
  <c r="N788" i="4" s="1"/>
  <c r="O788" i="4" s="1"/>
  <c r="N787" i="4" a="1"/>
  <c r="N787" i="4" s="1"/>
  <c r="O787" i="4" s="1"/>
  <c r="N786" i="4" a="1"/>
  <c r="N786" i="4" s="1"/>
  <c r="O786" i="4" s="1"/>
  <c r="N785" i="4" a="1"/>
  <c r="N785" i="4" s="1"/>
  <c r="O785" i="4" s="1"/>
  <c r="N784" i="4" a="1"/>
  <c r="N784" i="4" s="1"/>
  <c r="O784" i="4" s="1"/>
  <c r="N783" i="4" a="1"/>
  <c r="N783" i="4" s="1"/>
  <c r="O783" i="4" s="1"/>
  <c r="N782" i="4" a="1"/>
  <c r="N782" i="4" s="1"/>
  <c r="O782" i="4" s="1"/>
  <c r="N781" i="4" a="1"/>
  <c r="N781" i="4" s="1"/>
  <c r="O781" i="4" s="1"/>
  <c r="N780" i="4" a="1"/>
  <c r="N780" i="4" s="1"/>
  <c r="O780" i="4" s="1"/>
  <c r="N779" i="4" a="1"/>
  <c r="N779" i="4" s="1"/>
  <c r="O779" i="4" s="1"/>
  <c r="N778" i="4" a="1"/>
  <c r="N778" i="4" s="1"/>
  <c r="O778" i="4" s="1"/>
  <c r="N777" i="4" a="1"/>
  <c r="N777" i="4" s="1"/>
  <c r="O777" i="4" s="1"/>
  <c r="N776" i="4" a="1"/>
  <c r="N776" i="4" s="1"/>
  <c r="O776" i="4" s="1"/>
  <c r="N775" i="4" a="1"/>
  <c r="N775" i="4" s="1"/>
  <c r="O775" i="4" s="1"/>
  <c r="N774" i="4" a="1"/>
  <c r="N774" i="4" s="1"/>
  <c r="O774" i="4" s="1"/>
  <c r="N773" i="4" a="1"/>
  <c r="N773" i="4" s="1"/>
  <c r="O773" i="4" s="1"/>
  <c r="N772" i="4" a="1"/>
  <c r="N772" i="4" s="1"/>
  <c r="O772" i="4" s="1"/>
  <c r="N771" i="4" a="1"/>
  <c r="N771" i="4" s="1"/>
  <c r="O771" i="4" s="1"/>
  <c r="N770" i="4" a="1"/>
  <c r="N770" i="4" s="1"/>
  <c r="O770" i="4" s="1"/>
  <c r="N769" i="4" a="1"/>
  <c r="N769" i="4" s="1"/>
  <c r="O769" i="4" s="1"/>
  <c r="N768" i="4" a="1"/>
  <c r="N768" i="4" s="1"/>
  <c r="O768" i="4" s="1"/>
  <c r="N767" i="4" a="1"/>
  <c r="N767" i="4" s="1"/>
  <c r="O767" i="4" s="1"/>
  <c r="N766" i="4" a="1"/>
  <c r="N766" i="4" s="1"/>
  <c r="O766" i="4" s="1"/>
  <c r="N765" i="4" a="1"/>
  <c r="N765" i="4" s="1"/>
  <c r="O765" i="4" s="1"/>
  <c r="N764" i="4" a="1"/>
  <c r="N764" i="4" s="1"/>
  <c r="O764" i="4" s="1"/>
  <c r="N763" i="4" a="1"/>
  <c r="N763" i="4" s="1"/>
  <c r="O763" i="4" s="1"/>
  <c r="N762" i="4" a="1"/>
  <c r="N762" i="4" s="1"/>
  <c r="O762" i="4" s="1"/>
  <c r="N761" i="4" a="1"/>
  <c r="N761" i="4" s="1"/>
  <c r="O761" i="4" s="1"/>
  <c r="N760" i="4" a="1"/>
  <c r="N760" i="4" s="1"/>
  <c r="O760" i="4" s="1"/>
  <c r="N759" i="4" a="1"/>
  <c r="N759" i="4" s="1"/>
  <c r="O759" i="4" s="1"/>
  <c r="N758" i="4" a="1"/>
  <c r="N758" i="4" s="1"/>
  <c r="O758" i="4" s="1"/>
  <c r="N757" i="4" a="1"/>
  <c r="N757" i="4" s="1"/>
  <c r="O757" i="4" s="1"/>
  <c r="N756" i="4" a="1"/>
  <c r="N756" i="4" s="1"/>
  <c r="O756" i="4" s="1"/>
  <c r="N755" i="4" a="1"/>
  <c r="N755" i="4" s="1"/>
  <c r="O755" i="4" s="1"/>
  <c r="N754" i="4" a="1"/>
  <c r="N754" i="4" s="1"/>
  <c r="O754" i="4" s="1"/>
  <c r="N753" i="4" a="1"/>
  <c r="N753" i="4" s="1"/>
  <c r="O753" i="4" s="1"/>
  <c r="N752" i="4" a="1"/>
  <c r="N752" i="4" s="1"/>
  <c r="O752" i="4" s="1"/>
  <c r="N751" i="4" a="1"/>
  <c r="N751" i="4" s="1"/>
  <c r="O751" i="4" s="1"/>
  <c r="N750" i="4" a="1"/>
  <c r="N750" i="4" s="1"/>
  <c r="O750" i="4" s="1"/>
  <c r="N749" i="4" a="1"/>
  <c r="N749" i="4" s="1"/>
  <c r="O749" i="4" s="1"/>
  <c r="N748" i="4" a="1"/>
  <c r="N748" i="4" s="1"/>
  <c r="O748" i="4" s="1"/>
  <c r="N747" i="4" a="1"/>
  <c r="N747" i="4" s="1"/>
  <c r="O747" i="4" s="1"/>
  <c r="N746" i="4" a="1"/>
  <c r="N746" i="4" s="1"/>
  <c r="O746" i="4" s="1"/>
  <c r="N745" i="4" a="1"/>
  <c r="N745" i="4" s="1"/>
  <c r="O745" i="4" s="1"/>
  <c r="N744" i="4" a="1"/>
  <c r="N744" i="4" s="1"/>
  <c r="O744" i="4" s="1"/>
  <c r="N743" i="4" a="1"/>
  <c r="N743" i="4" s="1"/>
  <c r="O743" i="4" s="1"/>
  <c r="N742" i="4" a="1"/>
  <c r="N742" i="4" s="1"/>
  <c r="O742" i="4" s="1"/>
  <c r="N741" i="4" a="1"/>
  <c r="N741" i="4" s="1"/>
  <c r="O741" i="4" s="1"/>
  <c r="N740" i="4" a="1"/>
  <c r="N740" i="4" s="1"/>
  <c r="O740" i="4" s="1"/>
  <c r="N739" i="4" a="1"/>
  <c r="N739" i="4" s="1"/>
  <c r="O739" i="4" s="1"/>
  <c r="N738" i="4" a="1"/>
  <c r="N738" i="4" s="1"/>
  <c r="O738" i="4" s="1"/>
  <c r="N737" i="4" a="1"/>
  <c r="N737" i="4" s="1"/>
  <c r="O737" i="4" s="1"/>
  <c r="N736" i="4" a="1"/>
  <c r="N736" i="4" s="1"/>
  <c r="O736" i="4" s="1"/>
  <c r="N735" i="4" a="1"/>
  <c r="N735" i="4" s="1"/>
  <c r="O735" i="4" s="1"/>
  <c r="N734" i="4" a="1"/>
  <c r="N734" i="4" s="1"/>
  <c r="O734" i="4" s="1"/>
  <c r="N733" i="4" a="1"/>
  <c r="N733" i="4" s="1"/>
  <c r="O733" i="4" s="1"/>
  <c r="N732" i="4" a="1"/>
  <c r="N732" i="4" s="1"/>
  <c r="O732" i="4" s="1"/>
  <c r="N731" i="4" a="1"/>
  <c r="N731" i="4" s="1"/>
  <c r="O731" i="4" s="1"/>
  <c r="N730" i="4" a="1"/>
  <c r="N730" i="4" s="1"/>
  <c r="O730" i="4" s="1"/>
  <c r="N729" i="4" a="1"/>
  <c r="N729" i="4" s="1"/>
  <c r="O729" i="4" s="1"/>
  <c r="N728" i="4" a="1"/>
  <c r="N728" i="4" s="1"/>
  <c r="O728" i="4" s="1"/>
  <c r="N727" i="4" a="1"/>
  <c r="N727" i="4" s="1"/>
  <c r="O727" i="4" s="1"/>
  <c r="N726" i="4" a="1"/>
  <c r="N726" i="4" s="1"/>
  <c r="O726" i="4" s="1"/>
  <c r="N725" i="4" a="1"/>
  <c r="N725" i="4" s="1"/>
  <c r="O725" i="4" s="1"/>
  <c r="N724" i="4" a="1"/>
  <c r="N724" i="4" s="1"/>
  <c r="O724" i="4" s="1"/>
  <c r="N723" i="4" a="1"/>
  <c r="N723" i="4" s="1"/>
  <c r="O723" i="4" s="1"/>
  <c r="N722" i="4" a="1"/>
  <c r="N722" i="4" s="1"/>
  <c r="O722" i="4" s="1"/>
  <c r="N721" i="4" a="1"/>
  <c r="N721" i="4" s="1"/>
  <c r="O721" i="4" s="1"/>
  <c r="N720" i="4" a="1"/>
  <c r="N720" i="4" s="1"/>
  <c r="O720" i="4" s="1"/>
  <c r="N719" i="4" a="1"/>
  <c r="N719" i="4" s="1"/>
  <c r="O719" i="4" s="1"/>
  <c r="N718" i="4" a="1"/>
  <c r="N718" i="4" s="1"/>
  <c r="O718" i="4" s="1"/>
  <c r="N717" i="4" a="1"/>
  <c r="N717" i="4" s="1"/>
  <c r="O717" i="4" s="1"/>
  <c r="N716" i="4" a="1"/>
  <c r="N716" i="4" s="1"/>
  <c r="O716" i="4" s="1"/>
  <c r="N715" i="4" a="1"/>
  <c r="N715" i="4" s="1"/>
  <c r="O715" i="4" s="1"/>
  <c r="N714" i="4" a="1"/>
  <c r="N714" i="4" s="1"/>
  <c r="O714" i="4" s="1"/>
  <c r="N713" i="4" a="1"/>
  <c r="N713" i="4" s="1"/>
  <c r="O713" i="4" s="1"/>
  <c r="N712" i="4" a="1"/>
  <c r="N712" i="4" s="1"/>
  <c r="O712" i="4" s="1"/>
  <c r="N711" i="4" a="1"/>
  <c r="N711" i="4" s="1"/>
  <c r="O711" i="4" s="1"/>
  <c r="N710" i="4" a="1"/>
  <c r="N710" i="4" s="1"/>
  <c r="O710" i="4" s="1"/>
  <c r="N709" i="4" a="1"/>
  <c r="N709" i="4" s="1"/>
  <c r="O709" i="4" s="1"/>
  <c r="N708" i="4" a="1"/>
  <c r="N708" i="4" s="1"/>
  <c r="O708" i="4" s="1"/>
  <c r="N707" i="4" a="1"/>
  <c r="N707" i="4" s="1"/>
  <c r="O707" i="4" s="1"/>
  <c r="N706" i="4" a="1"/>
  <c r="N706" i="4" s="1"/>
  <c r="O706" i="4" s="1"/>
  <c r="N705" i="4" a="1"/>
  <c r="N705" i="4" s="1"/>
  <c r="O705" i="4" s="1"/>
  <c r="N704" i="4" a="1"/>
  <c r="N704" i="4" s="1"/>
  <c r="O704" i="4" s="1"/>
  <c r="N703" i="4" a="1"/>
  <c r="N703" i="4" s="1"/>
  <c r="O703" i="4" s="1"/>
  <c r="N702" i="4" a="1"/>
  <c r="N702" i="4" s="1"/>
  <c r="O702" i="4" s="1"/>
  <c r="N701" i="4" a="1"/>
  <c r="N701" i="4" s="1"/>
  <c r="O701" i="4" s="1"/>
  <c r="N700" i="4" a="1"/>
  <c r="N700" i="4" s="1"/>
  <c r="O700" i="4" s="1"/>
  <c r="N699" i="4" a="1"/>
  <c r="N699" i="4" s="1"/>
  <c r="O699" i="4" s="1"/>
  <c r="N698" i="4" a="1"/>
  <c r="N698" i="4" s="1"/>
  <c r="O698" i="4" s="1"/>
  <c r="N697" i="4" a="1"/>
  <c r="N697" i="4" s="1"/>
  <c r="O697" i="4" s="1"/>
  <c r="N696" i="4" a="1"/>
  <c r="N696" i="4" s="1"/>
  <c r="O696" i="4" s="1"/>
  <c r="N695" i="4" a="1"/>
  <c r="N695" i="4" s="1"/>
  <c r="O695" i="4" s="1"/>
  <c r="N694" i="4" a="1"/>
  <c r="N694" i="4" s="1"/>
  <c r="O694" i="4" s="1"/>
  <c r="N693" i="4" a="1"/>
  <c r="N693" i="4" s="1"/>
  <c r="O693" i="4" s="1"/>
  <c r="N692" i="4" a="1"/>
  <c r="N692" i="4" s="1"/>
  <c r="O692" i="4" s="1"/>
  <c r="N691" i="4" a="1"/>
  <c r="N691" i="4" s="1"/>
  <c r="O691" i="4" s="1"/>
  <c r="N690" i="4" a="1"/>
  <c r="N690" i="4" s="1"/>
  <c r="O690" i="4" s="1"/>
  <c r="N689" i="4" a="1"/>
  <c r="N689" i="4" s="1"/>
  <c r="O689" i="4" s="1"/>
  <c r="N688" i="4" a="1"/>
  <c r="N688" i="4" s="1"/>
  <c r="O688" i="4" s="1"/>
  <c r="N687" i="4" a="1"/>
  <c r="N687" i="4" s="1"/>
  <c r="O687" i="4" s="1"/>
  <c r="N686" i="4" a="1"/>
  <c r="N686" i="4" s="1"/>
  <c r="O686" i="4" s="1"/>
  <c r="N685" i="4" a="1"/>
  <c r="N685" i="4" s="1"/>
  <c r="O685" i="4" s="1"/>
  <c r="N684" i="4" a="1"/>
  <c r="N684" i="4" s="1"/>
  <c r="O684" i="4" s="1"/>
  <c r="N683" i="4" a="1"/>
  <c r="N683" i="4" s="1"/>
  <c r="O683" i="4" s="1"/>
  <c r="N682" i="4" a="1"/>
  <c r="N682" i="4" s="1"/>
  <c r="O682" i="4" s="1"/>
  <c r="N681" i="4" a="1"/>
  <c r="N681" i="4" s="1"/>
  <c r="O681" i="4" s="1"/>
  <c r="N680" i="4" a="1"/>
  <c r="N680" i="4" s="1"/>
  <c r="O680" i="4" s="1"/>
  <c r="N679" i="4" a="1"/>
  <c r="N679" i="4" s="1"/>
  <c r="O679" i="4" s="1"/>
  <c r="N678" i="4" a="1"/>
  <c r="N678" i="4" s="1"/>
  <c r="O678" i="4" s="1"/>
  <c r="N677" i="4" a="1"/>
  <c r="N677" i="4" s="1"/>
  <c r="O677" i="4" s="1"/>
  <c r="N676" i="4" a="1"/>
  <c r="N676" i="4" s="1"/>
  <c r="O676" i="4" s="1"/>
  <c r="N675" i="4" a="1"/>
  <c r="N675" i="4" s="1"/>
  <c r="O675" i="4" s="1"/>
  <c r="N674" i="4" a="1"/>
  <c r="N674" i="4" s="1"/>
  <c r="O674" i="4" s="1"/>
  <c r="N673" i="4" a="1"/>
  <c r="N673" i="4" s="1"/>
  <c r="O673" i="4" s="1"/>
  <c r="N672" i="4" a="1"/>
  <c r="N672" i="4" s="1"/>
  <c r="O672" i="4" s="1"/>
  <c r="N671" i="4" a="1"/>
  <c r="N671" i="4" s="1"/>
  <c r="O671" i="4" s="1"/>
  <c r="N670" i="4" a="1"/>
  <c r="N670" i="4" s="1"/>
  <c r="O670" i="4" s="1"/>
  <c r="N669" i="4" a="1"/>
  <c r="N669" i="4" s="1"/>
  <c r="O669" i="4" s="1"/>
  <c r="N668" i="4" a="1"/>
  <c r="N668" i="4" s="1"/>
  <c r="O668" i="4" s="1"/>
  <c r="N667" i="4" a="1"/>
  <c r="N667" i="4" s="1"/>
  <c r="O667" i="4" s="1"/>
  <c r="N666" i="4" a="1"/>
  <c r="N666" i="4" s="1"/>
  <c r="O666" i="4" s="1"/>
  <c r="N665" i="4" a="1"/>
  <c r="N665" i="4" s="1"/>
  <c r="O665" i="4" s="1"/>
  <c r="N664" i="4" a="1"/>
  <c r="N664" i="4" s="1"/>
  <c r="O664" i="4" s="1"/>
  <c r="N663" i="4" a="1"/>
  <c r="N663" i="4" s="1"/>
  <c r="O663" i="4" s="1"/>
  <c r="N662" i="4" a="1"/>
  <c r="N662" i="4" s="1"/>
  <c r="O662" i="4" s="1"/>
  <c r="N661" i="4" a="1"/>
  <c r="N661" i="4" s="1"/>
  <c r="O661" i="4" s="1"/>
  <c r="N660" i="4" a="1"/>
  <c r="N660" i="4" s="1"/>
  <c r="O660" i="4" s="1"/>
  <c r="N659" i="4" a="1"/>
  <c r="N659" i="4" s="1"/>
  <c r="O659" i="4" s="1"/>
  <c r="N658" i="4" a="1"/>
  <c r="N658" i="4" s="1"/>
  <c r="O658" i="4" s="1"/>
  <c r="N657" i="4" a="1"/>
  <c r="N657" i="4" s="1"/>
  <c r="O657" i="4" s="1"/>
  <c r="N656" i="4" a="1"/>
  <c r="N656" i="4" s="1"/>
  <c r="O656" i="4" s="1"/>
  <c r="N655" i="4" a="1"/>
  <c r="N655" i="4" s="1"/>
  <c r="O655" i="4" s="1"/>
  <c r="N654" i="4" a="1"/>
  <c r="N654" i="4" s="1"/>
  <c r="O654" i="4" s="1"/>
  <c r="N653" i="4" a="1"/>
  <c r="N653" i="4" s="1"/>
  <c r="O653" i="4" s="1"/>
  <c r="N652" i="4" a="1"/>
  <c r="N652" i="4" s="1"/>
  <c r="O652" i="4" s="1"/>
  <c r="N651" i="4" a="1"/>
  <c r="N651" i="4" s="1"/>
  <c r="O651" i="4" s="1"/>
  <c r="N650" i="4" a="1"/>
  <c r="N650" i="4" s="1"/>
  <c r="O650" i="4" s="1"/>
  <c r="N649" i="4" a="1"/>
  <c r="N649" i="4" s="1"/>
  <c r="O649" i="4" s="1"/>
  <c r="N648" i="4" a="1"/>
  <c r="N648" i="4" s="1"/>
  <c r="O648" i="4" s="1"/>
  <c r="N647" i="4" a="1"/>
  <c r="N647" i="4" s="1"/>
  <c r="O647" i="4" s="1"/>
  <c r="N646" i="4" a="1"/>
  <c r="N646" i="4" s="1"/>
  <c r="O646" i="4" s="1"/>
  <c r="N645" i="4" a="1"/>
  <c r="N645" i="4" s="1"/>
  <c r="O645" i="4" s="1"/>
  <c r="N644" i="4" a="1"/>
  <c r="N644" i="4" s="1"/>
  <c r="O644" i="4" s="1"/>
  <c r="N643" i="4" a="1"/>
  <c r="N643" i="4" s="1"/>
  <c r="O643" i="4" s="1"/>
  <c r="N642" i="4" a="1"/>
  <c r="N642" i="4" s="1"/>
  <c r="O642" i="4" s="1"/>
  <c r="N641" i="4" a="1"/>
  <c r="N641" i="4" s="1"/>
  <c r="O641" i="4" s="1"/>
  <c r="N640" i="4" a="1"/>
  <c r="N640" i="4" s="1"/>
  <c r="O640" i="4" s="1"/>
  <c r="N639" i="4" a="1"/>
  <c r="N639" i="4" s="1"/>
  <c r="O639" i="4" s="1"/>
  <c r="N638" i="4" a="1"/>
  <c r="N638" i="4" s="1"/>
  <c r="O638" i="4" s="1"/>
  <c r="N637" i="4" a="1"/>
  <c r="N637" i="4" s="1"/>
  <c r="O637" i="4" s="1"/>
  <c r="N636" i="4" a="1"/>
  <c r="N636" i="4" s="1"/>
  <c r="O636" i="4" s="1"/>
  <c r="N635" i="4" a="1"/>
  <c r="N635" i="4" s="1"/>
  <c r="O635" i="4" s="1"/>
  <c r="N634" i="4" a="1"/>
  <c r="N634" i="4" s="1"/>
  <c r="O634" i="4" s="1"/>
  <c r="N633" i="4" a="1"/>
  <c r="N633" i="4" s="1"/>
  <c r="O633" i="4" s="1"/>
  <c r="N632" i="4" a="1"/>
  <c r="N632" i="4" s="1"/>
  <c r="O632" i="4" s="1"/>
  <c r="N631" i="4" a="1"/>
  <c r="N631" i="4" s="1"/>
  <c r="O631" i="4" s="1"/>
  <c r="N630" i="4" a="1"/>
  <c r="N630" i="4" s="1"/>
  <c r="O630" i="4" s="1"/>
  <c r="N629" i="4" a="1"/>
  <c r="N629" i="4" s="1"/>
  <c r="O629" i="4" s="1"/>
  <c r="N628" i="4" a="1"/>
  <c r="N628" i="4" s="1"/>
  <c r="O628" i="4" s="1"/>
  <c r="N627" i="4" a="1"/>
  <c r="N627" i="4" s="1"/>
  <c r="O627" i="4" s="1"/>
  <c r="N626" i="4" a="1"/>
  <c r="N626" i="4" s="1"/>
  <c r="O626" i="4" s="1"/>
  <c r="P626" i="4" s="1"/>
  <c r="N625" i="4" a="1"/>
  <c r="N625" i="4" s="1"/>
  <c r="O625" i="4" s="1"/>
  <c r="N624" i="4" a="1"/>
  <c r="N624" i="4" s="1"/>
  <c r="O624" i="4" s="1"/>
  <c r="N623" i="4" a="1"/>
  <c r="N623" i="4" s="1"/>
  <c r="O623" i="4" s="1"/>
  <c r="N622" i="4" a="1"/>
  <c r="N622" i="4" s="1"/>
  <c r="O622" i="4" s="1"/>
  <c r="N621" i="4" a="1"/>
  <c r="N621" i="4" s="1"/>
  <c r="O621" i="4" s="1"/>
  <c r="N620" i="4" a="1"/>
  <c r="N620" i="4" s="1"/>
  <c r="O620" i="4" s="1"/>
  <c r="N619" i="4" a="1"/>
  <c r="N619" i="4" s="1"/>
  <c r="O619" i="4" s="1"/>
  <c r="N618" i="4" a="1"/>
  <c r="N618" i="4" s="1"/>
  <c r="O618" i="4" s="1"/>
  <c r="N617" i="4" a="1"/>
  <c r="N617" i="4" s="1"/>
  <c r="O617" i="4" s="1"/>
  <c r="N616" i="4" a="1"/>
  <c r="N616" i="4" s="1"/>
  <c r="O616" i="4" s="1"/>
  <c r="N615" i="4" a="1"/>
  <c r="N615" i="4" s="1"/>
  <c r="O615" i="4" s="1"/>
  <c r="N614" i="4" a="1"/>
  <c r="N614" i="4" s="1"/>
  <c r="O614" i="4" s="1"/>
  <c r="N613" i="4" a="1"/>
  <c r="N613" i="4" s="1"/>
  <c r="O613" i="4" s="1"/>
  <c r="N612" i="4" a="1"/>
  <c r="N612" i="4" s="1"/>
  <c r="O612" i="4" s="1"/>
  <c r="N611" i="4" a="1"/>
  <c r="N611" i="4" s="1"/>
  <c r="O611" i="4" s="1"/>
  <c r="N610" i="4" a="1"/>
  <c r="N610" i="4" s="1"/>
  <c r="O610" i="4" s="1"/>
  <c r="N609" i="4" a="1"/>
  <c r="N609" i="4" s="1"/>
  <c r="O609" i="4" s="1"/>
  <c r="N608" i="4" a="1"/>
  <c r="N608" i="4" s="1"/>
  <c r="O608" i="4" s="1"/>
  <c r="N607" i="4" a="1"/>
  <c r="N607" i="4" s="1"/>
  <c r="O607" i="4" s="1"/>
  <c r="N606" i="4" a="1"/>
  <c r="N606" i="4" s="1"/>
  <c r="O606" i="4" s="1"/>
  <c r="N605" i="4" a="1"/>
  <c r="N605" i="4" s="1"/>
  <c r="O605" i="4" s="1"/>
  <c r="N604" i="4" a="1"/>
  <c r="N604" i="4" s="1"/>
  <c r="O604" i="4" s="1"/>
  <c r="N603" i="4" a="1"/>
  <c r="N603" i="4" s="1"/>
  <c r="O603" i="4" s="1"/>
  <c r="N602" i="4" a="1"/>
  <c r="N602" i="4" s="1"/>
  <c r="O602" i="4" s="1"/>
  <c r="N601" i="4" a="1"/>
  <c r="N601" i="4" s="1"/>
  <c r="O601" i="4" s="1"/>
  <c r="N600" i="4" a="1"/>
  <c r="N600" i="4" s="1"/>
  <c r="O600" i="4" s="1"/>
  <c r="N599" i="4" a="1"/>
  <c r="N599" i="4" s="1"/>
  <c r="O599" i="4" s="1"/>
  <c r="N598" i="4" a="1"/>
  <c r="N598" i="4" s="1"/>
  <c r="O598" i="4" s="1"/>
  <c r="N597" i="4" a="1"/>
  <c r="N597" i="4" s="1"/>
  <c r="O597" i="4" s="1"/>
  <c r="N596" i="4" a="1"/>
  <c r="N596" i="4" s="1"/>
  <c r="O596" i="4" s="1"/>
  <c r="N595" i="4" a="1"/>
  <c r="N595" i="4" s="1"/>
  <c r="O595" i="4" s="1"/>
  <c r="N594" i="4" a="1"/>
  <c r="N594" i="4" s="1"/>
  <c r="O594" i="4" s="1"/>
  <c r="N593" i="4" a="1"/>
  <c r="N593" i="4" s="1"/>
  <c r="O593" i="4" s="1"/>
  <c r="N592" i="4" a="1"/>
  <c r="N592" i="4" s="1"/>
  <c r="O592" i="4" s="1"/>
  <c r="N591" i="4" a="1"/>
  <c r="N591" i="4" s="1"/>
  <c r="O591" i="4" s="1"/>
  <c r="N590" i="4" a="1"/>
  <c r="N590" i="4" s="1"/>
  <c r="O590" i="4" s="1"/>
  <c r="N589" i="4" a="1"/>
  <c r="N589" i="4" s="1"/>
  <c r="O589" i="4" s="1"/>
  <c r="N588" i="4" a="1"/>
  <c r="N588" i="4" s="1"/>
  <c r="O588" i="4" s="1"/>
  <c r="N587" i="4" a="1"/>
  <c r="N587" i="4" s="1"/>
  <c r="O587" i="4" s="1"/>
  <c r="N586" i="4" a="1"/>
  <c r="N586" i="4" s="1"/>
  <c r="O586" i="4" s="1"/>
  <c r="N585" i="4" a="1"/>
  <c r="N585" i="4" s="1"/>
  <c r="O585" i="4" s="1"/>
  <c r="N584" i="4" a="1"/>
  <c r="N584" i="4" s="1"/>
  <c r="O584" i="4" s="1"/>
  <c r="N583" i="4" a="1"/>
  <c r="N583" i="4" s="1"/>
  <c r="O583" i="4" s="1"/>
  <c r="N582" i="4" a="1"/>
  <c r="N582" i="4" s="1"/>
  <c r="O582" i="4" s="1"/>
  <c r="N581" i="4" a="1"/>
  <c r="N581" i="4" s="1"/>
  <c r="O581" i="4" s="1"/>
  <c r="N580" i="4" a="1"/>
  <c r="N580" i="4" s="1"/>
  <c r="O580" i="4" s="1"/>
  <c r="N579" i="4" a="1"/>
  <c r="N579" i="4" s="1"/>
  <c r="O579" i="4" s="1"/>
  <c r="N578" i="4" a="1"/>
  <c r="N578" i="4" s="1"/>
  <c r="O578" i="4" s="1"/>
  <c r="N577" i="4" a="1"/>
  <c r="N577" i="4" s="1"/>
  <c r="O577" i="4" s="1"/>
  <c r="N576" i="4" a="1"/>
  <c r="N576" i="4" s="1"/>
  <c r="O576" i="4" s="1"/>
  <c r="N575" i="4" a="1"/>
  <c r="N575" i="4" s="1"/>
  <c r="O575" i="4" s="1"/>
  <c r="N574" i="4" a="1"/>
  <c r="N574" i="4" s="1"/>
  <c r="O574" i="4" s="1"/>
  <c r="N573" i="4" a="1"/>
  <c r="N573" i="4" s="1"/>
  <c r="O573" i="4" s="1"/>
  <c r="N572" i="4" a="1"/>
  <c r="N572" i="4" s="1"/>
  <c r="O572" i="4" s="1"/>
  <c r="N571" i="4" a="1"/>
  <c r="N571" i="4" s="1"/>
  <c r="O571" i="4" s="1"/>
  <c r="N570" i="4" a="1"/>
  <c r="N570" i="4" s="1"/>
  <c r="O570" i="4" s="1"/>
  <c r="N569" i="4" a="1"/>
  <c r="N569" i="4" s="1"/>
  <c r="O569" i="4" s="1"/>
  <c r="N568" i="4" a="1"/>
  <c r="N568" i="4" s="1"/>
  <c r="O568" i="4" s="1"/>
  <c r="N567" i="4" a="1"/>
  <c r="N567" i="4" s="1"/>
  <c r="O567" i="4" s="1"/>
  <c r="N566" i="4" a="1"/>
  <c r="N566" i="4" s="1"/>
  <c r="O566" i="4" s="1"/>
  <c r="N565" i="4" a="1"/>
  <c r="N565" i="4" s="1"/>
  <c r="O565" i="4" s="1"/>
  <c r="N564" i="4" a="1"/>
  <c r="N564" i="4" s="1"/>
  <c r="O564" i="4" s="1"/>
  <c r="N563" i="4" a="1"/>
  <c r="N563" i="4" s="1"/>
  <c r="O563" i="4" s="1"/>
  <c r="N562" i="4" a="1"/>
  <c r="N562" i="4" s="1"/>
  <c r="O562" i="4" s="1"/>
  <c r="N561" i="4" a="1"/>
  <c r="N561" i="4" s="1"/>
  <c r="O561" i="4" s="1"/>
  <c r="N560" i="4" a="1"/>
  <c r="N560" i="4" s="1"/>
  <c r="O560" i="4" s="1"/>
  <c r="P560" i="4" s="1"/>
  <c r="N559" i="4" a="1"/>
  <c r="N559" i="4" s="1"/>
  <c r="O559" i="4" s="1"/>
  <c r="N558" i="4" a="1"/>
  <c r="N558" i="4" s="1"/>
  <c r="O558" i="4" s="1"/>
  <c r="N557" i="4" a="1"/>
  <c r="N557" i="4" s="1"/>
  <c r="O557" i="4" s="1"/>
  <c r="N556" i="4" a="1"/>
  <c r="N556" i="4" s="1"/>
  <c r="O556" i="4" s="1"/>
  <c r="N555" i="4" a="1"/>
  <c r="N555" i="4" s="1"/>
  <c r="O555" i="4" s="1"/>
  <c r="N554" i="4" a="1"/>
  <c r="N554" i="4" s="1"/>
  <c r="O554" i="4" s="1"/>
  <c r="N553" i="4" a="1"/>
  <c r="N553" i="4" s="1"/>
  <c r="O553" i="4" s="1"/>
  <c r="N552" i="4" a="1"/>
  <c r="N552" i="4" s="1"/>
  <c r="O552" i="4" s="1"/>
  <c r="N551" i="4" a="1"/>
  <c r="N551" i="4" s="1"/>
  <c r="O551" i="4" s="1"/>
  <c r="N550" i="4" a="1"/>
  <c r="N550" i="4" s="1"/>
  <c r="O550" i="4" s="1"/>
  <c r="N549" i="4" a="1"/>
  <c r="N549" i="4" s="1"/>
  <c r="O549" i="4" s="1"/>
  <c r="N548" i="4" a="1"/>
  <c r="N548" i="4" s="1"/>
  <c r="O548" i="4" s="1"/>
  <c r="N547" i="4" a="1"/>
  <c r="N547" i="4" s="1"/>
  <c r="O547" i="4" s="1"/>
  <c r="N546" i="4" a="1"/>
  <c r="N546" i="4" s="1"/>
  <c r="O546" i="4" s="1"/>
  <c r="N545" i="4" a="1"/>
  <c r="N545" i="4" s="1"/>
  <c r="O545" i="4" s="1"/>
  <c r="N544" i="4" a="1"/>
  <c r="N544" i="4" s="1"/>
  <c r="O544" i="4" s="1"/>
  <c r="N543" i="4" a="1"/>
  <c r="N543" i="4" s="1"/>
  <c r="O543" i="4" s="1"/>
  <c r="N542" i="4" a="1"/>
  <c r="N542" i="4" s="1"/>
  <c r="O542" i="4" s="1"/>
  <c r="N541" i="4" a="1"/>
  <c r="N541" i="4" s="1"/>
  <c r="O541" i="4" s="1"/>
  <c r="N540" i="4" a="1"/>
  <c r="N540" i="4" s="1"/>
  <c r="O540" i="4" s="1"/>
  <c r="N539" i="4" a="1"/>
  <c r="N539" i="4" s="1"/>
  <c r="O539" i="4" s="1"/>
  <c r="N538" i="4" a="1"/>
  <c r="N538" i="4" s="1"/>
  <c r="O538" i="4" s="1"/>
  <c r="N537" i="4" a="1"/>
  <c r="N537" i="4" s="1"/>
  <c r="O537" i="4" s="1"/>
  <c r="N536" i="4" a="1"/>
  <c r="N536" i="4" s="1"/>
  <c r="O536" i="4" s="1"/>
  <c r="P536" i="4" s="1"/>
  <c r="N535" i="4" a="1"/>
  <c r="N535" i="4" s="1"/>
  <c r="O535" i="4" s="1"/>
  <c r="N534" i="4" a="1"/>
  <c r="N534" i="4" s="1"/>
  <c r="O534" i="4" s="1"/>
  <c r="N533" i="4" a="1"/>
  <c r="N533" i="4" s="1"/>
  <c r="O533" i="4" s="1"/>
  <c r="N532" i="4" a="1"/>
  <c r="N532" i="4" s="1"/>
  <c r="O532" i="4" s="1"/>
  <c r="N531" i="4" a="1"/>
  <c r="N531" i="4" s="1"/>
  <c r="O531" i="4" s="1"/>
  <c r="N530" i="4" a="1"/>
  <c r="N530" i="4" s="1"/>
  <c r="O530" i="4" s="1"/>
  <c r="N529" i="4" a="1"/>
  <c r="N529" i="4" s="1"/>
  <c r="O529" i="4" s="1"/>
  <c r="N528" i="4" a="1"/>
  <c r="N528" i="4" s="1"/>
  <c r="O528" i="4" s="1"/>
  <c r="N527" i="4" a="1"/>
  <c r="N527" i="4" s="1"/>
  <c r="O527" i="4" s="1"/>
  <c r="N526" i="4" a="1"/>
  <c r="N526" i="4" s="1"/>
  <c r="O526" i="4" s="1"/>
  <c r="N525" i="4" a="1"/>
  <c r="N525" i="4" s="1"/>
  <c r="O525" i="4" s="1"/>
  <c r="N524" i="4" a="1"/>
  <c r="N524" i="4" s="1"/>
  <c r="O524" i="4" s="1"/>
  <c r="N523" i="4" a="1"/>
  <c r="N523" i="4" s="1"/>
  <c r="O523" i="4" s="1"/>
  <c r="N522" i="4" a="1"/>
  <c r="N522" i="4" s="1"/>
  <c r="O522" i="4" s="1"/>
  <c r="N521" i="4" a="1"/>
  <c r="N521" i="4" s="1"/>
  <c r="O521" i="4" s="1"/>
  <c r="N520" i="4" a="1"/>
  <c r="N520" i="4" s="1"/>
  <c r="O520" i="4" s="1"/>
  <c r="N519" i="4" a="1"/>
  <c r="N519" i="4" s="1"/>
  <c r="O519" i="4" s="1"/>
  <c r="N518" i="4" a="1"/>
  <c r="N518" i="4" s="1"/>
  <c r="O518" i="4" s="1"/>
  <c r="N517" i="4" a="1"/>
  <c r="N517" i="4" s="1"/>
  <c r="O517" i="4" s="1"/>
  <c r="N516" i="4" a="1"/>
  <c r="N516" i="4" s="1"/>
  <c r="O516" i="4" s="1"/>
  <c r="N515" i="4" a="1"/>
  <c r="N515" i="4" s="1"/>
  <c r="O515" i="4" s="1"/>
  <c r="N514" i="4" a="1"/>
  <c r="N514" i="4" s="1"/>
  <c r="O514" i="4" s="1"/>
  <c r="N513" i="4" a="1"/>
  <c r="N513" i="4" s="1"/>
  <c r="O513" i="4" s="1"/>
  <c r="N512" i="4" a="1"/>
  <c r="N512" i="4" s="1"/>
  <c r="O512" i="4" s="1"/>
  <c r="N511" i="4" a="1"/>
  <c r="N511" i="4" s="1"/>
  <c r="O511" i="4" s="1"/>
  <c r="N510" i="4" a="1"/>
  <c r="N510" i="4" s="1"/>
  <c r="O510" i="4" s="1"/>
  <c r="N509" i="4" a="1"/>
  <c r="N509" i="4" s="1"/>
  <c r="O509" i="4" s="1"/>
  <c r="N508" i="4" a="1"/>
  <c r="N508" i="4" s="1"/>
  <c r="O508" i="4" s="1"/>
  <c r="N507" i="4" a="1"/>
  <c r="N507" i="4" s="1"/>
  <c r="O507" i="4" s="1"/>
  <c r="N506" i="4" a="1"/>
  <c r="N506" i="4" s="1"/>
  <c r="O506" i="4" s="1"/>
  <c r="N505" i="4" a="1"/>
  <c r="N505" i="4" s="1"/>
  <c r="O505" i="4" s="1"/>
  <c r="N504" i="4" a="1"/>
  <c r="N504" i="4" s="1"/>
  <c r="O504" i="4" s="1"/>
  <c r="N503" i="4" a="1"/>
  <c r="N503" i="4" s="1"/>
  <c r="O503" i="4" s="1"/>
  <c r="N502" i="4" a="1"/>
  <c r="N502" i="4" s="1"/>
  <c r="O502" i="4" s="1"/>
  <c r="N501" i="4" a="1"/>
  <c r="N501" i="4" s="1"/>
  <c r="O501" i="4" s="1"/>
  <c r="N500" i="4" a="1"/>
  <c r="N500" i="4" s="1"/>
  <c r="O500" i="4" s="1"/>
  <c r="N499" i="4" a="1"/>
  <c r="N499" i="4" s="1"/>
  <c r="O499" i="4" s="1"/>
  <c r="N498" i="4" a="1"/>
  <c r="N498" i="4" s="1"/>
  <c r="O498" i="4" s="1"/>
  <c r="N497" i="4" a="1"/>
  <c r="N497" i="4" s="1"/>
  <c r="O497" i="4" s="1"/>
  <c r="N496" i="4" a="1"/>
  <c r="N496" i="4" s="1"/>
  <c r="O496" i="4" s="1"/>
  <c r="N495" i="4" a="1"/>
  <c r="N495" i="4" s="1"/>
  <c r="O495" i="4" s="1"/>
  <c r="N494" i="4" a="1"/>
  <c r="N494" i="4" s="1"/>
  <c r="O494" i="4" s="1"/>
  <c r="N493" i="4" a="1"/>
  <c r="N493" i="4" s="1"/>
  <c r="O493" i="4" s="1"/>
  <c r="N492" i="4" a="1"/>
  <c r="N492" i="4" s="1"/>
  <c r="O492" i="4" s="1"/>
  <c r="N491" i="4" a="1"/>
  <c r="N491" i="4" s="1"/>
  <c r="O491" i="4" s="1"/>
  <c r="N490" i="4" a="1"/>
  <c r="N490" i="4" s="1"/>
  <c r="O490" i="4" s="1"/>
  <c r="N489" i="4" a="1"/>
  <c r="N489" i="4" s="1"/>
  <c r="O489" i="4" s="1"/>
  <c r="N488" i="4" a="1"/>
  <c r="N488" i="4" s="1"/>
  <c r="O488" i="4" s="1"/>
  <c r="N487" i="4" a="1"/>
  <c r="N487" i="4" s="1"/>
  <c r="O487" i="4" s="1"/>
  <c r="N486" i="4" a="1"/>
  <c r="N486" i="4" s="1"/>
  <c r="O486" i="4" s="1"/>
  <c r="N485" i="4" a="1"/>
  <c r="N485" i="4" s="1"/>
  <c r="O485" i="4" s="1"/>
  <c r="N484" i="4" a="1"/>
  <c r="N484" i="4" s="1"/>
  <c r="O484" i="4" s="1"/>
  <c r="N483" i="4" a="1"/>
  <c r="N483" i="4" s="1"/>
  <c r="O483" i="4" s="1"/>
  <c r="N482" i="4" a="1"/>
  <c r="N482" i="4" s="1"/>
  <c r="O482" i="4" s="1"/>
  <c r="N481" i="4" a="1"/>
  <c r="N481" i="4" s="1"/>
  <c r="O481" i="4" s="1"/>
  <c r="N480" i="4" a="1"/>
  <c r="N480" i="4" s="1"/>
  <c r="O480" i="4" s="1"/>
  <c r="N479" i="4" a="1"/>
  <c r="N479" i="4" s="1"/>
  <c r="O479" i="4" s="1"/>
  <c r="N478" i="4" a="1"/>
  <c r="N478" i="4" s="1"/>
  <c r="O478" i="4" s="1"/>
  <c r="N477" i="4" a="1"/>
  <c r="N477" i="4" s="1"/>
  <c r="O477" i="4" s="1"/>
  <c r="N476" i="4" a="1"/>
  <c r="N476" i="4" s="1"/>
  <c r="O476" i="4" s="1"/>
  <c r="P476" i="4" s="1"/>
  <c r="N475" i="4" a="1"/>
  <c r="N475" i="4" s="1"/>
  <c r="O475" i="4" s="1"/>
  <c r="N474" i="4" a="1"/>
  <c r="N474" i="4" s="1"/>
  <c r="O474" i="4" s="1"/>
  <c r="N473" i="4" a="1"/>
  <c r="N473" i="4" s="1"/>
  <c r="O473" i="4" s="1"/>
  <c r="N472" i="4" a="1"/>
  <c r="N472" i="4" s="1"/>
  <c r="O472" i="4" s="1"/>
  <c r="N471" i="4" a="1"/>
  <c r="N471" i="4" s="1"/>
  <c r="O471" i="4" s="1"/>
  <c r="N470" i="4" a="1"/>
  <c r="N470" i="4" s="1"/>
  <c r="O470" i="4" s="1"/>
  <c r="N469" i="4" a="1"/>
  <c r="N469" i="4" s="1"/>
  <c r="O469" i="4" s="1"/>
  <c r="N468" i="4" a="1"/>
  <c r="N468" i="4" s="1"/>
  <c r="O468" i="4" s="1"/>
  <c r="N467" i="4" a="1"/>
  <c r="N467" i="4" s="1"/>
  <c r="O467" i="4" s="1"/>
  <c r="N466" i="4" a="1"/>
  <c r="N466" i="4" s="1"/>
  <c r="O466" i="4" s="1"/>
  <c r="N465" i="4" a="1"/>
  <c r="N465" i="4" s="1"/>
  <c r="O465" i="4" s="1"/>
  <c r="N464" i="4" a="1"/>
  <c r="N464" i="4" s="1"/>
  <c r="O464" i="4" s="1"/>
  <c r="N463" i="4" a="1"/>
  <c r="N463" i="4" s="1"/>
  <c r="O463" i="4" s="1"/>
  <c r="N462" i="4" a="1"/>
  <c r="N462" i="4" s="1"/>
  <c r="O462" i="4" s="1"/>
  <c r="N461" i="4" a="1"/>
  <c r="N461" i="4" s="1"/>
  <c r="O461" i="4" s="1"/>
  <c r="N460" i="4" a="1"/>
  <c r="N460" i="4" s="1"/>
  <c r="O460" i="4" s="1"/>
  <c r="N459" i="4" a="1"/>
  <c r="N459" i="4" s="1"/>
  <c r="O459" i="4" s="1"/>
  <c r="N458" i="4" a="1"/>
  <c r="N458" i="4" s="1"/>
  <c r="O458" i="4" s="1"/>
  <c r="N457" i="4" a="1"/>
  <c r="N457" i="4" s="1"/>
  <c r="O457" i="4" s="1"/>
  <c r="N456" i="4" a="1"/>
  <c r="N456" i="4" s="1"/>
  <c r="O456" i="4" s="1"/>
  <c r="N455" i="4" a="1"/>
  <c r="N455" i="4" s="1"/>
  <c r="O455" i="4" s="1"/>
  <c r="N454" i="4" a="1"/>
  <c r="N454" i="4" s="1"/>
  <c r="O454" i="4" s="1"/>
  <c r="N453" i="4" a="1"/>
  <c r="N453" i="4" s="1"/>
  <c r="O453" i="4" s="1"/>
  <c r="N452" i="4" a="1"/>
  <c r="N452" i="4" s="1"/>
  <c r="O452" i="4" s="1"/>
  <c r="P452" i="4" s="1"/>
  <c r="N451" i="4" a="1"/>
  <c r="N451" i="4" s="1"/>
  <c r="O451" i="4" s="1"/>
  <c r="N450" i="4" a="1"/>
  <c r="N450" i="4" s="1"/>
  <c r="O450" i="4" s="1"/>
  <c r="N449" i="4" a="1"/>
  <c r="N449" i="4" s="1"/>
  <c r="O449" i="4" s="1"/>
  <c r="N448" i="4" a="1"/>
  <c r="N448" i="4" s="1"/>
  <c r="O448" i="4" s="1"/>
  <c r="N447" i="4" a="1"/>
  <c r="N447" i="4" s="1"/>
  <c r="O447" i="4" s="1"/>
  <c r="N446" i="4" a="1"/>
  <c r="N446" i="4" s="1"/>
  <c r="O446" i="4" s="1"/>
  <c r="N445" i="4" a="1"/>
  <c r="N445" i="4" s="1"/>
  <c r="O445" i="4" s="1"/>
  <c r="N444" i="4" a="1"/>
  <c r="N444" i="4" s="1"/>
  <c r="O444" i="4" s="1"/>
  <c r="N443" i="4" a="1"/>
  <c r="N443" i="4" s="1"/>
  <c r="O443" i="4" s="1"/>
  <c r="N442" i="4" a="1"/>
  <c r="N442" i="4" s="1"/>
  <c r="O442" i="4" s="1"/>
  <c r="N441" i="4" a="1"/>
  <c r="N441" i="4" s="1"/>
  <c r="O441" i="4" s="1"/>
  <c r="N440" i="4" a="1"/>
  <c r="N440" i="4" s="1"/>
  <c r="O440" i="4" s="1"/>
  <c r="N439" i="4" a="1"/>
  <c r="N439" i="4" s="1"/>
  <c r="O439" i="4" s="1"/>
  <c r="N438" i="4" a="1"/>
  <c r="N438" i="4" s="1"/>
  <c r="O438" i="4" s="1"/>
  <c r="N437" i="4" a="1"/>
  <c r="N437" i="4" s="1"/>
  <c r="O437" i="4" s="1"/>
  <c r="N436" i="4" a="1"/>
  <c r="N436" i="4" s="1"/>
  <c r="O436" i="4" s="1"/>
  <c r="N435" i="4" a="1"/>
  <c r="N435" i="4" s="1"/>
  <c r="O435" i="4" s="1"/>
  <c r="N434" i="4" a="1"/>
  <c r="N434" i="4" s="1"/>
  <c r="O434" i="4" s="1"/>
  <c r="N433" i="4" a="1"/>
  <c r="N433" i="4" s="1"/>
  <c r="O433" i="4" s="1"/>
  <c r="N432" i="4" a="1"/>
  <c r="N432" i="4" s="1"/>
  <c r="O432" i="4" s="1"/>
  <c r="N431" i="4" a="1"/>
  <c r="N431" i="4" s="1"/>
  <c r="O431" i="4" s="1"/>
  <c r="N430" i="4" a="1"/>
  <c r="N430" i="4" s="1"/>
  <c r="O430" i="4" s="1"/>
  <c r="N429" i="4" a="1"/>
  <c r="N429" i="4" s="1"/>
  <c r="O429" i="4" s="1"/>
  <c r="P429" i="4" s="1"/>
  <c r="N428" i="4" a="1"/>
  <c r="N428" i="4" s="1"/>
  <c r="O428" i="4" s="1"/>
  <c r="N427" i="4" a="1"/>
  <c r="N427" i="4" s="1"/>
  <c r="O427" i="4" s="1"/>
  <c r="N426" i="4" a="1"/>
  <c r="N426" i="4" s="1"/>
  <c r="O426" i="4" s="1"/>
  <c r="N425" i="4" a="1"/>
  <c r="N425" i="4" s="1"/>
  <c r="O425" i="4" s="1"/>
  <c r="N424" i="4" a="1"/>
  <c r="N424" i="4" s="1"/>
  <c r="O424" i="4" s="1"/>
  <c r="N423" i="4" a="1"/>
  <c r="N423" i="4" s="1"/>
  <c r="O423" i="4" s="1"/>
  <c r="N422" i="4" a="1"/>
  <c r="N422" i="4" s="1"/>
  <c r="O422" i="4" s="1"/>
  <c r="N421" i="4" a="1"/>
  <c r="N421" i="4" s="1"/>
  <c r="O421" i="4" s="1"/>
  <c r="N420" i="4" a="1"/>
  <c r="N420" i="4" s="1"/>
  <c r="O420" i="4" s="1"/>
  <c r="N419" i="4" a="1"/>
  <c r="N419" i="4" s="1"/>
  <c r="O419" i="4" s="1"/>
  <c r="N418" i="4" a="1"/>
  <c r="N418" i="4" s="1"/>
  <c r="O418" i="4" s="1"/>
  <c r="N417" i="4" a="1"/>
  <c r="N417" i="4" s="1"/>
  <c r="O417" i="4" s="1"/>
  <c r="N416" i="4" a="1"/>
  <c r="N416" i="4" s="1"/>
  <c r="O416" i="4" s="1"/>
  <c r="N415" i="4" a="1"/>
  <c r="N415" i="4" s="1"/>
  <c r="O415" i="4" s="1"/>
  <c r="N414" i="4" a="1"/>
  <c r="N414" i="4" s="1"/>
  <c r="O414" i="4" s="1"/>
  <c r="N413" i="4" a="1"/>
  <c r="N413" i="4" s="1"/>
  <c r="O413" i="4" s="1"/>
  <c r="N412" i="4" a="1"/>
  <c r="N412" i="4" s="1"/>
  <c r="O412" i="4" s="1"/>
  <c r="N411" i="4" a="1"/>
  <c r="N411" i="4" s="1"/>
  <c r="O411" i="4" s="1"/>
  <c r="N410" i="4" a="1"/>
  <c r="N410" i="4" s="1"/>
  <c r="O410" i="4" s="1"/>
  <c r="N409" i="4" a="1"/>
  <c r="N409" i="4" s="1"/>
  <c r="O409" i="4" s="1"/>
  <c r="N408" i="4" a="1"/>
  <c r="N408" i="4" s="1"/>
  <c r="O408" i="4" s="1"/>
  <c r="N407" i="4" a="1"/>
  <c r="N407" i="4" s="1"/>
  <c r="O407" i="4" s="1"/>
  <c r="N406" i="4" a="1"/>
  <c r="N406" i="4" s="1"/>
  <c r="O406" i="4" s="1"/>
  <c r="N405" i="4" a="1"/>
  <c r="N405" i="4" s="1"/>
  <c r="O405" i="4" s="1"/>
  <c r="N404" i="4" a="1"/>
  <c r="N404" i="4" s="1"/>
  <c r="O404" i="4" s="1"/>
  <c r="N403" i="4" a="1"/>
  <c r="N403" i="4" s="1"/>
  <c r="O403" i="4" s="1"/>
  <c r="N402" i="4" a="1"/>
  <c r="N402" i="4" s="1"/>
  <c r="O402" i="4" s="1"/>
  <c r="N401" i="4" a="1"/>
  <c r="N401" i="4" s="1"/>
  <c r="O401" i="4" s="1"/>
  <c r="N400" i="4" a="1"/>
  <c r="N400" i="4" s="1"/>
  <c r="O400" i="4" s="1"/>
  <c r="N399" i="4" a="1"/>
  <c r="N399" i="4" s="1"/>
  <c r="O399" i="4" s="1"/>
  <c r="N398" i="4" a="1"/>
  <c r="N398" i="4" s="1"/>
  <c r="O398" i="4" s="1"/>
  <c r="N397" i="4" a="1"/>
  <c r="N397" i="4" s="1"/>
  <c r="O397" i="4" s="1"/>
  <c r="N396" i="4" a="1"/>
  <c r="N396" i="4" s="1"/>
  <c r="O396" i="4" s="1"/>
  <c r="N395" i="4" a="1"/>
  <c r="N395" i="4" s="1"/>
  <c r="O395" i="4" s="1"/>
  <c r="N394" i="4" a="1"/>
  <c r="N394" i="4" s="1"/>
  <c r="O394" i="4" s="1"/>
  <c r="N393" i="4" a="1"/>
  <c r="N393" i="4" s="1"/>
  <c r="O393" i="4" s="1"/>
  <c r="N392" i="4" a="1"/>
  <c r="N392" i="4" s="1"/>
  <c r="O392" i="4" s="1"/>
  <c r="N391" i="4" a="1"/>
  <c r="N391" i="4" s="1"/>
  <c r="O391" i="4" s="1"/>
  <c r="N390" i="4" a="1"/>
  <c r="N390" i="4" s="1"/>
  <c r="O390" i="4" s="1"/>
  <c r="N389" i="4" a="1"/>
  <c r="N389" i="4" s="1"/>
  <c r="O389" i="4" s="1"/>
  <c r="N388" i="4" a="1"/>
  <c r="N388" i="4" s="1"/>
  <c r="O388" i="4" s="1"/>
  <c r="N387" i="4" a="1"/>
  <c r="N387" i="4" s="1"/>
  <c r="O387" i="4" s="1"/>
  <c r="N386" i="4" a="1"/>
  <c r="N386" i="4" s="1"/>
  <c r="O386" i="4" s="1"/>
  <c r="N385" i="4" a="1"/>
  <c r="N385" i="4" s="1"/>
  <c r="O385" i="4" s="1"/>
  <c r="N384" i="4" a="1"/>
  <c r="N384" i="4" s="1"/>
  <c r="O384" i="4" s="1"/>
  <c r="N383" i="4" a="1"/>
  <c r="N383" i="4" s="1"/>
  <c r="O383" i="4" s="1"/>
  <c r="N382" i="4" a="1"/>
  <c r="N382" i="4" s="1"/>
  <c r="O382" i="4" s="1"/>
  <c r="N381" i="4" a="1"/>
  <c r="N381" i="4" s="1"/>
  <c r="O381" i="4" s="1"/>
  <c r="N380" i="4" a="1"/>
  <c r="N380" i="4" s="1"/>
  <c r="O380" i="4" s="1"/>
  <c r="N379" i="4" a="1"/>
  <c r="N379" i="4" s="1"/>
  <c r="O379" i="4" s="1"/>
  <c r="N378" i="4" a="1"/>
  <c r="N378" i="4" s="1"/>
  <c r="O378" i="4" s="1"/>
  <c r="N377" i="4" a="1"/>
  <c r="N377" i="4" s="1"/>
  <c r="O377" i="4" s="1"/>
  <c r="N376" i="4" a="1"/>
  <c r="N376" i="4" s="1"/>
  <c r="O376" i="4" s="1"/>
  <c r="N375" i="4" a="1"/>
  <c r="N375" i="4" s="1"/>
  <c r="O375" i="4" s="1"/>
  <c r="N374" i="4" a="1"/>
  <c r="N374" i="4" s="1"/>
  <c r="O374" i="4" s="1"/>
  <c r="N373" i="4" a="1"/>
  <c r="N373" i="4" s="1"/>
  <c r="O373" i="4" s="1"/>
  <c r="N372" i="4" a="1"/>
  <c r="N372" i="4" s="1"/>
  <c r="O372" i="4" s="1"/>
  <c r="N371" i="4" a="1"/>
  <c r="N371" i="4" s="1"/>
  <c r="O371" i="4" s="1"/>
  <c r="N370" i="4" a="1"/>
  <c r="N370" i="4" s="1"/>
  <c r="O370" i="4" s="1"/>
  <c r="N369" i="4" a="1"/>
  <c r="N369" i="4" s="1"/>
  <c r="O369" i="4" s="1"/>
  <c r="N368" i="4" a="1"/>
  <c r="N368" i="4" s="1"/>
  <c r="O368" i="4" s="1"/>
  <c r="N367" i="4" a="1"/>
  <c r="N367" i="4" s="1"/>
  <c r="O367" i="4" s="1"/>
  <c r="N366" i="4" a="1"/>
  <c r="N366" i="4" s="1"/>
  <c r="O366" i="4" s="1"/>
  <c r="N365" i="4" a="1"/>
  <c r="N365" i="4" s="1"/>
  <c r="O365" i="4" s="1"/>
  <c r="N364" i="4" a="1"/>
  <c r="N364" i="4" s="1"/>
  <c r="O364" i="4" s="1"/>
  <c r="N363" i="4" a="1"/>
  <c r="N363" i="4" s="1"/>
  <c r="O363" i="4" s="1"/>
  <c r="N362" i="4" a="1"/>
  <c r="N362" i="4" s="1"/>
  <c r="O362" i="4" s="1"/>
  <c r="N361" i="4" a="1"/>
  <c r="N361" i="4" s="1"/>
  <c r="O361" i="4" s="1"/>
  <c r="N360" i="4" a="1"/>
  <c r="N360" i="4" s="1"/>
  <c r="O360" i="4" s="1"/>
  <c r="N359" i="4" a="1"/>
  <c r="N359" i="4" s="1"/>
  <c r="O359" i="4" s="1"/>
  <c r="N358" i="4" a="1"/>
  <c r="N358" i="4" s="1"/>
  <c r="O358" i="4" s="1"/>
  <c r="N357" i="4" a="1"/>
  <c r="N357" i="4" s="1"/>
  <c r="O357" i="4" s="1"/>
  <c r="N356" i="4" a="1"/>
  <c r="N356" i="4" s="1"/>
  <c r="O356" i="4" s="1"/>
  <c r="N355" i="4" a="1"/>
  <c r="N355" i="4" s="1"/>
  <c r="O355" i="4" s="1"/>
  <c r="N354" i="4" a="1"/>
  <c r="N354" i="4" s="1"/>
  <c r="O354" i="4" s="1"/>
  <c r="N353" i="4" a="1"/>
  <c r="N353" i="4" s="1"/>
  <c r="O353" i="4" s="1"/>
  <c r="N352" i="4" a="1"/>
  <c r="N352" i="4" s="1"/>
  <c r="O352" i="4" s="1"/>
  <c r="N351" i="4" a="1"/>
  <c r="N351" i="4" s="1"/>
  <c r="O351" i="4" s="1"/>
  <c r="N350" i="4" a="1"/>
  <c r="N350" i="4" s="1"/>
  <c r="O350" i="4" s="1"/>
  <c r="N349" i="4" a="1"/>
  <c r="N349" i="4" s="1"/>
  <c r="O349" i="4" s="1"/>
  <c r="N348" i="4" a="1"/>
  <c r="N348" i="4" s="1"/>
  <c r="O348" i="4" s="1"/>
  <c r="N347" i="4" a="1"/>
  <c r="N347" i="4" s="1"/>
  <c r="O347" i="4" s="1"/>
  <c r="N346" i="4" a="1"/>
  <c r="N346" i="4" s="1"/>
  <c r="O346" i="4" s="1"/>
  <c r="N345" i="4" a="1"/>
  <c r="N345" i="4" s="1"/>
  <c r="O345" i="4" s="1"/>
  <c r="N344" i="4" a="1"/>
  <c r="N344" i="4" s="1"/>
  <c r="O344" i="4" s="1"/>
  <c r="N343" i="4" a="1"/>
  <c r="N343" i="4" s="1"/>
  <c r="O343" i="4" s="1"/>
  <c r="N342" i="4" a="1"/>
  <c r="N342" i="4" s="1"/>
  <c r="O342" i="4" s="1"/>
  <c r="N341" i="4" a="1"/>
  <c r="N341" i="4" s="1"/>
  <c r="O341" i="4" s="1"/>
  <c r="N340" i="4" a="1"/>
  <c r="N340" i="4" s="1"/>
  <c r="O340" i="4" s="1"/>
  <c r="N339" i="4" a="1"/>
  <c r="N339" i="4" s="1"/>
  <c r="O339" i="4" s="1"/>
  <c r="N338" i="4" a="1"/>
  <c r="N338" i="4" s="1"/>
  <c r="O338" i="4" s="1"/>
  <c r="N337" i="4" a="1"/>
  <c r="N337" i="4" s="1"/>
  <c r="O337" i="4" s="1"/>
  <c r="N336" i="4" a="1"/>
  <c r="N336" i="4" s="1"/>
  <c r="O336" i="4" s="1"/>
  <c r="N335" i="4" a="1"/>
  <c r="N335" i="4" s="1"/>
  <c r="O335" i="4" s="1"/>
  <c r="N334" i="4" a="1"/>
  <c r="N334" i="4" s="1"/>
  <c r="O334" i="4" s="1"/>
  <c r="N333" i="4" a="1"/>
  <c r="N333" i="4" s="1"/>
  <c r="O333" i="4" s="1"/>
  <c r="N332" i="4" a="1"/>
  <c r="N332" i="4" s="1"/>
  <c r="O332" i="4" s="1"/>
  <c r="N331" i="4" a="1"/>
  <c r="N331" i="4" s="1"/>
  <c r="O331" i="4" s="1"/>
  <c r="N330" i="4" a="1"/>
  <c r="N330" i="4" s="1"/>
  <c r="O330" i="4" s="1"/>
  <c r="N329" i="4" a="1"/>
  <c r="N329" i="4" s="1"/>
  <c r="O329" i="4" s="1"/>
  <c r="N328" i="4" a="1"/>
  <c r="N328" i="4" s="1"/>
  <c r="O328" i="4" s="1"/>
  <c r="N327" i="4" a="1"/>
  <c r="N327" i="4" s="1"/>
  <c r="O327" i="4" s="1"/>
  <c r="N326" i="4" a="1"/>
  <c r="N326" i="4" s="1"/>
  <c r="O326" i="4" s="1"/>
  <c r="N325" i="4" a="1"/>
  <c r="N325" i="4" s="1"/>
  <c r="O325" i="4" s="1"/>
  <c r="N324" i="4" a="1"/>
  <c r="N324" i="4" s="1"/>
  <c r="O324" i="4" s="1"/>
  <c r="N323" i="4" a="1"/>
  <c r="N323" i="4" s="1"/>
  <c r="O323" i="4" s="1"/>
  <c r="N322" i="4" a="1"/>
  <c r="N322" i="4" s="1"/>
  <c r="O322" i="4" s="1"/>
  <c r="N321" i="4" a="1"/>
  <c r="N321" i="4" s="1"/>
  <c r="O321" i="4" s="1"/>
  <c r="N320" i="4" a="1"/>
  <c r="N320" i="4" s="1"/>
  <c r="O320" i="4" s="1"/>
  <c r="N319" i="4" a="1"/>
  <c r="N319" i="4" s="1"/>
  <c r="O319" i="4" s="1"/>
  <c r="N318" i="4" a="1"/>
  <c r="N318" i="4" s="1"/>
  <c r="O318" i="4" s="1"/>
  <c r="N317" i="4" a="1"/>
  <c r="N317" i="4" s="1"/>
  <c r="O317" i="4" s="1"/>
  <c r="N316" i="4" a="1"/>
  <c r="N316" i="4" s="1"/>
  <c r="O316" i="4" s="1"/>
  <c r="N315" i="4" a="1"/>
  <c r="N315" i="4" s="1"/>
  <c r="O315" i="4" s="1"/>
  <c r="N314" i="4" a="1"/>
  <c r="N314" i="4" s="1"/>
  <c r="O314" i="4" s="1"/>
  <c r="N313" i="4" a="1"/>
  <c r="N313" i="4" s="1"/>
  <c r="O313" i="4" s="1"/>
  <c r="N312" i="4" a="1"/>
  <c r="N312" i="4" s="1"/>
  <c r="O312" i="4" s="1"/>
  <c r="N311" i="4" a="1"/>
  <c r="N311" i="4" s="1"/>
  <c r="O311" i="4" s="1"/>
  <c r="N310" i="4" a="1"/>
  <c r="N310" i="4" s="1"/>
  <c r="O310" i="4" s="1"/>
  <c r="N309" i="4" a="1"/>
  <c r="N309" i="4" s="1"/>
  <c r="O309" i="4" s="1"/>
  <c r="N308" i="4" a="1"/>
  <c r="N308" i="4" s="1"/>
  <c r="O308" i="4" s="1"/>
  <c r="N307" i="4" a="1"/>
  <c r="N307" i="4" s="1"/>
  <c r="O307" i="4" s="1"/>
  <c r="N306" i="4" a="1"/>
  <c r="N306" i="4" s="1"/>
  <c r="O306" i="4" s="1"/>
  <c r="N305" i="4" a="1"/>
  <c r="N305" i="4" s="1"/>
  <c r="O305" i="4" s="1"/>
  <c r="N304" i="4" a="1"/>
  <c r="N304" i="4" s="1"/>
  <c r="O304" i="4" s="1"/>
  <c r="N303" i="4" a="1"/>
  <c r="N303" i="4" s="1"/>
  <c r="O303" i="4" s="1"/>
  <c r="N302" i="4" a="1"/>
  <c r="N302" i="4" s="1"/>
  <c r="O302" i="4" s="1"/>
  <c r="N301" i="4" a="1"/>
  <c r="N301" i="4" s="1"/>
  <c r="O301" i="4" s="1"/>
  <c r="N300" i="4" a="1"/>
  <c r="N300" i="4" s="1"/>
  <c r="O300" i="4" s="1"/>
  <c r="N299" i="4" a="1"/>
  <c r="N299" i="4" s="1"/>
  <c r="O299" i="4" s="1"/>
  <c r="N298" i="4" a="1"/>
  <c r="N298" i="4" s="1"/>
  <c r="O298" i="4" s="1"/>
  <c r="N297" i="4" a="1"/>
  <c r="N297" i="4" s="1"/>
  <c r="O297" i="4" s="1"/>
  <c r="N296" i="4" a="1"/>
  <c r="N296" i="4" s="1"/>
  <c r="O296" i="4" s="1"/>
  <c r="N295" i="4" a="1"/>
  <c r="N295" i="4" s="1"/>
  <c r="O295" i="4" s="1"/>
  <c r="N294" i="4" a="1"/>
  <c r="N294" i="4" s="1"/>
  <c r="O294" i="4" s="1"/>
  <c r="N293" i="4" a="1"/>
  <c r="N293" i="4" s="1"/>
  <c r="O293" i="4" s="1"/>
  <c r="N292" i="4" a="1"/>
  <c r="N292" i="4" s="1"/>
  <c r="O292" i="4" s="1"/>
  <c r="N291" i="4" a="1"/>
  <c r="N291" i="4" s="1"/>
  <c r="O291" i="4" s="1"/>
  <c r="N290" i="4" a="1"/>
  <c r="N290" i="4" s="1"/>
  <c r="O290" i="4" s="1"/>
  <c r="N289" i="4" a="1"/>
  <c r="N289" i="4" s="1"/>
  <c r="O289" i="4" s="1"/>
  <c r="N288" i="4" a="1"/>
  <c r="N288" i="4" s="1"/>
  <c r="O288" i="4" s="1"/>
  <c r="N287" i="4" a="1"/>
  <c r="N287" i="4" s="1"/>
  <c r="O287" i="4" s="1"/>
  <c r="N286" i="4" a="1"/>
  <c r="N286" i="4" s="1"/>
  <c r="O286" i="4" s="1"/>
  <c r="N285" i="4" a="1"/>
  <c r="N285" i="4" s="1"/>
  <c r="O285" i="4" s="1"/>
  <c r="N284" i="4" a="1"/>
  <c r="N284" i="4" s="1"/>
  <c r="O284" i="4" s="1"/>
  <c r="N283" i="4" a="1"/>
  <c r="N283" i="4" s="1"/>
  <c r="O283" i="4" s="1"/>
  <c r="N282" i="4" a="1"/>
  <c r="N282" i="4" s="1"/>
  <c r="O282" i="4" s="1"/>
  <c r="N281" i="4" a="1"/>
  <c r="N281" i="4" s="1"/>
  <c r="O281" i="4" s="1"/>
  <c r="N280" i="4" a="1"/>
  <c r="N280" i="4" s="1"/>
  <c r="O280" i="4" s="1"/>
  <c r="N279" i="4" a="1"/>
  <c r="N279" i="4" s="1"/>
  <c r="O279" i="4" s="1"/>
  <c r="N278" i="4" a="1"/>
  <c r="N278" i="4" s="1"/>
  <c r="O278" i="4" s="1"/>
  <c r="N277" i="4" a="1"/>
  <c r="N277" i="4" s="1"/>
  <c r="O277" i="4" s="1"/>
  <c r="N276" i="4" a="1"/>
  <c r="N276" i="4" s="1"/>
  <c r="O276" i="4" s="1"/>
  <c r="N275" i="4" a="1"/>
  <c r="N275" i="4" s="1"/>
  <c r="O275" i="4" s="1"/>
  <c r="N274" i="4" a="1"/>
  <c r="N274" i="4" s="1"/>
  <c r="O274" i="4" s="1"/>
  <c r="N273" i="4" a="1"/>
  <c r="N273" i="4" s="1"/>
  <c r="O273" i="4" s="1"/>
  <c r="N272" i="4" a="1"/>
  <c r="N272" i="4" s="1"/>
  <c r="O272" i="4" s="1"/>
  <c r="N271" i="4" a="1"/>
  <c r="N271" i="4" s="1"/>
  <c r="O271" i="4" s="1"/>
  <c r="N270" i="4" a="1"/>
  <c r="N270" i="4" s="1"/>
  <c r="O270" i="4" s="1"/>
  <c r="N269" i="4" a="1"/>
  <c r="N269" i="4" s="1"/>
  <c r="O269" i="4" s="1"/>
  <c r="N268" i="4" a="1"/>
  <c r="N268" i="4" s="1"/>
  <c r="O268" i="4" s="1"/>
  <c r="N267" i="4" a="1"/>
  <c r="N267" i="4" s="1"/>
  <c r="O267" i="4" s="1"/>
  <c r="N266" i="4" a="1"/>
  <c r="N266" i="4" s="1"/>
  <c r="O266" i="4" s="1"/>
  <c r="N265" i="4" a="1"/>
  <c r="N265" i="4" s="1"/>
  <c r="O265" i="4" s="1"/>
  <c r="N264" i="4" a="1"/>
  <c r="N264" i="4" s="1"/>
  <c r="O264" i="4" s="1"/>
  <c r="N263" i="4" a="1"/>
  <c r="N263" i="4" s="1"/>
  <c r="O263" i="4" s="1"/>
  <c r="N262" i="4" a="1"/>
  <c r="N262" i="4" s="1"/>
  <c r="O262" i="4" s="1"/>
  <c r="N261" i="4" a="1"/>
  <c r="N261" i="4" s="1"/>
  <c r="O261" i="4" s="1"/>
  <c r="N260" i="4" a="1"/>
  <c r="N260" i="4" s="1"/>
  <c r="O260" i="4" s="1"/>
  <c r="N259" i="4" a="1"/>
  <c r="N259" i="4" s="1"/>
  <c r="O259" i="4" s="1"/>
  <c r="N258" i="4" a="1"/>
  <c r="N258" i="4" s="1"/>
  <c r="O258" i="4" s="1"/>
  <c r="N257" i="4" a="1"/>
  <c r="N257" i="4" s="1"/>
  <c r="O257" i="4" s="1"/>
  <c r="N256" i="4" a="1"/>
  <c r="N256" i="4" s="1"/>
  <c r="O256" i="4" s="1"/>
  <c r="N255" i="4" a="1"/>
  <c r="N255" i="4" s="1"/>
  <c r="O255" i="4" s="1"/>
  <c r="N254" i="4" a="1"/>
  <c r="N254" i="4" s="1"/>
  <c r="O254" i="4" s="1"/>
  <c r="N253" i="4" a="1"/>
  <c r="N253" i="4" s="1"/>
  <c r="O253" i="4" s="1"/>
  <c r="N252" i="4" a="1"/>
  <c r="N252" i="4" s="1"/>
  <c r="O252" i="4" s="1"/>
  <c r="N251" i="4" a="1"/>
  <c r="N251" i="4" s="1"/>
  <c r="O251" i="4" s="1"/>
  <c r="N250" i="4" a="1"/>
  <c r="N250" i="4" s="1"/>
  <c r="O250" i="4" s="1"/>
  <c r="N249" i="4" a="1"/>
  <c r="N249" i="4" s="1"/>
  <c r="O249" i="4" s="1"/>
  <c r="N248" i="4" a="1"/>
  <c r="N248" i="4" s="1"/>
  <c r="O248" i="4" s="1"/>
  <c r="N247" i="4" a="1"/>
  <c r="N247" i="4" s="1"/>
  <c r="O247" i="4" s="1"/>
  <c r="N246" i="4" a="1"/>
  <c r="N246" i="4" s="1"/>
  <c r="O246" i="4" s="1"/>
  <c r="N245" i="4" a="1"/>
  <c r="N245" i="4" s="1"/>
  <c r="O245" i="4" s="1"/>
  <c r="N244" i="4" a="1"/>
  <c r="N244" i="4" s="1"/>
  <c r="O244" i="4" s="1"/>
  <c r="N243" i="4" a="1"/>
  <c r="N243" i="4" s="1"/>
  <c r="O243" i="4" s="1"/>
  <c r="N242" i="4" a="1"/>
  <c r="N242" i="4" s="1"/>
  <c r="O242" i="4" s="1"/>
  <c r="N241" i="4" a="1"/>
  <c r="N241" i="4" s="1"/>
  <c r="O241" i="4" s="1"/>
  <c r="N240" i="4" a="1"/>
  <c r="N240" i="4" s="1"/>
  <c r="O240" i="4" s="1"/>
  <c r="N239" i="4" a="1"/>
  <c r="N239" i="4" s="1"/>
  <c r="O239" i="4" s="1"/>
  <c r="N238" i="4" a="1"/>
  <c r="N238" i="4" s="1"/>
  <c r="O238" i="4" s="1"/>
  <c r="N237" i="4" a="1"/>
  <c r="N237" i="4" s="1"/>
  <c r="O237" i="4" s="1"/>
  <c r="N236" i="4" a="1"/>
  <c r="N236" i="4" s="1"/>
  <c r="O236" i="4" s="1"/>
  <c r="N235" i="4" a="1"/>
  <c r="N235" i="4" s="1"/>
  <c r="O235" i="4" s="1"/>
  <c r="N234" i="4" a="1"/>
  <c r="N234" i="4" s="1"/>
  <c r="O234" i="4" s="1"/>
  <c r="N233" i="4" a="1"/>
  <c r="N233" i="4" s="1"/>
  <c r="O233" i="4" s="1"/>
  <c r="N232" i="4" a="1"/>
  <c r="N232" i="4" s="1"/>
  <c r="O232" i="4" s="1"/>
  <c r="N231" i="4" a="1"/>
  <c r="N231" i="4" s="1"/>
  <c r="O231" i="4" s="1"/>
  <c r="N230" i="4" a="1"/>
  <c r="N230" i="4" s="1"/>
  <c r="O230" i="4" s="1"/>
  <c r="N229" i="4" a="1"/>
  <c r="N229" i="4" s="1"/>
  <c r="O229" i="4" s="1"/>
  <c r="N228" i="4" a="1"/>
  <c r="N228" i="4" s="1"/>
  <c r="O228" i="4" s="1"/>
  <c r="N227" i="4" a="1"/>
  <c r="N227" i="4" s="1"/>
  <c r="O227" i="4" s="1"/>
  <c r="N226" i="4" a="1"/>
  <c r="N226" i="4" s="1"/>
  <c r="O226" i="4" s="1"/>
  <c r="N225" i="4" a="1"/>
  <c r="N225" i="4" s="1"/>
  <c r="O225" i="4" s="1"/>
  <c r="N224" i="4" a="1"/>
  <c r="N224" i="4" s="1"/>
  <c r="O224" i="4" s="1"/>
  <c r="N223" i="4" a="1"/>
  <c r="N223" i="4" s="1"/>
  <c r="O223" i="4" s="1"/>
  <c r="N222" i="4" a="1"/>
  <c r="N222" i="4" s="1"/>
  <c r="O222" i="4" s="1"/>
  <c r="N221" i="4" a="1"/>
  <c r="N221" i="4" s="1"/>
  <c r="O221" i="4" s="1"/>
  <c r="N220" i="4" a="1"/>
  <c r="N220" i="4" s="1"/>
  <c r="O220" i="4" s="1"/>
  <c r="N219" i="4" a="1"/>
  <c r="N219" i="4" s="1"/>
  <c r="O219" i="4" s="1"/>
  <c r="N218" i="4" a="1"/>
  <c r="N218" i="4" s="1"/>
  <c r="O218" i="4" s="1"/>
  <c r="N217" i="4" a="1"/>
  <c r="N217" i="4" s="1"/>
  <c r="O217" i="4" s="1"/>
  <c r="N216" i="4" a="1"/>
  <c r="N216" i="4" s="1"/>
  <c r="O216" i="4" s="1"/>
  <c r="N215" i="4" a="1"/>
  <c r="N215" i="4" s="1"/>
  <c r="O215" i="4" s="1"/>
  <c r="N214" i="4" a="1"/>
  <c r="N214" i="4" s="1"/>
  <c r="O214" i="4" s="1"/>
  <c r="N213" i="4" a="1"/>
  <c r="N213" i="4" s="1"/>
  <c r="O213" i="4" s="1"/>
  <c r="N212" i="4" a="1"/>
  <c r="N212" i="4" s="1"/>
  <c r="O212" i="4" s="1"/>
  <c r="N211" i="4" a="1"/>
  <c r="N211" i="4" s="1"/>
  <c r="O211" i="4" s="1"/>
  <c r="N210" i="4" a="1"/>
  <c r="N210" i="4" s="1"/>
  <c r="O210" i="4" s="1"/>
  <c r="N209" i="4" a="1"/>
  <c r="N209" i="4" s="1"/>
  <c r="O209" i="4" s="1"/>
  <c r="N208" i="4" a="1"/>
  <c r="N208" i="4" s="1"/>
  <c r="O208" i="4" s="1"/>
  <c r="N207" i="4" a="1"/>
  <c r="N207" i="4" s="1"/>
  <c r="O207" i="4" s="1"/>
  <c r="N206" i="4" a="1"/>
  <c r="N206" i="4" s="1"/>
  <c r="O206" i="4" s="1"/>
  <c r="N205" i="4" a="1"/>
  <c r="N205" i="4" s="1"/>
  <c r="O205" i="4" s="1"/>
  <c r="N204" i="4" a="1"/>
  <c r="N204" i="4" s="1"/>
  <c r="O204" i="4" s="1"/>
  <c r="N203" i="4" a="1"/>
  <c r="N203" i="4" s="1"/>
  <c r="O203" i="4" s="1"/>
  <c r="N202" i="4" a="1"/>
  <c r="N202" i="4" s="1"/>
  <c r="O202" i="4" s="1"/>
  <c r="N201" i="4" a="1"/>
  <c r="N201" i="4" s="1"/>
  <c r="O201" i="4" s="1"/>
  <c r="N200" i="4" a="1"/>
  <c r="N200" i="4" s="1"/>
  <c r="O200" i="4" s="1"/>
  <c r="N199" i="4" a="1"/>
  <c r="N199" i="4" s="1"/>
  <c r="O199" i="4" s="1"/>
  <c r="N198" i="4" a="1"/>
  <c r="N198" i="4" s="1"/>
  <c r="O198" i="4" s="1"/>
  <c r="I52" i="73" s="1"/>
  <c r="N197" i="4" a="1"/>
  <c r="N197" i="4" s="1"/>
  <c r="O197" i="4" s="1"/>
  <c r="N196" i="4" a="1"/>
  <c r="N196" i="4" s="1"/>
  <c r="O196" i="4" s="1"/>
  <c r="N195" i="4" a="1"/>
  <c r="N195" i="4" s="1"/>
  <c r="O195" i="4" s="1"/>
  <c r="N194" i="4" a="1"/>
  <c r="N194" i="4" s="1"/>
  <c r="O194" i="4" s="1"/>
  <c r="N193" i="4" a="1"/>
  <c r="N193" i="4" s="1"/>
  <c r="O193" i="4" s="1"/>
  <c r="N192" i="4" a="1"/>
  <c r="N192" i="4" s="1"/>
  <c r="O192" i="4" s="1"/>
  <c r="N191" i="4" a="1"/>
  <c r="N191" i="4" s="1"/>
  <c r="O191" i="4" s="1"/>
  <c r="N190" i="4" a="1"/>
  <c r="N190" i="4" s="1"/>
  <c r="O190" i="4" s="1"/>
  <c r="N189" i="4" a="1"/>
  <c r="N189" i="4" s="1"/>
  <c r="O189" i="4" s="1"/>
  <c r="N188" i="4" a="1"/>
  <c r="N188" i="4" s="1"/>
  <c r="O188" i="4" s="1"/>
  <c r="N187" i="4" a="1"/>
  <c r="N187" i="4" s="1"/>
  <c r="O187" i="4" s="1"/>
  <c r="N186" i="4" a="1"/>
  <c r="N186" i="4" s="1"/>
  <c r="O186" i="4" s="1"/>
  <c r="N185" i="4" a="1"/>
  <c r="N185" i="4" s="1"/>
  <c r="O185" i="4" s="1"/>
  <c r="N184" i="4" a="1"/>
  <c r="N184" i="4" s="1"/>
  <c r="O184" i="4" s="1"/>
  <c r="N183" i="4" a="1"/>
  <c r="N183" i="4" s="1"/>
  <c r="O183" i="4" s="1"/>
  <c r="N182" i="4" a="1"/>
  <c r="N182" i="4" s="1"/>
  <c r="O182" i="4" s="1"/>
  <c r="N180" i="4" a="1"/>
  <c r="N180" i="4" s="1"/>
  <c r="O180" i="4" s="1"/>
  <c r="N179" i="4" a="1"/>
  <c r="N179" i="4" s="1"/>
  <c r="O179" i="4" s="1"/>
  <c r="N178" i="4" a="1"/>
  <c r="N178" i="4" s="1"/>
  <c r="O178" i="4" s="1"/>
  <c r="N177" i="4" a="1"/>
  <c r="N177" i="4" s="1"/>
  <c r="O177" i="4" s="1"/>
  <c r="N176" i="4" a="1"/>
  <c r="N176" i="4" s="1"/>
  <c r="O176" i="4" s="1"/>
  <c r="N175" i="4" a="1"/>
  <c r="N175" i="4" s="1"/>
  <c r="O175" i="4" s="1"/>
  <c r="N174" i="4" a="1"/>
  <c r="N174" i="4" s="1"/>
  <c r="O174" i="4" s="1"/>
  <c r="N173" i="4" a="1"/>
  <c r="N173" i="4" s="1"/>
  <c r="O173" i="4" s="1"/>
  <c r="N172" i="4" a="1"/>
  <c r="N172" i="4" s="1"/>
  <c r="O172" i="4" s="1"/>
  <c r="N171" i="4" a="1"/>
  <c r="N171" i="4" s="1"/>
  <c r="O171" i="4" s="1"/>
  <c r="N170" i="4" a="1"/>
  <c r="N170" i="4" s="1"/>
  <c r="O170" i="4" s="1"/>
  <c r="N169" i="4" a="1"/>
  <c r="N169" i="4" s="1"/>
  <c r="O169" i="4" s="1"/>
  <c r="N168" i="4" a="1"/>
  <c r="N168" i="4" s="1"/>
  <c r="O168" i="4" s="1"/>
  <c r="I5" i="73" s="1"/>
  <c r="N167" i="4" a="1"/>
  <c r="N167" i="4" s="1"/>
  <c r="O167" i="4" s="1"/>
  <c r="N166" i="4" a="1"/>
  <c r="N166" i="4" s="1"/>
  <c r="O166" i="4" s="1"/>
  <c r="N165" i="4" a="1"/>
  <c r="N165" i="4" s="1"/>
  <c r="O165" i="4" s="1"/>
  <c r="N164" i="4" a="1"/>
  <c r="N164" i="4" s="1"/>
  <c r="O164" i="4" s="1"/>
  <c r="N163" i="4" a="1"/>
  <c r="N163" i="4" s="1"/>
  <c r="O163" i="4" s="1"/>
  <c r="N162" i="4" a="1"/>
  <c r="N162" i="4" s="1"/>
  <c r="O162" i="4" s="1"/>
  <c r="N161" i="4" a="1"/>
  <c r="N161" i="4" s="1"/>
  <c r="O161" i="4" s="1"/>
  <c r="N160" i="4" a="1"/>
  <c r="N160" i="4" s="1"/>
  <c r="O160" i="4" s="1"/>
  <c r="N159" i="4" a="1"/>
  <c r="N159" i="4" s="1"/>
  <c r="O159" i="4" s="1"/>
  <c r="N158" i="4" a="1"/>
  <c r="N158" i="4" s="1"/>
  <c r="O158" i="4" s="1"/>
  <c r="N157" i="4" a="1"/>
  <c r="N157" i="4" s="1"/>
  <c r="O157" i="4" s="1"/>
  <c r="N156" i="4" a="1"/>
  <c r="N156" i="4" s="1"/>
  <c r="O156" i="4" s="1"/>
  <c r="N155" i="4" a="1"/>
  <c r="N155" i="4" s="1"/>
  <c r="N154" i="4" a="1"/>
  <c r="N154" i="4" s="1"/>
  <c r="O154" i="4" s="1"/>
  <c r="N152" i="4" a="1"/>
  <c r="N152" i="4" s="1"/>
  <c r="O152" i="4" s="1"/>
  <c r="N151" i="4" a="1"/>
  <c r="N151" i="4" s="1"/>
  <c r="O151" i="4" s="1"/>
  <c r="N150" i="4" a="1"/>
  <c r="N150" i="4" s="1"/>
  <c r="O150" i="4" s="1"/>
  <c r="N149" i="4" a="1"/>
  <c r="N149" i="4" s="1"/>
  <c r="O149" i="4" s="1"/>
  <c r="N148" i="4" a="1"/>
  <c r="N148" i="4" s="1"/>
  <c r="O148" i="4" s="1"/>
  <c r="N147" i="4" a="1"/>
  <c r="N147" i="4" s="1"/>
  <c r="O147" i="4" s="1"/>
  <c r="N146" i="4" a="1"/>
  <c r="N146" i="4" s="1"/>
  <c r="O146" i="4" s="1"/>
  <c r="N145" i="4" a="1"/>
  <c r="N145" i="4" s="1"/>
  <c r="O145" i="4" s="1"/>
  <c r="N144" i="4" a="1"/>
  <c r="N144" i="4" s="1"/>
  <c r="O144" i="4" s="1"/>
  <c r="N143" i="4" a="1"/>
  <c r="N143" i="4" s="1"/>
  <c r="O143" i="4" s="1"/>
  <c r="N142" i="4" a="1"/>
  <c r="N142" i="4" s="1"/>
  <c r="O142" i="4" s="1"/>
  <c r="N141" i="4" a="1"/>
  <c r="N141" i="4" s="1"/>
  <c r="O141" i="4" s="1"/>
  <c r="N140" i="4" a="1"/>
  <c r="N140" i="4" s="1"/>
  <c r="O140" i="4" s="1"/>
  <c r="N139" i="4" a="1"/>
  <c r="N139" i="4" s="1"/>
  <c r="O139" i="4" s="1"/>
  <c r="N138" i="4" a="1"/>
  <c r="N138" i="4" s="1"/>
  <c r="O138" i="4" s="1"/>
  <c r="N137" i="4" a="1"/>
  <c r="N137" i="4" s="1"/>
  <c r="O137" i="4" s="1"/>
  <c r="N136" i="4" a="1"/>
  <c r="N136" i="4" s="1"/>
  <c r="O136" i="4" s="1"/>
  <c r="N135" i="4" a="1"/>
  <c r="N135" i="4" s="1"/>
  <c r="O135" i="4" s="1"/>
  <c r="N133" i="4" a="1"/>
  <c r="N133" i="4" s="1"/>
  <c r="O133" i="4" s="1"/>
  <c r="N132" i="4" a="1"/>
  <c r="N132" i="4" s="1"/>
  <c r="O132" i="4" s="1"/>
  <c r="N131" i="4" a="1"/>
  <c r="N131" i="4" s="1"/>
  <c r="O131" i="4" s="1"/>
  <c r="N130" i="4" a="1"/>
  <c r="N130" i="4" s="1"/>
  <c r="O130" i="4" s="1"/>
  <c r="N129" i="4" a="1"/>
  <c r="N129" i="4" s="1"/>
  <c r="O129" i="4" s="1"/>
  <c r="N128" i="4" a="1"/>
  <c r="N128" i="4" s="1"/>
  <c r="O128" i="4" s="1"/>
  <c r="N127" i="4" a="1"/>
  <c r="N127" i="4" s="1"/>
  <c r="O127" i="4" s="1"/>
  <c r="P127" i="4" s="1"/>
  <c r="N126" i="4" a="1"/>
  <c r="N126" i="4" s="1"/>
  <c r="O126" i="4" s="1"/>
  <c r="N125" i="4" a="1"/>
  <c r="N125" i="4" s="1"/>
  <c r="O125" i="4" s="1"/>
  <c r="N124" i="4" a="1"/>
  <c r="N124" i="4" s="1"/>
  <c r="O124" i="4" s="1"/>
  <c r="N123" i="4" a="1"/>
  <c r="N123" i="4" s="1"/>
  <c r="O123" i="4" s="1"/>
  <c r="N122" i="4" a="1"/>
  <c r="N122" i="4" s="1"/>
  <c r="O122" i="4" s="1"/>
  <c r="N121" i="4" a="1"/>
  <c r="N121" i="4" s="1"/>
  <c r="O121" i="4" s="1"/>
  <c r="N120" i="4" a="1"/>
  <c r="N120" i="4" s="1"/>
  <c r="O120" i="4" s="1"/>
  <c r="N119" i="4" a="1"/>
  <c r="N119" i="4" s="1"/>
  <c r="O119" i="4" s="1"/>
  <c r="N118" i="4" a="1"/>
  <c r="N118" i="4" s="1"/>
  <c r="O118" i="4" s="1"/>
  <c r="N117" i="4" a="1"/>
  <c r="N117" i="4" s="1"/>
  <c r="O117" i="4" s="1"/>
  <c r="N116" i="4" a="1"/>
  <c r="N116" i="4" s="1"/>
  <c r="O116" i="4" s="1"/>
  <c r="N115" i="4" a="1"/>
  <c r="N115" i="4" s="1"/>
  <c r="O115" i="4" s="1"/>
  <c r="N114" i="4" a="1"/>
  <c r="N114" i="4" s="1"/>
  <c r="O114" i="4" s="1"/>
  <c r="N113" i="4" a="1"/>
  <c r="N113" i="4" s="1"/>
  <c r="O113" i="4" s="1"/>
  <c r="N112" i="4" a="1"/>
  <c r="N112" i="4" s="1"/>
  <c r="O112" i="4" s="1"/>
  <c r="N111" i="4" a="1"/>
  <c r="N111" i="4" s="1"/>
  <c r="O111" i="4" s="1"/>
  <c r="N110" i="4" a="1"/>
  <c r="N110" i="4" s="1"/>
  <c r="O110" i="4" s="1"/>
  <c r="N109" i="4" a="1"/>
  <c r="N109" i="4" s="1"/>
  <c r="O109" i="4" s="1"/>
  <c r="N108" i="4" a="1"/>
  <c r="N108" i="4" s="1"/>
  <c r="O108" i="4" s="1"/>
  <c r="N107" i="4" a="1"/>
  <c r="N107" i="4" s="1"/>
  <c r="O107" i="4" s="1"/>
  <c r="N106" i="4" a="1"/>
  <c r="N106" i="4" s="1"/>
  <c r="O106" i="4" s="1"/>
  <c r="N105" i="4" a="1"/>
  <c r="N105" i="4" s="1"/>
  <c r="O105" i="4" s="1"/>
  <c r="N104" i="4" a="1"/>
  <c r="N104" i="4" s="1"/>
  <c r="O104" i="4" s="1"/>
  <c r="N103" i="4" a="1"/>
  <c r="N103" i="4" s="1"/>
  <c r="O103" i="4" s="1"/>
  <c r="N102" i="4" a="1"/>
  <c r="N102" i="4" s="1"/>
  <c r="O102" i="4" s="1"/>
  <c r="N101" i="4" a="1"/>
  <c r="N101" i="4" s="1"/>
  <c r="O101" i="4" s="1"/>
  <c r="N100" i="4" a="1"/>
  <c r="N100" i="4" s="1"/>
  <c r="O100" i="4" s="1"/>
  <c r="N97" i="4" a="1"/>
  <c r="N97" i="4" s="1"/>
  <c r="O97" i="4" s="1"/>
  <c r="N96" i="4" a="1"/>
  <c r="N96" i="4" s="1"/>
  <c r="O96" i="4" s="1"/>
  <c r="N95" i="4" a="1"/>
  <c r="N95" i="4" s="1"/>
  <c r="O95" i="4" s="1"/>
  <c r="N94" i="4" a="1"/>
  <c r="N94" i="4" s="1"/>
  <c r="O94" i="4" s="1"/>
  <c r="N93" i="4" a="1"/>
  <c r="N93" i="4" s="1"/>
  <c r="O93" i="4" s="1"/>
  <c r="I6" i="73" s="1"/>
  <c r="N92" i="4" a="1"/>
  <c r="N92" i="4" s="1"/>
  <c r="O92" i="4" s="1"/>
  <c r="N91" i="4" a="1"/>
  <c r="N91" i="4" s="1"/>
  <c r="O91" i="4" s="1"/>
  <c r="N90" i="4" a="1"/>
  <c r="N90" i="4" s="1"/>
  <c r="O90" i="4" s="1"/>
  <c r="N89" i="4" a="1"/>
  <c r="N89" i="4" s="1"/>
  <c r="O89" i="4" s="1"/>
  <c r="N88" i="4" a="1"/>
  <c r="N88" i="4" s="1"/>
  <c r="O88" i="4" s="1"/>
  <c r="N87" i="4" a="1"/>
  <c r="N87" i="4" s="1"/>
  <c r="O87" i="4" s="1"/>
  <c r="N86" i="4" a="1"/>
  <c r="N86" i="4" s="1"/>
  <c r="O86" i="4" s="1"/>
  <c r="N85" i="4" a="1"/>
  <c r="N85" i="4" s="1"/>
  <c r="O85" i="4" s="1"/>
  <c r="N84" i="4" a="1"/>
  <c r="N84" i="4" s="1"/>
  <c r="O84" i="4" s="1"/>
  <c r="N83" i="4" a="1"/>
  <c r="N83" i="4" s="1"/>
  <c r="O83" i="4" s="1"/>
  <c r="N82" i="4" a="1"/>
  <c r="N82" i="4" s="1"/>
  <c r="O82" i="4" s="1"/>
  <c r="N81" i="4" a="1"/>
  <c r="N81" i="4" s="1"/>
  <c r="O81" i="4" s="1"/>
  <c r="N79" i="4" a="1"/>
  <c r="N79" i="4" s="1"/>
  <c r="O79" i="4" s="1"/>
  <c r="N78" i="4" a="1"/>
  <c r="N78" i="4" s="1"/>
  <c r="O78" i="4" s="1"/>
  <c r="N77" i="4" a="1"/>
  <c r="N77" i="4" s="1"/>
  <c r="O77" i="4" s="1"/>
  <c r="N76" i="4" a="1"/>
  <c r="N76" i="4" s="1"/>
  <c r="O76" i="4" s="1"/>
  <c r="N75" i="4" a="1"/>
  <c r="N75" i="4" s="1"/>
  <c r="O75" i="4" s="1"/>
  <c r="N74" i="4" a="1"/>
  <c r="N74" i="4" s="1"/>
  <c r="O74" i="4" s="1"/>
  <c r="N73" i="4" a="1"/>
  <c r="N73" i="4" s="1"/>
  <c r="O73" i="4" s="1"/>
  <c r="N72" i="4" a="1"/>
  <c r="N72" i="4" s="1"/>
  <c r="O72" i="4" s="1"/>
  <c r="N71" i="4" a="1"/>
  <c r="N71" i="4" s="1"/>
  <c r="O71" i="4" s="1"/>
  <c r="N70" i="4" a="1"/>
  <c r="N70" i="4" s="1"/>
  <c r="O70" i="4" s="1"/>
  <c r="N69" i="4" a="1"/>
  <c r="N69" i="4" s="1"/>
  <c r="O69" i="4" s="1"/>
  <c r="N68" i="4" a="1"/>
  <c r="N68" i="4" s="1"/>
  <c r="O68" i="4" s="1"/>
  <c r="N67" i="4" a="1"/>
  <c r="N67" i="4" s="1"/>
  <c r="O67" i="4" s="1"/>
  <c r="N65" i="4" a="1"/>
  <c r="N65" i="4" s="1"/>
  <c r="O65" i="4" s="1"/>
  <c r="I41" i="73" s="1"/>
  <c r="N64" i="4" a="1"/>
  <c r="N64" i="4" s="1"/>
  <c r="O64" i="4" s="1"/>
  <c r="N63" i="4" a="1"/>
  <c r="N63" i="4" s="1"/>
  <c r="O63" i="4" s="1"/>
  <c r="N62" i="4" a="1"/>
  <c r="N62" i="4" s="1"/>
  <c r="O62" i="4" s="1"/>
  <c r="N61" i="4" a="1"/>
  <c r="N61" i="4" s="1"/>
  <c r="O61" i="4" s="1"/>
  <c r="N60" i="4" a="1"/>
  <c r="N60" i="4" s="1"/>
  <c r="O60" i="4" s="1"/>
  <c r="N59" i="4" a="1"/>
  <c r="N59" i="4" s="1"/>
  <c r="O59" i="4" s="1"/>
  <c r="N58" i="4" a="1"/>
  <c r="N58" i="4" s="1"/>
  <c r="O58" i="4" s="1"/>
  <c r="N57" i="4" a="1"/>
  <c r="N57" i="4" s="1"/>
  <c r="O57" i="4" s="1"/>
  <c r="N56" i="4" a="1"/>
  <c r="N56" i="4" s="1"/>
  <c r="O56" i="4" s="1"/>
  <c r="N55" i="4" a="1"/>
  <c r="N55" i="4" s="1"/>
  <c r="O55" i="4" s="1"/>
  <c r="N54" i="4" a="1"/>
  <c r="N54" i="4" s="1"/>
  <c r="O54" i="4" s="1"/>
  <c r="N53" i="4" a="1"/>
  <c r="N53" i="4" s="1"/>
  <c r="O53" i="4" s="1"/>
  <c r="N52" i="4" a="1"/>
  <c r="N52" i="4" s="1"/>
  <c r="O52" i="4" s="1"/>
  <c r="N51" i="4" a="1"/>
  <c r="N51" i="4" s="1"/>
  <c r="O51" i="4" s="1"/>
  <c r="N50" i="4" a="1"/>
  <c r="N50" i="4" s="1"/>
  <c r="O50" i="4" s="1"/>
  <c r="I8" i="73" s="1"/>
  <c r="N49" i="4" a="1"/>
  <c r="N49" i="4" s="1"/>
  <c r="O49" i="4" s="1"/>
  <c r="N48" i="4" a="1"/>
  <c r="N48" i="4" s="1"/>
  <c r="O48" i="4" s="1"/>
  <c r="N47" i="4" a="1"/>
  <c r="N47" i="4" s="1"/>
  <c r="O47" i="4" s="1"/>
  <c r="N45" i="4" a="1"/>
  <c r="N45" i="4" s="1"/>
  <c r="O45" i="4" s="1"/>
  <c r="N44" i="4" a="1"/>
  <c r="N44" i="4" s="1"/>
  <c r="O44" i="4" s="1"/>
  <c r="N43" i="4" a="1"/>
  <c r="N43" i="4" s="1"/>
  <c r="O43" i="4" s="1"/>
  <c r="N42" i="4" a="1"/>
  <c r="N42" i="4" s="1"/>
  <c r="O42" i="4" s="1"/>
  <c r="I26" i="73" s="1"/>
  <c r="N41" i="4" a="1"/>
  <c r="N41" i="4" s="1"/>
  <c r="O41" i="4" s="1"/>
  <c r="N40" i="4" a="1"/>
  <c r="N40" i="4" s="1"/>
  <c r="O40" i="4" s="1"/>
  <c r="N39" i="4" a="1"/>
  <c r="N39" i="4" s="1"/>
  <c r="O39" i="4" s="1"/>
  <c r="N38" i="4" a="1"/>
  <c r="N38" i="4" s="1"/>
  <c r="O38" i="4" s="1"/>
  <c r="N37" i="4" a="1"/>
  <c r="N37" i="4" s="1"/>
  <c r="O37" i="4" s="1"/>
  <c r="N35" i="4" a="1"/>
  <c r="N35" i="4" s="1"/>
  <c r="O35" i="4" s="1"/>
  <c r="I16" i="73" s="1"/>
  <c r="N34" i="4" a="1"/>
  <c r="N34" i="4" s="1"/>
  <c r="O34" i="4" s="1"/>
  <c r="N33" i="4" a="1"/>
  <c r="N33" i="4" s="1"/>
  <c r="O33" i="4" s="1"/>
  <c r="N32" i="4" a="1"/>
  <c r="N32" i="4" s="1"/>
  <c r="O32" i="4" s="1"/>
  <c r="N31" i="4" a="1"/>
  <c r="N31" i="4" s="1"/>
  <c r="O31" i="4" s="1"/>
  <c r="N30" i="4" a="1"/>
  <c r="N30" i="4" s="1"/>
  <c r="O30" i="4" s="1"/>
  <c r="N29" i="4" a="1"/>
  <c r="N29" i="4" s="1"/>
  <c r="O29" i="4" s="1"/>
  <c r="N28" i="4" a="1"/>
  <c r="N28" i="4" s="1"/>
  <c r="O28" i="4" s="1"/>
  <c r="N27" i="4" a="1"/>
  <c r="N27" i="4" s="1"/>
  <c r="O27" i="4" s="1"/>
  <c r="N26" i="4" a="1"/>
  <c r="N26" i="4" s="1"/>
  <c r="O26" i="4" s="1"/>
  <c r="N24" i="4" a="1"/>
  <c r="N24" i="4" s="1"/>
  <c r="O24" i="4" s="1"/>
  <c r="N23" i="4" a="1"/>
  <c r="N23" i="4" s="1"/>
  <c r="O23" i="4" s="1"/>
  <c r="N22" i="4" a="1"/>
  <c r="N22" i="4" s="1"/>
  <c r="O22" i="4" s="1"/>
  <c r="N21" i="4" a="1"/>
  <c r="N21" i="4" s="1"/>
  <c r="O21" i="4" s="1"/>
  <c r="N20" i="4" a="1"/>
  <c r="N20" i="4" s="1"/>
  <c r="O20" i="4" s="1"/>
  <c r="N19" i="4" a="1"/>
  <c r="N19" i="4" s="1"/>
  <c r="O19" i="4" s="1"/>
  <c r="N18" i="4" a="1"/>
  <c r="N18" i="4" s="1"/>
  <c r="O18" i="4" s="1"/>
  <c r="I9" i="73" s="1"/>
  <c r="N16" i="4" a="1"/>
  <c r="N16" i="4" s="1"/>
  <c r="O16" i="4" s="1"/>
  <c r="I23" i="73" s="1"/>
  <c r="N15" i="4" a="1"/>
  <c r="N15" i="4" s="1"/>
  <c r="O15" i="4" s="1"/>
  <c r="N14" i="4" a="1"/>
  <c r="N14" i="4" s="1"/>
  <c r="O14" i="4" s="1"/>
  <c r="N13" i="4" a="1"/>
  <c r="N13" i="4" s="1"/>
  <c r="O13" i="4" s="1"/>
  <c r="I14" i="73" s="1"/>
  <c r="N12" i="4" a="1"/>
  <c r="N12" i="4" s="1"/>
  <c r="O12" i="4" s="1"/>
  <c r="N11" i="4" a="1"/>
  <c r="N11" i="4" s="1"/>
  <c r="O11" i="4" s="1"/>
  <c r="N10" i="4" a="1"/>
  <c r="N10" i="4" s="1"/>
  <c r="O10" i="4" s="1"/>
  <c r="N9" i="4" a="1"/>
  <c r="N9" i="4" s="1"/>
  <c r="O9" i="4" s="1"/>
  <c r="N8" i="4" a="1"/>
  <c r="N8" i="4" s="1"/>
  <c r="O8" i="4" s="1"/>
  <c r="N7" i="4" a="1"/>
  <c r="N7" i="4" s="1"/>
  <c r="O7" i="4" s="1"/>
  <c r="N6" i="4" a="1"/>
  <c r="N6" i="4" s="1"/>
  <c r="O6" i="4" s="1"/>
  <c r="N5" i="4" a="1"/>
  <c r="N5" i="4" s="1"/>
  <c r="O5" i="4" s="1"/>
  <c r="B7" i="72"/>
  <c r="D6" i="81" s="1"/>
  <c r="G5" i="4"/>
  <c r="G6" i="4"/>
  <c r="G7" i="4"/>
  <c r="G8" i="4"/>
  <c r="G9" i="4"/>
  <c r="G10" i="4"/>
  <c r="G11" i="4"/>
  <c r="G12" i="4"/>
  <c r="G13" i="4"/>
  <c r="G14" i="4"/>
  <c r="G15" i="4"/>
  <c r="G16" i="4"/>
  <c r="G18" i="4"/>
  <c r="G19" i="4"/>
  <c r="G20" i="4"/>
  <c r="G21" i="4"/>
  <c r="G22" i="4"/>
  <c r="G23" i="4"/>
  <c r="G24" i="4"/>
  <c r="G26" i="4"/>
  <c r="G27" i="4"/>
  <c r="G28" i="4"/>
  <c r="G29" i="4"/>
  <c r="G30" i="4"/>
  <c r="G31" i="4"/>
  <c r="G32" i="4"/>
  <c r="G33" i="4"/>
  <c r="G34" i="4"/>
  <c r="G35" i="4"/>
  <c r="G37" i="4"/>
  <c r="G38" i="4"/>
  <c r="G39" i="4"/>
  <c r="G40" i="4"/>
  <c r="G41" i="4"/>
  <c r="G42" i="4"/>
  <c r="G43" i="4"/>
  <c r="G44" i="4"/>
  <c r="G45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2" i="4"/>
  <c r="G133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2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I18" i="73" l="1"/>
  <c r="I35" i="73"/>
  <c r="I31" i="73"/>
  <c r="I7" i="73"/>
  <c r="I42" i="73"/>
  <c r="I49" i="73"/>
  <c r="I19" i="73"/>
  <c r="I25" i="73"/>
  <c r="I47" i="73"/>
  <c r="O155" i="4"/>
  <c r="P155" i="4" s="1"/>
  <c r="I43" i="73"/>
  <c r="I36" i="73"/>
  <c r="I10" i="73"/>
  <c r="I50" i="73"/>
  <c r="I24" i="73"/>
  <c r="I12" i="73"/>
  <c r="I13" i="73"/>
  <c r="I22" i="73"/>
  <c r="I33" i="73"/>
  <c r="I15" i="73"/>
  <c r="I17" i="73"/>
  <c r="I46" i="73"/>
  <c r="I21" i="73"/>
  <c r="I37" i="73"/>
  <c r="I45" i="73"/>
  <c r="I40" i="73"/>
  <c r="I32" i="73"/>
  <c r="I30" i="73"/>
  <c r="I20" i="73"/>
  <c r="I29" i="73"/>
  <c r="I39" i="73"/>
  <c r="I27" i="73"/>
  <c r="I38" i="73"/>
  <c r="I44" i="73"/>
  <c r="I28" i="73"/>
  <c r="P284" i="4"/>
  <c r="P903" i="4"/>
  <c r="P831" i="4"/>
  <c r="P603" i="4"/>
  <c r="P567" i="4"/>
  <c r="P757" i="4"/>
  <c r="P733" i="4"/>
  <c r="P200" i="4"/>
  <c r="P121" i="4"/>
  <c r="P1039" i="4"/>
  <c r="P451" i="4"/>
  <c r="P739" i="4"/>
  <c r="P607" i="4"/>
  <c r="P210" i="4"/>
  <c r="P149" i="4"/>
  <c r="P173" i="4"/>
  <c r="P503" i="4"/>
  <c r="P419" i="4"/>
  <c r="P772" i="4"/>
  <c r="P1048" i="4"/>
  <c r="P844" i="4"/>
  <c r="P580" i="4"/>
  <c r="P796" i="4"/>
  <c r="P6" i="4"/>
  <c r="P838" i="4"/>
  <c r="P778" i="4"/>
  <c r="P478" i="4"/>
  <c r="P14" i="4"/>
  <c r="P7" i="4"/>
  <c r="P8" i="4"/>
  <c r="P616" i="4"/>
  <c r="P52" i="4"/>
  <c r="P12" i="4"/>
  <c r="P823" i="4"/>
  <c r="P38" i="4"/>
  <c r="P139" i="4"/>
  <c r="P27" i="4"/>
  <c r="P53" i="4"/>
  <c r="P16" i="4"/>
  <c r="D23" i="73" s="1"/>
  <c r="P43" i="4"/>
  <c r="P5" i="4"/>
  <c r="P19" i="4"/>
  <c r="P867" i="4"/>
  <c r="P423" i="4"/>
  <c r="P587" i="4"/>
  <c r="P652" i="4"/>
  <c r="P42" i="4"/>
  <c r="D26" i="73" s="1"/>
  <c r="P29" i="4"/>
  <c r="P431" i="4"/>
  <c r="P23" i="4"/>
  <c r="P22" i="4"/>
  <c r="P31" i="4"/>
  <c r="P130" i="4"/>
  <c r="P211" i="4"/>
  <c r="P466" i="4"/>
  <c r="P599" i="4"/>
  <c r="P731" i="4"/>
  <c r="P743" i="4"/>
  <c r="P755" i="4"/>
  <c r="P57" i="4"/>
  <c r="P9" i="4"/>
  <c r="P47" i="4"/>
  <c r="P132" i="4"/>
  <c r="P845" i="4"/>
  <c r="P32" i="4"/>
  <c r="P34" i="4"/>
  <c r="P48" i="4"/>
  <c r="P59" i="4"/>
  <c r="P71" i="4"/>
  <c r="P84" i="4"/>
  <c r="P96" i="4"/>
  <c r="P110" i="4"/>
  <c r="P185" i="4"/>
  <c r="P40" i="4"/>
  <c r="P424" i="4"/>
  <c r="P35" i="4"/>
  <c r="D16" i="73" s="1"/>
  <c r="P122" i="4"/>
  <c r="P157" i="4"/>
  <c r="P256" i="4"/>
  <c r="P13" i="4"/>
  <c r="D14" i="73" s="1"/>
  <c r="P37" i="4"/>
  <c r="P50" i="4"/>
  <c r="D8" i="73" s="1"/>
  <c r="P136" i="4"/>
  <c r="P158" i="4"/>
  <c r="P257" i="4"/>
  <c r="P147" i="4"/>
  <c r="P196" i="4"/>
  <c r="P248" i="4"/>
  <c r="P148" i="4"/>
  <c r="P160" i="4"/>
  <c r="P189" i="4"/>
  <c r="P207" i="4"/>
  <c r="P239" i="4"/>
  <c r="P41" i="4"/>
  <c r="P633" i="4"/>
  <c r="P597" i="4"/>
  <c r="P573" i="4"/>
  <c r="P28" i="4"/>
  <c r="P524" i="4"/>
  <c r="P488" i="4"/>
  <c r="P128" i="4"/>
  <c r="P162" i="4"/>
  <c r="P171" i="4"/>
  <c r="P467" i="4"/>
  <c r="P859" i="4"/>
  <c r="P415" i="4"/>
  <c r="P142" i="4"/>
  <c r="P152" i="4"/>
  <c r="P182" i="4"/>
  <c r="P230" i="4"/>
  <c r="P237" i="4"/>
  <c r="P247" i="4"/>
  <c r="P265" i="4"/>
  <c r="P276" i="4"/>
  <c r="P380" i="4"/>
  <c r="P426" i="4"/>
  <c r="P437" i="4"/>
  <c r="P513" i="4"/>
  <c r="P578" i="4"/>
  <c r="P609" i="4"/>
  <c r="P688" i="4"/>
  <c r="P720" i="4"/>
  <c r="P917" i="4"/>
  <c r="P948" i="4"/>
  <c r="P990" i="4"/>
  <c r="P1035" i="4"/>
  <c r="P51" i="4"/>
  <c r="P60" i="4"/>
  <c r="P72" i="4"/>
  <c r="P85" i="4"/>
  <c r="P97" i="4"/>
  <c r="P111" i="4"/>
  <c r="P131" i="4"/>
  <c r="P141" i="4"/>
  <c r="P183" i="4"/>
  <c r="P198" i="4"/>
  <c r="D52" i="73" s="1"/>
  <c r="P208" i="4"/>
  <c r="P228" i="4"/>
  <c r="P238" i="4"/>
  <c r="P266" i="4"/>
  <c r="P285" i="4"/>
  <c r="P294" i="4"/>
  <c r="P600" i="4"/>
  <c r="P610" i="4"/>
  <c r="P658" i="4"/>
  <c r="P732" i="4"/>
  <c r="P815" i="4"/>
  <c r="P846" i="4"/>
  <c r="P857" i="4"/>
  <c r="P918" i="4"/>
  <c r="P929" i="4"/>
  <c r="P969" i="4"/>
  <c r="P1003" i="4"/>
  <c r="P15" i="4"/>
  <c r="P61" i="4"/>
  <c r="P73" i="4"/>
  <c r="P86" i="4"/>
  <c r="P100" i="4"/>
  <c r="P112" i="4"/>
  <c r="P166" i="4"/>
  <c r="P174" i="4"/>
  <c r="P192" i="4"/>
  <c r="P199" i="4"/>
  <c r="P229" i="4"/>
  <c r="P338" i="4"/>
  <c r="P477" i="4"/>
  <c r="P487" i="4"/>
  <c r="P496" i="4"/>
  <c r="P534" i="4"/>
  <c r="P543" i="4"/>
  <c r="P569" i="4"/>
  <c r="P659" i="4"/>
  <c r="P669" i="4"/>
  <c r="P699" i="4"/>
  <c r="P722" i="4"/>
  <c r="P868" i="4"/>
  <c r="P897" i="4"/>
  <c r="P908" i="4"/>
  <c r="P980" i="4"/>
  <c r="P24" i="4"/>
  <c r="P33" i="4"/>
  <c r="P62" i="4"/>
  <c r="P74" i="4"/>
  <c r="P87" i="4"/>
  <c r="P101" i="4"/>
  <c r="P113" i="4"/>
  <c r="P123" i="4"/>
  <c r="P159" i="4"/>
  <c r="P361" i="4"/>
  <c r="P468" i="4"/>
  <c r="P508" i="4"/>
  <c r="P630" i="4"/>
  <c r="P700" i="4"/>
  <c r="P734" i="4"/>
  <c r="P746" i="4"/>
  <c r="P758" i="4"/>
  <c r="P807" i="4"/>
  <c r="P827" i="4"/>
  <c r="P961" i="4"/>
  <c r="P1005" i="4"/>
  <c r="P26" i="4"/>
  <c r="P75" i="4"/>
  <c r="P88" i="4"/>
  <c r="P102" i="4"/>
  <c r="P114" i="4"/>
  <c r="P124" i="4"/>
  <c r="P133" i="4"/>
  <c r="P143" i="4"/>
  <c r="P150" i="4"/>
  <c r="P167" i="4"/>
  <c r="P175" i="4"/>
  <c r="P193" i="4"/>
  <c r="P201" i="4"/>
  <c r="P220" i="4"/>
  <c r="P240" i="4"/>
  <c r="P250" i="4"/>
  <c r="P269" i="4"/>
  <c r="P287" i="4"/>
  <c r="P308" i="4"/>
  <c r="P430" i="4"/>
  <c r="P479" i="4"/>
  <c r="P498" i="4"/>
  <c r="P525" i="4"/>
  <c r="P592" i="4"/>
  <c r="P640" i="4"/>
  <c r="P671" i="4"/>
  <c r="P701" i="4"/>
  <c r="P735" i="4"/>
  <c r="P789" i="4"/>
  <c r="P828" i="4"/>
  <c r="P952" i="4"/>
  <c r="P982" i="4"/>
  <c r="P44" i="4"/>
  <c r="P54" i="4"/>
  <c r="P63" i="4"/>
  <c r="P76" i="4"/>
  <c r="P89" i="4"/>
  <c r="P103" i="4"/>
  <c r="P115" i="4"/>
  <c r="P125" i="4"/>
  <c r="P135" i="4"/>
  <c r="P151" i="4"/>
  <c r="P168" i="4"/>
  <c r="D5" i="73" s="1"/>
  <c r="P202" i="4"/>
  <c r="P288" i="4"/>
  <c r="P373" i="4"/>
  <c r="P412" i="4"/>
  <c r="P441" i="4"/>
  <c r="P489" i="4"/>
  <c r="P517" i="4"/>
  <c r="P526" i="4"/>
  <c r="P593" i="4"/>
  <c r="P623" i="4"/>
  <c r="P641" i="4"/>
  <c r="P799" i="4"/>
  <c r="P829" i="4"/>
  <c r="P900" i="4"/>
  <c r="P953" i="4"/>
  <c r="P995" i="4"/>
  <c r="P279" i="4"/>
  <c r="P18" i="4"/>
  <c r="D9" i="73" s="1"/>
  <c r="P45" i="4"/>
  <c r="P55" i="4"/>
  <c r="P64" i="4"/>
  <c r="P77" i="4"/>
  <c r="P90" i="4"/>
  <c r="P104" i="4"/>
  <c r="P116" i="4"/>
  <c r="P126" i="4"/>
  <c r="P144" i="4"/>
  <c r="P169" i="4"/>
  <c r="P176" i="4"/>
  <c r="P186" i="4"/>
  <c r="P212" i="4"/>
  <c r="P221" i="4"/>
  <c r="P231" i="4"/>
  <c r="P242" i="4"/>
  <c r="P270" i="4"/>
  <c r="P280" i="4"/>
  <c r="P500" i="4"/>
  <c r="P615" i="4"/>
  <c r="P663" i="4"/>
  <c r="P715" i="4"/>
  <c r="P725" i="4"/>
  <c r="P737" i="4"/>
  <c r="P749" i="4"/>
  <c r="P761" i="4"/>
  <c r="P800" i="4"/>
  <c r="P810" i="4"/>
  <c r="P819" i="4"/>
  <c r="P851" i="4"/>
  <c r="P861" i="4"/>
  <c r="P923" i="4"/>
  <c r="P933" i="4"/>
  <c r="P954" i="4"/>
  <c r="P984" i="4"/>
  <c r="P65" i="4"/>
  <c r="D41" i="73" s="1"/>
  <c r="P78" i="4"/>
  <c r="P91" i="4"/>
  <c r="P105" i="4"/>
  <c r="P117" i="4"/>
  <c r="P161" i="4"/>
  <c r="P187" i="4"/>
  <c r="P194" i="4"/>
  <c r="P203" i="4"/>
  <c r="P213" i="4"/>
  <c r="P222" i="4"/>
  <c r="P243" i="4"/>
  <c r="P271" i="4"/>
  <c r="P311" i="4"/>
  <c r="P332" i="4"/>
  <c r="P343" i="4"/>
  <c r="P386" i="4"/>
  <c r="P432" i="4"/>
  <c r="P443" i="4"/>
  <c r="P462" i="4"/>
  <c r="P472" i="4"/>
  <c r="P490" i="4"/>
  <c r="P563" i="4"/>
  <c r="P584" i="4"/>
  <c r="P750" i="4"/>
  <c r="P944" i="4"/>
  <c r="P10" i="4"/>
  <c r="P20" i="4"/>
  <c r="P56" i="4"/>
  <c r="P67" i="4"/>
  <c r="P79" i="4"/>
  <c r="P92" i="4"/>
  <c r="P106" i="4"/>
  <c r="P118" i="4"/>
  <c r="P137" i="4"/>
  <c r="P145" i="4"/>
  <c r="P154" i="4"/>
  <c r="P170" i="4"/>
  <c r="P178" i="4"/>
  <c r="P204" i="4"/>
  <c r="P214" i="4"/>
  <c r="P223" i="4"/>
  <c r="P233" i="4"/>
  <c r="P261" i="4"/>
  <c r="P300" i="4"/>
  <c r="P454" i="4"/>
  <c r="P473" i="4"/>
  <c r="P574" i="4"/>
  <c r="P653" i="4"/>
  <c r="P675" i="4"/>
  <c r="P705" i="4"/>
  <c r="P716" i="4"/>
  <c r="P782" i="4"/>
  <c r="P965" i="4"/>
  <c r="P1050" i="4"/>
  <c r="P1062" i="4"/>
  <c r="P165" i="4"/>
  <c r="P68" i="4"/>
  <c r="P81" i="4"/>
  <c r="P93" i="4"/>
  <c r="P107" i="4"/>
  <c r="P119" i="4"/>
  <c r="P138" i="4"/>
  <c r="P146" i="4"/>
  <c r="P179" i="4"/>
  <c r="P188" i="4"/>
  <c r="P215" i="4"/>
  <c r="P234" i="4"/>
  <c r="P245" i="4"/>
  <c r="P254" i="4"/>
  <c r="P445" i="4"/>
  <c r="P483" i="4"/>
  <c r="P511" i="4"/>
  <c r="P530" i="4"/>
  <c r="P540" i="4"/>
  <c r="P556" i="4"/>
  <c r="P586" i="4"/>
  <c r="P676" i="4"/>
  <c r="P740" i="4"/>
  <c r="P752" i="4"/>
  <c r="P764" i="4"/>
  <c r="P832" i="4"/>
  <c r="P874" i="4"/>
  <c r="P893" i="4"/>
  <c r="P999" i="4"/>
  <c r="P21" i="4"/>
  <c r="P69" i="4"/>
  <c r="P82" i="4"/>
  <c r="P94" i="4"/>
  <c r="P108" i="4"/>
  <c r="P120" i="4"/>
  <c r="P156" i="4"/>
  <c r="P163" i="4"/>
  <c r="P206" i="4"/>
  <c r="P225" i="4"/>
  <c r="P263" i="4"/>
  <c r="P274" i="4"/>
  <c r="P283" i="4"/>
  <c r="P292" i="4"/>
  <c r="P367" i="4"/>
  <c r="P408" i="4"/>
  <c r="P521" i="4"/>
  <c r="P531" i="4"/>
  <c r="P677" i="4"/>
  <c r="P707" i="4"/>
  <c r="P741" i="4"/>
  <c r="P988" i="4"/>
  <c r="P140" i="4"/>
  <c r="P11" i="4"/>
  <c r="P30" i="4"/>
  <c r="P39" i="4"/>
  <c r="P49" i="4"/>
  <c r="P58" i="4"/>
  <c r="P70" i="4"/>
  <c r="P83" i="4"/>
  <c r="P95" i="4"/>
  <c r="P109" i="4"/>
  <c r="P129" i="4"/>
  <c r="P180" i="4"/>
  <c r="P197" i="4"/>
  <c r="P216" i="4"/>
  <c r="P264" i="4"/>
  <c r="P275" i="4"/>
  <c r="P314" i="4"/>
  <c r="P436" i="4"/>
  <c r="P447" i="4"/>
  <c r="P494" i="4"/>
  <c r="P504" i="4"/>
  <c r="P532" i="4"/>
  <c r="P541" i="4"/>
  <c r="P577" i="4"/>
  <c r="P646" i="4"/>
  <c r="P719" i="4"/>
  <c r="P742" i="4"/>
  <c r="P916" i="4"/>
  <c r="P989" i="4"/>
  <c r="P1001" i="4"/>
  <c r="P1053" i="4"/>
  <c r="P272" i="4"/>
  <c r="P301" i="4"/>
  <c r="P312" i="4"/>
  <c r="P321" i="4"/>
  <c r="P341" i="4"/>
  <c r="P351" i="4"/>
  <c r="P370" i="4"/>
  <c r="P390" i="4"/>
  <c r="P399" i="4"/>
  <c r="P422" i="4"/>
  <c r="P457" i="4"/>
  <c r="P464" i="4"/>
  <c r="P485" i="4"/>
  <c r="P491" i="4"/>
  <c r="P505" i="4"/>
  <c r="P512" i="4"/>
  <c r="P519" i="4"/>
  <c r="P533" i="4"/>
  <c r="P547" i="4"/>
  <c r="P554" i="4"/>
  <c r="P561" i="4"/>
  <c r="P605" i="4"/>
  <c r="P613" i="4"/>
  <c r="P621" i="4"/>
  <c r="P628" i="4"/>
  <c r="P635" i="4"/>
  <c r="P644" i="4"/>
  <c r="P660" i="4"/>
  <c r="P686" i="4"/>
  <c r="P694" i="4"/>
  <c r="P702" i="4"/>
  <c r="P712" i="4"/>
  <c r="P728" i="4"/>
  <c r="P767" i="4"/>
  <c r="P775" i="4"/>
  <c r="P791" i="4"/>
  <c r="P835" i="4"/>
  <c r="P875" i="4"/>
  <c r="P884" i="4"/>
  <c r="P901" i="4"/>
  <c r="P909" i="4"/>
  <c r="P927" i="4"/>
  <c r="P936" i="4"/>
  <c r="P945" i="4"/>
  <c r="P976" i="4"/>
  <c r="P993" i="4"/>
  <c r="P1002" i="4"/>
  <c r="P1011" i="4"/>
  <c r="P1021" i="4"/>
  <c r="P1033" i="4"/>
  <c r="P1041" i="4"/>
  <c r="P1058" i="4"/>
  <c r="P177" i="4"/>
  <c r="P224" i="4"/>
  <c r="P232" i="4"/>
  <c r="P241" i="4"/>
  <c r="P249" i="4"/>
  <c r="P273" i="4"/>
  <c r="P302" i="4"/>
  <c r="P322" i="4"/>
  <c r="P342" i="4"/>
  <c r="P352" i="4"/>
  <c r="P371" i="4"/>
  <c r="P381" i="4"/>
  <c r="P400" i="4"/>
  <c r="P465" i="4"/>
  <c r="P486" i="4"/>
  <c r="P492" i="4"/>
  <c r="P499" i="4"/>
  <c r="P506" i="4"/>
  <c r="P520" i="4"/>
  <c r="P555" i="4"/>
  <c r="P562" i="4"/>
  <c r="P606" i="4"/>
  <c r="P614" i="4"/>
  <c r="P636" i="4"/>
  <c r="P661" i="4"/>
  <c r="P703" i="4"/>
  <c r="P713" i="4"/>
  <c r="P729" i="4"/>
  <c r="P768" i="4"/>
  <c r="P783" i="4"/>
  <c r="P792" i="4"/>
  <c r="P876" i="4"/>
  <c r="P885" i="4"/>
  <c r="P902" i="4"/>
  <c r="P928" i="4"/>
  <c r="P937" i="4"/>
  <c r="P977" i="4"/>
  <c r="P985" i="4"/>
  <c r="P994" i="4"/>
  <c r="P1012" i="4"/>
  <c r="P1022" i="4"/>
  <c r="P1034" i="4"/>
  <c r="P1049" i="4"/>
  <c r="P1059" i="4"/>
  <c r="P286" i="4"/>
  <c r="P293" i="4"/>
  <c r="P303" i="4"/>
  <c r="P313" i="4"/>
  <c r="P323" i="4"/>
  <c r="P333" i="4"/>
  <c r="P353" i="4"/>
  <c r="P362" i="4"/>
  <c r="P372" i="4"/>
  <c r="P382" i="4"/>
  <c r="P391" i="4"/>
  <c r="P401" i="4"/>
  <c r="P409" i="4"/>
  <c r="P444" i="4"/>
  <c r="P458" i="4"/>
  <c r="P493" i="4"/>
  <c r="P507" i="4"/>
  <c r="P548" i="4"/>
  <c r="P570" i="4"/>
  <c r="P585" i="4"/>
  <c r="P622" i="4"/>
  <c r="P629" i="4"/>
  <c r="P637" i="4"/>
  <c r="P645" i="4"/>
  <c r="P662" i="4"/>
  <c r="P670" i="4"/>
  <c r="P678" i="4"/>
  <c r="P687" i="4"/>
  <c r="P695" i="4"/>
  <c r="P704" i="4"/>
  <c r="P714" i="4"/>
  <c r="P721" i="4"/>
  <c r="P730" i="4"/>
  <c r="P736" i="4"/>
  <c r="P751" i="4"/>
  <c r="P759" i="4"/>
  <c r="P769" i="4"/>
  <c r="P776" i="4"/>
  <c r="P784" i="4"/>
  <c r="P793" i="4"/>
  <c r="P808" i="4"/>
  <c r="P816" i="4"/>
  <c r="P836" i="4"/>
  <c r="P852" i="4"/>
  <c r="P877" i="4"/>
  <c r="P886" i="4"/>
  <c r="P894" i="4"/>
  <c r="P910" i="4"/>
  <c r="P919" i="4"/>
  <c r="P938" i="4"/>
  <c r="P946" i="4"/>
  <c r="P962" i="4"/>
  <c r="P970" i="4"/>
  <c r="P978" i="4"/>
  <c r="P986" i="4"/>
  <c r="P1013" i="4"/>
  <c r="P1023" i="4"/>
  <c r="P1060" i="4"/>
  <c r="P209" i="4"/>
  <c r="P217" i="4"/>
  <c r="P251" i="4"/>
  <c r="P258" i="4"/>
  <c r="P304" i="4"/>
  <c r="P324" i="4"/>
  <c r="P334" i="4"/>
  <c r="P354" i="4"/>
  <c r="P363" i="4"/>
  <c r="P383" i="4"/>
  <c r="P402" i="4"/>
  <c r="P416" i="4"/>
  <c r="P527" i="4"/>
  <c r="P549" i="4"/>
  <c r="P571" i="4"/>
  <c r="P638" i="4"/>
  <c r="P679" i="4"/>
  <c r="P696" i="4"/>
  <c r="P760" i="4"/>
  <c r="P777" i="4"/>
  <c r="P785" i="4"/>
  <c r="P809" i="4"/>
  <c r="P837" i="4"/>
  <c r="P853" i="4"/>
  <c r="P860" i="4"/>
  <c r="P878" i="4"/>
  <c r="P911" i="4"/>
  <c r="P920" i="4"/>
  <c r="P947" i="4"/>
  <c r="P971" i="4"/>
  <c r="P979" i="4"/>
  <c r="P987" i="4"/>
  <c r="P1004" i="4"/>
  <c r="P1024" i="4"/>
  <c r="P1061" i="4"/>
  <c r="P164" i="4"/>
  <c r="P172" i="4"/>
  <c r="P195" i="4"/>
  <c r="P218" i="4"/>
  <c r="P226" i="4"/>
  <c r="P259" i="4"/>
  <c r="P305" i="4"/>
  <c r="P335" i="4"/>
  <c r="P344" i="4"/>
  <c r="P355" i="4"/>
  <c r="P364" i="4"/>
  <c r="P384" i="4"/>
  <c r="P392" i="4"/>
  <c r="P417" i="4"/>
  <c r="P459" i="4"/>
  <c r="P480" i="4"/>
  <c r="P501" i="4"/>
  <c r="P514" i="4"/>
  <c r="P522" i="4"/>
  <c r="P528" i="4"/>
  <c r="P535" i="4"/>
  <c r="P542" i="4"/>
  <c r="P572" i="4"/>
  <c r="P594" i="4"/>
  <c r="P601" i="4"/>
  <c r="P654" i="4"/>
  <c r="P680" i="4"/>
  <c r="P697" i="4"/>
  <c r="P744" i="4"/>
  <c r="P770" i="4"/>
  <c r="P786" i="4"/>
  <c r="P794" i="4"/>
  <c r="P801" i="4"/>
  <c r="P817" i="4"/>
  <c r="P854" i="4"/>
  <c r="P869" i="4"/>
  <c r="P879" i="4"/>
  <c r="P887" i="4"/>
  <c r="P895" i="4"/>
  <c r="P912" i="4"/>
  <c r="P921" i="4"/>
  <c r="P930" i="4"/>
  <c r="P939" i="4"/>
  <c r="P955" i="4"/>
  <c r="P963" i="4"/>
  <c r="P972" i="4"/>
  <c r="P996" i="4"/>
  <c r="P1014" i="4"/>
  <c r="P1025" i="4"/>
  <c r="P1036" i="4"/>
  <c r="P1043" i="4"/>
  <c r="P1051" i="4"/>
  <c r="P219" i="4"/>
  <c r="P227" i="4"/>
  <c r="P235" i="4"/>
  <c r="P252" i="4"/>
  <c r="P260" i="4"/>
  <c r="P267" i="4"/>
  <c r="P281" i="4"/>
  <c r="P306" i="4"/>
  <c r="P315" i="4"/>
  <c r="P325" i="4"/>
  <c r="P336" i="4"/>
  <c r="P345" i="4"/>
  <c r="P365" i="4"/>
  <c r="P374" i="4"/>
  <c r="P393" i="4"/>
  <c r="P410" i="4"/>
  <c r="P438" i="4"/>
  <c r="P446" i="4"/>
  <c r="P474" i="4"/>
  <c r="P529" i="4"/>
  <c r="P557" i="4"/>
  <c r="P564" i="4"/>
  <c r="P579" i="4"/>
  <c r="P595" i="4"/>
  <c r="P602" i="4"/>
  <c r="P608" i="4"/>
  <c r="P624" i="4"/>
  <c r="P631" i="4"/>
  <c r="P639" i="4"/>
  <c r="P647" i="4"/>
  <c r="P655" i="4"/>
  <c r="P672" i="4"/>
  <c r="P698" i="4"/>
  <c r="P706" i="4"/>
  <c r="P738" i="4"/>
  <c r="P745" i="4"/>
  <c r="P753" i="4"/>
  <c r="P787" i="4"/>
  <c r="P795" i="4"/>
  <c r="P818" i="4"/>
  <c r="P870" i="4"/>
  <c r="P888" i="4"/>
  <c r="P896" i="4"/>
  <c r="P913" i="4"/>
  <c r="P922" i="4"/>
  <c r="P956" i="4"/>
  <c r="P964" i="4"/>
  <c r="P973" i="4"/>
  <c r="P997" i="4"/>
  <c r="P1015" i="4"/>
  <c r="P1026" i="4"/>
  <c r="P1052" i="4"/>
  <c r="P236" i="4"/>
  <c r="P244" i="4"/>
  <c r="P253" i="4"/>
  <c r="P268" i="4"/>
  <c r="P282" i="4"/>
  <c r="P295" i="4"/>
  <c r="P307" i="4"/>
  <c r="P316" i="4"/>
  <c r="P326" i="4"/>
  <c r="P346" i="4"/>
  <c r="P356" i="4"/>
  <c r="P366" i="4"/>
  <c r="P375" i="4"/>
  <c r="P385" i="4"/>
  <c r="P394" i="4"/>
  <c r="P403" i="4"/>
  <c r="P411" i="4"/>
  <c r="P418" i="4"/>
  <c r="P439" i="4"/>
  <c r="P453" i="4"/>
  <c r="P460" i="4"/>
  <c r="P475" i="4"/>
  <c r="P481" i="4"/>
  <c r="P495" i="4"/>
  <c r="P502" i="4"/>
  <c r="P509" i="4"/>
  <c r="P515" i="4"/>
  <c r="P523" i="4"/>
  <c r="P550" i="4"/>
  <c r="P558" i="4"/>
  <c r="P565" i="4"/>
  <c r="P596" i="4"/>
  <c r="P625" i="4"/>
  <c r="P632" i="4"/>
  <c r="P648" i="4"/>
  <c r="P656" i="4"/>
  <c r="P664" i="4"/>
  <c r="P673" i="4"/>
  <c r="P681" i="4"/>
  <c r="P689" i="4"/>
  <c r="P723" i="4"/>
  <c r="P754" i="4"/>
  <c r="P762" i="4"/>
  <c r="P771" i="4"/>
  <c r="P788" i="4"/>
  <c r="P802" i="4"/>
  <c r="P811" i="4"/>
  <c r="P855" i="4"/>
  <c r="P862" i="4"/>
  <c r="P871" i="4"/>
  <c r="P880" i="4"/>
  <c r="P889" i="4"/>
  <c r="P904" i="4"/>
  <c r="P914" i="4"/>
  <c r="P931" i="4"/>
  <c r="P940" i="4"/>
  <c r="P957" i="4"/>
  <c r="P981" i="4"/>
  <c r="P998" i="4"/>
  <c r="P1006" i="4"/>
  <c r="P1016" i="4"/>
  <c r="P1027" i="4"/>
  <c r="P1037" i="4"/>
  <c r="P1044" i="4"/>
  <c r="P1063" i="4"/>
  <c r="P289" i="4"/>
  <c r="P296" i="4"/>
  <c r="P317" i="4"/>
  <c r="P327" i="4"/>
  <c r="P337" i="4"/>
  <c r="P347" i="4"/>
  <c r="P357" i="4"/>
  <c r="P376" i="4"/>
  <c r="P395" i="4"/>
  <c r="P404" i="4"/>
  <c r="P425" i="4"/>
  <c r="P440" i="4"/>
  <c r="P461" i="4"/>
  <c r="P482" i="4"/>
  <c r="P516" i="4"/>
  <c r="P551" i="4"/>
  <c r="P566" i="4"/>
  <c r="P649" i="4"/>
  <c r="P657" i="4"/>
  <c r="P674" i="4"/>
  <c r="P690" i="4"/>
  <c r="P724" i="4"/>
  <c r="P763" i="4"/>
  <c r="P803" i="4"/>
  <c r="P826" i="4"/>
  <c r="P839" i="4"/>
  <c r="P856" i="4"/>
  <c r="P863" i="4"/>
  <c r="P905" i="4"/>
  <c r="P915" i="4"/>
  <c r="P932" i="4"/>
  <c r="P941" i="4"/>
  <c r="P949" i="4"/>
  <c r="P958" i="4"/>
  <c r="P1007" i="4"/>
  <c r="P1028" i="4"/>
  <c r="P1038" i="4"/>
  <c r="P1045" i="4"/>
  <c r="P190" i="4"/>
  <c r="P246" i="4"/>
  <c r="P255" i="4"/>
  <c r="P277" i="4"/>
  <c r="P290" i="4"/>
  <c r="P297" i="4"/>
  <c r="P318" i="4"/>
  <c r="P328" i="4"/>
  <c r="P348" i="4"/>
  <c r="P358" i="4"/>
  <c r="P377" i="4"/>
  <c r="P396" i="4"/>
  <c r="P405" i="4"/>
  <c r="P448" i="4"/>
  <c r="P510" i="4"/>
  <c r="P537" i="4"/>
  <c r="P544" i="4"/>
  <c r="P552" i="4"/>
  <c r="P559" i="4"/>
  <c r="P588" i="4"/>
  <c r="P617" i="4"/>
  <c r="P650" i="4"/>
  <c r="P665" i="4"/>
  <c r="P682" i="4"/>
  <c r="P691" i="4"/>
  <c r="P708" i="4"/>
  <c r="P717" i="4"/>
  <c r="P747" i="4"/>
  <c r="P779" i="4"/>
  <c r="P804" i="4"/>
  <c r="P812" i="4"/>
  <c r="P820" i="4"/>
  <c r="P840" i="4"/>
  <c r="P847" i="4"/>
  <c r="P864" i="4"/>
  <c r="P872" i="4"/>
  <c r="P881" i="4"/>
  <c r="P898" i="4"/>
  <c r="P906" i="4"/>
  <c r="P924" i="4"/>
  <c r="P942" i="4"/>
  <c r="P950" i="4"/>
  <c r="P966" i="4"/>
  <c r="P1008" i="4"/>
  <c r="P1017" i="4"/>
  <c r="P1029" i="4"/>
  <c r="P1046" i="4"/>
  <c r="P1054" i="4"/>
  <c r="P184" i="4"/>
  <c r="P191" i="4"/>
  <c r="P205" i="4"/>
  <c r="P262" i="4"/>
  <c r="P278" i="4"/>
  <c r="P291" i="4"/>
  <c r="P298" i="4"/>
  <c r="P309" i="4"/>
  <c r="P329" i="4"/>
  <c r="P359" i="4"/>
  <c r="P378" i="4"/>
  <c r="P387" i="4"/>
  <c r="P406" i="4"/>
  <c r="P413" i="4"/>
  <c r="P420" i="4"/>
  <c r="P433" i="4"/>
  <c r="P469" i="4"/>
  <c r="P497" i="4"/>
  <c r="P538" i="4"/>
  <c r="P581" i="4"/>
  <c r="P589" i="4"/>
  <c r="P618" i="4"/>
  <c r="P666" i="4"/>
  <c r="P683" i="4"/>
  <c r="P692" i="4"/>
  <c r="P709" i="4"/>
  <c r="P718" i="4"/>
  <c r="P748" i="4"/>
  <c r="P756" i="4"/>
  <c r="P780" i="4"/>
  <c r="P805" i="4"/>
  <c r="P821" i="4"/>
  <c r="P841" i="4"/>
  <c r="P848" i="4"/>
  <c r="P865" i="4"/>
  <c r="P873" i="4"/>
  <c r="P899" i="4"/>
  <c r="P907" i="4"/>
  <c r="P925" i="4"/>
  <c r="P943" i="4"/>
  <c r="P951" i="4"/>
  <c r="P959" i="4"/>
  <c r="P983" i="4"/>
  <c r="P1000" i="4"/>
  <c r="P1009" i="4"/>
  <c r="P1018" i="4"/>
  <c r="P1030" i="4"/>
  <c r="P1055" i="4"/>
  <c r="P299" i="4"/>
  <c r="P310" i="4"/>
  <c r="P319" i="4"/>
  <c r="P330" i="4"/>
  <c r="P339" i="4"/>
  <c r="P349" i="4"/>
  <c r="P360" i="4"/>
  <c r="P368" i="4"/>
  <c r="P379" i="4"/>
  <c r="P388" i="4"/>
  <c r="P397" i="4"/>
  <c r="P407" i="4"/>
  <c r="P414" i="4"/>
  <c r="P421" i="4"/>
  <c r="P427" i="4"/>
  <c r="P434" i="4"/>
  <c r="P449" i="4"/>
  <c r="P455" i="4"/>
  <c r="P463" i="4"/>
  <c r="P470" i="4"/>
  <c r="P484" i="4"/>
  <c r="P518" i="4"/>
  <c r="P539" i="4"/>
  <c r="P545" i="4"/>
  <c r="P553" i="4"/>
  <c r="P575" i="4"/>
  <c r="P582" i="4"/>
  <c r="P590" i="4"/>
  <c r="P604" i="4"/>
  <c r="P611" i="4"/>
  <c r="P619" i="4"/>
  <c r="P627" i="4"/>
  <c r="P634" i="4"/>
  <c r="P642" i="4"/>
  <c r="P651" i="4"/>
  <c r="P667" i="4"/>
  <c r="P684" i="4"/>
  <c r="P693" i="4"/>
  <c r="P710" i="4"/>
  <c r="P726" i="4"/>
  <c r="P765" i="4"/>
  <c r="P773" i="4"/>
  <c r="P781" i="4"/>
  <c r="P790" i="4"/>
  <c r="P797" i="4"/>
  <c r="P806" i="4"/>
  <c r="P813" i="4"/>
  <c r="P822" i="4"/>
  <c r="P833" i="4"/>
  <c r="P842" i="4"/>
  <c r="P849" i="4"/>
  <c r="P858" i="4"/>
  <c r="P866" i="4"/>
  <c r="P882" i="4"/>
  <c r="P891" i="4"/>
  <c r="P926" i="4"/>
  <c r="P934" i="4"/>
  <c r="P960" i="4"/>
  <c r="P967" i="4"/>
  <c r="P975" i="4"/>
  <c r="P991" i="4"/>
  <c r="P1010" i="4"/>
  <c r="P1019" i="4"/>
  <c r="P1031" i="4"/>
  <c r="P1040" i="4"/>
  <c r="P1047" i="4"/>
  <c r="P1056" i="4"/>
  <c r="P320" i="4"/>
  <c r="P331" i="4"/>
  <c r="P340" i="4"/>
  <c r="P350" i="4"/>
  <c r="P369" i="4"/>
  <c r="P389" i="4"/>
  <c r="P398" i="4"/>
  <c r="P428" i="4"/>
  <c r="P435" i="4"/>
  <c r="P442" i="4"/>
  <c r="P450" i="4"/>
  <c r="P456" i="4"/>
  <c r="P471" i="4"/>
  <c r="P546" i="4"/>
  <c r="P568" i="4"/>
  <c r="P576" i="4"/>
  <c r="P583" i="4"/>
  <c r="P591" i="4"/>
  <c r="P598" i="4"/>
  <c r="P612" i="4"/>
  <c r="P620" i="4"/>
  <c r="P643" i="4"/>
  <c r="P668" i="4"/>
  <c r="P685" i="4"/>
  <c r="P711" i="4"/>
  <c r="P727" i="4"/>
  <c r="P766" i="4"/>
  <c r="P774" i="4"/>
  <c r="P798" i="4"/>
  <c r="P814" i="4"/>
  <c r="P834" i="4"/>
  <c r="P843" i="4"/>
  <c r="P850" i="4"/>
  <c r="P883" i="4"/>
  <c r="P892" i="4"/>
  <c r="P935" i="4"/>
  <c r="P968" i="4"/>
  <c r="P992" i="4"/>
  <c r="P1020" i="4"/>
  <c r="P1032" i="4"/>
  <c r="P1057" i="4"/>
  <c r="K3" i="4"/>
  <c r="D42" i="73" l="1"/>
  <c r="D7" i="73"/>
  <c r="D35" i="73"/>
  <c r="D31" i="73"/>
  <c r="D18" i="73"/>
  <c r="D48" i="73"/>
  <c r="I48" i="73"/>
  <c r="D49" i="73"/>
  <c r="D47" i="73"/>
  <c r="I34" i="73"/>
  <c r="D25" i="73"/>
  <c r="D19" i="73"/>
  <c r="D34" i="73"/>
  <c r="D6" i="73"/>
  <c r="D43" i="73"/>
  <c r="D10" i="73"/>
  <c r="D17" i="73"/>
  <c r="D39" i="73"/>
  <c r="D32" i="73"/>
  <c r="D44" i="73"/>
  <c r="D36" i="73"/>
  <c r="D46" i="73"/>
  <c r="D27" i="73"/>
  <c r="D12" i="73"/>
  <c r="D30" i="73"/>
  <c r="D20" i="73"/>
  <c r="D33" i="73"/>
  <c r="D15" i="73"/>
  <c r="D37" i="73"/>
  <c r="D24" i="73"/>
  <c r="D28" i="73"/>
  <c r="D40" i="73"/>
  <c r="D21" i="73"/>
  <c r="D45" i="73"/>
  <c r="D13" i="73"/>
  <c r="D50" i="73"/>
  <c r="D29" i="73"/>
  <c r="D22" i="73"/>
  <c r="D38" i="73"/>
  <c r="B12" i="74"/>
  <c r="C12" i="74"/>
  <c r="H61" i="73"/>
  <c r="B10" i="74"/>
  <c r="B14" i="74"/>
  <c r="G61" i="73"/>
  <c r="F61" i="73"/>
  <c r="B11" i="74"/>
  <c r="L7" i="74" a="1"/>
  <c r="L7" i="74" s="1"/>
  <c r="I61" i="73" l="1"/>
  <c r="B13" i="74"/>
  <c r="D61" i="73"/>
  <c r="J61" i="73"/>
  <c r="B7" i="74"/>
  <c r="B15" i="74"/>
  <c r="L61" i="73" l="1"/>
  <c r="P254" i="1" l="1"/>
  <c r="P253" i="1"/>
  <c r="P252" i="1"/>
  <c r="P251" i="1"/>
  <c r="P250" i="1"/>
  <c r="T250" i="1" l="1"/>
  <c r="T252" i="1"/>
  <c r="T253" i="1"/>
  <c r="T251" i="1"/>
  <c r="T254" i="1"/>
  <c r="J252" i="1"/>
  <c r="R252" i="1" s="1"/>
  <c r="M252" i="1"/>
  <c r="N252" i="1" l="1"/>
  <c r="J244" i="1" l="1"/>
  <c r="J243" i="1"/>
  <c r="J242" i="1"/>
  <c r="J232" i="1" l="1"/>
  <c r="J233" i="1"/>
  <c r="J234" i="1"/>
  <c r="H1" i="1" l="1"/>
  <c r="J148" i="1" l="1"/>
  <c r="J149" i="1"/>
  <c r="J150" i="1"/>
  <c r="J60" i="1" l="1"/>
  <c r="M60" i="1"/>
  <c r="P60" i="1"/>
  <c r="P146" i="1"/>
  <c r="J146" i="1"/>
  <c r="M146" i="1"/>
  <c r="H141" i="1"/>
  <c r="B50" i="81" l="1"/>
  <c r="C15" i="81"/>
  <c r="T60" i="1"/>
  <c r="C26" i="73" s="1"/>
  <c r="E26" i="73" s="1"/>
  <c r="M26" i="73" s="1"/>
  <c r="R60" i="1"/>
  <c r="T146" i="1"/>
  <c r="R146" i="1"/>
  <c r="F11" i="78"/>
  <c r="H11" i="78" s="1"/>
  <c r="H14" i="80"/>
  <c r="H15" i="80" s="1"/>
  <c r="B5" i="77"/>
  <c r="B6" i="77" s="1"/>
  <c r="H2" i="1"/>
  <c r="N60" i="1"/>
  <c r="N146" i="1"/>
  <c r="P141" i="1"/>
  <c r="M141" i="1"/>
  <c r="J141" i="1"/>
  <c r="F15" i="81" l="1"/>
  <c r="F16" i="81" s="1"/>
  <c r="C16" i="81"/>
  <c r="D50" i="81"/>
  <c r="D62" i="81" s="1"/>
  <c r="B62" i="81"/>
  <c r="T141" i="1"/>
  <c r="R141" i="1"/>
  <c r="N141" i="1"/>
  <c r="F64" i="81" l="1"/>
  <c r="J124" i="1"/>
  <c r="M124" i="1"/>
  <c r="P124" i="1"/>
  <c r="J125" i="1"/>
  <c r="M125" i="1"/>
  <c r="P125" i="1"/>
  <c r="J126" i="1"/>
  <c r="M126" i="1"/>
  <c r="P126" i="1"/>
  <c r="J127" i="1"/>
  <c r="M127" i="1"/>
  <c r="P127" i="1"/>
  <c r="J128" i="1"/>
  <c r="M128" i="1"/>
  <c r="P128" i="1"/>
  <c r="J129" i="1"/>
  <c r="M129" i="1"/>
  <c r="P129" i="1"/>
  <c r="J130" i="1"/>
  <c r="M130" i="1"/>
  <c r="P130" i="1"/>
  <c r="J131" i="1"/>
  <c r="M131" i="1"/>
  <c r="P131" i="1"/>
  <c r="J132" i="1"/>
  <c r="M132" i="1"/>
  <c r="P132" i="1"/>
  <c r="J133" i="1"/>
  <c r="M133" i="1"/>
  <c r="P133" i="1"/>
  <c r="J134" i="1"/>
  <c r="M134" i="1"/>
  <c r="P134" i="1"/>
  <c r="T131" i="1" l="1"/>
  <c r="R131" i="1"/>
  <c r="T130" i="1"/>
  <c r="R130" i="1"/>
  <c r="T125" i="1"/>
  <c r="R125" i="1"/>
  <c r="T127" i="1"/>
  <c r="R127" i="1"/>
  <c r="T134" i="1"/>
  <c r="R134" i="1"/>
  <c r="T133" i="1"/>
  <c r="R133" i="1"/>
  <c r="T124" i="1"/>
  <c r="R124" i="1"/>
  <c r="T126" i="1"/>
  <c r="R126" i="1"/>
  <c r="T128" i="1"/>
  <c r="R128" i="1"/>
  <c r="T129" i="1"/>
  <c r="R129" i="1"/>
  <c r="T132" i="1"/>
  <c r="R132" i="1"/>
  <c r="N127" i="1"/>
  <c r="N130" i="1"/>
  <c r="N128" i="1"/>
  <c r="N126" i="1"/>
  <c r="N124" i="1"/>
  <c r="N133" i="1"/>
  <c r="N131" i="1"/>
  <c r="N134" i="1"/>
  <c r="N129" i="1"/>
  <c r="N125" i="1"/>
  <c r="N132" i="1"/>
  <c r="P105" i="1"/>
  <c r="J105" i="1"/>
  <c r="M105" i="1"/>
  <c r="T105" i="1" l="1"/>
  <c r="R105" i="1"/>
  <c r="N105" i="1"/>
  <c r="P24" i="1" l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1" i="1"/>
  <c r="P62" i="1"/>
  <c r="P65" i="1"/>
  <c r="P66" i="1"/>
  <c r="P67" i="1"/>
  <c r="P68" i="1"/>
  <c r="P69" i="1"/>
  <c r="P70" i="1"/>
  <c r="P63" i="1"/>
  <c r="P64" i="1"/>
  <c r="P71" i="1"/>
  <c r="P72" i="1"/>
  <c r="P73" i="1"/>
  <c r="P74" i="1"/>
  <c r="P75" i="1"/>
  <c r="P76" i="1"/>
  <c r="P77" i="1"/>
  <c r="P78" i="1"/>
  <c r="P79" i="1"/>
  <c r="P80" i="1"/>
  <c r="P81" i="1"/>
  <c r="P90" i="1"/>
  <c r="P82" i="1"/>
  <c r="P83" i="1"/>
  <c r="P84" i="1"/>
  <c r="P91" i="1"/>
  <c r="P85" i="1"/>
  <c r="P86" i="1"/>
  <c r="P87" i="1"/>
  <c r="P88" i="1"/>
  <c r="P89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35" i="1"/>
  <c r="P136" i="1"/>
  <c r="P137" i="1"/>
  <c r="P138" i="1"/>
  <c r="P139" i="1"/>
  <c r="P140" i="1"/>
  <c r="P142" i="1"/>
  <c r="P143" i="1"/>
  <c r="P144" i="1"/>
  <c r="P145" i="1"/>
  <c r="P147" i="1"/>
  <c r="P148" i="1"/>
  <c r="R148" i="1" s="1"/>
  <c r="P149" i="1"/>
  <c r="R149" i="1" s="1"/>
  <c r="P150" i="1"/>
  <c r="R150" i="1" s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6" i="1"/>
  <c r="P217" i="1"/>
  <c r="P218" i="1"/>
  <c r="P219" i="1"/>
  <c r="P215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J25" i="1"/>
  <c r="J26" i="1"/>
  <c r="J27" i="1"/>
  <c r="J28" i="1"/>
  <c r="J29" i="1"/>
  <c r="J30" i="1"/>
  <c r="J31" i="1"/>
  <c r="D30" i="82" s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1" i="1"/>
  <c r="J62" i="1"/>
  <c r="J65" i="1"/>
  <c r="J66" i="1"/>
  <c r="J67" i="1"/>
  <c r="J68" i="1"/>
  <c r="J69" i="1"/>
  <c r="J70" i="1"/>
  <c r="J63" i="1"/>
  <c r="J64" i="1"/>
  <c r="J71" i="1"/>
  <c r="J72" i="1"/>
  <c r="J73" i="1"/>
  <c r="J74" i="1"/>
  <c r="J75" i="1"/>
  <c r="J76" i="1"/>
  <c r="J77" i="1"/>
  <c r="J78" i="1"/>
  <c r="J79" i="1"/>
  <c r="J80" i="1"/>
  <c r="J81" i="1"/>
  <c r="J90" i="1"/>
  <c r="J82" i="1"/>
  <c r="J83" i="1"/>
  <c r="J84" i="1"/>
  <c r="J91" i="1"/>
  <c r="J85" i="1"/>
  <c r="J86" i="1"/>
  <c r="J87" i="1"/>
  <c r="J88" i="1"/>
  <c r="J89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35" i="1"/>
  <c r="J136" i="1"/>
  <c r="J137" i="1"/>
  <c r="J138" i="1"/>
  <c r="J139" i="1"/>
  <c r="J140" i="1"/>
  <c r="C11" i="78" s="1"/>
  <c r="J142" i="1"/>
  <c r="J143" i="1"/>
  <c r="J144" i="1"/>
  <c r="J145" i="1"/>
  <c r="J147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6" i="1"/>
  <c r="J217" i="1"/>
  <c r="J218" i="1"/>
  <c r="J219" i="1"/>
  <c r="J215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5" i="1"/>
  <c r="J236" i="1"/>
  <c r="J237" i="1"/>
  <c r="J238" i="1"/>
  <c r="J239" i="1"/>
  <c r="J240" i="1"/>
  <c r="J241" i="1"/>
  <c r="J245" i="1"/>
  <c r="J246" i="1"/>
  <c r="J247" i="1"/>
  <c r="J248" i="1"/>
  <c r="J249" i="1"/>
  <c r="J250" i="1"/>
  <c r="R250" i="1" s="1"/>
  <c r="J251" i="1"/>
  <c r="R251" i="1" s="1"/>
  <c r="J253" i="1"/>
  <c r="R253" i="1" s="1"/>
  <c r="J254" i="1"/>
  <c r="R254" i="1" s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M25" i="1"/>
  <c r="M26" i="1"/>
  <c r="M27" i="1"/>
  <c r="M28" i="1"/>
  <c r="M29" i="1"/>
  <c r="M30" i="1"/>
  <c r="M31" i="1"/>
  <c r="E30" i="82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1" i="1"/>
  <c r="M62" i="1"/>
  <c r="M65" i="1"/>
  <c r="M66" i="1"/>
  <c r="M67" i="1"/>
  <c r="M68" i="1"/>
  <c r="M69" i="1"/>
  <c r="M70" i="1"/>
  <c r="M63" i="1"/>
  <c r="M64" i="1"/>
  <c r="M71" i="1"/>
  <c r="M72" i="1"/>
  <c r="M73" i="1"/>
  <c r="M74" i="1"/>
  <c r="M75" i="1"/>
  <c r="M76" i="1"/>
  <c r="M77" i="1"/>
  <c r="M78" i="1"/>
  <c r="M79" i="1"/>
  <c r="M80" i="1"/>
  <c r="M81" i="1"/>
  <c r="M90" i="1"/>
  <c r="M82" i="1"/>
  <c r="M83" i="1"/>
  <c r="M84" i="1"/>
  <c r="M91" i="1"/>
  <c r="M85" i="1"/>
  <c r="M86" i="1"/>
  <c r="M87" i="1"/>
  <c r="M88" i="1"/>
  <c r="M89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35" i="1"/>
  <c r="M136" i="1"/>
  <c r="M137" i="1"/>
  <c r="M138" i="1"/>
  <c r="M139" i="1"/>
  <c r="M140" i="1"/>
  <c r="M142" i="1"/>
  <c r="M143" i="1"/>
  <c r="M144" i="1"/>
  <c r="M145" i="1"/>
  <c r="M147" i="1"/>
  <c r="M148" i="1"/>
  <c r="M149" i="1"/>
  <c r="F30" i="82" l="1"/>
  <c r="E14" i="80"/>
  <c r="E8" i="80"/>
  <c r="E9" i="80" s="1"/>
  <c r="T295" i="1"/>
  <c r="R295" i="1"/>
  <c r="T283" i="1"/>
  <c r="R283" i="1"/>
  <c r="T271" i="1"/>
  <c r="R271" i="1"/>
  <c r="T259" i="1"/>
  <c r="R259" i="1"/>
  <c r="T242" i="1"/>
  <c r="R242" i="1"/>
  <c r="T230" i="1"/>
  <c r="R230" i="1"/>
  <c r="T219" i="1"/>
  <c r="R219" i="1"/>
  <c r="T206" i="1"/>
  <c r="R206" i="1"/>
  <c r="T194" i="1"/>
  <c r="R194" i="1"/>
  <c r="T182" i="1"/>
  <c r="C6" i="73" s="1"/>
  <c r="E6" i="73" s="1"/>
  <c r="M6" i="73" s="1"/>
  <c r="R182" i="1"/>
  <c r="T170" i="1"/>
  <c r="R170" i="1"/>
  <c r="T158" i="1"/>
  <c r="R158" i="1"/>
  <c r="T145" i="1"/>
  <c r="R145" i="1"/>
  <c r="T121" i="1"/>
  <c r="R121" i="1"/>
  <c r="T109" i="1"/>
  <c r="R109" i="1"/>
  <c r="T96" i="1"/>
  <c r="R96" i="1"/>
  <c r="T83" i="1"/>
  <c r="R83" i="1"/>
  <c r="T72" i="1"/>
  <c r="R72" i="1"/>
  <c r="T59" i="1"/>
  <c r="R59" i="1"/>
  <c r="T47" i="1"/>
  <c r="R47" i="1"/>
  <c r="T35" i="1"/>
  <c r="R35" i="1"/>
  <c r="T294" i="1"/>
  <c r="R294" i="1"/>
  <c r="T282" i="1"/>
  <c r="R282" i="1"/>
  <c r="T270" i="1"/>
  <c r="R270" i="1"/>
  <c r="T258" i="1"/>
  <c r="R258" i="1"/>
  <c r="T241" i="1"/>
  <c r="R241" i="1"/>
  <c r="T229" i="1"/>
  <c r="R229" i="1"/>
  <c r="T218" i="1"/>
  <c r="R218" i="1"/>
  <c r="T205" i="1"/>
  <c r="R205" i="1"/>
  <c r="T193" i="1"/>
  <c r="R193" i="1"/>
  <c r="T181" i="1"/>
  <c r="R181" i="1"/>
  <c r="T169" i="1"/>
  <c r="R169" i="1"/>
  <c r="T157" i="1"/>
  <c r="R157" i="1"/>
  <c r="T144" i="1"/>
  <c r="R144" i="1"/>
  <c r="T120" i="1"/>
  <c r="R120" i="1"/>
  <c r="T108" i="1"/>
  <c r="R108" i="1"/>
  <c r="T95" i="1"/>
  <c r="R95" i="1"/>
  <c r="T82" i="1"/>
  <c r="R82" i="1"/>
  <c r="T71" i="1"/>
  <c r="R71" i="1"/>
  <c r="T58" i="1"/>
  <c r="R58" i="1"/>
  <c r="T46" i="1"/>
  <c r="R46" i="1"/>
  <c r="T34" i="1"/>
  <c r="R34" i="1"/>
  <c r="T293" i="1"/>
  <c r="R293" i="1"/>
  <c r="T281" i="1"/>
  <c r="R281" i="1"/>
  <c r="T269" i="1"/>
  <c r="R269" i="1"/>
  <c r="T257" i="1"/>
  <c r="R257" i="1"/>
  <c r="T240" i="1"/>
  <c r="R240" i="1"/>
  <c r="T228" i="1"/>
  <c r="R228" i="1"/>
  <c r="T217" i="1"/>
  <c r="R217" i="1"/>
  <c r="T204" i="1"/>
  <c r="R204" i="1"/>
  <c r="T192" i="1"/>
  <c r="R192" i="1"/>
  <c r="T180" i="1"/>
  <c r="R180" i="1"/>
  <c r="T168" i="1"/>
  <c r="R168" i="1"/>
  <c r="T156" i="1"/>
  <c r="R156" i="1"/>
  <c r="T143" i="1"/>
  <c r="R143" i="1"/>
  <c r="T119" i="1"/>
  <c r="R119" i="1"/>
  <c r="T107" i="1"/>
  <c r="R107" i="1"/>
  <c r="T94" i="1"/>
  <c r="R94" i="1"/>
  <c r="T90" i="1"/>
  <c r="R90" i="1"/>
  <c r="T64" i="1"/>
  <c r="R64" i="1"/>
  <c r="T57" i="1"/>
  <c r="R57" i="1"/>
  <c r="T45" i="1"/>
  <c r="R45" i="1"/>
  <c r="T33" i="1"/>
  <c r="R33" i="1"/>
  <c r="T304" i="1"/>
  <c r="R304" i="1"/>
  <c r="T292" i="1"/>
  <c r="R292" i="1"/>
  <c r="T280" i="1"/>
  <c r="R280" i="1"/>
  <c r="T268" i="1"/>
  <c r="R268" i="1"/>
  <c r="T256" i="1"/>
  <c r="R256" i="1"/>
  <c r="T239" i="1"/>
  <c r="R239" i="1"/>
  <c r="T227" i="1"/>
  <c r="R227" i="1"/>
  <c r="T216" i="1"/>
  <c r="R216" i="1"/>
  <c r="T203" i="1"/>
  <c r="R203" i="1"/>
  <c r="T191" i="1"/>
  <c r="R191" i="1"/>
  <c r="T179" i="1"/>
  <c r="R179" i="1"/>
  <c r="T167" i="1"/>
  <c r="R167" i="1"/>
  <c r="T155" i="1"/>
  <c r="R155" i="1"/>
  <c r="T142" i="1"/>
  <c r="R142" i="1"/>
  <c r="T118" i="1"/>
  <c r="R118" i="1"/>
  <c r="T106" i="1"/>
  <c r="R106" i="1"/>
  <c r="T93" i="1"/>
  <c r="R93" i="1"/>
  <c r="T81" i="1"/>
  <c r="R81" i="1"/>
  <c r="T63" i="1"/>
  <c r="R63" i="1"/>
  <c r="T56" i="1"/>
  <c r="R56" i="1"/>
  <c r="T44" i="1"/>
  <c r="R44" i="1"/>
  <c r="T32" i="1"/>
  <c r="R32" i="1"/>
  <c r="T303" i="1"/>
  <c r="R303" i="1"/>
  <c r="T291" i="1"/>
  <c r="R291" i="1"/>
  <c r="T279" i="1"/>
  <c r="R279" i="1"/>
  <c r="T267" i="1"/>
  <c r="R267" i="1"/>
  <c r="T255" i="1"/>
  <c r="R255" i="1"/>
  <c r="T238" i="1"/>
  <c r="R238" i="1"/>
  <c r="T226" i="1"/>
  <c r="R226" i="1"/>
  <c r="T214" i="1"/>
  <c r="R214" i="1"/>
  <c r="T202" i="1"/>
  <c r="R202" i="1"/>
  <c r="T190" i="1"/>
  <c r="R190" i="1"/>
  <c r="T178" i="1"/>
  <c r="R178" i="1"/>
  <c r="T166" i="1"/>
  <c r="R166" i="1"/>
  <c r="T154" i="1"/>
  <c r="R154" i="1"/>
  <c r="T140" i="1"/>
  <c r="R140" i="1"/>
  <c r="T117" i="1"/>
  <c r="R117" i="1"/>
  <c r="T104" i="1"/>
  <c r="C8" i="73" s="1"/>
  <c r="E8" i="73" s="1"/>
  <c r="M8" i="73" s="1"/>
  <c r="R104" i="1"/>
  <c r="T92" i="1"/>
  <c r="R92" i="1"/>
  <c r="T80" i="1"/>
  <c r="R80" i="1"/>
  <c r="T70" i="1"/>
  <c r="R70" i="1"/>
  <c r="T55" i="1"/>
  <c r="R55" i="1"/>
  <c r="T43" i="1"/>
  <c r="R43" i="1"/>
  <c r="T31" i="1"/>
  <c r="R31" i="1"/>
  <c r="T302" i="1"/>
  <c r="R302" i="1"/>
  <c r="T290" i="1"/>
  <c r="R290" i="1"/>
  <c r="T278" i="1"/>
  <c r="R278" i="1"/>
  <c r="T266" i="1"/>
  <c r="R266" i="1"/>
  <c r="T249" i="1"/>
  <c r="R249" i="1"/>
  <c r="T237" i="1"/>
  <c r="R237" i="1"/>
  <c r="T225" i="1"/>
  <c r="R225" i="1"/>
  <c r="T213" i="1"/>
  <c r="R213" i="1"/>
  <c r="T201" i="1"/>
  <c r="R201" i="1"/>
  <c r="T189" i="1"/>
  <c r="R189" i="1"/>
  <c r="T177" i="1"/>
  <c r="R177" i="1"/>
  <c r="T165" i="1"/>
  <c r="R165" i="1"/>
  <c r="T153" i="1"/>
  <c r="R153" i="1"/>
  <c r="T139" i="1"/>
  <c r="R139" i="1"/>
  <c r="T116" i="1"/>
  <c r="R116" i="1"/>
  <c r="T103" i="1"/>
  <c r="R103" i="1"/>
  <c r="T89" i="1"/>
  <c r="R89" i="1"/>
  <c r="T79" i="1"/>
  <c r="R79" i="1"/>
  <c r="T69" i="1"/>
  <c r="R69" i="1"/>
  <c r="T54" i="1"/>
  <c r="R54" i="1"/>
  <c r="T42" i="1"/>
  <c r="R42" i="1"/>
  <c r="T30" i="1"/>
  <c r="R30" i="1"/>
  <c r="T301" i="1"/>
  <c r="R301" i="1"/>
  <c r="T289" i="1"/>
  <c r="R289" i="1"/>
  <c r="T277" i="1"/>
  <c r="R277" i="1"/>
  <c r="T265" i="1"/>
  <c r="R265" i="1"/>
  <c r="T248" i="1"/>
  <c r="R248" i="1"/>
  <c r="T236" i="1"/>
  <c r="R236" i="1"/>
  <c r="T224" i="1"/>
  <c r="R224" i="1"/>
  <c r="T212" i="1"/>
  <c r="R212" i="1"/>
  <c r="T200" i="1"/>
  <c r="R200" i="1"/>
  <c r="T188" i="1"/>
  <c r="R188" i="1"/>
  <c r="T176" i="1"/>
  <c r="R176" i="1"/>
  <c r="T164" i="1"/>
  <c r="R164" i="1"/>
  <c r="T152" i="1"/>
  <c r="R152" i="1"/>
  <c r="T138" i="1"/>
  <c r="R138" i="1"/>
  <c r="T115" i="1"/>
  <c r="R115" i="1"/>
  <c r="T102" i="1"/>
  <c r="R102" i="1"/>
  <c r="T88" i="1"/>
  <c r="R88" i="1"/>
  <c r="T78" i="1"/>
  <c r="R78" i="1"/>
  <c r="T68" i="1"/>
  <c r="R68" i="1"/>
  <c r="T53" i="1"/>
  <c r="R53" i="1"/>
  <c r="T41" i="1"/>
  <c r="R41" i="1"/>
  <c r="T29" i="1"/>
  <c r="R29" i="1"/>
  <c r="T300" i="1"/>
  <c r="R300" i="1"/>
  <c r="T288" i="1"/>
  <c r="R288" i="1"/>
  <c r="T276" i="1"/>
  <c r="R276" i="1"/>
  <c r="T264" i="1"/>
  <c r="R264" i="1"/>
  <c r="T247" i="1"/>
  <c r="R247" i="1"/>
  <c r="T235" i="1"/>
  <c r="R235" i="1"/>
  <c r="T223" i="1"/>
  <c r="R223" i="1"/>
  <c r="T211" i="1"/>
  <c r="R211" i="1"/>
  <c r="T199" i="1"/>
  <c r="R199" i="1"/>
  <c r="T187" i="1"/>
  <c r="R187" i="1"/>
  <c r="T175" i="1"/>
  <c r="R175" i="1"/>
  <c r="T163" i="1"/>
  <c r="R163" i="1"/>
  <c r="T151" i="1"/>
  <c r="R151" i="1"/>
  <c r="T137" i="1"/>
  <c r="C19" i="73" s="1"/>
  <c r="E19" i="73" s="1"/>
  <c r="M19" i="73" s="1"/>
  <c r="R137" i="1"/>
  <c r="T114" i="1"/>
  <c r="R114" i="1"/>
  <c r="T101" i="1"/>
  <c r="R101" i="1"/>
  <c r="T87" i="1"/>
  <c r="R87" i="1"/>
  <c r="T77" i="1"/>
  <c r="R77" i="1"/>
  <c r="T67" i="1"/>
  <c r="R67" i="1"/>
  <c r="T52" i="1"/>
  <c r="R52" i="1"/>
  <c r="T40" i="1"/>
  <c r="R40" i="1"/>
  <c r="T28" i="1"/>
  <c r="R28" i="1"/>
  <c r="T299" i="1"/>
  <c r="R299" i="1"/>
  <c r="T287" i="1"/>
  <c r="R287" i="1"/>
  <c r="T275" i="1"/>
  <c r="R275" i="1"/>
  <c r="T263" i="1"/>
  <c r="R263" i="1"/>
  <c r="T246" i="1"/>
  <c r="R246" i="1"/>
  <c r="T234" i="1"/>
  <c r="R234" i="1"/>
  <c r="T222" i="1"/>
  <c r="R222" i="1"/>
  <c r="T210" i="1"/>
  <c r="R210" i="1"/>
  <c r="T198" i="1"/>
  <c r="R198" i="1"/>
  <c r="T186" i="1"/>
  <c r="R186" i="1"/>
  <c r="T174" i="1"/>
  <c r="R174" i="1"/>
  <c r="T162" i="1"/>
  <c r="R162" i="1"/>
  <c r="T136" i="1"/>
  <c r="R136" i="1"/>
  <c r="T113" i="1"/>
  <c r="R113" i="1"/>
  <c r="T100" i="1"/>
  <c r="R100" i="1"/>
  <c r="T86" i="1"/>
  <c r="R86" i="1"/>
  <c r="T76" i="1"/>
  <c r="R76" i="1"/>
  <c r="T66" i="1"/>
  <c r="R66" i="1"/>
  <c r="T51" i="1"/>
  <c r="R51" i="1"/>
  <c r="T39" i="1"/>
  <c r="R39" i="1"/>
  <c r="T27" i="1"/>
  <c r="R27" i="1"/>
  <c r="T298" i="1"/>
  <c r="R298" i="1"/>
  <c r="T286" i="1"/>
  <c r="R286" i="1"/>
  <c r="T274" i="1"/>
  <c r="R274" i="1"/>
  <c r="T262" i="1"/>
  <c r="R262" i="1"/>
  <c r="T245" i="1"/>
  <c r="R245" i="1"/>
  <c r="T233" i="1"/>
  <c r="R233" i="1"/>
  <c r="T221" i="1"/>
  <c r="R221" i="1"/>
  <c r="T209" i="1"/>
  <c r="R209" i="1"/>
  <c r="T197" i="1"/>
  <c r="R197" i="1"/>
  <c r="T185" i="1"/>
  <c r="R185" i="1"/>
  <c r="T173" i="1"/>
  <c r="R173" i="1"/>
  <c r="T161" i="1"/>
  <c r="R161" i="1"/>
  <c r="T135" i="1"/>
  <c r="R135" i="1"/>
  <c r="T112" i="1"/>
  <c r="R112" i="1"/>
  <c r="T99" i="1"/>
  <c r="R99" i="1"/>
  <c r="T85" i="1"/>
  <c r="R85" i="1"/>
  <c r="T75" i="1"/>
  <c r="R75" i="1"/>
  <c r="T65" i="1"/>
  <c r="R65" i="1"/>
  <c r="T50" i="1"/>
  <c r="R50" i="1"/>
  <c r="T38" i="1"/>
  <c r="R38" i="1"/>
  <c r="T26" i="1"/>
  <c r="R26" i="1"/>
  <c r="T297" i="1"/>
  <c r="R297" i="1"/>
  <c r="T285" i="1"/>
  <c r="R285" i="1"/>
  <c r="T273" i="1"/>
  <c r="R273" i="1"/>
  <c r="T261" i="1"/>
  <c r="R261" i="1"/>
  <c r="T244" i="1"/>
  <c r="R244" i="1"/>
  <c r="T232" i="1"/>
  <c r="R232" i="1"/>
  <c r="T220" i="1"/>
  <c r="R220" i="1"/>
  <c r="T208" i="1"/>
  <c r="R208" i="1"/>
  <c r="T196" i="1"/>
  <c r="R196" i="1"/>
  <c r="T184" i="1"/>
  <c r="R184" i="1"/>
  <c r="T172" i="1"/>
  <c r="R172" i="1"/>
  <c r="T160" i="1"/>
  <c r="R160" i="1"/>
  <c r="T123" i="1"/>
  <c r="R123" i="1"/>
  <c r="T111" i="1"/>
  <c r="R111" i="1"/>
  <c r="T98" i="1"/>
  <c r="R98" i="1"/>
  <c r="T91" i="1"/>
  <c r="R91" i="1"/>
  <c r="T74" i="1"/>
  <c r="R74" i="1"/>
  <c r="T62" i="1"/>
  <c r="R62" i="1"/>
  <c r="T49" i="1"/>
  <c r="R49" i="1"/>
  <c r="T37" i="1"/>
  <c r="R37" i="1"/>
  <c r="T25" i="1"/>
  <c r="R25" i="1"/>
  <c r="T296" i="1"/>
  <c r="R296" i="1"/>
  <c r="T284" i="1"/>
  <c r="R284" i="1"/>
  <c r="T272" i="1"/>
  <c r="R272" i="1"/>
  <c r="T260" i="1"/>
  <c r="R260" i="1"/>
  <c r="T243" i="1"/>
  <c r="R243" i="1"/>
  <c r="T231" i="1"/>
  <c r="R231" i="1"/>
  <c r="C40" i="81" s="1"/>
  <c r="E40" i="81" s="1"/>
  <c r="T215" i="1"/>
  <c r="R215" i="1"/>
  <c r="T207" i="1"/>
  <c r="R207" i="1"/>
  <c r="T195" i="1"/>
  <c r="R195" i="1"/>
  <c r="T183" i="1"/>
  <c r="R183" i="1"/>
  <c r="T171" i="1"/>
  <c r="R171" i="1"/>
  <c r="T159" i="1"/>
  <c r="R159" i="1"/>
  <c r="T147" i="1"/>
  <c r="R147" i="1"/>
  <c r="T122" i="1"/>
  <c r="R122" i="1"/>
  <c r="T110" i="1"/>
  <c r="R110" i="1"/>
  <c r="T97" i="1"/>
  <c r="R97" i="1"/>
  <c r="T84" i="1"/>
  <c r="R84" i="1"/>
  <c r="T73" i="1"/>
  <c r="R73" i="1"/>
  <c r="T61" i="1"/>
  <c r="R61" i="1"/>
  <c r="T48" i="1"/>
  <c r="R48" i="1"/>
  <c r="T36" i="1"/>
  <c r="R36" i="1"/>
  <c r="T24" i="1"/>
  <c r="C16" i="73" s="1"/>
  <c r="E16" i="73" s="1"/>
  <c r="M16" i="73" s="1"/>
  <c r="I13" i="80"/>
  <c r="T150" i="1"/>
  <c r="T149" i="1"/>
  <c r="T148" i="1"/>
  <c r="E13" i="80"/>
  <c r="I13" i="77"/>
  <c r="E11" i="78"/>
  <c r="G11" i="78" s="1"/>
  <c r="G14" i="77"/>
  <c r="G7" i="80"/>
  <c r="G13" i="77"/>
  <c r="N51" i="1"/>
  <c r="N116" i="1"/>
  <c r="N100" i="1"/>
  <c r="N36" i="1"/>
  <c r="N99" i="1"/>
  <c r="N35" i="1"/>
  <c r="N139" i="1"/>
  <c r="N123" i="1"/>
  <c r="N107" i="1"/>
  <c r="N74" i="1"/>
  <c r="N69" i="1"/>
  <c r="N34" i="1"/>
  <c r="N26" i="1"/>
  <c r="N147" i="1"/>
  <c r="N122" i="1"/>
  <c r="N114" i="1"/>
  <c r="N81" i="1"/>
  <c r="N49" i="1"/>
  <c r="N89" i="1"/>
  <c r="N27" i="1"/>
  <c r="N145" i="1"/>
  <c r="N121" i="1"/>
  <c r="N113" i="1"/>
  <c r="N86" i="1"/>
  <c r="N80" i="1"/>
  <c r="N56" i="1"/>
  <c r="N48" i="1"/>
  <c r="N149" i="1"/>
  <c r="N82" i="1"/>
  <c r="N43" i="1"/>
  <c r="N144" i="1"/>
  <c r="N136" i="1"/>
  <c r="N120" i="1"/>
  <c r="N112" i="1"/>
  <c r="N103" i="1"/>
  <c r="N85" i="1"/>
  <c r="N79" i="1"/>
  <c r="N71" i="1"/>
  <c r="N55" i="1"/>
  <c r="N47" i="1"/>
  <c r="N39" i="1"/>
  <c r="N140" i="1"/>
  <c r="N75" i="1"/>
  <c r="N108" i="1"/>
  <c r="N143" i="1"/>
  <c r="N135" i="1"/>
  <c r="N119" i="1"/>
  <c r="N111" i="1"/>
  <c r="N102" i="1"/>
  <c r="N94" i="1"/>
  <c r="N91" i="1"/>
  <c r="N78" i="1"/>
  <c r="N64" i="1"/>
  <c r="N65" i="1"/>
  <c r="N54" i="1"/>
  <c r="N46" i="1"/>
  <c r="N38" i="1"/>
  <c r="N30" i="1"/>
  <c r="N70" i="1"/>
  <c r="N142" i="1"/>
  <c r="N118" i="1"/>
  <c r="N110" i="1"/>
  <c r="N101" i="1"/>
  <c r="N93" i="1"/>
  <c r="N84" i="1"/>
  <c r="N77" i="1"/>
  <c r="N63" i="1"/>
  <c r="N62" i="1"/>
  <c r="N53" i="1"/>
  <c r="N45" i="1"/>
  <c r="N37" i="1"/>
  <c r="N29" i="1"/>
  <c r="N59" i="1"/>
  <c r="N115" i="1"/>
  <c r="N58" i="1"/>
  <c r="N117" i="1"/>
  <c r="N109" i="1"/>
  <c r="N92" i="1"/>
  <c r="N83" i="1"/>
  <c r="N76" i="1"/>
  <c r="N61" i="1"/>
  <c r="N52" i="1"/>
  <c r="N44" i="1"/>
  <c r="N28" i="1"/>
  <c r="N98" i="1"/>
  <c r="N50" i="1"/>
  <c r="N138" i="1"/>
  <c r="N106" i="1"/>
  <c r="N97" i="1"/>
  <c r="N87" i="1"/>
  <c r="N73" i="1"/>
  <c r="N68" i="1"/>
  <c r="N57" i="1"/>
  <c r="N41" i="1"/>
  <c r="N33" i="1"/>
  <c r="N25" i="1"/>
  <c r="N90" i="1"/>
  <c r="N137" i="1"/>
  <c r="N104" i="1"/>
  <c r="N96" i="1"/>
  <c r="N72" i="1"/>
  <c r="N67" i="1"/>
  <c r="N40" i="1"/>
  <c r="N32" i="1"/>
  <c r="R7" i="80" s="1"/>
  <c r="N88" i="1"/>
  <c r="N42" i="1"/>
  <c r="N95" i="1"/>
  <c r="N66" i="1"/>
  <c r="N31" i="1"/>
  <c r="N148" i="1"/>
  <c r="C18" i="73" l="1"/>
  <c r="E18" i="73" s="1"/>
  <c r="M18" i="73" s="1"/>
  <c r="C34" i="81"/>
  <c r="E34" i="81" s="1"/>
  <c r="F34" i="81" s="1"/>
  <c r="C38" i="81"/>
  <c r="E38" i="81" s="1"/>
  <c r="G38" i="81" s="1"/>
  <c r="C45" i="81"/>
  <c r="E45" i="81" s="1"/>
  <c r="F45" i="81" s="1"/>
  <c r="C39" i="81"/>
  <c r="E39" i="81" s="1"/>
  <c r="G39" i="81" s="1"/>
  <c r="C41" i="73"/>
  <c r="E41" i="73" s="1"/>
  <c r="M41" i="73" s="1"/>
  <c r="C43" i="81"/>
  <c r="E43" i="81" s="1"/>
  <c r="G43" i="81" s="1"/>
  <c r="R13" i="80"/>
  <c r="E15" i="80"/>
  <c r="C37" i="81"/>
  <c r="E37" i="81" s="1"/>
  <c r="F37" i="81" s="1"/>
  <c r="C41" i="81"/>
  <c r="E41" i="81" s="1"/>
  <c r="F41" i="81" s="1"/>
  <c r="C44" i="81"/>
  <c r="E44" i="81" s="1"/>
  <c r="F44" i="81" s="1"/>
  <c r="C49" i="81"/>
  <c r="E49" i="81" s="1"/>
  <c r="C46" i="81"/>
  <c r="E46" i="81" s="1"/>
  <c r="C47" i="81"/>
  <c r="E47" i="81" s="1"/>
  <c r="G40" i="81"/>
  <c r="F40" i="81"/>
  <c r="C35" i="81"/>
  <c r="E35" i="81" s="1"/>
  <c r="C36" i="81"/>
  <c r="E36" i="81" s="1"/>
  <c r="C42" i="81"/>
  <c r="E42" i="81" s="1"/>
  <c r="C48" i="81"/>
  <c r="E48" i="81" s="1"/>
  <c r="C46" i="73"/>
  <c r="E46" i="73" s="1"/>
  <c r="M46" i="73" s="1"/>
  <c r="C33" i="73"/>
  <c r="E33" i="73" s="1"/>
  <c r="M33" i="73" s="1"/>
  <c r="C20" i="73"/>
  <c r="E20" i="73" s="1"/>
  <c r="M20" i="73" s="1"/>
  <c r="C44" i="73"/>
  <c r="E44" i="73" s="1"/>
  <c r="M44" i="73" s="1"/>
  <c r="C12" i="73"/>
  <c r="E12" i="73" s="1"/>
  <c r="M12" i="73" s="1"/>
  <c r="C27" i="73"/>
  <c r="E27" i="73" s="1"/>
  <c r="M27" i="73" s="1"/>
  <c r="C40" i="73"/>
  <c r="E40" i="73" s="1"/>
  <c r="M40" i="73" s="1"/>
  <c r="C24" i="73"/>
  <c r="E24" i="73" s="1"/>
  <c r="M24" i="73" s="1"/>
  <c r="G34" i="81" l="1"/>
  <c r="G45" i="81"/>
  <c r="F38" i="81"/>
  <c r="F39" i="81"/>
  <c r="F43" i="81"/>
  <c r="G37" i="81"/>
  <c r="G41" i="81"/>
  <c r="G44" i="81"/>
  <c r="F36" i="81"/>
  <c r="G36" i="81"/>
  <c r="G35" i="81"/>
  <c r="F35" i="81"/>
  <c r="G47" i="81"/>
  <c r="F47" i="81"/>
  <c r="G46" i="81"/>
  <c r="F46" i="81"/>
  <c r="G48" i="81"/>
  <c r="F48" i="81"/>
  <c r="G49" i="81"/>
  <c r="F49" i="81"/>
  <c r="G42" i="81"/>
  <c r="F42" i="81"/>
  <c r="J20" i="1" l="1"/>
  <c r="J19" i="1"/>
  <c r="P18" i="1" l="1"/>
  <c r="M18" i="1"/>
  <c r="J18" i="1"/>
  <c r="J17" i="1"/>
  <c r="M17" i="1"/>
  <c r="T18" i="1" l="1"/>
  <c r="R18" i="1"/>
  <c r="N18" i="1"/>
  <c r="N17" i="1"/>
  <c r="P16" i="1" l="1"/>
  <c r="M16" i="1"/>
  <c r="J16" i="1"/>
  <c r="C1" i="19"/>
  <c r="K2" i="1"/>
  <c r="M4" i="1"/>
  <c r="M5" i="1"/>
  <c r="M6" i="1"/>
  <c r="M7" i="1"/>
  <c r="M8" i="1"/>
  <c r="M9" i="1"/>
  <c r="M10" i="1"/>
  <c r="M11" i="1"/>
  <c r="M12" i="1"/>
  <c r="M13" i="1"/>
  <c r="M14" i="1"/>
  <c r="M15" i="1"/>
  <c r="M19" i="1"/>
  <c r="M20" i="1"/>
  <c r="M21" i="1"/>
  <c r="M22" i="1"/>
  <c r="M23" i="1"/>
  <c r="M24" i="1"/>
  <c r="M150" i="1"/>
  <c r="M151" i="1"/>
  <c r="N151" i="1" s="1"/>
  <c r="M152" i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6" i="1"/>
  <c r="N216" i="1" s="1"/>
  <c r="M217" i="1"/>
  <c r="N217" i="1" s="1"/>
  <c r="M218" i="1"/>
  <c r="N218" i="1" s="1"/>
  <c r="M219" i="1"/>
  <c r="N219" i="1" s="1"/>
  <c r="M215" i="1"/>
  <c r="N215" i="1" s="1"/>
  <c r="M220" i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3" i="1"/>
  <c r="M354" i="1"/>
  <c r="M355" i="1"/>
  <c r="M356" i="1"/>
  <c r="M357" i="1"/>
  <c r="M358" i="1"/>
  <c r="M359" i="1"/>
  <c r="M360" i="1"/>
  <c r="M361" i="1"/>
  <c r="M372" i="1"/>
  <c r="M373" i="1"/>
  <c r="M362" i="1"/>
  <c r="M363" i="1"/>
  <c r="M364" i="1"/>
  <c r="M365" i="1"/>
  <c r="M366" i="1"/>
  <c r="M368" i="1"/>
  <c r="M369" i="1"/>
  <c r="M370" i="1"/>
  <c r="M371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E31" i="82" l="1"/>
  <c r="B10" i="82"/>
  <c r="N152" i="1"/>
  <c r="C12" i="78"/>
  <c r="C13" i="78" s="1"/>
  <c r="C15" i="78" s="1"/>
  <c r="N270" i="1"/>
  <c r="I14" i="80"/>
  <c r="R14" i="80" s="1"/>
  <c r="I8" i="80"/>
  <c r="I9" i="80" s="1"/>
  <c r="T16" i="1"/>
  <c r="R16" i="1"/>
  <c r="K7" i="80"/>
  <c r="M7" i="80" s="1"/>
  <c r="K13" i="80"/>
  <c r="K14" i="80"/>
  <c r="N189" i="1"/>
  <c r="K8" i="80"/>
  <c r="E12" i="78"/>
  <c r="N220" i="1"/>
  <c r="I14" i="77"/>
  <c r="E4" i="77"/>
  <c r="I12" i="77"/>
  <c r="N150" i="1"/>
  <c r="E5" i="77"/>
  <c r="N20" i="1"/>
  <c r="N19" i="1"/>
  <c r="N16" i="1"/>
  <c r="M2" i="1"/>
  <c r="E32" i="82" l="1"/>
  <c r="R9" i="80"/>
  <c r="I15" i="80"/>
  <c r="R15" i="80"/>
  <c r="K15" i="80"/>
  <c r="G12" i="78"/>
  <c r="E13" i="78"/>
  <c r="K9" i="80"/>
  <c r="E6" i="77"/>
  <c r="E15" i="78" l="1"/>
  <c r="G15" i="78" s="1"/>
  <c r="G13" i="78"/>
  <c r="J885" i="1"/>
  <c r="N885" i="1" s="1"/>
  <c r="J884" i="1"/>
  <c r="N884" i="1" s="1"/>
  <c r="J883" i="1"/>
  <c r="N883" i="1" s="1"/>
  <c r="J897" i="1"/>
  <c r="N897" i="1" s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42" i="1"/>
  <c r="P843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83" i="1"/>
  <c r="P884" i="1"/>
  <c r="P885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J854" i="1"/>
  <c r="N854" i="1" s="1"/>
  <c r="J855" i="1"/>
  <c r="N855" i="1" s="1"/>
  <c r="J856" i="1"/>
  <c r="N856" i="1" s="1"/>
  <c r="J857" i="1"/>
  <c r="N857" i="1" s="1"/>
  <c r="J858" i="1"/>
  <c r="N858" i="1" s="1"/>
  <c r="J859" i="1"/>
  <c r="N859" i="1" s="1"/>
  <c r="J860" i="1"/>
  <c r="N860" i="1" s="1"/>
  <c r="J861" i="1"/>
  <c r="N861" i="1" s="1"/>
  <c r="J862" i="1"/>
  <c r="N862" i="1" s="1"/>
  <c r="J863" i="1"/>
  <c r="N863" i="1" s="1"/>
  <c r="J864" i="1"/>
  <c r="N864" i="1" s="1"/>
  <c r="J865" i="1"/>
  <c r="N865" i="1" s="1"/>
  <c r="J866" i="1"/>
  <c r="N866" i="1" s="1"/>
  <c r="J867" i="1"/>
  <c r="N867" i="1" s="1"/>
  <c r="J868" i="1"/>
  <c r="N868" i="1" s="1"/>
  <c r="J842" i="1"/>
  <c r="N842" i="1" s="1"/>
  <c r="J843" i="1"/>
  <c r="N843" i="1" s="1"/>
  <c r="J869" i="1"/>
  <c r="N869" i="1" s="1"/>
  <c r="J870" i="1"/>
  <c r="N870" i="1" s="1"/>
  <c r="J871" i="1"/>
  <c r="N871" i="1" s="1"/>
  <c r="J872" i="1"/>
  <c r="N872" i="1" s="1"/>
  <c r="J873" i="1"/>
  <c r="N873" i="1" s="1"/>
  <c r="J874" i="1"/>
  <c r="N874" i="1" s="1"/>
  <c r="J875" i="1"/>
  <c r="N875" i="1" s="1"/>
  <c r="J876" i="1"/>
  <c r="N876" i="1" s="1"/>
  <c r="J877" i="1"/>
  <c r="N877" i="1" s="1"/>
  <c r="J878" i="1"/>
  <c r="N878" i="1" s="1"/>
  <c r="J879" i="1"/>
  <c r="N879" i="1" s="1"/>
  <c r="J880" i="1"/>
  <c r="N880" i="1" s="1"/>
  <c r="J881" i="1"/>
  <c r="N881" i="1" s="1"/>
  <c r="J882" i="1"/>
  <c r="N882" i="1" s="1"/>
  <c r="J886" i="1"/>
  <c r="N886" i="1" s="1"/>
  <c r="J887" i="1"/>
  <c r="N887" i="1" s="1"/>
  <c r="J888" i="1"/>
  <c r="N888" i="1" s="1"/>
  <c r="J889" i="1"/>
  <c r="N889" i="1" s="1"/>
  <c r="J890" i="1"/>
  <c r="N890" i="1" s="1"/>
  <c r="J891" i="1"/>
  <c r="N891" i="1" s="1"/>
  <c r="J892" i="1"/>
  <c r="N892" i="1" s="1"/>
  <c r="J893" i="1"/>
  <c r="N893" i="1" s="1"/>
  <c r="J894" i="1"/>
  <c r="N894" i="1" s="1"/>
  <c r="J895" i="1"/>
  <c r="N895" i="1" s="1"/>
  <c r="J896" i="1"/>
  <c r="N896" i="1" s="1"/>
  <c r="J898" i="1"/>
  <c r="N898" i="1" s="1"/>
  <c r="J899" i="1"/>
  <c r="N899" i="1" s="1"/>
  <c r="J900" i="1"/>
  <c r="N900" i="1" s="1"/>
  <c r="J901" i="1"/>
  <c r="N901" i="1" s="1"/>
  <c r="J902" i="1"/>
  <c r="N902" i="1" s="1"/>
  <c r="J903" i="1"/>
  <c r="N903" i="1" s="1"/>
  <c r="J904" i="1"/>
  <c r="N904" i="1" s="1"/>
  <c r="J905" i="1"/>
  <c r="N905" i="1" s="1"/>
  <c r="J906" i="1"/>
  <c r="N906" i="1" s="1"/>
  <c r="J907" i="1"/>
  <c r="N907" i="1" s="1"/>
  <c r="J908" i="1"/>
  <c r="N908" i="1" s="1"/>
  <c r="J909" i="1"/>
  <c r="N909" i="1" s="1"/>
  <c r="J910" i="1"/>
  <c r="N910" i="1" s="1"/>
  <c r="J911" i="1"/>
  <c r="N911" i="1" s="1"/>
  <c r="J912" i="1"/>
  <c r="N912" i="1" s="1"/>
  <c r="J913" i="1"/>
  <c r="N913" i="1" s="1"/>
  <c r="J914" i="1"/>
  <c r="N914" i="1" s="1"/>
  <c r="J915" i="1"/>
  <c r="N915" i="1" s="1"/>
  <c r="J916" i="1"/>
  <c r="N916" i="1" s="1"/>
  <c r="J917" i="1"/>
  <c r="N917" i="1" s="1"/>
  <c r="J918" i="1"/>
  <c r="N918" i="1" s="1"/>
  <c r="J919" i="1"/>
  <c r="N919" i="1" s="1"/>
  <c r="J920" i="1"/>
  <c r="N920" i="1" s="1"/>
  <c r="J921" i="1"/>
  <c r="N921" i="1" s="1"/>
  <c r="J922" i="1"/>
  <c r="N922" i="1" s="1"/>
  <c r="J923" i="1"/>
  <c r="N923" i="1" s="1"/>
  <c r="J924" i="1"/>
  <c r="N924" i="1" s="1"/>
  <c r="J925" i="1"/>
  <c r="N925" i="1" s="1"/>
  <c r="J926" i="1"/>
  <c r="N926" i="1" s="1"/>
  <c r="J927" i="1"/>
  <c r="N927" i="1" s="1"/>
  <c r="J928" i="1"/>
  <c r="N928" i="1" s="1"/>
  <c r="J929" i="1"/>
  <c r="N929" i="1" s="1"/>
  <c r="J930" i="1"/>
  <c r="N930" i="1" s="1"/>
  <c r="J931" i="1"/>
  <c r="N931" i="1" s="1"/>
  <c r="J932" i="1"/>
  <c r="N932" i="1" s="1"/>
  <c r="J933" i="1"/>
  <c r="N933" i="1" s="1"/>
  <c r="J934" i="1"/>
  <c r="N934" i="1" s="1"/>
  <c r="J935" i="1"/>
  <c r="N935" i="1" s="1"/>
  <c r="J936" i="1"/>
  <c r="N936" i="1" s="1"/>
  <c r="J937" i="1"/>
  <c r="N937" i="1" s="1"/>
  <c r="J938" i="1"/>
  <c r="N938" i="1" s="1"/>
  <c r="J939" i="1"/>
  <c r="N939" i="1" s="1"/>
  <c r="J940" i="1"/>
  <c r="N940" i="1" s="1"/>
  <c r="J941" i="1"/>
  <c r="N941" i="1" s="1"/>
  <c r="J942" i="1"/>
  <c r="N942" i="1" s="1"/>
  <c r="J943" i="1"/>
  <c r="N943" i="1" s="1"/>
  <c r="J944" i="1"/>
  <c r="N944" i="1" s="1"/>
  <c r="J945" i="1"/>
  <c r="N945" i="1" s="1"/>
  <c r="J946" i="1"/>
  <c r="N946" i="1" s="1"/>
  <c r="J947" i="1"/>
  <c r="N947" i="1" s="1"/>
  <c r="J948" i="1"/>
  <c r="N948" i="1" s="1"/>
  <c r="J949" i="1"/>
  <c r="N949" i="1" s="1"/>
  <c r="J950" i="1"/>
  <c r="N950" i="1" s="1"/>
  <c r="J951" i="1"/>
  <c r="N951" i="1" s="1"/>
  <c r="J952" i="1"/>
  <c r="N952" i="1" s="1"/>
  <c r="J953" i="1"/>
  <c r="N953" i="1" s="1"/>
  <c r="J954" i="1"/>
  <c r="N954" i="1" s="1"/>
  <c r="J955" i="1"/>
  <c r="N955" i="1" s="1"/>
  <c r="J956" i="1"/>
  <c r="N956" i="1" s="1"/>
  <c r="J957" i="1"/>
  <c r="N957" i="1" s="1"/>
  <c r="J958" i="1"/>
  <c r="N958" i="1" s="1"/>
  <c r="J959" i="1"/>
  <c r="N959" i="1" s="1"/>
  <c r="J960" i="1"/>
  <c r="N960" i="1" s="1"/>
  <c r="J961" i="1"/>
  <c r="N961" i="1" s="1"/>
  <c r="J962" i="1"/>
  <c r="N962" i="1" s="1"/>
  <c r="J963" i="1"/>
  <c r="N963" i="1" s="1"/>
  <c r="J964" i="1"/>
  <c r="N964" i="1" s="1"/>
  <c r="J965" i="1"/>
  <c r="N965" i="1" s="1"/>
  <c r="J966" i="1"/>
  <c r="N966" i="1" s="1"/>
  <c r="J967" i="1"/>
  <c r="N967" i="1" s="1"/>
  <c r="J968" i="1"/>
  <c r="N968" i="1" s="1"/>
  <c r="J969" i="1"/>
  <c r="N969" i="1" s="1"/>
  <c r="J970" i="1"/>
  <c r="N970" i="1" s="1"/>
  <c r="J971" i="1"/>
  <c r="N971" i="1" s="1"/>
  <c r="J972" i="1"/>
  <c r="N972" i="1" s="1"/>
  <c r="J973" i="1"/>
  <c r="N973" i="1" s="1"/>
  <c r="J974" i="1"/>
  <c r="N974" i="1" s="1"/>
  <c r="J975" i="1"/>
  <c r="N975" i="1" s="1"/>
  <c r="J976" i="1"/>
  <c r="N976" i="1" s="1"/>
  <c r="J977" i="1"/>
  <c r="N977" i="1" s="1"/>
  <c r="J978" i="1"/>
  <c r="N978" i="1" s="1"/>
  <c r="J979" i="1"/>
  <c r="N979" i="1" s="1"/>
  <c r="J980" i="1"/>
  <c r="N980" i="1" s="1"/>
  <c r="J981" i="1"/>
  <c r="N981" i="1" s="1"/>
  <c r="J982" i="1"/>
  <c r="N982" i="1" s="1"/>
  <c r="J983" i="1"/>
  <c r="N983" i="1" s="1"/>
  <c r="J984" i="1"/>
  <c r="N984" i="1" s="1"/>
  <c r="J985" i="1"/>
  <c r="N985" i="1" s="1"/>
  <c r="J986" i="1"/>
  <c r="N986" i="1" s="1"/>
  <c r="J987" i="1"/>
  <c r="N987" i="1" s="1"/>
  <c r="J988" i="1"/>
  <c r="N988" i="1" s="1"/>
  <c r="J989" i="1"/>
  <c r="N989" i="1" s="1"/>
  <c r="J990" i="1"/>
  <c r="N990" i="1" s="1"/>
  <c r="J991" i="1"/>
  <c r="N991" i="1" s="1"/>
  <c r="J992" i="1"/>
  <c r="N992" i="1" s="1"/>
  <c r="J993" i="1"/>
  <c r="N993" i="1" s="1"/>
  <c r="J994" i="1"/>
  <c r="N994" i="1" s="1"/>
  <c r="J995" i="1"/>
  <c r="N995" i="1" s="1"/>
  <c r="J996" i="1"/>
  <c r="N996" i="1" s="1"/>
  <c r="J997" i="1"/>
  <c r="N997" i="1" s="1"/>
  <c r="J998" i="1"/>
  <c r="N998" i="1" s="1"/>
  <c r="J999" i="1"/>
  <c r="N999" i="1" s="1"/>
  <c r="J1000" i="1"/>
  <c r="N1000" i="1" s="1"/>
  <c r="J1001" i="1"/>
  <c r="N1001" i="1" s="1"/>
  <c r="J1002" i="1"/>
  <c r="N1002" i="1" s="1"/>
  <c r="J1003" i="1"/>
  <c r="N1003" i="1" s="1"/>
  <c r="J1004" i="1"/>
  <c r="N1004" i="1" s="1"/>
  <c r="J1005" i="1"/>
  <c r="N1005" i="1" s="1"/>
  <c r="J1006" i="1"/>
  <c r="N1006" i="1" s="1"/>
  <c r="J1007" i="1"/>
  <c r="N1007" i="1" s="1"/>
  <c r="J1008" i="1"/>
  <c r="N1008" i="1" s="1"/>
  <c r="J1009" i="1"/>
  <c r="N1009" i="1" s="1"/>
  <c r="J1010" i="1"/>
  <c r="N1010" i="1" s="1"/>
  <c r="J1011" i="1"/>
  <c r="N1011" i="1" s="1"/>
  <c r="J1012" i="1"/>
  <c r="N1012" i="1" s="1"/>
  <c r="J1013" i="1"/>
  <c r="N1013" i="1" s="1"/>
  <c r="J1014" i="1"/>
  <c r="N1014" i="1" s="1"/>
  <c r="J1015" i="1"/>
  <c r="N1015" i="1" s="1"/>
  <c r="J1016" i="1"/>
  <c r="N1016" i="1" s="1"/>
  <c r="J1017" i="1"/>
  <c r="N1017" i="1" s="1"/>
  <c r="J1018" i="1"/>
  <c r="N1018" i="1" s="1"/>
  <c r="J1019" i="1"/>
  <c r="N1019" i="1" s="1"/>
  <c r="J1020" i="1"/>
  <c r="N1020" i="1" s="1"/>
  <c r="J1021" i="1"/>
  <c r="N1021" i="1" s="1"/>
  <c r="J1022" i="1"/>
  <c r="N1022" i="1" s="1"/>
  <c r="J1023" i="1"/>
  <c r="N1023" i="1" s="1"/>
  <c r="J1024" i="1"/>
  <c r="N1024" i="1" s="1"/>
  <c r="J1025" i="1"/>
  <c r="N1025" i="1" s="1"/>
  <c r="J1026" i="1"/>
  <c r="N1026" i="1" s="1"/>
  <c r="J1027" i="1"/>
  <c r="N1027" i="1" s="1"/>
  <c r="J1028" i="1"/>
  <c r="N1028" i="1" s="1"/>
  <c r="J1029" i="1"/>
  <c r="N1029" i="1" s="1"/>
  <c r="J1030" i="1"/>
  <c r="N1030" i="1" s="1"/>
  <c r="J1031" i="1"/>
  <c r="N1031" i="1" s="1"/>
  <c r="J1032" i="1"/>
  <c r="N1032" i="1" s="1"/>
  <c r="J1033" i="1"/>
  <c r="N1033" i="1" s="1"/>
  <c r="J1034" i="1"/>
  <c r="N1034" i="1" s="1"/>
  <c r="J1035" i="1"/>
  <c r="N1035" i="1" s="1"/>
  <c r="J1036" i="1"/>
  <c r="N1036" i="1" s="1"/>
  <c r="J1037" i="1"/>
  <c r="N1037" i="1" s="1"/>
  <c r="J1038" i="1"/>
  <c r="N1038" i="1" s="1"/>
  <c r="J1039" i="1"/>
  <c r="N1039" i="1" s="1"/>
  <c r="J1040" i="1"/>
  <c r="N1040" i="1" s="1"/>
  <c r="J1041" i="1"/>
  <c r="N1041" i="1" s="1"/>
  <c r="J1042" i="1"/>
  <c r="N1042" i="1" s="1"/>
  <c r="J1043" i="1"/>
  <c r="N1043" i="1" s="1"/>
  <c r="J1044" i="1"/>
  <c r="N1044" i="1" s="1"/>
  <c r="J1045" i="1"/>
  <c r="N1045" i="1" s="1"/>
  <c r="J1046" i="1"/>
  <c r="N1046" i="1" s="1"/>
  <c r="J1047" i="1"/>
  <c r="N1047" i="1" s="1"/>
  <c r="J1048" i="1"/>
  <c r="N1048" i="1" s="1"/>
  <c r="J1049" i="1"/>
  <c r="N1049" i="1" s="1"/>
  <c r="J1050" i="1"/>
  <c r="N1050" i="1" s="1"/>
  <c r="J1051" i="1"/>
  <c r="N1051" i="1" s="1"/>
  <c r="J1052" i="1"/>
  <c r="N1052" i="1" s="1"/>
  <c r="J1053" i="1"/>
  <c r="N1053" i="1" s="1"/>
  <c r="J1054" i="1"/>
  <c r="N1054" i="1" s="1"/>
  <c r="J1055" i="1"/>
  <c r="N1055" i="1" s="1"/>
  <c r="J1056" i="1"/>
  <c r="N1056" i="1" s="1"/>
  <c r="J1057" i="1"/>
  <c r="N1057" i="1" s="1"/>
  <c r="J1058" i="1"/>
  <c r="N1058" i="1" s="1"/>
  <c r="J1059" i="1"/>
  <c r="N1059" i="1" s="1"/>
  <c r="J1060" i="1"/>
  <c r="N1060" i="1" s="1"/>
  <c r="J1061" i="1"/>
  <c r="N1061" i="1" s="1"/>
  <c r="J1062" i="1"/>
  <c r="N1062" i="1" s="1"/>
  <c r="J1063" i="1"/>
  <c r="N1063" i="1" s="1"/>
  <c r="J1064" i="1"/>
  <c r="N1064" i="1" s="1"/>
  <c r="J1065" i="1"/>
  <c r="N1065" i="1" s="1"/>
  <c r="J1066" i="1"/>
  <c r="N1066" i="1" s="1"/>
  <c r="J1067" i="1"/>
  <c r="N1067" i="1" s="1"/>
  <c r="J1068" i="1"/>
  <c r="N1068" i="1" s="1"/>
  <c r="J1069" i="1"/>
  <c r="N1069" i="1" s="1"/>
  <c r="J1070" i="1"/>
  <c r="N1070" i="1" s="1"/>
  <c r="J1071" i="1"/>
  <c r="N1071" i="1" s="1"/>
  <c r="J1072" i="1"/>
  <c r="N1072" i="1" s="1"/>
  <c r="J1073" i="1"/>
  <c r="N1073" i="1" s="1"/>
  <c r="J1074" i="1"/>
  <c r="N1074" i="1" s="1"/>
  <c r="J1075" i="1"/>
  <c r="N1075" i="1" s="1"/>
  <c r="J1076" i="1"/>
  <c r="N1076" i="1" s="1"/>
  <c r="J1077" i="1"/>
  <c r="N1077" i="1" s="1"/>
  <c r="J1078" i="1"/>
  <c r="N1078" i="1" s="1"/>
  <c r="J1079" i="1"/>
  <c r="N1079" i="1" s="1"/>
  <c r="J1080" i="1"/>
  <c r="N1080" i="1" s="1"/>
  <c r="J1081" i="1"/>
  <c r="N1081" i="1" s="1"/>
  <c r="J1082" i="1"/>
  <c r="N1082" i="1" s="1"/>
  <c r="J1083" i="1"/>
  <c r="N1083" i="1" s="1"/>
  <c r="J1084" i="1"/>
  <c r="N1084" i="1" s="1"/>
  <c r="J1085" i="1"/>
  <c r="N1085" i="1" s="1"/>
  <c r="J1086" i="1"/>
  <c r="N1086" i="1" s="1"/>
  <c r="J1087" i="1"/>
  <c r="N1087" i="1" s="1"/>
  <c r="J1088" i="1"/>
  <c r="N1088" i="1" s="1"/>
  <c r="J1089" i="1"/>
  <c r="N1089" i="1" s="1"/>
  <c r="J1090" i="1"/>
  <c r="N1090" i="1" s="1"/>
  <c r="J1091" i="1"/>
  <c r="N1091" i="1" s="1"/>
  <c r="J1092" i="1"/>
  <c r="N1092" i="1" s="1"/>
  <c r="J1093" i="1"/>
  <c r="N1093" i="1" s="1"/>
  <c r="J1094" i="1"/>
  <c r="N1094" i="1" s="1"/>
  <c r="J1095" i="1"/>
  <c r="N1095" i="1" s="1"/>
  <c r="J1096" i="1"/>
  <c r="N1096" i="1" s="1"/>
  <c r="J1097" i="1"/>
  <c r="N1097" i="1" s="1"/>
  <c r="J1098" i="1"/>
  <c r="N1098" i="1" s="1"/>
  <c r="J1099" i="1"/>
  <c r="N1099" i="1" s="1"/>
  <c r="J1100" i="1"/>
  <c r="N1100" i="1" s="1"/>
  <c r="J1101" i="1"/>
  <c r="N1101" i="1" s="1"/>
  <c r="J1102" i="1"/>
  <c r="N1102" i="1" s="1"/>
  <c r="J1103" i="1"/>
  <c r="N1103" i="1" s="1"/>
  <c r="J1104" i="1"/>
  <c r="N1104" i="1" s="1"/>
  <c r="J1105" i="1"/>
  <c r="N1105" i="1" s="1"/>
  <c r="J1106" i="1"/>
  <c r="N1106" i="1" s="1"/>
  <c r="J1107" i="1"/>
  <c r="N1107" i="1" s="1"/>
  <c r="J1108" i="1"/>
  <c r="N1108" i="1" s="1"/>
  <c r="J1109" i="1"/>
  <c r="N1109" i="1" s="1"/>
  <c r="J1110" i="1"/>
  <c r="N1110" i="1" s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4" i="1"/>
  <c r="P845" i="1"/>
  <c r="P846" i="1"/>
  <c r="P847" i="1"/>
  <c r="P848" i="1"/>
  <c r="P849" i="1"/>
  <c r="P850" i="1"/>
  <c r="P851" i="1"/>
  <c r="P852" i="1"/>
  <c r="P853" i="1"/>
  <c r="T850" i="1" l="1"/>
  <c r="T836" i="1"/>
  <c r="T1109" i="1"/>
  <c r="R1109" i="1"/>
  <c r="T1097" i="1"/>
  <c r="R1097" i="1"/>
  <c r="T1085" i="1"/>
  <c r="R1085" i="1"/>
  <c r="T1073" i="1"/>
  <c r="R1073" i="1"/>
  <c r="T1061" i="1"/>
  <c r="R1061" i="1"/>
  <c r="T1049" i="1"/>
  <c r="R1049" i="1"/>
  <c r="T1037" i="1"/>
  <c r="R1037" i="1"/>
  <c r="T1025" i="1"/>
  <c r="R1025" i="1"/>
  <c r="T1013" i="1"/>
  <c r="R1013" i="1"/>
  <c r="T1001" i="1"/>
  <c r="R1001" i="1"/>
  <c r="T989" i="1"/>
  <c r="R989" i="1"/>
  <c r="T977" i="1"/>
  <c r="R977" i="1"/>
  <c r="T965" i="1"/>
  <c r="R965" i="1"/>
  <c r="T953" i="1"/>
  <c r="R953" i="1"/>
  <c r="T941" i="1"/>
  <c r="R941" i="1"/>
  <c r="T929" i="1"/>
  <c r="R929" i="1"/>
  <c r="T917" i="1"/>
  <c r="R917" i="1"/>
  <c r="T905" i="1"/>
  <c r="R905" i="1"/>
  <c r="T896" i="1"/>
  <c r="R896" i="1"/>
  <c r="T881" i="1"/>
  <c r="R881" i="1"/>
  <c r="T869" i="1"/>
  <c r="R869" i="1"/>
  <c r="T859" i="1"/>
  <c r="R859" i="1"/>
  <c r="T1108" i="1"/>
  <c r="R1108" i="1"/>
  <c r="T1096" i="1"/>
  <c r="R1096" i="1"/>
  <c r="T1084" i="1"/>
  <c r="R1084" i="1"/>
  <c r="T1072" i="1"/>
  <c r="R1072" i="1"/>
  <c r="T1060" i="1"/>
  <c r="R1060" i="1"/>
  <c r="T1048" i="1"/>
  <c r="R1048" i="1"/>
  <c r="T1036" i="1"/>
  <c r="R1036" i="1"/>
  <c r="T1024" i="1"/>
  <c r="R1024" i="1"/>
  <c r="T1012" i="1"/>
  <c r="R1012" i="1"/>
  <c r="T1000" i="1"/>
  <c r="R1000" i="1"/>
  <c r="T988" i="1"/>
  <c r="R988" i="1"/>
  <c r="T976" i="1"/>
  <c r="R976" i="1"/>
  <c r="T964" i="1"/>
  <c r="R964" i="1"/>
  <c r="T952" i="1"/>
  <c r="R952" i="1"/>
  <c r="T940" i="1"/>
  <c r="R940" i="1"/>
  <c r="T928" i="1"/>
  <c r="R928" i="1"/>
  <c r="T916" i="1"/>
  <c r="R916" i="1"/>
  <c r="T904" i="1"/>
  <c r="R904" i="1"/>
  <c r="T895" i="1"/>
  <c r="R895" i="1"/>
  <c r="T880" i="1"/>
  <c r="R880" i="1"/>
  <c r="T843" i="1"/>
  <c r="R843" i="1"/>
  <c r="T858" i="1"/>
  <c r="R858" i="1"/>
  <c r="T1107" i="1"/>
  <c r="R1107" i="1"/>
  <c r="T1095" i="1"/>
  <c r="R1095" i="1"/>
  <c r="T1083" i="1"/>
  <c r="R1083" i="1"/>
  <c r="T1071" i="1"/>
  <c r="R1071" i="1"/>
  <c r="T1059" i="1"/>
  <c r="R1059" i="1"/>
  <c r="T1047" i="1"/>
  <c r="R1047" i="1"/>
  <c r="T1035" i="1"/>
  <c r="R1035" i="1"/>
  <c r="T1023" i="1"/>
  <c r="R1023" i="1"/>
  <c r="T1011" i="1"/>
  <c r="R1011" i="1"/>
  <c r="T999" i="1"/>
  <c r="R999" i="1"/>
  <c r="T987" i="1"/>
  <c r="R987" i="1"/>
  <c r="T975" i="1"/>
  <c r="R975" i="1"/>
  <c r="T963" i="1"/>
  <c r="R963" i="1"/>
  <c r="T951" i="1"/>
  <c r="R951" i="1"/>
  <c r="T939" i="1"/>
  <c r="R939" i="1"/>
  <c r="T927" i="1"/>
  <c r="R927" i="1"/>
  <c r="T915" i="1"/>
  <c r="R915" i="1"/>
  <c r="T903" i="1"/>
  <c r="R903" i="1"/>
  <c r="T894" i="1"/>
  <c r="R894" i="1"/>
  <c r="T879" i="1"/>
  <c r="R879" i="1"/>
  <c r="T842" i="1"/>
  <c r="R842" i="1"/>
  <c r="T857" i="1"/>
  <c r="R857" i="1"/>
  <c r="T833" i="1"/>
  <c r="T1106" i="1"/>
  <c r="R1106" i="1"/>
  <c r="T1094" i="1"/>
  <c r="R1094" i="1"/>
  <c r="T1082" i="1"/>
  <c r="R1082" i="1"/>
  <c r="T1070" i="1"/>
  <c r="R1070" i="1"/>
  <c r="T1058" i="1"/>
  <c r="R1058" i="1"/>
  <c r="T1046" i="1"/>
  <c r="R1046" i="1"/>
  <c r="T1034" i="1"/>
  <c r="R1034" i="1"/>
  <c r="T1022" i="1"/>
  <c r="R1022" i="1"/>
  <c r="T1010" i="1"/>
  <c r="R1010" i="1"/>
  <c r="T998" i="1"/>
  <c r="R998" i="1"/>
  <c r="T986" i="1"/>
  <c r="R986" i="1"/>
  <c r="T974" i="1"/>
  <c r="R974" i="1"/>
  <c r="T962" i="1"/>
  <c r="R962" i="1"/>
  <c r="T950" i="1"/>
  <c r="R950" i="1"/>
  <c r="T938" i="1"/>
  <c r="R938" i="1"/>
  <c r="T926" i="1"/>
  <c r="R926" i="1"/>
  <c r="T914" i="1"/>
  <c r="R914" i="1"/>
  <c r="T902" i="1"/>
  <c r="R902" i="1"/>
  <c r="T893" i="1"/>
  <c r="R893" i="1"/>
  <c r="T878" i="1"/>
  <c r="R878" i="1"/>
  <c r="T868" i="1"/>
  <c r="R868" i="1"/>
  <c r="T856" i="1"/>
  <c r="R856" i="1"/>
  <c r="T848" i="1"/>
  <c r="T1105" i="1"/>
  <c r="R1105" i="1"/>
  <c r="T1093" i="1"/>
  <c r="R1093" i="1"/>
  <c r="T1081" i="1"/>
  <c r="R1081" i="1"/>
  <c r="T1069" i="1"/>
  <c r="R1069" i="1"/>
  <c r="T1057" i="1"/>
  <c r="R1057" i="1"/>
  <c r="T1045" i="1"/>
  <c r="R1045" i="1"/>
  <c r="T1033" i="1"/>
  <c r="R1033" i="1"/>
  <c r="T1021" i="1"/>
  <c r="R1021" i="1"/>
  <c r="T1009" i="1"/>
  <c r="R1009" i="1"/>
  <c r="T997" i="1"/>
  <c r="R997" i="1"/>
  <c r="T985" i="1"/>
  <c r="R985" i="1"/>
  <c r="T973" i="1"/>
  <c r="R973" i="1"/>
  <c r="T961" i="1"/>
  <c r="R961" i="1"/>
  <c r="T949" i="1"/>
  <c r="R949" i="1"/>
  <c r="T937" i="1"/>
  <c r="R937" i="1"/>
  <c r="T925" i="1"/>
  <c r="R925" i="1"/>
  <c r="T913" i="1"/>
  <c r="R913" i="1"/>
  <c r="T901" i="1"/>
  <c r="R901" i="1"/>
  <c r="T892" i="1"/>
  <c r="R892" i="1"/>
  <c r="T877" i="1"/>
  <c r="R877" i="1"/>
  <c r="T867" i="1"/>
  <c r="R867" i="1"/>
  <c r="T855" i="1"/>
  <c r="R855" i="1"/>
  <c r="T832" i="1"/>
  <c r="T845" i="1"/>
  <c r="T831" i="1"/>
  <c r="T1104" i="1"/>
  <c r="R1104" i="1"/>
  <c r="T1092" i="1"/>
  <c r="R1092" i="1"/>
  <c r="T1080" i="1"/>
  <c r="R1080" i="1"/>
  <c r="T1068" i="1"/>
  <c r="R1068" i="1"/>
  <c r="T1056" i="1"/>
  <c r="R1056" i="1"/>
  <c r="T1044" i="1"/>
  <c r="R1044" i="1"/>
  <c r="T1032" i="1"/>
  <c r="R1032" i="1"/>
  <c r="T1020" i="1"/>
  <c r="R1020" i="1"/>
  <c r="T1008" i="1"/>
  <c r="R1008" i="1"/>
  <c r="T996" i="1"/>
  <c r="R996" i="1"/>
  <c r="T984" i="1"/>
  <c r="R984" i="1"/>
  <c r="T972" i="1"/>
  <c r="R972" i="1"/>
  <c r="T960" i="1"/>
  <c r="R960" i="1"/>
  <c r="T948" i="1"/>
  <c r="R948" i="1"/>
  <c r="T936" i="1"/>
  <c r="R936" i="1"/>
  <c r="T924" i="1"/>
  <c r="R924" i="1"/>
  <c r="T912" i="1"/>
  <c r="R912" i="1"/>
  <c r="T900" i="1"/>
  <c r="R900" i="1"/>
  <c r="T891" i="1"/>
  <c r="R891" i="1"/>
  <c r="T876" i="1"/>
  <c r="R876" i="1"/>
  <c r="T866" i="1"/>
  <c r="R866" i="1"/>
  <c r="T854" i="1"/>
  <c r="R854" i="1"/>
  <c r="T844" i="1"/>
  <c r="T830" i="1"/>
  <c r="T1103" i="1"/>
  <c r="R1103" i="1"/>
  <c r="T1091" i="1"/>
  <c r="R1091" i="1"/>
  <c r="T1079" i="1"/>
  <c r="R1079" i="1"/>
  <c r="T1067" i="1"/>
  <c r="R1067" i="1"/>
  <c r="T1055" i="1"/>
  <c r="R1055" i="1"/>
  <c r="T1043" i="1"/>
  <c r="R1043" i="1"/>
  <c r="T1031" i="1"/>
  <c r="R1031" i="1"/>
  <c r="T1019" i="1"/>
  <c r="R1019" i="1"/>
  <c r="T1007" i="1"/>
  <c r="R1007" i="1"/>
  <c r="T995" i="1"/>
  <c r="R995" i="1"/>
  <c r="T983" i="1"/>
  <c r="R983" i="1"/>
  <c r="T971" i="1"/>
  <c r="R971" i="1"/>
  <c r="T959" i="1"/>
  <c r="R959" i="1"/>
  <c r="T947" i="1"/>
  <c r="R947" i="1"/>
  <c r="T935" i="1"/>
  <c r="R935" i="1"/>
  <c r="T923" i="1"/>
  <c r="R923" i="1"/>
  <c r="T911" i="1"/>
  <c r="R911" i="1"/>
  <c r="T899" i="1"/>
  <c r="R899" i="1"/>
  <c r="T890" i="1"/>
  <c r="R890" i="1"/>
  <c r="T875" i="1"/>
  <c r="R875" i="1"/>
  <c r="T865" i="1"/>
  <c r="R865" i="1"/>
  <c r="T841" i="1"/>
  <c r="T829" i="1"/>
  <c r="T1102" i="1"/>
  <c r="R1102" i="1"/>
  <c r="T1090" i="1"/>
  <c r="R1090" i="1"/>
  <c r="T1078" i="1"/>
  <c r="R1078" i="1"/>
  <c r="T1066" i="1"/>
  <c r="R1066" i="1"/>
  <c r="T1054" i="1"/>
  <c r="R1054" i="1"/>
  <c r="T1042" i="1"/>
  <c r="R1042" i="1"/>
  <c r="T1030" i="1"/>
  <c r="R1030" i="1"/>
  <c r="T1018" i="1"/>
  <c r="R1018" i="1"/>
  <c r="T1006" i="1"/>
  <c r="R1006" i="1"/>
  <c r="T994" i="1"/>
  <c r="R994" i="1"/>
  <c r="T982" i="1"/>
  <c r="R982" i="1"/>
  <c r="T970" i="1"/>
  <c r="R970" i="1"/>
  <c r="T958" i="1"/>
  <c r="R958" i="1"/>
  <c r="T946" i="1"/>
  <c r="R946" i="1"/>
  <c r="T934" i="1"/>
  <c r="R934" i="1"/>
  <c r="T922" i="1"/>
  <c r="R922" i="1"/>
  <c r="T910" i="1"/>
  <c r="R910" i="1"/>
  <c r="T898" i="1"/>
  <c r="R898" i="1"/>
  <c r="T889" i="1"/>
  <c r="R889" i="1"/>
  <c r="T874" i="1"/>
  <c r="R874" i="1"/>
  <c r="T864" i="1"/>
  <c r="R864" i="1"/>
  <c r="T849" i="1"/>
  <c r="T846" i="1"/>
  <c r="T840" i="1"/>
  <c r="T1101" i="1"/>
  <c r="R1101" i="1"/>
  <c r="T1089" i="1"/>
  <c r="R1089" i="1"/>
  <c r="T1077" i="1"/>
  <c r="R1077" i="1"/>
  <c r="T1065" i="1"/>
  <c r="R1065" i="1"/>
  <c r="T1053" i="1"/>
  <c r="R1053" i="1"/>
  <c r="T1041" i="1"/>
  <c r="R1041" i="1"/>
  <c r="T1029" i="1"/>
  <c r="R1029" i="1"/>
  <c r="T1017" i="1"/>
  <c r="R1017" i="1"/>
  <c r="T1005" i="1"/>
  <c r="R1005" i="1"/>
  <c r="T993" i="1"/>
  <c r="R993" i="1"/>
  <c r="T981" i="1"/>
  <c r="R981" i="1"/>
  <c r="T969" i="1"/>
  <c r="R969" i="1"/>
  <c r="T957" i="1"/>
  <c r="R957" i="1"/>
  <c r="T945" i="1"/>
  <c r="R945" i="1"/>
  <c r="T933" i="1"/>
  <c r="R933" i="1"/>
  <c r="T921" i="1"/>
  <c r="R921" i="1"/>
  <c r="T909" i="1"/>
  <c r="R909" i="1"/>
  <c r="T885" i="1"/>
  <c r="R885" i="1"/>
  <c r="T888" i="1"/>
  <c r="R888" i="1"/>
  <c r="T873" i="1"/>
  <c r="R873" i="1"/>
  <c r="T863" i="1"/>
  <c r="R863" i="1"/>
  <c r="T835" i="1"/>
  <c r="T853" i="1"/>
  <c r="T839" i="1"/>
  <c r="T1100" i="1"/>
  <c r="R1100" i="1"/>
  <c r="T1088" i="1"/>
  <c r="R1088" i="1"/>
  <c r="T1076" i="1"/>
  <c r="R1076" i="1"/>
  <c r="T1064" i="1"/>
  <c r="R1064" i="1"/>
  <c r="T1052" i="1"/>
  <c r="R1052" i="1"/>
  <c r="T1040" i="1"/>
  <c r="R1040" i="1"/>
  <c r="T1028" i="1"/>
  <c r="R1028" i="1"/>
  <c r="T1016" i="1"/>
  <c r="R1016" i="1"/>
  <c r="T1004" i="1"/>
  <c r="R1004" i="1"/>
  <c r="T992" i="1"/>
  <c r="R992" i="1"/>
  <c r="T980" i="1"/>
  <c r="R980" i="1"/>
  <c r="T968" i="1"/>
  <c r="R968" i="1"/>
  <c r="T956" i="1"/>
  <c r="R956" i="1"/>
  <c r="T944" i="1"/>
  <c r="R944" i="1"/>
  <c r="T932" i="1"/>
  <c r="R932" i="1"/>
  <c r="T920" i="1"/>
  <c r="R920" i="1"/>
  <c r="T908" i="1"/>
  <c r="R908" i="1"/>
  <c r="T884" i="1"/>
  <c r="R884" i="1"/>
  <c r="T887" i="1"/>
  <c r="R887" i="1"/>
  <c r="T872" i="1"/>
  <c r="R872" i="1"/>
  <c r="T862" i="1"/>
  <c r="R862" i="1"/>
  <c r="T847" i="1"/>
  <c r="T852" i="1"/>
  <c r="T838" i="1"/>
  <c r="T1099" i="1"/>
  <c r="R1099" i="1"/>
  <c r="T1087" i="1"/>
  <c r="R1087" i="1"/>
  <c r="T1075" i="1"/>
  <c r="R1075" i="1"/>
  <c r="T1063" i="1"/>
  <c r="R1063" i="1"/>
  <c r="T1051" i="1"/>
  <c r="R1051" i="1"/>
  <c r="T1039" i="1"/>
  <c r="R1039" i="1"/>
  <c r="T1027" i="1"/>
  <c r="R1027" i="1"/>
  <c r="T1015" i="1"/>
  <c r="R1015" i="1"/>
  <c r="T1003" i="1"/>
  <c r="R1003" i="1"/>
  <c r="T991" i="1"/>
  <c r="R991" i="1"/>
  <c r="T979" i="1"/>
  <c r="R979" i="1"/>
  <c r="T967" i="1"/>
  <c r="R967" i="1"/>
  <c r="T955" i="1"/>
  <c r="R955" i="1"/>
  <c r="T943" i="1"/>
  <c r="R943" i="1"/>
  <c r="T931" i="1"/>
  <c r="R931" i="1"/>
  <c r="T919" i="1"/>
  <c r="R919" i="1"/>
  <c r="T907" i="1"/>
  <c r="R907" i="1"/>
  <c r="T883" i="1"/>
  <c r="R883" i="1"/>
  <c r="T886" i="1"/>
  <c r="R886" i="1"/>
  <c r="T871" i="1"/>
  <c r="R871" i="1"/>
  <c r="T861" i="1"/>
  <c r="R861" i="1"/>
  <c r="T834" i="1"/>
  <c r="T851" i="1"/>
  <c r="T837" i="1"/>
  <c r="T1110" i="1"/>
  <c r="R1110" i="1"/>
  <c r="T1098" i="1"/>
  <c r="R1098" i="1"/>
  <c r="T1086" i="1"/>
  <c r="R1086" i="1"/>
  <c r="T1074" i="1"/>
  <c r="R1074" i="1"/>
  <c r="T1062" i="1"/>
  <c r="R1062" i="1"/>
  <c r="T1050" i="1"/>
  <c r="R1050" i="1"/>
  <c r="T1038" i="1"/>
  <c r="R1038" i="1"/>
  <c r="T1026" i="1"/>
  <c r="R1026" i="1"/>
  <c r="T1014" i="1"/>
  <c r="R1014" i="1"/>
  <c r="T1002" i="1"/>
  <c r="R1002" i="1"/>
  <c r="T990" i="1"/>
  <c r="R990" i="1"/>
  <c r="T978" i="1"/>
  <c r="R978" i="1"/>
  <c r="T966" i="1"/>
  <c r="R966" i="1"/>
  <c r="T954" i="1"/>
  <c r="R954" i="1"/>
  <c r="T942" i="1"/>
  <c r="R942" i="1"/>
  <c r="T930" i="1"/>
  <c r="R930" i="1"/>
  <c r="T918" i="1"/>
  <c r="R918" i="1"/>
  <c r="T906" i="1"/>
  <c r="R906" i="1"/>
  <c r="T897" i="1"/>
  <c r="R897" i="1"/>
  <c r="T882" i="1"/>
  <c r="R882" i="1"/>
  <c r="T870" i="1"/>
  <c r="R870" i="1"/>
  <c r="T860" i="1"/>
  <c r="R860" i="1"/>
  <c r="J829" i="1"/>
  <c r="N829" i="1" s="1"/>
  <c r="J830" i="1"/>
  <c r="N830" i="1" s="1"/>
  <c r="J831" i="1"/>
  <c r="N831" i="1" s="1"/>
  <c r="J832" i="1"/>
  <c r="N832" i="1" s="1"/>
  <c r="J833" i="1"/>
  <c r="N833" i="1" s="1"/>
  <c r="J834" i="1"/>
  <c r="N834" i="1" s="1"/>
  <c r="J835" i="1"/>
  <c r="N835" i="1" s="1"/>
  <c r="J836" i="1"/>
  <c r="N836" i="1" s="1"/>
  <c r="J837" i="1"/>
  <c r="N837" i="1" s="1"/>
  <c r="J838" i="1"/>
  <c r="N838" i="1" s="1"/>
  <c r="J839" i="1"/>
  <c r="N839" i="1" s="1"/>
  <c r="J840" i="1"/>
  <c r="N840" i="1" s="1"/>
  <c r="J841" i="1"/>
  <c r="N841" i="1" s="1"/>
  <c r="J844" i="1"/>
  <c r="N844" i="1" s="1"/>
  <c r="J845" i="1"/>
  <c r="N845" i="1" s="1"/>
  <c r="J846" i="1"/>
  <c r="N846" i="1" s="1"/>
  <c r="J847" i="1"/>
  <c r="N847" i="1" s="1"/>
  <c r="J848" i="1"/>
  <c r="N848" i="1" s="1"/>
  <c r="J849" i="1"/>
  <c r="N849" i="1" s="1"/>
  <c r="J850" i="1"/>
  <c r="N850" i="1" s="1"/>
  <c r="J851" i="1"/>
  <c r="N851" i="1" s="1"/>
  <c r="J852" i="1"/>
  <c r="N852" i="1" s="1"/>
  <c r="J853" i="1"/>
  <c r="N853" i="1" s="1"/>
  <c r="J797" i="1"/>
  <c r="N797" i="1" s="1"/>
  <c r="J798" i="1"/>
  <c r="N798" i="1" s="1"/>
  <c r="J799" i="1"/>
  <c r="N799" i="1" s="1"/>
  <c r="J800" i="1"/>
  <c r="N800" i="1" s="1"/>
  <c r="J801" i="1"/>
  <c r="N801" i="1" s="1"/>
  <c r="J802" i="1"/>
  <c r="N802" i="1" s="1"/>
  <c r="J803" i="1"/>
  <c r="N803" i="1" s="1"/>
  <c r="J804" i="1"/>
  <c r="N804" i="1" s="1"/>
  <c r="J805" i="1"/>
  <c r="N805" i="1" s="1"/>
  <c r="J806" i="1"/>
  <c r="N806" i="1" s="1"/>
  <c r="J807" i="1"/>
  <c r="N807" i="1" s="1"/>
  <c r="J808" i="1"/>
  <c r="N808" i="1" s="1"/>
  <c r="J809" i="1"/>
  <c r="N809" i="1" s="1"/>
  <c r="J810" i="1"/>
  <c r="N810" i="1" s="1"/>
  <c r="J811" i="1"/>
  <c r="N811" i="1" s="1"/>
  <c r="J812" i="1"/>
  <c r="N812" i="1" s="1"/>
  <c r="J813" i="1"/>
  <c r="N813" i="1" s="1"/>
  <c r="J814" i="1"/>
  <c r="N814" i="1" s="1"/>
  <c r="J815" i="1"/>
  <c r="N815" i="1" s="1"/>
  <c r="J816" i="1"/>
  <c r="N816" i="1" s="1"/>
  <c r="J817" i="1"/>
  <c r="N817" i="1" s="1"/>
  <c r="J818" i="1"/>
  <c r="N818" i="1" s="1"/>
  <c r="J819" i="1"/>
  <c r="N819" i="1" s="1"/>
  <c r="J820" i="1"/>
  <c r="N820" i="1" s="1"/>
  <c r="J821" i="1"/>
  <c r="N821" i="1" s="1"/>
  <c r="J822" i="1"/>
  <c r="N822" i="1" s="1"/>
  <c r="J823" i="1"/>
  <c r="N823" i="1" s="1"/>
  <c r="J824" i="1"/>
  <c r="N824" i="1" s="1"/>
  <c r="J825" i="1"/>
  <c r="N825" i="1" s="1"/>
  <c r="J826" i="1"/>
  <c r="N826" i="1" s="1"/>
  <c r="J827" i="1"/>
  <c r="N827" i="1" s="1"/>
  <c r="J828" i="1"/>
  <c r="N828" i="1" s="1"/>
  <c r="R837" i="1" l="1"/>
  <c r="R845" i="1"/>
  <c r="R844" i="1"/>
  <c r="R829" i="1"/>
  <c r="R840" i="1"/>
  <c r="R848" i="1"/>
  <c r="R838" i="1"/>
  <c r="R839" i="1"/>
  <c r="R834" i="1"/>
  <c r="R847" i="1"/>
  <c r="R835" i="1"/>
  <c r="R849" i="1"/>
  <c r="R830" i="1"/>
  <c r="R831" i="1"/>
  <c r="R833" i="1"/>
  <c r="R836" i="1"/>
  <c r="R851" i="1"/>
  <c r="R852" i="1"/>
  <c r="R853" i="1"/>
  <c r="R846" i="1"/>
  <c r="R841" i="1"/>
  <c r="R832" i="1"/>
  <c r="R850" i="1"/>
  <c r="P799" i="1"/>
  <c r="R799" i="1" s="1"/>
  <c r="P800" i="1"/>
  <c r="R800" i="1" s="1"/>
  <c r="P801" i="1"/>
  <c r="R801" i="1" s="1"/>
  <c r="P802" i="1"/>
  <c r="R802" i="1" s="1"/>
  <c r="P803" i="1"/>
  <c r="R803" i="1" s="1"/>
  <c r="P804" i="1"/>
  <c r="R804" i="1" s="1"/>
  <c r="P805" i="1"/>
  <c r="R805" i="1" s="1"/>
  <c r="P806" i="1"/>
  <c r="R806" i="1" s="1"/>
  <c r="P807" i="1"/>
  <c r="R807" i="1" s="1"/>
  <c r="P808" i="1"/>
  <c r="R808" i="1" s="1"/>
  <c r="P809" i="1"/>
  <c r="R809" i="1" s="1"/>
  <c r="P810" i="1"/>
  <c r="R810" i="1" s="1"/>
  <c r="P811" i="1"/>
  <c r="R811" i="1" s="1"/>
  <c r="P812" i="1"/>
  <c r="R812" i="1" s="1"/>
  <c r="P813" i="1"/>
  <c r="R813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4" i="1"/>
  <c r="R824" i="1" s="1"/>
  <c r="P825" i="1"/>
  <c r="R825" i="1" s="1"/>
  <c r="P826" i="1"/>
  <c r="R826" i="1" s="1"/>
  <c r="P827" i="1"/>
  <c r="R827" i="1" s="1"/>
  <c r="P828" i="1"/>
  <c r="R828" i="1" s="1"/>
  <c r="J777" i="1"/>
  <c r="N777" i="1" s="1"/>
  <c r="J778" i="1"/>
  <c r="N778" i="1" s="1"/>
  <c r="J779" i="1"/>
  <c r="N779" i="1" s="1"/>
  <c r="J780" i="1"/>
  <c r="N780" i="1" s="1"/>
  <c r="J781" i="1"/>
  <c r="N781" i="1" s="1"/>
  <c r="J782" i="1"/>
  <c r="N782" i="1" s="1"/>
  <c r="J783" i="1"/>
  <c r="N783" i="1" s="1"/>
  <c r="J784" i="1"/>
  <c r="N784" i="1" s="1"/>
  <c r="J785" i="1"/>
  <c r="N785" i="1" s="1"/>
  <c r="J786" i="1"/>
  <c r="N786" i="1" s="1"/>
  <c r="J787" i="1"/>
  <c r="N787" i="1" s="1"/>
  <c r="J788" i="1"/>
  <c r="N788" i="1" s="1"/>
  <c r="J789" i="1"/>
  <c r="N789" i="1" s="1"/>
  <c r="J790" i="1"/>
  <c r="N790" i="1" s="1"/>
  <c r="J791" i="1"/>
  <c r="N791" i="1" s="1"/>
  <c r="J792" i="1"/>
  <c r="N792" i="1" s="1"/>
  <c r="J793" i="1"/>
  <c r="N793" i="1" s="1"/>
  <c r="J794" i="1"/>
  <c r="N794" i="1" s="1"/>
  <c r="J795" i="1"/>
  <c r="N795" i="1" s="1"/>
  <c r="J796" i="1"/>
  <c r="N796" i="1" s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R797" i="1" s="1"/>
  <c r="P798" i="1"/>
  <c r="R798" i="1" s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51" i="1"/>
  <c r="J752" i="1"/>
  <c r="N752" i="1" s="1"/>
  <c r="J753" i="1"/>
  <c r="N753" i="1" s="1"/>
  <c r="J754" i="1"/>
  <c r="N754" i="1" s="1"/>
  <c r="J755" i="1"/>
  <c r="N755" i="1" s="1"/>
  <c r="J756" i="1"/>
  <c r="N756" i="1" s="1"/>
  <c r="J757" i="1"/>
  <c r="N757" i="1" s="1"/>
  <c r="J758" i="1"/>
  <c r="N758" i="1" s="1"/>
  <c r="J759" i="1"/>
  <c r="N759" i="1" s="1"/>
  <c r="J760" i="1"/>
  <c r="N760" i="1" s="1"/>
  <c r="J761" i="1"/>
  <c r="N761" i="1" s="1"/>
  <c r="J762" i="1"/>
  <c r="N762" i="1" s="1"/>
  <c r="J763" i="1"/>
  <c r="N763" i="1" s="1"/>
  <c r="J764" i="1"/>
  <c r="N764" i="1" s="1"/>
  <c r="J765" i="1"/>
  <c r="N765" i="1" s="1"/>
  <c r="J766" i="1"/>
  <c r="N766" i="1" s="1"/>
  <c r="J767" i="1"/>
  <c r="N767" i="1" s="1"/>
  <c r="J768" i="1"/>
  <c r="N768" i="1" s="1"/>
  <c r="J769" i="1"/>
  <c r="N769" i="1" s="1"/>
  <c r="J770" i="1"/>
  <c r="N770" i="1" s="1"/>
  <c r="J771" i="1"/>
  <c r="N771" i="1" s="1"/>
  <c r="J772" i="1"/>
  <c r="N772" i="1" s="1"/>
  <c r="J773" i="1"/>
  <c r="N773" i="1" s="1"/>
  <c r="J774" i="1"/>
  <c r="N774" i="1" s="1"/>
  <c r="J775" i="1"/>
  <c r="N775" i="1" s="1"/>
  <c r="J776" i="1"/>
  <c r="N776" i="1" s="1"/>
  <c r="T769" i="1" l="1"/>
  <c r="R769" i="1"/>
  <c r="T757" i="1"/>
  <c r="R757" i="1"/>
  <c r="T792" i="1"/>
  <c r="R792" i="1"/>
  <c r="T780" i="1"/>
  <c r="R780" i="1"/>
  <c r="T756" i="1"/>
  <c r="R756" i="1"/>
  <c r="T791" i="1"/>
  <c r="R791" i="1"/>
  <c r="T779" i="1"/>
  <c r="R779" i="1"/>
  <c r="T767" i="1"/>
  <c r="R767" i="1"/>
  <c r="T755" i="1"/>
  <c r="R755" i="1"/>
  <c r="T790" i="1"/>
  <c r="R790" i="1"/>
  <c r="T778" i="1"/>
  <c r="R778" i="1"/>
  <c r="T766" i="1"/>
  <c r="R766" i="1"/>
  <c r="T754" i="1"/>
  <c r="R754" i="1"/>
  <c r="T789" i="1"/>
  <c r="R789" i="1"/>
  <c r="T777" i="1"/>
  <c r="R777" i="1"/>
  <c r="T765" i="1"/>
  <c r="R765" i="1"/>
  <c r="T788" i="1"/>
  <c r="R788" i="1"/>
  <c r="T776" i="1"/>
  <c r="R776" i="1"/>
  <c r="T787" i="1"/>
  <c r="R787" i="1"/>
  <c r="T768" i="1"/>
  <c r="R768" i="1"/>
  <c r="T775" i="1"/>
  <c r="R775" i="1"/>
  <c r="T786" i="1"/>
  <c r="R786" i="1"/>
  <c r="T764" i="1"/>
  <c r="R764" i="1"/>
  <c r="T774" i="1"/>
  <c r="R774" i="1"/>
  <c r="T762" i="1"/>
  <c r="R762" i="1"/>
  <c r="T785" i="1"/>
  <c r="R785" i="1"/>
  <c r="T751" i="1"/>
  <c r="T773" i="1"/>
  <c r="R773" i="1"/>
  <c r="T761" i="1"/>
  <c r="R761" i="1"/>
  <c r="T796" i="1"/>
  <c r="R796" i="1"/>
  <c r="T784" i="1"/>
  <c r="R784" i="1"/>
  <c r="T752" i="1"/>
  <c r="R752" i="1"/>
  <c r="T772" i="1"/>
  <c r="R772" i="1"/>
  <c r="T760" i="1"/>
  <c r="R760" i="1"/>
  <c r="T795" i="1"/>
  <c r="R795" i="1"/>
  <c r="T783" i="1"/>
  <c r="R783" i="1"/>
  <c r="T763" i="1"/>
  <c r="R763" i="1"/>
  <c r="T771" i="1"/>
  <c r="R771" i="1"/>
  <c r="T759" i="1"/>
  <c r="R759" i="1"/>
  <c r="T794" i="1"/>
  <c r="R794" i="1"/>
  <c r="T782" i="1"/>
  <c r="R782" i="1"/>
  <c r="T753" i="1"/>
  <c r="R753" i="1"/>
  <c r="T770" i="1"/>
  <c r="R770" i="1"/>
  <c r="T758" i="1"/>
  <c r="R758" i="1"/>
  <c r="T793" i="1"/>
  <c r="R793" i="1"/>
  <c r="T781" i="1"/>
  <c r="R781" i="1"/>
  <c r="T823" i="1"/>
  <c r="T797" i="1"/>
  <c r="T822" i="1"/>
  <c r="T810" i="1"/>
  <c r="T821" i="1"/>
  <c r="T809" i="1"/>
  <c r="T820" i="1"/>
  <c r="T808" i="1"/>
  <c r="T811" i="1"/>
  <c r="T819" i="1"/>
  <c r="T807" i="1"/>
  <c r="T818" i="1"/>
  <c r="T806" i="1"/>
  <c r="T817" i="1"/>
  <c r="T805" i="1"/>
  <c r="T828" i="1"/>
  <c r="T816" i="1"/>
  <c r="T804" i="1"/>
  <c r="T798" i="1"/>
  <c r="T827" i="1"/>
  <c r="T815" i="1"/>
  <c r="T803" i="1"/>
  <c r="T826" i="1"/>
  <c r="T814" i="1"/>
  <c r="T802" i="1"/>
  <c r="T799" i="1"/>
  <c r="T825" i="1"/>
  <c r="T813" i="1"/>
  <c r="T801" i="1"/>
  <c r="T824" i="1"/>
  <c r="T812" i="1"/>
  <c r="T800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J733" i="1"/>
  <c r="N733" i="1" s="1"/>
  <c r="J734" i="1"/>
  <c r="N734" i="1" s="1"/>
  <c r="J735" i="1"/>
  <c r="N735" i="1" s="1"/>
  <c r="J736" i="1"/>
  <c r="N736" i="1" s="1"/>
  <c r="J737" i="1"/>
  <c r="N737" i="1" s="1"/>
  <c r="J738" i="1"/>
  <c r="N738" i="1" s="1"/>
  <c r="J739" i="1"/>
  <c r="N739" i="1" s="1"/>
  <c r="J740" i="1"/>
  <c r="N740" i="1" s="1"/>
  <c r="J741" i="1"/>
  <c r="N741" i="1" s="1"/>
  <c r="J742" i="1"/>
  <c r="N742" i="1" s="1"/>
  <c r="J743" i="1"/>
  <c r="N743" i="1" s="1"/>
  <c r="J744" i="1"/>
  <c r="N744" i="1" s="1"/>
  <c r="J745" i="1"/>
  <c r="N745" i="1" s="1"/>
  <c r="J746" i="1"/>
  <c r="N746" i="1" s="1"/>
  <c r="J747" i="1"/>
  <c r="N747" i="1" s="1"/>
  <c r="J748" i="1"/>
  <c r="N748" i="1" s="1"/>
  <c r="J749" i="1"/>
  <c r="N749" i="1" s="1"/>
  <c r="J750" i="1"/>
  <c r="N750" i="1" s="1"/>
  <c r="J751" i="1"/>
  <c r="N751" i="1" s="1"/>
  <c r="T740" i="1" l="1"/>
  <c r="R740" i="1"/>
  <c r="T737" i="1"/>
  <c r="R737" i="1"/>
  <c r="T735" i="1"/>
  <c r="R735" i="1"/>
  <c r="T738" i="1"/>
  <c r="R738" i="1"/>
  <c r="T747" i="1"/>
  <c r="R747" i="1"/>
  <c r="T746" i="1"/>
  <c r="R746" i="1"/>
  <c r="T734" i="1"/>
  <c r="R734" i="1"/>
  <c r="R751" i="1"/>
  <c r="T739" i="1"/>
  <c r="R739" i="1"/>
  <c r="T745" i="1"/>
  <c r="R745" i="1"/>
  <c r="T733" i="1"/>
  <c r="R733" i="1"/>
  <c r="T750" i="1"/>
  <c r="R750" i="1"/>
  <c r="T748" i="1"/>
  <c r="R748" i="1"/>
  <c r="T744" i="1"/>
  <c r="R744" i="1"/>
  <c r="T743" i="1"/>
  <c r="R743" i="1"/>
  <c r="T736" i="1"/>
  <c r="R736" i="1"/>
  <c r="T742" i="1"/>
  <c r="R742" i="1"/>
  <c r="T749" i="1"/>
  <c r="R749" i="1"/>
  <c r="T741" i="1"/>
  <c r="R741" i="1"/>
  <c r="P732" i="1"/>
  <c r="J732" i="1"/>
  <c r="N732" i="1" s="1"/>
  <c r="P731" i="1"/>
  <c r="P730" i="1"/>
  <c r="P729" i="1"/>
  <c r="P728" i="1"/>
  <c r="P727" i="1"/>
  <c r="J727" i="1"/>
  <c r="N727" i="1" s="1"/>
  <c r="J728" i="1"/>
  <c r="N728" i="1" s="1"/>
  <c r="J729" i="1"/>
  <c r="N729" i="1" s="1"/>
  <c r="J730" i="1"/>
  <c r="N730" i="1" s="1"/>
  <c r="J731" i="1"/>
  <c r="N731" i="1" s="1"/>
  <c r="T727" i="1" l="1"/>
  <c r="R727" i="1"/>
  <c r="T728" i="1"/>
  <c r="R728" i="1"/>
  <c r="T730" i="1"/>
  <c r="R730" i="1"/>
  <c r="T731" i="1"/>
  <c r="R731" i="1"/>
  <c r="T732" i="1"/>
  <c r="R732" i="1"/>
  <c r="T729" i="1"/>
  <c r="R729" i="1"/>
  <c r="P713" i="1"/>
  <c r="P714" i="1"/>
  <c r="J713" i="1"/>
  <c r="N713" i="1" s="1"/>
  <c r="J714" i="1"/>
  <c r="N714" i="1" s="1"/>
  <c r="T714" i="1" l="1"/>
  <c r="R714" i="1"/>
  <c r="T713" i="1"/>
  <c r="R713" i="1"/>
  <c r="P721" i="1"/>
  <c r="P722" i="1"/>
  <c r="P723" i="1"/>
  <c r="P724" i="1"/>
  <c r="P725" i="1"/>
  <c r="P726" i="1"/>
  <c r="J721" i="1"/>
  <c r="N721" i="1" s="1"/>
  <c r="J722" i="1"/>
  <c r="N722" i="1" s="1"/>
  <c r="J723" i="1"/>
  <c r="N723" i="1" s="1"/>
  <c r="J724" i="1"/>
  <c r="N724" i="1" s="1"/>
  <c r="J725" i="1"/>
  <c r="N725" i="1" s="1"/>
  <c r="J726" i="1"/>
  <c r="N726" i="1" s="1"/>
  <c r="P720" i="1"/>
  <c r="P719" i="1"/>
  <c r="P718" i="1"/>
  <c r="P717" i="1"/>
  <c r="P716" i="1"/>
  <c r="P715" i="1"/>
  <c r="J715" i="1"/>
  <c r="N715" i="1" s="1"/>
  <c r="J716" i="1"/>
  <c r="N716" i="1" s="1"/>
  <c r="J717" i="1"/>
  <c r="N717" i="1" s="1"/>
  <c r="J718" i="1"/>
  <c r="N718" i="1" s="1"/>
  <c r="J719" i="1"/>
  <c r="N719" i="1" s="1"/>
  <c r="J720" i="1"/>
  <c r="N720" i="1" s="1"/>
  <c r="T715" i="1" l="1"/>
  <c r="R715" i="1"/>
  <c r="T719" i="1"/>
  <c r="R719" i="1"/>
  <c r="T724" i="1"/>
  <c r="R724" i="1"/>
  <c r="T720" i="1"/>
  <c r="R720" i="1"/>
  <c r="T721" i="1"/>
  <c r="R721" i="1"/>
  <c r="T716" i="1"/>
  <c r="R716" i="1"/>
  <c r="T718" i="1"/>
  <c r="R718" i="1"/>
  <c r="T717" i="1"/>
  <c r="R717" i="1"/>
  <c r="T725" i="1"/>
  <c r="R725" i="1"/>
  <c r="T722" i="1"/>
  <c r="R722" i="1"/>
  <c r="T726" i="1"/>
  <c r="R726" i="1"/>
  <c r="T723" i="1"/>
  <c r="R723" i="1"/>
  <c r="P712" i="1"/>
  <c r="J712" i="1"/>
  <c r="N712" i="1" s="1"/>
  <c r="P711" i="1"/>
  <c r="J711" i="1"/>
  <c r="N711" i="1" s="1"/>
  <c r="P710" i="1"/>
  <c r="J710" i="1"/>
  <c r="N710" i="1" s="1"/>
  <c r="P709" i="1"/>
  <c r="J709" i="1"/>
  <c r="N709" i="1" s="1"/>
  <c r="P708" i="1"/>
  <c r="J708" i="1"/>
  <c r="N708" i="1" s="1"/>
  <c r="P707" i="1"/>
  <c r="J707" i="1"/>
  <c r="N707" i="1" s="1"/>
  <c r="P706" i="1"/>
  <c r="J706" i="1"/>
  <c r="N706" i="1" s="1"/>
  <c r="P705" i="1"/>
  <c r="J705" i="1"/>
  <c r="N705" i="1" s="1"/>
  <c r="P704" i="1"/>
  <c r="J704" i="1"/>
  <c r="N704" i="1" s="1"/>
  <c r="P703" i="1"/>
  <c r="J703" i="1"/>
  <c r="N703" i="1" s="1"/>
  <c r="P702" i="1"/>
  <c r="J702" i="1"/>
  <c r="N702" i="1" s="1"/>
  <c r="P701" i="1"/>
  <c r="J701" i="1"/>
  <c r="N701" i="1" s="1"/>
  <c r="P700" i="1"/>
  <c r="J700" i="1"/>
  <c r="N700" i="1" s="1"/>
  <c r="P699" i="1"/>
  <c r="J699" i="1"/>
  <c r="N699" i="1" s="1"/>
  <c r="P698" i="1"/>
  <c r="J698" i="1"/>
  <c r="N698" i="1" s="1"/>
  <c r="P697" i="1"/>
  <c r="J697" i="1"/>
  <c r="N697" i="1" s="1"/>
  <c r="P696" i="1"/>
  <c r="J696" i="1"/>
  <c r="N696" i="1" s="1"/>
  <c r="P695" i="1"/>
  <c r="J695" i="1"/>
  <c r="N695" i="1" s="1"/>
  <c r="P694" i="1"/>
  <c r="J694" i="1"/>
  <c r="N694" i="1" s="1"/>
  <c r="P693" i="1"/>
  <c r="J693" i="1"/>
  <c r="N693" i="1" s="1"/>
  <c r="P692" i="1"/>
  <c r="J692" i="1"/>
  <c r="N692" i="1" s="1"/>
  <c r="P691" i="1"/>
  <c r="J691" i="1"/>
  <c r="N691" i="1" s="1"/>
  <c r="P690" i="1"/>
  <c r="J690" i="1"/>
  <c r="N690" i="1" s="1"/>
  <c r="P689" i="1"/>
  <c r="J689" i="1"/>
  <c r="N689" i="1" s="1"/>
  <c r="P688" i="1"/>
  <c r="J688" i="1"/>
  <c r="N688" i="1" s="1"/>
  <c r="P687" i="1"/>
  <c r="J687" i="1"/>
  <c r="N687" i="1" s="1"/>
  <c r="P686" i="1"/>
  <c r="J686" i="1"/>
  <c r="N686" i="1" s="1"/>
  <c r="P685" i="1"/>
  <c r="J685" i="1"/>
  <c r="N685" i="1" s="1"/>
  <c r="P684" i="1"/>
  <c r="J684" i="1"/>
  <c r="N684" i="1" s="1"/>
  <c r="P683" i="1"/>
  <c r="J683" i="1"/>
  <c r="N683" i="1" s="1"/>
  <c r="J682" i="1"/>
  <c r="N682" i="1" s="1"/>
  <c r="P682" i="1"/>
  <c r="T707" i="1" l="1"/>
  <c r="R707" i="1"/>
  <c r="T695" i="1"/>
  <c r="R695" i="1"/>
  <c r="T702" i="1"/>
  <c r="R702" i="1"/>
  <c r="T708" i="1"/>
  <c r="R708" i="1"/>
  <c r="T689" i="1"/>
  <c r="R689" i="1"/>
  <c r="T703" i="1"/>
  <c r="R703" i="1"/>
  <c r="T709" i="1"/>
  <c r="R709" i="1"/>
  <c r="T684" i="1"/>
  <c r="R684" i="1"/>
  <c r="T690" i="1"/>
  <c r="R690" i="1"/>
  <c r="T686" i="1"/>
  <c r="R686" i="1"/>
  <c r="T692" i="1"/>
  <c r="R692" i="1"/>
  <c r="T698" i="1"/>
  <c r="R698" i="1"/>
  <c r="T704" i="1"/>
  <c r="R704" i="1"/>
  <c r="T710" i="1"/>
  <c r="R710" i="1"/>
  <c r="T696" i="1"/>
  <c r="R696" i="1"/>
  <c r="T691" i="1"/>
  <c r="R691" i="1"/>
  <c r="T683" i="1"/>
  <c r="R683" i="1"/>
  <c r="T685" i="1"/>
  <c r="R685" i="1"/>
  <c r="T687" i="1"/>
  <c r="R687" i="1"/>
  <c r="T693" i="1"/>
  <c r="R693" i="1"/>
  <c r="T699" i="1"/>
  <c r="R699" i="1"/>
  <c r="T705" i="1"/>
  <c r="R705" i="1"/>
  <c r="T711" i="1"/>
  <c r="R711" i="1"/>
  <c r="T697" i="1"/>
  <c r="R697" i="1"/>
  <c r="T682" i="1"/>
  <c r="R682" i="1"/>
  <c r="T701" i="1"/>
  <c r="R701" i="1"/>
  <c r="T688" i="1"/>
  <c r="R688" i="1"/>
  <c r="T694" i="1"/>
  <c r="R694" i="1"/>
  <c r="T700" i="1"/>
  <c r="R700" i="1"/>
  <c r="T706" i="1"/>
  <c r="R706" i="1"/>
  <c r="T712" i="1"/>
  <c r="R712" i="1"/>
  <c r="P665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4" i="1"/>
  <c r="P663" i="1"/>
  <c r="P662" i="1"/>
  <c r="P661" i="1"/>
  <c r="J661" i="1"/>
  <c r="N661" i="1" s="1"/>
  <c r="J662" i="1"/>
  <c r="N662" i="1" s="1"/>
  <c r="J663" i="1"/>
  <c r="N663" i="1" s="1"/>
  <c r="J664" i="1"/>
  <c r="N664" i="1" s="1"/>
  <c r="J665" i="1"/>
  <c r="N665" i="1" s="1"/>
  <c r="J666" i="1"/>
  <c r="N666" i="1" s="1"/>
  <c r="J667" i="1"/>
  <c r="N667" i="1" s="1"/>
  <c r="J668" i="1"/>
  <c r="N668" i="1" s="1"/>
  <c r="J669" i="1"/>
  <c r="N669" i="1" s="1"/>
  <c r="J670" i="1"/>
  <c r="N670" i="1" s="1"/>
  <c r="J671" i="1"/>
  <c r="N671" i="1" s="1"/>
  <c r="J672" i="1"/>
  <c r="N672" i="1" s="1"/>
  <c r="J673" i="1"/>
  <c r="N673" i="1" s="1"/>
  <c r="J674" i="1"/>
  <c r="N674" i="1" s="1"/>
  <c r="J675" i="1"/>
  <c r="N675" i="1" s="1"/>
  <c r="J676" i="1"/>
  <c r="N676" i="1" s="1"/>
  <c r="J677" i="1"/>
  <c r="N677" i="1" s="1"/>
  <c r="J678" i="1"/>
  <c r="N678" i="1" s="1"/>
  <c r="J679" i="1"/>
  <c r="N679" i="1" s="1"/>
  <c r="J680" i="1"/>
  <c r="N680" i="1" s="1"/>
  <c r="J681" i="1"/>
  <c r="N681" i="1" s="1"/>
  <c r="P659" i="1"/>
  <c r="P660" i="1"/>
  <c r="J659" i="1"/>
  <c r="N659" i="1" s="1"/>
  <c r="J660" i="1"/>
  <c r="N660" i="1" s="1"/>
  <c r="T673" i="1" l="1"/>
  <c r="R673" i="1"/>
  <c r="T674" i="1"/>
  <c r="R674" i="1"/>
  <c r="T664" i="1"/>
  <c r="R664" i="1"/>
  <c r="T676" i="1"/>
  <c r="R676" i="1"/>
  <c r="T662" i="1"/>
  <c r="R662" i="1"/>
  <c r="T679" i="1"/>
  <c r="R679" i="1"/>
  <c r="T678" i="1"/>
  <c r="R678" i="1"/>
  <c r="T668" i="1"/>
  <c r="R668" i="1"/>
  <c r="T680" i="1"/>
  <c r="R680" i="1"/>
  <c r="T660" i="1"/>
  <c r="R660" i="1"/>
  <c r="T677" i="1"/>
  <c r="R677" i="1"/>
  <c r="T669" i="1"/>
  <c r="R669" i="1"/>
  <c r="T681" i="1"/>
  <c r="R681" i="1"/>
  <c r="T659" i="1"/>
  <c r="R659" i="1"/>
  <c r="T667" i="1"/>
  <c r="R667" i="1"/>
  <c r="T670" i="1"/>
  <c r="R670" i="1"/>
  <c r="T665" i="1"/>
  <c r="R665" i="1"/>
  <c r="T675" i="1"/>
  <c r="R675" i="1"/>
  <c r="T671" i="1"/>
  <c r="R671" i="1"/>
  <c r="T661" i="1"/>
  <c r="R661" i="1"/>
  <c r="T663" i="1"/>
  <c r="R663" i="1"/>
  <c r="T666" i="1"/>
  <c r="R666" i="1"/>
  <c r="T672" i="1"/>
  <c r="R672" i="1"/>
  <c r="P658" i="1"/>
  <c r="J658" i="1"/>
  <c r="N658" i="1" s="1"/>
  <c r="P657" i="1"/>
  <c r="J657" i="1"/>
  <c r="N657" i="1" s="1"/>
  <c r="P656" i="1"/>
  <c r="J656" i="1"/>
  <c r="N656" i="1" s="1"/>
  <c r="P655" i="1"/>
  <c r="J655" i="1"/>
  <c r="N655" i="1" s="1"/>
  <c r="P654" i="1"/>
  <c r="J654" i="1"/>
  <c r="N654" i="1" s="1"/>
  <c r="P653" i="1"/>
  <c r="J653" i="1"/>
  <c r="N653" i="1" s="1"/>
  <c r="P652" i="1"/>
  <c r="J652" i="1"/>
  <c r="N652" i="1" s="1"/>
  <c r="P651" i="1"/>
  <c r="J651" i="1"/>
  <c r="N651" i="1" s="1"/>
  <c r="P650" i="1"/>
  <c r="J650" i="1"/>
  <c r="N650" i="1" s="1"/>
  <c r="P649" i="1"/>
  <c r="J649" i="1"/>
  <c r="N649" i="1" s="1"/>
  <c r="P648" i="1"/>
  <c r="J648" i="1"/>
  <c r="N648" i="1" s="1"/>
  <c r="P647" i="1"/>
  <c r="J647" i="1"/>
  <c r="N647" i="1" s="1"/>
  <c r="P646" i="1"/>
  <c r="J646" i="1"/>
  <c r="N646" i="1" s="1"/>
  <c r="P645" i="1"/>
  <c r="J645" i="1"/>
  <c r="N645" i="1" s="1"/>
  <c r="P644" i="1"/>
  <c r="J644" i="1"/>
  <c r="N644" i="1" s="1"/>
  <c r="P567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J567" i="1"/>
  <c r="N567" i="1" s="1"/>
  <c r="J627" i="1"/>
  <c r="N627" i="1" s="1"/>
  <c r="J628" i="1"/>
  <c r="N628" i="1" s="1"/>
  <c r="J629" i="1"/>
  <c r="N629" i="1" s="1"/>
  <c r="J630" i="1"/>
  <c r="N630" i="1" s="1"/>
  <c r="J631" i="1"/>
  <c r="N631" i="1" s="1"/>
  <c r="J632" i="1"/>
  <c r="N632" i="1" s="1"/>
  <c r="J633" i="1"/>
  <c r="N633" i="1" s="1"/>
  <c r="J634" i="1"/>
  <c r="N634" i="1" s="1"/>
  <c r="J635" i="1"/>
  <c r="N635" i="1" s="1"/>
  <c r="J636" i="1"/>
  <c r="N636" i="1" s="1"/>
  <c r="J637" i="1"/>
  <c r="N637" i="1" s="1"/>
  <c r="J638" i="1"/>
  <c r="N638" i="1" s="1"/>
  <c r="J639" i="1"/>
  <c r="N639" i="1" s="1"/>
  <c r="J640" i="1"/>
  <c r="N640" i="1" s="1"/>
  <c r="T633" i="1" l="1"/>
  <c r="R633" i="1"/>
  <c r="T658" i="1"/>
  <c r="R658" i="1"/>
  <c r="T653" i="1"/>
  <c r="R653" i="1"/>
  <c r="T652" i="1"/>
  <c r="R652" i="1"/>
  <c r="T632" i="1"/>
  <c r="R632" i="1"/>
  <c r="T647" i="1"/>
  <c r="R647" i="1"/>
  <c r="T628" i="1"/>
  <c r="R628" i="1"/>
  <c r="T654" i="1"/>
  <c r="R654" i="1"/>
  <c r="T639" i="1"/>
  <c r="R639" i="1"/>
  <c r="T638" i="1"/>
  <c r="R638" i="1"/>
  <c r="T567" i="1"/>
  <c r="R567" i="1"/>
  <c r="T649" i="1"/>
  <c r="R649" i="1"/>
  <c r="T655" i="1"/>
  <c r="R655" i="1"/>
  <c r="T646" i="1"/>
  <c r="R646" i="1"/>
  <c r="T630" i="1"/>
  <c r="R630" i="1"/>
  <c r="T637" i="1"/>
  <c r="R637" i="1"/>
  <c r="T636" i="1"/>
  <c r="R636" i="1"/>
  <c r="T644" i="1"/>
  <c r="R644" i="1"/>
  <c r="T650" i="1"/>
  <c r="R650" i="1"/>
  <c r="T656" i="1"/>
  <c r="R656" i="1"/>
  <c r="T631" i="1"/>
  <c r="R631" i="1"/>
  <c r="T640" i="1"/>
  <c r="R640" i="1"/>
  <c r="T627" i="1"/>
  <c r="R627" i="1"/>
  <c r="T629" i="1"/>
  <c r="R629" i="1"/>
  <c r="T648" i="1"/>
  <c r="R648" i="1"/>
  <c r="T635" i="1"/>
  <c r="R635" i="1"/>
  <c r="T634" i="1"/>
  <c r="R634" i="1"/>
  <c r="T645" i="1"/>
  <c r="R645" i="1"/>
  <c r="T651" i="1"/>
  <c r="R651" i="1"/>
  <c r="T657" i="1"/>
  <c r="R657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41" i="1"/>
  <c r="P642" i="1"/>
  <c r="P643" i="1"/>
  <c r="J601" i="1"/>
  <c r="N601" i="1" s="1"/>
  <c r="J602" i="1"/>
  <c r="N602" i="1" s="1"/>
  <c r="J603" i="1"/>
  <c r="N603" i="1" s="1"/>
  <c r="J604" i="1"/>
  <c r="N604" i="1" s="1"/>
  <c r="J605" i="1"/>
  <c r="N605" i="1" s="1"/>
  <c r="J606" i="1"/>
  <c r="N606" i="1" s="1"/>
  <c r="J607" i="1"/>
  <c r="N607" i="1" s="1"/>
  <c r="J608" i="1"/>
  <c r="N608" i="1" s="1"/>
  <c r="J609" i="1"/>
  <c r="N609" i="1" s="1"/>
  <c r="J610" i="1"/>
  <c r="N610" i="1" s="1"/>
  <c r="J611" i="1"/>
  <c r="N611" i="1" s="1"/>
  <c r="J612" i="1"/>
  <c r="N612" i="1" s="1"/>
  <c r="J613" i="1"/>
  <c r="N613" i="1" s="1"/>
  <c r="J614" i="1"/>
  <c r="N614" i="1" s="1"/>
  <c r="J615" i="1"/>
  <c r="N615" i="1" s="1"/>
  <c r="J616" i="1"/>
  <c r="N616" i="1" s="1"/>
  <c r="J617" i="1"/>
  <c r="N617" i="1" s="1"/>
  <c r="J618" i="1"/>
  <c r="N618" i="1" s="1"/>
  <c r="J619" i="1"/>
  <c r="N619" i="1" s="1"/>
  <c r="J620" i="1"/>
  <c r="N620" i="1" s="1"/>
  <c r="J621" i="1"/>
  <c r="N621" i="1" s="1"/>
  <c r="J622" i="1"/>
  <c r="N622" i="1" s="1"/>
  <c r="J623" i="1"/>
  <c r="N623" i="1" s="1"/>
  <c r="J624" i="1"/>
  <c r="N624" i="1" s="1"/>
  <c r="J625" i="1"/>
  <c r="N625" i="1" s="1"/>
  <c r="J626" i="1"/>
  <c r="N626" i="1" s="1"/>
  <c r="J641" i="1"/>
  <c r="N641" i="1" s="1"/>
  <c r="J642" i="1"/>
  <c r="N642" i="1" s="1"/>
  <c r="J643" i="1"/>
  <c r="N643" i="1" s="1"/>
  <c r="T612" i="1" l="1"/>
  <c r="R612" i="1"/>
  <c r="T609" i="1"/>
  <c r="R609" i="1"/>
  <c r="T624" i="1"/>
  <c r="R624" i="1"/>
  <c r="T608" i="1"/>
  <c r="R608" i="1"/>
  <c r="T623" i="1"/>
  <c r="R623" i="1"/>
  <c r="T619" i="1"/>
  <c r="R619" i="1"/>
  <c r="T607" i="1"/>
  <c r="R607" i="1"/>
  <c r="T618" i="1"/>
  <c r="R618" i="1"/>
  <c r="T606" i="1"/>
  <c r="R606" i="1"/>
  <c r="T611" i="1"/>
  <c r="R611" i="1"/>
  <c r="T621" i="1"/>
  <c r="R621" i="1"/>
  <c r="T643" i="1"/>
  <c r="R643" i="1"/>
  <c r="T617" i="1"/>
  <c r="R617" i="1"/>
  <c r="T605" i="1"/>
  <c r="R605" i="1"/>
  <c r="T610" i="1"/>
  <c r="R610" i="1"/>
  <c r="T642" i="1"/>
  <c r="R642" i="1"/>
  <c r="T616" i="1"/>
  <c r="R616" i="1"/>
  <c r="T604" i="1"/>
  <c r="R604" i="1"/>
  <c r="T622" i="1"/>
  <c r="R622" i="1"/>
  <c r="T641" i="1"/>
  <c r="R641" i="1"/>
  <c r="T615" i="1"/>
  <c r="R615" i="1"/>
  <c r="T603" i="1"/>
  <c r="R603" i="1"/>
  <c r="T620" i="1"/>
  <c r="R620" i="1"/>
  <c r="T626" i="1"/>
  <c r="R626" i="1"/>
  <c r="T614" i="1"/>
  <c r="R614" i="1"/>
  <c r="T602" i="1"/>
  <c r="R602" i="1"/>
  <c r="T625" i="1"/>
  <c r="R625" i="1"/>
  <c r="T613" i="1"/>
  <c r="R613" i="1"/>
  <c r="T601" i="1"/>
  <c r="R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66" i="1"/>
  <c r="P588" i="1"/>
  <c r="P58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15" i="1"/>
  <c r="P14" i="1"/>
  <c r="P13" i="1"/>
  <c r="P12" i="1"/>
  <c r="P11" i="1"/>
  <c r="P10" i="1"/>
  <c r="T599" i="1" l="1"/>
  <c r="T12" i="1"/>
  <c r="T15" i="1"/>
  <c r="T577" i="1"/>
  <c r="T576" i="1"/>
  <c r="T585" i="1"/>
  <c r="T600" i="1"/>
  <c r="T590" i="1"/>
  <c r="T584" i="1"/>
  <c r="T588" i="1"/>
  <c r="T589" i="1"/>
  <c r="T574" i="1"/>
  <c r="T573" i="1"/>
  <c r="T583" i="1"/>
  <c r="T571" i="1"/>
  <c r="T594" i="1"/>
  <c r="T586" i="1"/>
  <c r="T592" i="1"/>
  <c r="T570" i="1"/>
  <c r="T595" i="1"/>
  <c r="T566" i="1"/>
  <c r="T575" i="1"/>
  <c r="T591" i="1"/>
  <c r="T593" i="1"/>
  <c r="T581" i="1"/>
  <c r="T569" i="1"/>
  <c r="T596" i="1"/>
  <c r="T578" i="1"/>
  <c r="T14" i="1"/>
  <c r="T572" i="1"/>
  <c r="T568" i="1"/>
  <c r="T597" i="1"/>
  <c r="T13" i="1"/>
  <c r="T582" i="1"/>
  <c r="T10" i="1"/>
  <c r="T580" i="1"/>
  <c r="T11" i="1"/>
  <c r="T579" i="1"/>
  <c r="T587" i="1"/>
  <c r="T598" i="1"/>
  <c r="J568" i="1"/>
  <c r="N568" i="1" s="1"/>
  <c r="J569" i="1"/>
  <c r="N569" i="1" s="1"/>
  <c r="J570" i="1"/>
  <c r="N570" i="1" s="1"/>
  <c r="J571" i="1"/>
  <c r="N571" i="1" s="1"/>
  <c r="J572" i="1"/>
  <c r="N572" i="1" s="1"/>
  <c r="J573" i="1"/>
  <c r="N573" i="1" s="1"/>
  <c r="J574" i="1"/>
  <c r="N574" i="1" s="1"/>
  <c r="J575" i="1"/>
  <c r="N575" i="1" s="1"/>
  <c r="J576" i="1"/>
  <c r="N576" i="1" s="1"/>
  <c r="J577" i="1"/>
  <c r="N577" i="1" s="1"/>
  <c r="J578" i="1"/>
  <c r="N578" i="1" s="1"/>
  <c r="J579" i="1"/>
  <c r="N579" i="1" s="1"/>
  <c r="J580" i="1"/>
  <c r="N580" i="1" s="1"/>
  <c r="J581" i="1"/>
  <c r="N581" i="1" s="1"/>
  <c r="J582" i="1"/>
  <c r="N582" i="1" s="1"/>
  <c r="J583" i="1"/>
  <c r="N583" i="1" s="1"/>
  <c r="J584" i="1"/>
  <c r="N584" i="1" s="1"/>
  <c r="J585" i="1"/>
  <c r="N585" i="1" s="1"/>
  <c r="J586" i="1"/>
  <c r="N586" i="1" s="1"/>
  <c r="J587" i="1"/>
  <c r="N587" i="1" s="1"/>
  <c r="J588" i="1"/>
  <c r="N588" i="1" s="1"/>
  <c r="J566" i="1"/>
  <c r="N566" i="1" s="1"/>
  <c r="J589" i="1"/>
  <c r="N589" i="1" s="1"/>
  <c r="J590" i="1"/>
  <c r="N590" i="1" s="1"/>
  <c r="J591" i="1"/>
  <c r="N591" i="1" s="1"/>
  <c r="J592" i="1"/>
  <c r="N592" i="1" s="1"/>
  <c r="J593" i="1"/>
  <c r="N593" i="1" s="1"/>
  <c r="J594" i="1"/>
  <c r="N594" i="1" s="1"/>
  <c r="J595" i="1"/>
  <c r="N595" i="1" s="1"/>
  <c r="J596" i="1"/>
  <c r="N596" i="1" s="1"/>
  <c r="J597" i="1"/>
  <c r="N597" i="1" s="1"/>
  <c r="J598" i="1"/>
  <c r="N598" i="1" s="1"/>
  <c r="J599" i="1"/>
  <c r="N599" i="1" s="1"/>
  <c r="J600" i="1"/>
  <c r="N600" i="1" s="1"/>
  <c r="J10" i="1"/>
  <c r="R10" i="1" s="1"/>
  <c r="J11" i="1"/>
  <c r="R11" i="1" s="1"/>
  <c r="J12" i="1"/>
  <c r="R12" i="1" s="1"/>
  <c r="J13" i="1"/>
  <c r="R13" i="1" s="1"/>
  <c r="J14" i="1"/>
  <c r="R14" i="1" s="1"/>
  <c r="J15" i="1"/>
  <c r="R15" i="1" s="1"/>
  <c r="J24" i="1"/>
  <c r="R24" i="1" s="1"/>
  <c r="P23" i="1"/>
  <c r="P9" i="1"/>
  <c r="P22" i="1"/>
  <c r="P21" i="1"/>
  <c r="P20" i="1"/>
  <c r="P19" i="1"/>
  <c r="P17" i="1"/>
  <c r="R17" i="1" s="1"/>
  <c r="P8" i="1"/>
  <c r="P7" i="1"/>
  <c r="P6" i="1"/>
  <c r="P5" i="1"/>
  <c r="P4" i="1"/>
  <c r="J21" i="1"/>
  <c r="J22" i="1"/>
  <c r="J9" i="1"/>
  <c r="J23" i="1"/>
  <c r="C36" i="73" l="1"/>
  <c r="E36" i="73" s="1"/>
  <c r="M36" i="73" s="1"/>
  <c r="R572" i="1"/>
  <c r="R582" i="1"/>
  <c r="R593" i="1"/>
  <c r="R580" i="1"/>
  <c r="R592" i="1"/>
  <c r="R574" i="1"/>
  <c r="R585" i="1"/>
  <c r="T7" i="1"/>
  <c r="C35" i="73" s="1"/>
  <c r="E35" i="73" s="1"/>
  <c r="M35" i="73" s="1"/>
  <c r="R591" i="1"/>
  <c r="R586" i="1"/>
  <c r="R589" i="1"/>
  <c r="R576" i="1"/>
  <c r="R598" i="1"/>
  <c r="R578" i="1"/>
  <c r="R575" i="1"/>
  <c r="R594" i="1"/>
  <c r="R588" i="1"/>
  <c r="R577" i="1"/>
  <c r="T19" i="1"/>
  <c r="R19" i="1"/>
  <c r="T22" i="1"/>
  <c r="R22" i="1"/>
  <c r="R587" i="1"/>
  <c r="R596" i="1"/>
  <c r="R566" i="1"/>
  <c r="R571" i="1"/>
  <c r="R584" i="1"/>
  <c r="T8" i="1"/>
  <c r="T9" i="1"/>
  <c r="R9" i="1"/>
  <c r="T23" i="1"/>
  <c r="R23" i="1"/>
  <c r="R579" i="1"/>
  <c r="R597" i="1"/>
  <c r="R569" i="1"/>
  <c r="R595" i="1"/>
  <c r="R583" i="1"/>
  <c r="R590" i="1"/>
  <c r="T21" i="1"/>
  <c r="R21" i="1"/>
  <c r="T20" i="1"/>
  <c r="R20" i="1"/>
  <c r="T4" i="1"/>
  <c r="T5" i="1"/>
  <c r="R568" i="1"/>
  <c r="R581" i="1"/>
  <c r="R570" i="1"/>
  <c r="R573" i="1"/>
  <c r="R600" i="1"/>
  <c r="R599" i="1"/>
  <c r="T6" i="1"/>
  <c r="T17" i="1"/>
  <c r="N24" i="1"/>
  <c r="N21" i="1"/>
  <c r="N9" i="1"/>
  <c r="N14" i="1"/>
  <c r="N11" i="1"/>
  <c r="N12" i="1"/>
  <c r="N10" i="1"/>
  <c r="N13" i="1"/>
  <c r="N22" i="1"/>
  <c r="N23" i="1"/>
  <c r="N15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J538" i="1"/>
  <c r="N538" i="1" s="1"/>
  <c r="J539" i="1"/>
  <c r="N539" i="1" s="1"/>
  <c r="J540" i="1"/>
  <c r="N540" i="1" s="1"/>
  <c r="J541" i="1"/>
  <c r="N541" i="1" s="1"/>
  <c r="J542" i="1"/>
  <c r="N542" i="1" s="1"/>
  <c r="J543" i="1"/>
  <c r="N543" i="1" s="1"/>
  <c r="J544" i="1"/>
  <c r="N544" i="1" s="1"/>
  <c r="J545" i="1"/>
  <c r="N545" i="1" s="1"/>
  <c r="J546" i="1"/>
  <c r="N546" i="1" s="1"/>
  <c r="J547" i="1"/>
  <c r="N547" i="1" s="1"/>
  <c r="J548" i="1"/>
  <c r="N548" i="1" s="1"/>
  <c r="J549" i="1"/>
  <c r="N549" i="1" s="1"/>
  <c r="J550" i="1"/>
  <c r="N550" i="1" s="1"/>
  <c r="J551" i="1"/>
  <c r="N551" i="1" s="1"/>
  <c r="J552" i="1"/>
  <c r="N552" i="1" s="1"/>
  <c r="J553" i="1"/>
  <c r="N553" i="1" s="1"/>
  <c r="J554" i="1"/>
  <c r="N554" i="1" s="1"/>
  <c r="J555" i="1"/>
  <c r="N555" i="1" s="1"/>
  <c r="J556" i="1"/>
  <c r="N556" i="1" s="1"/>
  <c r="J557" i="1"/>
  <c r="N557" i="1" s="1"/>
  <c r="J558" i="1"/>
  <c r="N558" i="1" s="1"/>
  <c r="J559" i="1"/>
  <c r="N559" i="1" s="1"/>
  <c r="J560" i="1"/>
  <c r="N560" i="1" s="1"/>
  <c r="J561" i="1"/>
  <c r="N561" i="1" s="1"/>
  <c r="J562" i="1"/>
  <c r="N562" i="1" s="1"/>
  <c r="J563" i="1"/>
  <c r="N563" i="1" s="1"/>
  <c r="J564" i="1"/>
  <c r="N564" i="1" s="1"/>
  <c r="J565" i="1"/>
  <c r="N565" i="1" s="1"/>
  <c r="J4" i="1"/>
  <c r="J5" i="1"/>
  <c r="R5" i="1" s="1"/>
  <c r="J6" i="1"/>
  <c r="R6" i="1" s="1"/>
  <c r="J7" i="1"/>
  <c r="R7" i="1" s="1"/>
  <c r="J8" i="1"/>
  <c r="R8" i="1" s="1"/>
  <c r="C30" i="82" l="1"/>
  <c r="C14" i="73"/>
  <c r="E14" i="73" s="1"/>
  <c r="M14" i="73" s="1"/>
  <c r="C9" i="73"/>
  <c r="E9" i="73" s="1"/>
  <c r="M9" i="73" s="1"/>
  <c r="C28" i="73"/>
  <c r="E28" i="73" s="1"/>
  <c r="M28" i="73" s="1"/>
  <c r="C38" i="73"/>
  <c r="E38" i="73" s="1"/>
  <c r="M38" i="73" s="1"/>
  <c r="C23" i="73"/>
  <c r="E23" i="73" s="1"/>
  <c r="M23" i="73" s="1"/>
  <c r="G13" i="80"/>
  <c r="S13" i="80" s="1"/>
  <c r="R4" i="1"/>
  <c r="T556" i="1"/>
  <c r="R556" i="1"/>
  <c r="T560" i="1"/>
  <c r="R560" i="1"/>
  <c r="T548" i="1"/>
  <c r="R548" i="1"/>
  <c r="T543" i="1"/>
  <c r="R543" i="1"/>
  <c r="T554" i="1"/>
  <c r="R554" i="1"/>
  <c r="T552" i="1"/>
  <c r="R552" i="1"/>
  <c r="T562" i="1"/>
  <c r="R562" i="1"/>
  <c r="T561" i="1"/>
  <c r="R561" i="1"/>
  <c r="T549" i="1"/>
  <c r="R549" i="1"/>
  <c r="T559" i="1"/>
  <c r="R559" i="1"/>
  <c r="T547" i="1"/>
  <c r="R547" i="1"/>
  <c r="T558" i="1"/>
  <c r="R558" i="1"/>
  <c r="T546" i="1"/>
  <c r="R546" i="1"/>
  <c r="T557" i="1"/>
  <c r="R557" i="1"/>
  <c r="T545" i="1"/>
  <c r="R545" i="1"/>
  <c r="T565" i="1"/>
  <c r="R565" i="1"/>
  <c r="T540" i="1"/>
  <c r="R540" i="1"/>
  <c r="T553" i="1"/>
  <c r="R553" i="1"/>
  <c r="T564" i="1"/>
  <c r="R564" i="1"/>
  <c r="T563" i="1"/>
  <c r="R563" i="1"/>
  <c r="T551" i="1"/>
  <c r="R551" i="1"/>
  <c r="T539" i="1"/>
  <c r="R539" i="1"/>
  <c r="T544" i="1"/>
  <c r="R544" i="1"/>
  <c r="T555" i="1"/>
  <c r="R555" i="1"/>
  <c r="T542" i="1"/>
  <c r="R542" i="1"/>
  <c r="T541" i="1"/>
  <c r="R541" i="1"/>
  <c r="T550" i="1"/>
  <c r="R550" i="1"/>
  <c r="T538" i="1"/>
  <c r="R538" i="1"/>
  <c r="C4" i="77"/>
  <c r="G12" i="77"/>
  <c r="N8" i="1"/>
  <c r="N5" i="1"/>
  <c r="N6" i="1"/>
  <c r="N7" i="1"/>
  <c r="N4" i="1"/>
  <c r="P305" i="1"/>
  <c r="P306" i="1"/>
  <c r="R306" i="1" s="1"/>
  <c r="P307" i="1"/>
  <c r="R307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3" i="1"/>
  <c r="P354" i="1"/>
  <c r="P355" i="1"/>
  <c r="P356" i="1"/>
  <c r="P357" i="1"/>
  <c r="P358" i="1"/>
  <c r="P359" i="1"/>
  <c r="P360" i="1"/>
  <c r="P361" i="1"/>
  <c r="P372" i="1"/>
  <c r="P373" i="1"/>
  <c r="P362" i="1"/>
  <c r="P363" i="1"/>
  <c r="P364" i="1"/>
  <c r="P365" i="1"/>
  <c r="P366" i="1"/>
  <c r="P368" i="1"/>
  <c r="P369" i="1"/>
  <c r="P370" i="1"/>
  <c r="P371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1" i="1"/>
  <c r="P402" i="1"/>
  <c r="P403" i="1"/>
  <c r="P404" i="1"/>
  <c r="P400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7" i="1"/>
  <c r="P438" i="1"/>
  <c r="P439" i="1"/>
  <c r="P440" i="1"/>
  <c r="P441" i="1"/>
  <c r="P442" i="1"/>
  <c r="P443" i="1"/>
  <c r="P433" i="1"/>
  <c r="P434" i="1"/>
  <c r="P444" i="1"/>
  <c r="P445" i="1"/>
  <c r="P435" i="1"/>
  <c r="P436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J327" i="1"/>
  <c r="J328" i="1"/>
  <c r="J329" i="1"/>
  <c r="N329" i="1" s="1"/>
  <c r="J330" i="1"/>
  <c r="N330" i="1" s="1"/>
  <c r="J331" i="1"/>
  <c r="N331" i="1" s="1"/>
  <c r="J332" i="1"/>
  <c r="N332" i="1" s="1"/>
  <c r="J333" i="1"/>
  <c r="N333" i="1" s="1"/>
  <c r="J334" i="1"/>
  <c r="N334" i="1" s="1"/>
  <c r="J335" i="1"/>
  <c r="N335" i="1" s="1"/>
  <c r="J336" i="1"/>
  <c r="N336" i="1" s="1"/>
  <c r="J337" i="1"/>
  <c r="N337" i="1" s="1"/>
  <c r="J338" i="1"/>
  <c r="N338" i="1" s="1"/>
  <c r="J339" i="1"/>
  <c r="N339" i="1" s="1"/>
  <c r="J340" i="1"/>
  <c r="N340" i="1" s="1"/>
  <c r="J341" i="1"/>
  <c r="N341" i="1" s="1"/>
  <c r="J342" i="1"/>
  <c r="N342" i="1" s="1"/>
  <c r="J343" i="1"/>
  <c r="N343" i="1" s="1"/>
  <c r="J344" i="1"/>
  <c r="N344" i="1" s="1"/>
  <c r="J345" i="1"/>
  <c r="N345" i="1" s="1"/>
  <c r="J346" i="1"/>
  <c r="N346" i="1" s="1"/>
  <c r="J347" i="1"/>
  <c r="J348" i="1"/>
  <c r="N348" i="1" s="1"/>
  <c r="J349" i="1"/>
  <c r="N349" i="1" s="1"/>
  <c r="J350" i="1"/>
  <c r="N350" i="1" s="1"/>
  <c r="J351" i="1"/>
  <c r="N351" i="1" s="1"/>
  <c r="J353" i="1"/>
  <c r="N353" i="1" s="1"/>
  <c r="J354" i="1"/>
  <c r="N354" i="1" s="1"/>
  <c r="J355" i="1"/>
  <c r="N355" i="1" s="1"/>
  <c r="J356" i="1"/>
  <c r="N356" i="1" s="1"/>
  <c r="J357" i="1"/>
  <c r="N357" i="1" s="1"/>
  <c r="J358" i="1"/>
  <c r="N358" i="1" s="1"/>
  <c r="J359" i="1"/>
  <c r="N359" i="1" s="1"/>
  <c r="J360" i="1"/>
  <c r="N360" i="1" s="1"/>
  <c r="J361" i="1"/>
  <c r="N361" i="1" s="1"/>
  <c r="J372" i="1"/>
  <c r="N372" i="1" s="1"/>
  <c r="J373" i="1"/>
  <c r="N373" i="1" s="1"/>
  <c r="J362" i="1"/>
  <c r="N362" i="1" s="1"/>
  <c r="J363" i="1"/>
  <c r="N363" i="1" s="1"/>
  <c r="J364" i="1"/>
  <c r="N364" i="1" s="1"/>
  <c r="J365" i="1"/>
  <c r="N365" i="1" s="1"/>
  <c r="J366" i="1"/>
  <c r="N366" i="1" s="1"/>
  <c r="J368" i="1"/>
  <c r="N368" i="1" s="1"/>
  <c r="J369" i="1"/>
  <c r="N369" i="1" s="1"/>
  <c r="J370" i="1"/>
  <c r="N370" i="1" s="1"/>
  <c r="J371" i="1"/>
  <c r="N371" i="1" s="1"/>
  <c r="J374" i="1"/>
  <c r="N374" i="1" s="1"/>
  <c r="J375" i="1"/>
  <c r="N375" i="1" s="1"/>
  <c r="J376" i="1"/>
  <c r="N376" i="1" s="1"/>
  <c r="J377" i="1"/>
  <c r="N377" i="1" s="1"/>
  <c r="J378" i="1"/>
  <c r="N378" i="1" s="1"/>
  <c r="J379" i="1"/>
  <c r="N379" i="1" s="1"/>
  <c r="J380" i="1"/>
  <c r="N380" i="1" s="1"/>
  <c r="J381" i="1"/>
  <c r="N381" i="1" s="1"/>
  <c r="J382" i="1"/>
  <c r="N382" i="1" s="1"/>
  <c r="J383" i="1"/>
  <c r="N383" i="1" s="1"/>
  <c r="J384" i="1"/>
  <c r="N384" i="1" s="1"/>
  <c r="J385" i="1"/>
  <c r="N385" i="1" s="1"/>
  <c r="J386" i="1"/>
  <c r="N386" i="1" s="1"/>
  <c r="J387" i="1"/>
  <c r="N387" i="1" s="1"/>
  <c r="J388" i="1"/>
  <c r="N388" i="1" s="1"/>
  <c r="J389" i="1"/>
  <c r="N389" i="1" s="1"/>
  <c r="J390" i="1"/>
  <c r="N390" i="1" s="1"/>
  <c r="J391" i="1"/>
  <c r="N391" i="1" s="1"/>
  <c r="J392" i="1"/>
  <c r="N392" i="1" s="1"/>
  <c r="J393" i="1"/>
  <c r="N393" i="1" s="1"/>
  <c r="J394" i="1"/>
  <c r="N394" i="1" s="1"/>
  <c r="J395" i="1"/>
  <c r="N395" i="1" s="1"/>
  <c r="J396" i="1"/>
  <c r="N396" i="1" s="1"/>
  <c r="J397" i="1"/>
  <c r="N397" i="1" s="1"/>
  <c r="J398" i="1"/>
  <c r="N398" i="1" s="1"/>
  <c r="J399" i="1"/>
  <c r="N399" i="1" s="1"/>
  <c r="J401" i="1"/>
  <c r="N401" i="1" s="1"/>
  <c r="J402" i="1"/>
  <c r="N402" i="1" s="1"/>
  <c r="J403" i="1"/>
  <c r="N403" i="1" s="1"/>
  <c r="J404" i="1"/>
  <c r="N404" i="1" s="1"/>
  <c r="J400" i="1"/>
  <c r="N400" i="1" s="1"/>
  <c r="J405" i="1"/>
  <c r="N405" i="1" s="1"/>
  <c r="J406" i="1"/>
  <c r="N406" i="1" s="1"/>
  <c r="J407" i="1"/>
  <c r="N407" i="1" s="1"/>
  <c r="J408" i="1"/>
  <c r="N408" i="1" s="1"/>
  <c r="J409" i="1"/>
  <c r="N409" i="1" s="1"/>
  <c r="J410" i="1"/>
  <c r="N410" i="1" s="1"/>
  <c r="J411" i="1"/>
  <c r="N411" i="1" s="1"/>
  <c r="J412" i="1"/>
  <c r="N412" i="1" s="1"/>
  <c r="J413" i="1"/>
  <c r="N413" i="1" s="1"/>
  <c r="J414" i="1"/>
  <c r="N414" i="1" s="1"/>
  <c r="J415" i="1"/>
  <c r="N415" i="1" s="1"/>
  <c r="J416" i="1"/>
  <c r="N416" i="1" s="1"/>
  <c r="J417" i="1"/>
  <c r="N417" i="1" s="1"/>
  <c r="J418" i="1"/>
  <c r="N418" i="1" s="1"/>
  <c r="J419" i="1"/>
  <c r="N419" i="1" s="1"/>
  <c r="J420" i="1"/>
  <c r="N420" i="1" s="1"/>
  <c r="J421" i="1"/>
  <c r="N421" i="1" s="1"/>
  <c r="J422" i="1"/>
  <c r="N422" i="1" s="1"/>
  <c r="J423" i="1"/>
  <c r="N423" i="1" s="1"/>
  <c r="J424" i="1"/>
  <c r="N424" i="1" s="1"/>
  <c r="J425" i="1"/>
  <c r="N425" i="1" s="1"/>
  <c r="J426" i="1"/>
  <c r="N426" i="1" s="1"/>
  <c r="J427" i="1"/>
  <c r="N427" i="1" s="1"/>
  <c r="J428" i="1"/>
  <c r="N428" i="1" s="1"/>
  <c r="J429" i="1"/>
  <c r="N429" i="1" s="1"/>
  <c r="J430" i="1"/>
  <c r="N430" i="1" s="1"/>
  <c r="J431" i="1"/>
  <c r="N431" i="1" s="1"/>
  <c r="J432" i="1"/>
  <c r="N432" i="1" s="1"/>
  <c r="J437" i="1"/>
  <c r="N437" i="1" s="1"/>
  <c r="J438" i="1"/>
  <c r="N438" i="1" s="1"/>
  <c r="J439" i="1"/>
  <c r="N439" i="1" s="1"/>
  <c r="J440" i="1"/>
  <c r="N440" i="1" s="1"/>
  <c r="J441" i="1"/>
  <c r="N441" i="1" s="1"/>
  <c r="J442" i="1"/>
  <c r="N442" i="1" s="1"/>
  <c r="J443" i="1"/>
  <c r="N443" i="1" s="1"/>
  <c r="J433" i="1"/>
  <c r="N433" i="1" s="1"/>
  <c r="J434" i="1"/>
  <c r="N434" i="1" s="1"/>
  <c r="J444" i="1"/>
  <c r="N444" i="1" s="1"/>
  <c r="J445" i="1"/>
  <c r="N445" i="1" s="1"/>
  <c r="J435" i="1"/>
  <c r="N435" i="1" s="1"/>
  <c r="J436" i="1"/>
  <c r="N436" i="1" s="1"/>
  <c r="J446" i="1"/>
  <c r="N446" i="1" s="1"/>
  <c r="J447" i="1"/>
  <c r="N447" i="1" s="1"/>
  <c r="J448" i="1"/>
  <c r="N448" i="1" s="1"/>
  <c r="J449" i="1"/>
  <c r="N449" i="1" s="1"/>
  <c r="J450" i="1"/>
  <c r="N450" i="1" s="1"/>
  <c r="J451" i="1"/>
  <c r="N451" i="1" s="1"/>
  <c r="J452" i="1"/>
  <c r="N452" i="1" s="1"/>
  <c r="J453" i="1"/>
  <c r="N453" i="1" s="1"/>
  <c r="J454" i="1"/>
  <c r="N454" i="1" s="1"/>
  <c r="J455" i="1"/>
  <c r="N455" i="1" s="1"/>
  <c r="J456" i="1"/>
  <c r="N456" i="1" s="1"/>
  <c r="J457" i="1"/>
  <c r="N457" i="1" s="1"/>
  <c r="J458" i="1"/>
  <c r="N458" i="1" s="1"/>
  <c r="J459" i="1"/>
  <c r="N459" i="1" s="1"/>
  <c r="J460" i="1"/>
  <c r="N460" i="1" s="1"/>
  <c r="J461" i="1"/>
  <c r="N461" i="1" s="1"/>
  <c r="J462" i="1"/>
  <c r="N462" i="1" s="1"/>
  <c r="J463" i="1"/>
  <c r="N463" i="1" s="1"/>
  <c r="J464" i="1"/>
  <c r="N464" i="1" s="1"/>
  <c r="J465" i="1"/>
  <c r="N465" i="1" s="1"/>
  <c r="J466" i="1"/>
  <c r="N466" i="1" s="1"/>
  <c r="J467" i="1"/>
  <c r="N467" i="1" s="1"/>
  <c r="J468" i="1"/>
  <c r="N468" i="1" s="1"/>
  <c r="J469" i="1"/>
  <c r="N469" i="1" s="1"/>
  <c r="J470" i="1"/>
  <c r="N470" i="1" s="1"/>
  <c r="J471" i="1"/>
  <c r="N471" i="1" s="1"/>
  <c r="J472" i="1"/>
  <c r="N472" i="1" s="1"/>
  <c r="J473" i="1"/>
  <c r="N473" i="1" s="1"/>
  <c r="J474" i="1"/>
  <c r="N474" i="1" s="1"/>
  <c r="J475" i="1"/>
  <c r="N475" i="1" s="1"/>
  <c r="J476" i="1"/>
  <c r="N476" i="1" s="1"/>
  <c r="J477" i="1"/>
  <c r="N477" i="1" s="1"/>
  <c r="J478" i="1"/>
  <c r="N478" i="1" s="1"/>
  <c r="J479" i="1"/>
  <c r="N479" i="1" s="1"/>
  <c r="J480" i="1"/>
  <c r="N480" i="1" s="1"/>
  <c r="J481" i="1"/>
  <c r="N481" i="1" s="1"/>
  <c r="J482" i="1"/>
  <c r="N482" i="1" s="1"/>
  <c r="J483" i="1"/>
  <c r="N483" i="1" s="1"/>
  <c r="J484" i="1"/>
  <c r="N484" i="1" s="1"/>
  <c r="J485" i="1"/>
  <c r="N485" i="1" s="1"/>
  <c r="J486" i="1"/>
  <c r="N486" i="1" s="1"/>
  <c r="J487" i="1"/>
  <c r="N487" i="1" s="1"/>
  <c r="J488" i="1"/>
  <c r="N488" i="1" s="1"/>
  <c r="J489" i="1"/>
  <c r="N489" i="1" s="1"/>
  <c r="J490" i="1"/>
  <c r="N490" i="1" s="1"/>
  <c r="J491" i="1"/>
  <c r="N491" i="1" s="1"/>
  <c r="J492" i="1"/>
  <c r="N492" i="1" s="1"/>
  <c r="J493" i="1"/>
  <c r="N493" i="1" s="1"/>
  <c r="J494" i="1"/>
  <c r="N494" i="1" s="1"/>
  <c r="J495" i="1"/>
  <c r="N495" i="1" s="1"/>
  <c r="J496" i="1"/>
  <c r="N496" i="1" s="1"/>
  <c r="J497" i="1"/>
  <c r="N497" i="1" s="1"/>
  <c r="J498" i="1"/>
  <c r="N498" i="1" s="1"/>
  <c r="J499" i="1"/>
  <c r="N499" i="1" s="1"/>
  <c r="J500" i="1"/>
  <c r="N500" i="1" s="1"/>
  <c r="J501" i="1"/>
  <c r="N501" i="1" s="1"/>
  <c r="J502" i="1"/>
  <c r="N502" i="1" s="1"/>
  <c r="J503" i="1"/>
  <c r="N503" i="1" s="1"/>
  <c r="J504" i="1"/>
  <c r="N504" i="1" s="1"/>
  <c r="J505" i="1"/>
  <c r="N505" i="1" s="1"/>
  <c r="J506" i="1"/>
  <c r="N506" i="1" s="1"/>
  <c r="J507" i="1"/>
  <c r="N507" i="1" s="1"/>
  <c r="J508" i="1"/>
  <c r="N508" i="1" s="1"/>
  <c r="J509" i="1"/>
  <c r="N509" i="1" s="1"/>
  <c r="J510" i="1"/>
  <c r="N510" i="1" s="1"/>
  <c r="J511" i="1"/>
  <c r="N511" i="1" s="1"/>
  <c r="J512" i="1"/>
  <c r="N512" i="1" s="1"/>
  <c r="J513" i="1"/>
  <c r="N513" i="1" s="1"/>
  <c r="J514" i="1"/>
  <c r="N514" i="1" s="1"/>
  <c r="J515" i="1"/>
  <c r="N515" i="1" s="1"/>
  <c r="J516" i="1"/>
  <c r="N516" i="1" s="1"/>
  <c r="J517" i="1"/>
  <c r="N517" i="1" s="1"/>
  <c r="J518" i="1"/>
  <c r="N518" i="1" s="1"/>
  <c r="J519" i="1"/>
  <c r="N519" i="1" s="1"/>
  <c r="J520" i="1"/>
  <c r="N520" i="1" s="1"/>
  <c r="J521" i="1"/>
  <c r="N521" i="1" s="1"/>
  <c r="J522" i="1"/>
  <c r="N522" i="1" s="1"/>
  <c r="J523" i="1"/>
  <c r="N523" i="1" s="1"/>
  <c r="J524" i="1"/>
  <c r="N524" i="1" s="1"/>
  <c r="J525" i="1"/>
  <c r="N525" i="1" s="1"/>
  <c r="J526" i="1"/>
  <c r="N526" i="1" s="1"/>
  <c r="J527" i="1"/>
  <c r="N527" i="1" s="1"/>
  <c r="J528" i="1"/>
  <c r="N528" i="1" s="1"/>
  <c r="J529" i="1"/>
  <c r="N529" i="1" s="1"/>
  <c r="J530" i="1"/>
  <c r="N530" i="1" s="1"/>
  <c r="J531" i="1"/>
  <c r="N531" i="1" s="1"/>
  <c r="J532" i="1"/>
  <c r="N532" i="1" s="1"/>
  <c r="J533" i="1"/>
  <c r="N533" i="1" s="1"/>
  <c r="J534" i="1"/>
  <c r="N534" i="1" s="1"/>
  <c r="J535" i="1"/>
  <c r="N535" i="1" s="1"/>
  <c r="J536" i="1"/>
  <c r="N536" i="1" s="1"/>
  <c r="J537" i="1"/>
  <c r="N537" i="1" s="1"/>
  <c r="S7" i="80" l="1"/>
  <c r="C31" i="82"/>
  <c r="C32" i="82" s="1"/>
  <c r="B8" i="82"/>
  <c r="N347" i="1"/>
  <c r="B9" i="82"/>
  <c r="B11" i="82" s="1"/>
  <c r="C51" i="81"/>
  <c r="E51" i="81" s="1"/>
  <c r="F51" i="81" s="1"/>
  <c r="L30" i="82"/>
  <c r="D31" i="82"/>
  <c r="N328" i="1"/>
  <c r="G14" i="80"/>
  <c r="S14" i="80" s="1"/>
  <c r="G8" i="80"/>
  <c r="N327" i="1"/>
  <c r="S8" i="80" s="1"/>
  <c r="C5" i="77"/>
  <c r="F5" i="77" s="1"/>
  <c r="H5" i="77" s="1"/>
  <c r="C52" i="81"/>
  <c r="E52" i="81" s="1"/>
  <c r="M13" i="80"/>
  <c r="T495" i="1"/>
  <c r="R495" i="1"/>
  <c r="T401" i="1"/>
  <c r="R401" i="1"/>
  <c r="T530" i="1"/>
  <c r="R530" i="1"/>
  <c r="T518" i="1"/>
  <c r="R518" i="1"/>
  <c r="T506" i="1"/>
  <c r="R506" i="1"/>
  <c r="T494" i="1"/>
  <c r="R494" i="1"/>
  <c r="T482" i="1"/>
  <c r="R482" i="1"/>
  <c r="T470" i="1"/>
  <c r="R470" i="1"/>
  <c r="T458" i="1"/>
  <c r="R458" i="1"/>
  <c r="T446" i="1"/>
  <c r="R446" i="1"/>
  <c r="T438" i="1"/>
  <c r="R438" i="1"/>
  <c r="T422" i="1"/>
  <c r="R422" i="1"/>
  <c r="T410" i="1"/>
  <c r="R410" i="1"/>
  <c r="T399" i="1"/>
  <c r="R399" i="1"/>
  <c r="T388" i="1"/>
  <c r="R388" i="1"/>
  <c r="T378" i="1"/>
  <c r="R378" i="1"/>
  <c r="T365" i="1"/>
  <c r="R365" i="1"/>
  <c r="T356" i="1"/>
  <c r="R356" i="1"/>
  <c r="T344" i="1"/>
  <c r="R344" i="1"/>
  <c r="T333" i="1"/>
  <c r="R333" i="1"/>
  <c r="T483" i="1"/>
  <c r="R483" i="1"/>
  <c r="T411" i="1"/>
  <c r="R411" i="1"/>
  <c r="T389" i="1"/>
  <c r="R389" i="1"/>
  <c r="T529" i="1"/>
  <c r="R529" i="1"/>
  <c r="T517" i="1"/>
  <c r="R517" i="1"/>
  <c r="T505" i="1"/>
  <c r="R505" i="1"/>
  <c r="T493" i="1"/>
  <c r="R493" i="1"/>
  <c r="T481" i="1"/>
  <c r="R481" i="1"/>
  <c r="T469" i="1"/>
  <c r="R469" i="1"/>
  <c r="T457" i="1"/>
  <c r="R457" i="1"/>
  <c r="T436" i="1"/>
  <c r="R436" i="1"/>
  <c r="T437" i="1"/>
  <c r="R437" i="1"/>
  <c r="T421" i="1"/>
  <c r="R421" i="1"/>
  <c r="T409" i="1"/>
  <c r="R409" i="1"/>
  <c r="T398" i="1"/>
  <c r="R398" i="1"/>
  <c r="T387" i="1"/>
  <c r="R387" i="1"/>
  <c r="T377" i="1"/>
  <c r="R377" i="1"/>
  <c r="T364" i="1"/>
  <c r="R364" i="1"/>
  <c r="T355" i="1"/>
  <c r="R355" i="1"/>
  <c r="T343" i="1"/>
  <c r="R343" i="1"/>
  <c r="T332" i="1"/>
  <c r="R332" i="1"/>
  <c r="T519" i="1"/>
  <c r="R519" i="1"/>
  <c r="T423" i="1"/>
  <c r="R423" i="1"/>
  <c r="T379" i="1"/>
  <c r="R379" i="1"/>
  <c r="T528" i="1"/>
  <c r="R528" i="1"/>
  <c r="T516" i="1"/>
  <c r="R516" i="1"/>
  <c r="T504" i="1"/>
  <c r="R504" i="1"/>
  <c r="T492" i="1"/>
  <c r="R492" i="1"/>
  <c r="T480" i="1"/>
  <c r="R480" i="1"/>
  <c r="T468" i="1"/>
  <c r="R468" i="1"/>
  <c r="T456" i="1"/>
  <c r="R456" i="1"/>
  <c r="T435" i="1"/>
  <c r="R435" i="1"/>
  <c r="T432" i="1"/>
  <c r="R432" i="1"/>
  <c r="T420" i="1"/>
  <c r="R420" i="1"/>
  <c r="T397" i="1"/>
  <c r="R397" i="1"/>
  <c r="T386" i="1"/>
  <c r="R386" i="1"/>
  <c r="T376" i="1"/>
  <c r="R376" i="1"/>
  <c r="T363" i="1"/>
  <c r="R363" i="1"/>
  <c r="T354" i="1"/>
  <c r="R354" i="1"/>
  <c r="T331" i="1"/>
  <c r="R331" i="1"/>
  <c r="T531" i="1"/>
  <c r="R531" i="1"/>
  <c r="T447" i="1"/>
  <c r="R447" i="1"/>
  <c r="T527" i="1"/>
  <c r="R527" i="1"/>
  <c r="T515" i="1"/>
  <c r="R515" i="1"/>
  <c r="T503" i="1"/>
  <c r="R503" i="1"/>
  <c r="T491" i="1"/>
  <c r="R491" i="1"/>
  <c r="T479" i="1"/>
  <c r="R479" i="1"/>
  <c r="T467" i="1"/>
  <c r="R467" i="1"/>
  <c r="T455" i="1"/>
  <c r="R455" i="1"/>
  <c r="T445" i="1"/>
  <c r="R445" i="1"/>
  <c r="T431" i="1"/>
  <c r="R431" i="1"/>
  <c r="T419" i="1"/>
  <c r="R419" i="1"/>
  <c r="T408" i="1"/>
  <c r="R408" i="1"/>
  <c r="T396" i="1"/>
  <c r="R396" i="1"/>
  <c r="T385" i="1"/>
  <c r="R385" i="1"/>
  <c r="T375" i="1"/>
  <c r="R375" i="1"/>
  <c r="T362" i="1"/>
  <c r="R362" i="1"/>
  <c r="T353" i="1"/>
  <c r="R353" i="1"/>
  <c r="T342" i="1"/>
  <c r="R342" i="1"/>
  <c r="T330" i="1"/>
  <c r="R330" i="1"/>
  <c r="T459" i="1"/>
  <c r="R459" i="1"/>
  <c r="T345" i="1"/>
  <c r="R345" i="1"/>
  <c r="T526" i="1"/>
  <c r="R526" i="1"/>
  <c r="T514" i="1"/>
  <c r="R514" i="1"/>
  <c r="T502" i="1"/>
  <c r="R502" i="1"/>
  <c r="T490" i="1"/>
  <c r="R490" i="1"/>
  <c r="T478" i="1"/>
  <c r="R478" i="1"/>
  <c r="T466" i="1"/>
  <c r="R466" i="1"/>
  <c r="T454" i="1"/>
  <c r="R454" i="1"/>
  <c r="T444" i="1"/>
  <c r="R444" i="1"/>
  <c r="T430" i="1"/>
  <c r="R430" i="1"/>
  <c r="T418" i="1"/>
  <c r="R418" i="1"/>
  <c r="T407" i="1"/>
  <c r="R407" i="1"/>
  <c r="T395" i="1"/>
  <c r="R395" i="1"/>
  <c r="T374" i="1"/>
  <c r="R374" i="1"/>
  <c r="T373" i="1"/>
  <c r="R373" i="1"/>
  <c r="T352" i="1"/>
  <c r="R352" i="1"/>
  <c r="T341" i="1"/>
  <c r="R341" i="1"/>
  <c r="T329" i="1"/>
  <c r="R329" i="1"/>
  <c r="T507" i="1"/>
  <c r="R507" i="1"/>
  <c r="T439" i="1"/>
  <c r="R439" i="1"/>
  <c r="T366" i="1"/>
  <c r="R366" i="1"/>
  <c r="T537" i="1"/>
  <c r="R537" i="1"/>
  <c r="T525" i="1"/>
  <c r="R525" i="1"/>
  <c r="T513" i="1"/>
  <c r="R513" i="1"/>
  <c r="T501" i="1"/>
  <c r="R501" i="1"/>
  <c r="T489" i="1"/>
  <c r="R489" i="1"/>
  <c r="T477" i="1"/>
  <c r="R477" i="1"/>
  <c r="T465" i="1"/>
  <c r="R465" i="1"/>
  <c r="T453" i="1"/>
  <c r="R453" i="1"/>
  <c r="T434" i="1"/>
  <c r="R434" i="1"/>
  <c r="T429" i="1"/>
  <c r="R429" i="1"/>
  <c r="T417" i="1"/>
  <c r="R417" i="1"/>
  <c r="C33" i="81" s="1"/>
  <c r="E33" i="81" s="1"/>
  <c r="T406" i="1"/>
  <c r="R406" i="1"/>
  <c r="T394" i="1"/>
  <c r="R394" i="1"/>
  <c r="T384" i="1"/>
  <c r="R384" i="1"/>
  <c r="T372" i="1"/>
  <c r="R372" i="1"/>
  <c r="T351" i="1"/>
  <c r="R351" i="1"/>
  <c r="T340" i="1"/>
  <c r="R340" i="1"/>
  <c r="T328" i="1"/>
  <c r="R328" i="1"/>
  <c r="T305" i="1"/>
  <c r="R305" i="1"/>
  <c r="C50" i="81" s="1"/>
  <c r="T471" i="1"/>
  <c r="R471" i="1"/>
  <c r="T334" i="1"/>
  <c r="R334" i="1"/>
  <c r="T536" i="1"/>
  <c r="R536" i="1"/>
  <c r="T524" i="1"/>
  <c r="R524" i="1"/>
  <c r="T512" i="1"/>
  <c r="R512" i="1"/>
  <c r="T500" i="1"/>
  <c r="R500" i="1"/>
  <c r="T488" i="1"/>
  <c r="R488" i="1"/>
  <c r="T476" i="1"/>
  <c r="R476" i="1"/>
  <c r="T464" i="1"/>
  <c r="R464" i="1"/>
  <c r="T452" i="1"/>
  <c r="R452" i="1"/>
  <c r="T433" i="1"/>
  <c r="R433" i="1"/>
  <c r="T428" i="1"/>
  <c r="R428" i="1"/>
  <c r="T416" i="1"/>
  <c r="R416" i="1"/>
  <c r="T405" i="1"/>
  <c r="R405" i="1"/>
  <c r="C31" i="81" s="1"/>
  <c r="E31" i="81" s="1"/>
  <c r="T393" i="1"/>
  <c r="R393" i="1"/>
  <c r="T383" i="1"/>
  <c r="R383" i="1"/>
  <c r="T371" i="1"/>
  <c r="R371" i="1"/>
  <c r="T361" i="1"/>
  <c r="R361" i="1"/>
  <c r="T350" i="1"/>
  <c r="R350" i="1"/>
  <c r="T339" i="1"/>
  <c r="R339" i="1"/>
  <c r="T327" i="1"/>
  <c r="R327" i="1"/>
  <c r="T535" i="1"/>
  <c r="R535" i="1"/>
  <c r="T523" i="1"/>
  <c r="R523" i="1"/>
  <c r="T511" i="1"/>
  <c r="R511" i="1"/>
  <c r="T499" i="1"/>
  <c r="R499" i="1"/>
  <c r="T487" i="1"/>
  <c r="R487" i="1"/>
  <c r="T475" i="1"/>
  <c r="R475" i="1"/>
  <c r="T463" i="1"/>
  <c r="R463" i="1"/>
  <c r="T451" i="1"/>
  <c r="R451" i="1"/>
  <c r="T443" i="1"/>
  <c r="R443" i="1"/>
  <c r="T427" i="1"/>
  <c r="R427" i="1"/>
  <c r="T415" i="1"/>
  <c r="R415" i="1"/>
  <c r="T400" i="1"/>
  <c r="R400" i="1"/>
  <c r="T392" i="1"/>
  <c r="R392" i="1"/>
  <c r="T382" i="1"/>
  <c r="R382" i="1"/>
  <c r="T370" i="1"/>
  <c r="R370" i="1"/>
  <c r="T360" i="1"/>
  <c r="R360" i="1"/>
  <c r="T349" i="1"/>
  <c r="R349" i="1"/>
  <c r="T338" i="1"/>
  <c r="R338" i="1"/>
  <c r="T534" i="1"/>
  <c r="R534" i="1"/>
  <c r="T522" i="1"/>
  <c r="R522" i="1"/>
  <c r="T510" i="1"/>
  <c r="R510" i="1"/>
  <c r="T498" i="1"/>
  <c r="R498" i="1"/>
  <c r="T486" i="1"/>
  <c r="R486" i="1"/>
  <c r="T474" i="1"/>
  <c r="R474" i="1"/>
  <c r="T462" i="1"/>
  <c r="R462" i="1"/>
  <c r="T450" i="1"/>
  <c r="R450" i="1"/>
  <c r="T442" i="1"/>
  <c r="R442" i="1"/>
  <c r="T426" i="1"/>
  <c r="R426" i="1"/>
  <c r="T414" i="1"/>
  <c r="R414" i="1"/>
  <c r="T404" i="1"/>
  <c r="R404" i="1"/>
  <c r="T391" i="1"/>
  <c r="R391" i="1"/>
  <c r="T369" i="1"/>
  <c r="R369" i="1"/>
  <c r="T359" i="1"/>
  <c r="R359" i="1"/>
  <c r="T348" i="1"/>
  <c r="R348" i="1"/>
  <c r="T337" i="1"/>
  <c r="R337" i="1"/>
  <c r="T533" i="1"/>
  <c r="R533" i="1"/>
  <c r="T509" i="1"/>
  <c r="R509" i="1"/>
  <c r="T497" i="1"/>
  <c r="R497" i="1"/>
  <c r="T485" i="1"/>
  <c r="R485" i="1"/>
  <c r="T473" i="1"/>
  <c r="R473" i="1"/>
  <c r="T461" i="1"/>
  <c r="R461" i="1"/>
  <c r="T449" i="1"/>
  <c r="R449" i="1"/>
  <c r="T441" i="1"/>
  <c r="R441" i="1"/>
  <c r="T425" i="1"/>
  <c r="R425" i="1"/>
  <c r="T413" i="1"/>
  <c r="R413" i="1"/>
  <c r="T403" i="1"/>
  <c r="R403" i="1"/>
  <c r="T390" i="1"/>
  <c r="R390" i="1"/>
  <c r="T381" i="1"/>
  <c r="R381" i="1"/>
  <c r="T368" i="1"/>
  <c r="R368" i="1"/>
  <c r="T358" i="1"/>
  <c r="R358" i="1"/>
  <c r="T347" i="1"/>
  <c r="R347" i="1"/>
  <c r="T336" i="1"/>
  <c r="R336" i="1"/>
  <c r="T521" i="1"/>
  <c r="R521" i="1"/>
  <c r="T532" i="1"/>
  <c r="R532" i="1"/>
  <c r="T520" i="1"/>
  <c r="R520" i="1"/>
  <c r="T508" i="1"/>
  <c r="R508" i="1"/>
  <c r="T496" i="1"/>
  <c r="R496" i="1"/>
  <c r="T484" i="1"/>
  <c r="R484" i="1"/>
  <c r="T472" i="1"/>
  <c r="R472" i="1"/>
  <c r="T460" i="1"/>
  <c r="R460" i="1"/>
  <c r="T448" i="1"/>
  <c r="R448" i="1"/>
  <c r="T440" i="1"/>
  <c r="R440" i="1"/>
  <c r="T424" i="1"/>
  <c r="R424" i="1"/>
  <c r="T412" i="1"/>
  <c r="R412" i="1"/>
  <c r="T402" i="1"/>
  <c r="R402" i="1"/>
  <c r="T380" i="1"/>
  <c r="R380" i="1"/>
  <c r="T357" i="1"/>
  <c r="R357" i="1"/>
  <c r="T346" i="1"/>
  <c r="R346" i="1"/>
  <c r="T335" i="1"/>
  <c r="R335" i="1"/>
  <c r="T324" i="1"/>
  <c r="T312" i="1"/>
  <c r="T323" i="1"/>
  <c r="T311" i="1"/>
  <c r="T322" i="1"/>
  <c r="T310" i="1"/>
  <c r="T321" i="1"/>
  <c r="T309" i="1"/>
  <c r="T313" i="1"/>
  <c r="T320" i="1"/>
  <c r="T308" i="1"/>
  <c r="T319" i="1"/>
  <c r="T307" i="1"/>
  <c r="T325" i="1"/>
  <c r="T318" i="1"/>
  <c r="T306" i="1"/>
  <c r="T317" i="1"/>
  <c r="T316" i="1"/>
  <c r="T315" i="1"/>
  <c r="T326" i="1"/>
  <c r="T314" i="1"/>
  <c r="F4" i="77"/>
  <c r="C53" i="81" l="1"/>
  <c r="E53" i="81" s="1"/>
  <c r="G53" i="81" s="1"/>
  <c r="G33" i="81"/>
  <c r="F33" i="81"/>
  <c r="C32" i="73"/>
  <c r="E32" i="73" s="1"/>
  <c r="M32" i="73" s="1"/>
  <c r="C31" i="73"/>
  <c r="E31" i="73" s="1"/>
  <c r="M31" i="73" s="1"/>
  <c r="C43" i="73"/>
  <c r="E43" i="73" s="1"/>
  <c r="M43" i="73" s="1"/>
  <c r="C5" i="73"/>
  <c r="E5" i="73" s="1"/>
  <c r="M5" i="73" s="1"/>
  <c r="C15" i="73"/>
  <c r="E15" i="73" s="1"/>
  <c r="M15" i="73" s="1"/>
  <c r="C17" i="73"/>
  <c r="E17" i="73" s="1"/>
  <c r="M17" i="73" s="1"/>
  <c r="C32" i="81"/>
  <c r="E32" i="81" s="1"/>
  <c r="F32" i="81" s="1"/>
  <c r="G31" i="81"/>
  <c r="F31" i="81"/>
  <c r="C61" i="81"/>
  <c r="E61" i="81" s="1"/>
  <c r="C52" i="73"/>
  <c r="E52" i="73" s="1"/>
  <c r="M52" i="73" s="1"/>
  <c r="A17" i="75" a="1"/>
  <c r="A17" i="75" s="1"/>
  <c r="C51" i="73"/>
  <c r="E51" i="73" s="1"/>
  <c r="M51" i="73" s="1"/>
  <c r="S9" i="80"/>
  <c r="E34" i="82" s="1"/>
  <c r="C49" i="73"/>
  <c r="E49" i="73" s="1"/>
  <c r="M49" i="73" s="1"/>
  <c r="C60" i="81"/>
  <c r="E60" i="81" s="1"/>
  <c r="F60" i="81" s="1"/>
  <c r="C48" i="73"/>
  <c r="E48" i="73" s="1"/>
  <c r="M48" i="73" s="1"/>
  <c r="C29" i="73"/>
  <c r="E29" i="73" s="1"/>
  <c r="M29" i="73" s="1"/>
  <c r="C59" i="81"/>
  <c r="E59" i="81" s="1"/>
  <c r="F59" i="81" s="1"/>
  <c r="A19" i="78" a="1"/>
  <c r="A19" i="78" s="1"/>
  <c r="N2" i="1"/>
  <c r="C25" i="73"/>
  <c r="E25" i="73" s="1"/>
  <c r="M25" i="73" s="1"/>
  <c r="C58" i="81"/>
  <c r="E58" i="81" s="1"/>
  <c r="F58" i="81" s="1"/>
  <c r="C13" i="73"/>
  <c r="E13" i="73" s="1"/>
  <c r="M13" i="73" s="1"/>
  <c r="C57" i="81"/>
  <c r="E57" i="81" s="1"/>
  <c r="G57" i="81" s="1"/>
  <c r="D12" i="81"/>
  <c r="G12" i="81" s="1"/>
  <c r="C42" i="73"/>
  <c r="E42" i="73" s="1"/>
  <c r="M42" i="73" s="1"/>
  <c r="G15" i="80"/>
  <c r="S15" i="80"/>
  <c r="R16" i="80" s="1"/>
  <c r="B55" i="75"/>
  <c r="D55" i="75" s="1"/>
  <c r="D10" i="81"/>
  <c r="G10" i="81" s="1"/>
  <c r="H10" i="81" s="1"/>
  <c r="B17" i="82"/>
  <c r="E5" i="82" s="1"/>
  <c r="D11" i="81"/>
  <c r="G11" i="81" s="1"/>
  <c r="H11" i="81" s="1"/>
  <c r="C56" i="81"/>
  <c r="E56" i="81" s="1"/>
  <c r="F56" i="81" s="1"/>
  <c r="C10" i="73"/>
  <c r="E10" i="73" s="1"/>
  <c r="M10" i="73" s="1"/>
  <c r="C55" i="81"/>
  <c r="E55" i="81" s="1"/>
  <c r="F55" i="81" s="1"/>
  <c r="B54" i="75"/>
  <c r="D54" i="75" s="1"/>
  <c r="C7" i="73"/>
  <c r="E7" i="73" s="1"/>
  <c r="M7" i="73" s="1"/>
  <c r="C37" i="73"/>
  <c r="E37" i="73" s="1"/>
  <c r="M37" i="73" s="1"/>
  <c r="G51" i="81"/>
  <c r="C54" i="81"/>
  <c r="E54" i="81" s="1"/>
  <c r="G54" i="81" s="1"/>
  <c r="C6" i="77"/>
  <c r="D13" i="81"/>
  <c r="G13" i="81" s="1"/>
  <c r="H13" i="81" s="1"/>
  <c r="D32" i="82"/>
  <c r="F31" i="82"/>
  <c r="D15" i="81"/>
  <c r="G15" i="81" s="1"/>
  <c r="H15" i="81" s="1"/>
  <c r="C21" i="73"/>
  <c r="E21" i="73" s="1"/>
  <c r="M21" i="73" s="1"/>
  <c r="C39" i="73"/>
  <c r="E39" i="73" s="1"/>
  <c r="M39" i="73" s="1"/>
  <c r="G9" i="80"/>
  <c r="M8" i="80"/>
  <c r="M9" i="80" s="1"/>
  <c r="M14" i="80"/>
  <c r="M15" i="80" s="1"/>
  <c r="C50" i="73"/>
  <c r="E50" i="73" s="1"/>
  <c r="M50" i="73" s="1"/>
  <c r="F52" i="81"/>
  <c r="G52" i="81"/>
  <c r="E50" i="81"/>
  <c r="C45" i="73"/>
  <c r="E45" i="73" s="1"/>
  <c r="M45" i="73" s="1"/>
  <c r="D14" i="81"/>
  <c r="G14" i="81" s="1"/>
  <c r="C34" i="73"/>
  <c r="C47" i="73"/>
  <c r="E47" i="73" s="1"/>
  <c r="M47" i="73" s="1"/>
  <c r="C11" i="73"/>
  <c r="E11" i="73" s="1"/>
  <c r="M11" i="73" s="1"/>
  <c r="B59" i="75"/>
  <c r="C30" i="73"/>
  <c r="E30" i="73" s="1"/>
  <c r="M30" i="73" s="1"/>
  <c r="B57" i="75"/>
  <c r="C22" i="73"/>
  <c r="B56" i="75"/>
  <c r="B58" i="75"/>
  <c r="D7" i="74" a="1"/>
  <c r="D7" i="74" s="1"/>
  <c r="F6" i="77"/>
  <c r="H4" i="77"/>
  <c r="H6" i="77" s="1"/>
  <c r="R2" i="1"/>
  <c r="F53" i="81" l="1"/>
  <c r="G32" i="81"/>
  <c r="F61" i="81"/>
  <c r="G61" i="81"/>
  <c r="B22" i="82"/>
  <c r="B23" i="82" s="1"/>
  <c r="G60" i="81"/>
  <c r="G59" i="81"/>
  <c r="G58" i="81"/>
  <c r="F57" i="81"/>
  <c r="I11" i="81"/>
  <c r="I10" i="81"/>
  <c r="E55" i="75"/>
  <c r="F55" i="75" s="1"/>
  <c r="G56" i="81"/>
  <c r="B34" i="75"/>
  <c r="C34" i="75" s="1"/>
  <c r="D34" i="75" s="1"/>
  <c r="G55" i="81"/>
  <c r="C62" i="81"/>
  <c r="E54" i="75"/>
  <c r="F54" i="75" s="1"/>
  <c r="F54" i="81"/>
  <c r="I13" i="81"/>
  <c r="F32" i="82"/>
  <c r="L31" i="82"/>
  <c r="L32" i="82" s="1"/>
  <c r="E35" i="82" s="1"/>
  <c r="I15" i="81"/>
  <c r="G50" i="81"/>
  <c r="F50" i="81"/>
  <c r="E62" i="81"/>
  <c r="H14" i="81"/>
  <c r="I14" i="81"/>
  <c r="D16" i="81"/>
  <c r="I12" i="81"/>
  <c r="H12" i="81"/>
  <c r="G16" i="81"/>
  <c r="E34" i="73"/>
  <c r="B6" i="74"/>
  <c r="D59" i="75"/>
  <c r="E59" i="75"/>
  <c r="F59" i="75" s="1"/>
  <c r="E57" i="75"/>
  <c r="F57" i="75" s="1"/>
  <c r="D57" i="75"/>
  <c r="B25" i="75"/>
  <c r="B24" i="75"/>
  <c r="B23" i="75"/>
  <c r="B20" i="75"/>
  <c r="B22" i="75"/>
  <c r="B21" i="75"/>
  <c r="B17" i="75"/>
  <c r="B18" i="75"/>
  <c r="B26" i="75"/>
  <c r="B30" i="75"/>
  <c r="B19" i="75"/>
  <c r="B29" i="75"/>
  <c r="B31" i="75"/>
  <c r="B28" i="75"/>
  <c r="B32" i="75"/>
  <c r="B27" i="75"/>
  <c r="B33" i="75"/>
  <c r="D58" i="75"/>
  <c r="E58" i="75"/>
  <c r="F58" i="75" s="1"/>
  <c r="D56" i="75"/>
  <c r="E56" i="75"/>
  <c r="F56" i="75" s="1"/>
  <c r="B60" i="75"/>
  <c r="E22" i="73"/>
  <c r="C61" i="73"/>
  <c r="P2" i="1"/>
  <c r="J2" i="1"/>
  <c r="G64" i="81" l="1"/>
  <c r="E34" i="75"/>
  <c r="G62" i="81"/>
  <c r="F62" i="81"/>
  <c r="H16" i="81"/>
  <c r="I16" i="81"/>
  <c r="M34" i="73"/>
  <c r="B8" i="74"/>
  <c r="B17" i="74" s="1"/>
  <c r="C29" i="75"/>
  <c r="D29" i="75" s="1"/>
  <c r="E29" i="75"/>
  <c r="E19" i="75"/>
  <c r="C19" i="75"/>
  <c r="D19" i="75" s="1"/>
  <c r="C33" i="75"/>
  <c r="D33" i="75" s="1"/>
  <c r="E33" i="75"/>
  <c r="E30" i="75"/>
  <c r="C30" i="75"/>
  <c r="D30" i="75" s="1"/>
  <c r="E26" i="75"/>
  <c r="C26" i="75"/>
  <c r="D26" i="75" s="1"/>
  <c r="C32" i="75"/>
  <c r="D32" i="75" s="1"/>
  <c r="E32" i="75"/>
  <c r="M22" i="73"/>
  <c r="E61" i="73"/>
  <c r="E18" i="75"/>
  <c r="C18" i="75"/>
  <c r="D18" i="75" s="1"/>
  <c r="D60" i="75"/>
  <c r="E60" i="75"/>
  <c r="F60" i="75" s="1"/>
  <c r="E17" i="75"/>
  <c r="C17" i="75"/>
  <c r="D17" i="75" s="1"/>
  <c r="E21" i="75"/>
  <c r="C21" i="75"/>
  <c r="D21" i="75" s="1"/>
  <c r="C22" i="75"/>
  <c r="D22" i="75" s="1"/>
  <c r="E22" i="75"/>
  <c r="E27" i="75"/>
  <c r="C27" i="75"/>
  <c r="D27" i="75" s="1"/>
  <c r="E20" i="75"/>
  <c r="C20" i="75"/>
  <c r="D20" i="75" s="1"/>
  <c r="C23" i="75"/>
  <c r="D23" i="75" s="1"/>
  <c r="E23" i="75"/>
  <c r="E28" i="75"/>
  <c r="C28" i="75"/>
  <c r="D28" i="75" s="1"/>
  <c r="E24" i="75"/>
  <c r="C24" i="75"/>
  <c r="D24" i="75" s="1"/>
  <c r="E31" i="75"/>
  <c r="C31" i="75"/>
  <c r="D31" i="75" s="1"/>
  <c r="E25" i="75"/>
  <c r="C25" i="75"/>
  <c r="D25" i="75" s="1"/>
  <c r="U2" i="1"/>
  <c r="M61" i="73" l="1"/>
  <c r="D25" i="81"/>
  <c r="C24" i="81"/>
  <c r="F24" i="81" s="1"/>
  <c r="C23" i="81"/>
  <c r="F23" i="81" s="1"/>
  <c r="C25" i="81"/>
  <c r="F25" i="81" s="1"/>
  <c r="D23" i="81"/>
  <c r="C22" i="81"/>
  <c r="F22" i="81" s="1"/>
  <c r="D22" i="81"/>
  <c r="D24" i="81"/>
  <c r="D21" i="81"/>
  <c r="C21" i="81"/>
  <c r="F21" i="81" s="1"/>
  <c r="C20" i="81"/>
  <c r="D20" i="81"/>
  <c r="G22" i="81" l="1"/>
  <c r="I22" i="81" s="1"/>
  <c r="G23" i="81"/>
  <c r="H23" i="81" s="1"/>
  <c r="G25" i="81"/>
  <c r="H25" i="81" s="1"/>
  <c r="D26" i="81"/>
  <c r="F20" i="81"/>
  <c r="F26" i="81" s="1"/>
  <c r="C26" i="81"/>
  <c r="G21" i="81"/>
  <c r="G24" i="81"/>
  <c r="H22" i="81" l="1"/>
  <c r="I23" i="81"/>
  <c r="I25" i="81"/>
  <c r="H24" i="81"/>
  <c r="I24" i="81"/>
  <c r="H21" i="81"/>
  <c r="I21" i="81"/>
  <c r="G20" i="81"/>
  <c r="G26" i="81" l="1"/>
  <c r="H20" i="81"/>
  <c r="H26" i="81" s="1"/>
  <c r="I20" i="81"/>
  <c r="I26" i="8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ids</author>
    <author>Пользователь</author>
  </authors>
  <commentList>
    <comment ref="Q76" authorId="0" shapeId="0" xr:uid="{807A2AE4-B299-4DDD-87EE-66CEE5BA413D}">
      <text>
        <r>
          <rPr>
            <sz val="9"/>
            <color indexed="81"/>
            <rFont val="Tahoma"/>
            <family val="2"/>
            <charset val="204"/>
          </rPr>
          <t xml:space="preserve">
ВАЖ
</t>
        </r>
      </text>
    </comment>
    <comment ref="Q90" authorId="0" shapeId="0" xr:uid="{9C706F2B-ABA2-4288-B99B-A1F8729256C5}">
      <text>
        <r>
          <rPr>
            <sz val="9"/>
            <color indexed="81"/>
            <rFont val="Tahoma"/>
            <family val="2"/>
            <charset val="204"/>
          </rPr>
          <t xml:space="preserve">
ВАЖ
</t>
        </r>
      </text>
    </comment>
    <comment ref="I140" authorId="0" shapeId="0" xr:uid="{7A911B89-490A-45A1-92E9-25E77536640D}">
      <text>
        <r>
          <rPr>
            <b/>
            <sz val="9"/>
            <color indexed="81"/>
            <rFont val="Tahoma"/>
            <family val="2"/>
            <charset val="204"/>
          </rPr>
          <t>ids:</t>
        </r>
        <r>
          <rPr>
            <sz val="9"/>
            <color indexed="81"/>
            <rFont val="Tahoma"/>
            <family val="2"/>
            <charset val="204"/>
          </rPr>
          <t xml:space="preserve">
517 750
</t>
        </r>
      </text>
    </comment>
    <comment ref="I152" authorId="0" shapeId="0" xr:uid="{5AC00186-D794-436E-9067-D4D2CD9318A4}">
      <text>
        <r>
          <rPr>
            <b/>
            <sz val="9"/>
            <color indexed="81"/>
            <rFont val="Tahoma"/>
            <family val="2"/>
            <charset val="204"/>
          </rPr>
          <t>ids:</t>
        </r>
        <r>
          <rPr>
            <sz val="9"/>
            <color indexed="81"/>
            <rFont val="Tahoma"/>
            <family val="2"/>
            <charset val="204"/>
          </rPr>
          <t xml:space="preserve">
517 750
</t>
        </r>
      </text>
    </comment>
    <comment ref="H213" authorId="0" shapeId="0" xr:uid="{0E8DD79A-FD08-40F1-A3D8-06C4462C690D}">
      <text>
        <r>
          <rPr>
            <b/>
            <sz val="9"/>
            <color indexed="81"/>
            <rFont val="Tahoma"/>
            <family val="2"/>
            <charset val="204"/>
          </rPr>
          <t>ids:</t>
        </r>
        <r>
          <rPr>
            <sz val="9"/>
            <color indexed="81"/>
            <rFont val="Tahoma"/>
            <family val="2"/>
            <charset val="204"/>
          </rPr>
          <t xml:space="preserve">
Нахт киммат нарх</t>
        </r>
      </text>
    </comment>
    <comment ref="H229" authorId="0" shapeId="0" xr:uid="{07336378-3CF3-4DB8-A6AC-4451BF41A3F5}">
      <text>
        <r>
          <rPr>
            <b/>
            <sz val="9"/>
            <color indexed="81"/>
            <rFont val="Tahoma"/>
            <family val="2"/>
            <charset val="204"/>
          </rPr>
          <t>ids:</t>
        </r>
        <r>
          <rPr>
            <sz val="9"/>
            <color indexed="81"/>
            <rFont val="Tahoma"/>
            <family val="2"/>
            <charset val="204"/>
          </rPr>
          <t xml:space="preserve">
Нахт киммат нарх</t>
        </r>
      </text>
    </comment>
    <comment ref="E405" authorId="1" shapeId="0" xr:uid="{44A1DE5D-5BB5-49D5-A663-2503A3CD6B5C}">
      <text>
        <r>
          <rPr>
            <b/>
            <sz val="9"/>
            <color indexed="81"/>
            <rFont val="Tahoma"/>
            <charset val="1"/>
          </rPr>
          <t>Пользователь:</t>
        </r>
        <r>
          <rPr>
            <sz val="9"/>
            <color indexed="81"/>
            <rFont val="Tahoma"/>
            <charset val="1"/>
          </rPr>
          <t xml:space="preserve">
3/9 da sotilgan</t>
        </r>
      </text>
    </comment>
    <comment ref="E414" authorId="0" shapeId="0" xr:uid="{277BB285-A5B1-4ADA-B6BC-4EA8B76A3F85}">
      <text>
        <r>
          <rPr>
            <b/>
            <sz val="9"/>
            <color indexed="81"/>
            <rFont val="Tahoma"/>
            <family val="2"/>
            <charset val="204"/>
          </rPr>
          <t>ids:</t>
        </r>
        <r>
          <rPr>
            <sz val="9"/>
            <color indexed="81"/>
            <rFont val="Tahoma"/>
            <family val="2"/>
            <charset val="204"/>
          </rPr>
          <t xml:space="preserve">
03/09 да сотилган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<sst xmlns="http://schemas.openxmlformats.org/spreadsheetml/2006/main" count="4630" uniqueCount="735">
  <si>
    <t>ТИЗИМ КЎРСАТКИЧЛАРИ</t>
  </si>
  <si>
    <t>Асосий параметрлар</t>
  </si>
  <si>
    <t>Поддон базавий нархи (сўм)</t>
  </si>
  <si>
    <t>Тўловда поддон нархи топилмаса шу нарх ишлатилади</t>
  </si>
  <si>
    <t>Солиқ (1 куб учун, сўм)</t>
  </si>
  <si>
    <t>KPI варағида солиқ ҳисоблашда</t>
  </si>
  <si>
    <t>КПИ улуши (агент)</t>
  </si>
  <si>
    <t>Агентга кетадиган улуш</t>
  </si>
  <si>
    <t>Соф фойда улуши (фирма)</t>
  </si>
  <si>
    <t>Мижозлар справочниги</t>
  </si>
  <si>
    <t>Агентлар справочниги</t>
  </si>
  <si>
    <t>Поставшиклар справочниги</t>
  </si>
  <si>
    <t>Расмий ном</t>
  </si>
  <si>
    <t>Варианти-1</t>
  </si>
  <si>
    <t>Варианти-2</t>
  </si>
  <si>
    <t>Эски варақ</t>
  </si>
  <si>
    <t>Агент</t>
  </si>
  <si>
    <t>Изох</t>
  </si>
  <si>
    <t>Поставшик</t>
  </si>
  <si>
    <t>Алибобо</t>
  </si>
  <si>
    <t>4-Алибобо</t>
  </si>
  <si>
    <t>Арслон ога</t>
  </si>
  <si>
    <t>Коалс</t>
  </si>
  <si>
    <t>Бахтиёр ога Шовот</t>
  </si>
  <si>
    <t>3-Бахтиёр ога Шовот</t>
  </si>
  <si>
    <t>Жамол 22-22</t>
  </si>
  <si>
    <t>Ментора</t>
  </si>
  <si>
    <t>Бунёдкор</t>
  </si>
  <si>
    <t>3-Бунёдкор</t>
  </si>
  <si>
    <t>Зафар ога</t>
  </si>
  <si>
    <t>Газ сув монтаж</t>
  </si>
  <si>
    <t>3-Газ сув монтаж</t>
  </si>
  <si>
    <t>Сардор ога</t>
  </si>
  <si>
    <t>Тўлов тури</t>
  </si>
  <si>
    <t>Гайрат Штб</t>
  </si>
  <si>
    <t>4-Гайрат Штб</t>
  </si>
  <si>
    <t>Темур</t>
  </si>
  <si>
    <t>Тур</t>
  </si>
  <si>
    <t>Гофур хазорасп</t>
  </si>
  <si>
    <t>2-Гофур Хазорасп</t>
  </si>
  <si>
    <t>Шохрух ога</t>
  </si>
  <si>
    <t>Касса</t>
  </si>
  <si>
    <t>Жамол 009</t>
  </si>
  <si>
    <t>4-Жамол 009</t>
  </si>
  <si>
    <t>Перечисления</t>
  </si>
  <si>
    <t>Жаср Версал</t>
  </si>
  <si>
    <t>Жасур Версал</t>
  </si>
  <si>
    <t>5-Жаср Версал</t>
  </si>
  <si>
    <t>Журат ога хонка</t>
  </si>
  <si>
    <t>Журат хонка</t>
  </si>
  <si>
    <t>5-Журат ога хонка</t>
  </si>
  <si>
    <t>Инвест Холдинг</t>
  </si>
  <si>
    <t>1-Инвест Холдинг</t>
  </si>
  <si>
    <t>Инноватцион</t>
  </si>
  <si>
    <t>1-Инноватцион</t>
  </si>
  <si>
    <t>Ирригатсия темир бетон</t>
  </si>
  <si>
    <t>1-Ирригатсия темир бетон</t>
  </si>
  <si>
    <t>Кахрамон ога Урганч</t>
  </si>
  <si>
    <t>3-Кахрамон ога Урганч</t>
  </si>
  <si>
    <t>Кувондик курувчи</t>
  </si>
  <si>
    <t>2-Кувондик курувчи</t>
  </si>
  <si>
    <t>Мактаб</t>
  </si>
  <si>
    <t>5-Мактаб</t>
  </si>
  <si>
    <t>Мамун Университети</t>
  </si>
  <si>
    <t>6-Мамун Университети</t>
  </si>
  <si>
    <t>Музаффар 0010</t>
  </si>
  <si>
    <t>6-Музаффар 0010</t>
  </si>
  <si>
    <t>Мурод ога 4884</t>
  </si>
  <si>
    <t>3-Мурод ога 4884</t>
  </si>
  <si>
    <t>Мурод ога Урганч</t>
  </si>
  <si>
    <t>3-Мурод ога Урганч</t>
  </si>
  <si>
    <t>Мустафо машал</t>
  </si>
  <si>
    <t>Мустофо машал</t>
  </si>
  <si>
    <t>5-Мустафо машал</t>
  </si>
  <si>
    <t>Мята Газаблок</t>
  </si>
  <si>
    <t>5-Мята Газаблок</t>
  </si>
  <si>
    <t>Нахт клиент-А</t>
  </si>
  <si>
    <t>6-Нахт клент-А</t>
  </si>
  <si>
    <t>Низомиддин хонка</t>
  </si>
  <si>
    <t>5-Низомиддин хонка</t>
  </si>
  <si>
    <t>Нормат Умидбек</t>
  </si>
  <si>
    <t>1-Нормат Умидбек</t>
  </si>
  <si>
    <t>Одилбек Ера хоус</t>
  </si>
  <si>
    <t>Одилбек ога Эра хоус</t>
  </si>
  <si>
    <t>5-Одилбек Ера хоус</t>
  </si>
  <si>
    <t>Отабек дамирчи</t>
  </si>
  <si>
    <t>6-Отабек дамирчи</t>
  </si>
  <si>
    <t>Рустам Шпик</t>
  </si>
  <si>
    <t>4-Рустам Шпик</t>
  </si>
  <si>
    <t>Сарвар ога Шовот</t>
  </si>
  <si>
    <t>3-Сарвар ога Шовот</t>
  </si>
  <si>
    <t>Сохил буйи Уткир ога</t>
  </si>
  <si>
    <t>Сохил буйи Уткир</t>
  </si>
  <si>
    <t>Сохил буйи</t>
  </si>
  <si>
    <t>6-Сохил буйи Уткир ога</t>
  </si>
  <si>
    <t>Сулаймон Ога Газаблок</t>
  </si>
  <si>
    <t>Сулаймон ога Газоблок</t>
  </si>
  <si>
    <t>3-Сулаймон Ога Газаблок</t>
  </si>
  <si>
    <t>Сулаймон Ога Хазарасп</t>
  </si>
  <si>
    <t>3-Сулаймон Ога Хазарасп</t>
  </si>
  <si>
    <t>Уктир ога Шовот</t>
  </si>
  <si>
    <t>Уткир ога шовот</t>
  </si>
  <si>
    <t>3-Уктир ога Шовот</t>
  </si>
  <si>
    <t>Урганч сити</t>
  </si>
  <si>
    <t>1-Урганч сити</t>
  </si>
  <si>
    <t>Урганч Тамирлаш</t>
  </si>
  <si>
    <t>1-Урганч Тамирлаш</t>
  </si>
  <si>
    <t>Уткир мини</t>
  </si>
  <si>
    <t>6-Уткир мини</t>
  </si>
  <si>
    <t>Фидато Груп</t>
  </si>
  <si>
    <t>Фидато Гроуп</t>
  </si>
  <si>
    <t>1-Фидато Груп</t>
  </si>
  <si>
    <t>Фм хоус</t>
  </si>
  <si>
    <t>6-Фм хоус</t>
  </si>
  <si>
    <t>Хонкага</t>
  </si>
  <si>
    <t>1-Хонкага</t>
  </si>
  <si>
    <t>Шиддат маналит</t>
  </si>
  <si>
    <t>Шиддат моналит</t>
  </si>
  <si>
    <t>2-Шиддат маналит</t>
  </si>
  <si>
    <t>Элликкала Бостон</t>
  </si>
  <si>
    <t>4-Элликкала Бостон</t>
  </si>
  <si>
    <t>Акмал 91 510 50 01</t>
  </si>
  <si>
    <t>Нахт клиент-С</t>
  </si>
  <si>
    <t>Бахти Ташкентский</t>
  </si>
  <si>
    <t>МИЖОЗЛАР ҚОЛДИГИ</t>
  </si>
  <si>
    <t>Манфий (қизил) = мижоз қарздор  |  Мусбат (яшил) = ортиқча тўлаган</t>
  </si>
  <si>
    <t>Товар сотуви (мижозга)</t>
  </si>
  <si>
    <t>Мижоз</t>
  </si>
  <si>
    <t>Товарга тўлов</t>
  </si>
  <si>
    <t>ТОВАР ҚАРЗИ</t>
  </si>
  <si>
    <t>Олган поддон</t>
  </si>
  <si>
    <t>Қайтарган</t>
  </si>
  <si>
    <t>Тўлаган дона</t>
  </si>
  <si>
    <t>Тўлаган сумма</t>
  </si>
  <si>
    <t>ПОДДОН ҚАРЗИ (дона)</t>
  </si>
  <si>
    <t>Поддон нархи</t>
  </si>
  <si>
    <t>ПОДДОН ҚАРЗИ (сўм)</t>
  </si>
  <si>
    <t>ЖАМИ ҚАРЗ</t>
  </si>
  <si>
    <t>ЖАМИ</t>
  </si>
  <si>
    <t>МИЖОЗ КАРТАСИ</t>
  </si>
  <si>
    <t>Мижозни танланг:</t>
  </si>
  <si>
    <t>ҚОЛДИҚЛАР</t>
  </si>
  <si>
    <t>ЮКЛАМАЛАР</t>
  </si>
  <si>
    <t>ТЎЛОВЛАР</t>
  </si>
  <si>
    <t>ПОДДОН ҚАЙТАРИШ</t>
  </si>
  <si>
    <t>Дата</t>
  </si>
  <si>
    <t>№ авто</t>
  </si>
  <si>
    <t>Размер</t>
  </si>
  <si>
    <t>Куб</t>
  </si>
  <si>
    <t>Нарх</t>
  </si>
  <si>
    <t>Мижозга</t>
  </si>
  <si>
    <t>Поддон</t>
  </si>
  <si>
    <t>Жами тўлов</t>
  </si>
  <si>
    <t>Поддон дона</t>
  </si>
  <si>
    <t>Поддон пули</t>
  </si>
  <si>
    <t>Товарга</t>
  </si>
  <si>
    <t>Плателщик</t>
  </si>
  <si>
    <t>Дона</t>
  </si>
  <si>
    <t>Қайтарган поддон</t>
  </si>
  <si>
    <t>Тўлов билан олган</t>
  </si>
  <si>
    <t>ҚИДИРУВ — ҳарф ёзинг, мослари чиқади</t>
  </si>
  <si>
    <t>МИЖОЗ</t>
  </si>
  <si>
    <t>АГЕНТ</t>
  </si>
  <si>
    <t>ҚАНДАЙ ИШЛАТИЛАДИ</t>
  </si>
  <si>
    <t>Ҳарф ёзинг:</t>
  </si>
  <si>
    <t>нахт</t>
  </si>
  <si>
    <t>ога</t>
  </si>
  <si>
    <t>1. Сариқ катакка излаётган номнинг бир неча ҳарфини ёзинг</t>
  </si>
  <si>
    <t>Топилди:</t>
  </si>
  <si>
    <t>2. Пастда мос номлар рўйхати чиқади</t>
  </si>
  <si>
    <t>3. Кераклисини нусха олиб (Ctrl+C) Товар/Оплата га қўйинг</t>
  </si>
  <si>
    <t>Изоҳ: бўш қолдирсангиз — барча рўйхат кўринади</t>
  </si>
  <si>
    <t>Изоҳ: тўғридан-тўғри ёзишда танлаш рўйхати ҳам ишлайди (Alt+↓)</t>
  </si>
  <si>
    <t>ПОСТАВШИКЛАР ҲИСОБ-КИТОБИ</t>
  </si>
  <si>
    <t>Манфий (қизил) = биз қарздормиз  |  Мусбат (яшил) = ортиқча тўлаганмиз (аванс)</t>
  </si>
  <si>
    <t>Товар миқдори (куб)</t>
  </si>
  <si>
    <t>Товар суммаси</t>
  </si>
  <si>
    <t>Поддон сони</t>
  </si>
  <si>
    <t>Поддон суммаси</t>
  </si>
  <si>
    <t>ЖАМИ ОЛИНГАН</t>
  </si>
  <si>
    <t>ТЎЛАНГАН</t>
  </si>
  <si>
    <t>ҚОЛДИҚ</t>
  </si>
  <si>
    <t>ТЎЛОВ ТАРИХИ</t>
  </si>
  <si>
    <t>ЮКЛАМАЛАР (ойлар бўйича)</t>
  </si>
  <si>
    <t>Поставшикни танланг:</t>
  </si>
  <si>
    <t>Сумма</t>
  </si>
  <si>
    <t>Ой</t>
  </si>
  <si>
    <t>АКТ СВЕРКА</t>
  </si>
  <si>
    <t>Ойлар (ёрдамчи)</t>
  </si>
  <si>
    <t>Биз:</t>
  </si>
  <si>
    <t>"SEPTEM CEMENT TRADE" ХК</t>
  </si>
  <si>
    <t>Мавжуд ойлар →</t>
  </si>
  <si>
    <t>Поставшик:</t>
  </si>
  <si>
    <t>Ой:</t>
  </si>
  <si>
    <t>ОЙЛИК ҲАРАКАТ ВА ҚОЛДИҚ</t>
  </si>
  <si>
    <t>№</t>
  </si>
  <si>
    <t>КЎРСАТКИЧ</t>
  </si>
  <si>
    <t>КАССА</t>
  </si>
  <si>
    <t>ПЕРЕЧИСЛЕНИЯ</t>
  </si>
  <si>
    <t>сумма</t>
  </si>
  <si>
    <t>сони/куб</t>
  </si>
  <si>
    <t>Ой бошига қолдиқ</t>
  </si>
  <si>
    <t>Газоблок олинган</t>
  </si>
  <si>
    <t>Паддон олинган</t>
  </si>
  <si>
    <t>Жами олинган (2+3)</t>
  </si>
  <si>
    <t>Тўлов қилинган</t>
  </si>
  <si>
    <t>Ой охирига қолдиқ (1−4+5)</t>
  </si>
  <si>
    <t>ШУ ОЙДАГИ ЮКЛАМАЛАР</t>
  </si>
  <si>
    <t>ШУ ОЙДАГИ ТЎЛОВЛАР</t>
  </si>
  <si>
    <t>В-о</t>
  </si>
  <si>
    <t>Газоблок сумма</t>
  </si>
  <si>
    <t>Паддон</t>
  </si>
  <si>
    <t>Паддон сумма</t>
  </si>
  <si>
    <t>Жами</t>
  </si>
  <si>
    <t>АКТ СВЕРКА — умумий кўриниш</t>
  </si>
  <si>
    <t>Ойлар</t>
  </si>
  <si>
    <t>НОМИ</t>
  </si>
  <si>
    <t>ТУШУМ</t>
  </si>
  <si>
    <t>РЕАЛИЗАЦИЯ</t>
  </si>
  <si>
    <t>Vozvrat Paddon</t>
  </si>
  <si>
    <t>Охири га ("+" дебитор "-" кредитор)</t>
  </si>
  <si>
    <t>Паддан қайтариши керак</t>
  </si>
  <si>
    <t>Газоблок</t>
  </si>
  <si>
    <t>Жами сумма</t>
  </si>
  <si>
    <t>Переч</t>
  </si>
  <si>
    <t>Касса сумма</t>
  </si>
  <si>
    <t>куб</t>
  </si>
  <si>
    <t>Переч сумма</t>
  </si>
  <si>
    <t>сони</t>
  </si>
  <si>
    <t>БУТУН ДАВР БЎЙИЧА (барча ойлар, кумулятив)</t>
  </si>
  <si>
    <t>"SEPTEM CEMENT TRADE" ХК — ЖАМИ</t>
  </si>
  <si>
    <t>АГЕНТЛАР KPI</t>
  </si>
  <si>
    <t>Тўлов йиғилди</t>
  </si>
  <si>
    <t>Йиғиш %</t>
  </si>
  <si>
    <t>ПОДДОН ҚАЙТАРИШ (заводга)</t>
  </si>
  <si>
    <t>Жўнатувчи</t>
  </si>
  <si>
    <t>Қабул қилувчи</t>
  </si>
  <si>
    <t>1 дона қайтариш ўртача нархи</t>
  </si>
  <si>
    <t>Қайтариш харажати жами</t>
  </si>
  <si>
    <t>SEPTEM CEMENT TRADE</t>
  </si>
  <si>
    <t>Клиент</t>
  </si>
  <si>
    <t>Эски варақдан: 3-Сулаймон Ога Хазарасп</t>
  </si>
  <si>
    <t>Эски варақдан: 1-Инвест Холдинг</t>
  </si>
  <si>
    <t>Эски варақдан: 1-Фидато Груп</t>
  </si>
  <si>
    <t>Эски варақдан: 4-Гайрат Штб</t>
  </si>
  <si>
    <t>Эски варақдан: 5-Жаср Версал</t>
  </si>
  <si>
    <t>Эски варақдан: 5-Мустафо машал</t>
  </si>
  <si>
    <t>Эски варақдан: 5-Одилбек Ера хоус</t>
  </si>
  <si>
    <t>Эски варақдан: 1-Урганч сити</t>
  </si>
  <si>
    <t>Эски варақдан: 1-Инноватцион</t>
  </si>
  <si>
    <t>Эски варақдан: 3-Мурод ога Урганч</t>
  </si>
  <si>
    <t>Эски варақдан: 2-Шиддат маналит</t>
  </si>
  <si>
    <t>Эски варақдан: 6-Отабек дамирчи</t>
  </si>
  <si>
    <t>Эски варақдан: 6-Сохил буйи Уткир ога</t>
  </si>
  <si>
    <t>Эски варақдан: 1-Хонкага</t>
  </si>
  <si>
    <t>Эски варақдан: 2-Гофур Хазорасп</t>
  </si>
  <si>
    <t>Эски варақдан: 5-Журат ога хонка</t>
  </si>
  <si>
    <t>Эски варақдан: 6-Мамун Университети</t>
  </si>
  <si>
    <t>Эски варақдан: 6-нахт клент</t>
  </si>
  <si>
    <t>Эски варақдан: 4-Жамол 009</t>
  </si>
  <si>
    <t>Эски варақдан: 6-Фм хоус</t>
  </si>
  <si>
    <t>Эски варақдан: 4-Рустам Шпик</t>
  </si>
  <si>
    <t>Эски варақдан: 3-Бунёдкор</t>
  </si>
  <si>
    <t>Эски варақдан: 1-Нормат Умидбек</t>
  </si>
  <si>
    <t>Эски варақдан: 2-Нахт клент</t>
  </si>
  <si>
    <t>Эски варақдан: 3-Сарвар ога Шовот</t>
  </si>
  <si>
    <t>Эски варақдан: 3-Газ сув монтаж</t>
  </si>
  <si>
    <t>Эски варақдан: 6-Уткир мини</t>
  </si>
  <si>
    <t>Эски варақдан: 6-Музаффар 0010</t>
  </si>
  <si>
    <t>Платеелшик</t>
  </si>
  <si>
    <t>Получател</t>
  </si>
  <si>
    <t>Септем Алока</t>
  </si>
  <si>
    <t>Нахт пластика</t>
  </si>
  <si>
    <t>ПР-Сумма</t>
  </si>
  <si>
    <t>Учун</t>
  </si>
  <si>
    <t>Накд</t>
  </si>
  <si>
    <t>Клик</t>
  </si>
  <si>
    <t>Терминал</t>
  </si>
  <si>
    <t>URGANCH TAMIRLASH</t>
  </si>
  <si>
    <t>Септем семент</t>
  </si>
  <si>
    <t>HAZORASP MUHAMMAD</t>
  </si>
  <si>
    <t>"A-SIA HOUSE" MCHJ</t>
  </si>
  <si>
    <t>"Ифтихор" хусусий корхонаси</t>
  </si>
  <si>
    <t>"EZVIZ CITY"Mchj</t>
  </si>
  <si>
    <t>Xazorasp Ipoteka Qurilish мчж</t>
  </si>
  <si>
    <t>ООО "FIDATO GROUP"</t>
  </si>
  <si>
    <t>Хоразм Инвест Холдинг</t>
  </si>
  <si>
    <t>NORMAT UMIDBEK MCHJ</t>
  </si>
  <si>
    <t>"DOMEX GROUP" Mchj</t>
  </si>
  <si>
    <t>"Ulgircha savdo diyor" MCHJ</t>
  </si>
  <si>
    <t>Шовот темур битон хусусий корхонаси</t>
  </si>
  <si>
    <t>URGANCH TA'MIRLASH масьулияти чекланган жамият</t>
  </si>
  <si>
    <t>JAHON QILICH OOO</t>
  </si>
  <si>
    <t>Jamshidbek Jasmina House</t>
  </si>
  <si>
    <t>SHIDDAT MONOLIT MCHJ</t>
  </si>
  <si>
    <t>XIVA SAYQAL MCHJ</t>
  </si>
  <si>
    <t>HAZORASP BINOKOR USTA MChJ</t>
  </si>
  <si>
    <t>бир машин газаблок даставка учун ташоди</t>
  </si>
  <si>
    <t>"SHUKR BARAKA" MCHJ</t>
  </si>
  <si>
    <t>Коровул курилиш монтаж</t>
  </si>
  <si>
    <t>"БУНЕДКОР" МЧЖ</t>
  </si>
  <si>
    <t>HAZORASP MUHAMMAD XO'JA MChJ</t>
  </si>
  <si>
    <t>КОРОВУЛ КУРИЛИШ МОНТАЖ ХК</t>
  </si>
  <si>
    <t>IRRIGATSIYA TEMIR BETON QURILISH</t>
  </si>
  <si>
    <t>"ERA MOTOR'S" MCHJ</t>
  </si>
  <si>
    <t>``SHUKR BARAKA``MCHJ</t>
  </si>
  <si>
    <t>"Qodiriy Construction" Масъулияти Чекланган Жамият</t>
  </si>
  <si>
    <t>"VATANPARVARLIK YOSHLAR KELAJAGI" MCHJ</t>
  </si>
  <si>
    <t>Нахт клиент</t>
  </si>
  <si>
    <t>OOO QILICH-AMIN-NIYAZ</t>
  </si>
  <si>
    <t>JAMSHIDBEK JASMINA HOUSE MCHJ</t>
  </si>
  <si>
    <t>Сув газ монтаж таъмир х\к</t>
  </si>
  <si>
    <t>ERA MOTOR'S MCHJ</t>
  </si>
  <si>
    <t>MA'MUN UNIVERSITETI nodavlat ta'lim muassasasi</t>
  </si>
  <si>
    <t>OOO HAZORASP UNIVERSAL MEGA STROY</t>
  </si>
  <si>
    <t>SHOVOT METAL COMPOSIT mas`uliyati cheklangan jamiyati</t>
  </si>
  <si>
    <t>"URGANCH QURILISH TRANS" МЧЖ</t>
  </si>
  <si>
    <t>XAZORASP IPOTEKA QURILISH масьулияти чекланган жамияти</t>
  </si>
  <si>
    <t>VERSAL YANGI UYLAR MCHJ</t>
  </si>
  <si>
    <t>SMART UPSTARTS Xususiy korxonasi</t>
  </si>
  <si>
    <t>Возврат қилинган</t>
  </si>
  <si>
    <t>Qodiriy Construction Масъулияти Чекланган Жамият</t>
  </si>
  <si>
    <t>STAR KIDS PLUS МЧЖ Cчет ссудных обязательствАнкет</t>
  </si>
  <si>
    <t>ERA MOTOR`S MCHJ</t>
  </si>
  <si>
    <t>VATANPARVARLIK YOSHLAR KELAJAKI</t>
  </si>
  <si>
    <t>ЧП "RSULBEK"</t>
  </si>
  <si>
    <t>OOO "MEGA STAR INVEST BUILDING"</t>
  </si>
  <si>
    <t>OOO XORAZM AVTOGAZ TAMINOT</t>
  </si>
  <si>
    <t>ЧП "SHOXZODBEK SULAYMON"</t>
  </si>
  <si>
    <t>OOO "NAZARBOY-JASUR QURILISH"</t>
  </si>
  <si>
    <t>XORAZM  BOBUR MIRZO МЧЖ</t>
  </si>
  <si>
    <t>paddon</t>
  </si>
  <si>
    <t>ООО "NAZARBOY-JASUR QURILISH"</t>
  </si>
  <si>
    <t>ООО MEGA STAR INVEST BUILDING"</t>
  </si>
  <si>
    <t>Септем ПСБ</t>
  </si>
  <si>
    <t>31 766 000 toshodi, 7628100 sementga</t>
  </si>
  <si>
    <t>URGANCH SOHIL BOYI UYLARI MCHJ</t>
  </si>
  <si>
    <t>Аслиддина ўтириб барди</t>
  </si>
  <si>
    <t xml:space="preserve">Green Tower Recidense </t>
  </si>
  <si>
    <t>Урганч тамирлаш</t>
  </si>
  <si>
    <t>Блок</t>
  </si>
  <si>
    <t xml:space="preserve">Дата 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</si>
  <si>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</si>
  <si>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</si>
  <si>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</si>
  <si>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</si>
  <si>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</si>
  <si>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</si>
  <si>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</si>
  <si>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</si>
  <si>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Сумма 
Продажа</t>
  </si>
  <si>
    <t>Расход 
Авто</t>
  </si>
  <si>
    <t>Общая прибль</t>
  </si>
  <si>
    <t xml:space="preserve">Авто услу </t>
  </si>
  <si>
    <t>95 G 851 NA</t>
  </si>
  <si>
    <t>600x300x200</t>
  </si>
  <si>
    <t>Сотувчи</t>
  </si>
  <si>
    <t>40 Y 173 KB</t>
  </si>
  <si>
    <t>90 X 700 CA</t>
  </si>
  <si>
    <t>90 G 991 FA</t>
  </si>
  <si>
    <t>90 G 429 CA</t>
  </si>
  <si>
    <t>30 N 113 MB</t>
  </si>
  <si>
    <t>50 R 575 CB</t>
  </si>
  <si>
    <t>30 784 WBA</t>
  </si>
  <si>
    <t>VI-004-KT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</si>
  <si>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</si>
  <si>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</si>
  <si>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</si>
  <si>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</si>
  <si>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</si>
  <si>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</si>
  <si>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</si>
  <si>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90 919 LBA</t>
  </si>
  <si>
    <t>90 273 QBA</t>
  </si>
  <si>
    <t>85 L 868 PA</t>
  </si>
  <si>
    <t>25 Q 068 OA</t>
  </si>
  <si>
    <t>90 682 FBA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</si>
  <si>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</si>
  <si>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</si>
  <si>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</si>
  <si>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</si>
  <si>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</si>
  <si>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</si>
  <si>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</si>
  <si>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</si>
  <si>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</si>
  <si>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</si>
  <si>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</si>
  <si>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</si>
  <si>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</si>
  <si>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</si>
  <si>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80 C 385 CB</t>
  </si>
  <si>
    <t>90 734 МВА</t>
  </si>
  <si>
    <t>40 O 636 TB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</si>
  <si>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</si>
  <si>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</si>
  <si>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</si>
  <si>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</si>
  <si>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</si>
  <si>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</si>
  <si>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</si>
  <si>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95 693 GBA</t>
  </si>
  <si>
    <t>90 N 972 QA</t>
  </si>
  <si>
    <t>600x240x200</t>
  </si>
  <si>
    <t>90 340 FBA</t>
  </si>
  <si>
    <t>90 779 EBA</t>
  </si>
  <si>
    <t>95 G 198 SA</t>
  </si>
  <si>
    <t>80 726 ACA</t>
  </si>
  <si>
    <t>01 C 487 CB</t>
  </si>
  <si>
    <t>90 L 555 TA</t>
  </si>
  <si>
    <t>90 S 196 AB</t>
  </si>
  <si>
    <t>95 A 242 TA</t>
  </si>
  <si>
    <t>95 B 760 QA</t>
  </si>
  <si>
    <t>30 N 341 SB</t>
  </si>
  <si>
    <t>90 388 CBA</t>
  </si>
  <si>
    <t>90 M 660 LA</t>
  </si>
  <si>
    <t>95 O 144 GA</t>
  </si>
  <si>
    <t>95 641 MBA</t>
  </si>
  <si>
    <t>90 358 MBA</t>
  </si>
  <si>
    <t>95 F 702 GA</t>
  </si>
  <si>
    <t>90 999 EBA</t>
  </si>
  <si>
    <t>90 924 LBA</t>
  </si>
  <si>
    <t>50 E 093 GB</t>
  </si>
  <si>
    <t>70 M 307 HB</t>
  </si>
  <si>
    <t>30 100 MAN</t>
  </si>
  <si>
    <t>80 591 FCA</t>
  </si>
  <si>
    <t>90 K 034 BB</t>
  </si>
  <si>
    <t>95 044 WAA</t>
  </si>
  <si>
    <t>90 699 EBA</t>
  </si>
  <si>
    <t>75 084 GBA</t>
  </si>
  <si>
    <t>25 S 005 FA</t>
  </si>
  <si>
    <t>90 L 243 NA</t>
  </si>
  <si>
    <t>01 F 620 EB</t>
  </si>
  <si>
    <t>50 A 888 FB</t>
  </si>
  <si>
    <t>01 329 KMA</t>
  </si>
  <si>
    <t>40 C 022 MB</t>
  </si>
  <si>
    <t>90 X 309 TA</t>
  </si>
  <si>
    <t>30 791 WBA</t>
  </si>
  <si>
    <t>90 195 JBA</t>
  </si>
  <si>
    <t>90 536 GBA</t>
  </si>
  <si>
    <t>95 450 HBA</t>
  </si>
  <si>
    <t>90 F 942 MA</t>
  </si>
  <si>
    <t>90 S 893 AB</t>
  </si>
  <si>
    <t>  40 J 346 UB</t>
  </si>
  <si>
    <t>90 Z 712 OA</t>
  </si>
  <si>
    <t>95 626 MBA</t>
  </si>
  <si>
    <t>95 582 PBQ</t>
  </si>
  <si>
    <t>80 С 385 СВ</t>
  </si>
  <si>
    <t>95 С 757 KA</t>
  </si>
  <si>
    <t>90 431 FBA</t>
  </si>
  <si>
    <t>10 L 842 MB</t>
  </si>
  <si>
    <t>01 G 750 MB</t>
  </si>
  <si>
    <t>80 N 328 TA</t>
  </si>
  <si>
    <t>80 F 962 EB</t>
  </si>
  <si>
    <t>80 M 572 EB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</si>
  <si>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</si>
  <si>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</si>
  <si>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</si>
  <si>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</si>
  <si>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</si>
  <si>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</si>
  <si>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</si>
  <si>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</si>
  <si>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</si>
  <si>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95 438 MBA</t>
  </si>
  <si>
    <t>95 437 MBA</t>
  </si>
  <si>
    <t>95 P 513 UA</t>
  </si>
  <si>
    <t>90 427 MBA</t>
  </si>
  <si>
    <t>30 S 312 RB</t>
  </si>
  <si>
    <t>95 T 324 SA</t>
  </si>
  <si>
    <t>90 500 EBA</t>
  </si>
  <si>
    <t>30 U 875 TB</t>
  </si>
  <si>
    <t>90 P 417 AB</t>
  </si>
  <si>
    <t>600x300x150</t>
  </si>
  <si>
    <t>90 Y 785 PA</t>
  </si>
  <si>
    <t>90 C 071 VA</t>
  </si>
  <si>
    <t>90 М 600 ММ</t>
  </si>
  <si>
    <t>80 780 LBA</t>
  </si>
  <si>
    <t>80 Q 804 QA</t>
  </si>
  <si>
    <t>90 293 LBA</t>
  </si>
  <si>
    <t>90 473 PBA</t>
  </si>
  <si>
    <t>95 472 DBA</t>
  </si>
  <si>
    <t>90 S 550 SS</t>
  </si>
  <si>
    <t>90 692 АВА</t>
  </si>
  <si>
    <t>01 L 445 PC</t>
  </si>
  <si>
    <t>01 U 610  PC</t>
  </si>
  <si>
    <t>95 F 473 LA</t>
  </si>
  <si>
    <t>90 W 592 AB</t>
  </si>
  <si>
    <t>90 250 LBA</t>
  </si>
  <si>
    <t>90 A 126 CB</t>
  </si>
  <si>
    <t>95 Н 630 SА</t>
  </si>
  <si>
    <t>01 C 487 CD</t>
  </si>
  <si>
    <t>90 225 HBA</t>
  </si>
  <si>
    <t>90 388 СBA</t>
  </si>
  <si>
    <t>90 M 352 AB</t>
  </si>
  <si>
    <t>90 H 870 BA</t>
  </si>
  <si>
    <t>90 K 954 WA</t>
  </si>
  <si>
    <t>90 999  ЕBA</t>
  </si>
  <si>
    <t>01 U 610 PC</t>
  </si>
  <si>
    <t>90 U 557 OA</t>
  </si>
  <si>
    <t>90 171 LBA</t>
  </si>
  <si>
    <t>90 O 479 AB</t>
  </si>
  <si>
    <t>90 971 GBA</t>
  </si>
  <si>
    <t>95 890 DBA</t>
  </si>
  <si>
    <t>90 185 GBA</t>
  </si>
  <si>
    <t>70 H 312 WA</t>
  </si>
  <si>
    <t>70 H 297 WA</t>
  </si>
  <si>
    <t>01 291 OHA</t>
  </si>
  <si>
    <t>80 746 PBA</t>
  </si>
  <si>
    <t>90 J 925 QA</t>
  </si>
  <si>
    <t>90 O 735 YA</t>
  </si>
  <si>
    <t>80 803 GCA</t>
  </si>
  <si>
    <t>40 Q 058 MB</t>
  </si>
  <si>
    <t>95 274 YAA</t>
  </si>
  <si>
    <t>90 683 FBA</t>
  </si>
  <si>
    <t>90 699 ЕBA</t>
  </si>
  <si>
    <t>80 236 АСА</t>
  </si>
  <si>
    <t>90 N 371 BB</t>
  </si>
  <si>
    <t>90 681 FBA</t>
  </si>
  <si>
    <t>90 995 CBA</t>
  </si>
  <si>
    <t>95 552 ABA</t>
  </si>
  <si>
    <t>01 444 LMB</t>
  </si>
  <si>
    <t>90 504 LBA</t>
  </si>
  <si>
    <t>90 453 GBA</t>
  </si>
  <si>
    <t>95 H 630 SA</t>
  </si>
  <si>
    <t>95 K 483 SA</t>
  </si>
  <si>
    <t>95 N 996 RA</t>
  </si>
  <si>
    <t>95 H 375 LA</t>
  </si>
  <si>
    <t>95 717 UAA</t>
  </si>
  <si>
    <t>40 N 508 MB</t>
  </si>
  <si>
    <t>30 485 RBA</t>
  </si>
  <si>
    <t>80 389 TBA</t>
  </si>
  <si>
    <t>90 053 TBA</t>
  </si>
  <si>
    <t>90 590 DBA</t>
  </si>
  <si>
    <t>95 M 747 TA</t>
  </si>
  <si>
    <t>40 054 CB</t>
  </si>
  <si>
    <t>30 H 669 RA</t>
  </si>
  <si>
    <t>30 L 730 KB</t>
  </si>
  <si>
    <t>95 P 473 LA</t>
  </si>
  <si>
    <t>90 753 CBA</t>
  </si>
  <si>
    <t>80 V 908 RA</t>
  </si>
  <si>
    <t>95 M 145 OA</t>
  </si>
  <si>
    <t>80 A 954 EB</t>
  </si>
  <si>
    <t>85 E 613 UA</t>
  </si>
  <si>
    <t>80 W 381 ZA</t>
  </si>
  <si>
    <t>90 873 OBA</t>
  </si>
  <si>
    <t>70 E 180 BB</t>
  </si>
  <si>
    <t>40 J 218 XA</t>
  </si>
  <si>
    <t>90 P 959 ZA</t>
  </si>
  <si>
    <t>ТЕКШИРУВ — АВТОМАТ НАЗОРАТ ПАНЕЛИ</t>
  </si>
  <si>
    <t>🔄  ЯНГИЛАШ</t>
  </si>
  <si>
    <t>Бу варақдаги барча текширувлар формулада — маълумот ўзгарса ўзи ҳисобланади.</t>
  </si>
  <si>
    <t>1. ОШИҚЧА ПОДДОН — қайтарган + тўлаган &gt; олган</t>
  </si>
  <si>
    <t>Агар қиймат янгиланмаса: тугмани босинг ёки Ctrl+Alt+F9 (мажбурий қайта ҳисоб).</t>
  </si>
  <si>
    <t>Олган</t>
  </si>
  <si>
    <t>Ошиқча</t>
  </si>
  <si>
    <t>Изоҳ</t>
  </si>
  <si>
    <t>ИХТИЁРИЙ — тугмани ҳақиқий босиладиган қилиш:</t>
  </si>
  <si>
    <t>Файлни .xlsm шаклида сақланг → Alt+F11 → янги Module → қуйидаги кодни қўйинг:
Sub Янгилаш()
    Application.CalculateFullRebuild
    MsgBox "Текширув янгиланди!", vbInformation
End Sub
Сўнг тугмага ўнг тугма → Assign Macro → Янгилаш</t>
  </si>
  <si>
    <t>2. АВАНС ТЎЛОВ — тўлов товар сотувидан кўп</t>
  </si>
  <si>
    <t>Товар сотуви</t>
  </si>
  <si>
    <t>Аванс</t>
  </si>
  <si>
    <t>3. СПРАВОЧНИКДА ЙЎҚ НОМЛАР — бу рўйхатда ном бўлса, унинг суммаси ҳисобланмаяпти!</t>
  </si>
  <si>
    <t>Мижоз — Товарда</t>
  </si>
  <si>
    <t>Мижоз — Оплатада</t>
  </si>
  <si>
    <t>Мижоз — Поддонда</t>
  </si>
  <si>
    <t>Агент — Товарда</t>
  </si>
  <si>
    <t>Агент — Оплатада</t>
  </si>
  <si>
    <t>Поставшик — Товарда</t>
  </si>
  <si>
    <t>4. ТЎЛИҚСИЗ ҚАТОРЛАР — Товар варағида маълумот тўлиқ бўлмаган</t>
  </si>
  <si>
    <t>Текширув тури</t>
  </si>
  <si>
    <t>Сони</t>
  </si>
  <si>
    <t>Аҳволи</t>
  </si>
  <si>
    <t>Қатор рақамлари</t>
  </si>
  <si>
    <t>Агент бўш</t>
  </si>
  <si>
    <t>Мижоз бўш</t>
  </si>
  <si>
    <t>Дата бўш</t>
  </si>
  <si>
    <t>Сотув нархи 0</t>
  </si>
  <si>
    <t>Куб ҳажми 0</t>
  </si>
  <si>
    <t>Поставшик бўш</t>
  </si>
  <si>
    <t>Тўлов тури бўш</t>
  </si>
  <si>
    <t>Авто расходи нотўғри (Q ≠ Клиент/Сотувчи)</t>
  </si>
  <si>
    <t>5. АГЕНТЛАР ҚОЛДИГИ МУВОЗАНАТИ — сотув ва тўлов фарқи</t>
  </si>
  <si>
    <t>Сотув (мижозга)</t>
  </si>
  <si>
    <t>Қолдиқ</t>
  </si>
  <si>
    <t>90 413 GBA</t>
  </si>
  <si>
    <t>90 Y 617 RA</t>
  </si>
  <si>
    <t>90 W 070 CA</t>
  </si>
  <si>
    <t>90 486 FBA</t>
  </si>
  <si>
    <t>90 844 EBA</t>
  </si>
  <si>
    <t>"PRO MAKS ART STROY" XUSUSIY KORXONA</t>
  </si>
  <si>
    <t>"Ulgurji savdo diyor" MCHJ</t>
  </si>
  <si>
    <t>Хонка Про-Макс</t>
  </si>
  <si>
    <t>Агент (бириктирилган)</t>
  </si>
  <si>
    <t>Агент:</t>
  </si>
  <si>
    <t>КУНЛИК ҲИСОБОТ — ЗАВОД (ПОСТАВШИК)</t>
  </si>
  <si>
    <t>Сана:</t>
  </si>
  <si>
    <t>Завод:</t>
  </si>
  <si>
    <t>СУММА (сўм)</t>
  </si>
  <si>
    <t>Кун бошига қолдиқ (бошланғич)</t>
  </si>
  <si>
    <t>Заводдан олинган товар суммаси</t>
  </si>
  <si>
    <t>ЖАМИ ОЛИНГАН (товар + поддон)</t>
  </si>
  <si>
    <t>Заводга қилинган тўлов</t>
  </si>
  <si>
    <t>КУН ОҲИРИГА ҚОЛДИҚ</t>
  </si>
  <si>
    <t>ШУ КУНДАГИ ҚЎШИМЧА МАЪЛУМОТ</t>
  </si>
  <si>
    <t>Олинган миқдор (куб)</t>
  </si>
  <si>
    <t>Олинган поддон (дона)</t>
  </si>
  <si>
    <t>Машина (ёзув) сони</t>
  </si>
  <si>
    <t>Тўлов ёзувлари сони</t>
  </si>
  <si>
    <t>Қайтарилган поддон (дона)</t>
  </si>
  <si>
    <t>Қайтарилган поддон суммаси</t>
  </si>
  <si>
    <t>Поддон қайтариш харажати</t>
  </si>
  <si>
    <t>ЖАМИ ҲИСОБГА ОЛИНГАН (тўлов + поддон + харажат)</t>
  </si>
  <si>
    <t>Поддондаги қарзимиз (дона, кун охирига)</t>
  </si>
  <si>
    <t>ТЕКШИРУВ — АКТ (УМУМИЙ) БИЛАН СОЛИШТИРИШ</t>
  </si>
  <si>
    <t>Акт (умумий) танланган ой охири</t>
  </si>
  <si>
    <t>Акт бўйича қолдиқ (Касса + Переч)</t>
  </si>
  <si>
    <t>ФАРҚ (шу варақ − Акт)</t>
  </si>
  <si>
    <t>Акт бўйича поддон қарзи (дона)</t>
  </si>
  <si>
    <t>ФАРҚ (поддон, дона)</t>
  </si>
  <si>
    <t>Манфий (қизил) = биз заводга қарздормиз  |  Мусбат = ортиқча тўлаганмиз (аванс).  Қайтарилган поддон суммаси = дона × Кўрсаткичлар!B4; қайтариш харажати ҳам завод ҳисобига олинади (Акт умумий билан бир хил).</t>
  </si>
  <si>
    <t>ЗАВОД</t>
  </si>
  <si>
    <t>Кун бошига қолдиқ</t>
  </si>
  <si>
    <t>Заводга тўлов</t>
  </si>
  <si>
    <t>Қайт. поддон (дона)</t>
  </si>
  <si>
    <t>Қайт. поддон суммаси</t>
  </si>
  <si>
    <t>Қайтариш харажати</t>
  </si>
  <si>
    <t>ЖАМИ ҲИСОБГА ОЛИНГАН</t>
  </si>
  <si>
    <t>Поддон қарзи (дона)</t>
  </si>
  <si>
    <t>ТЕКШИРУВ: Акт (умумий) бўйича ЖАМИ қолдиқ (ой охирига)</t>
  </si>
  <si>
    <t>ФАРҚ (жами қолдиқ − Акт)</t>
  </si>
  <si>
    <t>ФАРҚ (поддон қарзи, дона)</t>
  </si>
  <si>
    <t>90 O 757 PP</t>
  </si>
  <si>
    <t>90 988 EBA</t>
  </si>
  <si>
    <t>80 833 HBA</t>
  </si>
  <si>
    <t>80 225 ХBA</t>
  </si>
  <si>
    <t>80 225 ACA</t>
  </si>
  <si>
    <t>90 Y 150 YY</t>
  </si>
  <si>
    <t>назарбой жасур курилиш</t>
  </si>
  <si>
    <t>Кодири Контукшн</t>
  </si>
  <si>
    <t>PRESTIGE CITY MCHJ</t>
  </si>
  <si>
    <t>  90 М 600 ММ</t>
  </si>
  <si>
    <t>Агент улуши (KPI):</t>
  </si>
  <si>
    <t>Фирма улуши (фойда):</t>
  </si>
  <si>
    <t>1-ЖАДВАЛ: ТАНЛАНГАН ОЙ БЎЙИЧА</t>
  </si>
  <si>
    <t>Сотган миқдор (куб)</t>
  </si>
  <si>
    <t>Фойда (сўм)</t>
  </si>
  <si>
    <t>Солиқ нархи (1 куб)</t>
  </si>
  <si>
    <t>Солиқ суммаси</t>
  </si>
  <si>
    <t>Соф фойда (фойда − солиқ)</t>
  </si>
  <si>
    <t>Агент KPI (1/3)</t>
  </si>
  <si>
    <t>Фирма фойдаси (2/3)</t>
  </si>
  <si>
    <t>2-ЖАДВАЛ: БУТУН ДАВР БЎЙИЧА (барча ойлар)</t>
  </si>
  <si>
    <t>ИЗОҲ: Солиқ суммаси = сотган куб × солиқ нархи · Соф фойда = Фойда − Солиқ · Агент KPI = Соф фойда × 1/3 · Фирма фойдаси = Соф фойда × 2/3 · Манба: Товар варағи (H — куб, R — фойда, U — агент, E — сана)</t>
  </si>
  <si>
    <t>Солиқ нархи (1 куб учун, сўм):</t>
  </si>
  <si>
    <t>Ойлар рўйхати (ёрдамчи)</t>
  </si>
  <si>
    <t>Сотган 
миқдор (куб)</t>
  </si>
  <si>
    <t>Соф фойда 
(фойда − солиқ)</t>
  </si>
  <si>
    <t>Агент текшируви</t>
  </si>
  <si>
    <t>Рухсат этилган агент</t>
  </si>
  <si>
    <t>3-ЖАДВАЛ: ТАНЛАНГАН ОЙ — КУНЛИК КЕСИМДА</t>
  </si>
  <si>
    <t>Сана</t>
  </si>
  <si>
    <t>Текширув: 1-жадвал билан фарқ (куб / фойда)</t>
  </si>
  <si>
    <t>40 498 XBA</t>
  </si>
  <si>
    <t>40 A 944 NB</t>
  </si>
  <si>
    <t>Jami 29 ta. 8 tasi boshqa paddon, 2 tasi siniq</t>
  </si>
  <si>
    <t>ПОДДОН ҚОЛДИҒИ</t>
  </si>
  <si>
    <t>Мижозлардан келган поддон сони</t>
  </si>
  <si>
    <t>Заводга қайтарилган поддон сони</t>
  </si>
  <si>
    <t>Қолдиқ (қайтарилмаган) поддон</t>
  </si>
  <si>
    <t>Қайтариш фоизи</t>
  </si>
  <si>
    <t>OLMOS BUNYOD МЧЖ</t>
  </si>
  <si>
    <t>90 С 071 VA</t>
  </si>
  <si>
    <t>90 S 562 AB</t>
  </si>
  <si>
    <t>90 Y 617 PA</t>
  </si>
  <si>
    <t>90 R 114 PA</t>
  </si>
  <si>
    <t>90 555 NAA</t>
  </si>
  <si>
    <t>Ифтихор Х/К</t>
  </si>
  <si>
    <t>80 032 ZBA</t>
  </si>
  <si>
    <t>95 L 001 SA</t>
  </si>
  <si>
    <t>90 520 JBA</t>
  </si>
  <si>
    <t>90 035 HBA</t>
  </si>
  <si>
    <t>90 049 GBA</t>
  </si>
  <si>
    <t>90 J 020LA</t>
  </si>
  <si>
    <t>"YANGI MASSIV UYLARI" MCHJ</t>
  </si>
  <si>
    <t>90 902 NBA</t>
  </si>
  <si>
    <t>90 958 GBA</t>
  </si>
  <si>
    <t>90 108 KBA</t>
  </si>
  <si>
    <t>85 440 DBA</t>
  </si>
  <si>
    <t>80 002 ZBA</t>
  </si>
  <si>
    <t>ИЗОҲ: Vozvrat Paddon сумма = қайтарилган дона × поддон нархи (Кўрсаткичлар!B4), «Тўлов тури» бўйича Касса/Переч га ажратилади. Қайтариш харажати (Поддон қайтариш заводга варағи) тўлов туридан қатъи назар доим ТУШУМ Касса га қўшилади.</t>
  </si>
  <si>
    <t>NO WAY MCHJ Турткул</t>
  </si>
  <si>
    <t>NO WAY MCHJ</t>
  </si>
  <si>
    <t>Столбец1</t>
  </si>
  <si>
    <t>Сухроб 00-00</t>
  </si>
  <si>
    <t>90 851 NBA</t>
  </si>
  <si>
    <t>MIYATA MCHJ</t>
  </si>
  <si>
    <t>95 O 887 SA</t>
  </si>
  <si>
    <t>40 Z 358 MA</t>
  </si>
  <si>
    <t>70 N 065 KB</t>
  </si>
  <si>
    <t>80 704 ТВA</t>
  </si>
  <si>
    <t>90 127 DBA</t>
  </si>
  <si>
    <t>80 639 MBA</t>
  </si>
  <si>
    <t>Возврат</t>
  </si>
  <si>
    <t>90 M 265 PA</t>
  </si>
  <si>
    <t>90 930 OBA</t>
  </si>
  <si>
    <t>95 C 859 UA</t>
  </si>
  <si>
    <t>90 952 LBA</t>
  </si>
  <si>
    <t>40 592 OCA</t>
  </si>
  <si>
    <t>90 V 923 OA</t>
  </si>
  <si>
    <t>80 672 GCA</t>
  </si>
  <si>
    <t>80 701 UBA</t>
  </si>
  <si>
    <t>paddon puli astatkasina qoshiladi</t>
  </si>
  <si>
    <t>95 748 LBA</t>
  </si>
  <si>
    <t>95 L 489 UA</t>
  </si>
  <si>
    <t>Фаррух 85-88</t>
  </si>
  <si>
    <t>95 194 IBA</t>
  </si>
  <si>
    <t>Бобур чакка</t>
  </si>
  <si>
    <t>90 840 FBA</t>
  </si>
  <si>
    <t>90 510 NBA</t>
  </si>
  <si>
    <t>95 L 274 UA</t>
  </si>
  <si>
    <t>01 461 WNA</t>
  </si>
  <si>
    <t>90 Y617RA</t>
  </si>
  <si>
    <t>90 352 HBA</t>
  </si>
  <si>
    <t>90 S 337 CA</t>
  </si>
  <si>
    <t>70 B 126 WA</t>
  </si>
  <si>
    <t>85 095 KBA</t>
  </si>
  <si>
    <t>30 F 942 AM</t>
  </si>
  <si>
    <t>БРАК кабул ыилмадилар</t>
  </si>
  <si>
    <t>EXPRESS GOLDEN HOUSE Оилавий корхонаси</t>
  </si>
  <si>
    <t>80 908 RA</t>
  </si>
  <si>
    <t>90 023 GBA</t>
  </si>
  <si>
    <t>90 N 365 BB</t>
  </si>
  <si>
    <t>6шт брак</t>
  </si>
  <si>
    <t>5шт брак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</si>
</sst>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#,##0.000"/>
    <numFmt numFmtId="165" formatCode="[$-F800]dddd\,\ mmmm\ dd\,\ yyyy"/>
    <numFmt numFmtId="166" formatCode="0.0%"/>
    <numFmt numFmtId="167" formatCode="dd\.mm\.yyyy"/>
    <numFmt numFmtId="168" formatCode="#,##0;\(#,##0\);\-"/>
    <numFmt numFmtId="169" formatCode="[Color10]\+#,##0;[Red]\-#,##0;\-"/>
    <numFmt numFmtId="170" formatCode="#,##0;\(#,##0\);\-\ &quot;сўм&quot;"/>
    <numFmt numFmtId="171" formatCode="mmmm\ yyyy"/>
    <numFmt numFmtId="172" formatCode="#,##0.00;;\-"/>
    <numFmt numFmtId="173" formatCode="#,##0;;\-"/>
    <numFmt numFmtId="174" formatCode="[Color10]#,##0;[Red]\-#,##0;\-"/>
    <numFmt numFmtId="175" formatCode="0.0%;;\-"/>
    <numFmt numFmtId="176" formatCode="#,##0.000;[Red]\-#,##0.000;\-"/>
    <numFmt numFmtId="177" formatCode="#,##0;[Red]\-#,##0;\-"/>
    <numFmt numFmtId="178" formatCode="0.0%;[Red]\-0.0%;\-"/>
    <numFmt numFmtId="179" formatCode="#,##0.00;[Red]\-#,##0.00;\-"/>
  </numFmts>
  <fonts count="72" x14ac:knownFonts="1"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8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9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theme="1"/>
      <name val="Arial"/>
      <family val="2"/>
      <charset val="204"/>
    </font>
    <font>
      <sz val="14"/>
      <color theme="1"/>
      <name val="Arial"/>
      <family val="2"/>
      <charset val="204"/>
    </font>
    <font>
      <sz val="11"/>
      <color theme="0"/>
      <name val="Arial"/>
      <family val="2"/>
      <charset val="204"/>
    </font>
    <font>
      <b/>
      <sz val="9"/>
      <color theme="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9"/>
      <color rgb="FFFF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4"/>
      <color rgb="FFFFFFFF"/>
      <name val="Aptos Narrow"/>
      <family val="2"/>
      <charset val="204"/>
      <scheme val="minor"/>
    </font>
    <font>
      <sz val="11"/>
      <color rgb="FF0000FF"/>
      <name val="Aptos Narrow"/>
      <family val="2"/>
      <charset val="204"/>
      <scheme val="minor"/>
    </font>
    <font>
      <sz val="11"/>
      <color rgb="FF808080"/>
      <name val="Aptos Narrow"/>
      <family val="2"/>
      <charset val="204"/>
      <scheme val="minor"/>
    </font>
    <font>
      <i/>
      <sz val="11"/>
      <color rgb="FF808080"/>
      <name val="Aptos Narrow"/>
      <family val="2"/>
      <charset val="204"/>
      <scheme val="minor"/>
    </font>
    <font>
      <sz val="12"/>
      <color rgb="FF0000FF"/>
      <name val="Aptos Narrow"/>
      <family val="2"/>
      <charset val="204"/>
      <scheme val="minor"/>
    </font>
    <font>
      <b/>
      <sz val="12"/>
      <color rgb="FF0000FF"/>
      <name val="Aptos Narrow"/>
      <family val="2"/>
      <charset val="204"/>
      <scheme val="minor"/>
    </font>
    <font>
      <b/>
      <sz val="12"/>
      <color theme="1"/>
      <name val="Aptos Narrow"/>
      <family val="2"/>
      <charset val="204"/>
      <scheme val="minor"/>
    </font>
    <font>
      <b/>
      <sz val="12"/>
      <color rgb="FFFFFFFF"/>
      <name val="Aptos Narrow"/>
      <family val="2"/>
      <charset val="204"/>
      <scheme val="minor"/>
    </font>
    <font>
      <i/>
      <sz val="11"/>
      <color rgb="FFC00000"/>
      <name val="Aptos Narrow"/>
      <family val="2"/>
      <charset val="204"/>
      <scheme val="minor"/>
    </font>
    <font>
      <i/>
      <sz val="9"/>
      <color rgb="FF808080"/>
      <name val="Aptos Narrow"/>
      <family val="2"/>
      <charset val="204"/>
      <scheme val="minor"/>
    </font>
    <font>
      <b/>
      <i/>
      <sz val="9"/>
      <color rgb="FF808080"/>
      <name val="Aptos Narrow"/>
      <family val="2"/>
      <charset val="204"/>
      <scheme val="minor"/>
    </font>
    <font>
      <b/>
      <sz val="16"/>
      <color rgb="FFFFFFFF"/>
      <name val="Aptos Narrow"/>
      <family val="2"/>
      <charset val="204"/>
      <scheme val="minor"/>
    </font>
    <font>
      <sz val="8"/>
      <color rgb="FFBFBFBF"/>
      <name val="Aptos Narrow"/>
      <family val="2"/>
      <charset val="204"/>
      <scheme val="minor"/>
    </font>
    <font>
      <b/>
      <sz val="11"/>
      <color rgb="FF0000FF"/>
      <name val="Aptos Narrow"/>
      <family val="2"/>
      <charset val="204"/>
      <scheme val="minor"/>
    </font>
    <font>
      <b/>
      <sz val="11"/>
      <name val="Aptos Narrow"/>
      <family val="2"/>
      <charset val="204"/>
      <scheme val="minor"/>
    </font>
    <font>
      <b/>
      <sz val="9"/>
      <color indexed="81"/>
      <name val="Tahoma"/>
      <family val="2"/>
      <charset val="204"/>
    </font>
    <font>
      <b/>
      <sz val="24"/>
      <name val="Arial"/>
      <family val="2"/>
    </font>
    <font>
      <sz val="14"/>
      <name val="Arial"/>
      <family val="2"/>
      <charset val="204"/>
    </font>
    <font>
      <sz val="11"/>
      <name val="Aptos Narrow"/>
      <family val="2"/>
      <charset val="204"/>
      <scheme val="minor"/>
    </font>
    <font>
      <sz val="10"/>
      <color rgb="FF808080"/>
      <name val="Aptos Narrow"/>
      <family val="2"/>
      <charset val="204"/>
      <scheme val="minor"/>
    </font>
    <font>
      <i/>
      <sz val="10"/>
      <color rgb="FF808080"/>
      <name val="Aptos Narrow"/>
      <family val="2"/>
      <charset val="204"/>
      <scheme val="minor"/>
    </font>
    <font>
      <sz val="11"/>
      <color rgb="FFC00000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i/>
      <sz val="10"/>
      <color rgb="FF375623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sz val="9"/>
      <color rgb="FF595959"/>
      <name val="Aptos Narrow"/>
      <family val="2"/>
      <charset val="204"/>
      <scheme val="minor"/>
    </font>
    <font>
      <b/>
      <sz val="11"/>
      <color theme="0"/>
      <name val="Arial"/>
      <family val="2"/>
      <charset val="204"/>
    </font>
    <font>
      <sz val="9"/>
      <color theme="0"/>
      <name val="Arial"/>
      <family val="2"/>
      <charset val="204"/>
    </font>
    <font>
      <b/>
      <sz val="11"/>
      <color rgb="FF008000"/>
      <name val="Aptos Narrow"/>
      <family val="2"/>
      <charset val="204"/>
      <scheme val="minor"/>
    </font>
    <font>
      <b/>
      <sz val="14"/>
      <color rgb="FFFFFFFF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FFFFFF"/>
      <name val="Aptos Narrow"/>
      <family val="2"/>
      <charset val="204"/>
      <scheme val="minor"/>
    </font>
    <font>
      <b/>
      <sz val="13"/>
      <color rgb="FFFFFFFF"/>
      <name val="Aptos Narrow"/>
      <family val="2"/>
      <charset val="204"/>
      <scheme val="minor"/>
    </font>
    <font>
      <i/>
      <sz val="11"/>
      <color rgb="FF595959"/>
      <name val="Aptos Narrow"/>
      <family val="2"/>
      <charset val="204"/>
      <scheme val="minor"/>
    </font>
    <font>
      <sz val="11"/>
      <color rgb="FF008000"/>
      <name val="Aptos Narrow"/>
      <family val="2"/>
      <charset val="204"/>
      <scheme val="minor"/>
    </font>
    <font>
      <i/>
      <sz val="9"/>
      <color rgb="FF595959"/>
      <name val="Aptos Narrow"/>
      <family val="2"/>
      <charset val="204"/>
      <scheme val="minor"/>
    </font>
    <font>
      <b/>
      <sz val="11"/>
      <color rgb="FFC00000"/>
      <name val="Aptos Narrow"/>
      <family val="2"/>
      <charset val="204"/>
      <scheme val="minor"/>
    </font>
    <font>
      <sz val="11"/>
      <color rgb="FF1F3864"/>
      <name val="Aptos Narrow"/>
      <family val="2"/>
      <charset val="204"/>
      <scheme val="minor"/>
    </font>
    <font>
      <b/>
      <sz val="11"/>
      <color rgb="FF1F3864"/>
      <name val="Aptos Narrow"/>
      <family val="2"/>
      <charset val="204"/>
      <scheme val="minor"/>
    </font>
    <font>
      <i/>
      <sz val="11"/>
      <color theme="1"/>
      <name val="Aptos Narrow"/>
      <family val="2"/>
      <charset val="204"/>
      <scheme val="minor"/>
    </font>
    <font>
      <i/>
      <sz val="11"/>
      <color rgb="FFFFFFFF"/>
      <name val="Aptos Narrow"/>
      <family val="2"/>
      <charset val="204"/>
      <scheme val="minor"/>
    </font>
    <font>
      <b/>
      <sz val="9"/>
      <color rgb="FF808080"/>
      <name val="Aptos Narrow"/>
      <family val="2"/>
      <charset val="204"/>
      <scheme val="minor"/>
    </font>
    <font>
      <sz val="11"/>
      <color rgb="FF808080"/>
      <name val="Arial"/>
      <family val="2"/>
      <charset val="204"/>
    </font>
    <font>
      <sz val="9"/>
      <color rgb="FF808080"/>
      <name val="Arial"/>
      <family val="2"/>
      <charset val="204"/>
    </font>
    <font>
      <b/>
      <sz val="12"/>
      <color rgb="FF1F4E79"/>
      <name val="Aptos Narrow"/>
      <family val="2"/>
      <charset val="204"/>
      <scheme val="minor"/>
    </font>
    <font>
      <sz val="18"/>
      <color theme="1"/>
      <name val="Aptos Narrow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7B3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ck">
        <color rgb="FF006100"/>
      </top>
      <bottom style="thick">
        <color rgb="FF006100"/>
      </bottom>
      <diagonal/>
    </border>
    <border>
      <left style="thick">
        <color rgb="FF006100"/>
      </left>
      <right/>
      <top style="thick">
        <color rgb="FF006100"/>
      </top>
      <bottom style="thick">
        <color rgb="FF006100"/>
      </bottom>
      <diagonal/>
    </border>
    <border>
      <left/>
      <right style="thick">
        <color rgb="FF006100"/>
      </right>
      <top style="thick">
        <color rgb="FF006100"/>
      </top>
      <bottom style="thick">
        <color rgb="FF006100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indexed="64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389">
    <xf numFmtId="0" fontId="0" fillId="0" borderId="0" xfId="0"/>
    <xf numFmtId="0" fontId="5" fillId="0" borderId="0" xfId="0" applyFont="1"/>
    <xf numFmtId="3" fontId="0" fillId="0" borderId="0" xfId="0" applyNumberFormat="1"/>
    <xf numFmtId="3" fontId="5" fillId="0" borderId="0" xfId="0" applyNumberFormat="1" applyFont="1"/>
    <xf numFmtId="3" fontId="8" fillId="0" borderId="0" xfId="0" applyNumberFormat="1" applyFont="1" applyAlignment="1">
      <alignment horizontal="center" vertical="center"/>
    </xf>
    <xf numFmtId="3" fontId="9" fillId="0" borderId="1" xfId="1" applyNumberFormat="1" applyFont="1" applyBorder="1" applyAlignment="1">
      <alignment horizontal="center" vertical="center" wrapText="1"/>
    </xf>
    <xf numFmtId="14" fontId="5" fillId="0" borderId="0" xfId="0" applyNumberFormat="1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3" fontId="7" fillId="0" borderId="0" xfId="0" applyNumberFormat="1" applyFont="1" applyAlignment="1">
      <alignment horizontal="center"/>
    </xf>
    <xf numFmtId="3" fontId="4" fillId="0" borderId="0" xfId="2" applyNumberFormat="1" applyFont="1" applyFill="1" applyAlignment="1">
      <alignment horizont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3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3" fontId="10" fillId="0" borderId="4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3" fontId="4" fillId="2" borderId="0" xfId="0" applyNumberFormat="1" applyFont="1" applyFill="1" applyAlignment="1">
      <alignment horizontal="center"/>
    </xf>
    <xf numFmtId="1" fontId="5" fillId="0" borderId="0" xfId="0" applyNumberFormat="1" applyFont="1"/>
    <xf numFmtId="3" fontId="11" fillId="0" borderId="0" xfId="0" applyNumberFormat="1" applyFont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4" fillId="4" borderId="0" xfId="0" applyNumberFormat="1" applyFont="1" applyFill="1" applyAlignment="1">
      <alignment horizontal="center"/>
    </xf>
    <xf numFmtId="3" fontId="15" fillId="0" borderId="0" xfId="0" applyNumberFormat="1" applyFont="1" applyAlignment="1">
      <alignment horizontal="center"/>
    </xf>
    <xf numFmtId="4" fontId="5" fillId="0" borderId="0" xfId="0" applyNumberFormat="1" applyFont="1"/>
    <xf numFmtId="3" fontId="5" fillId="0" borderId="8" xfId="0" applyNumberFormat="1" applyFont="1" applyBorder="1"/>
    <xf numFmtId="3" fontId="12" fillId="0" borderId="5" xfId="0" applyNumberFormat="1" applyFont="1" applyBorder="1" applyAlignment="1">
      <alignment horizontal="center" vertical="center"/>
    </xf>
    <xf numFmtId="3" fontId="18" fillId="0" borderId="0" xfId="0" applyNumberFormat="1" applyFont="1"/>
    <xf numFmtId="166" fontId="18" fillId="0" borderId="0" xfId="0" applyNumberFormat="1" applyFont="1"/>
    <xf numFmtId="166" fontId="0" fillId="0" borderId="0" xfId="0" applyNumberFormat="1"/>
    <xf numFmtId="0" fontId="14" fillId="8" borderId="0" xfId="0" applyFont="1" applyFill="1"/>
    <xf numFmtId="0" fontId="10" fillId="0" borderId="7" xfId="0" applyFont="1" applyBorder="1" applyAlignment="1">
      <alignment horizontal="center" vertical="center"/>
    </xf>
    <xf numFmtId="167" fontId="0" fillId="0" borderId="0" xfId="0" applyNumberFormat="1"/>
    <xf numFmtId="168" fontId="0" fillId="0" borderId="0" xfId="0" applyNumberFormat="1"/>
    <xf numFmtId="168" fontId="14" fillId="8" borderId="0" xfId="0" applyNumberFormat="1" applyFont="1" applyFill="1"/>
    <xf numFmtId="0" fontId="22" fillId="9" borderId="0" xfId="0" applyFont="1" applyFill="1"/>
    <xf numFmtId="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4" fillId="12" borderId="0" xfId="0" applyFont="1" applyFill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4" borderId="0" xfId="0" applyFont="1" applyFill="1" applyAlignment="1">
      <alignment horizontal="center" vertical="center" wrapText="1"/>
    </xf>
    <xf numFmtId="0" fontId="14" fillId="8" borderId="0" xfId="0" applyFont="1" applyFill="1" applyAlignment="1">
      <alignment horizontal="center" vertical="center" wrapText="1"/>
    </xf>
    <xf numFmtId="169" fontId="0" fillId="0" borderId="0" xfId="0" applyNumberFormat="1"/>
    <xf numFmtId="169" fontId="14" fillId="8" borderId="0" xfId="0" applyNumberFormat="1" applyFont="1" applyFill="1"/>
    <xf numFmtId="169" fontId="0" fillId="9" borderId="0" xfId="0" applyNumberFormat="1" applyFill="1"/>
    <xf numFmtId="169" fontId="14" fillId="9" borderId="0" xfId="0" applyNumberFormat="1" applyFont="1" applyFill="1"/>
    <xf numFmtId="169" fontId="0" fillId="10" borderId="0" xfId="0" applyNumberFormat="1" applyFill="1"/>
    <xf numFmtId="169" fontId="14" fillId="10" borderId="0" xfId="0" applyNumberFormat="1" applyFont="1" applyFill="1"/>
    <xf numFmtId="169" fontId="0" fillId="11" borderId="0" xfId="0" applyNumberFormat="1" applyFill="1"/>
    <xf numFmtId="169" fontId="14" fillId="11" borderId="0" xfId="0" applyNumberFormat="1" applyFont="1" applyFill="1"/>
    <xf numFmtId="0" fontId="25" fillId="0" borderId="0" xfId="0" applyFont="1"/>
    <xf numFmtId="0" fontId="0" fillId="2" borderId="0" xfId="0" applyFill="1"/>
    <xf numFmtId="0" fontId="21" fillId="9" borderId="0" xfId="0" applyFont="1" applyFill="1"/>
    <xf numFmtId="170" fontId="19" fillId="0" borderId="0" xfId="0" applyNumberFormat="1" applyFont="1"/>
    <xf numFmtId="169" fontId="0" fillId="0" borderId="0" xfId="0" applyNumberFormat="1" applyAlignment="1">
      <alignment horizontal="center" vertical="center"/>
    </xf>
    <xf numFmtId="169" fontId="14" fillId="14" borderId="0" xfId="0" applyNumberFormat="1" applyFont="1" applyFill="1"/>
    <xf numFmtId="0" fontId="27" fillId="0" borderId="0" xfId="0" applyFont="1"/>
    <xf numFmtId="4" fontId="14" fillId="8" borderId="0" xfId="0" applyNumberFormat="1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7" fontId="0" fillId="0" borderId="0" xfId="0" applyNumberFormat="1" applyAlignment="1">
      <alignment horizontal="center"/>
    </xf>
    <xf numFmtId="0" fontId="0" fillId="0" borderId="5" xfId="0" applyBorder="1"/>
    <xf numFmtId="0" fontId="14" fillId="8" borderId="5" xfId="0" applyFont="1" applyFill="1" applyBorder="1"/>
    <xf numFmtId="0" fontId="0" fillId="0" borderId="5" xfId="0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69" fontId="14" fillId="8" borderId="5" xfId="0" applyNumberFormat="1" applyFont="1" applyFill="1" applyBorder="1" applyAlignment="1">
      <alignment horizontal="center" vertical="center"/>
    </xf>
    <xf numFmtId="169" fontId="14" fillId="9" borderId="5" xfId="0" applyNumberFormat="1" applyFont="1" applyFill="1" applyBorder="1" applyAlignment="1">
      <alignment horizontal="center" vertical="center"/>
    </xf>
    <xf numFmtId="169" fontId="14" fillId="10" borderId="5" xfId="0" applyNumberFormat="1" applyFont="1" applyFill="1" applyBorder="1" applyAlignment="1">
      <alignment horizontal="center" vertical="center"/>
    </xf>
    <xf numFmtId="3" fontId="14" fillId="8" borderId="5" xfId="0" applyNumberFormat="1" applyFont="1" applyFill="1" applyBorder="1" applyAlignment="1">
      <alignment horizontal="center" vertical="center"/>
    </xf>
    <xf numFmtId="169" fontId="14" fillId="11" borderId="5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0" fillId="0" borderId="1" xfId="0" applyBorder="1"/>
    <xf numFmtId="169" fontId="0" fillId="0" borderId="1" xfId="0" applyNumberFormat="1" applyBorder="1"/>
    <xf numFmtId="169" fontId="0" fillId="9" borderId="1" xfId="0" applyNumberFormat="1" applyFill="1" applyBorder="1"/>
    <xf numFmtId="169" fontId="0" fillId="10" borderId="1" xfId="0" applyNumberFormat="1" applyFill="1" applyBorder="1"/>
    <xf numFmtId="3" fontId="0" fillId="0" borderId="1" xfId="0" applyNumberFormat="1" applyBorder="1"/>
    <xf numFmtId="169" fontId="0" fillId="11" borderId="1" xfId="0" applyNumberFormat="1" applyFill="1" applyBorder="1"/>
    <xf numFmtId="0" fontId="0" fillId="7" borderId="5" xfId="0" applyFill="1" applyBorder="1"/>
    <xf numFmtId="0" fontId="14" fillId="7" borderId="5" xfId="0" applyFont="1" applyFill="1" applyBorder="1"/>
    <xf numFmtId="174" fontId="0" fillId="7" borderId="5" xfId="0" applyNumberFormat="1" applyFill="1" applyBorder="1"/>
    <xf numFmtId="174" fontId="0" fillId="0" borderId="5" xfId="0" applyNumberFormat="1" applyBorder="1"/>
    <xf numFmtId="172" fontId="0" fillId="0" borderId="5" xfId="0" applyNumberFormat="1" applyBorder="1"/>
    <xf numFmtId="173" fontId="0" fillId="0" borderId="5" xfId="0" applyNumberFormat="1" applyBorder="1"/>
    <xf numFmtId="0" fontId="0" fillId="9" borderId="5" xfId="0" applyFill="1" applyBorder="1"/>
    <xf numFmtId="0" fontId="14" fillId="9" borderId="5" xfId="0" applyFont="1" applyFill="1" applyBorder="1"/>
    <xf numFmtId="174" fontId="0" fillId="9" borderId="5" xfId="0" applyNumberFormat="1" applyFill="1" applyBorder="1"/>
    <xf numFmtId="0" fontId="14" fillId="14" borderId="5" xfId="0" applyFont="1" applyFill="1" applyBorder="1"/>
    <xf numFmtId="174" fontId="14" fillId="14" borderId="5" xfId="0" applyNumberFormat="1" applyFont="1" applyFill="1" applyBorder="1"/>
    <xf numFmtId="0" fontId="29" fillId="0" borderId="0" xfId="0" applyFont="1"/>
    <xf numFmtId="174" fontId="0" fillId="10" borderId="5" xfId="0" applyNumberFormat="1" applyFill="1" applyBorder="1"/>
    <xf numFmtId="174" fontId="14" fillId="8" borderId="5" xfId="0" applyNumberFormat="1" applyFont="1" applyFill="1" applyBorder="1"/>
    <xf numFmtId="172" fontId="14" fillId="8" borderId="5" xfId="0" applyNumberFormat="1" applyFont="1" applyFill="1" applyBorder="1"/>
    <xf numFmtId="173" fontId="14" fillId="8" borderId="5" xfId="0" applyNumberFormat="1" applyFont="1" applyFill="1" applyBorder="1"/>
    <xf numFmtId="174" fontId="14" fillId="18" borderId="5" xfId="0" applyNumberFormat="1" applyFont="1" applyFill="1" applyBorder="1"/>
    <xf numFmtId="0" fontId="0" fillId="0" borderId="5" xfId="0" applyBorder="1" applyAlignment="1">
      <alignment horizontal="left"/>
    </xf>
    <xf numFmtId="0" fontId="14" fillId="8" borderId="5" xfId="0" applyFont="1" applyFill="1" applyBorder="1" applyAlignment="1">
      <alignment horizontal="left"/>
    </xf>
    <xf numFmtId="0" fontId="31" fillId="7" borderId="0" xfId="0" applyFont="1" applyFill="1" applyAlignment="1">
      <alignment horizontal="center" wrapText="1"/>
    </xf>
    <xf numFmtId="171" fontId="30" fillId="9" borderId="0" xfId="0" applyNumberFormat="1" applyFont="1" applyFill="1" applyAlignment="1">
      <alignment horizontal="center" vertical="center"/>
    </xf>
    <xf numFmtId="0" fontId="14" fillId="10" borderId="5" xfId="0" applyFont="1" applyFill="1" applyBorder="1"/>
    <xf numFmtId="174" fontId="14" fillId="10" borderId="5" xfId="0" applyNumberFormat="1" applyFont="1" applyFill="1" applyBorder="1"/>
    <xf numFmtId="172" fontId="14" fillId="10" borderId="5" xfId="0" applyNumberFormat="1" applyFont="1" applyFill="1" applyBorder="1"/>
    <xf numFmtId="173" fontId="14" fillId="10" borderId="5" xfId="0" applyNumberFormat="1" applyFont="1" applyFill="1" applyBorder="1"/>
    <xf numFmtId="174" fontId="14" fillId="20" borderId="5" xfId="0" applyNumberFormat="1" applyFont="1" applyFill="1" applyBorder="1"/>
    <xf numFmtId="0" fontId="14" fillId="21" borderId="5" xfId="0" applyFont="1" applyFill="1" applyBorder="1"/>
    <xf numFmtId="174" fontId="14" fillId="21" borderId="5" xfId="0" applyNumberFormat="1" applyFont="1" applyFill="1" applyBorder="1"/>
    <xf numFmtId="172" fontId="14" fillId="21" borderId="5" xfId="0" applyNumberFormat="1" applyFont="1" applyFill="1" applyBorder="1"/>
    <xf numFmtId="173" fontId="14" fillId="21" borderId="5" xfId="0" applyNumberFormat="1" applyFont="1" applyFill="1" applyBorder="1"/>
    <xf numFmtId="0" fontId="0" fillId="21" borderId="5" xfId="0" applyFill="1" applyBorder="1"/>
    <xf numFmtId="174" fontId="0" fillId="21" borderId="5" xfId="0" applyNumberFormat="1" applyFill="1" applyBorder="1"/>
    <xf numFmtId="172" fontId="0" fillId="21" borderId="5" xfId="0" applyNumberFormat="1" applyFill="1" applyBorder="1"/>
    <xf numFmtId="173" fontId="0" fillId="21" borderId="5" xfId="0" applyNumberFormat="1" applyFill="1" applyBorder="1"/>
    <xf numFmtId="174" fontId="0" fillId="8" borderId="5" xfId="0" applyNumberFormat="1" applyFill="1" applyBorder="1"/>
    <xf numFmtId="0" fontId="14" fillId="21" borderId="5" xfId="0" applyFont="1" applyFill="1" applyBorder="1" applyAlignment="1">
      <alignment horizontal="left"/>
    </xf>
    <xf numFmtId="0" fontId="0" fillId="21" borderId="5" xfId="0" applyFill="1" applyBorder="1" applyAlignment="1">
      <alignment horizontal="left"/>
    </xf>
    <xf numFmtId="0" fontId="14" fillId="10" borderId="5" xfId="0" applyFont="1" applyFill="1" applyBorder="1" applyAlignment="1">
      <alignment horizontal="left"/>
    </xf>
    <xf numFmtId="3" fontId="0" fillId="0" borderId="0" xfId="0" applyNumberFormat="1" applyAlignment="1">
      <alignment horizontal="right"/>
    </xf>
    <xf numFmtId="14" fontId="15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3" fontId="15" fillId="2" borderId="0" xfId="0" applyNumberFormat="1" applyFont="1" applyFill="1" applyAlignment="1">
      <alignment horizontal="center"/>
    </xf>
    <xf numFmtId="0" fontId="14" fillId="11" borderId="0" xfId="0" applyFont="1" applyFill="1" applyAlignment="1">
      <alignment horizont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12" fillId="0" borderId="0" xfId="0" applyFont="1"/>
    <xf numFmtId="3" fontId="12" fillId="0" borderId="0" xfId="0" applyNumberFormat="1" applyFont="1"/>
    <xf numFmtId="3" fontId="34" fillId="0" borderId="0" xfId="0" applyNumberFormat="1" applyFont="1" applyAlignment="1">
      <alignment horizontal="center" vertical="center"/>
    </xf>
    <xf numFmtId="164" fontId="34" fillId="0" borderId="0" xfId="0" applyNumberFormat="1" applyFont="1" applyAlignment="1">
      <alignment horizontal="center" vertical="center"/>
    </xf>
    <xf numFmtId="0" fontId="12" fillId="0" borderId="5" xfId="0" applyFont="1" applyBorder="1"/>
    <xf numFmtId="164" fontId="12" fillId="0" borderId="5" xfId="0" applyNumberFormat="1" applyFont="1" applyBorder="1" applyAlignment="1">
      <alignment horizontal="center" vertical="center"/>
    </xf>
    <xf numFmtId="3" fontId="12" fillId="0" borderId="4" xfId="0" applyNumberFormat="1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/>
    </xf>
    <xf numFmtId="0" fontId="12" fillId="0" borderId="5" xfId="0" applyFont="1" applyBorder="1" applyAlignment="1">
      <alignment horizontal="left" vertical="center"/>
    </xf>
    <xf numFmtId="3" fontId="12" fillId="0" borderId="6" xfId="0" applyNumberFormat="1" applyFont="1" applyBorder="1" applyAlignment="1">
      <alignment horizontal="center" vertical="center"/>
    </xf>
    <xf numFmtId="14" fontId="12" fillId="0" borderId="0" xfId="0" applyNumberFormat="1" applyFont="1"/>
    <xf numFmtId="164" fontId="12" fillId="0" borderId="0" xfId="0" applyNumberFormat="1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24" fillId="22" borderId="0" xfId="0" applyFont="1" applyFill="1"/>
    <xf numFmtId="0" fontId="14" fillId="9" borderId="0" xfId="0" applyFont="1" applyFill="1" applyAlignment="1">
      <alignment horizontal="center"/>
    </xf>
    <xf numFmtId="168" fontId="14" fillId="0" borderId="0" xfId="0" applyNumberFormat="1" applyFont="1"/>
    <xf numFmtId="0" fontId="14" fillId="8" borderId="0" xfId="0" applyFont="1" applyFill="1" applyAlignment="1">
      <alignment horizontal="center"/>
    </xf>
    <xf numFmtId="0" fontId="38" fillId="0" borderId="0" xfId="0" applyFont="1"/>
    <xf numFmtId="175" fontId="0" fillId="0" borderId="0" xfId="0" applyNumberFormat="1"/>
    <xf numFmtId="0" fontId="39" fillId="0" borderId="0" xfId="0" applyFont="1"/>
    <xf numFmtId="175" fontId="14" fillId="8" borderId="0" xfId="0" applyNumberFormat="1" applyFont="1" applyFill="1"/>
    <xf numFmtId="3" fontId="15" fillId="4" borderId="0" xfId="0" applyNumberFormat="1" applyFont="1" applyFill="1" applyAlignment="1">
      <alignment horizontal="center"/>
    </xf>
    <xf numFmtId="3" fontId="7" fillId="4" borderId="0" xfId="0" applyNumberFormat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2" fillId="9" borderId="0" xfId="0" applyFont="1" applyFill="1" applyAlignment="1">
      <alignment horizontal="center"/>
    </xf>
    <xf numFmtId="171" fontId="22" fillId="9" borderId="0" xfId="0" applyNumberFormat="1" applyFont="1" applyFill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/>
    <xf numFmtId="14" fontId="11" fillId="0" borderId="5" xfId="0" applyNumberFormat="1" applyFont="1" applyBorder="1" applyAlignment="1">
      <alignment horizontal="center" vertical="center"/>
    </xf>
    <xf numFmtId="3" fontId="11" fillId="0" borderId="5" xfId="0" applyNumberFormat="1" applyFont="1" applyBorder="1" applyAlignment="1">
      <alignment horizontal="center" vertical="center"/>
    </xf>
    <xf numFmtId="164" fontId="11" fillId="0" borderId="5" xfId="0" applyNumberFormat="1" applyFont="1" applyBorder="1" applyAlignment="1">
      <alignment horizontal="center" vertical="center"/>
    </xf>
    <xf numFmtId="0" fontId="14" fillId="7" borderId="0" xfId="0" applyFont="1" applyFill="1"/>
    <xf numFmtId="0" fontId="17" fillId="6" borderId="0" xfId="0" applyFont="1" applyFill="1"/>
    <xf numFmtId="0" fontId="14" fillId="0" borderId="0" xfId="0" applyFont="1"/>
    <xf numFmtId="0" fontId="20" fillId="0" borderId="0" xfId="0" applyFont="1"/>
    <xf numFmtId="0" fontId="0" fillId="8" borderId="0" xfId="0" applyFill="1"/>
    <xf numFmtId="3" fontId="9" fillId="0" borderId="2" xfId="1" applyNumberFormat="1" applyFont="1" applyBorder="1" applyAlignment="1">
      <alignment horizontal="center" vertical="center" wrapText="1"/>
    </xf>
    <xf numFmtId="0" fontId="43" fillId="0" borderId="2" xfId="0" applyFont="1" applyBorder="1" applyAlignment="1">
      <alignment horizontal="center" vertical="center" wrapText="1"/>
    </xf>
    <xf numFmtId="14" fontId="43" fillId="0" borderId="3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3" fontId="43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wrapText="1"/>
    </xf>
    <xf numFmtId="0" fontId="14" fillId="7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14" fillId="11" borderId="5" xfId="0" applyFont="1" applyFill="1" applyBorder="1" applyAlignment="1">
      <alignment horizontal="center" vertical="center" wrapText="1"/>
    </xf>
    <xf numFmtId="0" fontId="14" fillId="17" borderId="5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3" fontId="12" fillId="4" borderId="5" xfId="0" applyNumberFormat="1" applyFont="1" applyFill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3" fontId="6" fillId="4" borderId="5" xfId="0" applyNumberFormat="1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5" xfId="0" applyFont="1" applyFill="1" applyBorder="1"/>
    <xf numFmtId="14" fontId="12" fillId="2" borderId="5" xfId="0" applyNumberFormat="1" applyFont="1" applyFill="1" applyBorder="1" applyAlignment="1">
      <alignment horizontal="center" vertical="center"/>
    </xf>
    <xf numFmtId="3" fontId="12" fillId="2" borderId="5" xfId="0" applyNumberFormat="1" applyFont="1" applyFill="1" applyBorder="1" applyAlignment="1">
      <alignment horizontal="center" vertical="center"/>
    </xf>
    <xf numFmtId="164" fontId="12" fillId="2" borderId="5" xfId="0" applyNumberFormat="1" applyFont="1" applyFill="1" applyBorder="1" applyAlignment="1">
      <alignment horizontal="center" vertical="center"/>
    </xf>
    <xf numFmtId="4" fontId="4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4" fillId="0" borderId="0" xfId="0" applyNumberFormat="1" applyFont="1" applyAlignment="1">
      <alignment horizontal="center"/>
    </xf>
    <xf numFmtId="4" fontId="7" fillId="0" borderId="0" xfId="0" applyNumberFormat="1" applyFont="1" applyAlignment="1">
      <alignment horizontal="center"/>
    </xf>
    <xf numFmtId="0" fontId="44" fillId="0" borderId="7" xfId="0" applyFont="1" applyBorder="1" applyAlignment="1">
      <alignment horizontal="center"/>
    </xf>
    <xf numFmtId="0" fontId="14" fillId="0" borderId="0" xfId="0" applyFont="1" applyAlignment="1">
      <alignment horizontal="right"/>
    </xf>
    <xf numFmtId="0" fontId="45" fillId="0" borderId="0" xfId="0" applyFont="1"/>
    <xf numFmtId="0" fontId="13" fillId="0" borderId="0" xfId="0" applyFont="1"/>
    <xf numFmtId="0" fontId="13" fillId="7" borderId="5" xfId="0" applyFont="1" applyFill="1" applyBorder="1" applyAlignment="1">
      <alignment horizontal="center"/>
    </xf>
    <xf numFmtId="0" fontId="48" fillId="0" borderId="5" xfId="0" applyFont="1" applyBorder="1"/>
    <xf numFmtId="177" fontId="48" fillId="0" borderId="5" xfId="0" applyNumberFormat="1" applyFont="1" applyBorder="1"/>
    <xf numFmtId="0" fontId="13" fillId="9" borderId="5" xfId="0" applyFont="1" applyFill="1" applyBorder="1"/>
    <xf numFmtId="177" fontId="13" fillId="9" borderId="5" xfId="0" applyNumberFormat="1" applyFont="1" applyFill="1" applyBorder="1"/>
    <xf numFmtId="176" fontId="48" fillId="0" borderId="5" xfId="0" applyNumberFormat="1" applyFont="1" applyBorder="1"/>
    <xf numFmtId="0" fontId="52" fillId="21" borderId="0" xfId="0" applyFont="1" applyFill="1"/>
    <xf numFmtId="0" fontId="48" fillId="0" borderId="6" xfId="0" applyFont="1" applyBorder="1"/>
    <xf numFmtId="177" fontId="48" fillId="0" borderId="6" xfId="0" applyNumberFormat="1" applyFont="1" applyBorder="1"/>
    <xf numFmtId="0" fontId="52" fillId="21" borderId="15" xfId="0" applyFont="1" applyFill="1" applyBorder="1"/>
    <xf numFmtId="177" fontId="52" fillId="21" borderId="15" xfId="0" applyNumberFormat="1" applyFont="1" applyFill="1" applyBorder="1"/>
    <xf numFmtId="0" fontId="53" fillId="9" borderId="15" xfId="0" applyFont="1" applyFill="1" applyBorder="1"/>
    <xf numFmtId="177" fontId="53" fillId="9" borderId="15" xfId="0" applyNumberFormat="1" applyFont="1" applyFill="1" applyBorder="1"/>
    <xf numFmtId="0" fontId="53" fillId="11" borderId="15" xfId="0" applyFont="1" applyFill="1" applyBorder="1"/>
    <xf numFmtId="177" fontId="53" fillId="11" borderId="15" xfId="0" applyNumberFormat="1" applyFont="1" applyFill="1" applyBorder="1"/>
    <xf numFmtId="0" fontId="53" fillId="7" borderId="15" xfId="0" applyFont="1" applyFill="1" applyBorder="1"/>
    <xf numFmtId="177" fontId="53" fillId="7" borderId="15" xfId="0" applyNumberFormat="1" applyFont="1" applyFill="1" applyBorder="1"/>
    <xf numFmtId="167" fontId="52" fillId="21" borderId="15" xfId="0" applyNumberFormat="1" applyFont="1" applyFill="1" applyBorder="1"/>
    <xf numFmtId="0" fontId="53" fillId="10" borderId="15" xfId="0" applyFont="1" applyFill="1" applyBorder="1"/>
    <xf numFmtId="177" fontId="53" fillId="10" borderId="15" xfId="0" applyNumberFormat="1" applyFont="1" applyFill="1" applyBorder="1"/>
    <xf numFmtId="0" fontId="50" fillId="17" borderId="15" xfId="0" applyFont="1" applyFill="1" applyBorder="1" applyAlignment="1">
      <alignment horizontal="center" wrapText="1"/>
    </xf>
    <xf numFmtId="0" fontId="51" fillId="21" borderId="15" xfId="0" applyFont="1" applyFill="1" applyBorder="1" applyAlignment="1">
      <alignment horizontal="left"/>
    </xf>
    <xf numFmtId="177" fontId="51" fillId="21" borderId="15" xfId="0" applyNumberFormat="1" applyFont="1" applyFill="1" applyBorder="1"/>
    <xf numFmtId="177" fontId="51" fillId="9" borderId="15" xfId="0" applyNumberFormat="1" applyFont="1" applyFill="1" applyBorder="1"/>
    <xf numFmtId="177" fontId="51" fillId="11" borderId="15" xfId="0" applyNumberFormat="1" applyFont="1" applyFill="1" applyBorder="1"/>
    <xf numFmtId="177" fontId="51" fillId="7" borderId="15" xfId="0" applyNumberFormat="1" applyFont="1" applyFill="1" applyBorder="1"/>
    <xf numFmtId="0" fontId="50" fillId="10" borderId="15" xfId="0" applyFont="1" applyFill="1" applyBorder="1" applyAlignment="1">
      <alignment horizontal="left"/>
    </xf>
    <xf numFmtId="177" fontId="50" fillId="10" borderId="15" xfId="0" applyNumberFormat="1" applyFont="1" applyFill="1" applyBorder="1"/>
    <xf numFmtId="3" fontId="12" fillId="2" borderId="4" xfId="0" applyNumberFormat="1" applyFont="1" applyFill="1" applyBorder="1" applyAlignment="1">
      <alignment horizontal="center" vertical="center"/>
    </xf>
    <xf numFmtId="167" fontId="49" fillId="2" borderId="17" xfId="0" applyNumberFormat="1" applyFont="1" applyFill="1" applyBorder="1" applyAlignment="1">
      <alignment horizontal="center"/>
    </xf>
    <xf numFmtId="0" fontId="49" fillId="2" borderId="18" xfId="0" applyFont="1" applyFill="1" applyBorder="1" applyAlignment="1">
      <alignment horizontal="center"/>
    </xf>
    <xf numFmtId="0" fontId="18" fillId="0" borderId="0" xfId="0" applyFont="1"/>
    <xf numFmtId="177" fontId="58" fillId="0" borderId="0" xfId="0" applyNumberFormat="1" applyFont="1" applyAlignment="1">
      <alignment horizontal="center"/>
    </xf>
    <xf numFmtId="178" fontId="58" fillId="0" borderId="0" xfId="0" applyNumberFormat="1" applyFont="1" applyAlignment="1">
      <alignment horizontal="center"/>
    </xf>
    <xf numFmtId="0" fontId="14" fillId="27" borderId="19" xfId="0" applyFont="1" applyFill="1" applyBorder="1" applyAlignment="1">
      <alignment horizontal="center" vertical="center" wrapText="1"/>
    </xf>
    <xf numFmtId="0" fontId="14" fillId="27" borderId="6" xfId="0" applyFont="1" applyFill="1" applyBorder="1" applyAlignment="1">
      <alignment horizontal="center" vertical="center" wrapText="1"/>
    </xf>
    <xf numFmtId="0" fontId="14" fillId="27" borderId="14" xfId="0" applyFont="1" applyFill="1" applyBorder="1" applyAlignment="1">
      <alignment horizontal="center" vertical="center" wrapText="1"/>
    </xf>
    <xf numFmtId="0" fontId="0" fillId="0" borderId="6" xfId="0" applyBorder="1"/>
    <xf numFmtId="179" fontId="0" fillId="0" borderId="5" xfId="0" applyNumberFormat="1" applyBorder="1"/>
    <xf numFmtId="177" fontId="0" fillId="0" borderId="5" xfId="0" applyNumberFormat="1" applyBorder="1"/>
    <xf numFmtId="179" fontId="0" fillId="0" borderId="6" xfId="0" applyNumberFormat="1" applyBorder="1"/>
    <xf numFmtId="177" fontId="0" fillId="0" borderId="6" xfId="0" applyNumberFormat="1" applyBorder="1"/>
    <xf numFmtId="0" fontId="14" fillId="9" borderId="20" xfId="0" applyFont="1" applyFill="1" applyBorder="1"/>
    <xf numFmtId="179" fontId="14" fillId="9" borderId="20" xfId="0" applyNumberFormat="1" applyFont="1" applyFill="1" applyBorder="1"/>
    <xf numFmtId="177" fontId="14" fillId="9" borderId="20" xfId="0" applyNumberFormat="1" applyFont="1" applyFill="1" applyBorder="1"/>
    <xf numFmtId="177" fontId="38" fillId="0" borderId="5" xfId="0" applyNumberFormat="1" applyFont="1" applyBorder="1"/>
    <xf numFmtId="177" fontId="38" fillId="0" borderId="6" xfId="0" applyNumberFormat="1" applyFont="1" applyBorder="1"/>
    <xf numFmtId="177" fontId="60" fillId="9" borderId="20" xfId="0" applyNumberFormat="1" applyFont="1" applyFill="1" applyBorder="1"/>
    <xf numFmtId="177" fontId="61" fillId="0" borderId="12" xfId="0" applyNumberFormat="1" applyFont="1" applyBorder="1"/>
    <xf numFmtId="177" fontId="61" fillId="0" borderId="14" xfId="0" applyNumberFormat="1" applyFont="1" applyBorder="1"/>
    <xf numFmtId="177" fontId="62" fillId="9" borderId="20" xfId="0" applyNumberFormat="1" applyFont="1" applyFill="1" applyBorder="1"/>
    <xf numFmtId="0" fontId="0" fillId="0" borderId="6" xfId="0" applyBorder="1" applyAlignment="1">
      <alignment horizontal="left"/>
    </xf>
    <xf numFmtId="0" fontId="14" fillId="9" borderId="20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/>
    </xf>
    <xf numFmtId="0" fontId="14" fillId="9" borderId="20" xfId="0" applyFont="1" applyFill="1" applyBorder="1" applyAlignment="1">
      <alignment horizontal="center"/>
    </xf>
    <xf numFmtId="0" fontId="65" fillId="0" borderId="0" xfId="0" applyFont="1"/>
    <xf numFmtId="171" fontId="19" fillId="0" borderId="0" xfId="0" applyNumberFormat="1" applyFont="1"/>
    <xf numFmtId="176" fontId="14" fillId="9" borderId="20" xfId="0" applyNumberFormat="1" applyFont="1" applyFill="1" applyBorder="1"/>
    <xf numFmtId="171" fontId="30" fillId="2" borderId="16" xfId="0" applyNumberFormat="1" applyFont="1" applyFill="1" applyBorder="1" applyAlignment="1">
      <alignment horizontal="center"/>
    </xf>
    <xf numFmtId="0" fontId="43" fillId="18" borderId="1" xfId="0" applyFont="1" applyFill="1" applyBorder="1" applyAlignment="1">
      <alignment horizontal="center" vertical="center" wrapText="1"/>
    </xf>
    <xf numFmtId="3" fontId="66" fillId="0" borderId="4" xfId="0" applyNumberFormat="1" applyFont="1" applyBorder="1" applyAlignment="1">
      <alignment horizontal="center" vertical="center"/>
    </xf>
    <xf numFmtId="0" fontId="10" fillId="18" borderId="7" xfId="0" applyFont="1" applyFill="1" applyBorder="1" applyAlignment="1">
      <alignment horizontal="center" wrapText="1"/>
    </xf>
    <xf numFmtId="3" fontId="67" fillId="0" borderId="0" xfId="0" applyNumberFormat="1" applyFont="1" applyAlignment="1">
      <alignment horizontal="center"/>
    </xf>
    <xf numFmtId="179" fontId="63" fillId="0" borderId="0" xfId="0" applyNumberFormat="1" applyFont="1"/>
    <xf numFmtId="177" fontId="63" fillId="0" borderId="0" xfId="0" applyNumberFormat="1" applyFont="1"/>
    <xf numFmtId="0" fontId="55" fillId="6" borderId="22" xfId="0" applyFont="1" applyFill="1" applyBorder="1" applyAlignment="1">
      <alignment horizontal="center" vertical="center" wrapText="1"/>
    </xf>
    <xf numFmtId="0" fontId="55" fillId="6" borderId="23" xfId="0" applyFont="1" applyFill="1" applyBorder="1" applyAlignment="1">
      <alignment horizontal="center" vertical="center" wrapText="1"/>
    </xf>
    <xf numFmtId="0" fontId="14" fillId="7" borderId="27" xfId="0" applyFont="1" applyFill="1" applyBorder="1" applyAlignment="1">
      <alignment horizontal="center"/>
    </xf>
    <xf numFmtId="179" fontId="14" fillId="7" borderId="28" xfId="0" applyNumberFormat="1" applyFont="1" applyFill="1" applyBorder="1"/>
    <xf numFmtId="177" fontId="14" fillId="7" borderId="28" xfId="0" applyNumberFormat="1" applyFont="1" applyFill="1" applyBorder="1"/>
    <xf numFmtId="177" fontId="14" fillId="7" borderId="29" xfId="0" applyNumberFormat="1" applyFont="1" applyFill="1" applyBorder="1"/>
    <xf numFmtId="167" fontId="0" fillId="0" borderId="24" xfId="0" applyNumberFormat="1" applyBorder="1" applyAlignment="1">
      <alignment horizontal="center" vertical="center"/>
    </xf>
    <xf numFmtId="179" fontId="0" fillId="0" borderId="25" xfId="0" applyNumberFormat="1" applyBorder="1" applyAlignment="1">
      <alignment vertical="center"/>
    </xf>
    <xf numFmtId="177" fontId="0" fillId="0" borderId="25" xfId="0" applyNumberFormat="1" applyBorder="1" applyAlignment="1">
      <alignment vertical="center"/>
    </xf>
    <xf numFmtId="177" fontId="0" fillId="0" borderId="26" xfId="0" applyNumberFormat="1" applyBorder="1" applyAlignment="1">
      <alignment vertical="center"/>
    </xf>
    <xf numFmtId="0" fontId="55" fillId="6" borderId="21" xfId="0" applyFont="1" applyFill="1" applyBorder="1" applyAlignment="1">
      <alignment horizontal="center" vertical="center" wrapText="1"/>
    </xf>
    <xf numFmtId="3" fontId="0" fillId="2" borderId="0" xfId="0" applyNumberFormat="1" applyFill="1" applyAlignment="1">
      <alignment horizontal="center"/>
    </xf>
    <xf numFmtId="0" fontId="51" fillId="0" borderId="5" xfId="0" applyFont="1" applyBorder="1"/>
    <xf numFmtId="177" fontId="51" fillId="0" borderId="5" xfId="0" applyNumberFormat="1" applyFont="1" applyBorder="1" applyAlignment="1">
      <alignment horizontal="center"/>
    </xf>
    <xf numFmtId="0" fontId="50" fillId="0" borderId="5" xfId="0" applyFont="1" applyBorder="1"/>
    <xf numFmtId="177" fontId="50" fillId="9" borderId="5" xfId="0" applyNumberFormat="1" applyFont="1" applyFill="1" applyBorder="1" applyAlignment="1">
      <alignment horizontal="center"/>
    </xf>
    <xf numFmtId="178" fontId="51" fillId="0" borderId="5" xfId="0" applyNumberFormat="1" applyFont="1" applyBorder="1" applyAlignment="1">
      <alignment horizontal="center"/>
    </xf>
    <xf numFmtId="3" fontId="66" fillId="2" borderId="4" xfId="0" applyNumberFormat="1" applyFont="1" applyFill="1" applyBorder="1" applyAlignment="1">
      <alignment horizontal="center" vertical="center"/>
    </xf>
    <xf numFmtId="177" fontId="0" fillId="0" borderId="0" xfId="0" applyNumberFormat="1"/>
    <xf numFmtId="177" fontId="50" fillId="0" borderId="5" xfId="0" applyNumberFormat="1" applyFont="1" applyBorder="1" applyAlignment="1">
      <alignment horizontal="center" vertical="center"/>
    </xf>
    <xf numFmtId="177" fontId="50" fillId="10" borderId="5" xfId="0" applyNumberFormat="1" applyFont="1" applyFill="1" applyBorder="1" applyAlignment="1">
      <alignment horizontal="center" vertical="center"/>
    </xf>
    <xf numFmtId="0" fontId="11" fillId="0" borderId="0" xfId="0" applyFont="1"/>
    <xf numFmtId="0" fontId="0" fillId="0" borderId="0" xfId="0"/>
    <xf numFmtId="0" fontId="4" fillId="0" borderId="0" xfId="0" applyFont="1" applyAlignment="1">
      <alignment horizontal="center"/>
    </xf>
    <xf numFmtId="0" fontId="5" fillId="28" borderId="5" xfId="0" applyFont="1" applyFill="1" applyBorder="1" applyAlignment="1">
      <alignment horizontal="center" vertical="center"/>
    </xf>
    <xf numFmtId="0" fontId="12" fillId="28" borderId="5" xfId="0" applyFont="1" applyFill="1" applyBorder="1" applyAlignment="1">
      <alignment horizontal="center" vertical="center"/>
    </xf>
    <xf numFmtId="0" fontId="12" fillId="28" borderId="5" xfId="0" applyFont="1" applyFill="1" applyBorder="1"/>
    <xf numFmtId="14" fontId="12" fillId="28" borderId="5" xfId="0" applyNumberFormat="1" applyFont="1" applyFill="1" applyBorder="1" applyAlignment="1">
      <alignment horizontal="center" vertical="center"/>
    </xf>
    <xf numFmtId="3" fontId="12" fillId="28" borderId="5" xfId="0" applyNumberFormat="1" applyFont="1" applyFill="1" applyBorder="1" applyAlignment="1">
      <alignment horizontal="center" vertical="center"/>
    </xf>
    <xf numFmtId="164" fontId="12" fillId="28" borderId="5" xfId="0" applyNumberFormat="1" applyFont="1" applyFill="1" applyBorder="1" applyAlignment="1">
      <alignment horizontal="center" vertical="center"/>
    </xf>
    <xf numFmtId="3" fontId="12" fillId="28" borderId="4" xfId="0" applyNumberFormat="1" applyFont="1" applyFill="1" applyBorder="1" applyAlignment="1">
      <alignment horizontal="center" vertical="center"/>
    </xf>
    <xf numFmtId="3" fontId="66" fillId="28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14" fontId="12" fillId="0" borderId="5" xfId="0" applyNumberFormat="1" applyFont="1" applyFill="1" applyBorder="1" applyAlignment="1">
      <alignment horizontal="center" vertical="center"/>
    </xf>
    <xf numFmtId="3" fontId="12" fillId="0" borderId="5" xfId="0" applyNumberFormat="1" applyFont="1" applyFill="1" applyBorder="1" applyAlignment="1">
      <alignment horizontal="center" vertical="center"/>
    </xf>
    <xf numFmtId="0" fontId="18" fillId="0" borderId="0" xfId="0" applyNumberFormat="1" applyFont="1"/>
    <xf numFmtId="0" fontId="0" fillId="0" borderId="0" xfId="0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5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5" xfId="0" applyFont="1" applyFill="1" applyBorder="1"/>
    <xf numFmtId="164" fontId="12" fillId="0" borderId="5" xfId="0" applyNumberFormat="1" applyFont="1" applyFill="1" applyBorder="1" applyAlignment="1">
      <alignment horizontal="center" vertical="center"/>
    </xf>
    <xf numFmtId="3" fontId="12" fillId="0" borderId="4" xfId="0" applyNumberFormat="1" applyFont="1" applyFill="1" applyBorder="1" applyAlignment="1">
      <alignment horizontal="center" vertical="center"/>
    </xf>
    <xf numFmtId="3" fontId="66" fillId="0" borderId="4" xfId="0" applyNumberFormat="1" applyFont="1" applyFill="1" applyBorder="1" applyAlignment="1">
      <alignment horizontal="center" vertical="center"/>
    </xf>
    <xf numFmtId="0" fontId="0" fillId="0" borderId="0" xfId="0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6" fillId="0" borderId="5" xfId="0" applyNumberFormat="1" applyFont="1" applyBorder="1" applyAlignment="1">
      <alignment horizontal="center" vertical="center"/>
    </xf>
    <xf numFmtId="3" fontId="6" fillId="2" borderId="5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14" fillId="7" borderId="0" xfId="0" applyFont="1" applyFill="1"/>
    <xf numFmtId="0" fontId="0" fillId="0" borderId="0" xfId="0"/>
    <xf numFmtId="0" fontId="17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0" borderId="0" xfId="0" applyFont="1" applyAlignment="1">
      <alignment horizontal="center" wrapText="1"/>
    </xf>
    <xf numFmtId="0" fontId="17" fillId="6" borderId="0" xfId="0" applyFont="1" applyFill="1"/>
    <xf numFmtId="0" fontId="23" fillId="7" borderId="0" xfId="0" applyFont="1" applyFill="1"/>
    <xf numFmtId="0" fontId="23" fillId="10" borderId="0" xfId="0" applyFont="1" applyFill="1"/>
    <xf numFmtId="0" fontId="26" fillId="0" borderId="0" xfId="0" applyFont="1"/>
    <xf numFmtId="0" fontId="23" fillId="7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/>
    </xf>
    <xf numFmtId="0" fontId="14" fillId="0" borderId="0" xfId="0" applyFont="1"/>
    <xf numFmtId="0" fontId="28" fillId="6" borderId="0" xfId="0" applyFont="1" applyFill="1" applyAlignment="1">
      <alignment horizontal="center"/>
    </xf>
    <xf numFmtId="0" fontId="23" fillId="0" borderId="0" xfId="0" applyFont="1"/>
    <xf numFmtId="0" fontId="20" fillId="0" borderId="0" xfId="0" applyFont="1"/>
    <xf numFmtId="0" fontId="14" fillId="10" borderId="0" xfId="0" applyFont="1" applyFill="1" applyAlignment="1">
      <alignment horizontal="center"/>
    </xf>
    <xf numFmtId="0" fontId="14" fillId="11" borderId="5" xfId="0" applyFont="1" applyFill="1" applyBorder="1" applyAlignment="1">
      <alignment horizontal="center" vertical="center" wrapText="1"/>
    </xf>
    <xf numFmtId="0" fontId="23" fillId="14" borderId="7" xfId="0" applyFont="1" applyFill="1" applyBorder="1" applyAlignment="1">
      <alignment horizontal="center"/>
    </xf>
    <xf numFmtId="0" fontId="50" fillId="10" borderId="5" xfId="0" applyFont="1" applyFill="1" applyBorder="1" applyAlignment="1">
      <alignment horizontal="center"/>
    </xf>
    <xf numFmtId="0" fontId="56" fillId="6" borderId="0" xfId="0" applyFont="1" applyFill="1" applyAlignment="1">
      <alignment horizontal="center"/>
    </xf>
    <xf numFmtId="177" fontId="53" fillId="10" borderId="30" xfId="0" applyNumberFormat="1" applyFont="1" applyFill="1" applyBorder="1" applyAlignment="1">
      <alignment horizontal="center"/>
    </xf>
    <xf numFmtId="177" fontId="53" fillId="10" borderId="0" xfId="0" applyNumberFormat="1" applyFont="1" applyFill="1" applyAlignment="1">
      <alignment horizontal="center"/>
    </xf>
    <xf numFmtId="0" fontId="46" fillId="6" borderId="0" xfId="0" applyFont="1" applyFill="1" applyAlignment="1">
      <alignment horizontal="center"/>
    </xf>
    <xf numFmtId="0" fontId="47" fillId="0" borderId="0" xfId="0" applyFont="1"/>
    <xf numFmtId="0" fontId="13" fillId="10" borderId="12" xfId="0" applyFont="1" applyFill="1" applyBorder="1" applyAlignment="1">
      <alignment horizontal="center"/>
    </xf>
    <xf numFmtId="0" fontId="13" fillId="10" borderId="13" xfId="0" applyFont="1" applyFill="1" applyBorder="1" applyAlignment="1">
      <alignment horizontal="center"/>
    </xf>
    <xf numFmtId="0" fontId="54" fillId="19" borderId="15" xfId="0" applyFont="1" applyFill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14" fillId="17" borderId="6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4" xfId="0" applyFont="1" applyFill="1" applyBorder="1" applyAlignment="1">
      <alignment horizontal="center" vertical="center" wrapText="1"/>
    </xf>
    <xf numFmtId="0" fontId="14" fillId="17" borderId="5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174" fontId="69" fillId="0" borderId="31" xfId="0" applyNumberFormat="1" applyFont="1" applyBorder="1" applyAlignment="1">
      <alignment horizontal="center"/>
    </xf>
    <xf numFmtId="0" fontId="69" fillId="0" borderId="31" xfId="0" applyFont="1" applyBorder="1" applyAlignment="1">
      <alignment horizontal="center"/>
    </xf>
    <xf numFmtId="0" fontId="24" fillId="19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4" fillId="23" borderId="0" xfId="0" applyFont="1" applyFill="1" applyAlignment="1">
      <alignment horizontal="center"/>
    </xf>
    <xf numFmtId="0" fontId="68" fillId="0" borderId="0" xfId="0" applyFont="1"/>
    <xf numFmtId="0" fontId="20" fillId="0" borderId="0" xfId="0" applyFont="1" applyAlignment="1">
      <alignment horizontal="right"/>
    </xf>
    <xf numFmtId="0" fontId="59" fillId="0" borderId="0" xfId="0" applyFont="1"/>
    <xf numFmtId="0" fontId="14" fillId="0" borderId="0" xfId="0" applyFont="1" applyAlignment="1">
      <alignment horizontal="right"/>
    </xf>
    <xf numFmtId="0" fontId="57" fillId="0" borderId="0" xfId="0" applyFont="1"/>
    <xf numFmtId="0" fontId="24" fillId="26" borderId="7" xfId="0" applyFont="1" applyFill="1" applyBorder="1" applyAlignment="1">
      <alignment horizontal="center"/>
    </xf>
    <xf numFmtId="0" fontId="64" fillId="26" borderId="7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54" fillId="6" borderId="5" xfId="0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5" fontId="33" fillId="0" borderId="0" xfId="0" applyNumberFormat="1" applyFont="1" applyAlignment="1">
      <alignment horizontal="center"/>
    </xf>
    <xf numFmtId="0" fontId="24" fillId="24" borderId="0" xfId="0" applyFont="1" applyFill="1" applyAlignment="1">
      <alignment horizontal="center"/>
    </xf>
    <xf numFmtId="0" fontId="24" fillId="15" borderId="0" xfId="0" applyFont="1" applyFill="1" applyAlignment="1">
      <alignment horizontal="center"/>
    </xf>
    <xf numFmtId="0" fontId="17" fillId="3" borderId="10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40" fillId="0" borderId="0" xfId="0" applyFont="1"/>
    <xf numFmtId="0" fontId="41" fillId="8" borderId="0" xfId="0" applyFont="1" applyFill="1"/>
    <xf numFmtId="0" fontId="0" fillId="8" borderId="0" xfId="0" applyFill="1"/>
    <xf numFmtId="0" fontId="42" fillId="8" borderId="0" xfId="0" applyFont="1" applyFill="1" applyAlignment="1">
      <alignment vertical="top" wrapText="1"/>
    </xf>
    <xf numFmtId="0" fontId="17" fillId="22" borderId="0" xfId="0" applyFont="1" applyFill="1" applyAlignment="1">
      <alignment horizontal="center" vertical="center"/>
    </xf>
  </cellXfs>
  <cellStyles count="3">
    <cellStyle name="Обычный" xfId="0" builtinId="0"/>
    <cellStyle name="Обычный 2" xfId="1" xr:uid="{A66EA5C6-0FCE-429F-B202-8F9371F0A538}"/>
    <cellStyle name="Финансовый" xfId="2" builtinId="3"/>
  </cellStyles>
  <dxfs count="75"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strike val="0"/>
        <outline val="0"/>
        <shadow val="0"/>
        <u val="none"/>
        <vertAlign val="baseline"/>
        <color rgb="FF808080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164" formatCode="#,##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rgb="FFFF0000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rgb="FFFF0000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rgb="FFFF0000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4" formatCode="#,##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19" formatCode="dd/mm/yyyy"/>
      <fill>
        <patternFill patternType="none">
          <bgColor auto="1"/>
        </patternFill>
      </fill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0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numFmt numFmtId="167" formatCode="dd\.mm\.yyyy"/>
    </dxf>
    <dxf>
      <alignment horizontal="center"/>
    </dxf>
    <dxf>
      <numFmt numFmtId="177" formatCode="#,##0;[Red]\-#,##0;\-"/>
    </dxf>
    <dxf>
      <numFmt numFmtId="177" formatCode="#,##0;[Red]\-#,##0;\-"/>
    </dxf>
    <dxf>
      <numFmt numFmtId="177" formatCode="#,##0;[Red]\-#,##0;\-"/>
    </dxf>
    <dxf>
      <numFmt numFmtId="167" formatCode="dd\.mm\.yyyy"/>
    </dxf>
    <dxf>
      <font>
        <b/>
        <strike val="0"/>
        <outline val="0"/>
        <shadow val="0"/>
        <u val="none"/>
        <vertAlign val="baseline"/>
        <sz val="11"/>
        <color auto="1"/>
        <name val="Aptos Narrow"/>
        <family val="2"/>
        <charset val="204"/>
        <scheme val="minor"/>
      </font>
      <fill>
        <patternFill patternType="solid">
          <fgColor indexed="64"/>
          <bgColor rgb="FFDDEBF7"/>
        </patternFill>
      </fill>
      <alignment horizontal="center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indexed="64"/>
          <bgColor rgb="FFF2F2F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indexed="64"/>
          <bgColor rgb="FFF2F2F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indexed="64"/>
          <bgColor rgb="FFF2F2F2"/>
        </patternFill>
      </fill>
    </dxf>
    <dxf>
      <font>
        <b val="0"/>
        <color rgb="FF0000FF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indexed="64"/>
          <bgColor rgb="FFF2F2F2"/>
        </patternFill>
      </fill>
    </dxf>
  </dxfs>
  <tableStyles count="0" defaultTableStyle="TableStyleMedium2" defaultPivotStyle="PivotStyleLight16"/>
  <colors>
    <mruColors>
      <color rgb="FFFF0066"/>
      <color rgb="FFF0EA00"/>
      <color rgb="FFF9E7F7"/>
      <color rgb="FFFBFA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4506D821-C39C-4028-9BF9-4FD3B1DA6D0E}" name="Мижозлар" displayName="Мижозлар" ref="A10:E58" totalsRowShown="0" headerRowDxfId="74">
  <autoFilter ref="A10:E58" xr:uid="{4506D821-C39C-4028-9BF9-4FD3B1DA6D0E}"/>
  <tableColumns count="5">
    <tableColumn id="1" xr3:uid="{7D85D584-923F-4344-B4D1-44E4EA9B2EFE}" name="Расмий ном"/>
    <tableColumn id="2" xr3:uid="{D09DD239-2368-4DD3-9751-7366FD88137D}" name="Варианти-1"/>
    <tableColumn id="3" xr3:uid="{6C53E8DD-0CF1-4D04-B938-D0121CBA6B14}" name="Варианти-2"/>
    <tableColumn id="4" xr3:uid="{E3762958-DB8F-4A86-B178-DD6DF2DEDAA2}" name="Эски варақ"/>
    <tableColumn id="5" xr3:uid="{4961F9B5-308F-4EB0-B3A5-43E1F939D2EA}" name="Агент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2306344-3F8D-4C8A-BA9E-52E29659B2F9}" name="Агентлар" displayName="Агентлар" ref="F10:G16" totalsRowShown="0" headerRowDxfId="72">
  <autoFilter ref="F10:G16" xr:uid="{92306344-3F8D-4C8A-BA9E-52E29659B2F9}"/>
  <tableColumns count="2">
    <tableColumn id="1" xr3:uid="{F743049A-24EB-440D-8874-D3C1B38FCA7C}" name="Агент"/>
    <tableColumn id="2" xr3:uid="{63E2F3FC-E6CF-4D9B-92C2-4BA8C39F57BF}" name="Изо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8991A443-F130-414D-A149-09084A530971}" name="Поставшиклар" displayName="Поставшиклар" ref="I10:J12" totalsRowShown="0" headerRowDxfId="71">
  <autoFilter ref="I10:J12" xr:uid="{8991A443-F130-414D-A149-09084A530971}"/>
  <tableColumns count="2">
    <tableColumn id="1" xr3:uid="{B7C6E90A-9342-410F-B576-2225CA992514}" name="Поставшик"/>
    <tableColumn id="2" xr3:uid="{F3FDB9E0-330E-44C5-B0C3-8C8B303743C1}" name="Изо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A306337F-F930-4F49-B65A-F902949628C7}" name="ТўловТури" displayName="ТўловТури" ref="I15:I17" totalsRowShown="0" headerRowDxfId="70">
  <autoFilter ref="I15:I17" xr:uid="{A306337F-F930-4F49-B65A-F902949628C7}"/>
  <tableColumns count="1">
    <tableColumn id="1" xr3:uid="{5E0636A6-5ACA-4CBB-9EBC-2D4CB6B10924}" name="Тур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5FE03813-5F57-42BA-BD84-C6B2BC6CCCA6}" name="ПоддонЗаводга" displayName="ПоддонЗаводга" ref="A3:I30" totalsRowShown="0" headerRowDxfId="69">
  <autoFilter ref="A3:I30" xr:uid="{5FE03813-5F57-42BA-BD84-C6B2BC6CCCA6}"/>
  <tableColumns count="9">
    <tableColumn id="1" xr3:uid="{B1D7BA98-95E6-4014-AFD7-C4890D7C333F}" name="Дата" dataDxfId="68"/>
    <tableColumn id="2" xr3:uid="{A7BB53C3-C330-40DF-9406-429AA828246D}" name="Поддон сони" dataDxfId="67"/>
    <tableColumn id="3" xr3:uid="{2CCE2F0C-4234-401D-963C-2A4F1F4A8B1B}" name="Жўнатувчи"/>
    <tableColumn id="4" xr3:uid="{1F936FDF-5AB1-4A77-A0EE-0D9D630DC10F}" name="Қабул қилувчи"/>
    <tableColumn id="5" xr3:uid="{7234BD40-E2BB-43E2-AFE2-E50E12557282}" name="1 дона қайтариш ўртача нархи" dataDxfId="66"/>
    <tableColumn id="6" xr3:uid="{B8F939A4-98DE-4E68-A16B-43D25ACCDF20}" name="Қайтариш харажати жами" dataDxfId="65">
      <calculatedColumnFormula>IF(ПоддонЗаводга[[#This Row],[Поддон сони]]="","",ПоддонЗаводга[[#This Row],[Поддон сони]]*ПоддонЗаводга[[#This Row],[1 дона қайтариш ўртача нархи]])</calculatedColumnFormula>
    </tableColumn>
    <tableColumn id="7" xr3:uid="{330D6224-FF2D-430E-8840-AFBB5D79CD15}" name="Изох"/>
    <tableColumn id="8" xr3:uid="{C61875E0-96E1-4F63-910F-BB89715954D0}" name="Тўлов тури" dataDxfId="64"/>
    <tableColumn id="9" xr3:uid="{0A7806E1-63C8-418B-B596-F515F8652E09}" name="Столбец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BAD61CFE-05C2-46C2-8B3C-B7076F1276EC}" name="ПоддонҚайтариш" displayName="ПоддонҚайтариш" ref="A3:D98" totalsRowShown="0">
  <autoFilter ref="A3:D98" xr:uid="{BAD61CFE-05C2-46C2-8B3C-B7076F1276EC}"/>
  <sortState xmlns:xlrd2="http://schemas.microsoft.com/office/spreadsheetml/2017/richdata2" ref="A4:D91">
    <sortCondition ref="A3:A91"/>
  </sortState>
  <tableColumns count="4">
    <tableColumn id="1" xr3:uid="{A525A9BF-5B10-4086-9B80-882A35B3B407}" name="Дата" dataDxfId="63"/>
    <tableColumn id="2" xr3:uid="{4AC23D89-043C-4357-A7DD-804E78CB7B80}" name="Клиент"/>
    <tableColumn id="3" xr3:uid="{94433D76-9850-4D8D-B884-FB770334D837}" name="Поддон дона" dataDxfId="62"/>
    <tableColumn id="4" xr3:uid="{F0448E98-936A-493F-996A-A805A0EE275B}" name="Изох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5DCA2E-4781-48AB-A969-5CE68B76DDB8}" name="Тўловлар" displayName="Тўловлар" ref="A4:S1063" totalsRowShown="0" headerRowDxfId="61" dataDxfId="59" headerRowBorderDxfId="60" tableBorderDxfId="58">
  <autoFilter ref="A4:S1063" xr:uid="{885DCA2E-4781-48AB-A969-5CE68B76DDB8}"/>
  <tableColumns count="19">
    <tableColumn id="1" xr3:uid="{BA8254D8-657A-4B7C-A89B-142F05645F64}" name="Дата" dataDxfId="57"/>
    <tableColumn id="2" xr3:uid="{301ED811-946A-476F-A93B-00DD90391E26}" name="Агент" dataDxfId="56"/>
    <tableColumn id="3" xr3:uid="{27B0F56F-62E6-4532-88EA-C75A4ECC76A5}" name="Клиент" dataDxfId="55"/>
    <tableColumn id="4" xr3:uid="{58D25742-C80E-476F-A6D2-A13506C7B916}" name="ПР-Сумма" dataDxfId="54"/>
    <tableColumn id="5" xr3:uid="{E1938CFE-5EF5-47E9-9FE9-40E24C1C1531}" name="Плателщик" dataDxfId="53"/>
    <tableColumn id="9" xr3:uid="{58A5ECC3-BC2D-481A-8A73-FB0A4CF7444C}" name="Поддон" dataDxfId="52"/>
    <tableColumn id="11" xr3:uid="{51AECEAB-2A09-4BE5-81B5-8D9BEA4965ED}" name="Учун" dataDxfId="51">
      <calculatedColumnFormula>Тўловлар[[#This Row],[Поддон]]*$G$3</calculatedColumnFormula>
    </tableColumn>
    <tableColumn id="6" xr3:uid="{9AF99753-E931-4515-9334-39A7A42F77EE}" name="Накд" dataDxfId="50"/>
    <tableColumn id="7" xr3:uid="{6639E104-37B9-4CFB-BCE0-1197AE5150AD}" name="Клик" dataDxfId="49"/>
    <tableColumn id="8" xr3:uid="{8BFD865D-9600-408D-9699-8FDE4DDC713F}" name="Терминал" dataDxfId="48"/>
    <tableColumn id="15" xr3:uid="{8BBE5727-05A1-4BAF-AD3B-9D671AE33A41}" name="Жами сумма" dataDxfId="47">
      <calculatedColumnFormula>SUM(Тўловлар[[#This Row],[ПР-Сумма]]+Тўловлар[[#This Row],[Накд]]+Тўловлар[[#This Row],[Клик]]+Тўловлар[[#This Row],[Терминал]])</calculatedColumnFormula>
    </tableColumn>
    <tableColumn id="16" xr3:uid="{99E33BE6-387E-4DF4-9C20-5982ECD28944}" name="Получател" dataDxfId="46"/>
    <tableColumn id="17" xr3:uid="{FDB68EB0-13F3-4446-8A1F-969731FDFA89}" name="Изох" dataDxfId="45"/>
    <tableColumn id="10" xr3:uid="{BA74A228-EDD7-4B4C-BB3A-7CC0139B8502}" name="Поддон нархи" dataDxfId="44">
      <calculatedColumnFormula array="1">IFERROR(LOOKUP(2,1/((Товар!$D$4:$D$1110=Тўловлар[[#This Row],[Клиент]])*(Товар!$E$4:$E$1110&lt;=Тўловлар[[#This Row],[Дата]])),Товар!$L$4:$L$1110),Кўрсаткичлар!$B$4)</calculatedColumnFormula>
    </tableColumn>
    <tableColumn id="12" xr3:uid="{6C70ED06-93BC-493C-9B11-0DBFF759C12F}" name="Поддон пули" dataDxfId="43">
      <calculatedColumnFormula>Тўловлар[[#This Row],[Поддон]]*Тўловлар[[#This Row],[Поддон нархи]]</calculatedColumnFormula>
    </tableColumn>
    <tableColumn id="13" xr3:uid="{FCA6A5F6-9C8E-49F8-B730-F3BF85B3BDCA}" name="Товарга" dataDxfId="42">
      <calculatedColumnFormula>Тўловлар[[#This Row],[Жами сумма]]-Тўловлар[[#This Row],[Поддон пули]]</calculatedColumnFormula>
    </tableColumn>
    <tableColumn id="14" xr3:uid="{D71D056E-7CFA-47F8-8E64-9B189C979DA0}" name="Агент (бириктирилган)" dataDxfId="41">
      <calculatedColumnFormula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calculatedColumnFormula>
    </tableColumn>
    <tableColumn id="18" xr3:uid="{AECFE3C9-7279-4BB7-B961-A322F0289C4F}" name="Агент текшируви" dataDxfId="40">
      <calculatedColumnFormula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calculatedColumnFormula>
    </tableColumn>
    <tableColumn id="19" xr3:uid="{7166C228-49B7-4B62-A1D0-89BAF180D579}" name="Рухсат этилган агент" dataDxfId="39">
      <calculatedColumnFormula>IFERROR(INDEX(Мижозлар[Агент],MATCH($C5,Мижозлар[Расмий ном],0)),"")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9759CA-1766-48B1-A3EA-C89A95CEABB1}" name="ТўловПоставшик" displayName="ТўловПоставшик" ref="A2:E97" totalsRowShown="0" headerRowDxfId="38" dataDxfId="37">
  <autoFilter ref="A2:E97" xr:uid="{E19759CA-1766-48B1-A3EA-C89A95CEABB1}"/>
  <tableColumns count="5">
    <tableColumn id="1" xr3:uid="{4EFDD941-3B12-43FD-A4BC-FA794B2B0743}" name="Дата" dataDxfId="36"/>
    <tableColumn id="5" xr3:uid="{CD556B30-1462-47E4-B4E9-CA7A258E9AEB}" name="В-о" dataDxfId="35"/>
    <tableColumn id="2" xr3:uid="{674E4C1C-082E-42D2-AB83-5E3F23316BAB}" name="Сумма" dataDxfId="34"/>
    <tableColumn id="3" xr3:uid="{7F93E62C-1397-4294-847A-369FF11C5969}" name="Платеелшик" dataDxfId="33"/>
    <tableColumn id="4" xr3:uid="{87A8D68B-2B8D-4BA1-A35D-BC3116ED719E}" name="Получател" dataDxfId="3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D1AA9D-808C-442F-AF5C-1359F40ABE75}" name="Таблица1" displayName="Таблица1" ref="A3:W1110" totalsRowShown="0" headerRowDxfId="31" dataDxfId="30">
  <autoFilter ref="A3:W1110" xr:uid="{13D1AA9D-808C-442F-AF5C-1359F40ABE75}"/>
  <sortState xmlns:xlrd2="http://schemas.microsoft.com/office/spreadsheetml/2017/richdata2" ref="A4:S1110">
    <sortCondition ref="E3:E1110"/>
  </sortState>
  <tableColumns count="23">
    <tableColumn id="1" xr3:uid="{CEE3FDDB-39ED-4FA5-A13E-BEBEAFBC0833}" name="Тўлов тури" dataDxfId="29"/>
    <tableColumn id="2" xr3:uid="{DABE1461-B274-4232-9E1B-F8406A305703}" name="Поставшик" dataDxfId="28"/>
    <tableColumn id="3" xr3:uid="{173E9C5B-74AE-42E3-B7CF-2098CF36D3E8}" name="Агент" dataDxfId="27"/>
    <tableColumn id="4" xr3:uid="{C5D394A6-016B-4FC1-808A-C4822AF78FC3}" name="Клиент" dataDxfId="26"/>
    <tableColumn id="5" xr3:uid="{8FDD53F8-F6FC-4562-8288-5D2CBFCDF9AD}" name="Дата " dataDxfId="25"/>
    <tableColumn id="6" xr3:uid="{5ED87996-6458-4BEC-A820-D641D3AA2158}" name="№ авто" dataDxfId="24"/>
    <tableColumn id="8" xr3:uid="{F081A8B1-DFAC-4FE7-9439-1465FBE47934}" name="Размер" dataDxfId="23"/>
    <tableColumn id="9" xr3:uid="{7D807D16-569E-45BF-8C11-DFCFCC3A7DBC}" name="Блок_x000a_ Куб" dataDxfId="22"/>
    <tableColumn id="11" xr3:uid="{841826F5-D150-4A35-887F-3B0B230D14AE}" name="Цена _x000a_Приход" dataDxfId="21"/>
    <tableColumn id="12" xr3:uid="{677A021A-4D89-42DE-8DC2-B58D5C8EA84D}" name="Сумма _x000a_Приход" dataDxfId="20">
      <calculatedColumnFormula>Таблица1[[#This Row],[Блок
 Куб]]*Таблица1[[#This Row],[Цена 
Приход]]</calculatedColumnFormula>
    </tableColumn>
    <tableColumn id="13" xr3:uid="{0042B97B-CE40-4E58-B4F6-CC6C89F1432E}" name="Поддон_x000a_Шт" dataDxfId="19"/>
    <tableColumn id="10" xr3:uid="{7CED0856-FAEA-4420-A004-BD702C35CB5C}" name="Цена_x000a_Поддон" dataDxfId="18"/>
    <tableColumn id="14" xr3:uid="{87171938-C882-4421-908B-5781DB2C872C}" name="Сумма Поддон" dataDxfId="17">
      <calculatedColumnFormula>Таблица1[[#This Row],[Поддон
Шт]]*Таблица1[[#This Row],[Цена
Поддон]]</calculatedColumnFormula>
    </tableColumn>
    <tableColumn id="15" xr3:uid="{35F1AD05-A637-47F2-A033-4CE1A7D376D1}" name="Блок+_x000a_Поддон" dataDxfId="16">
      <calculatedColumnFormula>Таблица1[[#This Row],[Сумма 
Приход]]+Таблица1[[#This Row],[Сумма Поддон]]</calculatedColumnFormula>
    </tableColumn>
    <tableColumn id="16" xr3:uid="{1887ED34-2235-4F44-BC4E-87A687023CB5}" name="Цена_x000a_ Продажа" dataDxfId="15"/>
    <tableColumn id="19" xr3:uid="{DA16261F-29F9-4DA2-90BC-125B2E5D54D6}" name="Сумма _x000a_Продажа" dataDxfId="14"/>
    <tableColumn id="26" xr3:uid="{2FB88FE5-70E3-4868-9DCC-5367B9448E22}" name="Расход _x000a_Авто" dataDxfId="13"/>
    <tableColumn id="27" xr3:uid="{270824DF-1D4B-4619-8130-7D91DEF4FEA5}" name="Общая прибль" dataDxfId="12">
      <calculatedColumnFormula>Таблица1[[#This Row],[Сумма 
Продажа]]-Таблица1[[#This Row],[Сумма 
Приход]]-Таблица1[[#This Row],[Авто услу ]]</calculatedColumnFormula>
    </tableColumn>
    <tableColumn id="7" xr3:uid="{5B46ED01-4D62-4E6E-B429-0A42F20842FE}" name="Авто услу " dataDxfId="11"/>
    <tableColumn id="17" xr3:uid="{0C58A967-44B0-49E6-80EF-8ED2A8751218}" name="Мижозга" dataDxfId="10">
      <calculatedColumnFormula>Таблица1[[#This Row],[Сумма 
Продажа]]-IF(Таблица1[[#This Row],[Расход 
Авто]]="Клиент",N(Таблица1[[#This Row],[Авто услу ]]),0)</calculatedColumnFormula>
    </tableColumn>
    <tableColumn id="18" xr3:uid="{C2D7E18C-0F43-4BDB-BF54-0C19D4334311}" name="Агент (бириктирилган)" dataDxfId="9">
      <calculatedColumnFormula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calculatedColumnFormula>
    </tableColumn>
    <tableColumn id="20" xr3:uid="{78098E98-473C-441B-8058-A3D97FEB69CD}" name="Агент текшируви" dataDxfId="8">
      <calculatedColumnFormula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calculatedColumnFormula>
    </tableColumn>
    <tableColumn id="21" xr3:uid="{3027671D-D928-48DC-84B0-A16DAF7D1D6C}" name="Рухсат этилган агент" dataDxfId="7">
      <calculatedColumnFormula>IFERROR(INDEX(Мижозлар[Агент],MATCH($D4,Мижозлар[Расмий ном],0)),"")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32" row="1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A2011-8878-4578-A402-7BD0C19C1FA2}">
  <we:reference id="wa200010725" version="1.0.0.1" store="ru-RU" storeType="OMEX"/>
  <we:alternateReferences>
    <we:reference id="wa200010725" version="1.0.0.1" store="ru-RU" storeType="OMEX"/>
  </we:alternateReferences>
  <we:properties>
    <we:property name="claude.fileId" value="&quot;2db12c8f-343b-4b03-930e-5de4e782db7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DC14-8445-45BA-8776-42449FD0377C}">
  <sheetPr>
    <pageSetUpPr fitToPage="1"/>
  </sheetPr>
  <dimension ref="A1:J58"/>
  <sheetViews>
    <sheetView topLeftCell="A35" zoomScale="115" zoomScaleNormal="115" workbookViewId="0">
      <selection activeCell="A62" sqref="A62"/>
    </sheetView>
  </sheetViews>
  <sheetFormatPr defaultRowHeight="15" x14ac:dyDescent="0.25"/>
  <cols>
    <col min="1" max="1" width="30.85546875" bestFit="1" customWidth="1"/>
    <col min="2" max="2" width="22.5703125" bestFit="1" customWidth="1"/>
    <col min="3" max="3" width="54.28515625" bestFit="1" customWidth="1"/>
    <col min="4" max="4" width="25.5703125" bestFit="1" customWidth="1"/>
    <col min="5" max="6" width="12.42578125" bestFit="1" customWidth="1"/>
    <col min="7" max="7" width="7.85546875" bestFit="1" customWidth="1"/>
    <col min="9" max="9" width="13.5703125" bestFit="1" customWidth="1"/>
    <col min="10" max="10" width="7.85546875" bestFit="1" customWidth="1"/>
  </cols>
  <sheetData>
    <row r="1" spans="1:10" ht="18.75" x14ac:dyDescent="0.3">
      <c r="A1" s="172" t="s">
        <v>0</v>
      </c>
    </row>
    <row r="3" spans="1:10" x14ac:dyDescent="0.25">
      <c r="A3" s="171" t="s">
        <v>1</v>
      </c>
    </row>
    <row r="4" spans="1:10" x14ac:dyDescent="0.25">
      <c r="A4" t="s">
        <v>2</v>
      </c>
      <c r="B4" s="35">
        <v>130000</v>
      </c>
      <c r="C4" s="174" t="s">
        <v>3</v>
      </c>
    </row>
    <row r="5" spans="1:10" x14ac:dyDescent="0.25">
      <c r="A5" t="s">
        <v>4</v>
      </c>
      <c r="B5" s="35">
        <v>10000</v>
      </c>
      <c r="C5" s="174" t="s">
        <v>5</v>
      </c>
    </row>
    <row r="6" spans="1:10" x14ac:dyDescent="0.25">
      <c r="A6" t="s">
        <v>6</v>
      </c>
      <c r="B6" s="36">
        <v>0.33333333333333331</v>
      </c>
      <c r="C6" s="174" t="s">
        <v>7</v>
      </c>
    </row>
    <row r="7" spans="1:10" x14ac:dyDescent="0.25">
      <c r="A7" t="s">
        <v>8</v>
      </c>
      <c r="B7" s="37">
        <f>1-B6</f>
        <v>0.66666666666666674</v>
      </c>
    </row>
    <row r="9" spans="1:10" x14ac:dyDescent="0.25">
      <c r="A9" s="327" t="s">
        <v>9</v>
      </c>
      <c r="B9" s="327"/>
      <c r="C9" s="327"/>
      <c r="D9" s="327"/>
      <c r="F9" s="327" t="s">
        <v>10</v>
      </c>
      <c r="G9" s="328"/>
      <c r="I9" s="327" t="s">
        <v>11</v>
      </c>
      <c r="J9" s="328"/>
    </row>
    <row r="10" spans="1:10" x14ac:dyDescent="0.25">
      <c r="A10" s="38" t="s">
        <v>12</v>
      </c>
      <c r="B10" s="38" t="s">
        <v>13</v>
      </c>
      <c r="C10" s="38" t="s">
        <v>14</v>
      </c>
      <c r="D10" s="38" t="s">
        <v>15</v>
      </c>
      <c r="E10" s="38" t="s">
        <v>16</v>
      </c>
      <c r="F10" s="38" t="s">
        <v>16</v>
      </c>
      <c r="G10" s="38" t="s">
        <v>17</v>
      </c>
      <c r="I10" s="38" t="s">
        <v>18</v>
      </c>
      <c r="J10" s="38" t="s">
        <v>17</v>
      </c>
    </row>
    <row r="11" spans="1:10" x14ac:dyDescent="0.25">
      <c r="A11" t="s">
        <v>19</v>
      </c>
      <c r="D11" t="s">
        <v>20</v>
      </c>
      <c r="E11" s="235" t="s">
        <v>40</v>
      </c>
      <c r="F11" t="s">
        <v>21</v>
      </c>
      <c r="I11" t="s">
        <v>22</v>
      </c>
    </row>
    <row r="12" spans="1:10" x14ac:dyDescent="0.25">
      <c r="A12" t="s">
        <v>23</v>
      </c>
      <c r="D12" t="s">
        <v>24</v>
      </c>
      <c r="E12" s="235" t="s">
        <v>29</v>
      </c>
      <c r="F12" t="s">
        <v>25</v>
      </c>
      <c r="I12" t="s">
        <v>26</v>
      </c>
    </row>
    <row r="13" spans="1:10" x14ac:dyDescent="0.25">
      <c r="A13" t="s">
        <v>27</v>
      </c>
      <c r="D13" t="s">
        <v>28</v>
      </c>
      <c r="E13" s="235" t="s">
        <v>40</v>
      </c>
      <c r="F13" t="s">
        <v>29</v>
      </c>
    </row>
    <row r="14" spans="1:10" x14ac:dyDescent="0.25">
      <c r="A14" t="s">
        <v>30</v>
      </c>
      <c r="D14" t="s">
        <v>31</v>
      </c>
      <c r="E14" s="235" t="s">
        <v>40</v>
      </c>
      <c r="F14" t="s">
        <v>32</v>
      </c>
      <c r="I14" s="327" t="s">
        <v>33</v>
      </c>
      <c r="J14" s="328"/>
    </row>
    <row r="15" spans="1:10" x14ac:dyDescent="0.25">
      <c r="A15" t="s">
        <v>34</v>
      </c>
      <c r="D15" t="s">
        <v>35</v>
      </c>
      <c r="E15" s="235" t="s">
        <v>40</v>
      </c>
      <c r="F15" t="s">
        <v>36</v>
      </c>
      <c r="I15" s="38" t="s">
        <v>37</v>
      </c>
    </row>
    <row r="16" spans="1:10" x14ac:dyDescent="0.25">
      <c r="A16" t="s">
        <v>38</v>
      </c>
      <c r="D16" t="s">
        <v>39</v>
      </c>
      <c r="E16" s="235" t="s">
        <v>21</v>
      </c>
      <c r="F16" t="s">
        <v>40</v>
      </c>
      <c r="I16" t="s">
        <v>41</v>
      </c>
    </row>
    <row r="17" spans="1:9" x14ac:dyDescent="0.25">
      <c r="A17" t="s">
        <v>42</v>
      </c>
      <c r="D17" t="s">
        <v>43</v>
      </c>
      <c r="E17" s="235" t="s">
        <v>40</v>
      </c>
      <c r="I17" t="s">
        <v>44</v>
      </c>
    </row>
    <row r="18" spans="1:9" x14ac:dyDescent="0.25">
      <c r="A18" t="s">
        <v>45</v>
      </c>
      <c r="B18" t="s">
        <v>46</v>
      </c>
      <c r="C18" t="s">
        <v>46</v>
      </c>
      <c r="D18" t="s">
        <v>47</v>
      </c>
      <c r="E18" s="235" t="s">
        <v>36</v>
      </c>
    </row>
    <row r="19" spans="1:9" x14ac:dyDescent="0.25">
      <c r="A19" t="s">
        <v>48</v>
      </c>
      <c r="B19" t="s">
        <v>49</v>
      </c>
      <c r="C19" t="s">
        <v>49</v>
      </c>
      <c r="D19" t="s">
        <v>50</v>
      </c>
      <c r="E19" s="235" t="s">
        <v>36</v>
      </c>
    </row>
    <row r="20" spans="1:9" x14ac:dyDescent="0.25">
      <c r="A20" t="s">
        <v>51</v>
      </c>
      <c r="D20" t="s">
        <v>52</v>
      </c>
      <c r="E20" s="235" t="s">
        <v>40</v>
      </c>
    </row>
    <row r="21" spans="1:9" x14ac:dyDescent="0.25">
      <c r="A21" t="s">
        <v>53</v>
      </c>
      <c r="D21" t="s">
        <v>54</v>
      </c>
      <c r="E21" s="235" t="s">
        <v>25</v>
      </c>
    </row>
    <row r="22" spans="1:9" x14ac:dyDescent="0.25">
      <c r="A22" t="s">
        <v>55</v>
      </c>
      <c r="D22" t="s">
        <v>56</v>
      </c>
      <c r="E22" s="235" t="s">
        <v>40</v>
      </c>
    </row>
    <row r="23" spans="1:9" x14ac:dyDescent="0.25">
      <c r="A23" t="s">
        <v>57</v>
      </c>
      <c r="D23" t="s">
        <v>58</v>
      </c>
      <c r="E23" s="235" t="s">
        <v>29</v>
      </c>
    </row>
    <row r="24" spans="1:9" x14ac:dyDescent="0.25">
      <c r="A24" t="s">
        <v>59</v>
      </c>
      <c r="D24" t="s">
        <v>60</v>
      </c>
      <c r="E24" s="235" t="s">
        <v>21</v>
      </c>
    </row>
    <row r="25" spans="1:9" x14ac:dyDescent="0.25">
      <c r="A25" t="s">
        <v>61</v>
      </c>
      <c r="D25" t="s">
        <v>62</v>
      </c>
      <c r="E25" s="235" t="s">
        <v>36</v>
      </c>
    </row>
    <row r="26" spans="1:9" x14ac:dyDescent="0.25">
      <c r="A26" t="s">
        <v>63</v>
      </c>
      <c r="D26" t="s">
        <v>64</v>
      </c>
      <c r="E26" s="235" t="s">
        <v>32</v>
      </c>
    </row>
    <row r="27" spans="1:9" x14ac:dyDescent="0.25">
      <c r="A27" t="s">
        <v>65</v>
      </c>
      <c r="D27" t="s">
        <v>66</v>
      </c>
      <c r="E27" s="235" t="s">
        <v>32</v>
      </c>
    </row>
    <row r="28" spans="1:9" x14ac:dyDescent="0.25">
      <c r="A28" t="s">
        <v>67</v>
      </c>
      <c r="D28" t="s">
        <v>68</v>
      </c>
      <c r="E28" s="235" t="s">
        <v>29</v>
      </c>
    </row>
    <row r="29" spans="1:9" x14ac:dyDescent="0.25">
      <c r="A29" t="s">
        <v>69</v>
      </c>
      <c r="D29" t="s">
        <v>70</v>
      </c>
      <c r="E29" s="235" t="s">
        <v>29</v>
      </c>
    </row>
    <row r="30" spans="1:9" x14ac:dyDescent="0.25">
      <c r="A30" t="s">
        <v>71</v>
      </c>
      <c r="B30" t="s">
        <v>72</v>
      </c>
      <c r="D30" t="s">
        <v>73</v>
      </c>
      <c r="E30" s="235" t="s">
        <v>36</v>
      </c>
    </row>
    <row r="31" spans="1:9" x14ac:dyDescent="0.25">
      <c r="A31" t="s">
        <v>74</v>
      </c>
      <c r="D31" t="s">
        <v>75</v>
      </c>
      <c r="E31" s="235" t="s">
        <v>36</v>
      </c>
    </row>
    <row r="32" spans="1:9" x14ac:dyDescent="0.25">
      <c r="A32" t="s">
        <v>76</v>
      </c>
      <c r="B32" t="s">
        <v>76</v>
      </c>
      <c r="C32" t="s">
        <v>76</v>
      </c>
      <c r="D32" t="s">
        <v>77</v>
      </c>
      <c r="E32" s="235" t="s">
        <v>21</v>
      </c>
    </row>
    <row r="33" spans="1:5" x14ac:dyDescent="0.25">
      <c r="A33" t="s">
        <v>78</v>
      </c>
      <c r="D33" t="s">
        <v>79</v>
      </c>
      <c r="E33" s="235" t="s">
        <v>36</v>
      </c>
    </row>
    <row r="34" spans="1:5" x14ac:dyDescent="0.25">
      <c r="A34" t="s">
        <v>80</v>
      </c>
      <c r="D34" t="s">
        <v>81</v>
      </c>
      <c r="E34" s="235" t="s">
        <v>40</v>
      </c>
    </row>
    <row r="35" spans="1:5" x14ac:dyDescent="0.25">
      <c r="A35" t="s">
        <v>82</v>
      </c>
      <c r="B35" t="s">
        <v>83</v>
      </c>
      <c r="D35" t="s">
        <v>84</v>
      </c>
      <c r="E35" s="235" t="s">
        <v>36</v>
      </c>
    </row>
    <row r="36" spans="1:5" x14ac:dyDescent="0.25">
      <c r="A36" t="s">
        <v>85</v>
      </c>
      <c r="D36" t="s">
        <v>86</v>
      </c>
      <c r="E36" s="235" t="s">
        <v>32</v>
      </c>
    </row>
    <row r="37" spans="1:5" x14ac:dyDescent="0.25">
      <c r="A37" t="s">
        <v>87</v>
      </c>
      <c r="D37" t="s">
        <v>88</v>
      </c>
      <c r="E37" s="235" t="s">
        <v>40</v>
      </c>
    </row>
    <row r="38" spans="1:5" x14ac:dyDescent="0.25">
      <c r="A38" t="s">
        <v>89</v>
      </c>
      <c r="D38" t="s">
        <v>90</v>
      </c>
      <c r="E38" s="235" t="s">
        <v>29</v>
      </c>
    </row>
    <row r="39" spans="1:5" x14ac:dyDescent="0.25">
      <c r="A39" t="s">
        <v>91</v>
      </c>
      <c r="B39" t="s">
        <v>92</v>
      </c>
      <c r="C39" t="s">
        <v>93</v>
      </c>
      <c r="D39" t="s">
        <v>94</v>
      </c>
      <c r="E39" s="235" t="s">
        <v>32</v>
      </c>
    </row>
    <row r="40" spans="1:5" x14ac:dyDescent="0.25">
      <c r="A40" t="s">
        <v>95</v>
      </c>
      <c r="B40" t="s">
        <v>96</v>
      </c>
      <c r="D40" t="s">
        <v>97</v>
      </c>
      <c r="E40" s="235" t="s">
        <v>29</v>
      </c>
    </row>
    <row r="41" spans="1:5" x14ac:dyDescent="0.25">
      <c r="A41" t="s">
        <v>98</v>
      </c>
      <c r="D41" t="s">
        <v>99</v>
      </c>
      <c r="E41" s="235" t="s">
        <v>29</v>
      </c>
    </row>
    <row r="42" spans="1:5" x14ac:dyDescent="0.25">
      <c r="A42" t="s">
        <v>100</v>
      </c>
      <c r="B42" t="s">
        <v>101</v>
      </c>
      <c r="C42" t="s">
        <v>101</v>
      </c>
      <c r="D42" t="s">
        <v>102</v>
      </c>
      <c r="E42" s="235" t="s">
        <v>29</v>
      </c>
    </row>
    <row r="43" spans="1:5" x14ac:dyDescent="0.25">
      <c r="A43" t="s">
        <v>103</v>
      </c>
      <c r="D43" t="s">
        <v>104</v>
      </c>
      <c r="E43" s="235" t="s">
        <v>25</v>
      </c>
    </row>
    <row r="44" spans="1:5" x14ac:dyDescent="0.25">
      <c r="A44" t="s">
        <v>105</v>
      </c>
      <c r="D44" t="s">
        <v>106</v>
      </c>
      <c r="E44" s="235" t="s">
        <v>25</v>
      </c>
    </row>
    <row r="45" spans="1:5" x14ac:dyDescent="0.25">
      <c r="A45" t="s">
        <v>107</v>
      </c>
      <c r="D45" t="s">
        <v>108</v>
      </c>
      <c r="E45" s="235" t="s">
        <v>32</v>
      </c>
    </row>
    <row r="46" spans="1:5" x14ac:dyDescent="0.25">
      <c r="A46" t="s">
        <v>109</v>
      </c>
      <c r="B46" t="s">
        <v>110</v>
      </c>
      <c r="C46" t="s">
        <v>110</v>
      </c>
      <c r="D46" t="s">
        <v>111</v>
      </c>
      <c r="E46" s="235" t="s">
        <v>40</v>
      </c>
    </row>
    <row r="47" spans="1:5" x14ac:dyDescent="0.25">
      <c r="A47" t="s">
        <v>112</v>
      </c>
      <c r="D47" t="s">
        <v>113</v>
      </c>
      <c r="E47" s="235" t="s">
        <v>32</v>
      </c>
    </row>
    <row r="48" spans="1:5" x14ac:dyDescent="0.25">
      <c r="A48" t="s">
        <v>114</v>
      </c>
      <c r="D48" t="s">
        <v>115</v>
      </c>
      <c r="E48" s="235" t="s">
        <v>25</v>
      </c>
    </row>
    <row r="49" spans="1:5" x14ac:dyDescent="0.25">
      <c r="A49" t="s">
        <v>116</v>
      </c>
      <c r="B49" t="s">
        <v>117</v>
      </c>
      <c r="D49" t="s">
        <v>118</v>
      </c>
      <c r="E49" s="235" t="s">
        <v>21</v>
      </c>
    </row>
    <row r="50" spans="1:5" x14ac:dyDescent="0.25">
      <c r="A50" t="s">
        <v>119</v>
      </c>
      <c r="D50" t="s">
        <v>120</v>
      </c>
      <c r="E50" s="235" t="s">
        <v>40</v>
      </c>
    </row>
    <row r="51" spans="1:5" x14ac:dyDescent="0.25">
      <c r="A51" t="s">
        <v>121</v>
      </c>
      <c r="B51" t="s">
        <v>121</v>
      </c>
      <c r="C51" t="s">
        <v>121</v>
      </c>
      <c r="E51" s="235" t="s">
        <v>40</v>
      </c>
    </row>
    <row r="52" spans="1:5" x14ac:dyDescent="0.25">
      <c r="A52" t="s">
        <v>122</v>
      </c>
      <c r="B52" t="s">
        <v>122</v>
      </c>
      <c r="C52" t="s">
        <v>122</v>
      </c>
      <c r="E52" s="235" t="s">
        <v>32</v>
      </c>
    </row>
    <row r="53" spans="1:5" x14ac:dyDescent="0.25">
      <c r="A53" t="s">
        <v>123</v>
      </c>
      <c r="B53" t="s">
        <v>123</v>
      </c>
      <c r="C53" t="s">
        <v>123</v>
      </c>
      <c r="E53" s="235" t="s">
        <v>36</v>
      </c>
    </row>
    <row r="54" spans="1:5" x14ac:dyDescent="0.25">
      <c r="A54" t="s">
        <v>592</v>
      </c>
      <c r="B54" t="s">
        <v>592</v>
      </c>
      <c r="C54" t="s">
        <v>592</v>
      </c>
      <c r="E54" s="235" t="s">
        <v>36</v>
      </c>
    </row>
    <row r="55" spans="1:5" x14ac:dyDescent="0.25">
      <c r="A55" t="s">
        <v>691</v>
      </c>
      <c r="E55" s="235" t="s">
        <v>29</v>
      </c>
    </row>
    <row r="56" spans="1:5" x14ac:dyDescent="0.25">
      <c r="A56" t="s">
        <v>694</v>
      </c>
      <c r="B56" t="s">
        <v>694</v>
      </c>
      <c r="C56" t="s">
        <v>694</v>
      </c>
      <c r="E56" s="235" t="s">
        <v>36</v>
      </c>
    </row>
    <row r="57" spans="1:5" x14ac:dyDescent="0.25">
      <c r="A57" t="s">
        <v>715</v>
      </c>
      <c r="E57" s="307" t="s">
        <v>40</v>
      </c>
    </row>
    <row r="58" spans="1:5" x14ac:dyDescent="0.25">
      <c r="A58" s="304" t="s">
        <v>717</v>
      </c>
      <c r="E58" s="307" t="s">
        <v>40</v>
      </c>
    </row>
  </sheetData>
  <mergeCells count="4">
    <mergeCell ref="A9:D9"/>
    <mergeCell ref="F9:G9"/>
    <mergeCell ref="I9:J9"/>
    <mergeCell ref="I14:J14"/>
  </mergeCells>
  <dataValidations count="1">
    <dataValidation type="list" allowBlank="1" showInputMessage="1" showErrorMessage="1" errorTitle="Нотўғри агент" error="Фақат Агентлар справочнигидаги агентни танланг." sqref="E11:E58" xr:uid="{BAFB30C4-5B8A-4728-96AE-92A48494354B}">
      <formula1>$F$11:$F$16</formula1>
    </dataValidation>
  </dataValidations>
  <pageMargins left="0.7" right="0.7" top="0.75" bottom="0.75" header="0.3" footer="0.3"/>
  <pageSetup paperSize="9" scale="44" orientation="portrait" horizontalDpi="0" verticalDpi="0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5184F-5079-46C2-8F22-A2CFB324F019}">
  <dimension ref="A1:T200"/>
  <sheetViews>
    <sheetView zoomScale="85" zoomScaleNormal="85" workbookViewId="0">
      <pane ySplit="6" topLeftCell="A7" activePane="bottomLeft" state="frozen"/>
      <selection pane="bottomLeft" activeCell="B17" sqref="B17"/>
    </sheetView>
  </sheetViews>
  <sheetFormatPr defaultRowHeight="15" x14ac:dyDescent="0.25"/>
  <cols>
    <col min="1" max="1" width="55.28515625" bestFit="1" customWidth="1"/>
    <col min="2" max="2" width="12.85546875" bestFit="1" customWidth="1"/>
    <col min="3" max="3" width="19.140625" customWidth="1"/>
    <col min="4" max="4" width="11.140625" bestFit="1" customWidth="1"/>
    <col min="5" max="5" width="12.140625" bestFit="1" customWidth="1"/>
    <col min="6" max="6" width="11.85546875" bestFit="1" customWidth="1"/>
    <col min="7" max="7" width="10.5703125" bestFit="1" customWidth="1"/>
    <col min="8" max="8" width="10.28515625" bestFit="1" customWidth="1"/>
    <col min="9" max="9" width="10.85546875" bestFit="1" customWidth="1"/>
    <col min="10" max="10" width="8.42578125" bestFit="1" customWidth="1"/>
    <col min="12" max="12" width="10.7109375" bestFit="1" customWidth="1"/>
    <col min="13" max="13" width="11.42578125" bestFit="1" customWidth="1"/>
    <col min="14" max="14" width="8.42578125" bestFit="1" customWidth="1"/>
    <col min="15" max="15" width="9.85546875" bestFit="1" customWidth="1"/>
    <col min="16" max="16" width="11.42578125" bestFit="1" customWidth="1"/>
    <col min="17" max="17" width="50.85546875" bestFit="1" customWidth="1"/>
    <col min="19" max="19" width="10.7109375" style="45" customWidth="1"/>
    <col min="20" max="20" width="9.28515625" style="45" customWidth="1"/>
  </cols>
  <sheetData>
    <row r="1" spans="1:20" ht="18.75" x14ac:dyDescent="0.3">
      <c r="A1" s="329" t="s">
        <v>139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</row>
    <row r="3" spans="1:20" ht="15.75" x14ac:dyDescent="0.25">
      <c r="A3" s="173" t="s">
        <v>140</v>
      </c>
      <c r="C3" s="43" t="s">
        <v>715</v>
      </c>
      <c r="D3" s="201" t="s">
        <v>594</v>
      </c>
      <c r="E3" s="202" t="str">
        <f>IF($C$3="","",IFERROR(INDEX(Мижозлар[Агент],MATCH($C$3,Мижозлар[Расмий ном],0)),"— бириктирилмаган —"))</f>
        <v>Шохрух ога</v>
      </c>
    </row>
    <row r="5" spans="1:20" x14ac:dyDescent="0.25">
      <c r="A5" s="327" t="s">
        <v>141</v>
      </c>
      <c r="B5" s="327"/>
      <c r="D5" s="327" t="s">
        <v>142</v>
      </c>
      <c r="E5" s="327"/>
      <c r="F5" s="327"/>
      <c r="G5" s="327"/>
      <c r="H5" s="327"/>
      <c r="I5" s="327"/>
      <c r="J5" s="327"/>
      <c r="L5" s="327" t="s">
        <v>143</v>
      </c>
      <c r="M5" s="327"/>
      <c r="N5" s="327"/>
      <c r="O5" s="327"/>
      <c r="P5" s="327"/>
      <c r="Q5" s="327"/>
      <c r="S5" s="330" t="s">
        <v>144</v>
      </c>
      <c r="T5" s="330"/>
    </row>
    <row r="6" spans="1:20" s="22" customFormat="1" ht="30" x14ac:dyDescent="0.25">
      <c r="A6" s="22" t="s">
        <v>126</v>
      </c>
      <c r="B6" s="65">
        <f>SUMIF('Мижозлар қолдиғи'!$B$5:$B$60,$C$3,'Мижозлар қолдиғи'!C$5:C$60)</f>
        <v>62517120</v>
      </c>
      <c r="D6" s="52" t="s">
        <v>145</v>
      </c>
      <c r="E6" s="52" t="s">
        <v>146</v>
      </c>
      <c r="F6" s="52" t="s">
        <v>147</v>
      </c>
      <c r="G6" s="52" t="s">
        <v>148</v>
      </c>
      <c r="H6" s="52" t="s">
        <v>149</v>
      </c>
      <c r="I6" s="52" t="s">
        <v>150</v>
      </c>
      <c r="J6" s="52" t="s">
        <v>151</v>
      </c>
      <c r="L6" s="52" t="s">
        <v>145</v>
      </c>
      <c r="M6" s="52" t="s">
        <v>152</v>
      </c>
      <c r="N6" s="52" t="s">
        <v>153</v>
      </c>
      <c r="O6" s="52" t="s">
        <v>154</v>
      </c>
      <c r="P6" s="52" t="s">
        <v>155</v>
      </c>
      <c r="Q6" s="52" t="s">
        <v>156</v>
      </c>
      <c r="S6" s="52" t="s">
        <v>145</v>
      </c>
      <c r="T6" s="52" t="s">
        <v>157</v>
      </c>
    </row>
    <row r="7" spans="1:20" x14ac:dyDescent="0.25">
      <c r="A7" t="s">
        <v>128</v>
      </c>
      <c r="B7" s="53">
        <f>SUMIF('Мижозлар қолдиғи'!$B$5:$B$60,$C$3,'Мижозлар қолдиғи'!D$5:D$60)</f>
        <v>0</v>
      </c>
      <c r="D7" s="40" cm="1">
        <f t="array" ref="D7:J9">IFERROR(_xlfn._xlws.FILTER(_xlfn.CHOOSECOLS(Товар!$E$4:$T$1110,1,2,3,4,11,16,7),Товар!$D$4:$D$1110=$C$3),"")</f>
        <v>46264</v>
      </c>
      <c r="E7" t="str">
        <v>90 958 GBA</v>
      </c>
      <c r="F7" t="str">
        <v>600x300x200</v>
      </c>
      <c r="G7" s="44">
        <v>32.832000000000001</v>
      </c>
      <c r="H7" s="2">
        <v>720000</v>
      </c>
      <c r="I7" s="2">
        <v>20839040</v>
      </c>
      <c r="J7" s="2">
        <v>19</v>
      </c>
      <c r="L7" s="40" t="str" cm="1">
        <f t="array" ref="L7">IFERROR(_xlfn._xlws.FILTER(_xlfn.CHOOSECOLS(Тўловлар[[Дата]:[Товарга]],1,11,6,15,16,5),Тўловлар[Клиент]=$C$3),"")</f>
        <v/>
      </c>
      <c r="M7" s="41"/>
      <c r="N7" s="41"/>
      <c r="O7" s="41"/>
      <c r="P7" s="41"/>
      <c r="S7" s="72" t="str" cm="1">
        <f t="array" ref="S7">IFERROR(_xlfn._xlws.FILTER(_xlfn.CHOOSECOLS(ПоддонҚайтариш[[Дата]:[Поддон дона]],1,3),ПоддонҚайтариш[Клиент]=$C$3),"")</f>
        <v/>
      </c>
      <c r="T7" s="29"/>
    </row>
    <row r="8" spans="1:20" x14ac:dyDescent="0.25">
      <c r="A8" s="173" t="s">
        <v>129</v>
      </c>
      <c r="B8" s="56">
        <f>SUMIF('Мижозлар қолдиғи'!$B$5:$B$60,$C$3,'Мижозлар қолдиғи'!E$5:E$60)</f>
        <v>-62517120</v>
      </c>
      <c r="D8" s="40">
        <v>46264</v>
      </c>
      <c r="E8" t="str">
        <v>90 108 KBA</v>
      </c>
      <c r="F8" t="str">
        <v>600x300x200</v>
      </c>
      <c r="G8" s="44">
        <v>32.832000000000001</v>
      </c>
      <c r="H8" s="2">
        <v>720000</v>
      </c>
      <c r="I8" s="2">
        <v>20839040</v>
      </c>
      <c r="J8" s="2">
        <v>19</v>
      </c>
      <c r="L8" s="40"/>
      <c r="M8" s="41"/>
      <c r="N8" s="41"/>
      <c r="O8" s="41"/>
      <c r="P8" s="41"/>
      <c r="S8" s="72"/>
      <c r="T8" s="29"/>
    </row>
    <row r="9" spans="1:20" x14ac:dyDescent="0.25">
      <c r="D9" s="40">
        <v>46266</v>
      </c>
      <c r="E9" t="str">
        <v>90 P 959 ZA</v>
      </c>
      <c r="F9" t="str">
        <v>600x300x200</v>
      </c>
      <c r="G9" s="44">
        <v>32.832000000000001</v>
      </c>
      <c r="H9" s="2">
        <v>720000</v>
      </c>
      <c r="I9" s="2">
        <v>20839040</v>
      </c>
      <c r="J9" s="2">
        <v>19</v>
      </c>
      <c r="L9" s="40"/>
      <c r="M9" s="41"/>
      <c r="N9" s="41"/>
      <c r="O9" s="41"/>
      <c r="P9" s="41"/>
      <c r="S9" s="72"/>
      <c r="T9" s="29"/>
    </row>
    <row r="10" spans="1:20" x14ac:dyDescent="0.25">
      <c r="A10" t="s">
        <v>130</v>
      </c>
      <c r="B10" s="53">
        <f>SUMIF('Мижозлар қолдиғи'!$B$5:$B$60,$C$3,'Мижозлар қолдиғи'!F$5:F$60)</f>
        <v>57</v>
      </c>
      <c r="D10" s="40"/>
      <c r="G10" s="44"/>
      <c r="H10" s="2"/>
      <c r="I10" s="2"/>
      <c r="J10" s="2"/>
      <c r="L10" s="40"/>
      <c r="M10" s="41"/>
      <c r="N10" s="41"/>
      <c r="O10" s="41"/>
      <c r="P10" s="41"/>
      <c r="S10" s="72"/>
      <c r="T10" s="29"/>
    </row>
    <row r="11" spans="1:20" x14ac:dyDescent="0.25">
      <c r="A11" t="s">
        <v>158</v>
      </c>
      <c r="B11" s="53">
        <f>SUMIF('Мижозлар қолдиғи'!$B$5:$B$60,$C$3,'Мижозлар қолдиғи'!G$5:G$60)</f>
        <v>0</v>
      </c>
      <c r="D11" s="40"/>
      <c r="G11" s="44"/>
      <c r="H11" s="2"/>
      <c r="I11" s="2"/>
      <c r="J11" s="2"/>
      <c r="L11" s="40"/>
      <c r="M11" s="41"/>
      <c r="N11" s="41"/>
      <c r="O11" s="41"/>
      <c r="P11" s="41"/>
      <c r="S11" s="72"/>
      <c r="T11" s="29"/>
    </row>
    <row r="12" spans="1:20" x14ac:dyDescent="0.25">
      <c r="A12" t="s">
        <v>159</v>
      </c>
      <c r="B12" s="53">
        <f>SUMIF('Мижозлар қолдиғи'!$B$5:$B$60,$C$3,'Мижозлар қолдиғи'!H$5:H$60)</f>
        <v>0</v>
      </c>
      <c r="C12" s="64">
        <f>SUMIF('Мижозлар қолдиғи'!$B$5:$B$60,$C$3,'Мижозлар қолдиғи'!I$5:I$60)</f>
        <v>0</v>
      </c>
      <c r="D12" s="40"/>
      <c r="G12" s="44"/>
      <c r="H12" s="2"/>
      <c r="I12" s="2"/>
      <c r="J12" s="2"/>
      <c r="L12" s="40"/>
      <c r="M12" s="41"/>
      <c r="N12" s="41"/>
      <c r="O12" s="41"/>
      <c r="P12" s="41"/>
      <c r="S12" s="72"/>
      <c r="T12" s="29"/>
    </row>
    <row r="13" spans="1:20" x14ac:dyDescent="0.25">
      <c r="A13" s="173" t="s">
        <v>134</v>
      </c>
      <c r="B13" s="58">
        <f>SUMIF('Мижозлар қолдиғи'!$B$5:$B$60,$C$3,'Мижозлар қолдиғи'!J$5:J$60)</f>
        <v>-57</v>
      </c>
      <c r="D13" s="40"/>
      <c r="G13" s="44"/>
      <c r="H13" s="2"/>
      <c r="I13" s="2"/>
      <c r="J13" s="2"/>
      <c r="L13" s="40"/>
      <c r="M13" s="41"/>
      <c r="N13" s="41"/>
      <c r="O13" s="41"/>
      <c r="P13" s="41"/>
      <c r="S13" s="72"/>
      <c r="T13" s="29"/>
    </row>
    <row r="14" spans="1:20" x14ac:dyDescent="0.25">
      <c r="A14" t="s">
        <v>135</v>
      </c>
      <c r="B14" s="2">
        <f>SUMIF('Мижозлар қолдиғи'!$B$5:$B$60,$C$3,'Мижозлар қолдиғи'!K$5:K$60)</f>
        <v>130000</v>
      </c>
      <c r="D14" s="40"/>
      <c r="G14" s="44"/>
      <c r="H14" s="2"/>
      <c r="I14" s="2"/>
      <c r="J14" s="2"/>
      <c r="L14" s="40"/>
      <c r="M14" s="41"/>
      <c r="N14" s="41"/>
      <c r="O14" s="41"/>
      <c r="P14" s="41"/>
      <c r="S14" s="72"/>
      <c r="T14" s="29"/>
    </row>
    <row r="15" spans="1:20" x14ac:dyDescent="0.25">
      <c r="A15" s="173" t="s">
        <v>136</v>
      </c>
      <c r="B15" s="58">
        <f>SUMIF('Мижозлар қолдиғи'!$B$5:$B$60,$C$3,'Мижозлар қолдиғи'!L$5:L$60)</f>
        <v>-7410000</v>
      </c>
      <c r="D15" s="40"/>
      <c r="G15" s="44"/>
      <c r="H15" s="2"/>
      <c r="I15" s="2"/>
      <c r="J15" s="2"/>
      <c r="L15" s="40"/>
      <c r="M15" s="41"/>
      <c r="N15" s="41"/>
      <c r="O15" s="41"/>
      <c r="P15" s="41"/>
      <c r="S15" s="72"/>
      <c r="T15" s="29"/>
    </row>
    <row r="16" spans="1:20" x14ac:dyDescent="0.25">
      <c r="D16" s="40"/>
      <c r="G16" s="44"/>
      <c r="H16" s="2"/>
      <c r="I16" s="2"/>
      <c r="J16" s="2"/>
      <c r="L16" s="40"/>
      <c r="M16" s="41"/>
      <c r="N16" s="41"/>
      <c r="O16" s="41"/>
      <c r="P16" s="41"/>
      <c r="S16" s="72"/>
      <c r="T16" s="29"/>
    </row>
    <row r="17" spans="1:20" x14ac:dyDescent="0.25">
      <c r="A17" s="173" t="s">
        <v>137</v>
      </c>
      <c r="B17" s="66">
        <f>B8+B15</f>
        <v>-69927120</v>
      </c>
      <c r="D17" s="40"/>
      <c r="G17" s="44"/>
      <c r="H17" s="2"/>
      <c r="I17" s="2"/>
      <c r="J17" s="2"/>
      <c r="L17" s="40"/>
      <c r="M17" s="41"/>
      <c r="N17" s="41"/>
      <c r="O17" s="41"/>
      <c r="P17" s="41"/>
      <c r="S17" s="72"/>
      <c r="T17" s="29"/>
    </row>
    <row r="18" spans="1:20" x14ac:dyDescent="0.25">
      <c r="D18" s="40"/>
      <c r="G18" s="44"/>
      <c r="H18" s="2"/>
      <c r="I18" s="2"/>
      <c r="J18" s="2"/>
      <c r="L18" s="40"/>
      <c r="M18" s="41"/>
      <c r="N18" s="41"/>
      <c r="O18" s="41"/>
      <c r="P18" s="41"/>
      <c r="S18" s="72"/>
      <c r="T18" s="29"/>
    </row>
    <row r="19" spans="1:20" x14ac:dyDescent="0.25">
      <c r="A19" s="67" t="s">
        <v>125</v>
      </c>
      <c r="D19" s="40"/>
      <c r="G19" s="44"/>
      <c r="H19" s="2"/>
      <c r="I19" s="2"/>
      <c r="J19" s="2"/>
      <c r="L19" s="40"/>
      <c r="M19" s="41"/>
      <c r="N19" s="41"/>
      <c r="O19" s="41"/>
      <c r="P19" s="41"/>
      <c r="S19" s="72"/>
      <c r="T19" s="29"/>
    </row>
    <row r="20" spans="1:20" x14ac:dyDescent="0.25">
      <c r="D20" s="40"/>
      <c r="G20" s="44"/>
      <c r="H20" s="2"/>
      <c r="I20" s="2"/>
      <c r="J20" s="2"/>
      <c r="L20" s="40"/>
      <c r="M20" s="41"/>
      <c r="N20" s="41"/>
      <c r="O20" s="41"/>
      <c r="P20" s="41"/>
      <c r="S20" s="72"/>
      <c r="T20" s="29"/>
    </row>
    <row r="21" spans="1:20" x14ac:dyDescent="0.25">
      <c r="D21" s="40"/>
      <c r="G21" s="44"/>
      <c r="H21" s="2"/>
      <c r="I21" s="2"/>
      <c r="J21" s="2"/>
      <c r="L21" s="40"/>
      <c r="M21" s="41"/>
      <c r="N21" s="41"/>
      <c r="O21" s="41"/>
      <c r="P21" s="41"/>
      <c r="S21" s="72"/>
      <c r="T21" s="29"/>
    </row>
    <row r="22" spans="1:20" x14ac:dyDescent="0.25">
      <c r="D22" s="40"/>
      <c r="G22" s="44"/>
      <c r="H22" s="2"/>
      <c r="I22" s="2"/>
      <c r="J22" s="2"/>
      <c r="L22" s="40"/>
      <c r="M22" s="41"/>
      <c r="N22" s="41"/>
      <c r="O22" s="41"/>
      <c r="P22" s="41"/>
      <c r="S22" s="72"/>
      <c r="T22" s="29"/>
    </row>
    <row r="23" spans="1:20" x14ac:dyDescent="0.25">
      <c r="D23" s="40"/>
      <c r="G23" s="44"/>
      <c r="H23" s="2"/>
      <c r="I23" s="2"/>
      <c r="J23" s="2"/>
      <c r="L23" s="40"/>
      <c r="M23" s="41"/>
      <c r="N23" s="41"/>
      <c r="O23" s="41"/>
      <c r="P23" s="41"/>
      <c r="S23" s="72"/>
      <c r="T23" s="29"/>
    </row>
    <row r="24" spans="1:20" x14ac:dyDescent="0.25">
      <c r="D24" s="40"/>
      <c r="G24" s="44"/>
      <c r="H24" s="2"/>
      <c r="I24" s="2"/>
      <c r="J24" s="2"/>
      <c r="L24" s="40"/>
      <c r="M24" s="41"/>
      <c r="N24" s="41"/>
      <c r="O24" s="41"/>
      <c r="P24" s="41"/>
      <c r="S24" s="72"/>
      <c r="T24" s="29"/>
    </row>
    <row r="25" spans="1:20" x14ac:dyDescent="0.25">
      <c r="D25" s="40"/>
      <c r="G25" s="44"/>
      <c r="H25" s="2"/>
      <c r="I25" s="2"/>
      <c r="J25" s="2"/>
      <c r="L25" s="40"/>
      <c r="M25" s="41"/>
      <c r="N25" s="41"/>
      <c r="O25" s="41"/>
      <c r="P25" s="41"/>
      <c r="S25" s="72"/>
      <c r="T25" s="29"/>
    </row>
    <row r="26" spans="1:20" x14ac:dyDescent="0.25">
      <c r="D26" s="40"/>
      <c r="G26" s="44"/>
      <c r="H26" s="2"/>
      <c r="I26" s="2"/>
      <c r="J26" s="2"/>
      <c r="L26" s="40"/>
      <c r="M26" s="41"/>
      <c r="N26" s="41"/>
      <c r="O26" s="41"/>
      <c r="P26" s="41"/>
      <c r="S26" s="72"/>
      <c r="T26" s="29"/>
    </row>
    <row r="27" spans="1:20" x14ac:dyDescent="0.25">
      <c r="D27" s="40"/>
      <c r="G27" s="44"/>
      <c r="H27" s="2"/>
      <c r="I27" s="2"/>
      <c r="J27" s="2"/>
      <c r="L27" s="40"/>
      <c r="M27" s="41"/>
      <c r="N27" s="41"/>
      <c r="O27" s="41"/>
      <c r="P27" s="41"/>
      <c r="S27" s="72"/>
      <c r="T27" s="29"/>
    </row>
    <row r="28" spans="1:20" x14ac:dyDescent="0.25">
      <c r="D28" s="40"/>
      <c r="G28" s="44"/>
      <c r="H28" s="2"/>
      <c r="I28" s="2"/>
      <c r="J28" s="2"/>
      <c r="L28" s="40"/>
      <c r="M28" s="41"/>
      <c r="N28" s="41"/>
      <c r="O28" s="41"/>
      <c r="P28" s="41"/>
      <c r="S28" s="72"/>
      <c r="T28" s="29"/>
    </row>
    <row r="29" spans="1:20" x14ac:dyDescent="0.25">
      <c r="D29" s="40"/>
      <c r="G29" s="44"/>
      <c r="H29" s="2"/>
      <c r="I29" s="2"/>
      <c r="J29" s="2"/>
      <c r="L29" s="40"/>
      <c r="M29" s="41"/>
      <c r="N29" s="41"/>
      <c r="O29" s="41"/>
      <c r="P29" s="41"/>
      <c r="S29" s="72"/>
      <c r="T29" s="29"/>
    </row>
    <row r="30" spans="1:20" x14ac:dyDescent="0.25">
      <c r="D30" s="40"/>
      <c r="G30" s="44"/>
      <c r="H30" s="2"/>
      <c r="I30" s="2"/>
      <c r="J30" s="2"/>
      <c r="L30" s="40"/>
      <c r="M30" s="41"/>
      <c r="N30" s="41"/>
      <c r="O30" s="41"/>
      <c r="P30" s="41"/>
      <c r="S30" s="72"/>
      <c r="T30" s="29"/>
    </row>
    <row r="31" spans="1:20" x14ac:dyDescent="0.25">
      <c r="D31" s="40"/>
      <c r="G31" s="44"/>
      <c r="H31" s="2"/>
      <c r="I31" s="2"/>
      <c r="J31" s="2"/>
      <c r="L31" s="40"/>
      <c r="M31" s="41"/>
      <c r="N31" s="41"/>
      <c r="O31" s="41"/>
      <c r="P31" s="41"/>
      <c r="S31" s="72"/>
      <c r="T31" s="29"/>
    </row>
    <row r="32" spans="1:20" x14ac:dyDescent="0.25">
      <c r="D32" s="40"/>
      <c r="G32" s="44"/>
      <c r="H32" s="2"/>
      <c r="I32" s="2"/>
      <c r="J32" s="2"/>
      <c r="L32" s="40"/>
      <c r="M32" s="41"/>
      <c r="N32" s="41"/>
      <c r="O32" s="41"/>
      <c r="P32" s="41"/>
      <c r="S32" s="72"/>
      <c r="T32" s="29"/>
    </row>
    <row r="33" spans="4:20" x14ac:dyDescent="0.25">
      <c r="D33" s="40"/>
      <c r="G33" s="44"/>
      <c r="H33" s="2"/>
      <c r="I33" s="2"/>
      <c r="J33" s="2"/>
      <c r="L33" s="40"/>
      <c r="M33" s="41"/>
      <c r="N33" s="41"/>
      <c r="O33" s="41"/>
      <c r="P33" s="41"/>
      <c r="S33" s="72"/>
      <c r="T33" s="29"/>
    </row>
    <row r="34" spans="4:20" x14ac:dyDescent="0.25">
      <c r="D34" s="40"/>
      <c r="G34" s="44"/>
      <c r="H34" s="2"/>
      <c r="I34" s="2"/>
      <c r="J34" s="2"/>
      <c r="L34" s="40"/>
      <c r="M34" s="41"/>
      <c r="N34" s="41"/>
      <c r="O34" s="41"/>
      <c r="P34" s="41"/>
      <c r="S34" s="72"/>
      <c r="T34" s="29"/>
    </row>
    <row r="35" spans="4:20" x14ac:dyDescent="0.25">
      <c r="D35" s="40"/>
      <c r="G35" s="44"/>
      <c r="H35" s="2"/>
      <c r="I35" s="2"/>
      <c r="J35" s="2"/>
      <c r="L35" s="40"/>
      <c r="M35" s="41"/>
      <c r="N35" s="41"/>
      <c r="O35" s="41"/>
      <c r="P35" s="41"/>
      <c r="S35" s="72"/>
      <c r="T35" s="29"/>
    </row>
    <row r="36" spans="4:20" x14ac:dyDescent="0.25">
      <c r="D36" s="40"/>
      <c r="G36" s="44"/>
      <c r="H36" s="2"/>
      <c r="I36" s="2"/>
      <c r="J36" s="2"/>
      <c r="L36" s="40"/>
      <c r="M36" s="41"/>
      <c r="N36" s="41"/>
      <c r="O36" s="41"/>
      <c r="P36" s="41"/>
      <c r="S36" s="72"/>
      <c r="T36" s="29"/>
    </row>
    <row r="37" spans="4:20" x14ac:dyDescent="0.25">
      <c r="D37" s="40"/>
      <c r="G37" s="44"/>
      <c r="H37" s="2"/>
      <c r="I37" s="2"/>
      <c r="J37" s="2"/>
      <c r="L37" s="40"/>
      <c r="M37" s="41"/>
      <c r="N37" s="41"/>
      <c r="O37" s="41"/>
      <c r="P37" s="41"/>
      <c r="S37" s="72"/>
      <c r="T37" s="29"/>
    </row>
    <row r="38" spans="4:20" x14ac:dyDescent="0.25">
      <c r="D38" s="40"/>
      <c r="G38" s="44"/>
      <c r="H38" s="2"/>
      <c r="I38" s="2"/>
      <c r="J38" s="2"/>
      <c r="L38" s="40"/>
      <c r="M38" s="41"/>
      <c r="N38" s="41"/>
      <c r="O38" s="41"/>
      <c r="P38" s="41"/>
      <c r="S38" s="72"/>
      <c r="T38" s="29"/>
    </row>
    <row r="39" spans="4:20" x14ac:dyDescent="0.25">
      <c r="D39" s="40"/>
      <c r="G39" s="44"/>
      <c r="H39" s="2"/>
      <c r="I39" s="2"/>
      <c r="J39" s="2"/>
      <c r="L39" s="40"/>
      <c r="M39" s="41"/>
      <c r="N39" s="41"/>
      <c r="O39" s="41"/>
      <c r="P39" s="41"/>
      <c r="S39" s="72"/>
      <c r="T39" s="29"/>
    </row>
    <row r="40" spans="4:20" x14ac:dyDescent="0.25">
      <c r="D40" s="40"/>
      <c r="G40" s="44"/>
      <c r="H40" s="2"/>
      <c r="I40" s="2"/>
      <c r="J40" s="2"/>
      <c r="L40" s="40"/>
      <c r="M40" s="41"/>
      <c r="N40" s="41"/>
      <c r="O40" s="41"/>
      <c r="P40" s="41"/>
      <c r="S40" s="72"/>
      <c r="T40" s="29"/>
    </row>
    <row r="41" spans="4:20" x14ac:dyDescent="0.25">
      <c r="D41" s="40"/>
      <c r="G41" s="44"/>
      <c r="H41" s="2"/>
      <c r="I41" s="2"/>
      <c r="J41" s="2"/>
      <c r="L41" s="40"/>
      <c r="M41" s="41"/>
      <c r="N41" s="41"/>
      <c r="O41" s="41"/>
      <c r="P41" s="41"/>
      <c r="S41" s="72"/>
      <c r="T41" s="29"/>
    </row>
    <row r="42" spans="4:20" x14ac:dyDescent="0.25">
      <c r="D42" s="40"/>
      <c r="G42" s="44"/>
      <c r="H42" s="2"/>
      <c r="I42" s="2"/>
      <c r="J42" s="2"/>
      <c r="L42" s="40"/>
      <c r="M42" s="41"/>
      <c r="N42" s="41"/>
      <c r="O42" s="41"/>
      <c r="P42" s="41"/>
      <c r="S42" s="72"/>
      <c r="T42" s="29"/>
    </row>
    <row r="43" spans="4:20" x14ac:dyDescent="0.25">
      <c r="D43" s="40"/>
      <c r="G43" s="44"/>
      <c r="H43" s="2"/>
      <c r="I43" s="2"/>
      <c r="J43" s="2"/>
      <c r="L43" s="40"/>
      <c r="M43" s="41"/>
      <c r="N43" s="41"/>
      <c r="O43" s="41"/>
      <c r="P43" s="41"/>
      <c r="S43" s="72"/>
      <c r="T43" s="29"/>
    </row>
    <row r="44" spans="4:20" x14ac:dyDescent="0.25">
      <c r="D44" s="40"/>
      <c r="G44" s="44"/>
      <c r="H44" s="2"/>
      <c r="I44" s="2"/>
      <c r="J44" s="2"/>
      <c r="L44" s="40"/>
      <c r="M44" s="41"/>
      <c r="N44" s="41"/>
      <c r="O44" s="41"/>
      <c r="P44" s="41"/>
      <c r="S44" s="72"/>
      <c r="T44" s="29"/>
    </row>
    <row r="45" spans="4:20" x14ac:dyDescent="0.25">
      <c r="D45" s="40"/>
      <c r="G45" s="44"/>
      <c r="H45" s="2"/>
      <c r="I45" s="2"/>
      <c r="J45" s="2"/>
      <c r="L45" s="40"/>
      <c r="M45" s="41"/>
      <c r="N45" s="41"/>
      <c r="O45" s="41"/>
      <c r="P45" s="41"/>
      <c r="S45" s="72"/>
      <c r="T45" s="29"/>
    </row>
    <row r="46" spans="4:20" x14ac:dyDescent="0.25">
      <c r="D46" s="40"/>
      <c r="G46" s="44"/>
      <c r="H46" s="2"/>
      <c r="I46" s="2"/>
      <c r="J46" s="2"/>
      <c r="L46" s="40"/>
      <c r="M46" s="41"/>
      <c r="N46" s="41"/>
      <c r="O46" s="41"/>
      <c r="P46" s="41"/>
      <c r="S46" s="72"/>
      <c r="T46" s="29"/>
    </row>
    <row r="47" spans="4:20" x14ac:dyDescent="0.25">
      <c r="D47" s="40"/>
      <c r="G47" s="44"/>
      <c r="H47" s="2"/>
      <c r="I47" s="2"/>
      <c r="J47" s="2"/>
      <c r="L47" s="40"/>
      <c r="M47" s="41"/>
      <c r="N47" s="41"/>
      <c r="O47" s="41"/>
      <c r="P47" s="41"/>
      <c r="S47" s="72"/>
      <c r="T47" s="29"/>
    </row>
    <row r="48" spans="4:20" x14ac:dyDescent="0.25">
      <c r="D48" s="40"/>
      <c r="G48" s="44"/>
      <c r="H48" s="2"/>
      <c r="I48" s="2"/>
      <c r="J48" s="2"/>
      <c r="L48" s="40"/>
      <c r="M48" s="41"/>
      <c r="N48" s="41"/>
      <c r="O48" s="41"/>
      <c r="P48" s="41"/>
      <c r="S48" s="72"/>
      <c r="T48" s="29"/>
    </row>
    <row r="49" spans="4:20" x14ac:dyDescent="0.25">
      <c r="D49" s="40"/>
      <c r="G49" s="44"/>
      <c r="H49" s="2"/>
      <c r="I49" s="2"/>
      <c r="J49" s="2"/>
      <c r="L49" s="40"/>
      <c r="M49" s="41"/>
      <c r="N49" s="41"/>
      <c r="O49" s="41"/>
      <c r="P49" s="41"/>
      <c r="S49" s="72"/>
      <c r="T49" s="29"/>
    </row>
    <row r="50" spans="4:20" x14ac:dyDescent="0.25">
      <c r="D50" s="40"/>
      <c r="G50" s="44"/>
      <c r="H50" s="2"/>
      <c r="I50" s="2"/>
      <c r="J50" s="2"/>
      <c r="L50" s="40"/>
      <c r="M50" s="41"/>
      <c r="N50" s="41"/>
      <c r="O50" s="41"/>
      <c r="P50" s="41"/>
      <c r="S50" s="72"/>
      <c r="T50" s="29"/>
    </row>
    <row r="51" spans="4:20" x14ac:dyDescent="0.25">
      <c r="D51" s="40"/>
      <c r="G51" s="44"/>
      <c r="H51" s="2"/>
      <c r="I51" s="2"/>
      <c r="J51" s="2"/>
      <c r="L51" s="40"/>
      <c r="M51" s="41"/>
      <c r="N51" s="41"/>
      <c r="O51" s="41"/>
      <c r="P51" s="41"/>
      <c r="S51" s="72"/>
      <c r="T51" s="29"/>
    </row>
    <row r="52" spans="4:20" x14ac:dyDescent="0.25">
      <c r="D52" s="40"/>
      <c r="G52" s="44"/>
      <c r="H52" s="2"/>
      <c r="I52" s="2"/>
      <c r="J52" s="2"/>
      <c r="L52" s="40"/>
      <c r="M52" s="41"/>
      <c r="N52" s="41"/>
      <c r="O52" s="41"/>
      <c r="P52" s="41"/>
      <c r="S52" s="72"/>
      <c r="T52" s="29"/>
    </row>
    <row r="53" spans="4:20" x14ac:dyDescent="0.25">
      <c r="D53" s="40"/>
      <c r="G53" s="44"/>
      <c r="H53" s="2"/>
      <c r="I53" s="2"/>
      <c r="J53" s="2"/>
      <c r="L53" s="40"/>
      <c r="M53" s="41"/>
      <c r="N53" s="41"/>
      <c r="O53" s="41"/>
      <c r="P53" s="41"/>
      <c r="S53" s="72"/>
      <c r="T53" s="29"/>
    </row>
    <row r="54" spans="4:20" x14ac:dyDescent="0.25">
      <c r="D54" s="40"/>
      <c r="G54" s="44"/>
      <c r="H54" s="2"/>
      <c r="I54" s="2"/>
      <c r="J54" s="2"/>
      <c r="L54" s="40"/>
      <c r="M54" s="41"/>
      <c r="N54" s="41"/>
      <c r="O54" s="41"/>
      <c r="P54" s="41"/>
      <c r="S54" s="72"/>
      <c r="T54" s="29"/>
    </row>
    <row r="55" spans="4:20" x14ac:dyDescent="0.25">
      <c r="D55" s="40"/>
      <c r="G55" s="44"/>
      <c r="H55" s="2"/>
      <c r="I55" s="2"/>
      <c r="J55" s="2"/>
      <c r="L55" s="40"/>
      <c r="M55" s="41"/>
      <c r="N55" s="41"/>
      <c r="O55" s="41"/>
      <c r="P55" s="41"/>
      <c r="S55" s="72"/>
      <c r="T55" s="29"/>
    </row>
    <row r="56" spans="4:20" x14ac:dyDescent="0.25">
      <c r="D56" s="40"/>
      <c r="G56" s="44"/>
      <c r="H56" s="2"/>
      <c r="I56" s="2"/>
      <c r="J56" s="2"/>
      <c r="L56" s="40"/>
      <c r="M56" s="41"/>
      <c r="N56" s="41"/>
      <c r="O56" s="41"/>
      <c r="P56" s="41"/>
      <c r="S56" s="72"/>
      <c r="T56" s="29"/>
    </row>
    <row r="57" spans="4:20" x14ac:dyDescent="0.25">
      <c r="D57" s="40"/>
      <c r="G57" s="44"/>
      <c r="H57" s="2"/>
      <c r="I57" s="2"/>
      <c r="J57" s="2"/>
      <c r="L57" s="40"/>
      <c r="M57" s="41"/>
      <c r="N57" s="41"/>
      <c r="O57" s="41"/>
      <c r="P57" s="41"/>
      <c r="S57" s="72"/>
      <c r="T57" s="29"/>
    </row>
    <row r="58" spans="4:20" x14ac:dyDescent="0.25">
      <c r="D58" s="40"/>
      <c r="G58" s="44"/>
      <c r="H58" s="2"/>
      <c r="I58" s="2"/>
      <c r="J58" s="2"/>
      <c r="L58" s="40"/>
      <c r="M58" s="41"/>
      <c r="N58" s="41"/>
      <c r="O58" s="41"/>
      <c r="P58" s="41"/>
      <c r="S58" s="72"/>
      <c r="T58" s="29"/>
    </row>
    <row r="59" spans="4:20" x14ac:dyDescent="0.25">
      <c r="D59" s="40"/>
      <c r="G59" s="44"/>
      <c r="H59" s="2"/>
      <c r="I59" s="2"/>
      <c r="J59" s="2"/>
      <c r="L59" s="40"/>
      <c r="M59" s="41"/>
      <c r="N59" s="41"/>
      <c r="O59" s="41"/>
      <c r="P59" s="41"/>
      <c r="S59" s="72"/>
      <c r="T59" s="29"/>
    </row>
    <row r="60" spans="4:20" x14ac:dyDescent="0.25">
      <c r="D60" s="40"/>
      <c r="G60" s="44"/>
      <c r="H60" s="2"/>
      <c r="I60" s="2"/>
      <c r="J60" s="2"/>
      <c r="L60" s="40"/>
      <c r="M60" s="41"/>
      <c r="N60" s="41"/>
      <c r="O60" s="41"/>
      <c r="P60" s="41"/>
      <c r="S60" s="72"/>
      <c r="T60" s="29"/>
    </row>
    <row r="61" spans="4:20" x14ac:dyDescent="0.25">
      <c r="D61" s="40"/>
      <c r="G61" s="44"/>
      <c r="H61" s="2"/>
      <c r="I61" s="2"/>
      <c r="J61" s="2"/>
      <c r="L61" s="40"/>
      <c r="M61" s="41"/>
      <c r="N61" s="41"/>
      <c r="O61" s="41"/>
      <c r="P61" s="41"/>
      <c r="S61" s="72"/>
      <c r="T61" s="29"/>
    </row>
    <row r="62" spans="4:20" x14ac:dyDescent="0.25">
      <c r="D62" s="40"/>
      <c r="G62" s="44"/>
      <c r="H62" s="2"/>
      <c r="I62" s="2"/>
      <c r="J62" s="2"/>
      <c r="L62" s="40"/>
      <c r="M62" s="41"/>
      <c r="N62" s="41"/>
      <c r="O62" s="41"/>
      <c r="P62" s="41"/>
      <c r="S62" s="72"/>
      <c r="T62" s="29"/>
    </row>
    <row r="63" spans="4:20" x14ac:dyDescent="0.25">
      <c r="D63" s="40"/>
      <c r="G63" s="44"/>
      <c r="H63" s="2"/>
      <c r="I63" s="2"/>
      <c r="J63" s="2"/>
      <c r="L63" s="40"/>
      <c r="M63" s="41"/>
      <c r="N63" s="41"/>
      <c r="O63" s="41"/>
      <c r="P63" s="41"/>
      <c r="S63" s="72"/>
      <c r="T63" s="29"/>
    </row>
    <row r="64" spans="4:20" x14ac:dyDescent="0.25">
      <c r="D64" s="40"/>
      <c r="G64" s="44"/>
      <c r="H64" s="2"/>
      <c r="I64" s="2"/>
      <c r="J64" s="2"/>
      <c r="L64" s="40"/>
      <c r="M64" s="41"/>
      <c r="N64" s="41"/>
      <c r="O64" s="41"/>
      <c r="P64" s="41"/>
      <c r="S64" s="72"/>
      <c r="T64" s="29"/>
    </row>
    <row r="65" spans="4:20" x14ac:dyDescent="0.25">
      <c r="D65" s="40"/>
      <c r="G65" s="44"/>
      <c r="H65" s="2"/>
      <c r="I65" s="2"/>
      <c r="J65" s="2"/>
      <c r="L65" s="40"/>
      <c r="M65" s="41"/>
      <c r="N65" s="41"/>
      <c r="O65" s="41"/>
      <c r="P65" s="41"/>
      <c r="S65" s="72"/>
      <c r="T65" s="29"/>
    </row>
    <row r="66" spans="4:20" x14ac:dyDescent="0.25">
      <c r="D66" s="40"/>
      <c r="G66" s="44"/>
      <c r="H66" s="2"/>
      <c r="I66" s="2"/>
      <c r="J66" s="2"/>
      <c r="L66" s="40"/>
      <c r="M66" s="41"/>
      <c r="N66" s="41"/>
      <c r="O66" s="41"/>
      <c r="P66" s="41"/>
      <c r="S66" s="72"/>
      <c r="T66" s="29"/>
    </row>
    <row r="67" spans="4:20" x14ac:dyDescent="0.25">
      <c r="D67" s="40"/>
      <c r="G67" s="44"/>
      <c r="H67" s="2"/>
      <c r="I67" s="2"/>
      <c r="J67" s="2"/>
      <c r="L67" s="40"/>
      <c r="M67" s="41"/>
      <c r="N67" s="41"/>
      <c r="O67" s="41"/>
      <c r="P67" s="41"/>
      <c r="S67" s="72"/>
      <c r="T67" s="29"/>
    </row>
    <row r="68" spans="4:20" x14ac:dyDescent="0.25">
      <c r="D68" s="40"/>
      <c r="G68" s="44"/>
      <c r="H68" s="2"/>
      <c r="I68" s="2"/>
      <c r="J68" s="2"/>
      <c r="L68" s="40"/>
      <c r="M68" s="41"/>
      <c r="N68" s="41"/>
      <c r="O68" s="41"/>
      <c r="P68" s="41"/>
      <c r="S68" s="72"/>
      <c r="T68" s="29"/>
    </row>
    <row r="69" spans="4:20" x14ac:dyDescent="0.25">
      <c r="D69" s="40"/>
      <c r="G69" s="44"/>
      <c r="H69" s="2"/>
      <c r="I69" s="2"/>
      <c r="J69" s="2"/>
      <c r="L69" s="40"/>
      <c r="M69" s="41"/>
      <c r="N69" s="41"/>
      <c r="O69" s="41"/>
      <c r="P69" s="41"/>
      <c r="S69" s="72"/>
      <c r="T69" s="29"/>
    </row>
    <row r="70" spans="4:20" x14ac:dyDescent="0.25">
      <c r="D70" s="40"/>
      <c r="G70" s="44"/>
      <c r="H70" s="2"/>
      <c r="I70" s="2"/>
      <c r="J70" s="2"/>
      <c r="L70" s="40"/>
      <c r="M70" s="41"/>
      <c r="N70" s="41"/>
      <c r="O70" s="41"/>
      <c r="P70" s="41"/>
      <c r="S70" s="72"/>
      <c r="T70" s="29"/>
    </row>
    <row r="71" spans="4:20" x14ac:dyDescent="0.25">
      <c r="D71" s="40"/>
      <c r="G71" s="44"/>
      <c r="H71" s="2"/>
      <c r="I71" s="2"/>
      <c r="J71" s="2"/>
      <c r="L71" s="40"/>
      <c r="M71" s="41"/>
      <c r="N71" s="41"/>
      <c r="O71" s="41"/>
      <c r="P71" s="41"/>
      <c r="S71" s="72"/>
      <c r="T71" s="29"/>
    </row>
    <row r="72" spans="4:20" x14ac:dyDescent="0.25">
      <c r="D72" s="40"/>
      <c r="G72" s="44"/>
      <c r="H72" s="2"/>
      <c r="I72" s="2"/>
      <c r="J72" s="2"/>
      <c r="L72" s="40"/>
      <c r="M72" s="41"/>
      <c r="N72" s="41"/>
      <c r="O72" s="41"/>
      <c r="P72" s="41"/>
      <c r="S72" s="72"/>
      <c r="T72" s="29"/>
    </row>
    <row r="73" spans="4:20" x14ac:dyDescent="0.25">
      <c r="D73" s="40"/>
      <c r="G73" s="44"/>
      <c r="H73" s="2"/>
      <c r="I73" s="2"/>
      <c r="J73" s="2"/>
      <c r="L73" s="40"/>
      <c r="M73" s="41"/>
      <c r="N73" s="41"/>
      <c r="O73" s="41"/>
      <c r="P73" s="41"/>
      <c r="S73" s="72"/>
      <c r="T73" s="29"/>
    </row>
    <row r="74" spans="4:20" x14ac:dyDescent="0.25">
      <c r="D74" s="40"/>
      <c r="G74" s="44"/>
      <c r="H74" s="2"/>
      <c r="I74" s="2"/>
      <c r="J74" s="2"/>
      <c r="L74" s="40"/>
      <c r="M74" s="41"/>
      <c r="N74" s="41"/>
      <c r="O74" s="41"/>
      <c r="P74" s="41"/>
      <c r="S74" s="72"/>
      <c r="T74" s="29"/>
    </row>
    <row r="75" spans="4:20" x14ac:dyDescent="0.25">
      <c r="D75" s="40"/>
      <c r="G75" s="44"/>
      <c r="H75" s="2"/>
      <c r="I75" s="2"/>
      <c r="J75" s="2"/>
      <c r="L75" s="40"/>
      <c r="M75" s="41"/>
      <c r="N75" s="41"/>
      <c r="O75" s="41"/>
      <c r="P75" s="41"/>
      <c r="S75" s="72"/>
      <c r="T75" s="29"/>
    </row>
    <row r="76" spans="4:20" x14ac:dyDescent="0.25">
      <c r="D76" s="40"/>
      <c r="G76" s="44"/>
      <c r="H76" s="2"/>
      <c r="I76" s="2"/>
      <c r="J76" s="2"/>
      <c r="L76" s="40"/>
      <c r="M76" s="41"/>
      <c r="N76" s="41"/>
      <c r="O76" s="41"/>
      <c r="P76" s="41"/>
      <c r="S76" s="72"/>
      <c r="T76" s="29"/>
    </row>
    <row r="77" spans="4:20" x14ac:dyDescent="0.25">
      <c r="D77" s="40"/>
      <c r="G77" s="44"/>
      <c r="H77" s="2"/>
      <c r="I77" s="2"/>
      <c r="J77" s="2"/>
      <c r="L77" s="40"/>
      <c r="M77" s="41"/>
      <c r="N77" s="41"/>
      <c r="O77" s="41"/>
      <c r="P77" s="41"/>
      <c r="S77" s="72"/>
      <c r="T77" s="29"/>
    </row>
    <row r="78" spans="4:20" x14ac:dyDescent="0.25">
      <c r="D78" s="40"/>
      <c r="G78" s="44"/>
      <c r="H78" s="2"/>
      <c r="I78" s="2"/>
      <c r="J78" s="2"/>
      <c r="L78" s="40"/>
      <c r="M78" s="41"/>
      <c r="N78" s="41"/>
      <c r="O78" s="41"/>
      <c r="P78" s="41"/>
      <c r="S78" s="72"/>
      <c r="T78" s="29"/>
    </row>
    <row r="79" spans="4:20" x14ac:dyDescent="0.25">
      <c r="D79" s="40"/>
      <c r="G79" s="44"/>
      <c r="H79" s="2"/>
      <c r="I79" s="2"/>
      <c r="J79" s="2"/>
      <c r="L79" s="40"/>
      <c r="M79" s="41"/>
      <c r="N79" s="41"/>
      <c r="O79" s="41"/>
      <c r="P79" s="41"/>
      <c r="S79" s="72"/>
      <c r="T79" s="29"/>
    </row>
    <row r="80" spans="4:20" x14ac:dyDescent="0.25">
      <c r="D80" s="40"/>
      <c r="G80" s="44"/>
      <c r="H80" s="2"/>
      <c r="I80" s="2"/>
      <c r="J80" s="2"/>
      <c r="L80" s="40"/>
      <c r="M80" s="41"/>
      <c r="N80" s="41"/>
      <c r="O80" s="41"/>
      <c r="P80" s="41"/>
      <c r="S80" s="72"/>
      <c r="T80" s="29"/>
    </row>
    <row r="81" spans="4:20" x14ac:dyDescent="0.25">
      <c r="D81" s="40"/>
      <c r="G81" s="44"/>
      <c r="H81" s="2"/>
      <c r="I81" s="2"/>
      <c r="J81" s="2"/>
      <c r="L81" s="40"/>
      <c r="M81" s="41"/>
      <c r="N81" s="41"/>
      <c r="O81" s="41"/>
      <c r="P81" s="41"/>
      <c r="S81" s="72"/>
      <c r="T81" s="29"/>
    </row>
    <row r="82" spans="4:20" x14ac:dyDescent="0.25">
      <c r="D82" s="40"/>
      <c r="G82" s="44"/>
      <c r="H82" s="2"/>
      <c r="I82" s="2"/>
      <c r="J82" s="2"/>
      <c r="L82" s="40"/>
      <c r="M82" s="41"/>
      <c r="N82" s="41"/>
      <c r="O82" s="41"/>
      <c r="P82" s="41"/>
      <c r="S82" s="72"/>
      <c r="T82" s="29"/>
    </row>
    <row r="83" spans="4:20" x14ac:dyDescent="0.25">
      <c r="D83" s="40"/>
      <c r="G83" s="44"/>
      <c r="H83" s="2"/>
      <c r="I83" s="2"/>
      <c r="J83" s="2"/>
      <c r="L83" s="40"/>
      <c r="M83" s="41"/>
      <c r="N83" s="41"/>
      <c r="O83" s="41"/>
      <c r="P83" s="41"/>
      <c r="S83" s="72"/>
      <c r="T83" s="29"/>
    </row>
    <row r="84" spans="4:20" x14ac:dyDescent="0.25">
      <c r="D84" s="40"/>
      <c r="G84" s="44"/>
      <c r="H84" s="2"/>
      <c r="I84" s="2"/>
      <c r="J84" s="2"/>
      <c r="L84" s="40"/>
      <c r="M84" s="41"/>
      <c r="N84" s="41"/>
      <c r="O84" s="41"/>
      <c r="P84" s="41"/>
      <c r="S84" s="72"/>
      <c r="T84" s="29"/>
    </row>
    <row r="85" spans="4:20" x14ac:dyDescent="0.25">
      <c r="D85" s="40"/>
      <c r="G85" s="44"/>
      <c r="H85" s="2"/>
      <c r="I85" s="2"/>
      <c r="J85" s="2"/>
      <c r="L85" s="40"/>
      <c r="M85" s="41"/>
      <c r="N85" s="41"/>
      <c r="O85" s="41"/>
      <c r="P85" s="41"/>
      <c r="S85" s="72"/>
      <c r="T85" s="29"/>
    </row>
    <row r="86" spans="4:20" x14ac:dyDescent="0.25">
      <c r="D86" s="40"/>
      <c r="G86" s="44"/>
      <c r="H86" s="2"/>
      <c r="I86" s="2"/>
      <c r="J86" s="2"/>
      <c r="L86" s="40"/>
      <c r="M86" s="41"/>
      <c r="N86" s="41"/>
      <c r="O86" s="41"/>
      <c r="P86" s="41"/>
      <c r="S86" s="72"/>
      <c r="T86" s="29"/>
    </row>
    <row r="87" spans="4:20" x14ac:dyDescent="0.25">
      <c r="D87" s="40"/>
      <c r="G87" s="44"/>
      <c r="H87" s="2"/>
      <c r="I87" s="2"/>
      <c r="J87" s="2"/>
      <c r="L87" s="40"/>
      <c r="M87" s="41"/>
      <c r="N87" s="41"/>
      <c r="O87" s="41"/>
      <c r="P87" s="41"/>
      <c r="S87" s="72"/>
      <c r="T87" s="29"/>
    </row>
    <row r="88" spans="4:20" x14ac:dyDescent="0.25">
      <c r="D88" s="40"/>
      <c r="G88" s="44"/>
      <c r="H88" s="2"/>
      <c r="I88" s="2"/>
      <c r="J88" s="2"/>
      <c r="L88" s="40"/>
      <c r="M88" s="41"/>
      <c r="N88" s="41"/>
      <c r="O88" s="41"/>
      <c r="P88" s="41"/>
      <c r="S88" s="72"/>
      <c r="T88" s="29"/>
    </row>
    <row r="89" spans="4:20" x14ac:dyDescent="0.25">
      <c r="D89" s="40"/>
      <c r="G89" s="44"/>
      <c r="H89" s="2"/>
      <c r="I89" s="2"/>
      <c r="J89" s="2"/>
      <c r="L89" s="40"/>
      <c r="M89" s="41"/>
      <c r="N89" s="41"/>
      <c r="O89" s="41"/>
      <c r="P89" s="41"/>
      <c r="S89" s="72"/>
      <c r="T89" s="29"/>
    </row>
    <row r="90" spans="4:20" x14ac:dyDescent="0.25">
      <c r="D90" s="40"/>
      <c r="G90" s="44"/>
      <c r="H90" s="2"/>
      <c r="I90" s="2"/>
      <c r="J90" s="2"/>
      <c r="L90" s="40"/>
      <c r="M90" s="41"/>
      <c r="N90" s="41"/>
      <c r="O90" s="41"/>
      <c r="P90" s="41"/>
      <c r="S90" s="72"/>
      <c r="T90" s="29"/>
    </row>
    <row r="91" spans="4:20" x14ac:dyDescent="0.25">
      <c r="D91" s="40"/>
      <c r="G91" s="44"/>
      <c r="H91" s="2"/>
      <c r="I91" s="2"/>
      <c r="J91" s="2"/>
      <c r="L91" s="40"/>
      <c r="M91" s="41"/>
      <c r="N91" s="41"/>
      <c r="O91" s="41"/>
      <c r="P91" s="41"/>
      <c r="S91" s="72"/>
      <c r="T91" s="29"/>
    </row>
    <row r="92" spans="4:20" x14ac:dyDescent="0.25">
      <c r="D92" s="40"/>
      <c r="G92" s="44"/>
      <c r="H92" s="2"/>
      <c r="I92" s="2"/>
      <c r="J92" s="2"/>
      <c r="L92" s="40"/>
      <c r="M92" s="41"/>
      <c r="N92" s="41"/>
      <c r="O92" s="41"/>
      <c r="P92" s="41"/>
      <c r="S92" s="72"/>
      <c r="T92" s="29"/>
    </row>
    <row r="93" spans="4:20" x14ac:dyDescent="0.25">
      <c r="D93" s="40"/>
      <c r="G93" s="44"/>
      <c r="H93" s="2"/>
      <c r="I93" s="2"/>
      <c r="J93" s="2"/>
      <c r="L93" s="40"/>
      <c r="M93" s="41"/>
      <c r="N93" s="41"/>
      <c r="O93" s="41"/>
      <c r="P93" s="41"/>
      <c r="S93" s="72"/>
      <c r="T93" s="29"/>
    </row>
    <row r="94" spans="4:20" x14ac:dyDescent="0.25">
      <c r="D94" s="40"/>
      <c r="G94" s="44"/>
      <c r="H94" s="2"/>
      <c r="I94" s="2"/>
      <c r="J94" s="2"/>
      <c r="L94" s="40"/>
      <c r="M94" s="41"/>
      <c r="N94" s="41"/>
      <c r="O94" s="41"/>
      <c r="P94" s="41"/>
      <c r="S94" s="72"/>
      <c r="T94" s="29"/>
    </row>
    <row r="95" spans="4:20" x14ac:dyDescent="0.25">
      <c r="D95" s="40"/>
      <c r="G95" s="44"/>
      <c r="H95" s="2"/>
      <c r="I95" s="2"/>
      <c r="J95" s="2"/>
      <c r="L95" s="40"/>
      <c r="M95" s="41"/>
      <c r="N95" s="41"/>
      <c r="O95" s="41"/>
      <c r="P95" s="41"/>
      <c r="S95" s="72"/>
      <c r="T95" s="29"/>
    </row>
    <row r="96" spans="4:20" x14ac:dyDescent="0.25">
      <c r="D96" s="40"/>
      <c r="G96" s="44"/>
      <c r="H96" s="2"/>
      <c r="I96" s="2"/>
      <c r="J96" s="2"/>
      <c r="L96" s="40"/>
      <c r="M96" s="41"/>
      <c r="N96" s="41"/>
      <c r="O96" s="41"/>
      <c r="P96" s="41"/>
      <c r="S96" s="72"/>
      <c r="T96" s="29"/>
    </row>
    <row r="97" spans="4:20" x14ac:dyDescent="0.25">
      <c r="D97" s="40"/>
      <c r="G97" s="44"/>
      <c r="H97" s="2"/>
      <c r="I97" s="2"/>
      <c r="J97" s="2"/>
      <c r="L97" s="40"/>
      <c r="M97" s="41"/>
      <c r="N97" s="41"/>
      <c r="O97" s="41"/>
      <c r="P97" s="41"/>
      <c r="S97" s="72"/>
      <c r="T97" s="29"/>
    </row>
    <row r="98" spans="4:20" x14ac:dyDescent="0.25">
      <c r="D98" s="40"/>
      <c r="G98" s="44"/>
      <c r="H98" s="2"/>
      <c r="I98" s="2"/>
      <c r="J98" s="2"/>
      <c r="L98" s="40"/>
      <c r="M98" s="41"/>
      <c r="N98" s="41"/>
      <c r="O98" s="41"/>
      <c r="P98" s="41"/>
      <c r="S98" s="72"/>
      <c r="T98" s="29"/>
    </row>
    <row r="99" spans="4:20" x14ac:dyDescent="0.25">
      <c r="D99" s="40"/>
      <c r="G99" s="44"/>
      <c r="H99" s="2"/>
      <c r="I99" s="2"/>
      <c r="J99" s="2"/>
      <c r="L99" s="40"/>
      <c r="M99" s="41"/>
      <c r="N99" s="41"/>
      <c r="O99" s="41"/>
      <c r="P99" s="41"/>
      <c r="S99" s="72"/>
      <c r="T99" s="29"/>
    </row>
    <row r="100" spans="4:20" x14ac:dyDescent="0.25">
      <c r="D100" s="40"/>
      <c r="G100" s="44"/>
      <c r="H100" s="2"/>
      <c r="I100" s="2"/>
      <c r="J100" s="2"/>
      <c r="L100" s="40"/>
      <c r="M100" s="41"/>
      <c r="N100" s="41"/>
      <c r="O100" s="41"/>
      <c r="P100" s="41"/>
      <c r="S100" s="72"/>
      <c r="T100" s="29"/>
    </row>
    <row r="101" spans="4:20" x14ac:dyDescent="0.25">
      <c r="D101" s="40"/>
      <c r="G101" s="44"/>
      <c r="H101" s="2"/>
      <c r="I101" s="2"/>
      <c r="J101" s="2"/>
      <c r="L101" s="40"/>
      <c r="M101" s="41"/>
      <c r="N101" s="41"/>
      <c r="O101" s="41"/>
      <c r="P101" s="41"/>
      <c r="S101" s="72"/>
      <c r="T101" s="29"/>
    </row>
    <row r="102" spans="4:20" x14ac:dyDescent="0.25">
      <c r="D102" s="40"/>
      <c r="G102" s="44"/>
      <c r="H102" s="2"/>
      <c r="I102" s="2"/>
      <c r="J102" s="2"/>
      <c r="L102" s="40"/>
      <c r="M102" s="41"/>
      <c r="N102" s="41"/>
      <c r="O102" s="41"/>
      <c r="P102" s="41"/>
      <c r="S102" s="72"/>
      <c r="T102" s="29"/>
    </row>
    <row r="103" spans="4:20" x14ac:dyDescent="0.25">
      <c r="D103" s="40"/>
      <c r="G103" s="44"/>
      <c r="H103" s="2"/>
      <c r="I103" s="2"/>
      <c r="J103" s="2"/>
      <c r="L103" s="40"/>
      <c r="M103" s="41"/>
      <c r="N103" s="41"/>
      <c r="O103" s="41"/>
      <c r="P103" s="41"/>
      <c r="S103" s="72"/>
      <c r="T103" s="29"/>
    </row>
    <row r="104" spans="4:20" x14ac:dyDescent="0.25">
      <c r="D104" s="40"/>
      <c r="G104" s="44"/>
      <c r="H104" s="2"/>
      <c r="I104" s="2"/>
      <c r="J104" s="2"/>
      <c r="L104" s="40"/>
      <c r="M104" s="41"/>
      <c r="N104" s="41"/>
      <c r="O104" s="41"/>
      <c r="P104" s="41"/>
      <c r="S104" s="72"/>
      <c r="T104" s="29"/>
    </row>
    <row r="105" spans="4:20" x14ac:dyDescent="0.25">
      <c r="D105" s="40"/>
      <c r="G105" s="44"/>
      <c r="H105" s="2"/>
      <c r="I105" s="2"/>
      <c r="J105" s="2"/>
      <c r="L105" s="40"/>
      <c r="M105" s="41"/>
      <c r="N105" s="41"/>
      <c r="O105" s="41"/>
      <c r="P105" s="41"/>
      <c r="S105" s="72"/>
      <c r="T105" s="29"/>
    </row>
    <row r="106" spans="4:20" x14ac:dyDescent="0.25">
      <c r="D106" s="40"/>
      <c r="G106" s="44"/>
      <c r="H106" s="2"/>
      <c r="I106" s="2"/>
      <c r="J106" s="2"/>
      <c r="L106" s="40"/>
      <c r="M106" s="41"/>
      <c r="N106" s="41"/>
      <c r="O106" s="41"/>
      <c r="P106" s="41"/>
      <c r="S106" s="72"/>
      <c r="T106" s="29"/>
    </row>
    <row r="107" spans="4:20" x14ac:dyDescent="0.25">
      <c r="D107" s="40"/>
      <c r="G107" s="44"/>
      <c r="H107" s="2"/>
      <c r="I107" s="2"/>
      <c r="J107" s="2"/>
      <c r="L107" s="40"/>
      <c r="M107" s="41"/>
      <c r="N107" s="41"/>
      <c r="O107" s="41"/>
      <c r="P107" s="41"/>
      <c r="S107" s="72"/>
      <c r="T107" s="29"/>
    </row>
    <row r="108" spans="4:20" x14ac:dyDescent="0.25">
      <c r="D108" s="40"/>
      <c r="G108" s="44"/>
      <c r="H108" s="2"/>
      <c r="I108" s="2"/>
      <c r="J108" s="2"/>
      <c r="L108" s="40"/>
      <c r="M108" s="41"/>
      <c r="N108" s="41"/>
      <c r="O108" s="41"/>
      <c r="P108" s="41"/>
      <c r="S108" s="72"/>
      <c r="T108" s="29"/>
    </row>
    <row r="109" spans="4:20" x14ac:dyDescent="0.25">
      <c r="D109" s="40"/>
      <c r="G109" s="44"/>
      <c r="H109" s="2"/>
      <c r="I109" s="2"/>
      <c r="J109" s="2"/>
      <c r="L109" s="40"/>
      <c r="M109" s="41"/>
      <c r="N109" s="41"/>
      <c r="O109" s="41"/>
      <c r="P109" s="41"/>
      <c r="S109" s="72"/>
      <c r="T109" s="29"/>
    </row>
    <row r="110" spans="4:20" x14ac:dyDescent="0.25">
      <c r="D110" s="40"/>
      <c r="G110" s="44"/>
      <c r="H110" s="2"/>
      <c r="I110" s="2"/>
      <c r="J110" s="2"/>
      <c r="L110" s="40"/>
      <c r="M110" s="41"/>
      <c r="N110" s="41"/>
      <c r="O110" s="41"/>
      <c r="P110" s="41"/>
      <c r="S110" s="72"/>
      <c r="T110" s="29"/>
    </row>
    <row r="111" spans="4:20" x14ac:dyDescent="0.25">
      <c r="D111" s="40"/>
      <c r="G111" s="44"/>
      <c r="H111" s="2"/>
      <c r="I111" s="2"/>
      <c r="J111" s="2"/>
      <c r="L111" s="40"/>
      <c r="M111" s="41"/>
      <c r="N111" s="41"/>
      <c r="O111" s="41"/>
      <c r="P111" s="41"/>
      <c r="S111" s="72"/>
      <c r="T111" s="29"/>
    </row>
    <row r="112" spans="4:20" x14ac:dyDescent="0.25">
      <c r="D112" s="40"/>
      <c r="G112" s="44"/>
      <c r="H112" s="2"/>
      <c r="I112" s="2"/>
      <c r="J112" s="2"/>
      <c r="L112" s="40"/>
      <c r="M112" s="41"/>
      <c r="N112" s="41"/>
      <c r="O112" s="41"/>
      <c r="P112" s="41"/>
      <c r="S112" s="72"/>
      <c r="T112" s="29"/>
    </row>
    <row r="113" spans="4:20" x14ac:dyDescent="0.25">
      <c r="D113" s="40"/>
      <c r="G113" s="44"/>
      <c r="H113" s="2"/>
      <c r="I113" s="2"/>
      <c r="J113" s="2"/>
      <c r="L113" s="40"/>
      <c r="M113" s="41"/>
      <c r="N113" s="41"/>
      <c r="O113" s="41"/>
      <c r="P113" s="41"/>
      <c r="S113" s="72"/>
      <c r="T113" s="29"/>
    </row>
    <row r="114" spans="4:20" x14ac:dyDescent="0.25">
      <c r="D114" s="40"/>
      <c r="G114" s="44"/>
      <c r="H114" s="2"/>
      <c r="I114" s="2"/>
      <c r="J114" s="2"/>
      <c r="L114" s="40"/>
      <c r="M114" s="41"/>
      <c r="N114" s="41"/>
      <c r="O114" s="41"/>
      <c r="P114" s="41"/>
      <c r="S114" s="72"/>
      <c r="T114" s="29"/>
    </row>
    <row r="115" spans="4:20" x14ac:dyDescent="0.25">
      <c r="D115" s="40"/>
      <c r="G115" s="44"/>
      <c r="H115" s="2"/>
      <c r="I115" s="2"/>
      <c r="J115" s="2"/>
      <c r="L115" s="40"/>
      <c r="M115" s="41"/>
      <c r="N115" s="41"/>
      <c r="O115" s="41"/>
      <c r="P115" s="41"/>
      <c r="S115" s="72"/>
      <c r="T115" s="29"/>
    </row>
    <row r="116" spans="4:20" x14ac:dyDescent="0.25">
      <c r="D116" s="40"/>
      <c r="G116" s="44"/>
      <c r="H116" s="2"/>
      <c r="I116" s="2"/>
      <c r="J116" s="2"/>
      <c r="L116" s="40"/>
      <c r="M116" s="41"/>
      <c r="N116" s="41"/>
      <c r="O116" s="41"/>
      <c r="P116" s="41"/>
      <c r="S116" s="72"/>
      <c r="T116" s="29"/>
    </row>
    <row r="117" spans="4:20" x14ac:dyDescent="0.25">
      <c r="D117" s="40"/>
      <c r="G117" s="44"/>
      <c r="H117" s="2"/>
      <c r="I117" s="2"/>
      <c r="J117" s="2"/>
      <c r="L117" s="40"/>
      <c r="M117" s="41"/>
      <c r="N117" s="41"/>
      <c r="O117" s="41"/>
      <c r="P117" s="41"/>
      <c r="S117" s="72"/>
      <c r="T117" s="29"/>
    </row>
    <row r="118" spans="4:20" x14ac:dyDescent="0.25">
      <c r="D118" s="40"/>
      <c r="G118" s="44"/>
      <c r="H118" s="2"/>
      <c r="I118" s="2"/>
      <c r="J118" s="2"/>
      <c r="L118" s="40"/>
      <c r="M118" s="41"/>
      <c r="N118" s="41"/>
      <c r="O118" s="41"/>
      <c r="P118" s="41"/>
      <c r="S118" s="72"/>
      <c r="T118" s="29"/>
    </row>
    <row r="119" spans="4:20" x14ac:dyDescent="0.25">
      <c r="D119" s="40"/>
      <c r="G119" s="44"/>
      <c r="H119" s="2"/>
      <c r="I119" s="2"/>
      <c r="J119" s="2"/>
      <c r="L119" s="40"/>
      <c r="M119" s="41"/>
      <c r="N119" s="41"/>
      <c r="O119" s="41"/>
      <c r="P119" s="41"/>
      <c r="S119" s="72"/>
      <c r="T119" s="29"/>
    </row>
    <row r="120" spans="4:20" x14ac:dyDescent="0.25">
      <c r="D120" s="40"/>
      <c r="G120" s="44"/>
      <c r="H120" s="2"/>
      <c r="I120" s="2"/>
      <c r="J120" s="2"/>
      <c r="L120" s="40"/>
      <c r="M120" s="41"/>
      <c r="N120" s="41"/>
      <c r="O120" s="41"/>
      <c r="P120" s="41"/>
      <c r="S120" s="72"/>
      <c r="T120" s="29"/>
    </row>
    <row r="121" spans="4:20" x14ac:dyDescent="0.25">
      <c r="D121" s="40"/>
      <c r="G121" s="44"/>
      <c r="H121" s="2"/>
      <c r="I121" s="2"/>
      <c r="J121" s="2"/>
      <c r="L121" s="40"/>
      <c r="M121" s="41"/>
      <c r="N121" s="41"/>
      <c r="O121" s="41"/>
      <c r="P121" s="41"/>
      <c r="S121" s="72"/>
      <c r="T121" s="29"/>
    </row>
    <row r="122" spans="4:20" x14ac:dyDescent="0.25">
      <c r="D122" s="40"/>
      <c r="G122" s="44"/>
      <c r="H122" s="2"/>
      <c r="I122" s="2"/>
      <c r="J122" s="2"/>
      <c r="L122" s="40"/>
      <c r="M122" s="41"/>
      <c r="N122" s="41"/>
      <c r="O122" s="41"/>
      <c r="P122" s="41"/>
      <c r="S122" s="72"/>
      <c r="T122" s="29"/>
    </row>
    <row r="123" spans="4:20" x14ac:dyDescent="0.25">
      <c r="D123" s="40"/>
      <c r="G123" s="44"/>
      <c r="H123" s="2"/>
      <c r="I123" s="2"/>
      <c r="J123" s="2"/>
      <c r="L123" s="40"/>
      <c r="M123" s="41"/>
      <c r="N123" s="41"/>
      <c r="O123" s="41"/>
      <c r="P123" s="41"/>
      <c r="S123" s="72"/>
      <c r="T123" s="29"/>
    </row>
    <row r="124" spans="4:20" x14ac:dyDescent="0.25">
      <c r="D124" s="40"/>
      <c r="G124" s="44"/>
      <c r="H124" s="2"/>
      <c r="I124" s="2"/>
      <c r="J124" s="2"/>
      <c r="L124" s="40"/>
      <c r="M124" s="41"/>
      <c r="N124" s="41"/>
      <c r="O124" s="41"/>
      <c r="P124" s="41"/>
      <c r="S124" s="72"/>
      <c r="T124" s="29"/>
    </row>
    <row r="125" spans="4:20" x14ac:dyDescent="0.25">
      <c r="D125" s="40"/>
      <c r="G125" s="44"/>
      <c r="H125" s="2"/>
      <c r="I125" s="2"/>
      <c r="J125" s="2"/>
      <c r="L125" s="40"/>
      <c r="M125" s="41"/>
      <c r="N125" s="41"/>
      <c r="O125" s="41"/>
      <c r="P125" s="41"/>
      <c r="S125" s="72"/>
      <c r="T125" s="29"/>
    </row>
    <row r="126" spans="4:20" x14ac:dyDescent="0.25">
      <c r="D126" s="40"/>
      <c r="G126" s="44"/>
      <c r="H126" s="2"/>
      <c r="I126" s="2"/>
      <c r="J126" s="2"/>
      <c r="L126" s="40"/>
      <c r="M126" s="41"/>
      <c r="N126" s="41"/>
      <c r="O126" s="41"/>
      <c r="P126" s="41"/>
      <c r="S126" s="72"/>
      <c r="T126" s="29"/>
    </row>
    <row r="127" spans="4:20" x14ac:dyDescent="0.25">
      <c r="D127" s="40"/>
      <c r="G127" s="44"/>
      <c r="H127" s="2"/>
      <c r="I127" s="2"/>
      <c r="J127" s="2"/>
      <c r="L127" s="40"/>
      <c r="M127" s="41"/>
      <c r="N127" s="41"/>
      <c r="O127" s="41"/>
      <c r="P127" s="41"/>
      <c r="S127" s="72"/>
      <c r="T127" s="29"/>
    </row>
    <row r="128" spans="4:20" x14ac:dyDescent="0.25">
      <c r="D128" s="40"/>
      <c r="G128" s="44"/>
      <c r="H128" s="2"/>
      <c r="I128" s="2"/>
      <c r="J128" s="2"/>
      <c r="L128" s="40"/>
      <c r="M128" s="41"/>
      <c r="N128" s="41"/>
      <c r="O128" s="41"/>
      <c r="P128" s="41"/>
      <c r="S128" s="72"/>
      <c r="T128" s="29"/>
    </row>
    <row r="129" spans="4:20" x14ac:dyDescent="0.25">
      <c r="D129" s="40"/>
      <c r="G129" s="44"/>
      <c r="H129" s="2"/>
      <c r="I129" s="2"/>
      <c r="J129" s="2"/>
      <c r="L129" s="40"/>
      <c r="M129" s="41"/>
      <c r="N129" s="41"/>
      <c r="O129" s="41"/>
      <c r="P129" s="41"/>
      <c r="S129" s="72"/>
      <c r="T129" s="29"/>
    </row>
    <row r="130" spans="4:20" x14ac:dyDescent="0.25">
      <c r="D130" s="40"/>
      <c r="G130" s="44"/>
      <c r="H130" s="2"/>
      <c r="I130" s="2"/>
      <c r="J130" s="2"/>
      <c r="L130" s="40"/>
      <c r="M130" s="41"/>
      <c r="N130" s="41"/>
      <c r="O130" s="41"/>
      <c r="P130" s="41"/>
      <c r="S130" s="72"/>
      <c r="T130" s="29"/>
    </row>
    <row r="131" spans="4:20" x14ac:dyDescent="0.25">
      <c r="D131" s="40"/>
      <c r="G131" s="44"/>
      <c r="H131" s="2"/>
      <c r="I131" s="2"/>
      <c r="J131" s="2"/>
      <c r="L131" s="40"/>
      <c r="M131" s="41"/>
      <c r="N131" s="41"/>
      <c r="O131" s="41"/>
      <c r="P131" s="41"/>
      <c r="S131" s="72"/>
      <c r="T131" s="29"/>
    </row>
    <row r="132" spans="4:20" x14ac:dyDescent="0.25">
      <c r="D132" s="40"/>
      <c r="G132" s="44"/>
      <c r="H132" s="2"/>
      <c r="I132" s="2"/>
      <c r="J132" s="2"/>
      <c r="L132" s="40"/>
      <c r="M132" s="41"/>
      <c r="N132" s="41"/>
      <c r="O132" s="41"/>
      <c r="P132" s="41"/>
      <c r="S132" s="72"/>
      <c r="T132" s="29"/>
    </row>
    <row r="133" spans="4:20" x14ac:dyDescent="0.25">
      <c r="D133" s="40"/>
      <c r="G133" s="44"/>
      <c r="H133" s="2"/>
      <c r="I133" s="2"/>
      <c r="J133" s="2"/>
      <c r="L133" s="40"/>
      <c r="M133" s="41"/>
      <c r="N133" s="41"/>
      <c r="O133" s="41"/>
      <c r="P133" s="41"/>
      <c r="S133" s="72"/>
      <c r="T133" s="29"/>
    </row>
    <row r="134" spans="4:20" x14ac:dyDescent="0.25">
      <c r="D134" s="40"/>
      <c r="G134" s="44"/>
      <c r="H134" s="2"/>
      <c r="I134" s="2"/>
      <c r="J134" s="2"/>
      <c r="L134" s="40"/>
      <c r="M134" s="41"/>
      <c r="N134" s="41"/>
      <c r="O134" s="41"/>
      <c r="P134" s="41"/>
      <c r="S134" s="72"/>
      <c r="T134" s="29"/>
    </row>
    <row r="135" spans="4:20" x14ac:dyDescent="0.25">
      <c r="D135" s="40"/>
      <c r="G135" s="44"/>
      <c r="H135" s="2"/>
      <c r="I135" s="2"/>
      <c r="J135" s="2"/>
      <c r="L135" s="40"/>
      <c r="M135" s="41"/>
      <c r="N135" s="41"/>
      <c r="O135" s="41"/>
      <c r="P135" s="41"/>
      <c r="S135" s="72"/>
      <c r="T135" s="29"/>
    </row>
    <row r="136" spans="4:20" x14ac:dyDescent="0.25">
      <c r="D136" s="40"/>
      <c r="G136" s="44"/>
      <c r="H136" s="2"/>
      <c r="I136" s="2"/>
      <c r="J136" s="2"/>
      <c r="L136" s="40"/>
      <c r="M136" s="41"/>
      <c r="N136" s="41"/>
      <c r="O136" s="41"/>
      <c r="P136" s="41"/>
      <c r="S136" s="72"/>
      <c r="T136" s="29"/>
    </row>
    <row r="137" spans="4:20" x14ac:dyDescent="0.25">
      <c r="D137" s="40"/>
      <c r="G137" s="44"/>
      <c r="H137" s="2"/>
      <c r="I137" s="2"/>
      <c r="J137" s="2"/>
      <c r="L137" s="40"/>
      <c r="M137" s="41"/>
      <c r="N137" s="41"/>
      <c r="O137" s="41"/>
      <c r="P137" s="41"/>
      <c r="S137" s="72"/>
      <c r="T137" s="29"/>
    </row>
    <row r="138" spans="4:20" x14ac:dyDescent="0.25">
      <c r="D138" s="40"/>
      <c r="G138" s="44"/>
      <c r="H138" s="2"/>
      <c r="I138" s="2"/>
      <c r="J138" s="2"/>
      <c r="L138" s="40"/>
      <c r="M138" s="41"/>
      <c r="N138" s="41"/>
      <c r="O138" s="41"/>
      <c r="P138" s="41"/>
      <c r="S138" s="72"/>
      <c r="T138" s="29"/>
    </row>
    <row r="139" spans="4:20" x14ac:dyDescent="0.25">
      <c r="D139" s="40"/>
      <c r="G139" s="44"/>
      <c r="H139" s="2"/>
      <c r="I139" s="2"/>
      <c r="J139" s="2"/>
      <c r="L139" s="40"/>
      <c r="M139" s="41"/>
      <c r="N139" s="41"/>
      <c r="O139" s="41"/>
      <c r="P139" s="41"/>
      <c r="S139" s="72"/>
      <c r="T139" s="29"/>
    </row>
    <row r="140" spans="4:20" x14ac:dyDescent="0.25">
      <c r="D140" s="40"/>
      <c r="G140" s="44"/>
      <c r="H140" s="2"/>
      <c r="I140" s="2"/>
      <c r="J140" s="2"/>
      <c r="L140" s="40"/>
      <c r="M140" s="41"/>
      <c r="N140" s="41"/>
      <c r="O140" s="41"/>
      <c r="P140" s="41"/>
      <c r="S140" s="72"/>
      <c r="T140" s="29"/>
    </row>
    <row r="141" spans="4:20" x14ac:dyDescent="0.25">
      <c r="D141" s="40"/>
      <c r="G141" s="44"/>
      <c r="H141" s="2"/>
      <c r="I141" s="2"/>
      <c r="J141" s="2"/>
      <c r="L141" s="40"/>
      <c r="M141" s="41"/>
      <c r="N141" s="41"/>
      <c r="O141" s="41"/>
      <c r="P141" s="41"/>
      <c r="S141" s="72"/>
      <c r="T141" s="29"/>
    </row>
    <row r="142" spans="4:20" x14ac:dyDescent="0.25">
      <c r="D142" s="40"/>
      <c r="G142" s="44"/>
      <c r="H142" s="2"/>
      <c r="I142" s="2"/>
      <c r="J142" s="2"/>
      <c r="L142" s="40"/>
      <c r="M142" s="41"/>
      <c r="N142" s="41"/>
      <c r="O142" s="41"/>
      <c r="P142" s="41"/>
      <c r="S142" s="72"/>
      <c r="T142" s="29"/>
    </row>
    <row r="143" spans="4:20" x14ac:dyDescent="0.25">
      <c r="D143" s="40"/>
      <c r="G143" s="44"/>
      <c r="H143" s="2"/>
      <c r="I143" s="2"/>
      <c r="J143" s="2"/>
      <c r="L143" s="40"/>
      <c r="M143" s="41"/>
      <c r="N143" s="41"/>
      <c r="O143" s="41"/>
      <c r="P143" s="41"/>
      <c r="S143" s="72"/>
      <c r="T143" s="29"/>
    </row>
    <row r="144" spans="4:20" x14ac:dyDescent="0.25">
      <c r="D144" s="40"/>
      <c r="G144" s="44"/>
      <c r="H144" s="2"/>
      <c r="I144" s="2"/>
      <c r="J144" s="2"/>
      <c r="L144" s="40"/>
      <c r="M144" s="41"/>
      <c r="N144" s="41"/>
      <c r="O144" s="41"/>
      <c r="P144" s="41"/>
      <c r="S144" s="72"/>
      <c r="T144" s="29"/>
    </row>
    <row r="145" spans="4:20" x14ac:dyDescent="0.25">
      <c r="D145" s="40"/>
      <c r="G145" s="44"/>
      <c r="H145" s="2"/>
      <c r="I145" s="2"/>
      <c r="J145" s="2"/>
      <c r="L145" s="40"/>
      <c r="M145" s="41"/>
      <c r="N145" s="41"/>
      <c r="O145" s="41"/>
      <c r="P145" s="41"/>
      <c r="S145" s="72"/>
      <c r="T145" s="29"/>
    </row>
    <row r="146" spans="4:20" x14ac:dyDescent="0.25">
      <c r="D146" s="40"/>
      <c r="G146" s="44"/>
      <c r="H146" s="2"/>
      <c r="I146" s="2"/>
      <c r="J146" s="2"/>
      <c r="L146" s="40"/>
      <c r="M146" s="41"/>
      <c r="N146" s="41"/>
      <c r="O146" s="41"/>
      <c r="P146" s="41"/>
      <c r="S146" s="72"/>
      <c r="T146" s="29"/>
    </row>
    <row r="147" spans="4:20" x14ac:dyDescent="0.25">
      <c r="D147" s="40"/>
      <c r="G147" s="44"/>
      <c r="H147" s="2"/>
      <c r="I147" s="2"/>
      <c r="J147" s="2"/>
      <c r="L147" s="40"/>
      <c r="M147" s="41"/>
      <c r="N147" s="41"/>
      <c r="O147" s="41"/>
      <c r="P147" s="41"/>
      <c r="S147" s="72"/>
      <c r="T147" s="29"/>
    </row>
    <row r="148" spans="4:20" x14ac:dyDescent="0.25">
      <c r="D148" s="40"/>
      <c r="G148" s="44"/>
      <c r="H148" s="2"/>
      <c r="I148" s="2"/>
      <c r="J148" s="2"/>
      <c r="L148" s="40"/>
      <c r="M148" s="41"/>
      <c r="N148" s="41"/>
      <c r="O148" s="41"/>
      <c r="P148" s="41"/>
      <c r="S148" s="72"/>
      <c r="T148" s="29"/>
    </row>
    <row r="149" spans="4:20" x14ac:dyDescent="0.25">
      <c r="D149" s="40"/>
      <c r="G149" s="44"/>
      <c r="H149" s="2"/>
      <c r="I149" s="2"/>
      <c r="J149" s="2"/>
      <c r="L149" s="40"/>
      <c r="M149" s="41"/>
      <c r="N149" s="41"/>
      <c r="O149" s="41"/>
      <c r="P149" s="41"/>
      <c r="S149" s="72"/>
      <c r="T149" s="29"/>
    </row>
    <row r="150" spans="4:20" x14ac:dyDescent="0.25">
      <c r="D150" s="40"/>
      <c r="G150" s="44"/>
      <c r="H150" s="2"/>
      <c r="I150" s="2"/>
      <c r="J150" s="2"/>
      <c r="L150" s="40"/>
      <c r="M150" s="41"/>
      <c r="N150" s="41"/>
      <c r="O150" s="41"/>
      <c r="P150" s="41"/>
      <c r="S150" s="72"/>
      <c r="T150" s="29"/>
    </row>
    <row r="151" spans="4:20" x14ac:dyDescent="0.25">
      <c r="D151" s="40"/>
      <c r="G151" s="44"/>
      <c r="H151" s="2"/>
      <c r="I151" s="2"/>
      <c r="J151" s="2"/>
      <c r="L151" s="40"/>
      <c r="M151" s="41"/>
      <c r="N151" s="41"/>
      <c r="O151" s="41"/>
      <c r="P151" s="41"/>
      <c r="S151" s="72"/>
      <c r="T151" s="29"/>
    </row>
    <row r="152" spans="4:20" x14ac:dyDescent="0.25">
      <c r="D152" s="40"/>
      <c r="G152" s="44"/>
      <c r="H152" s="2"/>
      <c r="I152" s="2"/>
      <c r="J152" s="2"/>
      <c r="L152" s="40"/>
      <c r="M152" s="41"/>
      <c r="N152" s="41"/>
      <c r="O152" s="41"/>
      <c r="P152" s="41"/>
      <c r="S152" s="72"/>
      <c r="T152" s="29"/>
    </row>
    <row r="153" spans="4:20" x14ac:dyDescent="0.25">
      <c r="D153" s="40"/>
      <c r="G153" s="44"/>
      <c r="H153" s="2"/>
      <c r="I153" s="2"/>
      <c r="J153" s="2"/>
      <c r="L153" s="40"/>
      <c r="M153" s="41"/>
      <c r="N153" s="41"/>
      <c r="O153" s="41"/>
      <c r="P153" s="41"/>
      <c r="S153" s="72"/>
      <c r="T153" s="29"/>
    </row>
    <row r="154" spans="4:20" x14ac:dyDescent="0.25">
      <c r="D154" s="40"/>
      <c r="G154" s="44"/>
      <c r="H154" s="2"/>
      <c r="I154" s="2"/>
      <c r="J154" s="2"/>
      <c r="L154" s="40"/>
      <c r="M154" s="41"/>
      <c r="N154" s="41"/>
      <c r="O154" s="41"/>
      <c r="P154" s="41"/>
      <c r="S154" s="72"/>
      <c r="T154" s="29"/>
    </row>
    <row r="155" spans="4:20" x14ac:dyDescent="0.25">
      <c r="D155" s="40"/>
      <c r="G155" s="44"/>
      <c r="H155" s="2"/>
      <c r="I155" s="2"/>
      <c r="J155" s="2"/>
      <c r="L155" s="40"/>
      <c r="M155" s="41"/>
      <c r="N155" s="41"/>
      <c r="O155" s="41"/>
      <c r="P155" s="41"/>
      <c r="S155" s="72"/>
      <c r="T155" s="29"/>
    </row>
    <row r="156" spans="4:20" x14ac:dyDescent="0.25">
      <c r="D156" s="40"/>
      <c r="G156" s="44"/>
      <c r="H156" s="2"/>
      <c r="I156" s="2"/>
      <c r="J156" s="2"/>
      <c r="L156" s="40"/>
      <c r="M156" s="41"/>
      <c r="N156" s="41"/>
      <c r="O156" s="41"/>
      <c r="P156" s="41"/>
      <c r="S156" s="72"/>
      <c r="T156" s="29"/>
    </row>
    <row r="157" spans="4:20" x14ac:dyDescent="0.25">
      <c r="D157" s="40"/>
      <c r="G157" s="44"/>
      <c r="H157" s="2"/>
      <c r="I157" s="2"/>
      <c r="J157" s="2"/>
      <c r="L157" s="40"/>
      <c r="M157" s="41"/>
      <c r="N157" s="41"/>
      <c r="O157" s="41"/>
      <c r="P157" s="41"/>
      <c r="S157" s="72"/>
      <c r="T157" s="29"/>
    </row>
    <row r="158" spans="4:20" x14ac:dyDescent="0.25">
      <c r="D158" s="40"/>
      <c r="G158" s="44"/>
      <c r="H158" s="2"/>
      <c r="I158" s="2"/>
      <c r="J158" s="2"/>
      <c r="L158" s="40"/>
      <c r="M158" s="41"/>
      <c r="N158" s="41"/>
      <c r="O158" s="41"/>
      <c r="P158" s="41"/>
      <c r="S158" s="72"/>
      <c r="T158" s="29"/>
    </row>
    <row r="159" spans="4:20" x14ac:dyDescent="0.25">
      <c r="D159" s="40"/>
      <c r="G159" s="44"/>
      <c r="H159" s="2"/>
      <c r="I159" s="2"/>
      <c r="J159" s="2"/>
      <c r="L159" s="40"/>
      <c r="M159" s="41"/>
      <c r="N159" s="41"/>
      <c r="O159" s="41"/>
      <c r="P159" s="41"/>
      <c r="S159" s="72"/>
      <c r="T159" s="29"/>
    </row>
    <row r="160" spans="4:20" x14ac:dyDescent="0.25">
      <c r="D160" s="40"/>
      <c r="G160" s="44"/>
      <c r="H160" s="2"/>
      <c r="I160" s="2"/>
      <c r="J160" s="2"/>
      <c r="L160" s="40"/>
      <c r="M160" s="41"/>
      <c r="N160" s="41"/>
      <c r="O160" s="41"/>
      <c r="P160" s="41"/>
      <c r="S160" s="72"/>
      <c r="T160" s="29"/>
    </row>
    <row r="161" spans="4:20" x14ac:dyDescent="0.25">
      <c r="D161" s="40"/>
      <c r="G161" s="44"/>
      <c r="H161" s="2"/>
      <c r="I161" s="2"/>
      <c r="J161" s="2"/>
      <c r="L161" s="40"/>
      <c r="M161" s="41"/>
      <c r="N161" s="41"/>
      <c r="O161" s="41"/>
      <c r="P161" s="41"/>
      <c r="S161" s="72"/>
      <c r="T161" s="29"/>
    </row>
    <row r="162" spans="4:20" x14ac:dyDescent="0.25">
      <c r="D162" s="40"/>
      <c r="G162" s="44"/>
      <c r="H162" s="2"/>
      <c r="I162" s="2"/>
      <c r="J162" s="2"/>
      <c r="L162" s="40"/>
      <c r="M162" s="41"/>
      <c r="N162" s="41"/>
      <c r="O162" s="41"/>
      <c r="P162" s="41"/>
      <c r="S162" s="72"/>
      <c r="T162" s="29"/>
    </row>
    <row r="163" spans="4:20" x14ac:dyDescent="0.25">
      <c r="D163" s="40"/>
      <c r="G163" s="44"/>
      <c r="H163" s="2"/>
      <c r="I163" s="2"/>
      <c r="J163" s="2"/>
      <c r="L163" s="40"/>
      <c r="M163" s="41"/>
      <c r="N163" s="41"/>
      <c r="O163" s="41"/>
      <c r="P163" s="41"/>
      <c r="S163" s="72"/>
      <c r="T163" s="29"/>
    </row>
    <row r="164" spans="4:20" x14ac:dyDescent="0.25">
      <c r="D164" s="40"/>
      <c r="G164" s="44"/>
      <c r="H164" s="2"/>
      <c r="I164" s="2"/>
      <c r="J164" s="2"/>
      <c r="L164" s="40"/>
      <c r="M164" s="41"/>
      <c r="N164" s="41"/>
      <c r="O164" s="41"/>
      <c r="P164" s="41"/>
      <c r="S164" s="72"/>
      <c r="T164" s="29"/>
    </row>
    <row r="165" spans="4:20" x14ac:dyDescent="0.25">
      <c r="D165" s="40"/>
      <c r="G165" s="44"/>
      <c r="H165" s="2"/>
      <c r="I165" s="2"/>
      <c r="J165" s="2"/>
      <c r="L165" s="40"/>
      <c r="M165" s="41"/>
      <c r="N165" s="41"/>
      <c r="O165" s="41"/>
      <c r="P165" s="41"/>
      <c r="S165" s="72"/>
      <c r="T165" s="29"/>
    </row>
    <row r="166" spans="4:20" x14ac:dyDescent="0.25">
      <c r="D166" s="40"/>
      <c r="G166" s="44"/>
      <c r="H166" s="2"/>
      <c r="I166" s="2"/>
      <c r="J166" s="2"/>
      <c r="L166" s="40"/>
      <c r="M166" s="41"/>
      <c r="N166" s="41"/>
      <c r="O166" s="41"/>
      <c r="P166" s="41"/>
      <c r="S166" s="72"/>
      <c r="T166" s="29"/>
    </row>
    <row r="167" spans="4:20" x14ac:dyDescent="0.25">
      <c r="D167" s="40"/>
      <c r="G167" s="44"/>
      <c r="H167" s="2"/>
      <c r="I167" s="2"/>
      <c r="J167" s="2"/>
      <c r="L167" s="40"/>
      <c r="M167" s="41"/>
      <c r="N167" s="41"/>
      <c r="O167" s="41"/>
      <c r="P167" s="41"/>
      <c r="S167" s="72"/>
      <c r="T167" s="29"/>
    </row>
    <row r="168" spans="4:20" x14ac:dyDescent="0.25">
      <c r="D168" s="40"/>
      <c r="G168" s="44"/>
      <c r="H168" s="2"/>
      <c r="I168" s="2"/>
      <c r="J168" s="2"/>
      <c r="L168" s="40"/>
      <c r="M168" s="41"/>
      <c r="N168" s="41"/>
      <c r="O168" s="41"/>
      <c r="P168" s="41"/>
      <c r="S168" s="72"/>
      <c r="T168" s="29"/>
    </row>
    <row r="169" spans="4:20" x14ac:dyDescent="0.25">
      <c r="D169" s="40"/>
      <c r="G169" s="44"/>
      <c r="H169" s="2"/>
      <c r="I169" s="2"/>
      <c r="J169" s="2"/>
      <c r="L169" s="40"/>
      <c r="M169" s="41"/>
      <c r="N169" s="41"/>
      <c r="O169" s="41"/>
      <c r="P169" s="41"/>
      <c r="S169" s="72"/>
      <c r="T169" s="29"/>
    </row>
    <row r="170" spans="4:20" x14ac:dyDescent="0.25">
      <c r="D170" s="40"/>
      <c r="G170" s="44"/>
      <c r="H170" s="2"/>
      <c r="I170" s="2"/>
      <c r="J170" s="2"/>
      <c r="L170" s="40"/>
      <c r="M170" s="41"/>
      <c r="N170" s="41"/>
      <c r="O170" s="41"/>
      <c r="P170" s="41"/>
      <c r="S170" s="72"/>
      <c r="T170" s="29"/>
    </row>
    <row r="171" spans="4:20" x14ac:dyDescent="0.25">
      <c r="D171" s="40"/>
      <c r="G171" s="44"/>
      <c r="H171" s="2"/>
      <c r="I171" s="2"/>
      <c r="J171" s="2"/>
      <c r="L171" s="40"/>
      <c r="M171" s="41"/>
      <c r="N171" s="41"/>
      <c r="O171" s="41"/>
      <c r="P171" s="41"/>
      <c r="S171" s="72"/>
      <c r="T171" s="29"/>
    </row>
    <row r="172" spans="4:20" x14ac:dyDescent="0.25">
      <c r="D172" s="40"/>
      <c r="G172" s="44"/>
      <c r="H172" s="2"/>
      <c r="I172" s="2"/>
      <c r="J172" s="2"/>
      <c r="L172" s="40"/>
      <c r="M172" s="41"/>
      <c r="N172" s="41"/>
      <c r="O172" s="41"/>
      <c r="P172" s="41"/>
      <c r="S172" s="72"/>
      <c r="T172" s="29"/>
    </row>
    <row r="173" spans="4:20" x14ac:dyDescent="0.25">
      <c r="D173" s="40"/>
      <c r="G173" s="44"/>
      <c r="H173" s="2"/>
      <c r="I173" s="2"/>
      <c r="J173" s="2"/>
      <c r="L173" s="40"/>
      <c r="M173" s="41"/>
      <c r="N173" s="41"/>
      <c r="O173" s="41"/>
      <c r="P173" s="41"/>
      <c r="S173" s="72"/>
      <c r="T173" s="29"/>
    </row>
    <row r="174" spans="4:20" x14ac:dyDescent="0.25">
      <c r="D174" s="40"/>
      <c r="G174" s="44"/>
      <c r="H174" s="2"/>
      <c r="I174" s="2"/>
      <c r="J174" s="2"/>
      <c r="L174" s="40"/>
      <c r="M174" s="41"/>
      <c r="N174" s="41"/>
      <c r="O174" s="41"/>
      <c r="P174" s="41"/>
      <c r="S174" s="72"/>
      <c r="T174" s="29"/>
    </row>
    <row r="175" spans="4:20" x14ac:dyDescent="0.25">
      <c r="D175" s="40"/>
      <c r="G175" s="44"/>
      <c r="H175" s="2"/>
      <c r="I175" s="2"/>
      <c r="J175" s="2"/>
      <c r="L175" s="40"/>
      <c r="M175" s="41"/>
      <c r="N175" s="41"/>
      <c r="O175" s="41"/>
      <c r="P175" s="41"/>
      <c r="S175" s="72"/>
      <c r="T175" s="29"/>
    </row>
    <row r="176" spans="4:20" x14ac:dyDescent="0.25">
      <c r="D176" s="40"/>
      <c r="G176" s="44"/>
      <c r="H176" s="2"/>
      <c r="I176" s="2"/>
      <c r="J176" s="2"/>
      <c r="L176" s="40"/>
      <c r="M176" s="41"/>
      <c r="N176" s="41"/>
      <c r="O176" s="41"/>
      <c r="P176" s="41"/>
      <c r="S176" s="72"/>
      <c r="T176" s="29"/>
    </row>
    <row r="177" spans="4:20" x14ac:dyDescent="0.25">
      <c r="D177" s="40"/>
      <c r="G177" s="44"/>
      <c r="H177" s="2"/>
      <c r="I177" s="2"/>
      <c r="J177" s="2"/>
      <c r="L177" s="40"/>
      <c r="M177" s="41"/>
      <c r="N177" s="41"/>
      <c r="O177" s="41"/>
      <c r="P177" s="41"/>
      <c r="S177" s="72"/>
      <c r="T177" s="29"/>
    </row>
    <row r="178" spans="4:20" x14ac:dyDescent="0.25">
      <c r="D178" s="40"/>
      <c r="G178" s="44"/>
      <c r="H178" s="2"/>
      <c r="I178" s="2"/>
      <c r="J178" s="2"/>
      <c r="L178" s="40"/>
      <c r="M178" s="41"/>
      <c r="N178" s="41"/>
      <c r="O178" s="41"/>
      <c r="P178" s="41"/>
      <c r="S178" s="72"/>
      <c r="T178" s="29"/>
    </row>
    <row r="179" spans="4:20" x14ac:dyDescent="0.25">
      <c r="D179" s="40"/>
      <c r="G179" s="44"/>
      <c r="H179" s="2"/>
      <c r="I179" s="2"/>
      <c r="J179" s="2"/>
      <c r="L179" s="40"/>
      <c r="M179" s="41"/>
      <c r="N179" s="41"/>
      <c r="O179" s="41"/>
      <c r="P179" s="41"/>
      <c r="S179" s="72"/>
      <c r="T179" s="29"/>
    </row>
    <row r="180" spans="4:20" x14ac:dyDescent="0.25">
      <c r="D180" s="40"/>
      <c r="G180" s="44"/>
      <c r="H180" s="2"/>
      <c r="I180" s="2"/>
      <c r="J180" s="2"/>
      <c r="L180" s="40"/>
      <c r="M180" s="41"/>
      <c r="N180" s="41"/>
      <c r="O180" s="41"/>
      <c r="P180" s="41"/>
      <c r="S180" s="72"/>
      <c r="T180" s="29"/>
    </row>
    <row r="181" spans="4:20" x14ac:dyDescent="0.25">
      <c r="D181" s="40"/>
      <c r="G181" s="44"/>
      <c r="H181" s="2"/>
      <c r="I181" s="2"/>
      <c r="J181" s="2"/>
      <c r="L181" s="40"/>
      <c r="M181" s="41"/>
      <c r="N181" s="41"/>
      <c r="O181" s="41"/>
      <c r="P181" s="41"/>
      <c r="S181" s="72"/>
      <c r="T181" s="29"/>
    </row>
    <row r="182" spans="4:20" x14ac:dyDescent="0.25">
      <c r="D182" s="40"/>
      <c r="G182" s="44"/>
      <c r="H182" s="2"/>
      <c r="I182" s="2"/>
      <c r="J182" s="2"/>
      <c r="L182" s="40"/>
      <c r="M182" s="41"/>
      <c r="N182" s="41"/>
      <c r="O182" s="41"/>
      <c r="P182" s="41"/>
      <c r="S182" s="72"/>
      <c r="T182" s="29"/>
    </row>
    <row r="183" spans="4:20" x14ac:dyDescent="0.25">
      <c r="D183" s="40"/>
      <c r="G183" s="44"/>
      <c r="H183" s="2"/>
      <c r="I183" s="2"/>
      <c r="J183" s="2"/>
      <c r="L183" s="40"/>
      <c r="M183" s="41"/>
      <c r="N183" s="41"/>
      <c r="O183" s="41"/>
      <c r="P183" s="41"/>
      <c r="S183" s="72"/>
      <c r="T183" s="29"/>
    </row>
    <row r="184" spans="4:20" x14ac:dyDescent="0.25">
      <c r="D184" s="40"/>
      <c r="G184" s="44"/>
      <c r="H184" s="2"/>
      <c r="I184" s="2"/>
      <c r="J184" s="2"/>
      <c r="L184" s="40"/>
      <c r="M184" s="41"/>
      <c r="N184" s="41"/>
      <c r="O184" s="41"/>
      <c r="P184" s="41"/>
      <c r="S184" s="72"/>
      <c r="T184" s="29"/>
    </row>
    <row r="185" spans="4:20" x14ac:dyDescent="0.25">
      <c r="D185" s="40"/>
      <c r="G185" s="44"/>
      <c r="H185" s="2"/>
      <c r="I185" s="2"/>
      <c r="J185" s="2"/>
      <c r="L185" s="40"/>
      <c r="M185" s="41"/>
      <c r="N185" s="41"/>
      <c r="O185" s="41"/>
      <c r="P185" s="41"/>
      <c r="S185" s="72"/>
      <c r="T185" s="29"/>
    </row>
    <row r="186" spans="4:20" x14ac:dyDescent="0.25">
      <c r="D186" s="40"/>
      <c r="G186" s="44"/>
      <c r="H186" s="2"/>
      <c r="I186" s="2"/>
      <c r="J186" s="2"/>
      <c r="L186" s="40"/>
      <c r="M186" s="41"/>
      <c r="N186" s="41"/>
      <c r="O186" s="41"/>
      <c r="P186" s="41"/>
      <c r="S186" s="72"/>
      <c r="T186" s="29"/>
    </row>
    <row r="187" spans="4:20" x14ac:dyDescent="0.25">
      <c r="D187" s="40"/>
      <c r="G187" s="44"/>
      <c r="H187" s="2"/>
      <c r="I187" s="2"/>
      <c r="J187" s="2"/>
      <c r="L187" s="40"/>
      <c r="M187" s="41"/>
      <c r="N187" s="41"/>
      <c r="O187" s="41"/>
      <c r="P187" s="41"/>
      <c r="S187" s="72"/>
      <c r="T187" s="29"/>
    </row>
    <row r="188" spans="4:20" x14ac:dyDescent="0.25">
      <c r="D188" s="40"/>
      <c r="G188" s="44"/>
      <c r="H188" s="2"/>
      <c r="I188" s="2"/>
      <c r="J188" s="2"/>
      <c r="L188" s="40"/>
      <c r="M188" s="41"/>
      <c r="N188" s="41"/>
      <c r="O188" s="41"/>
      <c r="P188" s="41"/>
      <c r="S188" s="72"/>
      <c r="T188" s="29"/>
    </row>
    <row r="189" spans="4:20" x14ac:dyDescent="0.25">
      <c r="D189" s="40"/>
      <c r="G189" s="44"/>
      <c r="H189" s="2"/>
      <c r="I189" s="2"/>
      <c r="J189" s="2"/>
      <c r="L189" s="40"/>
      <c r="M189" s="41"/>
      <c r="N189" s="41"/>
      <c r="O189" s="41"/>
      <c r="P189" s="41"/>
      <c r="S189" s="72"/>
      <c r="T189" s="29"/>
    </row>
    <row r="190" spans="4:20" x14ac:dyDescent="0.25">
      <c r="D190" s="40"/>
      <c r="G190" s="44"/>
      <c r="H190" s="2"/>
      <c r="I190" s="2"/>
      <c r="J190" s="2"/>
      <c r="L190" s="40"/>
      <c r="M190" s="41"/>
      <c r="N190" s="41"/>
      <c r="O190" s="41"/>
      <c r="P190" s="41"/>
      <c r="S190" s="72"/>
      <c r="T190" s="29"/>
    </row>
    <row r="191" spans="4:20" x14ac:dyDescent="0.25">
      <c r="D191" s="40"/>
      <c r="G191" s="44"/>
      <c r="H191" s="2"/>
      <c r="I191" s="2"/>
      <c r="J191" s="2"/>
      <c r="L191" s="40"/>
      <c r="M191" s="41"/>
      <c r="N191" s="41"/>
      <c r="O191" s="41"/>
      <c r="P191" s="41"/>
      <c r="S191" s="72"/>
      <c r="T191" s="29"/>
    </row>
    <row r="192" spans="4:20" x14ac:dyDescent="0.25">
      <c r="D192" s="40"/>
      <c r="G192" s="44"/>
      <c r="H192" s="2"/>
      <c r="I192" s="2"/>
      <c r="J192" s="2"/>
      <c r="L192" s="40"/>
      <c r="M192" s="41"/>
      <c r="N192" s="41"/>
      <c r="O192" s="41"/>
      <c r="P192" s="41"/>
      <c r="S192" s="72"/>
      <c r="T192" s="29"/>
    </row>
    <row r="193" spans="4:20" x14ac:dyDescent="0.25">
      <c r="D193" s="40"/>
      <c r="G193" s="44"/>
      <c r="H193" s="2"/>
      <c r="I193" s="2"/>
      <c r="J193" s="2"/>
      <c r="L193" s="40"/>
      <c r="M193" s="41"/>
      <c r="N193" s="41"/>
      <c r="O193" s="41"/>
      <c r="P193" s="41"/>
      <c r="S193" s="72"/>
      <c r="T193" s="29"/>
    </row>
    <row r="194" spans="4:20" x14ac:dyDescent="0.25">
      <c r="D194" s="40"/>
      <c r="G194" s="44"/>
      <c r="H194" s="2"/>
      <c r="I194" s="2"/>
      <c r="J194" s="2"/>
      <c r="L194" s="40"/>
      <c r="M194" s="41"/>
      <c r="N194" s="41"/>
      <c r="O194" s="41"/>
      <c r="P194" s="41"/>
      <c r="S194" s="72"/>
      <c r="T194" s="29"/>
    </row>
    <row r="195" spans="4:20" x14ac:dyDescent="0.25">
      <c r="D195" s="40"/>
      <c r="G195" s="44"/>
      <c r="H195" s="2"/>
      <c r="I195" s="2"/>
      <c r="J195" s="2"/>
      <c r="L195" s="40"/>
      <c r="M195" s="41"/>
      <c r="N195" s="41"/>
      <c r="O195" s="41"/>
      <c r="P195" s="41"/>
      <c r="S195" s="72"/>
      <c r="T195" s="29"/>
    </row>
    <row r="196" spans="4:20" x14ac:dyDescent="0.25">
      <c r="D196" s="40"/>
      <c r="G196" s="44"/>
      <c r="H196" s="2"/>
      <c r="I196" s="2"/>
      <c r="J196" s="2"/>
      <c r="L196" s="40"/>
      <c r="M196" s="41"/>
      <c r="N196" s="41"/>
      <c r="O196" s="41"/>
      <c r="P196" s="41"/>
      <c r="S196" s="72"/>
      <c r="T196" s="29"/>
    </row>
    <row r="197" spans="4:20" x14ac:dyDescent="0.25">
      <c r="D197" s="40"/>
      <c r="G197" s="44"/>
      <c r="H197" s="2"/>
      <c r="I197" s="2"/>
      <c r="J197" s="2"/>
      <c r="L197" s="40"/>
      <c r="M197" s="41"/>
      <c r="N197" s="41"/>
      <c r="O197" s="41"/>
      <c r="P197" s="41"/>
      <c r="S197" s="72"/>
      <c r="T197" s="29"/>
    </row>
    <row r="198" spans="4:20" x14ac:dyDescent="0.25">
      <c r="D198" s="40"/>
      <c r="G198" s="44"/>
      <c r="H198" s="2"/>
      <c r="I198" s="2"/>
      <c r="J198" s="2"/>
      <c r="L198" s="40"/>
      <c r="M198" s="41"/>
      <c r="N198" s="41"/>
      <c r="O198" s="41"/>
      <c r="P198" s="41"/>
      <c r="S198" s="72"/>
      <c r="T198" s="29"/>
    </row>
    <row r="199" spans="4:20" x14ac:dyDescent="0.25">
      <c r="D199" s="40"/>
      <c r="G199" s="44"/>
      <c r="H199" s="2"/>
      <c r="I199" s="2"/>
      <c r="J199" s="2"/>
      <c r="L199" s="40"/>
      <c r="M199" s="41"/>
      <c r="N199" s="41"/>
      <c r="O199" s="41"/>
      <c r="P199" s="41"/>
      <c r="S199" s="72"/>
      <c r="T199" s="29"/>
    </row>
    <row r="200" spans="4:20" x14ac:dyDescent="0.25">
      <c r="D200" s="40"/>
      <c r="G200" s="44"/>
      <c r="H200" s="2"/>
      <c r="I200" s="2"/>
      <c r="J200" s="2"/>
      <c r="L200" s="40"/>
      <c r="M200" s="41"/>
      <c r="N200" s="41"/>
      <c r="O200" s="41"/>
      <c r="P200" s="41"/>
      <c r="S200" s="72"/>
      <c r="T200" s="29"/>
    </row>
  </sheetData>
  <mergeCells count="5">
    <mergeCell ref="A1:T1"/>
    <mergeCell ref="D5:J5"/>
    <mergeCell ref="L5:Q5"/>
    <mergeCell ref="S5:T5"/>
    <mergeCell ref="A5:B5"/>
  </mergeCells>
  <dataValidations count="1">
    <dataValidation type="list" allowBlank="1" showInputMessage="1" showErrorMessage="1" sqref="C3" xr:uid="{178A2EAB-ACE0-424A-9814-5FA9A331F68B}">
      <formula1>МижозРўйхати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52E1-C829-4342-B391-345993C8C547}">
  <dimension ref="A1:M61"/>
  <sheetViews>
    <sheetView zoomScale="115" zoomScaleNormal="115" workbookViewId="0">
      <pane ySplit="4" topLeftCell="A41" activePane="bottomLeft" state="frozen"/>
      <selection pane="bottomLeft" activeCell="D53" sqref="D53"/>
    </sheetView>
  </sheetViews>
  <sheetFormatPr defaultRowHeight="15" x14ac:dyDescent="0.25"/>
  <cols>
    <col min="1" max="1" width="12.42578125" bestFit="1" customWidth="1"/>
    <col min="2" max="2" width="23.7109375" bestFit="1" customWidth="1"/>
    <col min="3" max="3" width="17.42578125" bestFit="1" customWidth="1"/>
    <col min="4" max="4" width="14.7109375" customWidth="1"/>
    <col min="5" max="5" width="18.42578125" bestFit="1" customWidth="1"/>
    <col min="6" max="6" width="12.7109375" bestFit="1" customWidth="1"/>
    <col min="7" max="7" width="13.7109375" bestFit="1" customWidth="1"/>
    <col min="8" max="8" width="12.5703125" bestFit="1" customWidth="1"/>
    <col min="9" max="9" width="13" bestFit="1" customWidth="1"/>
    <col min="10" max="10" width="14.140625" bestFit="1" customWidth="1"/>
    <col min="11" max="11" width="13" bestFit="1" customWidth="1"/>
    <col min="12" max="12" width="14.140625" bestFit="1" customWidth="1"/>
    <col min="13" max="13" width="16.7109375" bestFit="1" customWidth="1"/>
  </cols>
  <sheetData>
    <row r="1" spans="1:13" ht="18.75" customHeight="1" x14ac:dyDescent="0.25">
      <c r="A1" s="331" t="s">
        <v>124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</row>
    <row r="2" spans="1:13" x14ac:dyDescent="0.25">
      <c r="C2" s="333" t="s">
        <v>125</v>
      </c>
      <c r="D2" s="333"/>
      <c r="E2" s="333"/>
      <c r="F2" s="333"/>
      <c r="G2" s="333"/>
      <c r="H2" s="333"/>
      <c r="I2" s="333"/>
      <c r="J2" s="333"/>
      <c r="K2" s="333"/>
      <c r="L2" s="333"/>
      <c r="M2" s="333"/>
    </row>
    <row r="3" spans="1:13" ht="24.75" x14ac:dyDescent="0.25">
      <c r="C3" s="182" t="s">
        <v>126</v>
      </c>
      <c r="D3" s="182"/>
      <c r="E3" s="182"/>
      <c r="F3" s="182"/>
      <c r="G3" s="182"/>
      <c r="H3" s="182"/>
      <c r="I3" s="182"/>
      <c r="J3" s="182"/>
      <c r="K3" s="182"/>
      <c r="L3" s="182"/>
      <c r="M3" s="182"/>
    </row>
    <row r="4" spans="1:13" s="46" customFormat="1" ht="30" x14ac:dyDescent="0.25">
      <c r="A4" s="82" t="s">
        <v>16</v>
      </c>
      <c r="B4" s="82" t="s">
        <v>127</v>
      </c>
      <c r="C4" s="82">
        <f>SUMIF(Товар!$D:$D,$B4,Товар!$T:$T)</f>
        <v>0</v>
      </c>
      <c r="D4" s="82" t="s">
        <v>128</v>
      </c>
      <c r="E4" s="83" t="s">
        <v>129</v>
      </c>
      <c r="F4" s="82" t="s">
        <v>130</v>
      </c>
      <c r="G4" s="82" t="s">
        <v>131</v>
      </c>
      <c r="H4" s="82" t="s">
        <v>132</v>
      </c>
      <c r="I4" s="82" t="s">
        <v>133</v>
      </c>
      <c r="J4" s="84" t="s">
        <v>134</v>
      </c>
      <c r="K4" s="82" t="s">
        <v>135</v>
      </c>
      <c r="L4" s="84" t="s">
        <v>136</v>
      </c>
      <c r="M4" s="85" t="s">
        <v>137</v>
      </c>
    </row>
    <row r="5" spans="1:13" x14ac:dyDescent="0.25">
      <c r="A5" s="86" t="str">
        <f>IF($B5="","",IFERROR(INDEX(Мижозлар[Агент],MATCH($B5,Мижозлар[Расмий ном],0)),""))</f>
        <v>Шохрух ога</v>
      </c>
      <c r="B5" s="86" t="str" cm="1">
        <f t="array" ref="B5">IFERROR(INDEX(_xlfn._xlws.FILTER(Кўрсаткичлар!$A$11:$A$200,Кўрсаткичлар!$A$11:$A$200&lt;&gt;""),ROW()-4),"")</f>
        <v>Алибобо</v>
      </c>
      <c r="C5" s="87">
        <f>IF($B5="","",SUMIF(Товар!$D:$D,$B5,Товар!$T:$T))</f>
        <v>222792960</v>
      </c>
      <c r="D5" s="87">
        <f>IF($B5="","",SUMIF(Тўловлар[Клиент],$B5,Тўловлар[Товарга]))</f>
        <v>0</v>
      </c>
      <c r="E5" s="88">
        <f t="shared" ref="E5:E52" si="0">IF($B5="","",D5-C5)</f>
        <v>-222792960</v>
      </c>
      <c r="F5" s="87">
        <f>IF($B5="","",SUMIF(Товар!$D:$D,$B5,Товар!$K:$K))</f>
        <v>181</v>
      </c>
      <c r="G5" s="87">
        <f>IF($B5="","",SUMIF(ПоддонҚайтариш[Клиент],$B5,ПоддонҚайтариш[Поддон дона]))</f>
        <v>0</v>
      </c>
      <c r="H5" s="87">
        <f>IF($B5="","",SUMIF(Тўловлар[Клиент],$B5,Тўловлар[Поддон]))</f>
        <v>0</v>
      </c>
      <c r="I5" s="87">
        <f>IF($B5="","",SUMIF(Тўловлар[Клиент],$B5,Тўловлар[Поддон пули]))</f>
        <v>0</v>
      </c>
      <c r="J5" s="89">
        <f t="shared" ref="J5:J52" si="1">IF($B5="","",G5+H5-F5)</f>
        <v>-181</v>
      </c>
      <c r="K5" s="90" cm="1">
        <f t="array" ref="K5">IF($B5="","",IFERROR(LOOKUP(2,1/(Таблица1[Клиент]=$B5),INDEX(Таблица1[],0,12)),Кўрсаткичлар!$B$4))</f>
        <v>130000</v>
      </c>
      <c r="L5" s="89">
        <f t="shared" ref="L5:L52" si="2">IF($B5="","",J5*K5)</f>
        <v>-23530000</v>
      </c>
      <c r="M5" s="91">
        <f t="shared" ref="M5:M52" si="3">IF($B5="","",E5+L5)</f>
        <v>-246322960</v>
      </c>
    </row>
    <row r="6" spans="1:13" x14ac:dyDescent="0.25">
      <c r="A6" s="86" t="str">
        <f>IF($B6="","",IFERROR(INDEX(Мижозлар[Агент],MATCH($B6,Мижозлар[Расмий ном],0)),""))</f>
        <v>Зафар ога</v>
      </c>
      <c r="B6" s="86" t="str" cm="1">
        <f t="array" ref="B6">IFERROR(INDEX(_xlfn._xlws.FILTER(Кўрсаткичлар!$A$11:$A$200,Кўрсаткичлар!$A$11:$A$200&lt;&gt;""),ROW()-4),"")</f>
        <v>Бахтиёр ога Шовот</v>
      </c>
      <c r="C6" s="87">
        <f>IF($B6="","",SUMIF(Товар!$D:$D,$B6,Товар!$T:$T))</f>
        <v>20582400</v>
      </c>
      <c r="D6" s="87">
        <f>IF($B6="","",SUMIF(Тўловлар[Клиент],$B6,Тўловлар[Товарга]))</f>
        <v>47530000</v>
      </c>
      <c r="E6" s="88">
        <f t="shared" si="0"/>
        <v>26947600</v>
      </c>
      <c r="F6" s="87">
        <f>IF($B6="","",SUMIF(Товар!$D:$D,$B6,Товар!$K:$K))</f>
        <v>19</v>
      </c>
      <c r="G6" s="87">
        <f>IF($B6="","",SUMIF(ПоддонҚайтариш[Клиент],$B6,ПоддонҚайтариш[Поддон дона]))</f>
        <v>0</v>
      </c>
      <c r="H6" s="87">
        <f>IF($B6="","",SUMIF(Тўловлар[Клиент],$B6,Тўловлар[Поддон]))</f>
        <v>19</v>
      </c>
      <c r="I6" s="87">
        <f>IF($B6="","",SUMIF(Тўловлар[Клиент],$B6,Тўловлар[Поддон пули]))</f>
        <v>2470000</v>
      </c>
      <c r="J6" s="89">
        <f t="shared" si="1"/>
        <v>0</v>
      </c>
      <c r="K6" s="90" cm="1">
        <f t="array" ref="K6">IF($B6="","",IFERROR(LOOKUP(2,1/(Таблица1[Клиент]=$B6),INDEX(Таблица1[],0,12)),Кўрсаткичлар!$B$4))</f>
        <v>130000</v>
      </c>
      <c r="L6" s="89">
        <f t="shared" si="2"/>
        <v>0</v>
      </c>
      <c r="M6" s="91">
        <f t="shared" si="3"/>
        <v>26947600</v>
      </c>
    </row>
    <row r="7" spans="1:13" x14ac:dyDescent="0.25">
      <c r="A7" s="86" t="str">
        <f>IF($B7="","",IFERROR(INDEX(Мижозлар[Агент],MATCH($B7,Мижозлар[Расмий ном],0)),""))</f>
        <v>Шохрух ога</v>
      </c>
      <c r="B7" s="86" t="str" cm="1">
        <f t="array" ref="B7">IFERROR(INDEX(_xlfn._xlws.FILTER(Кўрсаткичлар!$A$11:$A$200,Кўрсаткичлар!$A$11:$A$200&lt;&gt;""),ROW()-4),"")</f>
        <v>Бунёдкор</v>
      </c>
      <c r="C7" s="87">
        <f>IF($B7="","",SUMIF(Товар!$D:$D,$B7,Товар!$T:$T))</f>
        <v>50641600</v>
      </c>
      <c r="D7" s="87">
        <f>IF($B7="","",SUMIF(Тўловлар[Клиент],$B7,Тўловлар[Товарга]))</f>
        <v>41964800</v>
      </c>
      <c r="E7" s="88">
        <f t="shared" si="0"/>
        <v>-8676800</v>
      </c>
      <c r="F7" s="87">
        <f>IF($B7="","",SUMIF(Товар!$D:$D,$B7,Товар!$K:$K))</f>
        <v>46</v>
      </c>
      <c r="G7" s="87">
        <f>IF($B7="","",SUMIF(ПоддонҚайтариш[Клиент],$B7,ПоддонҚайтариш[Поддон дона]))</f>
        <v>16</v>
      </c>
      <c r="H7" s="87">
        <f>IF($B7="","",SUMIF(Тўловлар[Клиент],$B7,Тўловлар[Поддон]))</f>
        <v>0</v>
      </c>
      <c r="I7" s="87">
        <f>IF($B7="","",SUMIF(Тўловлар[Клиент],$B7,Тўловлар[Поддон пули]))</f>
        <v>0</v>
      </c>
      <c r="J7" s="89">
        <f t="shared" si="1"/>
        <v>-30</v>
      </c>
      <c r="K7" s="90" cm="1">
        <f t="array" ref="K7">IF($B7="","",IFERROR(LOOKUP(2,1/(Таблица1[Клиент]=$B7),INDEX(Таблица1[],0,12)),Кўрсаткичлар!$B$4))</f>
        <v>130000</v>
      </c>
      <c r="L7" s="89">
        <f t="shared" si="2"/>
        <v>-3900000</v>
      </c>
      <c r="M7" s="91">
        <f t="shared" si="3"/>
        <v>-12576800</v>
      </c>
    </row>
    <row r="8" spans="1:13" x14ac:dyDescent="0.25">
      <c r="A8" s="86" t="str">
        <f>IF($B8="","",IFERROR(INDEX(Мижозлар[Агент],MATCH($B8,Мижозлар[Расмий ном],0)),""))</f>
        <v>Шохрух ога</v>
      </c>
      <c r="B8" s="86" t="str" cm="1">
        <f t="array" ref="B8">IFERROR(INDEX(_xlfn._xlws.FILTER(Кўрсаткичлар!$A$11:$A$200,Кўрсаткичлар!$A$11:$A$200&lt;&gt;""),ROW()-4),"")</f>
        <v>Газ сув монтаж</v>
      </c>
      <c r="C8" s="87">
        <f>IF($B8="","",SUMIF(Товар!$D:$D,$B8,Товар!$T:$T))</f>
        <v>10805600</v>
      </c>
      <c r="D8" s="87">
        <f>IF($B8="","",SUMIF(Тўловлар[Клиент],$B8,Тўловлар[Товарга]))</f>
        <v>10805600</v>
      </c>
      <c r="E8" s="88">
        <f t="shared" si="0"/>
        <v>0</v>
      </c>
      <c r="F8" s="87">
        <f>IF($B8="","",SUMIF(Товар!$D:$D,$B8,Товар!$K:$K))</f>
        <v>11</v>
      </c>
      <c r="G8" s="87">
        <f>IF($B8="","",SUMIF(ПоддонҚайтариш[Клиент],$B8,ПоддонҚайтариш[Поддон дона]))</f>
        <v>6</v>
      </c>
      <c r="H8" s="87">
        <f>IF($B8="","",SUMIF(Тўловлар[Клиент],$B8,Тўловлар[Поддон]))</f>
        <v>0</v>
      </c>
      <c r="I8" s="87">
        <f>IF($B8="","",SUMIF(Тўловлар[Клиент],$B8,Тўловлар[Поддон пули]))</f>
        <v>0</v>
      </c>
      <c r="J8" s="89">
        <f t="shared" si="1"/>
        <v>-5</v>
      </c>
      <c r="K8" s="90" cm="1">
        <f t="array" ref="K8">IF($B8="","",IFERROR(LOOKUP(2,1/(Таблица1[Клиент]=$B8),INDEX(Таблица1[],0,12)),Кўрсаткичлар!$B$4))</f>
        <v>130000</v>
      </c>
      <c r="L8" s="89">
        <f t="shared" si="2"/>
        <v>-650000</v>
      </c>
      <c r="M8" s="91">
        <f t="shared" si="3"/>
        <v>-650000</v>
      </c>
    </row>
    <row r="9" spans="1:13" x14ac:dyDescent="0.25">
      <c r="A9" s="86" t="str">
        <f>IF($B9="","",IFERROR(INDEX(Мижозлар[Агент],MATCH($B9,Мижозлар[Расмий ном],0)),""))</f>
        <v>Шохрух ога</v>
      </c>
      <c r="B9" s="86" t="str" cm="1">
        <f t="array" ref="B9">IFERROR(INDEX(_xlfn._xlws.FILTER(Кўрсаткичлар!$A$11:$A$200,Кўрсаткичлар!$A$11:$A$200&lt;&gt;""),ROW()-4),"")</f>
        <v>Гайрат Штб</v>
      </c>
      <c r="C9" s="87">
        <f>IF($B9="","",SUMIF(Товар!$D:$D,$B9,Товар!$T:$T))</f>
        <v>49904640</v>
      </c>
      <c r="D9" s="87">
        <f>IF($B9="","",SUMIF(Тўловлар[Клиент],$B9,Тўловлар[Товарга]))</f>
        <v>49904640</v>
      </c>
      <c r="E9" s="88">
        <f t="shared" si="0"/>
        <v>0</v>
      </c>
      <c r="F9" s="87">
        <f>IF($B9="","",SUMIF(Товар!$D:$D,$B9,Товар!$K:$K))</f>
        <v>38</v>
      </c>
      <c r="G9" s="87">
        <f>IF($B9="","",SUMIF(ПоддонҚайтариш[Клиент],$B9,ПоддонҚайтариш[Поддон дона]))</f>
        <v>38</v>
      </c>
      <c r="H9" s="87">
        <f>IF($B9="","",SUMIF(Тўловлар[Клиент],$B9,Тўловлар[Поддон]))</f>
        <v>0</v>
      </c>
      <c r="I9" s="87">
        <f>IF($B9="","",SUMIF(Тўловлар[Клиент],$B9,Тўловлар[Поддон пули]))</f>
        <v>0</v>
      </c>
      <c r="J9" s="89">
        <f t="shared" si="1"/>
        <v>0</v>
      </c>
      <c r="K9" s="90" cm="1">
        <f t="array" ref="K9">IF($B9="","",IFERROR(LOOKUP(2,1/(Таблица1[Клиент]=$B9),INDEX(Таблица1[],0,12)),Кўрсаткичлар!$B$4))</f>
        <v>130000</v>
      </c>
      <c r="L9" s="89">
        <f t="shared" si="2"/>
        <v>0</v>
      </c>
      <c r="M9" s="91">
        <f t="shared" si="3"/>
        <v>0</v>
      </c>
    </row>
    <row r="10" spans="1:13" x14ac:dyDescent="0.25">
      <c r="A10" s="86" t="str">
        <f>IF($B10="","",IFERROR(INDEX(Мижозлар[Агент],MATCH($B10,Мижозлар[Расмий ном],0)),""))</f>
        <v>Арслон ога</v>
      </c>
      <c r="B10" s="86" t="str" cm="1">
        <f t="array" ref="B10">IFERROR(INDEX(_xlfn._xlws.FILTER(Кўрсаткичлар!$A$11:$A$200,Кўрсаткичлар!$A$11:$A$200&lt;&gt;""),ROW()-4),"")</f>
        <v>Гофур хазорасп</v>
      </c>
      <c r="C10" s="87">
        <f>IF($B10="","",SUMIF(Товар!$D:$D,$B10,Товар!$T:$T))</f>
        <v>121824000</v>
      </c>
      <c r="D10" s="87">
        <f>IF($B10="","",SUMIF(Тўловлар[Клиент],$B10,Тўловлар[Товарга]))</f>
        <v>121824000</v>
      </c>
      <c r="E10" s="88">
        <f t="shared" si="0"/>
        <v>0</v>
      </c>
      <c r="F10" s="87">
        <f>IF($B10="","",SUMIF(Товар!$D:$D,$B10,Товар!$K:$K))</f>
        <v>94</v>
      </c>
      <c r="G10" s="87">
        <f>IF($B10="","",SUMIF(ПоддонҚайтариш[Клиент],$B10,ПоддонҚайтариш[Поддон дона]))</f>
        <v>62</v>
      </c>
      <c r="H10" s="87">
        <f>IF($B10="","",SUMIF(Тўловлар[Клиент],$B10,Тўловлар[Поддон]))</f>
        <v>0</v>
      </c>
      <c r="I10" s="87">
        <f>IF($B10="","",SUMIF(Тўловлар[Клиент],$B10,Тўловлар[Поддон пули]))</f>
        <v>0</v>
      </c>
      <c r="J10" s="89">
        <f t="shared" si="1"/>
        <v>-32</v>
      </c>
      <c r="K10" s="90" cm="1">
        <f t="array" ref="K10">IF($B10="","",IFERROR(LOOKUP(2,1/(Таблица1[Клиент]=$B10),INDEX(Таблица1[],0,12)),Кўрсаткичлар!$B$4))</f>
        <v>130000</v>
      </c>
      <c r="L10" s="89">
        <f t="shared" si="2"/>
        <v>-4160000</v>
      </c>
      <c r="M10" s="91">
        <f t="shared" si="3"/>
        <v>-4160000</v>
      </c>
    </row>
    <row r="11" spans="1:13" x14ac:dyDescent="0.25">
      <c r="A11" s="86" t="str">
        <f>IF($B11="","",IFERROR(INDEX(Мижозлар[Агент],MATCH($B11,Мижозлар[Расмий ном],0)),""))</f>
        <v>Шохрух ога</v>
      </c>
      <c r="B11" s="86" t="str" cm="1">
        <f t="array" ref="B11">IFERROR(INDEX(_xlfn._xlws.FILTER(Кўрсаткичлар!$A$11:$A$200,Кўрсаткичлар!$A$11:$A$200&lt;&gt;""),ROW()-4),"")</f>
        <v>Жамол 009</v>
      </c>
      <c r="C11" s="87">
        <f>IF($B11="","",SUMIF(Товар!$D:$D,$B11,Товар!$T:$T))</f>
        <v>113168640.001</v>
      </c>
      <c r="D11" s="87">
        <f>IF($B11="","",SUMIF(Тўловлар[Клиент],$B11,Тўловлар[Товарга]))</f>
        <v>21200000</v>
      </c>
      <c r="E11" s="88">
        <f t="shared" si="0"/>
        <v>-91968640.001000002</v>
      </c>
      <c r="F11" s="87">
        <f>IF($B11="","",SUMIF(Товар!$D:$D,$B11,Товар!$K:$K))</f>
        <v>95</v>
      </c>
      <c r="G11" s="87">
        <f>IF($B11="","",SUMIF(ПоддонҚайтариш[Клиент],$B11,ПоддонҚайтариш[Поддон дона]))</f>
        <v>76</v>
      </c>
      <c r="H11" s="87">
        <f>IF($B11="","",SUMIF(Тўловлар[Клиент],$B11,Тўловлар[Поддон]))</f>
        <v>0</v>
      </c>
      <c r="I11" s="87">
        <f>IF($B11="","",SUMIF(Тўловлар[Клиент],$B11,Тўловлар[Поддон пули]))</f>
        <v>0</v>
      </c>
      <c r="J11" s="89">
        <f t="shared" si="1"/>
        <v>-19</v>
      </c>
      <c r="K11" s="90" cm="1">
        <f t="array" ref="K11">IF($B11="","",IFERROR(LOOKUP(2,1/(Таблица1[Клиент]=$B11),INDEX(Таблица1[],0,12)),Кўрсаткичлар!$B$4))</f>
        <v>130000</v>
      </c>
      <c r="L11" s="89">
        <f t="shared" si="2"/>
        <v>-2470000</v>
      </c>
      <c r="M11" s="91">
        <f t="shared" si="3"/>
        <v>-94438640.001000002</v>
      </c>
    </row>
    <row r="12" spans="1:13" x14ac:dyDescent="0.25">
      <c r="A12" s="86" t="str">
        <f>IF($B12="","",IFERROR(INDEX(Мижозлар[Агент],MATCH($B12,Мижозлар[Расмий ном],0)),""))</f>
        <v>Темур</v>
      </c>
      <c r="B12" s="86" t="str" cm="1">
        <f t="array" ref="B12">IFERROR(INDEX(_xlfn._xlws.FILTER(Кўрсаткичлар!$A$11:$A$200,Кўрсаткичлар!$A$11:$A$200&lt;&gt;""),ROW()-4),"")</f>
        <v>Жаср Версал</v>
      </c>
      <c r="C12" s="87">
        <f>IF($B12="","",SUMIF(Товар!$D:$D,$B12,Товар!$T:$T))</f>
        <v>413548000</v>
      </c>
      <c r="D12" s="87">
        <f>IF($B12="","",SUMIF(Тўловлар[Клиент],$B12,Тўловлар[Товарга]))</f>
        <v>413548000</v>
      </c>
      <c r="E12" s="88">
        <f t="shared" si="0"/>
        <v>0</v>
      </c>
      <c r="F12" s="87">
        <f>IF($B12="","",SUMIF(Товар!$D:$D,$B12,Товар!$K:$K))</f>
        <v>380</v>
      </c>
      <c r="G12" s="87">
        <f>IF($B12="","",SUMIF(ПоддонҚайтариш[Клиент],$B12,ПоддонҚайтариш[Поддон дона]))</f>
        <v>380</v>
      </c>
      <c r="H12" s="87">
        <f>IF($B12="","",SUMIF(Тўловлар[Клиент],$B12,Тўловлар[Поддон]))</f>
        <v>0</v>
      </c>
      <c r="I12" s="87">
        <f>IF($B12="","",SUMIF(Тўловлар[Клиент],$B12,Тўловлар[Поддон пули]))</f>
        <v>0</v>
      </c>
      <c r="J12" s="89">
        <f t="shared" si="1"/>
        <v>0</v>
      </c>
      <c r="K12" s="90" cm="1">
        <f t="array" ref="K12">IF($B12="","",IFERROR(LOOKUP(2,1/(Таблица1[Клиент]=$B12),INDEX(Таблица1[],0,12)),Кўрсаткичлар!$B$4))</f>
        <v>130000</v>
      </c>
      <c r="L12" s="89">
        <f t="shared" si="2"/>
        <v>0</v>
      </c>
      <c r="M12" s="91">
        <f t="shared" si="3"/>
        <v>0</v>
      </c>
    </row>
    <row r="13" spans="1:13" x14ac:dyDescent="0.25">
      <c r="A13" s="86" t="str">
        <f>IF($B13="","",IFERROR(INDEX(Мижозлар[Агент],MATCH($B13,Мижозлар[Расмий ном],0)),""))</f>
        <v>Темур</v>
      </c>
      <c r="B13" s="86" t="str" cm="1">
        <f t="array" ref="B13">IFERROR(INDEX(_xlfn._xlws.FILTER(Кўрсаткичлар!$A$11:$A$200,Кўрсаткичлар!$A$11:$A$200&lt;&gt;""),ROW()-4),"")</f>
        <v>Журат ога хонка</v>
      </c>
      <c r="C13" s="87">
        <f>IF($B13="","",SUMIF(Товар!$D:$D,$B13,Товар!$T:$T))</f>
        <v>376406240</v>
      </c>
      <c r="D13" s="87">
        <f>IF($B13="","",SUMIF(Тўловлар[Клиент],$B13,Тўловлар[Товарга]))</f>
        <v>342137760</v>
      </c>
      <c r="E13" s="88">
        <f t="shared" si="0"/>
        <v>-34268480</v>
      </c>
      <c r="F13" s="87">
        <f>IF($B13="","",SUMIF(Товар!$D:$D,$B13,Товар!$K:$K))</f>
        <v>342</v>
      </c>
      <c r="G13" s="87">
        <f>IF($B13="","",SUMIF(ПоддонҚайтариш[Клиент],$B13,ПоддонҚайтариш[Поддон дона]))</f>
        <v>230</v>
      </c>
      <c r="H13" s="87">
        <f>IF($B13="","",SUMIF(Тўловлар[Клиент],$B13,Тўловлар[Поддон]))</f>
        <v>114</v>
      </c>
      <c r="I13" s="87">
        <f>IF($B13="","",SUMIF(Тўловлар[Клиент],$B13,Тўловлар[Поддон пули]))</f>
        <v>14820000</v>
      </c>
      <c r="J13" s="89">
        <f t="shared" si="1"/>
        <v>2</v>
      </c>
      <c r="K13" s="90" cm="1">
        <f t="array" ref="K13">IF($B13="","",IFERROR(LOOKUP(2,1/(Таблица1[Клиент]=$B13),INDEX(Таблица1[],0,12)),Кўрсаткичлар!$B$4))</f>
        <v>130000</v>
      </c>
      <c r="L13" s="89">
        <f t="shared" si="2"/>
        <v>260000</v>
      </c>
      <c r="M13" s="91">
        <f t="shared" si="3"/>
        <v>-34008480</v>
      </c>
    </row>
    <row r="14" spans="1:13" x14ac:dyDescent="0.25">
      <c r="A14" s="86" t="str">
        <f>IF($B14="","",IFERROR(INDEX(Мижозлар[Агент],MATCH($B14,Мижозлар[Расмий ном],0)),""))</f>
        <v>Шохрух ога</v>
      </c>
      <c r="B14" s="86" t="str" cm="1">
        <f t="array" ref="B14">IFERROR(INDEX(_xlfn._xlws.FILTER(Кўрсаткичлар!$A$11:$A$200,Кўрсаткичлар!$A$11:$A$200&lt;&gt;""),ROW()-4),"")</f>
        <v>Инвест Холдинг</v>
      </c>
      <c r="C14" s="87">
        <f>IF($B14="","",SUMIF(Товар!$D:$D,$B14,Товар!$T:$T))</f>
        <v>67737600</v>
      </c>
      <c r="D14" s="87">
        <f>IF($B14="","",SUMIF(Тўловлар[Клиент],$B14,Тўловлар[Товарга]))</f>
        <v>67737600</v>
      </c>
      <c r="E14" s="88">
        <f t="shared" si="0"/>
        <v>0</v>
      </c>
      <c r="F14" s="87">
        <f>IF($B14="","",SUMIF(Товар!$D:$D,$B14,Товар!$K:$K))</f>
        <v>56</v>
      </c>
      <c r="G14" s="87">
        <f>IF($B14="","",SUMIF(ПоддонҚайтариш[Клиент],$B14,ПоддонҚайтариш[Поддон дона]))</f>
        <v>56</v>
      </c>
      <c r="H14" s="87">
        <f>IF($B14="","",SUMIF(Тўловлар[Клиент],$B14,Тўловлар[Поддон]))</f>
        <v>0</v>
      </c>
      <c r="I14" s="87">
        <f>IF($B14="","",SUMIF(Тўловлар[Клиент],$B14,Тўловлар[Поддон пули]))</f>
        <v>0</v>
      </c>
      <c r="J14" s="89">
        <f t="shared" si="1"/>
        <v>0</v>
      </c>
      <c r="K14" s="90" cm="1">
        <f t="array" ref="K14">IF($B14="","",IFERROR(LOOKUP(2,1/(Таблица1[Клиент]=$B14),INDEX(Таблица1[],0,12)),Кўрсаткичлар!$B$4))</f>
        <v>130000</v>
      </c>
      <c r="L14" s="89">
        <f t="shared" si="2"/>
        <v>0</v>
      </c>
      <c r="M14" s="91">
        <f t="shared" si="3"/>
        <v>0</v>
      </c>
    </row>
    <row r="15" spans="1:13" x14ac:dyDescent="0.25">
      <c r="A15" s="86" t="str">
        <f>IF($B15="","",IFERROR(INDEX(Мижозлар[Агент],MATCH($B15,Мижозлар[Расмий ном],0)),""))</f>
        <v>Жамол 22-22</v>
      </c>
      <c r="B15" s="86" t="str" cm="1">
        <f t="array" ref="B15">IFERROR(INDEX(_xlfn._xlws.FILTER(Кўрсаткичлар!$A$11:$A$200,Кўрсаткичлар!$A$11:$A$200&lt;&gt;""),ROW()-4),"")</f>
        <v>Инноватцион</v>
      </c>
      <c r="C15" s="87">
        <f>IF($B15="","",SUMIF(Товар!$D:$D,$B15,Товар!$T:$T))</f>
        <v>680520960</v>
      </c>
      <c r="D15" s="87">
        <f>IF($B15="","",SUMIF(Тўловлар[Клиент],$B15,Тўловлар[Товарга]))</f>
        <v>200000000</v>
      </c>
      <c r="E15" s="88">
        <f t="shared" si="0"/>
        <v>-480520960</v>
      </c>
      <c r="F15" s="87">
        <f>IF($B15="","",SUMIF(Товар!$D:$D,$B15,Товар!$K:$K))</f>
        <v>555</v>
      </c>
      <c r="G15" s="87">
        <f>IF($B15="","",SUMIF(ПоддонҚайтариш[Клиент],$B15,ПоддонҚайтариш[Поддон дона]))</f>
        <v>286</v>
      </c>
      <c r="H15" s="87">
        <f>IF($B15="","",SUMIF(Тўловлар[Клиент],$B15,Тўловлар[Поддон]))</f>
        <v>0</v>
      </c>
      <c r="I15" s="87">
        <f>IF($B15="","",SUMIF(Тўловлар[Клиент],$B15,Тўловлар[Поддон пули]))</f>
        <v>0</v>
      </c>
      <c r="J15" s="89">
        <f t="shared" si="1"/>
        <v>-269</v>
      </c>
      <c r="K15" s="90" cm="1">
        <f t="array" ref="K15">IF($B15="","",IFERROR(LOOKUP(2,1/(Таблица1[Клиент]=$B15),INDEX(Таблица1[],0,12)),Кўрсаткичлар!$B$4))</f>
        <v>130000</v>
      </c>
      <c r="L15" s="89">
        <f t="shared" si="2"/>
        <v>-34970000</v>
      </c>
      <c r="M15" s="91">
        <f t="shared" si="3"/>
        <v>-515490960</v>
      </c>
    </row>
    <row r="16" spans="1:13" x14ac:dyDescent="0.25">
      <c r="A16" s="86" t="str">
        <f>IF($B16="","",IFERROR(INDEX(Мижозлар[Агент],MATCH($B16,Мижозлар[Расмий ном],0)),""))</f>
        <v>Шохрух ога</v>
      </c>
      <c r="B16" s="86" t="str" cm="1">
        <f t="array" ref="B16">IFERROR(INDEX(_xlfn._xlws.FILTER(Кўрсаткичлар!$A$11:$A$200,Кўрсаткичлар!$A$11:$A$200&lt;&gt;""),ROW()-4),"")</f>
        <v>Ирригатсия темир бетон</v>
      </c>
      <c r="C16" s="87">
        <f>IF($B16="","",SUMIF(Товар!$D:$D,$B16,Товар!$T:$T))</f>
        <v>24131520</v>
      </c>
      <c r="D16" s="87">
        <f>IF($B16="","",SUMIF(Тўловлар[Клиент],$B16,Тўловлар[Товарга]))</f>
        <v>24131520</v>
      </c>
      <c r="E16" s="88">
        <f t="shared" si="0"/>
        <v>0</v>
      </c>
      <c r="F16" s="87">
        <f>IF($B16="","",SUMIF(Товар!$D:$D,$B16,Товар!$K:$K))</f>
        <v>19</v>
      </c>
      <c r="G16" s="87">
        <f>IF($B16="","",SUMIF(ПоддонҚайтариш[Клиент],$B16,ПоддонҚайтариш[Поддон дона]))</f>
        <v>0</v>
      </c>
      <c r="H16" s="87">
        <f>IF($B16="","",SUMIF(Тўловлар[Клиент],$B16,Тўловлар[Поддон]))</f>
        <v>19</v>
      </c>
      <c r="I16" s="87">
        <f>IF($B16="","",SUMIF(Тўловлар[Клиент],$B16,Тўловлар[Поддон пули]))</f>
        <v>2470000</v>
      </c>
      <c r="J16" s="89">
        <f t="shared" si="1"/>
        <v>0</v>
      </c>
      <c r="K16" s="90" cm="1">
        <f t="array" ref="K16">IF($B16="","",IFERROR(LOOKUP(2,1/(Таблица1[Клиент]=$B16),INDEX(Таблица1[],0,12)),Кўрсаткичлар!$B$4))</f>
        <v>130000</v>
      </c>
      <c r="L16" s="89">
        <f t="shared" si="2"/>
        <v>0</v>
      </c>
      <c r="M16" s="91">
        <f t="shared" si="3"/>
        <v>0</v>
      </c>
    </row>
    <row r="17" spans="1:13" x14ac:dyDescent="0.25">
      <c r="A17" s="86" t="str">
        <f>IF($B17="","",IFERROR(INDEX(Мижозлар[Агент],MATCH($B17,Мижозлар[Расмий ном],0)),""))</f>
        <v>Зафар ога</v>
      </c>
      <c r="B17" s="86" t="str" cm="1">
        <f t="array" ref="B17">IFERROR(INDEX(_xlfn._xlws.FILTER(Кўрсаткичлар!$A$11:$A$200,Кўрсаткичлар!$A$11:$A$200&lt;&gt;""),ROW()-4),"")</f>
        <v>Кахрамон ога Урганч</v>
      </c>
      <c r="C17" s="87">
        <f>IF($B17="","",SUMIF(Товар!$D:$D,$B17,Товар!$T:$T))</f>
        <v>304286147.36842108</v>
      </c>
      <c r="D17" s="87">
        <f>IF($B17="","",SUMIF(Тўловлар[Клиент],$B17,Тўловлар[Товарга]))</f>
        <v>279590000</v>
      </c>
      <c r="E17" s="88">
        <f t="shared" si="0"/>
        <v>-24696147.368421078</v>
      </c>
      <c r="F17" s="87">
        <f>IF($B17="","",SUMIF(Товар!$D:$D,$B17,Товар!$K:$K))</f>
        <v>282</v>
      </c>
      <c r="G17" s="87">
        <f>IF($B17="","",SUMIF(ПоддонҚайтариш[Клиент],$B17,ПоддонҚайтариш[Поддон дона]))</f>
        <v>125</v>
      </c>
      <c r="H17" s="87">
        <f>IF($B17="","",SUMIF(Тўловлар[Клиент],$B17,Тўловлар[Поддон]))</f>
        <v>157</v>
      </c>
      <c r="I17" s="87">
        <f>IF($B17="","",SUMIF(Тўловлар[Клиент],$B17,Тўловлар[Поддон пули]))</f>
        <v>20410000</v>
      </c>
      <c r="J17" s="89">
        <f t="shared" si="1"/>
        <v>0</v>
      </c>
      <c r="K17" s="90" cm="1">
        <f t="array" ref="K17">IF($B17="","",IFERROR(LOOKUP(2,1/(Таблица1[Клиент]=$B17),INDEX(Таблица1[],0,12)),Кўрсаткичлар!$B$4))</f>
        <v>130000</v>
      </c>
      <c r="L17" s="89">
        <f t="shared" si="2"/>
        <v>0</v>
      </c>
      <c r="M17" s="91">
        <f t="shared" si="3"/>
        <v>-24696147.368421078</v>
      </c>
    </row>
    <row r="18" spans="1:13" x14ac:dyDescent="0.25">
      <c r="A18" s="86" t="str">
        <f>IF($B18="","",IFERROR(INDEX(Мижозлар[Агент],MATCH($B18,Мижозлар[Расмий ном],0)),""))</f>
        <v>Арслон ога</v>
      </c>
      <c r="B18" s="86" t="str" cm="1">
        <f t="array" ref="B18">IFERROR(INDEX(_xlfn._xlws.FILTER(Кўрсаткичлар!$A$11:$A$200,Кўрсаткичлар!$A$11:$A$200&lt;&gt;""),ROW()-4),"")</f>
        <v>Кувондик курувчи</v>
      </c>
      <c r="C18" s="87">
        <f>IF($B18="","",SUMIF(Товар!$D:$D,$B18,Товар!$T:$T))</f>
        <v>62960480</v>
      </c>
      <c r="D18" s="87">
        <f>IF($B18="","",SUMIF(Тўловлар[Клиент],$B18,Тўловлар[Товарга]))</f>
        <v>62960480</v>
      </c>
      <c r="E18" s="88">
        <f t="shared" si="0"/>
        <v>0</v>
      </c>
      <c r="F18" s="87">
        <f>IF($B18="","",SUMIF(Товар!$D:$D,$B18,Товар!$K:$K))</f>
        <v>57</v>
      </c>
      <c r="G18" s="87">
        <f>IF($B18="","",SUMIF(ПоддонҚайтариш[Клиент],$B18,ПоддонҚайтариш[Поддон дона]))</f>
        <v>0</v>
      </c>
      <c r="H18" s="87">
        <f>IF($B18="","",SUMIF(Тўловлар[Клиент],$B18,Тўловлар[Поддон]))</f>
        <v>38</v>
      </c>
      <c r="I18" s="87">
        <f>IF($B18="","",SUMIF(Тўловлар[Клиент],$B18,Тўловлар[Поддон пули]))</f>
        <v>4940000</v>
      </c>
      <c r="J18" s="89">
        <f t="shared" si="1"/>
        <v>-19</v>
      </c>
      <c r="K18" s="90" cm="1">
        <f t="array" ref="K18">IF($B18="","",IFERROR(LOOKUP(2,1/(Таблица1[Клиент]=$B18),INDEX(Таблица1[],0,12)),Кўрсаткичлар!$B$4))</f>
        <v>130000</v>
      </c>
      <c r="L18" s="89">
        <f t="shared" si="2"/>
        <v>-2470000</v>
      </c>
      <c r="M18" s="91">
        <f t="shared" si="3"/>
        <v>-2470000</v>
      </c>
    </row>
    <row r="19" spans="1:13" x14ac:dyDescent="0.25">
      <c r="A19" s="86" t="str">
        <f>IF($B19="","",IFERROR(INDEX(Мижозлар[Агент],MATCH($B19,Мижозлар[Расмий ном],0)),""))</f>
        <v>Темур</v>
      </c>
      <c r="B19" s="86" t="str" cm="1">
        <f t="array" ref="B19">IFERROR(INDEX(_xlfn._xlws.FILTER(Кўрсаткичлар!$A$11:$A$200,Кўрсаткичлар!$A$11:$A$200&lt;&gt;""),ROW()-4),"")</f>
        <v>Мактаб</v>
      </c>
      <c r="C19" s="87">
        <f>IF($B19="","",SUMIF(Товар!$D:$D,$B19,Товар!$T:$T))</f>
        <v>12935200</v>
      </c>
      <c r="D19" s="87">
        <f>IF($B19="","",SUMIF(Тўловлар[Клиент],$B19,Тўловлар[Товарга]))</f>
        <v>12935000</v>
      </c>
      <c r="E19" s="88">
        <f t="shared" si="0"/>
        <v>-200</v>
      </c>
      <c r="F19" s="87">
        <f>IF($B19="","",SUMIF(Товар!$D:$D,$B19,Товар!$K:$K))</f>
        <v>12</v>
      </c>
      <c r="G19" s="87">
        <f>IF($B19="","",SUMIF(ПоддонҚайтариш[Клиент],$B19,ПоддонҚайтариш[Поддон дона]))</f>
        <v>6</v>
      </c>
      <c r="H19" s="87">
        <f>IF($B19="","",SUMIF(Тўловлар[Клиент],$B19,Тўловлар[Поддон]))</f>
        <v>6</v>
      </c>
      <c r="I19" s="87">
        <f>IF($B19="","",SUMIF(Тўловлар[Клиент],$B19,Тўловлар[Поддон пули]))</f>
        <v>780000</v>
      </c>
      <c r="J19" s="89">
        <f t="shared" si="1"/>
        <v>0</v>
      </c>
      <c r="K19" s="90" cm="1">
        <f t="array" ref="K19">IF($B19="","",IFERROR(LOOKUP(2,1/(Таблица1[Клиент]=$B19),INDEX(Таблица1[],0,12)),Кўрсаткичлар!$B$4))</f>
        <v>130000</v>
      </c>
      <c r="L19" s="89">
        <f t="shared" si="2"/>
        <v>0</v>
      </c>
      <c r="M19" s="91">
        <f t="shared" si="3"/>
        <v>-200</v>
      </c>
    </row>
    <row r="20" spans="1:13" x14ac:dyDescent="0.25">
      <c r="A20" s="86" t="str">
        <f>IF($B20="","",IFERROR(INDEX(Мижозлар[Агент],MATCH($B20,Мижозлар[Расмий ном],0)),""))</f>
        <v>Сардор ога</v>
      </c>
      <c r="B20" s="86" t="str" cm="1">
        <f t="array" ref="B20">IFERROR(INDEX(_xlfn._xlws.FILTER(Кўрсаткичлар!$A$11:$A$200,Кўрсаткичлар!$A$11:$A$200&lt;&gt;""),ROW()-4),"")</f>
        <v>Мамун Университети</v>
      </c>
      <c r="C20" s="87">
        <f>IF($B20="","",SUMIF(Товар!$D:$D,$B20,Товар!$T:$T))</f>
        <v>103432919.9988032</v>
      </c>
      <c r="D20" s="87">
        <f>IF($B20="","",SUMIF(Тўловлар[Клиент],$B20,Тўловлар[Товарга]))</f>
        <v>103433000</v>
      </c>
      <c r="E20" s="88">
        <f t="shared" si="0"/>
        <v>80.001196801662445</v>
      </c>
      <c r="F20" s="87">
        <f>IF($B20="","",SUMIF(Товар!$D:$D,$B20,Товар!$K:$K))</f>
        <v>95</v>
      </c>
      <c r="G20" s="87">
        <f>IF($B20="","",SUMIF(ПоддонҚайтариш[Клиент],$B20,ПоддонҚайтариш[Поддон дона]))</f>
        <v>32</v>
      </c>
      <c r="H20" s="87">
        <f>IF($B20="","",SUMIF(Тўловлар[Клиент],$B20,Тўловлар[Поддон]))</f>
        <v>63</v>
      </c>
      <c r="I20" s="87">
        <f>IF($B20="","",SUMIF(Тўловлар[Клиент],$B20,Тўловлар[Поддон пули]))</f>
        <v>8190000</v>
      </c>
      <c r="J20" s="89">
        <f t="shared" si="1"/>
        <v>0</v>
      </c>
      <c r="K20" s="90" cm="1">
        <f t="array" ref="K20">IF($B20="","",IFERROR(LOOKUP(2,1/(Таблица1[Клиент]=$B20),INDEX(Таблица1[],0,12)),Кўрсаткичлар!$B$4))</f>
        <v>130000</v>
      </c>
      <c r="L20" s="89">
        <f t="shared" si="2"/>
        <v>0</v>
      </c>
      <c r="M20" s="91">
        <f t="shared" si="3"/>
        <v>80.001196801662445</v>
      </c>
    </row>
    <row r="21" spans="1:13" x14ac:dyDescent="0.25">
      <c r="A21" s="86" t="str">
        <f>IF($B21="","",IFERROR(INDEX(Мижозлар[Агент],MATCH($B21,Мижозлар[Расмий ном],0)),""))</f>
        <v>Сардор ога</v>
      </c>
      <c r="B21" s="86" t="str" cm="1">
        <f t="array" ref="B21">IFERROR(INDEX(_xlfn._xlws.FILTER(Кўрсаткичлар!$A$11:$A$200,Кўрсаткичлар!$A$11:$A$200&lt;&gt;""),ROW()-4),"")</f>
        <v>Музаффар 0010</v>
      </c>
      <c r="C21" s="87">
        <f>IF($B21="","",SUMIF(Товар!$D:$D,$B21,Товар!$T:$T))</f>
        <v>225498079.55199999</v>
      </c>
      <c r="D21" s="87">
        <f>IF($B21="","",SUMIF(Тўловлар[Клиент],$B21,Тўловлар[Товарга]))</f>
        <v>239587000</v>
      </c>
      <c r="E21" s="88">
        <f t="shared" si="0"/>
        <v>14088920.448000014</v>
      </c>
      <c r="F21" s="87">
        <f>IF($B21="","",SUMIF(Товар!$D:$D,$B21,Товар!$K:$K))</f>
        <v>204</v>
      </c>
      <c r="G21" s="87">
        <f>IF($B21="","",SUMIF(ПоддонҚайтариш[Клиент],$B21,ПоддонҚайтариш[Поддон дона]))</f>
        <v>30</v>
      </c>
      <c r="H21" s="87">
        <f>IF($B21="","",SUMIF(Тўловлар[Клиент],$B21,Тўловлар[Поддон]))</f>
        <v>174</v>
      </c>
      <c r="I21" s="87">
        <f>IF($B21="","",SUMIF(Тўловлар[Клиент],$B21,Тўловлар[Поддон пули]))</f>
        <v>22620000</v>
      </c>
      <c r="J21" s="89">
        <f t="shared" si="1"/>
        <v>0</v>
      </c>
      <c r="K21" s="90" cm="1">
        <f t="array" ref="K21">IF($B21="","",IFERROR(LOOKUP(2,1/(Таблица1[Клиент]=$B21),INDEX(Таблица1[],0,12)),Кўрсаткичлар!$B$4))</f>
        <v>130000</v>
      </c>
      <c r="L21" s="89">
        <f t="shared" si="2"/>
        <v>0</v>
      </c>
      <c r="M21" s="91">
        <f t="shared" si="3"/>
        <v>14088920.448000014</v>
      </c>
    </row>
    <row r="22" spans="1:13" x14ac:dyDescent="0.25">
      <c r="A22" s="86" t="str">
        <f>IF($B22="","",IFERROR(INDEX(Мижозлар[Агент],MATCH($B22,Мижозлар[Расмий ном],0)),""))</f>
        <v>Зафар ога</v>
      </c>
      <c r="B22" s="86" t="str" cm="1">
        <f t="array" ref="B22">IFERROR(INDEX(_xlfn._xlws.FILTER(Кўрсаткичлар!$A$11:$A$200,Кўрсаткичлар!$A$11:$A$200&lt;&gt;""),ROW()-4),"")</f>
        <v>Мурод ога 4884</v>
      </c>
      <c r="C22" s="87">
        <f>IF($B22="","",SUMIF(Товар!$D:$D,$B22,Товар!$T:$T))</f>
        <v>316585600</v>
      </c>
      <c r="D22" s="87">
        <f>IF($B22="","",SUMIF(Тўловлар[Клиент],$B22,Тўловлар[Товарга]))</f>
        <v>207674240</v>
      </c>
      <c r="E22" s="88">
        <f t="shared" si="0"/>
        <v>-108911360</v>
      </c>
      <c r="F22" s="87">
        <f>IF($B22="","",SUMIF(Товар!$D:$D,$B22,Товар!$K:$K))</f>
        <v>285</v>
      </c>
      <c r="G22" s="87">
        <f>IF($B22="","",SUMIF(ПоддонҚайтариш[Клиент],$B22,ПоддонҚайтариш[Поддон дона]))</f>
        <v>0</v>
      </c>
      <c r="H22" s="87">
        <f>IF($B22="","",SUMIF(Тўловлар[Клиент],$B22,Тўловлар[Поддон]))</f>
        <v>266</v>
      </c>
      <c r="I22" s="87">
        <f>IF($B22="","",SUMIF(Тўловлар[Клиент],$B22,Тўловлар[Поддон пули]))</f>
        <v>34580000</v>
      </c>
      <c r="J22" s="89">
        <f t="shared" si="1"/>
        <v>-19</v>
      </c>
      <c r="K22" s="90" cm="1">
        <f t="array" ref="K22">IF($B22="","",IFERROR(LOOKUP(2,1/(Таблица1[Клиент]=$B22),INDEX(Таблица1[],0,12)),Кўрсаткичлар!$B$4))</f>
        <v>130000</v>
      </c>
      <c r="L22" s="89">
        <f t="shared" si="2"/>
        <v>-2470000</v>
      </c>
      <c r="M22" s="91">
        <f t="shared" si="3"/>
        <v>-111381360</v>
      </c>
    </row>
    <row r="23" spans="1:13" x14ac:dyDescent="0.25">
      <c r="A23" s="86" t="str">
        <f>IF($B23="","",IFERROR(INDEX(Мижозлар[Агент],MATCH($B23,Мижозлар[Расмий ном],0)),""))</f>
        <v>Зафар ога</v>
      </c>
      <c r="B23" s="86" t="str" cm="1">
        <f t="array" ref="B23">IFERROR(INDEX(_xlfn._xlws.FILTER(Кўрсаткичлар!$A$11:$A$200,Кўрсаткичлар!$A$11:$A$200&lt;&gt;""),ROW()-4),"")</f>
        <v>Мурод ога Урганч</v>
      </c>
      <c r="C23" s="87">
        <f>IF($B23="","",SUMIF(Товар!$D:$D,$B23,Товар!$T:$T))</f>
        <v>47934720</v>
      </c>
      <c r="D23" s="87">
        <f>IF($B23="","",SUMIF(Тўловлар[Клиент],$B23,Тўловлар[Товарга]))</f>
        <v>47934720</v>
      </c>
      <c r="E23" s="88">
        <f t="shared" si="0"/>
        <v>0</v>
      </c>
      <c r="F23" s="87">
        <f>IF($B23="","",SUMIF(Товар!$D:$D,$B23,Товар!$K:$K))</f>
        <v>38</v>
      </c>
      <c r="G23" s="87">
        <f>IF($B23="","",SUMIF(ПоддонҚайтариш[Клиент],$B23,ПоддонҚайтариш[Поддон дона]))</f>
        <v>36</v>
      </c>
      <c r="H23" s="87">
        <f>IF($B23="","",SUMIF(Тўловлар[Клиент],$B23,Тўловлар[Поддон]))</f>
        <v>2</v>
      </c>
      <c r="I23" s="87">
        <f>IF($B23="","",SUMIF(Тўловлар[Клиент],$B23,Тўловлар[Поддон пули]))</f>
        <v>260000</v>
      </c>
      <c r="J23" s="89">
        <f t="shared" si="1"/>
        <v>0</v>
      </c>
      <c r="K23" s="90" cm="1">
        <f t="array" ref="K23">IF($B23="","",IFERROR(LOOKUP(2,1/(Таблица1[Клиент]=$B23),INDEX(Таблица1[],0,12)),Кўрсаткичлар!$B$4))</f>
        <v>130000</v>
      </c>
      <c r="L23" s="89">
        <f t="shared" si="2"/>
        <v>0</v>
      </c>
      <c r="M23" s="91">
        <f t="shared" si="3"/>
        <v>0</v>
      </c>
    </row>
    <row r="24" spans="1:13" x14ac:dyDescent="0.25">
      <c r="A24" s="86" t="str">
        <f>IF($B24="","",IFERROR(INDEX(Мижозлар[Агент],MATCH($B24,Мижозлар[Расмий ном],0)),""))</f>
        <v>Темур</v>
      </c>
      <c r="B24" s="86" t="str" cm="1">
        <f t="array" ref="B24">IFERROR(INDEX(_xlfn._xlws.FILTER(Кўрсаткичлар!$A$11:$A$200,Кўрсаткичлар!$A$11:$A$200&lt;&gt;""),ROW()-4),"")</f>
        <v>Мустафо машал</v>
      </c>
      <c r="C24" s="87">
        <f>IF($B24="","",SUMIF(Товар!$D:$D,$B24,Товар!$T:$T))</f>
        <v>103212000.00099999</v>
      </c>
      <c r="D24" s="87">
        <f>IF($B24="","",SUMIF(Тўловлар[Клиент],$B24,Тўловлар[Товарга]))</f>
        <v>103964000</v>
      </c>
      <c r="E24" s="88">
        <f t="shared" si="0"/>
        <v>751999.99900001287</v>
      </c>
      <c r="F24" s="87">
        <f>IF($B24="","",SUMIF(Товар!$D:$D,$B24,Товар!$K:$K))</f>
        <v>95</v>
      </c>
      <c r="G24" s="87">
        <f>IF($B24="","",SUMIF(ПоддонҚайтариш[Клиент],$B24,ПоддонҚайтариш[Поддон дона]))</f>
        <v>95</v>
      </c>
      <c r="H24" s="87">
        <f>IF($B24="","",SUMIF(Тўловлар[Клиент],$B24,Тўловлар[Поддон]))</f>
        <v>0</v>
      </c>
      <c r="I24" s="87">
        <f>IF($B24="","",SUMIF(Тўловлар[Клиент],$B24,Тўловлар[Поддон пули]))</f>
        <v>0</v>
      </c>
      <c r="J24" s="89">
        <f t="shared" si="1"/>
        <v>0</v>
      </c>
      <c r="K24" s="90" cm="1">
        <f t="array" ref="K24">IF($B24="","",IFERROR(LOOKUP(2,1/(Таблица1[Клиент]=$B24),INDEX(Таблица1[],0,12)),Кўрсаткичлар!$B$4))</f>
        <v>130000</v>
      </c>
      <c r="L24" s="89">
        <f t="shared" si="2"/>
        <v>0</v>
      </c>
      <c r="M24" s="91">
        <f t="shared" si="3"/>
        <v>751999.99900001287</v>
      </c>
    </row>
    <row r="25" spans="1:13" x14ac:dyDescent="0.25">
      <c r="A25" s="86" t="str">
        <f>IF($B25="","",IFERROR(INDEX(Мижозлар[Агент],MATCH($B25,Мижозлар[Расмий ном],0)),""))</f>
        <v>Темур</v>
      </c>
      <c r="B25" s="86" t="str" cm="1">
        <f t="array" ref="B25">IFERROR(INDEX(_xlfn._xlws.FILTER(Кўрсаткичлар!$A$11:$A$200,Кўрсаткичлар!$A$11:$A$200&lt;&gt;""),ROW()-4),"")</f>
        <v>Мята Газаблок</v>
      </c>
      <c r="C25" s="87">
        <f>IF($B25="","",SUMIF(Товар!$D:$D,$B25,Товар!$T:$T))</f>
        <v>189951360</v>
      </c>
      <c r="D25" s="87">
        <f>IF($B25="","",SUMIF(Тўловлар[Клиент],$B25,Тўловлар[Товарга]))</f>
        <v>254868480</v>
      </c>
      <c r="E25" s="88">
        <f t="shared" si="0"/>
        <v>64917120</v>
      </c>
      <c r="F25" s="87">
        <f>IF($B25="","",SUMIF(Товар!$D:$D,$B25,Товар!$K:$K))</f>
        <v>171</v>
      </c>
      <c r="G25" s="87">
        <f>IF($B25="","",SUMIF(ПоддонҚайтариш[Клиент],$B25,ПоддонҚайтариш[Поддон дона]))</f>
        <v>0</v>
      </c>
      <c r="H25" s="87">
        <f>IF($B25="","",SUMIF(Тўловлар[Клиент],$B25,Тўловлар[Поддон]))</f>
        <v>228</v>
      </c>
      <c r="I25" s="87">
        <f>IF($B25="","",SUMIF(Тўловлар[Клиент],$B25,Тўловлар[Поддон пули]))</f>
        <v>29640000</v>
      </c>
      <c r="J25" s="89">
        <f t="shared" si="1"/>
        <v>57</v>
      </c>
      <c r="K25" s="90" cm="1">
        <f t="array" ref="K25">IF($B25="","",IFERROR(LOOKUP(2,1/(Таблица1[Клиент]=$B25),INDEX(Таблица1[],0,12)),Кўрсаткичлар!$B$4))</f>
        <v>130000</v>
      </c>
      <c r="L25" s="89">
        <f t="shared" si="2"/>
        <v>7410000</v>
      </c>
      <c r="M25" s="91">
        <f t="shared" si="3"/>
        <v>72327120</v>
      </c>
    </row>
    <row r="26" spans="1:13" x14ac:dyDescent="0.25">
      <c r="A26" s="86" t="str">
        <f>IF($B26="","",IFERROR(INDEX(Мижозлар[Агент],MATCH($B26,Мижозлар[Расмий ном],0)),""))</f>
        <v>Арслон ога</v>
      </c>
      <c r="B26" s="86" t="str" cm="1">
        <f t="array" ref="B26">IFERROR(INDEX(_xlfn._xlws.FILTER(Кўрсаткичлар!$A$11:$A$200,Кўрсаткичлар!$A$11:$A$200&lt;&gt;""),ROW()-4),"")</f>
        <v>Нахт клиент-А</v>
      </c>
      <c r="C26" s="87">
        <f>IF($B26="","",SUMIF(Товар!$D:$D,$B26,Товар!$T:$T))</f>
        <v>22192000</v>
      </c>
      <c r="D26" s="87">
        <f>IF($B26="","",SUMIF(Тўловлар[Клиент],$B26,Тўловлар[Товарга]))</f>
        <v>22200000</v>
      </c>
      <c r="E26" s="88">
        <f t="shared" si="0"/>
        <v>8000</v>
      </c>
      <c r="F26" s="87">
        <f>IF($B26="","",SUMIF(Товар!$D:$D,$B26,Товар!$K:$K))</f>
        <v>20</v>
      </c>
      <c r="G26" s="87">
        <f>IF($B26="","",SUMIF(ПоддонҚайтариш[Клиент],$B26,ПоддонҚайтариш[Поддон дона]))</f>
        <v>18</v>
      </c>
      <c r="H26" s="87">
        <f>IF($B26="","",SUMIF(Тўловлар[Клиент],$B26,Тўловлар[Поддон]))</f>
        <v>0</v>
      </c>
      <c r="I26" s="87">
        <f>IF($B26="","",SUMIF(Тўловлар[Клиент],$B26,Тўловлар[Поддон пули]))</f>
        <v>0</v>
      </c>
      <c r="J26" s="89">
        <f t="shared" si="1"/>
        <v>-2</v>
      </c>
      <c r="K26" s="90" cm="1">
        <f t="array" ref="K26">IF($B26="","",IFERROR(LOOKUP(2,1/(Таблица1[Клиент]=$B26),INDEX(Таблица1[],0,12)),Кўрсаткичлар!$B$4))</f>
        <v>130000</v>
      </c>
      <c r="L26" s="89">
        <f t="shared" si="2"/>
        <v>-260000</v>
      </c>
      <c r="M26" s="91">
        <f t="shared" si="3"/>
        <v>-252000</v>
      </c>
    </row>
    <row r="27" spans="1:13" x14ac:dyDescent="0.25">
      <c r="A27" s="86" t="str">
        <f>IF($B27="","",IFERROR(INDEX(Мижозлар[Агент],MATCH($B27,Мижозлар[Расмий ном],0)),""))</f>
        <v>Темур</v>
      </c>
      <c r="B27" s="86" t="str" cm="1">
        <f t="array" ref="B27">IFERROR(INDEX(_xlfn._xlws.FILTER(Кўрсаткичлар!$A$11:$A$200,Кўрсаткичлар!$A$11:$A$200&lt;&gt;""),ROW()-4),"")</f>
        <v>Низомиддин хонка</v>
      </c>
      <c r="C27" s="87">
        <f>IF($B27="","",SUMIF(Товар!$D:$D,$B27,Товар!$T:$T))</f>
        <v>40964800</v>
      </c>
      <c r="D27" s="87">
        <f>IF($B27="","",SUMIF(Тўловлар[Клиент],$B27,Тўловлар[Товарга]))</f>
        <v>40964800</v>
      </c>
      <c r="E27" s="88">
        <f t="shared" si="0"/>
        <v>0</v>
      </c>
      <c r="F27" s="87">
        <f>IF($B27="","",SUMIF(Товар!$D:$D,$B27,Товар!$K:$K))</f>
        <v>38</v>
      </c>
      <c r="G27" s="87">
        <f>IF($B27="","",SUMIF(ПоддонҚайтариш[Клиент],$B27,ПоддонҚайтариш[Поддон дона]))</f>
        <v>38</v>
      </c>
      <c r="H27" s="87">
        <f>IF($B27="","",SUMIF(Тўловлар[Клиент],$B27,Тўловлар[Поддон]))</f>
        <v>0</v>
      </c>
      <c r="I27" s="87">
        <f>IF($B27="","",SUMIF(Тўловлар[Клиент],$B27,Тўловлар[Поддон пули]))</f>
        <v>0</v>
      </c>
      <c r="J27" s="89">
        <f t="shared" si="1"/>
        <v>0</v>
      </c>
      <c r="K27" s="90" cm="1">
        <f t="array" ref="K27">IF($B27="","",IFERROR(LOOKUP(2,1/(Таблица1[Клиент]=$B27),INDEX(Таблица1[],0,12)),Кўрсаткичлар!$B$4))</f>
        <v>130000</v>
      </c>
      <c r="L27" s="89">
        <f t="shared" si="2"/>
        <v>0</v>
      </c>
      <c r="M27" s="91">
        <f t="shared" si="3"/>
        <v>0</v>
      </c>
    </row>
    <row r="28" spans="1:13" x14ac:dyDescent="0.25">
      <c r="A28" s="86" t="str">
        <f>IF($B28="","",IFERROR(INDEX(Мижозлар[Агент],MATCH($B28,Мижозлар[Расмий ном],0)),""))</f>
        <v>Шохрух ога</v>
      </c>
      <c r="B28" s="86" t="str" cm="1">
        <f t="array" ref="B28">IFERROR(INDEX(_xlfn._xlws.FILTER(Кўрсаткичлар!$A$11:$A$200,Кўрсаткичлар!$A$11:$A$200&lt;&gt;""),ROW()-4),"")</f>
        <v>Нормат Умидбек</v>
      </c>
      <c r="C28" s="87">
        <f>IF($B28="","",SUMIF(Товар!$D:$D,$B28,Товар!$T:$T))</f>
        <v>123197760</v>
      </c>
      <c r="D28" s="87">
        <f>IF($B28="","",SUMIF(Тўловлар[Клиент],$B28,Тўловлар[Товарга]))</f>
        <v>122394560</v>
      </c>
      <c r="E28" s="88">
        <f t="shared" si="0"/>
        <v>-803200</v>
      </c>
      <c r="F28" s="87">
        <f>IF($B28="","",SUMIF(Товар!$D:$D,$B28,Товар!$K:$K))</f>
        <v>99</v>
      </c>
      <c r="G28" s="87">
        <f>IF($B28="","",SUMIF(ПоддонҚайтариш[Клиент],$B28,ПоддонҚайтариш[Поддон дона]))</f>
        <v>95</v>
      </c>
      <c r="H28" s="87">
        <f>IF($B28="","",SUMIF(Тўловлар[Клиент],$B28,Тўловлар[Поддон]))</f>
        <v>0</v>
      </c>
      <c r="I28" s="87">
        <f>IF($B28="","",SUMIF(Тўловлар[Клиент],$B28,Тўловлар[Поддон пули]))</f>
        <v>0</v>
      </c>
      <c r="J28" s="89">
        <f t="shared" si="1"/>
        <v>-4</v>
      </c>
      <c r="K28" s="90" cm="1">
        <f t="array" ref="K28">IF($B28="","",IFERROR(LOOKUP(2,1/(Таблица1[Клиент]=$B28),INDEX(Таблица1[],0,12)),Кўрсаткичлар!$B$4))</f>
        <v>130000</v>
      </c>
      <c r="L28" s="89">
        <f t="shared" si="2"/>
        <v>-520000</v>
      </c>
      <c r="M28" s="91">
        <f t="shared" si="3"/>
        <v>-1323200</v>
      </c>
    </row>
    <row r="29" spans="1:13" x14ac:dyDescent="0.25">
      <c r="A29" s="86" t="str">
        <f>IF($B29="","",IFERROR(INDEX(Мижозлар[Агент],MATCH($B29,Мижозлар[Расмий ном],0)),""))</f>
        <v>Темур</v>
      </c>
      <c r="B29" s="86" t="str" cm="1">
        <f t="array" ref="B29">IFERROR(INDEX(_xlfn._xlws.FILTER(Кўрсаткичлар!$A$11:$A$200,Кўрсаткичлар!$A$11:$A$200&lt;&gt;""),ROW()-4),"")</f>
        <v>Одилбек Ера хоус</v>
      </c>
      <c r="C29" s="87">
        <f>IF($B29="","",SUMIF(Товар!$D:$D,$B29,Товар!$T:$T))</f>
        <v>754525760</v>
      </c>
      <c r="D29" s="87">
        <f>IF($B29="","",SUMIF(Тўловлар[Клиент],$B29,Тўловлар[Товарга]))</f>
        <v>724331080</v>
      </c>
      <c r="E29" s="88">
        <f t="shared" si="0"/>
        <v>-30194680</v>
      </c>
      <c r="F29" s="87">
        <f>IF($B29="","",SUMIF(Товар!$D:$D,$B29,Товар!$K:$K))</f>
        <v>684</v>
      </c>
      <c r="G29" s="87">
        <f>IF($B29="","",SUMIF(ПоддонҚайтариш[Клиент],$B29,ПоддонҚайтариш[Поддон дона]))</f>
        <v>465</v>
      </c>
      <c r="H29" s="87">
        <f>IF($B29="","",SUMIF(Тўловлар[Клиент],$B29,Тўловлар[Поддон]))</f>
        <v>456</v>
      </c>
      <c r="I29" s="87">
        <f>IF($B29="","",SUMIF(Тўловлар[Клиент],$B29,Тўловлар[Поддон пули]))</f>
        <v>59280000</v>
      </c>
      <c r="J29" s="89">
        <f t="shared" si="1"/>
        <v>237</v>
      </c>
      <c r="K29" s="90" cm="1">
        <f t="array" ref="K29">IF($B29="","",IFERROR(LOOKUP(2,1/(Таблица1[Клиент]=$B29),INDEX(Таблица1[],0,12)),Кўрсаткичлар!$B$4))</f>
        <v>130000</v>
      </c>
      <c r="L29" s="89">
        <f t="shared" si="2"/>
        <v>30810000</v>
      </c>
      <c r="M29" s="91">
        <f t="shared" si="3"/>
        <v>615320</v>
      </c>
    </row>
    <row r="30" spans="1:13" x14ac:dyDescent="0.25">
      <c r="A30" s="86" t="str">
        <f>IF($B30="","",IFERROR(INDEX(Мижозлар[Агент],MATCH($B30,Мижозлар[Расмий ном],0)),""))</f>
        <v>Сардор ога</v>
      </c>
      <c r="B30" s="86" t="str" cm="1">
        <f t="array" ref="B30">IFERROR(INDEX(_xlfn._xlws.FILTER(Кўрсаткичлар!$A$11:$A$200,Кўрсаткичлар!$A$11:$A$200&lt;&gt;""),ROW()-4),"")</f>
        <v>Отабек дамирчи</v>
      </c>
      <c r="C30" s="87">
        <f>IF($B30="","",SUMIF(Товар!$D:$D,$B30,Товар!$T:$T))</f>
        <v>462262400</v>
      </c>
      <c r="D30" s="87">
        <f>IF($B30="","",SUMIF(Тўловлар[Клиент],$B30,Тўловлар[Товарга]))</f>
        <v>459410000</v>
      </c>
      <c r="E30" s="88">
        <f t="shared" si="0"/>
        <v>-2852400</v>
      </c>
      <c r="F30" s="87">
        <f>IF($B30="","",SUMIF(Товар!$D:$D,$B30,Товар!$K:$K))</f>
        <v>418</v>
      </c>
      <c r="G30" s="87">
        <f>IF($B30="","",SUMIF(ПоддонҚайтариш[Клиент],$B30,ПоддонҚайтариш[Поддон дона]))</f>
        <v>203</v>
      </c>
      <c r="H30" s="87">
        <f>IF($B30="","",SUMIF(Тўловлар[Клиент],$B30,Тўловлар[Поддон]))</f>
        <v>243</v>
      </c>
      <c r="I30" s="87">
        <f>IF($B30="","",SUMIF(Тўловлар[Клиент],$B30,Тўловлар[Поддон пули]))</f>
        <v>31590000</v>
      </c>
      <c r="J30" s="89">
        <f t="shared" si="1"/>
        <v>28</v>
      </c>
      <c r="K30" s="90" cm="1">
        <f t="array" ref="K30">IF($B30="","",IFERROR(LOOKUP(2,1/(Таблица1[Клиент]=$B30),INDEX(Таблица1[],0,12)),Кўрсаткичлар!$B$4))</f>
        <v>130000</v>
      </c>
      <c r="L30" s="89">
        <f t="shared" si="2"/>
        <v>3640000</v>
      </c>
      <c r="M30" s="91">
        <f t="shared" si="3"/>
        <v>787600</v>
      </c>
    </row>
    <row r="31" spans="1:13" x14ac:dyDescent="0.25">
      <c r="A31" s="86" t="str">
        <f>IF($B31="","",IFERROR(INDEX(Мижозлар[Агент],MATCH($B31,Мижозлар[Расмий ном],0)),""))</f>
        <v>Шохрух ога</v>
      </c>
      <c r="B31" s="86" t="str" cm="1">
        <f t="array" ref="B31">IFERROR(INDEX(_xlfn._xlws.FILTER(Кўрсаткичлар!$A$11:$A$200,Кўрсаткичлар!$A$11:$A$200&lt;&gt;""),ROW()-4),"")</f>
        <v>Рустам Шпик</v>
      </c>
      <c r="C31" s="87">
        <f>IF($B31="","",SUMIF(Товар!$D:$D,$B31,Товар!$T:$T))</f>
        <v>338964280.36416</v>
      </c>
      <c r="D31" s="87">
        <f>IF($B31="","",SUMIF(Тўловлар[Клиент],$B31,Тўловлар[Товарга]))</f>
        <v>296955400</v>
      </c>
      <c r="E31" s="88">
        <f t="shared" si="0"/>
        <v>-42008880.364160001</v>
      </c>
      <c r="F31" s="87">
        <f>IF($B31="","",SUMIF(Товар!$D:$D,$B31,Товар!$K:$K))</f>
        <v>305</v>
      </c>
      <c r="G31" s="87">
        <f>IF($B31="","",SUMIF(ПоддонҚайтариш[Клиент],$B31,ПоддонҚайтариш[Поддон дона]))</f>
        <v>227</v>
      </c>
      <c r="H31" s="87">
        <f>IF($B31="","",SUMIF(Тўловлар[Клиент],$B31,Тўловлар[Поддон]))</f>
        <v>90</v>
      </c>
      <c r="I31" s="87">
        <f>IF($B31="","",SUMIF(Тўловлар[Клиент],$B31,Тўловлар[Поддон пули]))</f>
        <v>11700000</v>
      </c>
      <c r="J31" s="89">
        <f t="shared" si="1"/>
        <v>12</v>
      </c>
      <c r="K31" s="90" cm="1">
        <f t="array" ref="K31">IF($B31="","",IFERROR(LOOKUP(2,1/(Таблица1[Клиент]=$B31),INDEX(Таблица1[],0,12)),Кўрсаткичлар!$B$4))</f>
        <v>130000</v>
      </c>
      <c r="L31" s="89">
        <f t="shared" si="2"/>
        <v>1560000</v>
      </c>
      <c r="M31" s="91">
        <f t="shared" si="3"/>
        <v>-40448880.364160001</v>
      </c>
    </row>
    <row r="32" spans="1:13" x14ac:dyDescent="0.25">
      <c r="A32" s="86" t="str">
        <f>IF($B32="","",IFERROR(INDEX(Мижозлар[Агент],MATCH($B32,Мижозлар[Расмий ном],0)),""))</f>
        <v>Зафар ога</v>
      </c>
      <c r="B32" s="86" t="str" cm="1">
        <f t="array" ref="B32">IFERROR(INDEX(_xlfn._xlws.FILTER(Кўрсаткичлар!$A$11:$A$200,Кўрсаткичлар!$A$11:$A$200&lt;&gt;""),ROW()-4),"")</f>
        <v>Сарвар ога Шовот</v>
      </c>
      <c r="C32" s="87">
        <f>IF($B32="","",SUMIF(Товар!$D:$D,$B32,Товар!$T:$T))</f>
        <v>191268160</v>
      </c>
      <c r="D32" s="87">
        <f>IF($B32="","",SUMIF(Тўловлар[Клиент],$B32,Тўловлар[Товарга]))</f>
        <v>216527200</v>
      </c>
      <c r="E32" s="88">
        <f t="shared" si="0"/>
        <v>25259040</v>
      </c>
      <c r="F32" s="87">
        <f>IF($B32="","",SUMIF(Товар!$D:$D,$B32,Товар!$K:$K))</f>
        <v>171</v>
      </c>
      <c r="G32" s="87">
        <f>IF($B32="","",SUMIF(ПоддонҚайтариш[Клиент],$B32,ПоддонҚайтариш[Поддон дона]))</f>
        <v>91</v>
      </c>
      <c r="H32" s="87">
        <f>IF($B32="","",SUMIF(Тўловлар[Клиент],$B32,Тўловлар[Поддон]))</f>
        <v>61</v>
      </c>
      <c r="I32" s="87">
        <f>IF($B32="","",SUMIF(Тўловлар[Клиент],$B32,Тўловлар[Поддон пули]))</f>
        <v>7930000</v>
      </c>
      <c r="J32" s="89">
        <f t="shared" si="1"/>
        <v>-19</v>
      </c>
      <c r="K32" s="90" cm="1">
        <f t="array" ref="K32">IF($B32="","",IFERROR(LOOKUP(2,1/(Таблица1[Клиент]=$B32),INDEX(Таблица1[],0,12)),Кўрсаткичлар!$B$4))</f>
        <v>130000</v>
      </c>
      <c r="L32" s="89">
        <f t="shared" si="2"/>
        <v>-2470000</v>
      </c>
      <c r="M32" s="91">
        <f t="shared" si="3"/>
        <v>22789040</v>
      </c>
    </row>
    <row r="33" spans="1:13" x14ac:dyDescent="0.25">
      <c r="A33" s="86" t="str">
        <f>IF($B33="","",IFERROR(INDEX(Мижозлар[Агент],MATCH($B33,Мижозлар[Расмий ном],0)),""))</f>
        <v>Сардор ога</v>
      </c>
      <c r="B33" s="86" t="str" cm="1">
        <f t="array" ref="B33">IFERROR(INDEX(_xlfn._xlws.FILTER(Кўрсаткичлар!$A$11:$A$200,Кўрсаткичлар!$A$11:$A$200&lt;&gt;""),ROW()-4),"")</f>
        <v>Сохил буйи Уткир ога</v>
      </c>
      <c r="C33" s="87">
        <f>IF($B33="","",SUMIF(Товар!$D:$D,$B33,Товар!$T:$T))</f>
        <v>123651040.00999999</v>
      </c>
      <c r="D33" s="87">
        <f>IF($B33="","",SUMIF(Тўловлар[Клиент],$B33,Тўловлар[Товарга]))</f>
        <v>123651500</v>
      </c>
      <c r="E33" s="88">
        <f t="shared" si="0"/>
        <v>459.99000000953674</v>
      </c>
      <c r="F33" s="87">
        <f>IF($B33="","",SUMIF(Товар!$D:$D,$B33,Товар!$K:$K))</f>
        <v>114</v>
      </c>
      <c r="G33" s="87">
        <f>IF($B33="","",SUMIF(ПоддонҚайтариш[Клиент],$B33,ПоддонҚайтариш[Поддон дона]))</f>
        <v>81</v>
      </c>
      <c r="H33" s="87">
        <f>IF($B33="","",SUMIF(Тўловлар[Клиент],$B33,Тўловлар[Поддон]))</f>
        <v>19</v>
      </c>
      <c r="I33" s="87">
        <f>IF($B33="","",SUMIF(Тўловлар[Клиент],$B33,Тўловлар[Поддон пули]))</f>
        <v>2470000</v>
      </c>
      <c r="J33" s="89">
        <f t="shared" si="1"/>
        <v>-14</v>
      </c>
      <c r="K33" s="90" cm="1">
        <f t="array" ref="K33">IF($B33="","",IFERROR(LOOKUP(2,1/(Таблица1[Клиент]=$B33),INDEX(Таблица1[],0,12)),Кўрсаткичлар!$B$4))</f>
        <v>130000</v>
      </c>
      <c r="L33" s="89">
        <f t="shared" si="2"/>
        <v>-1820000</v>
      </c>
      <c r="M33" s="91">
        <f t="shared" si="3"/>
        <v>-1819540.0099999905</v>
      </c>
    </row>
    <row r="34" spans="1:13" x14ac:dyDescent="0.25">
      <c r="A34" s="86" t="str">
        <f>IF($B34="","",IFERROR(INDEX(Мижозлар[Агент],MATCH($B34,Мижозлар[Расмий ном],0)),""))</f>
        <v>Зафар ога</v>
      </c>
      <c r="B34" s="86" t="str" cm="1">
        <f t="array" ref="B34">IFERROR(INDEX(_xlfn._xlws.FILTER(Кўрсаткичлар!$A$11:$A$200,Кўрсаткичлар!$A$11:$A$200&lt;&gt;""),ROW()-4),"")</f>
        <v>Сулаймон Ога Газаблок</v>
      </c>
      <c r="C34" s="87">
        <f>IF($B34="","",SUMIF(Товар!$D:$D,$B34,Товар!$T:$T))</f>
        <v>380802720.00800002</v>
      </c>
      <c r="D34" s="87">
        <f>IF($B34="","",SUMIF(Тўловлар[Клиент],$B34,Тўловлар[Товарга]))</f>
        <v>353104000</v>
      </c>
      <c r="E34" s="88">
        <f t="shared" si="0"/>
        <v>-27698720.008000016</v>
      </c>
      <c r="F34" s="87">
        <f>IF($B34="","",SUMIF(Товар!$D:$D,$B34,Товар!$K:$K))</f>
        <v>342</v>
      </c>
      <c r="G34" s="87">
        <f>IF($B34="","",SUMIF(ПоддонҚайтариш[Клиент],$B34,ПоддонҚайтариш[Поддон дона]))</f>
        <v>0</v>
      </c>
      <c r="H34" s="87">
        <f>IF($B34="","",SUMIF(Тўловлар[Клиент],$B34,Тўловлар[Поддон]))</f>
        <v>342</v>
      </c>
      <c r="I34" s="87">
        <f>IF($B34="","",SUMIF(Тўловлар[Клиент],$B34,Тўловлар[Поддон пули]))</f>
        <v>44460000</v>
      </c>
      <c r="J34" s="89">
        <f t="shared" si="1"/>
        <v>0</v>
      </c>
      <c r="K34" s="90" cm="1">
        <f t="array" ref="K34">IF($B34="","",IFERROR(LOOKUP(2,1/(Таблица1[Клиент]=$B34),INDEX(Таблица1[],0,12)),Кўрсаткичлар!$B$4))</f>
        <v>130000</v>
      </c>
      <c r="L34" s="89">
        <f t="shared" si="2"/>
        <v>0</v>
      </c>
      <c r="M34" s="91">
        <f t="shared" si="3"/>
        <v>-27698720.008000016</v>
      </c>
    </row>
    <row r="35" spans="1:13" x14ac:dyDescent="0.25">
      <c r="A35" s="86" t="str">
        <f>IF($B35="","",IFERROR(INDEX(Мижозлар[Агент],MATCH($B35,Мижозлар[Расмий ном],0)),""))</f>
        <v>Зафар ога</v>
      </c>
      <c r="B35" s="86" t="str" cm="1">
        <f t="array" ref="B35">IFERROR(INDEX(_xlfn._xlws.FILTER(Кўрсаткичлар!$A$11:$A$200,Кўрсаткичлар!$A$11:$A$200&lt;&gt;""),ROW()-4),"")</f>
        <v>Сулаймон Ога Хазарасп</v>
      </c>
      <c r="C35" s="87">
        <f>IF($B35="","",SUMIF(Товар!$D:$D,$B35,Товар!$T:$T))</f>
        <v>721955200</v>
      </c>
      <c r="D35" s="87">
        <f>IF($B35="","",SUMIF(Тўловлар[Клиент],$B35,Тўловлар[Товарга]))</f>
        <v>721955200</v>
      </c>
      <c r="E35" s="88">
        <f t="shared" si="0"/>
        <v>0</v>
      </c>
      <c r="F35" s="87">
        <f>IF($B35="","",SUMIF(Товар!$D:$D,$B35,Товар!$K:$K))</f>
        <v>645</v>
      </c>
      <c r="G35" s="87">
        <f>IF($B35="","",SUMIF(ПоддонҚайтариш[Клиент],$B35,ПоддонҚайтариш[Поддон дона]))</f>
        <v>562</v>
      </c>
      <c r="H35" s="87">
        <f>IF($B35="","",SUMIF(Тўловлар[Клиент],$B35,Тўловлар[Поддон]))</f>
        <v>0</v>
      </c>
      <c r="I35" s="87">
        <f>IF($B35="","",SUMIF(Тўловлар[Клиент],$B35,Тўловлар[Поддон пули]))</f>
        <v>0</v>
      </c>
      <c r="J35" s="89">
        <f t="shared" si="1"/>
        <v>-83</v>
      </c>
      <c r="K35" s="90" cm="1">
        <f t="array" ref="K35">IF($B35="","",IFERROR(LOOKUP(2,1/(Таблица1[Клиент]=$B35),INDEX(Таблица1[],0,12)),Кўрсаткичлар!$B$4))</f>
        <v>130000</v>
      </c>
      <c r="L35" s="89">
        <f t="shared" si="2"/>
        <v>-10790000</v>
      </c>
      <c r="M35" s="91">
        <f t="shared" si="3"/>
        <v>-10790000</v>
      </c>
    </row>
    <row r="36" spans="1:13" x14ac:dyDescent="0.25">
      <c r="A36" s="86" t="str">
        <f>IF($B36="","",IFERROR(INDEX(Мижозлар[Агент],MATCH($B36,Мижозлар[Расмий ном],0)),""))</f>
        <v>Зафар ога</v>
      </c>
      <c r="B36" s="86" t="str" cm="1">
        <f t="array" ref="B36">IFERROR(INDEX(_xlfn._xlws.FILTER(Кўрсаткичлар!$A$11:$A$200,Кўрсаткичлар!$A$11:$A$200&lt;&gt;""),ROW()-4),"")</f>
        <v>Уктир ога Шовот</v>
      </c>
      <c r="C36" s="87">
        <f>IF($B36="","",SUMIF(Товар!$D:$D,$B36,Товар!$T:$T))</f>
        <v>40964800</v>
      </c>
      <c r="D36" s="87">
        <f>IF($B36="","",SUMIF(Тўловлар[Клиент],$B36,Тўловлар[Товарга]))</f>
        <v>40964800</v>
      </c>
      <c r="E36" s="88">
        <f t="shared" si="0"/>
        <v>0</v>
      </c>
      <c r="F36" s="87">
        <f>IF($B36="","",SUMIF(Товар!$D:$D,$B36,Товар!$K:$K))</f>
        <v>38</v>
      </c>
      <c r="G36" s="87">
        <f>IF($B36="","",SUMIF(ПоддонҚайтариш[Клиент],$B36,ПоддонҚайтариш[Поддон дона]))</f>
        <v>0</v>
      </c>
      <c r="H36" s="87">
        <f>IF($B36="","",SUMIF(Тўловлар[Клиент],$B36,Тўловлар[Поддон]))</f>
        <v>0</v>
      </c>
      <c r="I36" s="87">
        <f>IF($B36="","",SUMIF(Тўловлар[Клиент],$B36,Тўловлар[Поддон пули]))</f>
        <v>0</v>
      </c>
      <c r="J36" s="89">
        <f t="shared" si="1"/>
        <v>-38</v>
      </c>
      <c r="K36" s="90" cm="1">
        <f t="array" ref="K36">IF($B36="","",IFERROR(LOOKUP(2,1/(Таблица1[Клиент]=$B36),INDEX(Таблица1[],0,12)),Кўрсаткичлар!$B$4))</f>
        <v>130000</v>
      </c>
      <c r="L36" s="89">
        <f t="shared" si="2"/>
        <v>-4940000</v>
      </c>
      <c r="M36" s="91">
        <f t="shared" si="3"/>
        <v>-4940000</v>
      </c>
    </row>
    <row r="37" spans="1:13" x14ac:dyDescent="0.25">
      <c r="A37" s="86" t="str">
        <f>IF($B37="","",IFERROR(INDEX(Мижозлар[Агент],MATCH($B37,Мижозлар[Расмий ном],0)),""))</f>
        <v>Жамол 22-22</v>
      </c>
      <c r="B37" s="86" t="str" cm="1">
        <f t="array" ref="B37">IFERROR(INDEX(_xlfn._xlws.FILTER(Кўрсаткичлар!$A$11:$A$200,Кўрсаткичлар!$A$11:$A$200&lt;&gt;""),ROW()-4),"")</f>
        <v>Урганч сити</v>
      </c>
      <c r="C37" s="87">
        <f>IF($B37="","",SUMIF(Товар!$D:$D,$B37,Товар!$T:$T))</f>
        <v>137894400</v>
      </c>
      <c r="D37" s="87">
        <f>IF($B37="","",SUMIF(Тўловлар[Клиент],$B37,Тўловлар[Товарга]))</f>
        <v>125000000</v>
      </c>
      <c r="E37" s="88">
        <f t="shared" si="0"/>
        <v>-12894400</v>
      </c>
      <c r="F37" s="87">
        <f>IF($B37="","",SUMIF(Товар!$D:$D,$B37,Товар!$K:$K))</f>
        <v>114</v>
      </c>
      <c r="G37" s="87">
        <f>IF($B37="","",SUMIF(ПоддонҚайтариш[Клиент],$B37,ПоддонҚайтариш[Поддон дона]))</f>
        <v>114</v>
      </c>
      <c r="H37" s="87">
        <f>IF($B37="","",SUMIF(Тўловлар[Клиент],$B37,Тўловлар[Поддон]))</f>
        <v>0</v>
      </c>
      <c r="I37" s="87">
        <f>IF($B37="","",SUMIF(Тўловлар[Клиент],$B37,Тўловлар[Поддон пули]))</f>
        <v>0</v>
      </c>
      <c r="J37" s="89">
        <f t="shared" si="1"/>
        <v>0</v>
      </c>
      <c r="K37" s="90" cm="1">
        <f t="array" ref="K37">IF($B37="","",IFERROR(LOOKUP(2,1/(Таблица1[Клиент]=$B37),INDEX(Таблица1[],0,12)),Кўрсаткичлар!$B$4))</f>
        <v>130000</v>
      </c>
      <c r="L37" s="89">
        <f t="shared" si="2"/>
        <v>0</v>
      </c>
      <c r="M37" s="91">
        <f t="shared" si="3"/>
        <v>-12894400</v>
      </c>
    </row>
    <row r="38" spans="1:13" x14ac:dyDescent="0.25">
      <c r="A38" s="86" t="str">
        <f>IF($B38="","",IFERROR(INDEX(Мижозлар[Агент],MATCH($B38,Мижозлар[Расмий ном],0)),""))</f>
        <v>Жамол 22-22</v>
      </c>
      <c r="B38" s="86" t="str" cm="1">
        <f t="array" ref="B38">IFERROR(INDEX(_xlfn._xlws.FILTER(Кўрсаткичлар!$A$11:$A$200,Кўрсаткичлар!$A$11:$A$200&lt;&gt;""),ROW()-4),"")</f>
        <v>Урганч Тамирлаш</v>
      </c>
      <c r="C38" s="87">
        <f>IF($B38="","",SUMIF(Товар!$D:$D,$B38,Товар!$T:$T))</f>
        <v>45569999.983103998</v>
      </c>
      <c r="D38" s="87">
        <f>IF($B38="","",SUMIF(Тўловлар[Клиент],$B38,Тўловлар[Товарга]))</f>
        <v>340570000</v>
      </c>
      <c r="E38" s="88">
        <f t="shared" si="0"/>
        <v>295000000.01689601</v>
      </c>
      <c r="F38" s="87">
        <f>IF($B38="","",SUMIF(Товар!$D:$D,$B38,Товар!$K:$K))</f>
        <v>36</v>
      </c>
      <c r="G38" s="87">
        <f>IF($B38="","",SUMIF(ПоддонҚайтариш[Клиент],$B38,ПоддонҚайтариш[Поддон дона]))</f>
        <v>0</v>
      </c>
      <c r="H38" s="87">
        <f>IF($B38="","",SUMIF(Тўловлар[Клиент],$B38,Тўловлар[Поддон]))</f>
        <v>0</v>
      </c>
      <c r="I38" s="87">
        <f>IF($B38="","",SUMIF(Тўловлар[Клиент],$B38,Тўловлар[Поддон пули]))</f>
        <v>0</v>
      </c>
      <c r="J38" s="89">
        <f t="shared" si="1"/>
        <v>-36</v>
      </c>
      <c r="K38" s="90" cm="1">
        <f t="array" ref="K38">IF($B38="","",IFERROR(LOOKUP(2,1/(Таблица1[Клиент]=$B38),INDEX(Таблица1[],0,12)),Кўрсаткичлар!$B$4))</f>
        <v>130000</v>
      </c>
      <c r="L38" s="89">
        <f t="shared" si="2"/>
        <v>-4680000</v>
      </c>
      <c r="M38" s="91">
        <f t="shared" si="3"/>
        <v>290320000.01689601</v>
      </c>
    </row>
    <row r="39" spans="1:13" x14ac:dyDescent="0.25">
      <c r="A39" s="86" t="str">
        <f>IF($B39="","",IFERROR(INDEX(Мижозлар[Агент],MATCH($B39,Мижозлар[Расмий ном],0)),""))</f>
        <v>Сардор ога</v>
      </c>
      <c r="B39" s="86" t="str" cm="1">
        <f t="array" ref="B39">IFERROR(INDEX(_xlfn._xlws.FILTER(Кўрсаткичлар!$A$11:$A$200,Кўрсаткичлар!$A$11:$A$200&lt;&gt;""),ROW()-4),"")</f>
        <v>Уткир мини</v>
      </c>
      <c r="C39" s="87">
        <f>IF($B39="","",SUMIF(Товар!$D:$D,$B39,Товар!$T:$T))</f>
        <v>295120000</v>
      </c>
      <c r="D39" s="87">
        <f>IF($B39="","",SUMIF(Тўловлар[Клиент],$B39,Тўловлар[Товарга]))</f>
        <v>295387120</v>
      </c>
      <c r="E39" s="88">
        <f t="shared" si="0"/>
        <v>267120</v>
      </c>
      <c r="F39" s="87">
        <f>IF($B39="","",SUMIF(Товар!$D:$D,$B39,Товар!$K:$K))</f>
        <v>266</v>
      </c>
      <c r="G39" s="87">
        <f>IF($B39="","",SUMIF(ПоддонҚайтариш[Клиент],$B39,ПоддонҚайтариш[Поддон дона]))</f>
        <v>162</v>
      </c>
      <c r="H39" s="87">
        <f>IF($B39="","",SUMIF(Тўловлар[Клиент],$B39,Тўловлар[Поддон]))</f>
        <v>171</v>
      </c>
      <c r="I39" s="87">
        <f>IF($B39="","",SUMIF(Тўловлар[Клиент],$B39,Тўловлар[Поддон пули]))</f>
        <v>22230000</v>
      </c>
      <c r="J39" s="89">
        <f t="shared" si="1"/>
        <v>67</v>
      </c>
      <c r="K39" s="90" cm="1">
        <f t="array" ref="K39">IF($B39="","",IFERROR(LOOKUP(2,1/(Таблица1[Клиент]=$B39),INDEX(Таблица1[],0,12)),Кўрсаткичлар!$B$4))</f>
        <v>130000</v>
      </c>
      <c r="L39" s="89">
        <f t="shared" si="2"/>
        <v>8710000</v>
      </c>
      <c r="M39" s="91">
        <f t="shared" si="3"/>
        <v>8977120</v>
      </c>
    </row>
    <row r="40" spans="1:13" x14ac:dyDescent="0.25">
      <c r="A40" s="86" t="str">
        <f>IF($B40="","",IFERROR(INDEX(Мижозлар[Агент],MATCH($B40,Мижозлар[Расмий ном],0)),""))</f>
        <v>Шохрух ога</v>
      </c>
      <c r="B40" s="86" t="str" cm="1">
        <f t="array" ref="B40">IFERROR(INDEX(_xlfn._xlws.FILTER(Кўрсаткичлар!$A$11:$A$200,Кўрсаткичлар!$A$11:$A$200&lt;&gt;""),ROW()-4),"")</f>
        <v>Фидато Груп</v>
      </c>
      <c r="C40" s="87">
        <f>IF($B40="","",SUMIF(Товар!$D:$D,$B40,Товар!$T:$T))</f>
        <v>110181920</v>
      </c>
      <c r="D40" s="87">
        <f>IF($B40="","",SUMIF(Тўловлар[Клиент],$B40,Тўловлар[Товарга]))</f>
        <v>110180000</v>
      </c>
      <c r="E40" s="88">
        <f t="shared" si="0"/>
        <v>-1920</v>
      </c>
      <c r="F40" s="87">
        <f>IF($B40="","",SUMIF(Товар!$D:$D,$B40,Товар!$K:$K))</f>
        <v>95</v>
      </c>
      <c r="G40" s="87">
        <f>IF($B40="","",SUMIF(ПоддонҚайтариш[Клиент],$B40,ПоддонҚайтариш[Поддон дона]))</f>
        <v>92</v>
      </c>
      <c r="H40" s="87">
        <f>IF($B40="","",SUMIF(Тўловлар[Клиент],$B40,Тўловлар[Поддон]))</f>
        <v>0</v>
      </c>
      <c r="I40" s="87">
        <f>IF($B40="","",SUMIF(Тўловлар[Клиент],$B40,Тўловлар[Поддон пули]))</f>
        <v>0</v>
      </c>
      <c r="J40" s="89">
        <f t="shared" si="1"/>
        <v>-3</v>
      </c>
      <c r="K40" s="90" cm="1">
        <f t="array" ref="K40">IF($B40="","",IFERROR(LOOKUP(2,1/(Таблица1[Клиент]=$B40),INDEX(Таблица1[],0,12)),Кўрсаткичлар!$B$4))</f>
        <v>130000</v>
      </c>
      <c r="L40" s="89">
        <f t="shared" si="2"/>
        <v>-390000</v>
      </c>
      <c r="M40" s="91">
        <f t="shared" si="3"/>
        <v>-391920</v>
      </c>
    </row>
    <row r="41" spans="1:13" x14ac:dyDescent="0.25">
      <c r="A41" s="86" t="str">
        <f>IF($B41="","",IFERROR(INDEX(Мижозлар[Агент],MATCH($B41,Мижозлар[Расмий ном],0)),""))</f>
        <v>Сардор ога</v>
      </c>
      <c r="B41" s="86" t="str" cm="1">
        <f t="array" ref="B41">IFERROR(INDEX(_xlfn._xlws.FILTER(Кўрсаткичлар!$A$11:$A$200,Кўрсаткичлар!$A$11:$A$200&lt;&gt;""),ROW()-4),"")</f>
        <v>Фм хоус</v>
      </c>
      <c r="C41" s="87">
        <f>IF($B41="","",SUMIF(Товар!$D:$D,$B41,Товар!$T:$T))</f>
        <v>52091600.016000003</v>
      </c>
      <c r="D41" s="87">
        <f>IF($B41="","",SUMIF(Тўловлар[Клиент],$B41,Тўловлар[Товарга]))</f>
        <v>52100000</v>
      </c>
      <c r="E41" s="88">
        <f t="shared" si="0"/>
        <v>8399.9839999973774</v>
      </c>
      <c r="F41" s="87">
        <f>IF($B41="","",SUMIF(Товар!$D:$D,$B41,Товар!$K:$K))</f>
        <v>46</v>
      </c>
      <c r="G41" s="87">
        <f>IF($B41="","",SUMIF(ПоддонҚайтариш[Клиент],$B41,ПоддонҚайтариш[Поддон дона]))</f>
        <v>46</v>
      </c>
      <c r="H41" s="87">
        <f>IF($B41="","",SUMIF(Тўловлар[Клиент],$B41,Тўловлар[Поддон]))</f>
        <v>0</v>
      </c>
      <c r="I41" s="87">
        <f>IF($B41="","",SUMIF(Тўловлар[Клиент],$B41,Тўловлар[Поддон пули]))</f>
        <v>0</v>
      </c>
      <c r="J41" s="89">
        <f t="shared" si="1"/>
        <v>0</v>
      </c>
      <c r="K41" s="90" cm="1">
        <f t="array" ref="K41">IF($B41="","",IFERROR(LOOKUP(2,1/(Таблица1[Клиент]=$B41),INDEX(Таблица1[],0,12)),Кўрсаткичлар!$B$4))</f>
        <v>130000</v>
      </c>
      <c r="L41" s="89">
        <f t="shared" si="2"/>
        <v>0</v>
      </c>
      <c r="M41" s="91">
        <f t="shared" si="3"/>
        <v>8399.9839999973774</v>
      </c>
    </row>
    <row r="42" spans="1:13" x14ac:dyDescent="0.25">
      <c r="A42" s="86" t="str">
        <f>IF($B42="","",IFERROR(INDEX(Мижозлар[Агент],MATCH($B42,Мижозлар[Расмий ном],0)),""))</f>
        <v>Жамол 22-22</v>
      </c>
      <c r="B42" s="86" t="str" cm="1">
        <f t="array" ref="B42">IFERROR(INDEX(_xlfn._xlws.FILTER(Кўрсаткичлар!$A$11:$A$200,Кўрсаткичлар!$A$11:$A$200&lt;&gt;""),ROW()-4),"")</f>
        <v>Хонкага</v>
      </c>
      <c r="C42" s="87">
        <f>IF($B42="","",SUMIF(Товар!$D:$D,$B42,Товар!$T:$T))</f>
        <v>188127360</v>
      </c>
      <c r="D42" s="87">
        <f>IF($B42="","",SUMIF(Тўловлар[Клиент],$B42,Тўловлар[Товарга]))</f>
        <v>60000000</v>
      </c>
      <c r="E42" s="88">
        <f t="shared" si="0"/>
        <v>-128127360</v>
      </c>
      <c r="F42" s="87">
        <f>IF($B42="","",SUMIF(Товар!$D:$D,$B42,Товар!$K:$K))</f>
        <v>152</v>
      </c>
      <c r="G42" s="87">
        <f>IF($B42="","",SUMIF(ПоддонҚайтариш[Клиент],$B42,ПоддонҚайтариш[Поддон дона]))</f>
        <v>95</v>
      </c>
      <c r="H42" s="87">
        <f>IF($B42="","",SUMIF(Тўловлар[Клиент],$B42,Тўловлар[Поддон]))</f>
        <v>0</v>
      </c>
      <c r="I42" s="87">
        <f>IF($B42="","",SUMIF(Тўловлар[Клиент],$B42,Тўловлар[Поддон пули]))</f>
        <v>0</v>
      </c>
      <c r="J42" s="89">
        <f t="shared" si="1"/>
        <v>-57</v>
      </c>
      <c r="K42" s="90" cm="1">
        <f t="array" ref="K42">IF($B42="","",IFERROR(LOOKUP(2,1/(Таблица1[Клиент]=$B42),INDEX(Таблица1[],0,12)),Кўрсаткичлар!$B$4))</f>
        <v>130000</v>
      </c>
      <c r="L42" s="89">
        <f t="shared" si="2"/>
        <v>-7410000</v>
      </c>
      <c r="M42" s="91">
        <f t="shared" si="3"/>
        <v>-135537360</v>
      </c>
    </row>
    <row r="43" spans="1:13" x14ac:dyDescent="0.25">
      <c r="A43" s="86" t="str">
        <f>IF($B43="","",IFERROR(INDEX(Мижозлар[Агент],MATCH($B43,Мижозлар[Расмий ном],0)),""))</f>
        <v>Арслон ога</v>
      </c>
      <c r="B43" s="86" t="str" cm="1">
        <f t="array" ref="B43">IFERROR(INDEX(_xlfn._xlws.FILTER(Кўрсаткичлар!$A$11:$A$200,Кўрсаткичлар!$A$11:$A$200&lt;&gt;""),ROW()-4),"")</f>
        <v>Шиддат маналит</v>
      </c>
      <c r="C43" s="87">
        <f>IF($B43="","",SUMIF(Товар!$D:$D,$B43,Товар!$T:$T))</f>
        <v>327905920.00799996</v>
      </c>
      <c r="D43" s="87">
        <f>IF($B43="","",SUMIF(Тўловлар[Клиент],$B43,Тўловлар[Товарга]))</f>
        <v>306600340</v>
      </c>
      <c r="E43" s="88">
        <f t="shared" si="0"/>
        <v>-21305580.007999957</v>
      </c>
      <c r="F43" s="87">
        <f>IF($B43="","",SUMIF(Товар!$D:$D,$B43,Товар!$K:$K))</f>
        <v>285</v>
      </c>
      <c r="G43" s="87">
        <f>IF($B43="","",SUMIF(ПоддонҚайтариш[Клиент],$B43,ПоддонҚайтариш[Поддон дона]))</f>
        <v>185</v>
      </c>
      <c r="H43" s="87">
        <f>IF($B43="","",SUMIF(Тўловлар[Клиент],$B43,Тўловлар[Поддон]))</f>
        <v>81</v>
      </c>
      <c r="I43" s="87">
        <f>IF($B43="","",SUMIF(Тўловлар[Клиент],$B43,Тўловлар[Поддон пули]))</f>
        <v>10530000</v>
      </c>
      <c r="J43" s="89">
        <f t="shared" si="1"/>
        <v>-19</v>
      </c>
      <c r="K43" s="90" cm="1">
        <f t="array" ref="K43">IF($B43="","",IFERROR(LOOKUP(2,1/(Таблица1[Клиент]=$B43),INDEX(Таблица1[],0,12)),Кўрсаткичлар!$B$4))</f>
        <v>130000</v>
      </c>
      <c r="L43" s="89">
        <f t="shared" si="2"/>
        <v>-2470000</v>
      </c>
      <c r="M43" s="91">
        <f t="shared" si="3"/>
        <v>-23775580.007999957</v>
      </c>
    </row>
    <row r="44" spans="1:13" x14ac:dyDescent="0.25">
      <c r="A44" s="86" t="str">
        <f>IF($B44="","",IFERROR(INDEX(Мижозлар[Агент],MATCH($B44,Мижозлар[Расмий ном],0)),""))</f>
        <v>Шохрух ога</v>
      </c>
      <c r="B44" s="86" t="str" cm="1">
        <f t="array" ref="B44">IFERROR(INDEX(_xlfn._xlws.FILTER(Кўрсаткичлар!$A$11:$A$200,Кўрсаткичлар!$A$11:$A$200&lt;&gt;""),ROW()-4),"")</f>
        <v>Элликкала Бостон</v>
      </c>
      <c r="C44" s="87">
        <f>IF($B44="","",SUMIF(Товар!$D:$D,$B44,Товар!$T:$T))</f>
        <v>44114652.631578945</v>
      </c>
      <c r="D44" s="87">
        <f>IF($B44="","",SUMIF(Тўловлар[Клиент],$B44,Тўловлар[Товарга]))</f>
        <v>41768000</v>
      </c>
      <c r="E44" s="88">
        <f t="shared" si="0"/>
        <v>-2346652.6315789446</v>
      </c>
      <c r="F44" s="87">
        <f>IF($B44="","",SUMIF(Товар!$D:$D,$B44,Товар!$K:$K))</f>
        <v>41</v>
      </c>
      <c r="G44" s="87">
        <f>IF($B44="","",SUMIF(ПоддонҚайтариш[Клиент],$B44,ПоддонҚайтариш[Поддон дона]))</f>
        <v>60</v>
      </c>
      <c r="H44" s="87">
        <f>IF($B44="","",SUMIF(Тўловлар[Клиент],$B44,Тўловлар[Поддон]))</f>
        <v>0</v>
      </c>
      <c r="I44" s="87">
        <f>IF($B44="","",SUMIF(Тўловлар[Клиент],$B44,Тўловлар[Поддон пули]))</f>
        <v>0</v>
      </c>
      <c r="J44" s="89">
        <f t="shared" si="1"/>
        <v>19</v>
      </c>
      <c r="K44" s="90" cm="1">
        <f t="array" ref="K44">IF($B44="","",IFERROR(LOOKUP(2,1/(Таблица1[Клиент]=$B44),INDEX(Таблица1[],0,12)),Кўрсаткичлар!$B$4))</f>
        <v>130000</v>
      </c>
      <c r="L44" s="89">
        <f t="shared" si="2"/>
        <v>2470000</v>
      </c>
      <c r="M44" s="91">
        <f t="shared" si="3"/>
        <v>123347.36842105538</v>
      </c>
    </row>
    <row r="45" spans="1:13" x14ac:dyDescent="0.25">
      <c r="A45" s="86" t="str">
        <f>IF($B45="","",IFERROR(INDEX(Мижозлар[Агент],MATCH($B45,Мижозлар[Расмий ном],0)),""))</f>
        <v>Шохрух ога</v>
      </c>
      <c r="B45" s="86" t="str" cm="1">
        <f t="array" ref="B45">IFERROR(INDEX(_xlfn._xlws.FILTER(Кўрсаткичлар!$A$11:$A$200,Кўрсаткичлар!$A$11:$A$200&lt;&gt;""),ROW()-4),"")</f>
        <v>Акмал 91 510 50 01</v>
      </c>
      <c r="C45" s="87">
        <f>IF($B45="","",SUMIF(Товар!$D:$D,$B45,Товар!$T:$T))</f>
        <v>23639040</v>
      </c>
      <c r="D45" s="87">
        <f>IF($B45="","",SUMIF(Тўловлар[Клиент],$B45,Тўловлар[Товарга]))</f>
        <v>24000000</v>
      </c>
      <c r="E45" s="88">
        <f t="shared" si="0"/>
        <v>360960</v>
      </c>
      <c r="F45" s="87">
        <f>IF($B45="","",SUMIF(Товар!$D:$D,$B45,Товар!$K:$K))</f>
        <v>19</v>
      </c>
      <c r="G45" s="87">
        <f>IF($B45="","",SUMIF(ПоддонҚайтариш[Клиент],$B45,ПоддонҚайтариш[Поддон дона]))</f>
        <v>0</v>
      </c>
      <c r="H45" s="87">
        <f>IF($B45="","",SUMIF(Тўловлар[Клиент],$B45,Тўловлар[Поддон]))</f>
        <v>0</v>
      </c>
      <c r="I45" s="87">
        <f>IF($B45="","",SUMIF(Тўловлар[Клиент],$B45,Тўловлар[Поддон пули]))</f>
        <v>0</v>
      </c>
      <c r="J45" s="89">
        <f t="shared" si="1"/>
        <v>-19</v>
      </c>
      <c r="K45" s="90" cm="1">
        <f t="array" ref="K45">IF($B45="","",IFERROR(LOOKUP(2,1/(Таблица1[Клиент]=$B45),INDEX(Таблица1[],0,12)),Кўрсаткичлар!$B$4))</f>
        <v>130000</v>
      </c>
      <c r="L45" s="89">
        <f t="shared" si="2"/>
        <v>-2470000</v>
      </c>
      <c r="M45" s="91">
        <f t="shared" si="3"/>
        <v>-2109040</v>
      </c>
    </row>
    <row r="46" spans="1:13" x14ac:dyDescent="0.25">
      <c r="A46" s="86" t="str">
        <f>IF($B46="","",IFERROR(INDEX(Мижозлар[Агент],MATCH($B46,Мижозлар[Расмий ном],0)),""))</f>
        <v>Сардор ога</v>
      </c>
      <c r="B46" s="86" t="str" cm="1">
        <f t="array" ref="B46">IFERROR(INDEX(_xlfn._xlws.FILTER(Кўрсаткичлар!$A$11:$A$200,Кўрсаткичлар!$A$11:$A$200&lt;&gt;""),ROW()-4),"")</f>
        <v>Нахт клиент-С</v>
      </c>
      <c r="C46" s="87">
        <f>IF($B46="","",SUMIF(Товар!$D:$D,$B46,Товар!$T:$T))</f>
        <v>29914800</v>
      </c>
      <c r="D46" s="87">
        <f>IF($B46="","",SUMIF(Тўловлар[Клиент],$B46,Тўловлар[Товарга]))</f>
        <v>29914800</v>
      </c>
      <c r="E46" s="88">
        <f t="shared" si="0"/>
        <v>0</v>
      </c>
      <c r="F46" s="87">
        <f>IF($B46="","",SUMIF(Товар!$D:$D,$B46,Товар!$K:$K))</f>
        <v>28</v>
      </c>
      <c r="G46" s="87">
        <f>IF($B46="","",SUMIF(ПоддонҚайтариш[Клиент],$B46,ПоддонҚайтариш[Поддон дона]))</f>
        <v>28</v>
      </c>
      <c r="H46" s="87">
        <f>IF($B46="","",SUMIF(Тўловлар[Клиент],$B46,Тўловлар[Поддон]))</f>
        <v>0</v>
      </c>
      <c r="I46" s="87">
        <f>IF($B46="","",SUMIF(Тўловлар[Клиент],$B46,Тўловлар[Поддон пули]))</f>
        <v>0</v>
      </c>
      <c r="J46" s="89">
        <f t="shared" si="1"/>
        <v>0</v>
      </c>
      <c r="K46" s="90" cm="1">
        <f t="array" ref="K46">IF($B46="","",IFERROR(LOOKUP(2,1/(Таблица1[Клиент]=$B46),INDEX(Таблица1[],0,12)),Кўрсаткичлар!$B$4))</f>
        <v>130000</v>
      </c>
      <c r="L46" s="89">
        <f t="shared" si="2"/>
        <v>0</v>
      </c>
      <c r="M46" s="91">
        <f t="shared" si="3"/>
        <v>0</v>
      </c>
    </row>
    <row r="47" spans="1:13" x14ac:dyDescent="0.25">
      <c r="A47" s="86" t="str">
        <f>IF($B47="","",IFERROR(INDEX(Мижозлар[Агент],MATCH($B47,Мижозлар[Расмий ном],0)),""))</f>
        <v>Темур</v>
      </c>
      <c r="B47" s="86" t="str" cm="1">
        <f t="array" ref="B47">IFERROR(INDEX(_xlfn._xlws.FILTER(Кўрсаткичлар!$A$11:$A$200,Кўрсаткичлар!$A$11:$A$200&lt;&gt;""),ROW()-4),"")</f>
        <v>Бахти Ташкентский</v>
      </c>
      <c r="C47" s="87">
        <f>IF($B47="","",SUMIF(Товар!$D:$D,$B47,Товар!$T:$T))</f>
        <v>148273280</v>
      </c>
      <c r="D47" s="87">
        <f>IF($B47="","",SUMIF(Тўловлар[Клиент],$B47,Тўловлар[Товарга]))</f>
        <v>182710000</v>
      </c>
      <c r="E47" s="88">
        <f t="shared" si="0"/>
        <v>34436720</v>
      </c>
      <c r="F47" s="87">
        <f>IF($B47="","",SUMIF(Товар!$D:$D,$B47,Товар!$K:$K))</f>
        <v>133</v>
      </c>
      <c r="G47" s="87">
        <f>IF($B47="","",SUMIF(ПоддонҚайтариш[Клиент],$B47,ПоддонҚайтариш[Поддон дона]))</f>
        <v>0</v>
      </c>
      <c r="H47" s="87">
        <f>IF($B47="","",SUMIF(Тўловлар[Клиент],$B47,Тўловлар[Поддон]))</f>
        <v>133</v>
      </c>
      <c r="I47" s="87">
        <f>IF($B47="","",SUMIF(Тўловлар[Клиент],$B47,Тўловлар[Поддон пули]))</f>
        <v>17290000</v>
      </c>
      <c r="J47" s="89">
        <f t="shared" si="1"/>
        <v>0</v>
      </c>
      <c r="K47" s="90" cm="1">
        <f t="array" ref="K47">IF($B47="","",IFERROR(LOOKUP(2,1/(Таблица1[Клиент]=$B47),INDEX(Таблица1[],0,12)),Кўрсаткичлар!$B$4))</f>
        <v>130000</v>
      </c>
      <c r="L47" s="89">
        <f t="shared" si="2"/>
        <v>0</v>
      </c>
      <c r="M47" s="91">
        <f t="shared" si="3"/>
        <v>34436720</v>
      </c>
    </row>
    <row r="48" spans="1:13" x14ac:dyDescent="0.25">
      <c r="A48" s="86" t="str">
        <f>IF($B48="","",IFERROR(INDEX(Мижозлар[Агент],MATCH($B48,Мижозлар[Расмий ном],0)),""))</f>
        <v>Темур</v>
      </c>
      <c r="B48" s="86" t="str" cm="1">
        <f t="array" ref="B48">IFERROR(INDEX(_xlfn._xlws.FILTER(Кўрсаткичлар!$A$11:$A$200,Кўрсаткичлар!$A$11:$A$200&lt;&gt;""),ROW()-4),"")</f>
        <v>Хонка Про-Макс</v>
      </c>
      <c r="C48" s="87">
        <f>IF($B48="","",SUMIF(Товар!$D:$D,$B48,Товар!$T:$T))</f>
        <v>63717120</v>
      </c>
      <c r="D48" s="87">
        <f>IF($B48="","",SUMIF(Тўловлар[Клиент],$B48,Тўловлар[Товарга]))</f>
        <v>61307120</v>
      </c>
      <c r="E48" s="88">
        <f t="shared" si="0"/>
        <v>-2410000</v>
      </c>
      <c r="F48" s="87">
        <f>IF($B48="","",SUMIF(Товар!$D:$D,$B48,Товар!$K:$K))</f>
        <v>57</v>
      </c>
      <c r="G48" s="87">
        <f>IF($B48="","",SUMIF(ПоддонҚайтариш[Клиент],$B48,ПоддонҚайтариш[Поддон дона]))</f>
        <v>0</v>
      </c>
      <c r="H48" s="87">
        <f>IF($B48="","",SUMIF(Тўловлар[Клиент],$B48,Тўловлар[Поддон]))</f>
        <v>57</v>
      </c>
      <c r="I48" s="87">
        <f>IF($B48="","",SUMIF(Тўловлар[Клиент],$B48,Тўловлар[Поддон пули]))</f>
        <v>7410000</v>
      </c>
      <c r="J48" s="89">
        <f t="shared" si="1"/>
        <v>0</v>
      </c>
      <c r="K48" s="90" cm="1">
        <f t="array" ref="K48">IF($B48="","",IFERROR(LOOKUP(2,1/(Таблица1[Клиент]=$B48),INDEX(Таблица1[],0,12)),Кўрсаткичлар!$B$4))</f>
        <v>130000</v>
      </c>
      <c r="L48" s="89">
        <f t="shared" si="2"/>
        <v>0</v>
      </c>
      <c r="M48" s="91">
        <f t="shared" si="3"/>
        <v>-2410000</v>
      </c>
    </row>
    <row r="49" spans="1:13" x14ac:dyDescent="0.25">
      <c r="A49" s="86" t="str">
        <f>IF($B49="","",IFERROR(INDEX(Мижозлар[Агент],MATCH($B49,Мижозлар[Расмий ном],0)),""))</f>
        <v>Зафар ога</v>
      </c>
      <c r="B49" s="86" t="str" cm="1">
        <f t="array" ref="B49">IFERROR(INDEX(_xlfn._xlws.FILTER(Кўрсаткичлар!$A$11:$A$200,Кўрсаткичлар!$A$11:$A$200&lt;&gt;""),ROW()-4),"")</f>
        <v>NO WAY MCHJ Турткул</v>
      </c>
      <c r="C49" s="87">
        <f>IF($B49="","",SUMIF(Товар!$D:$D,$B49,Товар!$T:$T))</f>
        <v>41778080</v>
      </c>
      <c r="D49" s="87">
        <f>IF($B49="","",SUMIF(Тўловлар[Клиент],$B49,Тўловлар[Товарга]))</f>
        <v>41778080</v>
      </c>
      <c r="E49" s="88">
        <f t="shared" si="0"/>
        <v>0</v>
      </c>
      <c r="F49" s="87">
        <f>IF($B49="","",SUMIF(Товар!$D:$D,$B49,Товар!$K:$K))</f>
        <v>38</v>
      </c>
      <c r="G49" s="87">
        <f>IF($B49="","",SUMIF(ПоддонҚайтариш[Клиент],$B49,ПоддонҚайтариш[Поддон дона]))</f>
        <v>0</v>
      </c>
      <c r="H49" s="87">
        <f>IF($B49="","",SUMIF(Тўловлар[Клиент],$B49,Тўловлар[Поддон]))</f>
        <v>38</v>
      </c>
      <c r="I49" s="87">
        <f>IF($B49="","",SUMIF(Тўловлар[Клиент],$B49,Тўловлар[Поддон пули]))</f>
        <v>4940000</v>
      </c>
      <c r="J49" s="89">
        <f t="shared" si="1"/>
        <v>0</v>
      </c>
      <c r="K49" s="90" cm="1">
        <f t="array" ref="K49">IF($B49="","",IFERROR(LOOKUP(2,1/(Таблица1[Клиент]=$B49),INDEX(Таблица1[],0,12)),Кўрсаткичлар!$B$4))</f>
        <v>130000</v>
      </c>
      <c r="L49" s="89">
        <f t="shared" si="2"/>
        <v>0</v>
      </c>
      <c r="M49" s="91">
        <f t="shared" si="3"/>
        <v>0</v>
      </c>
    </row>
    <row r="50" spans="1:13" x14ac:dyDescent="0.25">
      <c r="A50" s="86" t="str">
        <f>IF($B50="","",IFERROR(INDEX(Мижозлар[Агент],MATCH($B50,Мижозлар[Расмий ном],0)),""))</f>
        <v>Темур</v>
      </c>
      <c r="B50" s="86" t="str" cm="1">
        <f t="array" ref="B50">IFERROR(INDEX(_xlfn._xlws.FILTER(Кўрсаткичлар!$A$11:$A$200,Кўрсаткичлар!$A$11:$A$200&lt;&gt;""),ROW()-4),"")</f>
        <v>Сухроб 00-00</v>
      </c>
      <c r="C50" s="87">
        <f>IF($B50="","",SUMIF(Товар!$D:$D,$B50,Товар!$T:$T))</f>
        <v>63717120</v>
      </c>
      <c r="D50" s="87">
        <f>IF($B50="","",SUMIF(Тўловлар[Клиент],$B50,Тўловлар[Товарга]))</f>
        <v>62590000</v>
      </c>
      <c r="E50" s="88">
        <f t="shared" si="0"/>
        <v>-1127120</v>
      </c>
      <c r="F50" s="87">
        <f>IF($B50="","",SUMIF(Товар!$D:$D,$B50,Товар!$K:$K))</f>
        <v>57</v>
      </c>
      <c r="G50" s="87">
        <f>IF($B50="","",SUMIF(ПоддонҚайтариш[Клиент],$B50,ПоддонҚайтариш[Поддон дона]))</f>
        <v>0</v>
      </c>
      <c r="H50" s="87">
        <f>IF($B50="","",SUMIF(Тўловлар[Клиент],$B50,Тўловлар[Поддон]))</f>
        <v>57</v>
      </c>
      <c r="I50" s="87">
        <f>IF($B50="","",SUMIF(Тўловлар[Клиент],$B50,Тўловлар[Поддон пули]))</f>
        <v>7410000</v>
      </c>
      <c r="J50" s="89">
        <f t="shared" si="1"/>
        <v>0</v>
      </c>
      <c r="K50" s="90" cm="1">
        <f t="array" ref="K50">IF($B50="","",IFERROR(LOOKUP(2,1/(Таблица1[Клиент]=$B50),INDEX(Таблица1[],0,12)),Кўрсаткичлар!$B$4))</f>
        <v>130000</v>
      </c>
      <c r="L50" s="89">
        <f t="shared" si="2"/>
        <v>0</v>
      </c>
      <c r="M50" s="91">
        <f t="shared" si="3"/>
        <v>-1127120</v>
      </c>
    </row>
    <row r="51" spans="1:13" x14ac:dyDescent="0.25">
      <c r="A51" s="86" t="str">
        <f>IF($B51="","",IFERROR(INDEX(Мижозлар[Агент],MATCH($B51,Мижозлар[Расмий ном],0)),""))</f>
        <v>Шохрух ога</v>
      </c>
      <c r="B51" s="86" t="str" cm="1">
        <f t="array" ref="B51">IFERROR(INDEX(_xlfn._xlws.FILTER(Кўрсаткичлар!$A$11:$A$200,Кўрсаткичлар!$A$11:$A$200&lt;&gt;""),ROW()-4),"")</f>
        <v>Фаррух 85-88</v>
      </c>
      <c r="C51" s="87">
        <f>IF($B51="","",SUMIF(Товар!$D:$D,$B51,Товар!$T:$T))</f>
        <v>62517120</v>
      </c>
      <c r="D51" s="87">
        <f>IF($B51="","",SUMIF(Тўловлар[Клиент],$B51,Тўловлар[Товарга]))</f>
        <v>0</v>
      </c>
      <c r="E51" s="88">
        <f t="shared" si="0"/>
        <v>-62517120</v>
      </c>
      <c r="F51" s="87">
        <f>IF($B51="","",SUMIF(Товар!$D:$D,$B51,Товар!$K:$K))</f>
        <v>57</v>
      </c>
      <c r="G51" s="87">
        <f>IF($B51="","",SUMIF(ПоддонҚайтариш[Клиент],$B51,ПоддонҚайтариш[Поддон дона]))</f>
        <v>0</v>
      </c>
      <c r="H51" s="87">
        <f>IF($B51="","",SUMIF(Тўловлар[Клиент],$B51,Тўловлар[Поддон]))</f>
        <v>0</v>
      </c>
      <c r="I51" s="87">
        <f>IF($B51="","",SUMIF(Тўловлар[Клиент],$B51,Тўловлар[Поддон пули]))</f>
        <v>0</v>
      </c>
      <c r="J51" s="89">
        <f t="shared" si="1"/>
        <v>-57</v>
      </c>
      <c r="K51" s="90" cm="1">
        <f t="array" ref="K51">IF($B51="","",IFERROR(LOOKUP(2,1/(Таблица1[Клиент]=$B51),INDEX(Таблица1[],0,12)),Кўрсаткичлар!$B$4))</f>
        <v>130000</v>
      </c>
      <c r="L51" s="89">
        <f t="shared" si="2"/>
        <v>-7410000</v>
      </c>
      <c r="M51" s="91">
        <f t="shared" si="3"/>
        <v>-69927120</v>
      </c>
    </row>
    <row r="52" spans="1:13" x14ac:dyDescent="0.25">
      <c r="A52" s="86" t="str">
        <f>IF($B52="","",IFERROR(INDEX(Мижозлар[Агент],MATCH($B52,Мижозлар[Расмий ном],0)),""))</f>
        <v>Шохрух ога</v>
      </c>
      <c r="B52" s="86" t="str" cm="1">
        <f t="array" ref="B52">IFERROR(INDEX(_xlfn._xlws.FILTER(Кўрсаткичлар!$A$11:$A$200,Кўрсаткичлар!$A$11:$A$200&lt;&gt;""),ROW()-4),"")</f>
        <v>Бобур чакка</v>
      </c>
      <c r="C52" s="87">
        <f>IF($B52="","",SUMIF(Товар!$D:$D,$B52,Товар!$T:$T))</f>
        <v>20839040</v>
      </c>
      <c r="D52" s="87">
        <f>IF($B52="","",SUMIF(Тўловлар[Клиент],$B52,Тўловлар[Товарга]))</f>
        <v>22637200</v>
      </c>
      <c r="E52" s="88">
        <f t="shared" si="0"/>
        <v>1798160</v>
      </c>
      <c r="F52" s="87">
        <f>IF($B52="","",SUMIF(Товар!$D:$D,$B52,Товар!$K:$K))</f>
        <v>19</v>
      </c>
      <c r="G52" s="87">
        <f>IF($B52="","",SUMIF(ПоддонҚайтариш[Клиент],$B52,ПоддонҚайтариш[Поддон дона]))</f>
        <v>0</v>
      </c>
      <c r="H52" s="87">
        <f>IF($B52="","",SUMIF(Тўловлар[Клиент],$B52,Тўловлар[Поддон]))</f>
        <v>19</v>
      </c>
      <c r="I52" s="87">
        <f>IF($B52="","",SUMIF(Тўловлар[Клиент],$B52,Тўловлар[Поддон пули]))</f>
        <v>2470000</v>
      </c>
      <c r="J52" s="89">
        <f t="shared" si="1"/>
        <v>0</v>
      </c>
      <c r="K52" s="90" cm="1">
        <f t="array" ref="K52">IF($B52="","",IFERROR(LOOKUP(2,1/(Таблица1[Клиент]=$B52),INDEX(Таблица1[],0,12)),Кўрсаткичлар!$B$4))</f>
        <v>130000</v>
      </c>
      <c r="L52" s="89">
        <f t="shared" si="2"/>
        <v>0</v>
      </c>
      <c r="M52" s="91">
        <f t="shared" si="3"/>
        <v>1798160</v>
      </c>
    </row>
    <row r="53" spans="1:13" x14ac:dyDescent="0.25">
      <c r="A53" s="86" t="str">
        <f>IF($B53="","",IFERROR(INDEX(Мижозлар[Агент],MATCH($B53,Мижозлар[Расмий ном],0)),""))</f>
        <v/>
      </c>
      <c r="B53" s="86" t="str" cm="1">
        <f t="array" ref="B53">IFERROR(INDEX(_xlfn._xlws.FILTER(Кўрсаткичлар!$A$11:$A$200,Кўрсаткичлар!$A$11:$A$200&lt;&gt;""),ROW()-4),"")</f>
        <v/>
      </c>
      <c r="C53" s="87" t="str">
        <f>IF($B53="","",SUMIF(Товар!$D:$D,$B53,Товар!$T:$T))</f>
        <v/>
      </c>
      <c r="D53" s="87" t="str">
        <f>IF($B53="","",SUMIF(Тўловлар[Клиент],$B53,Тўловлар[Товарга]))</f>
        <v/>
      </c>
      <c r="E53" s="88" t="str">
        <f t="shared" ref="E53:E60" si="4">IF($B53="","",D53-C53)</f>
        <v/>
      </c>
      <c r="F53" s="87" t="str">
        <f>IF($B53="","",SUMIF(Товар!$D:$D,$B53,Товар!$K:$K))</f>
        <v/>
      </c>
      <c r="G53" s="87" t="str">
        <f>IF($B53="","",SUMIF(ПоддонҚайтариш[Клиент],$B53,ПоддонҚайтариш[Поддон дона]))</f>
        <v/>
      </c>
      <c r="H53" s="87" t="str">
        <f>IF($B53="","",SUMIF(Тўловлар[Клиент],$B53,Тўловлар[Поддон]))</f>
        <v/>
      </c>
      <c r="I53" s="87" t="str">
        <f>IF($B53="","",SUMIF(Тўловлар[Клиент],$B53,Тўловлар[Поддон пули]))</f>
        <v/>
      </c>
      <c r="J53" s="89" t="str">
        <f t="shared" ref="J53:J60" si="5">IF($B53="","",G53+H53-F53)</f>
        <v/>
      </c>
      <c r="K53" s="90" t="str" cm="1">
        <f t="array" ref="K53">IF($B53="","",IFERROR(LOOKUP(2,1/(Таблица1[Клиент]=$B53),INDEX(Таблица1[],0,12)),Кўрсаткичлар!$B$4))</f>
        <v/>
      </c>
      <c r="L53" s="89" t="str">
        <f t="shared" ref="L53:L60" si="6">IF($B53="","",J53*K53)</f>
        <v/>
      </c>
      <c r="M53" s="91" t="str">
        <f t="shared" ref="M53:M60" si="7">IF($B53="","",E53+L53)</f>
        <v/>
      </c>
    </row>
    <row r="54" spans="1:13" x14ac:dyDescent="0.25">
      <c r="A54" s="86" t="str">
        <f>IF($B54="","",IFERROR(INDEX(Мижозлар[Агент],MATCH($B54,Мижозлар[Расмий ном],0)),""))</f>
        <v/>
      </c>
      <c r="B54" s="86" t="str" cm="1">
        <f t="array" ref="B54">IFERROR(INDEX(_xlfn._xlws.FILTER(Кўрсаткичлар!$A$11:$A$200,Кўрсаткичлар!$A$11:$A$200&lt;&gt;""),ROW()-4),"")</f>
        <v/>
      </c>
      <c r="C54" s="87" t="str">
        <f>IF($B54="","",SUMIF(Товар!$D:$D,$B54,Товар!$T:$T))</f>
        <v/>
      </c>
      <c r="D54" s="87" t="str">
        <f>IF($B54="","",SUMIF(Тўловлар[Клиент],$B54,Тўловлар[Товарга]))</f>
        <v/>
      </c>
      <c r="E54" s="88" t="str">
        <f t="shared" si="4"/>
        <v/>
      </c>
      <c r="F54" s="87" t="str">
        <f>IF($B54="","",SUMIF(Товар!$D:$D,$B54,Товар!$K:$K))</f>
        <v/>
      </c>
      <c r="G54" s="87" t="str">
        <f>IF($B54="","",SUMIF(ПоддонҚайтариш[Клиент],$B54,ПоддонҚайтариш[Поддон дона]))</f>
        <v/>
      </c>
      <c r="H54" s="87" t="str">
        <f>IF($B54="","",SUMIF(Тўловлар[Клиент],$B54,Тўловлар[Поддон]))</f>
        <v/>
      </c>
      <c r="I54" s="87" t="str">
        <f>IF($B54="","",SUMIF(Тўловлар[Клиент],$B54,Тўловлар[Поддон пули]))</f>
        <v/>
      </c>
      <c r="J54" s="89" t="str">
        <f t="shared" si="5"/>
        <v/>
      </c>
      <c r="K54" s="90" t="str" cm="1">
        <f t="array" ref="K54">IF($B54="","",IFERROR(LOOKUP(2,1/(Таблица1[Клиент]=$B54),INDEX(Таблица1[],0,12)),Кўрсаткичлар!$B$4))</f>
        <v/>
      </c>
      <c r="L54" s="89" t="str">
        <f t="shared" si="6"/>
        <v/>
      </c>
      <c r="M54" s="91" t="str">
        <f t="shared" si="7"/>
        <v/>
      </c>
    </row>
    <row r="55" spans="1:13" x14ac:dyDescent="0.25">
      <c r="A55" s="86" t="str">
        <f>IF($B55="","",IFERROR(INDEX(Мижозлар[Агент],MATCH($B55,Мижозлар[Расмий ном],0)),""))</f>
        <v/>
      </c>
      <c r="B55" s="86" t="str" cm="1">
        <f t="array" ref="B55">IFERROR(INDEX(_xlfn._xlws.FILTER(Кўрсаткичлар!$A$11:$A$200,Кўрсаткичлар!$A$11:$A$200&lt;&gt;""),ROW()-4),"")</f>
        <v/>
      </c>
      <c r="C55" s="87" t="str">
        <f>IF($B55="","",SUMIF(Товар!$D:$D,$B55,Товар!$T:$T))</f>
        <v/>
      </c>
      <c r="D55" s="87" t="str">
        <f>IF($B55="","",SUMIF(Тўловлар[Клиент],$B55,Тўловлар[Товарга]))</f>
        <v/>
      </c>
      <c r="E55" s="88" t="str">
        <f t="shared" si="4"/>
        <v/>
      </c>
      <c r="F55" s="87" t="str">
        <f>IF($B55="","",SUMIF(Товар!$D:$D,$B55,Товар!$K:$K))</f>
        <v/>
      </c>
      <c r="G55" s="87" t="str">
        <f>IF($B55="","",SUMIF(ПоддонҚайтариш[Клиент],$B55,ПоддонҚайтариш[Поддон дона]))</f>
        <v/>
      </c>
      <c r="H55" s="87" t="str">
        <f>IF($B55="","",SUMIF(Тўловлар[Клиент],$B55,Тўловлар[Поддон]))</f>
        <v/>
      </c>
      <c r="I55" s="87" t="str">
        <f>IF($B55="","",SUMIF(Тўловлар[Клиент],$B55,Тўловлар[Поддон пули]))</f>
        <v/>
      </c>
      <c r="J55" s="89" t="str">
        <f t="shared" si="5"/>
        <v/>
      </c>
      <c r="K55" s="90" t="str" cm="1">
        <f t="array" ref="K55">IF($B55="","",IFERROR(LOOKUP(2,1/(Таблица1[Клиент]=$B55),INDEX(Таблица1[],0,12)),Кўрсаткичлар!$B$4))</f>
        <v/>
      </c>
      <c r="L55" s="89" t="str">
        <f t="shared" si="6"/>
        <v/>
      </c>
      <c r="M55" s="91" t="str">
        <f t="shared" si="7"/>
        <v/>
      </c>
    </row>
    <row r="56" spans="1:13" x14ac:dyDescent="0.25">
      <c r="A56" s="86" t="str">
        <f>IF($B56="","",IFERROR(INDEX(Мижозлар[Агент],MATCH($B56,Мижозлар[Расмий ном],0)),""))</f>
        <v/>
      </c>
      <c r="B56" s="86" t="str" cm="1">
        <f t="array" ref="B56">IFERROR(INDEX(_xlfn._xlws.FILTER(Кўрсаткичлар!$A$11:$A$200,Кўрсаткичлар!$A$11:$A$200&lt;&gt;""),ROW()-4),"")</f>
        <v/>
      </c>
      <c r="C56" s="87" t="str">
        <f>IF($B56="","",SUMIF(Товар!$D:$D,$B56,Товар!$T:$T))</f>
        <v/>
      </c>
      <c r="D56" s="87" t="str">
        <f>IF($B56="","",SUMIF(Тўловлар[Клиент],$B56,Тўловлар[Товарга]))</f>
        <v/>
      </c>
      <c r="E56" s="88" t="str">
        <f t="shared" si="4"/>
        <v/>
      </c>
      <c r="F56" s="87" t="str">
        <f>IF($B56="","",SUMIF(Товар!$D:$D,$B56,Товар!$K:$K))</f>
        <v/>
      </c>
      <c r="G56" s="87" t="str">
        <f>IF($B56="","",SUMIF(ПоддонҚайтариш[Клиент],$B56,ПоддонҚайтариш[Поддон дона]))</f>
        <v/>
      </c>
      <c r="H56" s="87" t="str">
        <f>IF($B56="","",SUMIF(Тўловлар[Клиент],$B56,Тўловлар[Поддон]))</f>
        <v/>
      </c>
      <c r="I56" s="87" t="str">
        <f>IF($B56="","",SUMIF(Тўловлар[Клиент],$B56,Тўловлар[Поддон пули]))</f>
        <v/>
      </c>
      <c r="J56" s="89" t="str">
        <f t="shared" si="5"/>
        <v/>
      </c>
      <c r="K56" s="90" t="str" cm="1">
        <f t="array" ref="K56">IF($B56="","",IFERROR(LOOKUP(2,1/(Таблица1[Клиент]=$B56),INDEX(Таблица1[],0,12)),Кўрсаткичлар!$B$4))</f>
        <v/>
      </c>
      <c r="L56" s="89" t="str">
        <f t="shared" si="6"/>
        <v/>
      </c>
      <c r="M56" s="91" t="str">
        <f t="shared" si="7"/>
        <v/>
      </c>
    </row>
    <row r="57" spans="1:13" x14ac:dyDescent="0.25">
      <c r="A57" s="86" t="str">
        <f>IF($B57="","",IFERROR(INDEX(Мижозлар[Агент],MATCH($B57,Мижозлар[Расмий ном],0)),""))</f>
        <v/>
      </c>
      <c r="B57" s="86" t="str" cm="1">
        <f t="array" ref="B57">IFERROR(INDEX(_xlfn._xlws.FILTER(Кўрсаткичлар!$A$11:$A$200,Кўрсаткичлар!$A$11:$A$200&lt;&gt;""),ROW()-4),"")</f>
        <v/>
      </c>
      <c r="C57" s="87" t="str">
        <f>IF($B57="","",SUMIF(Товар!$D:$D,$B57,Товар!$T:$T))</f>
        <v/>
      </c>
      <c r="D57" s="87" t="str">
        <f>IF($B57="","",SUMIF(Тўловлар[Клиент],$B57,Тўловлар[Товарга]))</f>
        <v/>
      </c>
      <c r="E57" s="88" t="str">
        <f t="shared" si="4"/>
        <v/>
      </c>
      <c r="F57" s="87" t="str">
        <f>IF($B57="","",SUMIF(Товар!$D:$D,$B57,Товар!$K:$K))</f>
        <v/>
      </c>
      <c r="G57" s="87" t="str">
        <f>IF($B57="","",SUMIF(ПоддонҚайтариш[Клиент],$B57,ПоддонҚайтариш[Поддон дона]))</f>
        <v/>
      </c>
      <c r="H57" s="87" t="str">
        <f>IF($B57="","",SUMIF(Тўловлар[Клиент],$B57,Тўловлар[Поддон]))</f>
        <v/>
      </c>
      <c r="I57" s="87" t="str">
        <f>IF($B57="","",SUMIF(Тўловлар[Клиент],$B57,Тўловлар[Поддон пули]))</f>
        <v/>
      </c>
      <c r="J57" s="89" t="str">
        <f t="shared" si="5"/>
        <v/>
      </c>
      <c r="K57" s="90" t="str" cm="1">
        <f t="array" ref="K57">IF($B57="","",IFERROR(LOOKUP(2,1/(Таблица1[Клиент]=$B57),INDEX(Таблица1[],0,12)),Кўрсаткичлар!$B$4))</f>
        <v/>
      </c>
      <c r="L57" s="89" t="str">
        <f t="shared" si="6"/>
        <v/>
      </c>
      <c r="M57" s="91" t="str">
        <f t="shared" si="7"/>
        <v/>
      </c>
    </row>
    <row r="58" spans="1:13" x14ac:dyDescent="0.25">
      <c r="A58" s="86" t="str">
        <f>IF($B58="","",IFERROR(INDEX(Мижозлар[Агент],MATCH($B58,Мижозлар[Расмий ном],0)),""))</f>
        <v/>
      </c>
      <c r="B58" s="86" t="str" cm="1">
        <f t="array" ref="B58">IFERROR(INDEX(_xlfn._xlws.FILTER(Кўрсаткичлар!$A$11:$A$200,Кўрсаткичлар!$A$11:$A$200&lt;&gt;""),ROW()-4),"")</f>
        <v/>
      </c>
      <c r="C58" s="87" t="str">
        <f>IF($B58="","",SUMIF(Товар!$D:$D,$B58,Товар!$T:$T))</f>
        <v/>
      </c>
      <c r="D58" s="87" t="str">
        <f>IF($B58="","",SUMIF(Тўловлар[Клиент],$B58,Тўловлар[Товарга]))</f>
        <v/>
      </c>
      <c r="E58" s="88" t="str">
        <f t="shared" si="4"/>
        <v/>
      </c>
      <c r="F58" s="87" t="str">
        <f>IF($B58="","",SUMIF(Товар!$D:$D,$B58,Товар!$K:$K))</f>
        <v/>
      </c>
      <c r="G58" s="87" t="str">
        <f>IF($B58="","",SUMIF(ПоддонҚайтариш[Клиент],$B58,ПоддонҚайтариш[Поддон дона]))</f>
        <v/>
      </c>
      <c r="H58" s="87" t="str">
        <f>IF($B58="","",SUMIF(Тўловлар[Клиент],$B58,Тўловлар[Поддон]))</f>
        <v/>
      </c>
      <c r="I58" s="87" t="str">
        <f>IF($B58="","",SUMIF(Тўловлар[Клиент],$B58,Тўловлар[Поддон пули]))</f>
        <v/>
      </c>
      <c r="J58" s="89" t="str">
        <f t="shared" si="5"/>
        <v/>
      </c>
      <c r="K58" s="90" t="str" cm="1">
        <f t="array" ref="K58">IF($B58="","",IFERROR(LOOKUP(2,1/(Таблица1[Клиент]=$B58),INDEX(Таблица1[],0,12)),Кўрсаткичлар!$B$4))</f>
        <v/>
      </c>
      <c r="L58" s="89" t="str">
        <f t="shared" si="6"/>
        <v/>
      </c>
      <c r="M58" s="91" t="str">
        <f t="shared" si="7"/>
        <v/>
      </c>
    </row>
    <row r="59" spans="1:13" x14ac:dyDescent="0.25">
      <c r="A59" s="86" t="str">
        <f>IF($B59="","",IFERROR(INDEX(Мижозлар[Агент],MATCH($B59,Мижозлар[Расмий ном],0)),""))</f>
        <v/>
      </c>
      <c r="B59" s="86" t="str" cm="1">
        <f t="array" ref="B59">IFERROR(INDEX(_xlfn._xlws.FILTER(Кўрсаткичлар!$A$11:$A$200,Кўрсаткичлар!$A$11:$A$200&lt;&gt;""),ROW()-4),"")</f>
        <v/>
      </c>
      <c r="C59" s="87" t="str">
        <f>IF($B59="","",SUMIF(Товар!$D:$D,$B59,Товар!$T:$T))</f>
        <v/>
      </c>
      <c r="D59" s="87" t="str">
        <f>IF($B59="","",SUMIF(Тўловлар[Клиент],$B59,Тўловлар[Товарга]))</f>
        <v/>
      </c>
      <c r="E59" s="88" t="str">
        <f t="shared" si="4"/>
        <v/>
      </c>
      <c r="F59" s="87" t="str">
        <f>IF($B59="","",SUMIF(Товар!$D:$D,$B59,Товар!$K:$K))</f>
        <v/>
      </c>
      <c r="G59" s="87" t="str">
        <f>IF($B59="","",SUMIF(ПоддонҚайтариш[Клиент],$B59,ПоддонҚайтариш[Поддон дона]))</f>
        <v/>
      </c>
      <c r="H59" s="87" t="str">
        <f>IF($B59="","",SUMIF(Тўловлар[Клиент],$B59,Тўловлар[Поддон]))</f>
        <v/>
      </c>
      <c r="I59" s="87" t="str">
        <f>IF($B59="","",SUMIF(Тўловлар[Клиент],$B59,Тўловлар[Поддон пули]))</f>
        <v/>
      </c>
      <c r="J59" s="89" t="str">
        <f t="shared" si="5"/>
        <v/>
      </c>
      <c r="K59" s="90" t="str" cm="1">
        <f t="array" ref="K59">IF($B59="","",IFERROR(LOOKUP(2,1/(Таблица1[Клиент]=$B59),INDEX(Таблица1[],0,12)),Кўрсаткичлар!$B$4))</f>
        <v/>
      </c>
      <c r="L59" s="89" t="str">
        <f t="shared" si="6"/>
        <v/>
      </c>
      <c r="M59" s="91" t="str">
        <f t="shared" si="7"/>
        <v/>
      </c>
    </row>
    <row r="60" spans="1:13" x14ac:dyDescent="0.25">
      <c r="A60" s="86" t="str">
        <f>IF($B60="","",IFERROR(INDEX(Мижозлар[Агент],MATCH($B60,Мижозлар[Расмий ном],0)),""))</f>
        <v/>
      </c>
      <c r="B60" s="86" t="str" cm="1">
        <f t="array" ref="B60">IFERROR(INDEX(_xlfn._xlws.FILTER(Кўрсаткичлар!$A$11:$A$200,Кўрсаткичлар!$A$11:$A$200&lt;&gt;""),ROW()-4),"")</f>
        <v/>
      </c>
      <c r="C60" s="87" t="str">
        <f>IF($B60="","",SUMIF(Товар!$D:$D,$B60,Товар!$T:$T))</f>
        <v/>
      </c>
      <c r="D60" s="87" t="str">
        <f>IF($B60="","",SUMIF(Тўловлар[Клиент],$B60,Тўловлар[Товарга]))</f>
        <v/>
      </c>
      <c r="E60" s="88" t="str">
        <f t="shared" si="4"/>
        <v/>
      </c>
      <c r="F60" s="87" t="str">
        <f>IF($B60="","",SUMIF(Товар!$D:$D,$B60,Товар!$K:$K))</f>
        <v/>
      </c>
      <c r="G60" s="87" t="str">
        <f>IF($B60="","",SUMIF(ПоддонҚайтариш[Клиент],$B60,ПоддонҚайтариш[Поддон дона]))</f>
        <v/>
      </c>
      <c r="H60" s="87" t="str">
        <f>IF($B60="","",SUMIF(Тўловлар[Клиент],$B60,Тўловлар[Поддон]))</f>
        <v/>
      </c>
      <c r="I60" s="87" t="str">
        <f>IF($B60="","",SUMIF(Тўловлар[Клиент],$B60,Тўловлар[Поддон пули]))</f>
        <v/>
      </c>
      <c r="J60" s="89" t="str">
        <f t="shared" si="5"/>
        <v/>
      </c>
      <c r="K60" s="90" t="str" cm="1">
        <f t="array" ref="K60">IF($B60="","",IFERROR(LOOKUP(2,1/(Таблица1[Клиент]=$B60),INDEX(Таблица1[],0,12)),Кўрсаткичлар!$B$4))</f>
        <v/>
      </c>
      <c r="L60" s="89" t="str">
        <f t="shared" si="6"/>
        <v/>
      </c>
      <c r="M60" s="91" t="str">
        <f t="shared" si="7"/>
        <v/>
      </c>
    </row>
    <row r="61" spans="1:13" x14ac:dyDescent="0.25">
      <c r="A61" s="75"/>
      <c r="B61" s="76" t="s">
        <v>138</v>
      </c>
      <c r="C61" s="77">
        <f t="shared" ref="C61:J61" si="8">SUBTOTAL(9,C4:C60)</f>
        <v>8375011039.9420681</v>
      </c>
      <c r="D61" s="77">
        <f t="shared" si="8"/>
        <v>7532732040</v>
      </c>
      <c r="E61" s="78">
        <f t="shared" si="8"/>
        <v>-842278999.94206715</v>
      </c>
      <c r="F61" s="77">
        <f t="shared" si="8"/>
        <v>7392</v>
      </c>
      <c r="G61" s="77">
        <f t="shared" si="8"/>
        <v>4036</v>
      </c>
      <c r="H61" s="77">
        <f t="shared" si="8"/>
        <v>2853</v>
      </c>
      <c r="I61" s="77">
        <f t="shared" si="8"/>
        <v>370890000</v>
      </c>
      <c r="J61" s="79">
        <f t="shared" si="8"/>
        <v>-503</v>
      </c>
      <c r="K61" s="80"/>
      <c r="L61" s="79">
        <f>SUBTOTAL(9,L4:L60)</f>
        <v>-65390000</v>
      </c>
      <c r="M61" s="81">
        <f>SUBTOTAL(9,M4:M60)</f>
        <v>-907668999.94206715</v>
      </c>
    </row>
  </sheetData>
  <autoFilter ref="A4:M60" xr:uid="{317E52E1-C829-4342-B391-345993C8C547}">
    <sortState xmlns:xlrd2="http://schemas.microsoft.com/office/spreadsheetml/2017/richdata2" ref="A5:M52">
      <sortCondition ref="A4:A60"/>
    </sortState>
  </autoFilter>
  <mergeCells count="2">
    <mergeCell ref="A1:M1"/>
    <mergeCell ref="C2:M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3E98F-DF65-4C94-AD75-8636E0FB9326}">
  <dimension ref="A1:J40"/>
  <sheetViews>
    <sheetView workbookViewId="0">
      <selection sqref="A1:J1"/>
    </sheetView>
  </sheetViews>
  <sheetFormatPr defaultRowHeight="15" x14ac:dyDescent="0.25"/>
  <cols>
    <col min="1" max="1" width="32.42578125" customWidth="1"/>
    <col min="2" max="2" width="26.7109375" customWidth="1"/>
    <col min="4" max="4" width="26.7109375" customWidth="1"/>
    <col min="5" max="5" width="21" customWidth="1"/>
    <col min="7" max="7" width="72.42578125" customWidth="1"/>
  </cols>
  <sheetData>
    <row r="1" spans="1:10" ht="18.75" x14ac:dyDescent="0.3">
      <c r="A1" s="334" t="s">
        <v>160</v>
      </c>
      <c r="B1" s="334"/>
      <c r="C1" s="334"/>
      <c r="D1" s="334"/>
      <c r="E1" s="334"/>
      <c r="F1" s="334"/>
      <c r="G1" s="334"/>
      <c r="H1" s="334"/>
      <c r="I1" s="334"/>
      <c r="J1" s="334"/>
    </row>
    <row r="3" spans="1:10" ht="15.75" x14ac:dyDescent="0.25">
      <c r="A3" s="335" t="s">
        <v>161</v>
      </c>
      <c r="B3" s="335"/>
      <c r="D3" s="335" t="s">
        <v>162</v>
      </c>
      <c r="E3" s="335"/>
      <c r="G3" s="336" t="s">
        <v>163</v>
      </c>
      <c r="H3" s="336"/>
      <c r="I3" s="336"/>
      <c r="J3" s="336"/>
    </row>
    <row r="4" spans="1:10" ht="15.75" x14ac:dyDescent="0.25">
      <c r="A4" s="173" t="s">
        <v>164</v>
      </c>
      <c r="B4" s="63" t="s">
        <v>165</v>
      </c>
      <c r="D4" s="173" t="s">
        <v>164</v>
      </c>
      <c r="E4" s="63" t="s">
        <v>166</v>
      </c>
      <c r="G4" t="s">
        <v>167</v>
      </c>
    </row>
    <row r="5" spans="1:10" x14ac:dyDescent="0.25">
      <c r="A5" s="174" t="s">
        <v>168</v>
      </c>
      <c r="B5" s="174">
        <f>IFERROR(ROWS(_xlfn.ANCHORARRAY(A6)),0)</f>
        <v>2</v>
      </c>
      <c r="D5" s="174" t="s">
        <v>168</v>
      </c>
      <c r="E5" s="174">
        <f>IFERROR(ROWS(_xlfn.ANCHORARRAY(D6)),0)</f>
        <v>4</v>
      </c>
      <c r="G5" t="s">
        <v>169</v>
      </c>
    </row>
    <row r="6" spans="1:10" x14ac:dyDescent="0.25">
      <c r="A6" s="175" t="str" cm="1">
        <f t="array" ref="A6:A7">IFERROR(_xlfn._xlws.SORT(_xlfn._xlws.FILTER(МижозРўйхати,ISNUMBER(SEARCH($B$4,МижозРўйхати)))),"— топилмади —")</f>
        <v>Нахт клиент-А</v>
      </c>
      <c r="D6" s="175" t="str" cm="1">
        <f t="array" ref="D6:D9">IFERROR(_xlfn._xlws.SORT(_xlfn._xlws.FILTER(АгентРўйхати,ISNUMBER(SEARCH($E$4,АгентРўйхати)))),"— топилмади —")</f>
        <v>Арслон ога</v>
      </c>
      <c r="G6" t="s">
        <v>170</v>
      </c>
    </row>
    <row r="7" spans="1:10" x14ac:dyDescent="0.25">
      <c r="A7" s="175" t="str">
        <v>Нахт клиент-С</v>
      </c>
      <c r="D7" s="175" t="str">
        <v>Зафар ога</v>
      </c>
    </row>
    <row r="8" spans="1:10" x14ac:dyDescent="0.25">
      <c r="A8" s="175"/>
      <c r="D8" s="175" t="str">
        <v>Сардор ога</v>
      </c>
      <c r="G8" s="174" t="s">
        <v>171</v>
      </c>
    </row>
    <row r="9" spans="1:10" x14ac:dyDescent="0.25">
      <c r="A9" s="175"/>
      <c r="D9" s="175" t="str">
        <v>Шохрух ога</v>
      </c>
      <c r="G9" s="174" t="s">
        <v>172</v>
      </c>
    </row>
    <row r="10" spans="1:10" x14ac:dyDescent="0.25">
      <c r="A10" s="175"/>
      <c r="D10" s="175"/>
    </row>
    <row r="11" spans="1:10" x14ac:dyDescent="0.25">
      <c r="A11" s="175"/>
      <c r="D11" s="175"/>
    </row>
    <row r="12" spans="1:10" x14ac:dyDescent="0.25">
      <c r="A12" s="175"/>
      <c r="D12" s="175"/>
    </row>
    <row r="13" spans="1:10" x14ac:dyDescent="0.25">
      <c r="A13" s="175"/>
      <c r="D13" s="175"/>
    </row>
    <row r="14" spans="1:10" x14ac:dyDescent="0.25">
      <c r="A14" s="175"/>
      <c r="D14" s="175"/>
    </row>
    <row r="15" spans="1:10" x14ac:dyDescent="0.25">
      <c r="A15" s="175"/>
      <c r="D15" s="175"/>
    </row>
    <row r="16" spans="1:10" x14ac:dyDescent="0.25">
      <c r="A16" s="175"/>
      <c r="D16" s="175"/>
    </row>
    <row r="17" spans="1:4" x14ac:dyDescent="0.25">
      <c r="A17" s="175"/>
      <c r="D17" s="175"/>
    </row>
    <row r="18" spans="1:4" x14ac:dyDescent="0.25">
      <c r="A18" s="175"/>
      <c r="D18" s="175"/>
    </row>
    <row r="19" spans="1:4" x14ac:dyDescent="0.25">
      <c r="A19" s="175"/>
      <c r="D19" s="175"/>
    </row>
    <row r="20" spans="1:4" x14ac:dyDescent="0.25">
      <c r="A20" s="175"/>
      <c r="D20" s="175"/>
    </row>
    <row r="21" spans="1:4" x14ac:dyDescent="0.25">
      <c r="A21" s="175"/>
      <c r="D21" s="175"/>
    </row>
    <row r="22" spans="1:4" x14ac:dyDescent="0.25">
      <c r="A22" s="175"/>
      <c r="D22" s="175"/>
    </row>
    <row r="23" spans="1:4" x14ac:dyDescent="0.25">
      <c r="A23" s="175"/>
      <c r="D23" s="175"/>
    </row>
    <row r="24" spans="1:4" x14ac:dyDescent="0.25">
      <c r="A24" s="175"/>
      <c r="D24" s="175"/>
    </row>
    <row r="25" spans="1:4" x14ac:dyDescent="0.25">
      <c r="A25" s="175"/>
      <c r="D25" s="175"/>
    </row>
    <row r="26" spans="1:4" x14ac:dyDescent="0.25">
      <c r="A26" s="175"/>
      <c r="D26" s="175"/>
    </row>
    <row r="27" spans="1:4" x14ac:dyDescent="0.25">
      <c r="A27" s="175"/>
      <c r="D27" s="175"/>
    </row>
    <row r="28" spans="1:4" x14ac:dyDescent="0.25">
      <c r="A28" s="175"/>
      <c r="D28" s="175"/>
    </row>
    <row r="29" spans="1:4" x14ac:dyDescent="0.25">
      <c r="A29" s="175"/>
      <c r="D29" s="175"/>
    </row>
    <row r="30" spans="1:4" x14ac:dyDescent="0.25">
      <c r="A30" s="175"/>
      <c r="D30" s="175"/>
    </row>
    <row r="31" spans="1:4" x14ac:dyDescent="0.25">
      <c r="A31" s="175"/>
      <c r="D31" s="175"/>
    </row>
    <row r="32" spans="1:4" x14ac:dyDescent="0.25">
      <c r="A32" s="175"/>
      <c r="D32" s="175"/>
    </row>
    <row r="33" spans="1:4" x14ac:dyDescent="0.25">
      <c r="A33" s="175"/>
      <c r="D33" s="175"/>
    </row>
    <row r="34" spans="1:4" x14ac:dyDescent="0.25">
      <c r="A34" s="175"/>
      <c r="D34" s="175"/>
    </row>
    <row r="35" spans="1:4" x14ac:dyDescent="0.25">
      <c r="A35" s="175"/>
      <c r="D35" s="175"/>
    </row>
    <row r="36" spans="1:4" x14ac:dyDescent="0.25">
      <c r="A36" s="175"/>
      <c r="D36" s="175"/>
    </row>
    <row r="37" spans="1:4" x14ac:dyDescent="0.25">
      <c r="A37" s="175"/>
      <c r="D37" s="175"/>
    </row>
    <row r="38" spans="1:4" x14ac:dyDescent="0.25">
      <c r="A38" s="175"/>
      <c r="D38" s="175"/>
    </row>
    <row r="39" spans="1:4" x14ac:dyDescent="0.25">
      <c r="A39" s="175"/>
      <c r="D39" s="175"/>
    </row>
    <row r="40" spans="1:4" x14ac:dyDescent="0.25">
      <c r="A40" s="175"/>
      <c r="D40" s="175"/>
    </row>
  </sheetData>
  <mergeCells count="4">
    <mergeCell ref="A1:J1"/>
    <mergeCell ref="A3:B3"/>
    <mergeCell ref="D3:E3"/>
    <mergeCell ref="G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FE44E-0F77-4188-A5DF-DA5C445F5A81}">
  <dimension ref="A1:I60"/>
  <sheetViews>
    <sheetView workbookViewId="0">
      <pane ySplit="3" topLeftCell="A4" activePane="bottomLeft" state="frozen"/>
      <selection pane="bottomLeft" activeCell="B4" sqref="B4"/>
    </sheetView>
  </sheetViews>
  <sheetFormatPr defaultRowHeight="15" x14ac:dyDescent="0.25"/>
  <cols>
    <col min="1" max="1" width="11.7109375" customWidth="1"/>
    <col min="2" max="2" width="14.28515625" bestFit="1" customWidth="1"/>
    <col min="3" max="3" width="28.5703125" customWidth="1"/>
    <col min="4" max="4" width="8.42578125" bestFit="1" customWidth="1"/>
    <col min="5" max="5" width="11.85546875" bestFit="1" customWidth="1"/>
    <col min="6" max="6" width="13.42578125" bestFit="1" customWidth="1"/>
    <col min="7" max="7" width="14.85546875" bestFit="1" customWidth="1"/>
    <col min="8" max="8" width="11.5703125" bestFit="1" customWidth="1"/>
    <col min="9" max="9" width="17" bestFit="1" customWidth="1"/>
  </cols>
  <sheetData>
    <row r="1" spans="1:9" ht="18.75" x14ac:dyDescent="0.25">
      <c r="A1" s="331" t="s">
        <v>173</v>
      </c>
      <c r="B1" s="331"/>
      <c r="C1" s="331"/>
      <c r="D1" s="331"/>
      <c r="E1" s="331"/>
      <c r="F1" s="331"/>
      <c r="G1" s="331"/>
      <c r="H1" s="331"/>
    </row>
    <row r="2" spans="1:9" x14ac:dyDescent="0.25">
      <c r="A2" s="337" t="s">
        <v>174</v>
      </c>
      <c r="B2" s="337"/>
      <c r="C2" s="337"/>
      <c r="D2" s="337"/>
      <c r="E2" s="337"/>
      <c r="F2" s="337"/>
      <c r="G2" s="337"/>
      <c r="H2" s="337"/>
    </row>
    <row r="3" spans="1:9" s="46" customFormat="1" ht="45" x14ac:dyDescent="0.25">
      <c r="A3" s="48" t="s">
        <v>18</v>
      </c>
      <c r="B3" s="48" t="s">
        <v>175</v>
      </c>
      <c r="C3" s="48" t="s">
        <v>176</v>
      </c>
      <c r="D3" s="48" t="s">
        <v>177</v>
      </c>
      <c r="E3" s="48" t="s">
        <v>178</v>
      </c>
      <c r="F3" s="49" t="s">
        <v>179</v>
      </c>
      <c r="G3" s="50" t="s">
        <v>180</v>
      </c>
      <c r="H3" s="51" t="s">
        <v>181</v>
      </c>
    </row>
    <row r="4" spans="1:9" x14ac:dyDescent="0.25">
      <c r="A4" t="str">
        <f>Кўрсаткичлар!I11</f>
        <v>Коалс</v>
      </c>
      <c r="B4" s="44">
        <f>SUMIF(Товар!$B:$B,$A4,Товар!$H:$H)</f>
        <v>4184.4239999999963</v>
      </c>
      <c r="C4" s="53">
        <f>SUMIF(Товар!$B:$B,$A4,Товар!$J:$J)</f>
        <v>2373535638</v>
      </c>
      <c r="D4" s="53">
        <f>SUMIF(Товар!$B:$B,$A4,Товар!$K:$K)</f>
        <v>2421</v>
      </c>
      <c r="E4" s="53">
        <f>SUMIF(Товар!$B:$B,$A4,Товар!$M:$M)</f>
        <v>314730000</v>
      </c>
      <c r="F4" s="55">
        <f>C4+E4</f>
        <v>2688265638</v>
      </c>
      <c r="G4" s="57">
        <f>SUMIF(ТўловПоставшик[Получател],$A4,ТўловПоставшик[Сумма])</f>
        <v>2395089420</v>
      </c>
      <c r="H4" s="59">
        <f>G4-F4</f>
        <v>-293176218</v>
      </c>
    </row>
    <row r="5" spans="1:9" x14ac:dyDescent="0.25">
      <c r="A5" t="str">
        <f>Кўрсаткичлар!I12</f>
        <v>Ментора</v>
      </c>
      <c r="B5" s="44">
        <f>SUMIF(Товар!$B:$B,$A5,Товар!$H:$H)</f>
        <v>8596.0800000000399</v>
      </c>
      <c r="C5" s="53">
        <f>SUMIF(Товар!$B:$B,$A5,Товар!$J:$J)</f>
        <v>5077703412</v>
      </c>
      <c r="D5" s="53">
        <f>SUMIF(Товар!$B:$B,$A5,Товар!$K:$K)</f>
        <v>4971</v>
      </c>
      <c r="E5" s="53">
        <f>SUMIF(Товар!$B:$B,$A5,Товар!$M:$M)</f>
        <v>646230000</v>
      </c>
      <c r="F5" s="55">
        <f>C5+E5</f>
        <v>5723933412</v>
      </c>
      <c r="G5" s="57">
        <f>SUMIF(ТўловПоставшик[Получател],$A5,ТўловПоставшик[Сумма])</f>
        <v>4926900000</v>
      </c>
      <c r="H5" s="59">
        <f>G5-F5</f>
        <v>-797033412</v>
      </c>
    </row>
    <row r="6" spans="1:9" x14ac:dyDescent="0.25">
      <c r="A6" s="38" t="s">
        <v>138</v>
      </c>
      <c r="B6" s="68">
        <f t="shared" ref="B6:H6" si="0">SUM(B4:B5)</f>
        <v>12780.504000000037</v>
      </c>
      <c r="C6" s="54">
        <f t="shared" si="0"/>
        <v>7451239050</v>
      </c>
      <c r="D6" s="54">
        <f t="shared" si="0"/>
        <v>7392</v>
      </c>
      <c r="E6" s="54">
        <f t="shared" si="0"/>
        <v>960960000</v>
      </c>
      <c r="F6" s="56">
        <f t="shared" si="0"/>
        <v>8412199050</v>
      </c>
      <c r="G6" s="58">
        <f t="shared" si="0"/>
        <v>7321989420</v>
      </c>
      <c r="H6" s="60">
        <f t="shared" si="0"/>
        <v>-1090209630</v>
      </c>
    </row>
    <row r="8" spans="1:9" ht="15.75" x14ac:dyDescent="0.25">
      <c r="A8" s="338" t="s">
        <v>182</v>
      </c>
      <c r="B8" s="338"/>
      <c r="C8" s="338"/>
      <c r="E8" s="339" t="s">
        <v>183</v>
      </c>
      <c r="F8" s="339"/>
      <c r="G8" s="339"/>
      <c r="H8" s="339"/>
      <c r="I8" s="339"/>
    </row>
    <row r="9" spans="1:9" ht="15.75" x14ac:dyDescent="0.25">
      <c r="A9" s="340" t="s">
        <v>184</v>
      </c>
      <c r="B9" s="340"/>
      <c r="C9" s="43" t="s">
        <v>22</v>
      </c>
    </row>
    <row r="11" spans="1:9" x14ac:dyDescent="0.25">
      <c r="A11" s="38" t="s">
        <v>145</v>
      </c>
      <c r="B11" s="38" t="s">
        <v>185</v>
      </c>
      <c r="C11" s="38" t="s">
        <v>156</v>
      </c>
      <c r="E11" s="38" t="s">
        <v>186</v>
      </c>
      <c r="F11" s="38" t="s">
        <v>148</v>
      </c>
      <c r="G11" s="38" t="s">
        <v>176</v>
      </c>
      <c r="H11" s="38" t="s">
        <v>151</v>
      </c>
      <c r="I11" s="38" t="s">
        <v>178</v>
      </c>
    </row>
    <row r="12" spans="1:9" x14ac:dyDescent="0.25">
      <c r="A12" s="40" cm="1">
        <f t="array" ref="A12:C30">IFERROR(_xlfn._xlws.SORT(_xlfn._xlws.FILTER(_xlfn.CHOOSECOLS(ТўловПоставшик[[Дата]:[Получател]],1,2,3),ТўловПоставшик[Получател]=$C$9),1),"")</f>
        <v>46198</v>
      </c>
      <c r="B12" s="2" t="str">
        <v>Перечисления</v>
      </c>
      <c r="C12" s="130">
        <v>45570000</v>
      </c>
      <c r="E12" s="69" cm="1">
        <f t="array" ref="E12:E14">IFERROR(_xlfn._xlws.SORT(_xlfn.UNIQUE(EOMONTH(_xlfn._xlws.FILTER(Товар!$E$4:$E$1110,(Товар!$B$4:$B$1110=$C$9)*(Товар!$E$4:$E$1110&lt;&gt;"")),-1)+1)),"")</f>
        <v>46174</v>
      </c>
      <c r="F12" s="70">
        <f>IF($E12="","",SUMIFS(Товар!$H:$H,Товар!$B:$B,$C$9,Товар!$E:$E,"&gt;="&amp;$E12,Товар!$E:$E,"&lt;="&amp;EOMONTH($E12,0)))</f>
        <v>680.83199999999988</v>
      </c>
      <c r="G12" s="71">
        <f>IF($E12="","",SUMIFS(Товар!$J:$J,Товар!$B:$B,$C$9,Товар!$E:$E,"&gt;="&amp;$E12,Товар!$E:$E,"&lt;="&amp;EOMONTH($E12,0)))</f>
        <v>340416000</v>
      </c>
      <c r="H12" s="71">
        <f>IF($E12="","",SUMIFS(Товар!$K:$K,Товар!$B:$B,$C$9,Товар!$E:$E,"&gt;="&amp;$E12,Товар!$E:$E,"&lt;="&amp;EOMONTH($E12,0)))</f>
        <v>394</v>
      </c>
      <c r="I12" s="71">
        <f>IF($E12="","",SUMIFS(Товар!$M:$M,Товар!$B:$B,$C$9,Товар!$E:$E,"&gt;="&amp;$E12,Товар!$E:$E,"&lt;="&amp;EOMONTH($E12,0)))</f>
        <v>51220000</v>
      </c>
    </row>
    <row r="13" spans="1:9" x14ac:dyDescent="0.25">
      <c r="A13" s="40">
        <v>46198</v>
      </c>
      <c r="B13" s="2" t="str">
        <v>Перечисления</v>
      </c>
      <c r="C13" s="130">
        <v>23328000</v>
      </c>
      <c r="E13" s="69">
        <v>46204</v>
      </c>
      <c r="F13" s="70">
        <f>IF($E13="","",SUMIFS(Товар!$H:$H,Товар!$B:$B,$C$9,Товар!$E:$E,"&gt;="&amp;$E13,Товар!$E:$E,"&lt;="&amp;EOMONTH($E13,0)))</f>
        <v>3208.1039999999989</v>
      </c>
      <c r="G13" s="71">
        <f>IF($E13="","",SUMIFS(Товар!$J:$J,Товар!$B:$B,$C$9,Товар!$E:$E,"&gt;="&amp;$E13,Товар!$E:$E,"&lt;="&amp;EOMONTH($E13,0)))</f>
        <v>1857673638</v>
      </c>
      <c r="H13" s="71">
        <f>IF($E13="","",SUMIFS(Товар!$K:$K,Товар!$B:$B,$C$9,Товар!$E:$E,"&gt;="&amp;$E13,Товар!$E:$E,"&lt;="&amp;EOMONTH($E13,0)))</f>
        <v>1856</v>
      </c>
      <c r="I13" s="71">
        <f>IF($E13="","",SUMIFS(Товар!$M:$M,Товар!$B:$B,$C$9,Товар!$E:$E,"&gt;="&amp;$E13,Товар!$E:$E,"&lt;="&amp;EOMONTH($E13,0)))</f>
        <v>241280000</v>
      </c>
    </row>
    <row r="14" spans="1:9" x14ac:dyDescent="0.25">
      <c r="A14" s="40">
        <v>46202</v>
      </c>
      <c r="B14" s="2" t="str">
        <v>Перечисления</v>
      </c>
      <c r="C14" s="130">
        <v>24624000</v>
      </c>
      <c r="E14" s="69">
        <v>46235</v>
      </c>
      <c r="F14" s="70">
        <f>IF($E14="","",SUMIFS(Товар!$H:$H,Товар!$B:$B,$C$9,Товар!$E:$E,"&gt;="&amp;$E14,Товар!$E:$E,"&lt;="&amp;EOMONTH($E14,0)))</f>
        <v>295.488</v>
      </c>
      <c r="G14" s="71">
        <f>IF($E14="","",SUMIFS(Товар!$J:$J,Товар!$B:$B,$C$9,Товар!$E:$E,"&gt;="&amp;$E14,Товар!$E:$E,"&lt;="&amp;EOMONTH($E14,0)))</f>
        <v>175446000</v>
      </c>
      <c r="H14" s="71">
        <f>IF($E14="","",SUMIFS(Товар!$K:$K,Товар!$B:$B,$C$9,Товар!$E:$E,"&gt;="&amp;$E14,Товар!$E:$E,"&lt;="&amp;EOMONTH($E14,0)))</f>
        <v>171</v>
      </c>
      <c r="I14" s="71">
        <f>IF($E14="","",SUMIFS(Товар!$M:$M,Товар!$B:$B,$C$9,Товар!$E:$E,"&gt;="&amp;$E14,Товар!$E:$E,"&lt;="&amp;EOMONTH($E14,0)))</f>
        <v>22230000</v>
      </c>
    </row>
    <row r="15" spans="1:9" x14ac:dyDescent="0.25">
      <c r="A15" s="40">
        <v>46202</v>
      </c>
      <c r="B15" s="2" t="str">
        <v>Перечисления</v>
      </c>
      <c r="C15" s="130">
        <v>23965900</v>
      </c>
      <c r="E15" s="69"/>
      <c r="F15" s="70" t="str">
        <f>IF($E15="","",SUMIFS(Товар!$H:$H,Товар!$B:$B,$C$9,Товар!$E:$E,"&gt;="&amp;$E15,Товар!$E:$E,"&lt;="&amp;EOMONTH($E15,0)))</f>
        <v/>
      </c>
      <c r="G15" s="71" t="str">
        <f>IF($E15="","",SUMIFS(Товар!$J:$J,Товар!$B:$B,$C$9,Товар!$E:$E,"&gt;="&amp;$E15,Товар!$E:$E,"&lt;="&amp;EOMONTH($E15,0)))</f>
        <v/>
      </c>
      <c r="H15" s="71" t="str">
        <f>IF($E15="","",SUMIFS(Товар!$K:$K,Товар!$B:$B,$C$9,Товар!$E:$E,"&gt;="&amp;$E15,Товар!$E:$E,"&lt;="&amp;EOMONTH($E15,0)))</f>
        <v/>
      </c>
      <c r="I15" s="71" t="str">
        <f>IF($E15="","",SUMIFS(Товар!$M:$M,Товар!$B:$B,$C$9,Товар!$E:$E,"&gt;="&amp;$E15,Товар!$E:$E,"&lt;="&amp;EOMONTH($E15,0)))</f>
        <v/>
      </c>
    </row>
    <row r="16" spans="1:9" x14ac:dyDescent="0.25">
      <c r="A16" s="40">
        <v>46202</v>
      </c>
      <c r="B16" s="2" t="str">
        <v>Перечисления</v>
      </c>
      <c r="C16" s="130">
        <v>47952000</v>
      </c>
      <c r="E16" s="69"/>
      <c r="F16" s="70" t="str">
        <f>IF($E16="","",SUMIFS(Товар!$H:$H,Товар!$B:$B,$C$9,Товар!$E:$E,"&gt;="&amp;$E16,Товар!$E:$E,"&lt;="&amp;EOMONTH($E16,0)))</f>
        <v/>
      </c>
      <c r="G16" s="71" t="str">
        <f>IF($E16="","",SUMIFS(Товар!$J:$J,Товар!$B:$B,$C$9,Товар!$E:$E,"&gt;="&amp;$E16,Товар!$E:$E,"&lt;="&amp;EOMONTH($E16,0)))</f>
        <v/>
      </c>
      <c r="H16" s="71" t="str">
        <f>IF($E16="","",SUMIFS(Товар!$K:$K,Товар!$B:$B,$C$9,Товар!$E:$E,"&gt;="&amp;$E16,Товар!$E:$E,"&lt;="&amp;EOMONTH($E16,0)))</f>
        <v/>
      </c>
      <c r="I16" s="71" t="str">
        <f>IF($E16="","",SUMIFS(Товар!$M:$M,Товар!$B:$B,$C$9,Товар!$E:$E,"&gt;="&amp;$E16,Товар!$E:$E,"&lt;="&amp;EOMONTH($E16,0)))</f>
        <v/>
      </c>
    </row>
    <row r="17" spans="1:9" x14ac:dyDescent="0.25">
      <c r="A17" s="40">
        <v>46203</v>
      </c>
      <c r="B17" s="2" t="str">
        <v>Перечисления</v>
      </c>
      <c r="C17" s="130">
        <v>50000000</v>
      </c>
      <c r="E17" s="69"/>
      <c r="F17" s="70" t="str">
        <f>IF($E17="","",SUMIFS(Товар!$H:$H,Товар!$B:$B,$C$9,Товар!$E:$E,"&gt;="&amp;$E17,Товар!$E:$E,"&lt;="&amp;EOMONTH($E17,0)))</f>
        <v/>
      </c>
      <c r="G17" s="71" t="str">
        <f>IF($E17="","",SUMIFS(Товар!$J:$J,Товар!$B:$B,$C$9,Товар!$E:$E,"&gt;="&amp;$E17,Товар!$E:$E,"&lt;="&amp;EOMONTH($E17,0)))</f>
        <v/>
      </c>
      <c r="H17" s="71" t="str">
        <f>IF($E17="","",SUMIFS(Товар!$K:$K,Товар!$B:$B,$C$9,Товар!$E:$E,"&gt;="&amp;$E17,Товар!$E:$E,"&lt;="&amp;EOMONTH($E17,0)))</f>
        <v/>
      </c>
      <c r="I17" s="71" t="str">
        <f>IF($E17="","",SUMIFS(Товар!$M:$M,Товар!$B:$B,$C$9,Товар!$E:$E,"&gt;="&amp;$E17,Товар!$E:$E,"&lt;="&amp;EOMONTH($E17,0)))</f>
        <v/>
      </c>
    </row>
    <row r="18" spans="1:9" x14ac:dyDescent="0.25">
      <c r="A18" s="40">
        <v>46203</v>
      </c>
      <c r="B18" s="2" t="str">
        <v>Перечисления</v>
      </c>
      <c r="C18" s="130">
        <v>23872000</v>
      </c>
      <c r="E18" s="69"/>
      <c r="F18" s="70" t="str">
        <f>IF($E18="","",SUMIFS(Товар!$H:$H,Товар!$B:$B,$C$9,Товар!$E:$E,"&gt;="&amp;$E18,Товар!$E:$E,"&lt;="&amp;EOMONTH($E18,0)))</f>
        <v/>
      </c>
      <c r="G18" s="71" t="str">
        <f>IF($E18="","",SUMIFS(Товар!$J:$J,Товар!$B:$B,$C$9,Товар!$E:$E,"&gt;="&amp;$E18,Товар!$E:$E,"&lt;="&amp;EOMONTH($E18,0)))</f>
        <v/>
      </c>
      <c r="H18" s="71" t="str">
        <f>IF($E18="","",SUMIFS(Товар!$K:$K,Товар!$B:$B,$C$9,Товар!$E:$E,"&gt;="&amp;$E18,Товар!$E:$E,"&lt;="&amp;EOMONTH($E18,0)))</f>
        <v/>
      </c>
      <c r="I18" s="71" t="str">
        <f>IF($E18="","",SUMIFS(Товар!$M:$M,Товар!$B:$B,$C$9,Товар!$E:$E,"&gt;="&amp;$E18,Товар!$E:$E,"&lt;="&amp;EOMONTH($E18,0)))</f>
        <v/>
      </c>
    </row>
    <row r="19" spans="1:9" x14ac:dyDescent="0.25">
      <c r="A19" s="40">
        <v>46203</v>
      </c>
      <c r="B19" s="2" t="str">
        <v>Перечисления</v>
      </c>
      <c r="C19" s="130">
        <v>22703000</v>
      </c>
      <c r="E19" s="69"/>
      <c r="F19" s="70" t="str">
        <f>IF($E19="","",SUMIFS(Товар!$H:$H,Товар!$B:$B,$C$9,Товар!$E:$E,"&gt;="&amp;$E19,Товар!$E:$E,"&lt;="&amp;EOMONTH($E19,0)))</f>
        <v/>
      </c>
      <c r="G19" s="71" t="str">
        <f>IF($E19="","",SUMIFS(Товар!$J:$J,Товар!$B:$B,$C$9,Товар!$E:$E,"&gt;="&amp;$E19,Товар!$E:$E,"&lt;="&amp;EOMONTH($E19,0)))</f>
        <v/>
      </c>
      <c r="H19" s="71" t="str">
        <f>IF($E19="","",SUMIFS(Товар!$K:$K,Товар!$B:$B,$C$9,Товар!$E:$E,"&gt;="&amp;$E19,Товар!$E:$E,"&lt;="&amp;EOMONTH($E19,0)))</f>
        <v/>
      </c>
      <c r="I19" s="71" t="str">
        <f>IF($E19="","",SUMIFS(Товар!$M:$M,Товар!$B:$B,$C$9,Товар!$E:$E,"&gt;="&amp;$E19,Товар!$E:$E,"&lt;="&amp;EOMONTH($E19,0)))</f>
        <v/>
      </c>
    </row>
    <row r="20" spans="1:9" x14ac:dyDescent="0.25">
      <c r="A20" s="40">
        <v>46204</v>
      </c>
      <c r="B20" s="2" t="str">
        <v>Перечисления</v>
      </c>
      <c r="C20" s="130">
        <v>25231000</v>
      </c>
      <c r="E20" s="69"/>
      <c r="F20" s="70" t="str">
        <f>IF($E20="","",SUMIFS(Товар!$H:$H,Товар!$B:$B,$C$9,Товар!$E:$E,"&gt;="&amp;$E20,Товар!$E:$E,"&lt;="&amp;EOMONTH($E20,0)))</f>
        <v/>
      </c>
      <c r="G20" s="71" t="str">
        <f>IF($E20="","",SUMIFS(Товар!$J:$J,Товар!$B:$B,$C$9,Товар!$E:$E,"&gt;="&amp;$E20,Товар!$E:$E,"&lt;="&amp;EOMONTH($E20,0)))</f>
        <v/>
      </c>
      <c r="H20" s="71" t="str">
        <f>IF($E20="","",SUMIFS(Товар!$K:$K,Товар!$B:$B,$C$9,Товар!$E:$E,"&gt;="&amp;$E20,Товар!$E:$E,"&lt;="&amp;EOMONTH($E20,0)))</f>
        <v/>
      </c>
      <c r="I20" s="71" t="str">
        <f>IF($E20="","",SUMIFS(Товар!$M:$M,Товар!$B:$B,$C$9,Товар!$E:$E,"&gt;="&amp;$E20,Товар!$E:$E,"&lt;="&amp;EOMONTH($E20,0)))</f>
        <v/>
      </c>
    </row>
    <row r="21" spans="1:9" x14ac:dyDescent="0.25">
      <c r="A21" s="40">
        <v>46205</v>
      </c>
      <c r="B21" s="2" t="str">
        <v>Перечисления</v>
      </c>
      <c r="C21" s="130">
        <v>67737600</v>
      </c>
    </row>
    <row r="22" spans="1:9" x14ac:dyDescent="0.25">
      <c r="A22" s="40">
        <v>46205</v>
      </c>
      <c r="B22" s="2" t="str">
        <v>Перечисления</v>
      </c>
      <c r="C22" s="130">
        <v>72394560</v>
      </c>
    </row>
    <row r="23" spans="1:9" x14ac:dyDescent="0.25">
      <c r="A23" s="40">
        <v>46205</v>
      </c>
      <c r="B23" s="2" t="str">
        <v>Перечисления</v>
      </c>
      <c r="C23" s="130">
        <v>73872000</v>
      </c>
    </row>
    <row r="24" spans="1:9" x14ac:dyDescent="0.25">
      <c r="A24" s="40">
        <v>46206</v>
      </c>
      <c r="B24" s="2" t="str">
        <v>Перечисления</v>
      </c>
      <c r="C24" s="130">
        <v>47934720</v>
      </c>
    </row>
    <row r="25" spans="1:9" x14ac:dyDescent="0.25">
      <c r="A25" s="40">
        <v>46206</v>
      </c>
      <c r="B25" s="2" t="str">
        <v>Перечисления</v>
      </c>
      <c r="C25" s="130">
        <v>49904640</v>
      </c>
    </row>
    <row r="26" spans="1:9" x14ac:dyDescent="0.25">
      <c r="A26" s="40">
        <v>46206</v>
      </c>
      <c r="B26" s="2" t="str">
        <v>Перечисления</v>
      </c>
      <c r="C26" s="130">
        <v>506000000</v>
      </c>
    </row>
    <row r="27" spans="1:9" x14ac:dyDescent="0.25">
      <c r="A27" s="40">
        <v>46206</v>
      </c>
      <c r="B27" s="2" t="str">
        <v>Перечисления</v>
      </c>
      <c r="C27" s="130">
        <v>890000000</v>
      </c>
    </row>
    <row r="28" spans="1:9" x14ac:dyDescent="0.25">
      <c r="A28" s="40">
        <v>46206</v>
      </c>
      <c r="B28" s="2" t="str">
        <v>Перечисления</v>
      </c>
      <c r="C28" s="130">
        <v>50000000</v>
      </c>
    </row>
    <row r="29" spans="1:9" x14ac:dyDescent="0.25">
      <c r="A29" s="40">
        <v>46210</v>
      </c>
      <c r="B29" s="2" t="str">
        <v>Касса</v>
      </c>
      <c r="C29" s="130">
        <v>50000000</v>
      </c>
    </row>
    <row r="30" spans="1:9" x14ac:dyDescent="0.25">
      <c r="A30" s="40">
        <v>46213</v>
      </c>
      <c r="B30" s="2" t="str">
        <v>Перечисления</v>
      </c>
      <c r="C30" s="130">
        <v>300000000</v>
      </c>
    </row>
    <row r="31" spans="1:9" x14ac:dyDescent="0.25">
      <c r="A31" s="40"/>
      <c r="B31" s="2"/>
    </row>
    <row r="32" spans="1:9" x14ac:dyDescent="0.25">
      <c r="A32" s="40"/>
      <c r="B32" s="2"/>
    </row>
    <row r="33" spans="1:2" x14ac:dyDescent="0.25">
      <c r="A33" s="40"/>
      <c r="B33" s="2"/>
    </row>
    <row r="34" spans="1:2" x14ac:dyDescent="0.25">
      <c r="A34" s="40"/>
      <c r="B34" s="2"/>
    </row>
    <row r="35" spans="1:2" x14ac:dyDescent="0.25">
      <c r="A35" s="40"/>
      <c r="B35" s="2"/>
    </row>
    <row r="36" spans="1:2" x14ac:dyDescent="0.25">
      <c r="A36" s="40"/>
      <c r="B36" s="2"/>
    </row>
    <row r="37" spans="1:2" x14ac:dyDescent="0.25">
      <c r="A37" s="40"/>
      <c r="B37" s="2"/>
    </row>
    <row r="38" spans="1:2" x14ac:dyDescent="0.25">
      <c r="A38" s="40"/>
      <c r="B38" s="2"/>
    </row>
    <row r="39" spans="1:2" x14ac:dyDescent="0.25">
      <c r="A39" s="40"/>
      <c r="B39" s="2"/>
    </row>
    <row r="40" spans="1:2" x14ac:dyDescent="0.25">
      <c r="A40" s="40"/>
      <c r="B40" s="2"/>
    </row>
    <row r="41" spans="1:2" x14ac:dyDescent="0.25">
      <c r="A41" s="40"/>
      <c r="B41" s="2"/>
    </row>
    <row r="42" spans="1:2" x14ac:dyDescent="0.25">
      <c r="A42" s="40"/>
      <c r="B42" s="2"/>
    </row>
    <row r="43" spans="1:2" x14ac:dyDescent="0.25">
      <c r="A43" s="40"/>
      <c r="B43" s="2"/>
    </row>
    <row r="44" spans="1:2" x14ac:dyDescent="0.25">
      <c r="A44" s="40"/>
      <c r="B44" s="2"/>
    </row>
    <row r="45" spans="1:2" x14ac:dyDescent="0.25">
      <c r="A45" s="40"/>
      <c r="B45" s="2"/>
    </row>
    <row r="46" spans="1:2" x14ac:dyDescent="0.25">
      <c r="A46" s="40"/>
      <c r="B46" s="2"/>
    </row>
    <row r="47" spans="1:2" x14ac:dyDescent="0.25">
      <c r="A47" s="40"/>
      <c r="B47" s="2"/>
    </row>
    <row r="48" spans="1:2" x14ac:dyDescent="0.25">
      <c r="A48" s="40"/>
      <c r="B48" s="2"/>
    </row>
    <row r="49" spans="1:2" x14ac:dyDescent="0.25">
      <c r="A49" s="40"/>
      <c r="B49" s="2"/>
    </row>
    <row r="50" spans="1:2" x14ac:dyDescent="0.25">
      <c r="A50" s="40"/>
      <c r="B50" s="2"/>
    </row>
    <row r="51" spans="1:2" x14ac:dyDescent="0.25">
      <c r="A51" s="40"/>
      <c r="B51" s="2"/>
    </row>
    <row r="52" spans="1:2" x14ac:dyDescent="0.25">
      <c r="A52" s="40"/>
      <c r="B52" s="2"/>
    </row>
    <row r="53" spans="1:2" x14ac:dyDescent="0.25">
      <c r="A53" s="40"/>
      <c r="B53" s="2"/>
    </row>
    <row r="54" spans="1:2" x14ac:dyDescent="0.25">
      <c r="A54" s="40"/>
      <c r="B54" s="2"/>
    </row>
    <row r="55" spans="1:2" x14ac:dyDescent="0.25">
      <c r="A55" s="40"/>
      <c r="B55" s="2"/>
    </row>
    <row r="56" spans="1:2" x14ac:dyDescent="0.25">
      <c r="A56" s="40"/>
      <c r="B56" s="2"/>
    </row>
    <row r="57" spans="1:2" x14ac:dyDescent="0.25">
      <c r="A57" s="40"/>
      <c r="B57" s="2"/>
    </row>
    <row r="58" spans="1:2" x14ac:dyDescent="0.25">
      <c r="A58" s="40"/>
      <c r="B58" s="2"/>
    </row>
    <row r="59" spans="1:2" x14ac:dyDescent="0.25">
      <c r="A59" s="40"/>
      <c r="B59" s="2"/>
    </row>
    <row r="60" spans="1:2" x14ac:dyDescent="0.25">
      <c r="A60" s="40"/>
      <c r="B60" s="2"/>
    </row>
  </sheetData>
  <mergeCells count="5">
    <mergeCell ref="A1:H1"/>
    <mergeCell ref="A2:H2"/>
    <mergeCell ref="A8:C8"/>
    <mergeCell ref="E8:I8"/>
    <mergeCell ref="A9:B9"/>
  </mergeCells>
  <dataValidations count="1">
    <dataValidation type="list" allowBlank="1" showInputMessage="1" showErrorMessage="1" sqref="C9" xr:uid="{2044CBE9-53F9-46B2-BE58-70DEE5CA0574}">
      <formula1>ПоставшикРўйхати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E6A24-12AC-4EE9-8C9F-2BE55E21E3E4}">
  <dimension ref="A1:Z80"/>
  <sheetViews>
    <sheetView zoomScale="85" zoomScaleNormal="85" workbookViewId="0">
      <pane ySplit="9" topLeftCell="A25" activePane="bottomLeft" state="frozen"/>
      <selection pane="bottomLeft" activeCell="C4" sqref="C4"/>
    </sheetView>
  </sheetViews>
  <sheetFormatPr defaultRowHeight="15" x14ac:dyDescent="0.25"/>
  <cols>
    <col min="1" max="1" width="11.85546875" bestFit="1" customWidth="1"/>
    <col min="2" max="2" width="38.140625" customWidth="1"/>
    <col min="3" max="8" width="21" customWidth="1"/>
    <col min="9" max="9" width="10.28515625" style="45" bestFit="1" customWidth="1"/>
    <col min="10" max="10" width="16.5703125" style="45" bestFit="1" customWidth="1"/>
    <col min="11" max="11" width="25.7109375" style="45" bestFit="1" customWidth="1"/>
    <col min="12" max="12" width="13.42578125" style="45" bestFit="1" customWidth="1"/>
    <col min="26" max="26" width="21" customWidth="1"/>
  </cols>
  <sheetData>
    <row r="1" spans="1:26" ht="21" x14ac:dyDescent="0.35">
      <c r="A1" s="341" t="s">
        <v>187</v>
      </c>
      <c r="B1" s="341"/>
      <c r="C1" s="341"/>
      <c r="D1" s="341"/>
      <c r="E1" s="341"/>
      <c r="F1" s="341"/>
      <c r="G1" s="341"/>
      <c r="H1" s="341"/>
      <c r="Z1" s="103" t="s">
        <v>188</v>
      </c>
    </row>
    <row r="2" spans="1:26" x14ac:dyDescent="0.25">
      <c r="Z2" s="69" cm="1">
        <f t="array" ref="Z2:Z5">IFERROR(_xlfn._xlws.SORT(_xlfn.UNIQUE(EOMONTH(_xlfn._xlws.FILTER(Товар!$E$4:$E$1110,Товар!$E$4:$E$1110&lt;&gt;""),-1)+1)),"")</f>
        <v>46174</v>
      </c>
    </row>
    <row r="3" spans="1:26" ht="15.75" x14ac:dyDescent="0.25">
      <c r="A3" s="173" t="s">
        <v>189</v>
      </c>
      <c r="B3" s="342" t="s">
        <v>190</v>
      </c>
      <c r="C3" s="342"/>
      <c r="D3" s="342"/>
      <c r="J3" s="163" t="s">
        <v>191</v>
      </c>
      <c r="K3" s="163" t="str" cm="1">
        <f t="array" ref="K3">IFERROR(_xlfn.TEXTJOIN(" | ",TRUE,TEXT(_xlfn._xlws.SORT(_xlfn.UNIQUE(EOMONTH(_xlfn._xlws.FILTER(Товар!$E$4:$E$1110,Товар!$E$4:$E$1110&lt;&gt;""),-1)+1)),"ММ.ГГГГ")),"")</f>
        <v>06.2026 | 07.2026 | 08.2026 | 09.2026</v>
      </c>
      <c r="Z3" s="69">
        <v>46204</v>
      </c>
    </row>
    <row r="4" spans="1:26" ht="15.75" x14ac:dyDescent="0.25">
      <c r="A4" s="173" t="s">
        <v>192</v>
      </c>
      <c r="B4" s="164" t="s">
        <v>26</v>
      </c>
      <c r="Z4" s="69">
        <v>46235</v>
      </c>
    </row>
    <row r="5" spans="1:26" ht="15.75" x14ac:dyDescent="0.25">
      <c r="A5" s="173" t="s">
        <v>193</v>
      </c>
      <c r="B5" s="165">
        <v>46204</v>
      </c>
      <c r="D5" s="343" t="str">
        <f>"Давр: "&amp;TEXT($B$5,"ДД.ММ.ГГГГ")&amp;" — "&amp;TEXT(EOMONTH($B$5,0),"ДД.ММ.ГГГГ")</f>
        <v>Давр: 01.07.2026 — 31.07.2026</v>
      </c>
      <c r="E5" s="343"/>
      <c r="F5" s="343"/>
      <c r="G5" s="343"/>
      <c r="H5" s="343"/>
      <c r="Z5" s="69">
        <v>46266</v>
      </c>
    </row>
    <row r="6" spans="1:26" x14ac:dyDescent="0.25">
      <c r="Z6" s="69"/>
    </row>
    <row r="7" spans="1:26" ht="15.75" x14ac:dyDescent="0.25">
      <c r="A7" s="346" t="s">
        <v>194</v>
      </c>
      <c r="B7" s="346"/>
      <c r="C7" s="346"/>
      <c r="D7" s="346"/>
      <c r="E7" s="346"/>
      <c r="F7" s="346"/>
      <c r="G7" s="346"/>
      <c r="H7" s="346"/>
      <c r="I7" s="162"/>
      <c r="J7" s="162"/>
      <c r="K7" s="162"/>
      <c r="L7" s="162"/>
      <c r="M7" s="173"/>
      <c r="Z7" s="69"/>
    </row>
    <row r="8" spans="1:26" x14ac:dyDescent="0.25">
      <c r="A8" s="345" t="s">
        <v>195</v>
      </c>
      <c r="B8" s="345" t="s">
        <v>196</v>
      </c>
      <c r="C8" s="345" t="s">
        <v>197</v>
      </c>
      <c r="D8" s="345"/>
      <c r="E8" s="345" t="s">
        <v>198</v>
      </c>
      <c r="F8" s="345"/>
      <c r="G8" s="345" t="s">
        <v>138</v>
      </c>
      <c r="H8" s="345"/>
      <c r="Z8" s="69"/>
    </row>
    <row r="9" spans="1:26" x14ac:dyDescent="0.25">
      <c r="A9" s="345"/>
      <c r="B9" s="345"/>
      <c r="C9" s="185" t="s">
        <v>199</v>
      </c>
      <c r="D9" s="185" t="s">
        <v>200</v>
      </c>
      <c r="E9" s="185" t="s">
        <v>199</v>
      </c>
      <c r="F9" s="185" t="s">
        <v>200</v>
      </c>
      <c r="G9" s="185" t="s">
        <v>199</v>
      </c>
      <c r="H9" s="185" t="s">
        <v>200</v>
      </c>
      <c r="Z9" s="69"/>
    </row>
    <row r="10" spans="1:26" x14ac:dyDescent="0.25">
      <c r="A10" s="92">
        <v>1</v>
      </c>
      <c r="B10" s="93" t="s">
        <v>201</v>
      </c>
      <c r="C10" s="94">
        <f>SUMIFS(ТўловПоставшик[Сумма],ТўловПоставшик[Получател],$B$4,ТўловПоставшик[В-о],"Касса",ТўловПоставшик[Дата],"&lt;"&amp;$B$5)-SUMIFS(Товар!$N:$N,Товар!$B:$B,$B$4,Товар!$A:$A,"Касса",Товар!$E:$E,"&lt;"&amp;$B$5)</f>
        <v>0</v>
      </c>
      <c r="D10" s="92"/>
      <c r="E10" s="94">
        <f>SUMIFS(ТўловПоставшик[Сумма],ТўловПоставшик[Получател],$B$4,ТўловПоставшик[В-о],"Перечисления",ТўловПоставшик[Дата],"&lt;"&amp;$B$5)-SUMIFS(Товар!$N:$N,Товар!$B:$B,$B$4,Товар!$A:$A,"Перечисления",Товар!$E:$E,"&lt;"&amp;$B$5)</f>
        <v>0</v>
      </c>
      <c r="F10" s="92"/>
      <c r="G10" s="94">
        <f t="shared" ref="G10:G15" si="0">C10+E10</f>
        <v>0</v>
      </c>
      <c r="H10" s="92"/>
      <c r="Z10" s="69"/>
    </row>
    <row r="11" spans="1:26" x14ac:dyDescent="0.25">
      <c r="A11" s="73">
        <v>2</v>
      </c>
      <c r="B11" s="73" t="s">
        <v>202</v>
      </c>
      <c r="C11" s="95">
        <f>SUMIFS(Товар!$J:$J,Товар!$B:$B,$B$4,Товар!$A:$A,"Касса",Товар!$E:$E,"&gt;="&amp;$B$5,Товар!$E:$E,"&lt;="&amp;EOMONTH($B$5,0))</f>
        <v>0</v>
      </c>
      <c r="D11" s="96">
        <f>SUMIFS(Товар!$H:$H,Товар!$B:$B,$B$4,Товар!$A:$A,"Касса",Товар!$E:$E,"&gt;="&amp;$B$5,Товар!$E:$E,"&lt;="&amp;EOMONTH($B$5,0))</f>
        <v>0</v>
      </c>
      <c r="E11" s="95">
        <f>SUMIFS(Товар!$J:$J,Товар!$B:$B,$B$4,Товар!$A:$A,"Перечисления",Товар!$E:$E,"&gt;="&amp;$B$5,Товар!$E:$E,"&lt;="&amp;EOMONTH($B$5,0))</f>
        <v>1125051750</v>
      </c>
      <c r="F11" s="96">
        <f>SUMIFS(Товар!$H:$H,Товар!$B:$B,$B$4,Товар!$A:$A,"Перечисления",Товар!$E:$E,"&gt;="&amp;$B$5,Товар!$E:$E,"&lt;="&amp;EOMONTH($B$5,0))</f>
        <v>1894.8240000000026</v>
      </c>
      <c r="G11" s="95">
        <f t="shared" si="0"/>
        <v>1125051750</v>
      </c>
      <c r="H11" s="96">
        <f>D11+F11</f>
        <v>1894.8240000000026</v>
      </c>
      <c r="Z11" s="69"/>
    </row>
    <row r="12" spans="1:26" x14ac:dyDescent="0.25">
      <c r="A12" s="73">
        <v>3</v>
      </c>
      <c r="B12" s="73" t="s">
        <v>203</v>
      </c>
      <c r="C12" s="95">
        <f>SUMIFS(Товар!$M:$M,Товар!$B:$B,$B$4,Товар!$A:$A,"Касса",Товар!$E:$E,"&gt;="&amp;$B$5,Товар!$E:$E,"&lt;="&amp;EOMONTH($B$5,0))</f>
        <v>0</v>
      </c>
      <c r="D12" s="97">
        <f>SUMIFS(Товар!$K:$K,Товар!$B:$B,$B$4,Товар!$A:$A,"Касса",Товар!$E:$E,"&gt;="&amp;$B$5,Товар!$E:$E,"&lt;="&amp;EOMONTH($B$5,0))</f>
        <v>0</v>
      </c>
      <c r="E12" s="95">
        <f>SUMIFS(Товар!$M:$M,Товар!$B:$B,$B$4,Товар!$A:$A,"Перечисления",Товар!$E:$E,"&gt;="&amp;$B$5,Товар!$E:$E,"&lt;="&amp;EOMONTH($B$5,0))</f>
        <v>142350000</v>
      </c>
      <c r="F12" s="97">
        <f>SUMIFS(Товар!$K:$K,Товар!$B:$B,$B$4,Товар!$A:$A,"Перечисления",Товар!$E:$E,"&gt;="&amp;$B$5,Товар!$E:$E,"&lt;="&amp;EOMONTH($B$5,0))</f>
        <v>1095</v>
      </c>
      <c r="G12" s="95">
        <f t="shared" si="0"/>
        <v>142350000</v>
      </c>
      <c r="H12" s="97">
        <f>D12+F12</f>
        <v>1095</v>
      </c>
      <c r="Z12" s="69"/>
    </row>
    <row r="13" spans="1:26" x14ac:dyDescent="0.25">
      <c r="A13" s="98">
        <v>4</v>
      </c>
      <c r="B13" s="99" t="s">
        <v>204</v>
      </c>
      <c r="C13" s="100">
        <f>C11+C12</f>
        <v>0</v>
      </c>
      <c r="D13" s="98"/>
      <c r="E13" s="100">
        <f>E11+E12</f>
        <v>1267401750</v>
      </c>
      <c r="F13" s="98"/>
      <c r="G13" s="100">
        <f t="shared" si="0"/>
        <v>1267401750</v>
      </c>
      <c r="H13" s="98"/>
      <c r="Z13" s="69"/>
    </row>
    <row r="14" spans="1:26" x14ac:dyDescent="0.25">
      <c r="A14" s="73">
        <v>5</v>
      </c>
      <c r="B14" s="73" t="s">
        <v>205</v>
      </c>
      <c r="C14" s="95">
        <f>SUMIFS(ТўловПоставшик[Сумма],ТўловПоставшик[Получател],$B$4,ТўловПоставшик[В-о],"Касса",ТўловПоставшик[Дата],"&gt;="&amp;$B$5,ТўловПоставшик[Дата],"&lt;="&amp;EOMONTH($B$5,0))</f>
        <v>0</v>
      </c>
      <c r="D14" s="73"/>
      <c r="E14" s="95">
        <f>SUMIFS(ТўловПоставшик[Сумма],ТўловПоставшик[Получател],$B$4,ТўловПоставшик[В-о],"Перечисления",ТўловПоставшик[Дата],"&gt;="&amp;$B$5,ТўловПоставшик[Дата],"&lt;="&amp;EOMONTH($B$5,0))</f>
        <v>1276000000</v>
      </c>
      <c r="F14" s="73"/>
      <c r="G14" s="95">
        <f t="shared" si="0"/>
        <v>1276000000</v>
      </c>
      <c r="H14" s="73"/>
      <c r="Z14" s="69"/>
    </row>
    <row r="15" spans="1:26" x14ac:dyDescent="0.25">
      <c r="A15" s="101">
        <v>6</v>
      </c>
      <c r="B15" s="101" t="s">
        <v>206</v>
      </c>
      <c r="C15" s="102">
        <f>C10-C13+C14</f>
        <v>0</v>
      </c>
      <c r="D15" s="101"/>
      <c r="E15" s="102">
        <f>E10-E13+E14</f>
        <v>8598250</v>
      </c>
      <c r="F15" s="101"/>
      <c r="G15" s="102">
        <f t="shared" si="0"/>
        <v>8598250</v>
      </c>
      <c r="H15" s="101"/>
      <c r="Z15" s="69"/>
    </row>
    <row r="16" spans="1:26" x14ac:dyDescent="0.25">
      <c r="Z16" s="69"/>
    </row>
    <row r="17" spans="1:26" x14ac:dyDescent="0.25">
      <c r="A17" s="327" t="s">
        <v>207</v>
      </c>
      <c r="B17" s="327"/>
      <c r="C17" s="327"/>
      <c r="D17" s="327"/>
      <c r="E17" s="327"/>
      <c r="F17" s="327"/>
      <c r="G17" s="327"/>
      <c r="I17" s="344" t="s">
        <v>208</v>
      </c>
      <c r="J17" s="344"/>
      <c r="K17" s="344"/>
      <c r="L17" s="344"/>
      <c r="Z17" s="69"/>
    </row>
    <row r="18" spans="1:26" x14ac:dyDescent="0.25">
      <c r="A18" s="38" t="s">
        <v>145</v>
      </c>
      <c r="B18" s="38" t="s">
        <v>209</v>
      </c>
      <c r="C18" s="38" t="s">
        <v>148</v>
      </c>
      <c r="D18" s="38" t="s">
        <v>210</v>
      </c>
      <c r="E18" s="38" t="s">
        <v>211</v>
      </c>
      <c r="F18" s="38" t="s">
        <v>212</v>
      </c>
      <c r="G18" s="38" t="s">
        <v>213</v>
      </c>
      <c r="I18" s="155" t="s">
        <v>145</v>
      </c>
      <c r="J18" s="155" t="s">
        <v>209</v>
      </c>
      <c r="K18" s="155" t="s">
        <v>185</v>
      </c>
      <c r="L18" s="155" t="s">
        <v>156</v>
      </c>
      <c r="Z18" s="69"/>
    </row>
    <row r="19" spans="1:26" x14ac:dyDescent="0.25">
      <c r="A19" s="40" cm="1">
        <f t="array" ref="A19:G79">IFERROR(_xlfn._xlws.SORT(_xlfn._xlws.FILTER(_xlfn.CHOOSECOLS(Товар!$A$4:$N$1110,5,1,8,10,11,13,14),(Товар!$B$4:$B$1110=$B$4)*(Товар!$E$4:$E$1110&gt;=$B$5)*(Товар!$E$4:$E$1110&lt;=EOMONTH($B$5,0))),1),"— ёзув йўқ —")</f>
        <v>46220</v>
      </c>
      <c r="B19" t="str">
        <v>Перечисления</v>
      </c>
      <c r="C19" s="44">
        <v>32.832000000000001</v>
      </c>
      <c r="D19" s="2">
        <v>19494000</v>
      </c>
      <c r="E19" s="2">
        <v>19</v>
      </c>
      <c r="F19" s="2">
        <v>2470000</v>
      </c>
      <c r="G19" s="2">
        <v>21964000</v>
      </c>
      <c r="I19" s="72" cm="1">
        <f t="array" ref="I19:L23">IFERROR(_xlfn._xlws.SORT(_xlfn._xlws.FILTER(_xlfn.CHOOSECOLS(ТўловПоставшик[[Дата]:[Получател]],1,2,3,4),(ТўловПоставшик[Получател]=$B$4)*(ТўловПоставшик[Дата]&gt;=$B$5)*(ТўловПоставшик[Дата]&lt;=EOMONTH($B$5,0))),1),"— ёзув йўқ —")</f>
        <v>46223</v>
      </c>
      <c r="J19" s="45" t="str">
        <v>Перечисления</v>
      </c>
      <c r="K19" s="29">
        <v>626000000</v>
      </c>
      <c r="L19" s="45" t="str">
        <v>Септем Алока</v>
      </c>
      <c r="Z19" s="69"/>
    </row>
    <row r="20" spans="1:26" x14ac:dyDescent="0.25">
      <c r="A20" s="40">
        <v>46220</v>
      </c>
      <c r="B20" t="str">
        <v>Перечисления</v>
      </c>
      <c r="C20" s="44">
        <v>32.832000000000001</v>
      </c>
      <c r="D20" s="2">
        <v>19494000</v>
      </c>
      <c r="E20" s="2">
        <v>19</v>
      </c>
      <c r="F20" s="2">
        <v>2470000</v>
      </c>
      <c r="G20" s="2">
        <v>21964000</v>
      </c>
      <c r="I20" s="72">
        <v>46227</v>
      </c>
      <c r="J20" s="45" t="str">
        <v>Перечисления</v>
      </c>
      <c r="K20" s="29">
        <v>200000000</v>
      </c>
      <c r="L20" s="45" t="str">
        <v>Септем Алока</v>
      </c>
      <c r="Z20" s="69"/>
    </row>
    <row r="21" spans="1:26" x14ac:dyDescent="0.25">
      <c r="A21" s="40">
        <v>46221</v>
      </c>
      <c r="B21" t="str">
        <v>Перечисления</v>
      </c>
      <c r="C21" s="44">
        <v>32.832000000000001</v>
      </c>
      <c r="D21" s="2">
        <v>19494000</v>
      </c>
      <c r="E21" s="2">
        <v>19</v>
      </c>
      <c r="F21" s="2">
        <v>2470000</v>
      </c>
      <c r="G21" s="2">
        <v>21964000</v>
      </c>
      <c r="I21" s="72">
        <v>46231</v>
      </c>
      <c r="J21" s="45" t="str">
        <v>Перечисления</v>
      </c>
      <c r="K21" s="29">
        <v>200000000</v>
      </c>
      <c r="L21" s="45" t="str">
        <v>Септем Алока</v>
      </c>
      <c r="Z21" s="69"/>
    </row>
    <row r="22" spans="1:26" x14ac:dyDescent="0.25">
      <c r="A22" s="40">
        <v>46221</v>
      </c>
      <c r="B22" t="str">
        <v>Перечисления</v>
      </c>
      <c r="C22" s="44">
        <v>32.832000000000001</v>
      </c>
      <c r="D22" s="2">
        <v>19494000</v>
      </c>
      <c r="E22" s="2">
        <v>19</v>
      </c>
      <c r="F22" s="2">
        <v>2470000</v>
      </c>
      <c r="G22" s="2">
        <v>21964000</v>
      </c>
      <c r="I22" s="72">
        <v>46233</v>
      </c>
      <c r="J22" s="45" t="str">
        <v>Перечисления</v>
      </c>
      <c r="K22" s="29">
        <v>150000000</v>
      </c>
      <c r="L22" s="45" t="str">
        <v>Септем Алока</v>
      </c>
      <c r="Z22" s="69"/>
    </row>
    <row r="23" spans="1:26" x14ac:dyDescent="0.25">
      <c r="A23" s="40">
        <v>46221</v>
      </c>
      <c r="B23" t="str">
        <v>Перечисления</v>
      </c>
      <c r="C23" s="44">
        <v>32.832000000000001</v>
      </c>
      <c r="D23" s="2">
        <v>19494000</v>
      </c>
      <c r="E23" s="2">
        <v>19</v>
      </c>
      <c r="F23" s="2">
        <v>2470000</v>
      </c>
      <c r="G23" s="2">
        <v>21964000</v>
      </c>
      <c r="I23" s="72">
        <v>46234</v>
      </c>
      <c r="J23" s="45" t="str">
        <v>Перечисления</v>
      </c>
      <c r="K23" s="29">
        <v>100000000</v>
      </c>
      <c r="L23" s="45" t="str">
        <v>Септем Алока</v>
      </c>
      <c r="Z23" s="69"/>
    </row>
    <row r="24" spans="1:26" x14ac:dyDescent="0.25">
      <c r="A24" s="40">
        <v>46221</v>
      </c>
      <c r="B24" t="str">
        <v>Перечисления</v>
      </c>
      <c r="C24" s="44">
        <v>32.832000000000001</v>
      </c>
      <c r="D24" s="2">
        <v>19494000</v>
      </c>
      <c r="E24" s="2">
        <v>19</v>
      </c>
      <c r="F24" s="2">
        <v>2470000</v>
      </c>
      <c r="G24" s="2">
        <v>21964000</v>
      </c>
      <c r="I24" s="72"/>
      <c r="K24" s="29"/>
      <c r="Z24" s="69"/>
    </row>
    <row r="25" spans="1:26" x14ac:dyDescent="0.25">
      <c r="A25" s="40">
        <v>46221</v>
      </c>
      <c r="B25" t="str">
        <v>Перечисления</v>
      </c>
      <c r="C25" s="44">
        <v>32.832000000000001</v>
      </c>
      <c r="D25" s="2">
        <v>19494000</v>
      </c>
      <c r="E25" s="2">
        <v>19</v>
      </c>
      <c r="F25" s="2">
        <v>2470000</v>
      </c>
      <c r="G25" s="2">
        <v>21964000</v>
      </c>
      <c r="I25" s="72"/>
      <c r="K25" s="29"/>
      <c r="Z25" s="69"/>
    </row>
    <row r="26" spans="1:26" x14ac:dyDescent="0.25">
      <c r="A26" s="40">
        <v>46221</v>
      </c>
      <c r="B26" t="str">
        <v>Перечисления</v>
      </c>
      <c r="C26" s="44">
        <v>32.832000000000001</v>
      </c>
      <c r="D26" s="2">
        <v>19494000</v>
      </c>
      <c r="E26" s="2">
        <v>19</v>
      </c>
      <c r="F26" s="2">
        <v>2470000</v>
      </c>
      <c r="G26" s="2">
        <v>21964000</v>
      </c>
      <c r="I26" s="72"/>
      <c r="K26" s="29"/>
      <c r="Z26" s="69"/>
    </row>
    <row r="27" spans="1:26" x14ac:dyDescent="0.25">
      <c r="A27" s="40">
        <v>46221</v>
      </c>
      <c r="B27" t="str">
        <v>Перечисления</v>
      </c>
      <c r="C27" s="44">
        <v>32.832000000000001</v>
      </c>
      <c r="D27" s="2">
        <v>19494000</v>
      </c>
      <c r="E27" s="2">
        <v>19</v>
      </c>
      <c r="F27" s="2">
        <v>2470000</v>
      </c>
      <c r="G27" s="2">
        <v>21964000</v>
      </c>
      <c r="I27" s="72"/>
      <c r="K27" s="29"/>
      <c r="Z27" s="69"/>
    </row>
    <row r="28" spans="1:26" x14ac:dyDescent="0.25">
      <c r="A28" s="40">
        <v>46221</v>
      </c>
      <c r="B28" t="str">
        <v>Перечисления</v>
      </c>
      <c r="C28" s="44">
        <v>32.832000000000001</v>
      </c>
      <c r="D28" s="2">
        <v>19494000</v>
      </c>
      <c r="E28" s="2">
        <v>19</v>
      </c>
      <c r="F28" s="2">
        <v>2470000</v>
      </c>
      <c r="G28" s="2">
        <v>21964000</v>
      </c>
      <c r="I28" s="72"/>
      <c r="K28" s="29"/>
      <c r="Z28" s="69"/>
    </row>
    <row r="29" spans="1:26" x14ac:dyDescent="0.25">
      <c r="A29" s="40">
        <v>46221</v>
      </c>
      <c r="B29" t="str">
        <v>Перечисления</v>
      </c>
      <c r="C29" s="44">
        <v>32.832000000000001</v>
      </c>
      <c r="D29" s="2">
        <v>19494000</v>
      </c>
      <c r="E29" s="2">
        <v>19</v>
      </c>
      <c r="F29" s="2">
        <v>2470000</v>
      </c>
      <c r="G29" s="2">
        <v>21964000</v>
      </c>
      <c r="I29" s="72"/>
      <c r="K29" s="29"/>
      <c r="Z29" s="69"/>
    </row>
    <row r="30" spans="1:26" x14ac:dyDescent="0.25">
      <c r="A30" s="40">
        <v>46223</v>
      </c>
      <c r="B30" t="str">
        <v>Перечисления</v>
      </c>
      <c r="C30" s="44">
        <v>32.832000000000001</v>
      </c>
      <c r="D30" s="2">
        <v>19494000</v>
      </c>
      <c r="E30" s="2">
        <v>19</v>
      </c>
      <c r="F30" s="2">
        <v>2470000</v>
      </c>
      <c r="G30" s="2">
        <v>21964000</v>
      </c>
      <c r="I30" s="72"/>
      <c r="K30" s="29"/>
      <c r="Z30" s="69"/>
    </row>
    <row r="31" spans="1:26" x14ac:dyDescent="0.25">
      <c r="A31" s="40">
        <v>46223</v>
      </c>
      <c r="B31" t="str">
        <v>Перечисления</v>
      </c>
      <c r="C31" s="44">
        <v>32.832000000000001</v>
      </c>
      <c r="D31" s="2">
        <v>19494000</v>
      </c>
      <c r="E31" s="2">
        <v>19</v>
      </c>
      <c r="F31" s="2">
        <v>2470000</v>
      </c>
      <c r="G31" s="2">
        <v>21964000</v>
      </c>
      <c r="I31" s="72"/>
      <c r="K31" s="29"/>
    </row>
    <row r="32" spans="1:26" x14ac:dyDescent="0.25">
      <c r="A32" s="40">
        <v>46223</v>
      </c>
      <c r="B32" t="str">
        <v>Перечисления</v>
      </c>
      <c r="C32" s="44">
        <v>20.736000000000001</v>
      </c>
      <c r="D32" s="2">
        <v>12312000</v>
      </c>
      <c r="E32" s="2">
        <v>12</v>
      </c>
      <c r="F32" s="2">
        <v>1560000</v>
      </c>
      <c r="G32" s="2">
        <v>13872000</v>
      </c>
      <c r="I32" s="72"/>
      <c r="K32" s="29"/>
    </row>
    <row r="33" spans="1:11" x14ac:dyDescent="0.25">
      <c r="A33" s="40">
        <v>46223</v>
      </c>
      <c r="B33" t="str">
        <v>Перечисления</v>
      </c>
      <c r="C33" s="44">
        <v>32.832000000000001</v>
      </c>
      <c r="D33" s="2">
        <v>19494000</v>
      </c>
      <c r="E33" s="2">
        <v>19</v>
      </c>
      <c r="F33" s="2">
        <v>2470000</v>
      </c>
      <c r="G33" s="2">
        <v>21964000</v>
      </c>
      <c r="I33" s="72"/>
      <c r="K33" s="29"/>
    </row>
    <row r="34" spans="1:11" x14ac:dyDescent="0.25">
      <c r="A34" s="40">
        <v>46223</v>
      </c>
      <c r="B34" t="str">
        <v>Перечисления</v>
      </c>
      <c r="C34" s="44">
        <v>32.832000000000001</v>
      </c>
      <c r="D34" s="2">
        <v>19494000</v>
      </c>
      <c r="E34" s="2">
        <v>19</v>
      </c>
      <c r="F34" s="2">
        <v>2470000</v>
      </c>
      <c r="G34" s="2">
        <v>21964000</v>
      </c>
      <c r="I34" s="72"/>
      <c r="K34" s="29"/>
    </row>
    <row r="35" spans="1:11" x14ac:dyDescent="0.25">
      <c r="A35" s="40">
        <v>46223</v>
      </c>
      <c r="B35" t="str">
        <v>Перечисления</v>
      </c>
      <c r="C35" s="44">
        <v>22.463999999999999</v>
      </c>
      <c r="D35" s="2">
        <v>13338000</v>
      </c>
      <c r="E35" s="2">
        <v>13</v>
      </c>
      <c r="F35" s="2">
        <v>1690000</v>
      </c>
      <c r="G35" s="2">
        <v>15028000</v>
      </c>
      <c r="I35" s="72"/>
      <c r="K35" s="29"/>
    </row>
    <row r="36" spans="1:11" x14ac:dyDescent="0.25">
      <c r="A36" s="40">
        <v>46223</v>
      </c>
      <c r="B36" t="str">
        <v>Перечисления</v>
      </c>
      <c r="C36" s="44">
        <v>10.368000000000002</v>
      </c>
      <c r="D36" s="2">
        <v>6156000.0000000009</v>
      </c>
      <c r="E36" s="2">
        <v>6</v>
      </c>
      <c r="F36" s="2">
        <v>780000</v>
      </c>
      <c r="G36" s="2">
        <v>6936000.0000000009</v>
      </c>
      <c r="I36" s="72"/>
      <c r="K36" s="29"/>
    </row>
    <row r="37" spans="1:11" x14ac:dyDescent="0.25">
      <c r="A37" s="40">
        <v>46224</v>
      </c>
      <c r="B37" t="str">
        <v>Перечисления</v>
      </c>
      <c r="C37" s="44">
        <v>32.832000000000001</v>
      </c>
      <c r="D37" s="2">
        <v>19494000</v>
      </c>
      <c r="E37" s="2">
        <v>19</v>
      </c>
      <c r="F37" s="2">
        <v>2470000</v>
      </c>
      <c r="G37" s="2">
        <v>21964000</v>
      </c>
      <c r="I37" s="72"/>
      <c r="K37" s="29"/>
    </row>
    <row r="38" spans="1:11" x14ac:dyDescent="0.25">
      <c r="A38" s="40">
        <v>46224</v>
      </c>
      <c r="B38" t="str">
        <v>Перечисления</v>
      </c>
      <c r="C38" s="44">
        <v>32.832000000000001</v>
      </c>
      <c r="D38" s="2">
        <v>19494000</v>
      </c>
      <c r="E38" s="2">
        <v>19</v>
      </c>
      <c r="F38" s="2">
        <v>2470000</v>
      </c>
      <c r="G38" s="2">
        <v>21964000</v>
      </c>
      <c r="I38" s="72"/>
      <c r="K38" s="29"/>
    </row>
    <row r="39" spans="1:11" x14ac:dyDescent="0.25">
      <c r="A39" s="40">
        <v>46226</v>
      </c>
      <c r="B39" t="str">
        <v>Перечисления</v>
      </c>
      <c r="C39" s="44">
        <v>32.832000000000001</v>
      </c>
      <c r="D39" s="2">
        <v>19494000</v>
      </c>
      <c r="E39" s="2">
        <v>19</v>
      </c>
      <c r="F39" s="2">
        <v>2470000</v>
      </c>
      <c r="G39" s="2">
        <v>21964000</v>
      </c>
      <c r="I39" s="72"/>
      <c r="K39" s="29"/>
    </row>
    <row r="40" spans="1:11" x14ac:dyDescent="0.25">
      <c r="A40" s="40">
        <v>46226</v>
      </c>
      <c r="B40" t="str">
        <v>Перечисления</v>
      </c>
      <c r="C40" s="44">
        <v>32.832000000000001</v>
      </c>
      <c r="D40" s="2">
        <v>19494000</v>
      </c>
      <c r="E40" s="2">
        <v>19</v>
      </c>
      <c r="F40" s="2">
        <v>2470000</v>
      </c>
      <c r="G40" s="2">
        <v>21964000</v>
      </c>
      <c r="I40" s="72"/>
      <c r="K40" s="29"/>
    </row>
    <row r="41" spans="1:11" x14ac:dyDescent="0.25">
      <c r="A41" s="40">
        <v>46226</v>
      </c>
      <c r="B41" t="str">
        <v>Перечисления</v>
      </c>
      <c r="C41" s="44">
        <v>32.832000000000001</v>
      </c>
      <c r="D41" s="2">
        <v>19494000</v>
      </c>
      <c r="E41" s="2">
        <v>19</v>
      </c>
      <c r="F41" s="2">
        <v>2470000</v>
      </c>
      <c r="G41" s="2">
        <v>21964000</v>
      </c>
      <c r="I41" s="72"/>
      <c r="K41" s="29"/>
    </row>
    <row r="42" spans="1:11" x14ac:dyDescent="0.25">
      <c r="A42" s="40">
        <v>46226</v>
      </c>
      <c r="B42" t="str">
        <v>Перечисления</v>
      </c>
      <c r="C42" s="44">
        <v>32.832000000000001</v>
      </c>
      <c r="D42" s="2">
        <v>19494000</v>
      </c>
      <c r="E42" s="2">
        <v>19</v>
      </c>
      <c r="F42" s="2">
        <v>2470000</v>
      </c>
      <c r="G42" s="2">
        <v>21964000</v>
      </c>
      <c r="I42" s="72"/>
      <c r="K42" s="29"/>
    </row>
    <row r="43" spans="1:11" x14ac:dyDescent="0.25">
      <c r="A43" s="40">
        <v>46226</v>
      </c>
      <c r="B43" t="str">
        <v>Перечисления</v>
      </c>
      <c r="C43" s="44">
        <v>32.832000000000001</v>
      </c>
      <c r="D43" s="2">
        <v>19494000</v>
      </c>
      <c r="E43" s="2">
        <v>19</v>
      </c>
      <c r="F43" s="2">
        <v>2470000</v>
      </c>
      <c r="G43" s="2">
        <v>21964000</v>
      </c>
      <c r="I43" s="72"/>
      <c r="K43" s="29"/>
    </row>
    <row r="44" spans="1:11" x14ac:dyDescent="0.25">
      <c r="A44" s="40">
        <v>46227</v>
      </c>
      <c r="B44" t="str">
        <v>Перечисления</v>
      </c>
      <c r="C44" s="44">
        <v>32.832000000000001</v>
      </c>
      <c r="D44" s="2">
        <v>19494000</v>
      </c>
      <c r="E44" s="2">
        <v>19</v>
      </c>
      <c r="F44" s="2">
        <v>2470000</v>
      </c>
      <c r="G44" s="2">
        <v>21964000</v>
      </c>
      <c r="I44" s="72"/>
      <c r="K44" s="29"/>
    </row>
    <row r="45" spans="1:11" x14ac:dyDescent="0.25">
      <c r="A45" s="40">
        <v>46228</v>
      </c>
      <c r="B45" t="str">
        <v>Перечисления</v>
      </c>
      <c r="C45" s="44">
        <v>32.832000000000001</v>
      </c>
      <c r="D45" s="2">
        <v>19494000</v>
      </c>
      <c r="E45" s="2">
        <v>19</v>
      </c>
      <c r="F45" s="2">
        <v>2470000</v>
      </c>
      <c r="G45" s="2">
        <v>21964000</v>
      </c>
      <c r="I45" s="72"/>
      <c r="K45" s="29"/>
    </row>
    <row r="46" spans="1:11" x14ac:dyDescent="0.25">
      <c r="A46" s="40">
        <v>46228</v>
      </c>
      <c r="B46" t="str">
        <v>Перечисления</v>
      </c>
      <c r="C46" s="44">
        <v>32.832000000000001</v>
      </c>
      <c r="D46" s="2">
        <v>19494000</v>
      </c>
      <c r="E46" s="2">
        <v>19</v>
      </c>
      <c r="F46" s="2">
        <v>2470000</v>
      </c>
      <c r="G46" s="2">
        <v>21964000</v>
      </c>
      <c r="I46" s="72"/>
      <c r="K46" s="29"/>
    </row>
    <row r="47" spans="1:11" x14ac:dyDescent="0.25">
      <c r="A47" s="40">
        <v>46228</v>
      </c>
      <c r="B47" t="str">
        <v>Перечисления</v>
      </c>
      <c r="C47" s="44">
        <v>34.200000000000003</v>
      </c>
      <c r="D47" s="2">
        <v>20306250</v>
      </c>
      <c r="E47" s="2">
        <v>19</v>
      </c>
      <c r="F47" s="2">
        <v>2470000</v>
      </c>
      <c r="G47" s="2">
        <v>22776250</v>
      </c>
      <c r="I47" s="72"/>
      <c r="K47" s="29"/>
    </row>
    <row r="48" spans="1:11" x14ac:dyDescent="0.25">
      <c r="A48" s="40">
        <v>46228</v>
      </c>
      <c r="B48" t="str">
        <v>Перечисления</v>
      </c>
      <c r="C48" s="44">
        <v>32.832000000000001</v>
      </c>
      <c r="D48" s="2">
        <v>19494000</v>
      </c>
      <c r="E48" s="2">
        <v>19</v>
      </c>
      <c r="F48" s="2">
        <v>2470000</v>
      </c>
      <c r="G48" s="2">
        <v>21964000</v>
      </c>
      <c r="I48" s="72"/>
      <c r="K48" s="29"/>
    </row>
    <row r="49" spans="1:11" x14ac:dyDescent="0.25">
      <c r="A49" s="40">
        <v>46228</v>
      </c>
      <c r="B49" t="str">
        <v>Перечисления</v>
      </c>
      <c r="C49" s="44">
        <v>32.832000000000001</v>
      </c>
      <c r="D49" s="2">
        <v>19494000</v>
      </c>
      <c r="E49" s="2">
        <v>19</v>
      </c>
      <c r="F49" s="2">
        <v>2470000</v>
      </c>
      <c r="G49" s="2">
        <v>21964000</v>
      </c>
      <c r="I49" s="72"/>
      <c r="K49" s="29"/>
    </row>
    <row r="50" spans="1:11" x14ac:dyDescent="0.25">
      <c r="A50" s="40">
        <v>46228</v>
      </c>
      <c r="B50" t="str">
        <v>Перечисления</v>
      </c>
      <c r="C50" s="44">
        <v>32.4</v>
      </c>
      <c r="D50" s="2">
        <v>19237500</v>
      </c>
      <c r="E50" s="2">
        <v>18</v>
      </c>
      <c r="F50" s="2">
        <v>2340000</v>
      </c>
      <c r="G50" s="2">
        <v>21577500</v>
      </c>
      <c r="I50" s="72"/>
      <c r="K50" s="29"/>
    </row>
    <row r="51" spans="1:11" x14ac:dyDescent="0.25">
      <c r="A51" s="40">
        <v>46228</v>
      </c>
      <c r="B51" t="str">
        <v>Перечисления</v>
      </c>
      <c r="C51" s="44">
        <v>1.728</v>
      </c>
      <c r="D51" s="2">
        <v>1026000</v>
      </c>
      <c r="E51" s="2">
        <v>1</v>
      </c>
      <c r="F51" s="2">
        <v>130000</v>
      </c>
      <c r="G51" s="2">
        <v>1156000</v>
      </c>
      <c r="I51" s="72"/>
      <c r="K51" s="29"/>
    </row>
    <row r="52" spans="1:11" x14ac:dyDescent="0.25">
      <c r="A52" s="40">
        <v>46229</v>
      </c>
      <c r="B52" t="str">
        <v>Перечисления</v>
      </c>
      <c r="C52" s="44">
        <v>32.832000000000001</v>
      </c>
      <c r="D52" s="2">
        <v>19494000</v>
      </c>
      <c r="E52" s="2">
        <v>19</v>
      </c>
      <c r="F52" s="2">
        <v>2470000</v>
      </c>
      <c r="G52" s="2">
        <v>21964000</v>
      </c>
      <c r="I52" s="72"/>
      <c r="K52" s="29"/>
    </row>
    <row r="53" spans="1:11" x14ac:dyDescent="0.25">
      <c r="A53" s="40">
        <v>46229</v>
      </c>
      <c r="B53" t="str">
        <v>Перечисления</v>
      </c>
      <c r="C53" s="44">
        <v>32.832000000000001</v>
      </c>
      <c r="D53" s="2">
        <v>19494000</v>
      </c>
      <c r="E53" s="2">
        <v>19</v>
      </c>
      <c r="F53" s="2">
        <v>2470000</v>
      </c>
      <c r="G53" s="2">
        <v>21964000</v>
      </c>
      <c r="I53" s="72"/>
      <c r="K53" s="29"/>
    </row>
    <row r="54" spans="1:11" x14ac:dyDescent="0.25">
      <c r="A54" s="40">
        <v>46229</v>
      </c>
      <c r="B54" t="str">
        <v>Перечисления</v>
      </c>
      <c r="C54" s="44">
        <v>32.832000000000001</v>
      </c>
      <c r="D54" s="2">
        <v>19494000</v>
      </c>
      <c r="E54" s="2">
        <v>19</v>
      </c>
      <c r="F54" s="2">
        <v>2470000</v>
      </c>
      <c r="G54" s="2">
        <v>21964000</v>
      </c>
      <c r="I54" s="72"/>
      <c r="K54" s="29"/>
    </row>
    <row r="55" spans="1:11" x14ac:dyDescent="0.25">
      <c r="A55" s="40">
        <v>46229</v>
      </c>
      <c r="B55" t="str">
        <v>Перечисления</v>
      </c>
      <c r="C55" s="44">
        <v>32.832000000000001</v>
      </c>
      <c r="D55" s="2">
        <v>19494000</v>
      </c>
      <c r="E55" s="2">
        <v>19</v>
      </c>
      <c r="F55" s="2">
        <v>2470000</v>
      </c>
      <c r="G55" s="2">
        <v>21964000</v>
      </c>
      <c r="I55" s="72"/>
      <c r="K55" s="29"/>
    </row>
    <row r="56" spans="1:11" x14ac:dyDescent="0.25">
      <c r="A56" s="40">
        <v>46230</v>
      </c>
      <c r="B56" t="str">
        <v>Перечисления</v>
      </c>
      <c r="C56" s="44">
        <v>32.832000000000001</v>
      </c>
      <c r="D56" s="2">
        <v>19494000</v>
      </c>
      <c r="E56" s="2">
        <v>19</v>
      </c>
      <c r="F56" s="2">
        <v>2470000</v>
      </c>
      <c r="G56" s="2">
        <v>21964000</v>
      </c>
      <c r="I56" s="72"/>
      <c r="K56" s="29"/>
    </row>
    <row r="57" spans="1:11" x14ac:dyDescent="0.25">
      <c r="A57" s="40">
        <v>46230</v>
      </c>
      <c r="B57" t="str">
        <v>Перечисления</v>
      </c>
      <c r="C57" s="44">
        <v>32.832000000000001</v>
      </c>
      <c r="D57" s="2">
        <v>19494000</v>
      </c>
      <c r="E57" s="2">
        <v>19</v>
      </c>
      <c r="F57" s="2">
        <v>2470000</v>
      </c>
      <c r="G57" s="2">
        <v>21964000</v>
      </c>
      <c r="I57" s="72"/>
      <c r="K57" s="29"/>
    </row>
    <row r="58" spans="1:11" x14ac:dyDescent="0.25">
      <c r="A58" s="40">
        <v>46230</v>
      </c>
      <c r="B58" t="str">
        <v>Перечисления</v>
      </c>
      <c r="C58" s="44">
        <v>32.832000000000001</v>
      </c>
      <c r="D58" s="2">
        <v>19494000</v>
      </c>
      <c r="E58" s="2">
        <v>19</v>
      </c>
      <c r="F58" s="2">
        <v>2470000</v>
      </c>
      <c r="G58" s="2">
        <v>21964000</v>
      </c>
      <c r="I58" s="72"/>
      <c r="K58" s="29"/>
    </row>
    <row r="59" spans="1:11" x14ac:dyDescent="0.25">
      <c r="A59" s="40">
        <v>46230</v>
      </c>
      <c r="B59" t="str">
        <v>Перечисления</v>
      </c>
      <c r="C59" s="44">
        <v>32.832000000000001</v>
      </c>
      <c r="D59" s="2">
        <v>19494000</v>
      </c>
      <c r="E59" s="2">
        <v>19</v>
      </c>
      <c r="F59" s="2">
        <v>2470000</v>
      </c>
      <c r="G59" s="2">
        <v>21964000</v>
      </c>
      <c r="I59" s="72"/>
      <c r="K59" s="29"/>
    </row>
    <row r="60" spans="1:11" x14ac:dyDescent="0.25">
      <c r="A60" s="40">
        <v>46230</v>
      </c>
      <c r="B60" t="str">
        <v>Перечисления</v>
      </c>
      <c r="C60" s="44">
        <v>32.832000000000001</v>
      </c>
      <c r="D60" s="2">
        <v>19494000</v>
      </c>
      <c r="E60" s="2">
        <v>19</v>
      </c>
      <c r="F60" s="2">
        <v>2470000</v>
      </c>
      <c r="G60" s="2">
        <v>21964000</v>
      </c>
      <c r="I60" s="72"/>
      <c r="K60" s="29"/>
    </row>
    <row r="61" spans="1:11" x14ac:dyDescent="0.25">
      <c r="A61" s="40">
        <v>46231</v>
      </c>
      <c r="B61" t="str">
        <v>Перечисления</v>
      </c>
      <c r="C61" s="44">
        <v>32.832000000000001</v>
      </c>
      <c r="D61" s="2">
        <v>19494000</v>
      </c>
      <c r="E61" s="2">
        <v>19</v>
      </c>
      <c r="F61" s="2">
        <v>2470000</v>
      </c>
      <c r="G61" s="2">
        <v>21964000</v>
      </c>
      <c r="I61" s="72"/>
      <c r="K61" s="29"/>
    </row>
    <row r="62" spans="1:11" x14ac:dyDescent="0.25">
      <c r="A62" s="40">
        <v>46231</v>
      </c>
      <c r="B62" t="str">
        <v>Перечисления</v>
      </c>
      <c r="C62" s="44">
        <v>32.832000000000001</v>
      </c>
      <c r="D62" s="2">
        <v>19494000</v>
      </c>
      <c r="E62" s="2">
        <v>19</v>
      </c>
      <c r="F62" s="2">
        <v>2470000</v>
      </c>
      <c r="G62" s="2">
        <v>21964000</v>
      </c>
      <c r="I62" s="72"/>
      <c r="K62" s="29"/>
    </row>
    <row r="63" spans="1:11" x14ac:dyDescent="0.25">
      <c r="A63" s="40">
        <v>46231</v>
      </c>
      <c r="B63" t="str">
        <v>Перечисления</v>
      </c>
      <c r="C63" s="44">
        <v>32.832000000000001</v>
      </c>
      <c r="D63" s="2">
        <v>19494000</v>
      </c>
      <c r="E63" s="2">
        <v>19</v>
      </c>
      <c r="F63" s="2">
        <v>2470000</v>
      </c>
      <c r="G63" s="2">
        <v>21964000</v>
      </c>
      <c r="I63" s="72"/>
      <c r="K63" s="29"/>
    </row>
    <row r="64" spans="1:11" x14ac:dyDescent="0.25">
      <c r="A64" s="40">
        <v>46231</v>
      </c>
      <c r="B64" t="str">
        <v>Перечисления</v>
      </c>
      <c r="C64" s="44">
        <v>32.832000000000001</v>
      </c>
      <c r="D64" s="2">
        <v>19494000</v>
      </c>
      <c r="E64" s="2">
        <v>19</v>
      </c>
      <c r="F64" s="2">
        <v>2470000</v>
      </c>
      <c r="G64" s="2">
        <v>21964000</v>
      </c>
      <c r="I64" s="72"/>
      <c r="K64" s="29"/>
    </row>
    <row r="65" spans="1:11" x14ac:dyDescent="0.25">
      <c r="A65" s="40">
        <v>46232</v>
      </c>
      <c r="B65" t="str">
        <v>Перечисления</v>
      </c>
      <c r="C65" s="44">
        <v>32.832000000000001</v>
      </c>
      <c r="D65" s="2">
        <v>19494000</v>
      </c>
      <c r="E65" s="2">
        <v>19</v>
      </c>
      <c r="F65" s="2">
        <v>2470000</v>
      </c>
      <c r="G65" s="2">
        <v>21964000</v>
      </c>
      <c r="I65" s="72"/>
      <c r="K65" s="29"/>
    </row>
    <row r="66" spans="1:11" x14ac:dyDescent="0.25">
      <c r="A66" s="40">
        <v>46232</v>
      </c>
      <c r="B66" t="str">
        <v>Перечисления</v>
      </c>
      <c r="C66" s="44">
        <v>32.832000000000001</v>
      </c>
      <c r="D66" s="2">
        <v>19494000</v>
      </c>
      <c r="E66" s="2">
        <v>19</v>
      </c>
      <c r="F66" s="2">
        <v>2470000</v>
      </c>
      <c r="G66" s="2">
        <v>21964000</v>
      </c>
      <c r="I66" s="72"/>
      <c r="K66" s="29"/>
    </row>
    <row r="67" spans="1:11" x14ac:dyDescent="0.25">
      <c r="A67" s="40">
        <v>46232</v>
      </c>
      <c r="B67" t="str">
        <v>Перечисления</v>
      </c>
      <c r="C67" s="44">
        <v>32.832000000000001</v>
      </c>
      <c r="D67" s="2">
        <v>19494000</v>
      </c>
      <c r="E67" s="2">
        <v>19</v>
      </c>
      <c r="F67" s="2">
        <v>2470000</v>
      </c>
      <c r="G67" s="2">
        <v>21964000</v>
      </c>
      <c r="I67" s="72"/>
      <c r="K67" s="29"/>
    </row>
    <row r="68" spans="1:11" x14ac:dyDescent="0.25">
      <c r="A68" s="40">
        <v>46232</v>
      </c>
      <c r="B68" t="str">
        <v>Перечисления</v>
      </c>
      <c r="C68" s="44">
        <v>32.832000000000001</v>
      </c>
      <c r="D68" s="2">
        <v>19494000</v>
      </c>
      <c r="E68" s="2">
        <v>19</v>
      </c>
      <c r="F68" s="2">
        <v>2470000</v>
      </c>
      <c r="G68" s="2">
        <v>21964000</v>
      </c>
      <c r="I68" s="72"/>
      <c r="K68" s="29"/>
    </row>
    <row r="69" spans="1:11" x14ac:dyDescent="0.25">
      <c r="A69" s="40">
        <v>46232</v>
      </c>
      <c r="B69" t="str">
        <v>Перечисления</v>
      </c>
      <c r="C69" s="44">
        <v>32.832000000000001</v>
      </c>
      <c r="D69" s="2">
        <v>19494000</v>
      </c>
      <c r="E69" s="2">
        <v>19</v>
      </c>
      <c r="F69" s="2">
        <v>2470000</v>
      </c>
      <c r="G69" s="2">
        <v>21964000</v>
      </c>
      <c r="I69" s="72"/>
      <c r="K69" s="29"/>
    </row>
    <row r="70" spans="1:11" x14ac:dyDescent="0.25">
      <c r="A70" s="40">
        <v>46232</v>
      </c>
      <c r="B70" t="str">
        <v>Перечисления</v>
      </c>
      <c r="C70" s="44">
        <v>32.832000000000001</v>
      </c>
      <c r="D70" s="2">
        <v>19494000</v>
      </c>
      <c r="E70" s="2">
        <v>19</v>
      </c>
      <c r="F70" s="2">
        <v>2470000</v>
      </c>
      <c r="G70" s="2">
        <v>21964000</v>
      </c>
      <c r="I70" s="72"/>
      <c r="K70" s="29"/>
    </row>
    <row r="71" spans="1:11" x14ac:dyDescent="0.25">
      <c r="A71" s="40">
        <v>46233</v>
      </c>
      <c r="B71" t="str">
        <v>Перечисления</v>
      </c>
      <c r="C71" s="44">
        <v>32.832000000000001</v>
      </c>
      <c r="D71" s="2">
        <v>19494000</v>
      </c>
      <c r="E71" s="2">
        <v>19</v>
      </c>
      <c r="F71" s="2">
        <v>2470000</v>
      </c>
      <c r="G71" s="2">
        <v>21964000</v>
      </c>
      <c r="I71" s="72"/>
      <c r="K71" s="29"/>
    </row>
    <row r="72" spans="1:11" x14ac:dyDescent="0.25">
      <c r="A72" s="40">
        <v>46233</v>
      </c>
      <c r="B72" t="str">
        <v>Перечисления</v>
      </c>
      <c r="C72" s="44">
        <v>32.832000000000001</v>
      </c>
      <c r="D72" s="2">
        <v>19494000</v>
      </c>
      <c r="E72" s="2">
        <v>19</v>
      </c>
      <c r="F72" s="2">
        <v>2470000</v>
      </c>
      <c r="G72" s="2">
        <v>21964000</v>
      </c>
      <c r="I72" s="72"/>
      <c r="K72" s="29"/>
    </row>
    <row r="73" spans="1:11" x14ac:dyDescent="0.25">
      <c r="A73" s="40">
        <v>46233</v>
      </c>
      <c r="B73" t="str">
        <v>Перечисления</v>
      </c>
      <c r="C73" s="44">
        <v>32.832000000000001</v>
      </c>
      <c r="D73" s="2">
        <v>19494000</v>
      </c>
      <c r="E73" s="2">
        <v>19</v>
      </c>
      <c r="F73" s="2">
        <v>2470000</v>
      </c>
      <c r="G73" s="2">
        <v>21964000</v>
      </c>
      <c r="I73" s="72"/>
      <c r="K73" s="29"/>
    </row>
    <row r="74" spans="1:11" x14ac:dyDescent="0.25">
      <c r="A74" s="40">
        <v>46233</v>
      </c>
      <c r="B74" t="str">
        <v>Перечисления</v>
      </c>
      <c r="C74" s="44">
        <v>32.832000000000001</v>
      </c>
      <c r="D74" s="2">
        <v>19494000</v>
      </c>
      <c r="E74" s="2">
        <v>19</v>
      </c>
      <c r="F74" s="2">
        <v>2470000</v>
      </c>
      <c r="G74" s="2">
        <v>21964000</v>
      </c>
      <c r="I74" s="72"/>
      <c r="K74" s="29"/>
    </row>
    <row r="75" spans="1:11" x14ac:dyDescent="0.25">
      <c r="A75" s="40">
        <v>46234</v>
      </c>
      <c r="B75" t="str">
        <v>Перечисления</v>
      </c>
      <c r="C75" s="44">
        <v>32.832000000000001</v>
      </c>
      <c r="D75" s="2">
        <v>19494000</v>
      </c>
      <c r="E75" s="2">
        <v>19</v>
      </c>
      <c r="F75" s="2">
        <v>2470000</v>
      </c>
      <c r="G75" s="2">
        <v>21964000</v>
      </c>
      <c r="I75" s="72"/>
      <c r="K75" s="29"/>
    </row>
    <row r="76" spans="1:11" x14ac:dyDescent="0.25">
      <c r="A76" s="40">
        <v>46234</v>
      </c>
      <c r="B76" t="str">
        <v>Перечисления</v>
      </c>
      <c r="C76" s="44">
        <v>32.832000000000001</v>
      </c>
      <c r="D76" s="2">
        <v>19494000</v>
      </c>
      <c r="E76" s="2">
        <v>19</v>
      </c>
      <c r="F76" s="2">
        <v>2470000</v>
      </c>
      <c r="G76" s="2">
        <v>21964000</v>
      </c>
      <c r="I76" s="72"/>
      <c r="K76" s="29"/>
    </row>
    <row r="77" spans="1:11" x14ac:dyDescent="0.25">
      <c r="A77" s="40">
        <v>46234</v>
      </c>
      <c r="B77" t="str">
        <v>Перечисления</v>
      </c>
      <c r="C77" s="44">
        <v>32.832000000000001</v>
      </c>
      <c r="D77" s="2">
        <v>19494000</v>
      </c>
      <c r="E77" s="2">
        <v>19</v>
      </c>
      <c r="F77" s="2">
        <v>2470000</v>
      </c>
      <c r="G77" s="2">
        <v>21964000</v>
      </c>
      <c r="I77" s="72"/>
      <c r="K77" s="29"/>
    </row>
    <row r="78" spans="1:11" x14ac:dyDescent="0.25">
      <c r="A78" s="40">
        <v>46234</v>
      </c>
      <c r="B78" t="str">
        <v>Перечисления</v>
      </c>
      <c r="C78" s="44">
        <v>15.552</v>
      </c>
      <c r="D78" s="2">
        <v>9234000</v>
      </c>
      <c r="E78" s="2">
        <v>9</v>
      </c>
      <c r="F78" s="2">
        <v>1170000</v>
      </c>
      <c r="G78" s="2">
        <v>10404000</v>
      </c>
      <c r="I78" s="72"/>
      <c r="K78" s="29"/>
    </row>
    <row r="79" spans="1:11" x14ac:dyDescent="0.25">
      <c r="A79" s="40">
        <v>46234</v>
      </c>
      <c r="B79" t="str">
        <v>Перечисления</v>
      </c>
      <c r="C79" s="44">
        <v>17.28</v>
      </c>
      <c r="D79" s="2">
        <v>10260000</v>
      </c>
      <c r="E79" s="2">
        <v>10</v>
      </c>
      <c r="F79" s="2">
        <v>1300000</v>
      </c>
      <c r="G79" s="2">
        <v>11560000</v>
      </c>
      <c r="I79" s="72"/>
      <c r="K79" s="29"/>
    </row>
    <row r="80" spans="1:11" x14ac:dyDescent="0.25">
      <c r="A80" s="40"/>
      <c r="C80" s="44"/>
      <c r="D80" s="2"/>
      <c r="E80" s="2"/>
      <c r="F80" s="2"/>
      <c r="G80" s="2"/>
      <c r="I80" s="72"/>
      <c r="K80" s="29"/>
    </row>
  </sheetData>
  <mergeCells count="11">
    <mergeCell ref="A1:H1"/>
    <mergeCell ref="B3:D3"/>
    <mergeCell ref="D5:H5"/>
    <mergeCell ref="A17:G17"/>
    <mergeCell ref="I17:L17"/>
    <mergeCell ref="C8:D8"/>
    <mergeCell ref="E8:F8"/>
    <mergeCell ref="G8:H8"/>
    <mergeCell ref="A8:A9"/>
    <mergeCell ref="B8:B9"/>
    <mergeCell ref="A7:H7"/>
  </mergeCells>
  <dataValidations count="2">
    <dataValidation type="list" allowBlank="1" showInputMessage="1" showErrorMessage="1" sqref="B4" xr:uid="{4530EFA2-838A-49C4-9651-C7C1F92B27D3}">
      <formula1>ПоставшикРўйхати</formula1>
    </dataValidation>
    <dataValidation type="list" allowBlank="1" showInputMessage="1" showErrorMessage="1" sqref="B5" xr:uid="{F63380B9-38CF-4C40-9B11-4265D9FAF2B3}">
      <formula1>$Z$2:$Z$20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2FA18-459D-4590-9CC9-6B4C8CC119A6}">
  <dimension ref="A1:M36"/>
  <sheetViews>
    <sheetView showGridLines="0" tabSelected="1" zoomScaleNormal="100" workbookViewId="0">
      <pane ySplit="6" topLeftCell="A18" activePane="bottomLeft" state="frozen"/>
      <selection pane="bottomLeft" activeCell="C20" sqref="C20"/>
    </sheetView>
  </sheetViews>
  <sheetFormatPr defaultRowHeight="15" x14ac:dyDescent="0.25"/>
  <cols>
    <col min="1" max="1" width="52.5703125" customWidth="1"/>
    <col min="2" max="2" width="13.140625" customWidth="1"/>
    <col min="3" max="3" width="17.5703125" customWidth="1"/>
    <col min="4" max="4" width="22.85546875" bestFit="1" customWidth="1"/>
    <col min="5" max="5" width="19.42578125" bestFit="1" customWidth="1"/>
    <col min="6" max="6" width="16.7109375" bestFit="1" customWidth="1"/>
    <col min="7" max="7" width="14" bestFit="1" customWidth="1"/>
    <col min="8" max="9" width="13.5703125" bestFit="1" customWidth="1"/>
    <col min="10" max="10" width="10.28515625" bestFit="1" customWidth="1"/>
    <col min="11" max="11" width="16.42578125" bestFit="1" customWidth="1"/>
    <col min="12" max="12" width="14.140625" bestFit="1" customWidth="1"/>
    <col min="13" max="13" width="14.42578125" bestFit="1" customWidth="1"/>
  </cols>
  <sheetData>
    <row r="1" spans="1:5" ht="18.75" x14ac:dyDescent="0.3">
      <c r="A1" s="351" t="s">
        <v>595</v>
      </c>
      <c r="B1" s="351"/>
      <c r="C1" s="351"/>
      <c r="D1" s="351"/>
      <c r="E1" s="351"/>
    </row>
    <row r="2" spans="1:5" x14ac:dyDescent="0.25">
      <c r="A2" s="352" t="s">
        <v>620</v>
      </c>
      <c r="B2" s="352"/>
      <c r="C2" s="352"/>
      <c r="D2" s="352"/>
      <c r="E2" s="352"/>
    </row>
    <row r="3" spans="1:5" ht="15.75" thickBot="1" x14ac:dyDescent="0.3"/>
    <row r="4" spans="1:5" x14ac:dyDescent="0.25">
      <c r="A4" s="203" t="s">
        <v>596</v>
      </c>
      <c r="B4" s="233">
        <v>46268</v>
      </c>
    </row>
    <row r="5" spans="1:5" ht="15.75" thickBot="1" x14ac:dyDescent="0.3">
      <c r="A5" s="203" t="s">
        <v>597</v>
      </c>
      <c r="B5" s="234" t="s">
        <v>26</v>
      </c>
      <c r="D5" t="str">
        <f>B5</f>
        <v>Ментора</v>
      </c>
      <c r="E5" s="288">
        <f>B17</f>
        <v>-670803412</v>
      </c>
    </row>
    <row r="7" spans="1:5" x14ac:dyDescent="0.25">
      <c r="A7" s="204" t="s">
        <v>196</v>
      </c>
      <c r="B7" s="204" t="s">
        <v>598</v>
      </c>
      <c r="D7" s="353" t="s">
        <v>604</v>
      </c>
      <c r="E7" s="354"/>
    </row>
    <row r="8" spans="1:5" x14ac:dyDescent="0.25">
      <c r="A8" s="205" t="s">
        <v>599</v>
      </c>
      <c r="B8" s="206">
        <f>IF(OR($B$4="",$B$5=""),"",SUMIFS(ТўловПоставшик[Сумма],ТўловПоставшик[Получател],$B$5,ТўловПоставшик[Дата],"&lt;"&amp;$B$4)+SUMIFS(ПоддонЗаводга[Қайтариш харажати жами],ПоддонЗаводга[Қабул қилувчи],$B$5,ПоддонЗаводга[Дата],"&lt;"&amp;$B$4)+SUMIFS(ПоддонЗаводга[Поддон сони],ПоддонЗаводга[Қабул қилувчи],$B$5,ПоддонЗаводга[Дата],"&lt;"&amp;$B$4)*Кўрсаткичлар!$B$4-SUMIFS(Товар!$J:$J,Товар!$B:$B,$B$5,Товар!$E:$E,"&lt;"&amp;$B$4)-SUMIFS(Товар!$M:$M,Товар!$B:$B,$B$5,Товар!$E:$E,"&lt;"&amp;$B$4))</f>
        <v>-606782836</v>
      </c>
      <c r="D8" s="205" t="s">
        <v>605</v>
      </c>
      <c r="E8" s="209">
        <f>IF(OR($B$4="",$B$5=""),"",SUMIFS(Товар!$H:$H,Товар!$B:$B,$B$5,Товар!$E:$E,$B$4))</f>
        <v>98.496000000000009</v>
      </c>
    </row>
    <row r="9" spans="1:5" x14ac:dyDescent="0.25">
      <c r="A9" s="205" t="s">
        <v>600</v>
      </c>
      <c r="B9" s="206">
        <f>IF(OR($B$4="",$B$5=""),"",SUMIFS(Товар!$J:$J,Товар!$B:$B,$B$5,Товар!$E:$E,$B$4))</f>
        <v>56610576</v>
      </c>
      <c r="D9" s="205" t="s">
        <v>606</v>
      </c>
      <c r="E9" s="206">
        <f>IF(OR($B$4="",$B$5=""),"",SUMIFS(Товар!$K:$K,Товар!$B:$B,$B$5,Товар!$E:$E,$B$4))</f>
        <v>57</v>
      </c>
    </row>
    <row r="10" spans="1:5" x14ac:dyDescent="0.25">
      <c r="A10" s="205" t="s">
        <v>178</v>
      </c>
      <c r="B10" s="206">
        <f>IF(OR($B$4="",$B$5=""),"",SUMIFS(Товар!$M:$M,Товар!$B:$B,$B$5,Товар!$E:$E,$B$4))</f>
        <v>7410000</v>
      </c>
      <c r="D10" s="205" t="s">
        <v>607</v>
      </c>
      <c r="E10" s="206">
        <f>IF(OR($B$4="",$B$5=""),"",COUNTIFS(Товар!$B:$B,$B$5,Товар!$E:$E,$B$4))</f>
        <v>5</v>
      </c>
    </row>
    <row r="11" spans="1:5" x14ac:dyDescent="0.25">
      <c r="A11" s="207" t="s">
        <v>601</v>
      </c>
      <c r="B11" s="208">
        <f>IF(OR($B$4="",$B$5=""),"",B9+B10)</f>
        <v>64020576</v>
      </c>
      <c r="D11" s="205" t="s">
        <v>608</v>
      </c>
      <c r="E11" s="206">
        <f>IF(OR($B$4="",$B$5=""),"",COUNTIFS(ТўловПоставшик[Получател],$B$5,ТўловПоставшик[Дата],$B$4))</f>
        <v>0</v>
      </c>
    </row>
    <row r="12" spans="1:5" hidden="1" x14ac:dyDescent="0.25">
      <c r="A12" s="211" t="s">
        <v>602</v>
      </c>
      <c r="B12" s="212">
        <f>IF(OR($B$4="",$B$5=""),"",SUMIFS(ТўловПоставшик[Сумма],ТўловПоставшик[Получател],$B$5,ТўловПоставшик[Дата],$B$4))</f>
        <v>0</v>
      </c>
    </row>
    <row r="13" spans="1:5" hidden="1" x14ac:dyDescent="0.25">
      <c r="A13" s="213" t="s">
        <v>609</v>
      </c>
      <c r="B13" s="214">
        <f>IF(OR($B$4="",$B$5=""),"",SUMIFS(ПоддонЗаводга[Поддон сони],ПоддонЗаводга[Қабул қилувчи],$B$5,ПоддонЗаводга[Дата],$B$4))</f>
        <v>0</v>
      </c>
    </row>
    <row r="14" spans="1:5" hidden="1" x14ac:dyDescent="0.25">
      <c r="A14" s="213" t="s">
        <v>610</v>
      </c>
      <c r="B14" s="214">
        <f>IF(OR($B$4="",$B$5=""),"",B13*Кўрсаткичлар!$B$4)</f>
        <v>0</v>
      </c>
    </row>
    <row r="15" spans="1:5" hidden="1" x14ac:dyDescent="0.25">
      <c r="A15" s="213" t="s">
        <v>611</v>
      </c>
      <c r="B15" s="214">
        <f>IF(OR($B$4="",$B$5=""),"",SUMIFS(ПоддонЗаводга[Қайтариш харажати жами],ПоддонЗаводга[Қабул қилувчи],$B$5,ПоддонЗаводга[Дата],$B$4))</f>
        <v>0</v>
      </c>
    </row>
    <row r="16" spans="1:5" hidden="1" x14ac:dyDescent="0.25">
      <c r="A16" s="215" t="s">
        <v>612</v>
      </c>
      <c r="B16" s="216">
        <f>IF(OR($B$4="",$B$5=""),"",B12+B14+B15)</f>
        <v>0</v>
      </c>
    </row>
    <row r="17" spans="1:13" x14ac:dyDescent="0.25">
      <c r="A17" s="217" t="s">
        <v>603</v>
      </c>
      <c r="B17" s="218">
        <f>IF(OR($B$4="",$B$5=""),"",B8-B11+B16)</f>
        <v>-670803412</v>
      </c>
    </row>
    <row r="18" spans="1:13" x14ac:dyDescent="0.25">
      <c r="A18" s="219" t="s">
        <v>613</v>
      </c>
      <c r="B18" s="220">
        <f>IF(OR($B$4="",$B$5=""),"",SUMIFS(Товар!$K:$K,Товар!$B:$B,$B$5,Товар!$E:$E,"&lt;="&amp;$B$4)-SUMIFS(ПоддонЗаводга[Поддон сони],ПоддонЗаводга[Қабул қилувчи],$B$5,ПоддонЗаводга[Дата],"&lt;="&amp;$B$4))</f>
        <v>4000</v>
      </c>
    </row>
    <row r="19" spans="1:13" x14ac:dyDescent="0.25">
      <c r="A19" s="210"/>
      <c r="B19" s="210"/>
    </row>
    <row r="20" spans="1:13" ht="15.75" x14ac:dyDescent="0.25">
      <c r="A20" s="355" t="s">
        <v>614</v>
      </c>
      <c r="B20" s="355"/>
    </row>
    <row r="21" spans="1:13" x14ac:dyDescent="0.25">
      <c r="A21" s="213" t="s">
        <v>615</v>
      </c>
      <c r="B21" s="221">
        <f>EOMONTH('Акт (умумий)'!$B$2,0)</f>
        <v>46295</v>
      </c>
    </row>
    <row r="22" spans="1:13" x14ac:dyDescent="0.25">
      <c r="A22" s="213" t="s">
        <v>616</v>
      </c>
      <c r="B22" s="214">
        <f>IFERROR(INDEX('Акт (умумий)'!$R$7:$R$8,MATCH($B$5,'Акт (умумий)'!$B$7:$B$8,0))+INDEX('Акт (умумий)'!$S$7:$S$8,MATCH($B$5,'Акт (умумий)'!$B$7:$B$8,0)),"")</f>
        <v>-670803412</v>
      </c>
    </row>
    <row r="23" spans="1:13" x14ac:dyDescent="0.25">
      <c r="A23" s="222" t="s">
        <v>617</v>
      </c>
      <c r="B23" s="349" t="str">
        <f>IF(OR($B$4="",$B$5="",$B22=""),"",IF($B$4&lt;&gt;$B21,"Сана ой охири эмас — солиштириш учун санани "&amp;TEXT($B21,"ДД.ММ.ГГГГ")&amp;" қилинг",B17-B22))</f>
        <v>Сана ой охири эмас — солиштириш учун санани 30.09.2026 қилинг</v>
      </c>
      <c r="C23" s="350"/>
      <c r="D23" s="350"/>
      <c r="E23" s="350"/>
    </row>
    <row r="24" spans="1:13" x14ac:dyDescent="0.25">
      <c r="A24" s="213" t="s">
        <v>618</v>
      </c>
      <c r="B24" s="214">
        <f>IFERROR(INDEX('Акт (умумий)'!$T$7:$T$8,MATCH($B$5,'Акт (умумий)'!$B$7:$B$8,0)),"")</f>
        <v>4000</v>
      </c>
    </row>
    <row r="25" spans="1:13" x14ac:dyDescent="0.25">
      <c r="A25" s="222" t="s">
        <v>619</v>
      </c>
      <c r="B25" s="223" t="str">
        <f>IF(OR($B$4="",$B$5="",$B24=""),"",IF($B$4&lt;&gt;$B21,"—",B18-B24))</f>
        <v>—</v>
      </c>
    </row>
    <row r="27" spans="1:13" ht="17.25" x14ac:dyDescent="0.3">
      <c r="B27" s="348" t="str">
        <f>"УМУМИЙ КУНЛИК ҲИСОБОТ — БАРЧА ЗАВОДЛАР ("&amp;TEXT($B$4,"ДД.ММ.ГГГГ")&amp;")"</f>
        <v>УМУМИЙ КУНЛИК ҲИСОБОТ — БАРЧА ЗАВОДЛАР (03.09.2026)</v>
      </c>
      <c r="C27" s="348"/>
      <c r="D27" s="348"/>
      <c r="E27" s="348"/>
      <c r="F27" s="348"/>
      <c r="G27" s="348"/>
      <c r="H27" s="348"/>
      <c r="I27" s="348"/>
      <c r="J27" s="348"/>
      <c r="K27" s="348"/>
      <c r="L27" s="348"/>
      <c r="M27" s="348"/>
    </row>
    <row r="29" spans="1:13" ht="42" customHeight="1" x14ac:dyDescent="0.25">
      <c r="B29" s="224" t="s">
        <v>621</v>
      </c>
      <c r="C29" s="224" t="s">
        <v>622</v>
      </c>
      <c r="D29" s="224" t="s">
        <v>176</v>
      </c>
      <c r="E29" s="224" t="s">
        <v>178</v>
      </c>
      <c r="F29" s="224" t="s">
        <v>179</v>
      </c>
      <c r="G29" s="224" t="s">
        <v>623</v>
      </c>
      <c r="H29" s="224" t="s">
        <v>624</v>
      </c>
      <c r="I29" s="224" t="s">
        <v>625</v>
      </c>
      <c r="J29" s="224" t="s">
        <v>626</v>
      </c>
      <c r="K29" s="224" t="s">
        <v>627</v>
      </c>
      <c r="L29" s="224" t="s">
        <v>603</v>
      </c>
      <c r="M29" s="224" t="s">
        <v>628</v>
      </c>
    </row>
    <row r="30" spans="1:13" x14ac:dyDescent="0.25">
      <c r="B30" s="225" t="str">
        <f>Кўрсаткичлар!I11</f>
        <v>Коалс</v>
      </c>
      <c r="C30" s="226">
        <f>IF($B$4="","",SUMIFS(ТўловПоставшик[Сумма],ТўловПоставшик[Получател],$B30,ТўловПоставшик[Дата],"&lt;"&amp;$B$4)+SUMIFS(ПоддонЗаводга[Қайтариш харажати жами],ПоддонЗаводга[Қабул қилувчи],$B30,ПоддонЗаводга[Дата],"&lt;"&amp;$B$4)+SUMIFS(ПоддонЗаводга[Поддон сони],ПоддонЗаводга[Қабул қилувчи],$B30,ПоддонЗаводга[Дата],"&lt;"&amp;$B$4)*Кўрсаткичлар!$B$4-SUMIFS(Товар!$J:$J,Товар!$B:$B,$B30,Товар!$E:$E,"&lt;"&amp;$B$4)-SUMIFS(Товар!$M:$M,Товар!$B:$B,$B30,Товар!$E:$E,"&lt;"&amp;$B$4))</f>
        <v>40921782</v>
      </c>
      <c r="D30" s="226">
        <f>IF($B$4="","",SUMIFS(Товар!$J:$J,Товар!$B:$B,$B30,Товар!$E:$E,$B$4))</f>
        <v>0</v>
      </c>
      <c r="E30" s="226">
        <f>IF($B$4="","",SUMIFS(Товар!$M:$M,Товар!$B:$B,$B30,Товар!$E:$E,$B$4))</f>
        <v>0</v>
      </c>
      <c r="F30" s="227">
        <f>IF($B$4="","",D30+E30)</f>
        <v>0</v>
      </c>
      <c r="G30" s="226">
        <f>IF($B$4="","",SUMIFS(ТўловПоставшик[Сумма],ТўловПоставшик[Получател],$B30,ТўловПоставшик[Дата],$B$4))</f>
        <v>0</v>
      </c>
      <c r="H30" s="226">
        <f>IF($B$4="","",SUMIFS(ПоддонЗаводга[Поддон сони],ПоддонЗаводга[Қабул қилувчи],$B30,ПоддонЗаводга[Дата],$B$4))</f>
        <v>0</v>
      </c>
      <c r="I30" s="226">
        <f>IF($B$4="","",H30*Кўрсаткичлар!$B$4)</f>
        <v>0</v>
      </c>
      <c r="J30" s="226">
        <f>IF($B$4="","",SUMIFS(ПоддонЗаводга[Қайтариш харажати жами],ПоддонЗаводга[Қабул қилувчи],$B30,ПоддонЗаводга[Дата],$B$4))</f>
        <v>0</v>
      </c>
      <c r="K30" s="227">
        <f>IF($B$4="","",G30+I30+J30)</f>
        <v>0</v>
      </c>
      <c r="L30" s="228">
        <f>IF($B$4="","",C30-F30+K30)</f>
        <v>40921782</v>
      </c>
      <c r="M30" s="229">
        <f>IF($B$4="","",SUMIFS(Товар!$K:$K,Товар!$B:$B,$B30,Товар!$E:$E,"&lt;="&amp;$B$4)-SUMIFS(ПоддонЗаводга[Поддон сони],ПоддонЗаводга[Қабул қилувчи],$B30,ПоддонЗаводга[Дата],"&lt;="&amp;$B$4))</f>
        <v>0</v>
      </c>
    </row>
    <row r="31" spans="1:13" x14ac:dyDescent="0.25">
      <c r="B31" s="225" t="str">
        <f>Кўрсаткичлар!I12</f>
        <v>Ментора</v>
      </c>
      <c r="C31" s="226">
        <f>IF($B$4="","",SUMIFS(ТўловПоставшик[Сумма],ТўловПоставшик[Получател],$B31,ТўловПоставшик[Дата],"&lt;"&amp;$B$4)+SUMIFS(ПоддонЗаводга[Қайтариш харажати жами],ПоддонЗаводга[Қабул қилувчи],$B31,ПоддонЗаводга[Дата],"&lt;"&amp;$B$4)+SUMIFS(ПоддонЗаводга[Поддон сони],ПоддонЗаводга[Қабул қилувчи],$B31,ПоддонЗаводга[Дата],"&lt;"&amp;$B$4)*Кўрсаткичлар!$B$4-SUMIFS(Товар!$J:$J,Товар!$B:$B,$B31,Товар!$E:$E,"&lt;"&amp;$B$4)-SUMIFS(Товар!$M:$M,Товар!$B:$B,$B31,Товар!$E:$E,"&lt;"&amp;$B$4))</f>
        <v>-606782836</v>
      </c>
      <c r="D31" s="226">
        <f>IF($B$4="","",SUMIFS(Товар!$J:$J,Товар!$B:$B,$B31,Товар!$E:$E,$B$4))</f>
        <v>56610576</v>
      </c>
      <c r="E31" s="226">
        <f>IF($B$4="","",SUMIFS(Товар!$M:$M,Товар!$B:$B,$B31,Товар!$E:$E,$B$4))</f>
        <v>7410000</v>
      </c>
      <c r="F31" s="227">
        <f>IF($B$4="","",D31+E31)</f>
        <v>64020576</v>
      </c>
      <c r="G31" s="226">
        <f>IF($B$4="","",SUMIFS(ТўловПоставшик[Сумма],ТўловПоставшик[Получател],$B31,ТўловПоставшик[Дата],$B$4))</f>
        <v>0</v>
      </c>
      <c r="H31" s="226">
        <f>IF($B$4="","",SUMIFS(ПоддонЗаводга[Поддон сони],ПоддонЗаводга[Қабул қилувчи],$B31,ПоддонЗаводга[Дата],$B$4))</f>
        <v>0</v>
      </c>
      <c r="I31" s="226">
        <f>IF($B$4="","",H31*Кўрсаткичлар!$B$4)</f>
        <v>0</v>
      </c>
      <c r="J31" s="226">
        <f>IF($B$4="","",SUMIFS(ПоддонЗаводга[Қайтариш харажати жами],ПоддонЗаводга[Қабул қилувчи],$B31,ПоддонЗаводга[Дата],$B$4))</f>
        <v>0</v>
      </c>
      <c r="K31" s="227">
        <f>IF($B$4="","",G31+I31+J31)</f>
        <v>0</v>
      </c>
      <c r="L31" s="228">
        <f>IF($B$4="","",C31-F31+K31)</f>
        <v>-670803412</v>
      </c>
      <c r="M31" s="229">
        <f>IF($B$4="","",SUMIFS(Товар!$K:$K,Товар!$B:$B,$B31,Товар!$E:$E,"&lt;="&amp;$B$4)-SUMIFS(ПоддонЗаводга[Поддон сони],ПоддонЗаводга[Қабул қилувчи],$B31,ПоддонЗаводга[Дата],"&lt;="&amp;$B$4))</f>
        <v>4000</v>
      </c>
    </row>
    <row r="32" spans="1:13" x14ac:dyDescent="0.25">
      <c r="B32" s="230" t="s">
        <v>138</v>
      </c>
      <c r="C32" s="231">
        <f t="shared" ref="C32:M32" si="0">SUM(C30:C31)</f>
        <v>-565861054</v>
      </c>
      <c r="D32" s="231">
        <f t="shared" si="0"/>
        <v>56610576</v>
      </c>
      <c r="E32" s="231">
        <f t="shared" si="0"/>
        <v>7410000</v>
      </c>
      <c r="F32" s="231">
        <f t="shared" si="0"/>
        <v>64020576</v>
      </c>
      <c r="G32" s="231">
        <f t="shared" si="0"/>
        <v>0</v>
      </c>
      <c r="H32" s="231">
        <f t="shared" si="0"/>
        <v>0</v>
      </c>
      <c r="I32" s="231">
        <f t="shared" si="0"/>
        <v>0</v>
      </c>
      <c r="J32" s="231">
        <f t="shared" si="0"/>
        <v>0</v>
      </c>
      <c r="K32" s="231">
        <f t="shared" si="0"/>
        <v>0</v>
      </c>
      <c r="L32" s="231">
        <f t="shared" si="0"/>
        <v>-629881630</v>
      </c>
      <c r="M32" s="231">
        <f t="shared" si="0"/>
        <v>4000</v>
      </c>
    </row>
    <row r="34" spans="2:5" x14ac:dyDescent="0.25">
      <c r="B34" s="356" t="s">
        <v>629</v>
      </c>
      <c r="C34" s="356"/>
      <c r="D34" s="356"/>
      <c r="E34" s="289">
        <f>'Акт (умумий)'!$R$9+'Акт (умумий)'!$S$9</f>
        <v>-629881630</v>
      </c>
    </row>
    <row r="35" spans="2:5" x14ac:dyDescent="0.25">
      <c r="B35" s="347" t="s">
        <v>630</v>
      </c>
      <c r="C35" s="347"/>
      <c r="D35" s="347"/>
      <c r="E35" s="290" t="str">
        <f>IF($B$4&lt;&gt;$B$21,"Сана ой охири эмас",L32-E34)</f>
        <v>Сана ой охири эмас</v>
      </c>
    </row>
    <row r="36" spans="2:5" x14ac:dyDescent="0.25">
      <c r="B36" s="347" t="s">
        <v>631</v>
      </c>
      <c r="C36" s="347"/>
      <c r="D36" s="347"/>
      <c r="E36" s="290" t="str">
        <f>IF($B$4&lt;&gt;$B$21,"—",M32-'Акт (умумий)'!$T$9)</f>
        <v>—</v>
      </c>
    </row>
  </sheetData>
  <mergeCells count="9">
    <mergeCell ref="B35:D35"/>
    <mergeCell ref="B36:D36"/>
    <mergeCell ref="B27:M27"/>
    <mergeCell ref="B23:E23"/>
    <mergeCell ref="A1:E1"/>
    <mergeCell ref="A2:E2"/>
    <mergeCell ref="D7:E7"/>
    <mergeCell ref="A20:B20"/>
    <mergeCell ref="B34:D34"/>
  </mergeCells>
  <dataValidations count="1">
    <dataValidation type="date" allowBlank="1" showInputMessage="1" showErrorMessage="1" errorTitle="Нотўғри сана" error="Тўғри сана киритинг (кк.оо.йййй)." sqref="B4" xr:uid="{5D709DCA-7471-4333-9149-CB968AFFC16D}">
      <formula1>43831</formula1>
      <formula2>49674</formula2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7EA93E-5052-4687-A3B6-97C08C77104C}">
          <x14:formula1>
            <xm:f>Кўрсаткичлар!$I$11:$I$12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4A92-001E-4EAE-9BE9-EBAE9A85B26F}">
  <sheetPr>
    <pageSetUpPr fitToPage="1"/>
  </sheetPr>
  <dimension ref="A1:AA20"/>
  <sheetViews>
    <sheetView zoomScale="85" zoomScaleNormal="85" workbookViewId="0">
      <pane xSplit="2" ySplit="6" topLeftCell="I7" activePane="bottomRight" state="frozen"/>
      <selection pane="topRight" activeCell="C1" sqref="C1"/>
      <selection pane="bottomLeft" activeCell="A7" sqref="A7"/>
      <selection pane="bottomRight" activeCell="K38" sqref="K38"/>
    </sheetView>
  </sheetViews>
  <sheetFormatPr defaultRowHeight="15" x14ac:dyDescent="0.25"/>
  <cols>
    <col min="1" max="1" width="6.7109375" customWidth="1"/>
    <col min="2" max="2" width="36.5703125" bestFit="1" customWidth="1"/>
    <col min="3" max="5" width="18.140625" customWidth="1"/>
    <col min="6" max="6" width="11.42578125" customWidth="1"/>
    <col min="7" max="7" width="18.140625" customWidth="1"/>
    <col min="8" max="8" width="11.42578125" customWidth="1"/>
    <col min="9" max="9" width="18.140625" customWidth="1"/>
    <col min="10" max="10" width="11.42578125" customWidth="1"/>
    <col min="11" max="11" width="18.140625" customWidth="1"/>
    <col min="12" max="12" width="11.42578125" customWidth="1"/>
    <col min="13" max="14" width="18.140625" customWidth="1"/>
    <col min="15" max="15" width="11.42578125" customWidth="1"/>
    <col min="16" max="16" width="18.140625" customWidth="1"/>
    <col min="17" max="17" width="11.42578125" customWidth="1"/>
    <col min="18" max="19" width="18.140625" customWidth="1"/>
    <col min="20" max="20" width="15.28515625" customWidth="1"/>
    <col min="27" max="27" width="11.28515625" bestFit="1" customWidth="1"/>
  </cols>
  <sheetData>
    <row r="1" spans="1:27" ht="18.75" x14ac:dyDescent="0.3">
      <c r="A1" s="329" t="s">
        <v>214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AA1" s="103" t="s">
        <v>215</v>
      </c>
    </row>
    <row r="2" spans="1:27" x14ac:dyDescent="0.25">
      <c r="A2" s="173" t="s">
        <v>193</v>
      </c>
      <c r="B2" s="112">
        <v>46266</v>
      </c>
      <c r="D2" s="343" t="str">
        <f>"Давр: "&amp;TEXT($B$2,"ДД.ММ.ГГГГ")&amp;" — "&amp;TEXT(EOMONTH($B$2,0),"ДД.ММ.ГГГГ")</f>
        <v>Давр: 01.09.2026 — 30.09.2026</v>
      </c>
      <c r="E2" s="343"/>
      <c r="F2" s="343"/>
      <c r="G2" s="343"/>
      <c r="H2" s="343"/>
      <c r="AA2" s="69" cm="1">
        <f t="array" ref="AA2:AA5">IFERROR(_xlfn._xlws.SORT(_xlfn.UNIQUE(EOMONTH(_xlfn._xlws.FILTER(Таблица1[[Дата ]],Таблица1[[Дата ]]&lt;&gt;""),-1)+1)),"")</f>
        <v>46174</v>
      </c>
    </row>
    <row r="3" spans="1:27" x14ac:dyDescent="0.25">
      <c r="AA3" s="69">
        <v>46204</v>
      </c>
    </row>
    <row r="4" spans="1:27" ht="21.95" customHeight="1" x14ac:dyDescent="0.25">
      <c r="A4" s="357" t="s">
        <v>195</v>
      </c>
      <c r="B4" s="360" t="s">
        <v>216</v>
      </c>
      <c r="C4" s="345" t="s">
        <v>217</v>
      </c>
      <c r="D4" s="345"/>
      <c r="E4" s="360" t="s">
        <v>218</v>
      </c>
      <c r="F4" s="360"/>
      <c r="G4" s="360"/>
      <c r="H4" s="360"/>
      <c r="I4" s="360"/>
      <c r="J4" s="360"/>
      <c r="K4" s="360"/>
      <c r="L4" s="360"/>
      <c r="M4" s="360"/>
      <c r="N4" s="345" t="s">
        <v>219</v>
      </c>
      <c r="O4" s="345"/>
      <c r="P4" s="345"/>
      <c r="Q4" s="345"/>
      <c r="R4" s="360" t="s">
        <v>220</v>
      </c>
      <c r="S4" s="360"/>
      <c r="T4" s="345" t="s">
        <v>221</v>
      </c>
      <c r="AA4" s="69">
        <v>46235</v>
      </c>
    </row>
    <row r="5" spans="1:27" ht="21.95" customHeight="1" x14ac:dyDescent="0.25">
      <c r="A5" s="358"/>
      <c r="B5" s="360"/>
      <c r="C5" s="345"/>
      <c r="D5" s="345"/>
      <c r="E5" s="361" t="s">
        <v>222</v>
      </c>
      <c r="F5" s="361"/>
      <c r="G5" s="361"/>
      <c r="H5" s="361"/>
      <c r="I5" s="361" t="s">
        <v>211</v>
      </c>
      <c r="J5" s="361"/>
      <c r="K5" s="361"/>
      <c r="L5" s="361"/>
      <c r="M5" s="361" t="s">
        <v>223</v>
      </c>
      <c r="N5" s="345" t="s">
        <v>41</v>
      </c>
      <c r="O5" s="345"/>
      <c r="P5" s="345" t="s">
        <v>224</v>
      </c>
      <c r="Q5" s="345"/>
      <c r="R5" s="360"/>
      <c r="S5" s="360"/>
      <c r="T5" s="345"/>
      <c r="AA5" s="69">
        <v>46266</v>
      </c>
    </row>
    <row r="6" spans="1:27" ht="21.95" customHeight="1" x14ac:dyDescent="0.25">
      <c r="A6" s="359"/>
      <c r="B6" s="360"/>
      <c r="C6" s="185" t="s">
        <v>41</v>
      </c>
      <c r="D6" s="185" t="s">
        <v>224</v>
      </c>
      <c r="E6" s="187" t="s">
        <v>225</v>
      </c>
      <c r="F6" s="187" t="s">
        <v>226</v>
      </c>
      <c r="G6" s="187" t="s">
        <v>227</v>
      </c>
      <c r="H6" s="187" t="s">
        <v>226</v>
      </c>
      <c r="I6" s="187" t="s">
        <v>225</v>
      </c>
      <c r="J6" s="187" t="s">
        <v>228</v>
      </c>
      <c r="K6" s="187" t="s">
        <v>227</v>
      </c>
      <c r="L6" s="187" t="s">
        <v>228</v>
      </c>
      <c r="M6" s="361"/>
      <c r="N6" s="185" t="s">
        <v>199</v>
      </c>
      <c r="O6" s="185" t="s">
        <v>228</v>
      </c>
      <c r="P6" s="185" t="s">
        <v>199</v>
      </c>
      <c r="Q6" s="185" t="s">
        <v>228</v>
      </c>
      <c r="R6" s="186" t="s">
        <v>41</v>
      </c>
      <c r="S6" s="186" t="s">
        <v>224</v>
      </c>
      <c r="T6" s="345"/>
      <c r="AA6" s="69"/>
    </row>
    <row r="7" spans="1:27" x14ac:dyDescent="0.25">
      <c r="A7" s="73">
        <v>1</v>
      </c>
      <c r="B7" s="109" t="str">
        <f>Кўрсаткичлар!I11</f>
        <v>Коалс</v>
      </c>
      <c r="C7" s="95">
        <f>SUMIFS(ТўловПоставшик[Сумма],ТўловПоставшик[Получател],$B7,ТўловПоставшик[В-о],"Касса",ТўловПоставшик[Дата],"&gt;="&amp;$B$2,ТўловПоставшик[Дата],"&lt;="&amp;EOMONTH($B$2,0))+SUMIFS(ПоддонЗаводга[Қайтариш харажати жами],ПоддонЗаводга[Қабул қилувчи],$B7,ПоддонЗаводга[Дата],"&gt;="&amp;$B$2,ПоддонЗаводга[Дата],"&lt;="&amp;EOMONTH($B$2,0))</f>
        <v>0</v>
      </c>
      <c r="D7" s="95">
        <f>SUMIFS(ТўловПоставшик[Сумма],ТўловПоставшик[Получател],$B7,ТўловПоставшик[В-о],"Перечисления",ТўловПоставшик[Дата],"&gt;="&amp;$B$2,ТўловПоставшик[Дата],"&lt;="&amp;EOMONTH($B$2,0))</f>
        <v>0</v>
      </c>
      <c r="E7" s="95">
        <f>SUMIFS(Товар!$J:$J,Товар!$B:$B,$B7,Товар!$A:$A,"Касса",Товар!$E:$E,"&gt;="&amp;$B$2,Товар!$E:$E,"&lt;="&amp;EOMONTH($B$2,0))</f>
        <v>0</v>
      </c>
      <c r="F7" s="96">
        <f>SUMIFS(Товар!$H:$H,Товар!$B:$B,$B7,Товар!$A:$A,"Касса",Товар!$E:$E,"&gt;="&amp;$B$2,Товар!$E:$E,"&lt;="&amp;EOMONTH($B$2,0))</f>
        <v>0</v>
      </c>
      <c r="G7" s="95">
        <f>SUMIFS(Товар!$J:$J,Товар!$B:$B,$B7,Товар!$A:$A,"Перечисления",Товар!$E:$E,"&gt;="&amp;$B$2,Товар!$E:$E,"&lt;="&amp;EOMONTH($B$2,0))</f>
        <v>0</v>
      </c>
      <c r="H7" s="96">
        <f>SUMIFS(Товар!$H:$H,Товар!$B:$B,$B7,Товар!$A:$A,"Перечисления",Товар!$E:$E,"&gt;="&amp;$B$2,Товар!$E:$E,"&lt;="&amp;EOMONTH($B$2,0))</f>
        <v>0</v>
      </c>
      <c r="I7" s="95">
        <f>SUMIFS(Товар!$M:$M,Товар!$B:$B,$B7,Товар!$A:$A,"Касса",Товар!$E:$E,"&gt;="&amp;$B$2,Товар!$E:$E,"&lt;="&amp;EOMONTH($B$2,0))</f>
        <v>0</v>
      </c>
      <c r="J7" s="97">
        <f>SUMIFS(Товар!$K:$K,Товар!$B:$B,$B7,Товар!$A:$A,"Касса",Товар!$E:$E,"&gt;="&amp;$B$2,Товар!$E:$E,"&lt;="&amp;EOMONTH($B$2,0))</f>
        <v>0</v>
      </c>
      <c r="K7" s="95">
        <f>SUMIFS(Товар!$M:$M,Товар!$B:$B,$B7,Товар!$A:$A,"Перечисления",Товар!$E:$E,"&gt;="&amp;$B$2,Товар!$E:$E,"&lt;="&amp;EOMONTH($B$2,0))</f>
        <v>0</v>
      </c>
      <c r="L7" s="97">
        <f>SUMIFS(Товар!$K:$K,Товар!$B:$B,$B7,Товар!$A:$A,"Перечисления",Товар!$E:$E,"&gt;="&amp;$B$2,Товар!$E:$E,"&lt;="&amp;EOMONTH($B$2,0))</f>
        <v>0</v>
      </c>
      <c r="M7" s="95">
        <f>E7+G7+I7+K7</f>
        <v>0</v>
      </c>
      <c r="N7" s="95">
        <f>O7*Кўрсаткичлар!$B$4</f>
        <v>0</v>
      </c>
      <c r="O7" s="97">
        <f>SUMIFS(ПоддонЗаводга[Поддон сони],ПоддонЗаводга[Қабул қилувчи],$B7,ПоддонЗаводга[Дата],"&gt;="&amp;$B$2,ПоддонЗаводга[Дата],"&lt;="&amp;EOMONTH($B$2,0),ПоддонЗаводга[Тўлов тури],"Касса")</f>
        <v>0</v>
      </c>
      <c r="P7" s="95">
        <f>Q7*Кўрсаткичлар!$B$4</f>
        <v>0</v>
      </c>
      <c r="Q7" s="97">
        <f>SUMIFS(ПоддонЗаводга[Поддон сони],ПоддонЗаводга[Қабул қилувчи],$B7,ПоддонЗаводга[Дата],"&gt;="&amp;$B$2,ПоддонЗаводга[Дата],"&lt;="&amp;EOMONTH($B$2,0),ПоддонЗаводга[Тўлов тури],"Перечисления")</f>
        <v>0</v>
      </c>
      <c r="R7" s="104">
        <f>SUMIFS(ТўловПоставшик[Сумма],ТўловПоставшик[Получател],$B7,ТўловПоставшик[В-о],"Касса",ТўловПоставшик[Дата],"&lt;="&amp;EOMONTH($B$2,0))+SUMIFS(ПоддонЗаводга[Қайтариш харажати жами],ПоддонЗаводга[Қабул қилувчи],$B7,ПоддонЗаводга[Дата],"&lt;="&amp;EOMONTH($B$2,0))-SUMIFS(Товар!$N:$N,Товар!$B:$B,$B7,Товар!$A:$A,"Касса",Товар!$E:$E,"&lt;="&amp;EOMONTH($B$2,0))+SUMIFS(ПоддонЗаводга[Поддон сони],ПоддонЗаводга[Қабул қилувчи],$B7,ПоддонЗаводга[Дата],"&lt;="&amp;EOMONTH($B$2,0),ПоддонЗаводга[Тўлов тури],"Касса")*Кўрсаткичлар!$B$4</f>
        <v>48934352</v>
      </c>
      <c r="S7" s="104">
        <f>SUMIFS(ТўловПоставшик[Сумма],ТўловПоставшик[Получател],$B7,ТўловПоставшик[В-о],"Перечисления",ТўловПоставшик[Дата],"&lt;="&amp;EOMONTH($B$2,0))-SUMIFS(Товар!$N:$N,Товар!$B:$B,$B7,Товар!$A:$A,"Перечисления",Товар!$E:$E,"&lt;="&amp;EOMONTH($B$2,0))+SUMIFS(ПоддонЗаводга[Поддон сони],ПоддонЗаводга[Қабул қилувчи],$B7,ПоддонЗаводга[Дата],"&lt;="&amp;EOMONTH($B$2,0),ПоддонЗаводга[Тўлов тури],"Перечисления")*Кўрсаткичлар!$B$4</f>
        <v>-8012570</v>
      </c>
      <c r="T7" s="97">
        <f>SUMIFS(Товар!$K:$K,Товар!$B:$B,$B7,Товар!$E:$E,"&lt;="&amp;EOMONTH($B$2,0))-SUMIFS(ПоддонЗаводга[Поддон сони],ПоддонЗаводга[Қабул қилувчи],$B7,ПоддонЗаводга[Дата],"&lt;="&amp;EOMONTH($B$2,0))</f>
        <v>0</v>
      </c>
      <c r="AA7" s="69"/>
    </row>
    <row r="8" spans="1:27" x14ac:dyDescent="0.25">
      <c r="A8" s="73">
        <v>2</v>
      </c>
      <c r="B8" s="109" t="str">
        <f>Кўрсаткичлар!I12</f>
        <v>Ментора</v>
      </c>
      <c r="C8" s="95">
        <f>SUMIFS(ТўловПоставшик[Сумма],ТўловПоставшик[Получател],$B8,ТўловПоставшик[В-о],"Касса",ТўловПоставшик[Дата],"&gt;="&amp;$B$2,ТўловПоставшик[Дата],"&lt;="&amp;EOMONTH($B$2,0))+SUMIFS(ПоддонЗаводга[Қайтариш харажати жами],ПоддонЗаводга[Қабул қилувчи],$B8,ПоддонЗаводга[Дата],"&gt;="&amp;$B$2,ПоддонЗаводга[Дата],"&lt;="&amp;EOMONTH($B$2,0))</f>
        <v>0</v>
      </c>
      <c r="D8" s="95">
        <f>SUMIFS(ТўловПоставшик[Сумма],ТўловПоставшик[Получател],$B8,ТўловПоставшик[В-о],"Перечисления",ТўловПоставшик[Дата],"&gt;="&amp;$B$2,ТўловПоставшик[Дата],"&lt;="&amp;EOMONTH($B$2,0))</f>
        <v>350000000</v>
      </c>
      <c r="E8" s="95">
        <f>SUMIFS(Товар!$J:$J,Товар!$B:$B,$B8,Товар!$A:$A,"Касса",Товар!$E:$E,"&gt;="&amp;$B$2,Товар!$E:$E,"&lt;="&amp;EOMONTH($B$2,0))</f>
        <v>0</v>
      </c>
      <c r="F8" s="96">
        <f>SUMIFS(Товар!$H:$H,Товар!$B:$B,$B8,Товар!$A:$A,"Касса",Товар!$E:$E,"&gt;="&amp;$B$2,Товар!$E:$E,"&lt;="&amp;EOMONTH($B$2,0))</f>
        <v>0</v>
      </c>
      <c r="G8" s="95">
        <f>SUMIFS(Товар!$J:$J,Товар!$B:$B,$B8,Товар!$A:$A,"Перечисления",Товар!$E:$E,"&gt;="&amp;$B$2,Товар!$E:$E,"&lt;="&amp;EOMONTH($B$2,0))</f>
        <v>245684934</v>
      </c>
      <c r="H8" s="96">
        <f>SUMIFS(Товар!$H:$H,Товар!$B:$B,$B8,Товар!$A:$A,"Перечисления",Товар!$E:$E,"&gt;="&amp;$B$2,Товар!$E:$E,"&lt;="&amp;EOMONTH($B$2,0))</f>
        <v>427.46399999999994</v>
      </c>
      <c r="I8" s="95">
        <f>SUMIFS(Товар!$M:$M,Товар!$B:$B,$B8,Товар!$A:$A,"Касса",Товар!$E:$E,"&gt;="&amp;$B$2,Товар!$E:$E,"&lt;="&amp;EOMONTH($B$2,0))</f>
        <v>0</v>
      </c>
      <c r="J8" s="97">
        <f>SUMIFS(Товар!$K:$K,Товар!$B:$B,$B8,Товар!$A:$A,"Касса",Товар!$E:$E,"&gt;="&amp;$B$2,Товар!$E:$E,"&lt;="&amp;EOMONTH($B$2,0))</f>
        <v>0</v>
      </c>
      <c r="K8" s="95">
        <f>SUMIFS(Товар!$M:$M,Товар!$B:$B,$B8,Товар!$A:$A,"Перечисления",Товар!$E:$E,"&gt;="&amp;$B$2,Товар!$E:$E,"&lt;="&amp;EOMONTH($B$2,0))</f>
        <v>32110000</v>
      </c>
      <c r="L8" s="97">
        <f>SUMIFS(Товар!$K:$K,Товар!$B:$B,$B8,Товар!$A:$A,"Перечисления",Товар!$E:$E,"&gt;="&amp;$B$2,Товар!$E:$E,"&lt;="&amp;EOMONTH($B$2,0))</f>
        <v>247</v>
      </c>
      <c r="M8" s="95">
        <f>E8+G8+I8+K8</f>
        <v>277794934</v>
      </c>
      <c r="N8" s="95">
        <f>O8*Кўрсаткичлар!$B$4</f>
        <v>0</v>
      </c>
      <c r="O8" s="97">
        <f>SUMIFS(ПоддонЗаводга[Поддон сони],ПоддонЗаводга[Қабул қилувчи],$B8,ПоддонЗаводга[Дата],"&gt;="&amp;$B$2,ПоддонЗаводга[Дата],"&lt;="&amp;EOMONTH($B$2,0),ПоддонЗаводга[Тўлов тури],"Касса")</f>
        <v>0</v>
      </c>
      <c r="P8" s="95">
        <f>Q8*Кўрсаткичлар!$B$4</f>
        <v>0</v>
      </c>
      <c r="Q8" s="97">
        <f>SUMIFS(ПоддонЗаводга[Поддон сони],ПоддонЗаводга[Қабул қилувчи],$B8,ПоддонЗаводга[Дата],"&gt;="&amp;$B$2,ПоддонЗаводга[Дата],"&lt;="&amp;EOMONTH($B$2,0),ПоддонЗаводга[Тўлов тури],"Перечисления")</f>
        <v>0</v>
      </c>
      <c r="R8" s="104">
        <f>SUMIFS(ТўловПоставшик[Сумма],ТўловПоставшик[Получател],$B8,ТўловПоставшик[В-о],"Касса",ТўловПоставшик[Дата],"&lt;="&amp;EOMONTH($B$2,0))+SUMIFS(ПоддонЗаводга[Қайтариш харажати жами],ПоддонЗаводга[Қабул қилувчи],$B8,ПоддонЗаводга[Дата],"&lt;="&amp;EOMONTH($B$2,0))-SUMIFS(Товар!$N:$N,Товар!$B:$B,$B8,Товар!$A:$A,"Касса",Товар!$E:$E,"&lt;="&amp;EOMONTH($B$2,0))+SUMIFS(ПоддонЗаводга[Поддон сони],ПоддонЗаводга[Қабул қилувчи],$B8,ПоддонЗаводга[Дата],"&lt;="&amp;EOMONTH($B$2,0),ПоддонЗаводга[Тўлов тури],"Касса")*Кўрсаткичлар!$B$4</f>
        <v>0</v>
      </c>
      <c r="S8" s="104">
        <f>SUMIFS(ТўловПоставшик[Сумма],ТўловПоставшик[Получател],$B8,ТўловПоставшик[В-о],"Перечисления",ТўловПоставшик[Дата],"&lt;="&amp;EOMONTH($B$2,0))-SUMIFS(Товар!$N:$N,Товар!$B:$B,$B8,Товар!$A:$A,"Перечисления",Товар!$E:$E,"&lt;="&amp;EOMONTH($B$2,0))+SUMIFS(ПоддонЗаводга[Поддон сони],ПоддонЗаводга[Қабул қилувчи],$B8,ПоддонЗаводга[Дата],"&lt;="&amp;EOMONTH($B$2,0),ПоддонЗаводга[Тўлов тури],"Перечисления")*Кўрсаткичлар!$B$4</f>
        <v>-670803412</v>
      </c>
      <c r="T8" s="97">
        <f>SUMIFS(Товар!$K:$K,Товар!$B:$B,$B8,Товар!$E:$E,"&lt;="&amp;EOMONTH($B$2,0))-SUMIFS(ПоддонЗаводга[Поддон сони],ПоддонЗаводга[Қабул қилувчи],$B8,ПоддонЗаводга[Дата],"&lt;="&amp;EOMONTH($B$2,0))</f>
        <v>4000</v>
      </c>
      <c r="AA8" s="69"/>
    </row>
    <row r="9" spans="1:27" x14ac:dyDescent="0.25">
      <c r="A9" s="74"/>
      <c r="B9" s="110" t="s">
        <v>138</v>
      </c>
      <c r="C9" s="105">
        <f t="shared" ref="C9:T9" si="0">SUM(C7:C8)</f>
        <v>0</v>
      </c>
      <c r="D9" s="105">
        <f t="shared" si="0"/>
        <v>350000000</v>
      </c>
      <c r="E9" s="105">
        <f t="shared" si="0"/>
        <v>0</v>
      </c>
      <c r="F9" s="106">
        <f t="shared" si="0"/>
        <v>0</v>
      </c>
      <c r="G9" s="105">
        <f t="shared" si="0"/>
        <v>245684934</v>
      </c>
      <c r="H9" s="106">
        <f t="shared" si="0"/>
        <v>427.46399999999994</v>
      </c>
      <c r="I9" s="105">
        <f t="shared" si="0"/>
        <v>0</v>
      </c>
      <c r="J9" s="107">
        <f t="shared" si="0"/>
        <v>0</v>
      </c>
      <c r="K9" s="105">
        <f t="shared" si="0"/>
        <v>32110000</v>
      </c>
      <c r="L9" s="107">
        <f t="shared" si="0"/>
        <v>247</v>
      </c>
      <c r="M9" s="105">
        <f t="shared" si="0"/>
        <v>277794934</v>
      </c>
      <c r="N9" s="105">
        <f t="shared" si="0"/>
        <v>0</v>
      </c>
      <c r="O9" s="107">
        <f t="shared" si="0"/>
        <v>0</v>
      </c>
      <c r="P9" s="105">
        <f t="shared" si="0"/>
        <v>0</v>
      </c>
      <c r="Q9" s="107">
        <f t="shared" si="0"/>
        <v>0</v>
      </c>
      <c r="R9" s="108">
        <f t="shared" si="0"/>
        <v>48934352</v>
      </c>
      <c r="S9" s="108">
        <f t="shared" si="0"/>
        <v>-678815982</v>
      </c>
      <c r="T9" s="107">
        <f t="shared" si="0"/>
        <v>4000</v>
      </c>
      <c r="AA9" s="69"/>
    </row>
    <row r="10" spans="1:27" x14ac:dyDescent="0.25">
      <c r="AA10" s="69"/>
    </row>
    <row r="11" spans="1:27" ht="15.75" x14ac:dyDescent="0.25">
      <c r="A11" s="364" t="s">
        <v>229</v>
      </c>
      <c r="B11" s="364"/>
      <c r="C11" s="364"/>
      <c r="D11" s="364"/>
      <c r="E11" s="364"/>
      <c r="F11" s="364"/>
      <c r="G11" s="364"/>
      <c r="H11" s="364"/>
      <c r="I11" s="364"/>
      <c r="J11" s="364"/>
      <c r="K11" s="364"/>
      <c r="L11" s="364"/>
      <c r="M11" s="364"/>
      <c r="N11" s="364"/>
      <c r="O11" s="364"/>
      <c r="P11" s="364"/>
      <c r="Q11" s="364"/>
      <c r="R11" s="364"/>
      <c r="S11" s="364"/>
      <c r="T11" s="364"/>
      <c r="AA11" s="69"/>
    </row>
    <row r="12" spans="1:27" x14ac:dyDescent="0.25">
      <c r="A12" s="186"/>
      <c r="B12" s="186"/>
      <c r="C12" s="185" t="s">
        <v>41</v>
      </c>
      <c r="D12" s="185" t="s">
        <v>224</v>
      </c>
      <c r="E12" s="187" t="s">
        <v>225</v>
      </c>
      <c r="F12" s="187" t="s">
        <v>226</v>
      </c>
      <c r="G12" s="187" t="s">
        <v>227</v>
      </c>
      <c r="H12" s="187" t="s">
        <v>226</v>
      </c>
      <c r="I12" s="187" t="s">
        <v>225</v>
      </c>
      <c r="J12" s="187" t="s">
        <v>228</v>
      </c>
      <c r="K12" s="187" t="s">
        <v>227</v>
      </c>
      <c r="L12" s="187" t="s">
        <v>228</v>
      </c>
      <c r="M12" s="187"/>
      <c r="N12" s="185" t="s">
        <v>199</v>
      </c>
      <c r="O12" s="185" t="s">
        <v>228</v>
      </c>
      <c r="P12" s="185" t="s">
        <v>199</v>
      </c>
      <c r="Q12" s="185" t="s">
        <v>228</v>
      </c>
      <c r="R12" s="186" t="s">
        <v>41</v>
      </c>
      <c r="S12" s="186" t="s">
        <v>224</v>
      </c>
      <c r="T12" s="185"/>
      <c r="AA12" s="69"/>
    </row>
    <row r="13" spans="1:27" x14ac:dyDescent="0.25">
      <c r="A13" s="118">
        <v>1</v>
      </c>
      <c r="B13" s="127" t="str">
        <f>Кўрсаткичлар!I11</f>
        <v>Коалс</v>
      </c>
      <c r="C13" s="119">
        <f>SUMIFS(ТўловПоставшик[Сумма],ТўловПоставшик[Получател],$B13,ТўловПоставшик[В-о],"Касса")+SUMIFS(ПоддонЗаводга[Қайтариш харажати жами],ПоддонЗаводга[Қабул қилувчи],$B13)</f>
        <v>69368000</v>
      </c>
      <c r="D13" s="119">
        <f>SUMIFS(ТўловПоставшик[Сумма],ТўловПоставшик[Получател],$B13,ТўловПоставшик[В-о],"Перечисления")</f>
        <v>2345089420</v>
      </c>
      <c r="E13" s="119">
        <f>SUMIFS(Товар!$J:$J,Товар!$B:$B,$B13,Товар!$A:$A,"Касса")</f>
        <v>60993648</v>
      </c>
      <c r="F13" s="120">
        <f>SUMIFS(Товар!$H:$H,Товар!$B:$B,$B13,Товар!$A:$A,"Касса")</f>
        <v>119.232</v>
      </c>
      <c r="G13" s="119">
        <f>SUMIFS(Товар!$J:$J,Товар!$B:$B,$B13,Товар!$A:$A,"Перечисления")</f>
        <v>2312541990</v>
      </c>
      <c r="H13" s="120">
        <f>SUMIFS(Товар!$H:$H,Товар!$B:$B,$B13,Товар!$A:$A,"Перечисления")</f>
        <v>4065.1919999999959</v>
      </c>
      <c r="I13" s="119">
        <f>SUMIFS(Товар!$M:$M,Товар!$B:$B,$B13,Товар!$A:$A,"Касса")</f>
        <v>8970000</v>
      </c>
      <c r="J13" s="121">
        <f>SUMIFS(Товар!$K:$K,Товар!$B:$B,$B13,Товар!$A:$A,"Касса")</f>
        <v>69</v>
      </c>
      <c r="K13" s="119">
        <f>SUMIFS(Товар!$M:$M,Товар!$B:$B,$B13,Товар!$A:$A,"Перечисления")</f>
        <v>305760000</v>
      </c>
      <c r="L13" s="121">
        <f>SUMIFS(Товар!$K:$K,Товар!$B:$B,$B13,Товар!$A:$A,"Перечисления")</f>
        <v>2352</v>
      </c>
      <c r="M13" s="119">
        <f>E13+G13+I13+K13</f>
        <v>2688265638</v>
      </c>
      <c r="N13" s="119">
        <f>O13*Кўрсаткичлар!$B$4</f>
        <v>49530000</v>
      </c>
      <c r="O13" s="121">
        <f>SUMIFS(ПоддонЗаводга[Поддон сони],ПоддонЗаводга[Қабул қилувчи],$B13,ПоддонЗаводга[Тўлов тури],"Касса")</f>
        <v>381</v>
      </c>
      <c r="P13" s="119">
        <f>Q13*Кўрсаткичлар!$B$4</f>
        <v>265200000</v>
      </c>
      <c r="Q13" s="121">
        <f>SUMIFS(ПоддонЗаводга[Поддон сони],ПоддонЗаводга[Қабул қилувчи],$B13,ПоддонЗаводга[Тўлов тури],"Перечисления")</f>
        <v>2040</v>
      </c>
      <c r="R13" s="105">
        <f>C13-E13-I13+N13</f>
        <v>48934352</v>
      </c>
      <c r="S13" s="105">
        <f>D13-G13-K13+P13</f>
        <v>-8012570</v>
      </c>
      <c r="T13" s="121">
        <f>SUMIFS(Товар!$K:$K,Товар!$B:$B,$B13)-SUMIFS(ПоддонЗаводга[Поддон сони],ПоддонЗаводга[Қабул қилувчи],$B13)</f>
        <v>0</v>
      </c>
      <c r="AA13" s="69"/>
    </row>
    <row r="14" spans="1:27" x14ac:dyDescent="0.25">
      <c r="A14" s="122">
        <v>2</v>
      </c>
      <c r="B14" s="128" t="str">
        <f>Кўрсаткичлар!I12</f>
        <v>Ментора</v>
      </c>
      <c r="C14" s="123">
        <f>SUMIFS(ТўловПоставшик[Сумма],ТўловПоставшик[Получател],$B14,ТўловПоставшик[В-о],"Касса")+SUMIFS(ПоддонЗаводга[Қайтариш харажати жами],ПоддонЗаводга[Қабул қилувчи],$B14)</f>
        <v>0</v>
      </c>
      <c r="D14" s="123">
        <f>SUMIFS(ТўловПоставшик[Сумма],ТўловПоставшик[Получател],$B14,ТўловПоставшик[В-о],"Перечисления")</f>
        <v>4926900000</v>
      </c>
      <c r="E14" s="123">
        <f>SUMIFS(Товар!$J:$J,Товар!$B:$B,$B14,Товар!$A:$A,"Касса")</f>
        <v>0</v>
      </c>
      <c r="F14" s="124">
        <f>SUMIFS(Товар!$H:$H,Товар!$B:$B,$B14,Товар!$A:$A,"Касса")</f>
        <v>0</v>
      </c>
      <c r="G14" s="123">
        <f>SUMIFS(Товар!$J:$J,Товар!$B:$B,$B14,Товар!$A:$A,"Перечисления")</f>
        <v>5077703412</v>
      </c>
      <c r="H14" s="124">
        <f>SUMIFS(Товар!$H:$H,Товар!$B:$B,$B14,Товар!$A:$A,"Перечисления")</f>
        <v>8596.0800000000399</v>
      </c>
      <c r="I14" s="123">
        <f>SUMIFS(Товар!$M:$M,Товар!$B:$B,$B14,Товар!$A:$A,"Касса")</f>
        <v>0</v>
      </c>
      <c r="J14" s="125">
        <f>SUMIFS(Товар!$K:$K,Товар!$B:$B,$B14,Товар!$A:$A,"Касса")</f>
        <v>0</v>
      </c>
      <c r="K14" s="123">
        <f>SUMIFS(Товар!$M:$M,Товар!$B:$B,$B14,Товар!$A:$A,"Перечисления")</f>
        <v>646230000</v>
      </c>
      <c r="L14" s="125">
        <f>SUMIFS(Товар!$K:$K,Товар!$B:$B,$B14,Товар!$A:$A,"Перечисления")</f>
        <v>4971</v>
      </c>
      <c r="M14" s="123">
        <f>E14+G14+I14+K14</f>
        <v>5723933412</v>
      </c>
      <c r="N14" s="123">
        <f>O14*Кўрсаткичлар!$B$4</f>
        <v>0</v>
      </c>
      <c r="O14" s="125">
        <f>SUMIFS(ПоддонЗаводга[Поддон сони],ПоддонЗаводга[Қабул қилувчи],$B14,ПоддонЗаводга[Тўлов тури],"Касса")</f>
        <v>0</v>
      </c>
      <c r="P14" s="123">
        <f>Q14*Кўрсаткичлар!$B$4</f>
        <v>126230000</v>
      </c>
      <c r="Q14" s="125">
        <f>SUMIFS(ПоддонЗаводга[Поддон сони],ПоддонЗаводга[Қабул қилувчи],$B14,ПоддонЗаводга[Тўлов тури],"Перечисления")</f>
        <v>971</v>
      </c>
      <c r="R14" s="126">
        <f>C14-E14-I14+N14</f>
        <v>0</v>
      </c>
      <c r="S14" s="126">
        <f>D14-G14-K14+P14</f>
        <v>-670803412</v>
      </c>
      <c r="T14" s="125">
        <f>SUMIFS(Товар!$K:$K,Товар!$B:$B,$B14)-SUMIFS(ПоддонЗаводга[Поддон сони],ПоддонЗаводга[Қабул қилувчи],$B14)</f>
        <v>4000</v>
      </c>
      <c r="AA14" s="69"/>
    </row>
    <row r="15" spans="1:27" x14ac:dyDescent="0.25">
      <c r="A15" s="113"/>
      <c r="B15" s="129" t="s">
        <v>230</v>
      </c>
      <c r="C15" s="114">
        <f t="shared" ref="C15:T15" si="1">SUM(C13:C14)</f>
        <v>69368000</v>
      </c>
      <c r="D15" s="114">
        <f t="shared" si="1"/>
        <v>7271989420</v>
      </c>
      <c r="E15" s="114">
        <f t="shared" si="1"/>
        <v>60993648</v>
      </c>
      <c r="F15" s="115">
        <f t="shared" si="1"/>
        <v>119.232</v>
      </c>
      <c r="G15" s="114">
        <f t="shared" si="1"/>
        <v>7390245402</v>
      </c>
      <c r="H15" s="115">
        <f t="shared" si="1"/>
        <v>12661.272000000035</v>
      </c>
      <c r="I15" s="114">
        <f t="shared" si="1"/>
        <v>8970000</v>
      </c>
      <c r="J15" s="116">
        <f t="shared" si="1"/>
        <v>69</v>
      </c>
      <c r="K15" s="114">
        <f t="shared" si="1"/>
        <v>951990000</v>
      </c>
      <c r="L15" s="116">
        <f t="shared" si="1"/>
        <v>7323</v>
      </c>
      <c r="M15" s="114">
        <f t="shared" si="1"/>
        <v>8412199050</v>
      </c>
      <c r="N15" s="114">
        <f t="shared" si="1"/>
        <v>49530000</v>
      </c>
      <c r="O15" s="116">
        <f t="shared" si="1"/>
        <v>381</v>
      </c>
      <c r="P15" s="114">
        <f t="shared" si="1"/>
        <v>391430000</v>
      </c>
      <c r="Q15" s="116">
        <f t="shared" si="1"/>
        <v>3011</v>
      </c>
      <c r="R15" s="117">
        <f t="shared" si="1"/>
        <v>48934352</v>
      </c>
      <c r="S15" s="117">
        <f t="shared" si="1"/>
        <v>-678815982</v>
      </c>
      <c r="T15" s="116">
        <f t="shared" si="1"/>
        <v>4000</v>
      </c>
      <c r="AA15" s="69"/>
    </row>
    <row r="16" spans="1:27" ht="24" x14ac:dyDescent="0.4">
      <c r="R16" s="362">
        <f>S15+R15</f>
        <v>-629881630</v>
      </c>
      <c r="S16" s="363"/>
      <c r="AA16" s="69"/>
    </row>
    <row r="17" spans="1:27" x14ac:dyDescent="0.25">
      <c r="A17" s="337" t="s">
        <v>690</v>
      </c>
      <c r="B17" s="337"/>
      <c r="C17" s="337"/>
      <c r="D17" s="337"/>
      <c r="E17" s="337"/>
      <c r="F17" s="337"/>
      <c r="G17" s="337"/>
      <c r="H17" s="337"/>
      <c r="I17" s="337"/>
      <c r="J17" s="337"/>
      <c r="K17" s="337"/>
      <c r="L17" s="337"/>
      <c r="M17" s="337"/>
      <c r="N17" s="337"/>
      <c r="O17" s="337"/>
      <c r="P17" s="337"/>
      <c r="Q17" s="337"/>
      <c r="R17" s="337"/>
      <c r="S17" s="337"/>
      <c r="T17" s="337"/>
      <c r="AA17" s="69"/>
    </row>
    <row r="18" spans="1:27" x14ac:dyDescent="0.25">
      <c r="AA18" s="69"/>
    </row>
    <row r="19" spans="1:27" x14ac:dyDescent="0.25">
      <c r="AA19" s="69"/>
    </row>
    <row r="20" spans="1:27" x14ac:dyDescent="0.25">
      <c r="AA20" s="69"/>
    </row>
  </sheetData>
  <mergeCells count="17">
    <mergeCell ref="R16:S16"/>
    <mergeCell ref="A11:T11"/>
    <mergeCell ref="A17:T17"/>
    <mergeCell ref="T4:T6"/>
    <mergeCell ref="A1:R1"/>
    <mergeCell ref="D2:H2"/>
    <mergeCell ref="A4:A6"/>
    <mergeCell ref="B4:B6"/>
    <mergeCell ref="C4:D5"/>
    <mergeCell ref="E4:M4"/>
    <mergeCell ref="N4:Q4"/>
    <mergeCell ref="R4:S5"/>
    <mergeCell ref="E5:H5"/>
    <mergeCell ref="I5:L5"/>
    <mergeCell ref="M5:M6"/>
    <mergeCell ref="N5:O5"/>
    <mergeCell ref="P5:Q5"/>
  </mergeCells>
  <dataValidations count="1">
    <dataValidation type="list" allowBlank="1" showInputMessage="1" showErrorMessage="1" sqref="B2" xr:uid="{1E0ACEEA-EAFD-469C-B297-975F677821D1}">
      <formula1>$AA$2:$AA$20</formula1>
    </dataValidation>
  </dataValidations>
  <pageMargins left="0.12" right="0.12" top="0.75" bottom="0.75" header="0.3" footer="0.3"/>
  <pageSetup paperSize="9" scale="37" orientation="landscape" horizontalDpi="0" verticalDpi="0" r:id="rId1"/>
  <ignoredErrors>
    <ignoredError sqref="O13:O14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04369-CE00-40F5-B65E-432E3A889C83}">
  <dimension ref="A1:L64"/>
  <sheetViews>
    <sheetView zoomScaleNormal="100" workbookViewId="0">
      <pane ySplit="9" topLeftCell="A17" activePane="bottomLeft" state="frozen"/>
      <selection pane="bottomLeft" activeCell="A30" sqref="A30:G62"/>
    </sheetView>
  </sheetViews>
  <sheetFormatPr defaultRowHeight="15" outlineLevelRow="1" x14ac:dyDescent="0.25"/>
  <cols>
    <col min="1" max="1" width="10.7109375" bestFit="1" customWidth="1"/>
    <col min="2" max="2" width="21" customWidth="1"/>
    <col min="3" max="3" width="19" bestFit="1" customWidth="1"/>
    <col min="4" max="4" width="15.5703125" bestFit="1" customWidth="1"/>
    <col min="5" max="6" width="20" customWidth="1"/>
    <col min="7" max="7" width="19.5703125" bestFit="1" customWidth="1"/>
    <col min="8" max="9" width="20" customWidth="1"/>
    <col min="10" max="10" width="14.7109375" bestFit="1" customWidth="1"/>
    <col min="11" max="11" width="9.85546875" bestFit="1" customWidth="1"/>
    <col min="12" max="12" width="21" customWidth="1"/>
    <col min="13" max="13" width="9.85546875" bestFit="1" customWidth="1"/>
    <col min="14" max="14" width="10.85546875" bestFit="1" customWidth="1"/>
    <col min="18" max="18" width="11" bestFit="1" customWidth="1"/>
  </cols>
  <sheetData>
    <row r="1" spans="1:12" ht="21" x14ac:dyDescent="0.35">
      <c r="A1" s="365" t="s">
        <v>231</v>
      </c>
      <c r="B1" s="365"/>
      <c r="C1" s="365"/>
      <c r="D1" s="365"/>
      <c r="E1" s="365"/>
      <c r="F1" s="365"/>
      <c r="G1" s="365"/>
      <c r="H1" s="365"/>
      <c r="I1" s="365"/>
    </row>
    <row r="2" spans="1:12" ht="15.75" outlineLevel="1" thickBot="1" x14ac:dyDescent="0.3">
      <c r="L2" s="260" t="s">
        <v>655</v>
      </c>
    </row>
    <row r="3" spans="1:12" ht="17.100000000000001" customHeight="1" outlineLevel="1" thickBot="1" x14ac:dyDescent="0.3">
      <c r="A3" s="370" t="s">
        <v>193</v>
      </c>
      <c r="B3" s="370"/>
      <c r="C3" s="370"/>
      <c r="D3" s="263">
        <v>46235</v>
      </c>
      <c r="F3" s="371" t="str">
        <f>"Давр: "&amp;TEXT($D$3,"ДД.ММ.ГГГГ")&amp;" — "&amp;TEXT(EOMONTH($D$3,0),"ДД.ММ.ГГГГ")</f>
        <v>Давр: 01.08.2026 — 31.08.2026</v>
      </c>
      <c r="G3" s="328"/>
      <c r="H3" s="328"/>
      <c r="I3" s="328"/>
      <c r="L3" s="261" cm="1">
        <f t="array" ref="L3:L6">IFERROR(_xlfn._xlws.SORT(_xlfn.UNIQUE(EOMONTH(_xlfn._xlws.FILTER(Товар!$E$4:$E$4992,Товар!$E$4:$E$4992&lt;&gt;""),-1)+1)),"")</f>
        <v>46174</v>
      </c>
    </row>
    <row r="4" spans="1:12" ht="17.100000000000001" customHeight="1" outlineLevel="1" x14ac:dyDescent="0.25">
      <c r="A4" s="370" t="s">
        <v>654</v>
      </c>
      <c r="B4" s="370"/>
      <c r="C4" s="370"/>
      <c r="D4" s="236">
        <f>Кўрсаткичлар!$B$5</f>
        <v>10000</v>
      </c>
      <c r="L4" s="261">
        <v>46204</v>
      </c>
    </row>
    <row r="5" spans="1:12" ht="17.100000000000001" customHeight="1" outlineLevel="1" x14ac:dyDescent="0.25">
      <c r="A5" s="370" t="s">
        <v>642</v>
      </c>
      <c r="B5" s="370"/>
      <c r="C5" s="370"/>
      <c r="D5" s="237">
        <f>Кўрсаткичлар!$B$6</f>
        <v>0.33333333333333331</v>
      </c>
      <c r="L5" s="261">
        <v>46235</v>
      </c>
    </row>
    <row r="6" spans="1:12" ht="17.100000000000001" customHeight="1" outlineLevel="1" x14ac:dyDescent="0.25">
      <c r="A6" s="370" t="s">
        <v>643</v>
      </c>
      <c r="B6" s="370"/>
      <c r="C6" s="370"/>
      <c r="D6" s="237">
        <f>Кўрсаткичлар!$B$7</f>
        <v>0.66666666666666674</v>
      </c>
      <c r="L6" s="261">
        <v>46266</v>
      </c>
    </row>
    <row r="7" spans="1:12" ht="17.100000000000001" customHeight="1" outlineLevel="1" x14ac:dyDescent="0.25">
      <c r="L7" s="261"/>
    </row>
    <row r="8" spans="1:12" ht="15.75" outlineLevel="1" x14ac:dyDescent="0.25">
      <c r="A8" s="366" t="s">
        <v>644</v>
      </c>
      <c r="B8" s="366"/>
      <c r="C8" s="366"/>
      <c r="D8" s="366"/>
      <c r="E8" s="366"/>
      <c r="F8" s="366"/>
      <c r="G8" s="366"/>
      <c r="H8" s="366"/>
      <c r="I8" s="366"/>
      <c r="L8" s="261"/>
    </row>
    <row r="9" spans="1:12" ht="33.950000000000003" customHeight="1" outlineLevel="1" x14ac:dyDescent="0.25">
      <c r="A9" s="238" t="s">
        <v>195</v>
      </c>
      <c r="B9" s="239" t="s">
        <v>16</v>
      </c>
      <c r="C9" s="239" t="s">
        <v>656</v>
      </c>
      <c r="D9" s="239" t="s">
        <v>646</v>
      </c>
      <c r="E9" s="239" t="s">
        <v>647</v>
      </c>
      <c r="F9" s="239" t="s">
        <v>648</v>
      </c>
      <c r="G9" s="239" t="s">
        <v>657</v>
      </c>
      <c r="H9" s="239" t="s">
        <v>650</v>
      </c>
      <c r="I9" s="240" t="s">
        <v>651</v>
      </c>
      <c r="L9" s="261"/>
    </row>
    <row r="10" spans="1:12" outlineLevel="1" x14ac:dyDescent="0.25">
      <c r="A10" s="257">
        <v>1</v>
      </c>
      <c r="B10" s="109" t="str">
        <f>Кўрсаткичлар!F11</f>
        <v>Арслон ога</v>
      </c>
      <c r="C10" s="242">
        <f>SUMIFS(Товар!$H:$H,Товар!$U:$U,$B10,Товар!$E:$E,"&gt;="&amp;$D$3,Товар!$E:$E,"&lt;="&amp;EOMONTH($D$3,0))</f>
        <v>298.36799999999999</v>
      </c>
      <c r="D10" s="243">
        <f>SUMIFS(Товар!$R:$R,Товар!$U:$U,$B10,Товар!$E:$E,"&gt;="&amp;$D$3,Товар!$E:$E,"&lt;="&amp;EOMONTH($D$3,0))</f>
        <v>16299608.001</v>
      </c>
      <c r="E10" s="243">
        <f t="shared" ref="E10:E15" si="0">$D$4</f>
        <v>10000</v>
      </c>
      <c r="F10" s="243">
        <f t="shared" ref="F10:F15" si="1">C10*E10</f>
        <v>2983680</v>
      </c>
      <c r="G10" s="243">
        <f t="shared" ref="G10:G15" si="2">D10-F10</f>
        <v>13315928.001</v>
      </c>
      <c r="H10" s="249">
        <f t="shared" ref="H10:H15" si="3">G10*$D$5</f>
        <v>4438642.6669999994</v>
      </c>
      <c r="I10" s="252">
        <f t="shared" ref="I10:I15" si="4">G10*$D$6</f>
        <v>8877285.3340000007</v>
      </c>
      <c r="L10" s="261"/>
    </row>
    <row r="11" spans="1:12" outlineLevel="1" x14ac:dyDescent="0.25">
      <c r="A11" s="257">
        <f>A10+1</f>
        <v>2</v>
      </c>
      <c r="B11" s="109" t="str">
        <f>Кўрсаткичлар!F12</f>
        <v>Жамол 22-22</v>
      </c>
      <c r="C11" s="242">
        <f>SUMIFS(Товар!$H:$H,Товар!$U:$U,$B11,Товар!$E:$E,"&gt;="&amp;$D$3,Товар!$E:$E,"&lt;="&amp;EOMONTH($D$3,0))</f>
        <v>787.96799999999996</v>
      </c>
      <c r="D11" s="243">
        <f>SUMIFS(Товар!$R:$R,Товар!$U:$U,$B11,Товар!$E:$E,"&gt;="&amp;$D$3,Товар!$E:$E,"&lt;="&amp;EOMONTH($D$3,0))</f>
        <v>37695376.019999996</v>
      </c>
      <c r="E11" s="243">
        <f t="shared" si="0"/>
        <v>10000</v>
      </c>
      <c r="F11" s="243">
        <f t="shared" si="1"/>
        <v>7879680</v>
      </c>
      <c r="G11" s="243">
        <f t="shared" si="2"/>
        <v>29815696.019999996</v>
      </c>
      <c r="H11" s="249">
        <f t="shared" si="3"/>
        <v>9938565.339999998</v>
      </c>
      <c r="I11" s="252">
        <f t="shared" si="4"/>
        <v>19877130.68</v>
      </c>
      <c r="L11" s="261"/>
    </row>
    <row r="12" spans="1:12" outlineLevel="1" x14ac:dyDescent="0.25">
      <c r="A12" s="257">
        <f>A11+1</f>
        <v>3</v>
      </c>
      <c r="B12" s="109" t="str">
        <f>Кўрсаткичлар!F13</f>
        <v>Зафар ога</v>
      </c>
      <c r="C12" s="242">
        <f>SUMIFS(Товар!$H:$H,Товар!$U:$U,$B12,Товар!$E:$E,"&gt;="&amp;$D$3,Товар!$E:$E,"&lt;="&amp;EOMONTH($D$3,0))</f>
        <v>1702.0800000000017</v>
      </c>
      <c r="D12" s="243">
        <f>SUMIFS(Товар!$R:$R,Товар!$U:$U,$B12,Товар!$E:$E,"&gt;="&amp;$D$3,Товар!$E:$E,"&lt;="&amp;EOMONTH($D$3,0))</f>
        <v>78384531.376421049</v>
      </c>
      <c r="E12" s="243">
        <f t="shared" si="0"/>
        <v>10000</v>
      </c>
      <c r="F12" s="243">
        <f t="shared" si="1"/>
        <v>17020800.000000019</v>
      </c>
      <c r="G12" s="243">
        <f t="shared" si="2"/>
        <v>61363731.376421034</v>
      </c>
      <c r="H12" s="249">
        <f t="shared" si="3"/>
        <v>20454577.125473678</v>
      </c>
      <c r="I12" s="252">
        <f t="shared" si="4"/>
        <v>40909154.250947364</v>
      </c>
      <c r="L12" s="261"/>
    </row>
    <row r="13" spans="1:12" outlineLevel="1" x14ac:dyDescent="0.25">
      <c r="A13" s="257">
        <f>A12+1</f>
        <v>4</v>
      </c>
      <c r="B13" s="109" t="str">
        <f>Кўрсаткичлар!F14</f>
        <v>Сардор ога</v>
      </c>
      <c r="C13" s="242">
        <f>SUMIFS(Товар!$H:$H,Товар!$U:$U,$B13,Товар!$E:$E,"&gt;="&amp;$D$3,Товар!$E:$E,"&lt;="&amp;EOMONTH($D$3,0))</f>
        <v>1206.1440000000005</v>
      </c>
      <c r="D13" s="243">
        <f>SUMIFS(Товар!$R:$R,Товар!$U:$U,$B13,Товар!$E:$E,"&gt;="&amp;$D$3,Товар!$E:$E,"&lt;="&amp;EOMONTH($D$3,0))</f>
        <v>62309847.560803205</v>
      </c>
      <c r="E13" s="243">
        <f t="shared" si="0"/>
        <v>10000</v>
      </c>
      <c r="F13" s="243">
        <f t="shared" si="1"/>
        <v>12061440.000000004</v>
      </c>
      <c r="G13" s="243">
        <f t="shared" si="2"/>
        <v>50248407.560803205</v>
      </c>
      <c r="H13" s="249">
        <f t="shared" si="3"/>
        <v>16749469.1869344</v>
      </c>
      <c r="I13" s="252">
        <f t="shared" si="4"/>
        <v>33498938.373868808</v>
      </c>
      <c r="L13" s="261"/>
    </row>
    <row r="14" spans="1:12" outlineLevel="1" x14ac:dyDescent="0.25">
      <c r="A14" s="257">
        <f>A13+1</f>
        <v>5</v>
      </c>
      <c r="B14" s="109" t="str">
        <f>Кўрсаткичлар!F15</f>
        <v>Темур</v>
      </c>
      <c r="C14" s="242">
        <f>SUMIFS(Товар!$H:$H,Товар!$U:$U,$B14,Товар!$E:$E,"&gt;="&amp;$D$3,Товар!$E:$E,"&lt;="&amp;EOMONTH($D$3,0))</f>
        <v>1871.4240000000027</v>
      </c>
      <c r="D14" s="243">
        <f>SUMIFS(Товар!$R:$R,Товар!$U:$U,$B14,Товар!$E:$E,"&gt;="&amp;$D$3,Товар!$E:$E,"&lt;="&amp;EOMONTH($D$3,0))</f>
        <v>99054992</v>
      </c>
      <c r="E14" s="243">
        <f t="shared" si="0"/>
        <v>10000</v>
      </c>
      <c r="F14" s="243">
        <f t="shared" si="1"/>
        <v>18714240.000000026</v>
      </c>
      <c r="G14" s="243">
        <f t="shared" si="2"/>
        <v>80340751.99999997</v>
      </c>
      <c r="H14" s="249">
        <f t="shared" si="3"/>
        <v>26780250.666666657</v>
      </c>
      <c r="I14" s="252">
        <f t="shared" si="4"/>
        <v>53560501.333333321</v>
      </c>
      <c r="L14" s="261"/>
    </row>
    <row r="15" spans="1:12" ht="15.75" outlineLevel="1" thickBot="1" x14ac:dyDescent="0.3">
      <c r="A15" s="258">
        <f>A14+1</f>
        <v>6</v>
      </c>
      <c r="B15" s="255" t="str">
        <f>Кўрсаткичлар!F16</f>
        <v>Шохрух ога</v>
      </c>
      <c r="C15" s="244">
        <f>SUMIFS(Товар!$H:$H,Товар!$U:$U,$B15,Товар!$E:$E,"&gt;="&amp;$D$3,Товар!$E:$E,"&lt;="&amp;EOMONTH($D$3,0))</f>
        <v>703.29599999999994</v>
      </c>
      <c r="D15" s="245">
        <f>SUMIFS(Товар!$R:$R,Товар!$U:$U,$B15,Товар!$E:$E,"&gt;="&amp;$D$3,Товар!$E:$E,"&lt;="&amp;EOMONTH($D$3,0))</f>
        <v>39068956.632578947</v>
      </c>
      <c r="E15" s="245">
        <f t="shared" si="0"/>
        <v>10000</v>
      </c>
      <c r="F15" s="245">
        <f t="shared" si="1"/>
        <v>7032959.9999999991</v>
      </c>
      <c r="G15" s="245">
        <f t="shared" si="2"/>
        <v>32035996.632578947</v>
      </c>
      <c r="H15" s="250">
        <f t="shared" si="3"/>
        <v>10678665.544192981</v>
      </c>
      <c r="I15" s="253">
        <f t="shared" si="4"/>
        <v>21357331.088385966</v>
      </c>
      <c r="L15" s="261"/>
    </row>
    <row r="16" spans="1:12" ht="16.5" outlineLevel="1" thickTop="1" thickBot="1" x14ac:dyDescent="0.3">
      <c r="A16" s="259"/>
      <c r="B16" s="256" t="s">
        <v>138</v>
      </c>
      <c r="C16" s="247">
        <f>SUM(C10:C15)</f>
        <v>6569.2800000000052</v>
      </c>
      <c r="D16" s="248">
        <f>SUM(D10:D15)</f>
        <v>332813311.59080321</v>
      </c>
      <c r="E16" s="246"/>
      <c r="F16" s="248">
        <f>SUM(F10:F15)</f>
        <v>65692800.000000045</v>
      </c>
      <c r="G16" s="248">
        <f>SUM(G10:G15)</f>
        <v>267120511.59080315</v>
      </c>
      <c r="H16" s="251">
        <f>SUM(H10:H15)</f>
        <v>89040170.530267715</v>
      </c>
      <c r="I16" s="254">
        <f>SUM(I10:I15)</f>
        <v>178080341.06053546</v>
      </c>
      <c r="L16" s="261"/>
    </row>
    <row r="17" spans="1:12" ht="15.75" outlineLevel="1" thickTop="1" x14ac:dyDescent="0.25">
      <c r="L17" s="261"/>
    </row>
    <row r="18" spans="1:12" ht="15.75" outlineLevel="1" x14ac:dyDescent="0.25">
      <c r="A18" s="372" t="s">
        <v>652</v>
      </c>
      <c r="B18" s="372"/>
      <c r="C18" s="372"/>
      <c r="D18" s="372"/>
      <c r="E18" s="372"/>
      <c r="F18" s="373" t="str">
        <f>"Давр: "&amp;TEXT(_xlfn.MINIFS(Товар!$E:$E,Товар!$E:$E,"&gt;0"),"ДД.ММ.ГГГГ")&amp;" — "&amp;TEXT(MAX(Товар!$E:$E),"ДД.ММ.ГГГГ")</f>
        <v>Давр: 24.06.2026 — 03.09.2026</v>
      </c>
      <c r="G18" s="374"/>
      <c r="H18" s="374"/>
      <c r="I18" s="374"/>
      <c r="L18" s="261"/>
    </row>
    <row r="19" spans="1:12" ht="33.950000000000003" customHeight="1" outlineLevel="1" x14ac:dyDescent="0.25">
      <c r="A19" s="238" t="s">
        <v>195</v>
      </c>
      <c r="B19" s="239" t="s">
        <v>16</v>
      </c>
      <c r="C19" s="239" t="s">
        <v>645</v>
      </c>
      <c r="D19" s="239" t="s">
        <v>646</v>
      </c>
      <c r="E19" s="239" t="s">
        <v>647</v>
      </c>
      <c r="F19" s="239" t="s">
        <v>648</v>
      </c>
      <c r="G19" s="239" t="s">
        <v>649</v>
      </c>
      <c r="H19" s="239" t="s">
        <v>650</v>
      </c>
      <c r="I19" s="240" t="s">
        <v>651</v>
      </c>
      <c r="L19" s="261"/>
    </row>
    <row r="20" spans="1:12" outlineLevel="1" x14ac:dyDescent="0.25">
      <c r="A20" s="257">
        <v>1</v>
      </c>
      <c r="B20" s="73" t="str">
        <f t="shared" ref="B20:B25" si="5">$B10</f>
        <v>Арслон ога</v>
      </c>
      <c r="C20" s="242">
        <f>SUMIFS(Товар!$H:$H,Товар!$U:$U,$B20)</f>
        <v>795.096</v>
      </c>
      <c r="D20" s="243">
        <f>SUMIFS(Товар!$R:$R,Товар!$U:$U,$B20)</f>
        <v>62024246.008000001</v>
      </c>
      <c r="E20" s="243">
        <f t="shared" ref="E20:E25" si="6">$D$4</f>
        <v>10000</v>
      </c>
      <c r="F20" s="243">
        <f t="shared" ref="F20:F25" si="7">C20*E20</f>
        <v>7950960</v>
      </c>
      <c r="G20" s="243">
        <f t="shared" ref="G20:G25" si="8">D20-F20</f>
        <v>54073286.008000001</v>
      </c>
      <c r="H20" s="249">
        <f t="shared" ref="H20:H25" si="9">G20*$D$5</f>
        <v>18024428.669333331</v>
      </c>
      <c r="I20" s="252">
        <f t="shared" ref="I20:I25" si="10">G20*$D$6</f>
        <v>36048857.33866667</v>
      </c>
      <c r="L20" s="261"/>
    </row>
    <row r="21" spans="1:12" outlineLevel="1" x14ac:dyDescent="0.25">
      <c r="A21" s="257">
        <f>A20+1</f>
        <v>2</v>
      </c>
      <c r="B21" s="73" t="str">
        <f t="shared" si="5"/>
        <v>Жамол 22-22</v>
      </c>
      <c r="C21" s="242">
        <f>SUMIFS(Товар!$H:$H,Товар!$U:$U,$B21)</f>
        <v>1480.8960000000013</v>
      </c>
      <c r="D21" s="243">
        <f>SUMIFS(Товар!$R:$R,Товар!$U:$U,$B21)</f>
        <v>83021702.743104011</v>
      </c>
      <c r="E21" s="243">
        <f t="shared" si="6"/>
        <v>10000</v>
      </c>
      <c r="F21" s="243">
        <f t="shared" si="7"/>
        <v>14808960.000000013</v>
      </c>
      <c r="G21" s="243">
        <f t="shared" si="8"/>
        <v>68212742.743103996</v>
      </c>
      <c r="H21" s="249">
        <f t="shared" si="9"/>
        <v>22737580.914367996</v>
      </c>
      <c r="I21" s="252">
        <f t="shared" si="10"/>
        <v>45475161.828736</v>
      </c>
      <c r="L21" s="261"/>
    </row>
    <row r="22" spans="1:12" outlineLevel="1" x14ac:dyDescent="0.25">
      <c r="A22" s="257">
        <f>A21+1</f>
        <v>3</v>
      </c>
      <c r="B22" s="73" t="str">
        <f t="shared" si="5"/>
        <v>Зафар ога</v>
      </c>
      <c r="C22" s="242">
        <f>SUMIFS(Товар!$H:$H,Товар!$U:$U,$B22)</f>
        <v>3210.6239999999989</v>
      </c>
      <c r="D22" s="243">
        <f>SUMIFS(Товар!$R:$R,Товар!$U:$U,$B22)</f>
        <v>171645139.37642106</v>
      </c>
      <c r="E22" s="243">
        <f t="shared" si="6"/>
        <v>10000</v>
      </c>
      <c r="F22" s="243">
        <f t="shared" si="7"/>
        <v>32106239.999999989</v>
      </c>
      <c r="G22" s="243">
        <f t="shared" si="8"/>
        <v>139538899.37642106</v>
      </c>
      <c r="H22" s="249">
        <f t="shared" si="9"/>
        <v>46512966.458807021</v>
      </c>
      <c r="I22" s="252">
        <f t="shared" si="10"/>
        <v>93025932.917614058</v>
      </c>
      <c r="L22" s="261"/>
    </row>
    <row r="23" spans="1:12" outlineLevel="1" x14ac:dyDescent="0.25">
      <c r="A23" s="257">
        <f>A22+1</f>
        <v>4</v>
      </c>
      <c r="B23" s="73" t="str">
        <f t="shared" si="5"/>
        <v>Сардор ога</v>
      </c>
      <c r="C23" s="242">
        <f>SUMIFS(Товар!$H:$H,Товар!$U:$U,$B23)</f>
        <v>2023.488000000003</v>
      </c>
      <c r="D23" s="243">
        <f>SUMIFS(Товар!$R:$R,Товар!$U:$U,$B23)</f>
        <v>96674192.851803213</v>
      </c>
      <c r="E23" s="243">
        <f t="shared" si="6"/>
        <v>10000</v>
      </c>
      <c r="F23" s="243">
        <f t="shared" si="7"/>
        <v>20234880.00000003</v>
      </c>
      <c r="G23" s="243">
        <f t="shared" si="8"/>
        <v>76439312.851803184</v>
      </c>
      <c r="H23" s="249">
        <f t="shared" si="9"/>
        <v>25479770.95060106</v>
      </c>
      <c r="I23" s="252">
        <f t="shared" si="10"/>
        <v>50959541.901202127</v>
      </c>
      <c r="L23" s="261"/>
    </row>
    <row r="24" spans="1:12" outlineLevel="1" x14ac:dyDescent="0.25">
      <c r="A24" s="257">
        <f>A23+1</f>
        <v>5</v>
      </c>
      <c r="B24" s="73" t="str">
        <f t="shared" si="5"/>
        <v>Темур</v>
      </c>
      <c r="C24" s="242">
        <f>SUMIFS(Товар!$H:$H,Товар!$U:$U,$B24)</f>
        <v>3402.431999999998</v>
      </c>
      <c r="D24" s="243">
        <f>SUMIFS(Товар!$R:$R,Товар!$U:$U,$B24)</f>
        <v>155166384.00099999</v>
      </c>
      <c r="E24" s="243">
        <f t="shared" si="6"/>
        <v>10000</v>
      </c>
      <c r="F24" s="243">
        <f t="shared" si="7"/>
        <v>34024319.999999978</v>
      </c>
      <c r="G24" s="243">
        <f t="shared" si="8"/>
        <v>121142064.00100002</v>
      </c>
      <c r="H24" s="249">
        <f t="shared" si="9"/>
        <v>40380688.000333339</v>
      </c>
      <c r="I24" s="252">
        <f t="shared" si="10"/>
        <v>80761376.000666693</v>
      </c>
      <c r="L24" s="261"/>
    </row>
    <row r="25" spans="1:12" ht="15.75" outlineLevel="1" thickBot="1" x14ac:dyDescent="0.3">
      <c r="A25" s="258">
        <f>A24+1</f>
        <v>6</v>
      </c>
      <c r="B25" s="241" t="str">
        <f t="shared" si="5"/>
        <v>Шохрух ога</v>
      </c>
      <c r="C25" s="244">
        <f>SUMIFS(Товар!$H:$H,Товар!$U:$U,$B25)</f>
        <v>1867.9680000000023</v>
      </c>
      <c r="D25" s="245">
        <f>SUMIFS(Товар!$R:$R,Товар!$U:$U,$B25)</f>
        <v>135468219.73473895</v>
      </c>
      <c r="E25" s="245">
        <f t="shared" si="6"/>
        <v>10000</v>
      </c>
      <c r="F25" s="245">
        <f t="shared" si="7"/>
        <v>18679680.000000022</v>
      </c>
      <c r="G25" s="245">
        <f t="shared" si="8"/>
        <v>116788539.73473892</v>
      </c>
      <c r="H25" s="250">
        <f t="shared" si="9"/>
        <v>38929513.244912967</v>
      </c>
      <c r="I25" s="253">
        <f t="shared" si="10"/>
        <v>77859026.489825949</v>
      </c>
      <c r="L25" s="261"/>
    </row>
    <row r="26" spans="1:12" ht="16.5" outlineLevel="1" thickTop="1" thickBot="1" x14ac:dyDescent="0.3">
      <c r="A26" s="259"/>
      <c r="B26" s="246" t="s">
        <v>138</v>
      </c>
      <c r="C26" s="262">
        <f>SUM(C20:C25)</f>
        <v>12780.504000000003</v>
      </c>
      <c r="D26" s="248">
        <f>SUM(D20:D25)</f>
        <v>703999884.71506727</v>
      </c>
      <c r="E26" s="246"/>
      <c r="F26" s="248">
        <f>SUM(F20:F25)</f>
        <v>127805040.00000003</v>
      </c>
      <c r="G26" s="248">
        <f>SUM(G20:G25)</f>
        <v>576194844.71506727</v>
      </c>
      <c r="H26" s="251">
        <f>SUM(H20:H25)</f>
        <v>192064948.2383557</v>
      </c>
      <c r="I26" s="254">
        <f>SUM(I20:I25)</f>
        <v>384129896.47671151</v>
      </c>
      <c r="L26" s="261"/>
    </row>
    <row r="27" spans="1:12" ht="15.75" outlineLevel="1" thickTop="1" x14ac:dyDescent="0.25">
      <c r="L27" s="261"/>
    </row>
    <row r="28" spans="1:12" outlineLevel="1" x14ac:dyDescent="0.25">
      <c r="A28" s="369" t="s">
        <v>653</v>
      </c>
      <c r="B28" s="369"/>
      <c r="C28" s="369"/>
      <c r="D28" s="369"/>
      <c r="E28" s="369"/>
      <c r="F28" s="369"/>
      <c r="G28" s="369"/>
      <c r="H28" s="369"/>
      <c r="I28" s="369"/>
      <c r="L28" s="261"/>
    </row>
    <row r="29" spans="1:12" ht="15.75" x14ac:dyDescent="0.25">
      <c r="A29" s="367" t="s">
        <v>660</v>
      </c>
      <c r="B29" s="328"/>
      <c r="C29" s="328"/>
      <c r="D29" s="368" t="str">
        <f>"Давр: "&amp;TEXT($D$3,"ДД.ММ.ГГГГ")&amp;" — "&amp;TEXT(EOMONTH($D$3,0),"ДД.ММ.ГГГГ")</f>
        <v>Давр: 01.08.2026 — 31.08.2026</v>
      </c>
      <c r="E29" s="328"/>
      <c r="F29" s="328"/>
      <c r="G29" s="328"/>
      <c r="L29" s="261"/>
    </row>
    <row r="30" spans="1:12" ht="33.950000000000003" customHeight="1" x14ac:dyDescent="0.25">
      <c r="A30" s="280" t="s">
        <v>661</v>
      </c>
      <c r="B30" s="270" t="s">
        <v>656</v>
      </c>
      <c r="C30" s="270" t="s">
        <v>646</v>
      </c>
      <c r="D30" s="270" t="s">
        <v>648</v>
      </c>
      <c r="E30" s="270" t="s">
        <v>657</v>
      </c>
      <c r="F30" s="270" t="s">
        <v>650</v>
      </c>
      <c r="G30" s="271" t="s">
        <v>651</v>
      </c>
      <c r="L30" s="261"/>
    </row>
    <row r="31" spans="1:12" x14ac:dyDescent="0.25">
      <c r="A31" s="276">
        <f>$D$3</f>
        <v>46235</v>
      </c>
      <c r="B31" s="277">
        <f>IF($A31="","",SUMIFS(Товар!$H:$H,Товар!$E:$E,$A31))</f>
        <v>131.328</v>
      </c>
      <c r="C31" s="278">
        <f>IF($A31="","",SUMIFS(Товар!$R:$R,Товар!$E:$E,$A31))</f>
        <v>4910240</v>
      </c>
      <c r="D31" s="278">
        <f>IF($A31="","",$B31*$D$4)</f>
        <v>1313280</v>
      </c>
      <c r="E31" s="278">
        <f>IF($A31="","",$C31-$D31)</f>
        <v>3596960</v>
      </c>
      <c r="F31" s="278">
        <f>IF($A31="","",$E31*$D$5)</f>
        <v>1198986.6666666665</v>
      </c>
      <c r="G31" s="279">
        <f>IF($A31="","",$E31*$D$6)</f>
        <v>2397973.3333333335</v>
      </c>
    </row>
    <row r="32" spans="1:12" x14ac:dyDescent="0.25">
      <c r="A32" s="276">
        <f t="shared" ref="A32:A61" si="11">IF(A31="","",IF(MONTH(A31+1)&lt;&gt;MONTH($D$3),"",A31+1))</f>
        <v>46236</v>
      </c>
      <c r="B32" s="277">
        <f>IF($A32="","",SUMIFS(Товар!$H:$H,Товар!$E:$E,$A32))</f>
        <v>0</v>
      </c>
      <c r="C32" s="278">
        <f>IF($A32="","",SUMIFS(Товар!$R:$R,Товар!$E:$E,$A32))</f>
        <v>0</v>
      </c>
      <c r="D32" s="278">
        <f t="shared" ref="D32:D61" si="12">IF($A32="","",$B32*$D$4)</f>
        <v>0</v>
      </c>
      <c r="E32" s="278">
        <f t="shared" ref="E32:E61" si="13">IF($A32="","",$C32-$D32)</f>
        <v>0</v>
      </c>
      <c r="F32" s="278">
        <f t="shared" ref="F32:F61" si="14">IF($A32="","",$E32*$D$5)</f>
        <v>0</v>
      </c>
      <c r="G32" s="279">
        <f t="shared" ref="G32:G61" si="15">IF($A32="","",$E32*$D$6)</f>
        <v>0</v>
      </c>
    </row>
    <row r="33" spans="1:7" x14ac:dyDescent="0.25">
      <c r="A33" s="276">
        <f t="shared" si="11"/>
        <v>46237</v>
      </c>
      <c r="B33" s="277">
        <f>IF($A33="","",SUMIFS(Товар!$H:$H,Товар!$E:$E,$A33))</f>
        <v>196.99200000000002</v>
      </c>
      <c r="C33" s="278">
        <f>IF($A33="","",SUMIFS(Товар!$R:$R,Товар!$E:$E,$A33))</f>
        <v>6530400.0099999998</v>
      </c>
      <c r="D33" s="278">
        <f t="shared" si="12"/>
        <v>1969920.0000000002</v>
      </c>
      <c r="E33" s="278">
        <f t="shared" si="13"/>
        <v>4560480.01</v>
      </c>
      <c r="F33" s="278">
        <f t="shared" si="14"/>
        <v>1520160.0033333332</v>
      </c>
      <c r="G33" s="279">
        <f t="shared" si="15"/>
        <v>3040320.0066666668</v>
      </c>
    </row>
    <row r="34" spans="1:7" x14ac:dyDescent="0.25">
      <c r="A34" s="276">
        <f t="shared" si="11"/>
        <v>46238</v>
      </c>
      <c r="B34" s="277">
        <f>IF($A34="","",SUMIFS(Товар!$H:$H,Товар!$E:$E,$A34))</f>
        <v>131.328</v>
      </c>
      <c r="C34" s="278">
        <f>IF($A34="","",SUMIFS(Товар!$R:$R,Товар!$E:$E,$A34))</f>
        <v>5331159.9988032021</v>
      </c>
      <c r="D34" s="278">
        <f t="shared" si="12"/>
        <v>1313280</v>
      </c>
      <c r="E34" s="278">
        <f t="shared" si="13"/>
        <v>4017879.9988032021</v>
      </c>
      <c r="F34" s="278">
        <f t="shared" si="14"/>
        <v>1339293.3329344005</v>
      </c>
      <c r="G34" s="279">
        <f t="shared" si="15"/>
        <v>2678586.6658688015</v>
      </c>
    </row>
    <row r="35" spans="1:7" x14ac:dyDescent="0.25">
      <c r="A35" s="276">
        <f t="shared" si="11"/>
        <v>46239</v>
      </c>
      <c r="B35" s="277">
        <f>IF($A35="","",SUMIFS(Товар!$H:$H,Товар!$E:$E,$A35))</f>
        <v>164.16</v>
      </c>
      <c r="C35" s="278">
        <f>IF($A35="","",SUMIFS(Товар!$R:$R,Товар!$E:$E,$A35))</f>
        <v>5998640.0099999998</v>
      </c>
      <c r="D35" s="278">
        <f t="shared" si="12"/>
        <v>1641600</v>
      </c>
      <c r="E35" s="278">
        <f t="shared" si="13"/>
        <v>4357040.01</v>
      </c>
      <c r="F35" s="278">
        <f t="shared" si="14"/>
        <v>1452346.67</v>
      </c>
      <c r="G35" s="279">
        <f t="shared" si="15"/>
        <v>2904693.3400000003</v>
      </c>
    </row>
    <row r="36" spans="1:7" x14ac:dyDescent="0.25">
      <c r="A36" s="276">
        <f t="shared" si="11"/>
        <v>46240</v>
      </c>
      <c r="B36" s="277">
        <f>IF($A36="","",SUMIFS(Товар!$H:$H,Товар!$E:$E,$A36))</f>
        <v>164.16</v>
      </c>
      <c r="C36" s="278">
        <f>IF($A36="","",SUMIFS(Товар!$R:$R,Товар!$E:$E,$A36))</f>
        <v>7597919.5520000011</v>
      </c>
      <c r="D36" s="278">
        <f t="shared" si="12"/>
        <v>1641600</v>
      </c>
      <c r="E36" s="278">
        <f t="shared" si="13"/>
        <v>5956319.5520000011</v>
      </c>
      <c r="F36" s="278">
        <f t="shared" si="14"/>
        <v>1985439.8506666669</v>
      </c>
      <c r="G36" s="279">
        <f t="shared" si="15"/>
        <v>3970879.7013333347</v>
      </c>
    </row>
    <row r="37" spans="1:7" x14ac:dyDescent="0.25">
      <c r="A37" s="276">
        <f t="shared" si="11"/>
        <v>46241</v>
      </c>
      <c r="B37" s="277">
        <f>IF($A37="","",SUMIFS(Товар!$H:$H,Товар!$E:$E,$A37))</f>
        <v>131.328</v>
      </c>
      <c r="C37" s="278">
        <f>IF($A37="","",SUMIFS(Товар!$R:$R,Товар!$E:$E,$A37))</f>
        <v>6323520</v>
      </c>
      <c r="D37" s="278">
        <f t="shared" si="12"/>
        <v>1313280</v>
      </c>
      <c r="E37" s="278">
        <f t="shared" si="13"/>
        <v>5010240</v>
      </c>
      <c r="F37" s="278">
        <f t="shared" si="14"/>
        <v>1670080</v>
      </c>
      <c r="G37" s="279">
        <f t="shared" si="15"/>
        <v>3340160.0000000005</v>
      </c>
    </row>
    <row r="38" spans="1:7" x14ac:dyDescent="0.25">
      <c r="A38" s="276">
        <f t="shared" si="11"/>
        <v>46242</v>
      </c>
      <c r="B38" s="277">
        <f>IF($A38="","",SUMIFS(Товар!$H:$H,Товар!$E:$E,$A38))</f>
        <v>164.16</v>
      </c>
      <c r="C38" s="278">
        <f>IF($A38="","",SUMIFS(Товар!$R:$R,Товар!$E:$E,$A38))</f>
        <v>8068560</v>
      </c>
      <c r="D38" s="278">
        <f t="shared" si="12"/>
        <v>1641600</v>
      </c>
      <c r="E38" s="278">
        <f t="shared" si="13"/>
        <v>6426960</v>
      </c>
      <c r="F38" s="278">
        <f t="shared" si="14"/>
        <v>2142320</v>
      </c>
      <c r="G38" s="279">
        <f t="shared" si="15"/>
        <v>4284640.0000000009</v>
      </c>
    </row>
    <row r="39" spans="1:7" x14ac:dyDescent="0.25">
      <c r="A39" s="276">
        <f t="shared" si="11"/>
        <v>46243</v>
      </c>
      <c r="B39" s="277">
        <f>IF($A39="","",SUMIFS(Товар!$H:$H,Товар!$E:$E,$A39))</f>
        <v>164.16000000000003</v>
      </c>
      <c r="C39" s="278">
        <f>IF($A39="","",SUMIFS(Товар!$R:$R,Товар!$E:$E,$A39))</f>
        <v>8725200</v>
      </c>
      <c r="D39" s="278">
        <f t="shared" si="12"/>
        <v>1641600.0000000002</v>
      </c>
      <c r="E39" s="278">
        <f t="shared" si="13"/>
        <v>7083600</v>
      </c>
      <c r="F39" s="278">
        <f t="shared" si="14"/>
        <v>2361200</v>
      </c>
      <c r="G39" s="279">
        <f t="shared" si="15"/>
        <v>4722400.0000000009</v>
      </c>
    </row>
    <row r="40" spans="1:7" x14ac:dyDescent="0.25">
      <c r="A40" s="276">
        <f t="shared" si="11"/>
        <v>46244</v>
      </c>
      <c r="B40" s="277">
        <f>IF($A40="","",SUMIFS(Товар!$H:$H,Товар!$E:$E,$A40))</f>
        <v>32.832000000000001</v>
      </c>
      <c r="C40" s="278">
        <f>IF($A40="","",SUMIFS(Товар!$R:$R,Товар!$E:$E,$A40))</f>
        <v>1088400</v>
      </c>
      <c r="D40" s="278">
        <f t="shared" si="12"/>
        <v>328320</v>
      </c>
      <c r="E40" s="278">
        <f t="shared" si="13"/>
        <v>760080</v>
      </c>
      <c r="F40" s="278">
        <f t="shared" si="14"/>
        <v>253360</v>
      </c>
      <c r="G40" s="279">
        <f t="shared" si="15"/>
        <v>506720.00000000006</v>
      </c>
    </row>
    <row r="41" spans="1:7" x14ac:dyDescent="0.25">
      <c r="A41" s="276">
        <f t="shared" si="11"/>
        <v>46245</v>
      </c>
      <c r="B41" s="277">
        <f>IF($A41="","",SUMIFS(Товар!$H:$H,Товар!$E:$E,$A41))</f>
        <v>328.32</v>
      </c>
      <c r="C41" s="278">
        <f>IF($A41="","",SUMIFS(Товар!$R:$R,Товар!$E:$E,$A41))</f>
        <v>16693760</v>
      </c>
      <c r="D41" s="278">
        <f t="shared" si="12"/>
        <v>3283200</v>
      </c>
      <c r="E41" s="278">
        <f t="shared" si="13"/>
        <v>13410560</v>
      </c>
      <c r="F41" s="278">
        <f t="shared" si="14"/>
        <v>4470186.666666666</v>
      </c>
      <c r="G41" s="279">
        <f t="shared" si="15"/>
        <v>8940373.333333334</v>
      </c>
    </row>
    <row r="42" spans="1:7" x14ac:dyDescent="0.25">
      <c r="A42" s="276">
        <f t="shared" si="11"/>
        <v>46246</v>
      </c>
      <c r="B42" s="277">
        <f>IF($A42="","",SUMIFS(Товар!$H:$H,Товар!$E:$E,$A42))</f>
        <v>164.16</v>
      </c>
      <c r="C42" s="278">
        <f>IF($A42="","",SUMIFS(Товар!$R:$R,Товар!$E:$E,$A42))</f>
        <v>8625200</v>
      </c>
      <c r="D42" s="278">
        <f t="shared" si="12"/>
        <v>1641600</v>
      </c>
      <c r="E42" s="278">
        <f t="shared" si="13"/>
        <v>6983600</v>
      </c>
      <c r="F42" s="278">
        <f t="shared" si="14"/>
        <v>2327866.6666666665</v>
      </c>
      <c r="G42" s="279">
        <f t="shared" si="15"/>
        <v>4655733.333333334</v>
      </c>
    </row>
    <row r="43" spans="1:7" x14ac:dyDescent="0.25">
      <c r="A43" s="276">
        <f t="shared" si="11"/>
        <v>46247</v>
      </c>
      <c r="B43" s="277">
        <f>IF($A43="","",SUMIFS(Товар!$H:$H,Товар!$E:$E,$A43))</f>
        <v>196.99200000000002</v>
      </c>
      <c r="C43" s="278">
        <f>IF($A43="","",SUMIFS(Товар!$R:$R,Товар!$E:$E,$A43))</f>
        <v>10470240.01</v>
      </c>
      <c r="D43" s="278">
        <f t="shared" si="12"/>
        <v>1969920.0000000002</v>
      </c>
      <c r="E43" s="278">
        <f t="shared" si="13"/>
        <v>8500320.0099999998</v>
      </c>
      <c r="F43" s="278">
        <f t="shared" si="14"/>
        <v>2833440.0033333329</v>
      </c>
      <c r="G43" s="279">
        <f t="shared" si="15"/>
        <v>5666880.0066666668</v>
      </c>
    </row>
    <row r="44" spans="1:7" x14ac:dyDescent="0.25">
      <c r="A44" s="276">
        <f t="shared" si="11"/>
        <v>46248</v>
      </c>
      <c r="B44" s="277">
        <f>IF($A44="","",SUMIFS(Товар!$H:$H,Товар!$E:$E,$A44))</f>
        <v>262.65600000000001</v>
      </c>
      <c r="C44" s="278">
        <f>IF($A44="","",SUMIFS(Товар!$R:$R,Товар!$E:$E,$A44))</f>
        <v>13960320</v>
      </c>
      <c r="D44" s="278">
        <f t="shared" si="12"/>
        <v>2626560</v>
      </c>
      <c r="E44" s="278">
        <f t="shared" si="13"/>
        <v>11333760</v>
      </c>
      <c r="F44" s="278">
        <f t="shared" si="14"/>
        <v>3777920</v>
      </c>
      <c r="G44" s="279">
        <f t="shared" si="15"/>
        <v>7555840.0000000009</v>
      </c>
    </row>
    <row r="45" spans="1:7" x14ac:dyDescent="0.25">
      <c r="A45" s="276">
        <f t="shared" si="11"/>
        <v>46249</v>
      </c>
      <c r="B45" s="277">
        <f>IF($A45="","",SUMIFS(Товар!$H:$H,Товар!$E:$E,$A45))</f>
        <v>196.99199999999999</v>
      </c>
      <c r="C45" s="278">
        <f>IF($A45="","",SUMIFS(Товар!$R:$R,Товар!$E:$E,$A45))</f>
        <v>9970240.0069999993</v>
      </c>
      <c r="D45" s="278">
        <f t="shared" si="12"/>
        <v>1969920</v>
      </c>
      <c r="E45" s="278">
        <f t="shared" si="13"/>
        <v>8000320.0069999993</v>
      </c>
      <c r="F45" s="278">
        <f t="shared" si="14"/>
        <v>2666773.3356666663</v>
      </c>
      <c r="G45" s="279">
        <f t="shared" si="15"/>
        <v>5333546.6713333335</v>
      </c>
    </row>
    <row r="46" spans="1:7" x14ac:dyDescent="0.25">
      <c r="A46" s="276">
        <f t="shared" si="11"/>
        <v>46250</v>
      </c>
      <c r="B46" s="277">
        <f>IF($A46="","",SUMIFS(Товар!$H:$H,Товар!$E:$E,$A46))</f>
        <v>65.664000000000001</v>
      </c>
      <c r="C46" s="278">
        <f>IF($A46="","",SUMIFS(Товар!$R:$R,Товар!$E:$E,$A46))</f>
        <v>3490080</v>
      </c>
      <c r="D46" s="278">
        <f t="shared" si="12"/>
        <v>656640</v>
      </c>
      <c r="E46" s="278">
        <f t="shared" si="13"/>
        <v>2833440</v>
      </c>
      <c r="F46" s="278">
        <f t="shared" si="14"/>
        <v>944480</v>
      </c>
      <c r="G46" s="279">
        <f t="shared" si="15"/>
        <v>1888960.0000000002</v>
      </c>
    </row>
    <row r="47" spans="1:7" x14ac:dyDescent="0.25">
      <c r="A47" s="276">
        <f t="shared" si="11"/>
        <v>46251</v>
      </c>
      <c r="B47" s="277">
        <f>IF($A47="","",SUMIFS(Товар!$H:$H,Товар!$E:$E,$A47))</f>
        <v>229.82399999999998</v>
      </c>
      <c r="C47" s="278">
        <f>IF($A47="","",SUMIFS(Товар!$R:$R,Товар!$E:$E,$A47))</f>
        <v>11458640.001</v>
      </c>
      <c r="D47" s="278">
        <f t="shared" si="12"/>
        <v>2298240</v>
      </c>
      <c r="E47" s="278">
        <f t="shared" si="13"/>
        <v>9160400.0010000002</v>
      </c>
      <c r="F47" s="278">
        <f t="shared" si="14"/>
        <v>3053466.6669999999</v>
      </c>
      <c r="G47" s="279">
        <f t="shared" si="15"/>
        <v>6106933.3340000007</v>
      </c>
    </row>
    <row r="48" spans="1:7" x14ac:dyDescent="0.25">
      <c r="A48" s="276">
        <f t="shared" si="11"/>
        <v>46252</v>
      </c>
      <c r="B48" s="277">
        <f>IF($A48="","",SUMIFS(Товар!$H:$H,Товар!$E:$E,$A48))</f>
        <v>329.4</v>
      </c>
      <c r="C48" s="278">
        <f>IF($A48="","",SUMIFS(Товар!$R:$R,Товар!$E:$E,$A48))</f>
        <v>16830110.001999997</v>
      </c>
      <c r="D48" s="278">
        <f t="shared" si="12"/>
        <v>3294000</v>
      </c>
      <c r="E48" s="278">
        <f t="shared" si="13"/>
        <v>13536110.001999997</v>
      </c>
      <c r="F48" s="278">
        <f t="shared" si="14"/>
        <v>4512036.6673333319</v>
      </c>
      <c r="G48" s="279">
        <f t="shared" si="15"/>
        <v>9024073.3346666656</v>
      </c>
    </row>
    <row r="49" spans="1:7" x14ac:dyDescent="0.25">
      <c r="A49" s="276">
        <f t="shared" si="11"/>
        <v>46253</v>
      </c>
      <c r="B49" s="277">
        <f>IF($A49="","",SUMIFS(Товар!$H:$H,Товар!$E:$E,$A49))</f>
        <v>295.488</v>
      </c>
      <c r="C49" s="278">
        <f>IF($A49="","",SUMIFS(Товар!$R:$R,Товар!$E:$E,$A49))</f>
        <v>15405360</v>
      </c>
      <c r="D49" s="278">
        <f t="shared" si="12"/>
        <v>2954880</v>
      </c>
      <c r="E49" s="278">
        <f t="shared" si="13"/>
        <v>12450480</v>
      </c>
      <c r="F49" s="278">
        <f t="shared" si="14"/>
        <v>4150160</v>
      </c>
      <c r="G49" s="279">
        <f t="shared" si="15"/>
        <v>8300320.0000000009</v>
      </c>
    </row>
    <row r="50" spans="1:7" x14ac:dyDescent="0.25">
      <c r="A50" s="276">
        <f t="shared" si="11"/>
        <v>46254</v>
      </c>
      <c r="B50" s="277">
        <f>IF($A50="","",SUMIFS(Товар!$H:$H,Товар!$E:$E,$A50))</f>
        <v>196.99199999999999</v>
      </c>
      <c r="C50" s="278">
        <f>IF($A50="","",SUMIFS(Товар!$R:$R,Товар!$E:$E,$A50))</f>
        <v>9513600</v>
      </c>
      <c r="D50" s="278">
        <f t="shared" si="12"/>
        <v>1969920</v>
      </c>
      <c r="E50" s="278">
        <f t="shared" si="13"/>
        <v>7543680</v>
      </c>
      <c r="F50" s="278">
        <f t="shared" si="14"/>
        <v>2514560</v>
      </c>
      <c r="G50" s="279">
        <f t="shared" si="15"/>
        <v>5029120.0000000009</v>
      </c>
    </row>
    <row r="51" spans="1:7" x14ac:dyDescent="0.25">
      <c r="A51" s="276">
        <f t="shared" si="11"/>
        <v>46255</v>
      </c>
      <c r="B51" s="277">
        <f>IF($A51="","",SUMIFS(Товар!$H:$H,Товар!$E:$E,$A51))</f>
        <v>328.32</v>
      </c>
      <c r="C51" s="278">
        <f>IF($A51="","",SUMIFS(Товар!$R:$R,Товар!$E:$E,$A51))</f>
        <v>17350400</v>
      </c>
      <c r="D51" s="278">
        <f t="shared" si="12"/>
        <v>3283200</v>
      </c>
      <c r="E51" s="278">
        <f t="shared" si="13"/>
        <v>14067200</v>
      </c>
      <c r="F51" s="278">
        <f t="shared" si="14"/>
        <v>4689066.666666666</v>
      </c>
      <c r="G51" s="279">
        <f t="shared" si="15"/>
        <v>9378133.333333334</v>
      </c>
    </row>
    <row r="52" spans="1:7" x14ac:dyDescent="0.25">
      <c r="A52" s="276">
        <f t="shared" si="11"/>
        <v>46256</v>
      </c>
      <c r="B52" s="277">
        <f>IF($A52="","",SUMIFS(Товар!$H:$H,Товар!$E:$E,$A52))</f>
        <v>98.496000000000009</v>
      </c>
      <c r="C52" s="278">
        <f>IF($A52="","",SUMIFS(Товар!$R:$R,Товар!$E:$E,$A52))</f>
        <v>5035120</v>
      </c>
      <c r="D52" s="278">
        <f t="shared" si="12"/>
        <v>984960.00000000012</v>
      </c>
      <c r="E52" s="278">
        <f t="shared" si="13"/>
        <v>4050160</v>
      </c>
      <c r="F52" s="278">
        <f t="shared" si="14"/>
        <v>1350053.3333333333</v>
      </c>
      <c r="G52" s="279">
        <f t="shared" si="15"/>
        <v>2700106.666666667</v>
      </c>
    </row>
    <row r="53" spans="1:7" x14ac:dyDescent="0.25">
      <c r="A53" s="276">
        <f t="shared" si="11"/>
        <v>46257</v>
      </c>
      <c r="B53" s="277">
        <f>IF($A53="","",SUMIFS(Товар!$H:$H,Товар!$E:$E,$A53))</f>
        <v>229.82399999999998</v>
      </c>
      <c r="C53" s="278">
        <f>IF($A53="","",SUMIFS(Товар!$R:$R,Товар!$E:$E,$A53))</f>
        <v>12015279.999999998</v>
      </c>
      <c r="D53" s="278">
        <f t="shared" si="12"/>
        <v>2298240</v>
      </c>
      <c r="E53" s="278">
        <f t="shared" si="13"/>
        <v>9717039.9999999981</v>
      </c>
      <c r="F53" s="278">
        <f t="shared" si="14"/>
        <v>3239013.3333333326</v>
      </c>
      <c r="G53" s="279">
        <f t="shared" si="15"/>
        <v>6478026.666666666</v>
      </c>
    </row>
    <row r="54" spans="1:7" x14ac:dyDescent="0.25">
      <c r="A54" s="276">
        <f t="shared" si="11"/>
        <v>46258</v>
      </c>
      <c r="B54" s="277">
        <f>IF($A54="","",SUMIFS(Товар!$H:$H,Товар!$E:$E,$A54))</f>
        <v>198.07199999999997</v>
      </c>
      <c r="C54" s="278">
        <f>IF($A54="","",SUMIFS(Товар!$R:$R,Товар!$E:$E,$A54))</f>
        <v>10156590</v>
      </c>
      <c r="D54" s="278">
        <f t="shared" si="12"/>
        <v>1980719.9999999998</v>
      </c>
      <c r="E54" s="278">
        <f t="shared" si="13"/>
        <v>8175870</v>
      </c>
      <c r="F54" s="278">
        <f t="shared" si="14"/>
        <v>2725290</v>
      </c>
      <c r="G54" s="279">
        <f t="shared" si="15"/>
        <v>5450580.0000000009</v>
      </c>
    </row>
    <row r="55" spans="1:7" x14ac:dyDescent="0.25">
      <c r="A55" s="276">
        <f t="shared" si="11"/>
        <v>46259</v>
      </c>
      <c r="B55" s="277">
        <f>IF($A55="","",SUMIFS(Товар!$H:$H,Товар!$E:$E,$A55))</f>
        <v>229.82399999999998</v>
      </c>
      <c r="C55" s="278">
        <f>IF($A55="","",SUMIFS(Товар!$R:$R,Товар!$E:$E,$A55))</f>
        <v>12215280</v>
      </c>
      <c r="D55" s="278">
        <f t="shared" si="12"/>
        <v>2298240</v>
      </c>
      <c r="E55" s="278">
        <f t="shared" si="13"/>
        <v>9917040</v>
      </c>
      <c r="F55" s="278">
        <f t="shared" si="14"/>
        <v>3305680</v>
      </c>
      <c r="G55" s="279">
        <f t="shared" si="15"/>
        <v>6611360.0000000009</v>
      </c>
    </row>
    <row r="56" spans="1:7" x14ac:dyDescent="0.25">
      <c r="A56" s="276">
        <f t="shared" si="11"/>
        <v>46260</v>
      </c>
      <c r="B56" s="277">
        <f>IF($A56="","",SUMIFS(Товар!$H:$H,Товар!$E:$E,$A56))</f>
        <v>295.488</v>
      </c>
      <c r="C56" s="278">
        <f>IF($A56="","",SUMIFS(Товар!$R:$R,Товар!$E:$E,$A56))</f>
        <v>14392080</v>
      </c>
      <c r="D56" s="278">
        <f t="shared" si="12"/>
        <v>2954880</v>
      </c>
      <c r="E56" s="278">
        <f t="shared" si="13"/>
        <v>11437200</v>
      </c>
      <c r="F56" s="278">
        <f t="shared" si="14"/>
        <v>3812400</v>
      </c>
      <c r="G56" s="279">
        <f t="shared" si="15"/>
        <v>7624800.0000000009</v>
      </c>
    </row>
    <row r="57" spans="1:7" x14ac:dyDescent="0.25">
      <c r="A57" s="276">
        <f t="shared" si="11"/>
        <v>46261</v>
      </c>
      <c r="B57" s="277">
        <f>IF($A57="","",SUMIFS(Товар!$H:$H,Товар!$E:$E,$A57))</f>
        <v>164.16</v>
      </c>
      <c r="C57" s="278">
        <f>IF($A57="","",SUMIFS(Товар!$R:$R,Товар!$E:$E,$A57))</f>
        <v>8068560</v>
      </c>
      <c r="D57" s="278">
        <f t="shared" si="12"/>
        <v>1641600</v>
      </c>
      <c r="E57" s="278">
        <f t="shared" si="13"/>
        <v>6426960</v>
      </c>
      <c r="F57" s="278">
        <f t="shared" si="14"/>
        <v>2142320</v>
      </c>
      <c r="G57" s="279">
        <f t="shared" si="15"/>
        <v>4284640.0000000009</v>
      </c>
    </row>
    <row r="58" spans="1:7" x14ac:dyDescent="0.25">
      <c r="A58" s="276">
        <f t="shared" si="11"/>
        <v>46262</v>
      </c>
      <c r="B58" s="277">
        <f>IF($A58="","",SUMIFS(Товар!$H:$H,Товар!$E:$E,$A58))</f>
        <v>492.47999999999996</v>
      </c>
      <c r="C58" s="278">
        <f>IF($A58="","",SUMIFS(Товар!$R:$R,Товар!$E:$E,$A58))</f>
        <v>25218960</v>
      </c>
      <c r="D58" s="278">
        <f t="shared" si="12"/>
        <v>4924800</v>
      </c>
      <c r="E58" s="278">
        <f t="shared" si="13"/>
        <v>20294160</v>
      </c>
      <c r="F58" s="278">
        <f t="shared" si="14"/>
        <v>6764720</v>
      </c>
      <c r="G58" s="279">
        <f t="shared" si="15"/>
        <v>13529440.000000002</v>
      </c>
    </row>
    <row r="59" spans="1:7" x14ac:dyDescent="0.25">
      <c r="A59" s="276">
        <f t="shared" si="11"/>
        <v>46263</v>
      </c>
      <c r="B59" s="277">
        <f>IF($A59="","",SUMIFS(Товар!$H:$H,Товар!$E:$E,$A59))</f>
        <v>361.512</v>
      </c>
      <c r="C59" s="278">
        <f>IF($A59="","",SUMIFS(Товар!$R:$R,Товар!$E:$E,$A59))</f>
        <v>21878970</v>
      </c>
      <c r="D59" s="278">
        <f t="shared" si="12"/>
        <v>3615120</v>
      </c>
      <c r="E59" s="278">
        <f t="shared" si="13"/>
        <v>18263850</v>
      </c>
      <c r="F59" s="278">
        <f t="shared" si="14"/>
        <v>6087950</v>
      </c>
      <c r="G59" s="279">
        <f t="shared" si="15"/>
        <v>12175900.000000002</v>
      </c>
    </row>
    <row r="60" spans="1:7" x14ac:dyDescent="0.25">
      <c r="A60" s="276">
        <f t="shared" si="11"/>
        <v>46264</v>
      </c>
      <c r="B60" s="277">
        <f>IF($A60="","",SUMIFS(Товар!$H:$H,Товар!$E:$E,$A60))</f>
        <v>230.184</v>
      </c>
      <c r="C60" s="278">
        <f>IF($A60="","",SUMIFS(Товар!$R:$R,Товар!$E:$E,$A60))</f>
        <v>13834226</v>
      </c>
      <c r="D60" s="278">
        <f t="shared" si="12"/>
        <v>2301840</v>
      </c>
      <c r="E60" s="278">
        <f t="shared" si="13"/>
        <v>11532386</v>
      </c>
      <c r="F60" s="278">
        <f t="shared" si="14"/>
        <v>3844128.6666666665</v>
      </c>
      <c r="G60" s="279">
        <f t="shared" si="15"/>
        <v>7688257.333333334</v>
      </c>
    </row>
    <row r="61" spans="1:7" x14ac:dyDescent="0.25">
      <c r="A61" s="276">
        <f t="shared" si="11"/>
        <v>46265</v>
      </c>
      <c r="B61" s="277">
        <f>IF($A61="","",SUMIFS(Товар!$H:$H,Товар!$E:$E,$A61))</f>
        <v>393.98399999999998</v>
      </c>
      <c r="C61" s="278">
        <f>IF($A61="","",SUMIFS(Товар!$R:$R,Товар!$E:$E,$A61))</f>
        <v>21656256</v>
      </c>
      <c r="D61" s="278">
        <f t="shared" si="12"/>
        <v>3939840</v>
      </c>
      <c r="E61" s="278">
        <f t="shared" si="13"/>
        <v>17716416</v>
      </c>
      <c r="F61" s="278">
        <f t="shared" si="14"/>
        <v>5905472</v>
      </c>
      <c r="G61" s="279">
        <f t="shared" si="15"/>
        <v>11810944.000000002</v>
      </c>
    </row>
    <row r="62" spans="1:7" x14ac:dyDescent="0.25">
      <c r="A62" s="272" t="s">
        <v>138</v>
      </c>
      <c r="B62" s="273">
        <f t="shared" ref="B62:G62" si="16">SUM(B31:B61)</f>
        <v>6569.2800000000007</v>
      </c>
      <c r="C62" s="274">
        <f t="shared" si="16"/>
        <v>332813311.59080321</v>
      </c>
      <c r="D62" s="274">
        <f t="shared" si="16"/>
        <v>65692800</v>
      </c>
      <c r="E62" s="274">
        <f t="shared" si="16"/>
        <v>267120511.59080321</v>
      </c>
      <c r="F62" s="274">
        <f t="shared" si="16"/>
        <v>89040170.530267745</v>
      </c>
      <c r="G62" s="275">
        <f t="shared" si="16"/>
        <v>178080341.06053549</v>
      </c>
    </row>
    <row r="64" spans="1:7" x14ac:dyDescent="0.25">
      <c r="A64" s="174" t="s">
        <v>662</v>
      </c>
      <c r="F64" s="268">
        <f>B62-C16</f>
        <v>0</v>
      </c>
      <c r="G64" s="269">
        <f>C62-D16</f>
        <v>0</v>
      </c>
    </row>
  </sheetData>
  <mergeCells count="12">
    <mergeCell ref="A1:I1"/>
    <mergeCell ref="A8:I8"/>
    <mergeCell ref="A29:C29"/>
    <mergeCell ref="D29:G29"/>
    <mergeCell ref="A28:I28"/>
    <mergeCell ref="A3:C3"/>
    <mergeCell ref="A4:C4"/>
    <mergeCell ref="A5:C5"/>
    <mergeCell ref="A6:C6"/>
    <mergeCell ref="F3:I3"/>
    <mergeCell ref="A18:E18"/>
    <mergeCell ref="F18:I18"/>
  </mergeCells>
  <dataValidations count="1">
    <dataValidation type="list" allowBlank="1" showInputMessage="1" showErrorMessage="1" errorTitle="Нотўғри қиймат" error="Фақат рўйхатдаги ойлардан бирини танланг." promptTitle="Ойни танланг" prompt="Рўйхатдан ҳисобот ойини танланг." sqref="D3" xr:uid="{E2918E12-FDF2-4167-A976-86D9B0AF71B3}">
      <formula1>$L$3:$L$30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E983-F76C-422E-8393-07EDB0F9C218}">
  <sheetPr>
    <tabColor rgb="FFFFFF00"/>
  </sheetPr>
  <dimension ref="A1:L199"/>
  <sheetViews>
    <sheetView zoomScale="115" zoomScaleNormal="115" workbookViewId="0">
      <pane ySplit="3" topLeftCell="A4" activePane="bottomLeft" state="frozen"/>
      <selection activeCell="B10" sqref="B10"/>
      <selection pane="bottomLeft" activeCell="C16" sqref="C16"/>
    </sheetView>
  </sheetViews>
  <sheetFormatPr defaultRowHeight="15" x14ac:dyDescent="0.25"/>
  <cols>
    <col min="1" max="1" width="11" bestFit="1" customWidth="1"/>
    <col min="2" max="2" width="18" bestFit="1" customWidth="1"/>
    <col min="3" max="3" width="21.7109375" bestFit="1" customWidth="1"/>
    <col min="4" max="4" width="19.42578125" bestFit="1" customWidth="1"/>
    <col min="5" max="5" width="34.28515625" bestFit="1" customWidth="1"/>
    <col min="6" max="6" width="30.140625" bestFit="1" customWidth="1"/>
    <col min="7" max="7" width="23.42578125" bestFit="1" customWidth="1"/>
    <col min="8" max="8" width="15.42578125" bestFit="1" customWidth="1"/>
    <col min="9" max="9" width="14.5703125" bestFit="1" customWidth="1"/>
    <col min="10" max="10" width="17.140625" customWidth="1"/>
  </cols>
  <sheetData>
    <row r="1" spans="1:12" ht="18.75" x14ac:dyDescent="0.3">
      <c r="A1" s="329" t="s">
        <v>234</v>
      </c>
      <c r="B1" s="329"/>
      <c r="C1" s="329"/>
      <c r="D1" s="329"/>
      <c r="E1" s="329"/>
      <c r="F1" s="329"/>
      <c r="G1" s="329"/>
    </row>
    <row r="2" spans="1:12" s="2" customFormat="1" x14ac:dyDescent="0.25">
      <c r="B2" s="288">
        <f>SUBTOTAL(9,ПоддонЗаводга[Поддон сони])</f>
        <v>3392</v>
      </c>
      <c r="F2" s="288">
        <f>SUBTOTAL(9,ПоддонЗаводга[Қайтариш харажати жами])</f>
        <v>19368000</v>
      </c>
    </row>
    <row r="3" spans="1:12" ht="15.75" x14ac:dyDescent="0.25">
      <c r="A3" s="111" t="s">
        <v>145</v>
      </c>
      <c r="B3" s="111" t="s">
        <v>177</v>
      </c>
      <c r="C3" s="111" t="s">
        <v>235</v>
      </c>
      <c r="D3" s="111" t="s">
        <v>236</v>
      </c>
      <c r="E3" s="111" t="s">
        <v>237</v>
      </c>
      <c r="F3" s="111" t="s">
        <v>238</v>
      </c>
      <c r="G3" s="111" t="s">
        <v>17</v>
      </c>
      <c r="H3" s="111" t="s">
        <v>33</v>
      </c>
      <c r="I3" s="111" t="s">
        <v>693</v>
      </c>
      <c r="J3" s="375" t="s">
        <v>666</v>
      </c>
      <c r="K3" s="375"/>
    </row>
    <row r="4" spans="1:12" x14ac:dyDescent="0.25">
      <c r="A4" s="40">
        <v>46219</v>
      </c>
      <c r="B4" s="288">
        <v>340</v>
      </c>
      <c r="C4" t="s">
        <v>239</v>
      </c>
      <c r="D4" t="s">
        <v>22</v>
      </c>
      <c r="E4" s="288">
        <v>8000</v>
      </c>
      <c r="F4" s="288">
        <f>IF(ПоддонЗаводга[[#This Row],[Поддон сони]]="","",ПоддонЗаводга[[#This Row],[Поддон сони]]*ПоддонЗаводга[[#This Row],[1 дона қайтариш ўртача нархи]])</f>
        <v>2720000</v>
      </c>
      <c r="H4" s="45" t="s">
        <v>44</v>
      </c>
      <c r="J4" s="282" t="s">
        <v>667</v>
      </c>
      <c r="K4" s="283">
        <f>SUM(ПоддонҚайтариш[Поддон дона])</f>
        <v>4036</v>
      </c>
    </row>
    <row r="5" spans="1:12" x14ac:dyDescent="0.25">
      <c r="A5" s="40">
        <v>46223</v>
      </c>
      <c r="B5" s="288">
        <v>273</v>
      </c>
      <c r="C5" t="s">
        <v>239</v>
      </c>
      <c r="D5" t="s">
        <v>22</v>
      </c>
      <c r="E5" s="288">
        <v>8000</v>
      </c>
      <c r="F5" s="288">
        <f>IF(ПоддонЗаводга[[#This Row],[Поддон сони]]="","",ПоддонЗаводга[[#This Row],[Поддон сони]]*ПоддонЗаводга[[#This Row],[1 дона қайтариш ўртача нархи]])</f>
        <v>2184000</v>
      </c>
      <c r="H5" s="45" t="s">
        <v>44</v>
      </c>
      <c r="J5" s="282" t="s">
        <v>668</v>
      </c>
      <c r="K5" s="283">
        <f>SUM(ПоддонЗаводга[Поддон сони])</f>
        <v>3392</v>
      </c>
    </row>
    <row r="6" spans="1:12" x14ac:dyDescent="0.25">
      <c r="A6" s="40">
        <v>46231</v>
      </c>
      <c r="B6" s="288">
        <v>500</v>
      </c>
      <c r="C6" t="s">
        <v>239</v>
      </c>
      <c r="D6" t="s">
        <v>22</v>
      </c>
      <c r="E6" s="288">
        <v>8000</v>
      </c>
      <c r="F6" s="288">
        <f>IF(ПоддонЗаводга[[#This Row],[Поддон сони]]="","",ПоддонЗаводга[[#This Row],[Поддон сони]]*ПоддонЗаводга[[#This Row],[1 дона қайтариш ўртача нархи]])</f>
        <v>4000000</v>
      </c>
      <c r="H6" s="45" t="s">
        <v>44</v>
      </c>
      <c r="J6" s="284" t="s">
        <v>669</v>
      </c>
      <c r="K6" s="285">
        <f>K4-K5</f>
        <v>644</v>
      </c>
      <c r="L6" s="288">
        <f>K6-I15-I16</f>
        <v>-341</v>
      </c>
    </row>
    <row r="7" spans="1:12" x14ac:dyDescent="0.25">
      <c r="A7" s="40">
        <v>46238</v>
      </c>
      <c r="B7" s="288">
        <v>500</v>
      </c>
      <c r="C7" t="s">
        <v>239</v>
      </c>
      <c r="D7" t="s">
        <v>22</v>
      </c>
      <c r="E7" s="288">
        <v>8000</v>
      </c>
      <c r="F7" s="288">
        <f>IF(ПоддонЗаводга[[#This Row],[Поддон сони]]="","",ПоддонЗаводга[[#This Row],[Поддон сони]]*ПоддонЗаводга[[#This Row],[1 дона қайтариш ўртача нархи]])</f>
        <v>4000000</v>
      </c>
      <c r="H7" s="45" t="s">
        <v>44</v>
      </c>
      <c r="J7" s="282" t="s">
        <v>670</v>
      </c>
      <c r="K7" s="286">
        <f>IFERROR(K5/K4,0)</f>
        <v>0.84043607532210107</v>
      </c>
    </row>
    <row r="8" spans="1:12" x14ac:dyDescent="0.25">
      <c r="A8" s="40">
        <v>46242</v>
      </c>
      <c r="B8" s="288">
        <v>500</v>
      </c>
      <c r="C8" t="s">
        <v>239</v>
      </c>
      <c r="D8" t="s">
        <v>22</v>
      </c>
      <c r="E8" s="288">
        <v>8000</v>
      </c>
      <c r="F8" s="288">
        <f>IF(ПоддонЗаводга[[#This Row],[Поддон сони]]="","",ПоддонЗаводга[[#This Row],[Поддон сони]]*ПоддонЗаводга[[#This Row],[1 дона қайтариш ўртача нархи]])</f>
        <v>4000000</v>
      </c>
      <c r="H8" s="45" t="s">
        <v>44</v>
      </c>
    </row>
    <row r="9" spans="1:12" x14ac:dyDescent="0.25">
      <c r="A9" s="40">
        <v>46242</v>
      </c>
      <c r="B9" s="288">
        <v>-113</v>
      </c>
      <c r="C9" t="s">
        <v>239</v>
      </c>
      <c r="D9" t="s">
        <v>22</v>
      </c>
      <c r="E9" s="288">
        <v>8000</v>
      </c>
      <c r="F9" s="288">
        <f>IF(ПоддонЗаводга[[#This Row],[Поддон сони]]="","",ПоддонЗаводга[[#This Row],[Поддон сони]]*ПоддонЗаводга[[#This Row],[1 дона қайтариш ўртача нархи]])</f>
        <v>-904000</v>
      </c>
      <c r="G9" s="322" t="s">
        <v>728</v>
      </c>
      <c r="H9" s="45" t="s">
        <v>44</v>
      </c>
    </row>
    <row r="10" spans="1:12" x14ac:dyDescent="0.25">
      <c r="A10" s="40">
        <v>46249</v>
      </c>
      <c r="B10" s="288">
        <v>312</v>
      </c>
      <c r="C10" t="s">
        <v>239</v>
      </c>
      <c r="D10" t="s">
        <v>22</v>
      </c>
      <c r="E10" s="288">
        <v>8000</v>
      </c>
      <c r="F10" s="288">
        <f>IF(ПоддонЗаводга[[#This Row],[Поддон сони]]="","",ПоддонЗаводга[[#This Row],[Поддон сони]]*ПоддонЗаводга[[#This Row],[1 дона қайтариш ўртача нархи]])</f>
        <v>2496000</v>
      </c>
      <c r="H10" s="45" t="s">
        <v>41</v>
      </c>
    </row>
    <row r="11" spans="1:12" x14ac:dyDescent="0.25">
      <c r="A11" s="40">
        <v>46249</v>
      </c>
      <c r="B11" s="288">
        <v>118</v>
      </c>
      <c r="C11" t="s">
        <v>239</v>
      </c>
      <c r="D11" t="s">
        <v>26</v>
      </c>
      <c r="E11" s="288"/>
      <c r="F11" s="288">
        <f>IF(ПоддонЗаводга[[#This Row],[Поддон сони]]="","",ПоддонЗаводга[[#This Row],[Поддон сони]]*ПоддонЗаводга[[#This Row],[1 дона қайтариш ўртача нархи]])</f>
        <v>0</v>
      </c>
      <c r="H11" s="45" t="s">
        <v>44</v>
      </c>
    </row>
    <row r="12" spans="1:12" x14ac:dyDescent="0.25">
      <c r="A12" s="40">
        <v>46259</v>
      </c>
      <c r="B12" s="288">
        <v>40</v>
      </c>
      <c r="C12" t="s">
        <v>239</v>
      </c>
      <c r="D12" t="s">
        <v>22</v>
      </c>
      <c r="E12" s="288">
        <v>8000</v>
      </c>
      <c r="F12" s="288">
        <f>IF(ПоддонЗаводга[[#This Row],[Поддон сони]]="","",ПоддонЗаводга[[#This Row],[Поддон сони]]*ПоддонЗаводга[[#This Row],[1 дона қайтариш ўртача нархи]])</f>
        <v>320000</v>
      </c>
      <c r="H12" s="45" t="s">
        <v>44</v>
      </c>
    </row>
    <row r="13" spans="1:12" x14ac:dyDescent="0.25">
      <c r="A13" s="40">
        <v>46259</v>
      </c>
      <c r="B13" s="288">
        <v>69</v>
      </c>
      <c r="C13" s="292" t="s">
        <v>239</v>
      </c>
      <c r="D13" s="292" t="s">
        <v>22</v>
      </c>
      <c r="E13" s="288">
        <v>8000</v>
      </c>
      <c r="F13" s="288">
        <f>IF(ПоддонЗаводга[[#This Row],[Поддон сони]]="","",ПоддонЗаводга[[#This Row],[Поддон сони]]*ПоддонЗаводга[[#This Row],[1 дона қайтариш ўртача нархи]])</f>
        <v>552000</v>
      </c>
      <c r="H13" s="45" t="s">
        <v>41</v>
      </c>
    </row>
    <row r="14" spans="1:12" x14ac:dyDescent="0.25">
      <c r="A14" s="40">
        <v>46259</v>
      </c>
      <c r="B14" s="288">
        <v>373</v>
      </c>
      <c r="C14" t="s">
        <v>239</v>
      </c>
      <c r="D14" s="322" t="s">
        <v>26</v>
      </c>
      <c r="E14" s="288"/>
      <c r="F14" s="288">
        <f>IF(ПоддонЗаводга[[#This Row],[Поддон сони]]="","",ПоддонЗаводга[[#This Row],[Поддон сони]]*ПоддонЗаводга[[#This Row],[1 дона қайтариш ўртача нархи]])</f>
        <v>0</v>
      </c>
      <c r="G14" t="s">
        <v>733</v>
      </c>
      <c r="H14" s="45" t="s">
        <v>44</v>
      </c>
    </row>
    <row r="15" spans="1:12" x14ac:dyDescent="0.25">
      <c r="A15" s="40">
        <v>46263</v>
      </c>
      <c r="B15" s="288">
        <v>480</v>
      </c>
      <c r="C15" s="308" t="s">
        <v>239</v>
      </c>
      <c r="D15" s="308" t="s">
        <v>26</v>
      </c>
      <c r="E15" s="288"/>
      <c r="F15" s="288">
        <f>IF(ПоддонЗаводга[[#This Row],[Поддон сони]]="","",ПоддонЗаводга[[#This Row],[Поддон сони]]*ПоддонЗаводга[[#This Row],[1 дона қайтариш ўртача нархи]])</f>
        <v>0</v>
      </c>
      <c r="G15" s="326" t="s">
        <v>734</v>
      </c>
      <c r="H15" s="45" t="s">
        <v>44</v>
      </c>
      <c r="I15">
        <v>485</v>
      </c>
    </row>
    <row r="16" spans="1:12" x14ac:dyDescent="0.25">
      <c r="A16" s="40">
        <v>46267</v>
      </c>
      <c r="B16" s="288"/>
      <c r="C16" s="323" t="s">
        <v>239</v>
      </c>
      <c r="D16" s="323" t="s">
        <v>26</v>
      </c>
      <c r="E16" s="288"/>
      <c r="F16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G16" s="323"/>
      <c r="H16" s="45" t="s">
        <v>44</v>
      </c>
      <c r="I16" s="323">
        <v>500</v>
      </c>
    </row>
    <row r="17" spans="1:8" x14ac:dyDescent="0.25">
      <c r="A17" s="40"/>
      <c r="B17" s="288"/>
      <c r="E17" s="288"/>
      <c r="F17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17" s="45"/>
    </row>
    <row r="18" spans="1:8" x14ac:dyDescent="0.25">
      <c r="A18" s="40"/>
      <c r="B18" s="288"/>
      <c r="E18" s="288"/>
      <c r="F18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18" s="45"/>
    </row>
    <row r="19" spans="1:8" x14ac:dyDescent="0.25">
      <c r="A19" s="40"/>
      <c r="B19" s="288"/>
      <c r="E19" s="288"/>
      <c r="F19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19" s="45"/>
    </row>
    <row r="20" spans="1:8" x14ac:dyDescent="0.25">
      <c r="A20" s="40"/>
      <c r="B20" s="288"/>
      <c r="E20" s="288"/>
      <c r="F20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0" s="45"/>
    </row>
    <row r="21" spans="1:8" x14ac:dyDescent="0.25">
      <c r="A21" s="40"/>
      <c r="B21" s="288"/>
      <c r="E21" s="288"/>
      <c r="F21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1" s="45"/>
    </row>
    <row r="22" spans="1:8" x14ac:dyDescent="0.25">
      <c r="A22" s="40"/>
      <c r="B22" s="288"/>
      <c r="E22" s="288"/>
      <c r="F22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2" s="45"/>
    </row>
    <row r="23" spans="1:8" x14ac:dyDescent="0.25">
      <c r="A23" s="40"/>
      <c r="B23" s="288"/>
      <c r="E23" s="288"/>
      <c r="F23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3" s="45"/>
    </row>
    <row r="24" spans="1:8" x14ac:dyDescent="0.25">
      <c r="A24" s="40"/>
      <c r="B24" s="288"/>
      <c r="E24" s="288"/>
      <c r="F24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4" s="45"/>
    </row>
    <row r="25" spans="1:8" x14ac:dyDescent="0.25">
      <c r="A25" s="40"/>
      <c r="B25" s="288"/>
      <c r="E25" s="288"/>
      <c r="F25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5" s="45"/>
    </row>
    <row r="26" spans="1:8" x14ac:dyDescent="0.25">
      <c r="A26" s="40"/>
      <c r="B26" s="288"/>
      <c r="E26" s="288"/>
      <c r="F26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6" s="45"/>
    </row>
    <row r="27" spans="1:8" x14ac:dyDescent="0.25">
      <c r="A27" s="40"/>
      <c r="B27" s="288"/>
      <c r="E27" s="288"/>
      <c r="F27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7" s="45"/>
    </row>
    <row r="28" spans="1:8" x14ac:dyDescent="0.25">
      <c r="A28" s="40"/>
      <c r="B28" s="288"/>
      <c r="E28" s="288"/>
      <c r="F28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8" s="45"/>
    </row>
    <row r="29" spans="1:8" x14ac:dyDescent="0.25">
      <c r="A29" s="40"/>
      <c r="B29" s="288"/>
      <c r="E29" s="288"/>
      <c r="F29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29" s="45"/>
    </row>
    <row r="30" spans="1:8" x14ac:dyDescent="0.25">
      <c r="A30" s="40"/>
      <c r="B30" s="288"/>
      <c r="E30" s="288"/>
      <c r="F30" s="288" t="str">
        <f>IF(ПоддонЗаводга[[#This Row],[Поддон сони]]="","",ПоддонЗаводга[[#This Row],[Поддон сони]]*ПоддонЗаводга[[#This Row],[1 дона қайтариш ўртача нархи]])</f>
        <v/>
      </c>
      <c r="H30" s="45"/>
    </row>
    <row r="31" spans="1:8" x14ac:dyDescent="0.25">
      <c r="A31" s="40"/>
      <c r="B31" s="71"/>
      <c r="E31" s="71"/>
      <c r="F31" s="71"/>
    </row>
    <row r="32" spans="1:8" x14ac:dyDescent="0.25">
      <c r="A32" s="40"/>
      <c r="B32" s="71"/>
      <c r="E32" s="71"/>
      <c r="F32" s="71"/>
    </row>
    <row r="33" spans="1:6" x14ac:dyDescent="0.25">
      <c r="A33" s="40"/>
      <c r="B33" s="71"/>
      <c r="E33" s="71"/>
      <c r="F33" s="71"/>
    </row>
    <row r="34" spans="1:6" x14ac:dyDescent="0.25">
      <c r="A34" s="40"/>
      <c r="B34" s="71"/>
      <c r="E34" s="71"/>
      <c r="F34" s="71"/>
    </row>
    <row r="35" spans="1:6" x14ac:dyDescent="0.25">
      <c r="A35" s="40"/>
      <c r="B35" s="71"/>
      <c r="E35" s="71"/>
      <c r="F35" s="71"/>
    </row>
    <row r="36" spans="1:6" x14ac:dyDescent="0.25">
      <c r="A36" s="40"/>
      <c r="B36" s="71"/>
      <c r="E36" s="71"/>
      <c r="F36" s="71"/>
    </row>
    <row r="37" spans="1:6" x14ac:dyDescent="0.25">
      <c r="A37" s="40"/>
      <c r="B37" s="71"/>
      <c r="E37" s="71"/>
      <c r="F37" s="71"/>
    </row>
    <row r="38" spans="1:6" x14ac:dyDescent="0.25">
      <c r="A38" s="40"/>
      <c r="B38" s="71"/>
      <c r="E38" s="71"/>
      <c r="F38" s="71"/>
    </row>
    <row r="39" spans="1:6" x14ac:dyDescent="0.25">
      <c r="A39" s="40"/>
      <c r="B39" s="71"/>
      <c r="E39" s="71"/>
      <c r="F39" s="71"/>
    </row>
    <row r="40" spans="1:6" x14ac:dyDescent="0.25">
      <c r="A40" s="40"/>
      <c r="B40" s="71"/>
      <c r="E40" s="71"/>
      <c r="F40" s="71"/>
    </row>
    <row r="41" spans="1:6" x14ac:dyDescent="0.25">
      <c r="A41" s="40"/>
      <c r="B41" s="71"/>
      <c r="E41" s="71"/>
      <c r="F41" s="71"/>
    </row>
    <row r="42" spans="1:6" x14ac:dyDescent="0.25">
      <c r="A42" s="40"/>
      <c r="B42" s="71"/>
      <c r="E42" s="71"/>
      <c r="F42" s="71"/>
    </row>
    <row r="43" spans="1:6" x14ac:dyDescent="0.25">
      <c r="A43" s="40"/>
      <c r="B43" s="71"/>
      <c r="E43" s="71"/>
      <c r="F43" s="71"/>
    </row>
    <row r="44" spans="1:6" x14ac:dyDescent="0.25">
      <c r="A44" s="40"/>
      <c r="B44" s="71"/>
      <c r="E44" s="71"/>
      <c r="F44" s="71"/>
    </row>
    <row r="45" spans="1:6" x14ac:dyDescent="0.25">
      <c r="A45" s="40"/>
      <c r="B45" s="71"/>
      <c r="E45" s="71"/>
      <c r="F45" s="71"/>
    </row>
    <row r="46" spans="1:6" x14ac:dyDescent="0.25">
      <c r="A46" s="40"/>
      <c r="B46" s="71"/>
      <c r="E46" s="71"/>
      <c r="F46" s="71"/>
    </row>
    <row r="47" spans="1:6" x14ac:dyDescent="0.25">
      <c r="A47" s="40"/>
      <c r="B47" s="71"/>
      <c r="E47" s="71"/>
      <c r="F47" s="71"/>
    </row>
    <row r="48" spans="1:6" x14ac:dyDescent="0.25">
      <c r="A48" s="40"/>
      <c r="B48" s="71"/>
      <c r="E48" s="71"/>
      <c r="F48" s="71"/>
    </row>
    <row r="49" spans="1:6" x14ac:dyDescent="0.25">
      <c r="A49" s="40"/>
      <c r="B49" s="71"/>
      <c r="E49" s="71"/>
      <c r="F49" s="71"/>
    </row>
    <row r="50" spans="1:6" x14ac:dyDescent="0.25">
      <c r="A50" s="40"/>
      <c r="B50" s="71"/>
      <c r="E50" s="71"/>
      <c r="F50" s="71"/>
    </row>
    <row r="51" spans="1:6" x14ac:dyDescent="0.25">
      <c r="A51" s="40"/>
      <c r="B51" s="71"/>
      <c r="E51" s="71"/>
      <c r="F51" s="71"/>
    </row>
    <row r="52" spans="1:6" x14ac:dyDescent="0.25">
      <c r="A52" s="40"/>
      <c r="B52" s="71"/>
      <c r="E52" s="71"/>
      <c r="F52" s="71"/>
    </row>
    <row r="53" spans="1:6" x14ac:dyDescent="0.25">
      <c r="A53" s="40"/>
      <c r="B53" s="71"/>
      <c r="E53" s="71"/>
      <c r="F53" s="71"/>
    </row>
    <row r="54" spans="1:6" x14ac:dyDescent="0.25">
      <c r="A54" s="40"/>
      <c r="B54" s="71"/>
      <c r="E54" s="71"/>
      <c r="F54" s="71"/>
    </row>
    <row r="55" spans="1:6" x14ac:dyDescent="0.25">
      <c r="A55" s="40"/>
      <c r="B55" s="71"/>
      <c r="E55" s="71"/>
      <c r="F55" s="71"/>
    </row>
    <row r="56" spans="1:6" x14ac:dyDescent="0.25">
      <c r="A56" s="40"/>
      <c r="B56" s="71"/>
      <c r="E56" s="71"/>
      <c r="F56" s="71"/>
    </row>
    <row r="57" spans="1:6" x14ac:dyDescent="0.25">
      <c r="A57" s="40"/>
      <c r="B57" s="71"/>
      <c r="E57" s="71"/>
      <c r="F57" s="71"/>
    </row>
    <row r="58" spans="1:6" x14ac:dyDescent="0.25">
      <c r="A58" s="40"/>
      <c r="B58" s="71"/>
      <c r="E58" s="71"/>
      <c r="F58" s="71"/>
    </row>
    <row r="59" spans="1:6" x14ac:dyDescent="0.25">
      <c r="A59" s="40"/>
      <c r="B59" s="71"/>
      <c r="E59" s="71"/>
      <c r="F59" s="71"/>
    </row>
    <row r="60" spans="1:6" x14ac:dyDescent="0.25">
      <c r="A60" s="40"/>
      <c r="B60" s="71"/>
      <c r="E60" s="71"/>
      <c r="F60" s="71"/>
    </row>
    <row r="61" spans="1:6" x14ac:dyDescent="0.25">
      <c r="A61" s="40"/>
      <c r="B61" s="71"/>
      <c r="E61" s="71"/>
      <c r="F61" s="71"/>
    </row>
    <row r="62" spans="1:6" x14ac:dyDescent="0.25">
      <c r="A62" s="40"/>
      <c r="B62" s="71"/>
      <c r="E62" s="71"/>
      <c r="F62" s="71"/>
    </row>
    <row r="63" spans="1:6" x14ac:dyDescent="0.25">
      <c r="A63" s="40"/>
      <c r="B63" s="71"/>
      <c r="E63" s="71"/>
      <c r="F63" s="71"/>
    </row>
    <row r="64" spans="1:6" x14ac:dyDescent="0.25">
      <c r="A64" s="40"/>
      <c r="B64" s="71"/>
      <c r="E64" s="71"/>
      <c r="F64" s="71"/>
    </row>
    <row r="65" spans="1:6" x14ac:dyDescent="0.25">
      <c r="A65" s="40"/>
      <c r="B65" s="71"/>
      <c r="E65" s="71"/>
      <c r="F65" s="71"/>
    </row>
    <row r="66" spans="1:6" x14ac:dyDescent="0.25">
      <c r="A66" s="40"/>
      <c r="B66" s="71"/>
      <c r="E66" s="71"/>
      <c r="F66" s="71"/>
    </row>
    <row r="67" spans="1:6" x14ac:dyDescent="0.25">
      <c r="A67" s="40"/>
      <c r="B67" s="71"/>
      <c r="E67" s="71"/>
      <c r="F67" s="71"/>
    </row>
    <row r="68" spans="1:6" x14ac:dyDescent="0.25">
      <c r="A68" s="40"/>
      <c r="B68" s="71"/>
      <c r="E68" s="71"/>
      <c r="F68" s="71"/>
    </row>
    <row r="69" spans="1:6" x14ac:dyDescent="0.25">
      <c r="A69" s="40"/>
      <c r="B69" s="71"/>
      <c r="E69" s="71"/>
      <c r="F69" s="71"/>
    </row>
    <row r="70" spans="1:6" x14ac:dyDescent="0.25">
      <c r="A70" s="40"/>
      <c r="B70" s="71"/>
      <c r="E70" s="71"/>
      <c r="F70" s="71"/>
    </row>
    <row r="71" spans="1:6" x14ac:dyDescent="0.25">
      <c r="A71" s="40"/>
      <c r="B71" s="71"/>
      <c r="E71" s="71"/>
      <c r="F71" s="71"/>
    </row>
    <row r="72" spans="1:6" x14ac:dyDescent="0.25">
      <c r="A72" s="40"/>
      <c r="B72" s="71"/>
      <c r="E72" s="71"/>
      <c r="F72" s="71"/>
    </row>
    <row r="73" spans="1:6" x14ac:dyDescent="0.25">
      <c r="A73" s="40"/>
      <c r="B73" s="71"/>
      <c r="E73" s="71"/>
      <c r="F73" s="71"/>
    </row>
    <row r="74" spans="1:6" x14ac:dyDescent="0.25">
      <c r="A74" s="40"/>
      <c r="B74" s="71"/>
      <c r="E74" s="71"/>
      <c r="F74" s="71"/>
    </row>
    <row r="75" spans="1:6" x14ac:dyDescent="0.25">
      <c r="A75" s="40"/>
      <c r="B75" s="71"/>
      <c r="E75" s="71"/>
      <c r="F75" s="71"/>
    </row>
    <row r="76" spans="1:6" x14ac:dyDescent="0.25">
      <c r="A76" s="40"/>
      <c r="B76" s="71"/>
      <c r="E76" s="71"/>
      <c r="F76" s="71"/>
    </row>
    <row r="77" spans="1:6" x14ac:dyDescent="0.25">
      <c r="A77" s="40"/>
      <c r="B77" s="71"/>
      <c r="E77" s="71"/>
      <c r="F77" s="71"/>
    </row>
    <row r="78" spans="1:6" x14ac:dyDescent="0.25">
      <c r="A78" s="40"/>
      <c r="B78" s="71"/>
      <c r="E78" s="71"/>
      <c r="F78" s="71"/>
    </row>
    <row r="79" spans="1:6" x14ac:dyDescent="0.25">
      <c r="A79" s="40"/>
      <c r="B79" s="71"/>
      <c r="E79" s="71"/>
      <c r="F79" s="71"/>
    </row>
    <row r="80" spans="1:6" x14ac:dyDescent="0.25">
      <c r="A80" s="40"/>
      <c r="B80" s="71"/>
      <c r="E80" s="71"/>
      <c r="F80" s="71"/>
    </row>
    <row r="81" spans="1:6" x14ac:dyDescent="0.25">
      <c r="A81" s="40"/>
      <c r="B81" s="71"/>
      <c r="E81" s="71"/>
      <c r="F81" s="71"/>
    </row>
    <row r="82" spans="1:6" x14ac:dyDescent="0.25">
      <c r="A82" s="40"/>
      <c r="B82" s="71"/>
      <c r="E82" s="71"/>
      <c r="F82" s="71"/>
    </row>
    <row r="83" spans="1:6" x14ac:dyDescent="0.25">
      <c r="A83" s="40"/>
      <c r="B83" s="71"/>
      <c r="E83" s="71"/>
      <c r="F83" s="71"/>
    </row>
    <row r="84" spans="1:6" x14ac:dyDescent="0.25">
      <c r="A84" s="40"/>
      <c r="B84" s="71"/>
      <c r="E84" s="71"/>
      <c r="F84" s="71"/>
    </row>
    <row r="85" spans="1:6" x14ac:dyDescent="0.25">
      <c r="A85" s="40"/>
      <c r="B85" s="71"/>
      <c r="E85" s="71"/>
      <c r="F85" s="71"/>
    </row>
    <row r="86" spans="1:6" x14ac:dyDescent="0.25">
      <c r="A86" s="40"/>
      <c r="B86" s="71"/>
      <c r="E86" s="71"/>
      <c r="F86" s="71"/>
    </row>
    <row r="87" spans="1:6" x14ac:dyDescent="0.25">
      <c r="A87" s="40"/>
      <c r="B87" s="71"/>
      <c r="E87" s="71"/>
      <c r="F87" s="71"/>
    </row>
    <row r="88" spans="1:6" x14ac:dyDescent="0.25">
      <c r="A88" s="40"/>
      <c r="B88" s="71"/>
      <c r="E88" s="71"/>
      <c r="F88" s="71"/>
    </row>
    <row r="89" spans="1:6" x14ac:dyDescent="0.25">
      <c r="A89" s="40"/>
      <c r="B89" s="71"/>
      <c r="E89" s="71"/>
      <c r="F89" s="71"/>
    </row>
    <row r="90" spans="1:6" x14ac:dyDescent="0.25">
      <c r="A90" s="40"/>
      <c r="B90" s="71"/>
      <c r="E90" s="71"/>
      <c r="F90" s="71"/>
    </row>
    <row r="91" spans="1:6" x14ac:dyDescent="0.25">
      <c r="A91" s="40"/>
      <c r="B91" s="71"/>
      <c r="E91" s="71"/>
      <c r="F91" s="71"/>
    </row>
    <row r="92" spans="1:6" x14ac:dyDescent="0.25">
      <c r="A92" s="40"/>
      <c r="B92" s="71"/>
      <c r="E92" s="71"/>
      <c r="F92" s="71"/>
    </row>
    <row r="93" spans="1:6" x14ac:dyDescent="0.25">
      <c r="A93" s="40"/>
      <c r="B93" s="71"/>
      <c r="E93" s="71"/>
      <c r="F93" s="71"/>
    </row>
    <row r="94" spans="1:6" x14ac:dyDescent="0.25">
      <c r="A94" s="40"/>
      <c r="B94" s="71"/>
      <c r="E94" s="71"/>
      <c r="F94" s="71"/>
    </row>
    <row r="95" spans="1:6" x14ac:dyDescent="0.25">
      <c r="A95" s="40"/>
      <c r="B95" s="71"/>
      <c r="E95" s="71"/>
      <c r="F95" s="71"/>
    </row>
    <row r="96" spans="1:6" x14ac:dyDescent="0.25">
      <c r="A96" s="40"/>
      <c r="B96" s="71"/>
      <c r="E96" s="71"/>
      <c r="F96" s="71"/>
    </row>
    <row r="97" spans="1:6" x14ac:dyDescent="0.25">
      <c r="A97" s="40"/>
      <c r="B97" s="71"/>
      <c r="E97" s="71"/>
      <c r="F97" s="71"/>
    </row>
    <row r="98" spans="1:6" x14ac:dyDescent="0.25">
      <c r="A98" s="40"/>
      <c r="B98" s="71"/>
      <c r="E98" s="71"/>
      <c r="F98" s="71"/>
    </row>
    <row r="99" spans="1:6" x14ac:dyDescent="0.25">
      <c r="A99" s="40"/>
      <c r="B99" s="71"/>
      <c r="E99" s="71"/>
      <c r="F99" s="71"/>
    </row>
    <row r="100" spans="1:6" x14ac:dyDescent="0.25">
      <c r="A100" s="40"/>
      <c r="B100" s="71"/>
      <c r="E100" s="71"/>
      <c r="F100" s="71"/>
    </row>
    <row r="101" spans="1:6" x14ac:dyDescent="0.25">
      <c r="A101" s="40"/>
      <c r="B101" s="71"/>
      <c r="E101" s="71"/>
      <c r="F101" s="71"/>
    </row>
    <row r="102" spans="1:6" x14ac:dyDescent="0.25">
      <c r="A102" s="40"/>
      <c r="B102" s="71"/>
      <c r="E102" s="71"/>
      <c r="F102" s="71"/>
    </row>
    <row r="103" spans="1:6" x14ac:dyDescent="0.25">
      <c r="A103" s="40"/>
      <c r="B103" s="71"/>
      <c r="E103" s="71"/>
      <c r="F103" s="71"/>
    </row>
    <row r="104" spans="1:6" x14ac:dyDescent="0.25">
      <c r="A104" s="40"/>
      <c r="B104" s="71"/>
      <c r="E104" s="71"/>
      <c r="F104" s="71"/>
    </row>
    <row r="105" spans="1:6" x14ac:dyDescent="0.25">
      <c r="A105" s="40"/>
      <c r="B105" s="71"/>
      <c r="E105" s="71"/>
      <c r="F105" s="71"/>
    </row>
    <row r="106" spans="1:6" x14ac:dyDescent="0.25">
      <c r="A106" s="40"/>
      <c r="B106" s="71"/>
      <c r="E106" s="71"/>
      <c r="F106" s="71"/>
    </row>
    <row r="107" spans="1:6" x14ac:dyDescent="0.25">
      <c r="A107" s="40"/>
      <c r="B107" s="71"/>
      <c r="E107" s="71"/>
      <c r="F107" s="71"/>
    </row>
    <row r="108" spans="1:6" x14ac:dyDescent="0.25">
      <c r="A108" s="40"/>
      <c r="B108" s="71"/>
      <c r="E108" s="71"/>
      <c r="F108" s="71"/>
    </row>
    <row r="109" spans="1:6" x14ac:dyDescent="0.25">
      <c r="A109" s="40"/>
      <c r="B109" s="71"/>
      <c r="E109" s="71"/>
      <c r="F109" s="71"/>
    </row>
    <row r="110" spans="1:6" x14ac:dyDescent="0.25">
      <c r="A110" s="40"/>
      <c r="B110" s="71"/>
      <c r="E110" s="71"/>
      <c r="F110" s="71"/>
    </row>
    <row r="111" spans="1:6" x14ac:dyDescent="0.25">
      <c r="A111" s="40"/>
      <c r="B111" s="71"/>
      <c r="E111" s="71"/>
      <c r="F111" s="71"/>
    </row>
    <row r="112" spans="1:6" x14ac:dyDescent="0.25">
      <c r="A112" s="40"/>
      <c r="B112" s="71"/>
      <c r="E112" s="71"/>
      <c r="F112" s="71"/>
    </row>
    <row r="113" spans="1:6" x14ac:dyDescent="0.25">
      <c r="A113" s="40"/>
      <c r="B113" s="71"/>
      <c r="E113" s="71"/>
      <c r="F113" s="71"/>
    </row>
    <row r="114" spans="1:6" x14ac:dyDescent="0.25">
      <c r="A114" s="40"/>
      <c r="B114" s="71"/>
      <c r="E114" s="71"/>
      <c r="F114" s="71"/>
    </row>
    <row r="115" spans="1:6" x14ac:dyDescent="0.25">
      <c r="A115" s="40"/>
      <c r="B115" s="71"/>
      <c r="E115" s="71"/>
      <c r="F115" s="71"/>
    </row>
    <row r="116" spans="1:6" x14ac:dyDescent="0.25">
      <c r="A116" s="40"/>
      <c r="B116" s="71"/>
      <c r="E116" s="71"/>
      <c r="F116" s="71"/>
    </row>
    <row r="117" spans="1:6" x14ac:dyDescent="0.25">
      <c r="A117" s="40"/>
      <c r="B117" s="71"/>
      <c r="E117" s="71"/>
      <c r="F117" s="71"/>
    </row>
    <row r="118" spans="1:6" x14ac:dyDescent="0.25">
      <c r="A118" s="40"/>
      <c r="B118" s="71"/>
      <c r="E118" s="71"/>
      <c r="F118" s="71"/>
    </row>
    <row r="119" spans="1:6" x14ac:dyDescent="0.25">
      <c r="A119" s="40"/>
      <c r="B119" s="71"/>
      <c r="E119" s="71"/>
      <c r="F119" s="71"/>
    </row>
    <row r="120" spans="1:6" x14ac:dyDescent="0.25">
      <c r="A120" s="40"/>
      <c r="B120" s="71"/>
      <c r="E120" s="71"/>
      <c r="F120" s="71"/>
    </row>
    <row r="121" spans="1:6" x14ac:dyDescent="0.25">
      <c r="A121" s="40"/>
      <c r="B121" s="71"/>
      <c r="E121" s="71"/>
      <c r="F121" s="71"/>
    </row>
    <row r="122" spans="1:6" x14ac:dyDescent="0.25">
      <c r="A122" s="40"/>
      <c r="B122" s="71"/>
      <c r="E122" s="71"/>
      <c r="F122" s="71"/>
    </row>
    <row r="123" spans="1:6" x14ac:dyDescent="0.25">
      <c r="A123" s="40"/>
      <c r="B123" s="71"/>
      <c r="E123" s="71"/>
      <c r="F123" s="71"/>
    </row>
    <row r="124" spans="1:6" x14ac:dyDescent="0.25">
      <c r="A124" s="40"/>
      <c r="B124" s="71"/>
      <c r="E124" s="71"/>
      <c r="F124" s="71"/>
    </row>
    <row r="125" spans="1:6" x14ac:dyDescent="0.25">
      <c r="A125" s="40"/>
      <c r="B125" s="71"/>
      <c r="E125" s="71"/>
      <c r="F125" s="71"/>
    </row>
    <row r="126" spans="1:6" x14ac:dyDescent="0.25">
      <c r="A126" s="40"/>
      <c r="B126" s="71"/>
      <c r="E126" s="71"/>
      <c r="F126" s="71"/>
    </row>
    <row r="127" spans="1:6" x14ac:dyDescent="0.25">
      <c r="A127" s="40"/>
      <c r="B127" s="71"/>
      <c r="E127" s="71"/>
      <c r="F127" s="71"/>
    </row>
    <row r="128" spans="1:6" x14ac:dyDescent="0.25">
      <c r="A128" s="40"/>
      <c r="B128" s="71"/>
      <c r="E128" s="71"/>
      <c r="F128" s="71"/>
    </row>
    <row r="129" spans="1:6" x14ac:dyDescent="0.25">
      <c r="A129" s="40"/>
      <c r="B129" s="71"/>
      <c r="E129" s="71"/>
      <c r="F129" s="71"/>
    </row>
    <row r="130" spans="1:6" x14ac:dyDescent="0.25">
      <c r="A130" s="40"/>
      <c r="B130" s="71"/>
      <c r="E130" s="71"/>
      <c r="F130" s="71"/>
    </row>
    <row r="131" spans="1:6" x14ac:dyDescent="0.25">
      <c r="A131" s="40"/>
      <c r="B131" s="71"/>
      <c r="E131" s="71"/>
      <c r="F131" s="71"/>
    </row>
    <row r="132" spans="1:6" x14ac:dyDescent="0.25">
      <c r="A132" s="40"/>
      <c r="B132" s="71"/>
      <c r="E132" s="71"/>
      <c r="F132" s="71"/>
    </row>
    <row r="133" spans="1:6" x14ac:dyDescent="0.25">
      <c r="A133" s="40"/>
      <c r="B133" s="71"/>
      <c r="E133" s="71"/>
      <c r="F133" s="71"/>
    </row>
    <row r="134" spans="1:6" x14ac:dyDescent="0.25">
      <c r="A134" s="40"/>
      <c r="B134" s="71"/>
      <c r="E134" s="71"/>
      <c r="F134" s="71"/>
    </row>
    <row r="135" spans="1:6" x14ac:dyDescent="0.25">
      <c r="A135" s="40"/>
      <c r="B135" s="71"/>
      <c r="E135" s="71"/>
      <c r="F135" s="71"/>
    </row>
    <row r="136" spans="1:6" x14ac:dyDescent="0.25">
      <c r="A136" s="40"/>
      <c r="B136" s="71"/>
      <c r="E136" s="71"/>
      <c r="F136" s="71"/>
    </row>
    <row r="137" spans="1:6" x14ac:dyDescent="0.25">
      <c r="A137" s="40"/>
      <c r="B137" s="71"/>
      <c r="E137" s="71"/>
      <c r="F137" s="71"/>
    </row>
    <row r="138" spans="1:6" x14ac:dyDescent="0.25">
      <c r="A138" s="40"/>
      <c r="B138" s="71"/>
      <c r="E138" s="71"/>
      <c r="F138" s="71"/>
    </row>
    <row r="139" spans="1:6" x14ac:dyDescent="0.25">
      <c r="A139" s="40"/>
      <c r="B139" s="71"/>
      <c r="E139" s="71"/>
      <c r="F139" s="71"/>
    </row>
    <row r="140" spans="1:6" x14ac:dyDescent="0.25">
      <c r="A140" s="40"/>
      <c r="B140" s="71"/>
      <c r="E140" s="71"/>
      <c r="F140" s="71"/>
    </row>
    <row r="141" spans="1:6" x14ac:dyDescent="0.25">
      <c r="A141" s="40"/>
      <c r="B141" s="71"/>
      <c r="E141" s="71"/>
      <c r="F141" s="71"/>
    </row>
    <row r="142" spans="1:6" x14ac:dyDescent="0.25">
      <c r="A142" s="40"/>
      <c r="B142" s="71"/>
      <c r="E142" s="71"/>
      <c r="F142" s="71"/>
    </row>
    <row r="143" spans="1:6" x14ac:dyDescent="0.25">
      <c r="A143" s="40"/>
      <c r="B143" s="71"/>
      <c r="E143" s="71"/>
      <c r="F143" s="71"/>
    </row>
    <row r="144" spans="1:6" x14ac:dyDescent="0.25">
      <c r="A144" s="40"/>
      <c r="B144" s="71"/>
      <c r="E144" s="71"/>
      <c r="F144" s="71"/>
    </row>
    <row r="145" spans="1:6" x14ac:dyDescent="0.25">
      <c r="A145" s="40"/>
      <c r="B145" s="71"/>
      <c r="E145" s="71"/>
      <c r="F145" s="71"/>
    </row>
    <row r="146" spans="1:6" x14ac:dyDescent="0.25">
      <c r="A146" s="40"/>
      <c r="B146" s="71"/>
      <c r="E146" s="71"/>
      <c r="F146" s="71"/>
    </row>
    <row r="147" spans="1:6" x14ac:dyDescent="0.25">
      <c r="A147" s="40"/>
      <c r="B147" s="71"/>
      <c r="E147" s="71"/>
      <c r="F147" s="71"/>
    </row>
    <row r="148" spans="1:6" x14ac:dyDescent="0.25">
      <c r="A148" s="40"/>
      <c r="B148" s="71"/>
      <c r="E148" s="71"/>
      <c r="F148" s="71"/>
    </row>
    <row r="149" spans="1:6" x14ac:dyDescent="0.25">
      <c r="A149" s="40"/>
      <c r="B149" s="71"/>
      <c r="E149" s="71"/>
      <c r="F149" s="71"/>
    </row>
    <row r="150" spans="1:6" x14ac:dyDescent="0.25">
      <c r="A150" s="40"/>
      <c r="B150" s="71"/>
      <c r="E150" s="71"/>
      <c r="F150" s="71"/>
    </row>
    <row r="151" spans="1:6" x14ac:dyDescent="0.25">
      <c r="A151" s="40"/>
      <c r="B151" s="71"/>
      <c r="E151" s="71"/>
      <c r="F151" s="71"/>
    </row>
    <row r="152" spans="1:6" x14ac:dyDescent="0.25">
      <c r="A152" s="40"/>
      <c r="B152" s="71"/>
      <c r="E152" s="71"/>
      <c r="F152" s="71"/>
    </row>
    <row r="153" spans="1:6" x14ac:dyDescent="0.25">
      <c r="A153" s="40"/>
      <c r="B153" s="71"/>
      <c r="E153" s="71"/>
      <c r="F153" s="71"/>
    </row>
    <row r="154" spans="1:6" x14ac:dyDescent="0.25">
      <c r="A154" s="40"/>
      <c r="B154" s="71"/>
      <c r="E154" s="71"/>
      <c r="F154" s="71"/>
    </row>
    <row r="155" spans="1:6" x14ac:dyDescent="0.25">
      <c r="A155" s="40"/>
      <c r="B155" s="71"/>
      <c r="E155" s="71"/>
      <c r="F155" s="71"/>
    </row>
    <row r="156" spans="1:6" x14ac:dyDescent="0.25">
      <c r="A156" s="40"/>
      <c r="B156" s="71"/>
      <c r="E156" s="71"/>
      <c r="F156" s="71"/>
    </row>
    <row r="157" spans="1:6" x14ac:dyDescent="0.25">
      <c r="A157" s="40"/>
      <c r="B157" s="71"/>
      <c r="E157" s="71"/>
      <c r="F157" s="71"/>
    </row>
    <row r="158" spans="1:6" x14ac:dyDescent="0.25">
      <c r="A158" s="40"/>
      <c r="B158" s="71"/>
      <c r="E158" s="71"/>
      <c r="F158" s="71"/>
    </row>
    <row r="159" spans="1:6" x14ac:dyDescent="0.25">
      <c r="A159" s="40"/>
      <c r="B159" s="71"/>
      <c r="E159" s="71"/>
      <c r="F159" s="71"/>
    </row>
    <row r="160" spans="1:6" x14ac:dyDescent="0.25">
      <c r="A160" s="40"/>
      <c r="B160" s="71"/>
      <c r="E160" s="71"/>
      <c r="F160" s="71"/>
    </row>
    <row r="161" spans="1:6" x14ac:dyDescent="0.25">
      <c r="A161" s="40"/>
      <c r="B161" s="71"/>
      <c r="E161" s="71"/>
      <c r="F161" s="71"/>
    </row>
    <row r="162" spans="1:6" x14ac:dyDescent="0.25">
      <c r="A162" s="40"/>
      <c r="B162" s="71"/>
      <c r="E162" s="71"/>
      <c r="F162" s="71"/>
    </row>
    <row r="163" spans="1:6" x14ac:dyDescent="0.25">
      <c r="A163" s="40"/>
      <c r="B163" s="71"/>
      <c r="E163" s="71"/>
      <c r="F163" s="71"/>
    </row>
    <row r="164" spans="1:6" x14ac:dyDescent="0.25">
      <c r="A164" s="40"/>
      <c r="B164" s="71"/>
      <c r="E164" s="71"/>
      <c r="F164" s="71"/>
    </row>
    <row r="165" spans="1:6" x14ac:dyDescent="0.25">
      <c r="A165" s="40"/>
      <c r="B165" s="71"/>
      <c r="E165" s="71"/>
      <c r="F165" s="71"/>
    </row>
    <row r="166" spans="1:6" x14ac:dyDescent="0.25">
      <c r="A166" s="40"/>
      <c r="B166" s="71"/>
      <c r="E166" s="71"/>
      <c r="F166" s="71"/>
    </row>
    <row r="167" spans="1:6" x14ac:dyDescent="0.25">
      <c r="A167" s="40"/>
      <c r="B167" s="71"/>
      <c r="E167" s="71"/>
      <c r="F167" s="71"/>
    </row>
    <row r="168" spans="1:6" x14ac:dyDescent="0.25">
      <c r="A168" s="40"/>
      <c r="B168" s="71"/>
      <c r="E168" s="71"/>
      <c r="F168" s="71"/>
    </row>
    <row r="169" spans="1:6" x14ac:dyDescent="0.25">
      <c r="A169" s="40"/>
      <c r="B169" s="71"/>
      <c r="E169" s="71"/>
      <c r="F169" s="71"/>
    </row>
    <row r="170" spans="1:6" x14ac:dyDescent="0.25">
      <c r="A170" s="40"/>
      <c r="B170" s="71"/>
      <c r="E170" s="71"/>
      <c r="F170" s="71"/>
    </row>
    <row r="171" spans="1:6" x14ac:dyDescent="0.25">
      <c r="A171" s="40"/>
      <c r="B171" s="71"/>
      <c r="E171" s="71"/>
      <c r="F171" s="71"/>
    </row>
    <row r="172" spans="1:6" x14ac:dyDescent="0.25">
      <c r="A172" s="40"/>
      <c r="B172" s="71"/>
      <c r="E172" s="71"/>
      <c r="F172" s="71"/>
    </row>
    <row r="173" spans="1:6" x14ac:dyDescent="0.25">
      <c r="A173" s="40"/>
      <c r="B173" s="71"/>
      <c r="E173" s="71"/>
      <c r="F173" s="71"/>
    </row>
    <row r="174" spans="1:6" x14ac:dyDescent="0.25">
      <c r="A174" s="40"/>
      <c r="B174" s="71"/>
      <c r="E174" s="71"/>
      <c r="F174" s="71"/>
    </row>
    <row r="175" spans="1:6" x14ac:dyDescent="0.25">
      <c r="A175" s="40"/>
      <c r="B175" s="71"/>
      <c r="E175" s="71"/>
      <c r="F175" s="71"/>
    </row>
    <row r="176" spans="1:6" x14ac:dyDescent="0.25">
      <c r="A176" s="40"/>
      <c r="B176" s="71"/>
      <c r="E176" s="71"/>
      <c r="F176" s="71"/>
    </row>
    <row r="177" spans="1:6" x14ac:dyDescent="0.25">
      <c r="A177" s="40"/>
      <c r="B177" s="71"/>
      <c r="E177" s="71"/>
      <c r="F177" s="71"/>
    </row>
    <row r="178" spans="1:6" x14ac:dyDescent="0.25">
      <c r="A178" s="40"/>
      <c r="B178" s="71"/>
      <c r="E178" s="71"/>
      <c r="F178" s="71"/>
    </row>
    <row r="179" spans="1:6" x14ac:dyDescent="0.25">
      <c r="A179" s="40"/>
      <c r="B179" s="71"/>
      <c r="E179" s="71"/>
      <c r="F179" s="71"/>
    </row>
    <row r="180" spans="1:6" x14ac:dyDescent="0.25">
      <c r="A180" s="40"/>
      <c r="B180" s="71"/>
      <c r="E180" s="71"/>
      <c r="F180" s="71"/>
    </row>
    <row r="181" spans="1:6" x14ac:dyDescent="0.25">
      <c r="A181" s="40"/>
      <c r="B181" s="71"/>
      <c r="E181" s="71"/>
      <c r="F181" s="71"/>
    </row>
    <row r="182" spans="1:6" x14ac:dyDescent="0.25">
      <c r="A182" s="40"/>
      <c r="B182" s="71"/>
      <c r="E182" s="71"/>
      <c r="F182" s="71"/>
    </row>
    <row r="183" spans="1:6" x14ac:dyDescent="0.25">
      <c r="A183" s="40"/>
      <c r="B183" s="71"/>
      <c r="E183" s="71"/>
      <c r="F183" s="71"/>
    </row>
    <row r="184" spans="1:6" x14ac:dyDescent="0.25">
      <c r="A184" s="40"/>
      <c r="B184" s="71"/>
      <c r="E184" s="71"/>
      <c r="F184" s="71"/>
    </row>
    <row r="185" spans="1:6" x14ac:dyDescent="0.25">
      <c r="A185" s="40"/>
      <c r="B185" s="71"/>
      <c r="E185" s="71"/>
      <c r="F185" s="71"/>
    </row>
    <row r="186" spans="1:6" x14ac:dyDescent="0.25">
      <c r="A186" s="40"/>
      <c r="B186" s="71"/>
      <c r="E186" s="71"/>
      <c r="F186" s="71"/>
    </row>
    <row r="187" spans="1:6" x14ac:dyDescent="0.25">
      <c r="A187" s="40"/>
      <c r="B187" s="71"/>
      <c r="E187" s="71"/>
      <c r="F187" s="71"/>
    </row>
    <row r="188" spans="1:6" x14ac:dyDescent="0.25">
      <c r="A188" s="40"/>
      <c r="B188" s="71"/>
      <c r="E188" s="71"/>
      <c r="F188" s="71"/>
    </row>
    <row r="189" spans="1:6" x14ac:dyDescent="0.25">
      <c r="A189" s="40"/>
      <c r="B189" s="71"/>
      <c r="E189" s="71"/>
      <c r="F189" s="71"/>
    </row>
    <row r="190" spans="1:6" x14ac:dyDescent="0.25">
      <c r="A190" s="40"/>
      <c r="B190" s="71"/>
      <c r="E190" s="71"/>
      <c r="F190" s="71"/>
    </row>
    <row r="191" spans="1:6" x14ac:dyDescent="0.25">
      <c r="A191" s="40"/>
      <c r="B191" s="71"/>
      <c r="E191" s="71"/>
      <c r="F191" s="71"/>
    </row>
    <row r="192" spans="1:6" x14ac:dyDescent="0.25">
      <c r="A192" s="40"/>
      <c r="B192" s="71"/>
      <c r="E192" s="71"/>
      <c r="F192" s="71"/>
    </row>
    <row r="193" spans="1:6" x14ac:dyDescent="0.25">
      <c r="A193" s="40"/>
      <c r="B193" s="71"/>
      <c r="E193" s="71"/>
      <c r="F193" s="71"/>
    </row>
    <row r="194" spans="1:6" x14ac:dyDescent="0.25">
      <c r="A194" s="40"/>
      <c r="B194" s="71"/>
      <c r="E194" s="71"/>
      <c r="F194" s="71"/>
    </row>
    <row r="195" spans="1:6" x14ac:dyDescent="0.25">
      <c r="A195" s="40"/>
      <c r="B195" s="71"/>
      <c r="E195" s="71"/>
      <c r="F195" s="71"/>
    </row>
    <row r="196" spans="1:6" x14ac:dyDescent="0.25">
      <c r="A196" s="40"/>
      <c r="B196" s="71"/>
      <c r="E196" s="71"/>
      <c r="F196" s="71"/>
    </row>
    <row r="197" spans="1:6" x14ac:dyDescent="0.25">
      <c r="A197" s="40"/>
      <c r="B197" s="71"/>
      <c r="E197" s="71"/>
      <c r="F197" s="71"/>
    </row>
    <row r="198" spans="1:6" x14ac:dyDescent="0.25">
      <c r="A198" s="40"/>
      <c r="B198" s="71"/>
      <c r="E198" s="71"/>
      <c r="F198" s="71"/>
    </row>
    <row r="199" spans="1:6" x14ac:dyDescent="0.25">
      <c r="A199" s="40"/>
      <c r="B199" s="71"/>
      <c r="E199" s="71"/>
      <c r="F199" s="71"/>
    </row>
  </sheetData>
  <mergeCells count="2">
    <mergeCell ref="A1:G1"/>
    <mergeCell ref="J3:K3"/>
  </mergeCells>
  <dataValidations count="2">
    <dataValidation type="list" allowBlank="1" showInputMessage="1" showErrorMessage="1" sqref="D4:D199" xr:uid="{891286A2-0327-4DBF-B378-DB0A0EBC76A3}">
      <formula1>ПоставшикРўйхати</formula1>
    </dataValidation>
    <dataValidation type="list" allowBlank="1" showInputMessage="1" showErrorMessage="1" sqref="H4:H30" xr:uid="{C2C7A889-D83B-494A-BDD1-63083EB7FF00}">
      <formula1>"Касса,Перечисления"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55FB3-2CEE-4A60-9119-DC37BC571D9B}">
  <sheetPr>
    <tabColor rgb="FFFFFF00"/>
  </sheetPr>
  <dimension ref="A1:F98"/>
  <sheetViews>
    <sheetView workbookViewId="0">
      <pane ySplit="3" topLeftCell="A65" activePane="bottomLeft" state="frozen"/>
      <selection activeCell="B10" sqref="B10"/>
      <selection pane="bottomLeft" activeCell="D91" sqref="D91"/>
    </sheetView>
  </sheetViews>
  <sheetFormatPr defaultRowHeight="15" x14ac:dyDescent="0.25"/>
  <cols>
    <col min="1" max="1" width="11" bestFit="1" customWidth="1"/>
    <col min="2" max="2" width="23.28515625" bestFit="1" customWidth="1"/>
    <col min="3" max="3" width="15.85546875" style="45" bestFit="1" customWidth="1"/>
    <col min="4" max="4" width="40.42578125" bestFit="1" customWidth="1"/>
  </cols>
  <sheetData>
    <row r="1" spans="1:6" ht="18.75" x14ac:dyDescent="0.3">
      <c r="A1" s="329" t="s">
        <v>144</v>
      </c>
      <c r="B1" s="329"/>
      <c r="C1" s="329"/>
      <c r="D1" s="329"/>
    </row>
    <row r="2" spans="1:6" x14ac:dyDescent="0.25">
      <c r="C2" s="47">
        <f>SUBTOTAL(9,ПоддонҚайтариш[Поддон дона])</f>
        <v>4036</v>
      </c>
      <c r="F2" s="61"/>
    </row>
    <row r="3" spans="1:6" x14ac:dyDescent="0.25">
      <c r="A3" t="s">
        <v>145</v>
      </c>
      <c r="B3" t="s">
        <v>240</v>
      </c>
      <c r="C3" s="45" t="s">
        <v>153</v>
      </c>
      <c r="D3" t="s">
        <v>17</v>
      </c>
    </row>
    <row r="4" spans="1:6" x14ac:dyDescent="0.25">
      <c r="A4" s="40">
        <v>46198</v>
      </c>
      <c r="B4" t="s">
        <v>98</v>
      </c>
      <c r="C4" s="29">
        <v>46</v>
      </c>
      <c r="D4" t="s">
        <v>241</v>
      </c>
    </row>
    <row r="5" spans="1:6" x14ac:dyDescent="0.25">
      <c r="A5" s="40">
        <v>46203</v>
      </c>
      <c r="B5" t="s">
        <v>51</v>
      </c>
      <c r="C5" s="29">
        <v>56</v>
      </c>
      <c r="D5" t="s">
        <v>242</v>
      </c>
    </row>
    <row r="6" spans="1:6" x14ac:dyDescent="0.25">
      <c r="A6" s="40">
        <v>46203</v>
      </c>
      <c r="B6" t="s">
        <v>109</v>
      </c>
      <c r="C6" s="29">
        <v>62</v>
      </c>
      <c r="D6" t="s">
        <v>243</v>
      </c>
    </row>
    <row r="7" spans="1:6" x14ac:dyDescent="0.25">
      <c r="A7" s="40">
        <v>46203</v>
      </c>
      <c r="B7" t="s">
        <v>34</v>
      </c>
      <c r="C7" s="29">
        <v>38</v>
      </c>
      <c r="D7" t="s">
        <v>244</v>
      </c>
    </row>
    <row r="8" spans="1:6" x14ac:dyDescent="0.25">
      <c r="A8" s="40">
        <v>46207</v>
      </c>
      <c r="B8" t="s">
        <v>45</v>
      </c>
      <c r="C8" s="29">
        <v>119</v>
      </c>
      <c r="D8" t="s">
        <v>245</v>
      </c>
    </row>
    <row r="9" spans="1:6" x14ac:dyDescent="0.25">
      <c r="A9" s="40">
        <v>46209</v>
      </c>
      <c r="B9" t="s">
        <v>71</v>
      </c>
      <c r="C9" s="29">
        <v>38</v>
      </c>
      <c r="D9" t="s">
        <v>246</v>
      </c>
    </row>
    <row r="10" spans="1:6" x14ac:dyDescent="0.25">
      <c r="A10" s="40">
        <v>46212</v>
      </c>
      <c r="B10" t="s">
        <v>82</v>
      </c>
      <c r="C10" s="29">
        <v>20</v>
      </c>
      <c r="D10" t="s">
        <v>247</v>
      </c>
    </row>
    <row r="11" spans="1:6" x14ac:dyDescent="0.25">
      <c r="A11" s="40">
        <v>46219</v>
      </c>
      <c r="B11" t="s">
        <v>103</v>
      </c>
      <c r="C11" s="29">
        <v>68</v>
      </c>
      <c r="D11" t="s">
        <v>248</v>
      </c>
    </row>
    <row r="12" spans="1:6" x14ac:dyDescent="0.25">
      <c r="A12" s="40">
        <v>46219</v>
      </c>
      <c r="B12" t="s">
        <v>103</v>
      </c>
      <c r="C12" s="29">
        <v>28</v>
      </c>
      <c r="D12" t="s">
        <v>248</v>
      </c>
    </row>
    <row r="13" spans="1:6" x14ac:dyDescent="0.25">
      <c r="A13" s="40">
        <v>46221</v>
      </c>
      <c r="B13" t="s">
        <v>53</v>
      </c>
      <c r="C13" s="29">
        <v>56</v>
      </c>
      <c r="D13" t="s">
        <v>249</v>
      </c>
    </row>
    <row r="14" spans="1:6" x14ac:dyDescent="0.25">
      <c r="A14" s="40">
        <v>46223</v>
      </c>
      <c r="B14" t="s">
        <v>98</v>
      </c>
      <c r="C14" s="29">
        <v>57</v>
      </c>
      <c r="D14" t="s">
        <v>241</v>
      </c>
    </row>
    <row r="15" spans="1:6" x14ac:dyDescent="0.25">
      <c r="A15" s="40">
        <v>46223</v>
      </c>
      <c r="B15" t="s">
        <v>69</v>
      </c>
      <c r="C15" s="29">
        <v>36</v>
      </c>
      <c r="D15" t="s">
        <v>250</v>
      </c>
    </row>
    <row r="16" spans="1:6" x14ac:dyDescent="0.25">
      <c r="A16" s="40">
        <v>46228</v>
      </c>
      <c r="B16" t="s">
        <v>53</v>
      </c>
      <c r="C16" s="29">
        <v>25</v>
      </c>
      <c r="D16" t="s">
        <v>249</v>
      </c>
    </row>
    <row r="17" spans="1:4" x14ac:dyDescent="0.25">
      <c r="A17" s="40">
        <v>46229</v>
      </c>
      <c r="B17" t="s">
        <v>45</v>
      </c>
      <c r="C17" s="29">
        <v>45</v>
      </c>
      <c r="D17" t="s">
        <v>245</v>
      </c>
    </row>
    <row r="18" spans="1:4" x14ac:dyDescent="0.25">
      <c r="A18" s="40">
        <v>46230</v>
      </c>
      <c r="B18" t="s">
        <v>116</v>
      </c>
      <c r="C18" s="29">
        <v>50</v>
      </c>
      <c r="D18" t="s">
        <v>251</v>
      </c>
    </row>
    <row r="19" spans="1:4" x14ac:dyDescent="0.25">
      <c r="A19" s="40">
        <v>46230</v>
      </c>
      <c r="B19" t="s">
        <v>98</v>
      </c>
      <c r="C19" s="29">
        <v>41</v>
      </c>
      <c r="D19" t="s">
        <v>241</v>
      </c>
    </row>
    <row r="20" spans="1:4" x14ac:dyDescent="0.25">
      <c r="A20" s="40">
        <v>46230</v>
      </c>
      <c r="B20" t="s">
        <v>45</v>
      </c>
      <c r="C20" s="29">
        <v>38</v>
      </c>
      <c r="D20" t="s">
        <v>245</v>
      </c>
    </row>
    <row r="21" spans="1:4" x14ac:dyDescent="0.25">
      <c r="A21" s="40">
        <v>46230</v>
      </c>
      <c r="B21" t="s">
        <v>45</v>
      </c>
      <c r="C21" s="29">
        <v>38</v>
      </c>
      <c r="D21" t="s">
        <v>245</v>
      </c>
    </row>
    <row r="22" spans="1:4" x14ac:dyDescent="0.25">
      <c r="A22" s="40">
        <v>46230</v>
      </c>
      <c r="B22" t="s">
        <v>82</v>
      </c>
      <c r="C22" s="29">
        <v>72</v>
      </c>
      <c r="D22" t="s">
        <v>247</v>
      </c>
    </row>
    <row r="23" spans="1:4" x14ac:dyDescent="0.25">
      <c r="A23" s="40">
        <v>46230</v>
      </c>
      <c r="B23" t="s">
        <v>85</v>
      </c>
      <c r="C23" s="29">
        <v>60</v>
      </c>
      <c r="D23" t="s">
        <v>252</v>
      </c>
    </row>
    <row r="24" spans="1:4" x14ac:dyDescent="0.25">
      <c r="A24" s="40">
        <v>46230</v>
      </c>
      <c r="B24" t="s">
        <v>91</v>
      </c>
      <c r="C24" s="29">
        <v>61</v>
      </c>
      <c r="D24" t="s">
        <v>253</v>
      </c>
    </row>
    <row r="25" spans="1:4" x14ac:dyDescent="0.25">
      <c r="A25" s="40">
        <v>46231</v>
      </c>
      <c r="B25" t="s">
        <v>114</v>
      </c>
      <c r="C25" s="29">
        <v>38</v>
      </c>
      <c r="D25" t="s">
        <v>254</v>
      </c>
    </row>
    <row r="26" spans="1:4" x14ac:dyDescent="0.25">
      <c r="A26" s="40">
        <v>46231</v>
      </c>
      <c r="B26" t="s">
        <v>38</v>
      </c>
      <c r="C26" s="29">
        <v>43</v>
      </c>
      <c r="D26" t="s">
        <v>255</v>
      </c>
    </row>
    <row r="27" spans="1:4" x14ac:dyDescent="0.25">
      <c r="A27" s="40">
        <v>46231</v>
      </c>
      <c r="B27" t="s">
        <v>98</v>
      </c>
      <c r="C27" s="29">
        <v>110</v>
      </c>
      <c r="D27" t="s">
        <v>241</v>
      </c>
    </row>
    <row r="28" spans="1:4" x14ac:dyDescent="0.25">
      <c r="A28" s="40">
        <v>46231</v>
      </c>
      <c r="B28" t="s">
        <v>48</v>
      </c>
      <c r="C28" s="29">
        <v>50</v>
      </c>
      <c r="D28" t="s">
        <v>256</v>
      </c>
    </row>
    <row r="29" spans="1:4" x14ac:dyDescent="0.25">
      <c r="A29" s="40">
        <v>46231</v>
      </c>
      <c r="B29" t="s">
        <v>63</v>
      </c>
      <c r="C29" s="29">
        <v>16</v>
      </c>
      <c r="D29" t="s">
        <v>257</v>
      </c>
    </row>
    <row r="30" spans="1:4" x14ac:dyDescent="0.25">
      <c r="A30" s="40">
        <v>46231</v>
      </c>
      <c r="B30" s="62" t="s">
        <v>122</v>
      </c>
      <c r="C30" s="29">
        <v>15</v>
      </c>
      <c r="D30" t="s">
        <v>258</v>
      </c>
    </row>
    <row r="31" spans="1:4" x14ac:dyDescent="0.25">
      <c r="A31" s="40">
        <v>46231</v>
      </c>
      <c r="B31" t="s">
        <v>42</v>
      </c>
      <c r="C31" s="29">
        <v>44</v>
      </c>
      <c r="D31" t="s">
        <v>259</v>
      </c>
    </row>
    <row r="32" spans="1:4" x14ac:dyDescent="0.25">
      <c r="A32" s="40">
        <v>46231</v>
      </c>
      <c r="B32" t="s">
        <v>112</v>
      </c>
      <c r="C32" s="29">
        <v>46</v>
      </c>
      <c r="D32" t="s">
        <v>260</v>
      </c>
    </row>
    <row r="33" spans="1:4" x14ac:dyDescent="0.25">
      <c r="A33" s="40">
        <v>46235</v>
      </c>
      <c r="B33" t="s">
        <v>87</v>
      </c>
      <c r="C33" s="29">
        <v>72</v>
      </c>
      <c r="D33" t="s">
        <v>261</v>
      </c>
    </row>
    <row r="34" spans="1:4" x14ac:dyDescent="0.25">
      <c r="A34" s="40">
        <v>46235</v>
      </c>
      <c r="B34" t="s">
        <v>45</v>
      </c>
      <c r="C34" s="29">
        <v>50</v>
      </c>
      <c r="D34" t="s">
        <v>245</v>
      </c>
    </row>
    <row r="35" spans="1:4" x14ac:dyDescent="0.25">
      <c r="A35" s="40">
        <v>46235</v>
      </c>
      <c r="B35" t="s">
        <v>53</v>
      </c>
      <c r="C35" s="29">
        <v>43</v>
      </c>
      <c r="D35" t="s">
        <v>249</v>
      </c>
    </row>
    <row r="36" spans="1:4" x14ac:dyDescent="0.25">
      <c r="A36" s="40">
        <v>46235</v>
      </c>
      <c r="B36" t="s">
        <v>103</v>
      </c>
      <c r="C36" s="29">
        <v>18</v>
      </c>
      <c r="D36" t="s">
        <v>248</v>
      </c>
    </row>
    <row r="37" spans="1:4" x14ac:dyDescent="0.25">
      <c r="A37" s="40">
        <v>46235</v>
      </c>
      <c r="B37" t="s">
        <v>27</v>
      </c>
      <c r="C37" s="29">
        <v>16</v>
      </c>
      <c r="D37" t="s">
        <v>262</v>
      </c>
    </row>
    <row r="38" spans="1:4" x14ac:dyDescent="0.25">
      <c r="A38" s="40">
        <v>46237</v>
      </c>
      <c r="B38" t="s">
        <v>80</v>
      </c>
      <c r="C38" s="29">
        <v>50</v>
      </c>
      <c r="D38" t="s">
        <v>263</v>
      </c>
    </row>
    <row r="39" spans="1:4" x14ac:dyDescent="0.25">
      <c r="A39" s="40">
        <v>46237</v>
      </c>
      <c r="B39" t="s">
        <v>98</v>
      </c>
      <c r="C39" s="29">
        <v>50</v>
      </c>
      <c r="D39" t="s">
        <v>241</v>
      </c>
    </row>
    <row r="40" spans="1:4" x14ac:dyDescent="0.25">
      <c r="A40" s="40">
        <v>46237</v>
      </c>
      <c r="B40" t="s">
        <v>87</v>
      </c>
      <c r="C40" s="29">
        <v>50</v>
      </c>
      <c r="D40" t="s">
        <v>261</v>
      </c>
    </row>
    <row r="41" spans="1:4" x14ac:dyDescent="0.25">
      <c r="A41" s="40">
        <v>46237</v>
      </c>
      <c r="B41" t="s">
        <v>71</v>
      </c>
      <c r="C41" s="29">
        <v>35</v>
      </c>
      <c r="D41" t="s">
        <v>246</v>
      </c>
    </row>
    <row r="42" spans="1:4" x14ac:dyDescent="0.25">
      <c r="A42" s="40">
        <v>46237</v>
      </c>
      <c r="B42" t="s">
        <v>82</v>
      </c>
      <c r="C42" s="29">
        <v>51</v>
      </c>
      <c r="D42" t="s">
        <v>247</v>
      </c>
    </row>
    <row r="43" spans="1:4" x14ac:dyDescent="0.25">
      <c r="A43" s="40">
        <v>46237</v>
      </c>
      <c r="B43" t="s">
        <v>63</v>
      </c>
      <c r="C43" s="29">
        <v>16</v>
      </c>
      <c r="D43" t="s">
        <v>257</v>
      </c>
    </row>
    <row r="44" spans="1:4" x14ac:dyDescent="0.25">
      <c r="A44" s="40">
        <v>46237</v>
      </c>
      <c r="B44" t="s">
        <v>42</v>
      </c>
      <c r="C44" s="29">
        <v>32</v>
      </c>
      <c r="D44" t="s">
        <v>259</v>
      </c>
    </row>
    <row r="45" spans="1:4" x14ac:dyDescent="0.25">
      <c r="A45" s="40">
        <v>46237</v>
      </c>
      <c r="B45" s="62" t="s">
        <v>76</v>
      </c>
      <c r="C45" s="29">
        <v>18</v>
      </c>
      <c r="D45" t="s">
        <v>264</v>
      </c>
    </row>
    <row r="46" spans="1:4" x14ac:dyDescent="0.25">
      <c r="A46" s="40">
        <v>46239</v>
      </c>
      <c r="B46" t="s">
        <v>98</v>
      </c>
      <c r="C46" s="29">
        <v>70</v>
      </c>
      <c r="D46" t="s">
        <v>241</v>
      </c>
    </row>
    <row r="47" spans="1:4" x14ac:dyDescent="0.25">
      <c r="A47" s="40">
        <v>46239</v>
      </c>
      <c r="B47" t="s">
        <v>89</v>
      </c>
      <c r="C47" s="29">
        <v>60</v>
      </c>
      <c r="D47" t="s">
        <v>265</v>
      </c>
    </row>
    <row r="48" spans="1:4" x14ac:dyDescent="0.25">
      <c r="A48" s="40">
        <v>46239</v>
      </c>
      <c r="B48" t="s">
        <v>45</v>
      </c>
      <c r="C48" s="29">
        <v>47</v>
      </c>
      <c r="D48" t="s">
        <v>245</v>
      </c>
    </row>
    <row r="49" spans="1:4" x14ac:dyDescent="0.25">
      <c r="A49" s="40">
        <v>46240</v>
      </c>
      <c r="B49" t="s">
        <v>109</v>
      </c>
      <c r="C49" s="29">
        <v>30</v>
      </c>
      <c r="D49" t="s">
        <v>243</v>
      </c>
    </row>
    <row r="50" spans="1:4" x14ac:dyDescent="0.25">
      <c r="A50" s="40">
        <v>46240</v>
      </c>
      <c r="B50" t="s">
        <v>53</v>
      </c>
      <c r="C50" s="29">
        <v>53</v>
      </c>
      <c r="D50" t="s">
        <v>249</v>
      </c>
    </row>
    <row r="51" spans="1:4" x14ac:dyDescent="0.25">
      <c r="A51" s="40">
        <v>46240</v>
      </c>
      <c r="B51" t="s">
        <v>30</v>
      </c>
      <c r="C51" s="29">
        <v>6</v>
      </c>
      <c r="D51" t="s">
        <v>266</v>
      </c>
    </row>
    <row r="52" spans="1:4" x14ac:dyDescent="0.25">
      <c r="A52" s="40">
        <v>46241</v>
      </c>
      <c r="B52" t="s">
        <v>85</v>
      </c>
      <c r="C52" s="29">
        <v>39</v>
      </c>
      <c r="D52" t="s">
        <v>252</v>
      </c>
    </row>
    <row r="53" spans="1:4" x14ac:dyDescent="0.25">
      <c r="A53" s="40">
        <v>46242</v>
      </c>
      <c r="B53" t="s">
        <v>98</v>
      </c>
      <c r="C53" s="29">
        <v>47</v>
      </c>
      <c r="D53" t="s">
        <v>241</v>
      </c>
    </row>
    <row r="54" spans="1:4" x14ac:dyDescent="0.25">
      <c r="A54" s="40">
        <v>46244</v>
      </c>
      <c r="B54" t="s">
        <v>116</v>
      </c>
      <c r="C54" s="29">
        <v>50</v>
      </c>
      <c r="D54" t="s">
        <v>251</v>
      </c>
    </row>
    <row r="55" spans="1:4" x14ac:dyDescent="0.25">
      <c r="A55" s="40">
        <v>46245</v>
      </c>
      <c r="B55" t="s">
        <v>107</v>
      </c>
      <c r="C55" s="29">
        <v>38</v>
      </c>
      <c r="D55" t="s">
        <v>267</v>
      </c>
    </row>
    <row r="56" spans="1:4" x14ac:dyDescent="0.25">
      <c r="A56" s="40">
        <v>46245</v>
      </c>
      <c r="B56" t="s">
        <v>91</v>
      </c>
      <c r="C56" s="29">
        <v>20</v>
      </c>
      <c r="D56" t="s">
        <v>253</v>
      </c>
    </row>
    <row r="57" spans="1:4" x14ac:dyDescent="0.25">
      <c r="A57" s="40">
        <v>46245</v>
      </c>
      <c r="B57" t="s">
        <v>65</v>
      </c>
      <c r="C57" s="29">
        <v>30</v>
      </c>
      <c r="D57" t="s">
        <v>268</v>
      </c>
    </row>
    <row r="58" spans="1:4" x14ac:dyDescent="0.25">
      <c r="A58" s="40">
        <v>46247</v>
      </c>
      <c r="B58" s="62" t="s">
        <v>122</v>
      </c>
      <c r="C58" s="29">
        <v>13</v>
      </c>
      <c r="D58" t="s">
        <v>258</v>
      </c>
    </row>
    <row r="59" spans="1:4" x14ac:dyDescent="0.25">
      <c r="A59" s="40">
        <v>46248</v>
      </c>
      <c r="B59" t="s">
        <v>82</v>
      </c>
      <c r="C59" s="29">
        <v>100</v>
      </c>
      <c r="D59" t="s">
        <v>247</v>
      </c>
    </row>
    <row r="60" spans="1:4" x14ac:dyDescent="0.25">
      <c r="A60" s="40">
        <v>46248</v>
      </c>
      <c r="B60" t="s">
        <v>48</v>
      </c>
      <c r="C60" s="29">
        <v>60</v>
      </c>
      <c r="D60" t="s">
        <v>256</v>
      </c>
    </row>
    <row r="61" spans="1:4" x14ac:dyDescent="0.25">
      <c r="A61" s="40">
        <v>46249</v>
      </c>
      <c r="B61" t="s">
        <v>98</v>
      </c>
      <c r="C61" s="29">
        <v>70</v>
      </c>
      <c r="D61" t="s">
        <v>241</v>
      </c>
    </row>
    <row r="62" spans="1:4" x14ac:dyDescent="0.25">
      <c r="A62" s="40">
        <v>46252</v>
      </c>
      <c r="B62" t="s">
        <v>78</v>
      </c>
      <c r="C62" s="29">
        <v>19</v>
      </c>
    </row>
    <row r="63" spans="1:4" x14ac:dyDescent="0.25">
      <c r="A63" s="40">
        <v>46253</v>
      </c>
      <c r="B63" t="s">
        <v>89</v>
      </c>
      <c r="C63" s="29">
        <v>31</v>
      </c>
    </row>
    <row r="64" spans="1:4" x14ac:dyDescent="0.25">
      <c r="A64" s="40">
        <v>46253</v>
      </c>
      <c r="B64" t="s">
        <v>119</v>
      </c>
      <c r="C64" s="29">
        <v>57</v>
      </c>
    </row>
    <row r="65" spans="1:4" x14ac:dyDescent="0.25">
      <c r="A65" s="40">
        <v>46254</v>
      </c>
      <c r="B65" t="s">
        <v>98</v>
      </c>
      <c r="C65" s="29">
        <v>60</v>
      </c>
    </row>
    <row r="66" spans="1:4" x14ac:dyDescent="0.25">
      <c r="A66" s="40">
        <v>46254</v>
      </c>
      <c r="B66" t="s">
        <v>71</v>
      </c>
      <c r="C66" s="29">
        <v>22</v>
      </c>
    </row>
    <row r="67" spans="1:4" x14ac:dyDescent="0.25">
      <c r="A67" s="40">
        <v>46254</v>
      </c>
      <c r="B67" t="s">
        <v>53</v>
      </c>
      <c r="C67" s="29">
        <v>47</v>
      </c>
    </row>
    <row r="68" spans="1:4" x14ac:dyDescent="0.25">
      <c r="A68" s="40">
        <v>46255</v>
      </c>
      <c r="B68" t="s">
        <v>61</v>
      </c>
      <c r="C68" s="29">
        <v>6</v>
      </c>
    </row>
    <row r="69" spans="1:4" x14ac:dyDescent="0.25">
      <c r="A69" s="40">
        <v>46255</v>
      </c>
      <c r="B69" t="s">
        <v>53</v>
      </c>
      <c r="C69" s="29">
        <v>62</v>
      </c>
    </row>
    <row r="70" spans="1:4" x14ac:dyDescent="0.25">
      <c r="A70" s="40">
        <v>46255</v>
      </c>
      <c r="B70" t="s">
        <v>82</v>
      </c>
      <c r="C70" s="281">
        <v>-19</v>
      </c>
    </row>
    <row r="71" spans="1:4" x14ac:dyDescent="0.25">
      <c r="A71" s="40">
        <v>46255</v>
      </c>
      <c r="B71" t="s">
        <v>78</v>
      </c>
      <c r="C71" s="281">
        <v>19</v>
      </c>
    </row>
    <row r="72" spans="1:4" x14ac:dyDescent="0.25">
      <c r="A72" s="40">
        <v>46256</v>
      </c>
      <c r="B72" t="s">
        <v>45</v>
      </c>
      <c r="C72" s="29">
        <v>43</v>
      </c>
    </row>
    <row r="73" spans="1:4" x14ac:dyDescent="0.25">
      <c r="A73" s="40">
        <v>46256</v>
      </c>
      <c r="B73" t="s">
        <v>98</v>
      </c>
      <c r="C73" s="29">
        <v>11</v>
      </c>
    </row>
    <row r="74" spans="1:4" x14ac:dyDescent="0.25">
      <c r="A74" s="40">
        <v>46256</v>
      </c>
      <c r="B74" t="s">
        <v>48</v>
      </c>
      <c r="C74" s="29">
        <v>60</v>
      </c>
    </row>
    <row r="75" spans="1:4" x14ac:dyDescent="0.25">
      <c r="A75" s="40">
        <v>46256</v>
      </c>
      <c r="B75" t="s">
        <v>38</v>
      </c>
      <c r="C75" s="29">
        <v>19</v>
      </c>
      <c r="D75" t="s">
        <v>665</v>
      </c>
    </row>
    <row r="76" spans="1:4" x14ac:dyDescent="0.25">
      <c r="A76" s="40">
        <v>46256</v>
      </c>
      <c r="B76" t="s">
        <v>107</v>
      </c>
      <c r="C76" s="29">
        <v>58</v>
      </c>
    </row>
    <row r="77" spans="1:4" x14ac:dyDescent="0.25">
      <c r="A77" s="40">
        <v>46258</v>
      </c>
      <c r="B77" t="s">
        <v>87</v>
      </c>
      <c r="C77" s="29">
        <v>64</v>
      </c>
      <c r="D77" t="s">
        <v>677</v>
      </c>
    </row>
    <row r="78" spans="1:4" x14ac:dyDescent="0.25">
      <c r="A78" s="40">
        <v>46258</v>
      </c>
      <c r="B78" t="s">
        <v>57</v>
      </c>
      <c r="C78" s="29">
        <v>61</v>
      </c>
    </row>
    <row r="79" spans="1:4" x14ac:dyDescent="0.25">
      <c r="A79" s="40">
        <v>46258</v>
      </c>
      <c r="B79" t="s">
        <v>119</v>
      </c>
      <c r="C79" s="29">
        <v>3</v>
      </c>
    </row>
    <row r="80" spans="1:4" x14ac:dyDescent="0.25">
      <c r="A80" s="40">
        <v>46259</v>
      </c>
      <c r="B80" t="s">
        <v>85</v>
      </c>
      <c r="C80" s="29">
        <v>65</v>
      </c>
    </row>
    <row r="81" spans="1:3" x14ac:dyDescent="0.25">
      <c r="A81" s="40">
        <v>46260</v>
      </c>
      <c r="B81" t="s">
        <v>85</v>
      </c>
      <c r="C81" s="29">
        <v>39</v>
      </c>
    </row>
    <row r="82" spans="1:3" x14ac:dyDescent="0.25">
      <c r="A82" s="40">
        <v>46261</v>
      </c>
      <c r="B82" t="s">
        <v>48</v>
      </c>
      <c r="C82" s="29">
        <v>60</v>
      </c>
    </row>
    <row r="83" spans="1:3" x14ac:dyDescent="0.25">
      <c r="A83" s="40">
        <v>46262</v>
      </c>
      <c r="B83" t="s">
        <v>114</v>
      </c>
      <c r="C83" s="29">
        <v>57</v>
      </c>
    </row>
    <row r="84" spans="1:3" x14ac:dyDescent="0.25">
      <c r="A84" s="40">
        <v>46262</v>
      </c>
      <c r="B84" t="s">
        <v>116</v>
      </c>
      <c r="C84" s="29">
        <v>85</v>
      </c>
    </row>
    <row r="85" spans="1:3" x14ac:dyDescent="0.25">
      <c r="A85" s="40">
        <v>46263</v>
      </c>
      <c r="B85" t="s">
        <v>107</v>
      </c>
      <c r="C85" s="29">
        <v>66</v>
      </c>
    </row>
    <row r="86" spans="1:3" x14ac:dyDescent="0.25">
      <c r="A86" s="40">
        <v>46263</v>
      </c>
      <c r="B86" t="s">
        <v>80</v>
      </c>
      <c r="C86" s="29">
        <v>45</v>
      </c>
    </row>
    <row r="87" spans="1:3" x14ac:dyDescent="0.25">
      <c r="A87" s="40">
        <v>46264</v>
      </c>
      <c r="B87" t="s">
        <v>57</v>
      </c>
      <c r="C87" s="29">
        <v>64</v>
      </c>
    </row>
    <row r="88" spans="1:3" x14ac:dyDescent="0.25">
      <c r="A88" s="40">
        <v>46267</v>
      </c>
      <c r="B88" t="s">
        <v>82</v>
      </c>
      <c r="C88" s="29">
        <v>128</v>
      </c>
    </row>
    <row r="89" spans="1:3" x14ac:dyDescent="0.25">
      <c r="A89" s="40">
        <v>46267</v>
      </c>
      <c r="B89" t="s">
        <v>87</v>
      </c>
      <c r="C89" s="29">
        <v>41</v>
      </c>
    </row>
    <row r="90" spans="1:3" x14ac:dyDescent="0.25">
      <c r="A90" s="40">
        <v>46267</v>
      </c>
      <c r="B90" s="317" t="s">
        <v>82</v>
      </c>
      <c r="C90" s="29">
        <v>64</v>
      </c>
    </row>
    <row r="91" spans="1:3" x14ac:dyDescent="0.25">
      <c r="A91" s="40">
        <v>46267</v>
      </c>
      <c r="B91" s="317" t="s">
        <v>82</v>
      </c>
      <c r="C91" s="29">
        <v>49</v>
      </c>
    </row>
    <row r="92" spans="1:3" x14ac:dyDescent="0.25">
      <c r="A92" s="40"/>
      <c r="C92" s="29"/>
    </row>
    <row r="93" spans="1:3" x14ac:dyDescent="0.25">
      <c r="A93" s="40"/>
      <c r="C93" s="29"/>
    </row>
    <row r="94" spans="1:3" x14ac:dyDescent="0.25">
      <c r="A94" s="40"/>
      <c r="C94" s="29"/>
    </row>
    <row r="95" spans="1:3" x14ac:dyDescent="0.25">
      <c r="A95" s="40"/>
      <c r="C95" s="29"/>
    </row>
    <row r="96" spans="1:3" x14ac:dyDescent="0.25">
      <c r="A96" s="40"/>
      <c r="C96" s="29"/>
    </row>
    <row r="97" spans="1:3" x14ac:dyDescent="0.25">
      <c r="A97" s="40"/>
      <c r="C97" s="29"/>
    </row>
    <row r="98" spans="1:3" x14ac:dyDescent="0.25">
      <c r="A98" s="40"/>
      <c r="C98" s="29"/>
    </row>
  </sheetData>
  <mergeCells count="1">
    <mergeCell ref="A1:D1"/>
  </mergeCells>
  <dataValidations count="1">
    <dataValidation type="list" errorStyle="warning" allowBlank="1" showInputMessage="1" showErrorMessage="1" errorTitle="Номаълум мижоз" error="Бу мижоз справочникда йўқ." sqref="B4:B200" xr:uid="{09B33AC9-1265-4069-9531-6860C8531E70}">
      <formula1>МижозРўйхати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84B51-437C-4F1B-8548-1B7E7EFC19F1}">
  <sheetPr>
    <tabColor rgb="FF00B050"/>
    <pageSetUpPr fitToPage="1"/>
  </sheetPr>
  <dimension ref="A1:T1101"/>
  <sheetViews>
    <sheetView zoomScaleNormal="100" workbookViewId="0">
      <pane ySplit="4" topLeftCell="A180" activePane="bottomLeft" state="frozen"/>
      <selection pane="bottomLeft" activeCell="F199" sqref="F199"/>
    </sheetView>
  </sheetViews>
  <sheetFormatPr defaultColWidth="5.85546875" defaultRowHeight="14.25" outlineLevelCol="1" x14ac:dyDescent="0.2"/>
  <cols>
    <col min="1" max="1" width="11" style="7" bestFit="1" customWidth="1"/>
    <col min="2" max="2" width="11.5703125" style="8" bestFit="1" customWidth="1"/>
    <col min="3" max="3" width="21" style="8" bestFit="1" customWidth="1"/>
    <col min="4" max="4" width="19.140625" style="9" bestFit="1" customWidth="1"/>
    <col min="5" max="5" width="53.85546875" style="8" customWidth="1"/>
    <col min="6" max="6" width="14.42578125" style="8" bestFit="1" customWidth="1"/>
    <col min="7" max="7" width="14.42578125" style="9" customWidth="1"/>
    <col min="8" max="9" width="11.42578125" style="9" customWidth="1"/>
    <col min="10" max="10" width="15.42578125" style="9" customWidth="1"/>
    <col min="11" max="11" width="17.140625" style="9" bestFit="1" customWidth="1"/>
    <col min="12" max="12" width="18.85546875" style="8" bestFit="1" customWidth="1"/>
    <col min="13" max="13" width="37.42578125" style="8" bestFit="1" customWidth="1"/>
    <col min="14" max="14" width="18.28515625" style="10" bestFit="1" customWidth="1"/>
    <col min="15" max="15" width="17.140625" style="10" bestFit="1" customWidth="1"/>
    <col min="16" max="16" width="12.5703125" style="10" bestFit="1" customWidth="1"/>
    <col min="17" max="17" width="25.140625" style="10" hidden="1" customWidth="1"/>
    <col min="18" max="18" width="18.140625" style="10" hidden="1" customWidth="1"/>
    <col min="19" max="19" width="18.140625" style="10" hidden="1" customWidth="1" outlineLevel="1"/>
    <col min="20" max="20" width="5.85546875" style="10" collapsed="1"/>
    <col min="21" max="16384" width="5.85546875" style="10"/>
  </cols>
  <sheetData>
    <row r="1" spans="1:19" ht="15" x14ac:dyDescent="0.25">
      <c r="R1"/>
      <c r="S1"/>
    </row>
    <row r="2" spans="1:19" ht="15" x14ac:dyDescent="0.25">
      <c r="R2"/>
      <c r="S2"/>
    </row>
    <row r="3" spans="1:19" ht="15" x14ac:dyDescent="0.25">
      <c r="C3" s="376">
        <v>46246</v>
      </c>
      <c r="D3" s="377"/>
      <c r="F3" s="8">
        <f>SUBTOTAL(9,Тўловлар[Поддон])</f>
        <v>2853</v>
      </c>
      <c r="G3" s="9">
        <v>130000</v>
      </c>
      <c r="K3" s="9">
        <f>SUBTOTAL(9,Тўловлар[Жами сумма])</f>
        <v>7903622040</v>
      </c>
      <c r="R3"/>
      <c r="S3"/>
    </row>
    <row r="4" spans="1:19" s="20" customFormat="1" ht="24" x14ac:dyDescent="0.2">
      <c r="A4" s="15" t="s">
        <v>145</v>
      </c>
      <c r="B4" s="16" t="s">
        <v>16</v>
      </c>
      <c r="C4" s="16" t="s">
        <v>240</v>
      </c>
      <c r="D4" s="17" t="s">
        <v>273</v>
      </c>
      <c r="E4" s="18" t="s">
        <v>156</v>
      </c>
      <c r="F4" s="18" t="s">
        <v>151</v>
      </c>
      <c r="G4" s="17" t="s">
        <v>274</v>
      </c>
      <c r="H4" s="19" t="s">
        <v>275</v>
      </c>
      <c r="I4" s="19" t="s">
        <v>276</v>
      </c>
      <c r="J4" s="19" t="s">
        <v>277</v>
      </c>
      <c r="K4" s="19" t="s">
        <v>223</v>
      </c>
      <c r="L4" s="18" t="s">
        <v>270</v>
      </c>
      <c r="M4" s="16" t="s">
        <v>17</v>
      </c>
      <c r="N4" s="39" t="s">
        <v>135</v>
      </c>
      <c r="O4" s="39" t="s">
        <v>154</v>
      </c>
      <c r="P4" s="39" t="s">
        <v>155</v>
      </c>
      <c r="Q4" s="200" t="s">
        <v>593</v>
      </c>
      <c r="R4" s="266" t="s">
        <v>658</v>
      </c>
      <c r="S4" s="266" t="s">
        <v>659</v>
      </c>
    </row>
    <row r="5" spans="1:19" x14ac:dyDescent="0.2">
      <c r="A5" s="23">
        <v>46198</v>
      </c>
      <c r="B5" s="24" t="s">
        <v>25</v>
      </c>
      <c r="C5" s="24" t="s">
        <v>105</v>
      </c>
      <c r="D5" s="25">
        <v>45570000</v>
      </c>
      <c r="E5" s="24" t="s">
        <v>278</v>
      </c>
      <c r="F5" s="196"/>
      <c r="G5" s="25">
        <f>Тўловлар[[#This Row],[Поддон]]*$G$3</f>
        <v>0</v>
      </c>
      <c r="H5" s="25"/>
      <c r="I5" s="25"/>
      <c r="J5" s="25"/>
      <c r="K5" s="9">
        <f>SUM(Тўловлар[[#This Row],[ПР-Сумма]]+Тўловлар[[#This Row],[Накд]]+Тўловлар[[#This Row],[Клик]]+Тўловлар[[#This Row],[Терминал]])</f>
        <v>45570000</v>
      </c>
      <c r="L5" s="24" t="s">
        <v>279</v>
      </c>
      <c r="M5" s="24"/>
      <c r="N5" s="30" cm="1">
        <f t="array" ref="N5">IFERROR(LOOKUP(2,1/((Товар!$D$4:$D$1110=Тўловлар[[#This Row],[Клиент]])*(Товар!$E$4:$E$1110&lt;=Тўловлар[[#This Row],[Дата]])),Товар!$L$4:$L$1110),Кўрсаткичлар!$B$4)</f>
        <v>130000</v>
      </c>
      <c r="O5" s="30">
        <f>Тўловлар[[#This Row],[Поддон]]*Тўловлар[[#This Row],[Поддон нархи]]</f>
        <v>0</v>
      </c>
      <c r="P5" s="30">
        <f>Тўловлар[[#This Row],[Жами сумма]]-Тўловлар[[#This Row],[Поддон пули]]</f>
        <v>45570000</v>
      </c>
      <c r="Q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" s="9" t="str">
        <f>IFERROR(INDEX(Мижозлар[Агент],MATCH($C5,Мижозлар[Расмий ном],0)),"")</f>
        <v>Жамол 22-22</v>
      </c>
    </row>
    <row r="6" spans="1:19" x14ac:dyDescent="0.2">
      <c r="A6" s="23">
        <v>46198</v>
      </c>
      <c r="B6" s="24" t="s">
        <v>29</v>
      </c>
      <c r="C6" s="24" t="s">
        <v>98</v>
      </c>
      <c r="D6" s="25">
        <v>23328000</v>
      </c>
      <c r="E6" s="24" t="s">
        <v>280</v>
      </c>
      <c r="F6" s="196"/>
      <c r="G6" s="25">
        <f>Тўловлар[[#This Row],[Поддон]]*$G$3</f>
        <v>0</v>
      </c>
      <c r="H6" s="25"/>
      <c r="I6" s="25"/>
      <c r="J6" s="25"/>
      <c r="K6" s="9">
        <f>SUM(Тўловлар[[#This Row],[ПР-Сумма]]+Тўловлар[[#This Row],[Накд]]+Тўловлар[[#This Row],[Клик]]+Тўловлар[[#This Row],[Терминал]])</f>
        <v>23328000</v>
      </c>
      <c r="L6" s="24" t="s">
        <v>279</v>
      </c>
      <c r="M6" s="24"/>
      <c r="N6" s="30" cm="1">
        <f t="array" ref="N6">IFERROR(LOOKUP(2,1/((Товар!$D$4:$D$1110=Тўловлар[[#This Row],[Клиент]])*(Товар!$E$4:$E$1110&lt;=Тўловлар[[#This Row],[Дата]])),Товар!$L$4:$L$1110),Кўрсаткичлар!$B$4)</f>
        <v>130000</v>
      </c>
      <c r="O6" s="30">
        <f>Тўловлар[[#This Row],[Поддон]]*Тўловлар[[#This Row],[Поддон нархи]]</f>
        <v>0</v>
      </c>
      <c r="P6" s="30">
        <f>Тўловлар[[#This Row],[Жами сумма]]-Тўловлар[[#This Row],[Поддон пули]]</f>
        <v>23328000</v>
      </c>
      <c r="Q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" s="9" t="str">
        <f>IFERROR(INDEX(Мижозлар[Агент],MATCH($C6,Мижозлар[Расмий ном],0)),"")</f>
        <v>Зафар ога</v>
      </c>
    </row>
    <row r="7" spans="1:19" x14ac:dyDescent="0.2">
      <c r="A7" s="23">
        <v>46202</v>
      </c>
      <c r="B7" s="24" t="s">
        <v>29</v>
      </c>
      <c r="C7" s="24" t="s">
        <v>98</v>
      </c>
      <c r="D7" s="25">
        <v>24624000</v>
      </c>
      <c r="E7" s="24" t="s">
        <v>281</v>
      </c>
      <c r="F7" s="196"/>
      <c r="G7" s="25">
        <f>Тўловлар[[#This Row],[Поддон]]*$G$3</f>
        <v>0</v>
      </c>
      <c r="H7" s="25"/>
      <c r="I7" s="25"/>
      <c r="J7" s="25"/>
      <c r="K7" s="9">
        <f>SUM(Тўловлар[[#This Row],[ПР-Сумма]]+Тўловлар[[#This Row],[Накд]]+Тўловлар[[#This Row],[Клик]]+Тўловлар[[#This Row],[Терминал]])</f>
        <v>24624000</v>
      </c>
      <c r="L7" s="24" t="s">
        <v>279</v>
      </c>
      <c r="M7" s="24"/>
      <c r="N7" s="30" cm="1">
        <f t="array" ref="N7">IFERROR(LOOKUP(2,1/((Товар!$D$4:$D$1110=Тўловлар[[#This Row],[Клиент]])*(Товар!$E$4:$E$1110&lt;=Тўловлар[[#This Row],[Дата]])),Товар!$L$4:$L$1110),Кўрсаткичлар!$B$4)</f>
        <v>130000</v>
      </c>
      <c r="O7" s="30">
        <f>Тўловлар[[#This Row],[Поддон]]*Тўловлар[[#This Row],[Поддон нархи]]</f>
        <v>0</v>
      </c>
      <c r="P7" s="30">
        <f>Тўловлар[[#This Row],[Жами сумма]]-Тўловлар[[#This Row],[Поддон пули]]</f>
        <v>24624000</v>
      </c>
      <c r="Q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" s="9" t="str">
        <f>IFERROR(INDEX(Мижозлар[Агент],MATCH($C7,Мижозлар[Расмий ном],0)),"")</f>
        <v>Зафар ога</v>
      </c>
    </row>
    <row r="8" spans="1:19" x14ac:dyDescent="0.2">
      <c r="A8" s="23">
        <v>46202</v>
      </c>
      <c r="B8" s="24" t="s">
        <v>40</v>
      </c>
      <c r="C8" s="24" t="s">
        <v>87</v>
      </c>
      <c r="D8" s="25">
        <v>23965000</v>
      </c>
      <c r="E8" s="24" t="s">
        <v>282</v>
      </c>
      <c r="F8" s="196"/>
      <c r="G8" s="25">
        <f>Тўловлар[[#This Row],[Поддон]]*$G$3</f>
        <v>0</v>
      </c>
      <c r="H8" s="25"/>
      <c r="I8" s="25"/>
      <c r="J8" s="25"/>
      <c r="K8" s="9">
        <f>SUM(Тўловлар[[#This Row],[ПР-Сумма]]+Тўловлар[[#This Row],[Накд]]+Тўловлар[[#This Row],[Клик]]+Тўловлар[[#This Row],[Терминал]])</f>
        <v>23965000</v>
      </c>
      <c r="L8" s="24" t="s">
        <v>279</v>
      </c>
      <c r="M8" s="24"/>
      <c r="N8" s="30" cm="1">
        <f t="array" ref="N8">IFERROR(LOOKUP(2,1/((Товар!$D$4:$D$1110=Тўловлар[[#This Row],[Клиент]])*(Товар!$E$4:$E$1110&lt;=Тўловлар[[#This Row],[Дата]])),Товар!$L$4:$L$1110),Кўрсаткичлар!$B$4)</f>
        <v>130000</v>
      </c>
      <c r="O8" s="30">
        <f>Тўловлар[[#This Row],[Поддон]]*Тўловлар[[#This Row],[Поддон нархи]]</f>
        <v>0</v>
      </c>
      <c r="P8" s="30">
        <f>Тўловлар[[#This Row],[Жами сумма]]-Тўловлар[[#This Row],[Поддон пули]]</f>
        <v>23965000</v>
      </c>
      <c r="Q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" s="9" t="str">
        <f>IFERROR(INDEX(Мижозлар[Агент],MATCH($C8,Мижозлар[Расмий ном],0)),"")</f>
        <v>Шохрух ога</v>
      </c>
    </row>
    <row r="9" spans="1:19" x14ac:dyDescent="0.2">
      <c r="A9" s="23">
        <v>46202</v>
      </c>
      <c r="B9" s="24" t="s">
        <v>21</v>
      </c>
      <c r="C9" s="24" t="s">
        <v>38</v>
      </c>
      <c r="D9" s="25">
        <v>47952000</v>
      </c>
      <c r="E9" s="24" t="s">
        <v>283</v>
      </c>
      <c r="F9" s="196"/>
      <c r="G9" s="25">
        <f>Тўловлар[[#This Row],[Поддон]]*$G$3</f>
        <v>0</v>
      </c>
      <c r="H9" s="25"/>
      <c r="I9" s="25"/>
      <c r="J9" s="25"/>
      <c r="K9" s="9">
        <f>SUM(Тўловлар[[#This Row],[ПР-Сумма]]+Тўловлар[[#This Row],[Накд]]+Тўловлар[[#This Row],[Клик]]+Тўловлар[[#This Row],[Терминал]])</f>
        <v>47952000</v>
      </c>
      <c r="L9" s="24" t="s">
        <v>279</v>
      </c>
      <c r="M9" s="24"/>
      <c r="N9" s="30" cm="1">
        <f t="array" ref="N9">IFERROR(LOOKUP(2,1/((Товар!$D$4:$D$1110=Тўловлар[[#This Row],[Клиент]])*(Товар!$E$4:$E$1110&lt;=Тўловлар[[#This Row],[Дата]])),Товар!$L$4:$L$1110),Кўрсаткичлар!$B$4)</f>
        <v>130000</v>
      </c>
      <c r="O9" s="30">
        <f>Тўловлар[[#This Row],[Поддон]]*Тўловлар[[#This Row],[Поддон нархи]]</f>
        <v>0</v>
      </c>
      <c r="P9" s="30">
        <f>Тўловлар[[#This Row],[Жами сумма]]-Тўловлар[[#This Row],[Поддон пули]]</f>
        <v>47952000</v>
      </c>
      <c r="Q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" s="9" t="str">
        <f>IFERROR(INDEX(Мижозлар[Агент],MATCH($C9,Мижозлар[Расмий ном],0)),"")</f>
        <v>Арслон ога</v>
      </c>
    </row>
    <row r="10" spans="1:19" x14ac:dyDescent="0.2">
      <c r="A10" s="23">
        <v>46203</v>
      </c>
      <c r="B10" s="24" t="s">
        <v>29</v>
      </c>
      <c r="C10" s="23" t="s">
        <v>98</v>
      </c>
      <c r="D10" s="25">
        <v>73872000</v>
      </c>
      <c r="E10" s="24" t="s">
        <v>284</v>
      </c>
      <c r="F10" s="196"/>
      <c r="G10" s="25">
        <f>Тўловлар[[#This Row],[Поддон]]*$G$3</f>
        <v>0</v>
      </c>
      <c r="H10" s="25"/>
      <c r="I10" s="25"/>
      <c r="J10" s="25"/>
      <c r="K10" s="9">
        <f>SUM(Тўловлар[[#This Row],[ПР-Сумма]]+Тўловлар[[#This Row],[Накд]]+Тўловлар[[#This Row],[Клик]]+Тўловлар[[#This Row],[Терминал]])</f>
        <v>73872000</v>
      </c>
      <c r="L10" s="24" t="s">
        <v>279</v>
      </c>
      <c r="M10" s="24"/>
      <c r="N10" s="30" cm="1">
        <f t="array" ref="N10">IFERROR(LOOKUP(2,1/((Товар!$D$4:$D$1110=Тўловлар[[#This Row],[Клиент]])*(Товар!$E$4:$E$1110&lt;=Тўловлар[[#This Row],[Дата]])),Товар!$L$4:$L$1110),Кўрсаткичлар!$B$4)</f>
        <v>130000</v>
      </c>
      <c r="O10" s="30">
        <f>Тўловлар[[#This Row],[Поддон]]*Тўловлар[[#This Row],[Поддон нархи]]</f>
        <v>0</v>
      </c>
      <c r="P10" s="30">
        <f>Тўловлар[[#This Row],[Жами сумма]]-Тўловлар[[#This Row],[Поддон пули]]</f>
        <v>73872000</v>
      </c>
      <c r="Q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" s="9" t="str">
        <f>IFERROR(INDEX(Мижозлар[Агент],MATCH($C10,Мижозлар[Расмий ном],0)),"")</f>
        <v>Зафар ога</v>
      </c>
    </row>
    <row r="11" spans="1:19" x14ac:dyDescent="0.2">
      <c r="A11" s="23">
        <v>46203</v>
      </c>
      <c r="B11" s="24" t="s">
        <v>40</v>
      </c>
      <c r="C11" s="24" t="s">
        <v>109</v>
      </c>
      <c r="D11" s="25">
        <v>22703000</v>
      </c>
      <c r="E11" s="24" t="s">
        <v>285</v>
      </c>
      <c r="F11" s="196"/>
      <c r="G11" s="25">
        <f>Тўловлар[[#This Row],[Поддон]]*$G$3</f>
        <v>0</v>
      </c>
      <c r="H11" s="25"/>
      <c r="I11" s="25"/>
      <c r="J11" s="25"/>
      <c r="K11" s="9">
        <f>SUM(Тўловлар[[#This Row],[ПР-Сумма]]+Тўловлар[[#This Row],[Накд]]+Тўловлар[[#This Row],[Клик]]+Тўловлар[[#This Row],[Терминал]])</f>
        <v>22703000</v>
      </c>
      <c r="L11" s="24" t="s">
        <v>279</v>
      </c>
      <c r="M11" s="24"/>
      <c r="N11" s="30" cm="1">
        <f t="array" ref="N11">IFERROR(LOOKUP(2,1/((Товар!$D$4:$D$1110=Тўловлар[[#This Row],[Клиент]])*(Товар!$E$4:$E$1110&lt;=Тўловлар[[#This Row],[Дата]])),Товар!$L$4:$L$1110),Кўрсаткичлар!$B$4)</f>
        <v>130000</v>
      </c>
      <c r="O11" s="30">
        <f>Тўловлар[[#This Row],[Поддон]]*Тўловлар[[#This Row],[Поддон нархи]]</f>
        <v>0</v>
      </c>
      <c r="P11" s="30">
        <f>Тўловлар[[#This Row],[Жами сумма]]-Тўловлар[[#This Row],[Поддон пули]]</f>
        <v>22703000</v>
      </c>
      <c r="Q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" s="9" t="str">
        <f>IFERROR(INDEX(Мижозлар[Агент],MATCH($C11,Мижозлар[Расмий ном],0)),"")</f>
        <v>Шохрух ога</v>
      </c>
    </row>
    <row r="12" spans="1:19" x14ac:dyDescent="0.2">
      <c r="A12" s="23">
        <v>46203</v>
      </c>
      <c r="B12" s="24" t="s">
        <v>40</v>
      </c>
      <c r="C12" s="24" t="s">
        <v>109</v>
      </c>
      <c r="D12" s="25">
        <v>25231000</v>
      </c>
      <c r="E12" s="24" t="s">
        <v>285</v>
      </c>
      <c r="F12" s="196"/>
      <c r="G12" s="25">
        <f>Тўловлар[[#This Row],[Поддон]]*$G$3</f>
        <v>0</v>
      </c>
      <c r="H12" s="25"/>
      <c r="I12" s="25"/>
      <c r="J12" s="25"/>
      <c r="K12" s="9">
        <f>SUM(Тўловлар[[#This Row],[ПР-Сумма]]+Тўловлар[[#This Row],[Накд]]+Тўловлар[[#This Row],[Клик]]+Тўловлар[[#This Row],[Терминал]])</f>
        <v>25231000</v>
      </c>
      <c r="L12" s="24" t="s">
        <v>279</v>
      </c>
      <c r="M12" s="24"/>
      <c r="N12" s="30" cm="1">
        <f t="array" ref="N12">IFERROR(LOOKUP(2,1/((Товар!$D$4:$D$1110=Тўловлар[[#This Row],[Клиент]])*(Товар!$E$4:$E$1110&lt;=Тўловлар[[#This Row],[Дата]])),Товар!$L$4:$L$1110),Кўрсаткичлар!$B$4)</f>
        <v>130000</v>
      </c>
      <c r="O12" s="30">
        <f>Тўловлар[[#This Row],[Поддон]]*Тўловлар[[#This Row],[Поддон нархи]]</f>
        <v>0</v>
      </c>
      <c r="P12" s="30">
        <f>Тўловлар[[#This Row],[Жами сумма]]-Тўловлар[[#This Row],[Поддон пули]]</f>
        <v>25231000</v>
      </c>
      <c r="Q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" s="9" t="str">
        <f>IFERROR(INDEX(Мижозлар[Агент],MATCH($C12,Мижозлар[Расмий ном],0)),"")</f>
        <v>Шохрух ога</v>
      </c>
    </row>
    <row r="13" spans="1:19" x14ac:dyDescent="0.2">
      <c r="A13" s="23">
        <v>46205</v>
      </c>
      <c r="B13" s="24" t="s">
        <v>40</v>
      </c>
      <c r="C13" s="24" t="s">
        <v>51</v>
      </c>
      <c r="D13" s="25">
        <v>67737600</v>
      </c>
      <c r="E13" s="24" t="s">
        <v>286</v>
      </c>
      <c r="F13" s="196"/>
      <c r="G13" s="25">
        <f>Тўловлар[[#This Row],[Поддон]]*$G$3</f>
        <v>0</v>
      </c>
      <c r="H13" s="25"/>
      <c r="I13" s="25"/>
      <c r="J13" s="25"/>
      <c r="K13" s="9">
        <f>SUM(Тўловлар[[#This Row],[ПР-Сумма]]+Тўловлар[[#This Row],[Накд]]+Тўловлар[[#This Row],[Клик]]+Тўловлар[[#This Row],[Терминал]])</f>
        <v>67737600</v>
      </c>
      <c r="L13" s="24" t="s">
        <v>279</v>
      </c>
      <c r="M13" s="24"/>
      <c r="N13" s="30" cm="1">
        <f t="array" ref="N13">IFERROR(LOOKUP(2,1/((Товар!$D$4:$D$1110=Тўловлар[[#This Row],[Клиент]])*(Товар!$E$4:$E$1110&lt;=Тўловлар[[#This Row],[Дата]])),Товар!$L$4:$L$1110),Кўрсаткичлар!$B$4)</f>
        <v>130000</v>
      </c>
      <c r="O13" s="30">
        <f>Тўловлар[[#This Row],[Поддон]]*Тўловлар[[#This Row],[Поддон нархи]]</f>
        <v>0</v>
      </c>
      <c r="P13" s="30">
        <f>Тўловлар[[#This Row],[Жами сумма]]-Тўловлар[[#This Row],[Поддон пули]]</f>
        <v>67737600</v>
      </c>
      <c r="Q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" s="9" t="str">
        <f>IFERROR(INDEX(Мижозлар[Агент],MATCH($C13,Мижозлар[Расмий ном],0)),"")</f>
        <v>Шохрух ога</v>
      </c>
    </row>
    <row r="14" spans="1:19" x14ac:dyDescent="0.2">
      <c r="A14" s="23">
        <v>46205</v>
      </c>
      <c r="B14" s="24" t="s">
        <v>40</v>
      </c>
      <c r="C14" s="24" t="s">
        <v>80</v>
      </c>
      <c r="D14" s="25">
        <v>72394560</v>
      </c>
      <c r="E14" s="24" t="s">
        <v>287</v>
      </c>
      <c r="F14" s="196"/>
      <c r="G14" s="25">
        <f>Тўловлар[[#This Row],[Поддон]]*$G$3</f>
        <v>0</v>
      </c>
      <c r="H14" s="25"/>
      <c r="I14" s="25"/>
      <c r="J14" s="25"/>
      <c r="K14" s="9">
        <f>SUM(Тўловлар[[#This Row],[ПР-Сумма]]+Тўловлар[[#This Row],[Накд]]+Тўловлар[[#This Row],[Клик]]+Тўловлар[[#This Row],[Терминал]])</f>
        <v>72394560</v>
      </c>
      <c r="L14" s="24" t="s">
        <v>279</v>
      </c>
      <c r="M14" s="24"/>
      <c r="N14" s="30" cm="1">
        <f t="array" ref="N14">IFERROR(LOOKUP(2,1/((Товар!$D$4:$D$1110=Тўловлар[[#This Row],[Клиент]])*(Товар!$E$4:$E$1110&lt;=Тўловлар[[#This Row],[Дата]])),Товар!$L$4:$L$1110),Кўрсаткичлар!$B$4)</f>
        <v>130000</v>
      </c>
      <c r="O14" s="30">
        <f>Тўловлар[[#This Row],[Поддон]]*Тўловлар[[#This Row],[Поддон нархи]]</f>
        <v>0</v>
      </c>
      <c r="P14" s="30">
        <f>Тўловлар[[#This Row],[Жами сумма]]-Тўловлар[[#This Row],[Поддон пули]]</f>
        <v>72394560</v>
      </c>
      <c r="Q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" s="9" t="str">
        <f>IFERROR(INDEX(Мижозлар[Агент],MATCH($C14,Мижозлар[Расмий ном],0)),"")</f>
        <v>Шохрух ога</v>
      </c>
    </row>
    <row r="15" spans="1:19" x14ac:dyDescent="0.2">
      <c r="A15" s="23">
        <v>46205</v>
      </c>
      <c r="B15" s="24" t="s">
        <v>21</v>
      </c>
      <c r="C15" s="24" t="s">
        <v>38</v>
      </c>
      <c r="D15" s="25">
        <v>73872000</v>
      </c>
      <c r="E15" s="24" t="s">
        <v>288</v>
      </c>
      <c r="F15" s="196"/>
      <c r="G15" s="25">
        <f>Тўловлар[[#This Row],[Поддон]]*$G$3</f>
        <v>0</v>
      </c>
      <c r="H15" s="25"/>
      <c r="I15" s="25"/>
      <c r="J15" s="25"/>
      <c r="K15" s="9">
        <f>SUM(Тўловлар[[#This Row],[ПР-Сумма]]+Тўловлар[[#This Row],[Накд]]+Тўловлар[[#This Row],[Клик]]+Тўловлар[[#This Row],[Терминал]])</f>
        <v>73872000</v>
      </c>
      <c r="L15" s="24" t="s">
        <v>279</v>
      </c>
      <c r="M15" s="24"/>
      <c r="N15" s="30" cm="1">
        <f t="array" ref="N15">IFERROR(LOOKUP(2,1/((Товар!$D$4:$D$1110=Тўловлар[[#This Row],[Клиент]])*(Товар!$E$4:$E$1110&lt;=Тўловлар[[#This Row],[Дата]])),Товар!$L$4:$L$1110),Кўрсаткичлар!$B$4)</f>
        <v>130000</v>
      </c>
      <c r="O15" s="30">
        <f>Тўловлар[[#This Row],[Поддон]]*Тўловлар[[#This Row],[Поддон нархи]]</f>
        <v>0</v>
      </c>
      <c r="P15" s="30">
        <f>Тўловлар[[#This Row],[Жами сумма]]-Тўловлар[[#This Row],[Поддон пули]]</f>
        <v>73872000</v>
      </c>
      <c r="Q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" s="9" t="str">
        <f>IFERROR(INDEX(Мижозлар[Агент],MATCH($C15,Мижозлар[Расмий ном],0)),"")</f>
        <v>Арслон ога</v>
      </c>
    </row>
    <row r="16" spans="1:19" x14ac:dyDescent="0.2">
      <c r="A16" s="23">
        <v>46206</v>
      </c>
      <c r="B16" s="24" t="s">
        <v>29</v>
      </c>
      <c r="C16" s="24" t="s">
        <v>69</v>
      </c>
      <c r="D16" s="25">
        <v>47934720</v>
      </c>
      <c r="E16" s="24" t="s">
        <v>289</v>
      </c>
      <c r="F16" s="196">
        <v>2</v>
      </c>
      <c r="G16" s="25">
        <f>Тўловлар[[#This Row],[Поддон]]*$G$3</f>
        <v>260000</v>
      </c>
      <c r="H16" s="25"/>
      <c r="I16" s="25"/>
      <c r="J16" s="25"/>
      <c r="K16" s="9">
        <f>SUM(Тўловлар[[#This Row],[ПР-Сумма]]+Тўловлар[[#This Row],[Накд]]+Тўловлар[[#This Row],[Клик]]+Тўловлар[[#This Row],[Терминал]])</f>
        <v>47934720</v>
      </c>
      <c r="L16" s="24" t="s">
        <v>279</v>
      </c>
      <c r="M16" s="24"/>
      <c r="N16" s="30" cm="1">
        <f t="array" ref="N16">IFERROR(LOOKUP(2,1/((Товар!$D$4:$D$1110=Тўловлар[[#This Row],[Клиент]])*(Товар!$E$4:$E$1110&lt;=Тўловлар[[#This Row],[Дата]])),Товар!$L$4:$L$1110),Кўрсаткичлар!$B$4)</f>
        <v>130000</v>
      </c>
      <c r="O16" s="30">
        <f>Тўловлар[[#This Row],[Поддон]]*Тўловлар[[#This Row],[Поддон нархи]]</f>
        <v>260000</v>
      </c>
      <c r="P16" s="30">
        <f>Тўловлар[[#This Row],[Жами сумма]]-Тўловлар[[#This Row],[Поддон пули]]</f>
        <v>47674720</v>
      </c>
      <c r="Q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" s="9" t="str">
        <f>IFERROR(INDEX(Мижозлар[Агент],MATCH($C16,Мижозлар[Расмий ном],0)),"")</f>
        <v>Зафар ога</v>
      </c>
    </row>
    <row r="17" spans="1:19" x14ac:dyDescent="0.2">
      <c r="A17" s="23">
        <v>46206</v>
      </c>
      <c r="B17" s="24" t="s">
        <v>29</v>
      </c>
      <c r="C17" s="24" t="s">
        <v>69</v>
      </c>
      <c r="D17" s="25">
        <v>260000</v>
      </c>
      <c r="E17" s="24" t="s">
        <v>289</v>
      </c>
      <c r="F17" s="196"/>
      <c r="G17" s="25">
        <f>Тўловлар[[#This Row],[Поддон]]*$G$3</f>
        <v>0</v>
      </c>
      <c r="H17" s="25"/>
      <c r="I17" s="25"/>
      <c r="J17" s="25"/>
      <c r="K17" s="9">
        <f>SUM(Тўловлар[[#This Row],[ПР-Сумма]]+Тўловлар[[#This Row],[Накд]]+Тўловлар[[#This Row],[Клик]]+Тўловлар[[#This Row],[Терминал]])</f>
        <v>260000</v>
      </c>
      <c r="L17" s="24" t="s">
        <v>279</v>
      </c>
      <c r="M17" s="24"/>
      <c r="N17" s="30" cm="1">
        <f t="array" ref="N17">IFERROR(LOOKUP(2,1/((Товар!$D$4:$D$1110=Тўловлар[[#This Row],[Клиент]])*(Товар!$E$4:$E$1110&lt;=Тўловлар[[#This Row],[Дата]])),Товар!$L$4:$L$1110),Кўрсаткичлар!$B$4)</f>
        <v>130000</v>
      </c>
      <c r="O17" s="30">
        <f>Тўловлар[[#This Row],[Поддон]]*Тўловлар[[#This Row],[Поддон нархи]]</f>
        <v>0</v>
      </c>
      <c r="P17" s="30">
        <f>Тўловлар[[#This Row],[Жами сумма]]-Тўловлар[[#This Row],[Поддон пули]]</f>
        <v>260000</v>
      </c>
      <c r="Q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" s="9" t="str">
        <f>IFERROR(INDEX(Мижозлар[Агент],MATCH($C17,Мижозлар[Расмий ном],0)),"")</f>
        <v>Зафар ога</v>
      </c>
    </row>
    <row r="18" spans="1:19" x14ac:dyDescent="0.2">
      <c r="A18" s="23">
        <v>46206</v>
      </c>
      <c r="B18" s="24" t="s">
        <v>40</v>
      </c>
      <c r="C18" s="24" t="s">
        <v>34</v>
      </c>
      <c r="D18" s="25">
        <v>49904640</v>
      </c>
      <c r="E18" s="24" t="s">
        <v>290</v>
      </c>
      <c r="F18" s="196"/>
      <c r="G18" s="25">
        <f>Тўловлар[[#This Row],[Поддон]]*$G$3</f>
        <v>0</v>
      </c>
      <c r="H18" s="25"/>
      <c r="I18" s="25"/>
      <c r="J18" s="25"/>
      <c r="K18" s="9">
        <f>SUM(Тўловлар[[#This Row],[ПР-Сумма]]+Тўловлар[[#This Row],[Накд]]+Тўловлар[[#This Row],[Клик]]+Тўловлар[[#This Row],[Терминал]])</f>
        <v>49904640</v>
      </c>
      <c r="L18" s="24" t="s">
        <v>279</v>
      </c>
      <c r="M18" s="24"/>
      <c r="N18" s="30" cm="1">
        <f t="array" ref="N18">IFERROR(LOOKUP(2,1/((Товар!$D$4:$D$1110=Тўловлар[[#This Row],[Клиент]])*(Товар!$E$4:$E$1110&lt;=Тўловлар[[#This Row],[Дата]])),Товар!$L$4:$L$1110),Кўрсаткичлар!$B$4)</f>
        <v>130000</v>
      </c>
      <c r="O18" s="30">
        <f>Тўловлар[[#This Row],[Поддон]]*Тўловлар[[#This Row],[Поддон нархи]]</f>
        <v>0</v>
      </c>
      <c r="P18" s="30">
        <f>Тўловлар[[#This Row],[Жами сумма]]-Тўловлар[[#This Row],[Поддон пули]]</f>
        <v>49904640</v>
      </c>
      <c r="Q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" s="9" t="str">
        <f>IFERROR(INDEX(Мижозлар[Агент],MATCH($C18,Мижозлар[Расмий ном],0)),"")</f>
        <v>Шохрух ога</v>
      </c>
    </row>
    <row r="19" spans="1:19" x14ac:dyDescent="0.2">
      <c r="A19" s="23">
        <v>46206</v>
      </c>
      <c r="B19" s="24" t="s">
        <v>25</v>
      </c>
      <c r="C19" s="24" t="s">
        <v>103</v>
      </c>
      <c r="D19" s="25">
        <v>85000000</v>
      </c>
      <c r="E19" s="24" t="s">
        <v>291</v>
      </c>
      <c r="F19" s="196"/>
      <c r="G19" s="25">
        <f>Тўловлар[[#This Row],[Поддон]]*$G$3</f>
        <v>0</v>
      </c>
      <c r="H19" s="25"/>
      <c r="I19" s="25"/>
      <c r="J19" s="25"/>
      <c r="K19" s="9">
        <f>SUM(Тўловлар[[#This Row],[ПР-Сумма]]+Тўловлар[[#This Row],[Накд]]+Тўловлар[[#This Row],[Клик]]+Тўловлар[[#This Row],[Терминал]])</f>
        <v>85000000</v>
      </c>
      <c r="L19" s="24" t="s">
        <v>279</v>
      </c>
      <c r="M19" s="24"/>
      <c r="N19" s="30" cm="1">
        <f t="array" ref="N19">IFERROR(LOOKUP(2,1/((Товар!$D$4:$D$1110=Тўловлар[[#This Row],[Клиент]])*(Товар!$E$4:$E$1110&lt;=Тўловлар[[#This Row],[Дата]])),Товар!$L$4:$L$1110),Кўрсаткичлар!$B$4)</f>
        <v>130000</v>
      </c>
      <c r="O19" s="30">
        <f>Тўловлар[[#This Row],[Поддон]]*Тўловлар[[#This Row],[Поддон нархи]]</f>
        <v>0</v>
      </c>
      <c r="P19" s="30">
        <f>Тўловлар[[#This Row],[Жами сумма]]-Тўловлар[[#This Row],[Поддон пули]]</f>
        <v>85000000</v>
      </c>
      <c r="Q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" s="9" t="str">
        <f>IFERROR(INDEX(Мижозлар[Агент],MATCH($C19,Мижозлар[Расмий ном],0)),"")</f>
        <v>Жамол 22-22</v>
      </c>
    </row>
    <row r="20" spans="1:19" x14ac:dyDescent="0.2">
      <c r="A20" s="23">
        <v>46206</v>
      </c>
      <c r="B20" s="24" t="s">
        <v>29</v>
      </c>
      <c r="C20" s="24" t="s">
        <v>98</v>
      </c>
      <c r="D20" s="25">
        <v>24624000</v>
      </c>
      <c r="E20" s="24" t="s">
        <v>292</v>
      </c>
      <c r="F20" s="196"/>
      <c r="G20" s="25">
        <f>Тўловлар[[#This Row],[Поддон]]*$G$3</f>
        <v>0</v>
      </c>
      <c r="H20" s="25"/>
      <c r="I20" s="25"/>
      <c r="J20" s="25"/>
      <c r="K20" s="9">
        <f>SUM(Тўловлар[[#This Row],[ПР-Сумма]]+Тўловлар[[#This Row],[Накд]]+Тўловлар[[#This Row],[Клик]]+Тўловлар[[#This Row],[Терминал]])</f>
        <v>24624000</v>
      </c>
      <c r="L20" s="24" t="s">
        <v>279</v>
      </c>
      <c r="M20" s="24"/>
      <c r="N20" s="30" cm="1">
        <f t="array" ref="N20">IFERROR(LOOKUP(2,1/((Товар!$D$4:$D$1110=Тўловлар[[#This Row],[Клиент]])*(Товар!$E$4:$E$1110&lt;=Тўловлар[[#This Row],[Дата]])),Товар!$L$4:$L$1110),Кўрсаткичлар!$B$4)</f>
        <v>130000</v>
      </c>
      <c r="O20" s="30">
        <f>Тўловлар[[#This Row],[Поддон]]*Тўловлар[[#This Row],[Поддон нархи]]</f>
        <v>0</v>
      </c>
      <c r="P20" s="30">
        <f>Тўловлар[[#This Row],[Жами сумма]]-Тўловлар[[#This Row],[Поддон пули]]</f>
        <v>24624000</v>
      </c>
      <c r="Q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" s="9" t="str">
        <f>IFERROR(INDEX(Мижозлар[Агент],MATCH($C20,Мижозлар[Расмий ном],0)),"")</f>
        <v>Зафар ога</v>
      </c>
    </row>
    <row r="21" spans="1:19" x14ac:dyDescent="0.2">
      <c r="A21" s="23">
        <v>46206</v>
      </c>
      <c r="B21" s="24" t="s">
        <v>40</v>
      </c>
      <c r="C21" s="24" t="s">
        <v>87</v>
      </c>
      <c r="D21" s="25">
        <v>41964800</v>
      </c>
      <c r="E21" s="24" t="s">
        <v>282</v>
      </c>
      <c r="F21" s="196"/>
      <c r="G21" s="25">
        <f>Тўловлар[[#This Row],[Поддон]]*$G$3</f>
        <v>0</v>
      </c>
      <c r="H21" s="25"/>
      <c r="I21" s="25"/>
      <c r="J21" s="25"/>
      <c r="K21" s="9">
        <f>SUM(Тўловлар[[#This Row],[ПР-Сумма]]+Тўловлар[[#This Row],[Накд]]+Тўловлар[[#This Row],[Клик]]+Тўловлар[[#This Row],[Терминал]])</f>
        <v>41964800</v>
      </c>
      <c r="L21" s="24" t="s">
        <v>279</v>
      </c>
      <c r="M21" s="24"/>
      <c r="N21" s="30" cm="1">
        <f t="array" ref="N21">IFERROR(LOOKUP(2,1/((Товар!$D$4:$D$1110=Тўловлар[[#This Row],[Клиент]])*(Товар!$E$4:$E$1110&lt;=Тўловлар[[#This Row],[Дата]])),Товар!$L$4:$L$1110),Кўрсаткичлар!$B$4)</f>
        <v>130000</v>
      </c>
      <c r="O21" s="30">
        <f>Тўловлар[[#This Row],[Поддон]]*Тўловлар[[#This Row],[Поддон нархи]]</f>
        <v>0</v>
      </c>
      <c r="P21" s="30">
        <f>Тўловлар[[#This Row],[Жами сумма]]-Тўловлар[[#This Row],[Поддон пули]]</f>
        <v>41964800</v>
      </c>
      <c r="Q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" s="9" t="str">
        <f>IFERROR(INDEX(Мижозлар[Агент],MATCH($C21,Мижозлар[Расмий ном],0)),"")</f>
        <v>Шохрух ога</v>
      </c>
    </row>
    <row r="22" spans="1:19" x14ac:dyDescent="0.2">
      <c r="A22" s="23">
        <v>46209</v>
      </c>
      <c r="B22" s="24" t="s">
        <v>36</v>
      </c>
      <c r="C22" s="24" t="s">
        <v>45</v>
      </c>
      <c r="D22" s="25">
        <v>62947200</v>
      </c>
      <c r="E22" s="24" t="s">
        <v>293</v>
      </c>
      <c r="F22" s="196"/>
      <c r="G22" s="25">
        <f>Тўловлар[[#This Row],[Поддон]]*$G$3</f>
        <v>0</v>
      </c>
      <c r="H22" s="25"/>
      <c r="I22" s="25"/>
      <c r="J22" s="25"/>
      <c r="K22" s="9">
        <f>SUM(Тўловлар[[#This Row],[ПР-Сумма]]+Тўловлар[[#This Row],[Накд]]+Тўловлар[[#This Row],[Клик]]+Тўловлар[[#This Row],[Терминал]])</f>
        <v>62947200</v>
      </c>
      <c r="L22" s="24" t="s">
        <v>279</v>
      </c>
      <c r="M22" s="24"/>
      <c r="N22" s="30" cm="1">
        <f t="array" ref="N22">IFERROR(LOOKUP(2,1/((Товар!$D$4:$D$1110=Тўловлар[[#This Row],[Клиент]])*(Товар!$E$4:$E$1110&lt;=Тўловлар[[#This Row],[Дата]])),Товар!$L$4:$L$1110),Кўрсаткичлар!$B$4)</f>
        <v>130000</v>
      </c>
      <c r="O22" s="30">
        <f>Тўловлар[[#This Row],[Поддон]]*Тўловлар[[#This Row],[Поддон нархи]]</f>
        <v>0</v>
      </c>
      <c r="P22" s="30">
        <f>Тўловлар[[#This Row],[Жами сумма]]-Тўловлар[[#This Row],[Поддон пули]]</f>
        <v>62947200</v>
      </c>
      <c r="Q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" s="9" t="str">
        <f>IFERROR(INDEX(Мижозлар[Агент],MATCH($C22,Мижозлар[Расмий ном],0)),"")</f>
        <v>Темур</v>
      </c>
    </row>
    <row r="23" spans="1:19" x14ac:dyDescent="0.2">
      <c r="A23" s="23">
        <v>46209</v>
      </c>
      <c r="B23" s="24" t="s">
        <v>36</v>
      </c>
      <c r="C23" s="24" t="s">
        <v>45</v>
      </c>
      <c r="D23" s="25">
        <v>62947200</v>
      </c>
      <c r="E23" s="24" t="s">
        <v>293</v>
      </c>
      <c r="F23" s="196"/>
      <c r="G23" s="25">
        <f>Тўловлар[[#This Row],[Поддон]]*$G$3</f>
        <v>0</v>
      </c>
      <c r="H23" s="25"/>
      <c r="I23" s="25"/>
      <c r="J23" s="25"/>
      <c r="K23" s="9">
        <f>SUM(Тўловлар[[#This Row],[ПР-Сумма]]+Тўловлар[[#This Row],[Накд]]+Тўловлар[[#This Row],[Клик]]+Тўловлар[[#This Row],[Терминал]])</f>
        <v>62947200</v>
      </c>
      <c r="L23" s="24" t="s">
        <v>279</v>
      </c>
      <c r="M23" s="24"/>
      <c r="N23" s="30" cm="1">
        <f t="array" ref="N23">IFERROR(LOOKUP(2,1/((Товар!$D$4:$D$1110=Тўловлар[[#This Row],[Клиент]])*(Товар!$E$4:$E$1110&lt;=Тўловлар[[#This Row],[Дата]])),Товар!$L$4:$L$1110),Кўрсаткичлар!$B$4)</f>
        <v>130000</v>
      </c>
      <c r="O23" s="30">
        <f>Тўловлар[[#This Row],[Поддон]]*Тўловлар[[#This Row],[Поддон нархи]]</f>
        <v>0</v>
      </c>
      <c r="P23" s="30">
        <f>Тўловлар[[#This Row],[Жами сумма]]-Тўловлар[[#This Row],[Поддон пули]]</f>
        <v>62947200</v>
      </c>
      <c r="Q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" s="9" t="str">
        <f>IFERROR(INDEX(Мижозлар[Агент],MATCH($C23,Мижозлар[Расмий ном],0)),"")</f>
        <v>Темур</v>
      </c>
    </row>
    <row r="24" spans="1:19" x14ac:dyDescent="0.2">
      <c r="A24" s="23">
        <v>46209</v>
      </c>
      <c r="B24" s="24" t="s">
        <v>21</v>
      </c>
      <c r="C24" s="24" t="s">
        <v>116</v>
      </c>
      <c r="D24" s="25">
        <v>20982400</v>
      </c>
      <c r="E24" s="24" t="s">
        <v>294</v>
      </c>
      <c r="F24" s="196"/>
      <c r="G24" s="25">
        <f>Тўловлар[[#This Row],[Поддон]]*$G$3</f>
        <v>0</v>
      </c>
      <c r="H24" s="25"/>
      <c r="I24" s="25"/>
      <c r="J24" s="25"/>
      <c r="K24" s="9">
        <f>SUM(Тўловлар[[#This Row],[ПР-Сумма]]+Тўловлар[[#This Row],[Накд]]+Тўловлар[[#This Row],[Клик]]+Тўловлар[[#This Row],[Терминал]])</f>
        <v>20982400</v>
      </c>
      <c r="L24" s="24" t="s">
        <v>279</v>
      </c>
      <c r="M24" s="24"/>
      <c r="N24" s="30" cm="1">
        <f t="array" ref="N24">IFERROR(LOOKUP(2,1/((Товар!$D$4:$D$1110=Тўловлар[[#This Row],[Клиент]])*(Товар!$E$4:$E$1110&lt;=Тўловлар[[#This Row],[Дата]])),Товар!$L$4:$L$1110),Кўрсаткичлар!$B$4)</f>
        <v>130000</v>
      </c>
      <c r="O24" s="30">
        <f>Тўловлар[[#This Row],[Поддон]]*Тўловлар[[#This Row],[Поддон нархи]]</f>
        <v>0</v>
      </c>
      <c r="P24" s="30">
        <f>Тўловлар[[#This Row],[Жами сумма]]-Тўловлар[[#This Row],[Поддон пули]]</f>
        <v>20982400</v>
      </c>
      <c r="Q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" s="9" t="str">
        <f>IFERROR(INDEX(Мижозлар[Агент],MATCH($C24,Мижозлар[Расмий ном],0)),"")</f>
        <v>Арслон ога</v>
      </c>
    </row>
    <row r="25" spans="1:19" x14ac:dyDescent="0.2">
      <c r="A25" s="131">
        <v>46209</v>
      </c>
      <c r="B25" s="132" t="s">
        <v>21</v>
      </c>
      <c r="C25" s="132" t="s">
        <v>116</v>
      </c>
      <c r="D25" s="133">
        <v>-100000</v>
      </c>
      <c r="E25" s="132" t="s">
        <v>294</v>
      </c>
      <c r="F25" s="197"/>
      <c r="G25" s="133">
        <f>Тўловлар[[#This Row],[Поддон]]*$G$3</f>
        <v>0</v>
      </c>
      <c r="H25" s="133"/>
      <c r="I25" s="133"/>
      <c r="J25" s="133"/>
      <c r="K25" s="9">
        <f>SUM(Тўловлар[[#This Row],[ПР-Сумма]]+Тўловлар[[#This Row],[Накд]]+Тўловлар[[#This Row],[Клик]]+Тўловлар[[#This Row],[Терминал]])</f>
        <v>-100000</v>
      </c>
      <c r="L25" s="132" t="s">
        <v>279</v>
      </c>
      <c r="M25" s="132"/>
      <c r="N25" s="160" cm="1">
        <f t="array" ref="N25">IFERROR(LOOKUP(2,1/((Товар!$D$4:$D$1110=Тўловлар[[#This Row],[Клиент]])*(Товар!$E$4:$E$1110&lt;=Тўловлар[[#This Row],[Дата]])),Товар!$L$4:$L$1110),Кўрсаткичлар!$B$4)</f>
        <v>130000</v>
      </c>
      <c r="O25" s="160">
        <f>Тўловлар[[#This Row],[Поддон]]*Тўловлар[[#This Row],[Поддон нархи]]</f>
        <v>0</v>
      </c>
      <c r="P25" s="160">
        <f>Тўловлар[[#This Row],[Жами сумма]]-Тўловлар[[#This Row],[Поддон пули]]</f>
        <v>-100000</v>
      </c>
      <c r="Q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" s="9" t="str">
        <f>IFERROR(INDEX(Мижозлар[Агент],MATCH($C25,Мижозлар[Расмий ном],0)),"")</f>
        <v>Арслон ога</v>
      </c>
    </row>
    <row r="26" spans="1:19" x14ac:dyDescent="0.2">
      <c r="A26" s="23">
        <v>46209</v>
      </c>
      <c r="B26" s="24" t="s">
        <v>29</v>
      </c>
      <c r="C26" s="24" t="s">
        <v>89</v>
      </c>
      <c r="D26" s="25">
        <v>20982400</v>
      </c>
      <c r="E26" s="24" t="s">
        <v>295</v>
      </c>
      <c r="F26" s="196"/>
      <c r="G26" s="25">
        <f>Тўловлар[[#This Row],[Поддон]]*$G$3</f>
        <v>0</v>
      </c>
      <c r="H26" s="25"/>
      <c r="I26" s="25"/>
      <c r="J26" s="25"/>
      <c r="K26" s="9">
        <f>SUM(Тўловлар[[#This Row],[ПР-Сумма]]+Тўловлар[[#This Row],[Накд]]+Тўловлар[[#This Row],[Клик]]+Тўловлар[[#This Row],[Терминал]])</f>
        <v>20982400</v>
      </c>
      <c r="L26" s="24" t="s">
        <v>279</v>
      </c>
      <c r="M26" s="24"/>
      <c r="N26" s="30" cm="1">
        <f t="array" ref="N26">IFERROR(LOOKUP(2,1/((Товар!$D$4:$D$1110=Тўловлар[[#This Row],[Клиент]])*(Товар!$E$4:$E$1110&lt;=Тўловлар[[#This Row],[Дата]])),Товар!$L$4:$L$1110),Кўрсаткичлар!$B$4)</f>
        <v>130000</v>
      </c>
      <c r="O26" s="30">
        <f>Тўловлар[[#This Row],[Поддон]]*Тўловлар[[#This Row],[Поддон нархи]]</f>
        <v>0</v>
      </c>
      <c r="P26" s="30">
        <f>Тўловлар[[#This Row],[Жами сумма]]-Тўловлар[[#This Row],[Поддон пули]]</f>
        <v>20982400</v>
      </c>
      <c r="Q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" s="9" t="str">
        <f>IFERROR(INDEX(Мижозлар[Агент],MATCH($C26,Мижозлар[Расмий ном],0)),"")</f>
        <v>Зафар ога</v>
      </c>
    </row>
    <row r="27" spans="1:19" x14ac:dyDescent="0.2">
      <c r="A27" s="23">
        <v>46209</v>
      </c>
      <c r="B27" s="24" t="s">
        <v>29</v>
      </c>
      <c r="C27" s="24" t="s">
        <v>98</v>
      </c>
      <c r="D27" s="25">
        <v>61447200</v>
      </c>
      <c r="E27" s="24" t="s">
        <v>296</v>
      </c>
      <c r="F27" s="196"/>
      <c r="G27" s="25">
        <f>Тўловлар[[#This Row],[Поддон]]*$G$3</f>
        <v>0</v>
      </c>
      <c r="H27" s="25"/>
      <c r="I27" s="25"/>
      <c r="J27" s="25"/>
      <c r="K27" s="9">
        <f>SUM(Тўловлар[[#This Row],[ПР-Сумма]]+Тўловлар[[#This Row],[Накд]]+Тўловлар[[#This Row],[Клик]]+Тўловлар[[#This Row],[Терминал]])</f>
        <v>61447200</v>
      </c>
      <c r="L27" s="24" t="s">
        <v>279</v>
      </c>
      <c r="M27" s="24"/>
      <c r="N27" s="30" cm="1">
        <f t="array" ref="N27">IFERROR(LOOKUP(2,1/((Товар!$D$4:$D$1110=Тўловлар[[#This Row],[Клиент]])*(Товар!$E$4:$E$1110&lt;=Тўловлар[[#This Row],[Дата]])),Товар!$L$4:$L$1110),Кўрсаткичлар!$B$4)</f>
        <v>130000</v>
      </c>
      <c r="O27" s="30">
        <f>Тўловлар[[#This Row],[Поддон]]*Тўловлар[[#This Row],[Поддон нархи]]</f>
        <v>0</v>
      </c>
      <c r="P27" s="30">
        <f>Тўловлар[[#This Row],[Жами сумма]]-Тўловлар[[#This Row],[Поддон пули]]</f>
        <v>61447200</v>
      </c>
      <c r="Q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" s="9" t="str">
        <f>IFERROR(INDEX(Мижозлар[Агент],MATCH($C27,Мижозлар[Расмий ном],0)),"")</f>
        <v>Зафар ога</v>
      </c>
    </row>
    <row r="28" spans="1:19" x14ac:dyDescent="0.2">
      <c r="A28" s="23">
        <v>46209</v>
      </c>
      <c r="B28" s="24" t="s">
        <v>21</v>
      </c>
      <c r="C28" s="24" t="s">
        <v>116</v>
      </c>
      <c r="D28" s="25">
        <v>2100000</v>
      </c>
      <c r="E28" s="24" t="s">
        <v>294</v>
      </c>
      <c r="F28" s="196"/>
      <c r="G28" s="25">
        <f>Тўловлар[[#This Row],[Поддон]]*$G$3</f>
        <v>0</v>
      </c>
      <c r="H28" s="25"/>
      <c r="I28" s="25"/>
      <c r="J28" s="25"/>
      <c r="K28" s="9">
        <f>SUM(Тўловлар[[#This Row],[ПР-Сумма]]+Тўловлар[[#This Row],[Накд]]+Тўловлар[[#This Row],[Клик]]+Тўловлар[[#This Row],[Терминал]])</f>
        <v>2100000</v>
      </c>
      <c r="L28" s="24" t="s">
        <v>279</v>
      </c>
      <c r="M28" s="24" t="s">
        <v>297</v>
      </c>
      <c r="N28" s="30" cm="1">
        <f t="array" ref="N28">IFERROR(LOOKUP(2,1/((Товар!$D$4:$D$1110=Тўловлар[[#This Row],[Клиент]])*(Товар!$E$4:$E$1110&lt;=Тўловлар[[#This Row],[Дата]])),Товар!$L$4:$L$1110),Кўрсаткичлар!$B$4)</f>
        <v>130000</v>
      </c>
      <c r="O28" s="30">
        <f>Тўловлар[[#This Row],[Поддон]]*Тўловлар[[#This Row],[Поддон нархи]]</f>
        <v>0</v>
      </c>
      <c r="P28" s="30">
        <f>Тўловлар[[#This Row],[Жами сумма]]-Тўловлар[[#This Row],[Поддон пули]]</f>
        <v>2100000</v>
      </c>
      <c r="Q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" s="9" t="str">
        <f>IFERROR(INDEX(Мижозлар[Агент],MATCH($C28,Мижозлар[Расмий ном],0)),"")</f>
        <v>Арслон ога</v>
      </c>
    </row>
    <row r="29" spans="1:19" x14ac:dyDescent="0.2">
      <c r="A29" s="23">
        <v>46209</v>
      </c>
      <c r="B29" s="24" t="s">
        <v>36</v>
      </c>
      <c r="C29" s="24" t="s">
        <v>71</v>
      </c>
      <c r="D29" s="25">
        <v>21000000</v>
      </c>
      <c r="E29" s="24" t="s">
        <v>298</v>
      </c>
      <c r="F29" s="196"/>
      <c r="G29" s="25">
        <f>Тўловлар[[#This Row],[Поддон]]*$G$3</f>
        <v>0</v>
      </c>
      <c r="H29" s="25"/>
      <c r="I29" s="25"/>
      <c r="J29" s="25"/>
      <c r="K29" s="9">
        <f>SUM(Тўловлар[[#This Row],[ПР-Сумма]]+Тўловлар[[#This Row],[Накд]]+Тўловлар[[#This Row],[Клик]]+Тўловлар[[#This Row],[Терминал]])</f>
        <v>21000000</v>
      </c>
      <c r="L29" s="24" t="s">
        <v>279</v>
      </c>
      <c r="M29" s="24"/>
      <c r="N29" s="30" cm="1">
        <f t="array" ref="N29">IFERROR(LOOKUP(2,1/((Товар!$D$4:$D$1110=Тўловлар[[#This Row],[Клиент]])*(Товар!$E$4:$E$1110&lt;=Тўловлар[[#This Row],[Дата]])),Товар!$L$4:$L$1110),Кўрсаткичлар!$B$4)</f>
        <v>130000</v>
      </c>
      <c r="O29" s="30">
        <f>Тўловлар[[#This Row],[Поддон]]*Тўловлар[[#This Row],[Поддон нархи]]</f>
        <v>0</v>
      </c>
      <c r="P29" s="30">
        <f>Тўловлар[[#This Row],[Жами сумма]]-Тўловлар[[#This Row],[Поддон пули]]</f>
        <v>21000000</v>
      </c>
      <c r="Q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" s="9" t="str">
        <f>IFERROR(INDEX(Мижозлар[Агент],MATCH($C29,Мижозлар[Расмий ном],0)),"")</f>
        <v>Темур</v>
      </c>
    </row>
    <row r="30" spans="1:19" x14ac:dyDescent="0.2">
      <c r="A30" s="7">
        <v>46210</v>
      </c>
      <c r="B30" s="8" t="s">
        <v>32</v>
      </c>
      <c r="C30" s="8" t="s">
        <v>107</v>
      </c>
      <c r="D30" s="9">
        <v>40000000</v>
      </c>
      <c r="E30" s="8" t="s">
        <v>299</v>
      </c>
      <c r="F30" s="198"/>
      <c r="G30" s="9">
        <f>Тўловлар[[#This Row],[Поддон]]*$G$3</f>
        <v>0</v>
      </c>
      <c r="K30" s="9">
        <f>SUM(Тўловлар[[#This Row],[ПР-Сумма]]+Тўловлар[[#This Row],[Накд]]+Тўловлар[[#This Row],[Клик]]+Тўловлар[[#This Row],[Терминал]])</f>
        <v>40000000</v>
      </c>
      <c r="L30" s="9" t="s">
        <v>271</v>
      </c>
      <c r="N30" s="30" cm="1">
        <f t="array" ref="N30">IFERROR(LOOKUP(2,1/((Товар!$D$4:$D$1110=Тўловлар[[#This Row],[Клиент]])*(Товар!$E$4:$E$1110&lt;=Тўловлар[[#This Row],[Дата]])),Товар!$L$4:$L$1110),Кўрсаткичлар!$B$4)</f>
        <v>130000</v>
      </c>
      <c r="O30" s="30">
        <f>Тўловлар[[#This Row],[Поддон]]*Тўловлар[[#This Row],[Поддон нархи]]</f>
        <v>0</v>
      </c>
      <c r="P30" s="30">
        <f>Тўловлар[[#This Row],[Жами сумма]]-Тўловлар[[#This Row],[Поддон пули]]</f>
        <v>40000000</v>
      </c>
      <c r="Q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" s="9" t="str">
        <f>IFERROR(INDEX(Мижозлар[Агент],MATCH($C30,Мижозлар[Расмий ном],0)),"")</f>
        <v>Сардор ога</v>
      </c>
    </row>
    <row r="31" spans="1:19" x14ac:dyDescent="0.2">
      <c r="A31" s="7">
        <v>46210</v>
      </c>
      <c r="B31" s="8" t="s">
        <v>40</v>
      </c>
      <c r="C31" s="8" t="s">
        <v>27</v>
      </c>
      <c r="D31" s="9">
        <v>41964800</v>
      </c>
      <c r="E31" s="8" t="s">
        <v>300</v>
      </c>
      <c r="F31" s="198"/>
      <c r="G31" s="9">
        <f>Тўловлар[[#This Row],[Поддон]]*$G$3</f>
        <v>0</v>
      </c>
      <c r="K31" s="9">
        <f>SUM(Тўловлар[[#This Row],[ПР-Сумма]]+Тўловлар[[#This Row],[Накд]]+Тўловлар[[#This Row],[Клик]]+Тўловлар[[#This Row],[Терминал]])</f>
        <v>41964800</v>
      </c>
      <c r="L31" s="9" t="s">
        <v>271</v>
      </c>
      <c r="N31" s="30" cm="1">
        <f t="array" ref="N31">IFERROR(LOOKUP(2,1/((Товар!$D$4:$D$1110=Тўловлар[[#This Row],[Клиент]])*(Товар!$E$4:$E$1110&lt;=Тўловлар[[#This Row],[Дата]])),Товар!$L$4:$L$1110),Кўрсаткичлар!$B$4)</f>
        <v>130000</v>
      </c>
      <c r="O31" s="30">
        <f>Тўловлар[[#This Row],[Поддон]]*Тўловлар[[#This Row],[Поддон нархи]]</f>
        <v>0</v>
      </c>
      <c r="P31" s="30">
        <f>Тўловлар[[#This Row],[Жами сумма]]-Тўловлар[[#This Row],[Поддон пули]]</f>
        <v>41964800</v>
      </c>
      <c r="Q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" s="9" t="str">
        <f>IFERROR(INDEX(Мижозлар[Агент],MATCH($C31,Мижозлар[Расмий ном],0)),"")</f>
        <v>Шохрух ога</v>
      </c>
    </row>
    <row r="32" spans="1:19" x14ac:dyDescent="0.2">
      <c r="A32" s="7">
        <v>46210</v>
      </c>
      <c r="B32" s="8" t="s">
        <v>29</v>
      </c>
      <c r="C32" s="8" t="s">
        <v>98</v>
      </c>
      <c r="D32" s="9">
        <v>41965000</v>
      </c>
      <c r="E32" s="8" t="s">
        <v>301</v>
      </c>
      <c r="F32" s="198"/>
      <c r="G32" s="9">
        <f>Тўловлар[[#This Row],[Поддон]]*$G$3</f>
        <v>0</v>
      </c>
      <c r="K32" s="9">
        <f>SUM(Тўловлар[[#This Row],[ПР-Сумма]]+Тўловлар[[#This Row],[Накд]]+Тўловлар[[#This Row],[Клик]]+Тўловлар[[#This Row],[Терминал]])</f>
        <v>41965000</v>
      </c>
      <c r="L32" s="9" t="s">
        <v>271</v>
      </c>
      <c r="N32" s="30" cm="1">
        <f t="array" ref="N32">IFERROR(LOOKUP(2,1/((Товар!$D$4:$D$1110=Тўловлар[[#This Row],[Клиент]])*(Товар!$E$4:$E$1110&lt;=Тўловлар[[#This Row],[Дата]])),Товар!$L$4:$L$1110),Кўрсаткичлар!$B$4)</f>
        <v>130000</v>
      </c>
      <c r="O32" s="30">
        <f>Тўловлар[[#This Row],[Поддон]]*Тўловлар[[#This Row],[Поддон нархи]]</f>
        <v>0</v>
      </c>
      <c r="P32" s="30">
        <f>Тўловлар[[#This Row],[Жами сумма]]-Тўловлар[[#This Row],[Поддон пули]]</f>
        <v>41965000</v>
      </c>
      <c r="Q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" s="9" t="str">
        <f>IFERROR(INDEX(Мижозлар[Агент],MATCH($C32,Мижозлар[Расмий ном],0)),"")</f>
        <v>Зафар ога</v>
      </c>
    </row>
    <row r="33" spans="1:19" x14ac:dyDescent="0.2">
      <c r="A33" s="7">
        <v>46211</v>
      </c>
      <c r="B33" s="8" t="s">
        <v>40</v>
      </c>
      <c r="C33" s="8" t="s">
        <v>109</v>
      </c>
      <c r="D33" s="9">
        <v>20982000</v>
      </c>
      <c r="E33" s="8" t="s">
        <v>285</v>
      </c>
      <c r="F33" s="198"/>
      <c r="G33" s="9">
        <f>Тўловлар[[#This Row],[Поддон]]*$G$3</f>
        <v>0</v>
      </c>
      <c r="K33" s="9">
        <f>SUM(Тўловлар[[#This Row],[ПР-Сумма]]+Тўловлар[[#This Row],[Накд]]+Тўловлар[[#This Row],[Клик]]+Тўловлар[[#This Row],[Терминал]])</f>
        <v>20982000</v>
      </c>
      <c r="L33" s="9" t="s">
        <v>271</v>
      </c>
      <c r="N33" s="30" cm="1">
        <f t="array" ref="N33">IFERROR(LOOKUP(2,1/((Товар!$D$4:$D$1110=Тўловлар[[#This Row],[Клиент]])*(Товар!$E$4:$E$1110&lt;=Тўловлар[[#This Row],[Дата]])),Товар!$L$4:$L$1110),Кўрсаткичлар!$B$4)</f>
        <v>130000</v>
      </c>
      <c r="O33" s="30">
        <f>Тўловлар[[#This Row],[Поддон]]*Тўловлар[[#This Row],[Поддон нархи]]</f>
        <v>0</v>
      </c>
      <c r="P33" s="30">
        <f>Тўловлар[[#This Row],[Жами сумма]]-Тўловлар[[#This Row],[Поддон пули]]</f>
        <v>20982000</v>
      </c>
      <c r="Q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" s="9" t="str">
        <f>IFERROR(INDEX(Мижозлар[Агент],MATCH($C33,Мижозлар[Расмий ном],0)),"")</f>
        <v>Шохрух ога</v>
      </c>
    </row>
    <row r="34" spans="1:19" x14ac:dyDescent="0.2">
      <c r="A34" s="7">
        <v>46211</v>
      </c>
      <c r="B34" s="8" t="s">
        <v>32</v>
      </c>
      <c r="C34" s="8" t="s">
        <v>107</v>
      </c>
      <c r="D34" s="9">
        <v>1964800</v>
      </c>
      <c r="E34" s="8" t="s">
        <v>302</v>
      </c>
      <c r="F34" s="198"/>
      <c r="G34" s="9">
        <f>Тўловлар[[#This Row],[Поддон]]*$G$3</f>
        <v>0</v>
      </c>
      <c r="K34" s="9">
        <f>SUM(Тўловлар[[#This Row],[ПР-Сумма]]+Тўловлар[[#This Row],[Накд]]+Тўловлар[[#This Row],[Клик]]+Тўловлар[[#This Row],[Терминал]])</f>
        <v>1964800</v>
      </c>
      <c r="L34" s="9" t="s">
        <v>271</v>
      </c>
      <c r="N34" s="30" cm="1">
        <f t="array" ref="N34">IFERROR(LOOKUP(2,1/((Товар!$D$4:$D$1110=Тўловлар[[#This Row],[Клиент]])*(Товар!$E$4:$E$1110&lt;=Тўловлар[[#This Row],[Дата]])),Товар!$L$4:$L$1110),Кўрсаткичлар!$B$4)</f>
        <v>130000</v>
      </c>
      <c r="O34" s="30">
        <f>Тўловлар[[#This Row],[Поддон]]*Тўловлар[[#This Row],[Поддон нархи]]</f>
        <v>0</v>
      </c>
      <c r="P34" s="30">
        <f>Тўловлар[[#This Row],[Жами сумма]]-Тўловлар[[#This Row],[Поддон пули]]</f>
        <v>1964800</v>
      </c>
      <c r="Q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" s="9" t="str">
        <f>IFERROR(INDEX(Мижозлар[Агент],MATCH($C34,Мижозлар[Расмий ном],0)),"")</f>
        <v>Сардор ога</v>
      </c>
    </row>
    <row r="35" spans="1:19" x14ac:dyDescent="0.2">
      <c r="A35" s="7">
        <v>46211</v>
      </c>
      <c r="B35" s="8" t="s">
        <v>40</v>
      </c>
      <c r="C35" s="8" t="s">
        <v>55</v>
      </c>
      <c r="D35" s="9">
        <v>32832000</v>
      </c>
      <c r="E35" s="8" t="s">
        <v>303</v>
      </c>
      <c r="F35" s="198">
        <v>19</v>
      </c>
      <c r="G35" s="9">
        <f>Тўловлар[[#This Row],[Поддон]]*$G$3</f>
        <v>2470000</v>
      </c>
      <c r="K35" s="9">
        <f>SUM(Тўловлар[[#This Row],[ПР-Сумма]]+Тўловлар[[#This Row],[Накд]]+Тўловлар[[#This Row],[Клик]]+Тўловлар[[#This Row],[Терминал]])</f>
        <v>32832000</v>
      </c>
      <c r="L35" s="9" t="s">
        <v>271</v>
      </c>
      <c r="N35" s="30" cm="1">
        <f t="array" ref="N35">IFERROR(LOOKUP(2,1/((Товар!$D$4:$D$1110=Тўловлар[[#This Row],[Клиент]])*(Товар!$E$4:$E$1110&lt;=Тўловлар[[#This Row],[Дата]])),Товар!$L$4:$L$1110),Кўрсаткичлар!$B$4)</f>
        <v>130000</v>
      </c>
      <c r="O35" s="30">
        <f>Тўловлар[[#This Row],[Поддон]]*Тўловлар[[#This Row],[Поддон нархи]]</f>
        <v>2470000</v>
      </c>
      <c r="P35" s="30">
        <f>Тўловлар[[#This Row],[Жами сумма]]-Тўловлар[[#This Row],[Поддон пули]]</f>
        <v>30362000</v>
      </c>
      <c r="Q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" s="9" t="str">
        <f>IFERROR(INDEX(Мижозлар[Агент],MATCH($C35,Мижозлар[Расмий ном],0)),"")</f>
        <v>Шохрух ога</v>
      </c>
    </row>
    <row r="36" spans="1:19" x14ac:dyDescent="0.2">
      <c r="A36" s="7">
        <v>46211</v>
      </c>
      <c r="B36" s="8" t="s">
        <v>40</v>
      </c>
      <c r="C36" s="8" t="s">
        <v>55</v>
      </c>
      <c r="D36" s="9">
        <v>-6230480</v>
      </c>
      <c r="E36" s="8" t="s">
        <v>303</v>
      </c>
      <c r="F36" s="198"/>
      <c r="G36" s="9">
        <f>Тўловлар[[#This Row],[Поддон]]*$G$3</f>
        <v>0</v>
      </c>
      <c r="K36" s="9">
        <f>SUM(Тўловлар[[#This Row],[ПР-Сумма]]+Тўловлар[[#This Row],[Накд]]+Тўловлар[[#This Row],[Клик]]+Тўловлар[[#This Row],[Терминал]])</f>
        <v>-6230480</v>
      </c>
      <c r="L36" s="9" t="s">
        <v>271</v>
      </c>
      <c r="N36" s="30" cm="1">
        <f t="array" ref="N36">IFERROR(LOOKUP(2,1/((Товар!$D$4:$D$1110=Тўловлар[[#This Row],[Клиент]])*(Товар!$E$4:$E$1110&lt;=Тўловлар[[#This Row],[Дата]])),Товар!$L$4:$L$1110),Кўрсаткичлар!$B$4)</f>
        <v>130000</v>
      </c>
      <c r="O36" s="30">
        <f>Тўловлар[[#This Row],[Поддон]]*Тўловлар[[#This Row],[Поддон нархи]]</f>
        <v>0</v>
      </c>
      <c r="P36" s="30">
        <f>Тўловлар[[#This Row],[Жами сумма]]-Тўловлар[[#This Row],[Поддон пули]]</f>
        <v>-6230480</v>
      </c>
      <c r="Q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" s="9" t="str">
        <f>IFERROR(INDEX(Мижозлар[Агент],MATCH($C36,Мижозлар[Расмий ном],0)),"")</f>
        <v>Шохрух ога</v>
      </c>
    </row>
    <row r="37" spans="1:19" x14ac:dyDescent="0.2">
      <c r="A37" s="7">
        <v>46211</v>
      </c>
      <c r="B37" s="8" t="s">
        <v>21</v>
      </c>
      <c r="C37" s="8" t="s">
        <v>116</v>
      </c>
      <c r="D37" s="9">
        <v>63000000</v>
      </c>
      <c r="E37" s="8" t="s">
        <v>294</v>
      </c>
      <c r="F37" s="198"/>
      <c r="G37" s="9">
        <f>Тўловлар[[#This Row],[Поддон]]*$G$3</f>
        <v>0</v>
      </c>
      <c r="K37" s="9">
        <f>SUM(Тўловлар[[#This Row],[ПР-Сумма]]+Тўловлар[[#This Row],[Накд]]+Тўловлар[[#This Row],[Клик]]+Тўловлар[[#This Row],[Терминал]])</f>
        <v>63000000</v>
      </c>
      <c r="L37" s="9" t="s">
        <v>271</v>
      </c>
      <c r="N37" s="30" cm="1">
        <f t="array" ref="N37">IFERROR(LOOKUP(2,1/((Товар!$D$4:$D$1110=Тўловлар[[#This Row],[Клиент]])*(Товар!$E$4:$E$1110&lt;=Тўловлар[[#This Row],[Дата]])),Товар!$L$4:$L$1110),Кўрсаткичлар!$B$4)</f>
        <v>130000</v>
      </c>
      <c r="O37" s="30">
        <f>Тўловлар[[#This Row],[Поддон]]*Тўловлар[[#This Row],[Поддон нархи]]</f>
        <v>0</v>
      </c>
      <c r="P37" s="30">
        <f>Тўловлар[[#This Row],[Жами сумма]]-Тўловлар[[#This Row],[Поддон пули]]</f>
        <v>63000000</v>
      </c>
      <c r="Q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" s="9" t="str">
        <f>IFERROR(INDEX(Мижозлар[Агент],MATCH($C37,Мижозлар[Расмий ном],0)),"")</f>
        <v>Арслон ога</v>
      </c>
    </row>
    <row r="38" spans="1:19" x14ac:dyDescent="0.2">
      <c r="A38" s="7">
        <v>46212</v>
      </c>
      <c r="B38" s="8" t="s">
        <v>36</v>
      </c>
      <c r="C38" s="8" t="s">
        <v>82</v>
      </c>
      <c r="D38" s="9">
        <v>41964800</v>
      </c>
      <c r="E38" s="8" t="s">
        <v>304</v>
      </c>
      <c r="F38" s="198"/>
      <c r="G38" s="9">
        <f>Тўловлар[[#This Row],[Поддон]]*$G$3</f>
        <v>0</v>
      </c>
      <c r="K38" s="9">
        <f>SUM(Тўловлар[[#This Row],[ПР-Сумма]]+Тўловлар[[#This Row],[Накд]]+Тўловлар[[#This Row],[Клик]]+Тўловлар[[#This Row],[Терминал]])</f>
        <v>41964800</v>
      </c>
      <c r="L38" s="9" t="s">
        <v>271</v>
      </c>
      <c r="N38" s="30" cm="1">
        <f t="array" ref="N38">IFERROR(LOOKUP(2,1/((Товар!$D$4:$D$1110=Тўловлар[[#This Row],[Клиент]])*(Товар!$E$4:$E$1110&lt;=Тўловлар[[#This Row],[Дата]])),Товар!$L$4:$L$1110),Кўрсаткичлар!$B$4)</f>
        <v>130000</v>
      </c>
      <c r="O38" s="30">
        <f>Тўловлар[[#This Row],[Поддон]]*Тўловлар[[#This Row],[Поддон нархи]]</f>
        <v>0</v>
      </c>
      <c r="P38" s="30">
        <f>Тўловлар[[#This Row],[Жами сумма]]-Тўловлар[[#This Row],[Поддон пули]]</f>
        <v>41964800</v>
      </c>
      <c r="Q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" s="9" t="str">
        <f>IFERROR(INDEX(Мижозлар[Агент],MATCH($C38,Мижозлар[Расмий ном],0)),"")</f>
        <v>Темур</v>
      </c>
    </row>
    <row r="39" spans="1:19" x14ac:dyDescent="0.2">
      <c r="A39" s="7">
        <v>46212</v>
      </c>
      <c r="B39" s="8" t="s">
        <v>36</v>
      </c>
      <c r="C39" s="8" t="s">
        <v>71</v>
      </c>
      <c r="D39" s="9">
        <v>21000000</v>
      </c>
      <c r="E39" s="8" t="s">
        <v>305</v>
      </c>
      <c r="F39" s="198"/>
      <c r="G39" s="9">
        <f>Тўловлар[[#This Row],[Поддон]]*$G$3</f>
        <v>0</v>
      </c>
      <c r="K39" s="9">
        <f>SUM(Тўловлар[[#This Row],[ПР-Сумма]]+Тўловлар[[#This Row],[Накд]]+Тўловлар[[#This Row],[Клик]]+Тўловлар[[#This Row],[Терминал]])</f>
        <v>21000000</v>
      </c>
      <c r="L39" s="9" t="s">
        <v>271</v>
      </c>
      <c r="N39" s="30" cm="1">
        <f t="array" ref="N39">IFERROR(LOOKUP(2,1/((Товар!$D$4:$D$1110=Тўловлар[[#This Row],[Клиент]])*(Товар!$E$4:$E$1110&lt;=Тўловлар[[#This Row],[Дата]])),Товар!$L$4:$L$1110),Кўрсаткичлар!$B$4)</f>
        <v>130000</v>
      </c>
      <c r="O39" s="30">
        <f>Тўловлар[[#This Row],[Поддон]]*Тўловлар[[#This Row],[Поддон нархи]]</f>
        <v>0</v>
      </c>
      <c r="P39" s="30">
        <f>Тўловлар[[#This Row],[Жами сумма]]-Тўловлар[[#This Row],[Поддон пули]]</f>
        <v>21000000</v>
      </c>
      <c r="Q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" s="9" t="str">
        <f>IFERROR(INDEX(Мижозлар[Агент],MATCH($C39,Мижозлар[Расмий ном],0)),"")</f>
        <v>Темур</v>
      </c>
    </row>
    <row r="40" spans="1:19" x14ac:dyDescent="0.2">
      <c r="A40" s="7">
        <v>46212</v>
      </c>
      <c r="B40" s="8" t="s">
        <v>32</v>
      </c>
      <c r="C40" s="8" t="s">
        <v>85</v>
      </c>
      <c r="D40" s="9">
        <v>45000000</v>
      </c>
      <c r="E40" s="8" t="s">
        <v>306</v>
      </c>
      <c r="F40" s="198"/>
      <c r="G40" s="9">
        <f>Тўловлар[[#This Row],[Поддон]]*$G$3</f>
        <v>0</v>
      </c>
      <c r="K40" s="9">
        <f>SUM(Тўловлар[[#This Row],[ПР-Сумма]]+Тўловлар[[#This Row],[Накд]]+Тўловлар[[#This Row],[Клик]]+Тўловлар[[#This Row],[Терминал]])</f>
        <v>45000000</v>
      </c>
      <c r="L40" s="9" t="s">
        <v>271</v>
      </c>
      <c r="N40" s="30" cm="1">
        <f t="array" ref="N40">IFERROR(LOOKUP(2,1/((Товар!$D$4:$D$1110=Тўловлар[[#This Row],[Клиент]])*(Товар!$E$4:$E$1110&lt;=Тўловлар[[#This Row],[Дата]])),Товар!$L$4:$L$1110),Кўрсаткичлар!$B$4)</f>
        <v>130000</v>
      </c>
      <c r="O40" s="30">
        <f>Тўловлар[[#This Row],[Поддон]]*Тўловлар[[#This Row],[Поддон нархи]]</f>
        <v>0</v>
      </c>
      <c r="P40" s="30">
        <f>Тўловлар[[#This Row],[Жами сумма]]-Тўловлар[[#This Row],[Поддон пули]]</f>
        <v>45000000</v>
      </c>
      <c r="Q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" s="9" t="str">
        <f>IFERROR(INDEX(Мижозлар[Агент],MATCH($C40,Мижозлар[Расмий ном],0)),"")</f>
        <v>Сардор ога</v>
      </c>
    </row>
    <row r="41" spans="1:19" x14ac:dyDescent="0.2">
      <c r="A41" s="7">
        <v>46212</v>
      </c>
      <c r="B41" s="8" t="s">
        <v>36</v>
      </c>
      <c r="C41" s="8" t="s">
        <v>48</v>
      </c>
      <c r="D41" s="9">
        <v>20682000</v>
      </c>
      <c r="E41" s="8" t="s">
        <v>307</v>
      </c>
      <c r="F41" s="198"/>
      <c r="G41" s="9">
        <f>Тўловлар[[#This Row],[Поддон]]*$G$3</f>
        <v>0</v>
      </c>
      <c r="K41" s="9">
        <f>SUM(Тўловлар[[#This Row],[ПР-Сумма]]+Тўловлар[[#This Row],[Накд]]+Тўловлар[[#This Row],[Клик]]+Тўловлар[[#This Row],[Терминал]])</f>
        <v>20682000</v>
      </c>
      <c r="L41" s="9" t="s">
        <v>271</v>
      </c>
      <c r="N41" s="30" cm="1">
        <f t="array" ref="N41">IFERROR(LOOKUP(2,1/((Товар!$D$4:$D$1110=Тўловлар[[#This Row],[Клиент]])*(Товар!$E$4:$E$1110&lt;=Тўловлар[[#This Row],[Дата]])),Товар!$L$4:$L$1110),Кўрсаткичлар!$B$4)</f>
        <v>130000</v>
      </c>
      <c r="O41" s="30">
        <f>Тўловлар[[#This Row],[Поддон]]*Тўловлар[[#This Row],[Поддон нархи]]</f>
        <v>0</v>
      </c>
      <c r="P41" s="30">
        <f>Тўловлар[[#This Row],[Жами сумма]]-Тўловлар[[#This Row],[Поддон пули]]</f>
        <v>20682000</v>
      </c>
      <c r="Q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" s="9" t="str">
        <f>IFERROR(INDEX(Мижозлар[Агент],MATCH($C41,Мижозлар[Расмий ном],0)),"")</f>
        <v>Темур</v>
      </c>
    </row>
    <row r="42" spans="1:19" x14ac:dyDescent="0.2">
      <c r="A42" s="7">
        <v>46212</v>
      </c>
      <c r="B42" s="8" t="s">
        <v>21</v>
      </c>
      <c r="C42" s="8" t="s">
        <v>76</v>
      </c>
      <c r="D42" s="9">
        <v>22200000</v>
      </c>
      <c r="E42" s="8" t="s">
        <v>308</v>
      </c>
      <c r="F42" s="198"/>
      <c r="G42" s="9">
        <f>Тўловлар[[#This Row],[Поддон]]*$G$3</f>
        <v>0</v>
      </c>
      <c r="K42" s="9">
        <f>SUM(Тўловлар[[#This Row],[ПР-Сумма]]+Тўловлар[[#This Row],[Накд]]+Тўловлар[[#This Row],[Клик]]+Тўловлар[[#This Row],[Терминал]])</f>
        <v>22200000</v>
      </c>
      <c r="L42" s="8" t="s">
        <v>41</v>
      </c>
      <c r="N42" s="30" cm="1">
        <f t="array" ref="N42">IFERROR(LOOKUP(2,1/((Товар!$D$4:$D$1110=Тўловлар[[#This Row],[Клиент]])*(Товар!$E$4:$E$1110&lt;=Тўловлар[[#This Row],[Дата]])),Товар!$L$4:$L$1110),Кўрсаткичлар!$B$4)</f>
        <v>130000</v>
      </c>
      <c r="O42" s="30">
        <f>Тўловлар[[#This Row],[Поддон]]*Тўловлар[[#This Row],[Поддон нархи]]</f>
        <v>0</v>
      </c>
      <c r="P42" s="30">
        <f>Тўловлар[[#This Row],[Жами сумма]]-Тўловлар[[#This Row],[Поддон пули]]</f>
        <v>22200000</v>
      </c>
      <c r="Q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" s="9" t="str">
        <f>IFERROR(INDEX(Мижозлар[Агент],MATCH($C42,Мижозлар[Расмий ном],0)),"")</f>
        <v>Арслон ога</v>
      </c>
    </row>
    <row r="43" spans="1:19" x14ac:dyDescent="0.2">
      <c r="A43" s="7">
        <v>46213</v>
      </c>
      <c r="B43" s="8" t="s">
        <v>29</v>
      </c>
      <c r="C43" s="8" t="s">
        <v>98</v>
      </c>
      <c r="D43" s="9">
        <v>20810000</v>
      </c>
      <c r="E43" s="8" t="s">
        <v>309</v>
      </c>
      <c r="F43" s="198"/>
      <c r="G43" s="9">
        <f>Тўловлар[[#This Row],[Поддон]]*$G$3</f>
        <v>0</v>
      </c>
      <c r="K43" s="9">
        <f>SUM(Тўловлар[[#This Row],[ПР-Сумма]]+Тўловлар[[#This Row],[Накд]]+Тўловлар[[#This Row],[Клик]]+Тўловлар[[#This Row],[Терминал]])</f>
        <v>20810000</v>
      </c>
      <c r="L43" s="9" t="s">
        <v>271</v>
      </c>
      <c r="N43" s="30" cm="1">
        <f t="array" ref="N43">IFERROR(LOOKUP(2,1/((Товар!$D$4:$D$1110=Тўловлар[[#This Row],[Клиент]])*(Товар!$E$4:$E$1110&lt;=Тўловлар[[#This Row],[Дата]])),Товар!$L$4:$L$1110),Кўрсаткичлар!$B$4)</f>
        <v>130000</v>
      </c>
      <c r="O43" s="30">
        <f>Тўловлар[[#This Row],[Поддон]]*Тўловлар[[#This Row],[Поддон нархи]]</f>
        <v>0</v>
      </c>
      <c r="P43" s="30">
        <f>Тўловлар[[#This Row],[Жами сумма]]-Тўловлар[[#This Row],[Поддон пули]]</f>
        <v>20810000</v>
      </c>
      <c r="Q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" s="9" t="str">
        <f>IFERROR(INDEX(Мижозлар[Агент],MATCH($C43,Мижозлар[Расмий ном],0)),"")</f>
        <v>Зафар ога</v>
      </c>
    </row>
    <row r="44" spans="1:19" x14ac:dyDescent="0.2">
      <c r="A44" s="7">
        <v>46213</v>
      </c>
      <c r="B44" s="8" t="s">
        <v>36</v>
      </c>
      <c r="C44" s="8" t="s">
        <v>71</v>
      </c>
      <c r="D44" s="9">
        <v>21000000</v>
      </c>
      <c r="E44" s="8" t="s">
        <v>305</v>
      </c>
      <c r="F44" s="198"/>
      <c r="G44" s="9">
        <f>Тўловлар[[#This Row],[Поддон]]*$G$3</f>
        <v>0</v>
      </c>
      <c r="K44" s="9">
        <f>SUM(Тўловлар[[#This Row],[ПР-Сумма]]+Тўловлар[[#This Row],[Накд]]+Тўловлар[[#This Row],[Клик]]+Тўловлар[[#This Row],[Терминал]])</f>
        <v>21000000</v>
      </c>
      <c r="L44" s="9" t="s">
        <v>271</v>
      </c>
      <c r="N44" s="30" cm="1">
        <f t="array" ref="N44">IFERROR(LOOKUP(2,1/((Товар!$D$4:$D$1110=Тўловлар[[#This Row],[Клиент]])*(Товар!$E$4:$E$1110&lt;=Тўловлар[[#This Row],[Дата]])),Товар!$L$4:$L$1110),Кўрсаткичлар!$B$4)</f>
        <v>130000</v>
      </c>
      <c r="O44" s="30">
        <f>Тўловлар[[#This Row],[Поддон]]*Тўловлар[[#This Row],[Поддон нархи]]</f>
        <v>0</v>
      </c>
      <c r="P44" s="30">
        <f>Тўловлар[[#This Row],[Жами сумма]]-Тўловлар[[#This Row],[Поддон пули]]</f>
        <v>21000000</v>
      </c>
      <c r="Q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" s="9" t="str">
        <f>IFERROR(INDEX(Мижозлар[Агент],MATCH($C44,Мижозлар[Расмий ном],0)),"")</f>
        <v>Темур</v>
      </c>
    </row>
    <row r="45" spans="1:19" x14ac:dyDescent="0.2">
      <c r="A45" s="7">
        <v>46213</v>
      </c>
      <c r="B45" s="8" t="s">
        <v>29</v>
      </c>
      <c r="C45" s="8" t="s">
        <v>89</v>
      </c>
      <c r="D45" s="9">
        <v>46184800</v>
      </c>
      <c r="E45" s="8" t="s">
        <v>295</v>
      </c>
      <c r="F45" s="198"/>
      <c r="G45" s="9">
        <f>Тўловлар[[#This Row],[Поддон]]*$G$3</f>
        <v>0</v>
      </c>
      <c r="K45" s="9">
        <f>SUM(Тўловлар[[#This Row],[ПР-Сумма]]+Тўловлар[[#This Row],[Накд]]+Тўловлар[[#This Row],[Клик]]+Тўловлар[[#This Row],[Терминал]])</f>
        <v>46184800</v>
      </c>
      <c r="L45" s="9" t="s">
        <v>271</v>
      </c>
      <c r="N45" s="30" cm="1">
        <f t="array" ref="N45">IFERROR(LOOKUP(2,1/((Товар!$D$4:$D$1110=Тўловлар[[#This Row],[Клиент]])*(Товар!$E$4:$E$1110&lt;=Тўловлар[[#This Row],[Дата]])),Товар!$L$4:$L$1110),Кўрсаткичлар!$B$4)</f>
        <v>130000</v>
      </c>
      <c r="O45" s="30">
        <f>Тўловлар[[#This Row],[Поддон]]*Тўловлар[[#This Row],[Поддон нархи]]</f>
        <v>0</v>
      </c>
      <c r="P45" s="30">
        <f>Тўловлар[[#This Row],[Жами сумма]]-Тўловлар[[#This Row],[Поддон пули]]</f>
        <v>46184800</v>
      </c>
      <c r="Q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" s="9" t="str">
        <f>IFERROR(INDEX(Мижозлар[Агент],MATCH($C45,Мижозлар[Расмий ном],0)),"")</f>
        <v>Зафар ога</v>
      </c>
    </row>
    <row r="46" spans="1:19" x14ac:dyDescent="0.2">
      <c r="A46" s="7">
        <v>46213</v>
      </c>
      <c r="B46" s="8" t="s">
        <v>29</v>
      </c>
      <c r="C46" s="8" t="s">
        <v>89</v>
      </c>
      <c r="D46" s="9">
        <v>-220000</v>
      </c>
      <c r="E46" s="8" t="s">
        <v>295</v>
      </c>
      <c r="F46" s="198"/>
      <c r="G46" s="9">
        <f>Тўловлар[[#This Row],[Поддон]]*$G$3</f>
        <v>0</v>
      </c>
      <c r="K46" s="9">
        <f>SUM(Тўловлар[[#This Row],[ПР-Сумма]]+Тўловлар[[#This Row],[Накд]]+Тўловлар[[#This Row],[Клик]]+Тўловлар[[#This Row],[Терминал]])</f>
        <v>-220000</v>
      </c>
      <c r="L46" s="9" t="s">
        <v>271</v>
      </c>
      <c r="N46" s="30" cm="1">
        <f t="array" ref="N46">IFERROR(LOOKUP(2,1/((Товар!$D$4:$D$1110=Тўловлар[[#This Row],[Клиент]])*(Товар!$E$4:$E$1110&lt;=Тўловлар[[#This Row],[Дата]])),Товар!$L$4:$L$1110),Кўрсаткичлар!$B$4)</f>
        <v>130000</v>
      </c>
      <c r="O46" s="30">
        <f>Тўловлар[[#This Row],[Поддон]]*Тўловлар[[#This Row],[Поддон нархи]]</f>
        <v>0</v>
      </c>
      <c r="P46" s="30">
        <f>Тўловлар[[#This Row],[Жами сумма]]-Тўловлар[[#This Row],[Поддон пули]]</f>
        <v>-220000</v>
      </c>
      <c r="Q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" s="9" t="str">
        <f>IFERROR(INDEX(Мижозлар[Агент],MATCH($C46,Мижозлар[Расмий ном],0)),"")</f>
        <v>Зафар ога</v>
      </c>
    </row>
    <row r="47" spans="1:19" x14ac:dyDescent="0.2">
      <c r="A47" s="7">
        <v>46213</v>
      </c>
      <c r="B47" s="8" t="s">
        <v>29</v>
      </c>
      <c r="C47" s="8" t="s">
        <v>98</v>
      </c>
      <c r="D47" s="9">
        <v>46620000</v>
      </c>
      <c r="E47" s="8" t="s">
        <v>296</v>
      </c>
      <c r="F47" s="198"/>
      <c r="G47" s="9">
        <f>Тўловлар[[#This Row],[Поддон]]*$G$3</f>
        <v>0</v>
      </c>
      <c r="K47" s="9">
        <f>SUM(Тўловлар[[#This Row],[ПР-Сумма]]+Тўловлар[[#This Row],[Накд]]+Тўловлар[[#This Row],[Клик]]+Тўловлар[[#This Row],[Терминал]])</f>
        <v>46620000</v>
      </c>
      <c r="L47" s="9" t="s">
        <v>271</v>
      </c>
      <c r="N47" s="30" cm="1">
        <f t="array" ref="N47">IFERROR(LOOKUP(2,1/((Товар!$D$4:$D$1110=Тўловлар[[#This Row],[Клиент]])*(Товар!$E$4:$E$1110&lt;=Тўловлар[[#This Row],[Дата]])),Товар!$L$4:$L$1110),Кўрсаткичлар!$B$4)</f>
        <v>130000</v>
      </c>
      <c r="O47" s="30">
        <f>Тўловлар[[#This Row],[Поддон]]*Тўловлар[[#This Row],[Поддон нархи]]</f>
        <v>0</v>
      </c>
      <c r="P47" s="30">
        <f>Тўловлар[[#This Row],[Жами сумма]]-Тўловлар[[#This Row],[Поддон пули]]</f>
        <v>46620000</v>
      </c>
      <c r="Q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" s="9" t="str">
        <f>IFERROR(INDEX(Мижозлар[Агент],MATCH($C47,Мижозлар[Расмий ном],0)),"")</f>
        <v>Зафар ога</v>
      </c>
    </row>
    <row r="48" spans="1:19" x14ac:dyDescent="0.2">
      <c r="A48" s="7">
        <v>46216</v>
      </c>
      <c r="B48" s="8" t="s">
        <v>36</v>
      </c>
      <c r="C48" s="8" t="s">
        <v>45</v>
      </c>
      <c r="D48" s="9">
        <v>62347200</v>
      </c>
      <c r="E48" s="8" t="s">
        <v>310</v>
      </c>
      <c r="F48" s="198"/>
      <c r="G48" s="9">
        <f>Тўловлар[[#This Row],[Поддон]]*$G$3</f>
        <v>0</v>
      </c>
      <c r="K48" s="9">
        <f>SUM(Тўловлар[[#This Row],[ПР-Сумма]]+Тўловлар[[#This Row],[Накд]]+Тўловлар[[#This Row],[Клик]]+Тўловлар[[#This Row],[Терминал]])</f>
        <v>62347200</v>
      </c>
      <c r="L48" s="9" t="s">
        <v>271</v>
      </c>
      <c r="N48" s="30" cm="1">
        <f t="array" ref="N48">IFERROR(LOOKUP(2,1/((Товар!$D$4:$D$1110=Тўловлар[[#This Row],[Клиент]])*(Товар!$E$4:$E$1110&lt;=Тўловлар[[#This Row],[Дата]])),Товар!$L$4:$L$1110),Кўрсаткичлар!$B$4)</f>
        <v>130000</v>
      </c>
      <c r="O48" s="30">
        <f>Тўловлар[[#This Row],[Поддон]]*Тўловлар[[#This Row],[Поддон нархи]]</f>
        <v>0</v>
      </c>
      <c r="P48" s="30">
        <f>Тўловлар[[#This Row],[Жами сумма]]-Тўловлар[[#This Row],[Поддон пули]]</f>
        <v>62347200</v>
      </c>
      <c r="Q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" s="9" t="str">
        <f>IFERROR(INDEX(Мижозлар[Агент],MATCH($C48,Мижозлар[Расмий ном],0)),"")</f>
        <v>Темур</v>
      </c>
    </row>
    <row r="49" spans="1:19" x14ac:dyDescent="0.2">
      <c r="A49" s="7">
        <v>46216</v>
      </c>
      <c r="B49" s="8" t="s">
        <v>40</v>
      </c>
      <c r="C49" s="8" t="s">
        <v>109</v>
      </c>
      <c r="D49" s="9">
        <v>20782000</v>
      </c>
      <c r="E49" s="8" t="s">
        <v>285</v>
      </c>
      <c r="F49" s="198"/>
      <c r="G49" s="9">
        <f>Тўловлар[[#This Row],[Поддон]]*$G$3</f>
        <v>0</v>
      </c>
      <c r="K49" s="9">
        <f>SUM(Тўловлар[[#This Row],[ПР-Сумма]]+Тўловлар[[#This Row],[Накд]]+Тўловлар[[#This Row],[Клик]]+Тўловлар[[#This Row],[Терминал]])</f>
        <v>20782000</v>
      </c>
      <c r="L49" s="9" t="s">
        <v>271</v>
      </c>
      <c r="N49" s="30" cm="1">
        <f t="array" ref="N49">IFERROR(LOOKUP(2,1/((Товар!$D$4:$D$1110=Тўловлар[[#This Row],[Клиент]])*(Товар!$E$4:$E$1110&lt;=Тўловлар[[#This Row],[Дата]])),Товар!$L$4:$L$1110),Кўрсаткичлар!$B$4)</f>
        <v>130000</v>
      </c>
      <c r="O49" s="30">
        <f>Тўловлар[[#This Row],[Поддон]]*Тўловлар[[#This Row],[Поддон нархи]]</f>
        <v>0</v>
      </c>
      <c r="P49" s="30">
        <f>Тўловлар[[#This Row],[Жами сумма]]-Тўловлар[[#This Row],[Поддон пули]]</f>
        <v>20782000</v>
      </c>
      <c r="Q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" s="9" t="str">
        <f>IFERROR(INDEX(Мижозлар[Агент],MATCH($C49,Мижозлар[Расмий ном],0)),"")</f>
        <v>Шохрух ога</v>
      </c>
    </row>
    <row r="50" spans="1:19" x14ac:dyDescent="0.2">
      <c r="A50" s="7">
        <v>46216</v>
      </c>
      <c r="B50" s="8" t="s">
        <v>40</v>
      </c>
      <c r="C50" s="8" t="s">
        <v>30</v>
      </c>
      <c r="D50" s="9">
        <v>31288000</v>
      </c>
      <c r="E50" s="8" t="s">
        <v>311</v>
      </c>
      <c r="F50" s="198"/>
      <c r="G50" s="9">
        <f>Тўловлар[[#This Row],[Поддон]]*$G$3</f>
        <v>0</v>
      </c>
      <c r="K50" s="9">
        <f>SUM(Тўловлар[[#This Row],[ПР-Сумма]]+Тўловлар[[#This Row],[Накд]]+Тўловлар[[#This Row],[Клик]]+Тўловлар[[#This Row],[Терминал]])</f>
        <v>31288000</v>
      </c>
      <c r="L50" s="9" t="s">
        <v>271</v>
      </c>
      <c r="N50" s="30" cm="1">
        <f t="array" ref="N50">IFERROR(LOOKUP(2,1/((Товар!$D$4:$D$1110=Тўловлар[[#This Row],[Клиент]])*(Товар!$E$4:$E$1110&lt;=Тўловлар[[#This Row],[Дата]])),Товар!$L$4:$L$1110),Кўрсаткичлар!$B$4)</f>
        <v>130000</v>
      </c>
      <c r="O50" s="30">
        <f>Тўловлар[[#This Row],[Поддон]]*Тўловлар[[#This Row],[Поддон нархи]]</f>
        <v>0</v>
      </c>
      <c r="P50" s="30">
        <f>Тўловлар[[#This Row],[Жами сумма]]-Тўловлар[[#This Row],[Поддон пули]]</f>
        <v>31288000</v>
      </c>
      <c r="Q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" s="9" t="str">
        <f>IFERROR(INDEX(Мижозлар[Агент],MATCH($C50,Мижозлар[Расмий ном],0)),"")</f>
        <v>Шохрух ога</v>
      </c>
    </row>
    <row r="51" spans="1:19" x14ac:dyDescent="0.2">
      <c r="A51" s="7">
        <v>46216</v>
      </c>
      <c r="B51" s="8" t="s">
        <v>36</v>
      </c>
      <c r="C51" s="8" t="s">
        <v>82</v>
      </c>
      <c r="D51" s="9">
        <v>41365000</v>
      </c>
      <c r="E51" s="8" t="s">
        <v>312</v>
      </c>
      <c r="F51" s="198"/>
      <c r="G51" s="9">
        <f>Тўловлар[[#This Row],[Поддон]]*$G$3</f>
        <v>0</v>
      </c>
      <c r="K51" s="9">
        <f>SUM(Тўловлар[[#This Row],[ПР-Сумма]]+Тўловлар[[#This Row],[Накд]]+Тўловлар[[#This Row],[Клик]]+Тўловлар[[#This Row],[Терминал]])</f>
        <v>41365000</v>
      </c>
      <c r="L51" s="9" t="s">
        <v>271</v>
      </c>
      <c r="N51" s="30" cm="1">
        <f t="array" ref="N51">IFERROR(LOOKUP(2,1/((Товар!$D$4:$D$1110=Тўловлар[[#This Row],[Клиент]])*(Товар!$E$4:$E$1110&lt;=Тўловлар[[#This Row],[Дата]])),Товар!$L$4:$L$1110),Кўрсаткичлар!$B$4)</f>
        <v>130000</v>
      </c>
      <c r="O51" s="30">
        <f>Тўловлар[[#This Row],[Поддон]]*Тўловлар[[#This Row],[Поддон нархи]]</f>
        <v>0</v>
      </c>
      <c r="P51" s="30">
        <f>Тўловлар[[#This Row],[Жами сумма]]-Тўловлар[[#This Row],[Поддон пули]]</f>
        <v>41365000</v>
      </c>
      <c r="Q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" s="9" t="str">
        <f>IFERROR(INDEX(Мижозлар[Агент],MATCH($C51,Мижозлар[Расмий ном],0)),"")</f>
        <v>Темур</v>
      </c>
    </row>
    <row r="52" spans="1:19" x14ac:dyDescent="0.2">
      <c r="A52" s="7">
        <v>46216</v>
      </c>
      <c r="B52" s="8" t="s">
        <v>40</v>
      </c>
      <c r="C52" s="8" t="s">
        <v>87</v>
      </c>
      <c r="D52" s="9">
        <v>41564800</v>
      </c>
      <c r="E52" s="8" t="s">
        <v>282</v>
      </c>
      <c r="F52" s="198"/>
      <c r="G52" s="9">
        <f>Тўловлар[[#This Row],[Поддон]]*$G$3</f>
        <v>0</v>
      </c>
      <c r="K52" s="9">
        <f>SUM(Тўловлар[[#This Row],[ПР-Сумма]]+Тўловлар[[#This Row],[Накд]]+Тўловлар[[#This Row],[Клик]]+Тўловлар[[#This Row],[Терминал]])</f>
        <v>41564800</v>
      </c>
      <c r="L52" s="9" t="s">
        <v>271</v>
      </c>
      <c r="N52" s="30" cm="1">
        <f t="array" ref="N52">IFERROR(LOOKUP(2,1/((Товар!$D$4:$D$1110=Тўловлар[[#This Row],[Клиент]])*(Товар!$E$4:$E$1110&lt;=Тўловлар[[#This Row],[Дата]])),Товар!$L$4:$L$1110),Кўрсаткичлар!$B$4)</f>
        <v>130000</v>
      </c>
      <c r="O52" s="30">
        <f>Тўловлар[[#This Row],[Поддон]]*Тўловлар[[#This Row],[Поддон нархи]]</f>
        <v>0</v>
      </c>
      <c r="P52" s="30">
        <f>Тўловлар[[#This Row],[Жами сумма]]-Тўловлар[[#This Row],[Поддон пули]]</f>
        <v>41564800</v>
      </c>
      <c r="Q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" s="9" t="str">
        <f>IFERROR(INDEX(Мижозлар[Агент],MATCH($C52,Мижозлар[Расмий ном],0)),"")</f>
        <v>Шохрух ога</v>
      </c>
    </row>
    <row r="53" spans="1:19" x14ac:dyDescent="0.2">
      <c r="A53" s="7">
        <v>46216</v>
      </c>
      <c r="B53" s="8" t="s">
        <v>32</v>
      </c>
      <c r="C53" s="8" t="s">
        <v>63</v>
      </c>
      <c r="D53" s="9">
        <v>100000000</v>
      </c>
      <c r="E53" s="8" t="s">
        <v>313</v>
      </c>
      <c r="F53" s="198">
        <v>63</v>
      </c>
      <c r="G53" s="9">
        <f>Тўловлар[[#This Row],[Поддон]]*$G$3</f>
        <v>8190000</v>
      </c>
      <c r="K53" s="9">
        <f>SUM(Тўловлар[[#This Row],[ПР-Сумма]]+Тўловлар[[#This Row],[Накд]]+Тўловлар[[#This Row],[Клик]]+Тўловлар[[#This Row],[Терминал]])</f>
        <v>100000000</v>
      </c>
      <c r="L53" s="9" t="s">
        <v>271</v>
      </c>
      <c r="N53" s="30" cm="1">
        <f t="array" ref="N53">IFERROR(LOOKUP(2,1/((Товар!$D$4:$D$1110=Тўловлар[[#This Row],[Клиент]])*(Товар!$E$4:$E$1110&lt;=Тўловлар[[#This Row],[Дата]])),Товар!$L$4:$L$1110),Кўрсаткичлар!$B$4)</f>
        <v>130000</v>
      </c>
      <c r="O53" s="30">
        <f>Тўловлар[[#This Row],[Поддон]]*Тўловлар[[#This Row],[Поддон нархи]]</f>
        <v>8190000</v>
      </c>
      <c r="P53" s="30">
        <f>Тўловлар[[#This Row],[Жами сумма]]-Тўловлар[[#This Row],[Поддон пули]]</f>
        <v>91810000</v>
      </c>
      <c r="Q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" s="9" t="str">
        <f>IFERROR(INDEX(Мижозлар[Агент],MATCH($C53,Мижозлар[Расмий ном],0)),"")</f>
        <v>Сардор ога</v>
      </c>
    </row>
    <row r="54" spans="1:19" x14ac:dyDescent="0.2">
      <c r="A54" s="7">
        <v>46216</v>
      </c>
      <c r="B54" s="8" t="s">
        <v>29</v>
      </c>
      <c r="C54" s="8" t="s">
        <v>98</v>
      </c>
      <c r="D54" s="9">
        <v>23183000</v>
      </c>
      <c r="E54" s="8" t="s">
        <v>314</v>
      </c>
      <c r="F54" s="198"/>
      <c r="G54" s="9">
        <f>Тўловлар[[#This Row],[Поддон]]*$G$3</f>
        <v>0</v>
      </c>
      <c r="K54" s="9">
        <f>SUM(Тўловлар[[#This Row],[ПР-Сумма]]+Тўловлар[[#This Row],[Накд]]+Тўловлар[[#This Row],[Клик]]+Тўловлар[[#This Row],[Терминал]])</f>
        <v>23183000</v>
      </c>
      <c r="L54" s="9" t="s">
        <v>271</v>
      </c>
      <c r="N54" s="30" cm="1">
        <f t="array" ref="N54">IFERROR(LOOKUP(2,1/((Товар!$D$4:$D$1110=Тўловлар[[#This Row],[Клиент]])*(Товар!$E$4:$E$1110&lt;=Тўловлар[[#This Row],[Дата]])),Товар!$L$4:$L$1110),Кўрсаткичлар!$B$4)</f>
        <v>130000</v>
      </c>
      <c r="O54" s="30">
        <f>Тўловлар[[#This Row],[Поддон]]*Тўловлар[[#This Row],[Поддон нархи]]</f>
        <v>0</v>
      </c>
      <c r="P54" s="30">
        <f>Тўловлар[[#This Row],[Жами сумма]]-Тўловлар[[#This Row],[Поддон пули]]</f>
        <v>23183000</v>
      </c>
      <c r="Q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" s="9" t="str">
        <f>IFERROR(INDEX(Мижозлар[Агент],MATCH($C54,Мижозлар[Расмий ном],0)),"")</f>
        <v>Зафар ога</v>
      </c>
    </row>
    <row r="55" spans="1:19" x14ac:dyDescent="0.2">
      <c r="A55" s="7">
        <v>46217</v>
      </c>
      <c r="B55" s="8" t="s">
        <v>29</v>
      </c>
      <c r="C55" s="8" t="s">
        <v>100</v>
      </c>
      <c r="D55" s="9">
        <v>40964800</v>
      </c>
      <c r="E55" s="8" t="s">
        <v>315</v>
      </c>
      <c r="F55" s="198"/>
      <c r="G55" s="9">
        <f>Тўловлар[[#This Row],[Поддон]]*$G$3</f>
        <v>0</v>
      </c>
      <c r="K55" s="9">
        <f>SUM(Тўловлар[[#This Row],[ПР-Сумма]]+Тўловлар[[#This Row],[Накд]]+Тўловлар[[#This Row],[Клик]]+Тўловлар[[#This Row],[Терминал]])</f>
        <v>40964800</v>
      </c>
      <c r="L55" s="9" t="s">
        <v>271</v>
      </c>
      <c r="N55" s="30" cm="1">
        <f t="array" ref="N55">IFERROR(LOOKUP(2,1/((Товар!$D$4:$D$1110=Тўловлар[[#This Row],[Клиент]])*(Товар!$E$4:$E$1110&lt;=Тўловлар[[#This Row],[Дата]])),Товар!$L$4:$L$1110),Кўрсаткичлар!$B$4)</f>
        <v>130000</v>
      </c>
      <c r="O55" s="30">
        <f>Тўловлар[[#This Row],[Поддон]]*Тўловлар[[#This Row],[Поддон нархи]]</f>
        <v>0</v>
      </c>
      <c r="P55" s="30">
        <f>Тўловлар[[#This Row],[Жами сумма]]-Тўловлар[[#This Row],[Поддон пули]]</f>
        <v>40964800</v>
      </c>
      <c r="Q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" s="9" t="str">
        <f>IFERROR(INDEX(Мижозлар[Агент],MATCH($C55,Мижозлар[Расмий ном],0)),"")</f>
        <v>Зафар ога</v>
      </c>
    </row>
    <row r="56" spans="1:19" x14ac:dyDescent="0.2">
      <c r="A56" s="7">
        <v>46217</v>
      </c>
      <c r="B56" s="8" t="s">
        <v>32</v>
      </c>
      <c r="C56" s="8" t="s">
        <v>91</v>
      </c>
      <c r="D56" s="9">
        <v>40965000</v>
      </c>
      <c r="E56" s="8" t="s">
        <v>316</v>
      </c>
      <c r="F56" s="198"/>
      <c r="G56" s="9">
        <f>Тўловлар[[#This Row],[Поддон]]*$G$3</f>
        <v>0</v>
      </c>
      <c r="K56" s="9">
        <f>SUM(Тўловлар[[#This Row],[ПР-Сумма]]+Тўловлар[[#This Row],[Накд]]+Тўловлар[[#This Row],[Клик]]+Тўловлар[[#This Row],[Терминал]])</f>
        <v>40965000</v>
      </c>
      <c r="L56" s="9" t="s">
        <v>271</v>
      </c>
      <c r="N56" s="30" cm="1">
        <f t="array" ref="N56">IFERROR(LOOKUP(2,1/((Товар!$D$4:$D$1110=Тўловлар[[#This Row],[Клиент]])*(Товар!$E$4:$E$1110&lt;=Тўловлар[[#This Row],[Дата]])),Товар!$L$4:$L$1110),Кўрсаткичлар!$B$4)</f>
        <v>130000</v>
      </c>
      <c r="O56" s="30">
        <f>Тўловлар[[#This Row],[Поддон]]*Тўловлар[[#This Row],[Поддон нархи]]</f>
        <v>0</v>
      </c>
      <c r="P56" s="30">
        <f>Тўловлар[[#This Row],[Жами сумма]]-Тўловлар[[#This Row],[Поддон пули]]</f>
        <v>40965000</v>
      </c>
      <c r="Q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" s="9" t="str">
        <f>IFERROR(INDEX(Мижозлар[Агент],MATCH($C56,Мижозлар[Расмий ном],0)),"")</f>
        <v>Сардор ога</v>
      </c>
    </row>
    <row r="57" spans="1:19" x14ac:dyDescent="0.2">
      <c r="A57" s="7">
        <v>46217</v>
      </c>
      <c r="B57" s="8" t="s">
        <v>29</v>
      </c>
      <c r="C57" s="8" t="s">
        <v>98</v>
      </c>
      <c r="D57" s="9">
        <v>24130000</v>
      </c>
      <c r="E57" s="8" t="s">
        <v>296</v>
      </c>
      <c r="F57" s="198"/>
      <c r="G57" s="9">
        <f>Тўловлар[[#This Row],[Поддон]]*$G$3</f>
        <v>0</v>
      </c>
      <c r="K57" s="9">
        <f>SUM(Тўловлар[[#This Row],[ПР-Сумма]]+Тўловлар[[#This Row],[Накд]]+Тўловлар[[#This Row],[Клик]]+Тўловлар[[#This Row],[Терминал]])</f>
        <v>24130000</v>
      </c>
      <c r="L57" s="9" t="s">
        <v>271</v>
      </c>
      <c r="N57" s="30" cm="1">
        <f t="array" ref="N57">IFERROR(LOOKUP(2,1/((Товар!$D$4:$D$1110=Тўловлар[[#This Row],[Клиент]])*(Товар!$E$4:$E$1110&lt;=Тўловлар[[#This Row],[Дата]])),Товар!$L$4:$L$1110),Кўрсаткичлар!$B$4)</f>
        <v>130000</v>
      </c>
      <c r="O57" s="30">
        <f>Тўловлар[[#This Row],[Поддон]]*Тўловлар[[#This Row],[Поддон нархи]]</f>
        <v>0</v>
      </c>
      <c r="P57" s="30">
        <f>Тўловлар[[#This Row],[Жами сумма]]-Тўловлар[[#This Row],[Поддон пули]]</f>
        <v>24130000</v>
      </c>
      <c r="Q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" s="9" t="str">
        <f>IFERROR(INDEX(Мижозлар[Агент],MATCH($C57,Мижозлар[Расмий ном],0)),"")</f>
        <v>Зафар ога</v>
      </c>
    </row>
    <row r="58" spans="1:19" x14ac:dyDescent="0.2">
      <c r="A58" s="7">
        <v>46217</v>
      </c>
      <c r="B58" s="8" t="s">
        <v>32</v>
      </c>
      <c r="C58" s="8" t="s">
        <v>122</v>
      </c>
      <c r="F58" s="198"/>
      <c r="G58" s="9">
        <f>Тўловлар[[#This Row],[Поддон]]*$G$3</f>
        <v>0</v>
      </c>
      <c r="H58" s="9">
        <v>15890000</v>
      </c>
      <c r="K58" s="9">
        <f>SUM(Тўловлар[[#This Row],[ПР-Сумма]]+Тўловлар[[#This Row],[Накд]]+Тўловлар[[#This Row],[Клик]]+Тўловлар[[#This Row],[Терминал]])</f>
        <v>15890000</v>
      </c>
      <c r="L58" s="9" t="s">
        <v>41</v>
      </c>
      <c r="N58" s="30" cm="1">
        <f t="array" ref="N58">IFERROR(LOOKUP(2,1/((Товар!$D$4:$D$1110=Тўловлар[[#This Row],[Клиент]])*(Товар!$E$4:$E$1110&lt;=Тўловлар[[#This Row],[Дата]])),Товар!$L$4:$L$1110),Кўрсаткичлар!$B$4)</f>
        <v>130000</v>
      </c>
      <c r="O58" s="30">
        <f>Тўловлар[[#This Row],[Поддон]]*Тўловлар[[#This Row],[Поддон нархи]]</f>
        <v>0</v>
      </c>
      <c r="P58" s="30">
        <f>Тўловлар[[#This Row],[Жами сумма]]-Тўловлар[[#This Row],[Поддон пули]]</f>
        <v>15890000</v>
      </c>
      <c r="Q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" s="267" t="str">
        <f>IFERROR(INDEX(Мижозлар[Агент],MATCH($C58,Мижозлар[Расмий ном],0)),"")</f>
        <v>Сардор ога</v>
      </c>
    </row>
    <row r="59" spans="1:19" x14ac:dyDescent="0.2">
      <c r="A59" s="7">
        <v>46218</v>
      </c>
      <c r="B59" s="8" t="s">
        <v>29</v>
      </c>
      <c r="C59" s="8" t="s">
        <v>98</v>
      </c>
      <c r="D59" s="9">
        <v>70092000</v>
      </c>
      <c r="E59" s="8" t="s">
        <v>317</v>
      </c>
      <c r="F59" s="198"/>
      <c r="G59" s="9">
        <f>Тўловлар[[#This Row],[Поддон]]*$G$3</f>
        <v>0</v>
      </c>
      <c r="K59" s="9">
        <f>SUM(Тўловлар[[#This Row],[ПР-Сумма]]+Тўловлар[[#This Row],[Накд]]+Тўловлар[[#This Row],[Клик]]+Тўловлар[[#This Row],[Терминал]])</f>
        <v>70092000</v>
      </c>
      <c r="L59" s="9" t="s">
        <v>271</v>
      </c>
      <c r="N59" s="30" cm="1">
        <f t="array" ref="N59">IFERROR(LOOKUP(2,1/((Товар!$D$4:$D$1110=Тўловлар[[#This Row],[Клиент]])*(Товар!$E$4:$E$1110&lt;=Тўловлар[[#This Row],[Дата]])),Товар!$L$4:$L$1110),Кўрсаткичлар!$B$4)</f>
        <v>130000</v>
      </c>
      <c r="O59" s="30">
        <f>Тўловлар[[#This Row],[Поддон]]*Тўловлар[[#This Row],[Поддон нархи]]</f>
        <v>0</v>
      </c>
      <c r="P59" s="30">
        <f>Тўловлар[[#This Row],[Жами сумма]]-Тўловлар[[#This Row],[Поддон пули]]</f>
        <v>70092000</v>
      </c>
      <c r="Q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" s="9" t="str">
        <f>IFERROR(INDEX(Мижозлар[Агент],MATCH($C59,Мижозлар[Расмий ном],0)),"")</f>
        <v>Зафар ога</v>
      </c>
    </row>
    <row r="60" spans="1:19" x14ac:dyDescent="0.2">
      <c r="A60" s="7">
        <v>46218</v>
      </c>
      <c r="B60" s="8" t="s">
        <v>36</v>
      </c>
      <c r="C60" s="8" t="s">
        <v>48</v>
      </c>
      <c r="D60" s="9">
        <v>61447200</v>
      </c>
      <c r="E60" s="8" t="s">
        <v>307</v>
      </c>
      <c r="F60" s="198"/>
      <c r="G60" s="9">
        <f>Тўловлар[[#This Row],[Поддон]]*$G$3</f>
        <v>0</v>
      </c>
      <c r="K60" s="9">
        <f>SUM(Тўловлар[[#This Row],[ПР-Сумма]]+Тўловлар[[#This Row],[Накд]]+Тўловлар[[#This Row],[Клик]]+Тўловлар[[#This Row],[Терминал]])</f>
        <v>61447200</v>
      </c>
      <c r="L60" s="9" t="s">
        <v>271</v>
      </c>
      <c r="N60" s="30" cm="1">
        <f t="array" ref="N60">IFERROR(LOOKUP(2,1/((Товар!$D$4:$D$1110=Тўловлар[[#This Row],[Клиент]])*(Товар!$E$4:$E$1110&lt;=Тўловлар[[#This Row],[Дата]])),Товар!$L$4:$L$1110),Кўрсаткичлар!$B$4)</f>
        <v>130000</v>
      </c>
      <c r="O60" s="30">
        <f>Тўловлар[[#This Row],[Поддон]]*Тўловлар[[#This Row],[Поддон нархи]]</f>
        <v>0</v>
      </c>
      <c r="P60" s="30">
        <f>Тўловлар[[#This Row],[Жами сумма]]-Тўловлар[[#This Row],[Поддон пули]]</f>
        <v>61447200</v>
      </c>
      <c r="Q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" s="9" t="str">
        <f>IFERROR(INDEX(Мижозлар[Агент],MATCH($C60,Мижозлар[Расмий ном],0)),"")</f>
        <v>Темур</v>
      </c>
    </row>
    <row r="61" spans="1:19" x14ac:dyDescent="0.2">
      <c r="A61" s="7">
        <v>46218</v>
      </c>
      <c r="B61" s="8" t="s">
        <v>36</v>
      </c>
      <c r="C61" s="8" t="s">
        <v>82</v>
      </c>
      <c r="D61" s="9">
        <v>40965000</v>
      </c>
      <c r="E61" s="8" t="s">
        <v>304</v>
      </c>
      <c r="F61" s="198"/>
      <c r="G61" s="9">
        <f>Тўловлар[[#This Row],[Поддон]]*$G$3</f>
        <v>0</v>
      </c>
      <c r="K61" s="9">
        <f>SUM(Тўловлар[[#This Row],[ПР-Сумма]]+Тўловлар[[#This Row],[Накд]]+Тўловлар[[#This Row],[Клик]]+Тўловлар[[#This Row],[Терминал]])</f>
        <v>40965000</v>
      </c>
      <c r="L61" s="9" t="s">
        <v>271</v>
      </c>
      <c r="N61" s="30" cm="1">
        <f t="array" ref="N61">IFERROR(LOOKUP(2,1/((Товар!$D$4:$D$1110=Тўловлар[[#This Row],[Клиент]])*(Товар!$E$4:$E$1110&lt;=Тўловлар[[#This Row],[Дата]])),Товар!$L$4:$L$1110),Кўрсаткичлар!$B$4)</f>
        <v>130000</v>
      </c>
      <c r="O61" s="30">
        <f>Тўловлар[[#This Row],[Поддон]]*Тўловлар[[#This Row],[Поддон нархи]]</f>
        <v>0</v>
      </c>
      <c r="P61" s="30">
        <f>Тўловлар[[#This Row],[Жами сумма]]-Тўловлар[[#This Row],[Поддон пули]]</f>
        <v>40965000</v>
      </c>
      <c r="Q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" s="9" t="str">
        <f>IFERROR(INDEX(Мижозлар[Агент],MATCH($C61,Мижозлар[Расмий ном],0)),"")</f>
        <v>Темур</v>
      </c>
    </row>
    <row r="62" spans="1:19" x14ac:dyDescent="0.2">
      <c r="A62" s="7">
        <v>46218</v>
      </c>
      <c r="B62" s="8" t="s">
        <v>25</v>
      </c>
      <c r="C62" s="8" t="s">
        <v>53</v>
      </c>
      <c r="D62" s="9">
        <v>100000000</v>
      </c>
      <c r="E62" s="8" t="s">
        <v>291</v>
      </c>
      <c r="F62" s="198"/>
      <c r="G62" s="9">
        <f>Тўловлар[[#This Row],[Поддон]]*$G$3</f>
        <v>0</v>
      </c>
      <c r="K62" s="9">
        <f>SUM(Тўловлар[[#This Row],[ПР-Сумма]]+Тўловлар[[#This Row],[Накд]]+Тўловлар[[#This Row],[Клик]]+Тўловлар[[#This Row],[Терминал]])</f>
        <v>100000000</v>
      </c>
      <c r="L62" s="9" t="s">
        <v>271</v>
      </c>
      <c r="N62" s="30" cm="1">
        <f t="array" ref="N62">IFERROR(LOOKUP(2,1/((Товар!$D$4:$D$1110=Тўловлар[[#This Row],[Клиент]])*(Товар!$E$4:$E$1110&lt;=Тўловлар[[#This Row],[Дата]])),Товар!$L$4:$L$1110),Кўрсаткичлар!$B$4)</f>
        <v>130000</v>
      </c>
      <c r="O62" s="30">
        <f>Тўловлар[[#This Row],[Поддон]]*Тўловлар[[#This Row],[Поддон нархи]]</f>
        <v>0</v>
      </c>
      <c r="P62" s="30">
        <f>Тўловлар[[#This Row],[Жами сумма]]-Тўловлар[[#This Row],[Поддон пули]]</f>
        <v>100000000</v>
      </c>
      <c r="Q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" s="9" t="str">
        <f>IFERROR(INDEX(Мижозлар[Агент],MATCH($C62,Мижозлар[Расмий ном],0)),"")</f>
        <v>Жамол 22-22</v>
      </c>
    </row>
    <row r="63" spans="1:19" x14ac:dyDescent="0.2">
      <c r="A63" s="7">
        <v>46218</v>
      </c>
      <c r="B63" s="8" t="s">
        <v>36</v>
      </c>
      <c r="C63" s="8" t="s">
        <v>45</v>
      </c>
      <c r="D63" s="9">
        <v>184341600</v>
      </c>
      <c r="E63" s="8" t="s">
        <v>318</v>
      </c>
      <c r="F63" s="198"/>
      <c r="G63" s="9">
        <f>Тўловлар[[#This Row],[Поддон]]*$G$3</f>
        <v>0</v>
      </c>
      <c r="K63" s="9">
        <f>SUM(Тўловлар[[#This Row],[ПР-Сумма]]+Тўловлар[[#This Row],[Накд]]+Тўловлар[[#This Row],[Клик]]+Тўловлар[[#This Row],[Терминал]])</f>
        <v>184341600</v>
      </c>
      <c r="L63" s="9" t="s">
        <v>271</v>
      </c>
      <c r="N63" s="30" cm="1">
        <f t="array" ref="N63">IFERROR(LOOKUP(2,1/((Товар!$D$4:$D$1110=Тўловлар[[#This Row],[Клиент]])*(Товар!$E$4:$E$1110&lt;=Тўловлар[[#This Row],[Дата]])),Товар!$L$4:$L$1110),Кўрсаткичлар!$B$4)</f>
        <v>130000</v>
      </c>
      <c r="O63" s="30">
        <f>Тўловлар[[#This Row],[Поддон]]*Тўловлар[[#This Row],[Поддон нархи]]</f>
        <v>0</v>
      </c>
      <c r="P63" s="30">
        <f>Тўловлар[[#This Row],[Жами сумма]]-Тўловлар[[#This Row],[Поддон пули]]</f>
        <v>184341600</v>
      </c>
      <c r="Q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" s="9" t="str">
        <f>IFERROR(INDEX(Мижозлар[Агент],MATCH($C63,Мижозлар[Расмий ном],0)),"")</f>
        <v>Темур</v>
      </c>
    </row>
    <row r="64" spans="1:19" x14ac:dyDescent="0.2">
      <c r="A64" s="7">
        <v>46219</v>
      </c>
      <c r="B64" s="8" t="s">
        <v>29</v>
      </c>
      <c r="C64" s="8" t="s">
        <v>98</v>
      </c>
      <c r="D64" s="9">
        <v>23183000</v>
      </c>
      <c r="E64" s="8" t="s">
        <v>314</v>
      </c>
      <c r="F64" s="198"/>
      <c r="G64" s="9">
        <f>Тўловлар[[#This Row],[Поддон]]*$G$3</f>
        <v>0</v>
      </c>
      <c r="K64" s="9">
        <f>SUM(Тўловлар[[#This Row],[ПР-Сумма]]+Тўловлар[[#This Row],[Накд]]+Тўловлар[[#This Row],[Клик]]+Тўловлар[[#This Row],[Терминал]])</f>
        <v>23183000</v>
      </c>
      <c r="L64" s="9" t="s">
        <v>271</v>
      </c>
      <c r="N64" s="30" cm="1">
        <f t="array" ref="N64">IFERROR(LOOKUP(2,1/((Товар!$D$4:$D$1110=Тўловлар[[#This Row],[Клиент]])*(Товар!$E$4:$E$1110&lt;=Тўловлар[[#This Row],[Дата]])),Товар!$L$4:$L$1110),Кўрсаткичлар!$B$4)</f>
        <v>130000</v>
      </c>
      <c r="O64" s="30">
        <f>Тўловлар[[#This Row],[Поддон]]*Тўловлар[[#This Row],[Поддон нархи]]</f>
        <v>0</v>
      </c>
      <c r="P64" s="30">
        <f>Тўловлар[[#This Row],[Жами сумма]]-Тўловлар[[#This Row],[Поддон пули]]</f>
        <v>23183000</v>
      </c>
      <c r="Q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" s="9" t="str">
        <f>IFERROR(INDEX(Мижозлар[Агент],MATCH($C64,Мижозлар[Расмий ном],0)),"")</f>
        <v>Зафар ога</v>
      </c>
    </row>
    <row r="65" spans="1:19" x14ac:dyDescent="0.2">
      <c r="A65" s="7">
        <v>46219</v>
      </c>
      <c r="B65" s="8" t="s">
        <v>32</v>
      </c>
      <c r="C65" s="8" t="s">
        <v>112</v>
      </c>
      <c r="D65" s="9">
        <v>33750000</v>
      </c>
      <c r="E65" s="8" t="s">
        <v>319</v>
      </c>
      <c r="F65" s="198"/>
      <c r="G65" s="9">
        <f>Тўловлар[[#This Row],[Поддон]]*$G$3</f>
        <v>0</v>
      </c>
      <c r="K65" s="9">
        <f>SUM(Тўловлар[[#This Row],[ПР-Сумма]]+Тўловлар[[#This Row],[Накд]]+Тўловлар[[#This Row],[Клик]]+Тўловлар[[#This Row],[Терминал]])</f>
        <v>33750000</v>
      </c>
      <c r="L65" s="9" t="s">
        <v>271</v>
      </c>
      <c r="N65" s="30" cm="1">
        <f t="array" ref="N65">IFERROR(LOOKUP(2,1/((Товар!$D$4:$D$1110=Тўловлар[[#This Row],[Клиент]])*(Товар!$E$4:$E$1110&lt;=Тўловлар[[#This Row],[Дата]])),Товар!$L$4:$L$1110),Кўрсаткичлар!$B$4)</f>
        <v>130000</v>
      </c>
      <c r="O65" s="30">
        <f>Тўловлар[[#This Row],[Поддон]]*Тўловлар[[#This Row],[Поддон нархи]]</f>
        <v>0</v>
      </c>
      <c r="P65" s="30">
        <f>Тўловлар[[#This Row],[Жами сумма]]-Тўловлар[[#This Row],[Поддон пули]]</f>
        <v>33750000</v>
      </c>
      <c r="Q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" s="9" t="str">
        <f>IFERROR(INDEX(Мижозлар[Агент],MATCH($C65,Мижозлар[Расмий ном],0)),"")</f>
        <v>Сардор ога</v>
      </c>
    </row>
    <row r="66" spans="1:19" x14ac:dyDescent="0.2">
      <c r="A66" s="7">
        <v>46220</v>
      </c>
      <c r="B66" s="8" t="s">
        <v>40</v>
      </c>
      <c r="C66" s="8" t="s">
        <v>30</v>
      </c>
      <c r="D66" s="9">
        <v>-20482400</v>
      </c>
      <c r="E66" s="8" t="s">
        <v>311</v>
      </c>
      <c r="F66" s="198"/>
      <c r="G66" s="9">
        <f>Тўловлар[[#This Row],[Поддон]]*$G$3</f>
        <v>0</v>
      </c>
      <c r="K66" s="9">
        <f>SUM(Тўловлар[[#This Row],[ПР-Сумма]]+Тўловлар[[#This Row],[Накд]]+Тўловлар[[#This Row],[Клик]]+Тўловлар[[#This Row],[Терминал]])</f>
        <v>-20482400</v>
      </c>
      <c r="L66" s="9" t="s">
        <v>271</v>
      </c>
      <c r="M66" s="8" t="s">
        <v>320</v>
      </c>
      <c r="N66" s="30" cm="1">
        <f t="array" ref="N66">IFERROR(LOOKUP(2,1/((Товар!$D$4:$D$1110=Тўловлар[[#This Row],[Клиент]])*(Товар!$E$4:$E$1110&lt;=Тўловлар[[#This Row],[Дата]])),Товар!$L$4:$L$1110),Кўрсаткичлар!$B$4)</f>
        <v>130000</v>
      </c>
      <c r="O66" s="30">
        <f>Тўловлар[[#This Row],[Поддон]]*Тўловлар[[#This Row],[Поддон нархи]]</f>
        <v>0</v>
      </c>
      <c r="P66" s="30">
        <f>Тўловлар[[#This Row],[Жами сумма]]-Тўловлар[[#This Row],[Поддон пули]]</f>
        <v>-20482400</v>
      </c>
      <c r="Q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" s="9" t="str">
        <f>IFERROR(INDEX(Мижозлар[Агент],MATCH($C66,Мижозлар[Расмий ном],0)),"")</f>
        <v>Шохрух ога</v>
      </c>
    </row>
    <row r="67" spans="1:19" x14ac:dyDescent="0.2">
      <c r="A67" s="7">
        <v>46220</v>
      </c>
      <c r="B67" s="8" t="s">
        <v>21</v>
      </c>
      <c r="C67" s="8" t="s">
        <v>116</v>
      </c>
      <c r="D67" s="30">
        <v>6603800</v>
      </c>
      <c r="E67" s="8" t="s">
        <v>294</v>
      </c>
      <c r="F67" s="198"/>
      <c r="G67" s="9">
        <f>Тўловлар[[#This Row],[Поддон]]*$G$3</f>
        <v>0</v>
      </c>
      <c r="K67" s="9">
        <f>SUM(Тўловлар[[#This Row],[ПР-Сумма]]+Тўловлар[[#This Row],[Накд]]+Тўловлар[[#This Row],[Клик]]+Тўловлар[[#This Row],[Терминал]])</f>
        <v>6603800</v>
      </c>
      <c r="L67" s="9" t="s">
        <v>271</v>
      </c>
      <c r="N67" s="30" cm="1">
        <f t="array" ref="N67">IFERROR(LOOKUP(2,1/((Товар!$D$4:$D$1110=Тўловлар[[#This Row],[Клиент]])*(Товар!$E$4:$E$1110&lt;=Тўловлар[[#This Row],[Дата]])),Товар!$L$4:$L$1110),Кўрсаткичлар!$B$4)</f>
        <v>130000</v>
      </c>
      <c r="O67" s="30">
        <f>Тўловлар[[#This Row],[Поддон]]*Тўловлар[[#This Row],[Поддон нархи]]</f>
        <v>0</v>
      </c>
      <c r="P67" s="30">
        <f>Тўловлар[[#This Row],[Жами сумма]]-Тўловлар[[#This Row],[Поддон пули]]</f>
        <v>6603800</v>
      </c>
      <c r="Q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" s="9" t="str">
        <f>IFERROR(INDEX(Мижозлар[Агент],MATCH($C67,Мижозлар[Расмий ном],0)),"")</f>
        <v>Арслон ога</v>
      </c>
    </row>
    <row r="68" spans="1:19" x14ac:dyDescent="0.2">
      <c r="A68" s="7">
        <v>46220</v>
      </c>
      <c r="B68" s="8" t="s">
        <v>40</v>
      </c>
      <c r="C68" s="8" t="s">
        <v>109</v>
      </c>
      <c r="D68" s="9">
        <v>20482000</v>
      </c>
      <c r="E68" s="8" t="s">
        <v>285</v>
      </c>
      <c r="F68" s="198"/>
      <c r="G68" s="9">
        <f>Тўловлар[[#This Row],[Поддон]]*$G$3</f>
        <v>0</v>
      </c>
      <c r="K68" s="9">
        <f>SUM(Тўловлар[[#This Row],[ПР-Сумма]]+Тўловлар[[#This Row],[Накд]]+Тўловлар[[#This Row],[Клик]]+Тўловлар[[#This Row],[Терминал]])</f>
        <v>20482000</v>
      </c>
      <c r="L68" s="9" t="s">
        <v>271</v>
      </c>
      <c r="N68" s="30" cm="1">
        <f t="array" ref="N68">IFERROR(LOOKUP(2,1/((Товар!$D$4:$D$1110=Тўловлар[[#This Row],[Клиент]])*(Товар!$E$4:$E$1110&lt;=Тўловлар[[#This Row],[Дата]])),Товар!$L$4:$L$1110),Кўрсаткичлар!$B$4)</f>
        <v>130000</v>
      </c>
      <c r="O68" s="30">
        <f>Тўловлар[[#This Row],[Поддон]]*Тўловлар[[#This Row],[Поддон нархи]]</f>
        <v>0</v>
      </c>
      <c r="P68" s="30">
        <f>Тўловлар[[#This Row],[Жами сумма]]-Тўловлар[[#This Row],[Поддон пули]]</f>
        <v>20482000</v>
      </c>
      <c r="Q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" s="9" t="str">
        <f>IFERROR(INDEX(Мижозлар[Агент],MATCH($C68,Мижозлар[Расмий ном],0)),"")</f>
        <v>Шохрух ога</v>
      </c>
    </row>
    <row r="69" spans="1:19" x14ac:dyDescent="0.2">
      <c r="A69" s="7">
        <v>46220</v>
      </c>
      <c r="B69" s="8" t="s">
        <v>32</v>
      </c>
      <c r="C69" s="8" t="s">
        <v>85</v>
      </c>
      <c r="D69" s="31">
        <v>60000000</v>
      </c>
      <c r="E69" s="8" t="s">
        <v>321</v>
      </c>
      <c r="F69" s="198"/>
      <c r="G69" s="9">
        <f>Тўловлар[[#This Row],[Поддон]]*$G$3</f>
        <v>0</v>
      </c>
      <c r="K69" s="9">
        <f>SUM(Тўловлар[[#This Row],[ПР-Сумма]]+Тўловлар[[#This Row],[Накд]]+Тўловлар[[#This Row],[Клик]]+Тўловлар[[#This Row],[Терминал]])</f>
        <v>60000000</v>
      </c>
      <c r="L69" s="9" t="s">
        <v>271</v>
      </c>
      <c r="N69" s="30" cm="1">
        <f t="array" ref="N69">IFERROR(LOOKUP(2,1/((Товар!$D$4:$D$1110=Тўловлар[[#This Row],[Клиент]])*(Товар!$E$4:$E$1110&lt;=Тўловлар[[#This Row],[Дата]])),Товар!$L$4:$L$1110),Кўрсаткичлар!$B$4)</f>
        <v>130000</v>
      </c>
      <c r="O69" s="30">
        <f>Тўловлар[[#This Row],[Поддон]]*Тўловлар[[#This Row],[Поддон нархи]]</f>
        <v>0</v>
      </c>
      <c r="P69" s="30">
        <f>Тўловлар[[#This Row],[Жами сумма]]-Тўловлар[[#This Row],[Поддон пули]]</f>
        <v>60000000</v>
      </c>
      <c r="Q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" s="9" t="str">
        <f>IFERROR(INDEX(Мижозлар[Агент],MATCH($C69,Мижозлар[Расмий ном],0)),"")</f>
        <v>Сардор ога</v>
      </c>
    </row>
    <row r="70" spans="1:19" ht="14.45" customHeight="1" x14ac:dyDescent="0.2">
      <c r="A70" s="7">
        <v>46214</v>
      </c>
      <c r="B70" s="8" t="s">
        <v>40</v>
      </c>
      <c r="C70" s="8" t="s">
        <v>119</v>
      </c>
      <c r="D70" s="9">
        <v>30033000</v>
      </c>
      <c r="E70" s="8" t="s">
        <v>276</v>
      </c>
      <c r="F70" s="198"/>
      <c r="G70" s="9">
        <f>Тўловлар[[#This Row],[Поддон]]*$G$3</f>
        <v>0</v>
      </c>
      <c r="K70" s="9">
        <f>SUM(Тўловлар[[#This Row],[ПР-Сумма]]+Тўловлар[[#This Row],[Накд]]+Тўловлар[[#This Row],[Клик]]+Тўловлар[[#This Row],[Терминал]])</f>
        <v>30033000</v>
      </c>
      <c r="L70" s="8" t="s">
        <v>41</v>
      </c>
      <c r="N70" s="30" cm="1">
        <f t="array" ref="N70">IFERROR(LOOKUP(2,1/((Товар!$D$4:$D$1110=Тўловлар[[#This Row],[Клиент]])*(Товар!$E$4:$E$1110&lt;=Тўловлар[[#This Row],[Дата]])),Товар!$L$4:$L$1110),Кўрсаткичлар!$B$4)</f>
        <v>130000</v>
      </c>
      <c r="O70" s="30">
        <f>Тўловлар[[#This Row],[Поддон]]*Тўловлар[[#This Row],[Поддон нархи]]</f>
        <v>0</v>
      </c>
      <c r="P70" s="30">
        <f>Тўловлар[[#This Row],[Жами сумма]]-Тўловлар[[#This Row],[Поддон пули]]</f>
        <v>30033000</v>
      </c>
      <c r="Q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" s="9" t="str">
        <f>IFERROR(INDEX(Мижозлар[Агент],MATCH($C70,Мижозлар[Расмий ном],0)),"")</f>
        <v>Шохрух ога</v>
      </c>
    </row>
    <row r="71" spans="1:19" ht="15" customHeight="1" x14ac:dyDescent="0.2">
      <c r="A71" s="7">
        <v>46219</v>
      </c>
      <c r="B71" s="8" t="s">
        <v>40</v>
      </c>
      <c r="C71" s="8" t="s">
        <v>119</v>
      </c>
      <c r="D71" s="9">
        <v>10000000</v>
      </c>
      <c r="E71" s="8" t="s">
        <v>276</v>
      </c>
      <c r="F71" s="198"/>
      <c r="G71" s="9">
        <f>Тўловлар[[#This Row],[Поддон]]*$G$3</f>
        <v>0</v>
      </c>
      <c r="K71" s="9">
        <f>SUM(Тўловлар[[#This Row],[ПР-Сумма]]+Тўловлар[[#This Row],[Накд]]+Тўловлар[[#This Row],[Клик]]+Тўловлар[[#This Row],[Терминал]])</f>
        <v>10000000</v>
      </c>
      <c r="L71" s="8" t="s">
        <v>41</v>
      </c>
      <c r="N71" s="30" cm="1">
        <f t="array" ref="N71">IFERROR(LOOKUP(2,1/((Товар!$D$4:$D$1110=Тўловлар[[#This Row],[Клиент]])*(Товар!$E$4:$E$1110&lt;=Тўловлар[[#This Row],[Дата]])),Товар!$L$4:$L$1110),Кўрсаткичлар!$B$4)</f>
        <v>130000</v>
      </c>
      <c r="O71" s="30">
        <f>Тўловлар[[#This Row],[Поддон]]*Тўловлар[[#This Row],[Поддон нархи]]</f>
        <v>0</v>
      </c>
      <c r="P71" s="30">
        <f>Тўловлар[[#This Row],[Жами сумма]]-Тўловлар[[#This Row],[Поддон пули]]</f>
        <v>10000000</v>
      </c>
      <c r="Q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" s="9" t="str">
        <f>IFERROR(INDEX(Мижозлар[Агент],MATCH($C71,Мижозлар[Расмий ном],0)),"")</f>
        <v>Шохрух ога</v>
      </c>
    </row>
    <row r="72" spans="1:19" ht="14.45" customHeight="1" x14ac:dyDescent="0.2">
      <c r="A72" s="7">
        <v>46223</v>
      </c>
      <c r="B72" s="8" t="s">
        <v>36</v>
      </c>
      <c r="C72" s="8" t="s">
        <v>61</v>
      </c>
      <c r="D72" s="9">
        <v>12935000</v>
      </c>
      <c r="E72" s="8" t="s">
        <v>322</v>
      </c>
      <c r="F72" s="198"/>
      <c r="G72" s="9">
        <f>Тўловлар[[#This Row],[Поддон]]*$G$3</f>
        <v>0</v>
      </c>
      <c r="K72" s="9">
        <f>SUM(Тўловлар[[#This Row],[ПР-Сумма]]+Тўловлар[[#This Row],[Накд]]+Тўловлар[[#This Row],[Клик]]+Тўловлар[[#This Row],[Терминал]])</f>
        <v>12935000</v>
      </c>
      <c r="L72" s="9" t="s">
        <v>271</v>
      </c>
      <c r="N72" s="30" cm="1">
        <f t="array" ref="N72">IFERROR(LOOKUP(2,1/((Товар!$D$4:$D$1110=Тўловлар[[#This Row],[Клиент]])*(Товар!$E$4:$E$1110&lt;=Тўловлар[[#This Row],[Дата]])),Товар!$L$4:$L$1110),Кўрсаткичлар!$B$4)</f>
        <v>130000</v>
      </c>
      <c r="O72" s="30">
        <f>Тўловлар[[#This Row],[Поддон]]*Тўловлар[[#This Row],[Поддон нархи]]</f>
        <v>0</v>
      </c>
      <c r="P72" s="30">
        <f>Тўловлар[[#This Row],[Жами сумма]]-Тўловлар[[#This Row],[Поддон пули]]</f>
        <v>12935000</v>
      </c>
      <c r="Q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" s="9" t="str">
        <f>IFERROR(INDEX(Мижозлар[Агент],MATCH($C72,Мижозлар[Расмий ном],0)),"")</f>
        <v>Темур</v>
      </c>
    </row>
    <row r="73" spans="1:19" ht="14.45" customHeight="1" x14ac:dyDescent="0.2">
      <c r="A73" s="7">
        <v>46223</v>
      </c>
      <c r="B73" s="8" t="s">
        <v>29</v>
      </c>
      <c r="C73" s="8" t="s">
        <v>98</v>
      </c>
      <c r="D73" s="9">
        <v>71748000</v>
      </c>
      <c r="E73" s="8" t="s">
        <v>317</v>
      </c>
      <c r="F73" s="198"/>
      <c r="G73" s="9">
        <f>Тўловлар[[#This Row],[Поддон]]*$G$3</f>
        <v>0</v>
      </c>
      <c r="K73" s="9">
        <f>SUM(Тўловлар[[#This Row],[ПР-Сумма]]+Тўловлар[[#This Row],[Накд]]+Тўловлар[[#This Row],[Клик]]+Тўловлар[[#This Row],[Терминал]])</f>
        <v>71748000</v>
      </c>
      <c r="L73" s="9" t="s">
        <v>271</v>
      </c>
      <c r="N73" s="30" cm="1">
        <f t="array" ref="N73">IFERROR(LOOKUP(2,1/((Товар!$D$4:$D$1110=Тўловлар[[#This Row],[Клиент]])*(Товар!$E$4:$E$1110&lt;=Тўловлар[[#This Row],[Дата]])),Товар!$L$4:$L$1110),Кўрсаткичлар!$B$4)</f>
        <v>130000</v>
      </c>
      <c r="O73" s="30">
        <f>Тўловлар[[#This Row],[Поддон]]*Тўловлар[[#This Row],[Поддон нархи]]</f>
        <v>0</v>
      </c>
      <c r="P73" s="30">
        <f>Тўловлар[[#This Row],[Жами сумма]]-Тўловлар[[#This Row],[Поддон пули]]</f>
        <v>71748000</v>
      </c>
      <c r="Q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" s="9" t="str">
        <f>IFERROR(INDEX(Мижозлар[Агент],MATCH($C73,Мижозлар[Расмий ном],0)),"")</f>
        <v>Зафар ога</v>
      </c>
    </row>
    <row r="74" spans="1:19" ht="14.45" customHeight="1" x14ac:dyDescent="0.2">
      <c r="A74" s="7">
        <v>46223</v>
      </c>
      <c r="B74" s="8" t="s">
        <v>36</v>
      </c>
      <c r="C74" s="8" t="s">
        <v>82</v>
      </c>
      <c r="D74" s="9">
        <v>40965000</v>
      </c>
      <c r="E74" s="8" t="s">
        <v>323</v>
      </c>
      <c r="F74" s="198"/>
      <c r="G74" s="9">
        <f>Тўловлар[[#This Row],[Поддон]]*$G$3</f>
        <v>0</v>
      </c>
      <c r="K74" s="9">
        <f>SUM(Тўловлар[[#This Row],[ПР-Сумма]]+Тўловлар[[#This Row],[Накд]]+Тўловлар[[#This Row],[Клик]]+Тўловлар[[#This Row],[Терминал]])</f>
        <v>40965000</v>
      </c>
      <c r="L74" s="9" t="s">
        <v>271</v>
      </c>
      <c r="N74" s="30" cm="1">
        <f t="array" ref="N74">IFERROR(LOOKUP(2,1/((Товар!$D$4:$D$1110=Тўловлар[[#This Row],[Клиент]])*(Товар!$E$4:$E$1110&lt;=Тўловлар[[#This Row],[Дата]])),Товар!$L$4:$L$1110),Кўрсаткичлар!$B$4)</f>
        <v>130000</v>
      </c>
      <c r="O74" s="30">
        <f>Тўловлар[[#This Row],[Поддон]]*Тўловлар[[#This Row],[Поддон нархи]]</f>
        <v>0</v>
      </c>
      <c r="P74" s="30">
        <f>Тўловлар[[#This Row],[Жами сумма]]-Тўловлар[[#This Row],[Поддон пули]]</f>
        <v>40965000</v>
      </c>
      <c r="Q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" s="9" t="str">
        <f>IFERROR(INDEX(Мижозлар[Агент],MATCH($C74,Мижозлар[Расмий ном],0)),"")</f>
        <v>Темур</v>
      </c>
    </row>
    <row r="75" spans="1:19" ht="14.45" customHeight="1" x14ac:dyDescent="0.2">
      <c r="A75" s="7">
        <v>46223</v>
      </c>
      <c r="B75" s="8" t="s">
        <v>32</v>
      </c>
      <c r="C75" s="8" t="s">
        <v>122</v>
      </c>
      <c r="F75" s="198"/>
      <c r="G75" s="9">
        <f>Тўловлар[[#This Row],[Поддон]]*$G$3</f>
        <v>0</v>
      </c>
      <c r="H75" s="9">
        <v>14024800</v>
      </c>
      <c r="K75" s="9">
        <f>SUM(Тўловлар[[#This Row],[ПР-Сумма]]+Тўловлар[[#This Row],[Накд]]+Тўловлар[[#This Row],[Клик]]+Тўловлар[[#This Row],[Терминал]])</f>
        <v>14024800</v>
      </c>
      <c r="L75" s="9" t="s">
        <v>41</v>
      </c>
      <c r="N75" s="30" cm="1">
        <f t="array" ref="N75">IFERROR(LOOKUP(2,1/((Товар!$D$4:$D$1110=Тўловлар[[#This Row],[Клиент]])*(Товар!$E$4:$E$1110&lt;=Тўловлар[[#This Row],[Дата]])),Товар!$L$4:$L$1110),Кўрсаткичлар!$B$4)</f>
        <v>130000</v>
      </c>
      <c r="O75" s="30">
        <f>Тўловлар[[#This Row],[Поддон]]*Тўловлар[[#This Row],[Поддон нархи]]</f>
        <v>0</v>
      </c>
      <c r="P75" s="30">
        <f>Тўловлар[[#This Row],[Жами сумма]]-Тўловлар[[#This Row],[Поддон пули]]</f>
        <v>14024800</v>
      </c>
      <c r="Q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" s="267" t="str">
        <f>IFERROR(INDEX(Мижозлар[Агент],MATCH($C75,Мижозлар[Расмий ном],0)),"")</f>
        <v>Сардор ога</v>
      </c>
    </row>
    <row r="76" spans="1:19" ht="14.45" customHeight="1" x14ac:dyDescent="0.2">
      <c r="A76" s="7">
        <v>46224</v>
      </c>
      <c r="B76" s="8" t="s">
        <v>32</v>
      </c>
      <c r="C76" s="8" t="s">
        <v>91</v>
      </c>
      <c r="D76" s="9">
        <v>40965000</v>
      </c>
      <c r="E76" s="8" t="s">
        <v>316</v>
      </c>
      <c r="F76" s="198"/>
      <c r="G76" s="9">
        <f>Тўловлар[[#This Row],[Поддон]]*$G$3</f>
        <v>0</v>
      </c>
      <c r="K76" s="9">
        <f>SUM(Тўловлар[[#This Row],[ПР-Сумма]]+Тўловлар[[#This Row],[Накд]]+Тўловлар[[#This Row],[Клик]]+Тўловлар[[#This Row],[Терминал]])</f>
        <v>40965000</v>
      </c>
      <c r="L76" s="9" t="s">
        <v>271</v>
      </c>
      <c r="N76" s="30" cm="1">
        <f t="array" ref="N76">IFERROR(LOOKUP(2,1/((Товар!$D$4:$D$1110=Тўловлар[[#This Row],[Клиент]])*(Товар!$E$4:$E$1110&lt;=Тўловлар[[#This Row],[Дата]])),Товар!$L$4:$L$1110),Кўрсаткичлар!$B$4)</f>
        <v>130000</v>
      </c>
      <c r="O76" s="30">
        <f>Тўловлар[[#This Row],[Поддон]]*Тўловлар[[#This Row],[Поддон нархи]]</f>
        <v>0</v>
      </c>
      <c r="P76" s="30">
        <f>Тўловлар[[#This Row],[Жами сумма]]-Тўловлар[[#This Row],[Поддон пули]]</f>
        <v>40965000</v>
      </c>
      <c r="Q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" s="9" t="str">
        <f>IFERROR(INDEX(Мижозлар[Агент],MATCH($C76,Мижозлар[Расмий ном],0)),"")</f>
        <v>Сардор ога</v>
      </c>
    </row>
    <row r="77" spans="1:19" ht="14.45" customHeight="1" x14ac:dyDescent="0.2">
      <c r="A77" s="7">
        <v>46224</v>
      </c>
      <c r="B77" s="8" t="s">
        <v>40</v>
      </c>
      <c r="C77" s="8" t="s">
        <v>80</v>
      </c>
      <c r="D77" s="9">
        <v>50000000</v>
      </c>
      <c r="E77" s="8" t="s">
        <v>287</v>
      </c>
      <c r="F77" s="198"/>
      <c r="G77" s="9">
        <f>Тўловлар[[#This Row],[Поддон]]*$G$3</f>
        <v>0</v>
      </c>
      <c r="K77" s="9">
        <f>SUM(Тўловлар[[#This Row],[ПР-Сумма]]+Тўловлар[[#This Row],[Накд]]+Тўловлар[[#This Row],[Клик]]+Тўловлар[[#This Row],[Терминал]])</f>
        <v>50000000</v>
      </c>
      <c r="L77" s="9" t="s">
        <v>271</v>
      </c>
      <c r="N77" s="30" cm="1">
        <f t="array" ref="N77">IFERROR(LOOKUP(2,1/((Товар!$D$4:$D$1110=Тўловлар[[#This Row],[Клиент]])*(Товар!$E$4:$E$1110&lt;=Тўловлар[[#This Row],[Дата]])),Товар!$L$4:$L$1110),Кўрсаткичлар!$B$4)</f>
        <v>130000</v>
      </c>
      <c r="O77" s="30">
        <f>Тўловлар[[#This Row],[Поддон]]*Тўловлар[[#This Row],[Поддон нархи]]</f>
        <v>0</v>
      </c>
      <c r="P77" s="30">
        <f>Тўловлар[[#This Row],[Жами сумма]]-Тўловлар[[#This Row],[Поддон пули]]</f>
        <v>50000000</v>
      </c>
      <c r="Q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" s="9" t="str">
        <f>IFERROR(INDEX(Мижозлар[Агент],MATCH($C77,Мижозлар[Расмий ном],0)),"")</f>
        <v>Шохрух ога</v>
      </c>
    </row>
    <row r="78" spans="1:19" ht="14.45" customHeight="1" x14ac:dyDescent="0.2">
      <c r="A78" s="7">
        <v>46224</v>
      </c>
      <c r="B78" s="8" t="s">
        <v>21</v>
      </c>
      <c r="C78" s="8" t="s">
        <v>116</v>
      </c>
      <c r="D78" s="9">
        <v>40000000</v>
      </c>
      <c r="E78" s="8" t="s">
        <v>294</v>
      </c>
      <c r="F78" s="198"/>
      <c r="G78" s="9">
        <f>Тўловлар[[#This Row],[Поддон]]*$G$3</f>
        <v>0</v>
      </c>
      <c r="K78" s="9">
        <f>SUM(Тўловлар[[#This Row],[ПР-Сумма]]+Тўловлар[[#This Row],[Накд]]+Тўловлар[[#This Row],[Клик]]+Тўловлар[[#This Row],[Терминал]])</f>
        <v>40000000</v>
      </c>
      <c r="L78" s="9" t="s">
        <v>271</v>
      </c>
      <c r="N78" s="30" cm="1">
        <f t="array" ref="N78">IFERROR(LOOKUP(2,1/((Товар!$D$4:$D$1110=Тўловлар[[#This Row],[Клиент]])*(Товар!$E$4:$E$1110&lt;=Тўловлар[[#This Row],[Дата]])),Товар!$L$4:$L$1110),Кўрсаткичлар!$B$4)</f>
        <v>130000</v>
      </c>
      <c r="O78" s="30">
        <f>Тўловлар[[#This Row],[Поддон]]*Тўловлар[[#This Row],[Поддон нархи]]</f>
        <v>0</v>
      </c>
      <c r="P78" s="30">
        <f>Тўловлар[[#This Row],[Жами сумма]]-Тўловлар[[#This Row],[Поддон пули]]</f>
        <v>40000000</v>
      </c>
      <c r="Q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" s="9" t="str">
        <f>IFERROR(INDEX(Мижозлар[Агент],MATCH($C78,Мижозлар[Расмий ном],0)),"")</f>
        <v>Арслон ога</v>
      </c>
    </row>
    <row r="79" spans="1:19" ht="14.45" customHeight="1" x14ac:dyDescent="0.2">
      <c r="A79" s="7">
        <v>46224</v>
      </c>
      <c r="B79" s="8" t="s">
        <v>36</v>
      </c>
      <c r="C79" s="8" t="s">
        <v>48</v>
      </c>
      <c r="D79" s="9">
        <v>61447200</v>
      </c>
      <c r="E79" s="8" t="s">
        <v>324</v>
      </c>
      <c r="F79" s="198"/>
      <c r="G79" s="9">
        <f>Тўловлар[[#This Row],[Поддон]]*$G$3</f>
        <v>0</v>
      </c>
      <c r="K79" s="9">
        <f>SUM(Тўловлар[[#This Row],[ПР-Сумма]]+Тўловлар[[#This Row],[Накд]]+Тўловлар[[#This Row],[Клик]]+Тўловлар[[#This Row],[Терминал]])</f>
        <v>61447200</v>
      </c>
      <c r="L79" s="9" t="s">
        <v>271</v>
      </c>
      <c r="N79" s="30" cm="1">
        <f t="array" ref="N79">IFERROR(LOOKUP(2,1/((Товар!$D$4:$D$1110=Тўловлар[[#This Row],[Клиент]])*(Товар!$E$4:$E$1110&lt;=Тўловлар[[#This Row],[Дата]])),Товар!$L$4:$L$1110),Кўрсаткичлар!$B$4)</f>
        <v>130000</v>
      </c>
      <c r="O79" s="30">
        <f>Тўловлар[[#This Row],[Поддон]]*Тўловлар[[#This Row],[Поддон нархи]]</f>
        <v>0</v>
      </c>
      <c r="P79" s="30">
        <f>Тўловлар[[#This Row],[Жами сумма]]-Тўловлар[[#This Row],[Поддон пули]]</f>
        <v>61447200</v>
      </c>
      <c r="Q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" s="9" t="str">
        <f>IFERROR(INDEX(Мижозлар[Агент],MATCH($C79,Мижозлар[Расмий ном],0)),"")</f>
        <v>Темур</v>
      </c>
    </row>
    <row r="80" spans="1:19" ht="14.45" customHeight="1" x14ac:dyDescent="0.2">
      <c r="A80" s="7">
        <v>46224</v>
      </c>
      <c r="B80" s="8" t="s">
        <v>32</v>
      </c>
      <c r="C80" s="8" t="s">
        <v>112</v>
      </c>
      <c r="D80" s="9">
        <v>0</v>
      </c>
      <c r="F80" s="198"/>
      <c r="G80" s="9">
        <f>Тўловлар[[#This Row],[Поддон]]*$G$3</f>
        <v>0</v>
      </c>
      <c r="H80" s="9">
        <v>18350000</v>
      </c>
      <c r="K80" s="9">
        <f>SUM(Тўловлар[[#This Row],[ПР-Сумма]]+Тўловлар[[#This Row],[Накд]]+Тўловлар[[#This Row],[Клик]]+Тўловлар[[#This Row],[Терминал]])</f>
        <v>18350000</v>
      </c>
      <c r="L80" s="9" t="s">
        <v>41</v>
      </c>
      <c r="N80" s="30" cm="1">
        <f t="array" ref="N80">IFERROR(LOOKUP(2,1/((Товар!$D$4:$D$1110=Тўловлар[[#This Row],[Клиент]])*(Товар!$E$4:$E$1110&lt;=Тўловлар[[#This Row],[Дата]])),Товар!$L$4:$L$1110),Кўрсаткичлар!$B$4)</f>
        <v>130000</v>
      </c>
      <c r="O80" s="30">
        <f>Тўловлар[[#This Row],[Поддон]]*Тўловлар[[#This Row],[Поддон нархи]]</f>
        <v>0</v>
      </c>
      <c r="P80" s="30">
        <f>Тўловлар[[#This Row],[Жами сумма]]-Тўловлар[[#This Row],[Поддон пули]]</f>
        <v>18350000</v>
      </c>
      <c r="Q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" s="9" t="str">
        <f>IFERROR(INDEX(Мижозлар[Агент],MATCH($C80,Мижозлар[Расмий ном],0)),"")</f>
        <v>Сардор ога</v>
      </c>
    </row>
    <row r="81" spans="1:19" ht="14.45" customHeight="1" x14ac:dyDescent="0.2">
      <c r="A81" s="7">
        <v>46225</v>
      </c>
      <c r="B81" s="8" t="s">
        <v>40</v>
      </c>
      <c r="C81" s="8" t="s">
        <v>87</v>
      </c>
      <c r="D81" s="9">
        <v>40000000</v>
      </c>
      <c r="E81" s="8" t="s">
        <v>325</v>
      </c>
      <c r="F81" s="198"/>
      <c r="G81" s="9">
        <f>Тўловлар[[#This Row],[Поддон]]*$G$3</f>
        <v>0</v>
      </c>
      <c r="K81" s="9">
        <f>SUM(Тўловлар[[#This Row],[ПР-Сумма]]+Тўловлар[[#This Row],[Накд]]+Тўловлар[[#This Row],[Клик]]+Тўловлар[[#This Row],[Терминал]])</f>
        <v>40000000</v>
      </c>
      <c r="L81" s="9" t="s">
        <v>271</v>
      </c>
      <c r="N81" s="30" cm="1">
        <f t="array" ref="N81">IFERROR(LOOKUP(2,1/((Товар!$D$4:$D$1110=Тўловлар[[#This Row],[Клиент]])*(Товар!$E$4:$E$1110&lt;=Тўловлар[[#This Row],[Дата]])),Товар!$L$4:$L$1110),Кўрсаткичлар!$B$4)</f>
        <v>130000</v>
      </c>
      <c r="O81" s="30">
        <f>Тўловлар[[#This Row],[Поддон]]*Тўловлар[[#This Row],[Поддон нархи]]</f>
        <v>0</v>
      </c>
      <c r="P81" s="30">
        <f>Тўловлар[[#This Row],[Жами сумма]]-Тўловлар[[#This Row],[Поддон пули]]</f>
        <v>40000000</v>
      </c>
      <c r="Q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" s="9" t="str">
        <f>IFERROR(INDEX(Мижозлар[Агент],MATCH($C81,Мижозлар[Расмий ном],0)),"")</f>
        <v>Шохрух ога</v>
      </c>
    </row>
    <row r="82" spans="1:19" x14ac:dyDescent="0.2">
      <c r="A82" s="7">
        <v>46226</v>
      </c>
      <c r="B82" s="8" t="s">
        <v>40</v>
      </c>
      <c r="C82" s="8" t="s">
        <v>119</v>
      </c>
      <c r="F82" s="198"/>
      <c r="G82" s="9">
        <f>Тўловлар[[#This Row],[Поддон]]*$G$3</f>
        <v>0</v>
      </c>
      <c r="H82" s="9">
        <v>835000</v>
      </c>
      <c r="K82" s="9">
        <f>SUM(Тўловлар[[#This Row],[ПР-Сумма]]+Тўловлар[[#This Row],[Накд]]+Тўловлар[[#This Row],[Клик]]+Тўловлар[[#This Row],[Терминал]])</f>
        <v>835000</v>
      </c>
      <c r="L82" s="9" t="s">
        <v>41</v>
      </c>
      <c r="N82" s="30" cm="1">
        <f t="array" ref="N82">IFERROR(LOOKUP(2,1/((Товар!$D$4:$D$1110=Тўловлар[[#This Row],[Клиент]])*(Товар!$E$4:$E$1110&lt;=Тўловлар[[#This Row],[Дата]])),Товар!$L$4:$L$1110),Кўрсаткичлар!$B$4)</f>
        <v>130000</v>
      </c>
      <c r="O82" s="30">
        <f>Тўловлар[[#This Row],[Поддон]]*Тўловлар[[#This Row],[Поддон нархи]]</f>
        <v>0</v>
      </c>
      <c r="P82" s="30">
        <f>Тўловлар[[#This Row],[Жами сумма]]-Тўловлар[[#This Row],[Поддон пули]]</f>
        <v>835000</v>
      </c>
      <c r="Q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" s="9" t="str">
        <f>IFERROR(INDEX(Мижозлар[Агент],MATCH($C82,Мижозлар[Расмий ном],0)),"")</f>
        <v>Шохрух ога</v>
      </c>
    </row>
    <row r="83" spans="1:19" x14ac:dyDescent="0.2">
      <c r="A83" s="7">
        <v>46227</v>
      </c>
      <c r="B83" s="8" t="s">
        <v>29</v>
      </c>
      <c r="C83" s="8" t="s">
        <v>98</v>
      </c>
      <c r="D83" s="9">
        <v>25000000</v>
      </c>
      <c r="E83" s="8" t="s">
        <v>309</v>
      </c>
      <c r="F83" s="198"/>
      <c r="G83" s="9">
        <f>Тўловлар[[#This Row],[Поддон]]*$G$3</f>
        <v>0</v>
      </c>
      <c r="K83" s="9">
        <f>SUM(Тўловлар[[#This Row],[ПР-Сумма]]+Тўловлар[[#This Row],[Накд]]+Тўловлар[[#This Row],[Клик]]+Тўловлар[[#This Row],[Терминал]])</f>
        <v>25000000</v>
      </c>
      <c r="L83" s="9" t="s">
        <v>271</v>
      </c>
      <c r="N83" s="30" cm="1">
        <f t="array" ref="N83">IFERROR(LOOKUP(2,1/((Товар!$D$4:$D$1110=Тўловлар[[#This Row],[Клиент]])*(Товар!$E$4:$E$1110&lt;=Тўловлар[[#This Row],[Дата]])),Товар!$L$4:$L$1110),Кўрсаткичлар!$B$4)</f>
        <v>130000</v>
      </c>
      <c r="O83" s="30">
        <f>Тўловлар[[#This Row],[Поддон]]*Тўловлар[[#This Row],[Поддон нархи]]</f>
        <v>0</v>
      </c>
      <c r="P83" s="30">
        <f>Тўловлар[[#This Row],[Жами сумма]]-Тўловлар[[#This Row],[Поддон пули]]</f>
        <v>25000000</v>
      </c>
      <c r="Q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" s="9" t="str">
        <f>IFERROR(INDEX(Мижозлар[Агент],MATCH($C83,Мижозлар[Расмий ном],0)),"")</f>
        <v>Зафар ога</v>
      </c>
    </row>
    <row r="84" spans="1:19" x14ac:dyDescent="0.2">
      <c r="A84" s="7">
        <v>46227</v>
      </c>
      <c r="B84" s="8" t="s">
        <v>29</v>
      </c>
      <c r="C84" s="8" t="s">
        <v>98</v>
      </c>
      <c r="D84" s="9">
        <v>20000000</v>
      </c>
      <c r="E84" s="8" t="s">
        <v>301</v>
      </c>
      <c r="F84" s="198"/>
      <c r="G84" s="9">
        <f>Тўловлар[[#This Row],[Поддон]]*$G$3</f>
        <v>0</v>
      </c>
      <c r="K84" s="9">
        <f>SUM(Тўловлар[[#This Row],[ПР-Сумма]]+Тўловлар[[#This Row],[Накд]]+Тўловлар[[#This Row],[Клик]]+Тўловлар[[#This Row],[Терминал]])</f>
        <v>20000000</v>
      </c>
      <c r="L84" s="9" t="s">
        <v>271</v>
      </c>
      <c r="N84" s="30" cm="1">
        <f t="array" ref="N84">IFERROR(LOOKUP(2,1/((Товар!$D$4:$D$1110=Тўловлар[[#This Row],[Клиент]])*(Товар!$E$4:$E$1110&lt;=Тўловлар[[#This Row],[Дата]])),Товар!$L$4:$L$1110),Кўрсаткичлар!$B$4)</f>
        <v>130000</v>
      </c>
      <c r="O84" s="30">
        <f>Тўловлар[[#This Row],[Поддон]]*Тўловлар[[#This Row],[Поддон нархи]]</f>
        <v>0</v>
      </c>
      <c r="P84" s="30">
        <f>Тўловлар[[#This Row],[Жами сумма]]-Тўловлар[[#This Row],[Поддон пули]]</f>
        <v>20000000</v>
      </c>
      <c r="Q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" s="9" t="str">
        <f>IFERROR(INDEX(Мижозлар[Агент],MATCH($C84,Мижозлар[Расмий ном],0)),"")</f>
        <v>Зафар ога</v>
      </c>
    </row>
    <row r="85" spans="1:19" x14ac:dyDescent="0.2">
      <c r="A85" s="7">
        <v>46227</v>
      </c>
      <c r="B85" s="8" t="s">
        <v>40</v>
      </c>
      <c r="C85" s="8" t="s">
        <v>87</v>
      </c>
      <c r="D85" s="9">
        <v>28704800</v>
      </c>
      <c r="E85" s="8" t="s">
        <v>282</v>
      </c>
      <c r="F85" s="198"/>
      <c r="G85" s="9">
        <f>Тўловлар[[#This Row],[Поддон]]*$G$3</f>
        <v>0</v>
      </c>
      <c r="K85" s="9">
        <f>SUM(Тўловлар[[#This Row],[ПР-Сумма]]+Тўловлар[[#This Row],[Накд]]+Тўловлар[[#This Row],[Клик]]+Тўловлар[[#This Row],[Терминал]])</f>
        <v>28704800</v>
      </c>
      <c r="L85" s="9" t="s">
        <v>271</v>
      </c>
      <c r="N85" s="30" cm="1">
        <f t="array" ref="N85">IFERROR(LOOKUP(2,1/((Товар!$D$4:$D$1110=Тўловлар[[#This Row],[Клиент]])*(Товар!$E$4:$E$1110&lt;=Тўловлар[[#This Row],[Дата]])),Товар!$L$4:$L$1110),Кўрсаткичлар!$B$4)</f>
        <v>130000</v>
      </c>
      <c r="O85" s="30">
        <f>Тўловлар[[#This Row],[Поддон]]*Тўловлар[[#This Row],[Поддон нархи]]</f>
        <v>0</v>
      </c>
      <c r="P85" s="30">
        <f>Тўловлар[[#This Row],[Жами сумма]]-Тўловлар[[#This Row],[Поддон пули]]</f>
        <v>28704800</v>
      </c>
      <c r="Q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" s="9" t="str">
        <f>IFERROR(INDEX(Мижозлар[Агент],MATCH($C85,Мижозлар[Расмий ном],0)),"")</f>
        <v>Шохрух ога</v>
      </c>
    </row>
    <row r="86" spans="1:19" x14ac:dyDescent="0.2">
      <c r="A86" s="7">
        <v>46227</v>
      </c>
      <c r="B86" s="8" t="s">
        <v>32</v>
      </c>
      <c r="C86" s="8" t="s">
        <v>91</v>
      </c>
      <c r="D86" s="9">
        <v>20482500</v>
      </c>
      <c r="E86" s="8" t="s">
        <v>316</v>
      </c>
      <c r="F86" s="198"/>
      <c r="G86" s="9">
        <f>Тўловлар[[#This Row],[Поддон]]*$G$3</f>
        <v>0</v>
      </c>
      <c r="K86" s="9">
        <f>SUM(Тўловлар[[#This Row],[ПР-Сумма]]+Тўловлар[[#This Row],[Накд]]+Тўловлар[[#This Row],[Клик]]+Тўловлар[[#This Row],[Терминал]])</f>
        <v>20482500</v>
      </c>
      <c r="L86" s="9" t="s">
        <v>271</v>
      </c>
      <c r="N86" s="30" cm="1">
        <f t="array" ref="N86">IFERROR(LOOKUP(2,1/((Товар!$D$4:$D$1110=Тўловлар[[#This Row],[Клиент]])*(Товар!$E$4:$E$1110&lt;=Тўловлар[[#This Row],[Дата]])),Товар!$L$4:$L$1110),Кўрсаткичлар!$B$4)</f>
        <v>130000</v>
      </c>
      <c r="O86" s="30">
        <f>Тўловлар[[#This Row],[Поддон]]*Тўловлар[[#This Row],[Поддон нархи]]</f>
        <v>0</v>
      </c>
      <c r="P86" s="30">
        <f>Тўловлар[[#This Row],[Жами сумма]]-Тўловлар[[#This Row],[Поддон пули]]</f>
        <v>20482500</v>
      </c>
      <c r="Q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" s="9" t="str">
        <f>IFERROR(INDEX(Мижозлар[Агент],MATCH($C86,Мижозлар[Расмий ном],0)),"")</f>
        <v>Сардор ога</v>
      </c>
    </row>
    <row r="87" spans="1:19" x14ac:dyDescent="0.2">
      <c r="A87" s="7">
        <v>46227</v>
      </c>
      <c r="B87" s="8" t="s">
        <v>32</v>
      </c>
      <c r="C87" s="8" t="s">
        <v>85</v>
      </c>
      <c r="D87" s="9">
        <v>40000000</v>
      </c>
      <c r="E87" s="8" t="s">
        <v>306</v>
      </c>
      <c r="F87" s="198"/>
      <c r="G87" s="9">
        <f>Тўловлар[[#This Row],[Поддон]]*$G$3</f>
        <v>0</v>
      </c>
      <c r="K87" s="9">
        <f>SUM(Тўловлар[[#This Row],[ПР-Сумма]]+Тўловлар[[#This Row],[Накд]]+Тўловлар[[#This Row],[Клик]]+Тўловлар[[#This Row],[Терминал]])</f>
        <v>40000000</v>
      </c>
      <c r="L87" s="9" t="s">
        <v>271</v>
      </c>
      <c r="N87" s="30" cm="1">
        <f t="array" ref="N87">IFERROR(LOOKUP(2,1/((Товар!$D$4:$D$1110=Тўловлар[[#This Row],[Клиент]])*(Товар!$E$4:$E$1110&lt;=Тўловлар[[#This Row],[Дата]])),Товар!$L$4:$L$1110),Кўрсаткичлар!$B$4)</f>
        <v>130000</v>
      </c>
      <c r="O87" s="30">
        <f>Тўловлар[[#This Row],[Поддон]]*Тўловлар[[#This Row],[Поддон нархи]]</f>
        <v>0</v>
      </c>
      <c r="P87" s="30">
        <f>Тўловлар[[#This Row],[Жами сумма]]-Тўловлар[[#This Row],[Поддон пули]]</f>
        <v>40000000</v>
      </c>
      <c r="Q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" s="9" t="str">
        <f>IFERROR(INDEX(Мижозлар[Агент],MATCH($C87,Мижозлар[Расмий ном],0)),"")</f>
        <v>Сардор ога</v>
      </c>
    </row>
    <row r="88" spans="1:19" x14ac:dyDescent="0.2">
      <c r="A88" s="7">
        <v>46227</v>
      </c>
      <c r="B88" s="8" t="s">
        <v>29</v>
      </c>
      <c r="C88" s="8" t="s">
        <v>98</v>
      </c>
      <c r="D88" s="9">
        <v>50000000</v>
      </c>
      <c r="E88" s="8" t="s">
        <v>309</v>
      </c>
      <c r="F88" s="198"/>
      <c r="G88" s="9">
        <f>Тўловлар[[#This Row],[Поддон]]*$G$3</f>
        <v>0</v>
      </c>
      <c r="K88" s="9">
        <f>SUM(Тўловлар[[#This Row],[ПР-Сумма]]+Тўловлар[[#This Row],[Накд]]+Тўловлар[[#This Row],[Клик]]+Тўловлар[[#This Row],[Терминал]])</f>
        <v>50000000</v>
      </c>
      <c r="L88" s="9" t="s">
        <v>271</v>
      </c>
      <c r="N88" s="30" cm="1">
        <f t="array" ref="N88">IFERROR(LOOKUP(2,1/((Товар!$D$4:$D$1110=Тўловлар[[#This Row],[Клиент]])*(Товар!$E$4:$E$1110&lt;=Тўловлар[[#This Row],[Дата]])),Товар!$L$4:$L$1110),Кўрсаткичлар!$B$4)</f>
        <v>130000</v>
      </c>
      <c r="O88" s="30">
        <f>Тўловлар[[#This Row],[Поддон]]*Тўловлар[[#This Row],[Поддон нархи]]</f>
        <v>0</v>
      </c>
      <c r="P88" s="30">
        <f>Тўловлар[[#This Row],[Жами сумма]]-Тўловлар[[#This Row],[Поддон пули]]</f>
        <v>50000000</v>
      </c>
      <c r="Q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" s="9" t="str">
        <f>IFERROR(INDEX(Мижозлар[Агент],MATCH($C88,Мижозлар[Расмий ном],0)),"")</f>
        <v>Зафар ога</v>
      </c>
    </row>
    <row r="89" spans="1:19" x14ac:dyDescent="0.2">
      <c r="A89" s="7">
        <v>46228</v>
      </c>
      <c r="B89" s="8" t="s">
        <v>36</v>
      </c>
      <c r="C89" s="8" t="s">
        <v>71</v>
      </c>
      <c r="D89" s="9">
        <v>20482000</v>
      </c>
      <c r="E89" s="8" t="s">
        <v>305</v>
      </c>
      <c r="F89" s="198"/>
      <c r="G89" s="9">
        <f>Тўловлар[[#This Row],[Поддон]]*$G$3</f>
        <v>0</v>
      </c>
      <c r="K89" s="9">
        <f>SUM(Тўловлар[[#This Row],[ПР-Сумма]]+Тўловлар[[#This Row],[Накд]]+Тўловлар[[#This Row],[Клик]]+Тўловлар[[#This Row],[Терминал]])</f>
        <v>20482000</v>
      </c>
      <c r="L89" s="9" t="s">
        <v>271</v>
      </c>
      <c r="N89" s="30" cm="1">
        <f t="array" ref="N89">IFERROR(LOOKUP(2,1/((Товар!$D$4:$D$1110=Тўловлар[[#This Row],[Клиент]])*(Товар!$E$4:$E$1110&lt;=Тўловлар[[#This Row],[Дата]])),Товар!$L$4:$L$1110),Кўрсаткичлар!$B$4)</f>
        <v>130000</v>
      </c>
      <c r="O89" s="30">
        <f>Тўловлар[[#This Row],[Поддон]]*Тўловлар[[#This Row],[Поддон нархи]]</f>
        <v>0</v>
      </c>
      <c r="P89" s="30">
        <f>Тўловлар[[#This Row],[Жами сумма]]-Тўловлар[[#This Row],[Поддон пули]]</f>
        <v>20482000</v>
      </c>
      <c r="Q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" s="9" t="str">
        <f>IFERROR(INDEX(Мижозлар[Агент],MATCH($C89,Мижозлар[Расмий ном],0)),"")</f>
        <v>Темур</v>
      </c>
    </row>
    <row r="90" spans="1:19" x14ac:dyDescent="0.2">
      <c r="A90" s="7">
        <v>46230</v>
      </c>
      <c r="B90" s="8" t="s">
        <v>21</v>
      </c>
      <c r="C90" s="8" t="s">
        <v>59</v>
      </c>
      <c r="D90" s="9">
        <v>20482400</v>
      </c>
      <c r="E90" s="8" t="s">
        <v>326</v>
      </c>
      <c r="F90" s="198"/>
      <c r="G90" s="9">
        <f>Тўловлар[[#This Row],[Поддон]]*$G$3</f>
        <v>0</v>
      </c>
      <c r="K90" s="9">
        <f>SUM(Тўловлар[[#This Row],[ПР-Сумма]]+Тўловлар[[#This Row],[Накд]]+Тўловлар[[#This Row],[Клик]]+Тўловлар[[#This Row],[Терминал]])</f>
        <v>20482400</v>
      </c>
      <c r="L90" s="9" t="s">
        <v>271</v>
      </c>
      <c r="N90" s="30" cm="1">
        <f t="array" ref="N90">IFERROR(LOOKUP(2,1/((Товар!$D$4:$D$1110=Тўловлар[[#This Row],[Клиент]])*(Товар!$E$4:$E$1110&lt;=Тўловлар[[#This Row],[Дата]])),Товар!$L$4:$L$1110),Кўрсаткичлар!$B$4)</f>
        <v>130000</v>
      </c>
      <c r="O90" s="30">
        <f>Тўловлар[[#This Row],[Поддон]]*Тўловлар[[#This Row],[Поддон нархи]]</f>
        <v>0</v>
      </c>
      <c r="P90" s="30">
        <f>Тўловлар[[#This Row],[Жами сумма]]-Тўловлар[[#This Row],[Поддон пули]]</f>
        <v>20482400</v>
      </c>
      <c r="Q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" s="9" t="str">
        <f>IFERROR(INDEX(Мижозлар[Агент],MATCH($C90,Мижозлар[Расмий ном],0)),"")</f>
        <v>Арслон ога</v>
      </c>
    </row>
    <row r="91" spans="1:19" x14ac:dyDescent="0.2">
      <c r="A91" s="7">
        <v>46230</v>
      </c>
      <c r="B91" s="8" t="s">
        <v>36</v>
      </c>
      <c r="C91" s="8" t="s">
        <v>45</v>
      </c>
      <c r="D91" s="9">
        <v>40964800</v>
      </c>
      <c r="E91" s="8" t="s">
        <v>318</v>
      </c>
      <c r="F91" s="198"/>
      <c r="G91" s="9">
        <f>Тўловлар[[#This Row],[Поддон]]*$G$3</f>
        <v>0</v>
      </c>
      <c r="K91" s="9">
        <f>SUM(Тўловлар[[#This Row],[ПР-Сумма]]+Тўловлар[[#This Row],[Накд]]+Тўловлар[[#This Row],[Клик]]+Тўловлар[[#This Row],[Терминал]])</f>
        <v>40964800</v>
      </c>
      <c r="L91" s="9" t="s">
        <v>271</v>
      </c>
      <c r="N91" s="30" cm="1">
        <f t="array" ref="N91">IFERROR(LOOKUP(2,1/((Товар!$D$4:$D$1110=Тўловлар[[#This Row],[Клиент]])*(Товар!$E$4:$E$1110&lt;=Тўловлар[[#This Row],[Дата]])),Товар!$L$4:$L$1110),Кўрсаткичлар!$B$4)</f>
        <v>130000</v>
      </c>
      <c r="O91" s="30">
        <f>Тўловлар[[#This Row],[Поддон]]*Тўловлар[[#This Row],[Поддон нархи]]</f>
        <v>0</v>
      </c>
      <c r="P91" s="30">
        <f>Тўловлар[[#This Row],[Жами сумма]]-Тўловлар[[#This Row],[Поддон пули]]</f>
        <v>40964800</v>
      </c>
      <c r="Q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" s="9" t="str">
        <f>IFERROR(INDEX(Мижозлар[Агент],MATCH($C91,Мижозлар[Расмий ном],0)),"")</f>
        <v>Темур</v>
      </c>
    </row>
    <row r="92" spans="1:19" x14ac:dyDescent="0.2">
      <c r="A92" s="7">
        <v>46230</v>
      </c>
      <c r="B92" s="8" t="s">
        <v>36</v>
      </c>
      <c r="C92" s="8" t="s">
        <v>82</v>
      </c>
      <c r="D92" s="9">
        <v>40965000</v>
      </c>
      <c r="E92" s="8" t="s">
        <v>304</v>
      </c>
      <c r="F92" s="198"/>
      <c r="G92" s="9">
        <f>Тўловлар[[#This Row],[Поддон]]*$G$3</f>
        <v>0</v>
      </c>
      <c r="K92" s="9">
        <f>SUM(Тўловлар[[#This Row],[ПР-Сумма]]+Тўловлар[[#This Row],[Накд]]+Тўловлар[[#This Row],[Клик]]+Тўловлар[[#This Row],[Терминал]])</f>
        <v>40965000</v>
      </c>
      <c r="L92" s="9" t="s">
        <v>271</v>
      </c>
      <c r="N92" s="30" cm="1">
        <f t="array" ref="N92">IFERROR(LOOKUP(2,1/((Товар!$D$4:$D$1110=Тўловлар[[#This Row],[Клиент]])*(Товар!$E$4:$E$1110&lt;=Тўловлар[[#This Row],[Дата]])),Товар!$L$4:$L$1110),Кўрсаткичлар!$B$4)</f>
        <v>130000</v>
      </c>
      <c r="O92" s="30">
        <f>Тўловлар[[#This Row],[Поддон]]*Тўловлар[[#This Row],[Поддон нархи]]</f>
        <v>0</v>
      </c>
      <c r="P92" s="30">
        <f>Тўловлар[[#This Row],[Жами сумма]]-Тўловлар[[#This Row],[Поддон пули]]</f>
        <v>40965000</v>
      </c>
      <c r="Q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" s="9" t="str">
        <f>IFERROR(INDEX(Мижозлар[Агент],MATCH($C92,Мижозлар[Расмий ном],0)),"")</f>
        <v>Темур</v>
      </c>
    </row>
    <row r="93" spans="1:19" x14ac:dyDescent="0.2">
      <c r="A93" s="7">
        <v>46230</v>
      </c>
      <c r="B93" s="8" t="s">
        <v>29</v>
      </c>
      <c r="C93" s="8" t="s">
        <v>23</v>
      </c>
      <c r="D93" s="9">
        <v>50000000</v>
      </c>
      <c r="E93" s="8" t="s">
        <v>327</v>
      </c>
      <c r="F93" s="198">
        <v>19</v>
      </c>
      <c r="G93" s="9">
        <f>Тўловлар[[#This Row],[Поддон]]*$G$3</f>
        <v>2470000</v>
      </c>
      <c r="K93" s="9">
        <f>SUM(Тўловлар[[#This Row],[ПР-Сумма]]+Тўловлар[[#This Row],[Накд]]+Тўловлар[[#This Row],[Клик]]+Тўловлар[[#This Row],[Терминал]])</f>
        <v>50000000</v>
      </c>
      <c r="L93" s="9" t="s">
        <v>271</v>
      </c>
      <c r="N93" s="30" cm="1">
        <f t="array" ref="N93">IFERROR(LOOKUP(2,1/((Товар!$D$4:$D$1110=Тўловлар[[#This Row],[Клиент]])*(Товар!$E$4:$E$1110&lt;=Тўловлар[[#This Row],[Дата]])),Товар!$L$4:$L$1110),Кўрсаткичлар!$B$4)</f>
        <v>130000</v>
      </c>
      <c r="O93" s="30">
        <f>Тўловлар[[#This Row],[Поддон]]*Тўловлар[[#This Row],[Поддон нархи]]</f>
        <v>2470000</v>
      </c>
      <c r="P93" s="30">
        <f>Тўловлар[[#This Row],[Жами сумма]]-Тўловлар[[#This Row],[Поддон пули]]</f>
        <v>47530000</v>
      </c>
      <c r="Q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" s="9" t="str">
        <f>IFERROR(INDEX(Мижозлар[Агент],MATCH($C93,Мижозлар[Расмий ном],0)),"")</f>
        <v>Зафар ога</v>
      </c>
    </row>
    <row r="94" spans="1:19" x14ac:dyDescent="0.2">
      <c r="A94" s="7">
        <v>46230</v>
      </c>
      <c r="B94" s="8" t="s">
        <v>36</v>
      </c>
      <c r="C94" s="8" t="s">
        <v>78</v>
      </c>
      <c r="D94" s="9">
        <v>20482400</v>
      </c>
      <c r="E94" s="8" t="s">
        <v>328</v>
      </c>
      <c r="F94" s="198"/>
      <c r="G94" s="9">
        <f>Тўловлар[[#This Row],[Поддон]]*$G$3</f>
        <v>0</v>
      </c>
      <c r="K94" s="9">
        <f>SUM(Тўловлар[[#This Row],[ПР-Сумма]]+Тўловлар[[#This Row],[Накд]]+Тўловлар[[#This Row],[Клик]]+Тўловлар[[#This Row],[Терминал]])</f>
        <v>20482400</v>
      </c>
      <c r="L94" s="9" t="s">
        <v>271</v>
      </c>
      <c r="N94" s="30" cm="1">
        <f t="array" ref="N94">IFERROR(LOOKUP(2,1/((Товар!$D$4:$D$1110=Тўловлар[[#This Row],[Клиент]])*(Товар!$E$4:$E$1110&lt;=Тўловлар[[#This Row],[Дата]])),Товар!$L$4:$L$1110),Кўрсаткичлар!$B$4)</f>
        <v>130000</v>
      </c>
      <c r="O94" s="30">
        <f>Тўловлар[[#This Row],[Поддон]]*Тўловлар[[#This Row],[Поддон нархи]]</f>
        <v>0</v>
      </c>
      <c r="P94" s="30">
        <f>Тўловлар[[#This Row],[Жами сумма]]-Тўловлар[[#This Row],[Поддон пули]]</f>
        <v>20482400</v>
      </c>
      <c r="Q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" s="9" t="str">
        <f>IFERROR(INDEX(Мижозлар[Агент],MATCH($C94,Мижозлар[Расмий ном],0)),"")</f>
        <v>Темур</v>
      </c>
    </row>
    <row r="95" spans="1:19" x14ac:dyDescent="0.2">
      <c r="A95" s="7">
        <v>46231</v>
      </c>
      <c r="B95" s="8" t="s">
        <v>36</v>
      </c>
      <c r="C95" s="8" t="s">
        <v>71</v>
      </c>
      <c r="D95" s="9">
        <v>20482000</v>
      </c>
      <c r="E95" s="8" t="s">
        <v>305</v>
      </c>
      <c r="F95" s="198"/>
      <c r="G95" s="9">
        <f>Тўловлар[[#This Row],[Поддон]]*$G$3</f>
        <v>0</v>
      </c>
      <c r="K95" s="9">
        <f>SUM(Тўловлар[[#This Row],[ПР-Сумма]]+Тўловлар[[#This Row],[Накд]]+Тўловлар[[#This Row],[Клик]]+Тўловлар[[#This Row],[Терминал]])</f>
        <v>20482000</v>
      </c>
      <c r="L95" s="9" t="s">
        <v>271</v>
      </c>
      <c r="N95" s="30" cm="1">
        <f t="array" ref="N95">IFERROR(LOOKUP(2,1/((Товар!$D$4:$D$1110=Тўловлар[[#This Row],[Клиент]])*(Товар!$E$4:$E$1110&lt;=Тўловлар[[#This Row],[Дата]])),Товар!$L$4:$L$1110),Кўрсаткичлар!$B$4)</f>
        <v>130000</v>
      </c>
      <c r="O95" s="30">
        <f>Тўловлар[[#This Row],[Поддон]]*Тўловлар[[#This Row],[Поддон нархи]]</f>
        <v>0</v>
      </c>
      <c r="P95" s="30">
        <f>Тўловлар[[#This Row],[Жами сумма]]-Тўловлар[[#This Row],[Поддон пули]]</f>
        <v>20482000</v>
      </c>
      <c r="Q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" s="9" t="str">
        <f>IFERROR(INDEX(Мижозлар[Агент],MATCH($C95,Мижозлар[Расмий ном],0)),"")</f>
        <v>Темур</v>
      </c>
    </row>
    <row r="96" spans="1:19" x14ac:dyDescent="0.2">
      <c r="A96" s="7">
        <v>46231</v>
      </c>
      <c r="B96" s="8" t="s">
        <v>32</v>
      </c>
      <c r="C96" s="8" t="s">
        <v>65</v>
      </c>
      <c r="D96" s="9">
        <v>81929000</v>
      </c>
      <c r="E96" s="8" t="s">
        <v>329</v>
      </c>
      <c r="F96" s="198"/>
      <c r="G96" s="9">
        <f>Тўловлар[[#This Row],[Поддон]]*$G$3</f>
        <v>0</v>
      </c>
      <c r="K96" s="9">
        <f>SUM(Тўловлар[[#This Row],[ПР-Сумма]]+Тўловлар[[#This Row],[Накд]]+Тўловлар[[#This Row],[Клик]]+Тўловлар[[#This Row],[Терминал]])</f>
        <v>81929000</v>
      </c>
      <c r="L96" s="9" t="s">
        <v>271</v>
      </c>
      <c r="N96" s="30" cm="1">
        <f t="array" ref="N96">IFERROR(LOOKUP(2,1/((Товар!$D$4:$D$1110=Тўловлар[[#This Row],[Клиент]])*(Товар!$E$4:$E$1110&lt;=Тўловлар[[#This Row],[Дата]])),Товар!$L$4:$L$1110),Кўрсаткичлар!$B$4)</f>
        <v>130000</v>
      </c>
      <c r="O96" s="30">
        <f>Тўловлар[[#This Row],[Поддон]]*Тўловлар[[#This Row],[Поддон нархи]]</f>
        <v>0</v>
      </c>
      <c r="P96" s="30">
        <f>Тўловлар[[#This Row],[Жами сумма]]-Тўловлар[[#This Row],[Поддон пули]]</f>
        <v>81929000</v>
      </c>
      <c r="Q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" s="9" t="str">
        <f>IFERROR(INDEX(Мижозлар[Агент],MATCH($C96,Мижозлар[Расмий ном],0)),"")</f>
        <v>Сардор ога</v>
      </c>
    </row>
    <row r="97" spans="1:19" x14ac:dyDescent="0.2">
      <c r="A97" s="7">
        <v>46231</v>
      </c>
      <c r="B97" s="8" t="s">
        <v>29</v>
      </c>
      <c r="C97" s="8" t="s">
        <v>98</v>
      </c>
      <c r="D97" s="9">
        <v>100000000</v>
      </c>
      <c r="E97" s="8" t="s">
        <v>296</v>
      </c>
      <c r="F97" s="198"/>
      <c r="G97" s="9">
        <f>Тўловлар[[#This Row],[Поддон]]*$G$3</f>
        <v>0</v>
      </c>
      <c r="K97" s="9">
        <f>SUM(Тўловлар[[#This Row],[ПР-Сумма]]+Тўловлар[[#This Row],[Накд]]+Тўловлар[[#This Row],[Клик]]+Тўловлар[[#This Row],[Терминал]])</f>
        <v>100000000</v>
      </c>
      <c r="L97" s="9" t="s">
        <v>271</v>
      </c>
      <c r="N97" s="30" cm="1">
        <f t="array" ref="N97">IFERROR(LOOKUP(2,1/((Товар!$D$4:$D$1110=Тўловлар[[#This Row],[Клиент]])*(Товар!$E$4:$E$1110&lt;=Тўловлар[[#This Row],[Дата]])),Товар!$L$4:$L$1110),Кўрсаткичлар!$B$4)</f>
        <v>130000</v>
      </c>
      <c r="O97" s="30">
        <f>Тўловлар[[#This Row],[Поддон]]*Тўловлар[[#This Row],[Поддон нархи]]</f>
        <v>0</v>
      </c>
      <c r="P97" s="30">
        <f>Тўловлар[[#This Row],[Жами сумма]]-Тўловлар[[#This Row],[Поддон пули]]</f>
        <v>100000000</v>
      </c>
      <c r="Q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" s="9" t="str">
        <f>IFERROR(INDEX(Мижозлар[Агент],MATCH($C97,Мижозлар[Расмий ном],0)),"")</f>
        <v>Зафар ога</v>
      </c>
    </row>
    <row r="98" spans="1:19" x14ac:dyDescent="0.2">
      <c r="A98" s="7">
        <v>46231</v>
      </c>
      <c r="B98" s="8" t="s">
        <v>29</v>
      </c>
      <c r="C98" s="8" t="s">
        <v>98</v>
      </c>
      <c r="D98" s="9">
        <v>-2671000</v>
      </c>
      <c r="E98" s="8" t="s">
        <v>296</v>
      </c>
      <c r="F98" s="198"/>
      <c r="G98" s="9">
        <f>Тўловлар[[#This Row],[Поддон]]*$G$3</f>
        <v>0</v>
      </c>
      <c r="K98" s="9">
        <f>SUM(Тўловлар[[#This Row],[ПР-Сумма]]+Тўловлар[[#This Row],[Накд]]+Тўловлар[[#This Row],[Клик]]+Тўловлар[[#This Row],[Терминал]])</f>
        <v>-2671000</v>
      </c>
      <c r="L98" s="9" t="s">
        <v>271</v>
      </c>
      <c r="N98" s="30" cm="1">
        <f t="array" ref="N98">IFERROR(LOOKUP(2,1/((Товар!$D$4:$D$1110=Тўловлар[[#This Row],[Клиент]])*(Товар!$E$4:$E$1110&lt;=Тўловлар[[#This Row],[Дата]])),Товар!$L$4:$L$1110),Кўрсаткичлар!$B$4)</f>
        <v>130000</v>
      </c>
      <c r="O98" s="30">
        <f>Тўловлар[[#This Row],[Поддон]]*Тўловлар[[#This Row],[Поддон нархи]]</f>
        <v>0</v>
      </c>
      <c r="P98" s="30">
        <f>Тўловлар[[#This Row],[Жами сумма]]-Тўловлар[[#This Row],[Поддон пули]]</f>
        <v>-2671000</v>
      </c>
      <c r="Q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" s="9" t="str">
        <f>IFERROR(INDEX(Мижозлар[Агент],MATCH($C98,Мижозлар[Расмий ном],0)),"")</f>
        <v>Зафар ога</v>
      </c>
    </row>
    <row r="99" spans="1:19" x14ac:dyDescent="0.2">
      <c r="A99" s="7">
        <v>46231</v>
      </c>
      <c r="B99" s="8" t="s">
        <v>29</v>
      </c>
      <c r="C99" s="8" t="s">
        <v>95</v>
      </c>
      <c r="D99" s="9">
        <v>2671000</v>
      </c>
      <c r="E99" s="8" t="s">
        <v>296</v>
      </c>
      <c r="F99" s="198"/>
      <c r="G99" s="9">
        <f>Тўловлар[[#This Row],[Поддон]]*$G$3</f>
        <v>0</v>
      </c>
      <c r="K99" s="9">
        <f>SUM(Тўловлар[[#This Row],[ПР-Сумма]]+Тўловлар[[#This Row],[Накд]]+Тўловлар[[#This Row],[Клик]]+Тўловлар[[#This Row],[Терминал]])</f>
        <v>2671000</v>
      </c>
      <c r="L99" s="9" t="s">
        <v>271</v>
      </c>
      <c r="N99" s="30" cm="1">
        <f t="array" ref="N99">IFERROR(LOOKUP(2,1/((Товар!$D$4:$D$1110=Тўловлар[[#This Row],[Клиент]])*(Товар!$E$4:$E$1110&lt;=Тўловлар[[#This Row],[Дата]])),Товар!$L$4:$L$1110),Кўрсаткичлар!$B$4)</f>
        <v>130000</v>
      </c>
      <c r="O99" s="30">
        <f>Тўловлар[[#This Row],[Поддон]]*Тўловлар[[#This Row],[Поддон нархи]]</f>
        <v>0</v>
      </c>
      <c r="P99" s="30">
        <f>Тўловлар[[#This Row],[Жами сумма]]-Тўловлар[[#This Row],[Поддон пули]]</f>
        <v>2671000</v>
      </c>
      <c r="Q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" s="9" t="str">
        <f>IFERROR(INDEX(Мижозлар[Агент],MATCH($C99,Мижозлар[Расмий ном],0)),"")</f>
        <v>Зафар ога</v>
      </c>
    </row>
    <row r="100" spans="1:19" x14ac:dyDescent="0.2">
      <c r="A100" s="7">
        <v>46231</v>
      </c>
      <c r="B100" s="8" t="s">
        <v>25</v>
      </c>
      <c r="C100" s="8" t="s">
        <v>114</v>
      </c>
      <c r="D100" s="9">
        <v>60000000</v>
      </c>
      <c r="E100" s="8" t="s">
        <v>291</v>
      </c>
      <c r="F100" s="198"/>
      <c r="G100" s="9">
        <f>Тўловлар[[#This Row],[Поддон]]*$G$3</f>
        <v>0</v>
      </c>
      <c r="K100" s="9">
        <f>SUM(Тўловлар[[#This Row],[ПР-Сумма]]+Тўловлар[[#This Row],[Накд]]+Тўловлар[[#This Row],[Клик]]+Тўловлар[[#This Row],[Терминал]])</f>
        <v>60000000</v>
      </c>
      <c r="L100" s="8" t="s">
        <v>271</v>
      </c>
      <c r="N100" s="30" cm="1">
        <f t="array" ref="N100">IFERROR(LOOKUP(2,1/((Товар!$D$4:$D$1110=Тўловлар[[#This Row],[Клиент]])*(Товар!$E$4:$E$1110&lt;=Тўловлар[[#This Row],[Дата]])),Товар!$L$4:$L$1110),Кўрсаткичлар!$B$4)</f>
        <v>130000</v>
      </c>
      <c r="O100" s="30">
        <f>Тўловлар[[#This Row],[Поддон]]*Тўловлар[[#This Row],[Поддон нархи]]</f>
        <v>0</v>
      </c>
      <c r="P100" s="30">
        <f>Тўловлар[[#This Row],[Жами сумма]]-Тўловлар[[#This Row],[Поддон пули]]</f>
        <v>60000000</v>
      </c>
      <c r="Q1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" s="9" t="str">
        <f>IFERROR(INDEX(Мижозлар[Агент],MATCH($C100,Мижозлар[Расмий ном],0)),"")</f>
        <v>Жамол 22-22</v>
      </c>
    </row>
    <row r="101" spans="1:19" x14ac:dyDescent="0.2">
      <c r="A101" s="7">
        <v>46232</v>
      </c>
      <c r="B101" s="8" t="s">
        <v>36</v>
      </c>
      <c r="C101" s="8" t="s">
        <v>78</v>
      </c>
      <c r="D101" s="9">
        <v>20482400</v>
      </c>
      <c r="E101" s="8" t="s">
        <v>328</v>
      </c>
      <c r="F101" s="198"/>
      <c r="G101" s="9">
        <f>Тўловлар[[#This Row],[Поддон]]*$G$3</f>
        <v>0</v>
      </c>
      <c r="K101" s="9">
        <f>SUM(Тўловлар[[#This Row],[ПР-Сумма]]+Тўловлар[[#This Row],[Накд]]+Тўловлар[[#This Row],[Клик]]+Тўловлар[[#This Row],[Терминал]])</f>
        <v>20482400</v>
      </c>
      <c r="L101" s="9" t="s">
        <v>271</v>
      </c>
      <c r="N101" s="30" cm="1">
        <f t="array" ref="N101">IFERROR(LOOKUP(2,1/((Товар!$D$4:$D$1110=Тўловлар[[#This Row],[Клиент]])*(Товар!$E$4:$E$1110&lt;=Тўловлар[[#This Row],[Дата]])),Товар!$L$4:$L$1110),Кўрсаткичлар!$B$4)</f>
        <v>130000</v>
      </c>
      <c r="O101" s="30">
        <f>Тўловлар[[#This Row],[Поддон]]*Тўловлар[[#This Row],[Поддон нархи]]</f>
        <v>0</v>
      </c>
      <c r="P101" s="30">
        <f>Тўловлар[[#This Row],[Жами сумма]]-Тўловлар[[#This Row],[Поддон пули]]</f>
        <v>20482400</v>
      </c>
      <c r="Q1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" s="9" t="str">
        <f>IFERROR(INDEX(Мижозлар[Агент],MATCH($C101,Мижозлар[Расмий ном],0)),"")</f>
        <v>Темур</v>
      </c>
    </row>
    <row r="102" spans="1:19" x14ac:dyDescent="0.2">
      <c r="A102" s="7">
        <v>46233</v>
      </c>
      <c r="B102" s="8" t="s">
        <v>29</v>
      </c>
      <c r="C102" s="8" t="s">
        <v>89</v>
      </c>
      <c r="D102" s="9">
        <v>40964800</v>
      </c>
      <c r="E102" s="8" t="s">
        <v>295</v>
      </c>
      <c r="F102" s="198"/>
      <c r="G102" s="9">
        <f>Тўловлар[[#This Row],[Поддон]]*$G$3</f>
        <v>0</v>
      </c>
      <c r="K102" s="9">
        <f>SUM(Тўловлар[[#This Row],[ПР-Сумма]]+Тўловлар[[#This Row],[Накд]]+Тўловлар[[#This Row],[Клик]]+Тўловлар[[#This Row],[Терминал]])</f>
        <v>40964800</v>
      </c>
      <c r="L102" s="9" t="s">
        <v>271</v>
      </c>
      <c r="N102" s="30" cm="1">
        <f t="array" ref="N102">IFERROR(LOOKUP(2,1/((Товар!$D$4:$D$1110=Тўловлар[[#This Row],[Клиент]])*(Товар!$E$4:$E$1110&lt;=Тўловлар[[#This Row],[Дата]])),Товар!$L$4:$L$1110),Кўрсаткичлар!$B$4)</f>
        <v>130000</v>
      </c>
      <c r="O102" s="30">
        <f>Тўловлар[[#This Row],[Поддон]]*Тўловлар[[#This Row],[Поддон нархи]]</f>
        <v>0</v>
      </c>
      <c r="P102" s="30">
        <f>Тўловлар[[#This Row],[Жами сумма]]-Тўловлар[[#This Row],[Поддон пули]]</f>
        <v>40964800</v>
      </c>
      <c r="Q1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" s="9" t="str">
        <f>IFERROR(INDEX(Мижозлар[Агент],MATCH($C102,Мижозлар[Расмий ном],0)),"")</f>
        <v>Зафар ога</v>
      </c>
    </row>
    <row r="103" spans="1:19" x14ac:dyDescent="0.2">
      <c r="A103" s="7">
        <v>46233</v>
      </c>
      <c r="B103" s="8" t="s">
        <v>29</v>
      </c>
      <c r="C103" s="8" t="s">
        <v>57</v>
      </c>
      <c r="D103" s="9">
        <v>300000000</v>
      </c>
      <c r="E103" s="8" t="s">
        <v>330</v>
      </c>
      <c r="F103" s="198">
        <v>157</v>
      </c>
      <c r="G103" s="9">
        <f>Тўловлар[[#This Row],[Поддон]]*$G$3</f>
        <v>20410000</v>
      </c>
      <c r="K103" s="9">
        <f>SUM(Тўловлар[[#This Row],[ПР-Сумма]]+Тўловлар[[#This Row],[Накд]]+Тўловлар[[#This Row],[Клик]]+Тўловлар[[#This Row],[Терминал]])</f>
        <v>300000000</v>
      </c>
      <c r="L103" s="9" t="s">
        <v>271</v>
      </c>
      <c r="N103" s="30" cm="1">
        <f t="array" ref="N103">IFERROR(LOOKUP(2,1/((Товар!$D$4:$D$1110=Тўловлар[[#This Row],[Клиент]])*(Товар!$E$4:$E$1110&lt;=Тўловлар[[#This Row],[Дата]])),Товар!$L$4:$L$1110),Кўрсаткичлар!$B$4)</f>
        <v>130000</v>
      </c>
      <c r="O103" s="30">
        <f>Тўловлар[[#This Row],[Поддон]]*Тўловлар[[#This Row],[Поддон нархи]]</f>
        <v>20410000</v>
      </c>
      <c r="P103" s="30">
        <f>Тўловлар[[#This Row],[Жами сумма]]-Тўловлар[[#This Row],[Поддон пули]]</f>
        <v>279590000</v>
      </c>
      <c r="Q1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" s="9" t="str">
        <f>IFERROR(INDEX(Мижозлар[Агент],MATCH($C103,Мижозлар[Расмий ном],0)),"")</f>
        <v>Зафар ога</v>
      </c>
    </row>
    <row r="104" spans="1:19" x14ac:dyDescent="0.2">
      <c r="A104" s="7">
        <v>46233</v>
      </c>
      <c r="B104" s="8" t="s">
        <v>36</v>
      </c>
      <c r="C104" s="8" t="s">
        <v>82</v>
      </c>
      <c r="D104" s="9">
        <v>41165000</v>
      </c>
      <c r="E104" s="8" t="s">
        <v>304</v>
      </c>
      <c r="F104" s="198"/>
      <c r="G104" s="9">
        <f>Тўловлар[[#This Row],[Поддон]]*$G$3</f>
        <v>0</v>
      </c>
      <c r="K104" s="9">
        <f>SUM(Тўловлар[[#This Row],[ПР-Сумма]]+Тўловлар[[#This Row],[Накд]]+Тўловлар[[#This Row],[Клик]]+Тўловлар[[#This Row],[Терминал]])</f>
        <v>41165000</v>
      </c>
      <c r="L104" s="9" t="s">
        <v>271</v>
      </c>
      <c r="N104" s="30" cm="1">
        <f t="array" ref="N104">IFERROR(LOOKUP(2,1/((Товар!$D$4:$D$1110=Тўловлар[[#This Row],[Клиент]])*(Товар!$E$4:$E$1110&lt;=Тўловлар[[#This Row],[Дата]])),Товар!$L$4:$L$1110),Кўрсаткичлар!$B$4)</f>
        <v>130000</v>
      </c>
      <c r="O104" s="30">
        <f>Тўловлар[[#This Row],[Поддон]]*Тўловлар[[#This Row],[Поддон нархи]]</f>
        <v>0</v>
      </c>
      <c r="P104" s="30">
        <f>Тўловлар[[#This Row],[Жами сумма]]-Тўловлар[[#This Row],[Поддон пули]]</f>
        <v>41165000</v>
      </c>
      <c r="Q1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" s="9" t="str">
        <f>IFERROR(INDEX(Мижозлар[Агент],MATCH($C104,Мижозлар[Расмий ном],0)),"")</f>
        <v>Темур</v>
      </c>
    </row>
    <row r="105" spans="1:19" x14ac:dyDescent="0.2">
      <c r="A105" s="7">
        <v>46233</v>
      </c>
      <c r="B105" s="8" t="s">
        <v>25</v>
      </c>
      <c r="C105" s="8" t="s">
        <v>53</v>
      </c>
      <c r="D105" s="9">
        <v>100000000</v>
      </c>
      <c r="E105" s="8" t="s">
        <v>291</v>
      </c>
      <c r="F105" s="198"/>
      <c r="G105" s="9">
        <f>Тўловлар[[#This Row],[Поддон]]*$G$3</f>
        <v>0</v>
      </c>
      <c r="K105" s="9">
        <f>SUM(Тўловлар[[#This Row],[ПР-Сумма]]+Тўловлар[[#This Row],[Накд]]+Тўловлар[[#This Row],[Клик]]+Тўловлар[[#This Row],[Терминал]])</f>
        <v>100000000</v>
      </c>
      <c r="L105" s="9" t="s">
        <v>271</v>
      </c>
      <c r="N105" s="30" cm="1">
        <f t="array" ref="N105">IFERROR(LOOKUP(2,1/((Товар!$D$4:$D$1110=Тўловлар[[#This Row],[Клиент]])*(Товар!$E$4:$E$1110&lt;=Тўловлар[[#This Row],[Дата]])),Товар!$L$4:$L$1110),Кўрсаткичлар!$B$4)</f>
        <v>130000</v>
      </c>
      <c r="O105" s="30">
        <f>Тўловлар[[#This Row],[Поддон]]*Тўловлар[[#This Row],[Поддон нархи]]</f>
        <v>0</v>
      </c>
      <c r="P105" s="30">
        <f>Тўловлар[[#This Row],[Жами сумма]]-Тўловлар[[#This Row],[Поддон пули]]</f>
        <v>100000000</v>
      </c>
      <c r="Q1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" s="9" t="str">
        <f>IFERROR(INDEX(Мижозлар[Агент],MATCH($C105,Мижозлар[Расмий ном],0)),"")</f>
        <v>Жамол 22-22</v>
      </c>
    </row>
    <row r="106" spans="1:19" x14ac:dyDescent="0.2">
      <c r="A106" s="7">
        <v>46234</v>
      </c>
      <c r="B106" s="8" t="s">
        <v>32</v>
      </c>
      <c r="C106" s="8" t="s">
        <v>107</v>
      </c>
      <c r="D106" s="9">
        <v>46104800</v>
      </c>
      <c r="E106" s="8" t="s">
        <v>302</v>
      </c>
      <c r="F106" s="198">
        <v>38</v>
      </c>
      <c r="G106" s="9">
        <f>Тўловлар[[#This Row],[Поддон]]*$G$3</f>
        <v>4940000</v>
      </c>
      <c r="K106" s="9">
        <f>SUM(Тўловлар[[#This Row],[ПР-Сумма]]+Тўловлар[[#This Row],[Накд]]+Тўловлар[[#This Row],[Клик]]+Тўловлар[[#This Row],[Терминал]])</f>
        <v>46104800</v>
      </c>
      <c r="L106" s="9" t="s">
        <v>271</v>
      </c>
      <c r="N106" s="30" cm="1">
        <f t="array" ref="N106">IFERROR(LOOKUP(2,1/((Товар!$D$4:$D$1110=Тўловлар[[#This Row],[Клиент]])*(Товар!$E$4:$E$1110&lt;=Тўловлар[[#This Row],[Дата]])),Товар!$L$4:$L$1110),Кўрсаткичлар!$B$4)</f>
        <v>130000</v>
      </c>
      <c r="O106" s="30">
        <f>Тўловлар[[#This Row],[Поддон]]*Тўловлар[[#This Row],[Поддон нархи]]</f>
        <v>4940000</v>
      </c>
      <c r="P106" s="30">
        <f>Тўловлар[[#This Row],[Жами сумма]]-Тўловлар[[#This Row],[Поддон пули]]</f>
        <v>41164800</v>
      </c>
      <c r="Q1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6" s="9" t="str">
        <f>IFERROR(INDEX(Мижозлар[Агент],MATCH($C106,Мижозлар[Расмий ном],0)),"")</f>
        <v>Сардор ога</v>
      </c>
    </row>
    <row r="107" spans="1:19" x14ac:dyDescent="0.2">
      <c r="A107" s="7">
        <v>46234</v>
      </c>
      <c r="B107" s="8" t="s">
        <v>25</v>
      </c>
      <c r="C107" s="8" t="s">
        <v>103</v>
      </c>
      <c r="D107" s="9">
        <v>40000000</v>
      </c>
      <c r="E107" s="8" t="s">
        <v>291</v>
      </c>
      <c r="F107" s="198"/>
      <c r="G107" s="9">
        <f>Тўловлар[[#This Row],[Поддон]]*$G$3</f>
        <v>0</v>
      </c>
      <c r="K107" s="9">
        <f>SUM(Тўловлар[[#This Row],[ПР-Сумма]]+Тўловлар[[#This Row],[Накд]]+Тўловлар[[#This Row],[Клик]]+Тўловлар[[#This Row],[Терминал]])</f>
        <v>40000000</v>
      </c>
      <c r="L107" s="9" t="s">
        <v>271</v>
      </c>
      <c r="N107" s="30" cm="1">
        <f t="array" ref="N107">IFERROR(LOOKUP(2,1/((Товар!$D$4:$D$1110=Тўловлар[[#This Row],[Клиент]])*(Товар!$E$4:$E$1110&lt;=Тўловлар[[#This Row],[Дата]])),Товар!$L$4:$L$1110),Кўрсаткичлар!$B$4)</f>
        <v>130000</v>
      </c>
      <c r="O107" s="30">
        <f>Тўловлар[[#This Row],[Поддон]]*Тўловлар[[#This Row],[Поддон нархи]]</f>
        <v>0</v>
      </c>
      <c r="P107" s="30">
        <f>Тўловлар[[#This Row],[Жами сумма]]-Тўловлар[[#This Row],[Поддон пули]]</f>
        <v>40000000</v>
      </c>
      <c r="Q1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7" s="9" t="str">
        <f>IFERROR(INDEX(Мижозлар[Агент],MATCH($C107,Мижозлар[Расмий ном],0)),"")</f>
        <v>Жамол 22-22</v>
      </c>
    </row>
    <row r="108" spans="1:19" x14ac:dyDescent="0.2">
      <c r="A108" s="7">
        <v>46234</v>
      </c>
      <c r="B108" s="8" t="s">
        <v>36</v>
      </c>
      <c r="C108" s="8" t="s">
        <v>82</v>
      </c>
      <c r="D108" s="9">
        <v>4940000</v>
      </c>
      <c r="E108" s="8" t="s">
        <v>304</v>
      </c>
      <c r="F108" s="198">
        <v>38</v>
      </c>
      <c r="G108" s="9">
        <f>Тўловлар[[#This Row],[Поддон]]*$G$3</f>
        <v>4940000</v>
      </c>
      <c r="K108" s="9">
        <f>SUM(Тўловлар[[#This Row],[ПР-Сумма]]+Тўловлар[[#This Row],[Накд]]+Тўловлар[[#This Row],[Клик]]+Тўловлар[[#This Row],[Терминал]])</f>
        <v>4940000</v>
      </c>
      <c r="L108" s="9" t="s">
        <v>271</v>
      </c>
      <c r="M108" s="8" t="s">
        <v>331</v>
      </c>
      <c r="N108" s="30" cm="1">
        <f t="array" ref="N108">IFERROR(LOOKUP(2,1/((Товар!$D$4:$D$1110=Тўловлар[[#This Row],[Клиент]])*(Товар!$E$4:$E$1110&lt;=Тўловлар[[#This Row],[Дата]])),Товар!$L$4:$L$1110),Кўрсаткичлар!$B$4)</f>
        <v>130000</v>
      </c>
      <c r="O108" s="30">
        <f>Тўловлар[[#This Row],[Поддон]]*Тўловлар[[#This Row],[Поддон нархи]]</f>
        <v>4940000</v>
      </c>
      <c r="P108" s="30">
        <f>Тўловлар[[#This Row],[Жами сумма]]-Тўловлар[[#This Row],[Поддон пули]]</f>
        <v>0</v>
      </c>
      <c r="Q1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8" s="9" t="str">
        <f>IFERROR(INDEX(Мижозлар[Агент],MATCH($C108,Мижозлар[Расмий ном],0)),"")</f>
        <v>Темур</v>
      </c>
    </row>
    <row r="109" spans="1:19" x14ac:dyDescent="0.2">
      <c r="A109" s="7">
        <v>46237</v>
      </c>
      <c r="B109" s="8" t="s">
        <v>29</v>
      </c>
      <c r="C109" s="8" t="s">
        <v>95</v>
      </c>
      <c r="D109" s="9">
        <v>72887000</v>
      </c>
      <c r="E109" s="8" t="s">
        <v>317</v>
      </c>
      <c r="F109" s="198">
        <v>57</v>
      </c>
      <c r="G109" s="9">
        <f>Тўловлар[[#This Row],[Поддон]]*$G$3</f>
        <v>7410000</v>
      </c>
      <c r="K109" s="9">
        <f>SUM(Тўловлар[[#This Row],[ПР-Сумма]]+Тўловлар[[#This Row],[Накд]]+Тўловлар[[#This Row],[Клик]]+Тўловлар[[#This Row],[Терминал]])</f>
        <v>72887000</v>
      </c>
      <c r="L109" s="9" t="s">
        <v>271</v>
      </c>
      <c r="N109" s="30" cm="1">
        <f t="array" ref="N109">IFERROR(LOOKUP(2,1/((Товар!$D$4:$D$1110=Тўловлар[[#This Row],[Клиент]])*(Товар!$E$4:$E$1110&lt;=Тўловлар[[#This Row],[Дата]])),Товар!$L$4:$L$1110),Кўрсаткичлар!$B$4)</f>
        <v>130000</v>
      </c>
      <c r="O109" s="30">
        <f>Тўловлар[[#This Row],[Поддон]]*Тўловлар[[#This Row],[Поддон нархи]]</f>
        <v>7410000</v>
      </c>
      <c r="P109" s="30">
        <f>Тўловлар[[#This Row],[Жами сумма]]-Тўловлар[[#This Row],[Поддон пули]]</f>
        <v>65477000</v>
      </c>
      <c r="Q1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9" s="9" t="str">
        <f>IFERROR(INDEX(Мижозлар[Агент],MATCH($C109,Мижозлар[Расмий ном],0)),"")</f>
        <v>Зафар ога</v>
      </c>
    </row>
    <row r="110" spans="1:19" x14ac:dyDescent="0.2">
      <c r="A110" s="7">
        <v>46237</v>
      </c>
      <c r="B110" s="8" t="s">
        <v>32</v>
      </c>
      <c r="C110" s="8" t="s">
        <v>85</v>
      </c>
      <c r="D110" s="9">
        <v>45000000</v>
      </c>
      <c r="E110" s="8" t="s">
        <v>306</v>
      </c>
      <c r="F110" s="198"/>
      <c r="G110" s="9">
        <f>Тўловлар[[#This Row],[Поддон]]*$G$3</f>
        <v>0</v>
      </c>
      <c r="K110" s="9">
        <f>SUM(Тўловлар[[#This Row],[ПР-Сумма]]+Тўловлар[[#This Row],[Накд]]+Тўловлар[[#This Row],[Клик]]+Тўловлар[[#This Row],[Терминал]])</f>
        <v>45000000</v>
      </c>
      <c r="L110" s="9" t="s">
        <v>271</v>
      </c>
      <c r="N110" s="30" cm="1">
        <f t="array" ref="N110">IFERROR(LOOKUP(2,1/((Товар!$D$4:$D$1110=Тўловлар[[#This Row],[Клиент]])*(Товар!$E$4:$E$1110&lt;=Тўловлар[[#This Row],[Дата]])),Товар!$L$4:$L$1110),Кўрсаткичлар!$B$4)</f>
        <v>130000</v>
      </c>
      <c r="O110" s="30">
        <f>Тўловлар[[#This Row],[Поддон]]*Тўловлар[[#This Row],[Поддон нархи]]</f>
        <v>0</v>
      </c>
      <c r="P110" s="30">
        <f>Тўловлар[[#This Row],[Жами сумма]]-Тўловлар[[#This Row],[Поддон пули]]</f>
        <v>45000000</v>
      </c>
      <c r="Q1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0" s="9" t="str">
        <f>IFERROR(INDEX(Мижозлар[Агент],MATCH($C110,Мижозлар[Расмий ном],0)),"")</f>
        <v>Сардор ога</v>
      </c>
    </row>
    <row r="111" spans="1:19" x14ac:dyDescent="0.2">
      <c r="A111" s="7">
        <v>46237</v>
      </c>
      <c r="B111" s="8" t="s">
        <v>40</v>
      </c>
      <c r="C111" s="8" t="s">
        <v>87</v>
      </c>
      <c r="D111" s="9">
        <v>20482000</v>
      </c>
      <c r="E111" s="8" t="s">
        <v>282</v>
      </c>
      <c r="F111" s="198"/>
      <c r="G111" s="9">
        <f>Тўловлар[[#This Row],[Поддон]]*$G$3</f>
        <v>0</v>
      </c>
      <c r="K111" s="9">
        <f>SUM(Тўловлар[[#This Row],[ПР-Сумма]]+Тўловлар[[#This Row],[Накд]]+Тўловлар[[#This Row],[Клик]]+Тўловлар[[#This Row],[Терминал]])</f>
        <v>20482000</v>
      </c>
      <c r="L111" s="9" t="s">
        <v>271</v>
      </c>
      <c r="N111" s="30" cm="1">
        <f t="array" ref="N111">IFERROR(LOOKUP(2,1/((Товар!$D$4:$D$1110=Тўловлар[[#This Row],[Клиент]])*(Товар!$E$4:$E$1110&lt;=Тўловлар[[#This Row],[Дата]])),Товар!$L$4:$L$1110),Кўрсаткичлар!$B$4)</f>
        <v>130000</v>
      </c>
      <c r="O111" s="30">
        <f>Тўловлар[[#This Row],[Поддон]]*Тўловлар[[#This Row],[Поддон нархи]]</f>
        <v>0</v>
      </c>
      <c r="P111" s="30">
        <f>Тўловлар[[#This Row],[Жами сумма]]-Тўловлар[[#This Row],[Поддон пули]]</f>
        <v>20482000</v>
      </c>
      <c r="Q1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1" s="9" t="str">
        <f>IFERROR(INDEX(Мижозлар[Агент],MATCH($C111,Мижозлар[Расмий ном],0)),"")</f>
        <v>Шохрух ога</v>
      </c>
    </row>
    <row r="112" spans="1:19" x14ac:dyDescent="0.2">
      <c r="A112" s="7">
        <v>46237</v>
      </c>
      <c r="B112" s="8" t="s">
        <v>32</v>
      </c>
      <c r="C112" s="8" t="s">
        <v>63</v>
      </c>
      <c r="D112" s="9">
        <v>11623000</v>
      </c>
      <c r="E112" s="8" t="s">
        <v>63</v>
      </c>
      <c r="F112" s="198"/>
      <c r="G112" s="9">
        <f>Тўловлар[[#This Row],[Поддон]]*$G$3</f>
        <v>0</v>
      </c>
      <c r="K112" s="9">
        <f>SUM(Тўловлар[[#This Row],[ПР-Сумма]]+Тўловлар[[#This Row],[Накд]]+Тўловлар[[#This Row],[Клик]]+Тўловлар[[#This Row],[Терминал]])</f>
        <v>11623000</v>
      </c>
      <c r="L112" s="9" t="s">
        <v>271</v>
      </c>
      <c r="N112" s="30" cm="1">
        <f t="array" ref="N112">IFERROR(LOOKUP(2,1/((Товар!$D$4:$D$1110=Тўловлар[[#This Row],[Клиент]])*(Товар!$E$4:$E$1110&lt;=Тўловлар[[#This Row],[Дата]])),Товар!$L$4:$L$1110),Кўрсаткичлар!$B$4)</f>
        <v>130000</v>
      </c>
      <c r="O112" s="30">
        <f>Тўловлар[[#This Row],[Поддон]]*Тўловлар[[#This Row],[Поддон нархи]]</f>
        <v>0</v>
      </c>
      <c r="P112" s="30">
        <f>Тўловлар[[#This Row],[Жами сумма]]-Тўловлар[[#This Row],[Поддон пули]]</f>
        <v>11623000</v>
      </c>
      <c r="Q1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2" s="9" t="str">
        <f>IFERROR(INDEX(Мижозлар[Агент],MATCH($C112,Мижозлар[Расмий ном],0)),"")</f>
        <v>Сардор ога</v>
      </c>
    </row>
    <row r="113" spans="1:19" x14ac:dyDescent="0.2">
      <c r="A113" s="7">
        <v>46237</v>
      </c>
      <c r="B113" s="8" t="s">
        <v>36</v>
      </c>
      <c r="C113" s="8" t="s">
        <v>82</v>
      </c>
      <c r="D113" s="9">
        <v>41478080</v>
      </c>
      <c r="E113" s="8" t="s">
        <v>304</v>
      </c>
      <c r="F113" s="198"/>
      <c r="G113" s="9">
        <f>Тўловлар[[#This Row],[Поддон]]*$G$3</f>
        <v>0</v>
      </c>
      <c r="K113" s="9">
        <f>SUM(Тўловлар[[#This Row],[ПР-Сумма]]+Тўловлар[[#This Row],[Накд]]+Тўловлар[[#This Row],[Клик]]+Тўловлар[[#This Row],[Терминал]])</f>
        <v>41478080</v>
      </c>
      <c r="L113" s="9" t="s">
        <v>271</v>
      </c>
      <c r="N113" s="30" cm="1">
        <f t="array" ref="N113">IFERROR(LOOKUP(2,1/((Товар!$D$4:$D$1110=Тўловлар[[#This Row],[Клиент]])*(Товар!$E$4:$E$1110&lt;=Тўловлар[[#This Row],[Дата]])),Товар!$L$4:$L$1110),Кўрсаткичлар!$B$4)</f>
        <v>130000</v>
      </c>
      <c r="O113" s="30">
        <f>Тўловлар[[#This Row],[Поддон]]*Тўловлар[[#This Row],[Поддон нархи]]</f>
        <v>0</v>
      </c>
      <c r="P113" s="30">
        <f>Тўловлар[[#This Row],[Жами сумма]]-Тўловлар[[#This Row],[Поддон пули]]</f>
        <v>41478080</v>
      </c>
      <c r="Q1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3" s="9" t="str">
        <f>IFERROR(INDEX(Мижозлар[Агент],MATCH($C113,Мижозлар[Расмий ном],0)),"")</f>
        <v>Темур</v>
      </c>
    </row>
    <row r="114" spans="1:19" x14ac:dyDescent="0.2">
      <c r="A114" s="7">
        <v>46237</v>
      </c>
      <c r="B114" s="8" t="s">
        <v>36</v>
      </c>
      <c r="C114" s="8" t="s">
        <v>82</v>
      </c>
      <c r="D114" s="9">
        <v>4940000</v>
      </c>
      <c r="E114" s="8" t="s">
        <v>304</v>
      </c>
      <c r="F114" s="198">
        <v>38</v>
      </c>
      <c r="G114" s="9">
        <f>Тўловлар[[#This Row],[Поддон]]*$G$3</f>
        <v>4940000</v>
      </c>
      <c r="K114" s="9">
        <f>SUM(Тўловлар[[#This Row],[ПР-Сумма]]+Тўловлар[[#This Row],[Накд]]+Тўловлар[[#This Row],[Клик]]+Тўловлар[[#This Row],[Терминал]])</f>
        <v>4940000</v>
      </c>
      <c r="L114" s="9" t="s">
        <v>271</v>
      </c>
      <c r="M114" s="8" t="s">
        <v>331</v>
      </c>
      <c r="N114" s="30" cm="1">
        <f t="array" ref="N114">IFERROR(LOOKUP(2,1/((Товар!$D$4:$D$1110=Тўловлар[[#This Row],[Клиент]])*(Товар!$E$4:$E$1110&lt;=Тўловлар[[#This Row],[Дата]])),Товар!$L$4:$L$1110),Кўрсаткичлар!$B$4)</f>
        <v>130000</v>
      </c>
      <c r="O114" s="30">
        <f>Тўловлар[[#This Row],[Поддон]]*Тўловлар[[#This Row],[Поддон нархи]]</f>
        <v>4940000</v>
      </c>
      <c r="P114" s="30">
        <f>Тўловлар[[#This Row],[Жами сумма]]-Тўловлар[[#This Row],[Поддон пули]]</f>
        <v>0</v>
      </c>
      <c r="Q1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4" s="9" t="str">
        <f>IFERROR(INDEX(Мижозлар[Агент],MATCH($C114,Мижозлар[Расмий ном],0)),"")</f>
        <v>Темур</v>
      </c>
    </row>
    <row r="115" spans="1:19" x14ac:dyDescent="0.2">
      <c r="A115" s="7">
        <v>46239</v>
      </c>
      <c r="B115" s="8" t="s">
        <v>32</v>
      </c>
      <c r="C115" s="8" t="s">
        <v>65</v>
      </c>
      <c r="D115" s="9">
        <v>10366000</v>
      </c>
      <c r="E115" s="8" t="s">
        <v>332</v>
      </c>
      <c r="F115" s="198"/>
      <c r="G115" s="9">
        <f>Тўловлар[[#This Row],[Поддон]]*$G$3</f>
        <v>0</v>
      </c>
      <c r="K115" s="9">
        <f>SUM(Тўловлар[[#This Row],[ПР-Сумма]]+Тўловлар[[#This Row],[Накд]]+Тўловлар[[#This Row],[Клик]]+Тўловлар[[#This Row],[Терминал]])</f>
        <v>10366000</v>
      </c>
      <c r="L115" s="8" t="s">
        <v>271</v>
      </c>
      <c r="N115" s="30" cm="1">
        <f t="array" ref="N115">IFERROR(LOOKUP(2,1/((Товар!$D$4:$D$1110=Тўловлар[[#This Row],[Клиент]])*(Товар!$E$4:$E$1110&lt;=Тўловлар[[#This Row],[Дата]])),Товар!$L$4:$L$1110),Кўрсаткичлар!$B$4)</f>
        <v>130000</v>
      </c>
      <c r="O115" s="30">
        <f>Тўловлар[[#This Row],[Поддон]]*Тўловлар[[#This Row],[Поддон нархи]]</f>
        <v>0</v>
      </c>
      <c r="P115" s="30">
        <f>Тўловлар[[#This Row],[Жами сумма]]-Тўловлар[[#This Row],[Поддон пули]]</f>
        <v>10366000</v>
      </c>
      <c r="Q1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5" s="9" t="str">
        <f>IFERROR(INDEX(Мижозлар[Агент],MATCH($C115,Мижозлар[Расмий ном],0)),"")</f>
        <v>Сардор ога</v>
      </c>
    </row>
    <row r="116" spans="1:19" x14ac:dyDescent="0.2">
      <c r="A116" s="7">
        <v>46239</v>
      </c>
      <c r="B116" s="8" t="s">
        <v>32</v>
      </c>
      <c r="C116" s="8" t="s">
        <v>65</v>
      </c>
      <c r="D116" s="9">
        <v>84956000</v>
      </c>
      <c r="E116" s="8" t="s">
        <v>332</v>
      </c>
      <c r="F116" s="198">
        <v>117</v>
      </c>
      <c r="G116" s="9">
        <f>Тўловлар[[#This Row],[Поддон]]*$G$3</f>
        <v>15210000</v>
      </c>
      <c r="K116" s="9">
        <f>SUM(Тўловлар[[#This Row],[ПР-Сумма]]+Тўловлар[[#This Row],[Накд]]+Тўловлар[[#This Row],[Клик]]+Тўловлар[[#This Row],[Терминал]])</f>
        <v>84956000</v>
      </c>
      <c r="L116" s="8" t="s">
        <v>271</v>
      </c>
      <c r="N116" s="30" cm="1">
        <f t="array" ref="N116">IFERROR(LOOKUP(2,1/((Товар!$D$4:$D$1110=Тўловлар[[#This Row],[Клиент]])*(Товар!$E$4:$E$1110&lt;=Тўловлар[[#This Row],[Дата]])),Товар!$L$4:$L$1110),Кўрсаткичлар!$B$4)</f>
        <v>130000</v>
      </c>
      <c r="O116" s="30">
        <f>Тўловлар[[#This Row],[Поддон]]*Тўловлар[[#This Row],[Поддон нархи]]</f>
        <v>15210000</v>
      </c>
      <c r="P116" s="30">
        <f>Тўловлар[[#This Row],[Жами сумма]]-Тўловлар[[#This Row],[Поддон пули]]</f>
        <v>69746000</v>
      </c>
      <c r="Q1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6" s="9" t="str">
        <f>IFERROR(INDEX(Мижозлар[Агент],MATCH($C116,Мижозлар[Расмий ном],0)),"")</f>
        <v>Сардор ога</v>
      </c>
    </row>
    <row r="117" spans="1:19" x14ac:dyDescent="0.2">
      <c r="A117" s="7">
        <v>46239</v>
      </c>
      <c r="B117" s="8" t="s">
        <v>21</v>
      </c>
      <c r="C117" s="8" t="s">
        <v>59</v>
      </c>
      <c r="D117" s="9">
        <v>47418080</v>
      </c>
      <c r="E117" s="8" t="s">
        <v>333</v>
      </c>
      <c r="F117" s="198">
        <v>38</v>
      </c>
      <c r="G117" s="9">
        <f>Тўловлар[[#This Row],[Поддон]]*$G$3</f>
        <v>4940000</v>
      </c>
      <c r="K117" s="9">
        <f>SUM(Тўловлар[[#This Row],[ПР-Сумма]]+Тўловлар[[#This Row],[Накд]]+Тўловлар[[#This Row],[Клик]]+Тўловлар[[#This Row],[Терминал]])</f>
        <v>47418080</v>
      </c>
      <c r="L117" s="8" t="s">
        <v>334</v>
      </c>
      <c r="N117" s="30" cm="1">
        <f t="array" ref="N117">IFERROR(LOOKUP(2,1/((Товар!$D$4:$D$1110=Тўловлар[[#This Row],[Клиент]])*(Товар!$E$4:$E$1110&lt;=Тўловлар[[#This Row],[Дата]])),Товар!$L$4:$L$1110),Кўрсаткичлар!$B$4)</f>
        <v>130000</v>
      </c>
      <c r="O117" s="30">
        <f>Тўловлар[[#This Row],[Поддон]]*Тўловлар[[#This Row],[Поддон нархи]]</f>
        <v>4940000</v>
      </c>
      <c r="P117" s="30">
        <f>Тўловлар[[#This Row],[Жами сумма]]-Тўловлар[[#This Row],[Поддон пули]]</f>
        <v>42478080</v>
      </c>
      <c r="Q1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7" s="9" t="str">
        <f>IFERROR(INDEX(Мижозлар[Агент],MATCH($C117,Мижозлар[Расмий ном],0)),"")</f>
        <v>Арслон ога</v>
      </c>
    </row>
    <row r="118" spans="1:19" x14ac:dyDescent="0.2">
      <c r="A118" s="7">
        <v>46240</v>
      </c>
      <c r="B118" s="8" t="s">
        <v>36</v>
      </c>
      <c r="C118" s="8" t="s">
        <v>82</v>
      </c>
      <c r="D118" s="9">
        <v>41478080</v>
      </c>
      <c r="E118" s="8" t="s">
        <v>304</v>
      </c>
      <c r="F118" s="198"/>
      <c r="G118" s="9">
        <f>Тўловлар[[#This Row],[Поддон]]*$G$3</f>
        <v>0</v>
      </c>
      <c r="K118" s="9">
        <f>SUM(Тўловлар[[#This Row],[ПР-Сумма]]+Тўловлар[[#This Row],[Накд]]+Тўловлар[[#This Row],[Клик]]+Тўловлар[[#This Row],[Терминал]])</f>
        <v>41478080</v>
      </c>
      <c r="L118" s="8" t="s">
        <v>271</v>
      </c>
      <c r="N118" s="30" cm="1">
        <f t="array" ref="N118">IFERROR(LOOKUP(2,1/((Товар!$D$4:$D$1110=Тўловлар[[#This Row],[Клиент]])*(Товар!$E$4:$E$1110&lt;=Тўловлар[[#This Row],[Дата]])),Товар!$L$4:$L$1110),Кўрсаткичлар!$B$4)</f>
        <v>130000</v>
      </c>
      <c r="O118" s="30">
        <f>Тўловлар[[#This Row],[Поддон]]*Тўловлар[[#This Row],[Поддон нархи]]</f>
        <v>0</v>
      </c>
      <c r="P118" s="30">
        <f>Тўловлар[[#This Row],[Жами сумма]]-Тўловлар[[#This Row],[Поддон пули]]</f>
        <v>41478080</v>
      </c>
      <c r="Q1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8" s="9" t="str">
        <f>IFERROR(INDEX(Мижозлар[Агент],MATCH($C118,Мижозлар[Расмий ном],0)),"")</f>
        <v>Темур</v>
      </c>
    </row>
    <row r="119" spans="1:19" x14ac:dyDescent="0.2">
      <c r="A119" s="7">
        <v>46240</v>
      </c>
      <c r="B119" s="8" t="s">
        <v>36</v>
      </c>
      <c r="C119" s="8" t="s">
        <v>82</v>
      </c>
      <c r="D119" s="9">
        <v>4940000</v>
      </c>
      <c r="E119" s="8" t="s">
        <v>304</v>
      </c>
      <c r="F119" s="198">
        <v>38</v>
      </c>
      <c r="G119" s="9">
        <f>Тўловлар[[#This Row],[Поддон]]*$G$3</f>
        <v>4940000</v>
      </c>
      <c r="K119" s="9">
        <f>SUM(Тўловлар[[#This Row],[ПР-Сумма]]+Тўловлар[[#This Row],[Накд]]+Тўловлар[[#This Row],[Клик]]+Тўловлар[[#This Row],[Терминал]])</f>
        <v>4940000</v>
      </c>
      <c r="L119" s="8" t="s">
        <v>271</v>
      </c>
      <c r="N119" s="30" cm="1">
        <f t="array" ref="N119">IFERROR(LOOKUP(2,1/((Товар!$D$4:$D$1110=Тўловлар[[#This Row],[Клиент]])*(Товар!$E$4:$E$1110&lt;=Тўловлар[[#This Row],[Дата]])),Товар!$L$4:$L$1110),Кўрсаткичлар!$B$4)</f>
        <v>130000</v>
      </c>
      <c r="O119" s="30">
        <f>Тўловлар[[#This Row],[Поддон]]*Тўловлар[[#This Row],[Поддон нархи]]</f>
        <v>4940000</v>
      </c>
      <c r="P119" s="30">
        <f>Тўловлар[[#This Row],[Жами сумма]]-Тўловлар[[#This Row],[Поддон пули]]</f>
        <v>0</v>
      </c>
      <c r="Q1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19" s="9" t="str">
        <f>IFERROR(INDEX(Мижозлар[Агент],MATCH($C119,Мижозлар[Расмий ном],0)),"")</f>
        <v>Темур</v>
      </c>
    </row>
    <row r="120" spans="1:19" x14ac:dyDescent="0.2">
      <c r="A120" s="7">
        <v>46240</v>
      </c>
      <c r="B120" s="8" t="s">
        <v>29</v>
      </c>
      <c r="C120" s="8" t="s">
        <v>67</v>
      </c>
      <c r="D120" s="9">
        <v>50000000</v>
      </c>
      <c r="E120" s="8" t="s">
        <v>289</v>
      </c>
      <c r="F120" s="198">
        <v>38</v>
      </c>
      <c r="G120" s="9">
        <f>Тўловлар[[#This Row],[Поддон]]*$G$3</f>
        <v>4940000</v>
      </c>
      <c r="K120" s="9">
        <f>SUM(Тўловлар[[#This Row],[ПР-Сумма]]+Тўловлар[[#This Row],[Накд]]+Тўловлар[[#This Row],[Клик]]+Тўловлар[[#This Row],[Терминал]])</f>
        <v>50000000</v>
      </c>
      <c r="L120" s="8" t="s">
        <v>271</v>
      </c>
      <c r="N120" s="30" cm="1">
        <f t="array" ref="N120">IFERROR(LOOKUP(2,1/((Товар!$D$4:$D$1110=Тўловлар[[#This Row],[Клиент]])*(Товар!$E$4:$E$1110&lt;=Тўловлар[[#This Row],[Дата]])),Товар!$L$4:$L$1110),Кўрсаткичлар!$B$4)</f>
        <v>130000</v>
      </c>
      <c r="O120" s="30">
        <f>Тўловлар[[#This Row],[Поддон]]*Тўловлар[[#This Row],[Поддон нархи]]</f>
        <v>4940000</v>
      </c>
      <c r="P120" s="30">
        <f>Тўловлар[[#This Row],[Жами сумма]]-Тўловлар[[#This Row],[Поддон пули]]</f>
        <v>45060000</v>
      </c>
      <c r="Q1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0" s="9" t="str">
        <f>IFERROR(INDEX(Мижозлар[Агент],MATCH($C120,Мижозлар[Расмий ном],0)),"")</f>
        <v>Зафар ога</v>
      </c>
    </row>
    <row r="121" spans="1:19" x14ac:dyDescent="0.2">
      <c r="A121" s="7">
        <v>46241</v>
      </c>
      <c r="B121" s="8" t="s">
        <v>32</v>
      </c>
      <c r="C121" s="8" t="s">
        <v>85</v>
      </c>
      <c r="D121" s="9">
        <v>25000000</v>
      </c>
      <c r="E121" s="8" t="s">
        <v>306</v>
      </c>
      <c r="F121" s="198">
        <v>19</v>
      </c>
      <c r="G121" s="9">
        <f>Тўловлар[[#This Row],[Поддон]]*$G$3</f>
        <v>2470000</v>
      </c>
      <c r="K121" s="9">
        <f>SUM(Тўловлар[[#This Row],[ПР-Сумма]]+Тўловлар[[#This Row],[Накд]]+Тўловлар[[#This Row],[Клик]]+Тўловлар[[#This Row],[Терминал]])</f>
        <v>25000000</v>
      </c>
      <c r="L121" s="8" t="s">
        <v>271</v>
      </c>
      <c r="N121" s="30" cm="1">
        <f t="array" ref="N121">IFERROR(LOOKUP(2,1/((Товар!$D$4:$D$1110=Тўловлар[[#This Row],[Клиент]])*(Товар!$E$4:$E$1110&lt;=Тўловлар[[#This Row],[Дата]])),Товар!$L$4:$L$1110),Кўрсаткичлар!$B$4)</f>
        <v>130000</v>
      </c>
      <c r="O121" s="30">
        <f>Тўловлар[[#This Row],[Поддон]]*Тўловлар[[#This Row],[Поддон нархи]]</f>
        <v>2470000</v>
      </c>
      <c r="P121" s="30">
        <f>Тўловлар[[#This Row],[Жами сумма]]-Тўловлар[[#This Row],[Поддон пули]]</f>
        <v>22530000</v>
      </c>
      <c r="Q1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1" s="9" t="str">
        <f>IFERROR(INDEX(Мижозлар[Агент],MATCH($C121,Мижозлар[Расмий ном],0)),"")</f>
        <v>Сардор ога</v>
      </c>
    </row>
    <row r="122" spans="1:19" x14ac:dyDescent="0.2">
      <c r="A122" s="7">
        <v>46244</v>
      </c>
      <c r="B122" s="8" t="s">
        <v>36</v>
      </c>
      <c r="C122" s="8" t="s">
        <v>82</v>
      </c>
      <c r="D122" s="9">
        <v>41478080</v>
      </c>
      <c r="E122" s="8" t="s">
        <v>304</v>
      </c>
      <c r="F122" s="198"/>
      <c r="G122" s="9">
        <f>Тўловлар[[#This Row],[Поддон]]*$G$3</f>
        <v>0</v>
      </c>
      <c r="K122" s="9">
        <f>SUM(Тўловлар[[#This Row],[ПР-Сумма]]+Тўловлар[[#This Row],[Накд]]+Тўловлар[[#This Row],[Клик]]+Тўловлар[[#This Row],[Терминал]])</f>
        <v>41478080</v>
      </c>
      <c r="L122" s="8" t="s">
        <v>271</v>
      </c>
      <c r="N122" s="30" cm="1">
        <f t="array" ref="N122">IFERROR(LOOKUP(2,1/((Товар!$D$4:$D$1110=Тўловлар[[#This Row],[Клиент]])*(Товар!$E$4:$E$1110&lt;=Тўловлар[[#This Row],[Дата]])),Товар!$L$4:$L$1110),Кўрсаткичлар!$B$4)</f>
        <v>130000</v>
      </c>
      <c r="O122" s="30">
        <f>Тўловлар[[#This Row],[Поддон]]*Тўловлар[[#This Row],[Поддон нархи]]</f>
        <v>0</v>
      </c>
      <c r="P122" s="30">
        <f>Тўловлар[[#This Row],[Жами сумма]]-Тўловлар[[#This Row],[Поддон пули]]</f>
        <v>41478080</v>
      </c>
      <c r="Q1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2" s="9" t="str">
        <f>IFERROR(INDEX(Мижозлар[Агент],MATCH($C122,Мижозлар[Расмий ном],0)),"")</f>
        <v>Темур</v>
      </c>
    </row>
    <row r="123" spans="1:19" x14ac:dyDescent="0.2">
      <c r="A123" s="7">
        <v>46244</v>
      </c>
      <c r="B123" s="8" t="s">
        <v>36</v>
      </c>
      <c r="C123" s="8" t="s">
        <v>82</v>
      </c>
      <c r="D123" s="9">
        <v>4940000</v>
      </c>
      <c r="E123" s="8" t="s">
        <v>304</v>
      </c>
      <c r="F123" s="198">
        <v>38</v>
      </c>
      <c r="G123" s="9">
        <f>Тўловлар[[#This Row],[Поддон]]*$G$3</f>
        <v>4940000</v>
      </c>
      <c r="K123" s="9">
        <f>SUM(Тўловлар[[#This Row],[ПР-Сумма]]+Тўловлар[[#This Row],[Накд]]+Тўловлар[[#This Row],[Клик]]+Тўловлар[[#This Row],[Терминал]])</f>
        <v>4940000</v>
      </c>
      <c r="L123" s="8" t="s">
        <v>271</v>
      </c>
      <c r="N123" s="30" cm="1">
        <f t="array" ref="N123">IFERROR(LOOKUP(2,1/((Товар!$D$4:$D$1110=Тўловлар[[#This Row],[Клиент]])*(Товар!$E$4:$E$1110&lt;=Тўловлар[[#This Row],[Дата]])),Товар!$L$4:$L$1110),Кўрсаткичлар!$B$4)</f>
        <v>130000</v>
      </c>
      <c r="O123" s="30">
        <f>Тўловлар[[#This Row],[Поддон]]*Тўловлар[[#This Row],[Поддон нархи]]</f>
        <v>4940000</v>
      </c>
      <c r="P123" s="30">
        <f>Тўловлар[[#This Row],[Жами сумма]]-Тўловлар[[#This Row],[Поддон пули]]</f>
        <v>0</v>
      </c>
      <c r="Q1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3" s="9" t="str">
        <f>IFERROR(INDEX(Мижозлар[Агент],MATCH($C123,Мижозлар[Расмий ном],0)),"")</f>
        <v>Темур</v>
      </c>
    </row>
    <row r="124" spans="1:19" x14ac:dyDescent="0.2">
      <c r="A124" s="7">
        <v>46244</v>
      </c>
      <c r="B124" s="8" t="s">
        <v>40</v>
      </c>
      <c r="C124" s="8" t="s">
        <v>87</v>
      </c>
      <c r="D124" s="9">
        <v>111974000</v>
      </c>
      <c r="E124" s="8" t="s">
        <v>282</v>
      </c>
      <c r="F124" s="198">
        <v>90</v>
      </c>
      <c r="G124" s="9">
        <f>Тўловлар[[#This Row],[Поддон]]*$G$3</f>
        <v>11700000</v>
      </c>
      <c r="K124" s="9">
        <f>SUM(Тўловлар[[#This Row],[ПР-Сумма]]+Тўловлар[[#This Row],[Накд]]+Тўловлар[[#This Row],[Клик]]+Тўловлар[[#This Row],[Терминал]])</f>
        <v>111974000</v>
      </c>
      <c r="L124" s="8" t="s">
        <v>271</v>
      </c>
      <c r="N124" s="30" cm="1">
        <f t="array" ref="N124">IFERROR(LOOKUP(2,1/((Товар!$D$4:$D$1110=Тўловлар[[#This Row],[Клиент]])*(Товар!$E$4:$E$1110&lt;=Тўловлар[[#This Row],[Дата]])),Товар!$L$4:$L$1110),Кўрсаткичлар!$B$4)</f>
        <v>130000</v>
      </c>
      <c r="O124" s="30">
        <f>Тўловлар[[#This Row],[Поддон]]*Тўловлар[[#This Row],[Поддон нархи]]</f>
        <v>11700000</v>
      </c>
      <c r="P124" s="30">
        <f>Тўловлар[[#This Row],[Жами сумма]]-Тўловлар[[#This Row],[Поддон пули]]</f>
        <v>100274000</v>
      </c>
      <c r="Q1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4" s="9" t="str">
        <f>IFERROR(INDEX(Мижозлар[Агент],MATCH($C124,Мижозлар[Расмий ном],0)),"")</f>
        <v>Шохрух ога</v>
      </c>
    </row>
    <row r="125" spans="1:19" x14ac:dyDescent="0.2">
      <c r="A125" s="7">
        <v>46244</v>
      </c>
      <c r="B125" s="8" t="s">
        <v>32</v>
      </c>
      <c r="C125" s="8" t="s">
        <v>107</v>
      </c>
      <c r="D125" s="9">
        <v>47415200</v>
      </c>
      <c r="E125" s="8" t="s">
        <v>302</v>
      </c>
      <c r="F125" s="198">
        <v>38</v>
      </c>
      <c r="G125" s="9">
        <f>Тўловлар[[#This Row],[Поддон]]*$G$3</f>
        <v>4940000</v>
      </c>
      <c r="K125" s="9">
        <f>SUM(Тўловлар[[#This Row],[ПР-Сумма]]+Тўловлар[[#This Row],[Накд]]+Тўловлар[[#This Row],[Клик]]+Тўловлар[[#This Row],[Терминал]])</f>
        <v>47415200</v>
      </c>
      <c r="L125" s="8" t="s">
        <v>271</v>
      </c>
      <c r="N125" s="30" cm="1">
        <f t="array" ref="N125">IFERROR(LOOKUP(2,1/((Товар!$D$4:$D$1110=Тўловлар[[#This Row],[Клиент]])*(Товар!$E$4:$E$1110&lt;=Тўловлар[[#This Row],[Дата]])),Товар!$L$4:$L$1110),Кўрсаткичлар!$B$4)</f>
        <v>130000</v>
      </c>
      <c r="O125" s="30">
        <f>Тўловлар[[#This Row],[Поддон]]*Тўловлар[[#This Row],[Поддон нархи]]</f>
        <v>4940000</v>
      </c>
      <c r="P125" s="30">
        <f>Тўловлар[[#This Row],[Жами сумма]]-Тўловлар[[#This Row],[Поддон пули]]</f>
        <v>42475200</v>
      </c>
      <c r="Q1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5" s="9" t="str">
        <f>IFERROR(INDEX(Мижозлар[Агент],MATCH($C125,Мижозлар[Расмий ном],0)),"")</f>
        <v>Сардор ога</v>
      </c>
    </row>
    <row r="126" spans="1:19" x14ac:dyDescent="0.2">
      <c r="A126" s="7">
        <v>46245</v>
      </c>
      <c r="B126" s="8" t="s">
        <v>32</v>
      </c>
      <c r="C126" s="8" t="s">
        <v>91</v>
      </c>
      <c r="D126" s="9">
        <v>23709000</v>
      </c>
      <c r="E126" s="8" t="s">
        <v>316</v>
      </c>
      <c r="F126" s="198">
        <v>19</v>
      </c>
      <c r="G126" s="9">
        <f>Тўловлар[[#This Row],[Поддон]]*$G$3</f>
        <v>2470000</v>
      </c>
      <c r="K126" s="9">
        <f>SUM(Тўловлар[[#This Row],[ПР-Сумма]]+Тўловлар[[#This Row],[Накд]]+Тўловлар[[#This Row],[Клик]]+Тўловлар[[#This Row],[Терминал]])</f>
        <v>23709000</v>
      </c>
      <c r="L126" s="8" t="s">
        <v>271</v>
      </c>
      <c r="N126" s="30" cm="1">
        <f t="array" ref="N126">IFERROR(LOOKUP(2,1/((Товар!$D$4:$D$1110=Тўловлар[[#This Row],[Клиент]])*(Товар!$E$4:$E$1110&lt;=Тўловлар[[#This Row],[Дата]])),Товар!$L$4:$L$1110),Кўрсаткичлар!$B$4)</f>
        <v>130000</v>
      </c>
      <c r="O126" s="30">
        <f>Тўловлар[[#This Row],[Поддон]]*Тўловлар[[#This Row],[Поддон нархи]]</f>
        <v>2470000</v>
      </c>
      <c r="P126" s="30">
        <f>Тўловлар[[#This Row],[Жами сумма]]-Тўловлар[[#This Row],[Поддон пули]]</f>
        <v>21239000</v>
      </c>
      <c r="Q1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6" s="9" t="str">
        <f>IFERROR(INDEX(Мижозлар[Агент],MATCH($C126,Мижозлар[Расмий ном],0)),"")</f>
        <v>Сардор ога</v>
      </c>
    </row>
    <row r="127" spans="1:19" x14ac:dyDescent="0.2">
      <c r="A127" s="7">
        <v>46246</v>
      </c>
      <c r="B127" s="8" t="s">
        <v>36</v>
      </c>
      <c r="C127" s="8" t="s">
        <v>48</v>
      </c>
      <c r="D127" s="9">
        <v>34000000</v>
      </c>
      <c r="E127" s="8" t="s">
        <v>324</v>
      </c>
      <c r="F127" s="198"/>
      <c r="G127" s="9">
        <f>Тўловлар[[#This Row],[Поддон]]*$G$3</f>
        <v>0</v>
      </c>
      <c r="K127" s="9">
        <f>SUM(Тўловлар[[#This Row],[ПР-Сумма]]+Тўловлар[[#This Row],[Накд]]+Тўловлар[[#This Row],[Клик]]+Тўловлар[[#This Row],[Терминал]])</f>
        <v>34000000</v>
      </c>
      <c r="L127" s="8" t="s">
        <v>271</v>
      </c>
      <c r="N127" s="30" cm="1">
        <f t="array" ref="N127">IFERROR(LOOKUP(2,1/((Товар!$D$4:$D$1110=Тўловлар[[#This Row],[Клиент]])*(Товар!$E$4:$E$1110&lt;=Тўловлар[[#This Row],[Дата]])),Товар!$L$4:$L$1110),Кўрсаткичлар!$B$4)</f>
        <v>130000</v>
      </c>
      <c r="O127" s="30">
        <f>Тўловлар[[#This Row],[Поддон]]*Тўловлар[[#This Row],[Поддон нархи]]</f>
        <v>0</v>
      </c>
      <c r="P127" s="30">
        <f>Тўловлар[[#This Row],[Жами сумма]]-Тўловлар[[#This Row],[Поддон пули]]</f>
        <v>34000000</v>
      </c>
      <c r="Q1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7" s="9" t="str">
        <f>IFERROR(INDEX(Мижозлар[Агент],MATCH($C127,Мижозлар[Расмий ном],0)),"")</f>
        <v>Темур</v>
      </c>
    </row>
    <row r="128" spans="1:19" x14ac:dyDescent="0.2">
      <c r="A128" s="7">
        <v>46246</v>
      </c>
      <c r="B128" s="8" t="s">
        <v>36</v>
      </c>
      <c r="C128" s="8" t="s">
        <v>82</v>
      </c>
      <c r="D128" s="9">
        <v>41478080</v>
      </c>
      <c r="E128" s="8" t="s">
        <v>304</v>
      </c>
      <c r="F128" s="198"/>
      <c r="G128" s="9">
        <f>Тўловлар[[#This Row],[Поддон]]*$G$3</f>
        <v>0</v>
      </c>
      <c r="K128" s="9">
        <f>SUM(Тўловлар[[#This Row],[ПР-Сумма]]+Тўловлар[[#This Row],[Накд]]+Тўловлар[[#This Row],[Клик]]+Тўловлар[[#This Row],[Терминал]])</f>
        <v>41478080</v>
      </c>
      <c r="L128" s="8" t="s">
        <v>271</v>
      </c>
      <c r="N128" s="30" cm="1">
        <f t="array" ref="N128">IFERROR(LOOKUP(2,1/((Товар!$D$4:$D$1110=Тўловлар[[#This Row],[Клиент]])*(Товар!$E$4:$E$1110&lt;=Тўловлар[[#This Row],[Дата]])),Товар!$L$4:$L$1110),Кўрсаткичлар!$B$4)</f>
        <v>130000</v>
      </c>
      <c r="O128" s="30">
        <f>Тўловлар[[#This Row],[Поддон]]*Тўловлар[[#This Row],[Поддон нархи]]</f>
        <v>0</v>
      </c>
      <c r="P128" s="30">
        <f>Тўловлар[[#This Row],[Жами сумма]]-Тўловлар[[#This Row],[Поддон пули]]</f>
        <v>41478080</v>
      </c>
      <c r="Q1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8" s="9" t="str">
        <f>IFERROR(INDEX(Мижозлар[Агент],MATCH($C128,Мижозлар[Расмий ном],0)),"")</f>
        <v>Темур</v>
      </c>
    </row>
    <row r="129" spans="1:19" x14ac:dyDescent="0.2">
      <c r="A129" s="7">
        <v>46246</v>
      </c>
      <c r="B129" s="8" t="s">
        <v>36</v>
      </c>
      <c r="C129" s="8" t="s">
        <v>82</v>
      </c>
      <c r="D129" s="9">
        <v>4940000</v>
      </c>
      <c r="E129" s="8" t="s">
        <v>304</v>
      </c>
      <c r="F129" s="198">
        <v>38</v>
      </c>
      <c r="G129" s="9">
        <f>Тўловлар[[#This Row],[Поддон]]*$G$3</f>
        <v>4940000</v>
      </c>
      <c r="K129" s="9">
        <f>SUM(Тўловлар[[#This Row],[ПР-Сумма]]+Тўловлар[[#This Row],[Накд]]+Тўловлар[[#This Row],[Клик]]+Тўловлар[[#This Row],[Терминал]])</f>
        <v>4940000</v>
      </c>
      <c r="L129" s="8" t="s">
        <v>271</v>
      </c>
      <c r="N129" s="30" cm="1">
        <f t="array" ref="N129">IFERROR(LOOKUP(2,1/((Товар!$D$4:$D$1110=Тўловлар[[#This Row],[Клиент]])*(Товар!$E$4:$E$1110&lt;=Тўловлар[[#This Row],[Дата]])),Товар!$L$4:$L$1110),Кўрсаткичлар!$B$4)</f>
        <v>130000</v>
      </c>
      <c r="O129" s="30">
        <f>Тўловлар[[#This Row],[Поддон]]*Тўловлар[[#This Row],[Поддон нархи]]</f>
        <v>4940000</v>
      </c>
      <c r="P129" s="30">
        <f>Тўловлар[[#This Row],[Жами сумма]]-Тўловлар[[#This Row],[Поддон пули]]</f>
        <v>0</v>
      </c>
      <c r="Q1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29" s="9" t="str">
        <f>IFERROR(INDEX(Мижозлар[Агент],MATCH($C129,Мижозлар[Расмий ном],0)),"")</f>
        <v>Темур</v>
      </c>
    </row>
    <row r="130" spans="1:19" x14ac:dyDescent="0.2">
      <c r="A130" s="7">
        <v>46246</v>
      </c>
      <c r="B130" s="8" t="s">
        <v>32</v>
      </c>
      <c r="C130" s="8" t="s">
        <v>85</v>
      </c>
      <c r="D130" s="9">
        <v>50000000</v>
      </c>
      <c r="E130" s="8" t="s">
        <v>321</v>
      </c>
      <c r="F130" s="198">
        <v>110</v>
      </c>
      <c r="G130" s="9">
        <f>Тўловлар[[#This Row],[Поддон]]*$G$3</f>
        <v>14300000</v>
      </c>
      <c r="K130" s="9">
        <f>SUM(Тўловлар[[#This Row],[ПР-Сумма]]+Тўловлар[[#This Row],[Накд]]+Тўловлар[[#This Row],[Клик]]+Тўловлар[[#This Row],[Терминал]])</f>
        <v>50000000</v>
      </c>
      <c r="L130" s="8" t="s">
        <v>271</v>
      </c>
      <c r="N130" s="30" cm="1">
        <f t="array" ref="N130">IFERROR(LOOKUP(2,1/((Товар!$D$4:$D$1110=Тўловлар[[#This Row],[Клиент]])*(Товар!$E$4:$E$1110&lt;=Тўловлар[[#This Row],[Дата]])),Товар!$L$4:$L$1110),Кўрсаткичлар!$B$4)</f>
        <v>130000</v>
      </c>
      <c r="O130" s="30">
        <f>Тўловлар[[#This Row],[Поддон]]*Тўловлар[[#This Row],[Поддон нархи]]</f>
        <v>14300000</v>
      </c>
      <c r="P130" s="30">
        <f>Тўловлар[[#This Row],[Жами сумма]]-Тўловлар[[#This Row],[Поддон пули]]</f>
        <v>35700000</v>
      </c>
      <c r="Q1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0" s="9" t="str">
        <f>IFERROR(INDEX(Мижозлар[Агент],MATCH($C130,Мижозлар[Расмий ном],0)),"")</f>
        <v>Сардор ога</v>
      </c>
    </row>
    <row r="131" spans="1:19" x14ac:dyDescent="0.2">
      <c r="A131" s="7">
        <v>46246</v>
      </c>
      <c r="B131" s="8" t="s">
        <v>21</v>
      </c>
      <c r="C131" s="8" t="s">
        <v>116</v>
      </c>
      <c r="D131" s="9">
        <v>24137900</v>
      </c>
      <c r="E131" s="8" t="s">
        <v>294</v>
      </c>
      <c r="F131" s="198">
        <v>19</v>
      </c>
      <c r="G131" s="9">
        <f>Тўловлар[[#This Row],[Поддон]]*$G$3</f>
        <v>2470000</v>
      </c>
      <c r="K131" s="9">
        <f>SUM(Тўловлар[[#This Row],[ПР-Сумма]]+Тўловлар[[#This Row],[Накд]]+Тўловлар[[#This Row],[Клик]]+Тўловлар[[#This Row],[Терминал]])</f>
        <v>24137900</v>
      </c>
      <c r="L131" s="8" t="s">
        <v>271</v>
      </c>
      <c r="M131" s="8" t="s">
        <v>335</v>
      </c>
      <c r="N131" s="30" cm="1">
        <f t="array" ref="N131">IFERROR(LOOKUP(2,1/((Товар!$D$4:$D$1110=Тўловлар[[#This Row],[Клиент]])*(Товар!$E$4:$E$1110&lt;=Тўловлар[[#This Row],[Дата]])),Товар!$L$4:$L$1110),Кўрсаткичлар!$B$4)</f>
        <v>130000</v>
      </c>
      <c r="O131" s="30">
        <f>Тўловлар[[#This Row],[Поддон]]*Тўловлар[[#This Row],[Поддон нархи]]</f>
        <v>2470000</v>
      </c>
      <c r="P131" s="30">
        <f>Тўловлар[[#This Row],[Жами сумма]]-Тўловлар[[#This Row],[Поддон пули]]</f>
        <v>21667900</v>
      </c>
      <c r="Q1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1" s="9" t="str">
        <f>IFERROR(INDEX(Мижозлар[Агент],MATCH($C131,Мижозлар[Расмий ном],0)),"")</f>
        <v>Арслон ога</v>
      </c>
    </row>
    <row r="132" spans="1:19" x14ac:dyDescent="0.2">
      <c r="A132" s="7">
        <v>46247</v>
      </c>
      <c r="B132" s="8" t="s">
        <v>21</v>
      </c>
      <c r="C132" s="8" t="s">
        <v>116</v>
      </c>
      <c r="D132" s="9">
        <v>26109040</v>
      </c>
      <c r="E132" s="8" t="s">
        <v>294</v>
      </c>
      <c r="F132" s="198">
        <v>19</v>
      </c>
      <c r="G132" s="9">
        <f>Тўловлар[[#This Row],[Поддон]]*$G$3</f>
        <v>2470000</v>
      </c>
      <c r="K132" s="9">
        <f>SUM(Тўловлар[[#This Row],[ПР-Сумма]]+Тўловлар[[#This Row],[Накд]]+Тўловлар[[#This Row],[Клик]]+Тўловлар[[#This Row],[Терминал]])</f>
        <v>26109040</v>
      </c>
      <c r="L132" s="8" t="s">
        <v>271</v>
      </c>
      <c r="N132" s="30" cm="1">
        <f t="array" ref="N132">IFERROR(LOOKUP(2,1/((Товар!$D$4:$D$1110=Тўловлар[[#This Row],[Клиент]])*(Товар!$E$4:$E$1110&lt;=Тўловлар[[#This Row],[Дата]])),Товар!$L$4:$L$1110),Кўрсаткичлар!$B$4)</f>
        <v>130000</v>
      </c>
      <c r="O132" s="30">
        <f>Тўловлар[[#This Row],[Поддон]]*Тўловлар[[#This Row],[Поддон нархи]]</f>
        <v>2470000</v>
      </c>
      <c r="P132" s="30">
        <f>Тўловлар[[#This Row],[Жами сумма]]-Тўловлар[[#This Row],[Поддон пули]]</f>
        <v>23639040</v>
      </c>
      <c r="Q1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2" s="9" t="str">
        <f>IFERROR(INDEX(Мижозлар[Агент],MATCH($C132,Мижозлар[Расмий ном],0)),"")</f>
        <v>Арслон ога</v>
      </c>
    </row>
    <row r="133" spans="1:19" x14ac:dyDescent="0.2">
      <c r="A133" s="7">
        <v>46247</v>
      </c>
      <c r="B133" s="8" t="s">
        <v>29</v>
      </c>
      <c r="C133" s="8" t="s">
        <v>67</v>
      </c>
      <c r="D133" s="9">
        <v>45096160</v>
      </c>
      <c r="E133" s="8" t="s">
        <v>289</v>
      </c>
      <c r="F133" s="198">
        <v>38</v>
      </c>
      <c r="G133" s="9">
        <f>Тўловлар[[#This Row],[Поддон]]*$G$3</f>
        <v>4940000</v>
      </c>
      <c r="K133" s="9">
        <f>SUM(Тўловлар[[#This Row],[ПР-Сумма]]+Тўловлар[[#This Row],[Накд]]+Тўловлар[[#This Row],[Клик]]+Тўловлар[[#This Row],[Терминал]])</f>
        <v>45096160</v>
      </c>
      <c r="L133" s="8" t="s">
        <v>271</v>
      </c>
      <c r="N133" s="30" cm="1">
        <f t="array" ref="N133">IFERROR(LOOKUP(2,1/((Товар!$D$4:$D$1110=Тўловлар[[#This Row],[Клиент]])*(Товар!$E$4:$E$1110&lt;=Тўловлар[[#This Row],[Дата]])),Товар!$L$4:$L$1110),Кўрсаткичлар!$B$4)</f>
        <v>130000</v>
      </c>
      <c r="O133" s="30">
        <f>Тўловлар[[#This Row],[Поддон]]*Тўловлар[[#This Row],[Поддон нархи]]</f>
        <v>4940000</v>
      </c>
      <c r="P133" s="30">
        <f>Тўловлар[[#This Row],[Жами сумма]]-Тўловлар[[#This Row],[Поддон пули]]</f>
        <v>40156160</v>
      </c>
      <c r="Q1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3" s="9" t="str">
        <f>IFERROR(INDEX(Мижозлар[Агент],MATCH($C133,Мижозлар[Расмий ном],0)),"")</f>
        <v>Зафар ога</v>
      </c>
    </row>
    <row r="134" spans="1:19" x14ac:dyDescent="0.2">
      <c r="A134" s="7">
        <v>46247</v>
      </c>
      <c r="B134" s="8" t="s">
        <v>29</v>
      </c>
      <c r="C134" s="8" t="s">
        <v>67</v>
      </c>
      <c r="D134" s="9">
        <v>-260000</v>
      </c>
      <c r="E134" s="8" t="s">
        <v>289</v>
      </c>
      <c r="F134" s="198"/>
      <c r="G134" s="9">
        <f>Тўловлар[[#This Row],[Поддон]]*$G$3</f>
        <v>0</v>
      </c>
      <c r="K134" s="9">
        <f>SUM(Тўловлар[[#This Row],[ПР-Сумма]]+Тўловлар[[#This Row],[Накд]]+Тўловлар[[#This Row],[Клик]]+Тўловлар[[#This Row],[Терминал]])</f>
        <v>-260000</v>
      </c>
      <c r="L134" s="9" t="s">
        <v>271</v>
      </c>
      <c r="N134" s="30" cm="1">
        <f t="array" ref="N134">IFERROR(LOOKUP(2,1/((Товар!$D$4:$D$1110=Тўловлар[[#This Row],[Клиент]])*(Товар!$E$4:$E$1110&lt;=Тўловлар[[#This Row],[Дата]])),Товар!$L$4:$L$1110),Кўрсаткичлар!$B$4)</f>
        <v>130000</v>
      </c>
      <c r="O134" s="30">
        <f>Тўловлар[[#This Row],[Поддон]]*Тўловлар[[#This Row],[Поддон нархи]]</f>
        <v>0</v>
      </c>
      <c r="P134" s="30">
        <f>Тўловлар[[#This Row],[Жами сумма]]-Тўловлар[[#This Row],[Поддон пули]]</f>
        <v>-260000</v>
      </c>
      <c r="Q1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4" s="9" t="str">
        <f>IFERROR(INDEX(Мижозлар[Агент],MATCH($C134,Мижозлар[Расмий ном],0)),"")</f>
        <v>Зафар ога</v>
      </c>
    </row>
    <row r="135" spans="1:19" x14ac:dyDescent="0.2">
      <c r="A135" s="7">
        <v>46247</v>
      </c>
      <c r="B135" s="8" t="s">
        <v>29</v>
      </c>
      <c r="C135" s="8" t="s">
        <v>95</v>
      </c>
      <c r="D135" s="9">
        <v>19000000</v>
      </c>
      <c r="E135" s="8" t="s">
        <v>301</v>
      </c>
      <c r="F135" s="198">
        <v>57</v>
      </c>
      <c r="G135" s="9">
        <f>Тўловлар[[#This Row],[Поддон]]*$G$3</f>
        <v>7410000</v>
      </c>
      <c r="K135" s="9">
        <f>SUM(Тўловлар[[#This Row],[ПР-Сумма]]+Тўловлар[[#This Row],[Накд]]+Тўловлар[[#This Row],[Клик]]+Тўловлар[[#This Row],[Терминал]])</f>
        <v>19000000</v>
      </c>
      <c r="L135" s="8" t="s">
        <v>271</v>
      </c>
      <c r="N135" s="30" cm="1">
        <f t="array" ref="N135">IFERROR(LOOKUP(2,1/((Товар!$D$4:$D$1110=Тўловлар[[#This Row],[Клиент]])*(Товар!$E$4:$E$1110&lt;=Тўловлар[[#This Row],[Дата]])),Товар!$L$4:$L$1110),Кўрсаткичлар!$B$4)</f>
        <v>130000</v>
      </c>
      <c r="O135" s="30">
        <f>Тўловлар[[#This Row],[Поддон]]*Тўловлар[[#This Row],[Поддон нархи]]</f>
        <v>7410000</v>
      </c>
      <c r="P135" s="30">
        <f>Тўловлар[[#This Row],[Жами сумма]]-Тўловлар[[#This Row],[Поддон пули]]</f>
        <v>11590000</v>
      </c>
      <c r="Q1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5" s="9" t="str">
        <f>IFERROR(INDEX(Мижозлар[Агент],MATCH($C135,Мижозлар[Расмий ном],0)),"")</f>
        <v>Зафар ога</v>
      </c>
    </row>
    <row r="136" spans="1:19" x14ac:dyDescent="0.2">
      <c r="A136" s="7">
        <v>46247</v>
      </c>
      <c r="B136" s="8" t="s">
        <v>36</v>
      </c>
      <c r="C136" s="8" t="s">
        <v>82</v>
      </c>
      <c r="D136" s="9">
        <v>41478080</v>
      </c>
      <c r="E136" s="8" t="s">
        <v>304</v>
      </c>
      <c r="F136" s="198"/>
      <c r="G136" s="9">
        <f>Тўловлар[[#This Row],[Поддон]]*$G$3</f>
        <v>0</v>
      </c>
      <c r="K136" s="9">
        <f>SUM(Тўловлар[[#This Row],[ПР-Сумма]]+Тўловлар[[#This Row],[Накд]]+Тўловлар[[#This Row],[Клик]]+Тўловлар[[#This Row],[Терминал]])</f>
        <v>41478080</v>
      </c>
      <c r="L136" s="8" t="s">
        <v>271</v>
      </c>
      <c r="N136" s="30" cm="1">
        <f t="array" ref="N136">IFERROR(LOOKUP(2,1/((Товар!$D$4:$D$1110=Тўловлар[[#This Row],[Клиент]])*(Товар!$E$4:$E$1110&lt;=Тўловлар[[#This Row],[Дата]])),Товар!$L$4:$L$1110),Кўрсаткичлар!$B$4)</f>
        <v>130000</v>
      </c>
      <c r="O136" s="30">
        <f>Тўловлар[[#This Row],[Поддон]]*Тўловлар[[#This Row],[Поддон нархи]]</f>
        <v>0</v>
      </c>
      <c r="P136" s="30">
        <f>Тўловлар[[#This Row],[Жами сумма]]-Тўловлар[[#This Row],[Поддон пули]]</f>
        <v>41478080</v>
      </c>
      <c r="Q1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6" s="9" t="str">
        <f>IFERROR(INDEX(Мижозлар[Агент],MATCH($C136,Мижозлар[Расмий ном],0)),"")</f>
        <v>Темур</v>
      </c>
    </row>
    <row r="137" spans="1:19" x14ac:dyDescent="0.2">
      <c r="A137" s="7">
        <v>46247</v>
      </c>
      <c r="B137" s="8" t="s">
        <v>36</v>
      </c>
      <c r="C137" s="8" t="s">
        <v>82</v>
      </c>
      <c r="D137" s="9">
        <v>4940000</v>
      </c>
      <c r="E137" s="8" t="s">
        <v>304</v>
      </c>
      <c r="F137" s="198">
        <v>38</v>
      </c>
      <c r="G137" s="9">
        <f>Тўловлар[[#This Row],[Поддон]]*$G$3</f>
        <v>4940000</v>
      </c>
      <c r="K137" s="9">
        <f>SUM(Тўловлар[[#This Row],[ПР-Сумма]]+Тўловлар[[#This Row],[Накд]]+Тўловлар[[#This Row],[Клик]]+Тўловлар[[#This Row],[Терминал]])</f>
        <v>4940000</v>
      </c>
      <c r="L137" s="8" t="s">
        <v>271</v>
      </c>
      <c r="N137" s="30" cm="1">
        <f t="array" ref="N137">IFERROR(LOOKUP(2,1/((Товар!$D$4:$D$1110=Тўловлар[[#This Row],[Клиент]])*(Товар!$E$4:$E$1110&lt;=Тўловлар[[#This Row],[Дата]])),Товар!$L$4:$L$1110),Кўрсаткичлар!$B$4)</f>
        <v>130000</v>
      </c>
      <c r="O137" s="30">
        <f>Тўловлар[[#This Row],[Поддон]]*Тўловлар[[#This Row],[Поддон нархи]]</f>
        <v>4940000</v>
      </c>
      <c r="P137" s="30">
        <f>Тўловлар[[#This Row],[Жами сумма]]-Тўловлар[[#This Row],[Поддон пули]]</f>
        <v>0</v>
      </c>
      <c r="Q1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7" s="9" t="str">
        <f>IFERROR(INDEX(Мижозлар[Агент],MATCH($C137,Мижозлар[Расмий ном],0)),"")</f>
        <v>Темур</v>
      </c>
    </row>
    <row r="138" spans="1:19" x14ac:dyDescent="0.2">
      <c r="A138" s="7">
        <v>46247</v>
      </c>
      <c r="B138" s="8" t="s">
        <v>32</v>
      </c>
      <c r="C138" s="8" t="s">
        <v>85</v>
      </c>
      <c r="D138" s="9">
        <v>39000000</v>
      </c>
      <c r="E138" s="8" t="s">
        <v>306</v>
      </c>
      <c r="F138" s="198">
        <v>38</v>
      </c>
      <c r="G138" s="9">
        <f>Тўловлар[[#This Row],[Поддон]]*$G$3</f>
        <v>4940000</v>
      </c>
      <c r="K138" s="9">
        <f>SUM(Тўловлар[[#This Row],[ПР-Сумма]]+Тўловлар[[#This Row],[Накд]]+Тўловлар[[#This Row],[Клик]]+Тўловлар[[#This Row],[Терминал]])</f>
        <v>39000000</v>
      </c>
      <c r="L138" s="8" t="s">
        <v>271</v>
      </c>
      <c r="N138" s="30" cm="1">
        <f t="array" ref="N138">IFERROR(LOOKUP(2,1/((Товар!$D$4:$D$1110=Тўловлар[[#This Row],[Клиент]])*(Товар!$E$4:$E$1110&lt;=Тўловлар[[#This Row],[Дата]])),Товар!$L$4:$L$1110),Кўрсаткичлар!$B$4)</f>
        <v>130000</v>
      </c>
      <c r="O138" s="30">
        <f>Тўловлар[[#This Row],[Поддон]]*Тўловлар[[#This Row],[Поддон нархи]]</f>
        <v>4940000</v>
      </c>
      <c r="P138" s="30">
        <f>Тўловлар[[#This Row],[Жами сумма]]-Тўловлар[[#This Row],[Поддон пули]]</f>
        <v>34060000</v>
      </c>
      <c r="Q1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8" s="9" t="str">
        <f>IFERROR(INDEX(Мижозлар[Агент],MATCH($C138,Мижозлар[Расмий ном],0)),"")</f>
        <v>Сардор ога</v>
      </c>
    </row>
    <row r="139" spans="1:19" x14ac:dyDescent="0.2">
      <c r="A139" s="7">
        <v>46248</v>
      </c>
      <c r="B139" s="8" t="s">
        <v>21</v>
      </c>
      <c r="C139" s="8" t="s">
        <v>116</v>
      </c>
      <c r="D139" s="9">
        <v>23709040</v>
      </c>
      <c r="E139" s="8" t="s">
        <v>294</v>
      </c>
      <c r="F139" s="198">
        <v>19</v>
      </c>
      <c r="G139" s="9">
        <f>Тўловлар[[#This Row],[Поддон]]*$G$3</f>
        <v>2470000</v>
      </c>
      <c r="K139" s="9">
        <f>SUM(Тўловлар[[#This Row],[ПР-Сумма]]+Тўловлар[[#This Row],[Накд]]+Тўловлар[[#This Row],[Клик]]+Тўловлар[[#This Row],[Терминал]])</f>
        <v>23709040</v>
      </c>
      <c r="L139" s="8" t="s">
        <v>271</v>
      </c>
      <c r="N139" s="30" cm="1">
        <f t="array" ref="N139">IFERROR(LOOKUP(2,1/((Товар!$D$4:$D$1110=Тўловлар[[#This Row],[Клиент]])*(Товар!$E$4:$E$1110&lt;=Тўловлар[[#This Row],[Дата]])),Товар!$L$4:$L$1110),Кўрсаткичлар!$B$4)</f>
        <v>130000</v>
      </c>
      <c r="O139" s="30">
        <f>Тўловлар[[#This Row],[Поддон]]*Тўловлар[[#This Row],[Поддон нархи]]</f>
        <v>2470000</v>
      </c>
      <c r="P139" s="30">
        <f>Тўловлар[[#This Row],[Жами сумма]]-Тўловлар[[#This Row],[Поддон пули]]</f>
        <v>21239040</v>
      </c>
      <c r="Q1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39" s="9" t="str">
        <f>IFERROR(INDEX(Мижозлар[Агент],MATCH($C139,Мижозлар[Расмий ном],0)),"")</f>
        <v>Арслон ога</v>
      </c>
    </row>
    <row r="140" spans="1:19" x14ac:dyDescent="0.2">
      <c r="A140" s="7">
        <v>46248</v>
      </c>
      <c r="B140" s="8" t="s">
        <v>32</v>
      </c>
      <c r="C140" s="8" t="s">
        <v>107</v>
      </c>
      <c r="D140" s="9">
        <v>47418080</v>
      </c>
      <c r="E140" s="8" t="s">
        <v>302</v>
      </c>
      <c r="F140" s="198">
        <v>38</v>
      </c>
      <c r="G140" s="9">
        <f>Тўловлар[[#This Row],[Поддон]]*$G$3</f>
        <v>4940000</v>
      </c>
      <c r="K140" s="9">
        <f>SUM(Тўловлар[[#This Row],[ПР-Сумма]]+Тўловлар[[#This Row],[Накд]]+Тўловлар[[#This Row],[Клик]]+Тўловлар[[#This Row],[Терминал]])</f>
        <v>47418080</v>
      </c>
      <c r="L140" s="8" t="s">
        <v>271</v>
      </c>
      <c r="N140" s="30" cm="1">
        <f t="array" ref="N140">IFERROR(LOOKUP(2,1/((Товар!$D$4:$D$1110=Тўловлар[[#This Row],[Клиент]])*(Товар!$E$4:$E$1110&lt;=Тўловлар[[#This Row],[Дата]])),Товар!$L$4:$L$1110),Кўрсаткичлар!$B$4)</f>
        <v>130000</v>
      </c>
      <c r="O140" s="30">
        <f>Тўловлар[[#This Row],[Поддон]]*Тўловлар[[#This Row],[Поддон нархи]]</f>
        <v>4940000</v>
      </c>
      <c r="P140" s="30">
        <f>Тўловлар[[#This Row],[Жами сумма]]-Тўловлар[[#This Row],[Поддон пули]]</f>
        <v>42478080</v>
      </c>
      <c r="Q1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0" s="9" t="str">
        <f>IFERROR(INDEX(Мижозлар[Агент],MATCH($C140,Мижозлар[Расмий ном],0)),"")</f>
        <v>Сардор ога</v>
      </c>
    </row>
    <row r="141" spans="1:19" x14ac:dyDescent="0.2">
      <c r="A141" s="7">
        <v>46248</v>
      </c>
      <c r="B141" s="8" t="s">
        <v>36</v>
      </c>
      <c r="C141" s="8" t="s">
        <v>48</v>
      </c>
      <c r="D141" s="9">
        <v>22000000</v>
      </c>
      <c r="E141" s="8" t="s">
        <v>307</v>
      </c>
      <c r="F141" s="198"/>
      <c r="G141" s="9">
        <f>Тўловлар[[#This Row],[Поддон]]*$G$3</f>
        <v>0</v>
      </c>
      <c r="K141" s="9">
        <f>SUM(Тўловлар[[#This Row],[ПР-Сумма]]+Тўловлар[[#This Row],[Накд]]+Тўловлар[[#This Row],[Клик]]+Тўловлар[[#This Row],[Терминал]])</f>
        <v>22000000</v>
      </c>
      <c r="L141" s="8" t="s">
        <v>271</v>
      </c>
      <c r="N141" s="30" cm="1">
        <f t="array" ref="N141">IFERROR(LOOKUP(2,1/((Товар!$D$4:$D$1110=Тўловлар[[#This Row],[Клиент]])*(Товар!$E$4:$E$1110&lt;=Тўловлар[[#This Row],[Дата]])),Товар!$L$4:$L$1110),Кўрсаткичлар!$B$4)</f>
        <v>130000</v>
      </c>
      <c r="O141" s="30">
        <f>Тўловлар[[#This Row],[Поддон]]*Тўловлар[[#This Row],[Поддон нархи]]</f>
        <v>0</v>
      </c>
      <c r="P141" s="30">
        <f>Тўловлар[[#This Row],[Жами сумма]]-Тўловлар[[#This Row],[Поддон пули]]</f>
        <v>22000000</v>
      </c>
      <c r="Q1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1" s="9" t="str">
        <f>IFERROR(INDEX(Мижозлар[Агент],MATCH($C141,Мижозлар[Расмий ном],0)),"")</f>
        <v>Темур</v>
      </c>
    </row>
    <row r="142" spans="1:19" x14ac:dyDescent="0.2">
      <c r="A142" s="7">
        <v>46248</v>
      </c>
      <c r="B142" s="8" t="s">
        <v>36</v>
      </c>
      <c r="C142" s="8" t="s">
        <v>74</v>
      </c>
      <c r="D142" s="9">
        <v>94836160</v>
      </c>
      <c r="E142" s="8" t="s">
        <v>336</v>
      </c>
      <c r="F142" s="198">
        <v>76</v>
      </c>
      <c r="G142" s="9">
        <f>Тўловлар[[#This Row],[Поддон]]*$G$3</f>
        <v>9880000</v>
      </c>
      <c r="K142" s="9">
        <f>SUM(Тўловлар[[#This Row],[ПР-Сумма]]+Тўловлар[[#This Row],[Накд]]+Тўловлар[[#This Row],[Клик]]+Тўловлар[[#This Row],[Терминал]])</f>
        <v>94836160</v>
      </c>
      <c r="L142" s="8" t="s">
        <v>271</v>
      </c>
      <c r="N142" s="30" cm="1">
        <f t="array" ref="N142">IFERROR(LOOKUP(2,1/((Товар!$D$4:$D$1110=Тўловлар[[#This Row],[Клиент]])*(Товар!$E$4:$E$1110&lt;=Тўловлар[[#This Row],[Дата]])),Товар!$L$4:$L$1110),Кўрсаткичлар!$B$4)</f>
        <v>130000</v>
      </c>
      <c r="O142" s="30">
        <f>Тўловлар[[#This Row],[Поддон]]*Тўловлар[[#This Row],[Поддон нархи]]</f>
        <v>9880000</v>
      </c>
      <c r="P142" s="30">
        <f>Тўловлар[[#This Row],[Жами сумма]]-Тўловлар[[#This Row],[Поддон пули]]</f>
        <v>84956160</v>
      </c>
      <c r="Q1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2" s="9" t="str">
        <f>IFERROR(INDEX(Мижозлар[Агент],MATCH($C142,Мижозлар[Расмий ном],0)),"")</f>
        <v>Темур</v>
      </c>
    </row>
    <row r="143" spans="1:19" x14ac:dyDescent="0.2">
      <c r="A143" s="7">
        <v>46251</v>
      </c>
      <c r="B143" s="8" t="s">
        <v>29</v>
      </c>
      <c r="C143" s="8" t="s">
        <v>95</v>
      </c>
      <c r="D143" s="9">
        <v>47218000</v>
      </c>
      <c r="E143" s="8" t="s">
        <v>301</v>
      </c>
      <c r="F143" s="198">
        <v>57</v>
      </c>
      <c r="G143" s="9">
        <f>Тўловлар[[#This Row],[Поддон]]*$G$3</f>
        <v>7410000</v>
      </c>
      <c r="K143" s="9">
        <f>SUM(Тўловлар[[#This Row],[ПР-Сумма]]+Тўловлар[[#This Row],[Накд]]+Тўловлар[[#This Row],[Клик]]+Тўловлар[[#This Row],[Терминал]])</f>
        <v>47218000</v>
      </c>
      <c r="L143" s="8" t="s">
        <v>271</v>
      </c>
      <c r="N143" s="30" cm="1">
        <f t="array" ref="N143">IFERROR(LOOKUP(2,1/((Товар!$D$4:$D$1110=Тўловлар[[#This Row],[Клиент]])*(Товар!$E$4:$E$1110&lt;=Тўловлар[[#This Row],[Дата]])),Товар!$L$4:$L$1110),Кўрсаткичлар!$B$4)</f>
        <v>130000</v>
      </c>
      <c r="O143" s="30">
        <f>Тўловлар[[#This Row],[Поддон]]*Тўловлар[[#This Row],[Поддон нархи]]</f>
        <v>7410000</v>
      </c>
      <c r="P143" s="30">
        <f>Тўловлар[[#This Row],[Жами сумма]]-Тўловлар[[#This Row],[Поддон пули]]</f>
        <v>39808000</v>
      </c>
      <c r="Q1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3" s="9" t="str">
        <f>IFERROR(INDEX(Мижозлар[Агент],MATCH($C143,Мижозлар[Расмий ном],0)),"")</f>
        <v>Зафар ога</v>
      </c>
    </row>
    <row r="144" spans="1:19" x14ac:dyDescent="0.2">
      <c r="A144" s="7">
        <v>46251</v>
      </c>
      <c r="B144" s="8" t="s">
        <v>36</v>
      </c>
      <c r="C144" s="8" t="s">
        <v>48</v>
      </c>
      <c r="D144" s="9">
        <v>15127120</v>
      </c>
      <c r="E144" s="8" t="s">
        <v>307</v>
      </c>
      <c r="F144" s="198">
        <v>57</v>
      </c>
      <c r="G144" s="9">
        <f>Тўловлар[[#This Row],[Поддон]]*$G$3</f>
        <v>7410000</v>
      </c>
      <c r="K144" s="9">
        <f>SUM(Тўловлар[[#This Row],[ПР-Сумма]]+Тўловлар[[#This Row],[Накд]]+Тўловлар[[#This Row],[Клик]]+Тўловлар[[#This Row],[Терминал]])</f>
        <v>15127120</v>
      </c>
      <c r="L144" s="8" t="s">
        <v>271</v>
      </c>
      <c r="N144" s="30" cm="1">
        <f t="array" ref="N144">IFERROR(LOOKUP(2,1/((Товар!$D$4:$D$1110=Тўловлар[[#This Row],[Клиент]])*(Товар!$E$4:$E$1110&lt;=Тўловлар[[#This Row],[Дата]])),Товар!$L$4:$L$1110),Кўрсаткичлар!$B$4)</f>
        <v>130000</v>
      </c>
      <c r="O144" s="30">
        <f>Тўловлар[[#This Row],[Поддон]]*Тўловлар[[#This Row],[Поддон нархи]]</f>
        <v>7410000</v>
      </c>
      <c r="P144" s="30">
        <f>Тўловлар[[#This Row],[Жами сумма]]-Тўловлар[[#This Row],[Поддон пули]]</f>
        <v>7717120</v>
      </c>
      <c r="Q1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4" s="9" t="str">
        <f>IFERROR(INDEX(Мижозлар[Агент],MATCH($C144,Мижозлар[Расмий ном],0)),"")</f>
        <v>Темур</v>
      </c>
    </row>
    <row r="145" spans="1:19" x14ac:dyDescent="0.2">
      <c r="A145" s="7">
        <v>46251</v>
      </c>
      <c r="B145" s="8" t="s">
        <v>36</v>
      </c>
      <c r="C145" s="8" t="s">
        <v>48</v>
      </c>
      <c r="D145" s="9">
        <v>71127120</v>
      </c>
      <c r="E145" s="8" t="s">
        <v>307</v>
      </c>
      <c r="F145" s="198">
        <v>57</v>
      </c>
      <c r="G145" s="9">
        <f>Тўловлар[[#This Row],[Поддон]]*$G$3</f>
        <v>7410000</v>
      </c>
      <c r="K145" s="9">
        <f>SUM(Тўловлар[[#This Row],[ПР-Сумма]]+Тўловлар[[#This Row],[Накд]]+Тўловлар[[#This Row],[Клик]]+Тўловлар[[#This Row],[Терминал]])</f>
        <v>71127120</v>
      </c>
      <c r="L145" s="8" t="s">
        <v>271</v>
      </c>
      <c r="N145" s="30" cm="1">
        <f t="array" ref="N145">IFERROR(LOOKUP(2,1/((Товар!$D$4:$D$1110=Тўловлар[[#This Row],[Клиент]])*(Товар!$E$4:$E$1110&lt;=Тўловлар[[#This Row],[Дата]])),Товар!$L$4:$L$1110),Кўрсаткичлар!$B$4)</f>
        <v>130000</v>
      </c>
      <c r="O145" s="30">
        <f>Тўловлар[[#This Row],[Поддон]]*Тўловлар[[#This Row],[Поддон нархи]]</f>
        <v>7410000</v>
      </c>
      <c r="P145" s="30">
        <f>Тўловлар[[#This Row],[Жами сумма]]-Тўловлар[[#This Row],[Поддон пули]]</f>
        <v>63717120</v>
      </c>
      <c r="Q1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5" s="9" t="str">
        <f>IFERROR(INDEX(Мижозлар[Агент],MATCH($C145,Мижозлар[Расмий ном],0)),"")</f>
        <v>Темур</v>
      </c>
    </row>
    <row r="146" spans="1:19" x14ac:dyDescent="0.2">
      <c r="A146" s="7">
        <v>46251</v>
      </c>
      <c r="B146" s="8" t="s">
        <v>29</v>
      </c>
      <c r="C146" s="8" t="s">
        <v>95</v>
      </c>
      <c r="D146" s="9">
        <v>55188000</v>
      </c>
      <c r="E146" s="8" t="s">
        <v>296</v>
      </c>
      <c r="F146" s="198">
        <v>19</v>
      </c>
      <c r="G146" s="9">
        <f>Тўловлар[[#This Row],[Поддон]]*$G$3</f>
        <v>2470000</v>
      </c>
      <c r="K146" s="9">
        <f>SUM(Тўловлар[[#This Row],[ПР-Сумма]]+Тўловлар[[#This Row],[Накд]]+Тўловлар[[#This Row],[Клик]]+Тўловлар[[#This Row],[Терминал]])</f>
        <v>55188000</v>
      </c>
      <c r="L146" s="8" t="s">
        <v>271</v>
      </c>
      <c r="N146" s="30" cm="1">
        <f t="array" ref="N146">IFERROR(LOOKUP(2,1/((Товар!$D$4:$D$1110=Тўловлар[[#This Row],[Клиент]])*(Товар!$E$4:$E$1110&lt;=Тўловлар[[#This Row],[Дата]])),Товар!$L$4:$L$1110),Кўрсаткичлар!$B$4)</f>
        <v>130000</v>
      </c>
      <c r="O146" s="30">
        <f>Тўловлар[[#This Row],[Поддон]]*Тўловлар[[#This Row],[Поддон нархи]]</f>
        <v>2470000</v>
      </c>
      <c r="P146" s="30">
        <f>Тўловлар[[#This Row],[Жами сумма]]-Тўловлар[[#This Row],[Поддон пули]]</f>
        <v>52718000</v>
      </c>
      <c r="Q1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6" s="9" t="str">
        <f>IFERROR(INDEX(Мижозлар[Агент],MATCH($C146,Мижозлар[Расмий ном],0)),"")</f>
        <v>Зафар ога</v>
      </c>
    </row>
    <row r="147" spans="1:19" x14ac:dyDescent="0.2">
      <c r="A147" s="7">
        <v>46251</v>
      </c>
      <c r="B147" s="8" t="s">
        <v>29</v>
      </c>
      <c r="C147" s="8" t="s">
        <v>95</v>
      </c>
      <c r="D147" s="9">
        <v>50000000</v>
      </c>
      <c r="E147" s="8" t="s">
        <v>296</v>
      </c>
      <c r="F147" s="198">
        <v>38</v>
      </c>
      <c r="G147" s="9">
        <f>Тўловлар[[#This Row],[Поддон]]*$G$3</f>
        <v>4940000</v>
      </c>
      <c r="K147" s="9">
        <f>SUM(Тўловлар[[#This Row],[ПР-Сумма]]+Тўловлар[[#This Row],[Накд]]+Тўловлар[[#This Row],[Клик]]+Тўловлар[[#This Row],[Терминал]])</f>
        <v>50000000</v>
      </c>
      <c r="L147" s="8" t="s">
        <v>271</v>
      </c>
      <c r="N147" s="30" cm="1">
        <f t="array" ref="N147">IFERROR(LOOKUP(2,1/((Товар!$D$4:$D$1110=Тўловлар[[#This Row],[Клиент]])*(Товар!$E$4:$E$1110&lt;=Тўловлар[[#This Row],[Дата]])),Товар!$L$4:$L$1110),Кўрсаткичлар!$B$4)</f>
        <v>130000</v>
      </c>
      <c r="O147" s="30">
        <f>Тўловлар[[#This Row],[Поддон]]*Тўловлар[[#This Row],[Поддон нархи]]</f>
        <v>4940000</v>
      </c>
      <c r="P147" s="30">
        <f>Тўловлар[[#This Row],[Жами сумма]]-Тўловлар[[#This Row],[Поддон пули]]</f>
        <v>45060000</v>
      </c>
      <c r="Q1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7" s="9" t="str">
        <f>IFERROR(INDEX(Мижозлар[Агент],MATCH($C147,Мижозлар[Расмий ном],0)),"")</f>
        <v>Зафар ога</v>
      </c>
    </row>
    <row r="148" spans="1:19" x14ac:dyDescent="0.2">
      <c r="A148" s="7">
        <v>46251</v>
      </c>
      <c r="B148" s="8" t="s">
        <v>40</v>
      </c>
      <c r="C148" s="8" t="s">
        <v>121</v>
      </c>
      <c r="F148" s="198"/>
      <c r="G148" s="9">
        <f>Тўловлар[[#This Row],[Поддон]]*$G$3</f>
        <v>0</v>
      </c>
      <c r="I148" s="9">
        <v>24000000</v>
      </c>
      <c r="K148" s="9">
        <f>SUM(Тўловлар[[#This Row],[ПР-Сумма]]+Тўловлар[[#This Row],[Накд]]+Тўловлар[[#This Row],[Клик]]+Тўловлар[[#This Row],[Терминал]])</f>
        <v>24000000</v>
      </c>
      <c r="L148" s="8" t="s">
        <v>276</v>
      </c>
      <c r="M148" s="8" t="s">
        <v>337</v>
      </c>
      <c r="N148" s="30" cm="1">
        <f t="array" ref="N148">IFERROR(LOOKUP(2,1/((Товар!$D$4:$D$1110=Тўловлар[[#This Row],[Клиент]])*(Товар!$E$4:$E$1110&lt;=Тўловлар[[#This Row],[Дата]])),Товар!$L$4:$L$1110),Кўрсаткичлар!$B$4)</f>
        <v>130000</v>
      </c>
      <c r="O148" s="30">
        <f>Тўловлар[[#This Row],[Поддон]]*Тўловлар[[#This Row],[Поддон нархи]]</f>
        <v>0</v>
      </c>
      <c r="P148" s="30">
        <f>Тўловлар[[#This Row],[Жами сумма]]-Тўловлар[[#This Row],[Поддон пули]]</f>
        <v>24000000</v>
      </c>
      <c r="Q1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8" s="9" t="str">
        <f>IFERROR(INDEX(Мижозлар[Агент],MATCH($C148,Мижозлар[Расмий ном],0)),"")</f>
        <v>Шохрух ога</v>
      </c>
    </row>
    <row r="149" spans="1:19" x14ac:dyDescent="0.2">
      <c r="A149" s="7">
        <v>46251</v>
      </c>
      <c r="B149" s="8" t="s">
        <v>36</v>
      </c>
      <c r="C149" s="8" t="s">
        <v>123</v>
      </c>
      <c r="D149" s="9">
        <v>100000000</v>
      </c>
      <c r="E149" s="8" t="s">
        <v>338</v>
      </c>
      <c r="F149" s="198">
        <v>76</v>
      </c>
      <c r="G149" s="9">
        <f>Тўловлар[[#This Row],[Поддон]]*$G$3</f>
        <v>9880000</v>
      </c>
      <c r="K149" s="9">
        <f>SUM(Тўловлар[[#This Row],[ПР-Сумма]]+Тўловлар[[#This Row],[Накд]]+Тўловлар[[#This Row],[Клик]]+Тўловлар[[#This Row],[Терминал]])</f>
        <v>100000000</v>
      </c>
      <c r="L149" s="8" t="s">
        <v>271</v>
      </c>
      <c r="N149" s="30" cm="1">
        <f t="array" ref="N149">IFERROR(LOOKUP(2,1/((Товар!$D$4:$D$1110=Тўловлар[[#This Row],[Клиент]])*(Товар!$E$4:$E$1110&lt;=Тўловлар[[#This Row],[Дата]])),Товар!$L$4:$L$1110),Кўрсаткичлар!$B$4)</f>
        <v>130000</v>
      </c>
      <c r="O149" s="30">
        <f>Тўловлар[[#This Row],[Поддон]]*Тўловлар[[#This Row],[Поддон нархи]]</f>
        <v>9880000</v>
      </c>
      <c r="P149" s="30">
        <f>Тўловлар[[#This Row],[Жами сумма]]-Тўловлар[[#This Row],[Поддон пули]]</f>
        <v>90120000</v>
      </c>
      <c r="Q1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49" s="9" t="str">
        <f>IFERROR(INDEX(Мижозлар[Агент],MATCH($C149,Мижозлар[Расмий ном],0)),"")</f>
        <v>Темур</v>
      </c>
    </row>
    <row r="150" spans="1:19" x14ac:dyDescent="0.2">
      <c r="A150" s="7">
        <v>46252</v>
      </c>
      <c r="B150" s="8" t="s">
        <v>21</v>
      </c>
      <c r="C150" s="8" t="s">
        <v>116</v>
      </c>
      <c r="D150" s="9">
        <v>24486640</v>
      </c>
      <c r="E150" s="8" t="s">
        <v>294</v>
      </c>
      <c r="F150" s="198">
        <v>19</v>
      </c>
      <c r="G150" s="9">
        <f>Тўловлар[[#This Row],[Поддон]]*$G$3</f>
        <v>2470000</v>
      </c>
      <c r="K150" s="9">
        <f>SUM(Тўловлар[[#This Row],[ПР-Сумма]]+Тўловлар[[#This Row],[Накд]]+Тўловлар[[#This Row],[Клик]]+Тўловлар[[#This Row],[Терминал]])</f>
        <v>24486640</v>
      </c>
      <c r="L150" s="8" t="s">
        <v>271</v>
      </c>
      <c r="N150" s="30" cm="1">
        <f t="array" ref="N150">IFERROR(LOOKUP(2,1/((Товар!$D$4:$D$1110=Тўловлар[[#This Row],[Клиент]])*(Товар!$E$4:$E$1110&lt;=Тўловлар[[#This Row],[Дата]])),Товар!$L$4:$L$1110),Кўрсаткичлар!$B$4)</f>
        <v>130000</v>
      </c>
      <c r="O150" s="30">
        <f>Тўловлар[[#This Row],[Поддон]]*Тўловлар[[#This Row],[Поддон нархи]]</f>
        <v>2470000</v>
      </c>
      <c r="P150" s="30">
        <f>Тўловлар[[#This Row],[Жами сумма]]-Тўловлар[[#This Row],[Поддон пули]]</f>
        <v>22016640</v>
      </c>
      <c r="Q1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0" s="9" t="str">
        <f>IFERROR(INDEX(Мижозлар[Агент],MATCH($C150,Мижозлар[Расмий ном],0)),"")</f>
        <v>Арслон ога</v>
      </c>
    </row>
    <row r="151" spans="1:19" x14ac:dyDescent="0.2">
      <c r="A151" s="7">
        <v>46252</v>
      </c>
      <c r="B151" s="8" t="s">
        <v>25</v>
      </c>
      <c r="C151" s="8" t="s">
        <v>105</v>
      </c>
      <c r="D151" s="9">
        <v>110000000</v>
      </c>
      <c r="E151" s="8" t="s">
        <v>339</v>
      </c>
      <c r="F151" s="198"/>
      <c r="G151" s="9">
        <f>Тўловлар[[#This Row],[Поддон]]*$G$3</f>
        <v>0</v>
      </c>
      <c r="K151" s="9">
        <f>SUM(Тўловлар[[#This Row],[ПР-Сумма]]+Тўловлар[[#This Row],[Накд]]+Тўловлар[[#This Row],[Клик]]+Тўловлар[[#This Row],[Терминал]])</f>
        <v>110000000</v>
      </c>
      <c r="L151" s="8" t="s">
        <v>271</v>
      </c>
      <c r="N151" s="30" cm="1">
        <f t="array" ref="N151">IFERROR(LOOKUP(2,1/((Товар!$D$4:$D$1110=Тўловлар[[#This Row],[Клиент]])*(Товар!$E$4:$E$1110&lt;=Тўловлар[[#This Row],[Дата]])),Товар!$L$4:$L$1110),Кўрсаткичлар!$B$4)</f>
        <v>130000</v>
      </c>
      <c r="O151" s="30">
        <f>Тўловлар[[#This Row],[Поддон]]*Тўловлар[[#This Row],[Поддон нархи]]</f>
        <v>0</v>
      </c>
      <c r="P151" s="30">
        <f>Тўловлар[[#This Row],[Жами сумма]]-Тўловлар[[#This Row],[Поддон пули]]</f>
        <v>110000000</v>
      </c>
      <c r="Q1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1" s="9" t="str">
        <f>IFERROR(INDEX(Мижозлар[Агент],MATCH($C151,Мижозлар[Расмий ном],0)),"")</f>
        <v>Жамол 22-22</v>
      </c>
    </row>
    <row r="152" spans="1:19" x14ac:dyDescent="0.2">
      <c r="A152" s="7">
        <v>46253</v>
      </c>
      <c r="B152" s="8" t="s">
        <v>36</v>
      </c>
      <c r="C152" s="8" t="s">
        <v>82</v>
      </c>
      <c r="D152" s="9">
        <v>41478080</v>
      </c>
      <c r="E152" s="8" t="s">
        <v>304</v>
      </c>
      <c r="F152" s="198"/>
      <c r="G152" s="9">
        <f>Тўловлар[[#This Row],[Поддон]]*$G$3</f>
        <v>0</v>
      </c>
      <c r="K152" s="9">
        <f>SUM(Тўловлар[[#This Row],[ПР-Сумма]]+Тўловлар[[#This Row],[Накд]]+Тўловлар[[#This Row],[Клик]]+Тўловлар[[#This Row],[Терминал]])</f>
        <v>41478080</v>
      </c>
      <c r="L152" s="8" t="s">
        <v>271</v>
      </c>
      <c r="M152" s="8" t="s">
        <v>340</v>
      </c>
      <c r="N152" s="30" cm="1">
        <f t="array" ref="N152">IFERROR(LOOKUP(2,1/((Товар!$D$4:$D$1110=Тўловлар[[#This Row],[Клиент]])*(Товар!$E$4:$E$1110&lt;=Тўловлар[[#This Row],[Дата]])),Товар!$L$4:$L$1110),Кўрсаткичлар!$B$4)</f>
        <v>130000</v>
      </c>
      <c r="O152" s="30">
        <f>Тўловлар[[#This Row],[Поддон]]*Тўловлар[[#This Row],[Поддон нархи]]</f>
        <v>0</v>
      </c>
      <c r="P152" s="30">
        <f>Тўловлар[[#This Row],[Жами сумма]]-Тўловлар[[#This Row],[Поддон пули]]</f>
        <v>41478080</v>
      </c>
      <c r="Q1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2" s="9" t="str">
        <f>IFERROR(INDEX(Мижозлар[Агент],MATCH($C152,Мижозлар[Расмий ном],0)),"")</f>
        <v>Темур</v>
      </c>
    </row>
    <row r="153" spans="1:19" x14ac:dyDescent="0.2">
      <c r="A153" s="7">
        <v>46253</v>
      </c>
      <c r="B153" s="8" t="s">
        <v>40</v>
      </c>
      <c r="C153" s="8" t="s">
        <v>42</v>
      </c>
      <c r="D153" s="9">
        <v>21200000</v>
      </c>
      <c r="E153" s="8" t="s">
        <v>684</v>
      </c>
      <c r="F153" s="198"/>
      <c r="G153" s="9">
        <f>Тўловлар[[#This Row],[Поддон]]*$G$3</f>
        <v>0</v>
      </c>
      <c r="K153" s="9">
        <f>SUM(Тўловлар[[#This Row],[ПР-Сумма]]+Тўловлар[[#This Row],[Накд]]+Тўловлар[[#This Row],[Клик]]+Тўловлар[[#This Row],[Терминал]])</f>
        <v>21200000</v>
      </c>
      <c r="L153" s="8" t="s">
        <v>271</v>
      </c>
      <c r="N153" s="30" cm="1">
        <f t="array" ref="N153">IFERROR(LOOKUP(2,1/((Товар!$D$4:$D$1110=Тўловлар[[#This Row],[Клиент]])*(Товар!$E$4:$E$1110&lt;=Тўловлар[[#This Row],[Дата]])),Товар!$L$4:$L$1110),Кўрсаткичлар!$B$4)</f>
        <v>130000</v>
      </c>
      <c r="O153" s="30">
        <f>Тўловлар[[#This Row],[Поддон]]*Тўловлар[[#This Row],[Поддон нархи]]</f>
        <v>0</v>
      </c>
      <c r="P153" s="30">
        <f>Тўловлар[[#This Row],[Жами сумма]]-Тўловлар[[#This Row],[Поддон пули]]</f>
        <v>21200000</v>
      </c>
      <c r="Q1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3" s="9" t="str">
        <f>IFERROR(INDEX(Мижозлар[Агент],MATCH($C153,Мижозлар[Расмий ном],0)),"")</f>
        <v>Шохрух ога</v>
      </c>
    </row>
    <row r="154" spans="1:19" x14ac:dyDescent="0.2">
      <c r="A154" s="7">
        <v>46253</v>
      </c>
      <c r="B154" s="8" t="s">
        <v>36</v>
      </c>
      <c r="C154" s="8" t="s">
        <v>82</v>
      </c>
      <c r="D154" s="9">
        <v>4940000</v>
      </c>
      <c r="E154" s="8" t="s">
        <v>304</v>
      </c>
      <c r="F154" s="198">
        <v>38</v>
      </c>
      <c r="G154" s="9">
        <f>Тўловлар[[#This Row],[Поддон]]*$G$3</f>
        <v>4940000</v>
      </c>
      <c r="K154" s="9">
        <f>SUM(Тўловлар[[#This Row],[ПР-Сумма]]+Тўловлар[[#This Row],[Накд]]+Тўловлар[[#This Row],[Клик]]+Тўловлар[[#This Row],[Терминал]])</f>
        <v>4940000</v>
      </c>
      <c r="L154" s="8" t="s">
        <v>271</v>
      </c>
      <c r="M154" s="8" t="s">
        <v>151</v>
      </c>
      <c r="N154" s="30" cm="1">
        <f t="array" ref="N154">IFERROR(LOOKUP(2,1/((Товар!$D$4:$D$1110=Тўловлар[[#This Row],[Клиент]])*(Товар!$E$4:$E$1110&lt;=Тўловлар[[#This Row],[Дата]])),Товар!$L$4:$L$1110),Кўрсаткичлар!$B$4)</f>
        <v>130000</v>
      </c>
      <c r="O154" s="30">
        <f>Тўловлар[[#This Row],[Поддон]]*Тўловлар[[#This Row],[Поддон нархи]]</f>
        <v>4940000</v>
      </c>
      <c r="P154" s="30">
        <f>Тўловлар[[#This Row],[Жами сумма]]-Тўловлар[[#This Row],[Поддон пули]]</f>
        <v>0</v>
      </c>
      <c r="Q1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4" s="9" t="str">
        <f>IFERROR(INDEX(Мижозлар[Агент],MATCH($C154,Мижозлар[Расмий ном],0)),"")</f>
        <v>Темур</v>
      </c>
    </row>
    <row r="155" spans="1:19" x14ac:dyDescent="0.2">
      <c r="A155" s="7">
        <v>46254</v>
      </c>
      <c r="B155" s="8" t="s">
        <v>36</v>
      </c>
      <c r="C155" s="8" t="s">
        <v>592</v>
      </c>
      <c r="D155" s="9">
        <v>60000000</v>
      </c>
      <c r="E155" s="8" t="s">
        <v>590</v>
      </c>
      <c r="F155" s="198">
        <v>38</v>
      </c>
      <c r="G155" s="9">
        <f>Тўловлар[[#This Row],[Поддон]]*$G$3</f>
        <v>4940000</v>
      </c>
      <c r="K155" s="9">
        <f>SUM(Тўловлар[[#This Row],[ПР-Сумма]]+Тўловлар[[#This Row],[Накд]]+Тўловлар[[#This Row],[Клик]]+Тўловлар[[#This Row],[Терминал]])</f>
        <v>60000000</v>
      </c>
      <c r="L155" s="8" t="s">
        <v>271</v>
      </c>
      <c r="N155" s="30" cm="1">
        <f t="array" ref="N155">IFERROR(LOOKUP(2,1/((Товар!$D$4:$D$1110=Тўловлар[[#This Row],[Клиент]])*(Товар!$E$4:$E$1110&lt;=Тўловлар[[#This Row],[Дата]])),Товар!$L$4:$L$1110),Кўрсаткичлар!$B$4)</f>
        <v>130000</v>
      </c>
      <c r="O155" s="30">
        <f>Тўловлар[[#This Row],[Поддон]]*Тўловлар[[#This Row],[Поддон нархи]]</f>
        <v>4940000</v>
      </c>
      <c r="P155" s="30">
        <f>Тўловлар[[#This Row],[Жами сумма]]-Тўловлар[[#This Row],[Поддон пули]]</f>
        <v>55060000</v>
      </c>
      <c r="Q1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5" s="9" t="str">
        <f>IFERROR(INDEX(Мижозлар[Агент],MATCH($C155,Мижозлар[Расмий ном],0)),"")</f>
        <v>Темур</v>
      </c>
    </row>
    <row r="156" spans="1:19" x14ac:dyDescent="0.2">
      <c r="A156" s="7">
        <v>46254</v>
      </c>
      <c r="B156" s="8" t="s">
        <v>25</v>
      </c>
      <c r="C156" s="8" t="s">
        <v>105</v>
      </c>
      <c r="D156" s="9">
        <v>40000000</v>
      </c>
      <c r="E156" s="8" t="s">
        <v>291</v>
      </c>
      <c r="F156" s="198"/>
      <c r="G156" s="9">
        <f>Тўловлар[[#This Row],[Поддон]]*$G$3</f>
        <v>0</v>
      </c>
      <c r="K156" s="9">
        <f>SUM(Тўловлар[[#This Row],[ПР-Сумма]]+Тўловлар[[#This Row],[Накд]]+Тўловлар[[#This Row],[Клик]]+Тўловлар[[#This Row],[Терминал]])</f>
        <v>40000000</v>
      </c>
      <c r="L156" s="8" t="s">
        <v>271</v>
      </c>
      <c r="N156" s="30" cm="1">
        <f t="array" ref="N156">IFERROR(LOOKUP(2,1/((Товар!$D$4:$D$1110=Тўловлар[[#This Row],[Клиент]])*(Товар!$E$4:$E$1110&lt;=Тўловлар[[#This Row],[Дата]])),Товар!$L$4:$L$1110),Кўрсаткичлар!$B$4)</f>
        <v>130000</v>
      </c>
      <c r="O156" s="30">
        <f>Тўловлар[[#This Row],[Поддон]]*Тўловлар[[#This Row],[Поддон нархи]]</f>
        <v>0</v>
      </c>
      <c r="P156" s="30">
        <f>Тўловлар[[#This Row],[Жами сумма]]-Тўловлар[[#This Row],[Поддон пули]]</f>
        <v>40000000</v>
      </c>
      <c r="Q1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6" s="9" t="str">
        <f>IFERROR(INDEX(Мижозлар[Агент],MATCH($C156,Мижозлар[Расмий ном],0)),"")</f>
        <v>Жамол 22-22</v>
      </c>
    </row>
    <row r="157" spans="1:19" x14ac:dyDescent="0.2">
      <c r="A157" s="7">
        <v>46254</v>
      </c>
      <c r="B157" s="8" t="s">
        <v>36</v>
      </c>
      <c r="C157" s="8" t="s">
        <v>82</v>
      </c>
      <c r="D157" s="9">
        <v>41478080</v>
      </c>
      <c r="E157" s="8" t="s">
        <v>304</v>
      </c>
      <c r="F157" s="198"/>
      <c r="G157" s="9">
        <f>Тўловлар[[#This Row],[Поддон]]*$G$3</f>
        <v>0</v>
      </c>
      <c r="K157" s="9">
        <f>SUM(Тўловлар[[#This Row],[ПР-Сумма]]+Тўловлар[[#This Row],[Накд]]+Тўловлар[[#This Row],[Клик]]+Тўловлар[[#This Row],[Терминал]])</f>
        <v>41478080</v>
      </c>
      <c r="L157" s="8" t="s">
        <v>271</v>
      </c>
      <c r="N157" s="30" cm="1">
        <f t="array" ref="N157">IFERROR(LOOKUP(2,1/((Товар!$D$4:$D$1110=Тўловлар[[#This Row],[Клиент]])*(Товар!$E$4:$E$1110&lt;=Тўловлар[[#This Row],[Дата]])),Товар!$L$4:$L$1110),Кўрсаткичлар!$B$4)</f>
        <v>130000</v>
      </c>
      <c r="O157" s="30">
        <f>Тўловлар[[#This Row],[Поддон]]*Тўловлар[[#This Row],[Поддон нархи]]</f>
        <v>0</v>
      </c>
      <c r="P157" s="30">
        <f>Тўловлар[[#This Row],[Жами сумма]]-Тўловлар[[#This Row],[Поддон пули]]</f>
        <v>41478080</v>
      </c>
      <c r="Q1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7" s="9" t="str">
        <f>IFERROR(INDEX(Мижозлар[Агент],MATCH($C157,Мижозлар[Расмий ном],0)),"")</f>
        <v>Темур</v>
      </c>
    </row>
    <row r="158" spans="1:19" x14ac:dyDescent="0.2">
      <c r="A158" s="7">
        <v>46254</v>
      </c>
      <c r="B158" s="8" t="s">
        <v>36</v>
      </c>
      <c r="C158" s="8" t="s">
        <v>82</v>
      </c>
      <c r="D158" s="9">
        <v>4940000</v>
      </c>
      <c r="E158" s="8" t="s">
        <v>312</v>
      </c>
      <c r="F158" s="198">
        <v>38</v>
      </c>
      <c r="G158" s="9">
        <f>Тўловлар[[#This Row],[Поддон]]*$G$3</f>
        <v>4940000</v>
      </c>
      <c r="K158" s="9">
        <f>SUM(Тўловлар[[#This Row],[ПР-Сумма]]+Тўловлар[[#This Row],[Накд]]+Тўловлар[[#This Row],[Клик]]+Тўловлар[[#This Row],[Терминал]])</f>
        <v>4940000</v>
      </c>
      <c r="L158" s="8" t="s">
        <v>271</v>
      </c>
      <c r="N158" s="30" cm="1">
        <f t="array" ref="N158">IFERROR(LOOKUP(2,1/((Товар!$D$4:$D$1110=Тўловлар[[#This Row],[Клиент]])*(Товар!$E$4:$E$1110&lt;=Тўловлар[[#This Row],[Дата]])),Товар!$L$4:$L$1110),Кўрсаткичлар!$B$4)</f>
        <v>130000</v>
      </c>
      <c r="O158" s="30">
        <f>Тўловлар[[#This Row],[Поддон]]*Тўловлар[[#This Row],[Поддон нархи]]</f>
        <v>4940000</v>
      </c>
      <c r="P158" s="30">
        <f>Тўловлар[[#This Row],[Жами сумма]]-Тўловлар[[#This Row],[Поддон пули]]</f>
        <v>0</v>
      </c>
      <c r="Q1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8" s="9" t="str">
        <f>IFERROR(INDEX(Мижозлар[Агент],MATCH($C158,Мижозлар[Расмий ном],0)),"")</f>
        <v>Темур</v>
      </c>
    </row>
    <row r="159" spans="1:19" x14ac:dyDescent="0.2">
      <c r="A159" s="7">
        <v>46254</v>
      </c>
      <c r="B159" s="8" t="s">
        <v>29</v>
      </c>
      <c r="C159" s="8" t="s">
        <v>67</v>
      </c>
      <c r="D159" s="9">
        <v>47418080</v>
      </c>
      <c r="E159" s="8" t="s">
        <v>591</v>
      </c>
      <c r="F159" s="198">
        <v>38</v>
      </c>
      <c r="G159" s="9">
        <f>Тўловлар[[#This Row],[Поддон]]*$G$3</f>
        <v>4940000</v>
      </c>
      <c r="K159" s="9">
        <f>SUM(Тўловлар[[#This Row],[ПР-Сумма]]+Тўловлар[[#This Row],[Накд]]+Тўловлар[[#This Row],[Клик]]+Тўловлар[[#This Row],[Терминал]])</f>
        <v>47418080</v>
      </c>
      <c r="L159" s="8" t="s">
        <v>271</v>
      </c>
      <c r="N159" s="30" cm="1">
        <f t="array" ref="N159">IFERROR(LOOKUP(2,1/((Товар!$D$4:$D$1110=Тўловлар[[#This Row],[Клиент]])*(Товар!$E$4:$E$1110&lt;=Тўловлар[[#This Row],[Дата]])),Товар!$L$4:$L$1110),Кўрсаткичлар!$B$4)</f>
        <v>130000</v>
      </c>
      <c r="O159" s="30">
        <f>Тўловлар[[#This Row],[Поддон]]*Тўловлар[[#This Row],[Поддон нархи]]</f>
        <v>4940000</v>
      </c>
      <c r="P159" s="30">
        <f>Тўловлар[[#This Row],[Жами сумма]]-Тўловлар[[#This Row],[Поддон пули]]</f>
        <v>42478080</v>
      </c>
      <c r="Q1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59" s="9" t="str">
        <f>IFERROR(INDEX(Мижозлар[Агент],MATCH($C159,Мижозлар[Расмий ном],0)),"")</f>
        <v>Зафар ога</v>
      </c>
    </row>
    <row r="160" spans="1:19" x14ac:dyDescent="0.2">
      <c r="A160" s="7">
        <v>46255</v>
      </c>
      <c r="B160" s="8" t="s">
        <v>32</v>
      </c>
      <c r="C160" s="8" t="s">
        <v>65</v>
      </c>
      <c r="D160" s="9">
        <v>84956000</v>
      </c>
      <c r="E160" s="8" t="s">
        <v>638</v>
      </c>
      <c r="F160" s="198">
        <v>57</v>
      </c>
      <c r="G160" s="9">
        <f>Тўловлар[[#This Row],[Поддон]]*$G$3</f>
        <v>7410000</v>
      </c>
      <c r="K160" s="9">
        <f>SUM(Тўловлар[[#This Row],[ПР-Сумма]]+Тўловлар[[#This Row],[Накд]]+Тўловлар[[#This Row],[Клик]]+Тўловлар[[#This Row],[Терминал]])</f>
        <v>84956000</v>
      </c>
      <c r="L160" s="8" t="s">
        <v>271</v>
      </c>
      <c r="N160" s="30" cm="1">
        <f t="array" ref="N160">IFERROR(LOOKUP(2,1/((Товар!$D$4:$D$1110=Тўловлар[[#This Row],[Клиент]])*(Товар!$E$4:$E$1110&lt;=Тўловлар[[#This Row],[Дата]])),Товар!$L$4:$L$1110),Кўрсаткичлар!$B$4)</f>
        <v>130000</v>
      </c>
      <c r="O160" s="30">
        <f>Тўловлар[[#This Row],[Поддон]]*Тўловлар[[#This Row],[Поддон нархи]]</f>
        <v>7410000</v>
      </c>
      <c r="P160" s="30">
        <f>Тўловлар[[#This Row],[Жами сумма]]-Тўловлар[[#This Row],[Поддон пули]]</f>
        <v>77546000</v>
      </c>
      <c r="Q1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0" s="9" t="str">
        <f>IFERROR(INDEX(Мижозлар[Агент],MATCH($C160,Мижозлар[Расмий ном],0)),"")</f>
        <v>Сардор ога</v>
      </c>
    </row>
    <row r="161" spans="1:19" x14ac:dyDescent="0.2">
      <c r="A161" s="7">
        <v>46255</v>
      </c>
      <c r="B161" s="8" t="s">
        <v>32</v>
      </c>
      <c r="C161" s="8" t="s">
        <v>85</v>
      </c>
      <c r="D161" s="9">
        <v>47000000</v>
      </c>
      <c r="E161" s="8" t="s">
        <v>639</v>
      </c>
      <c r="F161" s="198"/>
      <c r="G161" s="9">
        <f>Тўловлар[[#This Row],[Поддон]]*$G$3</f>
        <v>0</v>
      </c>
      <c r="K161" s="9">
        <f>SUM(Тўловлар[[#This Row],[ПР-Сумма]]+Тўловлар[[#This Row],[Накд]]+Тўловлар[[#This Row],[Клик]]+Тўловлар[[#This Row],[Терминал]])</f>
        <v>47000000</v>
      </c>
      <c r="L161" s="8" t="s">
        <v>271</v>
      </c>
      <c r="N161" s="30" cm="1">
        <f t="array" ref="N161">IFERROR(LOOKUP(2,1/((Товар!$D$4:$D$1110=Тўловлар[[#This Row],[Клиент]])*(Товар!$E$4:$E$1110&lt;=Тўловлар[[#This Row],[Дата]])),Товар!$L$4:$L$1110),Кўрсаткичлар!$B$4)</f>
        <v>130000</v>
      </c>
      <c r="O161" s="30">
        <f>Тўловлар[[#This Row],[Поддон]]*Тўловлар[[#This Row],[Поддон нархи]]</f>
        <v>0</v>
      </c>
      <c r="P161" s="30">
        <f>Тўловлар[[#This Row],[Жами сумма]]-Тўловлар[[#This Row],[Поддон пули]]</f>
        <v>47000000</v>
      </c>
      <c r="Q1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1" s="9" t="str">
        <f>IFERROR(INDEX(Мижозлар[Агент],MATCH($C161,Мижозлар[Расмий ном],0)),"")</f>
        <v>Сардор ога</v>
      </c>
    </row>
    <row r="162" spans="1:19" x14ac:dyDescent="0.2">
      <c r="A162" s="7">
        <v>46255</v>
      </c>
      <c r="B162" s="8" t="s">
        <v>32</v>
      </c>
      <c r="C162" s="8" t="s">
        <v>85</v>
      </c>
      <c r="D162" s="9">
        <v>80000000</v>
      </c>
      <c r="E162" s="8" t="s">
        <v>639</v>
      </c>
      <c r="F162" s="198">
        <v>76</v>
      </c>
      <c r="G162" s="9">
        <f>Тўловлар[[#This Row],[Поддон]]*$G$3</f>
        <v>9880000</v>
      </c>
      <c r="K162" s="9">
        <f>SUM(Тўловлар[[#This Row],[ПР-Сумма]]+Тўловлар[[#This Row],[Накд]]+Тўловлар[[#This Row],[Клик]]+Тўловлар[[#This Row],[Терминал]])</f>
        <v>80000000</v>
      </c>
      <c r="L162" s="8" t="s">
        <v>271</v>
      </c>
      <c r="N162" s="30" cm="1">
        <f t="array" ref="N162">IFERROR(LOOKUP(2,1/((Товар!$D$4:$D$1110=Тўловлар[[#This Row],[Клиент]])*(Товар!$E$4:$E$1110&lt;=Тўловлар[[#This Row],[Дата]])),Товар!$L$4:$L$1110),Кўрсаткичлар!$B$4)</f>
        <v>130000</v>
      </c>
      <c r="O162" s="30">
        <f>Тўловлар[[#This Row],[Поддон]]*Тўловлар[[#This Row],[Поддон нархи]]</f>
        <v>9880000</v>
      </c>
      <c r="P162" s="30">
        <f>Тўловлар[[#This Row],[Жами сумма]]-Тўловлар[[#This Row],[Поддон пули]]</f>
        <v>70120000</v>
      </c>
      <c r="Q1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2" s="9" t="str">
        <f>IFERROR(INDEX(Мижозлар[Агент],MATCH($C162,Мижозлар[Расмий ном],0)),"")</f>
        <v>Сардор ога</v>
      </c>
    </row>
    <row r="163" spans="1:19" x14ac:dyDescent="0.2">
      <c r="A163" s="7">
        <v>46255</v>
      </c>
      <c r="B163" s="8" t="s">
        <v>29</v>
      </c>
      <c r="C163" s="8" t="s">
        <v>95</v>
      </c>
      <c r="D163" s="9">
        <v>123000000</v>
      </c>
      <c r="E163" s="8" t="s">
        <v>640</v>
      </c>
      <c r="F163" s="198">
        <v>57</v>
      </c>
      <c r="G163" s="9">
        <f>Тўловлар[[#This Row],[Поддон]]*$G$3</f>
        <v>7410000</v>
      </c>
      <c r="K163" s="9">
        <f>SUM(Тўловлар[[#This Row],[ПР-Сумма]]+Тўловлар[[#This Row],[Накд]]+Тўловлар[[#This Row],[Клик]]+Тўловлар[[#This Row],[Терминал]])</f>
        <v>123000000</v>
      </c>
      <c r="L163" s="8" t="s">
        <v>271</v>
      </c>
      <c r="N163" s="30" cm="1">
        <f t="array" ref="N163">IFERROR(LOOKUP(2,1/((Товар!$D$4:$D$1110=Тўловлар[[#This Row],[Клиент]])*(Товар!$E$4:$E$1110&lt;=Тўловлар[[#This Row],[Дата]])),Товар!$L$4:$L$1110),Кўрсаткичлар!$B$4)</f>
        <v>130000</v>
      </c>
      <c r="O163" s="30">
        <f>Тўловлар[[#This Row],[Поддон]]*Тўловлар[[#This Row],[Поддон нархи]]</f>
        <v>7410000</v>
      </c>
      <c r="P163" s="30">
        <f>Тўловлар[[#This Row],[Жами сумма]]-Тўловлар[[#This Row],[Поддон пули]]</f>
        <v>115590000</v>
      </c>
      <c r="Q1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3" s="9" t="str">
        <f>IFERROR(INDEX(Мижозлар[Агент],MATCH($C163,Мижозлар[Расмий ном],0)),"")</f>
        <v>Зафар ога</v>
      </c>
    </row>
    <row r="164" spans="1:19" x14ac:dyDescent="0.2">
      <c r="A164" s="7">
        <v>46255</v>
      </c>
      <c r="B164" s="8" t="s">
        <v>32</v>
      </c>
      <c r="C164" s="8" t="s">
        <v>107</v>
      </c>
      <c r="D164" s="9">
        <v>47418080</v>
      </c>
      <c r="E164" s="8" t="s">
        <v>299</v>
      </c>
      <c r="F164" s="198">
        <v>19</v>
      </c>
      <c r="G164" s="9">
        <f>Тўловлар[[#This Row],[Поддон]]*$G$3</f>
        <v>2470000</v>
      </c>
      <c r="K164" s="9">
        <f>SUM(Тўловлар[[#This Row],[ПР-Сумма]]+Тўловлар[[#This Row],[Накд]]+Тўловлар[[#This Row],[Клик]]+Тўловлар[[#This Row],[Терминал]])</f>
        <v>47418080</v>
      </c>
      <c r="L164" s="8" t="s">
        <v>271</v>
      </c>
      <c r="N164" s="30" cm="1">
        <f t="array" ref="N164">IFERROR(LOOKUP(2,1/((Товар!$D$4:$D$1110=Тўловлар[[#This Row],[Клиент]])*(Товар!$E$4:$E$1110&lt;=Тўловлар[[#This Row],[Дата]])),Товар!$L$4:$L$1110),Кўрсаткичлар!$B$4)</f>
        <v>130000</v>
      </c>
      <c r="O164" s="30">
        <f>Тўловлар[[#This Row],[Поддон]]*Тўловлар[[#This Row],[Поддон нархи]]</f>
        <v>2470000</v>
      </c>
      <c r="P164" s="30">
        <f>Тўловлар[[#This Row],[Жами сумма]]-Тўловлар[[#This Row],[Поддон пули]]</f>
        <v>44948080</v>
      </c>
      <c r="Q1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4" s="9" t="str">
        <f>IFERROR(INDEX(Мижозлар[Агент],MATCH($C164,Мижозлар[Расмий ном],0)),"")</f>
        <v>Сардор ога</v>
      </c>
    </row>
    <row r="165" spans="1:19" x14ac:dyDescent="0.2">
      <c r="A165" s="7">
        <v>46255</v>
      </c>
      <c r="B165" s="8" t="s">
        <v>36</v>
      </c>
      <c r="C165" s="8" t="s">
        <v>61</v>
      </c>
      <c r="F165" s="198">
        <v>6</v>
      </c>
      <c r="G165" s="9">
        <f>Тўловлар[[#This Row],[Поддон]]*$G$3</f>
        <v>780000</v>
      </c>
      <c r="I165" s="9">
        <v>780000</v>
      </c>
      <c r="K165" s="9">
        <f>SUM(Тўловлар[[#This Row],[ПР-Сумма]]+Тўловлар[[#This Row],[Накд]]+Тўловлар[[#This Row],[Клик]]+Тўловлар[[#This Row],[Терминал]])</f>
        <v>780000</v>
      </c>
      <c r="L165" s="8" t="s">
        <v>276</v>
      </c>
      <c r="N165" s="30" cm="1">
        <f t="array" ref="N165">IFERROR(LOOKUP(2,1/((Товар!$D$4:$D$1110=Тўловлар[[#This Row],[Клиент]])*(Товар!$E$4:$E$1110&lt;=Тўловлар[[#This Row],[Дата]])),Товар!$L$4:$L$1110),Кўрсаткичлар!$B$4)</f>
        <v>130000</v>
      </c>
      <c r="O165" s="30">
        <f>Тўловлар[[#This Row],[Поддон]]*Тўловлар[[#This Row],[Поддон нархи]]</f>
        <v>780000</v>
      </c>
      <c r="P165" s="30">
        <f>Тўловлар[[#This Row],[Жами сумма]]-Тўловлар[[#This Row],[Поддон пули]]</f>
        <v>0</v>
      </c>
      <c r="Q1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5" s="9" t="str">
        <f>IFERROR(INDEX(Мижозлар[Агент],MATCH($C165,Мижозлар[Расмий ном],0)),"")</f>
        <v>Темур</v>
      </c>
    </row>
    <row r="166" spans="1:19" x14ac:dyDescent="0.2">
      <c r="A166" s="7">
        <v>46255</v>
      </c>
      <c r="B166" s="8" t="s">
        <v>40</v>
      </c>
      <c r="C166" s="8" t="s">
        <v>119</v>
      </c>
      <c r="F166" s="198"/>
      <c r="G166" s="9">
        <f>Тўловлар[[#This Row],[Поддон]]*$G$3</f>
        <v>0</v>
      </c>
      <c r="H166" s="9">
        <v>900000</v>
      </c>
      <c r="K166" s="9">
        <f>SUM(Тўловлар[[#This Row],[ПР-Сумма]]+Тўловлар[[#This Row],[Накд]]+Тўловлар[[#This Row],[Клик]]+Тўловлар[[#This Row],[Терминал]])</f>
        <v>900000</v>
      </c>
      <c r="L166" s="8" t="s">
        <v>41</v>
      </c>
      <c r="N166" s="30" cm="1">
        <f t="array" ref="N166">IFERROR(LOOKUP(2,1/((Товар!$D$4:$D$1110=Тўловлар[[#This Row],[Клиент]])*(Товар!$E$4:$E$1110&lt;=Тўловлар[[#This Row],[Дата]])),Товар!$L$4:$L$1110),Кўрсаткичлар!$B$4)</f>
        <v>130000</v>
      </c>
      <c r="O166" s="30">
        <f>Тўловлар[[#This Row],[Поддон]]*Тўловлар[[#This Row],[Поддон нархи]]</f>
        <v>0</v>
      </c>
      <c r="P166" s="30">
        <f>Тўловлар[[#This Row],[Жами сумма]]-Тўловлар[[#This Row],[Поддон пули]]</f>
        <v>900000</v>
      </c>
      <c r="Q1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6" s="9" t="str">
        <f>IFERROR(INDEX(Мижозлар[Агент],MATCH($C166,Мижозлар[Расмий ном],0)),"")</f>
        <v>Шохрух ога</v>
      </c>
    </row>
    <row r="167" spans="1:19" x14ac:dyDescent="0.2">
      <c r="A167" s="7">
        <v>46258</v>
      </c>
      <c r="B167" s="8" t="s">
        <v>29</v>
      </c>
      <c r="C167" s="8" t="s">
        <v>95</v>
      </c>
      <c r="D167" s="9">
        <v>27600000</v>
      </c>
      <c r="E167" s="8" t="s">
        <v>671</v>
      </c>
      <c r="F167" s="198">
        <v>57</v>
      </c>
      <c r="G167" s="9">
        <f>Тўловлар[[#This Row],[Поддон]]*$G$3</f>
        <v>7410000</v>
      </c>
      <c r="K167" s="9">
        <f>SUM(Тўловлар[[#This Row],[ПР-Сумма]]+Тўловлар[[#This Row],[Накд]]+Тўловлар[[#This Row],[Клик]]+Тўловлар[[#This Row],[Терминал]])</f>
        <v>27600000</v>
      </c>
      <c r="L167" s="8" t="s">
        <v>271</v>
      </c>
      <c r="N167" s="30" cm="1">
        <f t="array" ref="N167">IFERROR(LOOKUP(2,1/((Товар!$D$4:$D$1110=Тўловлар[[#This Row],[Клиент]])*(Товар!$E$4:$E$1110&lt;=Тўловлар[[#This Row],[Дата]])),Товар!$L$4:$L$1110),Кўрсаткичлар!$B$4)</f>
        <v>130000</v>
      </c>
      <c r="O167" s="30">
        <f>Тўловлар[[#This Row],[Поддон]]*Тўловлар[[#This Row],[Поддон нархи]]</f>
        <v>7410000</v>
      </c>
      <c r="P167" s="30">
        <f>Тўловлар[[#This Row],[Жами сумма]]-Тўловлар[[#This Row],[Поддон пули]]</f>
        <v>20190000</v>
      </c>
      <c r="Q1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7" s="9" t="str">
        <f>IFERROR(INDEX(Мижозлар[Агент],MATCH($C167,Мижозлар[Расмий ном],0)),"")</f>
        <v>Зафар ога</v>
      </c>
    </row>
    <row r="168" spans="1:19" x14ac:dyDescent="0.2">
      <c r="A168" s="7">
        <v>46258</v>
      </c>
      <c r="B168" s="8" t="s">
        <v>36</v>
      </c>
      <c r="C168" s="8" t="s">
        <v>48</v>
      </c>
      <c r="D168" s="9">
        <v>71127120</v>
      </c>
      <c r="E168" s="8" t="s">
        <v>307</v>
      </c>
      <c r="F168" s="198"/>
      <c r="G168" s="9">
        <f>Тўловлар[[#This Row],[Поддон]]*$G$3</f>
        <v>0</v>
      </c>
      <c r="K168" s="9">
        <f>SUM(Тўловлар[[#This Row],[ПР-Сумма]]+Тўловлар[[#This Row],[Накд]]+Тўловлар[[#This Row],[Клик]]+Тўловлар[[#This Row],[Терминал]])</f>
        <v>71127120</v>
      </c>
      <c r="L168" s="8" t="s">
        <v>271</v>
      </c>
      <c r="N168" s="30" cm="1">
        <f t="array" ref="N168">IFERROR(LOOKUP(2,1/((Товар!$D$4:$D$1110=Тўловлар[[#This Row],[Клиент]])*(Товар!$E$4:$E$1110&lt;=Тўловлар[[#This Row],[Дата]])),Товар!$L$4:$L$1110),Кўрсаткичлар!$B$4)</f>
        <v>130000</v>
      </c>
      <c r="O168" s="30">
        <f>Тўловлар[[#This Row],[Поддон]]*Тўловлар[[#This Row],[Поддон нархи]]</f>
        <v>0</v>
      </c>
      <c r="P168" s="30">
        <f>Тўловлар[[#This Row],[Жами сумма]]-Тўловлар[[#This Row],[Поддон пули]]</f>
        <v>71127120</v>
      </c>
      <c r="Q1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8" s="9" t="str">
        <f>IFERROR(INDEX(Мижозлар[Агент],MATCH($C168,Мижозлар[Расмий ном],0)),"")</f>
        <v>Темур</v>
      </c>
    </row>
    <row r="169" spans="1:19" x14ac:dyDescent="0.2">
      <c r="A169" s="7">
        <v>46258</v>
      </c>
      <c r="B169" s="8" t="s">
        <v>21</v>
      </c>
      <c r="C169" s="8" t="s">
        <v>116</v>
      </c>
      <c r="D169" s="9">
        <v>24486000</v>
      </c>
      <c r="E169" s="8" t="s">
        <v>294</v>
      </c>
      <c r="F169" s="198">
        <v>19</v>
      </c>
      <c r="G169" s="9">
        <f>Тўловлар[[#This Row],[Поддон]]*$G$3</f>
        <v>2470000</v>
      </c>
      <c r="K169" s="9">
        <f>SUM(Тўловлар[[#This Row],[ПР-Сумма]]+Тўловлар[[#This Row],[Накд]]+Тўловлар[[#This Row],[Клик]]+Тўловлар[[#This Row],[Терминал]])</f>
        <v>24486000</v>
      </c>
      <c r="L169" s="8" t="s">
        <v>271</v>
      </c>
      <c r="N169" s="30" cm="1">
        <f t="array" ref="N169">IFERROR(LOOKUP(2,1/((Товар!$D$4:$D$1110=Тўловлар[[#This Row],[Клиент]])*(Товар!$E$4:$E$1110&lt;=Тўловлар[[#This Row],[Дата]])),Товар!$L$4:$L$1110),Кўрсаткичлар!$B$4)</f>
        <v>130000</v>
      </c>
      <c r="O169" s="30">
        <f>Тўловлар[[#This Row],[Поддон]]*Тўловлар[[#This Row],[Поддон нархи]]</f>
        <v>2470000</v>
      </c>
      <c r="P169" s="30">
        <f>Тўловлар[[#This Row],[Жами сумма]]-Тўловлар[[#This Row],[Поддон пули]]</f>
        <v>22016000</v>
      </c>
      <c r="Q1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69" s="9" t="str">
        <f>IFERROR(INDEX(Мижозлар[Агент],MATCH($C169,Мижозлар[Расмий ном],0)),"")</f>
        <v>Арслон ога</v>
      </c>
    </row>
    <row r="170" spans="1:19" x14ac:dyDescent="0.2">
      <c r="A170" s="7">
        <v>46258</v>
      </c>
      <c r="B170" s="8" t="s">
        <v>25</v>
      </c>
      <c r="C170" s="8" t="s">
        <v>105</v>
      </c>
      <c r="D170" s="9">
        <v>45000000</v>
      </c>
      <c r="E170" s="8" t="s">
        <v>291</v>
      </c>
      <c r="F170" s="198"/>
      <c r="G170" s="9">
        <f>Тўловлар[[#This Row],[Поддон]]*$G$3</f>
        <v>0</v>
      </c>
      <c r="K170" s="9">
        <f>SUM(Тўловлар[[#This Row],[ПР-Сумма]]+Тўловлар[[#This Row],[Накд]]+Тўловлар[[#This Row],[Клик]]+Тўловлар[[#This Row],[Терминал]])</f>
        <v>45000000</v>
      </c>
      <c r="L170" s="8" t="s">
        <v>271</v>
      </c>
      <c r="N170" s="30" cm="1">
        <f t="array" ref="N170">IFERROR(LOOKUP(2,1/((Товар!$D$4:$D$1110=Тўловлар[[#This Row],[Клиент]])*(Товар!$E$4:$E$1110&lt;=Тўловлар[[#This Row],[Дата]])),Товар!$L$4:$L$1110),Кўрсаткичлар!$B$4)</f>
        <v>130000</v>
      </c>
      <c r="O170" s="30">
        <f>Тўловлар[[#This Row],[Поддон]]*Тўловлар[[#This Row],[Поддон нархи]]</f>
        <v>0</v>
      </c>
      <c r="P170" s="30">
        <f>Тўловлар[[#This Row],[Жами сумма]]-Тўловлар[[#This Row],[Поддон пули]]</f>
        <v>45000000</v>
      </c>
      <c r="Q1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0" s="9" t="str">
        <f>IFERROR(INDEX(Мижозлар[Агент],MATCH($C170,Мижозлар[Расмий ном],0)),"")</f>
        <v>Жамол 22-22</v>
      </c>
    </row>
    <row r="171" spans="1:19" x14ac:dyDescent="0.2">
      <c r="A171" s="7">
        <v>46258</v>
      </c>
      <c r="B171" s="8" t="s">
        <v>32</v>
      </c>
      <c r="C171" s="8" t="s">
        <v>107</v>
      </c>
      <c r="D171" s="9">
        <v>39878080</v>
      </c>
      <c r="E171" s="8" t="s">
        <v>302</v>
      </c>
      <c r="F171" s="198"/>
      <c r="G171" s="9">
        <f>Тўловлар[[#This Row],[Поддон]]*$G$3</f>
        <v>0</v>
      </c>
      <c r="K171" s="9">
        <f>SUM(Тўловлар[[#This Row],[ПР-Сумма]]+Тўловлар[[#This Row],[Накд]]+Тўловлар[[#This Row],[Клик]]+Тўловлар[[#This Row],[Терминал]])</f>
        <v>39878080</v>
      </c>
      <c r="L171" s="8" t="s">
        <v>271</v>
      </c>
      <c r="N171" s="30" cm="1">
        <f t="array" ref="N171">IFERROR(LOOKUP(2,1/((Товар!$D$4:$D$1110=Тўловлар[[#This Row],[Клиент]])*(Товар!$E$4:$E$1110&lt;=Тўловлар[[#This Row],[Дата]])),Товар!$L$4:$L$1110),Кўрсаткичлар!$B$4)</f>
        <v>130000</v>
      </c>
      <c r="O171" s="30">
        <f>Тўловлар[[#This Row],[Поддон]]*Тўловлар[[#This Row],[Поддон нархи]]</f>
        <v>0</v>
      </c>
      <c r="P171" s="30">
        <f>Тўловлар[[#This Row],[Жами сумма]]-Тўловлар[[#This Row],[Поддон пули]]</f>
        <v>39878080</v>
      </c>
      <c r="Q1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1" s="9" t="str">
        <f>IFERROR(INDEX(Мижозлар[Агент],MATCH($C171,Мижозлар[Расмий ном],0)),"")</f>
        <v>Сардор ога</v>
      </c>
    </row>
    <row r="172" spans="1:19" x14ac:dyDescent="0.2">
      <c r="A172" s="7">
        <v>46258</v>
      </c>
      <c r="B172" s="8" t="s">
        <v>36</v>
      </c>
      <c r="C172" s="8" t="s">
        <v>82</v>
      </c>
      <c r="D172" s="9">
        <v>41478080</v>
      </c>
      <c r="E172" s="8" t="s">
        <v>304</v>
      </c>
      <c r="F172" s="198"/>
      <c r="G172" s="9">
        <f>Тўловлар[[#This Row],[Поддон]]*$G$3</f>
        <v>0</v>
      </c>
      <c r="K172" s="9">
        <f>SUM(Тўловлар[[#This Row],[ПР-Сумма]]+Тўловлар[[#This Row],[Накд]]+Тўловлар[[#This Row],[Клик]]+Тўловлар[[#This Row],[Терминал]])</f>
        <v>41478080</v>
      </c>
      <c r="L172" s="8" t="s">
        <v>271</v>
      </c>
      <c r="N172" s="30" cm="1">
        <f t="array" ref="N172">IFERROR(LOOKUP(2,1/((Товар!$D$4:$D$1110=Тўловлар[[#This Row],[Клиент]])*(Товар!$E$4:$E$1110&lt;=Тўловлар[[#This Row],[Дата]])),Товар!$L$4:$L$1110),Кўрсаткичлар!$B$4)</f>
        <v>130000</v>
      </c>
      <c r="O172" s="30">
        <f>Тўловлар[[#This Row],[Поддон]]*Тўловлар[[#This Row],[Поддон нархи]]</f>
        <v>0</v>
      </c>
      <c r="P172" s="30">
        <f>Тўловлар[[#This Row],[Жами сумма]]-Тўловлар[[#This Row],[Поддон пули]]</f>
        <v>41478080</v>
      </c>
      <c r="Q1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2" s="9" t="str">
        <f>IFERROR(INDEX(Мижозлар[Агент],MATCH($C172,Мижозлар[Расмий ном],0)),"")</f>
        <v>Темур</v>
      </c>
    </row>
    <row r="173" spans="1:19" x14ac:dyDescent="0.2">
      <c r="A173" s="7">
        <v>46258</v>
      </c>
      <c r="B173" s="8" t="s">
        <v>36</v>
      </c>
      <c r="C173" s="8" t="s">
        <v>82</v>
      </c>
      <c r="D173" s="9">
        <v>4940000</v>
      </c>
      <c r="E173" s="8" t="s">
        <v>304</v>
      </c>
      <c r="F173" s="198">
        <v>38</v>
      </c>
      <c r="G173" s="9">
        <f>Тўловлар[[#This Row],[Поддон]]*$G$3</f>
        <v>4940000</v>
      </c>
      <c r="K173" s="9">
        <f>SUM(Тўловлар[[#This Row],[ПР-Сумма]]+Тўловлар[[#This Row],[Накд]]+Тўловлар[[#This Row],[Клик]]+Тўловлар[[#This Row],[Терминал]])</f>
        <v>4940000</v>
      </c>
      <c r="L173" s="8" t="s">
        <v>271</v>
      </c>
      <c r="N173" s="30" cm="1">
        <f t="array" ref="N173">IFERROR(LOOKUP(2,1/((Товар!$D$4:$D$1110=Тўловлар[[#This Row],[Клиент]])*(Товар!$E$4:$E$1110&lt;=Тўловлар[[#This Row],[Дата]])),Товар!$L$4:$L$1110),Кўрсаткичлар!$B$4)</f>
        <v>130000</v>
      </c>
      <c r="O173" s="30">
        <f>Тўловлар[[#This Row],[Поддон]]*Тўловлар[[#This Row],[Поддон нархи]]</f>
        <v>4940000</v>
      </c>
      <c r="P173" s="30">
        <f>Тўловлар[[#This Row],[Жами сумма]]-Тўловлар[[#This Row],[Поддон пули]]</f>
        <v>0</v>
      </c>
      <c r="Q1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3" s="9" t="str">
        <f>IFERROR(INDEX(Мижозлар[Агент],MATCH($C173,Мижозлар[Расмий ном],0)),"")</f>
        <v>Темур</v>
      </c>
    </row>
    <row r="174" spans="1:19" x14ac:dyDescent="0.2">
      <c r="A174" s="7">
        <v>46259</v>
      </c>
      <c r="B174" s="8" t="s">
        <v>25</v>
      </c>
      <c r="C174" s="8" t="s">
        <v>105</v>
      </c>
      <c r="D174" s="9">
        <v>100000000</v>
      </c>
      <c r="E174" s="8" t="s">
        <v>291</v>
      </c>
      <c r="F174" s="198"/>
      <c r="G174" s="9">
        <f>Тўловлар[[#This Row],[Поддон]]*$G$3</f>
        <v>0</v>
      </c>
      <c r="K174" s="9">
        <f>SUM(Тўловлар[[#This Row],[ПР-Сумма]]+Тўловлар[[#This Row],[Накд]]+Тўловлар[[#This Row],[Клик]]+Тўловлар[[#This Row],[Терминал]])</f>
        <v>100000000</v>
      </c>
      <c r="L174" s="8" t="s">
        <v>271</v>
      </c>
      <c r="N174" s="30" cm="1">
        <f t="array" ref="N174">IFERROR(LOOKUP(2,1/((Товар!$D$4:$D$1110=Тўловлар[[#This Row],[Клиент]])*(Товар!$E$4:$E$1110&lt;=Тўловлар[[#This Row],[Дата]])),Товар!$L$4:$L$1110),Кўрсаткичлар!$B$4)</f>
        <v>130000</v>
      </c>
      <c r="O174" s="30">
        <f>Тўловлар[[#This Row],[Поддон]]*Тўловлар[[#This Row],[Поддон нархи]]</f>
        <v>0</v>
      </c>
      <c r="P174" s="30">
        <f>Тўловлар[[#This Row],[Жами сумма]]-Тўловлар[[#This Row],[Поддон пули]]</f>
        <v>100000000</v>
      </c>
      <c r="Q1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Жамол 22-22</v>
      </c>
      <c r="R1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4" s="9" t="str">
        <f>IFERROR(INDEX(Мижозлар[Агент],MATCH($C174,Мижозлар[Расмий ном],0)),"")</f>
        <v>Жамол 22-22</v>
      </c>
    </row>
    <row r="175" spans="1:19" x14ac:dyDescent="0.2">
      <c r="A175" s="7">
        <v>46259</v>
      </c>
      <c r="B175" s="8" t="s">
        <v>29</v>
      </c>
      <c r="C175" s="8" t="s">
        <v>67</v>
      </c>
      <c r="D175" s="9">
        <v>100000000</v>
      </c>
      <c r="E175" s="8" t="s">
        <v>591</v>
      </c>
      <c r="F175" s="198">
        <v>152</v>
      </c>
      <c r="G175" s="9">
        <f>Тўловлар[[#This Row],[Поддон]]*$G$3</f>
        <v>19760000</v>
      </c>
      <c r="K175" s="9">
        <f>SUM(Тўловлар[[#This Row],[ПР-Сумма]]+Тўловлар[[#This Row],[Накд]]+Тўловлар[[#This Row],[Клик]]+Тўловлар[[#This Row],[Терминал]])</f>
        <v>100000000</v>
      </c>
      <c r="L175" s="8" t="s">
        <v>271</v>
      </c>
      <c r="N175" s="30" cm="1">
        <f t="array" ref="N175">IFERROR(LOOKUP(2,1/((Товар!$D$4:$D$1110=Тўловлар[[#This Row],[Клиент]])*(Товар!$E$4:$E$1110&lt;=Тўловлар[[#This Row],[Дата]])),Товар!$L$4:$L$1110),Кўрсаткичлар!$B$4)</f>
        <v>130000</v>
      </c>
      <c r="O175" s="30">
        <f>Тўловлар[[#This Row],[Поддон]]*Тўловлар[[#This Row],[Поддон нархи]]</f>
        <v>19760000</v>
      </c>
      <c r="P175" s="30">
        <f>Тўловлар[[#This Row],[Жами сумма]]-Тўловлар[[#This Row],[Поддон пули]]</f>
        <v>80240000</v>
      </c>
      <c r="Q1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5" s="9" t="str">
        <f>IFERROR(INDEX(Мижозлар[Агент],MATCH($C175,Мижозлар[Расмий ном],0)),"")</f>
        <v>Зафар ога</v>
      </c>
    </row>
    <row r="176" spans="1:19" x14ac:dyDescent="0.2">
      <c r="A176" s="7">
        <v>46260</v>
      </c>
      <c r="B176" s="8" t="s">
        <v>36</v>
      </c>
      <c r="C176" s="8" t="s">
        <v>82</v>
      </c>
      <c r="D176" s="9">
        <v>41478080</v>
      </c>
      <c r="E176" s="8" t="s">
        <v>304</v>
      </c>
      <c r="F176" s="198"/>
      <c r="G176" s="9">
        <f>Тўловлар[[#This Row],[Поддон]]*$G$3</f>
        <v>0</v>
      </c>
      <c r="K176" s="9">
        <f>SUM(Тўловлар[[#This Row],[ПР-Сумма]]+Тўловлар[[#This Row],[Накд]]+Тўловлар[[#This Row],[Клик]]+Тўловлар[[#This Row],[Терминал]])</f>
        <v>41478080</v>
      </c>
      <c r="L176" s="8" t="s">
        <v>271</v>
      </c>
      <c r="N176" s="30" cm="1">
        <f t="array" ref="N176">IFERROR(LOOKUP(2,1/((Товар!$D$4:$D$1110=Тўловлар[[#This Row],[Клиент]])*(Товар!$E$4:$E$1110&lt;=Тўловлар[[#This Row],[Дата]])),Товар!$L$4:$L$1110),Кўрсаткичлар!$B$4)</f>
        <v>130000</v>
      </c>
      <c r="O176" s="30">
        <f>Тўловлар[[#This Row],[Поддон]]*Тўловлар[[#This Row],[Поддон нархи]]</f>
        <v>0</v>
      </c>
      <c r="P176" s="30">
        <f>Тўловлар[[#This Row],[Жами сумма]]-Тўловлар[[#This Row],[Поддон пули]]</f>
        <v>41478080</v>
      </c>
      <c r="Q1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6" s="9" t="str">
        <f>IFERROR(INDEX(Мижозлар[Агент],MATCH($C176,Мижозлар[Расмий ном],0)),"")</f>
        <v>Темур</v>
      </c>
    </row>
    <row r="177" spans="1:19" x14ac:dyDescent="0.2">
      <c r="A177" s="7">
        <v>46260</v>
      </c>
      <c r="B177" s="8" t="s">
        <v>36</v>
      </c>
      <c r="C177" s="8" t="s">
        <v>82</v>
      </c>
      <c r="D177" s="9">
        <v>4940000</v>
      </c>
      <c r="E177" s="8" t="s">
        <v>304</v>
      </c>
      <c r="F177" s="198">
        <v>38</v>
      </c>
      <c r="G177" s="9">
        <f>Тўловлар[[#This Row],[Поддон]]*$G$3</f>
        <v>4940000</v>
      </c>
      <c r="K177" s="9">
        <f>SUM(Тўловлар[[#This Row],[ПР-Сумма]]+Тўловлар[[#This Row],[Накд]]+Тўловлар[[#This Row],[Клик]]+Тўловлар[[#This Row],[Терминал]])</f>
        <v>4940000</v>
      </c>
      <c r="L177" s="8" t="s">
        <v>271</v>
      </c>
      <c r="N177" s="30" cm="1">
        <f t="array" ref="N177">IFERROR(LOOKUP(2,1/((Товар!$D$4:$D$1110=Тўловлар[[#This Row],[Клиент]])*(Товар!$E$4:$E$1110&lt;=Тўловлар[[#This Row],[Дата]])),Товар!$L$4:$L$1110),Кўрсаткичлар!$B$4)</f>
        <v>130000</v>
      </c>
      <c r="O177" s="30">
        <f>Тўловлар[[#This Row],[Поддон]]*Тўловлар[[#This Row],[Поддон нархи]]</f>
        <v>4940000</v>
      </c>
      <c r="P177" s="30">
        <f>Тўловлар[[#This Row],[Жами сумма]]-Тўловлар[[#This Row],[Поддон пули]]</f>
        <v>0</v>
      </c>
      <c r="Q1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7" s="9" t="str">
        <f>IFERROR(INDEX(Мижозлар[Агент],MATCH($C177,Мижозлар[Расмий ном],0)),"")</f>
        <v>Темур</v>
      </c>
    </row>
    <row r="178" spans="1:19" x14ac:dyDescent="0.2">
      <c r="A178" s="7">
        <v>46260</v>
      </c>
      <c r="B178" s="8" t="s">
        <v>36</v>
      </c>
      <c r="C178" s="8" t="s">
        <v>592</v>
      </c>
      <c r="D178" s="9">
        <v>3717120</v>
      </c>
      <c r="E178" s="8" t="s">
        <v>590</v>
      </c>
      <c r="F178" s="198">
        <v>19</v>
      </c>
      <c r="G178" s="9">
        <f>Тўловлар[[#This Row],[Поддон]]*$G$3</f>
        <v>2470000</v>
      </c>
      <c r="K178" s="9">
        <f>SUM(Тўловлар[[#This Row],[ПР-Сумма]]+Тўловлар[[#This Row],[Накд]]+Тўловлар[[#This Row],[Клик]]+Тўловлар[[#This Row],[Терминал]])</f>
        <v>3717120</v>
      </c>
      <c r="L178" s="8" t="s">
        <v>271</v>
      </c>
      <c r="N178" s="30" cm="1">
        <f t="array" ref="N178">IFERROR(LOOKUP(2,1/((Товар!$D$4:$D$1110=Тўловлар[[#This Row],[Клиент]])*(Товар!$E$4:$E$1110&lt;=Тўловлар[[#This Row],[Дата]])),Товар!$L$4:$L$1110),Кўрсаткичлар!$B$4)</f>
        <v>130000</v>
      </c>
      <c r="O178" s="30">
        <f>Тўловлар[[#This Row],[Поддон]]*Тўловлар[[#This Row],[Поддон нархи]]</f>
        <v>2470000</v>
      </c>
      <c r="P178" s="30">
        <f>Тўловлар[[#This Row],[Жами сумма]]-Тўловлар[[#This Row],[Поддон пули]]</f>
        <v>1247120</v>
      </c>
      <c r="Q1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8" s="9" t="str">
        <f>IFERROR(INDEX(Мижозлар[Агент],MATCH($C178,Мижозлар[Расмий ном],0)),"")</f>
        <v>Темур</v>
      </c>
    </row>
    <row r="179" spans="1:19" x14ac:dyDescent="0.2">
      <c r="A179" s="7">
        <v>46260</v>
      </c>
      <c r="B179" s="8" t="s">
        <v>32</v>
      </c>
      <c r="C179" s="8" t="s">
        <v>85</v>
      </c>
      <c r="D179" s="9">
        <v>60000000</v>
      </c>
      <c r="E179" s="8" t="s">
        <v>306</v>
      </c>
      <c r="F179" s="198"/>
      <c r="G179" s="9">
        <f>Тўловлар[[#This Row],[Поддон]]*$G$3</f>
        <v>0</v>
      </c>
      <c r="K179" s="9">
        <f>SUM(Тўловлар[[#This Row],[ПР-Сумма]]+Тўловлар[[#This Row],[Накд]]+Тўловлар[[#This Row],[Клик]]+Тўловлар[[#This Row],[Терминал]])</f>
        <v>60000000</v>
      </c>
      <c r="L179" s="8" t="s">
        <v>271</v>
      </c>
      <c r="N179" s="30" cm="1">
        <f t="array" ref="N179">IFERROR(LOOKUP(2,1/((Товар!$D$4:$D$1110=Тўловлар[[#This Row],[Клиент]])*(Товар!$E$4:$E$1110&lt;=Тўловлар[[#This Row],[Дата]])),Товар!$L$4:$L$1110),Кўрсаткичлар!$B$4)</f>
        <v>130000</v>
      </c>
      <c r="O179" s="30">
        <f>Тўловлар[[#This Row],[Поддон]]*Тўловлар[[#This Row],[Поддон нархи]]</f>
        <v>0</v>
      </c>
      <c r="P179" s="30">
        <f>Тўловлар[[#This Row],[Жами сумма]]-Тўловлар[[#This Row],[Поддон пули]]</f>
        <v>60000000</v>
      </c>
      <c r="Q1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79" s="9" t="str">
        <f>IFERROR(INDEX(Мижозлар[Агент],MATCH($C179,Мижозлар[Расмий ном],0)),"")</f>
        <v>Сардор ога</v>
      </c>
    </row>
    <row r="180" spans="1:19" x14ac:dyDescent="0.2">
      <c r="A180" s="7">
        <v>46260</v>
      </c>
      <c r="B180" s="8" t="s">
        <v>29</v>
      </c>
      <c r="C180" s="8" t="s">
        <v>691</v>
      </c>
      <c r="D180" s="9">
        <v>23509040</v>
      </c>
      <c r="E180" s="8" t="s">
        <v>692</v>
      </c>
      <c r="F180" s="198">
        <v>19</v>
      </c>
      <c r="G180" s="9">
        <f>Тўловлар[[#This Row],[Поддон]]*$G$3</f>
        <v>2470000</v>
      </c>
      <c r="K180" s="9">
        <f>SUM(Тўловлар[[#This Row],[ПР-Сумма]]+Тўловлар[[#This Row],[Накд]]+Тўловлар[[#This Row],[Клик]]+Тўловлар[[#This Row],[Терминал]])</f>
        <v>23509040</v>
      </c>
      <c r="L180" s="8" t="s">
        <v>271</v>
      </c>
      <c r="N180" s="30" cm="1">
        <f t="array" ref="N180">IFERROR(LOOKUP(2,1/((Товар!$D$4:$D$1110=Тўловлар[[#This Row],[Клиент]])*(Товар!$E$4:$E$1110&lt;=Тўловлар[[#This Row],[Дата]])),Товар!$L$4:$L$1110),Кўрсаткичлар!$B$4)</f>
        <v>130000</v>
      </c>
      <c r="O180" s="30">
        <f>Тўловлар[[#This Row],[Поддон]]*Тўловлар[[#This Row],[Поддон нархи]]</f>
        <v>2470000</v>
      </c>
      <c r="P180" s="30">
        <f>Тўловлар[[#This Row],[Жами сумма]]-Тўловлар[[#This Row],[Поддон пули]]</f>
        <v>21039040</v>
      </c>
      <c r="Q1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0" s="9" t="str">
        <f>IFERROR(INDEX(Мижозлар[Агент],MATCH($C180,Мижозлар[Расмий ном],0)),"")</f>
        <v>Зафар ога</v>
      </c>
    </row>
    <row r="181" spans="1:19" x14ac:dyDescent="0.2">
      <c r="A181" s="7">
        <v>46260</v>
      </c>
      <c r="B181" s="8" t="s">
        <v>29</v>
      </c>
      <c r="C181" s="8" t="s">
        <v>691</v>
      </c>
      <c r="D181" s="9">
        <v>-100000</v>
      </c>
      <c r="E181" s="8" t="s">
        <v>692</v>
      </c>
      <c r="F181" s="198"/>
      <c r="G181" s="9">
        <f>Тўловлар[[#This Row],[Поддон]]*$G$3</f>
        <v>0</v>
      </c>
      <c r="K181" s="9">
        <f>SUM(Тўловлар[[#This Row],[ПР-Сумма]]+Тўловлар[[#This Row],[Накд]]+Тўловлар[[#This Row],[Клик]]+Тўловлар[[#This Row],[Терминал]])</f>
        <v>-100000</v>
      </c>
      <c r="L181" s="8" t="s">
        <v>703</v>
      </c>
      <c r="N181" s="30" cm="1">
        <f t="array" ref="N181">IFERROR(LOOKUP(2,1/((Товар!$D$4:$D$1110=Тўловлар[[#This Row],[Клиент]])*(Товар!$E$4:$E$1110&lt;=Тўловлар[[#This Row],[Дата]])),Товар!$L$4:$L$1110),Кўрсаткичлар!$B$4)</f>
        <v>130000</v>
      </c>
      <c r="O181" s="30">
        <f>Тўловлар[[#This Row],[Поддон]]*Тўловлар[[#This Row],[Поддон нархи]]</f>
        <v>0</v>
      </c>
      <c r="P181" s="30">
        <f>Тўловлар[[#This Row],[Жами сумма]]-Тўловлар[[#This Row],[Поддон пули]]</f>
        <v>-100000</v>
      </c>
      <c r="Q1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1" s="9" t="str">
        <f>IFERROR(INDEX(Мижозлар[Агент],MATCH($C181,Мижозлар[Расмий ном],0)),"")</f>
        <v>Зафар ога</v>
      </c>
    </row>
    <row r="182" spans="1:19" x14ac:dyDescent="0.2">
      <c r="A182" s="7">
        <v>46260</v>
      </c>
      <c r="B182" s="8" t="s">
        <v>36</v>
      </c>
      <c r="C182" s="8" t="s">
        <v>82</v>
      </c>
      <c r="D182" s="9">
        <v>20482400</v>
      </c>
      <c r="E182" s="8" t="s">
        <v>304</v>
      </c>
      <c r="F182" s="198"/>
      <c r="G182" s="9">
        <f>Тўловлар[[#This Row],[Поддон]]*$G$3</f>
        <v>0</v>
      </c>
      <c r="K182" s="9">
        <f>SUM(Тўловлар[[#This Row],[ПР-Сумма]]+Тўловлар[[#This Row],[Накд]]+Тўловлар[[#This Row],[Клик]]+Тўловлар[[#This Row],[Терминал]])</f>
        <v>20482400</v>
      </c>
      <c r="L182" s="8" t="s">
        <v>271</v>
      </c>
      <c r="N182" s="30" cm="1">
        <f t="array" ref="N182">IFERROR(LOOKUP(2,1/((Товар!$D$4:$D$1110=Тўловлар[[#This Row],[Клиент]])*(Товар!$E$4:$E$1110&lt;=Тўловлар[[#This Row],[Дата]])),Товар!$L$4:$L$1110),Кўрсаткичлар!$B$4)</f>
        <v>130000</v>
      </c>
      <c r="O182" s="30">
        <f>Тўловлар[[#This Row],[Поддон]]*Тўловлар[[#This Row],[Поддон нархи]]</f>
        <v>0</v>
      </c>
      <c r="P182" s="30">
        <f>Тўловлар[[#This Row],[Жами сумма]]-Тўловлар[[#This Row],[Поддон пули]]</f>
        <v>20482400</v>
      </c>
      <c r="Q1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2" s="9" t="str">
        <f>IFERROR(INDEX(Мижозлар[Агент],MATCH($C182,Мижозлар[Расмий ном],0)),"")</f>
        <v>Темур</v>
      </c>
    </row>
    <row r="183" spans="1:19" x14ac:dyDescent="0.2">
      <c r="A183" s="7">
        <v>46261</v>
      </c>
      <c r="B183" s="8" t="s">
        <v>36</v>
      </c>
      <c r="C183" s="8" t="s">
        <v>694</v>
      </c>
      <c r="D183" s="9">
        <v>70000000</v>
      </c>
      <c r="E183" s="8" t="s">
        <v>287</v>
      </c>
      <c r="F183" s="198">
        <v>57</v>
      </c>
      <c r="G183" s="9">
        <f>Тўловлар[[#This Row],[Поддон]]*$G$3</f>
        <v>7410000</v>
      </c>
      <c r="K183" s="9">
        <f>SUM(Тўловлар[[#This Row],[ПР-Сумма]]+Тўловлар[[#This Row],[Накд]]+Тўловлар[[#This Row],[Клик]]+Тўловлар[[#This Row],[Терминал]])</f>
        <v>70000000</v>
      </c>
      <c r="L183" s="8" t="s">
        <v>271</v>
      </c>
      <c r="N183" s="30" cm="1">
        <f t="array" ref="N183">IFERROR(LOOKUP(2,1/((Товар!$D$4:$D$1110=Тўловлар[[#This Row],[Клиент]])*(Товар!$E$4:$E$1110&lt;=Тўловлар[[#This Row],[Дата]])),Товар!$L$4:$L$1110),Кўрсаткичлар!$B$4)</f>
        <v>130000</v>
      </c>
      <c r="O183" s="30">
        <f>Тўловлар[[#This Row],[Поддон]]*Тўловлар[[#This Row],[Поддон нархи]]</f>
        <v>7410000</v>
      </c>
      <c r="P183" s="30">
        <f>Тўловлар[[#This Row],[Жами сумма]]-Тўловлар[[#This Row],[Поддон пули]]</f>
        <v>62590000</v>
      </c>
      <c r="Q1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3" s="9" t="str">
        <f>IFERROR(INDEX(Мижозлар[Агент],MATCH($C183,Мижозлар[Расмий ном],0)),"")</f>
        <v>Темур</v>
      </c>
    </row>
    <row r="184" spans="1:19" x14ac:dyDescent="0.2">
      <c r="A184" s="7">
        <v>46261</v>
      </c>
      <c r="B184" s="8" t="s">
        <v>36</v>
      </c>
      <c r="C184" s="8" t="s">
        <v>74</v>
      </c>
      <c r="D184" s="9">
        <v>189672320</v>
      </c>
      <c r="E184" s="8" t="s">
        <v>696</v>
      </c>
      <c r="F184" s="198">
        <v>152</v>
      </c>
      <c r="G184" s="9">
        <f>Тўловлар[[#This Row],[Поддон]]*$G$3</f>
        <v>19760000</v>
      </c>
      <c r="K184" s="9">
        <f>SUM(Тўловлар[[#This Row],[ПР-Сумма]]+Тўловлар[[#This Row],[Накд]]+Тўловлар[[#This Row],[Клик]]+Тўловлар[[#This Row],[Терминал]])</f>
        <v>189672320</v>
      </c>
      <c r="L184" s="8" t="s">
        <v>271</v>
      </c>
      <c r="N184" s="30" cm="1">
        <f t="array" ref="N184">IFERROR(LOOKUP(2,1/((Товар!$D$4:$D$1110=Тўловлар[[#This Row],[Клиент]])*(Товар!$E$4:$E$1110&lt;=Тўловлар[[#This Row],[Дата]])),Товар!$L$4:$L$1110),Кўрсаткичлар!$B$4)</f>
        <v>130000</v>
      </c>
      <c r="O184" s="30">
        <f>Тўловлар[[#This Row],[Поддон]]*Тўловлар[[#This Row],[Поддон нархи]]</f>
        <v>19760000</v>
      </c>
      <c r="P184" s="30">
        <f>Тўловлар[[#This Row],[Жами сумма]]-Тўловлар[[#This Row],[Поддон пули]]</f>
        <v>169912320</v>
      </c>
      <c r="Q1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4" s="9" t="str">
        <f>IFERROR(INDEX(Мижозлар[Агент],MATCH($C184,Мижозлар[Расмий ном],0)),"")</f>
        <v>Темур</v>
      </c>
    </row>
    <row r="185" spans="1:19" x14ac:dyDescent="0.2">
      <c r="A185" s="7">
        <v>46262</v>
      </c>
      <c r="B185" s="8" t="s">
        <v>36</v>
      </c>
      <c r="C185" s="8" t="s">
        <v>592</v>
      </c>
      <c r="F185" s="198">
        <v>0</v>
      </c>
      <c r="G185" s="9">
        <f>Тўловлар[[#This Row],[Поддон]]*$G$3</f>
        <v>0</v>
      </c>
      <c r="I185" s="9">
        <v>5000000</v>
      </c>
      <c r="K185" s="9">
        <f>SUM(Тўловлар[[#This Row],[ПР-Сумма]]+Тўловлар[[#This Row],[Накд]]+Тўловлар[[#This Row],[Клик]]+Тўловлар[[#This Row],[Терминал]])</f>
        <v>5000000</v>
      </c>
      <c r="N185" s="30" cm="1">
        <f t="array" ref="N185">IFERROR(LOOKUP(2,1/((Товар!$D$4:$D$1110=Тўловлар[[#This Row],[Клиент]])*(Товар!$E$4:$E$1110&lt;=Тўловлар[[#This Row],[Дата]])),Товар!$L$4:$L$1110),Кўрсаткичлар!$B$4)</f>
        <v>130000</v>
      </c>
      <c r="O185" s="30">
        <f>Тўловлар[[#This Row],[Поддон]]*Тўловлар[[#This Row],[Поддон нархи]]</f>
        <v>0</v>
      </c>
      <c r="P185" s="30">
        <f>Тўловлар[[#This Row],[Жами сумма]]-Тўловлар[[#This Row],[Поддон пули]]</f>
        <v>5000000</v>
      </c>
      <c r="Q1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5" s="9" t="str">
        <f>IFERROR(INDEX(Мижозлар[Агент],MATCH($C185,Мижозлар[Расмий ном],0)),"")</f>
        <v>Темур</v>
      </c>
    </row>
    <row r="186" spans="1:19" x14ac:dyDescent="0.2">
      <c r="A186" s="7">
        <v>46262</v>
      </c>
      <c r="B186" s="8" t="s">
        <v>32</v>
      </c>
      <c r="C186" s="8" t="s">
        <v>107</v>
      </c>
      <c r="D186" s="9">
        <v>47418080</v>
      </c>
      <c r="E186" s="8" t="s">
        <v>302</v>
      </c>
      <c r="F186" s="198">
        <v>38</v>
      </c>
      <c r="G186" s="9">
        <f>Тўловлар[[#This Row],[Поддон]]*$G$3</f>
        <v>4940000</v>
      </c>
      <c r="K186" s="9">
        <f>SUM(Тўловлар[[#This Row],[ПР-Сумма]]+Тўловлар[[#This Row],[Накд]]+Тўловлар[[#This Row],[Клик]]+Тўловлар[[#This Row],[Терминал]])</f>
        <v>47418080</v>
      </c>
      <c r="L186" s="8" t="s">
        <v>271</v>
      </c>
      <c r="N186" s="30" cm="1">
        <f t="array" ref="N186">IFERROR(LOOKUP(2,1/((Товар!$D$4:$D$1110=Тўловлар[[#This Row],[Клиент]])*(Товар!$E$4:$E$1110&lt;=Тўловлар[[#This Row],[Дата]])),Товар!$L$4:$L$1110),Кўрсаткичлар!$B$4)</f>
        <v>130000</v>
      </c>
      <c r="O186" s="30">
        <f>Тўловлар[[#This Row],[Поддон]]*Тўловлар[[#This Row],[Поддон нархи]]</f>
        <v>4940000</v>
      </c>
      <c r="P186" s="30">
        <f>Тўловлар[[#This Row],[Жами сумма]]-Тўловлар[[#This Row],[Поддон пули]]</f>
        <v>42478080</v>
      </c>
      <c r="Q1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Сардор ога</v>
      </c>
      <c r="R1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6" s="9" t="str">
        <f>IFERROR(INDEX(Мижозлар[Агент],MATCH($C186,Мижозлар[Расмий ном],0)),"")</f>
        <v>Сардор ога</v>
      </c>
    </row>
    <row r="187" spans="1:19" x14ac:dyDescent="0.2">
      <c r="A187" s="7">
        <v>46262</v>
      </c>
      <c r="B187" s="8" t="s">
        <v>21</v>
      </c>
      <c r="C187" s="8" t="s">
        <v>116</v>
      </c>
      <c r="D187" s="9">
        <v>23968240</v>
      </c>
      <c r="E187" s="8" t="s">
        <v>294</v>
      </c>
      <c r="F187" s="198">
        <v>19</v>
      </c>
      <c r="G187" s="9">
        <f>Тўловлар[[#This Row],[Поддон]]*$G$3</f>
        <v>2470000</v>
      </c>
      <c r="K187" s="9">
        <f>SUM(Тўловлар[[#This Row],[ПР-Сумма]]+Тўловлар[[#This Row],[Накд]]+Тўловлар[[#This Row],[Клик]]+Тўловлар[[#This Row],[Терминал]])</f>
        <v>23968240</v>
      </c>
      <c r="L187" s="8" t="s">
        <v>271</v>
      </c>
      <c r="N187" s="30" cm="1">
        <f t="array" ref="N187">IFERROR(LOOKUP(2,1/((Товар!$D$4:$D$1110=Тўловлар[[#This Row],[Клиент]])*(Товар!$E$4:$E$1110&lt;=Тўловлар[[#This Row],[Дата]])),Товар!$L$4:$L$1110),Кўрсаткичлар!$B$4)</f>
        <v>130000</v>
      </c>
      <c r="O187" s="30">
        <f>Тўловлар[[#This Row],[Поддон]]*Тўловлар[[#This Row],[Поддон нархи]]</f>
        <v>2470000</v>
      </c>
      <c r="P187" s="30">
        <f>Тўловлар[[#This Row],[Жами сумма]]-Тўловлар[[#This Row],[Поддон пули]]</f>
        <v>21498240</v>
      </c>
      <c r="Q1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7" s="9" t="str">
        <f>IFERROR(INDEX(Мижозлар[Агент],MATCH($C187,Мижозлар[Расмий ном],0)),"")</f>
        <v>Арслон ога</v>
      </c>
    </row>
    <row r="188" spans="1:19" x14ac:dyDescent="0.2">
      <c r="A188" s="7">
        <v>46262</v>
      </c>
      <c r="B188" s="8" t="s">
        <v>36</v>
      </c>
      <c r="C188" s="8" t="s">
        <v>123</v>
      </c>
      <c r="D188" s="9">
        <v>100000000</v>
      </c>
      <c r="E188" s="8" t="s">
        <v>338</v>
      </c>
      <c r="F188" s="198">
        <v>57</v>
      </c>
      <c r="G188" s="9">
        <f>Тўловлар[[#This Row],[Поддон]]*$G$3</f>
        <v>7410000</v>
      </c>
      <c r="K188" s="9">
        <f>SUM(Тўловлар[[#This Row],[ПР-Сумма]]+Тўловлар[[#This Row],[Накд]]+Тўловлар[[#This Row],[Клик]]+Тўловлар[[#This Row],[Терминал]])</f>
        <v>100000000</v>
      </c>
      <c r="L188" s="8" t="s">
        <v>271</v>
      </c>
      <c r="N188" s="30" cm="1">
        <f t="array" ref="N188">IFERROR(LOOKUP(2,1/((Товар!$D$4:$D$1110=Тўловлар[[#This Row],[Клиент]])*(Товар!$E$4:$E$1110&lt;=Тўловлар[[#This Row],[Дата]])),Товар!$L$4:$L$1110),Кўрсаткичлар!$B$4)</f>
        <v>130000</v>
      </c>
      <c r="O188" s="30">
        <f>Тўловлар[[#This Row],[Поддон]]*Тўловлар[[#This Row],[Поддон нархи]]</f>
        <v>7410000</v>
      </c>
      <c r="P188" s="30">
        <f>Тўловлар[[#This Row],[Жами сумма]]-Тўловлар[[#This Row],[Поддон пули]]</f>
        <v>92590000</v>
      </c>
      <c r="Q1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8" s="9" t="str">
        <f>IFERROR(INDEX(Мижозлар[Агент],MATCH($C188,Мижозлар[Расмий ном],0)),"")</f>
        <v>Темур</v>
      </c>
    </row>
    <row r="189" spans="1:19" x14ac:dyDescent="0.2">
      <c r="A189" s="7">
        <v>46262</v>
      </c>
      <c r="B189" s="8" t="s">
        <v>29</v>
      </c>
      <c r="C189" s="8" t="s">
        <v>691</v>
      </c>
      <c r="D189" s="9">
        <v>23309040</v>
      </c>
      <c r="E189" s="8" t="s">
        <v>692</v>
      </c>
      <c r="F189" s="198">
        <v>19</v>
      </c>
      <c r="G189" s="9">
        <f>Тўловлар[[#This Row],[Поддон]]*$G$3</f>
        <v>2470000</v>
      </c>
      <c r="K189" s="9">
        <f>SUM(Тўловлар[[#This Row],[ПР-Сумма]]+Тўловлар[[#This Row],[Накд]]+Тўловлар[[#This Row],[Клик]]+Тўловлар[[#This Row],[Терминал]])</f>
        <v>23309040</v>
      </c>
      <c r="L189" s="8" t="s">
        <v>271</v>
      </c>
      <c r="N189" s="30" cm="1">
        <f t="array" ref="N189">IFERROR(LOOKUP(2,1/((Товар!$D$4:$D$1110=Тўловлар[[#This Row],[Клиент]])*(Товар!$E$4:$E$1110&lt;=Тўловлар[[#This Row],[Дата]])),Товар!$L$4:$L$1110),Кўрсаткичлар!$B$4)</f>
        <v>130000</v>
      </c>
      <c r="O189" s="30">
        <f>Тўловлар[[#This Row],[Поддон]]*Тўловлар[[#This Row],[Поддон нархи]]</f>
        <v>2470000</v>
      </c>
      <c r="P189" s="30">
        <f>Тўловлар[[#This Row],[Жами сумма]]-Тўловлар[[#This Row],[Поддон пули]]</f>
        <v>20839040</v>
      </c>
      <c r="Q1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89" s="9" t="str">
        <f>IFERROR(INDEX(Мижозлар[Агент],MATCH($C189,Мижозлар[Расмий ном],0)),"")</f>
        <v>Зафар ога</v>
      </c>
    </row>
    <row r="190" spans="1:19" x14ac:dyDescent="0.2">
      <c r="A190" s="7">
        <v>46263</v>
      </c>
      <c r="B190" s="8" t="s">
        <v>21</v>
      </c>
      <c r="C190" s="8" t="s">
        <v>116</v>
      </c>
      <c r="F190" s="198">
        <v>-71</v>
      </c>
      <c r="G190" s="9">
        <f>Тўловлар[[#This Row],[Поддон]]*$G$3</f>
        <v>-9230000</v>
      </c>
      <c r="K190" s="9">
        <f>SUM(Тўловлар[[#This Row],[ПР-Сумма]]+Тўловлар[[#This Row],[Накд]]+Тўловлар[[#This Row],[Клик]]+Тўловлар[[#This Row],[Терминал]])</f>
        <v>0</v>
      </c>
      <c r="M190" s="8" t="s">
        <v>712</v>
      </c>
      <c r="N190" s="30" cm="1">
        <f t="array" ref="N190">IFERROR(LOOKUP(2,1/((Товар!$D$4:$D$1110=Тўловлар[[#This Row],[Клиент]])*(Товар!$E$4:$E$1110&lt;=Тўловлар[[#This Row],[Дата]])),Товар!$L$4:$L$1110),Кўрсаткичлар!$B$4)</f>
        <v>130000</v>
      </c>
      <c r="O190" s="30">
        <f>Тўловлар[[#This Row],[Поддон]]*Тўловлар[[#This Row],[Поддон нархи]]</f>
        <v>-9230000</v>
      </c>
      <c r="P190" s="30">
        <f>Тўловлар[[#This Row],[Жами сумма]]-Тўловлар[[#This Row],[Поддон пули]]</f>
        <v>9230000</v>
      </c>
      <c r="Q1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0" s="9" t="str">
        <f>IFERROR(INDEX(Мижозлар[Агент],MATCH($C190,Мижозлар[Расмий ном],0)),"")</f>
        <v>Арслон ога</v>
      </c>
    </row>
    <row r="191" spans="1:19" x14ac:dyDescent="0.2">
      <c r="A191" s="7">
        <v>46267</v>
      </c>
      <c r="B191" s="8" t="s">
        <v>36</v>
      </c>
      <c r="C191" s="8" t="s">
        <v>82</v>
      </c>
      <c r="D191" s="9">
        <v>41478080</v>
      </c>
      <c r="E191" s="293" t="s">
        <v>304</v>
      </c>
      <c r="F191" s="198"/>
      <c r="G191" s="9">
        <f>Тўловлар[[#This Row],[Поддон]]*$G$3</f>
        <v>0</v>
      </c>
      <c r="K191" s="9">
        <f>SUM(Тўловлар[[#This Row],[ПР-Сумма]]+Тўловлар[[#This Row],[Накд]]+Тўловлар[[#This Row],[Клик]]+Тўловлар[[#This Row],[Терминал]])</f>
        <v>41478080</v>
      </c>
      <c r="L191" s="293" t="s">
        <v>271</v>
      </c>
      <c r="N191" s="30" cm="1">
        <f t="array" ref="N191">IFERROR(LOOKUP(2,1/((Товар!$D$4:$D$1110=Тўловлар[[#This Row],[Клиент]])*(Товар!$E$4:$E$1110&lt;=Тўловлар[[#This Row],[Дата]])),Товар!$L$4:$L$1110),Кўрсаткичлар!$B$4)</f>
        <v>130000</v>
      </c>
      <c r="O191" s="30">
        <f>Тўловлар[[#This Row],[Поддон]]*Тўловлар[[#This Row],[Поддон нархи]]</f>
        <v>0</v>
      </c>
      <c r="P191" s="30">
        <f>Тўловлар[[#This Row],[Жами сумма]]-Тўловлар[[#This Row],[Поддон пули]]</f>
        <v>41478080</v>
      </c>
      <c r="Q1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1" s="9" t="str">
        <f>IFERROR(INDEX(Мижозлар[Агент],MATCH($C191,Мижозлар[Расмий ном],0)),"")</f>
        <v>Темур</v>
      </c>
    </row>
    <row r="192" spans="1:19" x14ac:dyDescent="0.2">
      <c r="A192" s="302">
        <v>46267</v>
      </c>
      <c r="B192" s="8" t="s">
        <v>21</v>
      </c>
      <c r="C192" s="8" t="s">
        <v>116</v>
      </c>
      <c r="D192" s="9">
        <v>14338240</v>
      </c>
      <c r="E192" s="303" t="s">
        <v>294</v>
      </c>
      <c r="F192" s="198">
        <v>19</v>
      </c>
      <c r="G192" s="9">
        <f>Тўловлар[[#This Row],[Поддон]]*$G$3</f>
        <v>2470000</v>
      </c>
      <c r="K192" s="9">
        <f>SUM(Тўловлар[[#This Row],[ПР-Сумма]]+Тўловлар[[#This Row],[Накд]]+Тўловлар[[#This Row],[Клик]]+Тўловлар[[#This Row],[Терминал]])</f>
        <v>14338240</v>
      </c>
      <c r="L192" s="310" t="s">
        <v>271</v>
      </c>
      <c r="N192" s="30" cm="1">
        <f t="array" ref="N192">IFERROR(LOOKUP(2,1/((Товар!$D$4:$D$1110=Тўловлар[[#This Row],[Клиент]])*(Товар!$E$4:$E$1110&lt;=Тўловлар[[#This Row],[Дата]])),Товар!$L$4:$L$1110),Кўрсаткичлар!$B$4)</f>
        <v>130000</v>
      </c>
      <c r="O192" s="30">
        <f>Тўловлар[[#This Row],[Поддон]]*Тўловлар[[#This Row],[Поддон нархи]]</f>
        <v>2470000</v>
      </c>
      <c r="P192" s="30">
        <f>Тўловлар[[#This Row],[Жами сумма]]-Тўловлар[[#This Row],[Поддон пули]]</f>
        <v>11868240</v>
      </c>
      <c r="Q1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2" s="9" t="str">
        <f>IFERROR(INDEX(Мижозлар[Агент],MATCH($C192,Мижозлар[Расмий ном],0)),"")</f>
        <v>Арслон ога</v>
      </c>
    </row>
    <row r="193" spans="1:19" x14ac:dyDescent="0.2">
      <c r="A193" s="309">
        <v>46267</v>
      </c>
      <c r="B193" s="310" t="s">
        <v>36</v>
      </c>
      <c r="C193" s="310" t="s">
        <v>82</v>
      </c>
      <c r="D193" s="9">
        <v>4940000</v>
      </c>
      <c r="E193" s="319" t="s">
        <v>304</v>
      </c>
      <c r="F193" s="198">
        <v>38</v>
      </c>
      <c r="G193" s="9">
        <f>Тўловлар[[#This Row],[Поддон]]*$G$3</f>
        <v>4940000</v>
      </c>
      <c r="K193" s="9">
        <f>SUM(Тўловлар[[#This Row],[ПР-Сумма]]+Тўловлар[[#This Row],[Накд]]+Тўловлар[[#This Row],[Клик]]+Тўловлар[[#This Row],[Терминал]])</f>
        <v>4940000</v>
      </c>
      <c r="L193" s="310" t="s">
        <v>271</v>
      </c>
      <c r="N193" s="30" cm="1">
        <f t="array" ref="N193">IFERROR(LOOKUP(2,1/((Товар!$D$4:$D$1110=Тўловлар[[#This Row],[Клиент]])*(Товар!$E$4:$E$1110&lt;=Тўловлар[[#This Row],[Дата]])),Товар!$L$4:$L$1110),Кўрсаткичлар!$B$4)</f>
        <v>130000</v>
      </c>
      <c r="O193" s="30">
        <f>Тўловлар[[#This Row],[Поддон]]*Тўловлар[[#This Row],[Поддон нархи]]</f>
        <v>4940000</v>
      </c>
      <c r="P193" s="30">
        <f>Тўловлар[[#This Row],[Жами сумма]]-Тўловлар[[#This Row],[Поддон пули]]</f>
        <v>0</v>
      </c>
      <c r="Q1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3" s="9" t="str">
        <f>IFERROR(INDEX(Мижозлар[Агент],MATCH($C193,Мижозлар[Расмий ном],0)),"")</f>
        <v>Темур</v>
      </c>
    </row>
    <row r="194" spans="1:19" x14ac:dyDescent="0.2">
      <c r="A194" s="309">
        <v>46267</v>
      </c>
      <c r="B194" s="310" t="s">
        <v>21</v>
      </c>
      <c r="C194" s="310" t="s">
        <v>116</v>
      </c>
      <c r="D194" s="9">
        <v>23309040</v>
      </c>
      <c r="E194" s="310" t="s">
        <v>294</v>
      </c>
      <c r="F194" s="198">
        <v>19</v>
      </c>
      <c r="G194" s="9">
        <f>Тўловлар[[#This Row],[Поддон]]*$G$3</f>
        <v>2470000</v>
      </c>
      <c r="K194" s="9">
        <f>SUM(Тўловлар[[#This Row],[ПР-Сумма]]+Тўловлар[[#This Row],[Накд]]+Тўловлар[[#This Row],[Клик]]+Тўловлар[[#This Row],[Терминал]])</f>
        <v>23309040</v>
      </c>
      <c r="L194" s="310" t="s">
        <v>271</v>
      </c>
      <c r="N194" s="30" cm="1">
        <f t="array" ref="N194">IFERROR(LOOKUP(2,1/((Товар!$D$4:$D$1110=Тўловлар[[#This Row],[Клиент]])*(Товар!$E$4:$E$1110&lt;=Тўловлар[[#This Row],[Дата]])),Товар!$L$4:$L$1110),Кўрсаткичлар!$B$4)</f>
        <v>130000</v>
      </c>
      <c r="O194" s="30">
        <f>Тўловлар[[#This Row],[Поддон]]*Тўловлар[[#This Row],[Поддон нархи]]</f>
        <v>2470000</v>
      </c>
      <c r="P194" s="30">
        <f>Тўловлар[[#This Row],[Жами сумма]]-Тўловлар[[#This Row],[Поддон пули]]</f>
        <v>20839040</v>
      </c>
      <c r="Q1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Арслон ога</v>
      </c>
      <c r="R1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4" s="9" t="str">
        <f>IFERROR(INDEX(Мижозлар[Агент],MATCH($C194,Мижозлар[Расмий ном],0)),"")</f>
        <v>Арслон ога</v>
      </c>
    </row>
    <row r="195" spans="1:19" x14ac:dyDescent="0.2">
      <c r="A195" s="309">
        <v>46267</v>
      </c>
      <c r="B195" s="8" t="s">
        <v>29</v>
      </c>
      <c r="C195" s="8" t="s">
        <v>89</v>
      </c>
      <c r="D195" s="9">
        <v>116545200</v>
      </c>
      <c r="E195" s="310" t="s">
        <v>295</v>
      </c>
      <c r="F195" s="198">
        <v>61</v>
      </c>
      <c r="G195" s="9">
        <f>Тўловлар[[#This Row],[Поддон]]*$G$3</f>
        <v>7930000</v>
      </c>
      <c r="K195" s="9">
        <f>SUM(Тўловлар[[#This Row],[ПР-Сумма]]+Тўловлар[[#This Row],[Накд]]+Тўловлар[[#This Row],[Клик]]+Тўловлар[[#This Row],[Терминал]])</f>
        <v>116545200</v>
      </c>
      <c r="L195" s="310" t="s">
        <v>271</v>
      </c>
      <c r="N195" s="30" cm="1">
        <f t="array" ref="N195">IFERROR(LOOKUP(2,1/((Товар!$D$4:$D$1110=Тўловлар[[#This Row],[Клиент]])*(Товар!$E$4:$E$1110&lt;=Тўловлар[[#This Row],[Дата]])),Товар!$L$4:$L$1110),Кўрсаткичлар!$B$4)</f>
        <v>130000</v>
      </c>
      <c r="O195" s="30">
        <f>Тўловлар[[#This Row],[Поддон]]*Тўловлар[[#This Row],[Поддон нархи]]</f>
        <v>7930000</v>
      </c>
      <c r="P195" s="30">
        <f>Тўловлар[[#This Row],[Жами сумма]]-Тўловлар[[#This Row],[Поддон пули]]</f>
        <v>108615200</v>
      </c>
      <c r="Q1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Зафар ога</v>
      </c>
      <c r="R1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5" s="9" t="str">
        <f>IFERROR(INDEX(Мижозлар[Агент],MATCH($C195,Мижозлар[Расмий ном],0)),"")</f>
        <v>Зафар ога</v>
      </c>
    </row>
    <row r="196" spans="1:19" x14ac:dyDescent="0.2">
      <c r="A196" s="318">
        <v>46267</v>
      </c>
      <c r="B196" s="319" t="s">
        <v>36</v>
      </c>
      <c r="C196" s="319" t="s">
        <v>82</v>
      </c>
      <c r="D196" s="9">
        <v>4940000</v>
      </c>
      <c r="E196" s="319" t="s">
        <v>304</v>
      </c>
      <c r="F196" s="198">
        <v>38</v>
      </c>
      <c r="G196" s="9">
        <f>Тўловлар[[#This Row],[Поддон]]*$G$3</f>
        <v>4940000</v>
      </c>
      <c r="K196" s="9">
        <f>SUM(Тўловлар[[#This Row],[ПР-Сумма]]+Тўловлар[[#This Row],[Накд]]+Тўловлар[[#This Row],[Клик]]+Тўловлар[[#This Row],[Терминал]])</f>
        <v>4940000</v>
      </c>
      <c r="L196" s="319" t="s">
        <v>271</v>
      </c>
      <c r="N196" s="30" cm="1">
        <f t="array" ref="N196">IFERROR(LOOKUP(2,1/((Товар!$D$4:$D$1110=Тўловлар[[#This Row],[Клиент]])*(Товар!$E$4:$E$1110&lt;=Тўловлар[[#This Row],[Дата]])),Товар!$L$4:$L$1110),Кўрсаткичлар!$B$4)</f>
        <v>130000</v>
      </c>
      <c r="O196" s="30">
        <f>Тўловлар[[#This Row],[Поддон]]*Тўловлар[[#This Row],[Поддон нархи]]</f>
        <v>4940000</v>
      </c>
      <c r="P196" s="30">
        <f>Тўловлар[[#This Row],[Жами сумма]]-Тўловлар[[#This Row],[Поддон пули]]</f>
        <v>0</v>
      </c>
      <c r="Q1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6" s="9" t="str">
        <f>IFERROR(INDEX(Мижозлар[Агент],MATCH($C196,Мижозлар[Расмий ном],0)),"")</f>
        <v>Темур</v>
      </c>
    </row>
    <row r="197" spans="1:19" x14ac:dyDescent="0.2">
      <c r="A197" s="324">
        <v>46267</v>
      </c>
      <c r="B197" s="325" t="s">
        <v>36</v>
      </c>
      <c r="C197" s="325" t="s">
        <v>82</v>
      </c>
      <c r="D197" s="9">
        <v>41678080</v>
      </c>
      <c r="E197" s="325" t="s">
        <v>304</v>
      </c>
      <c r="F197" s="198"/>
      <c r="G197" s="9">
        <f>Тўловлар[[#This Row],[Поддон]]*$G$3</f>
        <v>0</v>
      </c>
      <c r="K197" s="9">
        <f>SUM(Тўловлар[[#This Row],[ПР-Сумма]]+Тўловлар[[#This Row],[Накд]]+Тўловлар[[#This Row],[Клик]]+Тўловлар[[#This Row],[Терминал]])</f>
        <v>41678080</v>
      </c>
      <c r="L197" s="325" t="s">
        <v>271</v>
      </c>
      <c r="N197" s="30" cm="1">
        <f t="array" ref="N197">IFERROR(LOOKUP(2,1/((Товар!$D$4:$D$1110=Тўловлар[[#This Row],[Клиент]])*(Товар!$E$4:$E$1110&lt;=Тўловлар[[#This Row],[Дата]])),Товар!$L$4:$L$1110),Кўрсаткичлар!$B$4)</f>
        <v>130000</v>
      </c>
      <c r="O197" s="30">
        <f>Тўловлар[[#This Row],[Поддон]]*Тўловлар[[#This Row],[Поддон нархи]]</f>
        <v>0</v>
      </c>
      <c r="P197" s="30">
        <f>Тўловлар[[#This Row],[Жами сумма]]-Тўловлар[[#This Row],[Поддон пули]]</f>
        <v>41678080</v>
      </c>
      <c r="Q1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Темур</v>
      </c>
      <c r="R1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7" s="9" t="str">
        <f>IFERROR(INDEX(Мижозлар[Агент],MATCH($C197,Мижозлар[Расмий ном],0)),"")</f>
        <v>Темур</v>
      </c>
    </row>
    <row r="198" spans="1:19" x14ac:dyDescent="0.2">
      <c r="A198" s="7">
        <v>46267</v>
      </c>
      <c r="B198" s="8" t="s">
        <v>40</v>
      </c>
      <c r="C198" s="8" t="s">
        <v>717</v>
      </c>
      <c r="D198" s="9">
        <v>25107200</v>
      </c>
      <c r="E198" s="8" t="s">
        <v>729</v>
      </c>
      <c r="F198" s="198">
        <v>19</v>
      </c>
      <c r="G198" s="9">
        <f>Тўловлар[[#This Row],[Поддон]]*$G$3</f>
        <v>2470000</v>
      </c>
      <c r="K198" s="9">
        <f>SUM(Тўловлар[[#This Row],[ПР-Сумма]]+Тўловлар[[#This Row],[Накд]]+Тўловлар[[#This Row],[Клик]]+Тўловлар[[#This Row],[Терминал]])</f>
        <v>25107200</v>
      </c>
      <c r="L198" s="325" t="s">
        <v>271</v>
      </c>
      <c r="N198" s="30" cm="1">
        <f t="array" ref="N198">IFERROR(LOOKUP(2,1/((Товар!$D$4:$D$1110=Тўловлар[[#This Row],[Клиент]])*(Товар!$E$4:$E$1110&lt;=Тўловлар[[#This Row],[Дата]])),Товар!$L$4:$L$1110),Кўрсаткичлар!$B$4)</f>
        <v>130000</v>
      </c>
      <c r="O198" s="30">
        <f>Тўловлар[[#This Row],[Поддон]]*Тўловлар[[#This Row],[Поддон нархи]]</f>
        <v>2470000</v>
      </c>
      <c r="P198" s="30">
        <f>Тўловлар[[#This Row],[Жами сумма]]-Тўловлар[[#This Row],[Поддон пули]]</f>
        <v>22637200</v>
      </c>
      <c r="Q1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>Шохрух ога</v>
      </c>
      <c r="R1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8" s="9" t="str">
        <f>IFERROR(INDEX(Мижозлар[Агент],MATCH($C198,Мижозлар[Расмий ном],0)),"")</f>
        <v>Шохрух ога</v>
      </c>
    </row>
    <row r="199" spans="1:19" x14ac:dyDescent="0.2">
      <c r="F199" s="198"/>
      <c r="G199" s="9">
        <f>Тўловлар[[#This Row],[Поддон]]*$G$3</f>
        <v>0</v>
      </c>
      <c r="K199" s="9">
        <f>SUM(Тўловлар[[#This Row],[ПР-Сумма]]+Тўловлар[[#This Row],[Накд]]+Тўловлар[[#This Row],[Клик]]+Тўловлар[[#This Row],[Терминал]])</f>
        <v>0</v>
      </c>
      <c r="N199" s="30" cm="1">
        <f t="array" ref="N199">IFERROR(LOOKUP(2,1/((Товар!$D$4:$D$1110=Тўловлар[[#This Row],[Клиент]])*(Товар!$E$4:$E$1110&lt;=Тўловлар[[#This Row],[Дата]])),Товар!$L$4:$L$1110),Кўрсаткичлар!$B$4)</f>
        <v>0</v>
      </c>
      <c r="O199" s="30">
        <f>Тўловлар[[#This Row],[Поддон]]*Тўловлар[[#This Row],[Поддон нархи]]</f>
        <v>0</v>
      </c>
      <c r="P199" s="30">
        <f>Тўловлар[[#This Row],[Жами сумма]]-Тўловлар[[#This Row],[Поддон пули]]</f>
        <v>0</v>
      </c>
      <c r="Q1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99" s="9" t="str">
        <f>IFERROR(INDEX(Мижозлар[Агент],MATCH($C199,Мижозлар[Расмий ном],0)),"")</f>
        <v/>
      </c>
    </row>
    <row r="200" spans="1:19" x14ac:dyDescent="0.2">
      <c r="F200" s="198"/>
      <c r="G200" s="9">
        <f>Тўловлар[[#This Row],[Поддон]]*$G$3</f>
        <v>0</v>
      </c>
      <c r="K200" s="9">
        <f>SUM(Тўловлар[[#This Row],[ПР-Сумма]]+Тўловлар[[#This Row],[Накд]]+Тўловлар[[#This Row],[Клик]]+Тўловлар[[#This Row],[Терминал]])</f>
        <v>0</v>
      </c>
      <c r="N200" s="30" cm="1">
        <f t="array" ref="N200">IFERROR(LOOKUP(2,1/((Товар!$D$4:$D$1110=Тўловлар[[#This Row],[Клиент]])*(Товар!$E$4:$E$1110&lt;=Тўловлар[[#This Row],[Дата]])),Товар!$L$4:$L$1110),Кўрсаткичлар!$B$4)</f>
        <v>0</v>
      </c>
      <c r="O200" s="30">
        <f>Тўловлар[[#This Row],[Поддон]]*Тўловлар[[#This Row],[Поддон нархи]]</f>
        <v>0</v>
      </c>
      <c r="P200" s="30">
        <f>Тўловлар[[#This Row],[Жами сумма]]-Тўловлар[[#This Row],[Поддон пули]]</f>
        <v>0</v>
      </c>
      <c r="Q2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0" s="9" t="str">
        <f>IFERROR(INDEX(Мижозлар[Агент],MATCH($C200,Мижозлар[Расмий ном],0)),"")</f>
        <v/>
      </c>
    </row>
    <row r="201" spans="1:19" x14ac:dyDescent="0.2">
      <c r="F201" s="198"/>
      <c r="G201" s="9">
        <f>Тўловлар[[#This Row],[Поддон]]*$G$3</f>
        <v>0</v>
      </c>
      <c r="K201" s="9">
        <f>SUM(Тўловлар[[#This Row],[ПР-Сумма]]+Тўловлар[[#This Row],[Накд]]+Тўловлар[[#This Row],[Клик]]+Тўловлар[[#This Row],[Терминал]])</f>
        <v>0</v>
      </c>
      <c r="N201" s="30" cm="1">
        <f t="array" ref="N201">IFERROR(LOOKUP(2,1/((Товар!$D$4:$D$1110=Тўловлар[[#This Row],[Клиент]])*(Товар!$E$4:$E$1110&lt;=Тўловлар[[#This Row],[Дата]])),Товар!$L$4:$L$1110),Кўрсаткичлар!$B$4)</f>
        <v>0</v>
      </c>
      <c r="O201" s="30">
        <f>Тўловлар[[#This Row],[Поддон]]*Тўловлар[[#This Row],[Поддон нархи]]</f>
        <v>0</v>
      </c>
      <c r="P201" s="30">
        <f>Тўловлар[[#This Row],[Жами сумма]]-Тўловлар[[#This Row],[Поддон пули]]</f>
        <v>0</v>
      </c>
      <c r="Q2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1" s="9" t="str">
        <f>IFERROR(INDEX(Мижозлар[Агент],MATCH($C201,Мижозлар[Расмий ном],0)),"")</f>
        <v/>
      </c>
    </row>
    <row r="202" spans="1:19" x14ac:dyDescent="0.2">
      <c r="F202" s="198"/>
      <c r="G202" s="9">
        <f>Тўловлар[[#This Row],[Поддон]]*$G$3</f>
        <v>0</v>
      </c>
      <c r="K202" s="9">
        <f>SUM(Тўловлар[[#This Row],[ПР-Сумма]]+Тўловлар[[#This Row],[Накд]]+Тўловлар[[#This Row],[Клик]]+Тўловлар[[#This Row],[Терминал]])</f>
        <v>0</v>
      </c>
      <c r="N202" s="30" cm="1">
        <f t="array" ref="N202">IFERROR(LOOKUP(2,1/((Товар!$D$4:$D$1110=Тўловлар[[#This Row],[Клиент]])*(Товар!$E$4:$E$1110&lt;=Тўловлар[[#This Row],[Дата]])),Товар!$L$4:$L$1110),Кўрсаткичлар!$B$4)</f>
        <v>0</v>
      </c>
      <c r="O202" s="30">
        <f>Тўловлар[[#This Row],[Поддон]]*Тўловлар[[#This Row],[Поддон нархи]]</f>
        <v>0</v>
      </c>
      <c r="P202" s="30">
        <f>Тўловлар[[#This Row],[Жами сумма]]-Тўловлар[[#This Row],[Поддон пули]]</f>
        <v>0</v>
      </c>
      <c r="Q2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2" s="9" t="str">
        <f>IFERROR(INDEX(Мижозлар[Агент],MATCH($C202,Мижозлар[Расмий ном],0)),"")</f>
        <v/>
      </c>
    </row>
    <row r="203" spans="1:19" x14ac:dyDescent="0.2">
      <c r="F203" s="198"/>
      <c r="G203" s="9">
        <f>Тўловлар[[#This Row],[Поддон]]*$G$3</f>
        <v>0</v>
      </c>
      <c r="K203" s="9">
        <f>SUM(Тўловлар[[#This Row],[ПР-Сумма]]+Тўловлар[[#This Row],[Накд]]+Тўловлар[[#This Row],[Клик]]+Тўловлар[[#This Row],[Терминал]])</f>
        <v>0</v>
      </c>
      <c r="N203" s="30" cm="1">
        <f t="array" ref="N203">IFERROR(LOOKUP(2,1/((Товар!$D$4:$D$1110=Тўловлар[[#This Row],[Клиент]])*(Товар!$E$4:$E$1110&lt;=Тўловлар[[#This Row],[Дата]])),Товар!$L$4:$L$1110),Кўрсаткичлар!$B$4)</f>
        <v>0</v>
      </c>
      <c r="O203" s="30">
        <f>Тўловлар[[#This Row],[Поддон]]*Тўловлар[[#This Row],[Поддон нархи]]</f>
        <v>0</v>
      </c>
      <c r="P203" s="30">
        <f>Тўловлар[[#This Row],[Жами сумма]]-Тўловлар[[#This Row],[Поддон пули]]</f>
        <v>0</v>
      </c>
      <c r="Q2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3" s="9" t="str">
        <f>IFERROR(INDEX(Мижозлар[Агент],MATCH($C203,Мижозлар[Расмий ном],0)),"")</f>
        <v/>
      </c>
    </row>
    <row r="204" spans="1:19" x14ac:dyDescent="0.2">
      <c r="F204" s="198"/>
      <c r="G204" s="9">
        <f>Тўловлар[[#This Row],[Поддон]]*$G$3</f>
        <v>0</v>
      </c>
      <c r="K204" s="9">
        <f>SUM(Тўловлар[[#This Row],[ПР-Сумма]]+Тўловлар[[#This Row],[Накд]]+Тўловлар[[#This Row],[Клик]]+Тўловлар[[#This Row],[Терминал]])</f>
        <v>0</v>
      </c>
      <c r="N204" s="30" cm="1">
        <f t="array" ref="N204">IFERROR(LOOKUP(2,1/((Товар!$D$4:$D$1110=Тўловлар[[#This Row],[Клиент]])*(Товар!$E$4:$E$1110&lt;=Тўловлар[[#This Row],[Дата]])),Товар!$L$4:$L$1110),Кўрсаткичлар!$B$4)</f>
        <v>0</v>
      </c>
      <c r="O204" s="30">
        <f>Тўловлар[[#This Row],[Поддон]]*Тўловлар[[#This Row],[Поддон нархи]]</f>
        <v>0</v>
      </c>
      <c r="P204" s="30">
        <f>Тўловлар[[#This Row],[Жами сумма]]-Тўловлар[[#This Row],[Поддон пули]]</f>
        <v>0</v>
      </c>
      <c r="Q2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4" s="9" t="str">
        <f>IFERROR(INDEX(Мижозлар[Агент],MATCH($C204,Мижозлар[Расмий ном],0)),"")</f>
        <v/>
      </c>
    </row>
    <row r="205" spans="1:19" x14ac:dyDescent="0.2">
      <c r="F205" s="198"/>
      <c r="G205" s="9">
        <f>Тўловлар[[#This Row],[Поддон]]*$G$3</f>
        <v>0</v>
      </c>
      <c r="K205" s="9">
        <f>SUM(Тўловлар[[#This Row],[ПР-Сумма]]+Тўловлар[[#This Row],[Накд]]+Тўловлар[[#This Row],[Клик]]+Тўловлар[[#This Row],[Терминал]])</f>
        <v>0</v>
      </c>
      <c r="N205" s="30" cm="1">
        <f t="array" ref="N205">IFERROR(LOOKUP(2,1/((Товар!$D$4:$D$1110=Тўловлар[[#This Row],[Клиент]])*(Товар!$E$4:$E$1110&lt;=Тўловлар[[#This Row],[Дата]])),Товар!$L$4:$L$1110),Кўрсаткичлар!$B$4)</f>
        <v>0</v>
      </c>
      <c r="O205" s="30">
        <f>Тўловлар[[#This Row],[Поддон]]*Тўловлар[[#This Row],[Поддон нархи]]</f>
        <v>0</v>
      </c>
      <c r="P205" s="30">
        <f>Тўловлар[[#This Row],[Жами сумма]]-Тўловлар[[#This Row],[Поддон пули]]</f>
        <v>0</v>
      </c>
      <c r="Q2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5" s="9" t="str">
        <f>IFERROR(INDEX(Мижозлар[Агент],MATCH($C205,Мижозлар[Расмий ном],0)),"")</f>
        <v/>
      </c>
    </row>
    <row r="206" spans="1:19" x14ac:dyDescent="0.2">
      <c r="A206" s="11"/>
      <c r="B206" s="12"/>
      <c r="C206" s="12"/>
      <c r="D206" s="13"/>
      <c r="E206" s="12"/>
      <c r="F206" s="199"/>
      <c r="G206" s="13">
        <f>Тўловлар[[#This Row],[Поддон]]*$G$3</f>
        <v>0</v>
      </c>
      <c r="H206" s="13"/>
      <c r="I206" s="13"/>
      <c r="J206" s="13"/>
      <c r="K206" s="9">
        <f>SUM(Тўловлар[[#This Row],[ПР-Сумма]]+Тўловлар[[#This Row],[Накд]]+Тўловлар[[#This Row],[Клик]]+Тўловлар[[#This Row],[Терминал]])</f>
        <v>0</v>
      </c>
      <c r="L206" s="12"/>
      <c r="M206" s="12"/>
      <c r="N206" s="161" cm="1">
        <f t="array" ref="N206">IFERROR(LOOKUP(2,1/((Товар!$D$4:$D$1110=Тўловлар[[#This Row],[Клиент]])*(Товар!$E$4:$E$1110&lt;=Тўловлар[[#This Row],[Дата]])),Товар!$L$4:$L$1110),Кўрсаткичлар!$B$4)</f>
        <v>0</v>
      </c>
      <c r="O206" s="161">
        <f>Тўловлар[[#This Row],[Поддон]]*Тўловлар[[#This Row],[Поддон нархи]]</f>
        <v>0</v>
      </c>
      <c r="P206" s="161">
        <f>Тўловлар[[#This Row],[Жами сумма]]-Тўловлар[[#This Row],[Поддон пули]]</f>
        <v>0</v>
      </c>
      <c r="Q2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6" s="9" t="str">
        <f>IFERROR(INDEX(Мижозлар[Агент],MATCH($C206,Мижозлар[Расмий ном],0)),"")</f>
        <v/>
      </c>
    </row>
    <row r="207" spans="1:19" x14ac:dyDescent="0.2">
      <c r="A207" s="11"/>
      <c r="B207" s="12"/>
      <c r="C207" s="12"/>
      <c r="D207" s="13"/>
      <c r="E207" s="12"/>
      <c r="F207" s="199"/>
      <c r="G207" s="13">
        <f>Тўловлар[[#This Row],[Поддон]]*$G$3</f>
        <v>0</v>
      </c>
      <c r="H207" s="13"/>
      <c r="I207" s="13"/>
      <c r="J207" s="13"/>
      <c r="K207" s="9">
        <f>SUM(Тўловлар[[#This Row],[ПР-Сумма]]+Тўловлар[[#This Row],[Накд]]+Тўловлар[[#This Row],[Клик]]+Тўловлар[[#This Row],[Терминал]])</f>
        <v>0</v>
      </c>
      <c r="L207" s="12"/>
      <c r="M207" s="12"/>
      <c r="N207" s="161" cm="1">
        <f t="array" ref="N207">IFERROR(LOOKUP(2,1/((Товар!$D$4:$D$1110=Тўловлар[[#This Row],[Клиент]])*(Товар!$E$4:$E$1110&lt;=Тўловлар[[#This Row],[Дата]])),Товар!$L$4:$L$1110),Кўрсаткичлар!$B$4)</f>
        <v>0</v>
      </c>
      <c r="O207" s="161">
        <f>Тўловлар[[#This Row],[Поддон]]*Тўловлар[[#This Row],[Поддон нархи]]</f>
        <v>0</v>
      </c>
      <c r="P207" s="161">
        <f>Тўловлар[[#This Row],[Жами сумма]]-Тўловлар[[#This Row],[Поддон пули]]</f>
        <v>0</v>
      </c>
      <c r="Q2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7" s="9" t="str">
        <f>IFERROR(INDEX(Мижозлар[Агент],MATCH($C207,Мижозлар[Расмий ном],0)),"")</f>
        <v/>
      </c>
    </row>
    <row r="208" spans="1:19" x14ac:dyDescent="0.2">
      <c r="A208" s="11"/>
      <c r="B208" s="12"/>
      <c r="C208" s="12"/>
      <c r="D208" s="13"/>
      <c r="E208" s="12"/>
      <c r="F208" s="199"/>
      <c r="G208" s="13">
        <f>Тўловлар[[#This Row],[Поддон]]*$G$3</f>
        <v>0</v>
      </c>
      <c r="H208" s="13"/>
      <c r="I208" s="13"/>
      <c r="J208" s="13"/>
      <c r="K208" s="9">
        <f>SUM(Тўловлар[[#This Row],[ПР-Сумма]]+Тўловлар[[#This Row],[Накд]]+Тўловлар[[#This Row],[Клик]]+Тўловлар[[#This Row],[Терминал]])</f>
        <v>0</v>
      </c>
      <c r="L208" s="12"/>
      <c r="M208" s="12"/>
      <c r="N208" s="161" cm="1">
        <f t="array" ref="N208">IFERROR(LOOKUP(2,1/((Товар!$D$4:$D$1110=Тўловлар[[#This Row],[Клиент]])*(Товар!$E$4:$E$1110&lt;=Тўловлар[[#This Row],[Дата]])),Товар!$L$4:$L$1110),Кўрсаткичлар!$B$4)</f>
        <v>0</v>
      </c>
      <c r="O208" s="161">
        <f>Тўловлар[[#This Row],[Поддон]]*Тўловлар[[#This Row],[Поддон нархи]]</f>
        <v>0</v>
      </c>
      <c r="P208" s="161">
        <f>Тўловлар[[#This Row],[Жами сумма]]-Тўловлар[[#This Row],[Поддон пули]]</f>
        <v>0</v>
      </c>
      <c r="Q2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8" s="9" t="str">
        <f>IFERROR(INDEX(Мижозлар[Агент],MATCH($C208,Мижозлар[Расмий ном],0)),"")</f>
        <v/>
      </c>
    </row>
    <row r="209" spans="6:19" x14ac:dyDescent="0.2">
      <c r="F209" s="198"/>
      <c r="G209" s="9">
        <f>Тўловлар[[#This Row],[Поддон]]*$G$3</f>
        <v>0</v>
      </c>
      <c r="K209" s="9">
        <f>SUM(Тўловлар[[#This Row],[ПР-Сумма]]+Тўловлар[[#This Row],[Накд]]+Тўловлар[[#This Row],[Клик]]+Тўловлар[[#This Row],[Терминал]])</f>
        <v>0</v>
      </c>
      <c r="N209" s="30" cm="1">
        <f t="array" ref="N209">IFERROR(LOOKUP(2,1/((Товар!$D$4:$D$1110=Тўловлар[[#This Row],[Клиент]])*(Товар!$E$4:$E$1110&lt;=Тўловлар[[#This Row],[Дата]])),Товар!$L$4:$L$1110),Кўрсаткичлар!$B$4)</f>
        <v>0</v>
      </c>
      <c r="O209" s="30">
        <f>Тўловлар[[#This Row],[Поддон]]*Тўловлар[[#This Row],[Поддон нархи]]</f>
        <v>0</v>
      </c>
      <c r="P209" s="30">
        <f>Тўловлар[[#This Row],[Жами сумма]]-Тўловлар[[#This Row],[Поддон пули]]</f>
        <v>0</v>
      </c>
      <c r="Q2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09" s="9" t="str">
        <f>IFERROR(INDEX(Мижозлар[Агент],MATCH($C209,Мижозлар[Расмий ном],0)),"")</f>
        <v/>
      </c>
    </row>
    <row r="210" spans="6:19" x14ac:dyDescent="0.2">
      <c r="F210" s="198"/>
      <c r="G210" s="9">
        <f>Тўловлар[[#This Row],[Поддон]]*$G$3</f>
        <v>0</v>
      </c>
      <c r="K210" s="9">
        <f>SUM(Тўловлар[[#This Row],[ПР-Сумма]]+Тўловлар[[#This Row],[Накд]]+Тўловлар[[#This Row],[Клик]]+Тўловлар[[#This Row],[Терминал]])</f>
        <v>0</v>
      </c>
      <c r="N210" s="30" cm="1">
        <f t="array" ref="N210">IFERROR(LOOKUP(2,1/((Товар!$D$4:$D$1110=Тўловлар[[#This Row],[Клиент]])*(Товар!$E$4:$E$1110&lt;=Тўловлар[[#This Row],[Дата]])),Товар!$L$4:$L$1110),Кўрсаткичлар!$B$4)</f>
        <v>0</v>
      </c>
      <c r="O210" s="30">
        <f>Тўловлар[[#This Row],[Поддон]]*Тўловлар[[#This Row],[Поддон нархи]]</f>
        <v>0</v>
      </c>
      <c r="P210" s="30">
        <f>Тўловлар[[#This Row],[Жами сумма]]-Тўловлар[[#This Row],[Поддон пули]]</f>
        <v>0</v>
      </c>
      <c r="Q2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0" s="9" t="str">
        <f>IFERROR(INDEX(Мижозлар[Агент],MATCH($C210,Мижозлар[Расмий ном],0)),"")</f>
        <v/>
      </c>
    </row>
    <row r="211" spans="6:19" x14ac:dyDescent="0.2">
      <c r="F211" s="198"/>
      <c r="G211" s="9">
        <f>Тўловлар[[#This Row],[Поддон]]*$G$3</f>
        <v>0</v>
      </c>
      <c r="K211" s="9">
        <f>SUM(Тўловлар[[#This Row],[ПР-Сумма]]+Тўловлар[[#This Row],[Накд]]+Тўловлар[[#This Row],[Клик]]+Тўловлар[[#This Row],[Терминал]])</f>
        <v>0</v>
      </c>
      <c r="N211" s="30" cm="1">
        <f t="array" ref="N211">IFERROR(LOOKUP(2,1/((Товар!$D$4:$D$1110=Тўловлар[[#This Row],[Клиент]])*(Товар!$E$4:$E$1110&lt;=Тўловлар[[#This Row],[Дата]])),Товар!$L$4:$L$1110),Кўрсаткичлар!$B$4)</f>
        <v>0</v>
      </c>
      <c r="O211" s="30">
        <f>Тўловлар[[#This Row],[Поддон]]*Тўловлар[[#This Row],[Поддон нархи]]</f>
        <v>0</v>
      </c>
      <c r="P211" s="30">
        <f>Тўловлар[[#This Row],[Жами сумма]]-Тўловлар[[#This Row],[Поддон пули]]</f>
        <v>0</v>
      </c>
      <c r="Q2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1" s="9" t="str">
        <f>IFERROR(INDEX(Мижозлар[Агент],MATCH($C211,Мижозлар[Расмий ном],0)),"")</f>
        <v/>
      </c>
    </row>
    <row r="212" spans="6:19" x14ac:dyDescent="0.2">
      <c r="F212" s="198"/>
      <c r="G212" s="9">
        <f>Тўловлар[[#This Row],[Поддон]]*$G$3</f>
        <v>0</v>
      </c>
      <c r="K212" s="9">
        <f>SUM(Тўловлар[[#This Row],[ПР-Сумма]]+Тўловлар[[#This Row],[Накд]]+Тўловлар[[#This Row],[Клик]]+Тўловлар[[#This Row],[Терминал]])</f>
        <v>0</v>
      </c>
      <c r="N212" s="30" cm="1">
        <f t="array" ref="N212">IFERROR(LOOKUP(2,1/((Товар!$D$4:$D$1110=Тўловлар[[#This Row],[Клиент]])*(Товар!$E$4:$E$1110&lt;=Тўловлар[[#This Row],[Дата]])),Товар!$L$4:$L$1110),Кўрсаткичлар!$B$4)</f>
        <v>0</v>
      </c>
      <c r="O212" s="30">
        <f>Тўловлар[[#This Row],[Поддон]]*Тўловлар[[#This Row],[Поддон нархи]]</f>
        <v>0</v>
      </c>
      <c r="P212" s="30">
        <f>Тўловлар[[#This Row],[Жами сумма]]-Тўловлар[[#This Row],[Поддон пули]]</f>
        <v>0</v>
      </c>
      <c r="Q2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2" s="9" t="str">
        <f>IFERROR(INDEX(Мижозлар[Агент],MATCH($C212,Мижозлар[Расмий ном],0)),"")</f>
        <v/>
      </c>
    </row>
    <row r="213" spans="6:19" x14ac:dyDescent="0.2">
      <c r="F213" s="198"/>
      <c r="G213" s="9">
        <f>Тўловлар[[#This Row],[Поддон]]*$G$3</f>
        <v>0</v>
      </c>
      <c r="K213" s="9">
        <f>SUM(Тўловлар[[#This Row],[ПР-Сумма]]+Тўловлар[[#This Row],[Накд]]+Тўловлар[[#This Row],[Клик]]+Тўловлар[[#This Row],[Терминал]])</f>
        <v>0</v>
      </c>
      <c r="N213" s="30" cm="1">
        <f t="array" ref="N213">IFERROR(LOOKUP(2,1/((Товар!$D$4:$D$1110=Тўловлар[[#This Row],[Клиент]])*(Товар!$E$4:$E$1110&lt;=Тўловлар[[#This Row],[Дата]])),Товар!$L$4:$L$1110),Кўрсаткичлар!$B$4)</f>
        <v>0</v>
      </c>
      <c r="O213" s="30">
        <f>Тўловлар[[#This Row],[Поддон]]*Тўловлар[[#This Row],[Поддон нархи]]</f>
        <v>0</v>
      </c>
      <c r="P213" s="30">
        <f>Тўловлар[[#This Row],[Жами сумма]]-Тўловлар[[#This Row],[Поддон пули]]</f>
        <v>0</v>
      </c>
      <c r="Q2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3" s="9" t="str">
        <f>IFERROR(INDEX(Мижозлар[Агент],MATCH($C213,Мижозлар[Расмий ном],0)),"")</f>
        <v/>
      </c>
    </row>
    <row r="214" spans="6:19" x14ac:dyDescent="0.2">
      <c r="F214" s="198"/>
      <c r="G214" s="9">
        <f>Тўловлар[[#This Row],[Поддон]]*$G$3</f>
        <v>0</v>
      </c>
      <c r="K214" s="9">
        <f>SUM(Тўловлар[[#This Row],[ПР-Сумма]]+Тўловлар[[#This Row],[Накд]]+Тўловлар[[#This Row],[Клик]]+Тўловлар[[#This Row],[Терминал]])</f>
        <v>0</v>
      </c>
      <c r="N214" s="30" cm="1">
        <f t="array" ref="N214">IFERROR(LOOKUP(2,1/((Товар!$D$4:$D$1110=Тўловлар[[#This Row],[Клиент]])*(Товар!$E$4:$E$1110&lt;=Тўловлар[[#This Row],[Дата]])),Товар!$L$4:$L$1110),Кўрсаткичлар!$B$4)</f>
        <v>0</v>
      </c>
      <c r="O214" s="30">
        <f>Тўловлар[[#This Row],[Поддон]]*Тўловлар[[#This Row],[Поддон нархи]]</f>
        <v>0</v>
      </c>
      <c r="P214" s="30">
        <f>Тўловлар[[#This Row],[Жами сумма]]-Тўловлар[[#This Row],[Поддон пули]]</f>
        <v>0</v>
      </c>
      <c r="Q2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4" s="9" t="str">
        <f>IFERROR(INDEX(Мижозлар[Агент],MATCH($C214,Мижозлар[Расмий ном],0)),"")</f>
        <v/>
      </c>
    </row>
    <row r="215" spans="6:19" x14ac:dyDescent="0.2">
      <c r="F215" s="198"/>
      <c r="G215" s="9">
        <f>Тўловлар[[#This Row],[Поддон]]*$G$3</f>
        <v>0</v>
      </c>
      <c r="K215" s="9">
        <f>SUM(Тўловлар[[#This Row],[ПР-Сумма]]+Тўловлар[[#This Row],[Накд]]+Тўловлар[[#This Row],[Клик]]+Тўловлар[[#This Row],[Терминал]])</f>
        <v>0</v>
      </c>
      <c r="N215" s="30" cm="1">
        <f t="array" ref="N215">IFERROR(LOOKUP(2,1/((Товар!$D$4:$D$1110=Тўловлар[[#This Row],[Клиент]])*(Товар!$E$4:$E$1110&lt;=Тўловлар[[#This Row],[Дата]])),Товар!$L$4:$L$1110),Кўрсаткичлар!$B$4)</f>
        <v>0</v>
      </c>
      <c r="O215" s="30">
        <f>Тўловлар[[#This Row],[Поддон]]*Тўловлар[[#This Row],[Поддон нархи]]</f>
        <v>0</v>
      </c>
      <c r="P215" s="30">
        <f>Тўловлар[[#This Row],[Жами сумма]]-Тўловлар[[#This Row],[Поддон пули]]</f>
        <v>0</v>
      </c>
      <c r="Q2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5" s="9" t="str">
        <f>IFERROR(INDEX(Мижозлар[Агент],MATCH($C215,Мижозлар[Расмий ном],0)),"")</f>
        <v/>
      </c>
    </row>
    <row r="216" spans="6:19" x14ac:dyDescent="0.2">
      <c r="F216" s="198"/>
      <c r="G216" s="9">
        <f>Тўловлар[[#This Row],[Поддон]]*$G$3</f>
        <v>0</v>
      </c>
      <c r="K216" s="9">
        <f>SUM(Тўловлар[[#This Row],[ПР-Сумма]]+Тўловлар[[#This Row],[Накд]]+Тўловлар[[#This Row],[Клик]]+Тўловлар[[#This Row],[Терминал]])</f>
        <v>0</v>
      </c>
      <c r="N216" s="30" cm="1">
        <f t="array" ref="N216">IFERROR(LOOKUP(2,1/((Товар!$D$4:$D$1110=Тўловлар[[#This Row],[Клиент]])*(Товар!$E$4:$E$1110&lt;=Тўловлар[[#This Row],[Дата]])),Товар!$L$4:$L$1110),Кўрсаткичлар!$B$4)</f>
        <v>0</v>
      </c>
      <c r="O216" s="30">
        <f>Тўловлар[[#This Row],[Поддон]]*Тўловлар[[#This Row],[Поддон нархи]]</f>
        <v>0</v>
      </c>
      <c r="P216" s="30">
        <f>Тўловлар[[#This Row],[Жами сумма]]-Тўловлар[[#This Row],[Поддон пули]]</f>
        <v>0</v>
      </c>
      <c r="Q2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6" s="9" t="str">
        <f>IFERROR(INDEX(Мижозлар[Агент],MATCH($C216,Мижозлар[Расмий ном],0)),"")</f>
        <v/>
      </c>
    </row>
    <row r="217" spans="6:19" x14ac:dyDescent="0.2">
      <c r="F217" s="198"/>
      <c r="G217" s="9">
        <f>Тўловлар[[#This Row],[Поддон]]*$G$3</f>
        <v>0</v>
      </c>
      <c r="K217" s="9">
        <f>SUM(Тўловлар[[#This Row],[ПР-Сумма]]+Тўловлар[[#This Row],[Накд]]+Тўловлар[[#This Row],[Клик]]+Тўловлар[[#This Row],[Терминал]])</f>
        <v>0</v>
      </c>
      <c r="N217" s="30" cm="1">
        <f t="array" ref="N217">IFERROR(LOOKUP(2,1/((Товар!$D$4:$D$1110=Тўловлар[[#This Row],[Клиент]])*(Товар!$E$4:$E$1110&lt;=Тўловлар[[#This Row],[Дата]])),Товар!$L$4:$L$1110),Кўрсаткичлар!$B$4)</f>
        <v>0</v>
      </c>
      <c r="O217" s="30">
        <f>Тўловлар[[#This Row],[Поддон]]*Тўловлар[[#This Row],[Поддон нархи]]</f>
        <v>0</v>
      </c>
      <c r="P217" s="30">
        <f>Тўловлар[[#This Row],[Жами сумма]]-Тўловлар[[#This Row],[Поддон пули]]</f>
        <v>0</v>
      </c>
      <c r="Q2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7" s="9" t="str">
        <f>IFERROR(INDEX(Мижозлар[Агент],MATCH($C217,Мижозлар[Расмий ном],0)),"")</f>
        <v/>
      </c>
    </row>
    <row r="218" spans="6:19" x14ac:dyDescent="0.2">
      <c r="F218" s="198"/>
      <c r="G218" s="9">
        <f>Тўловлар[[#This Row],[Поддон]]*$G$3</f>
        <v>0</v>
      </c>
      <c r="K218" s="9">
        <f>SUM(Тўловлар[[#This Row],[ПР-Сумма]]+Тўловлар[[#This Row],[Накд]]+Тўловлар[[#This Row],[Клик]]+Тўловлар[[#This Row],[Терминал]])</f>
        <v>0</v>
      </c>
      <c r="N218" s="30" cm="1">
        <f t="array" ref="N218">IFERROR(LOOKUP(2,1/((Товар!$D$4:$D$1110=Тўловлар[[#This Row],[Клиент]])*(Товар!$E$4:$E$1110&lt;=Тўловлар[[#This Row],[Дата]])),Товар!$L$4:$L$1110),Кўрсаткичлар!$B$4)</f>
        <v>0</v>
      </c>
      <c r="O218" s="30">
        <f>Тўловлар[[#This Row],[Поддон]]*Тўловлар[[#This Row],[Поддон нархи]]</f>
        <v>0</v>
      </c>
      <c r="P218" s="30">
        <f>Тўловлар[[#This Row],[Жами сумма]]-Тўловлар[[#This Row],[Поддон пули]]</f>
        <v>0</v>
      </c>
      <c r="Q2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8" s="9" t="str">
        <f>IFERROR(INDEX(Мижозлар[Агент],MATCH($C218,Мижозлар[Расмий ном],0)),"")</f>
        <v/>
      </c>
    </row>
    <row r="219" spans="6:19" x14ac:dyDescent="0.2">
      <c r="F219" s="198"/>
      <c r="G219" s="9">
        <f>Тўловлар[[#This Row],[Поддон]]*$G$3</f>
        <v>0</v>
      </c>
      <c r="K219" s="9">
        <f>SUM(Тўловлар[[#This Row],[ПР-Сумма]]+Тўловлар[[#This Row],[Накд]]+Тўловлар[[#This Row],[Клик]]+Тўловлар[[#This Row],[Терминал]])</f>
        <v>0</v>
      </c>
      <c r="N219" s="30" cm="1">
        <f t="array" ref="N219">IFERROR(LOOKUP(2,1/((Товар!$D$4:$D$1110=Тўловлар[[#This Row],[Клиент]])*(Товар!$E$4:$E$1110&lt;=Тўловлар[[#This Row],[Дата]])),Товар!$L$4:$L$1110),Кўрсаткичлар!$B$4)</f>
        <v>0</v>
      </c>
      <c r="O219" s="30">
        <f>Тўловлар[[#This Row],[Поддон]]*Тўловлар[[#This Row],[Поддон нархи]]</f>
        <v>0</v>
      </c>
      <c r="P219" s="30">
        <f>Тўловлар[[#This Row],[Жами сумма]]-Тўловлар[[#This Row],[Поддон пули]]</f>
        <v>0</v>
      </c>
      <c r="Q2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19" s="9" t="str">
        <f>IFERROR(INDEX(Мижозлар[Агент],MATCH($C219,Мижозлар[Расмий ном],0)),"")</f>
        <v/>
      </c>
    </row>
    <row r="220" spans="6:19" x14ac:dyDescent="0.2">
      <c r="F220" s="198"/>
      <c r="G220" s="9">
        <f>Тўловлар[[#This Row],[Поддон]]*$G$3</f>
        <v>0</v>
      </c>
      <c r="K220" s="9">
        <f>SUM(Тўловлар[[#This Row],[ПР-Сумма]]+Тўловлар[[#This Row],[Накд]]+Тўловлар[[#This Row],[Клик]]+Тўловлар[[#This Row],[Терминал]])</f>
        <v>0</v>
      </c>
      <c r="N220" s="30" cm="1">
        <f t="array" ref="N220">IFERROR(LOOKUP(2,1/((Товар!$D$4:$D$1110=Тўловлар[[#This Row],[Клиент]])*(Товар!$E$4:$E$1110&lt;=Тўловлар[[#This Row],[Дата]])),Товар!$L$4:$L$1110),Кўрсаткичлар!$B$4)</f>
        <v>0</v>
      </c>
      <c r="O220" s="30">
        <f>Тўловлар[[#This Row],[Поддон]]*Тўловлар[[#This Row],[Поддон нархи]]</f>
        <v>0</v>
      </c>
      <c r="P220" s="30">
        <f>Тўловлар[[#This Row],[Жами сумма]]-Тўловлар[[#This Row],[Поддон пули]]</f>
        <v>0</v>
      </c>
      <c r="Q2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0" s="9" t="str">
        <f>IFERROR(INDEX(Мижозлар[Агент],MATCH($C220,Мижозлар[Расмий ном],0)),"")</f>
        <v/>
      </c>
    </row>
    <row r="221" spans="6:19" x14ac:dyDescent="0.2">
      <c r="F221" s="198"/>
      <c r="G221" s="9">
        <f>Тўловлар[[#This Row],[Поддон]]*$G$3</f>
        <v>0</v>
      </c>
      <c r="K221" s="9">
        <f>SUM(Тўловлар[[#This Row],[ПР-Сумма]]+Тўловлар[[#This Row],[Накд]]+Тўловлар[[#This Row],[Клик]]+Тўловлар[[#This Row],[Терминал]])</f>
        <v>0</v>
      </c>
      <c r="N221" s="30" cm="1">
        <f t="array" ref="N221">IFERROR(LOOKUP(2,1/((Товар!$D$4:$D$1110=Тўловлар[[#This Row],[Клиент]])*(Товар!$E$4:$E$1110&lt;=Тўловлар[[#This Row],[Дата]])),Товар!$L$4:$L$1110),Кўрсаткичлар!$B$4)</f>
        <v>0</v>
      </c>
      <c r="O221" s="30">
        <f>Тўловлар[[#This Row],[Поддон]]*Тўловлар[[#This Row],[Поддон нархи]]</f>
        <v>0</v>
      </c>
      <c r="P221" s="30">
        <f>Тўловлар[[#This Row],[Жами сумма]]-Тўловлар[[#This Row],[Поддон пули]]</f>
        <v>0</v>
      </c>
      <c r="Q2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1" s="9" t="str">
        <f>IFERROR(INDEX(Мижозлар[Агент],MATCH($C221,Мижозлар[Расмий ном],0)),"")</f>
        <v/>
      </c>
    </row>
    <row r="222" spans="6:19" x14ac:dyDescent="0.2">
      <c r="F222" s="198"/>
      <c r="G222" s="9">
        <f>Тўловлар[[#This Row],[Поддон]]*$G$3</f>
        <v>0</v>
      </c>
      <c r="K222" s="9">
        <f>SUM(Тўловлар[[#This Row],[ПР-Сумма]]+Тўловлар[[#This Row],[Накд]]+Тўловлар[[#This Row],[Клик]]+Тўловлар[[#This Row],[Терминал]])</f>
        <v>0</v>
      </c>
      <c r="N222" s="30" cm="1">
        <f t="array" ref="N222">IFERROR(LOOKUP(2,1/((Товар!$D$4:$D$1110=Тўловлар[[#This Row],[Клиент]])*(Товар!$E$4:$E$1110&lt;=Тўловлар[[#This Row],[Дата]])),Товар!$L$4:$L$1110),Кўрсаткичлар!$B$4)</f>
        <v>0</v>
      </c>
      <c r="O222" s="30">
        <f>Тўловлар[[#This Row],[Поддон]]*Тўловлар[[#This Row],[Поддон нархи]]</f>
        <v>0</v>
      </c>
      <c r="P222" s="30">
        <f>Тўловлар[[#This Row],[Жами сумма]]-Тўловлар[[#This Row],[Поддон пули]]</f>
        <v>0</v>
      </c>
      <c r="Q2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2" s="9" t="str">
        <f>IFERROR(INDEX(Мижозлар[Агент],MATCH($C222,Мижозлар[Расмий ном],0)),"")</f>
        <v/>
      </c>
    </row>
    <row r="223" spans="6:19" x14ac:dyDescent="0.2">
      <c r="F223" s="198"/>
      <c r="G223" s="9">
        <f>Тўловлар[[#This Row],[Поддон]]*$G$3</f>
        <v>0</v>
      </c>
      <c r="K223" s="9">
        <f>SUM(Тўловлар[[#This Row],[ПР-Сумма]]+Тўловлар[[#This Row],[Накд]]+Тўловлар[[#This Row],[Клик]]+Тўловлар[[#This Row],[Терминал]])</f>
        <v>0</v>
      </c>
      <c r="N223" s="30" cm="1">
        <f t="array" ref="N223">IFERROR(LOOKUP(2,1/((Товар!$D$4:$D$1110=Тўловлар[[#This Row],[Клиент]])*(Товар!$E$4:$E$1110&lt;=Тўловлар[[#This Row],[Дата]])),Товар!$L$4:$L$1110),Кўрсаткичлар!$B$4)</f>
        <v>0</v>
      </c>
      <c r="O223" s="30">
        <f>Тўловлар[[#This Row],[Поддон]]*Тўловлар[[#This Row],[Поддон нархи]]</f>
        <v>0</v>
      </c>
      <c r="P223" s="30">
        <f>Тўловлар[[#This Row],[Жами сумма]]-Тўловлар[[#This Row],[Поддон пули]]</f>
        <v>0</v>
      </c>
      <c r="Q2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3" s="9" t="str">
        <f>IFERROR(INDEX(Мижозлар[Агент],MATCH($C223,Мижозлар[Расмий ном],0)),"")</f>
        <v/>
      </c>
    </row>
    <row r="224" spans="6:19" x14ac:dyDescent="0.2">
      <c r="F224" s="198"/>
      <c r="G224" s="9">
        <f>Тўловлар[[#This Row],[Поддон]]*$G$3</f>
        <v>0</v>
      </c>
      <c r="K224" s="9">
        <f>SUM(Тўловлар[[#This Row],[ПР-Сумма]]+Тўловлар[[#This Row],[Накд]]+Тўловлар[[#This Row],[Клик]]+Тўловлар[[#This Row],[Терминал]])</f>
        <v>0</v>
      </c>
      <c r="N224" s="30" cm="1">
        <f t="array" ref="N224">IFERROR(LOOKUP(2,1/((Товар!$D$4:$D$1110=Тўловлар[[#This Row],[Клиент]])*(Товар!$E$4:$E$1110&lt;=Тўловлар[[#This Row],[Дата]])),Товар!$L$4:$L$1110),Кўрсаткичлар!$B$4)</f>
        <v>0</v>
      </c>
      <c r="O224" s="30">
        <f>Тўловлар[[#This Row],[Поддон]]*Тўловлар[[#This Row],[Поддон нархи]]</f>
        <v>0</v>
      </c>
      <c r="P224" s="30">
        <f>Тўловлар[[#This Row],[Жами сумма]]-Тўловлар[[#This Row],[Поддон пули]]</f>
        <v>0</v>
      </c>
      <c r="Q2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4" s="9" t="str">
        <f>IFERROR(INDEX(Мижозлар[Агент],MATCH($C224,Мижозлар[Расмий ном],0)),"")</f>
        <v/>
      </c>
    </row>
    <row r="225" spans="6:19" x14ac:dyDescent="0.2">
      <c r="F225" s="198"/>
      <c r="G225" s="9">
        <f>Тўловлар[[#This Row],[Поддон]]*$G$3</f>
        <v>0</v>
      </c>
      <c r="K225" s="9">
        <f>SUM(Тўловлар[[#This Row],[ПР-Сумма]]+Тўловлар[[#This Row],[Накд]]+Тўловлар[[#This Row],[Клик]]+Тўловлар[[#This Row],[Терминал]])</f>
        <v>0</v>
      </c>
      <c r="N225" s="30" cm="1">
        <f t="array" ref="N225">IFERROR(LOOKUP(2,1/((Товар!$D$4:$D$1110=Тўловлар[[#This Row],[Клиент]])*(Товар!$E$4:$E$1110&lt;=Тўловлар[[#This Row],[Дата]])),Товар!$L$4:$L$1110),Кўрсаткичлар!$B$4)</f>
        <v>0</v>
      </c>
      <c r="O225" s="30">
        <f>Тўловлар[[#This Row],[Поддон]]*Тўловлар[[#This Row],[Поддон нархи]]</f>
        <v>0</v>
      </c>
      <c r="P225" s="30">
        <f>Тўловлар[[#This Row],[Жами сумма]]-Тўловлар[[#This Row],[Поддон пули]]</f>
        <v>0</v>
      </c>
      <c r="Q2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5" s="9" t="str">
        <f>IFERROR(INDEX(Мижозлар[Агент],MATCH($C225,Мижозлар[Расмий ном],0)),"")</f>
        <v/>
      </c>
    </row>
    <row r="226" spans="6:19" x14ac:dyDescent="0.2">
      <c r="F226" s="198"/>
      <c r="G226" s="9">
        <f>Тўловлар[[#This Row],[Поддон]]*$G$3</f>
        <v>0</v>
      </c>
      <c r="K226" s="9">
        <f>SUM(Тўловлар[[#This Row],[ПР-Сумма]]+Тўловлар[[#This Row],[Накд]]+Тўловлар[[#This Row],[Клик]]+Тўловлар[[#This Row],[Терминал]])</f>
        <v>0</v>
      </c>
      <c r="N226" s="30" cm="1">
        <f t="array" ref="N226">IFERROR(LOOKUP(2,1/((Товар!$D$4:$D$1110=Тўловлар[[#This Row],[Клиент]])*(Товар!$E$4:$E$1110&lt;=Тўловлар[[#This Row],[Дата]])),Товар!$L$4:$L$1110),Кўрсаткичлар!$B$4)</f>
        <v>0</v>
      </c>
      <c r="O226" s="30">
        <f>Тўловлар[[#This Row],[Поддон]]*Тўловлар[[#This Row],[Поддон нархи]]</f>
        <v>0</v>
      </c>
      <c r="P226" s="30">
        <f>Тўловлар[[#This Row],[Жами сумма]]-Тўловлар[[#This Row],[Поддон пули]]</f>
        <v>0</v>
      </c>
      <c r="Q2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6" s="9" t="str">
        <f>IFERROR(INDEX(Мижозлар[Агент],MATCH($C226,Мижозлар[Расмий ном],0)),"")</f>
        <v/>
      </c>
    </row>
    <row r="227" spans="6:19" x14ac:dyDescent="0.2">
      <c r="F227" s="198"/>
      <c r="G227" s="9">
        <f>Тўловлар[[#This Row],[Поддон]]*$G$3</f>
        <v>0</v>
      </c>
      <c r="K227" s="9">
        <f>SUM(Тўловлар[[#This Row],[ПР-Сумма]]+Тўловлар[[#This Row],[Накд]]+Тўловлар[[#This Row],[Клик]]+Тўловлар[[#This Row],[Терминал]])</f>
        <v>0</v>
      </c>
      <c r="N227" s="30" cm="1">
        <f t="array" ref="N227">IFERROR(LOOKUP(2,1/((Товар!$D$4:$D$1110=Тўловлар[[#This Row],[Клиент]])*(Товар!$E$4:$E$1110&lt;=Тўловлар[[#This Row],[Дата]])),Товар!$L$4:$L$1110),Кўрсаткичлар!$B$4)</f>
        <v>0</v>
      </c>
      <c r="O227" s="30">
        <f>Тўловлар[[#This Row],[Поддон]]*Тўловлар[[#This Row],[Поддон нархи]]</f>
        <v>0</v>
      </c>
      <c r="P227" s="30">
        <f>Тўловлар[[#This Row],[Жами сумма]]-Тўловлар[[#This Row],[Поддон пули]]</f>
        <v>0</v>
      </c>
      <c r="Q2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7" s="9" t="str">
        <f>IFERROR(INDEX(Мижозлар[Агент],MATCH($C227,Мижозлар[Расмий ном],0)),"")</f>
        <v/>
      </c>
    </row>
    <row r="228" spans="6:19" x14ac:dyDescent="0.2">
      <c r="F228" s="198"/>
      <c r="G228" s="9">
        <f>Тўловлар[[#This Row],[Поддон]]*$G$3</f>
        <v>0</v>
      </c>
      <c r="K228" s="9">
        <f>SUM(Тўловлар[[#This Row],[ПР-Сумма]]+Тўловлар[[#This Row],[Накд]]+Тўловлар[[#This Row],[Клик]]+Тўловлар[[#This Row],[Терминал]])</f>
        <v>0</v>
      </c>
      <c r="N228" s="30" cm="1">
        <f t="array" ref="N228">IFERROR(LOOKUP(2,1/((Товар!$D$4:$D$1110=Тўловлар[[#This Row],[Клиент]])*(Товар!$E$4:$E$1110&lt;=Тўловлар[[#This Row],[Дата]])),Товар!$L$4:$L$1110),Кўрсаткичлар!$B$4)</f>
        <v>0</v>
      </c>
      <c r="O228" s="30">
        <f>Тўловлар[[#This Row],[Поддон]]*Тўловлар[[#This Row],[Поддон нархи]]</f>
        <v>0</v>
      </c>
      <c r="P228" s="30">
        <f>Тўловлар[[#This Row],[Жами сумма]]-Тўловлар[[#This Row],[Поддон пули]]</f>
        <v>0</v>
      </c>
      <c r="Q2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8" s="9" t="str">
        <f>IFERROR(INDEX(Мижозлар[Агент],MATCH($C228,Мижозлар[Расмий ном],0)),"")</f>
        <v/>
      </c>
    </row>
    <row r="229" spans="6:19" x14ac:dyDescent="0.2">
      <c r="F229" s="198"/>
      <c r="G229" s="9">
        <f>Тўловлар[[#This Row],[Поддон]]*$G$3</f>
        <v>0</v>
      </c>
      <c r="K229" s="9">
        <f>SUM(Тўловлар[[#This Row],[ПР-Сумма]]+Тўловлар[[#This Row],[Накд]]+Тўловлар[[#This Row],[Клик]]+Тўловлар[[#This Row],[Терминал]])</f>
        <v>0</v>
      </c>
      <c r="N229" s="30" cm="1">
        <f t="array" ref="N229">IFERROR(LOOKUP(2,1/((Товар!$D$4:$D$1110=Тўловлар[[#This Row],[Клиент]])*(Товар!$E$4:$E$1110&lt;=Тўловлар[[#This Row],[Дата]])),Товар!$L$4:$L$1110),Кўрсаткичлар!$B$4)</f>
        <v>0</v>
      </c>
      <c r="O229" s="30">
        <f>Тўловлар[[#This Row],[Поддон]]*Тўловлар[[#This Row],[Поддон нархи]]</f>
        <v>0</v>
      </c>
      <c r="P229" s="30">
        <f>Тўловлар[[#This Row],[Жами сумма]]-Тўловлар[[#This Row],[Поддон пули]]</f>
        <v>0</v>
      </c>
      <c r="Q2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29" s="9" t="str">
        <f>IFERROR(INDEX(Мижозлар[Агент],MATCH($C229,Мижозлар[Расмий ном],0)),"")</f>
        <v/>
      </c>
    </row>
    <row r="230" spans="6:19" x14ac:dyDescent="0.2">
      <c r="F230" s="198"/>
      <c r="G230" s="9">
        <f>Тўловлар[[#This Row],[Поддон]]*$G$3</f>
        <v>0</v>
      </c>
      <c r="K230" s="9">
        <f>SUM(Тўловлар[[#This Row],[ПР-Сумма]]+Тўловлар[[#This Row],[Накд]]+Тўловлар[[#This Row],[Клик]]+Тўловлар[[#This Row],[Терминал]])</f>
        <v>0</v>
      </c>
      <c r="N230" s="30" cm="1">
        <f t="array" ref="N230">IFERROR(LOOKUP(2,1/((Товар!$D$4:$D$1110=Тўловлар[[#This Row],[Клиент]])*(Товар!$E$4:$E$1110&lt;=Тўловлар[[#This Row],[Дата]])),Товар!$L$4:$L$1110),Кўрсаткичлар!$B$4)</f>
        <v>0</v>
      </c>
      <c r="O230" s="30">
        <f>Тўловлар[[#This Row],[Поддон]]*Тўловлар[[#This Row],[Поддон нархи]]</f>
        <v>0</v>
      </c>
      <c r="P230" s="30">
        <f>Тўловлар[[#This Row],[Жами сумма]]-Тўловлар[[#This Row],[Поддон пули]]</f>
        <v>0</v>
      </c>
      <c r="Q2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0" s="9" t="str">
        <f>IFERROR(INDEX(Мижозлар[Агент],MATCH($C230,Мижозлар[Расмий ном],0)),"")</f>
        <v/>
      </c>
    </row>
    <row r="231" spans="6:19" x14ac:dyDescent="0.2">
      <c r="F231" s="198"/>
      <c r="G231" s="9">
        <f>Тўловлар[[#This Row],[Поддон]]*$G$3</f>
        <v>0</v>
      </c>
      <c r="K231" s="9">
        <f>SUM(Тўловлар[[#This Row],[ПР-Сумма]]+Тўловлар[[#This Row],[Накд]]+Тўловлар[[#This Row],[Клик]]+Тўловлар[[#This Row],[Терминал]])</f>
        <v>0</v>
      </c>
      <c r="N231" s="30" cm="1">
        <f t="array" ref="N231">IFERROR(LOOKUP(2,1/((Товар!$D$4:$D$1110=Тўловлар[[#This Row],[Клиент]])*(Товар!$E$4:$E$1110&lt;=Тўловлар[[#This Row],[Дата]])),Товар!$L$4:$L$1110),Кўрсаткичлар!$B$4)</f>
        <v>0</v>
      </c>
      <c r="O231" s="30">
        <f>Тўловлар[[#This Row],[Поддон]]*Тўловлар[[#This Row],[Поддон нархи]]</f>
        <v>0</v>
      </c>
      <c r="P231" s="30">
        <f>Тўловлар[[#This Row],[Жами сумма]]-Тўловлар[[#This Row],[Поддон пули]]</f>
        <v>0</v>
      </c>
      <c r="Q2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1" s="9" t="str">
        <f>IFERROR(INDEX(Мижозлар[Агент],MATCH($C231,Мижозлар[Расмий ном],0)),"")</f>
        <v/>
      </c>
    </row>
    <row r="232" spans="6:19" x14ac:dyDescent="0.2">
      <c r="F232" s="198"/>
      <c r="G232" s="9">
        <f>Тўловлар[[#This Row],[Поддон]]*$G$3</f>
        <v>0</v>
      </c>
      <c r="K232" s="9">
        <f>SUM(Тўловлар[[#This Row],[ПР-Сумма]]+Тўловлар[[#This Row],[Накд]]+Тўловлар[[#This Row],[Клик]]+Тўловлар[[#This Row],[Терминал]])</f>
        <v>0</v>
      </c>
      <c r="N232" s="30" cm="1">
        <f t="array" ref="N232">IFERROR(LOOKUP(2,1/((Товар!$D$4:$D$1110=Тўловлар[[#This Row],[Клиент]])*(Товар!$E$4:$E$1110&lt;=Тўловлар[[#This Row],[Дата]])),Товар!$L$4:$L$1110),Кўрсаткичлар!$B$4)</f>
        <v>0</v>
      </c>
      <c r="O232" s="30">
        <f>Тўловлар[[#This Row],[Поддон]]*Тўловлар[[#This Row],[Поддон нархи]]</f>
        <v>0</v>
      </c>
      <c r="P232" s="30">
        <f>Тўловлар[[#This Row],[Жами сумма]]-Тўловлар[[#This Row],[Поддон пули]]</f>
        <v>0</v>
      </c>
      <c r="Q2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2" s="9" t="str">
        <f>IFERROR(INDEX(Мижозлар[Агент],MATCH($C232,Мижозлар[Расмий ном],0)),"")</f>
        <v/>
      </c>
    </row>
    <row r="233" spans="6:19" x14ac:dyDescent="0.2">
      <c r="F233" s="198"/>
      <c r="G233" s="9">
        <f>Тўловлар[[#This Row],[Поддон]]*$G$3</f>
        <v>0</v>
      </c>
      <c r="K233" s="9">
        <f>SUM(Тўловлар[[#This Row],[ПР-Сумма]]+Тўловлар[[#This Row],[Накд]]+Тўловлар[[#This Row],[Клик]]+Тўловлар[[#This Row],[Терминал]])</f>
        <v>0</v>
      </c>
      <c r="N233" s="30" cm="1">
        <f t="array" ref="N233">IFERROR(LOOKUP(2,1/((Товар!$D$4:$D$1110=Тўловлар[[#This Row],[Клиент]])*(Товар!$E$4:$E$1110&lt;=Тўловлар[[#This Row],[Дата]])),Товар!$L$4:$L$1110),Кўрсаткичлар!$B$4)</f>
        <v>0</v>
      </c>
      <c r="O233" s="30">
        <f>Тўловлар[[#This Row],[Поддон]]*Тўловлар[[#This Row],[Поддон нархи]]</f>
        <v>0</v>
      </c>
      <c r="P233" s="30">
        <f>Тўловлар[[#This Row],[Жами сумма]]-Тўловлар[[#This Row],[Поддон пули]]</f>
        <v>0</v>
      </c>
      <c r="Q2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3" s="9" t="str">
        <f>IFERROR(INDEX(Мижозлар[Агент],MATCH($C233,Мижозлар[Расмий ном],0)),"")</f>
        <v/>
      </c>
    </row>
    <row r="234" spans="6:19" x14ac:dyDescent="0.2">
      <c r="F234" s="198"/>
      <c r="G234" s="9">
        <f>Тўловлар[[#This Row],[Поддон]]*$G$3</f>
        <v>0</v>
      </c>
      <c r="K234" s="9">
        <f>SUM(Тўловлар[[#This Row],[ПР-Сумма]]+Тўловлар[[#This Row],[Накд]]+Тўловлар[[#This Row],[Клик]]+Тўловлар[[#This Row],[Терминал]])</f>
        <v>0</v>
      </c>
      <c r="N234" s="30" cm="1">
        <f t="array" ref="N234">IFERROR(LOOKUP(2,1/((Товар!$D$4:$D$1110=Тўловлар[[#This Row],[Клиент]])*(Товар!$E$4:$E$1110&lt;=Тўловлар[[#This Row],[Дата]])),Товар!$L$4:$L$1110),Кўрсаткичлар!$B$4)</f>
        <v>0</v>
      </c>
      <c r="O234" s="30">
        <f>Тўловлар[[#This Row],[Поддон]]*Тўловлар[[#This Row],[Поддон нархи]]</f>
        <v>0</v>
      </c>
      <c r="P234" s="30">
        <f>Тўловлар[[#This Row],[Жами сумма]]-Тўловлар[[#This Row],[Поддон пули]]</f>
        <v>0</v>
      </c>
      <c r="Q2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4" s="9" t="str">
        <f>IFERROR(INDEX(Мижозлар[Агент],MATCH($C234,Мижозлар[Расмий ном],0)),"")</f>
        <v/>
      </c>
    </row>
    <row r="235" spans="6:19" x14ac:dyDescent="0.2">
      <c r="F235" s="198"/>
      <c r="G235" s="9">
        <f>Тўловлар[[#This Row],[Поддон]]*$G$3</f>
        <v>0</v>
      </c>
      <c r="K235" s="9">
        <f>SUM(Тўловлар[[#This Row],[ПР-Сумма]]+Тўловлар[[#This Row],[Накд]]+Тўловлар[[#This Row],[Клик]]+Тўловлар[[#This Row],[Терминал]])</f>
        <v>0</v>
      </c>
      <c r="N235" s="30" cm="1">
        <f t="array" ref="N235">IFERROR(LOOKUP(2,1/((Товар!$D$4:$D$1110=Тўловлар[[#This Row],[Клиент]])*(Товар!$E$4:$E$1110&lt;=Тўловлар[[#This Row],[Дата]])),Товар!$L$4:$L$1110),Кўрсаткичлар!$B$4)</f>
        <v>0</v>
      </c>
      <c r="O235" s="30">
        <f>Тўловлар[[#This Row],[Поддон]]*Тўловлар[[#This Row],[Поддон нархи]]</f>
        <v>0</v>
      </c>
      <c r="P235" s="30">
        <f>Тўловлар[[#This Row],[Жами сумма]]-Тўловлар[[#This Row],[Поддон пули]]</f>
        <v>0</v>
      </c>
      <c r="Q2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5" s="9" t="str">
        <f>IFERROR(INDEX(Мижозлар[Агент],MATCH($C235,Мижозлар[Расмий ном],0)),"")</f>
        <v/>
      </c>
    </row>
    <row r="236" spans="6:19" x14ac:dyDescent="0.2">
      <c r="F236" s="198"/>
      <c r="G236" s="9">
        <f>Тўловлар[[#This Row],[Поддон]]*$G$3</f>
        <v>0</v>
      </c>
      <c r="K236" s="9">
        <f>SUM(Тўловлар[[#This Row],[ПР-Сумма]]+Тўловлар[[#This Row],[Накд]]+Тўловлар[[#This Row],[Клик]]+Тўловлар[[#This Row],[Терминал]])</f>
        <v>0</v>
      </c>
      <c r="N236" s="30" cm="1">
        <f t="array" ref="N236">IFERROR(LOOKUP(2,1/((Товар!$D$4:$D$1110=Тўловлар[[#This Row],[Клиент]])*(Товар!$E$4:$E$1110&lt;=Тўловлар[[#This Row],[Дата]])),Товар!$L$4:$L$1110),Кўрсаткичлар!$B$4)</f>
        <v>0</v>
      </c>
      <c r="O236" s="30">
        <f>Тўловлар[[#This Row],[Поддон]]*Тўловлар[[#This Row],[Поддон нархи]]</f>
        <v>0</v>
      </c>
      <c r="P236" s="30">
        <f>Тўловлар[[#This Row],[Жами сумма]]-Тўловлар[[#This Row],[Поддон пули]]</f>
        <v>0</v>
      </c>
      <c r="Q2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6" s="9" t="str">
        <f>IFERROR(INDEX(Мижозлар[Агент],MATCH($C236,Мижозлар[Расмий ном],0)),"")</f>
        <v/>
      </c>
    </row>
    <row r="237" spans="6:19" x14ac:dyDescent="0.2">
      <c r="F237" s="198"/>
      <c r="G237" s="9">
        <f>Тўловлар[[#This Row],[Поддон]]*$G$3</f>
        <v>0</v>
      </c>
      <c r="K237" s="9">
        <f>SUM(Тўловлар[[#This Row],[ПР-Сумма]]+Тўловлар[[#This Row],[Накд]]+Тўловлар[[#This Row],[Клик]]+Тўловлар[[#This Row],[Терминал]])</f>
        <v>0</v>
      </c>
      <c r="N237" s="30" cm="1">
        <f t="array" ref="N237">IFERROR(LOOKUP(2,1/((Товар!$D$4:$D$1110=Тўловлар[[#This Row],[Клиент]])*(Товар!$E$4:$E$1110&lt;=Тўловлар[[#This Row],[Дата]])),Товар!$L$4:$L$1110),Кўрсаткичлар!$B$4)</f>
        <v>0</v>
      </c>
      <c r="O237" s="30">
        <f>Тўловлар[[#This Row],[Поддон]]*Тўловлар[[#This Row],[Поддон нархи]]</f>
        <v>0</v>
      </c>
      <c r="P237" s="30">
        <f>Тўловлар[[#This Row],[Жами сумма]]-Тўловлар[[#This Row],[Поддон пули]]</f>
        <v>0</v>
      </c>
      <c r="Q2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7" s="9" t="str">
        <f>IFERROR(INDEX(Мижозлар[Агент],MATCH($C237,Мижозлар[Расмий ном],0)),"")</f>
        <v/>
      </c>
    </row>
    <row r="238" spans="6:19" x14ac:dyDescent="0.2">
      <c r="F238" s="198"/>
      <c r="G238" s="9">
        <f>Тўловлар[[#This Row],[Поддон]]*$G$3</f>
        <v>0</v>
      </c>
      <c r="K238" s="9">
        <f>SUM(Тўловлар[[#This Row],[ПР-Сумма]]+Тўловлар[[#This Row],[Накд]]+Тўловлар[[#This Row],[Клик]]+Тўловлар[[#This Row],[Терминал]])</f>
        <v>0</v>
      </c>
      <c r="N238" s="30" cm="1">
        <f t="array" ref="N238">IFERROR(LOOKUP(2,1/((Товар!$D$4:$D$1110=Тўловлар[[#This Row],[Клиент]])*(Товар!$E$4:$E$1110&lt;=Тўловлар[[#This Row],[Дата]])),Товар!$L$4:$L$1110),Кўрсаткичлар!$B$4)</f>
        <v>0</v>
      </c>
      <c r="O238" s="30">
        <f>Тўловлар[[#This Row],[Поддон]]*Тўловлар[[#This Row],[Поддон нархи]]</f>
        <v>0</v>
      </c>
      <c r="P238" s="30">
        <f>Тўловлар[[#This Row],[Жами сумма]]-Тўловлар[[#This Row],[Поддон пули]]</f>
        <v>0</v>
      </c>
      <c r="Q2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8" s="9" t="str">
        <f>IFERROR(INDEX(Мижозлар[Агент],MATCH($C238,Мижозлар[Расмий ном],0)),"")</f>
        <v/>
      </c>
    </row>
    <row r="239" spans="6:19" x14ac:dyDescent="0.2">
      <c r="F239" s="198"/>
      <c r="G239" s="9">
        <f>Тўловлар[[#This Row],[Поддон]]*$G$3</f>
        <v>0</v>
      </c>
      <c r="K239" s="9">
        <f>SUM(Тўловлар[[#This Row],[ПР-Сумма]]+Тўловлар[[#This Row],[Накд]]+Тўловлар[[#This Row],[Клик]]+Тўловлар[[#This Row],[Терминал]])</f>
        <v>0</v>
      </c>
      <c r="N239" s="30" cm="1">
        <f t="array" ref="N239">IFERROR(LOOKUP(2,1/((Товар!$D$4:$D$1110=Тўловлар[[#This Row],[Клиент]])*(Товар!$E$4:$E$1110&lt;=Тўловлар[[#This Row],[Дата]])),Товар!$L$4:$L$1110),Кўрсаткичлар!$B$4)</f>
        <v>0</v>
      </c>
      <c r="O239" s="30">
        <f>Тўловлар[[#This Row],[Поддон]]*Тўловлар[[#This Row],[Поддон нархи]]</f>
        <v>0</v>
      </c>
      <c r="P239" s="30">
        <f>Тўловлар[[#This Row],[Жами сумма]]-Тўловлар[[#This Row],[Поддон пули]]</f>
        <v>0</v>
      </c>
      <c r="Q2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39" s="9" t="str">
        <f>IFERROR(INDEX(Мижозлар[Агент],MATCH($C239,Мижозлар[Расмий ном],0)),"")</f>
        <v/>
      </c>
    </row>
    <row r="240" spans="6:19" x14ac:dyDescent="0.2">
      <c r="F240" s="198"/>
      <c r="G240" s="9">
        <f>Тўловлар[[#This Row],[Поддон]]*$G$3</f>
        <v>0</v>
      </c>
      <c r="K240" s="9">
        <f>SUM(Тўловлар[[#This Row],[ПР-Сумма]]+Тўловлар[[#This Row],[Накд]]+Тўловлар[[#This Row],[Клик]]+Тўловлар[[#This Row],[Терминал]])</f>
        <v>0</v>
      </c>
      <c r="N240" s="30" cm="1">
        <f t="array" ref="N240">IFERROR(LOOKUP(2,1/((Товар!$D$4:$D$1110=Тўловлар[[#This Row],[Клиент]])*(Товар!$E$4:$E$1110&lt;=Тўловлар[[#This Row],[Дата]])),Товар!$L$4:$L$1110),Кўрсаткичлар!$B$4)</f>
        <v>0</v>
      </c>
      <c r="O240" s="30">
        <f>Тўловлар[[#This Row],[Поддон]]*Тўловлар[[#This Row],[Поддон нархи]]</f>
        <v>0</v>
      </c>
      <c r="P240" s="30">
        <f>Тўловлар[[#This Row],[Жами сумма]]-Тўловлар[[#This Row],[Поддон пули]]</f>
        <v>0</v>
      </c>
      <c r="Q2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0" s="9" t="str">
        <f>IFERROR(INDEX(Мижозлар[Агент],MATCH($C240,Мижозлар[Расмий ном],0)),"")</f>
        <v/>
      </c>
    </row>
    <row r="241" spans="6:19" x14ac:dyDescent="0.2">
      <c r="F241" s="198"/>
      <c r="G241" s="9">
        <f>Тўловлар[[#This Row],[Поддон]]*$G$3</f>
        <v>0</v>
      </c>
      <c r="K241" s="9">
        <f>SUM(Тўловлар[[#This Row],[ПР-Сумма]]+Тўловлар[[#This Row],[Накд]]+Тўловлар[[#This Row],[Клик]]+Тўловлар[[#This Row],[Терминал]])</f>
        <v>0</v>
      </c>
      <c r="N241" s="30" cm="1">
        <f t="array" ref="N241">IFERROR(LOOKUP(2,1/((Товар!$D$4:$D$1110=Тўловлар[[#This Row],[Клиент]])*(Товар!$E$4:$E$1110&lt;=Тўловлар[[#This Row],[Дата]])),Товар!$L$4:$L$1110),Кўрсаткичлар!$B$4)</f>
        <v>0</v>
      </c>
      <c r="O241" s="30">
        <f>Тўловлар[[#This Row],[Поддон]]*Тўловлар[[#This Row],[Поддон нархи]]</f>
        <v>0</v>
      </c>
      <c r="P241" s="30">
        <f>Тўловлар[[#This Row],[Жами сумма]]-Тўловлар[[#This Row],[Поддон пули]]</f>
        <v>0</v>
      </c>
      <c r="Q2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1" s="9" t="str">
        <f>IFERROR(INDEX(Мижозлар[Агент],MATCH($C241,Мижозлар[Расмий ном],0)),"")</f>
        <v/>
      </c>
    </row>
    <row r="242" spans="6:19" x14ac:dyDescent="0.2">
      <c r="F242" s="198"/>
      <c r="G242" s="9">
        <f>Тўловлар[[#This Row],[Поддон]]*$G$3</f>
        <v>0</v>
      </c>
      <c r="K242" s="9">
        <f>SUM(Тўловлар[[#This Row],[ПР-Сумма]]+Тўловлар[[#This Row],[Накд]]+Тўловлар[[#This Row],[Клик]]+Тўловлар[[#This Row],[Терминал]])</f>
        <v>0</v>
      </c>
      <c r="N242" s="30" cm="1">
        <f t="array" ref="N242">IFERROR(LOOKUP(2,1/((Товар!$D$4:$D$1110=Тўловлар[[#This Row],[Клиент]])*(Товар!$E$4:$E$1110&lt;=Тўловлар[[#This Row],[Дата]])),Товар!$L$4:$L$1110),Кўрсаткичлар!$B$4)</f>
        <v>0</v>
      </c>
      <c r="O242" s="30">
        <f>Тўловлар[[#This Row],[Поддон]]*Тўловлар[[#This Row],[Поддон нархи]]</f>
        <v>0</v>
      </c>
      <c r="P242" s="30">
        <f>Тўловлар[[#This Row],[Жами сумма]]-Тўловлар[[#This Row],[Поддон пули]]</f>
        <v>0</v>
      </c>
      <c r="Q2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2" s="9" t="str">
        <f>IFERROR(INDEX(Мижозлар[Агент],MATCH($C242,Мижозлар[Расмий ном],0)),"")</f>
        <v/>
      </c>
    </row>
    <row r="243" spans="6:19" x14ac:dyDescent="0.2">
      <c r="F243" s="198"/>
      <c r="G243" s="9">
        <f>Тўловлар[[#This Row],[Поддон]]*$G$3</f>
        <v>0</v>
      </c>
      <c r="K243" s="9">
        <f>SUM(Тўловлар[[#This Row],[ПР-Сумма]]+Тўловлар[[#This Row],[Накд]]+Тўловлар[[#This Row],[Клик]]+Тўловлар[[#This Row],[Терминал]])</f>
        <v>0</v>
      </c>
      <c r="N243" s="30" cm="1">
        <f t="array" ref="N243">IFERROR(LOOKUP(2,1/((Товар!$D$4:$D$1110=Тўловлар[[#This Row],[Клиент]])*(Товар!$E$4:$E$1110&lt;=Тўловлар[[#This Row],[Дата]])),Товар!$L$4:$L$1110),Кўрсаткичлар!$B$4)</f>
        <v>0</v>
      </c>
      <c r="O243" s="30">
        <f>Тўловлар[[#This Row],[Поддон]]*Тўловлар[[#This Row],[Поддон нархи]]</f>
        <v>0</v>
      </c>
      <c r="P243" s="30">
        <f>Тўловлар[[#This Row],[Жами сумма]]-Тўловлар[[#This Row],[Поддон пули]]</f>
        <v>0</v>
      </c>
      <c r="Q2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3" s="9" t="str">
        <f>IFERROR(INDEX(Мижозлар[Агент],MATCH($C243,Мижозлар[Расмий ном],0)),"")</f>
        <v/>
      </c>
    </row>
    <row r="244" spans="6:19" x14ac:dyDescent="0.2">
      <c r="F244" s="198"/>
      <c r="G244" s="9">
        <f>Тўловлар[[#This Row],[Поддон]]*$G$3</f>
        <v>0</v>
      </c>
      <c r="K244" s="9">
        <f>SUM(Тўловлар[[#This Row],[ПР-Сумма]]+Тўловлар[[#This Row],[Накд]]+Тўловлар[[#This Row],[Клик]]+Тўловлар[[#This Row],[Терминал]])</f>
        <v>0</v>
      </c>
      <c r="N244" s="30" cm="1">
        <f t="array" ref="N244">IFERROR(LOOKUP(2,1/((Товар!$D$4:$D$1110=Тўловлар[[#This Row],[Клиент]])*(Товар!$E$4:$E$1110&lt;=Тўловлар[[#This Row],[Дата]])),Товар!$L$4:$L$1110),Кўрсаткичлар!$B$4)</f>
        <v>0</v>
      </c>
      <c r="O244" s="30">
        <f>Тўловлар[[#This Row],[Поддон]]*Тўловлар[[#This Row],[Поддон нархи]]</f>
        <v>0</v>
      </c>
      <c r="P244" s="30">
        <f>Тўловлар[[#This Row],[Жами сумма]]-Тўловлар[[#This Row],[Поддон пули]]</f>
        <v>0</v>
      </c>
      <c r="Q2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4" s="9" t="str">
        <f>IFERROR(INDEX(Мижозлар[Агент],MATCH($C244,Мижозлар[Расмий ном],0)),"")</f>
        <v/>
      </c>
    </row>
    <row r="245" spans="6:19" x14ac:dyDescent="0.2">
      <c r="F245" s="198"/>
      <c r="G245" s="9">
        <f>Тўловлар[[#This Row],[Поддон]]*$G$3</f>
        <v>0</v>
      </c>
      <c r="K245" s="9">
        <f>SUM(Тўловлар[[#This Row],[ПР-Сумма]]+Тўловлар[[#This Row],[Накд]]+Тўловлар[[#This Row],[Клик]]+Тўловлар[[#This Row],[Терминал]])</f>
        <v>0</v>
      </c>
      <c r="N245" s="30" cm="1">
        <f t="array" ref="N245">IFERROR(LOOKUP(2,1/((Товар!$D$4:$D$1110=Тўловлар[[#This Row],[Клиент]])*(Товар!$E$4:$E$1110&lt;=Тўловлар[[#This Row],[Дата]])),Товар!$L$4:$L$1110),Кўрсаткичлар!$B$4)</f>
        <v>0</v>
      </c>
      <c r="O245" s="30">
        <f>Тўловлар[[#This Row],[Поддон]]*Тўловлар[[#This Row],[Поддон нархи]]</f>
        <v>0</v>
      </c>
      <c r="P245" s="30">
        <f>Тўловлар[[#This Row],[Жами сумма]]-Тўловлар[[#This Row],[Поддон пули]]</f>
        <v>0</v>
      </c>
      <c r="Q2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5" s="9" t="str">
        <f>IFERROR(INDEX(Мижозлар[Агент],MATCH($C245,Мижозлар[Расмий ном],0)),"")</f>
        <v/>
      </c>
    </row>
    <row r="246" spans="6:19" x14ac:dyDescent="0.2">
      <c r="F246" s="198"/>
      <c r="G246" s="9">
        <f>Тўловлар[[#This Row],[Поддон]]*$G$3</f>
        <v>0</v>
      </c>
      <c r="K246" s="9">
        <f>SUM(Тўловлар[[#This Row],[ПР-Сумма]]+Тўловлар[[#This Row],[Накд]]+Тўловлар[[#This Row],[Клик]]+Тўловлар[[#This Row],[Терминал]])</f>
        <v>0</v>
      </c>
      <c r="N246" s="30" cm="1">
        <f t="array" ref="N246">IFERROR(LOOKUP(2,1/((Товар!$D$4:$D$1110=Тўловлар[[#This Row],[Клиент]])*(Товар!$E$4:$E$1110&lt;=Тўловлар[[#This Row],[Дата]])),Товар!$L$4:$L$1110),Кўрсаткичлар!$B$4)</f>
        <v>0</v>
      </c>
      <c r="O246" s="30">
        <f>Тўловлар[[#This Row],[Поддон]]*Тўловлар[[#This Row],[Поддон нархи]]</f>
        <v>0</v>
      </c>
      <c r="P246" s="30">
        <f>Тўловлар[[#This Row],[Жами сумма]]-Тўловлар[[#This Row],[Поддон пули]]</f>
        <v>0</v>
      </c>
      <c r="Q2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6" s="9" t="str">
        <f>IFERROR(INDEX(Мижозлар[Агент],MATCH($C246,Мижозлар[Расмий ном],0)),"")</f>
        <v/>
      </c>
    </row>
    <row r="247" spans="6:19" x14ac:dyDescent="0.2">
      <c r="F247" s="198"/>
      <c r="G247" s="9">
        <f>Тўловлар[[#This Row],[Поддон]]*$G$3</f>
        <v>0</v>
      </c>
      <c r="K247" s="9">
        <f>SUM(Тўловлар[[#This Row],[ПР-Сумма]]+Тўловлар[[#This Row],[Накд]]+Тўловлар[[#This Row],[Клик]]+Тўловлар[[#This Row],[Терминал]])</f>
        <v>0</v>
      </c>
      <c r="N247" s="30" cm="1">
        <f t="array" ref="N247">IFERROR(LOOKUP(2,1/((Товар!$D$4:$D$1110=Тўловлар[[#This Row],[Клиент]])*(Товар!$E$4:$E$1110&lt;=Тўловлар[[#This Row],[Дата]])),Товар!$L$4:$L$1110),Кўрсаткичлар!$B$4)</f>
        <v>0</v>
      </c>
      <c r="O247" s="30">
        <f>Тўловлар[[#This Row],[Поддон]]*Тўловлар[[#This Row],[Поддон нархи]]</f>
        <v>0</v>
      </c>
      <c r="P247" s="30">
        <f>Тўловлар[[#This Row],[Жами сумма]]-Тўловлар[[#This Row],[Поддон пули]]</f>
        <v>0</v>
      </c>
      <c r="Q2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7" s="9" t="str">
        <f>IFERROR(INDEX(Мижозлар[Агент],MATCH($C247,Мижозлар[Расмий ном],0)),"")</f>
        <v/>
      </c>
    </row>
    <row r="248" spans="6:19" x14ac:dyDescent="0.2">
      <c r="F248" s="198"/>
      <c r="G248" s="9">
        <f>Тўловлар[[#This Row],[Поддон]]*$G$3</f>
        <v>0</v>
      </c>
      <c r="K248" s="9">
        <f>SUM(Тўловлар[[#This Row],[ПР-Сумма]]+Тўловлар[[#This Row],[Накд]]+Тўловлар[[#This Row],[Клик]]+Тўловлар[[#This Row],[Терминал]])</f>
        <v>0</v>
      </c>
      <c r="N248" s="30" cm="1">
        <f t="array" ref="N248">IFERROR(LOOKUP(2,1/((Товар!$D$4:$D$1110=Тўловлар[[#This Row],[Клиент]])*(Товар!$E$4:$E$1110&lt;=Тўловлар[[#This Row],[Дата]])),Товар!$L$4:$L$1110),Кўрсаткичлар!$B$4)</f>
        <v>0</v>
      </c>
      <c r="O248" s="30">
        <f>Тўловлар[[#This Row],[Поддон]]*Тўловлар[[#This Row],[Поддон нархи]]</f>
        <v>0</v>
      </c>
      <c r="P248" s="30">
        <f>Тўловлар[[#This Row],[Жами сумма]]-Тўловлар[[#This Row],[Поддон пули]]</f>
        <v>0</v>
      </c>
      <c r="Q2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8" s="9" t="str">
        <f>IFERROR(INDEX(Мижозлар[Агент],MATCH($C248,Мижозлар[Расмий ном],0)),"")</f>
        <v/>
      </c>
    </row>
    <row r="249" spans="6:19" x14ac:dyDescent="0.2">
      <c r="F249" s="198"/>
      <c r="G249" s="9">
        <f>Тўловлар[[#This Row],[Поддон]]*$G$3</f>
        <v>0</v>
      </c>
      <c r="K249" s="9">
        <f>SUM(Тўловлар[[#This Row],[ПР-Сумма]]+Тўловлар[[#This Row],[Накд]]+Тўловлар[[#This Row],[Клик]]+Тўловлар[[#This Row],[Терминал]])</f>
        <v>0</v>
      </c>
      <c r="N249" s="30" cm="1">
        <f t="array" ref="N249">IFERROR(LOOKUP(2,1/((Товар!$D$4:$D$1110=Тўловлар[[#This Row],[Клиент]])*(Товар!$E$4:$E$1110&lt;=Тўловлар[[#This Row],[Дата]])),Товар!$L$4:$L$1110),Кўрсаткичлар!$B$4)</f>
        <v>0</v>
      </c>
      <c r="O249" s="30">
        <f>Тўловлар[[#This Row],[Поддон]]*Тўловлар[[#This Row],[Поддон нархи]]</f>
        <v>0</v>
      </c>
      <c r="P249" s="30">
        <f>Тўловлар[[#This Row],[Жами сумма]]-Тўловлар[[#This Row],[Поддон пули]]</f>
        <v>0</v>
      </c>
      <c r="Q2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49" s="9" t="str">
        <f>IFERROR(INDEX(Мижозлар[Агент],MATCH($C249,Мижозлар[Расмий ном],0)),"")</f>
        <v/>
      </c>
    </row>
    <row r="250" spans="6:19" x14ac:dyDescent="0.2">
      <c r="F250" s="198"/>
      <c r="G250" s="9">
        <f>Тўловлар[[#This Row],[Поддон]]*$G$3</f>
        <v>0</v>
      </c>
      <c r="K250" s="9">
        <f>SUM(Тўловлар[[#This Row],[ПР-Сумма]]+Тўловлар[[#This Row],[Накд]]+Тўловлар[[#This Row],[Клик]]+Тўловлар[[#This Row],[Терминал]])</f>
        <v>0</v>
      </c>
      <c r="N250" s="30" cm="1">
        <f t="array" ref="N250">IFERROR(LOOKUP(2,1/((Товар!$D$4:$D$1110=Тўловлар[[#This Row],[Клиент]])*(Товар!$E$4:$E$1110&lt;=Тўловлар[[#This Row],[Дата]])),Товар!$L$4:$L$1110),Кўрсаткичлар!$B$4)</f>
        <v>0</v>
      </c>
      <c r="O250" s="30">
        <f>Тўловлар[[#This Row],[Поддон]]*Тўловлар[[#This Row],[Поддон нархи]]</f>
        <v>0</v>
      </c>
      <c r="P250" s="30">
        <f>Тўловлар[[#This Row],[Жами сумма]]-Тўловлар[[#This Row],[Поддон пули]]</f>
        <v>0</v>
      </c>
      <c r="Q2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0" s="9" t="str">
        <f>IFERROR(INDEX(Мижозлар[Агент],MATCH($C250,Мижозлар[Расмий ном],0)),"")</f>
        <v/>
      </c>
    </row>
    <row r="251" spans="6:19" x14ac:dyDescent="0.2">
      <c r="F251" s="198"/>
      <c r="G251" s="9">
        <f>Тўловлар[[#This Row],[Поддон]]*$G$3</f>
        <v>0</v>
      </c>
      <c r="K251" s="9">
        <f>SUM(Тўловлар[[#This Row],[ПР-Сумма]]+Тўловлар[[#This Row],[Накд]]+Тўловлар[[#This Row],[Клик]]+Тўловлар[[#This Row],[Терминал]])</f>
        <v>0</v>
      </c>
      <c r="N251" s="30" cm="1">
        <f t="array" ref="N251">IFERROR(LOOKUP(2,1/((Товар!$D$4:$D$1110=Тўловлар[[#This Row],[Клиент]])*(Товар!$E$4:$E$1110&lt;=Тўловлар[[#This Row],[Дата]])),Товар!$L$4:$L$1110),Кўрсаткичлар!$B$4)</f>
        <v>0</v>
      </c>
      <c r="O251" s="30">
        <f>Тўловлар[[#This Row],[Поддон]]*Тўловлар[[#This Row],[Поддон нархи]]</f>
        <v>0</v>
      </c>
      <c r="P251" s="30">
        <f>Тўловлар[[#This Row],[Жами сумма]]-Тўловлар[[#This Row],[Поддон пули]]</f>
        <v>0</v>
      </c>
      <c r="Q2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1" s="9" t="str">
        <f>IFERROR(INDEX(Мижозлар[Агент],MATCH($C251,Мижозлар[Расмий ном],0)),"")</f>
        <v/>
      </c>
    </row>
    <row r="252" spans="6:19" x14ac:dyDescent="0.2">
      <c r="F252" s="198"/>
      <c r="G252" s="9">
        <f>Тўловлар[[#This Row],[Поддон]]*$G$3</f>
        <v>0</v>
      </c>
      <c r="K252" s="9">
        <f>SUM(Тўловлар[[#This Row],[ПР-Сумма]]+Тўловлар[[#This Row],[Накд]]+Тўловлар[[#This Row],[Клик]]+Тўловлар[[#This Row],[Терминал]])</f>
        <v>0</v>
      </c>
      <c r="N252" s="30" cm="1">
        <f t="array" ref="N252">IFERROR(LOOKUP(2,1/((Товар!$D$4:$D$1110=Тўловлар[[#This Row],[Клиент]])*(Товар!$E$4:$E$1110&lt;=Тўловлар[[#This Row],[Дата]])),Товар!$L$4:$L$1110),Кўрсаткичлар!$B$4)</f>
        <v>0</v>
      </c>
      <c r="O252" s="30">
        <f>Тўловлар[[#This Row],[Поддон]]*Тўловлар[[#This Row],[Поддон нархи]]</f>
        <v>0</v>
      </c>
      <c r="P252" s="30">
        <f>Тўловлар[[#This Row],[Жами сумма]]-Тўловлар[[#This Row],[Поддон пули]]</f>
        <v>0</v>
      </c>
      <c r="Q2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2" s="9" t="str">
        <f>IFERROR(INDEX(Мижозлар[Агент],MATCH($C252,Мижозлар[Расмий ном],0)),"")</f>
        <v/>
      </c>
    </row>
    <row r="253" spans="6:19" x14ac:dyDescent="0.2">
      <c r="F253" s="198"/>
      <c r="G253" s="9">
        <f>Тўловлар[[#This Row],[Поддон]]*$G$3</f>
        <v>0</v>
      </c>
      <c r="K253" s="9">
        <f>SUM(Тўловлар[[#This Row],[ПР-Сумма]]+Тўловлар[[#This Row],[Накд]]+Тўловлар[[#This Row],[Клик]]+Тўловлар[[#This Row],[Терминал]])</f>
        <v>0</v>
      </c>
      <c r="N253" s="30" cm="1">
        <f t="array" ref="N253">IFERROR(LOOKUP(2,1/((Товар!$D$4:$D$1110=Тўловлар[[#This Row],[Клиент]])*(Товар!$E$4:$E$1110&lt;=Тўловлар[[#This Row],[Дата]])),Товар!$L$4:$L$1110),Кўрсаткичлар!$B$4)</f>
        <v>0</v>
      </c>
      <c r="O253" s="30">
        <f>Тўловлар[[#This Row],[Поддон]]*Тўловлар[[#This Row],[Поддон нархи]]</f>
        <v>0</v>
      </c>
      <c r="P253" s="30">
        <f>Тўловлар[[#This Row],[Жами сумма]]-Тўловлар[[#This Row],[Поддон пули]]</f>
        <v>0</v>
      </c>
      <c r="Q2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3" s="9" t="str">
        <f>IFERROR(INDEX(Мижозлар[Агент],MATCH($C253,Мижозлар[Расмий ном],0)),"")</f>
        <v/>
      </c>
    </row>
    <row r="254" spans="6:19" x14ac:dyDescent="0.2">
      <c r="F254" s="198"/>
      <c r="G254" s="9">
        <f>Тўловлар[[#This Row],[Поддон]]*$G$3</f>
        <v>0</v>
      </c>
      <c r="K254" s="9">
        <f>SUM(Тўловлар[[#This Row],[ПР-Сумма]]+Тўловлар[[#This Row],[Накд]]+Тўловлар[[#This Row],[Клик]]+Тўловлар[[#This Row],[Терминал]])</f>
        <v>0</v>
      </c>
      <c r="N254" s="30" cm="1">
        <f t="array" ref="N254">IFERROR(LOOKUP(2,1/((Товар!$D$4:$D$1110=Тўловлар[[#This Row],[Клиент]])*(Товар!$E$4:$E$1110&lt;=Тўловлар[[#This Row],[Дата]])),Товар!$L$4:$L$1110),Кўрсаткичлар!$B$4)</f>
        <v>0</v>
      </c>
      <c r="O254" s="30">
        <f>Тўловлар[[#This Row],[Поддон]]*Тўловлар[[#This Row],[Поддон нархи]]</f>
        <v>0</v>
      </c>
      <c r="P254" s="30">
        <f>Тўловлар[[#This Row],[Жами сумма]]-Тўловлар[[#This Row],[Поддон пули]]</f>
        <v>0</v>
      </c>
      <c r="Q2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4" s="9" t="str">
        <f>IFERROR(INDEX(Мижозлар[Агент],MATCH($C254,Мижозлар[Расмий ном],0)),"")</f>
        <v/>
      </c>
    </row>
    <row r="255" spans="6:19" x14ac:dyDescent="0.2">
      <c r="F255" s="198"/>
      <c r="G255" s="9">
        <f>Тўловлар[[#This Row],[Поддон]]*$G$3</f>
        <v>0</v>
      </c>
      <c r="K255" s="9">
        <f>SUM(Тўловлар[[#This Row],[ПР-Сумма]]+Тўловлар[[#This Row],[Накд]]+Тўловлар[[#This Row],[Клик]]+Тўловлар[[#This Row],[Терминал]])</f>
        <v>0</v>
      </c>
      <c r="N255" s="30" cm="1">
        <f t="array" ref="N255">IFERROR(LOOKUP(2,1/((Товар!$D$4:$D$1110=Тўловлар[[#This Row],[Клиент]])*(Товар!$E$4:$E$1110&lt;=Тўловлар[[#This Row],[Дата]])),Товар!$L$4:$L$1110),Кўрсаткичлар!$B$4)</f>
        <v>0</v>
      </c>
      <c r="O255" s="30">
        <f>Тўловлар[[#This Row],[Поддон]]*Тўловлар[[#This Row],[Поддон нархи]]</f>
        <v>0</v>
      </c>
      <c r="P255" s="30">
        <f>Тўловлар[[#This Row],[Жами сумма]]-Тўловлар[[#This Row],[Поддон пули]]</f>
        <v>0</v>
      </c>
      <c r="Q2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5" s="9" t="str">
        <f>IFERROR(INDEX(Мижозлар[Агент],MATCH($C255,Мижозлар[Расмий ном],0)),"")</f>
        <v/>
      </c>
    </row>
    <row r="256" spans="6:19" x14ac:dyDescent="0.2">
      <c r="F256" s="198"/>
      <c r="G256" s="9">
        <f>Тўловлар[[#This Row],[Поддон]]*$G$3</f>
        <v>0</v>
      </c>
      <c r="K256" s="9">
        <f>SUM(Тўловлар[[#This Row],[ПР-Сумма]]+Тўловлар[[#This Row],[Накд]]+Тўловлар[[#This Row],[Клик]]+Тўловлар[[#This Row],[Терминал]])</f>
        <v>0</v>
      </c>
      <c r="N256" s="30" cm="1">
        <f t="array" ref="N256">IFERROR(LOOKUP(2,1/((Товар!$D$4:$D$1110=Тўловлар[[#This Row],[Клиент]])*(Товар!$E$4:$E$1110&lt;=Тўловлар[[#This Row],[Дата]])),Товар!$L$4:$L$1110),Кўрсаткичлар!$B$4)</f>
        <v>0</v>
      </c>
      <c r="O256" s="30">
        <f>Тўловлар[[#This Row],[Поддон]]*Тўловлар[[#This Row],[Поддон нархи]]</f>
        <v>0</v>
      </c>
      <c r="P256" s="30">
        <f>Тўловлар[[#This Row],[Жами сумма]]-Тўловлар[[#This Row],[Поддон пули]]</f>
        <v>0</v>
      </c>
      <c r="Q2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6" s="9" t="str">
        <f>IFERROR(INDEX(Мижозлар[Агент],MATCH($C256,Мижозлар[Расмий ном],0)),"")</f>
        <v/>
      </c>
    </row>
    <row r="257" spans="6:19" x14ac:dyDescent="0.2">
      <c r="F257" s="198"/>
      <c r="G257" s="9">
        <f>Тўловлар[[#This Row],[Поддон]]*$G$3</f>
        <v>0</v>
      </c>
      <c r="K257" s="9">
        <f>SUM(Тўловлар[[#This Row],[ПР-Сумма]]+Тўловлар[[#This Row],[Накд]]+Тўловлар[[#This Row],[Клик]]+Тўловлар[[#This Row],[Терминал]])</f>
        <v>0</v>
      </c>
      <c r="N257" s="30" cm="1">
        <f t="array" ref="N257">IFERROR(LOOKUP(2,1/((Товар!$D$4:$D$1110=Тўловлар[[#This Row],[Клиент]])*(Товар!$E$4:$E$1110&lt;=Тўловлар[[#This Row],[Дата]])),Товар!$L$4:$L$1110),Кўрсаткичлар!$B$4)</f>
        <v>0</v>
      </c>
      <c r="O257" s="30">
        <f>Тўловлар[[#This Row],[Поддон]]*Тўловлар[[#This Row],[Поддон нархи]]</f>
        <v>0</v>
      </c>
      <c r="P257" s="30">
        <f>Тўловлар[[#This Row],[Жами сумма]]-Тўловлар[[#This Row],[Поддон пули]]</f>
        <v>0</v>
      </c>
      <c r="Q2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7" s="9" t="str">
        <f>IFERROR(INDEX(Мижозлар[Агент],MATCH($C257,Мижозлар[Расмий ном],0)),"")</f>
        <v/>
      </c>
    </row>
    <row r="258" spans="6:19" x14ac:dyDescent="0.2">
      <c r="F258" s="198"/>
      <c r="G258" s="9">
        <f>Тўловлар[[#This Row],[Поддон]]*$G$3</f>
        <v>0</v>
      </c>
      <c r="K258" s="9">
        <f>SUM(Тўловлар[[#This Row],[ПР-Сумма]]+Тўловлар[[#This Row],[Накд]]+Тўловлар[[#This Row],[Клик]]+Тўловлар[[#This Row],[Терминал]])</f>
        <v>0</v>
      </c>
      <c r="N258" s="30" cm="1">
        <f t="array" ref="N258">IFERROR(LOOKUP(2,1/((Товар!$D$4:$D$1110=Тўловлар[[#This Row],[Клиент]])*(Товар!$E$4:$E$1110&lt;=Тўловлар[[#This Row],[Дата]])),Товар!$L$4:$L$1110),Кўрсаткичлар!$B$4)</f>
        <v>0</v>
      </c>
      <c r="O258" s="30">
        <f>Тўловлар[[#This Row],[Поддон]]*Тўловлар[[#This Row],[Поддон нархи]]</f>
        <v>0</v>
      </c>
      <c r="P258" s="30">
        <f>Тўловлар[[#This Row],[Жами сумма]]-Тўловлар[[#This Row],[Поддон пули]]</f>
        <v>0</v>
      </c>
      <c r="Q2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8" s="9" t="str">
        <f>IFERROR(INDEX(Мижозлар[Агент],MATCH($C258,Мижозлар[Расмий ном],0)),"")</f>
        <v/>
      </c>
    </row>
    <row r="259" spans="6:19" x14ac:dyDescent="0.2">
      <c r="F259" s="198"/>
      <c r="G259" s="9">
        <f>Тўловлар[[#This Row],[Поддон]]*$G$3</f>
        <v>0</v>
      </c>
      <c r="K259" s="9">
        <f>SUM(Тўловлар[[#This Row],[ПР-Сумма]]+Тўловлар[[#This Row],[Накд]]+Тўловлар[[#This Row],[Клик]]+Тўловлар[[#This Row],[Терминал]])</f>
        <v>0</v>
      </c>
      <c r="N259" s="30" cm="1">
        <f t="array" ref="N259">IFERROR(LOOKUP(2,1/((Товар!$D$4:$D$1110=Тўловлар[[#This Row],[Клиент]])*(Товар!$E$4:$E$1110&lt;=Тўловлар[[#This Row],[Дата]])),Товар!$L$4:$L$1110),Кўрсаткичлар!$B$4)</f>
        <v>0</v>
      </c>
      <c r="O259" s="30">
        <f>Тўловлар[[#This Row],[Поддон]]*Тўловлар[[#This Row],[Поддон нархи]]</f>
        <v>0</v>
      </c>
      <c r="P259" s="30">
        <f>Тўловлар[[#This Row],[Жами сумма]]-Тўловлар[[#This Row],[Поддон пули]]</f>
        <v>0</v>
      </c>
      <c r="Q2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59" s="9" t="str">
        <f>IFERROR(INDEX(Мижозлар[Агент],MATCH($C259,Мижозлар[Расмий ном],0)),"")</f>
        <v/>
      </c>
    </row>
    <row r="260" spans="6:19" x14ac:dyDescent="0.2">
      <c r="F260" s="198"/>
      <c r="G260" s="9">
        <f>Тўловлар[[#This Row],[Поддон]]*$G$3</f>
        <v>0</v>
      </c>
      <c r="K260" s="9">
        <f>SUM(Тўловлар[[#This Row],[ПР-Сумма]]+Тўловлар[[#This Row],[Накд]]+Тўловлар[[#This Row],[Клик]]+Тўловлар[[#This Row],[Терминал]])</f>
        <v>0</v>
      </c>
      <c r="N260" s="30" cm="1">
        <f t="array" ref="N260">IFERROR(LOOKUP(2,1/((Товар!$D$4:$D$1110=Тўловлар[[#This Row],[Клиент]])*(Товар!$E$4:$E$1110&lt;=Тўловлар[[#This Row],[Дата]])),Товар!$L$4:$L$1110),Кўрсаткичлар!$B$4)</f>
        <v>0</v>
      </c>
      <c r="O260" s="30">
        <f>Тўловлар[[#This Row],[Поддон]]*Тўловлар[[#This Row],[Поддон нархи]]</f>
        <v>0</v>
      </c>
      <c r="P260" s="30">
        <f>Тўловлар[[#This Row],[Жами сумма]]-Тўловлар[[#This Row],[Поддон пули]]</f>
        <v>0</v>
      </c>
      <c r="Q2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0" s="9" t="str">
        <f>IFERROR(INDEX(Мижозлар[Агент],MATCH($C260,Мижозлар[Расмий ном],0)),"")</f>
        <v/>
      </c>
    </row>
    <row r="261" spans="6:19" x14ac:dyDescent="0.2">
      <c r="F261" s="198"/>
      <c r="G261" s="9">
        <f>Тўловлар[[#This Row],[Поддон]]*$G$3</f>
        <v>0</v>
      </c>
      <c r="K261" s="9">
        <f>SUM(Тўловлар[[#This Row],[ПР-Сумма]]+Тўловлар[[#This Row],[Накд]]+Тўловлар[[#This Row],[Клик]]+Тўловлар[[#This Row],[Терминал]])</f>
        <v>0</v>
      </c>
      <c r="N261" s="30" cm="1">
        <f t="array" ref="N261">IFERROR(LOOKUP(2,1/((Товар!$D$4:$D$1110=Тўловлар[[#This Row],[Клиент]])*(Товар!$E$4:$E$1110&lt;=Тўловлар[[#This Row],[Дата]])),Товар!$L$4:$L$1110),Кўрсаткичлар!$B$4)</f>
        <v>0</v>
      </c>
      <c r="O261" s="30">
        <f>Тўловлар[[#This Row],[Поддон]]*Тўловлар[[#This Row],[Поддон нархи]]</f>
        <v>0</v>
      </c>
      <c r="P261" s="30">
        <f>Тўловлар[[#This Row],[Жами сумма]]-Тўловлар[[#This Row],[Поддон пули]]</f>
        <v>0</v>
      </c>
      <c r="Q2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1" s="9" t="str">
        <f>IFERROR(INDEX(Мижозлар[Агент],MATCH($C261,Мижозлар[Расмий ном],0)),"")</f>
        <v/>
      </c>
    </row>
    <row r="262" spans="6:19" x14ac:dyDescent="0.2">
      <c r="F262" s="198"/>
      <c r="G262" s="9">
        <f>Тўловлар[[#This Row],[Поддон]]*$G$3</f>
        <v>0</v>
      </c>
      <c r="K262" s="9">
        <f>SUM(Тўловлар[[#This Row],[ПР-Сумма]]+Тўловлар[[#This Row],[Накд]]+Тўловлар[[#This Row],[Клик]]+Тўловлар[[#This Row],[Терминал]])</f>
        <v>0</v>
      </c>
      <c r="N262" s="30" cm="1">
        <f t="array" ref="N262">IFERROR(LOOKUP(2,1/((Товар!$D$4:$D$1110=Тўловлар[[#This Row],[Клиент]])*(Товар!$E$4:$E$1110&lt;=Тўловлар[[#This Row],[Дата]])),Товар!$L$4:$L$1110),Кўрсаткичлар!$B$4)</f>
        <v>0</v>
      </c>
      <c r="O262" s="30">
        <f>Тўловлар[[#This Row],[Поддон]]*Тўловлар[[#This Row],[Поддон нархи]]</f>
        <v>0</v>
      </c>
      <c r="P262" s="30">
        <f>Тўловлар[[#This Row],[Жами сумма]]-Тўловлар[[#This Row],[Поддон пули]]</f>
        <v>0</v>
      </c>
      <c r="Q2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2" s="9" t="str">
        <f>IFERROR(INDEX(Мижозлар[Агент],MATCH($C262,Мижозлар[Расмий ном],0)),"")</f>
        <v/>
      </c>
    </row>
    <row r="263" spans="6:19" x14ac:dyDescent="0.2">
      <c r="F263" s="198"/>
      <c r="G263" s="9">
        <f>Тўловлар[[#This Row],[Поддон]]*$G$3</f>
        <v>0</v>
      </c>
      <c r="K263" s="9">
        <f>SUM(Тўловлар[[#This Row],[ПР-Сумма]]+Тўловлар[[#This Row],[Накд]]+Тўловлар[[#This Row],[Клик]]+Тўловлар[[#This Row],[Терминал]])</f>
        <v>0</v>
      </c>
      <c r="N263" s="30" cm="1">
        <f t="array" ref="N263">IFERROR(LOOKUP(2,1/((Товар!$D$4:$D$1110=Тўловлар[[#This Row],[Клиент]])*(Товар!$E$4:$E$1110&lt;=Тўловлар[[#This Row],[Дата]])),Товар!$L$4:$L$1110),Кўрсаткичлар!$B$4)</f>
        <v>0</v>
      </c>
      <c r="O263" s="30">
        <f>Тўловлар[[#This Row],[Поддон]]*Тўловлар[[#This Row],[Поддон нархи]]</f>
        <v>0</v>
      </c>
      <c r="P263" s="30">
        <f>Тўловлар[[#This Row],[Жами сумма]]-Тўловлар[[#This Row],[Поддон пули]]</f>
        <v>0</v>
      </c>
      <c r="Q2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3" s="9" t="str">
        <f>IFERROR(INDEX(Мижозлар[Агент],MATCH($C263,Мижозлар[Расмий ном],0)),"")</f>
        <v/>
      </c>
    </row>
    <row r="264" spans="6:19" x14ac:dyDescent="0.2">
      <c r="F264" s="198"/>
      <c r="G264" s="9">
        <f>Тўловлар[[#This Row],[Поддон]]*$G$3</f>
        <v>0</v>
      </c>
      <c r="K264" s="9">
        <f>SUM(Тўловлар[[#This Row],[ПР-Сумма]]+Тўловлар[[#This Row],[Накд]]+Тўловлар[[#This Row],[Клик]]+Тўловлар[[#This Row],[Терминал]])</f>
        <v>0</v>
      </c>
      <c r="N264" s="30" cm="1">
        <f t="array" ref="N264">IFERROR(LOOKUP(2,1/((Товар!$D$4:$D$1110=Тўловлар[[#This Row],[Клиент]])*(Товар!$E$4:$E$1110&lt;=Тўловлар[[#This Row],[Дата]])),Товар!$L$4:$L$1110),Кўрсаткичлар!$B$4)</f>
        <v>0</v>
      </c>
      <c r="O264" s="30">
        <f>Тўловлар[[#This Row],[Поддон]]*Тўловлар[[#This Row],[Поддон нархи]]</f>
        <v>0</v>
      </c>
      <c r="P264" s="30">
        <f>Тўловлар[[#This Row],[Жами сумма]]-Тўловлар[[#This Row],[Поддон пули]]</f>
        <v>0</v>
      </c>
      <c r="Q2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4" s="9" t="str">
        <f>IFERROR(INDEX(Мижозлар[Агент],MATCH($C264,Мижозлар[Расмий ном],0)),"")</f>
        <v/>
      </c>
    </row>
    <row r="265" spans="6:19" x14ac:dyDescent="0.2">
      <c r="F265" s="198"/>
      <c r="G265" s="9">
        <f>Тўловлар[[#This Row],[Поддон]]*$G$3</f>
        <v>0</v>
      </c>
      <c r="K265" s="9">
        <f>SUM(Тўловлар[[#This Row],[ПР-Сумма]]+Тўловлар[[#This Row],[Накд]]+Тўловлар[[#This Row],[Клик]]+Тўловлар[[#This Row],[Терминал]])</f>
        <v>0</v>
      </c>
      <c r="N265" s="30" cm="1">
        <f t="array" ref="N265">IFERROR(LOOKUP(2,1/((Товар!$D$4:$D$1110=Тўловлар[[#This Row],[Клиент]])*(Товар!$E$4:$E$1110&lt;=Тўловлар[[#This Row],[Дата]])),Товар!$L$4:$L$1110),Кўрсаткичлар!$B$4)</f>
        <v>0</v>
      </c>
      <c r="O265" s="30">
        <f>Тўловлар[[#This Row],[Поддон]]*Тўловлар[[#This Row],[Поддон нархи]]</f>
        <v>0</v>
      </c>
      <c r="P265" s="30">
        <f>Тўловлар[[#This Row],[Жами сумма]]-Тўловлар[[#This Row],[Поддон пули]]</f>
        <v>0</v>
      </c>
      <c r="Q2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5" s="9" t="str">
        <f>IFERROR(INDEX(Мижозлар[Агент],MATCH($C265,Мижозлар[Расмий ном],0)),"")</f>
        <v/>
      </c>
    </row>
    <row r="266" spans="6:19" x14ac:dyDescent="0.2">
      <c r="F266" s="198"/>
      <c r="G266" s="9">
        <f>Тўловлар[[#This Row],[Поддон]]*$G$3</f>
        <v>0</v>
      </c>
      <c r="K266" s="9">
        <f>SUM(Тўловлар[[#This Row],[ПР-Сумма]]+Тўловлар[[#This Row],[Накд]]+Тўловлар[[#This Row],[Клик]]+Тўловлар[[#This Row],[Терминал]])</f>
        <v>0</v>
      </c>
      <c r="N266" s="30" cm="1">
        <f t="array" ref="N266">IFERROR(LOOKUP(2,1/((Товар!$D$4:$D$1110=Тўловлар[[#This Row],[Клиент]])*(Товар!$E$4:$E$1110&lt;=Тўловлар[[#This Row],[Дата]])),Товар!$L$4:$L$1110),Кўрсаткичлар!$B$4)</f>
        <v>0</v>
      </c>
      <c r="O266" s="30">
        <f>Тўловлар[[#This Row],[Поддон]]*Тўловлар[[#This Row],[Поддон нархи]]</f>
        <v>0</v>
      </c>
      <c r="P266" s="30">
        <f>Тўловлар[[#This Row],[Жами сумма]]-Тўловлар[[#This Row],[Поддон пули]]</f>
        <v>0</v>
      </c>
      <c r="Q2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6" s="9" t="str">
        <f>IFERROR(INDEX(Мижозлар[Агент],MATCH($C266,Мижозлар[Расмий ном],0)),"")</f>
        <v/>
      </c>
    </row>
    <row r="267" spans="6:19" x14ac:dyDescent="0.2">
      <c r="F267" s="198"/>
      <c r="G267" s="9">
        <f>Тўловлар[[#This Row],[Поддон]]*$G$3</f>
        <v>0</v>
      </c>
      <c r="K267" s="9">
        <f>SUM(Тўловлар[[#This Row],[ПР-Сумма]]+Тўловлар[[#This Row],[Накд]]+Тўловлар[[#This Row],[Клик]]+Тўловлар[[#This Row],[Терминал]])</f>
        <v>0</v>
      </c>
      <c r="N267" s="30" cm="1">
        <f t="array" ref="N267">IFERROR(LOOKUP(2,1/((Товар!$D$4:$D$1110=Тўловлар[[#This Row],[Клиент]])*(Товар!$E$4:$E$1110&lt;=Тўловлар[[#This Row],[Дата]])),Товар!$L$4:$L$1110),Кўрсаткичлар!$B$4)</f>
        <v>0</v>
      </c>
      <c r="O267" s="30">
        <f>Тўловлар[[#This Row],[Поддон]]*Тўловлар[[#This Row],[Поддон нархи]]</f>
        <v>0</v>
      </c>
      <c r="P267" s="30">
        <f>Тўловлар[[#This Row],[Жами сумма]]-Тўловлар[[#This Row],[Поддон пули]]</f>
        <v>0</v>
      </c>
      <c r="Q2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7" s="9" t="str">
        <f>IFERROR(INDEX(Мижозлар[Агент],MATCH($C267,Мижозлар[Расмий ном],0)),"")</f>
        <v/>
      </c>
    </row>
    <row r="268" spans="6:19" x14ac:dyDescent="0.2">
      <c r="F268" s="198"/>
      <c r="G268" s="9">
        <f>Тўловлар[[#This Row],[Поддон]]*$G$3</f>
        <v>0</v>
      </c>
      <c r="K268" s="9">
        <f>SUM(Тўловлар[[#This Row],[ПР-Сумма]]+Тўловлар[[#This Row],[Накд]]+Тўловлар[[#This Row],[Клик]]+Тўловлар[[#This Row],[Терминал]])</f>
        <v>0</v>
      </c>
      <c r="N268" s="30" cm="1">
        <f t="array" ref="N268">IFERROR(LOOKUP(2,1/((Товар!$D$4:$D$1110=Тўловлар[[#This Row],[Клиент]])*(Товар!$E$4:$E$1110&lt;=Тўловлар[[#This Row],[Дата]])),Товар!$L$4:$L$1110),Кўрсаткичлар!$B$4)</f>
        <v>0</v>
      </c>
      <c r="O268" s="30">
        <f>Тўловлар[[#This Row],[Поддон]]*Тўловлар[[#This Row],[Поддон нархи]]</f>
        <v>0</v>
      </c>
      <c r="P268" s="30">
        <f>Тўловлар[[#This Row],[Жами сумма]]-Тўловлар[[#This Row],[Поддон пули]]</f>
        <v>0</v>
      </c>
      <c r="Q2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8" s="9" t="str">
        <f>IFERROR(INDEX(Мижозлар[Агент],MATCH($C268,Мижозлар[Расмий ном],0)),"")</f>
        <v/>
      </c>
    </row>
    <row r="269" spans="6:19" x14ac:dyDescent="0.2">
      <c r="F269" s="198"/>
      <c r="G269" s="9">
        <f>Тўловлар[[#This Row],[Поддон]]*$G$3</f>
        <v>0</v>
      </c>
      <c r="K269" s="9">
        <f>SUM(Тўловлар[[#This Row],[ПР-Сумма]]+Тўловлар[[#This Row],[Накд]]+Тўловлар[[#This Row],[Клик]]+Тўловлар[[#This Row],[Терминал]])</f>
        <v>0</v>
      </c>
      <c r="N269" s="30" cm="1">
        <f t="array" ref="N269">IFERROR(LOOKUP(2,1/((Товар!$D$4:$D$1110=Тўловлар[[#This Row],[Клиент]])*(Товар!$E$4:$E$1110&lt;=Тўловлар[[#This Row],[Дата]])),Товар!$L$4:$L$1110),Кўрсаткичлар!$B$4)</f>
        <v>0</v>
      </c>
      <c r="O269" s="30">
        <f>Тўловлар[[#This Row],[Поддон]]*Тўловлар[[#This Row],[Поддон нархи]]</f>
        <v>0</v>
      </c>
      <c r="P269" s="30">
        <f>Тўловлар[[#This Row],[Жами сумма]]-Тўловлар[[#This Row],[Поддон пули]]</f>
        <v>0</v>
      </c>
      <c r="Q2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69" s="9" t="str">
        <f>IFERROR(INDEX(Мижозлар[Агент],MATCH($C269,Мижозлар[Расмий ном],0)),"")</f>
        <v/>
      </c>
    </row>
    <row r="270" spans="6:19" x14ac:dyDescent="0.2">
      <c r="F270" s="198"/>
      <c r="G270" s="9">
        <f>Тўловлар[[#This Row],[Поддон]]*$G$3</f>
        <v>0</v>
      </c>
      <c r="K270" s="9">
        <f>SUM(Тўловлар[[#This Row],[ПР-Сумма]]+Тўловлар[[#This Row],[Накд]]+Тўловлар[[#This Row],[Клик]]+Тўловлар[[#This Row],[Терминал]])</f>
        <v>0</v>
      </c>
      <c r="N270" s="30" cm="1">
        <f t="array" ref="N270">IFERROR(LOOKUP(2,1/((Товар!$D$4:$D$1110=Тўловлар[[#This Row],[Клиент]])*(Товар!$E$4:$E$1110&lt;=Тўловлар[[#This Row],[Дата]])),Товар!$L$4:$L$1110),Кўрсаткичлар!$B$4)</f>
        <v>0</v>
      </c>
      <c r="O270" s="30">
        <f>Тўловлар[[#This Row],[Поддон]]*Тўловлар[[#This Row],[Поддон нархи]]</f>
        <v>0</v>
      </c>
      <c r="P270" s="30">
        <f>Тўловлар[[#This Row],[Жами сумма]]-Тўловлар[[#This Row],[Поддон пули]]</f>
        <v>0</v>
      </c>
      <c r="Q2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0" s="9" t="str">
        <f>IFERROR(INDEX(Мижозлар[Агент],MATCH($C270,Мижозлар[Расмий ном],0)),"")</f>
        <v/>
      </c>
    </row>
    <row r="271" spans="6:19" x14ac:dyDescent="0.2">
      <c r="F271" s="198"/>
      <c r="G271" s="9">
        <f>Тўловлар[[#This Row],[Поддон]]*$G$3</f>
        <v>0</v>
      </c>
      <c r="K271" s="9">
        <f>SUM(Тўловлар[[#This Row],[ПР-Сумма]]+Тўловлар[[#This Row],[Накд]]+Тўловлар[[#This Row],[Клик]]+Тўловлар[[#This Row],[Терминал]])</f>
        <v>0</v>
      </c>
      <c r="N271" s="30" cm="1">
        <f t="array" ref="N271">IFERROR(LOOKUP(2,1/((Товар!$D$4:$D$1110=Тўловлар[[#This Row],[Клиент]])*(Товар!$E$4:$E$1110&lt;=Тўловлар[[#This Row],[Дата]])),Товар!$L$4:$L$1110),Кўрсаткичлар!$B$4)</f>
        <v>0</v>
      </c>
      <c r="O271" s="30">
        <f>Тўловлар[[#This Row],[Поддон]]*Тўловлар[[#This Row],[Поддон нархи]]</f>
        <v>0</v>
      </c>
      <c r="P271" s="30">
        <f>Тўловлар[[#This Row],[Жами сумма]]-Тўловлар[[#This Row],[Поддон пули]]</f>
        <v>0</v>
      </c>
      <c r="Q2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1" s="9" t="str">
        <f>IFERROR(INDEX(Мижозлар[Агент],MATCH($C271,Мижозлар[Расмий ном],0)),"")</f>
        <v/>
      </c>
    </row>
    <row r="272" spans="6:19" x14ac:dyDescent="0.2">
      <c r="F272" s="198"/>
      <c r="G272" s="9">
        <f>Тўловлар[[#This Row],[Поддон]]*$G$3</f>
        <v>0</v>
      </c>
      <c r="K272" s="9">
        <f>SUM(Тўловлар[[#This Row],[ПР-Сумма]]+Тўловлар[[#This Row],[Накд]]+Тўловлар[[#This Row],[Клик]]+Тўловлар[[#This Row],[Терминал]])</f>
        <v>0</v>
      </c>
      <c r="N272" s="30" cm="1">
        <f t="array" ref="N272">IFERROR(LOOKUP(2,1/((Товар!$D$4:$D$1110=Тўловлар[[#This Row],[Клиент]])*(Товар!$E$4:$E$1110&lt;=Тўловлар[[#This Row],[Дата]])),Товар!$L$4:$L$1110),Кўрсаткичлар!$B$4)</f>
        <v>0</v>
      </c>
      <c r="O272" s="30">
        <f>Тўловлар[[#This Row],[Поддон]]*Тўловлар[[#This Row],[Поддон нархи]]</f>
        <v>0</v>
      </c>
      <c r="P272" s="30">
        <f>Тўловлар[[#This Row],[Жами сумма]]-Тўловлар[[#This Row],[Поддон пули]]</f>
        <v>0</v>
      </c>
      <c r="Q2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2" s="9" t="str">
        <f>IFERROR(INDEX(Мижозлар[Агент],MATCH($C272,Мижозлар[Расмий ном],0)),"")</f>
        <v/>
      </c>
    </row>
    <row r="273" spans="6:19" x14ac:dyDescent="0.2">
      <c r="F273" s="198"/>
      <c r="G273" s="9">
        <f>Тўловлар[[#This Row],[Поддон]]*$G$3</f>
        <v>0</v>
      </c>
      <c r="K273" s="9">
        <f>SUM(Тўловлар[[#This Row],[ПР-Сумма]]+Тўловлар[[#This Row],[Накд]]+Тўловлар[[#This Row],[Клик]]+Тўловлар[[#This Row],[Терминал]])</f>
        <v>0</v>
      </c>
      <c r="N273" s="30" cm="1">
        <f t="array" ref="N273">IFERROR(LOOKUP(2,1/((Товар!$D$4:$D$1110=Тўловлар[[#This Row],[Клиент]])*(Товар!$E$4:$E$1110&lt;=Тўловлар[[#This Row],[Дата]])),Товар!$L$4:$L$1110),Кўрсаткичлар!$B$4)</f>
        <v>0</v>
      </c>
      <c r="O273" s="30">
        <f>Тўловлар[[#This Row],[Поддон]]*Тўловлар[[#This Row],[Поддон нархи]]</f>
        <v>0</v>
      </c>
      <c r="P273" s="30">
        <f>Тўловлар[[#This Row],[Жами сумма]]-Тўловлар[[#This Row],[Поддон пули]]</f>
        <v>0</v>
      </c>
      <c r="Q2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3" s="9" t="str">
        <f>IFERROR(INDEX(Мижозлар[Агент],MATCH($C273,Мижозлар[Расмий ном],0)),"")</f>
        <v/>
      </c>
    </row>
    <row r="274" spans="6:19" x14ac:dyDescent="0.2">
      <c r="F274" s="198"/>
      <c r="G274" s="9">
        <f>Тўловлар[[#This Row],[Поддон]]*$G$3</f>
        <v>0</v>
      </c>
      <c r="K274" s="9">
        <f>SUM(Тўловлар[[#This Row],[ПР-Сумма]]+Тўловлар[[#This Row],[Накд]]+Тўловлар[[#This Row],[Клик]]+Тўловлар[[#This Row],[Терминал]])</f>
        <v>0</v>
      </c>
      <c r="N274" s="30" cm="1">
        <f t="array" ref="N274">IFERROR(LOOKUP(2,1/((Товар!$D$4:$D$1110=Тўловлар[[#This Row],[Клиент]])*(Товар!$E$4:$E$1110&lt;=Тўловлар[[#This Row],[Дата]])),Товар!$L$4:$L$1110),Кўрсаткичлар!$B$4)</f>
        <v>0</v>
      </c>
      <c r="O274" s="30">
        <f>Тўловлар[[#This Row],[Поддон]]*Тўловлар[[#This Row],[Поддон нархи]]</f>
        <v>0</v>
      </c>
      <c r="P274" s="30">
        <f>Тўловлар[[#This Row],[Жами сумма]]-Тўловлар[[#This Row],[Поддон пули]]</f>
        <v>0</v>
      </c>
      <c r="Q2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4" s="9" t="str">
        <f>IFERROR(INDEX(Мижозлар[Агент],MATCH($C274,Мижозлар[Расмий ном],0)),"")</f>
        <v/>
      </c>
    </row>
    <row r="275" spans="6:19" x14ac:dyDescent="0.2">
      <c r="F275" s="198"/>
      <c r="G275" s="9">
        <f>Тўловлар[[#This Row],[Поддон]]*$G$3</f>
        <v>0</v>
      </c>
      <c r="K275" s="9">
        <f>SUM(Тўловлар[[#This Row],[ПР-Сумма]]+Тўловлар[[#This Row],[Накд]]+Тўловлар[[#This Row],[Клик]]+Тўловлар[[#This Row],[Терминал]])</f>
        <v>0</v>
      </c>
      <c r="N275" s="30" cm="1">
        <f t="array" ref="N275">IFERROR(LOOKUP(2,1/((Товар!$D$4:$D$1110=Тўловлар[[#This Row],[Клиент]])*(Товар!$E$4:$E$1110&lt;=Тўловлар[[#This Row],[Дата]])),Товар!$L$4:$L$1110),Кўрсаткичлар!$B$4)</f>
        <v>0</v>
      </c>
      <c r="O275" s="30">
        <f>Тўловлар[[#This Row],[Поддон]]*Тўловлар[[#This Row],[Поддон нархи]]</f>
        <v>0</v>
      </c>
      <c r="P275" s="30">
        <f>Тўловлар[[#This Row],[Жами сумма]]-Тўловлар[[#This Row],[Поддон пули]]</f>
        <v>0</v>
      </c>
      <c r="Q2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5" s="9" t="str">
        <f>IFERROR(INDEX(Мижозлар[Агент],MATCH($C275,Мижозлар[Расмий ном],0)),"")</f>
        <v/>
      </c>
    </row>
    <row r="276" spans="6:19" x14ac:dyDescent="0.2">
      <c r="F276" s="198"/>
      <c r="G276" s="9">
        <f>Тўловлар[[#This Row],[Поддон]]*$G$3</f>
        <v>0</v>
      </c>
      <c r="K276" s="9">
        <f>SUM(Тўловлар[[#This Row],[ПР-Сумма]]+Тўловлар[[#This Row],[Накд]]+Тўловлар[[#This Row],[Клик]]+Тўловлар[[#This Row],[Терминал]])</f>
        <v>0</v>
      </c>
      <c r="N276" s="30" cm="1">
        <f t="array" ref="N276">IFERROR(LOOKUP(2,1/((Товар!$D$4:$D$1110=Тўловлар[[#This Row],[Клиент]])*(Товар!$E$4:$E$1110&lt;=Тўловлар[[#This Row],[Дата]])),Товар!$L$4:$L$1110),Кўрсаткичлар!$B$4)</f>
        <v>0</v>
      </c>
      <c r="O276" s="30">
        <f>Тўловлар[[#This Row],[Поддон]]*Тўловлар[[#This Row],[Поддон нархи]]</f>
        <v>0</v>
      </c>
      <c r="P276" s="30">
        <f>Тўловлар[[#This Row],[Жами сумма]]-Тўловлар[[#This Row],[Поддон пули]]</f>
        <v>0</v>
      </c>
      <c r="Q2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6" s="9" t="str">
        <f>IFERROR(INDEX(Мижозлар[Агент],MATCH($C276,Мижозлар[Расмий ном],0)),"")</f>
        <v/>
      </c>
    </row>
    <row r="277" spans="6:19" x14ac:dyDescent="0.2">
      <c r="F277" s="198"/>
      <c r="G277" s="9">
        <f>Тўловлар[[#This Row],[Поддон]]*$G$3</f>
        <v>0</v>
      </c>
      <c r="K277" s="9">
        <f>SUM(Тўловлар[[#This Row],[ПР-Сумма]]+Тўловлар[[#This Row],[Накд]]+Тўловлар[[#This Row],[Клик]]+Тўловлар[[#This Row],[Терминал]])</f>
        <v>0</v>
      </c>
      <c r="N277" s="30" cm="1">
        <f t="array" ref="N277">IFERROR(LOOKUP(2,1/((Товар!$D$4:$D$1110=Тўловлар[[#This Row],[Клиент]])*(Товар!$E$4:$E$1110&lt;=Тўловлар[[#This Row],[Дата]])),Товар!$L$4:$L$1110),Кўрсаткичлар!$B$4)</f>
        <v>0</v>
      </c>
      <c r="O277" s="30">
        <f>Тўловлар[[#This Row],[Поддон]]*Тўловлар[[#This Row],[Поддон нархи]]</f>
        <v>0</v>
      </c>
      <c r="P277" s="30">
        <f>Тўловлар[[#This Row],[Жами сумма]]-Тўловлар[[#This Row],[Поддон пули]]</f>
        <v>0</v>
      </c>
      <c r="Q2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7" s="9" t="str">
        <f>IFERROR(INDEX(Мижозлар[Агент],MATCH($C277,Мижозлар[Расмий ном],0)),"")</f>
        <v/>
      </c>
    </row>
    <row r="278" spans="6:19" x14ac:dyDescent="0.2">
      <c r="F278" s="198"/>
      <c r="G278" s="9">
        <f>Тўловлар[[#This Row],[Поддон]]*$G$3</f>
        <v>0</v>
      </c>
      <c r="K278" s="9">
        <f>SUM(Тўловлар[[#This Row],[ПР-Сумма]]+Тўловлар[[#This Row],[Накд]]+Тўловлар[[#This Row],[Клик]]+Тўловлар[[#This Row],[Терминал]])</f>
        <v>0</v>
      </c>
      <c r="N278" s="30" cm="1">
        <f t="array" ref="N278">IFERROR(LOOKUP(2,1/((Товар!$D$4:$D$1110=Тўловлар[[#This Row],[Клиент]])*(Товар!$E$4:$E$1110&lt;=Тўловлар[[#This Row],[Дата]])),Товар!$L$4:$L$1110),Кўрсаткичлар!$B$4)</f>
        <v>0</v>
      </c>
      <c r="O278" s="30">
        <f>Тўловлар[[#This Row],[Поддон]]*Тўловлар[[#This Row],[Поддон нархи]]</f>
        <v>0</v>
      </c>
      <c r="P278" s="30">
        <f>Тўловлар[[#This Row],[Жами сумма]]-Тўловлар[[#This Row],[Поддон пули]]</f>
        <v>0</v>
      </c>
      <c r="Q2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8" s="9" t="str">
        <f>IFERROR(INDEX(Мижозлар[Агент],MATCH($C278,Мижозлар[Расмий ном],0)),"")</f>
        <v/>
      </c>
    </row>
    <row r="279" spans="6:19" x14ac:dyDescent="0.2">
      <c r="F279" s="198"/>
      <c r="G279" s="9">
        <f>Тўловлар[[#This Row],[Поддон]]*$G$3</f>
        <v>0</v>
      </c>
      <c r="K279" s="9">
        <f>SUM(Тўловлар[[#This Row],[ПР-Сумма]]+Тўловлар[[#This Row],[Накд]]+Тўловлар[[#This Row],[Клик]]+Тўловлар[[#This Row],[Терминал]])</f>
        <v>0</v>
      </c>
      <c r="N279" s="30" cm="1">
        <f t="array" ref="N279">IFERROR(LOOKUP(2,1/((Товар!$D$4:$D$1110=Тўловлар[[#This Row],[Клиент]])*(Товар!$E$4:$E$1110&lt;=Тўловлар[[#This Row],[Дата]])),Товар!$L$4:$L$1110),Кўрсаткичлар!$B$4)</f>
        <v>0</v>
      </c>
      <c r="O279" s="30">
        <f>Тўловлар[[#This Row],[Поддон]]*Тўловлар[[#This Row],[Поддон нархи]]</f>
        <v>0</v>
      </c>
      <c r="P279" s="30">
        <f>Тўловлар[[#This Row],[Жами сумма]]-Тўловлар[[#This Row],[Поддон пули]]</f>
        <v>0</v>
      </c>
      <c r="Q2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79" s="9" t="str">
        <f>IFERROR(INDEX(Мижозлар[Агент],MATCH($C279,Мижозлар[Расмий ном],0)),"")</f>
        <v/>
      </c>
    </row>
    <row r="280" spans="6:19" x14ac:dyDescent="0.2">
      <c r="F280" s="198"/>
      <c r="G280" s="9">
        <f>Тўловлар[[#This Row],[Поддон]]*$G$3</f>
        <v>0</v>
      </c>
      <c r="K280" s="9">
        <f>SUM(Тўловлар[[#This Row],[ПР-Сумма]]+Тўловлар[[#This Row],[Накд]]+Тўловлар[[#This Row],[Клик]]+Тўловлар[[#This Row],[Терминал]])</f>
        <v>0</v>
      </c>
      <c r="N280" s="30" cm="1">
        <f t="array" ref="N280">IFERROR(LOOKUP(2,1/((Товар!$D$4:$D$1110=Тўловлар[[#This Row],[Клиент]])*(Товар!$E$4:$E$1110&lt;=Тўловлар[[#This Row],[Дата]])),Товар!$L$4:$L$1110),Кўрсаткичлар!$B$4)</f>
        <v>0</v>
      </c>
      <c r="O280" s="30">
        <f>Тўловлар[[#This Row],[Поддон]]*Тўловлар[[#This Row],[Поддон нархи]]</f>
        <v>0</v>
      </c>
      <c r="P280" s="30">
        <f>Тўловлар[[#This Row],[Жами сумма]]-Тўловлар[[#This Row],[Поддон пули]]</f>
        <v>0</v>
      </c>
      <c r="Q2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0" s="9" t="str">
        <f>IFERROR(INDEX(Мижозлар[Агент],MATCH($C280,Мижозлар[Расмий ном],0)),"")</f>
        <v/>
      </c>
    </row>
    <row r="281" spans="6:19" x14ac:dyDescent="0.2">
      <c r="F281" s="198"/>
      <c r="G281" s="9">
        <f>Тўловлар[[#This Row],[Поддон]]*$G$3</f>
        <v>0</v>
      </c>
      <c r="K281" s="9">
        <f>SUM(Тўловлар[[#This Row],[ПР-Сумма]]+Тўловлар[[#This Row],[Накд]]+Тўловлар[[#This Row],[Клик]]+Тўловлар[[#This Row],[Терминал]])</f>
        <v>0</v>
      </c>
      <c r="N281" s="30" cm="1">
        <f t="array" ref="N281">IFERROR(LOOKUP(2,1/((Товар!$D$4:$D$1110=Тўловлар[[#This Row],[Клиент]])*(Товар!$E$4:$E$1110&lt;=Тўловлар[[#This Row],[Дата]])),Товар!$L$4:$L$1110),Кўрсаткичлар!$B$4)</f>
        <v>0</v>
      </c>
      <c r="O281" s="30">
        <f>Тўловлар[[#This Row],[Поддон]]*Тўловлар[[#This Row],[Поддон нархи]]</f>
        <v>0</v>
      </c>
      <c r="P281" s="30">
        <f>Тўловлар[[#This Row],[Жами сумма]]-Тўловлар[[#This Row],[Поддон пули]]</f>
        <v>0</v>
      </c>
      <c r="Q2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1" s="9" t="str">
        <f>IFERROR(INDEX(Мижозлар[Агент],MATCH($C281,Мижозлар[Расмий ном],0)),"")</f>
        <v/>
      </c>
    </row>
    <row r="282" spans="6:19" x14ac:dyDescent="0.2">
      <c r="F282" s="198"/>
      <c r="G282" s="9">
        <f>Тўловлар[[#This Row],[Поддон]]*$G$3</f>
        <v>0</v>
      </c>
      <c r="K282" s="9">
        <f>SUM(Тўловлар[[#This Row],[ПР-Сумма]]+Тўловлар[[#This Row],[Накд]]+Тўловлар[[#This Row],[Клик]]+Тўловлар[[#This Row],[Терминал]])</f>
        <v>0</v>
      </c>
      <c r="N282" s="30" cm="1">
        <f t="array" ref="N282">IFERROR(LOOKUP(2,1/((Товар!$D$4:$D$1110=Тўловлар[[#This Row],[Клиент]])*(Товар!$E$4:$E$1110&lt;=Тўловлар[[#This Row],[Дата]])),Товар!$L$4:$L$1110),Кўрсаткичлар!$B$4)</f>
        <v>0</v>
      </c>
      <c r="O282" s="30">
        <f>Тўловлар[[#This Row],[Поддон]]*Тўловлар[[#This Row],[Поддон нархи]]</f>
        <v>0</v>
      </c>
      <c r="P282" s="30">
        <f>Тўловлар[[#This Row],[Жами сумма]]-Тўловлар[[#This Row],[Поддон пули]]</f>
        <v>0</v>
      </c>
      <c r="Q2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2" s="9" t="str">
        <f>IFERROR(INDEX(Мижозлар[Агент],MATCH($C282,Мижозлар[Расмий ном],0)),"")</f>
        <v/>
      </c>
    </row>
    <row r="283" spans="6:19" x14ac:dyDescent="0.2">
      <c r="F283" s="198"/>
      <c r="G283" s="9">
        <f>Тўловлар[[#This Row],[Поддон]]*$G$3</f>
        <v>0</v>
      </c>
      <c r="K283" s="9">
        <f>SUM(Тўловлар[[#This Row],[ПР-Сумма]]+Тўловлар[[#This Row],[Накд]]+Тўловлар[[#This Row],[Клик]]+Тўловлар[[#This Row],[Терминал]])</f>
        <v>0</v>
      </c>
      <c r="N283" s="30" cm="1">
        <f t="array" ref="N283">IFERROR(LOOKUP(2,1/((Товар!$D$4:$D$1110=Тўловлар[[#This Row],[Клиент]])*(Товар!$E$4:$E$1110&lt;=Тўловлар[[#This Row],[Дата]])),Товар!$L$4:$L$1110),Кўрсаткичлар!$B$4)</f>
        <v>0</v>
      </c>
      <c r="O283" s="30">
        <f>Тўловлар[[#This Row],[Поддон]]*Тўловлар[[#This Row],[Поддон нархи]]</f>
        <v>0</v>
      </c>
      <c r="P283" s="30">
        <f>Тўловлар[[#This Row],[Жами сумма]]-Тўловлар[[#This Row],[Поддон пули]]</f>
        <v>0</v>
      </c>
      <c r="Q2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3" s="9" t="str">
        <f>IFERROR(INDEX(Мижозлар[Агент],MATCH($C283,Мижозлар[Расмий ном],0)),"")</f>
        <v/>
      </c>
    </row>
    <row r="284" spans="6:19" x14ac:dyDescent="0.2">
      <c r="F284" s="198"/>
      <c r="G284" s="9">
        <f>Тўловлар[[#This Row],[Поддон]]*$G$3</f>
        <v>0</v>
      </c>
      <c r="K284" s="9">
        <f>SUM(Тўловлар[[#This Row],[ПР-Сумма]]+Тўловлар[[#This Row],[Накд]]+Тўловлар[[#This Row],[Клик]]+Тўловлар[[#This Row],[Терминал]])</f>
        <v>0</v>
      </c>
      <c r="N284" s="30" cm="1">
        <f t="array" ref="N284">IFERROR(LOOKUP(2,1/((Товар!$D$4:$D$1110=Тўловлар[[#This Row],[Клиент]])*(Товар!$E$4:$E$1110&lt;=Тўловлар[[#This Row],[Дата]])),Товар!$L$4:$L$1110),Кўрсаткичлар!$B$4)</f>
        <v>0</v>
      </c>
      <c r="O284" s="30">
        <f>Тўловлар[[#This Row],[Поддон]]*Тўловлар[[#This Row],[Поддон нархи]]</f>
        <v>0</v>
      </c>
      <c r="P284" s="30">
        <f>Тўловлар[[#This Row],[Жами сумма]]-Тўловлар[[#This Row],[Поддон пули]]</f>
        <v>0</v>
      </c>
      <c r="Q2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4" s="9" t="str">
        <f>IFERROR(INDEX(Мижозлар[Агент],MATCH($C284,Мижозлар[Расмий ном],0)),"")</f>
        <v/>
      </c>
    </row>
    <row r="285" spans="6:19" x14ac:dyDescent="0.2">
      <c r="F285" s="198"/>
      <c r="G285" s="9">
        <f>Тўловлар[[#This Row],[Поддон]]*$G$3</f>
        <v>0</v>
      </c>
      <c r="K285" s="9">
        <f>SUM(Тўловлар[[#This Row],[ПР-Сумма]]+Тўловлар[[#This Row],[Накд]]+Тўловлар[[#This Row],[Клик]]+Тўловлар[[#This Row],[Терминал]])</f>
        <v>0</v>
      </c>
      <c r="N285" s="30" cm="1">
        <f t="array" ref="N285">IFERROR(LOOKUP(2,1/((Товар!$D$4:$D$1110=Тўловлар[[#This Row],[Клиент]])*(Товар!$E$4:$E$1110&lt;=Тўловлар[[#This Row],[Дата]])),Товар!$L$4:$L$1110),Кўрсаткичлар!$B$4)</f>
        <v>0</v>
      </c>
      <c r="O285" s="30">
        <f>Тўловлар[[#This Row],[Поддон]]*Тўловлар[[#This Row],[Поддон нархи]]</f>
        <v>0</v>
      </c>
      <c r="P285" s="30">
        <f>Тўловлар[[#This Row],[Жами сумма]]-Тўловлар[[#This Row],[Поддон пули]]</f>
        <v>0</v>
      </c>
      <c r="Q2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5" s="9" t="str">
        <f>IFERROR(INDEX(Мижозлар[Агент],MATCH($C285,Мижозлар[Расмий ном],0)),"")</f>
        <v/>
      </c>
    </row>
    <row r="286" spans="6:19" x14ac:dyDescent="0.2">
      <c r="F286" s="198"/>
      <c r="G286" s="9">
        <f>Тўловлар[[#This Row],[Поддон]]*$G$3</f>
        <v>0</v>
      </c>
      <c r="K286" s="9">
        <f>SUM(Тўловлар[[#This Row],[ПР-Сумма]]+Тўловлар[[#This Row],[Накд]]+Тўловлар[[#This Row],[Клик]]+Тўловлар[[#This Row],[Терминал]])</f>
        <v>0</v>
      </c>
      <c r="N286" s="30" cm="1">
        <f t="array" ref="N286">IFERROR(LOOKUP(2,1/((Товар!$D$4:$D$1110=Тўловлар[[#This Row],[Клиент]])*(Товар!$E$4:$E$1110&lt;=Тўловлар[[#This Row],[Дата]])),Товар!$L$4:$L$1110),Кўрсаткичлар!$B$4)</f>
        <v>0</v>
      </c>
      <c r="O286" s="30">
        <f>Тўловлар[[#This Row],[Поддон]]*Тўловлар[[#This Row],[Поддон нархи]]</f>
        <v>0</v>
      </c>
      <c r="P286" s="30">
        <f>Тўловлар[[#This Row],[Жами сумма]]-Тўловлар[[#This Row],[Поддон пули]]</f>
        <v>0</v>
      </c>
      <c r="Q2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6" s="9" t="str">
        <f>IFERROR(INDEX(Мижозлар[Агент],MATCH($C286,Мижозлар[Расмий ном],0)),"")</f>
        <v/>
      </c>
    </row>
    <row r="287" spans="6:19" x14ac:dyDescent="0.2">
      <c r="F287" s="198"/>
      <c r="G287" s="9">
        <f>Тўловлар[[#This Row],[Поддон]]*$G$3</f>
        <v>0</v>
      </c>
      <c r="K287" s="9">
        <f>SUM(Тўловлар[[#This Row],[ПР-Сумма]]+Тўловлар[[#This Row],[Накд]]+Тўловлар[[#This Row],[Клик]]+Тўловлар[[#This Row],[Терминал]])</f>
        <v>0</v>
      </c>
      <c r="N287" s="30" cm="1">
        <f t="array" ref="N287">IFERROR(LOOKUP(2,1/((Товар!$D$4:$D$1110=Тўловлар[[#This Row],[Клиент]])*(Товар!$E$4:$E$1110&lt;=Тўловлар[[#This Row],[Дата]])),Товар!$L$4:$L$1110),Кўрсаткичлар!$B$4)</f>
        <v>0</v>
      </c>
      <c r="O287" s="30">
        <f>Тўловлар[[#This Row],[Поддон]]*Тўловлар[[#This Row],[Поддон нархи]]</f>
        <v>0</v>
      </c>
      <c r="P287" s="30">
        <f>Тўловлар[[#This Row],[Жами сумма]]-Тўловлар[[#This Row],[Поддон пули]]</f>
        <v>0</v>
      </c>
      <c r="Q2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7" s="9" t="str">
        <f>IFERROR(INDEX(Мижозлар[Агент],MATCH($C287,Мижозлар[Расмий ном],0)),"")</f>
        <v/>
      </c>
    </row>
    <row r="288" spans="6:19" x14ac:dyDescent="0.2">
      <c r="F288" s="198"/>
      <c r="G288" s="9">
        <f>Тўловлар[[#This Row],[Поддон]]*$G$3</f>
        <v>0</v>
      </c>
      <c r="K288" s="9">
        <f>SUM(Тўловлар[[#This Row],[ПР-Сумма]]+Тўловлар[[#This Row],[Накд]]+Тўловлар[[#This Row],[Клик]]+Тўловлар[[#This Row],[Терминал]])</f>
        <v>0</v>
      </c>
      <c r="N288" s="30" cm="1">
        <f t="array" ref="N288">IFERROR(LOOKUP(2,1/((Товар!$D$4:$D$1110=Тўловлар[[#This Row],[Клиент]])*(Товар!$E$4:$E$1110&lt;=Тўловлар[[#This Row],[Дата]])),Товар!$L$4:$L$1110),Кўрсаткичлар!$B$4)</f>
        <v>0</v>
      </c>
      <c r="O288" s="30">
        <f>Тўловлар[[#This Row],[Поддон]]*Тўловлар[[#This Row],[Поддон нархи]]</f>
        <v>0</v>
      </c>
      <c r="P288" s="30">
        <f>Тўловлар[[#This Row],[Жами сумма]]-Тўловлар[[#This Row],[Поддон пули]]</f>
        <v>0</v>
      </c>
      <c r="Q2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8" s="9" t="str">
        <f>IFERROR(INDEX(Мижозлар[Агент],MATCH($C288,Мижозлар[Расмий ном],0)),"")</f>
        <v/>
      </c>
    </row>
    <row r="289" spans="6:19" x14ac:dyDescent="0.2">
      <c r="F289" s="198"/>
      <c r="G289" s="9">
        <f>Тўловлар[[#This Row],[Поддон]]*$G$3</f>
        <v>0</v>
      </c>
      <c r="K289" s="9">
        <f>SUM(Тўловлар[[#This Row],[ПР-Сумма]]+Тўловлар[[#This Row],[Накд]]+Тўловлар[[#This Row],[Клик]]+Тўловлар[[#This Row],[Терминал]])</f>
        <v>0</v>
      </c>
      <c r="N289" s="30" cm="1">
        <f t="array" ref="N289">IFERROR(LOOKUP(2,1/((Товар!$D$4:$D$1110=Тўловлар[[#This Row],[Клиент]])*(Товар!$E$4:$E$1110&lt;=Тўловлар[[#This Row],[Дата]])),Товар!$L$4:$L$1110),Кўрсаткичлар!$B$4)</f>
        <v>0</v>
      </c>
      <c r="O289" s="30">
        <f>Тўловлар[[#This Row],[Поддон]]*Тўловлар[[#This Row],[Поддон нархи]]</f>
        <v>0</v>
      </c>
      <c r="P289" s="30">
        <f>Тўловлар[[#This Row],[Жами сумма]]-Тўловлар[[#This Row],[Поддон пули]]</f>
        <v>0</v>
      </c>
      <c r="Q2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89" s="9" t="str">
        <f>IFERROR(INDEX(Мижозлар[Агент],MATCH($C289,Мижозлар[Расмий ном],0)),"")</f>
        <v/>
      </c>
    </row>
    <row r="290" spans="6:19" x14ac:dyDescent="0.2">
      <c r="F290" s="198"/>
      <c r="G290" s="9">
        <f>Тўловлар[[#This Row],[Поддон]]*$G$3</f>
        <v>0</v>
      </c>
      <c r="K290" s="9">
        <f>SUM(Тўловлар[[#This Row],[ПР-Сумма]]+Тўловлар[[#This Row],[Накд]]+Тўловлар[[#This Row],[Клик]]+Тўловлар[[#This Row],[Терминал]])</f>
        <v>0</v>
      </c>
      <c r="N290" s="30" cm="1">
        <f t="array" ref="N290">IFERROR(LOOKUP(2,1/((Товар!$D$4:$D$1110=Тўловлар[[#This Row],[Клиент]])*(Товар!$E$4:$E$1110&lt;=Тўловлар[[#This Row],[Дата]])),Товар!$L$4:$L$1110),Кўрсаткичлар!$B$4)</f>
        <v>0</v>
      </c>
      <c r="O290" s="30">
        <f>Тўловлар[[#This Row],[Поддон]]*Тўловлар[[#This Row],[Поддон нархи]]</f>
        <v>0</v>
      </c>
      <c r="P290" s="30">
        <f>Тўловлар[[#This Row],[Жами сумма]]-Тўловлар[[#This Row],[Поддон пули]]</f>
        <v>0</v>
      </c>
      <c r="Q2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0" s="9" t="str">
        <f>IFERROR(INDEX(Мижозлар[Агент],MATCH($C290,Мижозлар[Расмий ном],0)),"")</f>
        <v/>
      </c>
    </row>
    <row r="291" spans="6:19" x14ac:dyDescent="0.2">
      <c r="F291" s="198"/>
      <c r="G291" s="9">
        <f>Тўловлар[[#This Row],[Поддон]]*$G$3</f>
        <v>0</v>
      </c>
      <c r="K291" s="9">
        <f>SUM(Тўловлар[[#This Row],[ПР-Сумма]]+Тўловлар[[#This Row],[Накд]]+Тўловлар[[#This Row],[Клик]]+Тўловлар[[#This Row],[Терминал]])</f>
        <v>0</v>
      </c>
      <c r="N291" s="30" cm="1">
        <f t="array" ref="N291">IFERROR(LOOKUP(2,1/((Товар!$D$4:$D$1110=Тўловлар[[#This Row],[Клиент]])*(Товар!$E$4:$E$1110&lt;=Тўловлар[[#This Row],[Дата]])),Товар!$L$4:$L$1110),Кўрсаткичлар!$B$4)</f>
        <v>0</v>
      </c>
      <c r="O291" s="30">
        <f>Тўловлар[[#This Row],[Поддон]]*Тўловлар[[#This Row],[Поддон нархи]]</f>
        <v>0</v>
      </c>
      <c r="P291" s="30">
        <f>Тўловлар[[#This Row],[Жами сумма]]-Тўловлар[[#This Row],[Поддон пули]]</f>
        <v>0</v>
      </c>
      <c r="Q2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1" s="9" t="str">
        <f>IFERROR(INDEX(Мижозлар[Агент],MATCH($C291,Мижозлар[Расмий ном],0)),"")</f>
        <v/>
      </c>
    </row>
    <row r="292" spans="6:19" x14ac:dyDescent="0.2">
      <c r="F292" s="198"/>
      <c r="G292" s="9">
        <f>Тўловлар[[#This Row],[Поддон]]*$G$3</f>
        <v>0</v>
      </c>
      <c r="K292" s="9">
        <f>SUM(Тўловлар[[#This Row],[ПР-Сумма]]+Тўловлар[[#This Row],[Накд]]+Тўловлар[[#This Row],[Клик]]+Тўловлар[[#This Row],[Терминал]])</f>
        <v>0</v>
      </c>
      <c r="N292" s="30" cm="1">
        <f t="array" ref="N292">IFERROR(LOOKUP(2,1/((Товар!$D$4:$D$1110=Тўловлар[[#This Row],[Клиент]])*(Товар!$E$4:$E$1110&lt;=Тўловлар[[#This Row],[Дата]])),Товар!$L$4:$L$1110),Кўрсаткичлар!$B$4)</f>
        <v>0</v>
      </c>
      <c r="O292" s="30">
        <f>Тўловлар[[#This Row],[Поддон]]*Тўловлар[[#This Row],[Поддон нархи]]</f>
        <v>0</v>
      </c>
      <c r="P292" s="30">
        <f>Тўловлар[[#This Row],[Жами сумма]]-Тўловлар[[#This Row],[Поддон пули]]</f>
        <v>0</v>
      </c>
      <c r="Q2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2" s="9" t="str">
        <f>IFERROR(INDEX(Мижозлар[Агент],MATCH($C292,Мижозлар[Расмий ном],0)),"")</f>
        <v/>
      </c>
    </row>
    <row r="293" spans="6:19" x14ac:dyDescent="0.2">
      <c r="F293" s="198"/>
      <c r="G293" s="9">
        <f>Тўловлар[[#This Row],[Поддон]]*$G$3</f>
        <v>0</v>
      </c>
      <c r="K293" s="9">
        <f>SUM(Тўловлар[[#This Row],[ПР-Сумма]]+Тўловлар[[#This Row],[Накд]]+Тўловлар[[#This Row],[Клик]]+Тўловлар[[#This Row],[Терминал]])</f>
        <v>0</v>
      </c>
      <c r="N293" s="30" cm="1">
        <f t="array" ref="N293">IFERROR(LOOKUP(2,1/((Товар!$D$4:$D$1110=Тўловлар[[#This Row],[Клиент]])*(Товар!$E$4:$E$1110&lt;=Тўловлар[[#This Row],[Дата]])),Товар!$L$4:$L$1110),Кўрсаткичлар!$B$4)</f>
        <v>0</v>
      </c>
      <c r="O293" s="30">
        <f>Тўловлар[[#This Row],[Поддон]]*Тўловлар[[#This Row],[Поддон нархи]]</f>
        <v>0</v>
      </c>
      <c r="P293" s="30">
        <f>Тўловлар[[#This Row],[Жами сумма]]-Тўловлар[[#This Row],[Поддон пули]]</f>
        <v>0</v>
      </c>
      <c r="Q2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3" s="9" t="str">
        <f>IFERROR(INDEX(Мижозлар[Агент],MATCH($C293,Мижозлар[Расмий ном],0)),"")</f>
        <v/>
      </c>
    </row>
    <row r="294" spans="6:19" x14ac:dyDescent="0.2">
      <c r="F294" s="198"/>
      <c r="G294" s="9">
        <f>Тўловлар[[#This Row],[Поддон]]*$G$3</f>
        <v>0</v>
      </c>
      <c r="K294" s="9">
        <f>SUM(Тўловлар[[#This Row],[ПР-Сумма]]+Тўловлар[[#This Row],[Накд]]+Тўловлар[[#This Row],[Клик]]+Тўловлар[[#This Row],[Терминал]])</f>
        <v>0</v>
      </c>
      <c r="N294" s="30" cm="1">
        <f t="array" ref="N294">IFERROR(LOOKUP(2,1/((Товар!$D$4:$D$1110=Тўловлар[[#This Row],[Клиент]])*(Товар!$E$4:$E$1110&lt;=Тўловлар[[#This Row],[Дата]])),Товар!$L$4:$L$1110),Кўрсаткичлар!$B$4)</f>
        <v>0</v>
      </c>
      <c r="O294" s="30">
        <f>Тўловлар[[#This Row],[Поддон]]*Тўловлар[[#This Row],[Поддон нархи]]</f>
        <v>0</v>
      </c>
      <c r="P294" s="30">
        <f>Тўловлар[[#This Row],[Жами сумма]]-Тўловлар[[#This Row],[Поддон пули]]</f>
        <v>0</v>
      </c>
      <c r="Q2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4" s="9" t="str">
        <f>IFERROR(INDEX(Мижозлар[Агент],MATCH($C294,Мижозлар[Расмий ном],0)),"")</f>
        <v/>
      </c>
    </row>
    <row r="295" spans="6:19" x14ac:dyDescent="0.2">
      <c r="F295" s="198"/>
      <c r="G295" s="9">
        <f>Тўловлар[[#This Row],[Поддон]]*$G$3</f>
        <v>0</v>
      </c>
      <c r="K295" s="9">
        <f>SUM(Тўловлар[[#This Row],[ПР-Сумма]]+Тўловлар[[#This Row],[Накд]]+Тўловлар[[#This Row],[Клик]]+Тўловлар[[#This Row],[Терминал]])</f>
        <v>0</v>
      </c>
      <c r="N295" s="30" cm="1">
        <f t="array" ref="N295">IFERROR(LOOKUP(2,1/((Товар!$D$4:$D$1110=Тўловлар[[#This Row],[Клиент]])*(Товар!$E$4:$E$1110&lt;=Тўловлар[[#This Row],[Дата]])),Товар!$L$4:$L$1110),Кўрсаткичлар!$B$4)</f>
        <v>0</v>
      </c>
      <c r="O295" s="30">
        <f>Тўловлар[[#This Row],[Поддон]]*Тўловлар[[#This Row],[Поддон нархи]]</f>
        <v>0</v>
      </c>
      <c r="P295" s="30">
        <f>Тўловлар[[#This Row],[Жами сумма]]-Тўловлар[[#This Row],[Поддон пули]]</f>
        <v>0</v>
      </c>
      <c r="Q2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5" s="9" t="str">
        <f>IFERROR(INDEX(Мижозлар[Агент],MATCH($C295,Мижозлар[Расмий ном],0)),"")</f>
        <v/>
      </c>
    </row>
    <row r="296" spans="6:19" x14ac:dyDescent="0.2">
      <c r="F296" s="198"/>
      <c r="G296" s="9">
        <f>Тўловлар[[#This Row],[Поддон]]*$G$3</f>
        <v>0</v>
      </c>
      <c r="K296" s="9">
        <f>SUM(Тўловлар[[#This Row],[ПР-Сумма]]+Тўловлар[[#This Row],[Накд]]+Тўловлар[[#This Row],[Клик]]+Тўловлар[[#This Row],[Терминал]])</f>
        <v>0</v>
      </c>
      <c r="N296" s="30" cm="1">
        <f t="array" ref="N296">IFERROR(LOOKUP(2,1/((Товар!$D$4:$D$1110=Тўловлар[[#This Row],[Клиент]])*(Товар!$E$4:$E$1110&lt;=Тўловлар[[#This Row],[Дата]])),Товар!$L$4:$L$1110),Кўрсаткичлар!$B$4)</f>
        <v>0</v>
      </c>
      <c r="O296" s="30">
        <f>Тўловлар[[#This Row],[Поддон]]*Тўловлар[[#This Row],[Поддон нархи]]</f>
        <v>0</v>
      </c>
      <c r="P296" s="30">
        <f>Тўловлар[[#This Row],[Жами сумма]]-Тўловлар[[#This Row],[Поддон пули]]</f>
        <v>0</v>
      </c>
      <c r="Q2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6" s="9" t="str">
        <f>IFERROR(INDEX(Мижозлар[Агент],MATCH($C296,Мижозлар[Расмий ном],0)),"")</f>
        <v/>
      </c>
    </row>
    <row r="297" spans="6:19" x14ac:dyDescent="0.2">
      <c r="F297" s="198"/>
      <c r="G297" s="9">
        <f>Тўловлар[[#This Row],[Поддон]]*$G$3</f>
        <v>0</v>
      </c>
      <c r="K297" s="9">
        <f>SUM(Тўловлар[[#This Row],[ПР-Сумма]]+Тўловлар[[#This Row],[Накд]]+Тўловлар[[#This Row],[Клик]]+Тўловлар[[#This Row],[Терминал]])</f>
        <v>0</v>
      </c>
      <c r="N297" s="30" cm="1">
        <f t="array" ref="N297">IFERROR(LOOKUP(2,1/((Товар!$D$4:$D$1110=Тўловлар[[#This Row],[Клиент]])*(Товар!$E$4:$E$1110&lt;=Тўловлар[[#This Row],[Дата]])),Товар!$L$4:$L$1110),Кўрсаткичлар!$B$4)</f>
        <v>0</v>
      </c>
      <c r="O297" s="30">
        <f>Тўловлар[[#This Row],[Поддон]]*Тўловлар[[#This Row],[Поддон нархи]]</f>
        <v>0</v>
      </c>
      <c r="P297" s="30">
        <f>Тўловлар[[#This Row],[Жами сумма]]-Тўловлар[[#This Row],[Поддон пули]]</f>
        <v>0</v>
      </c>
      <c r="Q2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7" s="9" t="str">
        <f>IFERROR(INDEX(Мижозлар[Агент],MATCH($C297,Мижозлар[Расмий ном],0)),"")</f>
        <v/>
      </c>
    </row>
    <row r="298" spans="6:19" x14ac:dyDescent="0.2">
      <c r="F298" s="198"/>
      <c r="G298" s="9">
        <f>Тўловлар[[#This Row],[Поддон]]*$G$3</f>
        <v>0</v>
      </c>
      <c r="K298" s="9">
        <f>SUM(Тўловлар[[#This Row],[ПР-Сумма]]+Тўловлар[[#This Row],[Накд]]+Тўловлар[[#This Row],[Клик]]+Тўловлар[[#This Row],[Терминал]])</f>
        <v>0</v>
      </c>
      <c r="N298" s="30" cm="1">
        <f t="array" ref="N298">IFERROR(LOOKUP(2,1/((Товар!$D$4:$D$1110=Тўловлар[[#This Row],[Клиент]])*(Товар!$E$4:$E$1110&lt;=Тўловлар[[#This Row],[Дата]])),Товар!$L$4:$L$1110),Кўрсаткичлар!$B$4)</f>
        <v>0</v>
      </c>
      <c r="O298" s="30">
        <f>Тўловлар[[#This Row],[Поддон]]*Тўловлар[[#This Row],[Поддон нархи]]</f>
        <v>0</v>
      </c>
      <c r="P298" s="30">
        <f>Тўловлар[[#This Row],[Жами сумма]]-Тўловлар[[#This Row],[Поддон пули]]</f>
        <v>0</v>
      </c>
      <c r="Q2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8" s="9" t="str">
        <f>IFERROR(INDEX(Мижозлар[Агент],MATCH($C298,Мижозлар[Расмий ном],0)),"")</f>
        <v/>
      </c>
    </row>
    <row r="299" spans="6:19" x14ac:dyDescent="0.2">
      <c r="F299" s="198"/>
      <c r="G299" s="9">
        <f>Тўловлар[[#This Row],[Поддон]]*$G$3</f>
        <v>0</v>
      </c>
      <c r="K299" s="9">
        <f>SUM(Тўловлар[[#This Row],[ПР-Сумма]]+Тўловлар[[#This Row],[Накд]]+Тўловлар[[#This Row],[Клик]]+Тўловлар[[#This Row],[Терминал]])</f>
        <v>0</v>
      </c>
      <c r="N299" s="30" cm="1">
        <f t="array" ref="N299">IFERROR(LOOKUP(2,1/((Товар!$D$4:$D$1110=Тўловлар[[#This Row],[Клиент]])*(Товар!$E$4:$E$1110&lt;=Тўловлар[[#This Row],[Дата]])),Товар!$L$4:$L$1110),Кўрсаткичлар!$B$4)</f>
        <v>0</v>
      </c>
      <c r="O299" s="30">
        <f>Тўловлар[[#This Row],[Поддон]]*Тўловлар[[#This Row],[Поддон нархи]]</f>
        <v>0</v>
      </c>
      <c r="P299" s="30">
        <f>Тўловлар[[#This Row],[Жами сумма]]-Тўловлар[[#This Row],[Поддон пули]]</f>
        <v>0</v>
      </c>
      <c r="Q2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2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299" s="9" t="str">
        <f>IFERROR(INDEX(Мижозлар[Агент],MATCH($C299,Мижозлар[Расмий ном],0)),"")</f>
        <v/>
      </c>
    </row>
    <row r="300" spans="6:19" x14ac:dyDescent="0.2">
      <c r="F300" s="198"/>
      <c r="G300" s="9">
        <f>Тўловлар[[#This Row],[Поддон]]*$G$3</f>
        <v>0</v>
      </c>
      <c r="K300" s="9">
        <f>SUM(Тўловлар[[#This Row],[ПР-Сумма]]+Тўловлар[[#This Row],[Накд]]+Тўловлар[[#This Row],[Клик]]+Тўловлар[[#This Row],[Терминал]])</f>
        <v>0</v>
      </c>
      <c r="N300" s="30" cm="1">
        <f t="array" ref="N300">IFERROR(LOOKUP(2,1/((Товар!$D$4:$D$1110=Тўловлар[[#This Row],[Клиент]])*(Товар!$E$4:$E$1110&lt;=Тўловлар[[#This Row],[Дата]])),Товар!$L$4:$L$1110),Кўрсаткичлар!$B$4)</f>
        <v>0</v>
      </c>
      <c r="O300" s="30">
        <f>Тўловлар[[#This Row],[Поддон]]*Тўловлар[[#This Row],[Поддон нархи]]</f>
        <v>0</v>
      </c>
      <c r="P300" s="30">
        <f>Тўловлар[[#This Row],[Жами сумма]]-Тўловлар[[#This Row],[Поддон пули]]</f>
        <v>0</v>
      </c>
      <c r="Q3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0" s="9" t="str">
        <f>IFERROR(INDEX(Мижозлар[Агент],MATCH($C300,Мижозлар[Расмий ном],0)),"")</f>
        <v/>
      </c>
    </row>
    <row r="301" spans="6:19" x14ac:dyDescent="0.2">
      <c r="F301" s="198"/>
      <c r="G301" s="9">
        <f>Тўловлар[[#This Row],[Поддон]]*$G$3</f>
        <v>0</v>
      </c>
      <c r="K301" s="9">
        <f>SUM(Тўловлар[[#This Row],[ПР-Сумма]]+Тўловлар[[#This Row],[Накд]]+Тўловлар[[#This Row],[Клик]]+Тўловлар[[#This Row],[Терминал]])</f>
        <v>0</v>
      </c>
      <c r="N301" s="30" cm="1">
        <f t="array" ref="N301">IFERROR(LOOKUP(2,1/((Товар!$D$4:$D$1110=Тўловлар[[#This Row],[Клиент]])*(Товар!$E$4:$E$1110&lt;=Тўловлар[[#This Row],[Дата]])),Товар!$L$4:$L$1110),Кўрсаткичлар!$B$4)</f>
        <v>0</v>
      </c>
      <c r="O301" s="30">
        <f>Тўловлар[[#This Row],[Поддон]]*Тўловлар[[#This Row],[Поддон нархи]]</f>
        <v>0</v>
      </c>
      <c r="P301" s="30">
        <f>Тўловлар[[#This Row],[Жами сумма]]-Тўловлар[[#This Row],[Поддон пули]]</f>
        <v>0</v>
      </c>
      <c r="Q3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1" s="9" t="str">
        <f>IFERROR(INDEX(Мижозлар[Агент],MATCH($C301,Мижозлар[Расмий ном],0)),"")</f>
        <v/>
      </c>
    </row>
    <row r="302" spans="6:19" x14ac:dyDescent="0.2">
      <c r="F302" s="198"/>
      <c r="G302" s="9">
        <f>Тўловлар[[#This Row],[Поддон]]*$G$3</f>
        <v>0</v>
      </c>
      <c r="K302" s="9">
        <f>SUM(Тўловлар[[#This Row],[ПР-Сумма]]+Тўловлар[[#This Row],[Накд]]+Тўловлар[[#This Row],[Клик]]+Тўловлар[[#This Row],[Терминал]])</f>
        <v>0</v>
      </c>
      <c r="N302" s="30" cm="1">
        <f t="array" ref="N302">IFERROR(LOOKUP(2,1/((Товар!$D$4:$D$1110=Тўловлар[[#This Row],[Клиент]])*(Товар!$E$4:$E$1110&lt;=Тўловлар[[#This Row],[Дата]])),Товар!$L$4:$L$1110),Кўрсаткичлар!$B$4)</f>
        <v>0</v>
      </c>
      <c r="O302" s="30">
        <f>Тўловлар[[#This Row],[Поддон]]*Тўловлар[[#This Row],[Поддон нархи]]</f>
        <v>0</v>
      </c>
      <c r="P302" s="30">
        <f>Тўловлар[[#This Row],[Жами сумма]]-Тўловлар[[#This Row],[Поддон пули]]</f>
        <v>0</v>
      </c>
      <c r="Q3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2" s="9" t="str">
        <f>IFERROR(INDEX(Мижозлар[Агент],MATCH($C302,Мижозлар[Расмий ном],0)),"")</f>
        <v/>
      </c>
    </row>
    <row r="303" spans="6:19" x14ac:dyDescent="0.2">
      <c r="F303" s="198"/>
      <c r="G303" s="9">
        <f>Тўловлар[[#This Row],[Поддон]]*$G$3</f>
        <v>0</v>
      </c>
      <c r="K303" s="9">
        <f>SUM(Тўловлар[[#This Row],[ПР-Сумма]]+Тўловлар[[#This Row],[Накд]]+Тўловлар[[#This Row],[Клик]]+Тўловлар[[#This Row],[Терминал]])</f>
        <v>0</v>
      </c>
      <c r="N303" s="30" cm="1">
        <f t="array" ref="N303">IFERROR(LOOKUP(2,1/((Товар!$D$4:$D$1110=Тўловлар[[#This Row],[Клиент]])*(Товар!$E$4:$E$1110&lt;=Тўловлар[[#This Row],[Дата]])),Товар!$L$4:$L$1110),Кўрсаткичлар!$B$4)</f>
        <v>0</v>
      </c>
      <c r="O303" s="30">
        <f>Тўловлар[[#This Row],[Поддон]]*Тўловлар[[#This Row],[Поддон нархи]]</f>
        <v>0</v>
      </c>
      <c r="P303" s="30">
        <f>Тўловлар[[#This Row],[Жами сумма]]-Тўловлар[[#This Row],[Поддон пули]]</f>
        <v>0</v>
      </c>
      <c r="Q3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3" s="9" t="str">
        <f>IFERROR(INDEX(Мижозлар[Агент],MATCH($C303,Мижозлар[Расмий ном],0)),"")</f>
        <v/>
      </c>
    </row>
    <row r="304" spans="6:19" x14ac:dyDescent="0.2">
      <c r="F304" s="198"/>
      <c r="G304" s="9">
        <f>Тўловлар[[#This Row],[Поддон]]*$G$3</f>
        <v>0</v>
      </c>
      <c r="K304" s="9">
        <f>SUM(Тўловлар[[#This Row],[ПР-Сумма]]+Тўловлар[[#This Row],[Накд]]+Тўловлар[[#This Row],[Клик]]+Тўловлар[[#This Row],[Терминал]])</f>
        <v>0</v>
      </c>
      <c r="N304" s="30" cm="1">
        <f t="array" ref="N304">IFERROR(LOOKUP(2,1/((Товар!$D$4:$D$1110=Тўловлар[[#This Row],[Клиент]])*(Товар!$E$4:$E$1110&lt;=Тўловлар[[#This Row],[Дата]])),Товар!$L$4:$L$1110),Кўрсаткичлар!$B$4)</f>
        <v>0</v>
      </c>
      <c r="O304" s="30">
        <f>Тўловлар[[#This Row],[Поддон]]*Тўловлар[[#This Row],[Поддон нархи]]</f>
        <v>0</v>
      </c>
      <c r="P304" s="30">
        <f>Тўловлар[[#This Row],[Жами сумма]]-Тўловлар[[#This Row],[Поддон пули]]</f>
        <v>0</v>
      </c>
      <c r="Q3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4" s="9" t="str">
        <f>IFERROR(INDEX(Мижозлар[Агент],MATCH($C304,Мижозлар[Расмий ном],0)),"")</f>
        <v/>
      </c>
    </row>
    <row r="305" spans="6:19" x14ac:dyDescent="0.2">
      <c r="F305" s="198"/>
      <c r="G305" s="9">
        <f>Тўловлар[[#This Row],[Поддон]]*$G$3</f>
        <v>0</v>
      </c>
      <c r="K305" s="9">
        <f>SUM(Тўловлар[[#This Row],[ПР-Сумма]]+Тўловлар[[#This Row],[Накд]]+Тўловлар[[#This Row],[Клик]]+Тўловлар[[#This Row],[Терминал]])</f>
        <v>0</v>
      </c>
      <c r="N305" s="30" cm="1">
        <f t="array" ref="N305">IFERROR(LOOKUP(2,1/((Товар!$D$4:$D$1110=Тўловлар[[#This Row],[Клиент]])*(Товар!$E$4:$E$1110&lt;=Тўловлар[[#This Row],[Дата]])),Товар!$L$4:$L$1110),Кўрсаткичлар!$B$4)</f>
        <v>0</v>
      </c>
      <c r="O305" s="30">
        <f>Тўловлар[[#This Row],[Поддон]]*Тўловлар[[#This Row],[Поддон нархи]]</f>
        <v>0</v>
      </c>
      <c r="P305" s="30">
        <f>Тўловлар[[#This Row],[Жами сумма]]-Тўловлар[[#This Row],[Поддон пули]]</f>
        <v>0</v>
      </c>
      <c r="Q3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5" s="9" t="str">
        <f>IFERROR(INDEX(Мижозлар[Агент],MATCH($C305,Мижозлар[Расмий ном],0)),"")</f>
        <v/>
      </c>
    </row>
    <row r="306" spans="6:19" x14ac:dyDescent="0.2">
      <c r="F306" s="198"/>
      <c r="G306" s="9">
        <f>Тўловлар[[#This Row],[Поддон]]*$G$3</f>
        <v>0</v>
      </c>
      <c r="K306" s="9">
        <f>SUM(Тўловлар[[#This Row],[ПР-Сумма]]+Тўловлар[[#This Row],[Накд]]+Тўловлар[[#This Row],[Клик]]+Тўловлар[[#This Row],[Терминал]])</f>
        <v>0</v>
      </c>
      <c r="N306" s="30" cm="1">
        <f t="array" ref="N306">IFERROR(LOOKUP(2,1/((Товар!$D$4:$D$1110=Тўловлар[[#This Row],[Клиент]])*(Товар!$E$4:$E$1110&lt;=Тўловлар[[#This Row],[Дата]])),Товар!$L$4:$L$1110),Кўрсаткичлар!$B$4)</f>
        <v>0</v>
      </c>
      <c r="O306" s="30">
        <f>Тўловлар[[#This Row],[Поддон]]*Тўловлар[[#This Row],[Поддон нархи]]</f>
        <v>0</v>
      </c>
      <c r="P306" s="30">
        <f>Тўловлар[[#This Row],[Жами сумма]]-Тўловлар[[#This Row],[Поддон пули]]</f>
        <v>0</v>
      </c>
      <c r="Q3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6" s="9" t="str">
        <f>IFERROR(INDEX(Мижозлар[Агент],MATCH($C306,Мижозлар[Расмий ном],0)),"")</f>
        <v/>
      </c>
    </row>
    <row r="307" spans="6:19" x14ac:dyDescent="0.2">
      <c r="F307" s="198"/>
      <c r="G307" s="9">
        <f>Тўловлар[[#This Row],[Поддон]]*$G$3</f>
        <v>0</v>
      </c>
      <c r="K307" s="9">
        <f>SUM(Тўловлар[[#This Row],[ПР-Сумма]]+Тўловлар[[#This Row],[Накд]]+Тўловлар[[#This Row],[Клик]]+Тўловлар[[#This Row],[Терминал]])</f>
        <v>0</v>
      </c>
      <c r="N307" s="30" cm="1">
        <f t="array" ref="N307">IFERROR(LOOKUP(2,1/((Товар!$D$4:$D$1110=Тўловлар[[#This Row],[Клиент]])*(Товар!$E$4:$E$1110&lt;=Тўловлар[[#This Row],[Дата]])),Товар!$L$4:$L$1110),Кўрсаткичлар!$B$4)</f>
        <v>0</v>
      </c>
      <c r="O307" s="30">
        <f>Тўловлар[[#This Row],[Поддон]]*Тўловлар[[#This Row],[Поддон нархи]]</f>
        <v>0</v>
      </c>
      <c r="P307" s="30">
        <f>Тўловлар[[#This Row],[Жами сумма]]-Тўловлар[[#This Row],[Поддон пули]]</f>
        <v>0</v>
      </c>
      <c r="Q3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7" s="9" t="str">
        <f>IFERROR(INDEX(Мижозлар[Агент],MATCH($C307,Мижозлар[Расмий ном],0)),"")</f>
        <v/>
      </c>
    </row>
    <row r="308" spans="6:19" x14ac:dyDescent="0.2">
      <c r="F308" s="198"/>
      <c r="G308" s="9">
        <f>Тўловлар[[#This Row],[Поддон]]*$G$3</f>
        <v>0</v>
      </c>
      <c r="K308" s="9">
        <f>SUM(Тўловлар[[#This Row],[ПР-Сумма]]+Тўловлар[[#This Row],[Накд]]+Тўловлар[[#This Row],[Клик]]+Тўловлар[[#This Row],[Терминал]])</f>
        <v>0</v>
      </c>
      <c r="N308" s="30" cm="1">
        <f t="array" ref="N308">IFERROR(LOOKUP(2,1/((Товар!$D$4:$D$1110=Тўловлар[[#This Row],[Клиент]])*(Товар!$E$4:$E$1110&lt;=Тўловлар[[#This Row],[Дата]])),Товар!$L$4:$L$1110),Кўрсаткичлар!$B$4)</f>
        <v>0</v>
      </c>
      <c r="O308" s="30">
        <f>Тўловлар[[#This Row],[Поддон]]*Тўловлар[[#This Row],[Поддон нархи]]</f>
        <v>0</v>
      </c>
      <c r="P308" s="30">
        <f>Тўловлар[[#This Row],[Жами сумма]]-Тўловлар[[#This Row],[Поддон пули]]</f>
        <v>0</v>
      </c>
      <c r="Q3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8" s="9" t="str">
        <f>IFERROR(INDEX(Мижозлар[Агент],MATCH($C308,Мижозлар[Расмий ном],0)),"")</f>
        <v/>
      </c>
    </row>
    <row r="309" spans="6:19" x14ac:dyDescent="0.2">
      <c r="F309" s="198"/>
      <c r="G309" s="9">
        <f>Тўловлар[[#This Row],[Поддон]]*$G$3</f>
        <v>0</v>
      </c>
      <c r="K309" s="9">
        <f>SUM(Тўловлар[[#This Row],[ПР-Сумма]]+Тўловлар[[#This Row],[Накд]]+Тўловлар[[#This Row],[Клик]]+Тўловлар[[#This Row],[Терминал]])</f>
        <v>0</v>
      </c>
      <c r="N309" s="30" cm="1">
        <f t="array" ref="N309">IFERROR(LOOKUP(2,1/((Товар!$D$4:$D$1110=Тўловлар[[#This Row],[Клиент]])*(Товар!$E$4:$E$1110&lt;=Тўловлар[[#This Row],[Дата]])),Товар!$L$4:$L$1110),Кўрсаткичлар!$B$4)</f>
        <v>0</v>
      </c>
      <c r="O309" s="30">
        <f>Тўловлар[[#This Row],[Поддон]]*Тўловлар[[#This Row],[Поддон нархи]]</f>
        <v>0</v>
      </c>
      <c r="P309" s="30">
        <f>Тўловлар[[#This Row],[Жами сумма]]-Тўловлар[[#This Row],[Поддон пули]]</f>
        <v>0</v>
      </c>
      <c r="Q3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09" s="9" t="str">
        <f>IFERROR(INDEX(Мижозлар[Агент],MATCH($C309,Мижозлар[Расмий ном],0)),"")</f>
        <v/>
      </c>
    </row>
    <row r="310" spans="6:19" x14ac:dyDescent="0.2">
      <c r="F310" s="198"/>
      <c r="G310" s="9">
        <f>Тўловлар[[#This Row],[Поддон]]*$G$3</f>
        <v>0</v>
      </c>
      <c r="K310" s="9">
        <f>SUM(Тўловлар[[#This Row],[ПР-Сумма]]+Тўловлар[[#This Row],[Накд]]+Тўловлар[[#This Row],[Клик]]+Тўловлар[[#This Row],[Терминал]])</f>
        <v>0</v>
      </c>
      <c r="N310" s="30" cm="1">
        <f t="array" ref="N310">IFERROR(LOOKUP(2,1/((Товар!$D$4:$D$1110=Тўловлар[[#This Row],[Клиент]])*(Товар!$E$4:$E$1110&lt;=Тўловлар[[#This Row],[Дата]])),Товар!$L$4:$L$1110),Кўрсаткичлар!$B$4)</f>
        <v>0</v>
      </c>
      <c r="O310" s="30">
        <f>Тўловлар[[#This Row],[Поддон]]*Тўловлар[[#This Row],[Поддон нархи]]</f>
        <v>0</v>
      </c>
      <c r="P310" s="30">
        <f>Тўловлар[[#This Row],[Жами сумма]]-Тўловлар[[#This Row],[Поддон пули]]</f>
        <v>0</v>
      </c>
      <c r="Q3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0" s="9" t="str">
        <f>IFERROR(INDEX(Мижозлар[Агент],MATCH($C310,Мижозлар[Расмий ном],0)),"")</f>
        <v/>
      </c>
    </row>
    <row r="311" spans="6:19" x14ac:dyDescent="0.2">
      <c r="F311" s="198"/>
      <c r="G311" s="9">
        <f>Тўловлар[[#This Row],[Поддон]]*$G$3</f>
        <v>0</v>
      </c>
      <c r="K311" s="9">
        <f>SUM(Тўловлар[[#This Row],[ПР-Сумма]]+Тўловлар[[#This Row],[Накд]]+Тўловлар[[#This Row],[Клик]]+Тўловлар[[#This Row],[Терминал]])</f>
        <v>0</v>
      </c>
      <c r="N311" s="30" cm="1">
        <f t="array" ref="N311">IFERROR(LOOKUP(2,1/((Товар!$D$4:$D$1110=Тўловлар[[#This Row],[Клиент]])*(Товар!$E$4:$E$1110&lt;=Тўловлар[[#This Row],[Дата]])),Товар!$L$4:$L$1110),Кўрсаткичлар!$B$4)</f>
        <v>0</v>
      </c>
      <c r="O311" s="30">
        <f>Тўловлар[[#This Row],[Поддон]]*Тўловлар[[#This Row],[Поддон нархи]]</f>
        <v>0</v>
      </c>
      <c r="P311" s="30">
        <f>Тўловлар[[#This Row],[Жами сумма]]-Тўловлар[[#This Row],[Поддон пули]]</f>
        <v>0</v>
      </c>
      <c r="Q3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1" s="9" t="str">
        <f>IFERROR(INDEX(Мижозлар[Агент],MATCH($C311,Мижозлар[Расмий ном],0)),"")</f>
        <v/>
      </c>
    </row>
    <row r="312" spans="6:19" x14ac:dyDescent="0.2">
      <c r="F312" s="198"/>
      <c r="G312" s="9">
        <f>Тўловлар[[#This Row],[Поддон]]*$G$3</f>
        <v>0</v>
      </c>
      <c r="K312" s="9">
        <f>SUM(Тўловлар[[#This Row],[ПР-Сумма]]+Тўловлар[[#This Row],[Накд]]+Тўловлар[[#This Row],[Клик]]+Тўловлар[[#This Row],[Терминал]])</f>
        <v>0</v>
      </c>
      <c r="N312" s="30" cm="1">
        <f t="array" ref="N312">IFERROR(LOOKUP(2,1/((Товар!$D$4:$D$1110=Тўловлар[[#This Row],[Клиент]])*(Товар!$E$4:$E$1110&lt;=Тўловлар[[#This Row],[Дата]])),Товар!$L$4:$L$1110),Кўрсаткичлар!$B$4)</f>
        <v>0</v>
      </c>
      <c r="O312" s="30">
        <f>Тўловлар[[#This Row],[Поддон]]*Тўловлар[[#This Row],[Поддон нархи]]</f>
        <v>0</v>
      </c>
      <c r="P312" s="30">
        <f>Тўловлар[[#This Row],[Жами сумма]]-Тўловлар[[#This Row],[Поддон пули]]</f>
        <v>0</v>
      </c>
      <c r="Q3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2" s="9" t="str">
        <f>IFERROR(INDEX(Мижозлар[Агент],MATCH($C312,Мижозлар[Расмий ном],0)),"")</f>
        <v/>
      </c>
    </row>
    <row r="313" spans="6:19" x14ac:dyDescent="0.2">
      <c r="F313" s="198"/>
      <c r="G313" s="9">
        <f>Тўловлар[[#This Row],[Поддон]]*$G$3</f>
        <v>0</v>
      </c>
      <c r="K313" s="9">
        <f>SUM(Тўловлар[[#This Row],[ПР-Сумма]]+Тўловлар[[#This Row],[Накд]]+Тўловлар[[#This Row],[Клик]]+Тўловлар[[#This Row],[Терминал]])</f>
        <v>0</v>
      </c>
      <c r="N313" s="30" cm="1">
        <f t="array" ref="N313">IFERROR(LOOKUP(2,1/((Товар!$D$4:$D$1110=Тўловлар[[#This Row],[Клиент]])*(Товар!$E$4:$E$1110&lt;=Тўловлар[[#This Row],[Дата]])),Товар!$L$4:$L$1110),Кўрсаткичлар!$B$4)</f>
        <v>0</v>
      </c>
      <c r="O313" s="30">
        <f>Тўловлар[[#This Row],[Поддон]]*Тўловлар[[#This Row],[Поддон нархи]]</f>
        <v>0</v>
      </c>
      <c r="P313" s="30">
        <f>Тўловлар[[#This Row],[Жами сумма]]-Тўловлар[[#This Row],[Поддон пули]]</f>
        <v>0</v>
      </c>
      <c r="Q3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3" s="9" t="str">
        <f>IFERROR(INDEX(Мижозлар[Агент],MATCH($C313,Мижозлар[Расмий ном],0)),"")</f>
        <v/>
      </c>
    </row>
    <row r="314" spans="6:19" x14ac:dyDescent="0.2">
      <c r="F314" s="198"/>
      <c r="G314" s="9">
        <f>Тўловлар[[#This Row],[Поддон]]*$G$3</f>
        <v>0</v>
      </c>
      <c r="K314" s="9">
        <f>SUM(Тўловлар[[#This Row],[ПР-Сумма]]+Тўловлар[[#This Row],[Накд]]+Тўловлар[[#This Row],[Клик]]+Тўловлар[[#This Row],[Терминал]])</f>
        <v>0</v>
      </c>
      <c r="N314" s="30" cm="1">
        <f t="array" ref="N314">IFERROR(LOOKUP(2,1/((Товар!$D$4:$D$1110=Тўловлар[[#This Row],[Клиент]])*(Товар!$E$4:$E$1110&lt;=Тўловлар[[#This Row],[Дата]])),Товар!$L$4:$L$1110),Кўрсаткичлар!$B$4)</f>
        <v>0</v>
      </c>
      <c r="O314" s="30">
        <f>Тўловлар[[#This Row],[Поддон]]*Тўловлар[[#This Row],[Поддон нархи]]</f>
        <v>0</v>
      </c>
      <c r="P314" s="30">
        <f>Тўловлар[[#This Row],[Жами сумма]]-Тўловлар[[#This Row],[Поддон пули]]</f>
        <v>0</v>
      </c>
      <c r="Q3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4" s="9" t="str">
        <f>IFERROR(INDEX(Мижозлар[Агент],MATCH($C314,Мижозлар[Расмий ном],0)),"")</f>
        <v/>
      </c>
    </row>
    <row r="315" spans="6:19" x14ac:dyDescent="0.2">
      <c r="F315" s="198"/>
      <c r="G315" s="9">
        <f>Тўловлар[[#This Row],[Поддон]]*$G$3</f>
        <v>0</v>
      </c>
      <c r="K315" s="9">
        <f>SUM(Тўловлар[[#This Row],[ПР-Сумма]]+Тўловлар[[#This Row],[Накд]]+Тўловлар[[#This Row],[Клик]]+Тўловлар[[#This Row],[Терминал]])</f>
        <v>0</v>
      </c>
      <c r="N315" s="30" cm="1">
        <f t="array" ref="N315">IFERROR(LOOKUP(2,1/((Товар!$D$4:$D$1110=Тўловлар[[#This Row],[Клиент]])*(Товар!$E$4:$E$1110&lt;=Тўловлар[[#This Row],[Дата]])),Товар!$L$4:$L$1110),Кўрсаткичлар!$B$4)</f>
        <v>0</v>
      </c>
      <c r="O315" s="30">
        <f>Тўловлар[[#This Row],[Поддон]]*Тўловлар[[#This Row],[Поддон нархи]]</f>
        <v>0</v>
      </c>
      <c r="P315" s="30">
        <f>Тўловлар[[#This Row],[Жами сумма]]-Тўловлар[[#This Row],[Поддон пули]]</f>
        <v>0</v>
      </c>
      <c r="Q3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5" s="9" t="str">
        <f>IFERROR(INDEX(Мижозлар[Агент],MATCH($C315,Мижозлар[Расмий ном],0)),"")</f>
        <v/>
      </c>
    </row>
    <row r="316" spans="6:19" x14ac:dyDescent="0.2">
      <c r="F316" s="198"/>
      <c r="G316" s="9">
        <f>Тўловлар[[#This Row],[Поддон]]*$G$3</f>
        <v>0</v>
      </c>
      <c r="K316" s="9">
        <f>SUM(Тўловлар[[#This Row],[ПР-Сумма]]+Тўловлар[[#This Row],[Накд]]+Тўловлар[[#This Row],[Клик]]+Тўловлар[[#This Row],[Терминал]])</f>
        <v>0</v>
      </c>
      <c r="N316" s="30" cm="1">
        <f t="array" ref="N316">IFERROR(LOOKUP(2,1/((Товар!$D$4:$D$1110=Тўловлар[[#This Row],[Клиент]])*(Товар!$E$4:$E$1110&lt;=Тўловлар[[#This Row],[Дата]])),Товар!$L$4:$L$1110),Кўрсаткичлар!$B$4)</f>
        <v>0</v>
      </c>
      <c r="O316" s="30">
        <f>Тўловлар[[#This Row],[Поддон]]*Тўловлар[[#This Row],[Поддон нархи]]</f>
        <v>0</v>
      </c>
      <c r="P316" s="30">
        <f>Тўловлар[[#This Row],[Жами сумма]]-Тўловлар[[#This Row],[Поддон пули]]</f>
        <v>0</v>
      </c>
      <c r="Q3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6" s="9" t="str">
        <f>IFERROR(INDEX(Мижозлар[Агент],MATCH($C316,Мижозлар[Расмий ном],0)),"")</f>
        <v/>
      </c>
    </row>
    <row r="317" spans="6:19" x14ac:dyDescent="0.2">
      <c r="F317" s="198"/>
      <c r="G317" s="9">
        <f>Тўловлар[[#This Row],[Поддон]]*$G$3</f>
        <v>0</v>
      </c>
      <c r="K317" s="9">
        <f>SUM(Тўловлар[[#This Row],[ПР-Сумма]]+Тўловлар[[#This Row],[Накд]]+Тўловлар[[#This Row],[Клик]]+Тўловлар[[#This Row],[Терминал]])</f>
        <v>0</v>
      </c>
      <c r="N317" s="30" cm="1">
        <f t="array" ref="N317">IFERROR(LOOKUP(2,1/((Товар!$D$4:$D$1110=Тўловлар[[#This Row],[Клиент]])*(Товар!$E$4:$E$1110&lt;=Тўловлар[[#This Row],[Дата]])),Товар!$L$4:$L$1110),Кўрсаткичлар!$B$4)</f>
        <v>0</v>
      </c>
      <c r="O317" s="30">
        <f>Тўловлар[[#This Row],[Поддон]]*Тўловлар[[#This Row],[Поддон нархи]]</f>
        <v>0</v>
      </c>
      <c r="P317" s="30">
        <f>Тўловлар[[#This Row],[Жами сумма]]-Тўловлар[[#This Row],[Поддон пули]]</f>
        <v>0</v>
      </c>
      <c r="Q3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7" s="9" t="str">
        <f>IFERROR(INDEX(Мижозлар[Агент],MATCH($C317,Мижозлар[Расмий ном],0)),"")</f>
        <v/>
      </c>
    </row>
    <row r="318" spans="6:19" x14ac:dyDescent="0.2">
      <c r="F318" s="198"/>
      <c r="G318" s="9">
        <f>Тўловлар[[#This Row],[Поддон]]*$G$3</f>
        <v>0</v>
      </c>
      <c r="K318" s="9">
        <f>SUM(Тўловлар[[#This Row],[ПР-Сумма]]+Тўловлар[[#This Row],[Накд]]+Тўловлар[[#This Row],[Клик]]+Тўловлар[[#This Row],[Терминал]])</f>
        <v>0</v>
      </c>
      <c r="N318" s="30" cm="1">
        <f t="array" ref="N318">IFERROR(LOOKUP(2,1/((Товар!$D$4:$D$1110=Тўловлар[[#This Row],[Клиент]])*(Товар!$E$4:$E$1110&lt;=Тўловлар[[#This Row],[Дата]])),Товар!$L$4:$L$1110),Кўрсаткичлар!$B$4)</f>
        <v>0</v>
      </c>
      <c r="O318" s="30">
        <f>Тўловлар[[#This Row],[Поддон]]*Тўловлар[[#This Row],[Поддон нархи]]</f>
        <v>0</v>
      </c>
      <c r="P318" s="30">
        <f>Тўловлар[[#This Row],[Жами сумма]]-Тўловлар[[#This Row],[Поддон пули]]</f>
        <v>0</v>
      </c>
      <c r="Q3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8" s="9" t="str">
        <f>IFERROR(INDEX(Мижозлар[Агент],MATCH($C318,Мижозлар[Расмий ном],0)),"")</f>
        <v/>
      </c>
    </row>
    <row r="319" spans="6:19" x14ac:dyDescent="0.2">
      <c r="F319" s="198"/>
      <c r="G319" s="9">
        <f>Тўловлар[[#This Row],[Поддон]]*$G$3</f>
        <v>0</v>
      </c>
      <c r="K319" s="9">
        <f>SUM(Тўловлар[[#This Row],[ПР-Сумма]]+Тўловлар[[#This Row],[Накд]]+Тўловлар[[#This Row],[Клик]]+Тўловлар[[#This Row],[Терминал]])</f>
        <v>0</v>
      </c>
      <c r="N319" s="30" cm="1">
        <f t="array" ref="N319">IFERROR(LOOKUP(2,1/((Товар!$D$4:$D$1110=Тўловлар[[#This Row],[Клиент]])*(Товар!$E$4:$E$1110&lt;=Тўловлар[[#This Row],[Дата]])),Товар!$L$4:$L$1110),Кўрсаткичлар!$B$4)</f>
        <v>0</v>
      </c>
      <c r="O319" s="30">
        <f>Тўловлар[[#This Row],[Поддон]]*Тўловлар[[#This Row],[Поддон нархи]]</f>
        <v>0</v>
      </c>
      <c r="P319" s="30">
        <f>Тўловлар[[#This Row],[Жами сумма]]-Тўловлар[[#This Row],[Поддон пули]]</f>
        <v>0</v>
      </c>
      <c r="Q3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19" s="9" t="str">
        <f>IFERROR(INDEX(Мижозлар[Агент],MATCH($C319,Мижозлар[Расмий ном],0)),"")</f>
        <v/>
      </c>
    </row>
    <row r="320" spans="6:19" x14ac:dyDescent="0.2">
      <c r="F320" s="198"/>
      <c r="G320" s="9">
        <f>Тўловлар[[#This Row],[Поддон]]*$G$3</f>
        <v>0</v>
      </c>
      <c r="K320" s="9">
        <f>SUM(Тўловлар[[#This Row],[ПР-Сумма]]+Тўловлар[[#This Row],[Накд]]+Тўловлар[[#This Row],[Клик]]+Тўловлар[[#This Row],[Терминал]])</f>
        <v>0</v>
      </c>
      <c r="N320" s="30" cm="1">
        <f t="array" ref="N320">IFERROR(LOOKUP(2,1/((Товар!$D$4:$D$1110=Тўловлар[[#This Row],[Клиент]])*(Товар!$E$4:$E$1110&lt;=Тўловлар[[#This Row],[Дата]])),Товар!$L$4:$L$1110),Кўрсаткичлар!$B$4)</f>
        <v>0</v>
      </c>
      <c r="O320" s="30">
        <f>Тўловлар[[#This Row],[Поддон]]*Тўловлар[[#This Row],[Поддон нархи]]</f>
        <v>0</v>
      </c>
      <c r="P320" s="30">
        <f>Тўловлар[[#This Row],[Жами сумма]]-Тўловлар[[#This Row],[Поддон пули]]</f>
        <v>0</v>
      </c>
      <c r="Q3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0" s="9" t="str">
        <f>IFERROR(INDEX(Мижозлар[Агент],MATCH($C320,Мижозлар[Расмий ном],0)),"")</f>
        <v/>
      </c>
    </row>
    <row r="321" spans="5:19" x14ac:dyDescent="0.2">
      <c r="F321" s="198"/>
      <c r="G321" s="9">
        <f>Тўловлар[[#This Row],[Поддон]]*$G$3</f>
        <v>0</v>
      </c>
      <c r="K321" s="9">
        <f>SUM(Тўловлар[[#This Row],[ПР-Сумма]]+Тўловлар[[#This Row],[Накд]]+Тўловлар[[#This Row],[Клик]]+Тўловлар[[#This Row],[Терминал]])</f>
        <v>0</v>
      </c>
      <c r="N321" s="30" cm="1">
        <f t="array" ref="N321">IFERROR(LOOKUP(2,1/((Товар!$D$4:$D$1110=Тўловлар[[#This Row],[Клиент]])*(Товар!$E$4:$E$1110&lt;=Тўловлар[[#This Row],[Дата]])),Товар!$L$4:$L$1110),Кўрсаткичлар!$B$4)</f>
        <v>0</v>
      </c>
      <c r="O321" s="30">
        <f>Тўловлар[[#This Row],[Поддон]]*Тўловлар[[#This Row],[Поддон нархи]]</f>
        <v>0</v>
      </c>
      <c r="P321" s="30">
        <f>Тўловлар[[#This Row],[Жами сумма]]-Тўловлар[[#This Row],[Поддон пули]]</f>
        <v>0</v>
      </c>
      <c r="Q3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1" s="9" t="str">
        <f>IFERROR(INDEX(Мижозлар[Агент],MATCH($C321,Мижозлар[Расмий ном],0)),"")</f>
        <v/>
      </c>
    </row>
    <row r="322" spans="5:19" x14ac:dyDescent="0.2">
      <c r="F322" s="198"/>
      <c r="G322" s="9">
        <f>Тўловлар[[#This Row],[Поддон]]*$G$3</f>
        <v>0</v>
      </c>
      <c r="K322" s="9">
        <f>SUM(Тўловлар[[#This Row],[ПР-Сумма]]+Тўловлар[[#This Row],[Накд]]+Тўловлар[[#This Row],[Клик]]+Тўловлар[[#This Row],[Терминал]])</f>
        <v>0</v>
      </c>
      <c r="N322" s="30" cm="1">
        <f t="array" ref="N322">IFERROR(LOOKUP(2,1/((Товар!$D$4:$D$1110=Тўловлар[[#This Row],[Клиент]])*(Товар!$E$4:$E$1110&lt;=Тўловлар[[#This Row],[Дата]])),Товар!$L$4:$L$1110),Кўрсаткичлар!$B$4)</f>
        <v>0</v>
      </c>
      <c r="O322" s="30">
        <f>Тўловлар[[#This Row],[Поддон]]*Тўловлар[[#This Row],[Поддон нархи]]</f>
        <v>0</v>
      </c>
      <c r="P322" s="30">
        <f>Тўловлар[[#This Row],[Жами сумма]]-Тўловлар[[#This Row],[Поддон пули]]</f>
        <v>0</v>
      </c>
      <c r="Q3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2" s="9" t="str">
        <f>IFERROR(INDEX(Мижозлар[Агент],MATCH($C322,Мижозлар[Расмий ном],0)),"")</f>
        <v/>
      </c>
    </row>
    <row r="323" spans="5:19" x14ac:dyDescent="0.2">
      <c r="F323" s="198"/>
      <c r="G323" s="9">
        <f>Тўловлар[[#This Row],[Поддон]]*$G$3</f>
        <v>0</v>
      </c>
      <c r="K323" s="9">
        <f>SUM(Тўловлар[[#This Row],[ПР-Сумма]]+Тўловлар[[#This Row],[Накд]]+Тўловлар[[#This Row],[Клик]]+Тўловлар[[#This Row],[Терминал]])</f>
        <v>0</v>
      </c>
      <c r="N323" s="30" cm="1">
        <f t="array" ref="N323">IFERROR(LOOKUP(2,1/((Товар!$D$4:$D$1110=Тўловлар[[#This Row],[Клиент]])*(Товар!$E$4:$E$1110&lt;=Тўловлар[[#This Row],[Дата]])),Товар!$L$4:$L$1110),Кўрсаткичлар!$B$4)</f>
        <v>0</v>
      </c>
      <c r="O323" s="30">
        <f>Тўловлар[[#This Row],[Поддон]]*Тўловлар[[#This Row],[Поддон нархи]]</f>
        <v>0</v>
      </c>
      <c r="P323" s="30">
        <f>Тўловлар[[#This Row],[Жами сумма]]-Тўловлар[[#This Row],[Поддон пули]]</f>
        <v>0</v>
      </c>
      <c r="Q3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3" s="9" t="str">
        <f>IFERROR(INDEX(Мижозлар[Агент],MATCH($C323,Мижозлар[Расмий ном],0)),"")</f>
        <v/>
      </c>
    </row>
    <row r="324" spans="5:19" x14ac:dyDescent="0.2">
      <c r="F324" s="198"/>
      <c r="G324" s="9">
        <f>Тўловлар[[#This Row],[Поддон]]*$G$3</f>
        <v>0</v>
      </c>
      <c r="K324" s="9">
        <f>SUM(Тўловлар[[#This Row],[ПР-Сумма]]+Тўловлар[[#This Row],[Накд]]+Тўловлар[[#This Row],[Клик]]+Тўловлар[[#This Row],[Терминал]])</f>
        <v>0</v>
      </c>
      <c r="N324" s="30" cm="1">
        <f t="array" ref="N324">IFERROR(LOOKUP(2,1/((Товар!$D$4:$D$1110=Тўловлар[[#This Row],[Клиент]])*(Товар!$E$4:$E$1110&lt;=Тўловлар[[#This Row],[Дата]])),Товар!$L$4:$L$1110),Кўрсаткичлар!$B$4)</f>
        <v>0</v>
      </c>
      <c r="O324" s="30">
        <f>Тўловлар[[#This Row],[Поддон]]*Тўловлар[[#This Row],[Поддон нархи]]</f>
        <v>0</v>
      </c>
      <c r="P324" s="30">
        <f>Тўловлар[[#This Row],[Жами сумма]]-Тўловлар[[#This Row],[Поддон пули]]</f>
        <v>0</v>
      </c>
      <c r="Q3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4" s="9" t="str">
        <f>IFERROR(INDEX(Мижозлар[Агент],MATCH($C324,Мижозлар[Расмий ном],0)),"")</f>
        <v/>
      </c>
    </row>
    <row r="325" spans="5:19" x14ac:dyDescent="0.2">
      <c r="F325" s="198"/>
      <c r="G325" s="9">
        <f>Тўловлар[[#This Row],[Поддон]]*$G$3</f>
        <v>0</v>
      </c>
      <c r="K325" s="9">
        <f>SUM(Тўловлар[[#This Row],[ПР-Сумма]]+Тўловлар[[#This Row],[Накд]]+Тўловлар[[#This Row],[Клик]]+Тўловлар[[#This Row],[Терминал]])</f>
        <v>0</v>
      </c>
      <c r="N325" s="30" cm="1">
        <f t="array" ref="N325">IFERROR(LOOKUP(2,1/((Товар!$D$4:$D$1110=Тўловлар[[#This Row],[Клиент]])*(Товар!$E$4:$E$1110&lt;=Тўловлар[[#This Row],[Дата]])),Товар!$L$4:$L$1110),Кўрсаткичлар!$B$4)</f>
        <v>0</v>
      </c>
      <c r="O325" s="30">
        <f>Тўловлар[[#This Row],[Поддон]]*Тўловлар[[#This Row],[Поддон нархи]]</f>
        <v>0</v>
      </c>
      <c r="P325" s="30">
        <f>Тўловлар[[#This Row],[Жами сумма]]-Тўловлар[[#This Row],[Поддон пули]]</f>
        <v>0</v>
      </c>
      <c r="Q3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5" s="9" t="str">
        <f>IFERROR(INDEX(Мижозлар[Агент],MATCH($C325,Мижозлар[Расмий ном],0)),"")</f>
        <v/>
      </c>
    </row>
    <row r="326" spans="5:19" x14ac:dyDescent="0.2">
      <c r="F326" s="198"/>
      <c r="G326" s="9">
        <f>Тўловлар[[#This Row],[Поддон]]*$G$3</f>
        <v>0</v>
      </c>
      <c r="K326" s="9">
        <f>SUM(Тўловлар[[#This Row],[ПР-Сумма]]+Тўловлар[[#This Row],[Накд]]+Тўловлар[[#This Row],[Клик]]+Тўловлар[[#This Row],[Терминал]])</f>
        <v>0</v>
      </c>
      <c r="N326" s="30" cm="1">
        <f t="array" ref="N326">IFERROR(LOOKUP(2,1/((Товар!$D$4:$D$1110=Тўловлар[[#This Row],[Клиент]])*(Товар!$E$4:$E$1110&lt;=Тўловлар[[#This Row],[Дата]])),Товар!$L$4:$L$1110),Кўрсаткичлар!$B$4)</f>
        <v>0</v>
      </c>
      <c r="O326" s="30">
        <f>Тўловлар[[#This Row],[Поддон]]*Тўловлар[[#This Row],[Поддон нархи]]</f>
        <v>0</v>
      </c>
      <c r="P326" s="30">
        <f>Тўловлар[[#This Row],[Жами сумма]]-Тўловлар[[#This Row],[Поддон пули]]</f>
        <v>0</v>
      </c>
      <c r="Q3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6" s="9" t="str">
        <f>IFERROR(INDEX(Мижозлар[Агент],MATCH($C326,Мижозлар[Расмий ном],0)),"")</f>
        <v/>
      </c>
    </row>
    <row r="327" spans="5:19" x14ac:dyDescent="0.2">
      <c r="E327" s="9"/>
      <c r="F327" s="198"/>
      <c r="G327" s="9">
        <f>Тўловлар[[#This Row],[Поддон]]*$G$3</f>
        <v>0</v>
      </c>
      <c r="K327" s="9">
        <f>SUM(Тўловлар[[#This Row],[ПР-Сумма]]+Тўловлар[[#This Row],[Накд]]+Тўловлар[[#This Row],[Клик]]+Тўловлар[[#This Row],[Терминал]])</f>
        <v>0</v>
      </c>
      <c r="N327" s="30" cm="1">
        <f t="array" ref="N327">IFERROR(LOOKUP(2,1/((Товар!$D$4:$D$1110=Тўловлар[[#This Row],[Клиент]])*(Товар!$E$4:$E$1110&lt;=Тўловлар[[#This Row],[Дата]])),Товар!$L$4:$L$1110),Кўрсаткичлар!$B$4)</f>
        <v>0</v>
      </c>
      <c r="O327" s="30">
        <f>Тўловлар[[#This Row],[Поддон]]*Тўловлар[[#This Row],[Поддон нархи]]</f>
        <v>0</v>
      </c>
      <c r="P327" s="30">
        <f>Тўловлар[[#This Row],[Жами сумма]]-Тўловлар[[#This Row],[Поддон пули]]</f>
        <v>0</v>
      </c>
      <c r="Q3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7" s="9" t="str">
        <f>IFERROR(INDEX(Мижозлар[Агент],MATCH($C327,Мижозлар[Расмий ном],0)),"")</f>
        <v/>
      </c>
    </row>
    <row r="328" spans="5:19" x14ac:dyDescent="0.2">
      <c r="F328" s="198"/>
      <c r="G328" s="9">
        <f>Тўловлар[[#This Row],[Поддон]]*$G$3</f>
        <v>0</v>
      </c>
      <c r="K328" s="9">
        <f>SUM(Тўловлар[[#This Row],[ПР-Сумма]]+Тўловлар[[#This Row],[Накд]]+Тўловлар[[#This Row],[Клик]]+Тўловлар[[#This Row],[Терминал]])</f>
        <v>0</v>
      </c>
      <c r="N328" s="30" cm="1">
        <f t="array" ref="N328">IFERROR(LOOKUP(2,1/((Товар!$D$4:$D$1110=Тўловлар[[#This Row],[Клиент]])*(Товар!$E$4:$E$1110&lt;=Тўловлар[[#This Row],[Дата]])),Товар!$L$4:$L$1110),Кўрсаткичлар!$B$4)</f>
        <v>0</v>
      </c>
      <c r="O328" s="30">
        <f>Тўловлар[[#This Row],[Поддон]]*Тўловлар[[#This Row],[Поддон нархи]]</f>
        <v>0</v>
      </c>
      <c r="P328" s="30">
        <f>Тўловлар[[#This Row],[Жами сумма]]-Тўловлар[[#This Row],[Поддон пули]]</f>
        <v>0</v>
      </c>
      <c r="Q3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8" s="9" t="str">
        <f>IFERROR(INDEX(Мижозлар[Агент],MATCH($C328,Мижозлар[Расмий ном],0)),"")</f>
        <v/>
      </c>
    </row>
    <row r="329" spans="5:19" x14ac:dyDescent="0.2">
      <c r="F329" s="198"/>
      <c r="G329" s="9">
        <f>Тўловлар[[#This Row],[Поддон]]*$G$3</f>
        <v>0</v>
      </c>
      <c r="K329" s="9">
        <f>SUM(Тўловлар[[#This Row],[ПР-Сумма]]+Тўловлар[[#This Row],[Накд]]+Тўловлар[[#This Row],[Клик]]+Тўловлар[[#This Row],[Терминал]])</f>
        <v>0</v>
      </c>
      <c r="N329" s="30" cm="1">
        <f t="array" ref="N329">IFERROR(LOOKUP(2,1/((Товар!$D$4:$D$1110=Тўловлар[[#This Row],[Клиент]])*(Товар!$E$4:$E$1110&lt;=Тўловлар[[#This Row],[Дата]])),Товар!$L$4:$L$1110),Кўрсаткичлар!$B$4)</f>
        <v>0</v>
      </c>
      <c r="O329" s="30">
        <f>Тўловлар[[#This Row],[Поддон]]*Тўловлар[[#This Row],[Поддон нархи]]</f>
        <v>0</v>
      </c>
      <c r="P329" s="30">
        <f>Тўловлар[[#This Row],[Жами сумма]]-Тўловлар[[#This Row],[Поддон пули]]</f>
        <v>0</v>
      </c>
      <c r="Q3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29" s="9" t="str">
        <f>IFERROR(INDEX(Мижозлар[Агент],MATCH($C329,Мижозлар[Расмий ном],0)),"")</f>
        <v/>
      </c>
    </row>
    <row r="330" spans="5:19" x14ac:dyDescent="0.2">
      <c r="F330" s="198"/>
      <c r="G330" s="9">
        <f>Тўловлар[[#This Row],[Поддон]]*$G$3</f>
        <v>0</v>
      </c>
      <c r="K330" s="9">
        <f>SUM(Тўловлар[[#This Row],[ПР-Сумма]]+Тўловлар[[#This Row],[Накд]]+Тўловлар[[#This Row],[Клик]]+Тўловлар[[#This Row],[Терминал]])</f>
        <v>0</v>
      </c>
      <c r="N330" s="30" cm="1">
        <f t="array" ref="N330">IFERROR(LOOKUP(2,1/((Товар!$D$4:$D$1110=Тўловлар[[#This Row],[Клиент]])*(Товар!$E$4:$E$1110&lt;=Тўловлар[[#This Row],[Дата]])),Товар!$L$4:$L$1110),Кўрсаткичлар!$B$4)</f>
        <v>0</v>
      </c>
      <c r="O330" s="30">
        <f>Тўловлар[[#This Row],[Поддон]]*Тўловлар[[#This Row],[Поддон нархи]]</f>
        <v>0</v>
      </c>
      <c r="P330" s="30">
        <f>Тўловлар[[#This Row],[Жами сумма]]-Тўловлар[[#This Row],[Поддон пули]]</f>
        <v>0</v>
      </c>
      <c r="Q3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0" s="9" t="str">
        <f>IFERROR(INDEX(Мижозлар[Агент],MATCH($C330,Мижозлар[Расмий ном],0)),"")</f>
        <v/>
      </c>
    </row>
    <row r="331" spans="5:19" x14ac:dyDescent="0.2">
      <c r="F331" s="198"/>
      <c r="G331" s="9">
        <f>Тўловлар[[#This Row],[Поддон]]*$G$3</f>
        <v>0</v>
      </c>
      <c r="K331" s="9">
        <f>SUM(Тўловлар[[#This Row],[ПР-Сумма]]+Тўловлар[[#This Row],[Накд]]+Тўловлар[[#This Row],[Клик]]+Тўловлар[[#This Row],[Терминал]])</f>
        <v>0</v>
      </c>
      <c r="N331" s="30" cm="1">
        <f t="array" ref="N331">IFERROR(LOOKUP(2,1/((Товар!$D$4:$D$1110=Тўловлар[[#This Row],[Клиент]])*(Товар!$E$4:$E$1110&lt;=Тўловлар[[#This Row],[Дата]])),Товар!$L$4:$L$1110),Кўрсаткичлар!$B$4)</f>
        <v>0</v>
      </c>
      <c r="O331" s="30">
        <f>Тўловлар[[#This Row],[Поддон]]*Тўловлар[[#This Row],[Поддон нархи]]</f>
        <v>0</v>
      </c>
      <c r="P331" s="30">
        <f>Тўловлар[[#This Row],[Жами сумма]]-Тўловлар[[#This Row],[Поддон пули]]</f>
        <v>0</v>
      </c>
      <c r="Q3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1" s="9" t="str">
        <f>IFERROR(INDEX(Мижозлар[Агент],MATCH($C331,Мижозлар[Расмий ном],0)),"")</f>
        <v/>
      </c>
    </row>
    <row r="332" spans="5:19" x14ac:dyDescent="0.2">
      <c r="F332" s="198"/>
      <c r="G332" s="9">
        <f>Тўловлар[[#This Row],[Поддон]]*$G$3</f>
        <v>0</v>
      </c>
      <c r="K332" s="9">
        <f>SUM(Тўловлар[[#This Row],[ПР-Сумма]]+Тўловлар[[#This Row],[Накд]]+Тўловлар[[#This Row],[Клик]]+Тўловлар[[#This Row],[Терминал]])</f>
        <v>0</v>
      </c>
      <c r="N332" s="30" cm="1">
        <f t="array" ref="N332">IFERROR(LOOKUP(2,1/((Товар!$D$4:$D$1110=Тўловлар[[#This Row],[Клиент]])*(Товар!$E$4:$E$1110&lt;=Тўловлар[[#This Row],[Дата]])),Товар!$L$4:$L$1110),Кўрсаткичлар!$B$4)</f>
        <v>0</v>
      </c>
      <c r="O332" s="30">
        <f>Тўловлар[[#This Row],[Поддон]]*Тўловлар[[#This Row],[Поддон нархи]]</f>
        <v>0</v>
      </c>
      <c r="P332" s="30">
        <f>Тўловлар[[#This Row],[Жами сумма]]-Тўловлар[[#This Row],[Поддон пули]]</f>
        <v>0</v>
      </c>
      <c r="Q3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2" s="9" t="str">
        <f>IFERROR(INDEX(Мижозлар[Агент],MATCH($C332,Мижозлар[Расмий ном],0)),"")</f>
        <v/>
      </c>
    </row>
    <row r="333" spans="5:19" x14ac:dyDescent="0.2">
      <c r="F333" s="198"/>
      <c r="G333" s="9">
        <f>Тўловлар[[#This Row],[Поддон]]*$G$3</f>
        <v>0</v>
      </c>
      <c r="K333" s="9">
        <f>SUM(Тўловлар[[#This Row],[ПР-Сумма]]+Тўловлар[[#This Row],[Накд]]+Тўловлар[[#This Row],[Клик]]+Тўловлар[[#This Row],[Терминал]])</f>
        <v>0</v>
      </c>
      <c r="N333" s="30" cm="1">
        <f t="array" ref="N333">IFERROR(LOOKUP(2,1/((Товар!$D$4:$D$1110=Тўловлар[[#This Row],[Клиент]])*(Товар!$E$4:$E$1110&lt;=Тўловлар[[#This Row],[Дата]])),Товар!$L$4:$L$1110),Кўрсаткичлар!$B$4)</f>
        <v>0</v>
      </c>
      <c r="O333" s="30">
        <f>Тўловлар[[#This Row],[Поддон]]*Тўловлар[[#This Row],[Поддон нархи]]</f>
        <v>0</v>
      </c>
      <c r="P333" s="30">
        <f>Тўловлар[[#This Row],[Жами сумма]]-Тўловлар[[#This Row],[Поддон пули]]</f>
        <v>0</v>
      </c>
      <c r="Q3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3" s="9" t="str">
        <f>IFERROR(INDEX(Мижозлар[Агент],MATCH($C333,Мижозлар[Расмий ном],0)),"")</f>
        <v/>
      </c>
    </row>
    <row r="334" spans="5:19" x14ac:dyDescent="0.2">
      <c r="F334" s="198"/>
      <c r="G334" s="9">
        <f>Тўловлар[[#This Row],[Поддон]]*$G$3</f>
        <v>0</v>
      </c>
      <c r="K334" s="9">
        <f>SUM(Тўловлар[[#This Row],[ПР-Сумма]]+Тўловлар[[#This Row],[Накд]]+Тўловлар[[#This Row],[Клик]]+Тўловлар[[#This Row],[Терминал]])</f>
        <v>0</v>
      </c>
      <c r="N334" s="30" cm="1">
        <f t="array" ref="N334">IFERROR(LOOKUP(2,1/((Товар!$D$4:$D$1110=Тўловлар[[#This Row],[Клиент]])*(Товар!$E$4:$E$1110&lt;=Тўловлар[[#This Row],[Дата]])),Товар!$L$4:$L$1110),Кўрсаткичлар!$B$4)</f>
        <v>0</v>
      </c>
      <c r="O334" s="30">
        <f>Тўловлар[[#This Row],[Поддон]]*Тўловлар[[#This Row],[Поддон нархи]]</f>
        <v>0</v>
      </c>
      <c r="P334" s="30">
        <f>Тўловлар[[#This Row],[Жами сумма]]-Тўловлар[[#This Row],[Поддон пули]]</f>
        <v>0</v>
      </c>
      <c r="Q3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4" s="9" t="str">
        <f>IFERROR(INDEX(Мижозлар[Агент],MATCH($C334,Мижозлар[Расмий ном],0)),"")</f>
        <v/>
      </c>
    </row>
    <row r="335" spans="5:19" x14ac:dyDescent="0.2">
      <c r="F335" s="198"/>
      <c r="G335" s="9">
        <f>Тўловлар[[#This Row],[Поддон]]*$G$3</f>
        <v>0</v>
      </c>
      <c r="K335" s="9">
        <f>SUM(Тўловлар[[#This Row],[ПР-Сумма]]+Тўловлар[[#This Row],[Накд]]+Тўловлар[[#This Row],[Клик]]+Тўловлар[[#This Row],[Терминал]])</f>
        <v>0</v>
      </c>
      <c r="N335" s="30" cm="1">
        <f t="array" ref="N335">IFERROR(LOOKUP(2,1/((Товар!$D$4:$D$1110=Тўловлар[[#This Row],[Клиент]])*(Товар!$E$4:$E$1110&lt;=Тўловлар[[#This Row],[Дата]])),Товар!$L$4:$L$1110),Кўрсаткичлар!$B$4)</f>
        <v>0</v>
      </c>
      <c r="O335" s="30">
        <f>Тўловлар[[#This Row],[Поддон]]*Тўловлар[[#This Row],[Поддон нархи]]</f>
        <v>0</v>
      </c>
      <c r="P335" s="30">
        <f>Тўловлар[[#This Row],[Жами сумма]]-Тўловлар[[#This Row],[Поддон пули]]</f>
        <v>0</v>
      </c>
      <c r="Q3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5" s="9" t="str">
        <f>IFERROR(INDEX(Мижозлар[Агент],MATCH($C335,Мижозлар[Расмий ном],0)),"")</f>
        <v/>
      </c>
    </row>
    <row r="336" spans="5:19" x14ac:dyDescent="0.2">
      <c r="F336" s="198"/>
      <c r="G336" s="9">
        <f>Тўловлар[[#This Row],[Поддон]]*$G$3</f>
        <v>0</v>
      </c>
      <c r="K336" s="9">
        <f>SUM(Тўловлар[[#This Row],[ПР-Сумма]]+Тўловлар[[#This Row],[Накд]]+Тўловлар[[#This Row],[Клик]]+Тўловлар[[#This Row],[Терминал]])</f>
        <v>0</v>
      </c>
      <c r="N336" s="30" cm="1">
        <f t="array" ref="N336">IFERROR(LOOKUP(2,1/((Товар!$D$4:$D$1110=Тўловлар[[#This Row],[Клиент]])*(Товар!$E$4:$E$1110&lt;=Тўловлар[[#This Row],[Дата]])),Товар!$L$4:$L$1110),Кўрсаткичлар!$B$4)</f>
        <v>0</v>
      </c>
      <c r="O336" s="30">
        <f>Тўловлар[[#This Row],[Поддон]]*Тўловлар[[#This Row],[Поддон нархи]]</f>
        <v>0</v>
      </c>
      <c r="P336" s="30">
        <f>Тўловлар[[#This Row],[Жами сумма]]-Тўловлар[[#This Row],[Поддон пули]]</f>
        <v>0</v>
      </c>
      <c r="Q3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6" s="9" t="str">
        <f>IFERROR(INDEX(Мижозлар[Агент],MATCH($C336,Мижозлар[Расмий ном],0)),"")</f>
        <v/>
      </c>
    </row>
    <row r="337" spans="4:19" x14ac:dyDescent="0.2">
      <c r="D337" s="14"/>
      <c r="F337" s="198"/>
      <c r="G337" s="9">
        <f>Тўловлар[[#This Row],[Поддон]]*$G$3</f>
        <v>0</v>
      </c>
      <c r="K337" s="9">
        <f>SUM(Тўловлар[[#This Row],[ПР-Сумма]]+Тўловлар[[#This Row],[Накд]]+Тўловлар[[#This Row],[Клик]]+Тўловлар[[#This Row],[Терминал]])</f>
        <v>0</v>
      </c>
      <c r="N337" s="30" cm="1">
        <f t="array" ref="N337">IFERROR(LOOKUP(2,1/((Товар!$D$4:$D$1110=Тўловлар[[#This Row],[Клиент]])*(Товар!$E$4:$E$1110&lt;=Тўловлар[[#This Row],[Дата]])),Товар!$L$4:$L$1110),Кўрсаткичлар!$B$4)</f>
        <v>0</v>
      </c>
      <c r="O337" s="30">
        <f>Тўловлар[[#This Row],[Поддон]]*Тўловлар[[#This Row],[Поддон нархи]]</f>
        <v>0</v>
      </c>
      <c r="P337" s="30">
        <f>Тўловлар[[#This Row],[Жами сумма]]-Тўловлар[[#This Row],[Поддон пули]]</f>
        <v>0</v>
      </c>
      <c r="Q3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7" s="9" t="str">
        <f>IFERROR(INDEX(Мижозлар[Агент],MATCH($C337,Мижозлар[Расмий ном],0)),"")</f>
        <v/>
      </c>
    </row>
    <row r="338" spans="4:19" x14ac:dyDescent="0.2">
      <c r="F338" s="198"/>
      <c r="G338" s="9">
        <f>Тўловлар[[#This Row],[Поддон]]*$G$3</f>
        <v>0</v>
      </c>
      <c r="K338" s="9">
        <f>SUM(Тўловлар[[#This Row],[ПР-Сумма]]+Тўловлар[[#This Row],[Накд]]+Тўловлар[[#This Row],[Клик]]+Тўловлар[[#This Row],[Терминал]])</f>
        <v>0</v>
      </c>
      <c r="N338" s="30" cm="1">
        <f t="array" ref="N338">IFERROR(LOOKUP(2,1/((Товар!$D$4:$D$1110=Тўловлар[[#This Row],[Клиент]])*(Товар!$E$4:$E$1110&lt;=Тўловлар[[#This Row],[Дата]])),Товар!$L$4:$L$1110),Кўрсаткичлар!$B$4)</f>
        <v>0</v>
      </c>
      <c r="O338" s="30">
        <f>Тўловлар[[#This Row],[Поддон]]*Тўловлар[[#This Row],[Поддон нархи]]</f>
        <v>0</v>
      </c>
      <c r="P338" s="30">
        <f>Тўловлар[[#This Row],[Жами сумма]]-Тўловлар[[#This Row],[Поддон пули]]</f>
        <v>0</v>
      </c>
      <c r="Q3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8" s="9" t="str">
        <f>IFERROR(INDEX(Мижозлар[Агент],MATCH($C338,Мижозлар[Расмий ном],0)),"")</f>
        <v/>
      </c>
    </row>
    <row r="339" spans="4:19" x14ac:dyDescent="0.2">
      <c r="F339" s="198"/>
      <c r="G339" s="9">
        <f>Тўловлар[[#This Row],[Поддон]]*$G$3</f>
        <v>0</v>
      </c>
      <c r="K339" s="9">
        <f>SUM(Тўловлар[[#This Row],[ПР-Сумма]]+Тўловлар[[#This Row],[Накд]]+Тўловлар[[#This Row],[Клик]]+Тўловлар[[#This Row],[Терминал]])</f>
        <v>0</v>
      </c>
      <c r="N339" s="30" cm="1">
        <f t="array" ref="N339">IFERROR(LOOKUP(2,1/((Товар!$D$4:$D$1110=Тўловлар[[#This Row],[Клиент]])*(Товар!$E$4:$E$1110&lt;=Тўловлар[[#This Row],[Дата]])),Товар!$L$4:$L$1110),Кўрсаткичлар!$B$4)</f>
        <v>0</v>
      </c>
      <c r="O339" s="30">
        <f>Тўловлар[[#This Row],[Поддон]]*Тўловлар[[#This Row],[Поддон нархи]]</f>
        <v>0</v>
      </c>
      <c r="P339" s="30">
        <f>Тўловлар[[#This Row],[Жами сумма]]-Тўловлар[[#This Row],[Поддон пули]]</f>
        <v>0</v>
      </c>
      <c r="Q3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39" s="9" t="str">
        <f>IFERROR(INDEX(Мижозлар[Агент],MATCH($C339,Мижозлар[Расмий ном],0)),"")</f>
        <v/>
      </c>
    </row>
    <row r="340" spans="4:19" x14ac:dyDescent="0.2">
      <c r="F340" s="198"/>
      <c r="G340" s="9">
        <f>Тўловлар[[#This Row],[Поддон]]*$G$3</f>
        <v>0</v>
      </c>
      <c r="K340" s="9">
        <f>SUM(Тўловлар[[#This Row],[ПР-Сумма]]+Тўловлар[[#This Row],[Накд]]+Тўловлар[[#This Row],[Клик]]+Тўловлар[[#This Row],[Терминал]])</f>
        <v>0</v>
      </c>
      <c r="N340" s="30" cm="1">
        <f t="array" ref="N340">IFERROR(LOOKUP(2,1/((Товар!$D$4:$D$1110=Тўловлар[[#This Row],[Клиент]])*(Товар!$E$4:$E$1110&lt;=Тўловлар[[#This Row],[Дата]])),Товар!$L$4:$L$1110),Кўрсаткичлар!$B$4)</f>
        <v>0</v>
      </c>
      <c r="O340" s="30">
        <f>Тўловлар[[#This Row],[Поддон]]*Тўловлар[[#This Row],[Поддон нархи]]</f>
        <v>0</v>
      </c>
      <c r="P340" s="30">
        <f>Тўловлар[[#This Row],[Жами сумма]]-Тўловлар[[#This Row],[Поддон пули]]</f>
        <v>0</v>
      </c>
      <c r="Q3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0" s="9" t="str">
        <f>IFERROR(INDEX(Мижозлар[Агент],MATCH($C340,Мижозлар[Расмий ном],0)),"")</f>
        <v/>
      </c>
    </row>
    <row r="341" spans="4:19" x14ac:dyDescent="0.2">
      <c r="F341" s="198"/>
      <c r="G341" s="9">
        <f>Тўловлар[[#This Row],[Поддон]]*$G$3</f>
        <v>0</v>
      </c>
      <c r="K341" s="9">
        <f>SUM(Тўловлар[[#This Row],[ПР-Сумма]]+Тўловлар[[#This Row],[Накд]]+Тўловлар[[#This Row],[Клик]]+Тўловлар[[#This Row],[Терминал]])</f>
        <v>0</v>
      </c>
      <c r="N341" s="30" cm="1">
        <f t="array" ref="N341">IFERROR(LOOKUP(2,1/((Товар!$D$4:$D$1110=Тўловлар[[#This Row],[Клиент]])*(Товар!$E$4:$E$1110&lt;=Тўловлар[[#This Row],[Дата]])),Товар!$L$4:$L$1110),Кўрсаткичлар!$B$4)</f>
        <v>0</v>
      </c>
      <c r="O341" s="30">
        <f>Тўловлар[[#This Row],[Поддон]]*Тўловлар[[#This Row],[Поддон нархи]]</f>
        <v>0</v>
      </c>
      <c r="P341" s="30">
        <f>Тўловлар[[#This Row],[Жами сумма]]-Тўловлар[[#This Row],[Поддон пули]]</f>
        <v>0</v>
      </c>
      <c r="Q3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1" s="9" t="str">
        <f>IFERROR(INDEX(Мижозлар[Агент],MATCH($C341,Мижозлар[Расмий ном],0)),"")</f>
        <v/>
      </c>
    </row>
    <row r="342" spans="4:19" x14ac:dyDescent="0.2">
      <c r="F342" s="198"/>
      <c r="G342" s="9">
        <f>Тўловлар[[#This Row],[Поддон]]*$G$3</f>
        <v>0</v>
      </c>
      <c r="K342" s="9">
        <f>SUM(Тўловлар[[#This Row],[ПР-Сумма]]+Тўловлар[[#This Row],[Накд]]+Тўловлар[[#This Row],[Клик]]+Тўловлар[[#This Row],[Терминал]])</f>
        <v>0</v>
      </c>
      <c r="N342" s="30" cm="1">
        <f t="array" ref="N342">IFERROR(LOOKUP(2,1/((Товар!$D$4:$D$1110=Тўловлар[[#This Row],[Клиент]])*(Товар!$E$4:$E$1110&lt;=Тўловлар[[#This Row],[Дата]])),Товар!$L$4:$L$1110),Кўрсаткичлар!$B$4)</f>
        <v>0</v>
      </c>
      <c r="O342" s="30">
        <f>Тўловлар[[#This Row],[Поддон]]*Тўловлар[[#This Row],[Поддон нархи]]</f>
        <v>0</v>
      </c>
      <c r="P342" s="30">
        <f>Тўловлар[[#This Row],[Жами сумма]]-Тўловлар[[#This Row],[Поддон пули]]</f>
        <v>0</v>
      </c>
      <c r="Q3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2" s="9" t="str">
        <f>IFERROR(INDEX(Мижозлар[Агент],MATCH($C342,Мижозлар[Расмий ном],0)),"")</f>
        <v/>
      </c>
    </row>
    <row r="343" spans="4:19" x14ac:dyDescent="0.2">
      <c r="F343" s="198"/>
      <c r="G343" s="9">
        <f>Тўловлар[[#This Row],[Поддон]]*$G$3</f>
        <v>0</v>
      </c>
      <c r="K343" s="9">
        <f>SUM(Тўловлар[[#This Row],[ПР-Сумма]]+Тўловлар[[#This Row],[Накд]]+Тўловлар[[#This Row],[Клик]]+Тўловлар[[#This Row],[Терминал]])</f>
        <v>0</v>
      </c>
      <c r="N343" s="30" cm="1">
        <f t="array" ref="N343">IFERROR(LOOKUP(2,1/((Товар!$D$4:$D$1110=Тўловлар[[#This Row],[Клиент]])*(Товар!$E$4:$E$1110&lt;=Тўловлар[[#This Row],[Дата]])),Товар!$L$4:$L$1110),Кўрсаткичлар!$B$4)</f>
        <v>0</v>
      </c>
      <c r="O343" s="30">
        <f>Тўловлар[[#This Row],[Поддон]]*Тўловлар[[#This Row],[Поддон нархи]]</f>
        <v>0</v>
      </c>
      <c r="P343" s="30">
        <f>Тўловлар[[#This Row],[Жами сумма]]-Тўловлар[[#This Row],[Поддон пули]]</f>
        <v>0</v>
      </c>
      <c r="Q3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3" s="9" t="str">
        <f>IFERROR(INDEX(Мижозлар[Агент],MATCH($C343,Мижозлар[Расмий ном],0)),"")</f>
        <v/>
      </c>
    </row>
    <row r="344" spans="4:19" x14ac:dyDescent="0.2">
      <c r="F344" s="198"/>
      <c r="G344" s="9">
        <f>Тўловлар[[#This Row],[Поддон]]*$G$3</f>
        <v>0</v>
      </c>
      <c r="K344" s="9">
        <f>SUM(Тўловлар[[#This Row],[ПР-Сумма]]+Тўловлар[[#This Row],[Накд]]+Тўловлар[[#This Row],[Клик]]+Тўловлар[[#This Row],[Терминал]])</f>
        <v>0</v>
      </c>
      <c r="N344" s="30" cm="1">
        <f t="array" ref="N344">IFERROR(LOOKUP(2,1/((Товар!$D$4:$D$1110=Тўловлар[[#This Row],[Клиент]])*(Товар!$E$4:$E$1110&lt;=Тўловлар[[#This Row],[Дата]])),Товар!$L$4:$L$1110),Кўрсаткичлар!$B$4)</f>
        <v>0</v>
      </c>
      <c r="O344" s="30">
        <f>Тўловлар[[#This Row],[Поддон]]*Тўловлар[[#This Row],[Поддон нархи]]</f>
        <v>0</v>
      </c>
      <c r="P344" s="30">
        <f>Тўловлар[[#This Row],[Жами сумма]]-Тўловлар[[#This Row],[Поддон пули]]</f>
        <v>0</v>
      </c>
      <c r="Q3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4" s="9" t="str">
        <f>IFERROR(INDEX(Мижозлар[Агент],MATCH($C344,Мижозлар[Расмий ном],0)),"")</f>
        <v/>
      </c>
    </row>
    <row r="345" spans="4:19" x14ac:dyDescent="0.2">
      <c r="F345" s="198"/>
      <c r="G345" s="9">
        <f>Тўловлар[[#This Row],[Поддон]]*$G$3</f>
        <v>0</v>
      </c>
      <c r="K345" s="9">
        <f>SUM(Тўловлар[[#This Row],[ПР-Сумма]]+Тўловлар[[#This Row],[Накд]]+Тўловлар[[#This Row],[Клик]]+Тўловлар[[#This Row],[Терминал]])</f>
        <v>0</v>
      </c>
      <c r="N345" s="30" cm="1">
        <f t="array" ref="N345">IFERROR(LOOKUP(2,1/((Товар!$D$4:$D$1110=Тўловлар[[#This Row],[Клиент]])*(Товар!$E$4:$E$1110&lt;=Тўловлар[[#This Row],[Дата]])),Товар!$L$4:$L$1110),Кўрсаткичлар!$B$4)</f>
        <v>0</v>
      </c>
      <c r="O345" s="30">
        <f>Тўловлар[[#This Row],[Поддон]]*Тўловлар[[#This Row],[Поддон нархи]]</f>
        <v>0</v>
      </c>
      <c r="P345" s="30">
        <f>Тўловлар[[#This Row],[Жами сумма]]-Тўловлар[[#This Row],[Поддон пули]]</f>
        <v>0</v>
      </c>
      <c r="Q3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5" s="9" t="str">
        <f>IFERROR(INDEX(Мижозлар[Агент],MATCH($C345,Мижозлар[Расмий ном],0)),"")</f>
        <v/>
      </c>
    </row>
    <row r="346" spans="4:19" x14ac:dyDescent="0.2">
      <c r="F346" s="198"/>
      <c r="G346" s="9">
        <f>Тўловлар[[#This Row],[Поддон]]*$G$3</f>
        <v>0</v>
      </c>
      <c r="K346" s="9">
        <f>SUM(Тўловлар[[#This Row],[ПР-Сумма]]+Тўловлар[[#This Row],[Накд]]+Тўловлар[[#This Row],[Клик]]+Тўловлар[[#This Row],[Терминал]])</f>
        <v>0</v>
      </c>
      <c r="N346" s="30" cm="1">
        <f t="array" ref="N346">IFERROR(LOOKUP(2,1/((Товар!$D$4:$D$1110=Тўловлар[[#This Row],[Клиент]])*(Товар!$E$4:$E$1110&lt;=Тўловлар[[#This Row],[Дата]])),Товар!$L$4:$L$1110),Кўрсаткичлар!$B$4)</f>
        <v>0</v>
      </c>
      <c r="O346" s="30">
        <f>Тўловлар[[#This Row],[Поддон]]*Тўловлар[[#This Row],[Поддон нархи]]</f>
        <v>0</v>
      </c>
      <c r="P346" s="30">
        <f>Тўловлар[[#This Row],[Жами сумма]]-Тўловлар[[#This Row],[Поддон пули]]</f>
        <v>0</v>
      </c>
      <c r="Q3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6" s="9" t="str">
        <f>IFERROR(INDEX(Мижозлар[Агент],MATCH($C346,Мижозлар[Расмий ном],0)),"")</f>
        <v/>
      </c>
    </row>
    <row r="347" spans="4:19" x14ac:dyDescent="0.2">
      <c r="F347" s="198"/>
      <c r="G347" s="9">
        <f>Тўловлар[[#This Row],[Поддон]]*$G$3</f>
        <v>0</v>
      </c>
      <c r="K347" s="9">
        <f>SUM(Тўловлар[[#This Row],[ПР-Сумма]]+Тўловлар[[#This Row],[Накд]]+Тўловлар[[#This Row],[Клик]]+Тўловлар[[#This Row],[Терминал]])</f>
        <v>0</v>
      </c>
      <c r="N347" s="30" cm="1">
        <f t="array" ref="N347">IFERROR(LOOKUP(2,1/((Товар!$D$4:$D$1110=Тўловлар[[#This Row],[Клиент]])*(Товар!$E$4:$E$1110&lt;=Тўловлар[[#This Row],[Дата]])),Товар!$L$4:$L$1110),Кўрсаткичлар!$B$4)</f>
        <v>0</v>
      </c>
      <c r="O347" s="30">
        <f>Тўловлар[[#This Row],[Поддон]]*Тўловлар[[#This Row],[Поддон нархи]]</f>
        <v>0</v>
      </c>
      <c r="P347" s="30">
        <f>Тўловлар[[#This Row],[Жами сумма]]-Тўловлар[[#This Row],[Поддон пули]]</f>
        <v>0</v>
      </c>
      <c r="Q3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7" s="9" t="str">
        <f>IFERROR(INDEX(Мижозлар[Агент],MATCH($C347,Мижозлар[Расмий ном],0)),"")</f>
        <v/>
      </c>
    </row>
    <row r="348" spans="4:19" x14ac:dyDescent="0.2">
      <c r="F348" s="198"/>
      <c r="G348" s="9">
        <f>Тўловлар[[#This Row],[Поддон]]*$G$3</f>
        <v>0</v>
      </c>
      <c r="K348" s="9">
        <f>SUM(Тўловлар[[#This Row],[ПР-Сумма]]+Тўловлар[[#This Row],[Накд]]+Тўловлар[[#This Row],[Клик]]+Тўловлар[[#This Row],[Терминал]])</f>
        <v>0</v>
      </c>
      <c r="N348" s="30" cm="1">
        <f t="array" ref="N348">IFERROR(LOOKUP(2,1/((Товар!$D$4:$D$1110=Тўловлар[[#This Row],[Клиент]])*(Товар!$E$4:$E$1110&lt;=Тўловлар[[#This Row],[Дата]])),Товар!$L$4:$L$1110),Кўрсаткичлар!$B$4)</f>
        <v>0</v>
      </c>
      <c r="O348" s="30">
        <f>Тўловлар[[#This Row],[Поддон]]*Тўловлар[[#This Row],[Поддон нархи]]</f>
        <v>0</v>
      </c>
      <c r="P348" s="30">
        <f>Тўловлар[[#This Row],[Жами сумма]]-Тўловлар[[#This Row],[Поддон пули]]</f>
        <v>0</v>
      </c>
      <c r="Q3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8" s="9" t="str">
        <f>IFERROR(INDEX(Мижозлар[Агент],MATCH($C348,Мижозлар[Расмий ном],0)),"")</f>
        <v/>
      </c>
    </row>
    <row r="349" spans="4:19" x14ac:dyDescent="0.2">
      <c r="F349" s="198"/>
      <c r="G349" s="9">
        <f>Тўловлар[[#This Row],[Поддон]]*$G$3</f>
        <v>0</v>
      </c>
      <c r="K349" s="9">
        <f>SUM(Тўловлар[[#This Row],[ПР-Сумма]]+Тўловлар[[#This Row],[Накд]]+Тўловлар[[#This Row],[Клик]]+Тўловлар[[#This Row],[Терминал]])</f>
        <v>0</v>
      </c>
      <c r="N349" s="30" cm="1">
        <f t="array" ref="N349">IFERROR(LOOKUP(2,1/((Товар!$D$4:$D$1110=Тўловлар[[#This Row],[Клиент]])*(Товар!$E$4:$E$1110&lt;=Тўловлар[[#This Row],[Дата]])),Товар!$L$4:$L$1110),Кўрсаткичлар!$B$4)</f>
        <v>0</v>
      </c>
      <c r="O349" s="30">
        <f>Тўловлар[[#This Row],[Поддон]]*Тўловлар[[#This Row],[Поддон нархи]]</f>
        <v>0</v>
      </c>
      <c r="P349" s="30">
        <f>Тўловлар[[#This Row],[Жами сумма]]-Тўловлар[[#This Row],[Поддон пули]]</f>
        <v>0</v>
      </c>
      <c r="Q3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49" s="9" t="str">
        <f>IFERROR(INDEX(Мижозлар[Агент],MATCH($C349,Мижозлар[Расмий ном],0)),"")</f>
        <v/>
      </c>
    </row>
    <row r="350" spans="4:19" x14ac:dyDescent="0.2">
      <c r="F350" s="198"/>
      <c r="G350" s="9">
        <f>Тўловлар[[#This Row],[Поддон]]*$G$3</f>
        <v>0</v>
      </c>
      <c r="K350" s="9">
        <f>SUM(Тўловлар[[#This Row],[ПР-Сумма]]+Тўловлар[[#This Row],[Накд]]+Тўловлар[[#This Row],[Клик]]+Тўловлар[[#This Row],[Терминал]])</f>
        <v>0</v>
      </c>
      <c r="N350" s="30" cm="1">
        <f t="array" ref="N350">IFERROR(LOOKUP(2,1/((Товар!$D$4:$D$1110=Тўловлар[[#This Row],[Клиент]])*(Товар!$E$4:$E$1110&lt;=Тўловлар[[#This Row],[Дата]])),Товар!$L$4:$L$1110),Кўрсаткичлар!$B$4)</f>
        <v>0</v>
      </c>
      <c r="O350" s="30">
        <f>Тўловлар[[#This Row],[Поддон]]*Тўловлар[[#This Row],[Поддон нархи]]</f>
        <v>0</v>
      </c>
      <c r="P350" s="30">
        <f>Тўловлар[[#This Row],[Жами сумма]]-Тўловлар[[#This Row],[Поддон пули]]</f>
        <v>0</v>
      </c>
      <c r="Q3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0" s="9" t="str">
        <f>IFERROR(INDEX(Мижозлар[Агент],MATCH($C350,Мижозлар[Расмий ном],0)),"")</f>
        <v/>
      </c>
    </row>
    <row r="351" spans="4:19" x14ac:dyDescent="0.2">
      <c r="F351" s="198"/>
      <c r="G351" s="9">
        <f>Тўловлар[[#This Row],[Поддон]]*$G$3</f>
        <v>0</v>
      </c>
      <c r="K351" s="9">
        <f>SUM(Тўловлар[[#This Row],[ПР-Сумма]]+Тўловлар[[#This Row],[Накд]]+Тўловлар[[#This Row],[Клик]]+Тўловлар[[#This Row],[Терминал]])</f>
        <v>0</v>
      </c>
      <c r="N351" s="30" cm="1">
        <f t="array" ref="N351">IFERROR(LOOKUP(2,1/((Товар!$D$4:$D$1110=Тўловлар[[#This Row],[Клиент]])*(Товар!$E$4:$E$1110&lt;=Тўловлар[[#This Row],[Дата]])),Товар!$L$4:$L$1110),Кўрсаткичлар!$B$4)</f>
        <v>0</v>
      </c>
      <c r="O351" s="30">
        <f>Тўловлар[[#This Row],[Поддон]]*Тўловлар[[#This Row],[Поддон нархи]]</f>
        <v>0</v>
      </c>
      <c r="P351" s="30">
        <f>Тўловлар[[#This Row],[Жами сумма]]-Тўловлар[[#This Row],[Поддон пули]]</f>
        <v>0</v>
      </c>
      <c r="Q3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1" s="9" t="str">
        <f>IFERROR(INDEX(Мижозлар[Агент],MATCH($C351,Мижозлар[Расмий ном],0)),"")</f>
        <v/>
      </c>
    </row>
    <row r="352" spans="4:19" x14ac:dyDescent="0.2">
      <c r="F352" s="198"/>
      <c r="G352" s="9">
        <f>Тўловлар[[#This Row],[Поддон]]*$G$3</f>
        <v>0</v>
      </c>
      <c r="K352" s="9">
        <f>SUM(Тўловлар[[#This Row],[ПР-Сумма]]+Тўловлар[[#This Row],[Накд]]+Тўловлар[[#This Row],[Клик]]+Тўловлар[[#This Row],[Терминал]])</f>
        <v>0</v>
      </c>
      <c r="N352" s="30" cm="1">
        <f t="array" ref="N352">IFERROR(LOOKUP(2,1/((Товар!$D$4:$D$1110=Тўловлар[[#This Row],[Клиент]])*(Товар!$E$4:$E$1110&lt;=Тўловлар[[#This Row],[Дата]])),Товар!$L$4:$L$1110),Кўрсаткичлар!$B$4)</f>
        <v>0</v>
      </c>
      <c r="O352" s="30">
        <f>Тўловлар[[#This Row],[Поддон]]*Тўловлар[[#This Row],[Поддон нархи]]</f>
        <v>0</v>
      </c>
      <c r="P352" s="30">
        <f>Тўловлар[[#This Row],[Жами сумма]]-Тўловлар[[#This Row],[Поддон пули]]</f>
        <v>0</v>
      </c>
      <c r="Q3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2" s="9" t="str">
        <f>IFERROR(INDEX(Мижозлар[Агент],MATCH($C352,Мижозлар[Расмий ном],0)),"")</f>
        <v/>
      </c>
    </row>
    <row r="353" spans="6:19" x14ac:dyDescent="0.2">
      <c r="F353" s="198"/>
      <c r="G353" s="9">
        <f>Тўловлар[[#This Row],[Поддон]]*$G$3</f>
        <v>0</v>
      </c>
      <c r="K353" s="9">
        <f>SUM(Тўловлар[[#This Row],[ПР-Сумма]]+Тўловлар[[#This Row],[Накд]]+Тўловлар[[#This Row],[Клик]]+Тўловлар[[#This Row],[Терминал]])</f>
        <v>0</v>
      </c>
      <c r="N353" s="30" cm="1">
        <f t="array" ref="N353">IFERROR(LOOKUP(2,1/((Товар!$D$4:$D$1110=Тўловлар[[#This Row],[Клиент]])*(Товар!$E$4:$E$1110&lt;=Тўловлар[[#This Row],[Дата]])),Товар!$L$4:$L$1110),Кўрсаткичлар!$B$4)</f>
        <v>0</v>
      </c>
      <c r="O353" s="30">
        <f>Тўловлар[[#This Row],[Поддон]]*Тўловлар[[#This Row],[Поддон нархи]]</f>
        <v>0</v>
      </c>
      <c r="P353" s="30">
        <f>Тўловлар[[#This Row],[Жами сумма]]-Тўловлар[[#This Row],[Поддон пули]]</f>
        <v>0</v>
      </c>
      <c r="Q3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3" s="9" t="str">
        <f>IFERROR(INDEX(Мижозлар[Агент],MATCH($C353,Мижозлар[Расмий ном],0)),"")</f>
        <v/>
      </c>
    </row>
    <row r="354" spans="6:19" x14ac:dyDescent="0.2">
      <c r="F354" s="198"/>
      <c r="G354" s="9">
        <f>Тўловлар[[#This Row],[Поддон]]*$G$3</f>
        <v>0</v>
      </c>
      <c r="K354" s="9">
        <f>SUM(Тўловлар[[#This Row],[ПР-Сумма]]+Тўловлар[[#This Row],[Накд]]+Тўловлар[[#This Row],[Клик]]+Тўловлар[[#This Row],[Терминал]])</f>
        <v>0</v>
      </c>
      <c r="N354" s="30" cm="1">
        <f t="array" ref="N354">IFERROR(LOOKUP(2,1/((Товар!$D$4:$D$1110=Тўловлар[[#This Row],[Клиент]])*(Товар!$E$4:$E$1110&lt;=Тўловлар[[#This Row],[Дата]])),Товар!$L$4:$L$1110),Кўрсаткичлар!$B$4)</f>
        <v>0</v>
      </c>
      <c r="O354" s="30">
        <f>Тўловлар[[#This Row],[Поддон]]*Тўловлар[[#This Row],[Поддон нархи]]</f>
        <v>0</v>
      </c>
      <c r="P354" s="30">
        <f>Тўловлар[[#This Row],[Жами сумма]]-Тўловлар[[#This Row],[Поддон пули]]</f>
        <v>0</v>
      </c>
      <c r="Q3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4" s="9" t="str">
        <f>IFERROR(INDEX(Мижозлар[Агент],MATCH($C354,Мижозлар[Расмий ном],0)),"")</f>
        <v/>
      </c>
    </row>
    <row r="355" spans="6:19" x14ac:dyDescent="0.2">
      <c r="F355" s="198"/>
      <c r="G355" s="9">
        <f>Тўловлар[[#This Row],[Поддон]]*$G$3</f>
        <v>0</v>
      </c>
      <c r="K355" s="9">
        <f>SUM(Тўловлар[[#This Row],[ПР-Сумма]]+Тўловлар[[#This Row],[Накд]]+Тўловлар[[#This Row],[Клик]]+Тўловлар[[#This Row],[Терминал]])</f>
        <v>0</v>
      </c>
      <c r="N355" s="30" cm="1">
        <f t="array" ref="N355">IFERROR(LOOKUP(2,1/((Товар!$D$4:$D$1110=Тўловлар[[#This Row],[Клиент]])*(Товар!$E$4:$E$1110&lt;=Тўловлар[[#This Row],[Дата]])),Товар!$L$4:$L$1110),Кўрсаткичлар!$B$4)</f>
        <v>0</v>
      </c>
      <c r="O355" s="30">
        <f>Тўловлар[[#This Row],[Поддон]]*Тўловлар[[#This Row],[Поддон нархи]]</f>
        <v>0</v>
      </c>
      <c r="P355" s="30">
        <f>Тўловлар[[#This Row],[Жами сумма]]-Тўловлар[[#This Row],[Поддон пули]]</f>
        <v>0</v>
      </c>
      <c r="Q3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5" s="9" t="str">
        <f>IFERROR(INDEX(Мижозлар[Агент],MATCH($C355,Мижозлар[Расмий ном],0)),"")</f>
        <v/>
      </c>
    </row>
    <row r="356" spans="6:19" x14ac:dyDescent="0.2">
      <c r="F356" s="198"/>
      <c r="G356" s="9">
        <f>Тўловлар[[#This Row],[Поддон]]*$G$3</f>
        <v>0</v>
      </c>
      <c r="K356" s="9">
        <f>SUM(Тўловлар[[#This Row],[ПР-Сумма]]+Тўловлар[[#This Row],[Накд]]+Тўловлар[[#This Row],[Клик]]+Тўловлар[[#This Row],[Терминал]])</f>
        <v>0</v>
      </c>
      <c r="N356" s="30" cm="1">
        <f t="array" ref="N356">IFERROR(LOOKUP(2,1/((Товар!$D$4:$D$1110=Тўловлар[[#This Row],[Клиент]])*(Товар!$E$4:$E$1110&lt;=Тўловлар[[#This Row],[Дата]])),Товар!$L$4:$L$1110),Кўрсаткичлар!$B$4)</f>
        <v>0</v>
      </c>
      <c r="O356" s="30">
        <f>Тўловлар[[#This Row],[Поддон]]*Тўловлар[[#This Row],[Поддон нархи]]</f>
        <v>0</v>
      </c>
      <c r="P356" s="30">
        <f>Тўловлар[[#This Row],[Жами сумма]]-Тўловлар[[#This Row],[Поддон пули]]</f>
        <v>0</v>
      </c>
      <c r="Q3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6" s="9" t="str">
        <f>IFERROR(INDEX(Мижозлар[Агент],MATCH($C356,Мижозлар[Расмий ном],0)),"")</f>
        <v/>
      </c>
    </row>
    <row r="357" spans="6:19" x14ac:dyDescent="0.2">
      <c r="F357" s="198"/>
      <c r="G357" s="9">
        <f>Тўловлар[[#This Row],[Поддон]]*$G$3</f>
        <v>0</v>
      </c>
      <c r="K357" s="9">
        <f>SUM(Тўловлар[[#This Row],[ПР-Сумма]]+Тўловлар[[#This Row],[Накд]]+Тўловлар[[#This Row],[Клик]]+Тўловлар[[#This Row],[Терминал]])</f>
        <v>0</v>
      </c>
      <c r="N357" s="30" cm="1">
        <f t="array" ref="N357">IFERROR(LOOKUP(2,1/((Товар!$D$4:$D$1110=Тўловлар[[#This Row],[Клиент]])*(Товар!$E$4:$E$1110&lt;=Тўловлар[[#This Row],[Дата]])),Товар!$L$4:$L$1110),Кўрсаткичлар!$B$4)</f>
        <v>0</v>
      </c>
      <c r="O357" s="30">
        <f>Тўловлар[[#This Row],[Поддон]]*Тўловлар[[#This Row],[Поддон нархи]]</f>
        <v>0</v>
      </c>
      <c r="P357" s="30">
        <f>Тўловлар[[#This Row],[Жами сумма]]-Тўловлар[[#This Row],[Поддон пули]]</f>
        <v>0</v>
      </c>
      <c r="Q3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7" s="9" t="str">
        <f>IFERROR(INDEX(Мижозлар[Агент],MATCH($C357,Мижозлар[Расмий ном],0)),"")</f>
        <v/>
      </c>
    </row>
    <row r="358" spans="6:19" x14ac:dyDescent="0.2">
      <c r="F358" s="198"/>
      <c r="G358" s="9">
        <f>Тўловлар[[#This Row],[Поддон]]*$G$3</f>
        <v>0</v>
      </c>
      <c r="K358" s="9">
        <f>SUM(Тўловлар[[#This Row],[ПР-Сумма]]+Тўловлар[[#This Row],[Накд]]+Тўловлар[[#This Row],[Клик]]+Тўловлар[[#This Row],[Терминал]])</f>
        <v>0</v>
      </c>
      <c r="N358" s="30" cm="1">
        <f t="array" ref="N358">IFERROR(LOOKUP(2,1/((Товар!$D$4:$D$1110=Тўловлар[[#This Row],[Клиент]])*(Товар!$E$4:$E$1110&lt;=Тўловлар[[#This Row],[Дата]])),Товар!$L$4:$L$1110),Кўрсаткичлар!$B$4)</f>
        <v>0</v>
      </c>
      <c r="O358" s="30">
        <f>Тўловлар[[#This Row],[Поддон]]*Тўловлар[[#This Row],[Поддон нархи]]</f>
        <v>0</v>
      </c>
      <c r="P358" s="30">
        <f>Тўловлар[[#This Row],[Жами сумма]]-Тўловлар[[#This Row],[Поддон пули]]</f>
        <v>0</v>
      </c>
      <c r="Q3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8" s="9" t="str">
        <f>IFERROR(INDEX(Мижозлар[Агент],MATCH($C358,Мижозлар[Расмий ном],0)),"")</f>
        <v/>
      </c>
    </row>
    <row r="359" spans="6:19" x14ac:dyDescent="0.2">
      <c r="F359" s="198"/>
      <c r="G359" s="9">
        <f>Тўловлар[[#This Row],[Поддон]]*$G$3</f>
        <v>0</v>
      </c>
      <c r="K359" s="9">
        <f>SUM(Тўловлар[[#This Row],[ПР-Сумма]]+Тўловлар[[#This Row],[Накд]]+Тўловлар[[#This Row],[Клик]]+Тўловлар[[#This Row],[Терминал]])</f>
        <v>0</v>
      </c>
      <c r="N359" s="30" cm="1">
        <f t="array" ref="N359">IFERROR(LOOKUP(2,1/((Товар!$D$4:$D$1110=Тўловлар[[#This Row],[Клиент]])*(Товар!$E$4:$E$1110&lt;=Тўловлар[[#This Row],[Дата]])),Товар!$L$4:$L$1110),Кўрсаткичлар!$B$4)</f>
        <v>0</v>
      </c>
      <c r="O359" s="30">
        <f>Тўловлар[[#This Row],[Поддон]]*Тўловлар[[#This Row],[Поддон нархи]]</f>
        <v>0</v>
      </c>
      <c r="P359" s="30">
        <f>Тўловлар[[#This Row],[Жами сумма]]-Тўловлар[[#This Row],[Поддон пули]]</f>
        <v>0</v>
      </c>
      <c r="Q3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59" s="9" t="str">
        <f>IFERROR(INDEX(Мижозлар[Агент],MATCH($C359,Мижозлар[Расмий ном],0)),"")</f>
        <v/>
      </c>
    </row>
    <row r="360" spans="6:19" x14ac:dyDescent="0.2">
      <c r="F360" s="198"/>
      <c r="G360" s="9">
        <f>Тўловлар[[#This Row],[Поддон]]*$G$3</f>
        <v>0</v>
      </c>
      <c r="K360" s="9">
        <f>SUM(Тўловлар[[#This Row],[ПР-Сумма]]+Тўловлар[[#This Row],[Накд]]+Тўловлар[[#This Row],[Клик]]+Тўловлар[[#This Row],[Терминал]])</f>
        <v>0</v>
      </c>
      <c r="N360" s="30" cm="1">
        <f t="array" ref="N360">IFERROR(LOOKUP(2,1/((Товар!$D$4:$D$1110=Тўловлар[[#This Row],[Клиент]])*(Товар!$E$4:$E$1110&lt;=Тўловлар[[#This Row],[Дата]])),Товар!$L$4:$L$1110),Кўрсаткичлар!$B$4)</f>
        <v>0</v>
      </c>
      <c r="O360" s="30">
        <f>Тўловлар[[#This Row],[Поддон]]*Тўловлар[[#This Row],[Поддон нархи]]</f>
        <v>0</v>
      </c>
      <c r="P360" s="30">
        <f>Тўловлар[[#This Row],[Жами сумма]]-Тўловлар[[#This Row],[Поддон пули]]</f>
        <v>0</v>
      </c>
      <c r="Q3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0" s="9" t="str">
        <f>IFERROR(INDEX(Мижозлар[Агент],MATCH($C360,Мижозлар[Расмий ном],0)),"")</f>
        <v/>
      </c>
    </row>
    <row r="361" spans="6:19" x14ac:dyDescent="0.2">
      <c r="F361" s="198"/>
      <c r="G361" s="9">
        <f>Тўловлар[[#This Row],[Поддон]]*$G$3</f>
        <v>0</v>
      </c>
      <c r="K361" s="9">
        <f>SUM(Тўловлар[[#This Row],[ПР-Сумма]]+Тўловлар[[#This Row],[Накд]]+Тўловлар[[#This Row],[Клик]]+Тўловлар[[#This Row],[Терминал]])</f>
        <v>0</v>
      </c>
      <c r="N361" s="30" cm="1">
        <f t="array" ref="N361">IFERROR(LOOKUP(2,1/((Товар!$D$4:$D$1110=Тўловлар[[#This Row],[Клиент]])*(Товар!$E$4:$E$1110&lt;=Тўловлар[[#This Row],[Дата]])),Товар!$L$4:$L$1110),Кўрсаткичлар!$B$4)</f>
        <v>0</v>
      </c>
      <c r="O361" s="30">
        <f>Тўловлар[[#This Row],[Поддон]]*Тўловлар[[#This Row],[Поддон нархи]]</f>
        <v>0</v>
      </c>
      <c r="P361" s="30">
        <f>Тўловлар[[#This Row],[Жами сумма]]-Тўловлар[[#This Row],[Поддон пули]]</f>
        <v>0</v>
      </c>
      <c r="Q3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1" s="9" t="str">
        <f>IFERROR(INDEX(Мижозлар[Агент],MATCH($C361,Мижозлар[Расмий ном],0)),"")</f>
        <v/>
      </c>
    </row>
    <row r="362" spans="6:19" x14ac:dyDescent="0.2">
      <c r="F362" s="198"/>
      <c r="G362" s="9">
        <f>Тўловлар[[#This Row],[Поддон]]*$G$3</f>
        <v>0</v>
      </c>
      <c r="K362" s="9">
        <f>SUM(Тўловлар[[#This Row],[ПР-Сумма]]+Тўловлар[[#This Row],[Накд]]+Тўловлар[[#This Row],[Клик]]+Тўловлар[[#This Row],[Терминал]])</f>
        <v>0</v>
      </c>
      <c r="N362" s="30" cm="1">
        <f t="array" ref="N362">IFERROR(LOOKUP(2,1/((Товар!$D$4:$D$1110=Тўловлар[[#This Row],[Клиент]])*(Товар!$E$4:$E$1110&lt;=Тўловлар[[#This Row],[Дата]])),Товар!$L$4:$L$1110),Кўрсаткичлар!$B$4)</f>
        <v>0</v>
      </c>
      <c r="O362" s="30">
        <f>Тўловлар[[#This Row],[Поддон]]*Тўловлар[[#This Row],[Поддон нархи]]</f>
        <v>0</v>
      </c>
      <c r="P362" s="30">
        <f>Тўловлар[[#This Row],[Жами сумма]]-Тўловлар[[#This Row],[Поддон пули]]</f>
        <v>0</v>
      </c>
      <c r="Q3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2" s="9" t="str">
        <f>IFERROR(INDEX(Мижозлар[Агент],MATCH($C362,Мижозлар[Расмий ном],0)),"")</f>
        <v/>
      </c>
    </row>
    <row r="363" spans="6:19" x14ac:dyDescent="0.2">
      <c r="F363" s="198"/>
      <c r="G363" s="9">
        <f>Тўловлар[[#This Row],[Поддон]]*$G$3</f>
        <v>0</v>
      </c>
      <c r="K363" s="9">
        <f>SUM(Тўловлар[[#This Row],[ПР-Сумма]]+Тўловлар[[#This Row],[Накд]]+Тўловлар[[#This Row],[Клик]]+Тўловлар[[#This Row],[Терминал]])</f>
        <v>0</v>
      </c>
      <c r="N363" s="30" cm="1">
        <f t="array" ref="N363">IFERROR(LOOKUP(2,1/((Товар!$D$4:$D$1110=Тўловлар[[#This Row],[Клиент]])*(Товар!$E$4:$E$1110&lt;=Тўловлар[[#This Row],[Дата]])),Товар!$L$4:$L$1110),Кўрсаткичлар!$B$4)</f>
        <v>0</v>
      </c>
      <c r="O363" s="30">
        <f>Тўловлар[[#This Row],[Поддон]]*Тўловлар[[#This Row],[Поддон нархи]]</f>
        <v>0</v>
      </c>
      <c r="P363" s="30">
        <f>Тўловлар[[#This Row],[Жами сумма]]-Тўловлар[[#This Row],[Поддон пули]]</f>
        <v>0</v>
      </c>
      <c r="Q3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3" s="9" t="str">
        <f>IFERROR(INDEX(Мижозлар[Агент],MATCH($C363,Мижозлар[Расмий ном],0)),"")</f>
        <v/>
      </c>
    </row>
    <row r="364" spans="6:19" x14ac:dyDescent="0.2">
      <c r="F364" s="198"/>
      <c r="G364" s="9">
        <f>Тўловлар[[#This Row],[Поддон]]*$G$3</f>
        <v>0</v>
      </c>
      <c r="K364" s="9">
        <f>SUM(Тўловлар[[#This Row],[ПР-Сумма]]+Тўловлар[[#This Row],[Накд]]+Тўловлар[[#This Row],[Клик]]+Тўловлар[[#This Row],[Терминал]])</f>
        <v>0</v>
      </c>
      <c r="N364" s="30" cm="1">
        <f t="array" ref="N364">IFERROR(LOOKUP(2,1/((Товар!$D$4:$D$1110=Тўловлар[[#This Row],[Клиент]])*(Товар!$E$4:$E$1110&lt;=Тўловлар[[#This Row],[Дата]])),Товар!$L$4:$L$1110),Кўрсаткичлар!$B$4)</f>
        <v>0</v>
      </c>
      <c r="O364" s="30">
        <f>Тўловлар[[#This Row],[Поддон]]*Тўловлар[[#This Row],[Поддон нархи]]</f>
        <v>0</v>
      </c>
      <c r="P364" s="30">
        <f>Тўловлар[[#This Row],[Жами сумма]]-Тўловлар[[#This Row],[Поддон пули]]</f>
        <v>0</v>
      </c>
      <c r="Q3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4" s="9" t="str">
        <f>IFERROR(INDEX(Мижозлар[Агент],MATCH($C364,Мижозлар[Расмий ном],0)),"")</f>
        <v/>
      </c>
    </row>
    <row r="365" spans="6:19" x14ac:dyDescent="0.2">
      <c r="F365" s="198"/>
      <c r="G365" s="9">
        <f>Тўловлар[[#This Row],[Поддон]]*$G$3</f>
        <v>0</v>
      </c>
      <c r="K365" s="9">
        <f>SUM(Тўловлар[[#This Row],[ПР-Сумма]]+Тўловлар[[#This Row],[Накд]]+Тўловлар[[#This Row],[Клик]]+Тўловлар[[#This Row],[Терминал]])</f>
        <v>0</v>
      </c>
      <c r="N365" s="30" cm="1">
        <f t="array" ref="N365">IFERROR(LOOKUP(2,1/((Товар!$D$4:$D$1110=Тўловлар[[#This Row],[Клиент]])*(Товар!$E$4:$E$1110&lt;=Тўловлар[[#This Row],[Дата]])),Товар!$L$4:$L$1110),Кўрсаткичлар!$B$4)</f>
        <v>0</v>
      </c>
      <c r="O365" s="30">
        <f>Тўловлар[[#This Row],[Поддон]]*Тўловлар[[#This Row],[Поддон нархи]]</f>
        <v>0</v>
      </c>
      <c r="P365" s="30">
        <f>Тўловлар[[#This Row],[Жами сумма]]-Тўловлар[[#This Row],[Поддон пули]]</f>
        <v>0</v>
      </c>
      <c r="Q3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5" s="9" t="str">
        <f>IFERROR(INDEX(Мижозлар[Агент],MATCH($C365,Мижозлар[Расмий ном],0)),"")</f>
        <v/>
      </c>
    </row>
    <row r="366" spans="6:19" x14ac:dyDescent="0.2">
      <c r="F366" s="198"/>
      <c r="G366" s="9">
        <f>Тўловлар[[#This Row],[Поддон]]*$G$3</f>
        <v>0</v>
      </c>
      <c r="K366" s="9">
        <f>SUM(Тўловлар[[#This Row],[ПР-Сумма]]+Тўловлар[[#This Row],[Накд]]+Тўловлар[[#This Row],[Клик]]+Тўловлар[[#This Row],[Терминал]])</f>
        <v>0</v>
      </c>
      <c r="N366" s="30" cm="1">
        <f t="array" ref="N366">IFERROR(LOOKUP(2,1/((Товар!$D$4:$D$1110=Тўловлар[[#This Row],[Клиент]])*(Товар!$E$4:$E$1110&lt;=Тўловлар[[#This Row],[Дата]])),Товар!$L$4:$L$1110),Кўрсаткичлар!$B$4)</f>
        <v>0</v>
      </c>
      <c r="O366" s="30">
        <f>Тўловлар[[#This Row],[Поддон]]*Тўловлар[[#This Row],[Поддон нархи]]</f>
        <v>0</v>
      </c>
      <c r="P366" s="30">
        <f>Тўловлар[[#This Row],[Жами сумма]]-Тўловлар[[#This Row],[Поддон пули]]</f>
        <v>0</v>
      </c>
      <c r="Q3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6" s="9" t="str">
        <f>IFERROR(INDEX(Мижозлар[Агент],MATCH($C366,Мижозлар[Расмий ном],0)),"")</f>
        <v/>
      </c>
    </row>
    <row r="367" spans="6:19" x14ac:dyDescent="0.2">
      <c r="F367" s="198"/>
      <c r="G367" s="9">
        <f>Тўловлар[[#This Row],[Поддон]]*$G$3</f>
        <v>0</v>
      </c>
      <c r="K367" s="9">
        <f>SUM(Тўловлар[[#This Row],[ПР-Сумма]]+Тўловлар[[#This Row],[Накд]]+Тўловлар[[#This Row],[Клик]]+Тўловлар[[#This Row],[Терминал]])</f>
        <v>0</v>
      </c>
      <c r="N367" s="30" cm="1">
        <f t="array" ref="N367">IFERROR(LOOKUP(2,1/((Товар!$D$4:$D$1110=Тўловлар[[#This Row],[Клиент]])*(Товар!$E$4:$E$1110&lt;=Тўловлар[[#This Row],[Дата]])),Товар!$L$4:$L$1110),Кўрсаткичлар!$B$4)</f>
        <v>0</v>
      </c>
      <c r="O367" s="30">
        <f>Тўловлар[[#This Row],[Поддон]]*Тўловлар[[#This Row],[Поддон нархи]]</f>
        <v>0</v>
      </c>
      <c r="P367" s="30">
        <f>Тўловлар[[#This Row],[Жами сумма]]-Тўловлар[[#This Row],[Поддон пули]]</f>
        <v>0</v>
      </c>
      <c r="Q3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7" s="9" t="str">
        <f>IFERROR(INDEX(Мижозлар[Агент],MATCH($C367,Мижозлар[Расмий ном],0)),"")</f>
        <v/>
      </c>
    </row>
    <row r="368" spans="6:19" x14ac:dyDescent="0.2">
      <c r="F368" s="198"/>
      <c r="G368" s="9">
        <f>Тўловлар[[#This Row],[Поддон]]*$G$3</f>
        <v>0</v>
      </c>
      <c r="K368" s="9">
        <f>SUM(Тўловлар[[#This Row],[ПР-Сумма]]+Тўловлар[[#This Row],[Накд]]+Тўловлар[[#This Row],[Клик]]+Тўловлар[[#This Row],[Терминал]])</f>
        <v>0</v>
      </c>
      <c r="N368" s="30" cm="1">
        <f t="array" ref="N368">IFERROR(LOOKUP(2,1/((Товар!$D$4:$D$1110=Тўловлар[[#This Row],[Клиент]])*(Товар!$E$4:$E$1110&lt;=Тўловлар[[#This Row],[Дата]])),Товар!$L$4:$L$1110),Кўрсаткичлар!$B$4)</f>
        <v>0</v>
      </c>
      <c r="O368" s="30">
        <f>Тўловлар[[#This Row],[Поддон]]*Тўловлар[[#This Row],[Поддон нархи]]</f>
        <v>0</v>
      </c>
      <c r="P368" s="30">
        <f>Тўловлар[[#This Row],[Жами сумма]]-Тўловлар[[#This Row],[Поддон пули]]</f>
        <v>0</v>
      </c>
      <c r="Q3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8" s="9" t="str">
        <f>IFERROR(INDEX(Мижозлар[Агент],MATCH($C368,Мижозлар[Расмий ном],0)),"")</f>
        <v/>
      </c>
    </row>
    <row r="369" spans="6:19" x14ac:dyDescent="0.2">
      <c r="F369" s="198"/>
      <c r="G369" s="9">
        <f>Тўловлар[[#This Row],[Поддон]]*$G$3</f>
        <v>0</v>
      </c>
      <c r="K369" s="9">
        <f>SUM(Тўловлар[[#This Row],[ПР-Сумма]]+Тўловлар[[#This Row],[Накд]]+Тўловлар[[#This Row],[Клик]]+Тўловлар[[#This Row],[Терминал]])</f>
        <v>0</v>
      </c>
      <c r="N369" s="30" cm="1">
        <f t="array" ref="N369">IFERROR(LOOKUP(2,1/((Товар!$D$4:$D$1110=Тўловлар[[#This Row],[Клиент]])*(Товар!$E$4:$E$1110&lt;=Тўловлар[[#This Row],[Дата]])),Товар!$L$4:$L$1110),Кўрсаткичлар!$B$4)</f>
        <v>0</v>
      </c>
      <c r="O369" s="30">
        <f>Тўловлар[[#This Row],[Поддон]]*Тўловлар[[#This Row],[Поддон нархи]]</f>
        <v>0</v>
      </c>
      <c r="P369" s="30">
        <f>Тўловлар[[#This Row],[Жами сумма]]-Тўловлар[[#This Row],[Поддон пули]]</f>
        <v>0</v>
      </c>
      <c r="Q3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69" s="9" t="str">
        <f>IFERROR(INDEX(Мижозлар[Агент],MATCH($C369,Мижозлар[Расмий ном],0)),"")</f>
        <v/>
      </c>
    </row>
    <row r="370" spans="6:19" x14ac:dyDescent="0.2">
      <c r="F370" s="198"/>
      <c r="G370" s="9">
        <f>Тўловлар[[#This Row],[Поддон]]*$G$3</f>
        <v>0</v>
      </c>
      <c r="K370" s="9">
        <f>SUM(Тўловлар[[#This Row],[ПР-Сумма]]+Тўловлар[[#This Row],[Накд]]+Тўловлар[[#This Row],[Клик]]+Тўловлар[[#This Row],[Терминал]])</f>
        <v>0</v>
      </c>
      <c r="N370" s="30" cm="1">
        <f t="array" ref="N370">IFERROR(LOOKUP(2,1/((Товар!$D$4:$D$1110=Тўловлар[[#This Row],[Клиент]])*(Товар!$E$4:$E$1110&lt;=Тўловлар[[#This Row],[Дата]])),Товар!$L$4:$L$1110),Кўрсаткичлар!$B$4)</f>
        <v>0</v>
      </c>
      <c r="O370" s="30">
        <f>Тўловлар[[#This Row],[Поддон]]*Тўловлар[[#This Row],[Поддон нархи]]</f>
        <v>0</v>
      </c>
      <c r="P370" s="30">
        <f>Тўловлар[[#This Row],[Жами сумма]]-Тўловлар[[#This Row],[Поддон пули]]</f>
        <v>0</v>
      </c>
      <c r="Q3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0" s="9" t="str">
        <f>IFERROR(INDEX(Мижозлар[Агент],MATCH($C370,Мижозлар[Расмий ном],0)),"")</f>
        <v/>
      </c>
    </row>
    <row r="371" spans="6:19" x14ac:dyDescent="0.2">
      <c r="F371" s="198"/>
      <c r="G371" s="9">
        <f>Тўловлар[[#This Row],[Поддон]]*$G$3</f>
        <v>0</v>
      </c>
      <c r="K371" s="9">
        <f>SUM(Тўловлар[[#This Row],[ПР-Сумма]]+Тўловлар[[#This Row],[Накд]]+Тўловлар[[#This Row],[Клик]]+Тўловлар[[#This Row],[Терминал]])</f>
        <v>0</v>
      </c>
      <c r="N371" s="30" cm="1">
        <f t="array" ref="N371">IFERROR(LOOKUP(2,1/((Товар!$D$4:$D$1110=Тўловлар[[#This Row],[Клиент]])*(Товар!$E$4:$E$1110&lt;=Тўловлар[[#This Row],[Дата]])),Товар!$L$4:$L$1110),Кўрсаткичлар!$B$4)</f>
        <v>0</v>
      </c>
      <c r="O371" s="30">
        <f>Тўловлар[[#This Row],[Поддон]]*Тўловлар[[#This Row],[Поддон нархи]]</f>
        <v>0</v>
      </c>
      <c r="P371" s="30">
        <f>Тўловлар[[#This Row],[Жами сумма]]-Тўловлар[[#This Row],[Поддон пули]]</f>
        <v>0</v>
      </c>
      <c r="Q3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1" s="9" t="str">
        <f>IFERROR(INDEX(Мижозлар[Агент],MATCH($C371,Мижозлар[Расмий ном],0)),"")</f>
        <v/>
      </c>
    </row>
    <row r="372" spans="6:19" x14ac:dyDescent="0.2">
      <c r="F372" s="198"/>
      <c r="G372" s="9">
        <f>Тўловлар[[#This Row],[Поддон]]*$G$3</f>
        <v>0</v>
      </c>
      <c r="K372" s="9">
        <f>SUM(Тўловлар[[#This Row],[ПР-Сумма]]+Тўловлар[[#This Row],[Накд]]+Тўловлар[[#This Row],[Клик]]+Тўловлар[[#This Row],[Терминал]])</f>
        <v>0</v>
      </c>
      <c r="N372" s="30" cm="1">
        <f t="array" ref="N372">IFERROR(LOOKUP(2,1/((Товар!$D$4:$D$1110=Тўловлар[[#This Row],[Клиент]])*(Товар!$E$4:$E$1110&lt;=Тўловлар[[#This Row],[Дата]])),Товар!$L$4:$L$1110),Кўрсаткичлар!$B$4)</f>
        <v>0</v>
      </c>
      <c r="O372" s="30">
        <f>Тўловлар[[#This Row],[Поддон]]*Тўловлар[[#This Row],[Поддон нархи]]</f>
        <v>0</v>
      </c>
      <c r="P372" s="30">
        <f>Тўловлар[[#This Row],[Жами сумма]]-Тўловлар[[#This Row],[Поддон пули]]</f>
        <v>0</v>
      </c>
      <c r="Q3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2" s="9" t="str">
        <f>IFERROR(INDEX(Мижозлар[Агент],MATCH($C372,Мижозлар[Расмий ном],0)),"")</f>
        <v/>
      </c>
    </row>
    <row r="373" spans="6:19" x14ac:dyDescent="0.2">
      <c r="F373" s="198"/>
      <c r="G373" s="9">
        <f>Тўловлар[[#This Row],[Поддон]]*$G$3</f>
        <v>0</v>
      </c>
      <c r="K373" s="9">
        <f>SUM(Тўловлар[[#This Row],[ПР-Сумма]]+Тўловлар[[#This Row],[Накд]]+Тўловлар[[#This Row],[Клик]]+Тўловлар[[#This Row],[Терминал]])</f>
        <v>0</v>
      </c>
      <c r="N373" s="30" cm="1">
        <f t="array" ref="N373">IFERROR(LOOKUP(2,1/((Товар!$D$4:$D$1110=Тўловлар[[#This Row],[Клиент]])*(Товар!$E$4:$E$1110&lt;=Тўловлар[[#This Row],[Дата]])),Товар!$L$4:$L$1110),Кўрсаткичлар!$B$4)</f>
        <v>0</v>
      </c>
      <c r="O373" s="30">
        <f>Тўловлар[[#This Row],[Поддон]]*Тўловлар[[#This Row],[Поддон нархи]]</f>
        <v>0</v>
      </c>
      <c r="P373" s="30">
        <f>Тўловлар[[#This Row],[Жами сумма]]-Тўловлар[[#This Row],[Поддон пули]]</f>
        <v>0</v>
      </c>
      <c r="Q3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3" s="9" t="str">
        <f>IFERROR(INDEX(Мижозлар[Агент],MATCH($C373,Мижозлар[Расмий ном],0)),"")</f>
        <v/>
      </c>
    </row>
    <row r="374" spans="6:19" x14ac:dyDescent="0.2">
      <c r="F374" s="198"/>
      <c r="G374" s="9">
        <f>Тўловлар[[#This Row],[Поддон]]*$G$3</f>
        <v>0</v>
      </c>
      <c r="K374" s="9">
        <f>SUM(Тўловлар[[#This Row],[ПР-Сумма]]+Тўловлар[[#This Row],[Накд]]+Тўловлар[[#This Row],[Клик]]+Тўловлар[[#This Row],[Терминал]])</f>
        <v>0</v>
      </c>
      <c r="N374" s="30" cm="1">
        <f t="array" ref="N374">IFERROR(LOOKUP(2,1/((Товар!$D$4:$D$1110=Тўловлар[[#This Row],[Клиент]])*(Товар!$E$4:$E$1110&lt;=Тўловлар[[#This Row],[Дата]])),Товар!$L$4:$L$1110),Кўрсаткичлар!$B$4)</f>
        <v>0</v>
      </c>
      <c r="O374" s="30">
        <f>Тўловлар[[#This Row],[Поддон]]*Тўловлар[[#This Row],[Поддон нархи]]</f>
        <v>0</v>
      </c>
      <c r="P374" s="30">
        <f>Тўловлар[[#This Row],[Жами сумма]]-Тўловлар[[#This Row],[Поддон пули]]</f>
        <v>0</v>
      </c>
      <c r="Q3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4" s="9" t="str">
        <f>IFERROR(INDEX(Мижозлар[Агент],MATCH($C374,Мижозлар[Расмий ном],0)),"")</f>
        <v/>
      </c>
    </row>
    <row r="375" spans="6:19" x14ac:dyDescent="0.2">
      <c r="F375" s="198"/>
      <c r="G375" s="9">
        <f>Тўловлар[[#This Row],[Поддон]]*$G$3</f>
        <v>0</v>
      </c>
      <c r="K375" s="9">
        <f>SUM(Тўловлар[[#This Row],[ПР-Сумма]]+Тўловлар[[#This Row],[Накд]]+Тўловлар[[#This Row],[Клик]]+Тўловлар[[#This Row],[Терминал]])</f>
        <v>0</v>
      </c>
      <c r="N375" s="30" cm="1">
        <f t="array" ref="N375">IFERROR(LOOKUP(2,1/((Товар!$D$4:$D$1110=Тўловлар[[#This Row],[Клиент]])*(Товар!$E$4:$E$1110&lt;=Тўловлар[[#This Row],[Дата]])),Товар!$L$4:$L$1110),Кўрсаткичлар!$B$4)</f>
        <v>0</v>
      </c>
      <c r="O375" s="30">
        <f>Тўловлар[[#This Row],[Поддон]]*Тўловлар[[#This Row],[Поддон нархи]]</f>
        <v>0</v>
      </c>
      <c r="P375" s="30">
        <f>Тўловлар[[#This Row],[Жами сумма]]-Тўловлар[[#This Row],[Поддон пули]]</f>
        <v>0</v>
      </c>
      <c r="Q3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5" s="9" t="str">
        <f>IFERROR(INDEX(Мижозлар[Агент],MATCH($C375,Мижозлар[Расмий ном],0)),"")</f>
        <v/>
      </c>
    </row>
    <row r="376" spans="6:19" x14ac:dyDescent="0.2">
      <c r="F376" s="198"/>
      <c r="G376" s="9">
        <f>Тўловлар[[#This Row],[Поддон]]*$G$3</f>
        <v>0</v>
      </c>
      <c r="K376" s="9">
        <f>SUM(Тўловлар[[#This Row],[ПР-Сумма]]+Тўловлар[[#This Row],[Накд]]+Тўловлар[[#This Row],[Клик]]+Тўловлар[[#This Row],[Терминал]])</f>
        <v>0</v>
      </c>
      <c r="N376" s="30" cm="1">
        <f t="array" ref="N376">IFERROR(LOOKUP(2,1/((Товар!$D$4:$D$1110=Тўловлар[[#This Row],[Клиент]])*(Товар!$E$4:$E$1110&lt;=Тўловлар[[#This Row],[Дата]])),Товар!$L$4:$L$1110),Кўрсаткичлар!$B$4)</f>
        <v>0</v>
      </c>
      <c r="O376" s="30">
        <f>Тўловлар[[#This Row],[Поддон]]*Тўловлар[[#This Row],[Поддон нархи]]</f>
        <v>0</v>
      </c>
      <c r="P376" s="30">
        <f>Тўловлар[[#This Row],[Жами сумма]]-Тўловлар[[#This Row],[Поддон пули]]</f>
        <v>0</v>
      </c>
      <c r="Q3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6" s="9" t="str">
        <f>IFERROR(INDEX(Мижозлар[Агент],MATCH($C376,Мижозлар[Расмий ном],0)),"")</f>
        <v/>
      </c>
    </row>
    <row r="377" spans="6:19" x14ac:dyDescent="0.2">
      <c r="F377" s="198"/>
      <c r="G377" s="9">
        <f>Тўловлар[[#This Row],[Поддон]]*$G$3</f>
        <v>0</v>
      </c>
      <c r="K377" s="9">
        <f>SUM(Тўловлар[[#This Row],[ПР-Сумма]]+Тўловлар[[#This Row],[Накд]]+Тўловлар[[#This Row],[Клик]]+Тўловлар[[#This Row],[Терминал]])</f>
        <v>0</v>
      </c>
      <c r="N377" s="30" cm="1">
        <f t="array" ref="N377">IFERROR(LOOKUP(2,1/((Товар!$D$4:$D$1110=Тўловлар[[#This Row],[Клиент]])*(Товар!$E$4:$E$1110&lt;=Тўловлар[[#This Row],[Дата]])),Товар!$L$4:$L$1110),Кўрсаткичлар!$B$4)</f>
        <v>0</v>
      </c>
      <c r="O377" s="30">
        <f>Тўловлар[[#This Row],[Поддон]]*Тўловлар[[#This Row],[Поддон нархи]]</f>
        <v>0</v>
      </c>
      <c r="P377" s="30">
        <f>Тўловлар[[#This Row],[Жами сумма]]-Тўловлар[[#This Row],[Поддон пули]]</f>
        <v>0</v>
      </c>
      <c r="Q3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7" s="9" t="str">
        <f>IFERROR(INDEX(Мижозлар[Агент],MATCH($C377,Мижозлар[Расмий ном],0)),"")</f>
        <v/>
      </c>
    </row>
    <row r="378" spans="6:19" x14ac:dyDescent="0.2">
      <c r="F378" s="198"/>
      <c r="G378" s="9">
        <f>Тўловлар[[#This Row],[Поддон]]*$G$3</f>
        <v>0</v>
      </c>
      <c r="K378" s="9">
        <f>SUM(Тўловлар[[#This Row],[ПР-Сумма]]+Тўловлар[[#This Row],[Накд]]+Тўловлар[[#This Row],[Клик]]+Тўловлар[[#This Row],[Терминал]])</f>
        <v>0</v>
      </c>
      <c r="N378" s="30" cm="1">
        <f t="array" ref="N378">IFERROR(LOOKUP(2,1/((Товар!$D$4:$D$1110=Тўловлар[[#This Row],[Клиент]])*(Товар!$E$4:$E$1110&lt;=Тўловлар[[#This Row],[Дата]])),Товар!$L$4:$L$1110),Кўрсаткичлар!$B$4)</f>
        <v>0</v>
      </c>
      <c r="O378" s="30">
        <f>Тўловлар[[#This Row],[Поддон]]*Тўловлар[[#This Row],[Поддон нархи]]</f>
        <v>0</v>
      </c>
      <c r="P378" s="30">
        <f>Тўловлар[[#This Row],[Жами сумма]]-Тўловлар[[#This Row],[Поддон пули]]</f>
        <v>0</v>
      </c>
      <c r="Q3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8" s="9" t="str">
        <f>IFERROR(INDEX(Мижозлар[Агент],MATCH($C378,Мижозлар[Расмий ном],0)),"")</f>
        <v/>
      </c>
    </row>
    <row r="379" spans="6:19" x14ac:dyDescent="0.2">
      <c r="F379" s="198"/>
      <c r="G379" s="9">
        <f>Тўловлар[[#This Row],[Поддон]]*$G$3</f>
        <v>0</v>
      </c>
      <c r="K379" s="9">
        <f>SUM(Тўловлар[[#This Row],[ПР-Сумма]]+Тўловлар[[#This Row],[Накд]]+Тўловлар[[#This Row],[Клик]]+Тўловлар[[#This Row],[Терминал]])</f>
        <v>0</v>
      </c>
      <c r="N379" s="30" cm="1">
        <f t="array" ref="N379">IFERROR(LOOKUP(2,1/((Товар!$D$4:$D$1110=Тўловлар[[#This Row],[Клиент]])*(Товар!$E$4:$E$1110&lt;=Тўловлар[[#This Row],[Дата]])),Товар!$L$4:$L$1110),Кўрсаткичлар!$B$4)</f>
        <v>0</v>
      </c>
      <c r="O379" s="30">
        <f>Тўловлар[[#This Row],[Поддон]]*Тўловлар[[#This Row],[Поддон нархи]]</f>
        <v>0</v>
      </c>
      <c r="P379" s="30">
        <f>Тўловлар[[#This Row],[Жами сумма]]-Тўловлар[[#This Row],[Поддон пули]]</f>
        <v>0</v>
      </c>
      <c r="Q3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79" s="9" t="str">
        <f>IFERROR(INDEX(Мижозлар[Агент],MATCH($C379,Мижозлар[Расмий ном],0)),"")</f>
        <v/>
      </c>
    </row>
    <row r="380" spans="6:19" x14ac:dyDescent="0.2">
      <c r="F380" s="198"/>
      <c r="G380" s="9">
        <f>Тўловлар[[#This Row],[Поддон]]*$G$3</f>
        <v>0</v>
      </c>
      <c r="K380" s="9">
        <f>SUM(Тўловлар[[#This Row],[ПР-Сумма]]+Тўловлар[[#This Row],[Накд]]+Тўловлар[[#This Row],[Клик]]+Тўловлар[[#This Row],[Терминал]])</f>
        <v>0</v>
      </c>
      <c r="N380" s="30" cm="1">
        <f t="array" ref="N380">IFERROR(LOOKUP(2,1/((Товар!$D$4:$D$1110=Тўловлар[[#This Row],[Клиент]])*(Товар!$E$4:$E$1110&lt;=Тўловлар[[#This Row],[Дата]])),Товар!$L$4:$L$1110),Кўрсаткичлар!$B$4)</f>
        <v>0</v>
      </c>
      <c r="O380" s="30">
        <f>Тўловлар[[#This Row],[Поддон]]*Тўловлар[[#This Row],[Поддон нархи]]</f>
        <v>0</v>
      </c>
      <c r="P380" s="30">
        <f>Тўловлар[[#This Row],[Жами сумма]]-Тўловлар[[#This Row],[Поддон пули]]</f>
        <v>0</v>
      </c>
      <c r="Q3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0" s="9" t="str">
        <f>IFERROR(INDEX(Мижозлар[Агент],MATCH($C380,Мижозлар[Расмий ном],0)),"")</f>
        <v/>
      </c>
    </row>
    <row r="381" spans="6:19" x14ac:dyDescent="0.2">
      <c r="F381" s="198"/>
      <c r="G381" s="9">
        <f>Тўловлар[[#This Row],[Поддон]]*$G$3</f>
        <v>0</v>
      </c>
      <c r="K381" s="9">
        <f>SUM(Тўловлар[[#This Row],[ПР-Сумма]]+Тўловлар[[#This Row],[Накд]]+Тўловлар[[#This Row],[Клик]]+Тўловлар[[#This Row],[Терминал]])</f>
        <v>0</v>
      </c>
      <c r="N381" s="30" cm="1">
        <f t="array" ref="N381">IFERROR(LOOKUP(2,1/((Товар!$D$4:$D$1110=Тўловлар[[#This Row],[Клиент]])*(Товар!$E$4:$E$1110&lt;=Тўловлар[[#This Row],[Дата]])),Товар!$L$4:$L$1110),Кўрсаткичлар!$B$4)</f>
        <v>0</v>
      </c>
      <c r="O381" s="30">
        <f>Тўловлар[[#This Row],[Поддон]]*Тўловлар[[#This Row],[Поддон нархи]]</f>
        <v>0</v>
      </c>
      <c r="P381" s="30">
        <f>Тўловлар[[#This Row],[Жами сумма]]-Тўловлар[[#This Row],[Поддон пули]]</f>
        <v>0</v>
      </c>
      <c r="Q3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1" s="9" t="str">
        <f>IFERROR(INDEX(Мижозлар[Агент],MATCH($C381,Мижозлар[Расмий ном],0)),"")</f>
        <v/>
      </c>
    </row>
    <row r="382" spans="6:19" x14ac:dyDescent="0.2">
      <c r="F382" s="198"/>
      <c r="G382" s="9">
        <f>Тўловлар[[#This Row],[Поддон]]*$G$3</f>
        <v>0</v>
      </c>
      <c r="K382" s="9">
        <f>SUM(Тўловлар[[#This Row],[ПР-Сумма]]+Тўловлар[[#This Row],[Накд]]+Тўловлар[[#This Row],[Клик]]+Тўловлар[[#This Row],[Терминал]])</f>
        <v>0</v>
      </c>
      <c r="N382" s="30" cm="1">
        <f t="array" ref="N382">IFERROR(LOOKUP(2,1/((Товар!$D$4:$D$1110=Тўловлар[[#This Row],[Клиент]])*(Товар!$E$4:$E$1110&lt;=Тўловлар[[#This Row],[Дата]])),Товар!$L$4:$L$1110),Кўрсаткичлар!$B$4)</f>
        <v>0</v>
      </c>
      <c r="O382" s="30">
        <f>Тўловлар[[#This Row],[Поддон]]*Тўловлар[[#This Row],[Поддон нархи]]</f>
        <v>0</v>
      </c>
      <c r="P382" s="30">
        <f>Тўловлар[[#This Row],[Жами сумма]]-Тўловлар[[#This Row],[Поддон пули]]</f>
        <v>0</v>
      </c>
      <c r="Q3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2" s="9" t="str">
        <f>IFERROR(INDEX(Мижозлар[Агент],MATCH($C382,Мижозлар[Расмий ном],0)),"")</f>
        <v/>
      </c>
    </row>
    <row r="383" spans="6:19" x14ac:dyDescent="0.2">
      <c r="F383" s="198"/>
      <c r="G383" s="9">
        <f>Тўловлар[[#This Row],[Поддон]]*$G$3</f>
        <v>0</v>
      </c>
      <c r="K383" s="9">
        <f>SUM(Тўловлар[[#This Row],[ПР-Сумма]]+Тўловлар[[#This Row],[Накд]]+Тўловлар[[#This Row],[Клик]]+Тўловлар[[#This Row],[Терминал]])</f>
        <v>0</v>
      </c>
      <c r="N383" s="30" cm="1">
        <f t="array" ref="N383">IFERROR(LOOKUP(2,1/((Товар!$D$4:$D$1110=Тўловлар[[#This Row],[Клиент]])*(Товар!$E$4:$E$1110&lt;=Тўловлар[[#This Row],[Дата]])),Товар!$L$4:$L$1110),Кўрсаткичлар!$B$4)</f>
        <v>0</v>
      </c>
      <c r="O383" s="30">
        <f>Тўловлар[[#This Row],[Поддон]]*Тўловлар[[#This Row],[Поддон нархи]]</f>
        <v>0</v>
      </c>
      <c r="P383" s="30">
        <f>Тўловлар[[#This Row],[Жами сумма]]-Тўловлар[[#This Row],[Поддон пули]]</f>
        <v>0</v>
      </c>
      <c r="Q3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3" s="9" t="str">
        <f>IFERROR(INDEX(Мижозлар[Агент],MATCH($C383,Мижозлар[Расмий ном],0)),"")</f>
        <v/>
      </c>
    </row>
    <row r="384" spans="6:19" x14ac:dyDescent="0.2">
      <c r="F384" s="198"/>
      <c r="G384" s="9">
        <f>Тўловлар[[#This Row],[Поддон]]*$G$3</f>
        <v>0</v>
      </c>
      <c r="K384" s="9">
        <f>SUM(Тўловлар[[#This Row],[ПР-Сумма]]+Тўловлар[[#This Row],[Накд]]+Тўловлар[[#This Row],[Клик]]+Тўловлар[[#This Row],[Терминал]])</f>
        <v>0</v>
      </c>
      <c r="N384" s="30" cm="1">
        <f t="array" ref="N384">IFERROR(LOOKUP(2,1/((Товар!$D$4:$D$1110=Тўловлар[[#This Row],[Клиент]])*(Товар!$E$4:$E$1110&lt;=Тўловлар[[#This Row],[Дата]])),Товар!$L$4:$L$1110),Кўрсаткичлар!$B$4)</f>
        <v>0</v>
      </c>
      <c r="O384" s="30">
        <f>Тўловлар[[#This Row],[Поддон]]*Тўловлар[[#This Row],[Поддон нархи]]</f>
        <v>0</v>
      </c>
      <c r="P384" s="30">
        <f>Тўловлар[[#This Row],[Жами сумма]]-Тўловлар[[#This Row],[Поддон пули]]</f>
        <v>0</v>
      </c>
      <c r="Q3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4" s="9" t="str">
        <f>IFERROR(INDEX(Мижозлар[Агент],MATCH($C384,Мижозлар[Расмий ном],0)),"")</f>
        <v/>
      </c>
    </row>
    <row r="385" spans="6:19" x14ac:dyDescent="0.2">
      <c r="F385" s="198"/>
      <c r="G385" s="9">
        <f>Тўловлар[[#This Row],[Поддон]]*$G$3</f>
        <v>0</v>
      </c>
      <c r="K385" s="9">
        <f>SUM(Тўловлар[[#This Row],[ПР-Сумма]]+Тўловлар[[#This Row],[Накд]]+Тўловлар[[#This Row],[Клик]]+Тўловлар[[#This Row],[Терминал]])</f>
        <v>0</v>
      </c>
      <c r="N385" s="30" cm="1">
        <f t="array" ref="N385">IFERROR(LOOKUP(2,1/((Товар!$D$4:$D$1110=Тўловлар[[#This Row],[Клиент]])*(Товар!$E$4:$E$1110&lt;=Тўловлар[[#This Row],[Дата]])),Товар!$L$4:$L$1110),Кўрсаткичлар!$B$4)</f>
        <v>0</v>
      </c>
      <c r="O385" s="30">
        <f>Тўловлар[[#This Row],[Поддон]]*Тўловлар[[#This Row],[Поддон нархи]]</f>
        <v>0</v>
      </c>
      <c r="P385" s="30">
        <f>Тўловлар[[#This Row],[Жами сумма]]-Тўловлар[[#This Row],[Поддон пули]]</f>
        <v>0</v>
      </c>
      <c r="Q3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5" s="9" t="str">
        <f>IFERROR(INDEX(Мижозлар[Агент],MATCH($C385,Мижозлар[Расмий ном],0)),"")</f>
        <v/>
      </c>
    </row>
    <row r="386" spans="6:19" x14ac:dyDescent="0.2">
      <c r="F386" s="198"/>
      <c r="G386" s="9">
        <f>Тўловлар[[#This Row],[Поддон]]*$G$3</f>
        <v>0</v>
      </c>
      <c r="K386" s="9">
        <f>SUM(Тўловлар[[#This Row],[ПР-Сумма]]+Тўловлар[[#This Row],[Накд]]+Тўловлар[[#This Row],[Клик]]+Тўловлар[[#This Row],[Терминал]])</f>
        <v>0</v>
      </c>
      <c r="N386" s="30" cm="1">
        <f t="array" ref="N386">IFERROR(LOOKUP(2,1/((Товар!$D$4:$D$1110=Тўловлар[[#This Row],[Клиент]])*(Товар!$E$4:$E$1110&lt;=Тўловлар[[#This Row],[Дата]])),Товар!$L$4:$L$1110),Кўрсаткичлар!$B$4)</f>
        <v>0</v>
      </c>
      <c r="O386" s="30">
        <f>Тўловлар[[#This Row],[Поддон]]*Тўловлар[[#This Row],[Поддон нархи]]</f>
        <v>0</v>
      </c>
      <c r="P386" s="30">
        <f>Тўловлар[[#This Row],[Жами сумма]]-Тўловлар[[#This Row],[Поддон пули]]</f>
        <v>0</v>
      </c>
      <c r="Q3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6" s="9" t="str">
        <f>IFERROR(INDEX(Мижозлар[Агент],MATCH($C386,Мижозлар[Расмий ном],0)),"")</f>
        <v/>
      </c>
    </row>
    <row r="387" spans="6:19" x14ac:dyDescent="0.2">
      <c r="F387" s="198"/>
      <c r="G387" s="9">
        <f>Тўловлар[[#This Row],[Поддон]]*$G$3</f>
        <v>0</v>
      </c>
      <c r="K387" s="9">
        <f>SUM(Тўловлар[[#This Row],[ПР-Сумма]]+Тўловлар[[#This Row],[Накд]]+Тўловлар[[#This Row],[Клик]]+Тўловлар[[#This Row],[Терминал]])</f>
        <v>0</v>
      </c>
      <c r="N387" s="30" cm="1">
        <f t="array" ref="N387">IFERROR(LOOKUP(2,1/((Товар!$D$4:$D$1110=Тўловлар[[#This Row],[Клиент]])*(Товар!$E$4:$E$1110&lt;=Тўловлар[[#This Row],[Дата]])),Товар!$L$4:$L$1110),Кўрсаткичлар!$B$4)</f>
        <v>0</v>
      </c>
      <c r="O387" s="30">
        <f>Тўловлар[[#This Row],[Поддон]]*Тўловлар[[#This Row],[Поддон нархи]]</f>
        <v>0</v>
      </c>
      <c r="P387" s="30">
        <f>Тўловлар[[#This Row],[Жами сумма]]-Тўловлар[[#This Row],[Поддон пули]]</f>
        <v>0</v>
      </c>
      <c r="Q3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7" s="9" t="str">
        <f>IFERROR(INDEX(Мижозлар[Агент],MATCH($C387,Мижозлар[Расмий ном],0)),"")</f>
        <v/>
      </c>
    </row>
    <row r="388" spans="6:19" x14ac:dyDescent="0.2">
      <c r="F388" s="198"/>
      <c r="G388" s="9">
        <f>Тўловлар[[#This Row],[Поддон]]*$G$3</f>
        <v>0</v>
      </c>
      <c r="K388" s="9">
        <f>SUM(Тўловлар[[#This Row],[ПР-Сумма]]+Тўловлар[[#This Row],[Накд]]+Тўловлар[[#This Row],[Клик]]+Тўловлар[[#This Row],[Терминал]])</f>
        <v>0</v>
      </c>
      <c r="N388" s="30" cm="1">
        <f t="array" ref="N388">IFERROR(LOOKUP(2,1/((Товар!$D$4:$D$1110=Тўловлар[[#This Row],[Клиент]])*(Товар!$E$4:$E$1110&lt;=Тўловлар[[#This Row],[Дата]])),Товар!$L$4:$L$1110),Кўрсаткичлар!$B$4)</f>
        <v>0</v>
      </c>
      <c r="O388" s="30">
        <f>Тўловлар[[#This Row],[Поддон]]*Тўловлар[[#This Row],[Поддон нархи]]</f>
        <v>0</v>
      </c>
      <c r="P388" s="30">
        <f>Тўловлар[[#This Row],[Жами сумма]]-Тўловлар[[#This Row],[Поддон пули]]</f>
        <v>0</v>
      </c>
      <c r="Q3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8" s="9" t="str">
        <f>IFERROR(INDEX(Мижозлар[Агент],MATCH($C388,Мижозлар[Расмий ном],0)),"")</f>
        <v/>
      </c>
    </row>
    <row r="389" spans="6:19" x14ac:dyDescent="0.2">
      <c r="F389" s="198"/>
      <c r="G389" s="9">
        <f>Тўловлар[[#This Row],[Поддон]]*$G$3</f>
        <v>0</v>
      </c>
      <c r="K389" s="9">
        <f>SUM(Тўловлар[[#This Row],[ПР-Сумма]]+Тўловлар[[#This Row],[Накд]]+Тўловлар[[#This Row],[Клик]]+Тўловлар[[#This Row],[Терминал]])</f>
        <v>0</v>
      </c>
      <c r="N389" s="30" cm="1">
        <f t="array" ref="N389">IFERROR(LOOKUP(2,1/((Товар!$D$4:$D$1110=Тўловлар[[#This Row],[Клиент]])*(Товар!$E$4:$E$1110&lt;=Тўловлар[[#This Row],[Дата]])),Товар!$L$4:$L$1110),Кўрсаткичлар!$B$4)</f>
        <v>0</v>
      </c>
      <c r="O389" s="30">
        <f>Тўловлар[[#This Row],[Поддон]]*Тўловлар[[#This Row],[Поддон нархи]]</f>
        <v>0</v>
      </c>
      <c r="P389" s="30">
        <f>Тўловлар[[#This Row],[Жами сумма]]-Тўловлар[[#This Row],[Поддон пули]]</f>
        <v>0</v>
      </c>
      <c r="Q3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89" s="9" t="str">
        <f>IFERROR(INDEX(Мижозлар[Агент],MATCH($C389,Мижозлар[Расмий ном],0)),"")</f>
        <v/>
      </c>
    </row>
    <row r="390" spans="6:19" x14ac:dyDescent="0.2">
      <c r="F390" s="198"/>
      <c r="G390" s="9">
        <f>Тўловлар[[#This Row],[Поддон]]*$G$3</f>
        <v>0</v>
      </c>
      <c r="K390" s="9">
        <f>SUM(Тўловлар[[#This Row],[ПР-Сумма]]+Тўловлар[[#This Row],[Накд]]+Тўловлар[[#This Row],[Клик]]+Тўловлар[[#This Row],[Терминал]])</f>
        <v>0</v>
      </c>
      <c r="N390" s="30" cm="1">
        <f t="array" ref="N390">IFERROR(LOOKUP(2,1/((Товар!$D$4:$D$1110=Тўловлар[[#This Row],[Клиент]])*(Товар!$E$4:$E$1110&lt;=Тўловлар[[#This Row],[Дата]])),Товар!$L$4:$L$1110),Кўрсаткичлар!$B$4)</f>
        <v>0</v>
      </c>
      <c r="O390" s="30">
        <f>Тўловлар[[#This Row],[Поддон]]*Тўловлар[[#This Row],[Поддон нархи]]</f>
        <v>0</v>
      </c>
      <c r="P390" s="30">
        <f>Тўловлар[[#This Row],[Жами сумма]]-Тўловлар[[#This Row],[Поддон пули]]</f>
        <v>0</v>
      </c>
      <c r="Q3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0" s="9" t="str">
        <f>IFERROR(INDEX(Мижозлар[Агент],MATCH($C390,Мижозлар[Расмий ном],0)),"")</f>
        <v/>
      </c>
    </row>
    <row r="391" spans="6:19" x14ac:dyDescent="0.2">
      <c r="F391" s="198"/>
      <c r="G391" s="9">
        <f>Тўловлар[[#This Row],[Поддон]]*$G$3</f>
        <v>0</v>
      </c>
      <c r="K391" s="9">
        <f>SUM(Тўловлар[[#This Row],[ПР-Сумма]]+Тўловлар[[#This Row],[Накд]]+Тўловлар[[#This Row],[Клик]]+Тўловлар[[#This Row],[Терминал]])</f>
        <v>0</v>
      </c>
      <c r="N391" s="30" cm="1">
        <f t="array" ref="N391">IFERROR(LOOKUP(2,1/((Товар!$D$4:$D$1110=Тўловлар[[#This Row],[Клиент]])*(Товар!$E$4:$E$1110&lt;=Тўловлар[[#This Row],[Дата]])),Товар!$L$4:$L$1110),Кўрсаткичлар!$B$4)</f>
        <v>0</v>
      </c>
      <c r="O391" s="30">
        <f>Тўловлар[[#This Row],[Поддон]]*Тўловлар[[#This Row],[Поддон нархи]]</f>
        <v>0</v>
      </c>
      <c r="P391" s="30">
        <f>Тўловлар[[#This Row],[Жами сумма]]-Тўловлар[[#This Row],[Поддон пули]]</f>
        <v>0</v>
      </c>
      <c r="Q3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1" s="9" t="str">
        <f>IFERROR(INDEX(Мижозлар[Агент],MATCH($C391,Мижозлар[Расмий ном],0)),"")</f>
        <v/>
      </c>
    </row>
    <row r="392" spans="6:19" x14ac:dyDescent="0.2">
      <c r="F392" s="198"/>
      <c r="G392" s="9">
        <f>Тўловлар[[#This Row],[Поддон]]*$G$3</f>
        <v>0</v>
      </c>
      <c r="K392" s="9">
        <f>SUM(Тўловлар[[#This Row],[ПР-Сумма]]+Тўловлар[[#This Row],[Накд]]+Тўловлар[[#This Row],[Клик]]+Тўловлар[[#This Row],[Терминал]])</f>
        <v>0</v>
      </c>
      <c r="N392" s="30" cm="1">
        <f t="array" ref="N392">IFERROR(LOOKUP(2,1/((Товар!$D$4:$D$1110=Тўловлар[[#This Row],[Клиент]])*(Товар!$E$4:$E$1110&lt;=Тўловлар[[#This Row],[Дата]])),Товар!$L$4:$L$1110),Кўрсаткичлар!$B$4)</f>
        <v>0</v>
      </c>
      <c r="O392" s="30">
        <f>Тўловлар[[#This Row],[Поддон]]*Тўловлар[[#This Row],[Поддон нархи]]</f>
        <v>0</v>
      </c>
      <c r="P392" s="30">
        <f>Тўловлар[[#This Row],[Жами сумма]]-Тўловлар[[#This Row],[Поддон пули]]</f>
        <v>0</v>
      </c>
      <c r="Q3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2" s="9" t="str">
        <f>IFERROR(INDEX(Мижозлар[Агент],MATCH($C392,Мижозлар[Расмий ном],0)),"")</f>
        <v/>
      </c>
    </row>
    <row r="393" spans="6:19" x14ac:dyDescent="0.2">
      <c r="F393" s="198"/>
      <c r="G393" s="9">
        <f>Тўловлар[[#This Row],[Поддон]]*$G$3</f>
        <v>0</v>
      </c>
      <c r="K393" s="9">
        <f>SUM(Тўловлар[[#This Row],[ПР-Сумма]]+Тўловлар[[#This Row],[Накд]]+Тўловлар[[#This Row],[Клик]]+Тўловлар[[#This Row],[Терминал]])</f>
        <v>0</v>
      </c>
      <c r="N393" s="30" cm="1">
        <f t="array" ref="N393">IFERROR(LOOKUP(2,1/((Товар!$D$4:$D$1110=Тўловлар[[#This Row],[Клиент]])*(Товар!$E$4:$E$1110&lt;=Тўловлар[[#This Row],[Дата]])),Товар!$L$4:$L$1110),Кўрсаткичлар!$B$4)</f>
        <v>0</v>
      </c>
      <c r="O393" s="30">
        <f>Тўловлар[[#This Row],[Поддон]]*Тўловлар[[#This Row],[Поддон нархи]]</f>
        <v>0</v>
      </c>
      <c r="P393" s="30">
        <f>Тўловлар[[#This Row],[Жами сумма]]-Тўловлар[[#This Row],[Поддон пули]]</f>
        <v>0</v>
      </c>
      <c r="Q3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3" s="9" t="str">
        <f>IFERROR(INDEX(Мижозлар[Агент],MATCH($C393,Мижозлар[Расмий ном],0)),"")</f>
        <v/>
      </c>
    </row>
    <row r="394" spans="6:19" x14ac:dyDescent="0.2">
      <c r="F394" s="198"/>
      <c r="G394" s="9">
        <f>Тўловлар[[#This Row],[Поддон]]*$G$3</f>
        <v>0</v>
      </c>
      <c r="K394" s="9">
        <f>SUM(Тўловлар[[#This Row],[ПР-Сумма]]+Тўловлар[[#This Row],[Накд]]+Тўловлар[[#This Row],[Клик]]+Тўловлар[[#This Row],[Терминал]])</f>
        <v>0</v>
      </c>
      <c r="N394" s="30" cm="1">
        <f t="array" ref="N394">IFERROR(LOOKUP(2,1/((Товар!$D$4:$D$1110=Тўловлар[[#This Row],[Клиент]])*(Товар!$E$4:$E$1110&lt;=Тўловлар[[#This Row],[Дата]])),Товар!$L$4:$L$1110),Кўрсаткичлар!$B$4)</f>
        <v>0</v>
      </c>
      <c r="O394" s="30">
        <f>Тўловлар[[#This Row],[Поддон]]*Тўловлар[[#This Row],[Поддон нархи]]</f>
        <v>0</v>
      </c>
      <c r="P394" s="30">
        <f>Тўловлар[[#This Row],[Жами сумма]]-Тўловлар[[#This Row],[Поддон пули]]</f>
        <v>0</v>
      </c>
      <c r="Q3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4" s="9" t="str">
        <f>IFERROR(INDEX(Мижозлар[Агент],MATCH($C394,Мижозлар[Расмий ном],0)),"")</f>
        <v/>
      </c>
    </row>
    <row r="395" spans="6:19" x14ac:dyDescent="0.2">
      <c r="F395" s="198"/>
      <c r="G395" s="9">
        <f>Тўловлар[[#This Row],[Поддон]]*$G$3</f>
        <v>0</v>
      </c>
      <c r="K395" s="9">
        <f>SUM(Тўловлар[[#This Row],[ПР-Сумма]]+Тўловлар[[#This Row],[Накд]]+Тўловлар[[#This Row],[Клик]]+Тўловлар[[#This Row],[Терминал]])</f>
        <v>0</v>
      </c>
      <c r="N395" s="30" cm="1">
        <f t="array" ref="N395">IFERROR(LOOKUP(2,1/((Товар!$D$4:$D$1110=Тўловлар[[#This Row],[Клиент]])*(Товар!$E$4:$E$1110&lt;=Тўловлар[[#This Row],[Дата]])),Товар!$L$4:$L$1110),Кўрсаткичлар!$B$4)</f>
        <v>0</v>
      </c>
      <c r="O395" s="30">
        <f>Тўловлар[[#This Row],[Поддон]]*Тўловлар[[#This Row],[Поддон нархи]]</f>
        <v>0</v>
      </c>
      <c r="P395" s="30">
        <f>Тўловлар[[#This Row],[Жами сумма]]-Тўловлар[[#This Row],[Поддон пули]]</f>
        <v>0</v>
      </c>
      <c r="Q3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5" s="9" t="str">
        <f>IFERROR(INDEX(Мижозлар[Агент],MATCH($C395,Мижозлар[Расмий ном],0)),"")</f>
        <v/>
      </c>
    </row>
    <row r="396" spans="6:19" x14ac:dyDescent="0.2">
      <c r="F396" s="198"/>
      <c r="G396" s="9">
        <f>Тўловлар[[#This Row],[Поддон]]*$G$3</f>
        <v>0</v>
      </c>
      <c r="K396" s="9">
        <f>SUM(Тўловлар[[#This Row],[ПР-Сумма]]+Тўловлар[[#This Row],[Накд]]+Тўловлар[[#This Row],[Клик]]+Тўловлар[[#This Row],[Терминал]])</f>
        <v>0</v>
      </c>
      <c r="N396" s="30" cm="1">
        <f t="array" ref="N396">IFERROR(LOOKUP(2,1/((Товар!$D$4:$D$1110=Тўловлар[[#This Row],[Клиент]])*(Товар!$E$4:$E$1110&lt;=Тўловлар[[#This Row],[Дата]])),Товар!$L$4:$L$1110),Кўрсаткичлар!$B$4)</f>
        <v>0</v>
      </c>
      <c r="O396" s="30">
        <f>Тўловлар[[#This Row],[Поддон]]*Тўловлар[[#This Row],[Поддон нархи]]</f>
        <v>0</v>
      </c>
      <c r="P396" s="30">
        <f>Тўловлар[[#This Row],[Жами сумма]]-Тўловлар[[#This Row],[Поддон пули]]</f>
        <v>0</v>
      </c>
      <c r="Q3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6" s="9" t="str">
        <f>IFERROR(INDEX(Мижозлар[Агент],MATCH($C396,Мижозлар[Расмий ном],0)),"")</f>
        <v/>
      </c>
    </row>
    <row r="397" spans="6:19" x14ac:dyDescent="0.2">
      <c r="F397" s="198"/>
      <c r="G397" s="9">
        <f>Тўловлар[[#This Row],[Поддон]]*$G$3</f>
        <v>0</v>
      </c>
      <c r="K397" s="9">
        <f>SUM(Тўловлар[[#This Row],[ПР-Сумма]]+Тўловлар[[#This Row],[Накд]]+Тўловлар[[#This Row],[Клик]]+Тўловлар[[#This Row],[Терминал]])</f>
        <v>0</v>
      </c>
      <c r="N397" s="30" cm="1">
        <f t="array" ref="N397">IFERROR(LOOKUP(2,1/((Товар!$D$4:$D$1110=Тўловлар[[#This Row],[Клиент]])*(Товар!$E$4:$E$1110&lt;=Тўловлар[[#This Row],[Дата]])),Товар!$L$4:$L$1110),Кўрсаткичлар!$B$4)</f>
        <v>0</v>
      </c>
      <c r="O397" s="30">
        <f>Тўловлар[[#This Row],[Поддон]]*Тўловлар[[#This Row],[Поддон нархи]]</f>
        <v>0</v>
      </c>
      <c r="P397" s="30">
        <f>Тўловлар[[#This Row],[Жами сумма]]-Тўловлар[[#This Row],[Поддон пули]]</f>
        <v>0</v>
      </c>
      <c r="Q3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7" s="9" t="str">
        <f>IFERROR(INDEX(Мижозлар[Агент],MATCH($C397,Мижозлар[Расмий ном],0)),"")</f>
        <v/>
      </c>
    </row>
    <row r="398" spans="6:19" x14ac:dyDescent="0.2">
      <c r="F398" s="198"/>
      <c r="G398" s="9">
        <f>Тўловлар[[#This Row],[Поддон]]*$G$3</f>
        <v>0</v>
      </c>
      <c r="K398" s="9">
        <f>SUM(Тўловлар[[#This Row],[ПР-Сумма]]+Тўловлар[[#This Row],[Накд]]+Тўловлар[[#This Row],[Клик]]+Тўловлар[[#This Row],[Терминал]])</f>
        <v>0</v>
      </c>
      <c r="N398" s="30" cm="1">
        <f t="array" ref="N398">IFERROR(LOOKUP(2,1/((Товар!$D$4:$D$1110=Тўловлар[[#This Row],[Клиент]])*(Товар!$E$4:$E$1110&lt;=Тўловлар[[#This Row],[Дата]])),Товар!$L$4:$L$1110),Кўрсаткичлар!$B$4)</f>
        <v>0</v>
      </c>
      <c r="O398" s="30">
        <f>Тўловлар[[#This Row],[Поддон]]*Тўловлар[[#This Row],[Поддон нархи]]</f>
        <v>0</v>
      </c>
      <c r="P398" s="30">
        <f>Тўловлар[[#This Row],[Жами сумма]]-Тўловлар[[#This Row],[Поддон пули]]</f>
        <v>0</v>
      </c>
      <c r="Q3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8" s="9" t="str">
        <f>IFERROR(INDEX(Мижозлар[Агент],MATCH($C398,Мижозлар[Расмий ном],0)),"")</f>
        <v/>
      </c>
    </row>
    <row r="399" spans="6:19" x14ac:dyDescent="0.2">
      <c r="F399" s="198"/>
      <c r="G399" s="9">
        <f>Тўловлар[[#This Row],[Поддон]]*$G$3</f>
        <v>0</v>
      </c>
      <c r="K399" s="9">
        <f>SUM(Тўловлар[[#This Row],[ПР-Сумма]]+Тўловлар[[#This Row],[Накд]]+Тўловлар[[#This Row],[Клик]]+Тўловлар[[#This Row],[Терминал]])</f>
        <v>0</v>
      </c>
      <c r="N399" s="30" cm="1">
        <f t="array" ref="N399">IFERROR(LOOKUP(2,1/((Товар!$D$4:$D$1110=Тўловлар[[#This Row],[Клиент]])*(Товар!$E$4:$E$1110&lt;=Тўловлар[[#This Row],[Дата]])),Товар!$L$4:$L$1110),Кўрсаткичлар!$B$4)</f>
        <v>0</v>
      </c>
      <c r="O399" s="30">
        <f>Тўловлар[[#This Row],[Поддон]]*Тўловлар[[#This Row],[Поддон нархи]]</f>
        <v>0</v>
      </c>
      <c r="P399" s="30">
        <f>Тўловлар[[#This Row],[Жами сумма]]-Тўловлар[[#This Row],[Поддон пули]]</f>
        <v>0</v>
      </c>
      <c r="Q3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3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399" s="9" t="str">
        <f>IFERROR(INDEX(Мижозлар[Агент],MATCH($C399,Мижозлар[Расмий ном],0)),"")</f>
        <v/>
      </c>
    </row>
    <row r="400" spans="6:19" x14ac:dyDescent="0.2">
      <c r="F400" s="198"/>
      <c r="G400" s="9">
        <f>Тўловлар[[#This Row],[Поддон]]*$G$3</f>
        <v>0</v>
      </c>
      <c r="K400" s="9">
        <f>SUM(Тўловлар[[#This Row],[ПР-Сумма]]+Тўловлар[[#This Row],[Накд]]+Тўловлар[[#This Row],[Клик]]+Тўловлар[[#This Row],[Терминал]])</f>
        <v>0</v>
      </c>
      <c r="N400" s="30" cm="1">
        <f t="array" ref="N400">IFERROR(LOOKUP(2,1/((Товар!$D$4:$D$1110=Тўловлар[[#This Row],[Клиент]])*(Товар!$E$4:$E$1110&lt;=Тўловлар[[#This Row],[Дата]])),Товар!$L$4:$L$1110),Кўрсаткичлар!$B$4)</f>
        <v>0</v>
      </c>
      <c r="O400" s="30">
        <f>Тўловлар[[#This Row],[Поддон]]*Тўловлар[[#This Row],[Поддон нархи]]</f>
        <v>0</v>
      </c>
      <c r="P400" s="30">
        <f>Тўловлар[[#This Row],[Жами сумма]]-Тўловлар[[#This Row],[Поддон пули]]</f>
        <v>0</v>
      </c>
      <c r="Q4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0" s="9" t="str">
        <f>IFERROR(INDEX(Мижозлар[Агент],MATCH($C400,Мижозлар[Расмий ном],0)),"")</f>
        <v/>
      </c>
    </row>
    <row r="401" spans="6:19" x14ac:dyDescent="0.2">
      <c r="F401" s="198"/>
      <c r="G401" s="9">
        <f>Тўловлар[[#This Row],[Поддон]]*$G$3</f>
        <v>0</v>
      </c>
      <c r="K401" s="9">
        <f>SUM(Тўловлар[[#This Row],[ПР-Сумма]]+Тўловлар[[#This Row],[Накд]]+Тўловлар[[#This Row],[Клик]]+Тўловлар[[#This Row],[Терминал]])</f>
        <v>0</v>
      </c>
      <c r="N401" s="30" cm="1">
        <f t="array" ref="N401">IFERROR(LOOKUP(2,1/((Товар!$D$4:$D$1110=Тўловлар[[#This Row],[Клиент]])*(Товар!$E$4:$E$1110&lt;=Тўловлар[[#This Row],[Дата]])),Товар!$L$4:$L$1110),Кўрсаткичлар!$B$4)</f>
        <v>0</v>
      </c>
      <c r="O401" s="30">
        <f>Тўловлар[[#This Row],[Поддон]]*Тўловлар[[#This Row],[Поддон нархи]]</f>
        <v>0</v>
      </c>
      <c r="P401" s="30">
        <f>Тўловлар[[#This Row],[Жами сумма]]-Тўловлар[[#This Row],[Поддон пули]]</f>
        <v>0</v>
      </c>
      <c r="Q4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1" s="9" t="str">
        <f>IFERROR(INDEX(Мижозлар[Агент],MATCH($C401,Мижозлар[Расмий ном],0)),"")</f>
        <v/>
      </c>
    </row>
    <row r="402" spans="6:19" x14ac:dyDescent="0.2">
      <c r="F402" s="198"/>
      <c r="G402" s="9">
        <f>Тўловлар[[#This Row],[Поддон]]*$G$3</f>
        <v>0</v>
      </c>
      <c r="K402" s="9">
        <f>SUM(Тўловлар[[#This Row],[ПР-Сумма]]+Тўловлар[[#This Row],[Накд]]+Тўловлар[[#This Row],[Клик]]+Тўловлар[[#This Row],[Терминал]])</f>
        <v>0</v>
      </c>
      <c r="N402" s="30" cm="1">
        <f t="array" ref="N402">IFERROR(LOOKUP(2,1/((Товар!$D$4:$D$1110=Тўловлар[[#This Row],[Клиент]])*(Товар!$E$4:$E$1110&lt;=Тўловлар[[#This Row],[Дата]])),Товар!$L$4:$L$1110),Кўрсаткичлар!$B$4)</f>
        <v>0</v>
      </c>
      <c r="O402" s="30">
        <f>Тўловлар[[#This Row],[Поддон]]*Тўловлар[[#This Row],[Поддон нархи]]</f>
        <v>0</v>
      </c>
      <c r="P402" s="30">
        <f>Тўловлар[[#This Row],[Жами сумма]]-Тўловлар[[#This Row],[Поддон пули]]</f>
        <v>0</v>
      </c>
      <c r="Q4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2" s="9" t="str">
        <f>IFERROR(INDEX(Мижозлар[Агент],MATCH($C402,Мижозлар[Расмий ном],0)),"")</f>
        <v/>
      </c>
    </row>
    <row r="403" spans="6:19" x14ac:dyDescent="0.2">
      <c r="F403" s="198"/>
      <c r="G403" s="9">
        <f>Тўловлар[[#This Row],[Поддон]]*$G$3</f>
        <v>0</v>
      </c>
      <c r="K403" s="9">
        <f>SUM(Тўловлар[[#This Row],[ПР-Сумма]]+Тўловлар[[#This Row],[Накд]]+Тўловлар[[#This Row],[Клик]]+Тўловлар[[#This Row],[Терминал]])</f>
        <v>0</v>
      </c>
      <c r="N403" s="30" cm="1">
        <f t="array" ref="N403">IFERROR(LOOKUP(2,1/((Товар!$D$4:$D$1110=Тўловлар[[#This Row],[Клиент]])*(Товар!$E$4:$E$1110&lt;=Тўловлар[[#This Row],[Дата]])),Товар!$L$4:$L$1110),Кўрсаткичлар!$B$4)</f>
        <v>0</v>
      </c>
      <c r="O403" s="30">
        <f>Тўловлар[[#This Row],[Поддон]]*Тўловлар[[#This Row],[Поддон нархи]]</f>
        <v>0</v>
      </c>
      <c r="P403" s="30">
        <f>Тўловлар[[#This Row],[Жами сумма]]-Тўловлар[[#This Row],[Поддон пули]]</f>
        <v>0</v>
      </c>
      <c r="Q4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3" s="9" t="str">
        <f>IFERROR(INDEX(Мижозлар[Агент],MATCH($C403,Мижозлар[Расмий ном],0)),"")</f>
        <v/>
      </c>
    </row>
    <row r="404" spans="6:19" x14ac:dyDescent="0.2">
      <c r="F404" s="198"/>
      <c r="G404" s="9">
        <f>Тўловлар[[#This Row],[Поддон]]*$G$3</f>
        <v>0</v>
      </c>
      <c r="K404" s="9">
        <f>SUM(Тўловлар[[#This Row],[ПР-Сумма]]+Тўловлар[[#This Row],[Накд]]+Тўловлар[[#This Row],[Клик]]+Тўловлар[[#This Row],[Терминал]])</f>
        <v>0</v>
      </c>
      <c r="N404" s="30" cm="1">
        <f t="array" ref="N404">IFERROR(LOOKUP(2,1/((Товар!$D$4:$D$1110=Тўловлар[[#This Row],[Клиент]])*(Товар!$E$4:$E$1110&lt;=Тўловлар[[#This Row],[Дата]])),Товар!$L$4:$L$1110),Кўрсаткичлар!$B$4)</f>
        <v>0</v>
      </c>
      <c r="O404" s="30">
        <f>Тўловлар[[#This Row],[Поддон]]*Тўловлар[[#This Row],[Поддон нархи]]</f>
        <v>0</v>
      </c>
      <c r="P404" s="30">
        <f>Тўловлар[[#This Row],[Жами сумма]]-Тўловлар[[#This Row],[Поддон пули]]</f>
        <v>0</v>
      </c>
      <c r="Q4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4" s="9" t="str">
        <f>IFERROR(INDEX(Мижозлар[Агент],MATCH($C404,Мижозлар[Расмий ном],0)),"")</f>
        <v/>
      </c>
    </row>
    <row r="405" spans="6:19" x14ac:dyDescent="0.2">
      <c r="F405" s="198"/>
      <c r="G405" s="9">
        <f>Тўловлар[[#This Row],[Поддон]]*$G$3</f>
        <v>0</v>
      </c>
      <c r="K405" s="9">
        <f>SUM(Тўловлар[[#This Row],[ПР-Сумма]]+Тўловлар[[#This Row],[Накд]]+Тўловлар[[#This Row],[Клик]]+Тўловлар[[#This Row],[Терминал]])</f>
        <v>0</v>
      </c>
      <c r="N405" s="30" cm="1">
        <f t="array" ref="N405">IFERROR(LOOKUP(2,1/((Товар!$D$4:$D$1110=Тўловлар[[#This Row],[Клиент]])*(Товар!$E$4:$E$1110&lt;=Тўловлар[[#This Row],[Дата]])),Товар!$L$4:$L$1110),Кўрсаткичлар!$B$4)</f>
        <v>0</v>
      </c>
      <c r="O405" s="30">
        <f>Тўловлар[[#This Row],[Поддон]]*Тўловлар[[#This Row],[Поддон нархи]]</f>
        <v>0</v>
      </c>
      <c r="P405" s="30">
        <f>Тўловлар[[#This Row],[Жами сумма]]-Тўловлар[[#This Row],[Поддон пули]]</f>
        <v>0</v>
      </c>
      <c r="Q4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5" s="9" t="str">
        <f>IFERROR(INDEX(Мижозлар[Агент],MATCH($C405,Мижозлар[Расмий ном],0)),"")</f>
        <v/>
      </c>
    </row>
    <row r="406" spans="6:19" x14ac:dyDescent="0.2">
      <c r="F406" s="198"/>
      <c r="G406" s="9">
        <f>Тўловлар[[#This Row],[Поддон]]*$G$3</f>
        <v>0</v>
      </c>
      <c r="K406" s="9">
        <f>SUM(Тўловлар[[#This Row],[ПР-Сумма]]+Тўловлар[[#This Row],[Накд]]+Тўловлар[[#This Row],[Клик]]+Тўловлар[[#This Row],[Терминал]])</f>
        <v>0</v>
      </c>
      <c r="N406" s="30" cm="1">
        <f t="array" ref="N406">IFERROR(LOOKUP(2,1/((Товар!$D$4:$D$1110=Тўловлар[[#This Row],[Клиент]])*(Товар!$E$4:$E$1110&lt;=Тўловлар[[#This Row],[Дата]])),Товар!$L$4:$L$1110),Кўрсаткичлар!$B$4)</f>
        <v>0</v>
      </c>
      <c r="O406" s="30">
        <f>Тўловлар[[#This Row],[Поддон]]*Тўловлар[[#This Row],[Поддон нархи]]</f>
        <v>0</v>
      </c>
      <c r="P406" s="30">
        <f>Тўловлар[[#This Row],[Жами сумма]]-Тўловлар[[#This Row],[Поддон пули]]</f>
        <v>0</v>
      </c>
      <c r="Q4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6" s="9" t="str">
        <f>IFERROR(INDEX(Мижозлар[Агент],MATCH($C406,Мижозлар[Расмий ном],0)),"")</f>
        <v/>
      </c>
    </row>
    <row r="407" spans="6:19" x14ac:dyDescent="0.2">
      <c r="F407" s="198"/>
      <c r="G407" s="9">
        <f>Тўловлар[[#This Row],[Поддон]]*$G$3</f>
        <v>0</v>
      </c>
      <c r="K407" s="9">
        <f>SUM(Тўловлар[[#This Row],[ПР-Сумма]]+Тўловлар[[#This Row],[Накд]]+Тўловлар[[#This Row],[Клик]]+Тўловлар[[#This Row],[Терминал]])</f>
        <v>0</v>
      </c>
      <c r="N407" s="30" cm="1">
        <f t="array" ref="N407">IFERROR(LOOKUP(2,1/((Товар!$D$4:$D$1110=Тўловлар[[#This Row],[Клиент]])*(Товар!$E$4:$E$1110&lt;=Тўловлар[[#This Row],[Дата]])),Товар!$L$4:$L$1110),Кўрсаткичлар!$B$4)</f>
        <v>0</v>
      </c>
      <c r="O407" s="30">
        <f>Тўловлар[[#This Row],[Поддон]]*Тўловлар[[#This Row],[Поддон нархи]]</f>
        <v>0</v>
      </c>
      <c r="P407" s="30">
        <f>Тўловлар[[#This Row],[Жами сумма]]-Тўловлар[[#This Row],[Поддон пули]]</f>
        <v>0</v>
      </c>
      <c r="Q4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7" s="9" t="str">
        <f>IFERROR(INDEX(Мижозлар[Агент],MATCH($C407,Мижозлар[Расмий ном],0)),"")</f>
        <v/>
      </c>
    </row>
    <row r="408" spans="6:19" x14ac:dyDescent="0.2">
      <c r="F408" s="198"/>
      <c r="G408" s="9">
        <f>Тўловлар[[#This Row],[Поддон]]*$G$3</f>
        <v>0</v>
      </c>
      <c r="K408" s="9">
        <f>SUM(Тўловлар[[#This Row],[ПР-Сумма]]+Тўловлар[[#This Row],[Накд]]+Тўловлар[[#This Row],[Клик]]+Тўловлар[[#This Row],[Терминал]])</f>
        <v>0</v>
      </c>
      <c r="N408" s="30" cm="1">
        <f t="array" ref="N408">IFERROR(LOOKUP(2,1/((Товар!$D$4:$D$1110=Тўловлар[[#This Row],[Клиент]])*(Товар!$E$4:$E$1110&lt;=Тўловлар[[#This Row],[Дата]])),Товар!$L$4:$L$1110),Кўрсаткичлар!$B$4)</f>
        <v>0</v>
      </c>
      <c r="O408" s="30">
        <f>Тўловлар[[#This Row],[Поддон]]*Тўловлар[[#This Row],[Поддон нархи]]</f>
        <v>0</v>
      </c>
      <c r="P408" s="30">
        <f>Тўловлар[[#This Row],[Жами сумма]]-Тўловлар[[#This Row],[Поддон пули]]</f>
        <v>0</v>
      </c>
      <c r="Q4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8" s="9" t="str">
        <f>IFERROR(INDEX(Мижозлар[Агент],MATCH($C408,Мижозлар[Расмий ном],0)),"")</f>
        <v/>
      </c>
    </row>
    <row r="409" spans="6:19" x14ac:dyDescent="0.2">
      <c r="F409" s="198"/>
      <c r="G409" s="9">
        <f>Тўловлар[[#This Row],[Поддон]]*$G$3</f>
        <v>0</v>
      </c>
      <c r="K409" s="9">
        <f>SUM(Тўловлар[[#This Row],[ПР-Сумма]]+Тўловлар[[#This Row],[Накд]]+Тўловлар[[#This Row],[Клик]]+Тўловлар[[#This Row],[Терминал]])</f>
        <v>0</v>
      </c>
      <c r="N409" s="30" cm="1">
        <f t="array" ref="N409">IFERROR(LOOKUP(2,1/((Товар!$D$4:$D$1110=Тўловлар[[#This Row],[Клиент]])*(Товар!$E$4:$E$1110&lt;=Тўловлар[[#This Row],[Дата]])),Товар!$L$4:$L$1110),Кўрсаткичлар!$B$4)</f>
        <v>0</v>
      </c>
      <c r="O409" s="30">
        <f>Тўловлар[[#This Row],[Поддон]]*Тўловлар[[#This Row],[Поддон нархи]]</f>
        <v>0</v>
      </c>
      <c r="P409" s="30">
        <f>Тўловлар[[#This Row],[Жами сумма]]-Тўловлар[[#This Row],[Поддон пули]]</f>
        <v>0</v>
      </c>
      <c r="Q4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09" s="9" t="str">
        <f>IFERROR(INDEX(Мижозлар[Агент],MATCH($C409,Мижозлар[Расмий ном],0)),"")</f>
        <v/>
      </c>
    </row>
    <row r="410" spans="6:19" x14ac:dyDescent="0.2">
      <c r="F410" s="198"/>
      <c r="G410" s="9">
        <f>Тўловлар[[#This Row],[Поддон]]*$G$3</f>
        <v>0</v>
      </c>
      <c r="K410" s="9">
        <f>SUM(Тўловлар[[#This Row],[ПР-Сумма]]+Тўловлар[[#This Row],[Накд]]+Тўловлар[[#This Row],[Клик]]+Тўловлар[[#This Row],[Терминал]])</f>
        <v>0</v>
      </c>
      <c r="N410" s="30" cm="1">
        <f t="array" ref="N410">IFERROR(LOOKUP(2,1/((Товар!$D$4:$D$1110=Тўловлар[[#This Row],[Клиент]])*(Товар!$E$4:$E$1110&lt;=Тўловлар[[#This Row],[Дата]])),Товар!$L$4:$L$1110),Кўрсаткичлар!$B$4)</f>
        <v>0</v>
      </c>
      <c r="O410" s="30">
        <f>Тўловлар[[#This Row],[Поддон]]*Тўловлар[[#This Row],[Поддон нархи]]</f>
        <v>0</v>
      </c>
      <c r="P410" s="30">
        <f>Тўловлар[[#This Row],[Жами сумма]]-Тўловлар[[#This Row],[Поддон пули]]</f>
        <v>0</v>
      </c>
      <c r="Q4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0" s="9" t="str">
        <f>IFERROR(INDEX(Мижозлар[Агент],MATCH($C410,Мижозлар[Расмий ном],0)),"")</f>
        <v/>
      </c>
    </row>
    <row r="411" spans="6:19" x14ac:dyDescent="0.2">
      <c r="F411" s="198"/>
      <c r="G411" s="9">
        <f>Тўловлар[[#This Row],[Поддон]]*$G$3</f>
        <v>0</v>
      </c>
      <c r="K411" s="9">
        <f>SUM(Тўловлар[[#This Row],[ПР-Сумма]]+Тўловлар[[#This Row],[Накд]]+Тўловлар[[#This Row],[Клик]]+Тўловлар[[#This Row],[Терминал]])</f>
        <v>0</v>
      </c>
      <c r="N411" s="30" cm="1">
        <f t="array" ref="N411">IFERROR(LOOKUP(2,1/((Товар!$D$4:$D$1110=Тўловлар[[#This Row],[Клиент]])*(Товар!$E$4:$E$1110&lt;=Тўловлар[[#This Row],[Дата]])),Товар!$L$4:$L$1110),Кўрсаткичлар!$B$4)</f>
        <v>0</v>
      </c>
      <c r="O411" s="30">
        <f>Тўловлар[[#This Row],[Поддон]]*Тўловлар[[#This Row],[Поддон нархи]]</f>
        <v>0</v>
      </c>
      <c r="P411" s="30">
        <f>Тўловлар[[#This Row],[Жами сумма]]-Тўловлар[[#This Row],[Поддон пули]]</f>
        <v>0</v>
      </c>
      <c r="Q4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1" s="9" t="str">
        <f>IFERROR(INDEX(Мижозлар[Агент],MATCH($C411,Мижозлар[Расмий ном],0)),"")</f>
        <v/>
      </c>
    </row>
    <row r="412" spans="6:19" x14ac:dyDescent="0.2">
      <c r="F412" s="198"/>
      <c r="G412" s="9">
        <f>Тўловлар[[#This Row],[Поддон]]*$G$3</f>
        <v>0</v>
      </c>
      <c r="K412" s="9">
        <f>SUM(Тўловлар[[#This Row],[ПР-Сумма]]+Тўловлар[[#This Row],[Накд]]+Тўловлар[[#This Row],[Клик]]+Тўловлар[[#This Row],[Терминал]])</f>
        <v>0</v>
      </c>
      <c r="N412" s="30" cm="1">
        <f t="array" ref="N412">IFERROR(LOOKUP(2,1/((Товар!$D$4:$D$1110=Тўловлар[[#This Row],[Клиент]])*(Товар!$E$4:$E$1110&lt;=Тўловлар[[#This Row],[Дата]])),Товар!$L$4:$L$1110),Кўрсаткичлар!$B$4)</f>
        <v>0</v>
      </c>
      <c r="O412" s="30">
        <f>Тўловлар[[#This Row],[Поддон]]*Тўловлар[[#This Row],[Поддон нархи]]</f>
        <v>0</v>
      </c>
      <c r="P412" s="30">
        <f>Тўловлар[[#This Row],[Жами сумма]]-Тўловлар[[#This Row],[Поддон пули]]</f>
        <v>0</v>
      </c>
      <c r="Q4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2" s="9" t="str">
        <f>IFERROR(INDEX(Мижозлар[Агент],MATCH($C412,Мижозлар[Расмий ном],0)),"")</f>
        <v/>
      </c>
    </row>
    <row r="413" spans="6:19" x14ac:dyDescent="0.2">
      <c r="F413" s="198"/>
      <c r="G413" s="9">
        <f>Тўловлар[[#This Row],[Поддон]]*$G$3</f>
        <v>0</v>
      </c>
      <c r="K413" s="9">
        <f>SUM(Тўловлар[[#This Row],[ПР-Сумма]]+Тўловлар[[#This Row],[Накд]]+Тўловлар[[#This Row],[Клик]]+Тўловлар[[#This Row],[Терминал]])</f>
        <v>0</v>
      </c>
      <c r="N413" s="30" cm="1">
        <f t="array" ref="N413">IFERROR(LOOKUP(2,1/((Товар!$D$4:$D$1110=Тўловлар[[#This Row],[Клиент]])*(Товар!$E$4:$E$1110&lt;=Тўловлар[[#This Row],[Дата]])),Товар!$L$4:$L$1110),Кўрсаткичлар!$B$4)</f>
        <v>0</v>
      </c>
      <c r="O413" s="30">
        <f>Тўловлар[[#This Row],[Поддон]]*Тўловлар[[#This Row],[Поддон нархи]]</f>
        <v>0</v>
      </c>
      <c r="P413" s="30">
        <f>Тўловлар[[#This Row],[Жами сумма]]-Тўловлар[[#This Row],[Поддон пули]]</f>
        <v>0</v>
      </c>
      <c r="Q4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3" s="9" t="str">
        <f>IFERROR(INDEX(Мижозлар[Агент],MATCH($C413,Мижозлар[Расмий ном],0)),"")</f>
        <v/>
      </c>
    </row>
    <row r="414" spans="6:19" x14ac:dyDescent="0.2">
      <c r="F414" s="198"/>
      <c r="G414" s="9">
        <f>Тўловлар[[#This Row],[Поддон]]*$G$3</f>
        <v>0</v>
      </c>
      <c r="K414" s="9">
        <f>SUM(Тўловлар[[#This Row],[ПР-Сумма]]+Тўловлар[[#This Row],[Накд]]+Тўловлар[[#This Row],[Клик]]+Тўловлар[[#This Row],[Терминал]])</f>
        <v>0</v>
      </c>
      <c r="N414" s="30" cm="1">
        <f t="array" ref="N414">IFERROR(LOOKUP(2,1/((Товар!$D$4:$D$1110=Тўловлар[[#This Row],[Клиент]])*(Товар!$E$4:$E$1110&lt;=Тўловлар[[#This Row],[Дата]])),Товар!$L$4:$L$1110),Кўрсаткичлар!$B$4)</f>
        <v>0</v>
      </c>
      <c r="O414" s="30">
        <f>Тўловлар[[#This Row],[Поддон]]*Тўловлар[[#This Row],[Поддон нархи]]</f>
        <v>0</v>
      </c>
      <c r="P414" s="30">
        <f>Тўловлар[[#This Row],[Жами сумма]]-Тўловлар[[#This Row],[Поддон пули]]</f>
        <v>0</v>
      </c>
      <c r="Q4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4" s="9" t="str">
        <f>IFERROR(INDEX(Мижозлар[Агент],MATCH($C414,Мижозлар[Расмий ном],0)),"")</f>
        <v/>
      </c>
    </row>
    <row r="415" spans="6:19" x14ac:dyDescent="0.2">
      <c r="F415" s="198"/>
      <c r="G415" s="9">
        <f>Тўловлар[[#This Row],[Поддон]]*$G$3</f>
        <v>0</v>
      </c>
      <c r="K415" s="9">
        <f>SUM(Тўловлар[[#This Row],[ПР-Сумма]]+Тўловлар[[#This Row],[Накд]]+Тўловлар[[#This Row],[Клик]]+Тўловлар[[#This Row],[Терминал]])</f>
        <v>0</v>
      </c>
      <c r="N415" s="30" cm="1">
        <f t="array" ref="N415">IFERROR(LOOKUP(2,1/((Товар!$D$4:$D$1110=Тўловлар[[#This Row],[Клиент]])*(Товар!$E$4:$E$1110&lt;=Тўловлар[[#This Row],[Дата]])),Товар!$L$4:$L$1110),Кўрсаткичлар!$B$4)</f>
        <v>0</v>
      </c>
      <c r="O415" s="30">
        <f>Тўловлар[[#This Row],[Поддон]]*Тўловлар[[#This Row],[Поддон нархи]]</f>
        <v>0</v>
      </c>
      <c r="P415" s="30">
        <f>Тўловлар[[#This Row],[Жами сумма]]-Тўловлар[[#This Row],[Поддон пули]]</f>
        <v>0</v>
      </c>
      <c r="Q4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5" s="9" t="str">
        <f>IFERROR(INDEX(Мижозлар[Агент],MATCH($C415,Мижозлар[Расмий ном],0)),"")</f>
        <v/>
      </c>
    </row>
    <row r="416" spans="6:19" x14ac:dyDescent="0.2">
      <c r="F416" s="198"/>
      <c r="G416" s="9">
        <f>Тўловлар[[#This Row],[Поддон]]*$G$3</f>
        <v>0</v>
      </c>
      <c r="K416" s="9">
        <f>SUM(Тўловлар[[#This Row],[ПР-Сумма]]+Тўловлар[[#This Row],[Накд]]+Тўловлар[[#This Row],[Клик]]+Тўловлар[[#This Row],[Терминал]])</f>
        <v>0</v>
      </c>
      <c r="N416" s="30" cm="1">
        <f t="array" ref="N416">IFERROR(LOOKUP(2,1/((Товар!$D$4:$D$1110=Тўловлар[[#This Row],[Клиент]])*(Товар!$E$4:$E$1110&lt;=Тўловлар[[#This Row],[Дата]])),Товар!$L$4:$L$1110),Кўрсаткичлар!$B$4)</f>
        <v>0</v>
      </c>
      <c r="O416" s="30">
        <f>Тўловлар[[#This Row],[Поддон]]*Тўловлар[[#This Row],[Поддон нархи]]</f>
        <v>0</v>
      </c>
      <c r="P416" s="30">
        <f>Тўловлар[[#This Row],[Жами сумма]]-Тўловлар[[#This Row],[Поддон пули]]</f>
        <v>0</v>
      </c>
      <c r="Q4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6" s="9" t="str">
        <f>IFERROR(INDEX(Мижозлар[Агент],MATCH($C416,Мижозлар[Расмий ном],0)),"")</f>
        <v/>
      </c>
    </row>
    <row r="417" spans="6:19" x14ac:dyDescent="0.2">
      <c r="F417" s="198"/>
      <c r="G417" s="9">
        <f>Тўловлар[[#This Row],[Поддон]]*$G$3</f>
        <v>0</v>
      </c>
      <c r="K417" s="9">
        <f>SUM(Тўловлар[[#This Row],[ПР-Сумма]]+Тўловлар[[#This Row],[Накд]]+Тўловлар[[#This Row],[Клик]]+Тўловлар[[#This Row],[Терминал]])</f>
        <v>0</v>
      </c>
      <c r="N417" s="30" cm="1">
        <f t="array" ref="N417">IFERROR(LOOKUP(2,1/((Товар!$D$4:$D$1110=Тўловлар[[#This Row],[Клиент]])*(Товар!$E$4:$E$1110&lt;=Тўловлар[[#This Row],[Дата]])),Товар!$L$4:$L$1110),Кўрсаткичлар!$B$4)</f>
        <v>0</v>
      </c>
      <c r="O417" s="30">
        <f>Тўловлар[[#This Row],[Поддон]]*Тўловлар[[#This Row],[Поддон нархи]]</f>
        <v>0</v>
      </c>
      <c r="P417" s="30">
        <f>Тўловлар[[#This Row],[Жами сумма]]-Тўловлар[[#This Row],[Поддон пули]]</f>
        <v>0</v>
      </c>
      <c r="Q4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7" s="9" t="str">
        <f>IFERROR(INDEX(Мижозлар[Агент],MATCH($C417,Мижозлар[Расмий ном],0)),"")</f>
        <v/>
      </c>
    </row>
    <row r="418" spans="6:19" x14ac:dyDescent="0.2">
      <c r="F418" s="198"/>
      <c r="G418" s="9">
        <f>Тўловлар[[#This Row],[Поддон]]*$G$3</f>
        <v>0</v>
      </c>
      <c r="K418" s="9">
        <f>SUM(Тўловлар[[#This Row],[ПР-Сумма]]+Тўловлар[[#This Row],[Накд]]+Тўловлар[[#This Row],[Клик]]+Тўловлар[[#This Row],[Терминал]])</f>
        <v>0</v>
      </c>
      <c r="N418" s="30" cm="1">
        <f t="array" ref="N418">IFERROR(LOOKUP(2,1/((Товар!$D$4:$D$1110=Тўловлар[[#This Row],[Клиент]])*(Товар!$E$4:$E$1110&lt;=Тўловлар[[#This Row],[Дата]])),Товар!$L$4:$L$1110),Кўрсаткичлар!$B$4)</f>
        <v>0</v>
      </c>
      <c r="O418" s="30">
        <f>Тўловлар[[#This Row],[Поддон]]*Тўловлар[[#This Row],[Поддон нархи]]</f>
        <v>0</v>
      </c>
      <c r="P418" s="30">
        <f>Тўловлар[[#This Row],[Жами сумма]]-Тўловлар[[#This Row],[Поддон пули]]</f>
        <v>0</v>
      </c>
      <c r="Q4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8" s="9" t="str">
        <f>IFERROR(INDEX(Мижозлар[Агент],MATCH($C418,Мижозлар[Расмий ном],0)),"")</f>
        <v/>
      </c>
    </row>
    <row r="419" spans="6:19" x14ac:dyDescent="0.2">
      <c r="F419" s="198"/>
      <c r="G419" s="9">
        <f>Тўловлар[[#This Row],[Поддон]]*$G$3</f>
        <v>0</v>
      </c>
      <c r="K419" s="9">
        <f>SUM(Тўловлар[[#This Row],[ПР-Сумма]]+Тўловлар[[#This Row],[Накд]]+Тўловлар[[#This Row],[Клик]]+Тўловлар[[#This Row],[Терминал]])</f>
        <v>0</v>
      </c>
      <c r="N419" s="30" cm="1">
        <f t="array" ref="N419">IFERROR(LOOKUP(2,1/((Товар!$D$4:$D$1110=Тўловлар[[#This Row],[Клиент]])*(Товар!$E$4:$E$1110&lt;=Тўловлар[[#This Row],[Дата]])),Товар!$L$4:$L$1110),Кўрсаткичлар!$B$4)</f>
        <v>0</v>
      </c>
      <c r="O419" s="30">
        <f>Тўловлар[[#This Row],[Поддон]]*Тўловлар[[#This Row],[Поддон нархи]]</f>
        <v>0</v>
      </c>
      <c r="P419" s="30">
        <f>Тўловлар[[#This Row],[Жами сумма]]-Тўловлар[[#This Row],[Поддон пули]]</f>
        <v>0</v>
      </c>
      <c r="Q4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19" s="9" t="str">
        <f>IFERROR(INDEX(Мижозлар[Агент],MATCH($C419,Мижозлар[Расмий ном],0)),"")</f>
        <v/>
      </c>
    </row>
    <row r="420" spans="6:19" x14ac:dyDescent="0.2">
      <c r="F420" s="198"/>
      <c r="G420" s="9">
        <f>Тўловлар[[#This Row],[Поддон]]*$G$3</f>
        <v>0</v>
      </c>
      <c r="K420" s="9">
        <f>SUM(Тўловлар[[#This Row],[ПР-Сумма]]+Тўловлар[[#This Row],[Накд]]+Тўловлар[[#This Row],[Клик]]+Тўловлар[[#This Row],[Терминал]])</f>
        <v>0</v>
      </c>
      <c r="N420" s="30" cm="1">
        <f t="array" ref="N420">IFERROR(LOOKUP(2,1/((Товар!$D$4:$D$1110=Тўловлар[[#This Row],[Клиент]])*(Товар!$E$4:$E$1110&lt;=Тўловлар[[#This Row],[Дата]])),Товар!$L$4:$L$1110),Кўрсаткичлар!$B$4)</f>
        <v>0</v>
      </c>
      <c r="O420" s="30">
        <f>Тўловлар[[#This Row],[Поддон]]*Тўловлар[[#This Row],[Поддон нархи]]</f>
        <v>0</v>
      </c>
      <c r="P420" s="30">
        <f>Тўловлар[[#This Row],[Жами сумма]]-Тўловлар[[#This Row],[Поддон пули]]</f>
        <v>0</v>
      </c>
      <c r="Q4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0" s="9" t="str">
        <f>IFERROR(INDEX(Мижозлар[Агент],MATCH($C420,Мижозлар[Расмий ном],0)),"")</f>
        <v/>
      </c>
    </row>
    <row r="421" spans="6:19" x14ac:dyDescent="0.2">
      <c r="F421" s="198"/>
      <c r="G421" s="9">
        <f>Тўловлар[[#This Row],[Поддон]]*$G$3</f>
        <v>0</v>
      </c>
      <c r="K421" s="9">
        <f>SUM(Тўловлар[[#This Row],[ПР-Сумма]]+Тўловлар[[#This Row],[Накд]]+Тўловлар[[#This Row],[Клик]]+Тўловлар[[#This Row],[Терминал]])</f>
        <v>0</v>
      </c>
      <c r="N421" s="30" cm="1">
        <f t="array" ref="N421">IFERROR(LOOKUP(2,1/((Товар!$D$4:$D$1110=Тўловлар[[#This Row],[Клиент]])*(Товар!$E$4:$E$1110&lt;=Тўловлар[[#This Row],[Дата]])),Товар!$L$4:$L$1110),Кўрсаткичлар!$B$4)</f>
        <v>0</v>
      </c>
      <c r="O421" s="30">
        <f>Тўловлар[[#This Row],[Поддон]]*Тўловлар[[#This Row],[Поддон нархи]]</f>
        <v>0</v>
      </c>
      <c r="P421" s="30">
        <f>Тўловлар[[#This Row],[Жами сумма]]-Тўловлар[[#This Row],[Поддон пули]]</f>
        <v>0</v>
      </c>
      <c r="Q4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1" s="9" t="str">
        <f>IFERROR(INDEX(Мижозлар[Агент],MATCH($C421,Мижозлар[Расмий ном],0)),"")</f>
        <v/>
      </c>
    </row>
    <row r="422" spans="6:19" x14ac:dyDescent="0.2">
      <c r="F422" s="198"/>
      <c r="G422" s="9">
        <f>Тўловлар[[#This Row],[Поддон]]*$G$3</f>
        <v>0</v>
      </c>
      <c r="K422" s="9">
        <f>SUM(Тўловлар[[#This Row],[ПР-Сумма]]+Тўловлар[[#This Row],[Накд]]+Тўловлар[[#This Row],[Клик]]+Тўловлар[[#This Row],[Терминал]])</f>
        <v>0</v>
      </c>
      <c r="N422" s="30" cm="1">
        <f t="array" ref="N422">IFERROR(LOOKUP(2,1/((Товар!$D$4:$D$1110=Тўловлар[[#This Row],[Клиент]])*(Товар!$E$4:$E$1110&lt;=Тўловлар[[#This Row],[Дата]])),Товар!$L$4:$L$1110),Кўрсаткичлар!$B$4)</f>
        <v>0</v>
      </c>
      <c r="O422" s="30">
        <f>Тўловлар[[#This Row],[Поддон]]*Тўловлар[[#This Row],[Поддон нархи]]</f>
        <v>0</v>
      </c>
      <c r="P422" s="30">
        <f>Тўловлар[[#This Row],[Жами сумма]]-Тўловлар[[#This Row],[Поддон пули]]</f>
        <v>0</v>
      </c>
      <c r="Q4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2" s="9" t="str">
        <f>IFERROR(INDEX(Мижозлар[Агент],MATCH($C422,Мижозлар[Расмий ном],0)),"")</f>
        <v/>
      </c>
    </row>
    <row r="423" spans="6:19" x14ac:dyDescent="0.2">
      <c r="F423" s="198"/>
      <c r="G423" s="9">
        <f>Тўловлар[[#This Row],[Поддон]]*$G$3</f>
        <v>0</v>
      </c>
      <c r="K423" s="9">
        <f>SUM(Тўловлар[[#This Row],[ПР-Сумма]]+Тўловлар[[#This Row],[Накд]]+Тўловлар[[#This Row],[Клик]]+Тўловлар[[#This Row],[Терминал]])</f>
        <v>0</v>
      </c>
      <c r="N423" s="30" cm="1">
        <f t="array" ref="N423">IFERROR(LOOKUP(2,1/((Товар!$D$4:$D$1110=Тўловлар[[#This Row],[Клиент]])*(Товар!$E$4:$E$1110&lt;=Тўловлар[[#This Row],[Дата]])),Товар!$L$4:$L$1110),Кўрсаткичлар!$B$4)</f>
        <v>0</v>
      </c>
      <c r="O423" s="30">
        <f>Тўловлар[[#This Row],[Поддон]]*Тўловлар[[#This Row],[Поддон нархи]]</f>
        <v>0</v>
      </c>
      <c r="P423" s="30">
        <f>Тўловлар[[#This Row],[Жами сумма]]-Тўловлар[[#This Row],[Поддон пули]]</f>
        <v>0</v>
      </c>
      <c r="Q4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3" s="9" t="str">
        <f>IFERROR(INDEX(Мижозлар[Агент],MATCH($C423,Мижозлар[Расмий ном],0)),"")</f>
        <v/>
      </c>
    </row>
    <row r="424" spans="6:19" x14ac:dyDescent="0.2">
      <c r="F424" s="198"/>
      <c r="G424" s="9">
        <f>Тўловлар[[#This Row],[Поддон]]*$G$3</f>
        <v>0</v>
      </c>
      <c r="K424" s="9">
        <f>SUM(Тўловлар[[#This Row],[ПР-Сумма]]+Тўловлар[[#This Row],[Накд]]+Тўловлар[[#This Row],[Клик]]+Тўловлар[[#This Row],[Терминал]])</f>
        <v>0</v>
      </c>
      <c r="N424" s="30" cm="1">
        <f t="array" ref="N424">IFERROR(LOOKUP(2,1/((Товар!$D$4:$D$1110=Тўловлар[[#This Row],[Клиент]])*(Товар!$E$4:$E$1110&lt;=Тўловлар[[#This Row],[Дата]])),Товар!$L$4:$L$1110),Кўрсаткичлар!$B$4)</f>
        <v>0</v>
      </c>
      <c r="O424" s="30">
        <f>Тўловлар[[#This Row],[Поддон]]*Тўловлар[[#This Row],[Поддон нархи]]</f>
        <v>0</v>
      </c>
      <c r="P424" s="30">
        <f>Тўловлар[[#This Row],[Жами сумма]]-Тўловлар[[#This Row],[Поддон пули]]</f>
        <v>0</v>
      </c>
      <c r="Q4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4" s="9" t="str">
        <f>IFERROR(INDEX(Мижозлар[Агент],MATCH($C424,Мижозлар[Расмий ном],0)),"")</f>
        <v/>
      </c>
    </row>
    <row r="425" spans="6:19" x14ac:dyDescent="0.2">
      <c r="F425" s="198"/>
      <c r="G425" s="9">
        <f>Тўловлар[[#This Row],[Поддон]]*$G$3</f>
        <v>0</v>
      </c>
      <c r="K425" s="9">
        <f>SUM(Тўловлар[[#This Row],[ПР-Сумма]]+Тўловлар[[#This Row],[Накд]]+Тўловлар[[#This Row],[Клик]]+Тўловлар[[#This Row],[Терминал]])</f>
        <v>0</v>
      </c>
      <c r="N425" s="30" cm="1">
        <f t="array" ref="N425">IFERROR(LOOKUP(2,1/((Товар!$D$4:$D$1110=Тўловлар[[#This Row],[Клиент]])*(Товар!$E$4:$E$1110&lt;=Тўловлар[[#This Row],[Дата]])),Товар!$L$4:$L$1110),Кўрсаткичлар!$B$4)</f>
        <v>0</v>
      </c>
      <c r="O425" s="30">
        <f>Тўловлар[[#This Row],[Поддон]]*Тўловлар[[#This Row],[Поддон нархи]]</f>
        <v>0</v>
      </c>
      <c r="P425" s="30">
        <f>Тўловлар[[#This Row],[Жами сумма]]-Тўловлар[[#This Row],[Поддон пули]]</f>
        <v>0</v>
      </c>
      <c r="Q4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5" s="9" t="str">
        <f>IFERROR(INDEX(Мижозлар[Агент],MATCH($C425,Мижозлар[Расмий ном],0)),"")</f>
        <v/>
      </c>
    </row>
    <row r="426" spans="6:19" x14ac:dyDescent="0.2">
      <c r="F426" s="198"/>
      <c r="G426" s="9">
        <f>Тўловлар[[#This Row],[Поддон]]*$G$3</f>
        <v>0</v>
      </c>
      <c r="K426" s="9">
        <f>SUM(Тўловлар[[#This Row],[ПР-Сумма]]+Тўловлар[[#This Row],[Накд]]+Тўловлар[[#This Row],[Клик]]+Тўловлар[[#This Row],[Терминал]])</f>
        <v>0</v>
      </c>
      <c r="N426" s="30" cm="1">
        <f t="array" ref="N426">IFERROR(LOOKUP(2,1/((Товар!$D$4:$D$1110=Тўловлар[[#This Row],[Клиент]])*(Товар!$E$4:$E$1110&lt;=Тўловлар[[#This Row],[Дата]])),Товар!$L$4:$L$1110),Кўрсаткичлар!$B$4)</f>
        <v>0</v>
      </c>
      <c r="O426" s="30">
        <f>Тўловлар[[#This Row],[Поддон]]*Тўловлар[[#This Row],[Поддон нархи]]</f>
        <v>0</v>
      </c>
      <c r="P426" s="30">
        <f>Тўловлар[[#This Row],[Жами сумма]]-Тўловлар[[#This Row],[Поддон пули]]</f>
        <v>0</v>
      </c>
      <c r="Q4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6" s="9" t="str">
        <f>IFERROR(INDEX(Мижозлар[Агент],MATCH($C426,Мижозлар[Расмий ном],0)),"")</f>
        <v/>
      </c>
    </row>
    <row r="427" spans="6:19" x14ac:dyDescent="0.2">
      <c r="F427" s="198"/>
      <c r="G427" s="9">
        <f>Тўловлар[[#This Row],[Поддон]]*$G$3</f>
        <v>0</v>
      </c>
      <c r="K427" s="9">
        <f>SUM(Тўловлар[[#This Row],[ПР-Сумма]]+Тўловлар[[#This Row],[Накд]]+Тўловлар[[#This Row],[Клик]]+Тўловлар[[#This Row],[Терминал]])</f>
        <v>0</v>
      </c>
      <c r="N427" s="30" cm="1">
        <f t="array" ref="N427">IFERROR(LOOKUP(2,1/((Товар!$D$4:$D$1110=Тўловлар[[#This Row],[Клиент]])*(Товар!$E$4:$E$1110&lt;=Тўловлар[[#This Row],[Дата]])),Товар!$L$4:$L$1110),Кўрсаткичлар!$B$4)</f>
        <v>0</v>
      </c>
      <c r="O427" s="30">
        <f>Тўловлар[[#This Row],[Поддон]]*Тўловлар[[#This Row],[Поддон нархи]]</f>
        <v>0</v>
      </c>
      <c r="P427" s="30">
        <f>Тўловлар[[#This Row],[Жами сумма]]-Тўловлар[[#This Row],[Поддон пули]]</f>
        <v>0</v>
      </c>
      <c r="Q4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7" s="9" t="str">
        <f>IFERROR(INDEX(Мижозлар[Агент],MATCH($C427,Мижозлар[Расмий ном],0)),"")</f>
        <v/>
      </c>
    </row>
    <row r="428" spans="6:19" x14ac:dyDescent="0.2">
      <c r="F428" s="198"/>
      <c r="G428" s="9">
        <f>Тўловлар[[#This Row],[Поддон]]*$G$3</f>
        <v>0</v>
      </c>
      <c r="K428" s="9">
        <f>SUM(Тўловлар[[#This Row],[ПР-Сумма]]+Тўловлар[[#This Row],[Накд]]+Тўловлар[[#This Row],[Клик]]+Тўловлар[[#This Row],[Терминал]])</f>
        <v>0</v>
      </c>
      <c r="N428" s="30" cm="1">
        <f t="array" ref="N428">IFERROR(LOOKUP(2,1/((Товар!$D$4:$D$1110=Тўловлар[[#This Row],[Клиент]])*(Товар!$E$4:$E$1110&lt;=Тўловлар[[#This Row],[Дата]])),Товар!$L$4:$L$1110),Кўрсаткичлар!$B$4)</f>
        <v>0</v>
      </c>
      <c r="O428" s="30">
        <f>Тўловлар[[#This Row],[Поддон]]*Тўловлар[[#This Row],[Поддон нархи]]</f>
        <v>0</v>
      </c>
      <c r="P428" s="30">
        <f>Тўловлар[[#This Row],[Жами сумма]]-Тўловлар[[#This Row],[Поддон пули]]</f>
        <v>0</v>
      </c>
      <c r="Q4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8" s="9" t="str">
        <f>IFERROR(INDEX(Мижозлар[Агент],MATCH($C428,Мижозлар[Расмий ном],0)),"")</f>
        <v/>
      </c>
    </row>
    <row r="429" spans="6:19" x14ac:dyDescent="0.2">
      <c r="F429" s="198"/>
      <c r="G429" s="9">
        <f>Тўловлар[[#This Row],[Поддон]]*$G$3</f>
        <v>0</v>
      </c>
      <c r="K429" s="9">
        <f>SUM(Тўловлар[[#This Row],[ПР-Сумма]]+Тўловлар[[#This Row],[Накд]]+Тўловлар[[#This Row],[Клик]]+Тўловлар[[#This Row],[Терминал]])</f>
        <v>0</v>
      </c>
      <c r="N429" s="30" cm="1">
        <f t="array" ref="N429">IFERROR(LOOKUP(2,1/((Товар!$D$4:$D$1110=Тўловлар[[#This Row],[Клиент]])*(Товар!$E$4:$E$1110&lt;=Тўловлар[[#This Row],[Дата]])),Товар!$L$4:$L$1110),Кўрсаткичлар!$B$4)</f>
        <v>0</v>
      </c>
      <c r="O429" s="30">
        <f>Тўловлар[[#This Row],[Поддон]]*Тўловлар[[#This Row],[Поддон нархи]]</f>
        <v>0</v>
      </c>
      <c r="P429" s="30">
        <f>Тўловлар[[#This Row],[Жами сумма]]-Тўловлар[[#This Row],[Поддон пули]]</f>
        <v>0</v>
      </c>
      <c r="Q4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29" s="9" t="str">
        <f>IFERROR(INDEX(Мижозлар[Агент],MATCH($C429,Мижозлар[Расмий ном],0)),"")</f>
        <v/>
      </c>
    </row>
    <row r="430" spans="6:19" x14ac:dyDescent="0.2">
      <c r="F430" s="198"/>
      <c r="G430" s="9">
        <f>Тўловлар[[#This Row],[Поддон]]*$G$3</f>
        <v>0</v>
      </c>
      <c r="K430" s="9">
        <f>SUM(Тўловлар[[#This Row],[ПР-Сумма]]+Тўловлар[[#This Row],[Накд]]+Тўловлар[[#This Row],[Клик]]+Тўловлар[[#This Row],[Терминал]])</f>
        <v>0</v>
      </c>
      <c r="N430" s="30" cm="1">
        <f t="array" ref="N430">IFERROR(LOOKUP(2,1/((Товар!$D$4:$D$1110=Тўловлар[[#This Row],[Клиент]])*(Товар!$E$4:$E$1110&lt;=Тўловлар[[#This Row],[Дата]])),Товар!$L$4:$L$1110),Кўрсаткичлар!$B$4)</f>
        <v>0</v>
      </c>
      <c r="O430" s="30">
        <f>Тўловлар[[#This Row],[Поддон]]*Тўловлар[[#This Row],[Поддон нархи]]</f>
        <v>0</v>
      </c>
      <c r="P430" s="30">
        <f>Тўловлар[[#This Row],[Жами сумма]]-Тўловлар[[#This Row],[Поддон пули]]</f>
        <v>0</v>
      </c>
      <c r="Q4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0" s="9" t="str">
        <f>IFERROR(INDEX(Мижозлар[Агент],MATCH($C430,Мижозлар[Расмий ном],0)),"")</f>
        <v/>
      </c>
    </row>
    <row r="431" spans="6:19" x14ac:dyDescent="0.2">
      <c r="F431" s="198"/>
      <c r="G431" s="9">
        <f>Тўловлар[[#This Row],[Поддон]]*$G$3</f>
        <v>0</v>
      </c>
      <c r="K431" s="9">
        <f>SUM(Тўловлар[[#This Row],[ПР-Сумма]]+Тўловлар[[#This Row],[Накд]]+Тўловлар[[#This Row],[Клик]]+Тўловлар[[#This Row],[Терминал]])</f>
        <v>0</v>
      </c>
      <c r="N431" s="30" cm="1">
        <f t="array" ref="N431">IFERROR(LOOKUP(2,1/((Товар!$D$4:$D$1110=Тўловлар[[#This Row],[Клиент]])*(Товар!$E$4:$E$1110&lt;=Тўловлар[[#This Row],[Дата]])),Товар!$L$4:$L$1110),Кўрсаткичлар!$B$4)</f>
        <v>0</v>
      </c>
      <c r="O431" s="30">
        <f>Тўловлар[[#This Row],[Поддон]]*Тўловлар[[#This Row],[Поддон нархи]]</f>
        <v>0</v>
      </c>
      <c r="P431" s="30">
        <f>Тўловлар[[#This Row],[Жами сумма]]-Тўловлар[[#This Row],[Поддон пули]]</f>
        <v>0</v>
      </c>
      <c r="Q4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1" s="9" t="str">
        <f>IFERROR(INDEX(Мижозлар[Агент],MATCH($C431,Мижозлар[Расмий ном],0)),"")</f>
        <v/>
      </c>
    </row>
    <row r="432" spans="6:19" x14ac:dyDescent="0.2">
      <c r="F432" s="198"/>
      <c r="G432" s="9">
        <f>Тўловлар[[#This Row],[Поддон]]*$G$3</f>
        <v>0</v>
      </c>
      <c r="K432" s="9">
        <f>SUM(Тўловлар[[#This Row],[ПР-Сумма]]+Тўловлар[[#This Row],[Накд]]+Тўловлар[[#This Row],[Клик]]+Тўловлар[[#This Row],[Терминал]])</f>
        <v>0</v>
      </c>
      <c r="N432" s="30" cm="1">
        <f t="array" ref="N432">IFERROR(LOOKUP(2,1/((Товар!$D$4:$D$1110=Тўловлар[[#This Row],[Клиент]])*(Товар!$E$4:$E$1110&lt;=Тўловлар[[#This Row],[Дата]])),Товар!$L$4:$L$1110),Кўрсаткичлар!$B$4)</f>
        <v>0</v>
      </c>
      <c r="O432" s="30">
        <f>Тўловлар[[#This Row],[Поддон]]*Тўловлар[[#This Row],[Поддон нархи]]</f>
        <v>0</v>
      </c>
      <c r="P432" s="30">
        <f>Тўловлар[[#This Row],[Жами сумма]]-Тўловлар[[#This Row],[Поддон пули]]</f>
        <v>0</v>
      </c>
      <c r="Q4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2" s="9" t="str">
        <f>IFERROR(INDEX(Мижозлар[Агент],MATCH($C432,Мижозлар[Расмий ном],0)),"")</f>
        <v/>
      </c>
    </row>
    <row r="433" spans="6:19" x14ac:dyDescent="0.2">
      <c r="F433" s="198"/>
      <c r="G433" s="9">
        <f>Тўловлар[[#This Row],[Поддон]]*$G$3</f>
        <v>0</v>
      </c>
      <c r="K433" s="9">
        <f>SUM(Тўловлар[[#This Row],[ПР-Сумма]]+Тўловлар[[#This Row],[Накд]]+Тўловлар[[#This Row],[Клик]]+Тўловлар[[#This Row],[Терминал]])</f>
        <v>0</v>
      </c>
      <c r="N433" s="30" cm="1">
        <f t="array" ref="N433">IFERROR(LOOKUP(2,1/((Товар!$D$4:$D$1110=Тўловлар[[#This Row],[Клиент]])*(Товар!$E$4:$E$1110&lt;=Тўловлар[[#This Row],[Дата]])),Товар!$L$4:$L$1110),Кўрсаткичлар!$B$4)</f>
        <v>0</v>
      </c>
      <c r="O433" s="30">
        <f>Тўловлар[[#This Row],[Поддон]]*Тўловлар[[#This Row],[Поддон нархи]]</f>
        <v>0</v>
      </c>
      <c r="P433" s="30">
        <f>Тўловлар[[#This Row],[Жами сумма]]-Тўловлар[[#This Row],[Поддон пули]]</f>
        <v>0</v>
      </c>
      <c r="Q4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3" s="9" t="str">
        <f>IFERROR(INDEX(Мижозлар[Агент],MATCH($C433,Мижозлар[Расмий ном],0)),"")</f>
        <v/>
      </c>
    </row>
    <row r="434" spans="6:19" x14ac:dyDescent="0.2">
      <c r="F434" s="198"/>
      <c r="G434" s="9">
        <f>Тўловлар[[#This Row],[Поддон]]*$G$3</f>
        <v>0</v>
      </c>
      <c r="K434" s="9">
        <f>SUM(Тўловлар[[#This Row],[ПР-Сумма]]+Тўловлар[[#This Row],[Накд]]+Тўловлар[[#This Row],[Клик]]+Тўловлар[[#This Row],[Терминал]])</f>
        <v>0</v>
      </c>
      <c r="N434" s="30" cm="1">
        <f t="array" ref="N434">IFERROR(LOOKUP(2,1/((Товар!$D$4:$D$1110=Тўловлар[[#This Row],[Клиент]])*(Товар!$E$4:$E$1110&lt;=Тўловлар[[#This Row],[Дата]])),Товар!$L$4:$L$1110),Кўрсаткичлар!$B$4)</f>
        <v>0</v>
      </c>
      <c r="O434" s="30">
        <f>Тўловлар[[#This Row],[Поддон]]*Тўловлар[[#This Row],[Поддон нархи]]</f>
        <v>0</v>
      </c>
      <c r="P434" s="30">
        <f>Тўловлар[[#This Row],[Жами сумма]]-Тўловлар[[#This Row],[Поддон пули]]</f>
        <v>0</v>
      </c>
      <c r="Q4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4" s="9" t="str">
        <f>IFERROR(INDEX(Мижозлар[Агент],MATCH($C434,Мижозлар[Расмий ном],0)),"")</f>
        <v/>
      </c>
    </row>
    <row r="435" spans="6:19" x14ac:dyDescent="0.2">
      <c r="F435" s="198"/>
      <c r="G435" s="9">
        <f>Тўловлар[[#This Row],[Поддон]]*$G$3</f>
        <v>0</v>
      </c>
      <c r="K435" s="9">
        <f>SUM(Тўловлар[[#This Row],[ПР-Сумма]]+Тўловлар[[#This Row],[Накд]]+Тўловлар[[#This Row],[Клик]]+Тўловлар[[#This Row],[Терминал]])</f>
        <v>0</v>
      </c>
      <c r="N435" s="30" cm="1">
        <f t="array" ref="N435">IFERROR(LOOKUP(2,1/((Товар!$D$4:$D$1110=Тўловлар[[#This Row],[Клиент]])*(Товар!$E$4:$E$1110&lt;=Тўловлар[[#This Row],[Дата]])),Товар!$L$4:$L$1110),Кўрсаткичлар!$B$4)</f>
        <v>0</v>
      </c>
      <c r="O435" s="30">
        <f>Тўловлар[[#This Row],[Поддон]]*Тўловлар[[#This Row],[Поддон нархи]]</f>
        <v>0</v>
      </c>
      <c r="P435" s="30">
        <f>Тўловлар[[#This Row],[Жами сумма]]-Тўловлар[[#This Row],[Поддон пули]]</f>
        <v>0</v>
      </c>
      <c r="Q4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5" s="9" t="str">
        <f>IFERROR(INDEX(Мижозлар[Агент],MATCH($C435,Мижозлар[Расмий ном],0)),"")</f>
        <v/>
      </c>
    </row>
    <row r="436" spans="6:19" x14ac:dyDescent="0.2">
      <c r="F436" s="198"/>
      <c r="G436" s="9">
        <f>Тўловлар[[#This Row],[Поддон]]*$G$3</f>
        <v>0</v>
      </c>
      <c r="K436" s="9">
        <f>SUM(Тўловлар[[#This Row],[ПР-Сумма]]+Тўловлар[[#This Row],[Накд]]+Тўловлар[[#This Row],[Клик]]+Тўловлар[[#This Row],[Терминал]])</f>
        <v>0</v>
      </c>
      <c r="N436" s="30" cm="1">
        <f t="array" ref="N436">IFERROR(LOOKUP(2,1/((Товар!$D$4:$D$1110=Тўловлар[[#This Row],[Клиент]])*(Товар!$E$4:$E$1110&lt;=Тўловлар[[#This Row],[Дата]])),Товар!$L$4:$L$1110),Кўрсаткичлар!$B$4)</f>
        <v>0</v>
      </c>
      <c r="O436" s="30">
        <f>Тўловлар[[#This Row],[Поддон]]*Тўловлар[[#This Row],[Поддон нархи]]</f>
        <v>0</v>
      </c>
      <c r="P436" s="30">
        <f>Тўловлар[[#This Row],[Жами сумма]]-Тўловлар[[#This Row],[Поддон пули]]</f>
        <v>0</v>
      </c>
      <c r="Q4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6" s="9" t="str">
        <f>IFERROR(INDEX(Мижозлар[Агент],MATCH($C436,Мижозлар[Расмий ном],0)),"")</f>
        <v/>
      </c>
    </row>
    <row r="437" spans="6:19" x14ac:dyDescent="0.2">
      <c r="F437" s="198"/>
      <c r="G437" s="9">
        <f>Тўловлар[[#This Row],[Поддон]]*$G$3</f>
        <v>0</v>
      </c>
      <c r="K437" s="9">
        <f>SUM(Тўловлар[[#This Row],[ПР-Сумма]]+Тўловлар[[#This Row],[Накд]]+Тўловлар[[#This Row],[Клик]]+Тўловлар[[#This Row],[Терминал]])</f>
        <v>0</v>
      </c>
      <c r="N437" s="30" cm="1">
        <f t="array" ref="N437">IFERROR(LOOKUP(2,1/((Товар!$D$4:$D$1110=Тўловлар[[#This Row],[Клиент]])*(Товар!$E$4:$E$1110&lt;=Тўловлар[[#This Row],[Дата]])),Товар!$L$4:$L$1110),Кўрсаткичлар!$B$4)</f>
        <v>0</v>
      </c>
      <c r="O437" s="30">
        <f>Тўловлар[[#This Row],[Поддон]]*Тўловлар[[#This Row],[Поддон нархи]]</f>
        <v>0</v>
      </c>
      <c r="P437" s="30">
        <f>Тўловлар[[#This Row],[Жами сумма]]-Тўловлар[[#This Row],[Поддон пули]]</f>
        <v>0</v>
      </c>
      <c r="Q4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7" s="9" t="str">
        <f>IFERROR(INDEX(Мижозлар[Агент],MATCH($C437,Мижозлар[Расмий ном],0)),"")</f>
        <v/>
      </c>
    </row>
    <row r="438" spans="6:19" x14ac:dyDescent="0.2">
      <c r="F438" s="198"/>
      <c r="G438" s="9">
        <f>Тўловлар[[#This Row],[Поддон]]*$G$3</f>
        <v>0</v>
      </c>
      <c r="K438" s="9">
        <f>SUM(Тўловлар[[#This Row],[ПР-Сумма]]+Тўловлар[[#This Row],[Накд]]+Тўловлар[[#This Row],[Клик]]+Тўловлар[[#This Row],[Терминал]])</f>
        <v>0</v>
      </c>
      <c r="N438" s="30" cm="1">
        <f t="array" ref="N438">IFERROR(LOOKUP(2,1/((Товар!$D$4:$D$1110=Тўловлар[[#This Row],[Клиент]])*(Товар!$E$4:$E$1110&lt;=Тўловлар[[#This Row],[Дата]])),Товар!$L$4:$L$1110),Кўрсаткичлар!$B$4)</f>
        <v>0</v>
      </c>
      <c r="O438" s="30">
        <f>Тўловлар[[#This Row],[Поддон]]*Тўловлар[[#This Row],[Поддон нархи]]</f>
        <v>0</v>
      </c>
      <c r="P438" s="30">
        <f>Тўловлар[[#This Row],[Жами сумма]]-Тўловлар[[#This Row],[Поддон пули]]</f>
        <v>0</v>
      </c>
      <c r="Q4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8" s="9" t="str">
        <f>IFERROR(INDEX(Мижозлар[Агент],MATCH($C438,Мижозлар[Расмий ном],0)),"")</f>
        <v/>
      </c>
    </row>
    <row r="439" spans="6:19" x14ac:dyDescent="0.2">
      <c r="F439" s="198"/>
      <c r="G439" s="9">
        <f>Тўловлар[[#This Row],[Поддон]]*$G$3</f>
        <v>0</v>
      </c>
      <c r="K439" s="9">
        <f>SUM(Тўловлар[[#This Row],[ПР-Сумма]]+Тўловлар[[#This Row],[Накд]]+Тўловлар[[#This Row],[Клик]]+Тўловлар[[#This Row],[Терминал]])</f>
        <v>0</v>
      </c>
      <c r="N439" s="30" cm="1">
        <f t="array" ref="N439">IFERROR(LOOKUP(2,1/((Товар!$D$4:$D$1110=Тўловлар[[#This Row],[Клиент]])*(Товар!$E$4:$E$1110&lt;=Тўловлар[[#This Row],[Дата]])),Товар!$L$4:$L$1110),Кўрсаткичлар!$B$4)</f>
        <v>0</v>
      </c>
      <c r="O439" s="30">
        <f>Тўловлар[[#This Row],[Поддон]]*Тўловлар[[#This Row],[Поддон нархи]]</f>
        <v>0</v>
      </c>
      <c r="P439" s="30">
        <f>Тўловлар[[#This Row],[Жами сумма]]-Тўловлар[[#This Row],[Поддон пули]]</f>
        <v>0</v>
      </c>
      <c r="Q4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39" s="9" t="str">
        <f>IFERROR(INDEX(Мижозлар[Агент],MATCH($C439,Мижозлар[Расмий ном],0)),"")</f>
        <v/>
      </c>
    </row>
    <row r="440" spans="6:19" x14ac:dyDescent="0.2">
      <c r="F440" s="198"/>
      <c r="G440" s="9">
        <f>Тўловлар[[#This Row],[Поддон]]*$G$3</f>
        <v>0</v>
      </c>
      <c r="K440" s="9">
        <f>SUM(Тўловлар[[#This Row],[ПР-Сумма]]+Тўловлар[[#This Row],[Накд]]+Тўловлар[[#This Row],[Клик]]+Тўловлар[[#This Row],[Терминал]])</f>
        <v>0</v>
      </c>
      <c r="N440" s="30" cm="1">
        <f t="array" ref="N440">IFERROR(LOOKUP(2,1/((Товар!$D$4:$D$1110=Тўловлар[[#This Row],[Клиент]])*(Товар!$E$4:$E$1110&lt;=Тўловлар[[#This Row],[Дата]])),Товар!$L$4:$L$1110),Кўрсаткичлар!$B$4)</f>
        <v>0</v>
      </c>
      <c r="O440" s="30">
        <f>Тўловлар[[#This Row],[Поддон]]*Тўловлар[[#This Row],[Поддон нархи]]</f>
        <v>0</v>
      </c>
      <c r="P440" s="30">
        <f>Тўловлар[[#This Row],[Жами сумма]]-Тўловлар[[#This Row],[Поддон пули]]</f>
        <v>0</v>
      </c>
      <c r="Q4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0" s="9" t="str">
        <f>IFERROR(INDEX(Мижозлар[Агент],MATCH($C440,Мижозлар[Расмий ном],0)),"")</f>
        <v/>
      </c>
    </row>
    <row r="441" spans="6:19" x14ac:dyDescent="0.2">
      <c r="F441" s="198"/>
      <c r="G441" s="9">
        <f>Тўловлар[[#This Row],[Поддон]]*$G$3</f>
        <v>0</v>
      </c>
      <c r="K441" s="9">
        <f>SUM(Тўловлар[[#This Row],[ПР-Сумма]]+Тўловлар[[#This Row],[Накд]]+Тўловлар[[#This Row],[Клик]]+Тўловлар[[#This Row],[Терминал]])</f>
        <v>0</v>
      </c>
      <c r="N441" s="30" cm="1">
        <f t="array" ref="N441">IFERROR(LOOKUP(2,1/((Товар!$D$4:$D$1110=Тўловлар[[#This Row],[Клиент]])*(Товар!$E$4:$E$1110&lt;=Тўловлар[[#This Row],[Дата]])),Товар!$L$4:$L$1110),Кўрсаткичлар!$B$4)</f>
        <v>0</v>
      </c>
      <c r="O441" s="30">
        <f>Тўловлар[[#This Row],[Поддон]]*Тўловлар[[#This Row],[Поддон нархи]]</f>
        <v>0</v>
      </c>
      <c r="P441" s="30">
        <f>Тўловлар[[#This Row],[Жами сумма]]-Тўловлар[[#This Row],[Поддон пули]]</f>
        <v>0</v>
      </c>
      <c r="Q4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1" s="9" t="str">
        <f>IFERROR(INDEX(Мижозлар[Агент],MATCH($C441,Мижозлар[Расмий ном],0)),"")</f>
        <v/>
      </c>
    </row>
    <row r="442" spans="6:19" x14ac:dyDescent="0.2">
      <c r="F442" s="198"/>
      <c r="G442" s="9">
        <f>Тўловлар[[#This Row],[Поддон]]*$G$3</f>
        <v>0</v>
      </c>
      <c r="K442" s="9">
        <f>SUM(Тўловлар[[#This Row],[ПР-Сумма]]+Тўловлар[[#This Row],[Накд]]+Тўловлар[[#This Row],[Клик]]+Тўловлар[[#This Row],[Терминал]])</f>
        <v>0</v>
      </c>
      <c r="N442" s="30" cm="1">
        <f t="array" ref="N442">IFERROR(LOOKUP(2,1/((Товар!$D$4:$D$1110=Тўловлар[[#This Row],[Клиент]])*(Товар!$E$4:$E$1110&lt;=Тўловлар[[#This Row],[Дата]])),Товар!$L$4:$L$1110),Кўрсаткичлар!$B$4)</f>
        <v>0</v>
      </c>
      <c r="O442" s="30">
        <f>Тўловлар[[#This Row],[Поддон]]*Тўловлар[[#This Row],[Поддон нархи]]</f>
        <v>0</v>
      </c>
      <c r="P442" s="30">
        <f>Тўловлар[[#This Row],[Жами сумма]]-Тўловлар[[#This Row],[Поддон пули]]</f>
        <v>0</v>
      </c>
      <c r="Q4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2" s="9" t="str">
        <f>IFERROR(INDEX(Мижозлар[Агент],MATCH($C442,Мижозлар[Расмий ном],0)),"")</f>
        <v/>
      </c>
    </row>
    <row r="443" spans="6:19" x14ac:dyDescent="0.2">
      <c r="F443" s="198"/>
      <c r="G443" s="9">
        <f>Тўловлар[[#This Row],[Поддон]]*$G$3</f>
        <v>0</v>
      </c>
      <c r="K443" s="9">
        <f>SUM(Тўловлар[[#This Row],[ПР-Сумма]]+Тўловлар[[#This Row],[Накд]]+Тўловлар[[#This Row],[Клик]]+Тўловлар[[#This Row],[Терминал]])</f>
        <v>0</v>
      </c>
      <c r="N443" s="30" cm="1">
        <f t="array" ref="N443">IFERROR(LOOKUP(2,1/((Товар!$D$4:$D$1110=Тўловлар[[#This Row],[Клиент]])*(Товар!$E$4:$E$1110&lt;=Тўловлар[[#This Row],[Дата]])),Товар!$L$4:$L$1110),Кўрсаткичлар!$B$4)</f>
        <v>0</v>
      </c>
      <c r="O443" s="30">
        <f>Тўловлар[[#This Row],[Поддон]]*Тўловлар[[#This Row],[Поддон нархи]]</f>
        <v>0</v>
      </c>
      <c r="P443" s="30">
        <f>Тўловлар[[#This Row],[Жами сумма]]-Тўловлар[[#This Row],[Поддон пули]]</f>
        <v>0</v>
      </c>
      <c r="Q4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3" s="9" t="str">
        <f>IFERROR(INDEX(Мижозлар[Агент],MATCH($C443,Мижозлар[Расмий ном],0)),"")</f>
        <v/>
      </c>
    </row>
    <row r="444" spans="6:19" x14ac:dyDescent="0.2">
      <c r="F444" s="198"/>
      <c r="G444" s="9">
        <f>Тўловлар[[#This Row],[Поддон]]*$G$3</f>
        <v>0</v>
      </c>
      <c r="K444" s="9">
        <f>SUM(Тўловлар[[#This Row],[ПР-Сумма]]+Тўловлар[[#This Row],[Накд]]+Тўловлар[[#This Row],[Клик]]+Тўловлар[[#This Row],[Терминал]])</f>
        <v>0</v>
      </c>
      <c r="N444" s="30" cm="1">
        <f t="array" ref="N444">IFERROR(LOOKUP(2,1/((Товар!$D$4:$D$1110=Тўловлар[[#This Row],[Клиент]])*(Товар!$E$4:$E$1110&lt;=Тўловлар[[#This Row],[Дата]])),Товар!$L$4:$L$1110),Кўрсаткичлар!$B$4)</f>
        <v>0</v>
      </c>
      <c r="O444" s="30">
        <f>Тўловлар[[#This Row],[Поддон]]*Тўловлар[[#This Row],[Поддон нархи]]</f>
        <v>0</v>
      </c>
      <c r="P444" s="30">
        <f>Тўловлар[[#This Row],[Жами сумма]]-Тўловлар[[#This Row],[Поддон пули]]</f>
        <v>0</v>
      </c>
      <c r="Q4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4" s="9" t="str">
        <f>IFERROR(INDEX(Мижозлар[Агент],MATCH($C444,Мижозлар[Расмий ном],0)),"")</f>
        <v/>
      </c>
    </row>
    <row r="445" spans="6:19" x14ac:dyDescent="0.2">
      <c r="F445" s="198"/>
      <c r="G445" s="9">
        <f>Тўловлар[[#This Row],[Поддон]]*$G$3</f>
        <v>0</v>
      </c>
      <c r="K445" s="9">
        <f>SUM(Тўловлар[[#This Row],[ПР-Сумма]]+Тўловлар[[#This Row],[Накд]]+Тўловлар[[#This Row],[Клик]]+Тўловлар[[#This Row],[Терминал]])</f>
        <v>0</v>
      </c>
      <c r="N445" s="30" cm="1">
        <f t="array" ref="N445">IFERROR(LOOKUP(2,1/((Товар!$D$4:$D$1110=Тўловлар[[#This Row],[Клиент]])*(Товар!$E$4:$E$1110&lt;=Тўловлар[[#This Row],[Дата]])),Товар!$L$4:$L$1110),Кўрсаткичлар!$B$4)</f>
        <v>0</v>
      </c>
      <c r="O445" s="30">
        <f>Тўловлар[[#This Row],[Поддон]]*Тўловлар[[#This Row],[Поддон нархи]]</f>
        <v>0</v>
      </c>
      <c r="P445" s="30">
        <f>Тўловлар[[#This Row],[Жами сумма]]-Тўловлар[[#This Row],[Поддон пули]]</f>
        <v>0</v>
      </c>
      <c r="Q4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5" s="9" t="str">
        <f>IFERROR(INDEX(Мижозлар[Агент],MATCH($C445,Мижозлар[Расмий ном],0)),"")</f>
        <v/>
      </c>
    </row>
    <row r="446" spans="6:19" x14ac:dyDescent="0.2">
      <c r="F446" s="198"/>
      <c r="G446" s="9">
        <f>Тўловлар[[#This Row],[Поддон]]*$G$3</f>
        <v>0</v>
      </c>
      <c r="K446" s="9">
        <f>SUM(Тўловлар[[#This Row],[ПР-Сумма]]+Тўловлар[[#This Row],[Накд]]+Тўловлар[[#This Row],[Клик]]+Тўловлар[[#This Row],[Терминал]])</f>
        <v>0</v>
      </c>
      <c r="N446" s="30" cm="1">
        <f t="array" ref="N446">IFERROR(LOOKUP(2,1/((Товар!$D$4:$D$1110=Тўловлар[[#This Row],[Клиент]])*(Товар!$E$4:$E$1110&lt;=Тўловлар[[#This Row],[Дата]])),Товар!$L$4:$L$1110),Кўрсаткичлар!$B$4)</f>
        <v>0</v>
      </c>
      <c r="O446" s="30">
        <f>Тўловлар[[#This Row],[Поддон]]*Тўловлар[[#This Row],[Поддон нархи]]</f>
        <v>0</v>
      </c>
      <c r="P446" s="30">
        <f>Тўловлар[[#This Row],[Жами сумма]]-Тўловлар[[#This Row],[Поддон пули]]</f>
        <v>0</v>
      </c>
      <c r="Q4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6" s="9" t="str">
        <f>IFERROR(INDEX(Мижозлар[Агент],MATCH($C446,Мижозлар[Расмий ном],0)),"")</f>
        <v/>
      </c>
    </row>
    <row r="447" spans="6:19" x14ac:dyDescent="0.2">
      <c r="F447" s="198"/>
      <c r="G447" s="9">
        <f>Тўловлар[[#This Row],[Поддон]]*$G$3</f>
        <v>0</v>
      </c>
      <c r="K447" s="9">
        <f>SUM(Тўловлар[[#This Row],[ПР-Сумма]]+Тўловлар[[#This Row],[Накд]]+Тўловлар[[#This Row],[Клик]]+Тўловлар[[#This Row],[Терминал]])</f>
        <v>0</v>
      </c>
      <c r="N447" s="30" cm="1">
        <f t="array" ref="N447">IFERROR(LOOKUP(2,1/((Товар!$D$4:$D$1110=Тўловлар[[#This Row],[Клиент]])*(Товар!$E$4:$E$1110&lt;=Тўловлар[[#This Row],[Дата]])),Товар!$L$4:$L$1110),Кўрсаткичлар!$B$4)</f>
        <v>0</v>
      </c>
      <c r="O447" s="30">
        <f>Тўловлар[[#This Row],[Поддон]]*Тўловлар[[#This Row],[Поддон нархи]]</f>
        <v>0</v>
      </c>
      <c r="P447" s="30">
        <f>Тўловлар[[#This Row],[Жами сумма]]-Тўловлар[[#This Row],[Поддон пули]]</f>
        <v>0</v>
      </c>
      <c r="Q4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7" s="9" t="str">
        <f>IFERROR(INDEX(Мижозлар[Агент],MATCH($C447,Мижозлар[Расмий ном],0)),"")</f>
        <v/>
      </c>
    </row>
    <row r="448" spans="6:19" x14ac:dyDescent="0.2">
      <c r="F448" s="198"/>
      <c r="G448" s="9">
        <f>Тўловлар[[#This Row],[Поддон]]*$G$3</f>
        <v>0</v>
      </c>
      <c r="K448" s="9">
        <f>SUM(Тўловлар[[#This Row],[ПР-Сумма]]+Тўловлар[[#This Row],[Накд]]+Тўловлар[[#This Row],[Клик]]+Тўловлар[[#This Row],[Терминал]])</f>
        <v>0</v>
      </c>
      <c r="N448" s="30" cm="1">
        <f t="array" ref="N448">IFERROR(LOOKUP(2,1/((Товар!$D$4:$D$1110=Тўловлар[[#This Row],[Клиент]])*(Товар!$E$4:$E$1110&lt;=Тўловлар[[#This Row],[Дата]])),Товар!$L$4:$L$1110),Кўрсаткичлар!$B$4)</f>
        <v>0</v>
      </c>
      <c r="O448" s="30">
        <f>Тўловлар[[#This Row],[Поддон]]*Тўловлар[[#This Row],[Поддон нархи]]</f>
        <v>0</v>
      </c>
      <c r="P448" s="30">
        <f>Тўловлар[[#This Row],[Жами сумма]]-Тўловлар[[#This Row],[Поддон пули]]</f>
        <v>0</v>
      </c>
      <c r="Q4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8" s="9" t="str">
        <f>IFERROR(INDEX(Мижозлар[Агент],MATCH($C448,Мижозлар[Расмий ном],0)),"")</f>
        <v/>
      </c>
    </row>
    <row r="449" spans="6:19" x14ac:dyDescent="0.2">
      <c r="F449" s="198"/>
      <c r="G449" s="9">
        <f>Тўловлар[[#This Row],[Поддон]]*$G$3</f>
        <v>0</v>
      </c>
      <c r="K449" s="9">
        <f>SUM(Тўловлар[[#This Row],[ПР-Сумма]]+Тўловлар[[#This Row],[Накд]]+Тўловлар[[#This Row],[Клик]]+Тўловлар[[#This Row],[Терминал]])</f>
        <v>0</v>
      </c>
      <c r="N449" s="30" cm="1">
        <f t="array" ref="N449">IFERROR(LOOKUP(2,1/((Товар!$D$4:$D$1110=Тўловлар[[#This Row],[Клиент]])*(Товар!$E$4:$E$1110&lt;=Тўловлар[[#This Row],[Дата]])),Товар!$L$4:$L$1110),Кўрсаткичлар!$B$4)</f>
        <v>0</v>
      </c>
      <c r="O449" s="30">
        <f>Тўловлар[[#This Row],[Поддон]]*Тўловлар[[#This Row],[Поддон нархи]]</f>
        <v>0</v>
      </c>
      <c r="P449" s="30">
        <f>Тўловлар[[#This Row],[Жами сумма]]-Тўловлар[[#This Row],[Поддон пули]]</f>
        <v>0</v>
      </c>
      <c r="Q4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49" s="9" t="str">
        <f>IFERROR(INDEX(Мижозлар[Агент],MATCH($C449,Мижозлар[Расмий ном],0)),"")</f>
        <v/>
      </c>
    </row>
    <row r="450" spans="6:19" x14ac:dyDescent="0.2">
      <c r="F450" s="198"/>
      <c r="G450" s="9">
        <f>Тўловлар[[#This Row],[Поддон]]*$G$3</f>
        <v>0</v>
      </c>
      <c r="K450" s="9">
        <f>SUM(Тўловлар[[#This Row],[ПР-Сумма]]+Тўловлар[[#This Row],[Накд]]+Тўловлар[[#This Row],[Клик]]+Тўловлар[[#This Row],[Терминал]])</f>
        <v>0</v>
      </c>
      <c r="N450" s="30" cm="1">
        <f t="array" ref="N450">IFERROR(LOOKUP(2,1/((Товар!$D$4:$D$1110=Тўловлар[[#This Row],[Клиент]])*(Товар!$E$4:$E$1110&lt;=Тўловлар[[#This Row],[Дата]])),Товар!$L$4:$L$1110),Кўрсаткичлар!$B$4)</f>
        <v>0</v>
      </c>
      <c r="O450" s="30">
        <f>Тўловлар[[#This Row],[Поддон]]*Тўловлар[[#This Row],[Поддон нархи]]</f>
        <v>0</v>
      </c>
      <c r="P450" s="30">
        <f>Тўловлар[[#This Row],[Жами сумма]]-Тўловлар[[#This Row],[Поддон пули]]</f>
        <v>0</v>
      </c>
      <c r="Q4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0" s="9" t="str">
        <f>IFERROR(INDEX(Мижозлар[Агент],MATCH($C450,Мижозлар[Расмий ном],0)),"")</f>
        <v/>
      </c>
    </row>
    <row r="451" spans="6:19" x14ac:dyDescent="0.2">
      <c r="F451" s="198"/>
      <c r="G451" s="9">
        <f>Тўловлар[[#This Row],[Поддон]]*$G$3</f>
        <v>0</v>
      </c>
      <c r="K451" s="9">
        <f>SUM(Тўловлар[[#This Row],[ПР-Сумма]]+Тўловлар[[#This Row],[Накд]]+Тўловлар[[#This Row],[Клик]]+Тўловлар[[#This Row],[Терминал]])</f>
        <v>0</v>
      </c>
      <c r="N451" s="30" cm="1">
        <f t="array" ref="N451">IFERROR(LOOKUP(2,1/((Товар!$D$4:$D$1110=Тўловлар[[#This Row],[Клиент]])*(Товар!$E$4:$E$1110&lt;=Тўловлар[[#This Row],[Дата]])),Товар!$L$4:$L$1110),Кўрсаткичлар!$B$4)</f>
        <v>0</v>
      </c>
      <c r="O451" s="30">
        <f>Тўловлар[[#This Row],[Поддон]]*Тўловлар[[#This Row],[Поддон нархи]]</f>
        <v>0</v>
      </c>
      <c r="P451" s="30">
        <f>Тўловлар[[#This Row],[Жами сумма]]-Тўловлар[[#This Row],[Поддон пули]]</f>
        <v>0</v>
      </c>
      <c r="Q4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1" s="9" t="str">
        <f>IFERROR(INDEX(Мижозлар[Агент],MATCH($C451,Мижозлар[Расмий ном],0)),"")</f>
        <v/>
      </c>
    </row>
    <row r="452" spans="6:19" x14ac:dyDescent="0.2">
      <c r="F452" s="198"/>
      <c r="G452" s="9">
        <f>Тўловлар[[#This Row],[Поддон]]*$G$3</f>
        <v>0</v>
      </c>
      <c r="K452" s="9">
        <f>SUM(Тўловлар[[#This Row],[ПР-Сумма]]+Тўловлар[[#This Row],[Накд]]+Тўловлар[[#This Row],[Клик]]+Тўловлар[[#This Row],[Терминал]])</f>
        <v>0</v>
      </c>
      <c r="N452" s="30" cm="1">
        <f t="array" ref="N452">IFERROR(LOOKUP(2,1/((Товар!$D$4:$D$1110=Тўловлар[[#This Row],[Клиент]])*(Товар!$E$4:$E$1110&lt;=Тўловлар[[#This Row],[Дата]])),Товар!$L$4:$L$1110),Кўрсаткичлар!$B$4)</f>
        <v>0</v>
      </c>
      <c r="O452" s="30">
        <f>Тўловлар[[#This Row],[Поддон]]*Тўловлар[[#This Row],[Поддон нархи]]</f>
        <v>0</v>
      </c>
      <c r="P452" s="30">
        <f>Тўловлар[[#This Row],[Жами сумма]]-Тўловлар[[#This Row],[Поддон пули]]</f>
        <v>0</v>
      </c>
      <c r="Q4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2" s="9" t="str">
        <f>IFERROR(INDEX(Мижозлар[Агент],MATCH($C452,Мижозлар[Расмий ном],0)),"")</f>
        <v/>
      </c>
    </row>
    <row r="453" spans="6:19" x14ac:dyDescent="0.2">
      <c r="F453" s="198"/>
      <c r="G453" s="9">
        <f>Тўловлар[[#This Row],[Поддон]]*$G$3</f>
        <v>0</v>
      </c>
      <c r="K453" s="9">
        <f>SUM(Тўловлар[[#This Row],[ПР-Сумма]]+Тўловлар[[#This Row],[Накд]]+Тўловлар[[#This Row],[Клик]]+Тўловлар[[#This Row],[Терминал]])</f>
        <v>0</v>
      </c>
      <c r="N453" s="30" cm="1">
        <f t="array" ref="N453">IFERROR(LOOKUP(2,1/((Товар!$D$4:$D$1110=Тўловлар[[#This Row],[Клиент]])*(Товар!$E$4:$E$1110&lt;=Тўловлар[[#This Row],[Дата]])),Товар!$L$4:$L$1110),Кўрсаткичлар!$B$4)</f>
        <v>0</v>
      </c>
      <c r="O453" s="30">
        <f>Тўловлар[[#This Row],[Поддон]]*Тўловлар[[#This Row],[Поддон нархи]]</f>
        <v>0</v>
      </c>
      <c r="P453" s="30">
        <f>Тўловлар[[#This Row],[Жами сумма]]-Тўловлар[[#This Row],[Поддон пули]]</f>
        <v>0</v>
      </c>
      <c r="Q4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3" s="9" t="str">
        <f>IFERROR(INDEX(Мижозлар[Агент],MATCH($C453,Мижозлар[Расмий ном],0)),"")</f>
        <v/>
      </c>
    </row>
    <row r="454" spans="6:19" x14ac:dyDescent="0.2">
      <c r="F454" s="198"/>
      <c r="G454" s="9">
        <f>Тўловлар[[#This Row],[Поддон]]*$G$3</f>
        <v>0</v>
      </c>
      <c r="K454" s="9">
        <f>SUM(Тўловлар[[#This Row],[ПР-Сумма]]+Тўловлар[[#This Row],[Накд]]+Тўловлар[[#This Row],[Клик]]+Тўловлар[[#This Row],[Терминал]])</f>
        <v>0</v>
      </c>
      <c r="N454" s="30" cm="1">
        <f t="array" ref="N454">IFERROR(LOOKUP(2,1/((Товар!$D$4:$D$1110=Тўловлар[[#This Row],[Клиент]])*(Товар!$E$4:$E$1110&lt;=Тўловлар[[#This Row],[Дата]])),Товар!$L$4:$L$1110),Кўрсаткичлар!$B$4)</f>
        <v>0</v>
      </c>
      <c r="O454" s="30">
        <f>Тўловлар[[#This Row],[Поддон]]*Тўловлар[[#This Row],[Поддон нархи]]</f>
        <v>0</v>
      </c>
      <c r="P454" s="30">
        <f>Тўловлар[[#This Row],[Жами сумма]]-Тўловлар[[#This Row],[Поддон пули]]</f>
        <v>0</v>
      </c>
      <c r="Q4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4" s="9" t="str">
        <f>IFERROR(INDEX(Мижозлар[Агент],MATCH($C454,Мижозлар[Расмий ном],0)),"")</f>
        <v/>
      </c>
    </row>
    <row r="455" spans="6:19" x14ac:dyDescent="0.2">
      <c r="F455" s="198"/>
      <c r="G455" s="9">
        <f>Тўловлар[[#This Row],[Поддон]]*$G$3</f>
        <v>0</v>
      </c>
      <c r="K455" s="9">
        <f>SUM(Тўловлар[[#This Row],[ПР-Сумма]]+Тўловлар[[#This Row],[Накд]]+Тўловлар[[#This Row],[Клик]]+Тўловлар[[#This Row],[Терминал]])</f>
        <v>0</v>
      </c>
      <c r="N455" s="30" cm="1">
        <f t="array" ref="N455">IFERROR(LOOKUP(2,1/((Товар!$D$4:$D$1110=Тўловлар[[#This Row],[Клиент]])*(Товар!$E$4:$E$1110&lt;=Тўловлар[[#This Row],[Дата]])),Товар!$L$4:$L$1110),Кўрсаткичлар!$B$4)</f>
        <v>0</v>
      </c>
      <c r="O455" s="30">
        <f>Тўловлар[[#This Row],[Поддон]]*Тўловлар[[#This Row],[Поддон нархи]]</f>
        <v>0</v>
      </c>
      <c r="P455" s="30">
        <f>Тўловлар[[#This Row],[Жами сумма]]-Тўловлар[[#This Row],[Поддон пули]]</f>
        <v>0</v>
      </c>
      <c r="Q4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5" s="9" t="str">
        <f>IFERROR(INDEX(Мижозлар[Агент],MATCH($C455,Мижозлар[Расмий ном],0)),"")</f>
        <v/>
      </c>
    </row>
    <row r="456" spans="6:19" x14ac:dyDescent="0.2">
      <c r="F456" s="198"/>
      <c r="G456" s="9">
        <f>Тўловлар[[#This Row],[Поддон]]*$G$3</f>
        <v>0</v>
      </c>
      <c r="K456" s="9">
        <f>SUM(Тўловлар[[#This Row],[ПР-Сумма]]+Тўловлар[[#This Row],[Накд]]+Тўловлар[[#This Row],[Клик]]+Тўловлар[[#This Row],[Терминал]])</f>
        <v>0</v>
      </c>
      <c r="N456" s="30" cm="1">
        <f t="array" ref="N456">IFERROR(LOOKUP(2,1/((Товар!$D$4:$D$1110=Тўловлар[[#This Row],[Клиент]])*(Товар!$E$4:$E$1110&lt;=Тўловлар[[#This Row],[Дата]])),Товар!$L$4:$L$1110),Кўрсаткичлар!$B$4)</f>
        <v>0</v>
      </c>
      <c r="O456" s="30">
        <f>Тўловлар[[#This Row],[Поддон]]*Тўловлар[[#This Row],[Поддон нархи]]</f>
        <v>0</v>
      </c>
      <c r="P456" s="30">
        <f>Тўловлар[[#This Row],[Жами сумма]]-Тўловлар[[#This Row],[Поддон пули]]</f>
        <v>0</v>
      </c>
      <c r="Q4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6" s="9" t="str">
        <f>IFERROR(INDEX(Мижозлар[Агент],MATCH($C456,Мижозлар[Расмий ном],0)),"")</f>
        <v/>
      </c>
    </row>
    <row r="457" spans="6:19" x14ac:dyDescent="0.2">
      <c r="F457" s="198"/>
      <c r="G457" s="9">
        <f>Тўловлар[[#This Row],[Поддон]]*$G$3</f>
        <v>0</v>
      </c>
      <c r="K457" s="9">
        <f>SUM(Тўловлар[[#This Row],[ПР-Сумма]]+Тўловлар[[#This Row],[Накд]]+Тўловлар[[#This Row],[Клик]]+Тўловлар[[#This Row],[Терминал]])</f>
        <v>0</v>
      </c>
      <c r="N457" s="30" cm="1">
        <f t="array" ref="N457">IFERROR(LOOKUP(2,1/((Товар!$D$4:$D$1110=Тўловлар[[#This Row],[Клиент]])*(Товар!$E$4:$E$1110&lt;=Тўловлар[[#This Row],[Дата]])),Товар!$L$4:$L$1110),Кўрсаткичлар!$B$4)</f>
        <v>0</v>
      </c>
      <c r="O457" s="30">
        <f>Тўловлар[[#This Row],[Поддон]]*Тўловлар[[#This Row],[Поддон нархи]]</f>
        <v>0</v>
      </c>
      <c r="P457" s="30">
        <f>Тўловлар[[#This Row],[Жами сумма]]-Тўловлар[[#This Row],[Поддон пули]]</f>
        <v>0</v>
      </c>
      <c r="Q4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7" s="9" t="str">
        <f>IFERROR(INDEX(Мижозлар[Агент],MATCH($C457,Мижозлар[Расмий ном],0)),"")</f>
        <v/>
      </c>
    </row>
    <row r="458" spans="6:19" x14ac:dyDescent="0.2">
      <c r="F458" s="198"/>
      <c r="G458" s="9">
        <f>Тўловлар[[#This Row],[Поддон]]*$G$3</f>
        <v>0</v>
      </c>
      <c r="K458" s="9">
        <f>SUM(Тўловлар[[#This Row],[ПР-Сумма]]+Тўловлар[[#This Row],[Накд]]+Тўловлар[[#This Row],[Клик]]+Тўловлар[[#This Row],[Терминал]])</f>
        <v>0</v>
      </c>
      <c r="N458" s="30" cm="1">
        <f t="array" ref="N458">IFERROR(LOOKUP(2,1/((Товар!$D$4:$D$1110=Тўловлар[[#This Row],[Клиент]])*(Товар!$E$4:$E$1110&lt;=Тўловлар[[#This Row],[Дата]])),Товар!$L$4:$L$1110),Кўрсаткичлар!$B$4)</f>
        <v>0</v>
      </c>
      <c r="O458" s="30">
        <f>Тўловлар[[#This Row],[Поддон]]*Тўловлар[[#This Row],[Поддон нархи]]</f>
        <v>0</v>
      </c>
      <c r="P458" s="30">
        <f>Тўловлар[[#This Row],[Жами сумма]]-Тўловлар[[#This Row],[Поддон пули]]</f>
        <v>0</v>
      </c>
      <c r="Q4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8" s="9" t="str">
        <f>IFERROR(INDEX(Мижозлар[Агент],MATCH($C458,Мижозлар[Расмий ном],0)),"")</f>
        <v/>
      </c>
    </row>
    <row r="459" spans="6:19" x14ac:dyDescent="0.2">
      <c r="F459" s="198"/>
      <c r="G459" s="9">
        <f>Тўловлар[[#This Row],[Поддон]]*$G$3</f>
        <v>0</v>
      </c>
      <c r="K459" s="9">
        <f>SUM(Тўловлар[[#This Row],[ПР-Сумма]]+Тўловлар[[#This Row],[Накд]]+Тўловлар[[#This Row],[Клик]]+Тўловлар[[#This Row],[Терминал]])</f>
        <v>0</v>
      </c>
      <c r="N459" s="30" cm="1">
        <f t="array" ref="N459">IFERROR(LOOKUP(2,1/((Товар!$D$4:$D$1110=Тўловлар[[#This Row],[Клиент]])*(Товар!$E$4:$E$1110&lt;=Тўловлар[[#This Row],[Дата]])),Товар!$L$4:$L$1110),Кўрсаткичлар!$B$4)</f>
        <v>0</v>
      </c>
      <c r="O459" s="30">
        <f>Тўловлар[[#This Row],[Поддон]]*Тўловлар[[#This Row],[Поддон нархи]]</f>
        <v>0</v>
      </c>
      <c r="P459" s="30">
        <f>Тўловлар[[#This Row],[Жами сумма]]-Тўловлар[[#This Row],[Поддон пули]]</f>
        <v>0</v>
      </c>
      <c r="Q4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59" s="9" t="str">
        <f>IFERROR(INDEX(Мижозлар[Агент],MATCH($C459,Мижозлар[Расмий ном],0)),"")</f>
        <v/>
      </c>
    </row>
    <row r="460" spans="6:19" x14ac:dyDescent="0.2">
      <c r="F460" s="198"/>
      <c r="G460" s="9">
        <f>Тўловлар[[#This Row],[Поддон]]*$G$3</f>
        <v>0</v>
      </c>
      <c r="K460" s="9">
        <f>SUM(Тўловлар[[#This Row],[ПР-Сумма]]+Тўловлар[[#This Row],[Накд]]+Тўловлар[[#This Row],[Клик]]+Тўловлар[[#This Row],[Терминал]])</f>
        <v>0</v>
      </c>
      <c r="N460" s="30" cm="1">
        <f t="array" ref="N460">IFERROR(LOOKUP(2,1/((Товар!$D$4:$D$1110=Тўловлар[[#This Row],[Клиент]])*(Товар!$E$4:$E$1110&lt;=Тўловлар[[#This Row],[Дата]])),Товар!$L$4:$L$1110),Кўрсаткичлар!$B$4)</f>
        <v>0</v>
      </c>
      <c r="O460" s="30">
        <f>Тўловлар[[#This Row],[Поддон]]*Тўловлар[[#This Row],[Поддон нархи]]</f>
        <v>0</v>
      </c>
      <c r="P460" s="30">
        <f>Тўловлар[[#This Row],[Жами сумма]]-Тўловлар[[#This Row],[Поддон пули]]</f>
        <v>0</v>
      </c>
      <c r="Q4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0" s="9" t="str">
        <f>IFERROR(INDEX(Мижозлар[Агент],MATCH($C460,Мижозлар[Расмий ном],0)),"")</f>
        <v/>
      </c>
    </row>
    <row r="461" spans="6:19" x14ac:dyDescent="0.2">
      <c r="F461" s="198"/>
      <c r="G461" s="9">
        <f>Тўловлар[[#This Row],[Поддон]]*$G$3</f>
        <v>0</v>
      </c>
      <c r="K461" s="9">
        <f>SUM(Тўловлар[[#This Row],[ПР-Сумма]]+Тўловлар[[#This Row],[Накд]]+Тўловлар[[#This Row],[Клик]]+Тўловлар[[#This Row],[Терминал]])</f>
        <v>0</v>
      </c>
      <c r="N461" s="30" cm="1">
        <f t="array" ref="N461">IFERROR(LOOKUP(2,1/((Товар!$D$4:$D$1110=Тўловлар[[#This Row],[Клиент]])*(Товар!$E$4:$E$1110&lt;=Тўловлар[[#This Row],[Дата]])),Товар!$L$4:$L$1110),Кўрсаткичлар!$B$4)</f>
        <v>0</v>
      </c>
      <c r="O461" s="30">
        <f>Тўловлар[[#This Row],[Поддон]]*Тўловлар[[#This Row],[Поддон нархи]]</f>
        <v>0</v>
      </c>
      <c r="P461" s="30">
        <f>Тўловлар[[#This Row],[Жами сумма]]-Тўловлар[[#This Row],[Поддон пули]]</f>
        <v>0</v>
      </c>
      <c r="Q4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1" s="9" t="str">
        <f>IFERROR(INDEX(Мижозлар[Агент],MATCH($C461,Мижозлар[Расмий ном],0)),"")</f>
        <v/>
      </c>
    </row>
    <row r="462" spans="6:19" x14ac:dyDescent="0.2">
      <c r="F462" s="198"/>
      <c r="G462" s="9">
        <f>Тўловлар[[#This Row],[Поддон]]*$G$3</f>
        <v>0</v>
      </c>
      <c r="K462" s="9">
        <f>SUM(Тўловлар[[#This Row],[ПР-Сумма]]+Тўловлар[[#This Row],[Накд]]+Тўловлар[[#This Row],[Клик]]+Тўловлар[[#This Row],[Терминал]])</f>
        <v>0</v>
      </c>
      <c r="N462" s="30" cm="1">
        <f t="array" ref="N462">IFERROR(LOOKUP(2,1/((Товар!$D$4:$D$1110=Тўловлар[[#This Row],[Клиент]])*(Товар!$E$4:$E$1110&lt;=Тўловлар[[#This Row],[Дата]])),Товар!$L$4:$L$1110),Кўрсаткичлар!$B$4)</f>
        <v>0</v>
      </c>
      <c r="O462" s="30">
        <f>Тўловлар[[#This Row],[Поддон]]*Тўловлар[[#This Row],[Поддон нархи]]</f>
        <v>0</v>
      </c>
      <c r="P462" s="30">
        <f>Тўловлар[[#This Row],[Жами сумма]]-Тўловлар[[#This Row],[Поддон пули]]</f>
        <v>0</v>
      </c>
      <c r="Q4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2" s="9" t="str">
        <f>IFERROR(INDEX(Мижозлар[Агент],MATCH($C462,Мижозлар[Расмий ном],0)),"")</f>
        <v/>
      </c>
    </row>
    <row r="463" spans="6:19" x14ac:dyDescent="0.2">
      <c r="F463" s="198"/>
      <c r="G463" s="9">
        <f>Тўловлар[[#This Row],[Поддон]]*$G$3</f>
        <v>0</v>
      </c>
      <c r="K463" s="9">
        <f>SUM(Тўловлар[[#This Row],[ПР-Сумма]]+Тўловлар[[#This Row],[Накд]]+Тўловлар[[#This Row],[Клик]]+Тўловлар[[#This Row],[Терминал]])</f>
        <v>0</v>
      </c>
      <c r="N463" s="30" cm="1">
        <f t="array" ref="N463">IFERROR(LOOKUP(2,1/((Товар!$D$4:$D$1110=Тўловлар[[#This Row],[Клиент]])*(Товар!$E$4:$E$1110&lt;=Тўловлар[[#This Row],[Дата]])),Товар!$L$4:$L$1110),Кўрсаткичлар!$B$4)</f>
        <v>0</v>
      </c>
      <c r="O463" s="30">
        <f>Тўловлар[[#This Row],[Поддон]]*Тўловлар[[#This Row],[Поддон нархи]]</f>
        <v>0</v>
      </c>
      <c r="P463" s="30">
        <f>Тўловлар[[#This Row],[Жами сумма]]-Тўловлар[[#This Row],[Поддон пули]]</f>
        <v>0</v>
      </c>
      <c r="Q4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3" s="9" t="str">
        <f>IFERROR(INDEX(Мижозлар[Агент],MATCH($C463,Мижозлар[Расмий ном],0)),"")</f>
        <v/>
      </c>
    </row>
    <row r="464" spans="6:19" x14ac:dyDescent="0.2">
      <c r="F464" s="198"/>
      <c r="G464" s="9">
        <f>Тўловлар[[#This Row],[Поддон]]*$G$3</f>
        <v>0</v>
      </c>
      <c r="K464" s="9">
        <f>SUM(Тўловлар[[#This Row],[ПР-Сумма]]+Тўловлар[[#This Row],[Накд]]+Тўловлар[[#This Row],[Клик]]+Тўловлар[[#This Row],[Терминал]])</f>
        <v>0</v>
      </c>
      <c r="N464" s="30" cm="1">
        <f t="array" ref="N464">IFERROR(LOOKUP(2,1/((Товар!$D$4:$D$1110=Тўловлар[[#This Row],[Клиент]])*(Товар!$E$4:$E$1110&lt;=Тўловлар[[#This Row],[Дата]])),Товар!$L$4:$L$1110),Кўрсаткичлар!$B$4)</f>
        <v>0</v>
      </c>
      <c r="O464" s="30">
        <f>Тўловлар[[#This Row],[Поддон]]*Тўловлар[[#This Row],[Поддон нархи]]</f>
        <v>0</v>
      </c>
      <c r="P464" s="30">
        <f>Тўловлар[[#This Row],[Жами сумма]]-Тўловлар[[#This Row],[Поддон пули]]</f>
        <v>0</v>
      </c>
      <c r="Q4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4" s="9" t="str">
        <f>IFERROR(INDEX(Мижозлар[Агент],MATCH($C464,Мижозлар[Расмий ном],0)),"")</f>
        <v/>
      </c>
    </row>
    <row r="465" spans="6:19" x14ac:dyDescent="0.2">
      <c r="F465" s="198"/>
      <c r="G465" s="9">
        <f>Тўловлар[[#This Row],[Поддон]]*$G$3</f>
        <v>0</v>
      </c>
      <c r="K465" s="9">
        <f>SUM(Тўловлар[[#This Row],[ПР-Сумма]]+Тўловлар[[#This Row],[Накд]]+Тўловлар[[#This Row],[Клик]]+Тўловлар[[#This Row],[Терминал]])</f>
        <v>0</v>
      </c>
      <c r="N465" s="30" cm="1">
        <f t="array" ref="N465">IFERROR(LOOKUP(2,1/((Товар!$D$4:$D$1110=Тўловлар[[#This Row],[Клиент]])*(Товар!$E$4:$E$1110&lt;=Тўловлар[[#This Row],[Дата]])),Товар!$L$4:$L$1110),Кўрсаткичлар!$B$4)</f>
        <v>0</v>
      </c>
      <c r="O465" s="30">
        <f>Тўловлар[[#This Row],[Поддон]]*Тўловлар[[#This Row],[Поддон нархи]]</f>
        <v>0</v>
      </c>
      <c r="P465" s="30">
        <f>Тўловлар[[#This Row],[Жами сумма]]-Тўловлар[[#This Row],[Поддон пули]]</f>
        <v>0</v>
      </c>
      <c r="Q4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5" s="9" t="str">
        <f>IFERROR(INDEX(Мижозлар[Агент],MATCH($C465,Мижозлар[Расмий ном],0)),"")</f>
        <v/>
      </c>
    </row>
    <row r="466" spans="6:19" x14ac:dyDescent="0.2">
      <c r="F466" s="198"/>
      <c r="G466" s="9">
        <f>Тўловлар[[#This Row],[Поддон]]*$G$3</f>
        <v>0</v>
      </c>
      <c r="K466" s="9">
        <f>SUM(Тўловлар[[#This Row],[ПР-Сумма]]+Тўловлар[[#This Row],[Накд]]+Тўловлар[[#This Row],[Клик]]+Тўловлар[[#This Row],[Терминал]])</f>
        <v>0</v>
      </c>
      <c r="N466" s="30" cm="1">
        <f t="array" ref="N466">IFERROR(LOOKUP(2,1/((Товар!$D$4:$D$1110=Тўловлар[[#This Row],[Клиент]])*(Товар!$E$4:$E$1110&lt;=Тўловлар[[#This Row],[Дата]])),Товар!$L$4:$L$1110),Кўрсаткичлар!$B$4)</f>
        <v>0</v>
      </c>
      <c r="O466" s="30">
        <f>Тўловлар[[#This Row],[Поддон]]*Тўловлар[[#This Row],[Поддон нархи]]</f>
        <v>0</v>
      </c>
      <c r="P466" s="30">
        <f>Тўловлар[[#This Row],[Жами сумма]]-Тўловлар[[#This Row],[Поддон пули]]</f>
        <v>0</v>
      </c>
      <c r="Q4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6" s="9" t="str">
        <f>IFERROR(INDEX(Мижозлар[Агент],MATCH($C466,Мижозлар[Расмий ном],0)),"")</f>
        <v/>
      </c>
    </row>
    <row r="467" spans="6:19" x14ac:dyDescent="0.2">
      <c r="F467" s="198"/>
      <c r="G467" s="9">
        <f>Тўловлар[[#This Row],[Поддон]]*$G$3</f>
        <v>0</v>
      </c>
      <c r="K467" s="9">
        <f>SUM(Тўловлар[[#This Row],[ПР-Сумма]]+Тўловлар[[#This Row],[Накд]]+Тўловлар[[#This Row],[Клик]]+Тўловлар[[#This Row],[Терминал]])</f>
        <v>0</v>
      </c>
      <c r="N467" s="30" cm="1">
        <f t="array" ref="N467">IFERROR(LOOKUP(2,1/((Товар!$D$4:$D$1110=Тўловлар[[#This Row],[Клиент]])*(Товар!$E$4:$E$1110&lt;=Тўловлар[[#This Row],[Дата]])),Товар!$L$4:$L$1110),Кўрсаткичлар!$B$4)</f>
        <v>0</v>
      </c>
      <c r="O467" s="30">
        <f>Тўловлар[[#This Row],[Поддон]]*Тўловлар[[#This Row],[Поддон нархи]]</f>
        <v>0</v>
      </c>
      <c r="P467" s="30">
        <f>Тўловлар[[#This Row],[Жами сумма]]-Тўловлар[[#This Row],[Поддон пули]]</f>
        <v>0</v>
      </c>
      <c r="Q4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7" s="9" t="str">
        <f>IFERROR(INDEX(Мижозлар[Агент],MATCH($C467,Мижозлар[Расмий ном],0)),"")</f>
        <v/>
      </c>
    </row>
    <row r="468" spans="6:19" x14ac:dyDescent="0.2">
      <c r="F468" s="198"/>
      <c r="G468" s="9">
        <f>Тўловлар[[#This Row],[Поддон]]*$G$3</f>
        <v>0</v>
      </c>
      <c r="K468" s="9">
        <f>SUM(Тўловлар[[#This Row],[ПР-Сумма]]+Тўловлар[[#This Row],[Накд]]+Тўловлар[[#This Row],[Клик]]+Тўловлар[[#This Row],[Терминал]])</f>
        <v>0</v>
      </c>
      <c r="N468" s="30" cm="1">
        <f t="array" ref="N468">IFERROR(LOOKUP(2,1/((Товар!$D$4:$D$1110=Тўловлар[[#This Row],[Клиент]])*(Товар!$E$4:$E$1110&lt;=Тўловлар[[#This Row],[Дата]])),Товар!$L$4:$L$1110),Кўрсаткичлар!$B$4)</f>
        <v>0</v>
      </c>
      <c r="O468" s="30">
        <f>Тўловлар[[#This Row],[Поддон]]*Тўловлар[[#This Row],[Поддон нархи]]</f>
        <v>0</v>
      </c>
      <c r="P468" s="30">
        <f>Тўловлар[[#This Row],[Жами сумма]]-Тўловлар[[#This Row],[Поддон пули]]</f>
        <v>0</v>
      </c>
      <c r="Q4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8" s="9" t="str">
        <f>IFERROR(INDEX(Мижозлар[Агент],MATCH($C468,Мижозлар[Расмий ном],0)),"")</f>
        <v/>
      </c>
    </row>
    <row r="469" spans="6:19" x14ac:dyDescent="0.2">
      <c r="F469" s="198"/>
      <c r="G469" s="9">
        <f>Тўловлар[[#This Row],[Поддон]]*$G$3</f>
        <v>0</v>
      </c>
      <c r="K469" s="9">
        <f>SUM(Тўловлар[[#This Row],[ПР-Сумма]]+Тўловлар[[#This Row],[Накд]]+Тўловлар[[#This Row],[Клик]]+Тўловлар[[#This Row],[Терминал]])</f>
        <v>0</v>
      </c>
      <c r="N469" s="30" cm="1">
        <f t="array" ref="N469">IFERROR(LOOKUP(2,1/((Товар!$D$4:$D$1110=Тўловлар[[#This Row],[Клиент]])*(Товар!$E$4:$E$1110&lt;=Тўловлар[[#This Row],[Дата]])),Товар!$L$4:$L$1110),Кўрсаткичлар!$B$4)</f>
        <v>0</v>
      </c>
      <c r="O469" s="30">
        <f>Тўловлар[[#This Row],[Поддон]]*Тўловлар[[#This Row],[Поддон нархи]]</f>
        <v>0</v>
      </c>
      <c r="P469" s="30">
        <f>Тўловлар[[#This Row],[Жами сумма]]-Тўловлар[[#This Row],[Поддон пули]]</f>
        <v>0</v>
      </c>
      <c r="Q4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69" s="9" t="str">
        <f>IFERROR(INDEX(Мижозлар[Агент],MATCH($C469,Мижозлар[Расмий ном],0)),"")</f>
        <v/>
      </c>
    </row>
    <row r="470" spans="6:19" x14ac:dyDescent="0.2">
      <c r="F470" s="198"/>
      <c r="G470" s="9">
        <f>Тўловлар[[#This Row],[Поддон]]*$G$3</f>
        <v>0</v>
      </c>
      <c r="K470" s="9">
        <f>SUM(Тўловлар[[#This Row],[ПР-Сумма]]+Тўловлар[[#This Row],[Накд]]+Тўловлар[[#This Row],[Клик]]+Тўловлар[[#This Row],[Терминал]])</f>
        <v>0</v>
      </c>
      <c r="N470" s="30" cm="1">
        <f t="array" ref="N470">IFERROR(LOOKUP(2,1/((Товар!$D$4:$D$1110=Тўловлар[[#This Row],[Клиент]])*(Товар!$E$4:$E$1110&lt;=Тўловлар[[#This Row],[Дата]])),Товар!$L$4:$L$1110),Кўрсаткичлар!$B$4)</f>
        <v>0</v>
      </c>
      <c r="O470" s="30">
        <f>Тўловлар[[#This Row],[Поддон]]*Тўловлар[[#This Row],[Поддон нархи]]</f>
        <v>0</v>
      </c>
      <c r="P470" s="30">
        <f>Тўловлар[[#This Row],[Жами сумма]]-Тўловлар[[#This Row],[Поддон пули]]</f>
        <v>0</v>
      </c>
      <c r="Q4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0" s="9" t="str">
        <f>IFERROR(INDEX(Мижозлар[Агент],MATCH($C470,Мижозлар[Расмий ном],0)),"")</f>
        <v/>
      </c>
    </row>
    <row r="471" spans="6:19" x14ac:dyDescent="0.2">
      <c r="F471" s="198"/>
      <c r="G471" s="9">
        <f>Тўловлар[[#This Row],[Поддон]]*$G$3</f>
        <v>0</v>
      </c>
      <c r="K471" s="9">
        <f>SUM(Тўловлар[[#This Row],[ПР-Сумма]]+Тўловлар[[#This Row],[Накд]]+Тўловлар[[#This Row],[Клик]]+Тўловлар[[#This Row],[Терминал]])</f>
        <v>0</v>
      </c>
      <c r="N471" s="30" cm="1">
        <f t="array" ref="N471">IFERROR(LOOKUP(2,1/((Товар!$D$4:$D$1110=Тўловлар[[#This Row],[Клиент]])*(Товар!$E$4:$E$1110&lt;=Тўловлар[[#This Row],[Дата]])),Товар!$L$4:$L$1110),Кўрсаткичлар!$B$4)</f>
        <v>0</v>
      </c>
      <c r="O471" s="30">
        <f>Тўловлар[[#This Row],[Поддон]]*Тўловлар[[#This Row],[Поддон нархи]]</f>
        <v>0</v>
      </c>
      <c r="P471" s="30">
        <f>Тўловлар[[#This Row],[Жами сумма]]-Тўловлар[[#This Row],[Поддон пули]]</f>
        <v>0</v>
      </c>
      <c r="Q4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1" s="9" t="str">
        <f>IFERROR(INDEX(Мижозлар[Агент],MATCH($C471,Мижозлар[Расмий ном],0)),"")</f>
        <v/>
      </c>
    </row>
    <row r="472" spans="6:19" x14ac:dyDescent="0.2">
      <c r="F472" s="198"/>
      <c r="G472" s="9">
        <f>Тўловлар[[#This Row],[Поддон]]*$G$3</f>
        <v>0</v>
      </c>
      <c r="K472" s="9">
        <f>SUM(Тўловлар[[#This Row],[ПР-Сумма]]+Тўловлар[[#This Row],[Накд]]+Тўловлар[[#This Row],[Клик]]+Тўловлар[[#This Row],[Терминал]])</f>
        <v>0</v>
      </c>
      <c r="N472" s="30" cm="1">
        <f t="array" ref="N472">IFERROR(LOOKUP(2,1/((Товар!$D$4:$D$1110=Тўловлар[[#This Row],[Клиент]])*(Товар!$E$4:$E$1110&lt;=Тўловлар[[#This Row],[Дата]])),Товар!$L$4:$L$1110),Кўрсаткичлар!$B$4)</f>
        <v>0</v>
      </c>
      <c r="O472" s="30">
        <f>Тўловлар[[#This Row],[Поддон]]*Тўловлар[[#This Row],[Поддон нархи]]</f>
        <v>0</v>
      </c>
      <c r="P472" s="30">
        <f>Тўловлар[[#This Row],[Жами сумма]]-Тўловлар[[#This Row],[Поддон пули]]</f>
        <v>0</v>
      </c>
      <c r="Q4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2" s="9" t="str">
        <f>IFERROR(INDEX(Мижозлар[Агент],MATCH($C472,Мижозлар[Расмий ном],0)),"")</f>
        <v/>
      </c>
    </row>
    <row r="473" spans="6:19" x14ac:dyDescent="0.2">
      <c r="F473" s="198"/>
      <c r="G473" s="9">
        <f>Тўловлар[[#This Row],[Поддон]]*$G$3</f>
        <v>0</v>
      </c>
      <c r="K473" s="9">
        <f>SUM(Тўловлар[[#This Row],[ПР-Сумма]]+Тўловлар[[#This Row],[Накд]]+Тўловлар[[#This Row],[Клик]]+Тўловлар[[#This Row],[Терминал]])</f>
        <v>0</v>
      </c>
      <c r="N473" s="30" cm="1">
        <f t="array" ref="N473">IFERROR(LOOKUP(2,1/((Товар!$D$4:$D$1110=Тўловлар[[#This Row],[Клиент]])*(Товар!$E$4:$E$1110&lt;=Тўловлар[[#This Row],[Дата]])),Товар!$L$4:$L$1110),Кўрсаткичлар!$B$4)</f>
        <v>0</v>
      </c>
      <c r="O473" s="30">
        <f>Тўловлар[[#This Row],[Поддон]]*Тўловлар[[#This Row],[Поддон нархи]]</f>
        <v>0</v>
      </c>
      <c r="P473" s="30">
        <f>Тўловлар[[#This Row],[Жами сумма]]-Тўловлар[[#This Row],[Поддон пули]]</f>
        <v>0</v>
      </c>
      <c r="Q4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3" s="9" t="str">
        <f>IFERROR(INDEX(Мижозлар[Агент],MATCH($C473,Мижозлар[Расмий ном],0)),"")</f>
        <v/>
      </c>
    </row>
    <row r="474" spans="6:19" x14ac:dyDescent="0.2">
      <c r="F474" s="198"/>
      <c r="G474" s="9">
        <f>Тўловлар[[#This Row],[Поддон]]*$G$3</f>
        <v>0</v>
      </c>
      <c r="K474" s="9">
        <f>SUM(Тўловлар[[#This Row],[ПР-Сумма]]+Тўловлар[[#This Row],[Накд]]+Тўловлар[[#This Row],[Клик]]+Тўловлар[[#This Row],[Терминал]])</f>
        <v>0</v>
      </c>
      <c r="N474" s="30" cm="1">
        <f t="array" ref="N474">IFERROR(LOOKUP(2,1/((Товар!$D$4:$D$1110=Тўловлар[[#This Row],[Клиент]])*(Товар!$E$4:$E$1110&lt;=Тўловлар[[#This Row],[Дата]])),Товар!$L$4:$L$1110),Кўрсаткичлар!$B$4)</f>
        <v>0</v>
      </c>
      <c r="O474" s="30">
        <f>Тўловлар[[#This Row],[Поддон]]*Тўловлар[[#This Row],[Поддон нархи]]</f>
        <v>0</v>
      </c>
      <c r="P474" s="30">
        <f>Тўловлар[[#This Row],[Жами сумма]]-Тўловлар[[#This Row],[Поддон пули]]</f>
        <v>0</v>
      </c>
      <c r="Q4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4" s="9" t="str">
        <f>IFERROR(INDEX(Мижозлар[Агент],MATCH($C474,Мижозлар[Расмий ном],0)),"")</f>
        <v/>
      </c>
    </row>
    <row r="475" spans="6:19" x14ac:dyDescent="0.2">
      <c r="F475" s="198"/>
      <c r="G475" s="9">
        <f>Тўловлар[[#This Row],[Поддон]]*$G$3</f>
        <v>0</v>
      </c>
      <c r="K475" s="9">
        <f>SUM(Тўловлар[[#This Row],[ПР-Сумма]]+Тўловлар[[#This Row],[Накд]]+Тўловлар[[#This Row],[Клик]]+Тўловлар[[#This Row],[Терминал]])</f>
        <v>0</v>
      </c>
      <c r="N475" s="30" cm="1">
        <f t="array" ref="N475">IFERROR(LOOKUP(2,1/((Товар!$D$4:$D$1110=Тўловлар[[#This Row],[Клиент]])*(Товар!$E$4:$E$1110&lt;=Тўловлар[[#This Row],[Дата]])),Товар!$L$4:$L$1110),Кўрсаткичлар!$B$4)</f>
        <v>0</v>
      </c>
      <c r="O475" s="30">
        <f>Тўловлар[[#This Row],[Поддон]]*Тўловлар[[#This Row],[Поддон нархи]]</f>
        <v>0</v>
      </c>
      <c r="P475" s="30">
        <f>Тўловлар[[#This Row],[Жами сумма]]-Тўловлар[[#This Row],[Поддон пули]]</f>
        <v>0</v>
      </c>
      <c r="Q4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5" s="9" t="str">
        <f>IFERROR(INDEX(Мижозлар[Агент],MATCH($C475,Мижозлар[Расмий ном],0)),"")</f>
        <v/>
      </c>
    </row>
    <row r="476" spans="6:19" x14ac:dyDescent="0.2">
      <c r="F476" s="198"/>
      <c r="G476" s="9">
        <f>Тўловлар[[#This Row],[Поддон]]*$G$3</f>
        <v>0</v>
      </c>
      <c r="K476" s="9">
        <f>SUM(Тўловлар[[#This Row],[ПР-Сумма]]+Тўловлар[[#This Row],[Накд]]+Тўловлар[[#This Row],[Клик]]+Тўловлар[[#This Row],[Терминал]])</f>
        <v>0</v>
      </c>
      <c r="N476" s="30" cm="1">
        <f t="array" ref="N476">IFERROR(LOOKUP(2,1/((Товар!$D$4:$D$1110=Тўловлар[[#This Row],[Клиент]])*(Товар!$E$4:$E$1110&lt;=Тўловлар[[#This Row],[Дата]])),Товар!$L$4:$L$1110),Кўрсаткичлар!$B$4)</f>
        <v>0</v>
      </c>
      <c r="O476" s="30">
        <f>Тўловлар[[#This Row],[Поддон]]*Тўловлар[[#This Row],[Поддон нархи]]</f>
        <v>0</v>
      </c>
      <c r="P476" s="30">
        <f>Тўловлар[[#This Row],[Жами сумма]]-Тўловлар[[#This Row],[Поддон пули]]</f>
        <v>0</v>
      </c>
      <c r="Q4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6" s="9" t="str">
        <f>IFERROR(INDEX(Мижозлар[Агент],MATCH($C476,Мижозлар[Расмий ном],0)),"")</f>
        <v/>
      </c>
    </row>
    <row r="477" spans="6:19" x14ac:dyDescent="0.2">
      <c r="F477" s="198"/>
      <c r="G477" s="9">
        <f>Тўловлар[[#This Row],[Поддон]]*$G$3</f>
        <v>0</v>
      </c>
      <c r="K477" s="9">
        <f>SUM(Тўловлар[[#This Row],[ПР-Сумма]]+Тўловлар[[#This Row],[Накд]]+Тўловлар[[#This Row],[Клик]]+Тўловлар[[#This Row],[Терминал]])</f>
        <v>0</v>
      </c>
      <c r="N477" s="30" cm="1">
        <f t="array" ref="N477">IFERROR(LOOKUP(2,1/((Товар!$D$4:$D$1110=Тўловлар[[#This Row],[Клиент]])*(Товар!$E$4:$E$1110&lt;=Тўловлар[[#This Row],[Дата]])),Товар!$L$4:$L$1110),Кўрсаткичлар!$B$4)</f>
        <v>0</v>
      </c>
      <c r="O477" s="30">
        <f>Тўловлар[[#This Row],[Поддон]]*Тўловлар[[#This Row],[Поддон нархи]]</f>
        <v>0</v>
      </c>
      <c r="P477" s="30">
        <f>Тўловлар[[#This Row],[Жами сумма]]-Тўловлар[[#This Row],[Поддон пули]]</f>
        <v>0</v>
      </c>
      <c r="Q4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7" s="9" t="str">
        <f>IFERROR(INDEX(Мижозлар[Агент],MATCH($C477,Мижозлар[Расмий ном],0)),"")</f>
        <v/>
      </c>
    </row>
    <row r="478" spans="6:19" x14ac:dyDescent="0.2">
      <c r="F478" s="198"/>
      <c r="G478" s="9">
        <f>Тўловлар[[#This Row],[Поддон]]*$G$3</f>
        <v>0</v>
      </c>
      <c r="K478" s="9">
        <f>SUM(Тўловлар[[#This Row],[ПР-Сумма]]+Тўловлар[[#This Row],[Накд]]+Тўловлар[[#This Row],[Клик]]+Тўловлар[[#This Row],[Терминал]])</f>
        <v>0</v>
      </c>
      <c r="N478" s="30" cm="1">
        <f t="array" ref="N478">IFERROR(LOOKUP(2,1/((Товар!$D$4:$D$1110=Тўловлар[[#This Row],[Клиент]])*(Товар!$E$4:$E$1110&lt;=Тўловлар[[#This Row],[Дата]])),Товар!$L$4:$L$1110),Кўрсаткичлар!$B$4)</f>
        <v>0</v>
      </c>
      <c r="O478" s="30">
        <f>Тўловлар[[#This Row],[Поддон]]*Тўловлар[[#This Row],[Поддон нархи]]</f>
        <v>0</v>
      </c>
      <c r="P478" s="30">
        <f>Тўловлар[[#This Row],[Жами сумма]]-Тўловлар[[#This Row],[Поддон пули]]</f>
        <v>0</v>
      </c>
      <c r="Q4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8" s="9" t="str">
        <f>IFERROR(INDEX(Мижозлар[Агент],MATCH($C478,Мижозлар[Расмий ном],0)),"")</f>
        <v/>
      </c>
    </row>
    <row r="479" spans="6:19" x14ac:dyDescent="0.2">
      <c r="F479" s="198"/>
      <c r="G479" s="9">
        <f>Тўловлар[[#This Row],[Поддон]]*$G$3</f>
        <v>0</v>
      </c>
      <c r="K479" s="9">
        <f>SUM(Тўловлар[[#This Row],[ПР-Сумма]]+Тўловлар[[#This Row],[Накд]]+Тўловлар[[#This Row],[Клик]]+Тўловлар[[#This Row],[Терминал]])</f>
        <v>0</v>
      </c>
      <c r="N479" s="30" cm="1">
        <f t="array" ref="N479">IFERROR(LOOKUP(2,1/((Товар!$D$4:$D$1110=Тўловлар[[#This Row],[Клиент]])*(Товар!$E$4:$E$1110&lt;=Тўловлар[[#This Row],[Дата]])),Товар!$L$4:$L$1110),Кўрсаткичлар!$B$4)</f>
        <v>0</v>
      </c>
      <c r="O479" s="30">
        <f>Тўловлар[[#This Row],[Поддон]]*Тўловлар[[#This Row],[Поддон нархи]]</f>
        <v>0</v>
      </c>
      <c r="P479" s="30">
        <f>Тўловлар[[#This Row],[Жами сумма]]-Тўловлар[[#This Row],[Поддон пули]]</f>
        <v>0</v>
      </c>
      <c r="Q4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79" s="9" t="str">
        <f>IFERROR(INDEX(Мижозлар[Агент],MATCH($C479,Мижозлар[Расмий ном],0)),"")</f>
        <v/>
      </c>
    </row>
    <row r="480" spans="6:19" x14ac:dyDescent="0.2">
      <c r="F480" s="198"/>
      <c r="G480" s="9">
        <f>Тўловлар[[#This Row],[Поддон]]*$G$3</f>
        <v>0</v>
      </c>
      <c r="K480" s="9">
        <f>SUM(Тўловлар[[#This Row],[ПР-Сумма]]+Тўловлар[[#This Row],[Накд]]+Тўловлар[[#This Row],[Клик]]+Тўловлар[[#This Row],[Терминал]])</f>
        <v>0</v>
      </c>
      <c r="N480" s="30" cm="1">
        <f t="array" ref="N480">IFERROR(LOOKUP(2,1/((Товар!$D$4:$D$1110=Тўловлар[[#This Row],[Клиент]])*(Товар!$E$4:$E$1110&lt;=Тўловлар[[#This Row],[Дата]])),Товар!$L$4:$L$1110),Кўрсаткичлар!$B$4)</f>
        <v>0</v>
      </c>
      <c r="O480" s="30">
        <f>Тўловлар[[#This Row],[Поддон]]*Тўловлар[[#This Row],[Поддон нархи]]</f>
        <v>0</v>
      </c>
      <c r="P480" s="30">
        <f>Тўловлар[[#This Row],[Жами сумма]]-Тўловлар[[#This Row],[Поддон пули]]</f>
        <v>0</v>
      </c>
      <c r="Q4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0" s="9" t="str">
        <f>IFERROR(INDEX(Мижозлар[Агент],MATCH($C480,Мижозлар[Расмий ном],0)),"")</f>
        <v/>
      </c>
    </row>
    <row r="481" spans="6:19" x14ac:dyDescent="0.2">
      <c r="F481" s="198"/>
      <c r="G481" s="9">
        <f>Тўловлар[[#This Row],[Поддон]]*$G$3</f>
        <v>0</v>
      </c>
      <c r="K481" s="9">
        <f>SUM(Тўловлар[[#This Row],[ПР-Сумма]]+Тўловлар[[#This Row],[Накд]]+Тўловлар[[#This Row],[Клик]]+Тўловлар[[#This Row],[Терминал]])</f>
        <v>0</v>
      </c>
      <c r="N481" s="30" cm="1">
        <f t="array" ref="N481">IFERROR(LOOKUP(2,1/((Товар!$D$4:$D$1110=Тўловлар[[#This Row],[Клиент]])*(Товар!$E$4:$E$1110&lt;=Тўловлар[[#This Row],[Дата]])),Товар!$L$4:$L$1110),Кўрсаткичлар!$B$4)</f>
        <v>0</v>
      </c>
      <c r="O481" s="30">
        <f>Тўловлар[[#This Row],[Поддон]]*Тўловлар[[#This Row],[Поддон нархи]]</f>
        <v>0</v>
      </c>
      <c r="P481" s="30">
        <f>Тўловлар[[#This Row],[Жами сумма]]-Тўловлар[[#This Row],[Поддон пули]]</f>
        <v>0</v>
      </c>
      <c r="Q4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1" s="9" t="str">
        <f>IFERROR(INDEX(Мижозлар[Агент],MATCH($C481,Мижозлар[Расмий ном],0)),"")</f>
        <v/>
      </c>
    </row>
    <row r="482" spans="6:19" x14ac:dyDescent="0.2">
      <c r="F482" s="198"/>
      <c r="G482" s="9">
        <f>Тўловлар[[#This Row],[Поддон]]*$G$3</f>
        <v>0</v>
      </c>
      <c r="K482" s="9">
        <f>SUM(Тўловлар[[#This Row],[ПР-Сумма]]+Тўловлар[[#This Row],[Накд]]+Тўловлар[[#This Row],[Клик]]+Тўловлар[[#This Row],[Терминал]])</f>
        <v>0</v>
      </c>
      <c r="N482" s="30" cm="1">
        <f t="array" ref="N482">IFERROR(LOOKUP(2,1/((Товар!$D$4:$D$1110=Тўловлар[[#This Row],[Клиент]])*(Товар!$E$4:$E$1110&lt;=Тўловлар[[#This Row],[Дата]])),Товар!$L$4:$L$1110),Кўрсаткичлар!$B$4)</f>
        <v>0</v>
      </c>
      <c r="O482" s="30">
        <f>Тўловлар[[#This Row],[Поддон]]*Тўловлар[[#This Row],[Поддон нархи]]</f>
        <v>0</v>
      </c>
      <c r="P482" s="30">
        <f>Тўловлар[[#This Row],[Жами сумма]]-Тўловлар[[#This Row],[Поддон пули]]</f>
        <v>0</v>
      </c>
      <c r="Q4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2" s="9" t="str">
        <f>IFERROR(INDEX(Мижозлар[Агент],MATCH($C482,Мижозлар[Расмий ном],0)),"")</f>
        <v/>
      </c>
    </row>
    <row r="483" spans="6:19" x14ac:dyDescent="0.2">
      <c r="F483" s="198"/>
      <c r="G483" s="9">
        <f>Тўловлар[[#This Row],[Поддон]]*$G$3</f>
        <v>0</v>
      </c>
      <c r="K483" s="9">
        <f>SUM(Тўловлар[[#This Row],[ПР-Сумма]]+Тўловлар[[#This Row],[Накд]]+Тўловлар[[#This Row],[Клик]]+Тўловлар[[#This Row],[Терминал]])</f>
        <v>0</v>
      </c>
      <c r="N483" s="30" cm="1">
        <f t="array" ref="N483">IFERROR(LOOKUP(2,1/((Товар!$D$4:$D$1110=Тўловлар[[#This Row],[Клиент]])*(Товар!$E$4:$E$1110&lt;=Тўловлар[[#This Row],[Дата]])),Товар!$L$4:$L$1110),Кўрсаткичлар!$B$4)</f>
        <v>0</v>
      </c>
      <c r="O483" s="30">
        <f>Тўловлар[[#This Row],[Поддон]]*Тўловлар[[#This Row],[Поддон нархи]]</f>
        <v>0</v>
      </c>
      <c r="P483" s="30">
        <f>Тўловлар[[#This Row],[Жами сумма]]-Тўловлар[[#This Row],[Поддон пули]]</f>
        <v>0</v>
      </c>
      <c r="Q4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3" s="9" t="str">
        <f>IFERROR(INDEX(Мижозлар[Агент],MATCH($C483,Мижозлар[Расмий ном],0)),"")</f>
        <v/>
      </c>
    </row>
    <row r="484" spans="6:19" x14ac:dyDescent="0.2">
      <c r="F484" s="198"/>
      <c r="G484" s="9">
        <f>Тўловлар[[#This Row],[Поддон]]*$G$3</f>
        <v>0</v>
      </c>
      <c r="K484" s="9">
        <f>SUM(Тўловлар[[#This Row],[ПР-Сумма]]+Тўловлар[[#This Row],[Накд]]+Тўловлар[[#This Row],[Клик]]+Тўловлар[[#This Row],[Терминал]])</f>
        <v>0</v>
      </c>
      <c r="N484" s="30" cm="1">
        <f t="array" ref="N484">IFERROR(LOOKUP(2,1/((Товар!$D$4:$D$1110=Тўловлар[[#This Row],[Клиент]])*(Товар!$E$4:$E$1110&lt;=Тўловлар[[#This Row],[Дата]])),Товар!$L$4:$L$1110),Кўрсаткичлар!$B$4)</f>
        <v>0</v>
      </c>
      <c r="O484" s="30">
        <f>Тўловлар[[#This Row],[Поддон]]*Тўловлар[[#This Row],[Поддон нархи]]</f>
        <v>0</v>
      </c>
      <c r="P484" s="30">
        <f>Тўловлар[[#This Row],[Жами сумма]]-Тўловлар[[#This Row],[Поддон пули]]</f>
        <v>0</v>
      </c>
      <c r="Q4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4" s="9" t="str">
        <f>IFERROR(INDEX(Мижозлар[Агент],MATCH($C484,Мижозлар[Расмий ном],0)),"")</f>
        <v/>
      </c>
    </row>
    <row r="485" spans="6:19" x14ac:dyDescent="0.2">
      <c r="F485" s="198"/>
      <c r="G485" s="9">
        <f>Тўловлар[[#This Row],[Поддон]]*$G$3</f>
        <v>0</v>
      </c>
      <c r="K485" s="9">
        <f>SUM(Тўловлар[[#This Row],[ПР-Сумма]]+Тўловлар[[#This Row],[Накд]]+Тўловлар[[#This Row],[Клик]]+Тўловлар[[#This Row],[Терминал]])</f>
        <v>0</v>
      </c>
      <c r="N485" s="30" cm="1">
        <f t="array" ref="N485">IFERROR(LOOKUP(2,1/((Товар!$D$4:$D$1110=Тўловлар[[#This Row],[Клиент]])*(Товар!$E$4:$E$1110&lt;=Тўловлар[[#This Row],[Дата]])),Товар!$L$4:$L$1110),Кўрсаткичлар!$B$4)</f>
        <v>0</v>
      </c>
      <c r="O485" s="30">
        <f>Тўловлар[[#This Row],[Поддон]]*Тўловлар[[#This Row],[Поддон нархи]]</f>
        <v>0</v>
      </c>
      <c r="P485" s="30">
        <f>Тўловлар[[#This Row],[Жами сумма]]-Тўловлар[[#This Row],[Поддон пули]]</f>
        <v>0</v>
      </c>
      <c r="Q4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5" s="9" t="str">
        <f>IFERROR(INDEX(Мижозлар[Агент],MATCH($C485,Мижозлар[Расмий ном],0)),"")</f>
        <v/>
      </c>
    </row>
    <row r="486" spans="6:19" x14ac:dyDescent="0.2">
      <c r="F486" s="198"/>
      <c r="G486" s="9">
        <f>Тўловлар[[#This Row],[Поддон]]*$G$3</f>
        <v>0</v>
      </c>
      <c r="K486" s="9">
        <f>SUM(Тўловлар[[#This Row],[ПР-Сумма]]+Тўловлар[[#This Row],[Накд]]+Тўловлар[[#This Row],[Клик]]+Тўловлар[[#This Row],[Терминал]])</f>
        <v>0</v>
      </c>
      <c r="N486" s="30" cm="1">
        <f t="array" ref="N486">IFERROR(LOOKUP(2,1/((Товар!$D$4:$D$1110=Тўловлар[[#This Row],[Клиент]])*(Товар!$E$4:$E$1110&lt;=Тўловлар[[#This Row],[Дата]])),Товар!$L$4:$L$1110),Кўрсаткичлар!$B$4)</f>
        <v>0</v>
      </c>
      <c r="O486" s="30">
        <f>Тўловлар[[#This Row],[Поддон]]*Тўловлар[[#This Row],[Поддон нархи]]</f>
        <v>0</v>
      </c>
      <c r="P486" s="30">
        <f>Тўловлар[[#This Row],[Жами сумма]]-Тўловлар[[#This Row],[Поддон пули]]</f>
        <v>0</v>
      </c>
      <c r="Q4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6" s="9" t="str">
        <f>IFERROR(INDEX(Мижозлар[Агент],MATCH($C486,Мижозлар[Расмий ном],0)),"")</f>
        <v/>
      </c>
    </row>
    <row r="487" spans="6:19" x14ac:dyDescent="0.2">
      <c r="F487" s="198"/>
      <c r="G487" s="9">
        <f>Тўловлар[[#This Row],[Поддон]]*$G$3</f>
        <v>0</v>
      </c>
      <c r="K487" s="9">
        <f>SUM(Тўловлар[[#This Row],[ПР-Сумма]]+Тўловлар[[#This Row],[Накд]]+Тўловлар[[#This Row],[Клик]]+Тўловлар[[#This Row],[Терминал]])</f>
        <v>0</v>
      </c>
      <c r="N487" s="30" cm="1">
        <f t="array" ref="N487">IFERROR(LOOKUP(2,1/((Товар!$D$4:$D$1110=Тўловлар[[#This Row],[Клиент]])*(Товар!$E$4:$E$1110&lt;=Тўловлар[[#This Row],[Дата]])),Товар!$L$4:$L$1110),Кўрсаткичлар!$B$4)</f>
        <v>0</v>
      </c>
      <c r="O487" s="30">
        <f>Тўловлар[[#This Row],[Поддон]]*Тўловлар[[#This Row],[Поддон нархи]]</f>
        <v>0</v>
      </c>
      <c r="P487" s="30">
        <f>Тўловлар[[#This Row],[Жами сумма]]-Тўловлар[[#This Row],[Поддон пули]]</f>
        <v>0</v>
      </c>
      <c r="Q4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7" s="9" t="str">
        <f>IFERROR(INDEX(Мижозлар[Агент],MATCH($C487,Мижозлар[Расмий ном],0)),"")</f>
        <v/>
      </c>
    </row>
    <row r="488" spans="6:19" x14ac:dyDescent="0.2">
      <c r="F488" s="198"/>
      <c r="G488" s="9">
        <f>Тўловлар[[#This Row],[Поддон]]*$G$3</f>
        <v>0</v>
      </c>
      <c r="K488" s="9">
        <f>SUM(Тўловлар[[#This Row],[ПР-Сумма]]+Тўловлар[[#This Row],[Накд]]+Тўловлар[[#This Row],[Клик]]+Тўловлар[[#This Row],[Терминал]])</f>
        <v>0</v>
      </c>
      <c r="N488" s="30" cm="1">
        <f t="array" ref="N488">IFERROR(LOOKUP(2,1/((Товар!$D$4:$D$1110=Тўловлар[[#This Row],[Клиент]])*(Товар!$E$4:$E$1110&lt;=Тўловлар[[#This Row],[Дата]])),Товар!$L$4:$L$1110),Кўрсаткичлар!$B$4)</f>
        <v>0</v>
      </c>
      <c r="O488" s="30">
        <f>Тўловлар[[#This Row],[Поддон]]*Тўловлар[[#This Row],[Поддон нархи]]</f>
        <v>0</v>
      </c>
      <c r="P488" s="30">
        <f>Тўловлар[[#This Row],[Жами сумма]]-Тўловлар[[#This Row],[Поддон пули]]</f>
        <v>0</v>
      </c>
      <c r="Q4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8" s="9" t="str">
        <f>IFERROR(INDEX(Мижозлар[Агент],MATCH($C488,Мижозлар[Расмий ном],0)),"")</f>
        <v/>
      </c>
    </row>
    <row r="489" spans="6:19" x14ac:dyDescent="0.2">
      <c r="F489" s="198"/>
      <c r="G489" s="9">
        <f>Тўловлар[[#This Row],[Поддон]]*$G$3</f>
        <v>0</v>
      </c>
      <c r="K489" s="9">
        <f>SUM(Тўловлар[[#This Row],[ПР-Сумма]]+Тўловлар[[#This Row],[Накд]]+Тўловлар[[#This Row],[Клик]]+Тўловлар[[#This Row],[Терминал]])</f>
        <v>0</v>
      </c>
      <c r="N489" s="30" cm="1">
        <f t="array" ref="N489">IFERROR(LOOKUP(2,1/((Товар!$D$4:$D$1110=Тўловлар[[#This Row],[Клиент]])*(Товар!$E$4:$E$1110&lt;=Тўловлар[[#This Row],[Дата]])),Товар!$L$4:$L$1110),Кўрсаткичлар!$B$4)</f>
        <v>0</v>
      </c>
      <c r="O489" s="30">
        <f>Тўловлар[[#This Row],[Поддон]]*Тўловлар[[#This Row],[Поддон нархи]]</f>
        <v>0</v>
      </c>
      <c r="P489" s="30">
        <f>Тўловлар[[#This Row],[Жами сумма]]-Тўловлар[[#This Row],[Поддон пули]]</f>
        <v>0</v>
      </c>
      <c r="Q4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89" s="9" t="str">
        <f>IFERROR(INDEX(Мижозлар[Агент],MATCH($C489,Мижозлар[Расмий ном],0)),"")</f>
        <v/>
      </c>
    </row>
    <row r="490" spans="6:19" x14ac:dyDescent="0.2">
      <c r="F490" s="198"/>
      <c r="G490" s="9">
        <f>Тўловлар[[#This Row],[Поддон]]*$G$3</f>
        <v>0</v>
      </c>
      <c r="K490" s="9">
        <f>SUM(Тўловлар[[#This Row],[ПР-Сумма]]+Тўловлар[[#This Row],[Накд]]+Тўловлар[[#This Row],[Клик]]+Тўловлар[[#This Row],[Терминал]])</f>
        <v>0</v>
      </c>
      <c r="N490" s="30" cm="1">
        <f t="array" ref="N490">IFERROR(LOOKUP(2,1/((Товар!$D$4:$D$1110=Тўловлар[[#This Row],[Клиент]])*(Товар!$E$4:$E$1110&lt;=Тўловлар[[#This Row],[Дата]])),Товар!$L$4:$L$1110),Кўрсаткичлар!$B$4)</f>
        <v>0</v>
      </c>
      <c r="O490" s="30">
        <f>Тўловлар[[#This Row],[Поддон]]*Тўловлар[[#This Row],[Поддон нархи]]</f>
        <v>0</v>
      </c>
      <c r="P490" s="30">
        <f>Тўловлар[[#This Row],[Жами сумма]]-Тўловлар[[#This Row],[Поддон пули]]</f>
        <v>0</v>
      </c>
      <c r="Q4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0" s="9" t="str">
        <f>IFERROR(INDEX(Мижозлар[Агент],MATCH($C490,Мижозлар[Расмий ном],0)),"")</f>
        <v/>
      </c>
    </row>
    <row r="491" spans="6:19" x14ac:dyDescent="0.2">
      <c r="F491" s="198"/>
      <c r="G491" s="9">
        <f>Тўловлар[[#This Row],[Поддон]]*$G$3</f>
        <v>0</v>
      </c>
      <c r="K491" s="9">
        <f>SUM(Тўловлар[[#This Row],[ПР-Сумма]]+Тўловлар[[#This Row],[Накд]]+Тўловлар[[#This Row],[Клик]]+Тўловлар[[#This Row],[Терминал]])</f>
        <v>0</v>
      </c>
      <c r="N491" s="30" cm="1">
        <f t="array" ref="N491">IFERROR(LOOKUP(2,1/((Товар!$D$4:$D$1110=Тўловлар[[#This Row],[Клиент]])*(Товар!$E$4:$E$1110&lt;=Тўловлар[[#This Row],[Дата]])),Товар!$L$4:$L$1110),Кўрсаткичлар!$B$4)</f>
        <v>0</v>
      </c>
      <c r="O491" s="30">
        <f>Тўловлар[[#This Row],[Поддон]]*Тўловлар[[#This Row],[Поддон нархи]]</f>
        <v>0</v>
      </c>
      <c r="P491" s="30">
        <f>Тўловлар[[#This Row],[Жами сумма]]-Тўловлар[[#This Row],[Поддон пули]]</f>
        <v>0</v>
      </c>
      <c r="Q4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1" s="9" t="str">
        <f>IFERROR(INDEX(Мижозлар[Агент],MATCH($C491,Мижозлар[Расмий ном],0)),"")</f>
        <v/>
      </c>
    </row>
    <row r="492" spans="6:19" x14ac:dyDescent="0.2">
      <c r="F492" s="198"/>
      <c r="G492" s="9">
        <f>Тўловлар[[#This Row],[Поддон]]*$G$3</f>
        <v>0</v>
      </c>
      <c r="K492" s="9">
        <f>SUM(Тўловлар[[#This Row],[ПР-Сумма]]+Тўловлар[[#This Row],[Накд]]+Тўловлар[[#This Row],[Клик]]+Тўловлар[[#This Row],[Терминал]])</f>
        <v>0</v>
      </c>
      <c r="N492" s="30" cm="1">
        <f t="array" ref="N492">IFERROR(LOOKUP(2,1/((Товар!$D$4:$D$1110=Тўловлар[[#This Row],[Клиент]])*(Товар!$E$4:$E$1110&lt;=Тўловлар[[#This Row],[Дата]])),Товар!$L$4:$L$1110),Кўрсаткичлар!$B$4)</f>
        <v>0</v>
      </c>
      <c r="O492" s="30">
        <f>Тўловлар[[#This Row],[Поддон]]*Тўловлар[[#This Row],[Поддон нархи]]</f>
        <v>0</v>
      </c>
      <c r="P492" s="30">
        <f>Тўловлар[[#This Row],[Жами сумма]]-Тўловлар[[#This Row],[Поддон пули]]</f>
        <v>0</v>
      </c>
      <c r="Q4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2" s="9" t="str">
        <f>IFERROR(INDEX(Мижозлар[Агент],MATCH($C492,Мижозлар[Расмий ном],0)),"")</f>
        <v/>
      </c>
    </row>
    <row r="493" spans="6:19" x14ac:dyDescent="0.2">
      <c r="F493" s="198"/>
      <c r="G493" s="9">
        <f>Тўловлар[[#This Row],[Поддон]]*$G$3</f>
        <v>0</v>
      </c>
      <c r="K493" s="9">
        <f>SUM(Тўловлар[[#This Row],[ПР-Сумма]]+Тўловлар[[#This Row],[Накд]]+Тўловлар[[#This Row],[Клик]]+Тўловлар[[#This Row],[Терминал]])</f>
        <v>0</v>
      </c>
      <c r="N493" s="30" cm="1">
        <f t="array" ref="N493">IFERROR(LOOKUP(2,1/((Товар!$D$4:$D$1110=Тўловлар[[#This Row],[Клиент]])*(Товар!$E$4:$E$1110&lt;=Тўловлар[[#This Row],[Дата]])),Товар!$L$4:$L$1110),Кўрсаткичлар!$B$4)</f>
        <v>0</v>
      </c>
      <c r="O493" s="30">
        <f>Тўловлар[[#This Row],[Поддон]]*Тўловлар[[#This Row],[Поддон нархи]]</f>
        <v>0</v>
      </c>
      <c r="P493" s="30">
        <f>Тўловлар[[#This Row],[Жами сумма]]-Тўловлар[[#This Row],[Поддон пули]]</f>
        <v>0</v>
      </c>
      <c r="Q4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3" s="9" t="str">
        <f>IFERROR(INDEX(Мижозлар[Агент],MATCH($C493,Мижозлар[Расмий ном],0)),"")</f>
        <v/>
      </c>
    </row>
    <row r="494" spans="6:19" x14ac:dyDescent="0.2">
      <c r="F494" s="198"/>
      <c r="G494" s="9">
        <f>Тўловлар[[#This Row],[Поддон]]*$G$3</f>
        <v>0</v>
      </c>
      <c r="K494" s="9">
        <f>SUM(Тўловлар[[#This Row],[ПР-Сумма]]+Тўловлар[[#This Row],[Накд]]+Тўловлар[[#This Row],[Клик]]+Тўловлар[[#This Row],[Терминал]])</f>
        <v>0</v>
      </c>
      <c r="N494" s="30" cm="1">
        <f t="array" ref="N494">IFERROR(LOOKUP(2,1/((Товар!$D$4:$D$1110=Тўловлар[[#This Row],[Клиент]])*(Товар!$E$4:$E$1110&lt;=Тўловлар[[#This Row],[Дата]])),Товар!$L$4:$L$1110),Кўрсаткичлар!$B$4)</f>
        <v>0</v>
      </c>
      <c r="O494" s="30">
        <f>Тўловлар[[#This Row],[Поддон]]*Тўловлар[[#This Row],[Поддон нархи]]</f>
        <v>0</v>
      </c>
      <c r="P494" s="30">
        <f>Тўловлар[[#This Row],[Жами сумма]]-Тўловлар[[#This Row],[Поддон пули]]</f>
        <v>0</v>
      </c>
      <c r="Q4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4" s="9" t="str">
        <f>IFERROR(INDEX(Мижозлар[Агент],MATCH($C494,Мижозлар[Расмий ном],0)),"")</f>
        <v/>
      </c>
    </row>
    <row r="495" spans="6:19" x14ac:dyDescent="0.2">
      <c r="F495" s="198"/>
      <c r="G495" s="9">
        <f>Тўловлар[[#This Row],[Поддон]]*$G$3</f>
        <v>0</v>
      </c>
      <c r="K495" s="9">
        <f>SUM(Тўловлар[[#This Row],[ПР-Сумма]]+Тўловлар[[#This Row],[Накд]]+Тўловлар[[#This Row],[Клик]]+Тўловлар[[#This Row],[Терминал]])</f>
        <v>0</v>
      </c>
      <c r="N495" s="30" cm="1">
        <f t="array" ref="N495">IFERROR(LOOKUP(2,1/((Товар!$D$4:$D$1110=Тўловлар[[#This Row],[Клиент]])*(Товар!$E$4:$E$1110&lt;=Тўловлар[[#This Row],[Дата]])),Товар!$L$4:$L$1110),Кўрсаткичлар!$B$4)</f>
        <v>0</v>
      </c>
      <c r="O495" s="30">
        <f>Тўловлар[[#This Row],[Поддон]]*Тўловлар[[#This Row],[Поддон нархи]]</f>
        <v>0</v>
      </c>
      <c r="P495" s="30">
        <f>Тўловлар[[#This Row],[Жами сумма]]-Тўловлар[[#This Row],[Поддон пули]]</f>
        <v>0</v>
      </c>
      <c r="Q4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5" s="9" t="str">
        <f>IFERROR(INDEX(Мижозлар[Агент],MATCH($C495,Мижозлар[Расмий ном],0)),"")</f>
        <v/>
      </c>
    </row>
    <row r="496" spans="6:19" x14ac:dyDescent="0.2">
      <c r="F496" s="198"/>
      <c r="G496" s="9">
        <f>Тўловлар[[#This Row],[Поддон]]*$G$3</f>
        <v>0</v>
      </c>
      <c r="K496" s="9">
        <f>SUM(Тўловлар[[#This Row],[ПР-Сумма]]+Тўловлар[[#This Row],[Накд]]+Тўловлар[[#This Row],[Клик]]+Тўловлар[[#This Row],[Терминал]])</f>
        <v>0</v>
      </c>
      <c r="N496" s="30" cm="1">
        <f t="array" ref="N496">IFERROR(LOOKUP(2,1/((Товар!$D$4:$D$1110=Тўловлар[[#This Row],[Клиент]])*(Товар!$E$4:$E$1110&lt;=Тўловлар[[#This Row],[Дата]])),Товар!$L$4:$L$1110),Кўрсаткичлар!$B$4)</f>
        <v>0</v>
      </c>
      <c r="O496" s="30">
        <f>Тўловлар[[#This Row],[Поддон]]*Тўловлар[[#This Row],[Поддон нархи]]</f>
        <v>0</v>
      </c>
      <c r="P496" s="30">
        <f>Тўловлар[[#This Row],[Жами сумма]]-Тўловлар[[#This Row],[Поддон пули]]</f>
        <v>0</v>
      </c>
      <c r="Q4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6" s="9" t="str">
        <f>IFERROR(INDEX(Мижозлар[Агент],MATCH($C496,Мижозлар[Расмий ном],0)),"")</f>
        <v/>
      </c>
    </row>
    <row r="497" spans="6:19" x14ac:dyDescent="0.2">
      <c r="F497" s="198"/>
      <c r="G497" s="9">
        <f>Тўловлар[[#This Row],[Поддон]]*$G$3</f>
        <v>0</v>
      </c>
      <c r="K497" s="9">
        <f>SUM(Тўловлар[[#This Row],[ПР-Сумма]]+Тўловлар[[#This Row],[Накд]]+Тўловлар[[#This Row],[Клик]]+Тўловлар[[#This Row],[Терминал]])</f>
        <v>0</v>
      </c>
      <c r="N497" s="30" cm="1">
        <f t="array" ref="N497">IFERROR(LOOKUP(2,1/((Товар!$D$4:$D$1110=Тўловлар[[#This Row],[Клиент]])*(Товар!$E$4:$E$1110&lt;=Тўловлар[[#This Row],[Дата]])),Товар!$L$4:$L$1110),Кўрсаткичлар!$B$4)</f>
        <v>0</v>
      </c>
      <c r="O497" s="30">
        <f>Тўловлар[[#This Row],[Поддон]]*Тўловлар[[#This Row],[Поддон нархи]]</f>
        <v>0</v>
      </c>
      <c r="P497" s="30">
        <f>Тўловлар[[#This Row],[Жами сумма]]-Тўловлар[[#This Row],[Поддон пули]]</f>
        <v>0</v>
      </c>
      <c r="Q4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7" s="9" t="str">
        <f>IFERROR(INDEX(Мижозлар[Агент],MATCH($C497,Мижозлар[Расмий ном],0)),"")</f>
        <v/>
      </c>
    </row>
    <row r="498" spans="6:19" x14ac:dyDescent="0.2">
      <c r="F498" s="198"/>
      <c r="G498" s="9">
        <f>Тўловлар[[#This Row],[Поддон]]*$G$3</f>
        <v>0</v>
      </c>
      <c r="K498" s="9">
        <f>SUM(Тўловлар[[#This Row],[ПР-Сумма]]+Тўловлар[[#This Row],[Накд]]+Тўловлар[[#This Row],[Клик]]+Тўловлар[[#This Row],[Терминал]])</f>
        <v>0</v>
      </c>
      <c r="N498" s="30" cm="1">
        <f t="array" ref="N498">IFERROR(LOOKUP(2,1/((Товар!$D$4:$D$1110=Тўловлар[[#This Row],[Клиент]])*(Товар!$E$4:$E$1110&lt;=Тўловлар[[#This Row],[Дата]])),Товар!$L$4:$L$1110),Кўрсаткичлар!$B$4)</f>
        <v>0</v>
      </c>
      <c r="O498" s="30">
        <f>Тўловлар[[#This Row],[Поддон]]*Тўловлар[[#This Row],[Поддон нархи]]</f>
        <v>0</v>
      </c>
      <c r="P498" s="30">
        <f>Тўловлар[[#This Row],[Жами сумма]]-Тўловлар[[#This Row],[Поддон пули]]</f>
        <v>0</v>
      </c>
      <c r="Q4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8" s="9" t="str">
        <f>IFERROR(INDEX(Мижозлар[Агент],MATCH($C498,Мижозлар[Расмий ном],0)),"")</f>
        <v/>
      </c>
    </row>
    <row r="499" spans="6:19" x14ac:dyDescent="0.2">
      <c r="F499" s="198"/>
      <c r="G499" s="9">
        <f>Тўловлар[[#This Row],[Поддон]]*$G$3</f>
        <v>0</v>
      </c>
      <c r="K499" s="9">
        <f>SUM(Тўловлар[[#This Row],[ПР-Сумма]]+Тўловлар[[#This Row],[Накд]]+Тўловлар[[#This Row],[Клик]]+Тўловлар[[#This Row],[Терминал]])</f>
        <v>0</v>
      </c>
      <c r="N499" s="30" cm="1">
        <f t="array" ref="N499">IFERROR(LOOKUP(2,1/((Товар!$D$4:$D$1110=Тўловлар[[#This Row],[Клиент]])*(Товар!$E$4:$E$1110&lt;=Тўловлар[[#This Row],[Дата]])),Товар!$L$4:$L$1110),Кўрсаткичлар!$B$4)</f>
        <v>0</v>
      </c>
      <c r="O499" s="30">
        <f>Тўловлар[[#This Row],[Поддон]]*Тўловлар[[#This Row],[Поддон нархи]]</f>
        <v>0</v>
      </c>
      <c r="P499" s="30">
        <f>Тўловлар[[#This Row],[Жами сумма]]-Тўловлар[[#This Row],[Поддон пули]]</f>
        <v>0</v>
      </c>
      <c r="Q4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4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499" s="9" t="str">
        <f>IFERROR(INDEX(Мижозлар[Агент],MATCH($C499,Мижозлар[Расмий ном],0)),"")</f>
        <v/>
      </c>
    </row>
    <row r="500" spans="6:19" x14ac:dyDescent="0.2">
      <c r="F500" s="198"/>
      <c r="G500" s="9">
        <f>Тўловлар[[#This Row],[Поддон]]*$G$3</f>
        <v>0</v>
      </c>
      <c r="K500" s="9">
        <f>SUM(Тўловлар[[#This Row],[ПР-Сумма]]+Тўловлар[[#This Row],[Накд]]+Тўловлар[[#This Row],[Клик]]+Тўловлар[[#This Row],[Терминал]])</f>
        <v>0</v>
      </c>
      <c r="N500" s="30" cm="1">
        <f t="array" ref="N500">IFERROR(LOOKUP(2,1/((Товар!$D$4:$D$1110=Тўловлар[[#This Row],[Клиент]])*(Товар!$E$4:$E$1110&lt;=Тўловлар[[#This Row],[Дата]])),Товар!$L$4:$L$1110),Кўрсаткичлар!$B$4)</f>
        <v>0</v>
      </c>
      <c r="O500" s="30">
        <f>Тўловлар[[#This Row],[Поддон]]*Тўловлар[[#This Row],[Поддон нархи]]</f>
        <v>0</v>
      </c>
      <c r="P500" s="30">
        <f>Тўловлар[[#This Row],[Жами сумма]]-Тўловлар[[#This Row],[Поддон пули]]</f>
        <v>0</v>
      </c>
      <c r="Q5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0" s="9" t="str">
        <f>IFERROR(INDEX(Мижозлар[Агент],MATCH($C500,Мижозлар[Расмий ном],0)),"")</f>
        <v/>
      </c>
    </row>
    <row r="501" spans="6:19" x14ac:dyDescent="0.2">
      <c r="F501" s="198"/>
      <c r="G501" s="9">
        <f>Тўловлар[[#This Row],[Поддон]]*$G$3</f>
        <v>0</v>
      </c>
      <c r="K501" s="9">
        <f>SUM(Тўловлар[[#This Row],[ПР-Сумма]]+Тўловлар[[#This Row],[Накд]]+Тўловлар[[#This Row],[Клик]]+Тўловлар[[#This Row],[Терминал]])</f>
        <v>0</v>
      </c>
      <c r="N501" s="30" cm="1">
        <f t="array" ref="N501">IFERROR(LOOKUP(2,1/((Товар!$D$4:$D$1110=Тўловлар[[#This Row],[Клиент]])*(Товар!$E$4:$E$1110&lt;=Тўловлар[[#This Row],[Дата]])),Товар!$L$4:$L$1110),Кўрсаткичлар!$B$4)</f>
        <v>0</v>
      </c>
      <c r="O501" s="30">
        <f>Тўловлар[[#This Row],[Поддон]]*Тўловлар[[#This Row],[Поддон нархи]]</f>
        <v>0</v>
      </c>
      <c r="P501" s="30">
        <f>Тўловлар[[#This Row],[Жами сумма]]-Тўловлар[[#This Row],[Поддон пули]]</f>
        <v>0</v>
      </c>
      <c r="Q5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1" s="9" t="str">
        <f>IFERROR(INDEX(Мижозлар[Агент],MATCH($C501,Мижозлар[Расмий ном],0)),"")</f>
        <v/>
      </c>
    </row>
    <row r="502" spans="6:19" x14ac:dyDescent="0.2">
      <c r="F502" s="198"/>
      <c r="G502" s="9">
        <f>Тўловлар[[#This Row],[Поддон]]*$G$3</f>
        <v>0</v>
      </c>
      <c r="K502" s="9">
        <f>SUM(Тўловлар[[#This Row],[ПР-Сумма]]+Тўловлар[[#This Row],[Накд]]+Тўловлар[[#This Row],[Клик]]+Тўловлар[[#This Row],[Терминал]])</f>
        <v>0</v>
      </c>
      <c r="N502" s="30" cm="1">
        <f t="array" ref="N502">IFERROR(LOOKUP(2,1/((Товар!$D$4:$D$1110=Тўловлар[[#This Row],[Клиент]])*(Товар!$E$4:$E$1110&lt;=Тўловлар[[#This Row],[Дата]])),Товар!$L$4:$L$1110),Кўрсаткичлар!$B$4)</f>
        <v>0</v>
      </c>
      <c r="O502" s="30">
        <f>Тўловлар[[#This Row],[Поддон]]*Тўловлар[[#This Row],[Поддон нархи]]</f>
        <v>0</v>
      </c>
      <c r="P502" s="30">
        <f>Тўловлар[[#This Row],[Жами сумма]]-Тўловлар[[#This Row],[Поддон пули]]</f>
        <v>0</v>
      </c>
      <c r="Q5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2" s="9" t="str">
        <f>IFERROR(INDEX(Мижозлар[Агент],MATCH($C502,Мижозлар[Расмий ном],0)),"")</f>
        <v/>
      </c>
    </row>
    <row r="503" spans="6:19" x14ac:dyDescent="0.2">
      <c r="F503" s="198"/>
      <c r="G503" s="9">
        <f>Тўловлар[[#This Row],[Поддон]]*$G$3</f>
        <v>0</v>
      </c>
      <c r="K503" s="9">
        <f>SUM(Тўловлар[[#This Row],[ПР-Сумма]]+Тўловлар[[#This Row],[Накд]]+Тўловлар[[#This Row],[Клик]]+Тўловлар[[#This Row],[Терминал]])</f>
        <v>0</v>
      </c>
      <c r="N503" s="30" cm="1">
        <f t="array" ref="N503">IFERROR(LOOKUP(2,1/((Товар!$D$4:$D$1110=Тўловлар[[#This Row],[Клиент]])*(Товар!$E$4:$E$1110&lt;=Тўловлар[[#This Row],[Дата]])),Товар!$L$4:$L$1110),Кўрсаткичлар!$B$4)</f>
        <v>0</v>
      </c>
      <c r="O503" s="30">
        <f>Тўловлар[[#This Row],[Поддон]]*Тўловлар[[#This Row],[Поддон нархи]]</f>
        <v>0</v>
      </c>
      <c r="P503" s="30">
        <f>Тўловлар[[#This Row],[Жами сумма]]-Тўловлар[[#This Row],[Поддон пули]]</f>
        <v>0</v>
      </c>
      <c r="Q5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3" s="9" t="str">
        <f>IFERROR(INDEX(Мижозлар[Агент],MATCH($C503,Мижозлар[Расмий ном],0)),"")</f>
        <v/>
      </c>
    </row>
    <row r="504" spans="6:19" x14ac:dyDescent="0.2">
      <c r="F504" s="198"/>
      <c r="G504" s="9">
        <f>Тўловлар[[#This Row],[Поддон]]*$G$3</f>
        <v>0</v>
      </c>
      <c r="K504" s="9">
        <f>SUM(Тўловлар[[#This Row],[ПР-Сумма]]+Тўловлар[[#This Row],[Накд]]+Тўловлар[[#This Row],[Клик]]+Тўловлар[[#This Row],[Терминал]])</f>
        <v>0</v>
      </c>
      <c r="N504" s="30" cm="1">
        <f t="array" ref="N504">IFERROR(LOOKUP(2,1/((Товар!$D$4:$D$1110=Тўловлар[[#This Row],[Клиент]])*(Товар!$E$4:$E$1110&lt;=Тўловлар[[#This Row],[Дата]])),Товар!$L$4:$L$1110),Кўрсаткичлар!$B$4)</f>
        <v>0</v>
      </c>
      <c r="O504" s="30">
        <f>Тўловлар[[#This Row],[Поддон]]*Тўловлар[[#This Row],[Поддон нархи]]</f>
        <v>0</v>
      </c>
      <c r="P504" s="30">
        <f>Тўловлар[[#This Row],[Жами сумма]]-Тўловлар[[#This Row],[Поддон пули]]</f>
        <v>0</v>
      </c>
      <c r="Q5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4" s="9" t="str">
        <f>IFERROR(INDEX(Мижозлар[Агент],MATCH($C504,Мижозлар[Расмий ном],0)),"")</f>
        <v/>
      </c>
    </row>
    <row r="505" spans="6:19" x14ac:dyDescent="0.2">
      <c r="F505" s="198"/>
      <c r="G505" s="9">
        <f>Тўловлар[[#This Row],[Поддон]]*$G$3</f>
        <v>0</v>
      </c>
      <c r="K505" s="9">
        <f>SUM(Тўловлар[[#This Row],[ПР-Сумма]]+Тўловлар[[#This Row],[Накд]]+Тўловлар[[#This Row],[Клик]]+Тўловлар[[#This Row],[Терминал]])</f>
        <v>0</v>
      </c>
      <c r="N505" s="30" cm="1">
        <f t="array" ref="N505">IFERROR(LOOKUP(2,1/((Товар!$D$4:$D$1110=Тўловлар[[#This Row],[Клиент]])*(Товар!$E$4:$E$1110&lt;=Тўловлар[[#This Row],[Дата]])),Товар!$L$4:$L$1110),Кўрсаткичлар!$B$4)</f>
        <v>0</v>
      </c>
      <c r="O505" s="30">
        <f>Тўловлар[[#This Row],[Поддон]]*Тўловлар[[#This Row],[Поддон нархи]]</f>
        <v>0</v>
      </c>
      <c r="P505" s="30">
        <f>Тўловлар[[#This Row],[Жами сумма]]-Тўловлар[[#This Row],[Поддон пули]]</f>
        <v>0</v>
      </c>
      <c r="Q5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5" s="9" t="str">
        <f>IFERROR(INDEX(Мижозлар[Агент],MATCH($C505,Мижозлар[Расмий ном],0)),"")</f>
        <v/>
      </c>
    </row>
    <row r="506" spans="6:19" x14ac:dyDescent="0.2">
      <c r="F506" s="198"/>
      <c r="G506" s="9">
        <f>Тўловлар[[#This Row],[Поддон]]*$G$3</f>
        <v>0</v>
      </c>
      <c r="K506" s="9">
        <f>SUM(Тўловлар[[#This Row],[ПР-Сумма]]+Тўловлар[[#This Row],[Накд]]+Тўловлар[[#This Row],[Клик]]+Тўловлар[[#This Row],[Терминал]])</f>
        <v>0</v>
      </c>
      <c r="N506" s="30" cm="1">
        <f t="array" ref="N506">IFERROR(LOOKUP(2,1/((Товар!$D$4:$D$1110=Тўловлар[[#This Row],[Клиент]])*(Товар!$E$4:$E$1110&lt;=Тўловлар[[#This Row],[Дата]])),Товар!$L$4:$L$1110),Кўрсаткичлар!$B$4)</f>
        <v>0</v>
      </c>
      <c r="O506" s="30">
        <f>Тўловлар[[#This Row],[Поддон]]*Тўловлар[[#This Row],[Поддон нархи]]</f>
        <v>0</v>
      </c>
      <c r="P506" s="30">
        <f>Тўловлар[[#This Row],[Жами сумма]]-Тўловлар[[#This Row],[Поддон пули]]</f>
        <v>0</v>
      </c>
      <c r="Q5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6" s="9" t="str">
        <f>IFERROR(INDEX(Мижозлар[Агент],MATCH($C506,Мижозлар[Расмий ном],0)),"")</f>
        <v/>
      </c>
    </row>
    <row r="507" spans="6:19" x14ac:dyDescent="0.2">
      <c r="F507" s="198"/>
      <c r="G507" s="9">
        <f>Тўловлар[[#This Row],[Поддон]]*$G$3</f>
        <v>0</v>
      </c>
      <c r="K507" s="9">
        <f>SUM(Тўловлар[[#This Row],[ПР-Сумма]]+Тўловлар[[#This Row],[Накд]]+Тўловлар[[#This Row],[Клик]]+Тўловлар[[#This Row],[Терминал]])</f>
        <v>0</v>
      </c>
      <c r="N507" s="30" cm="1">
        <f t="array" ref="N507">IFERROR(LOOKUP(2,1/((Товар!$D$4:$D$1110=Тўловлар[[#This Row],[Клиент]])*(Товар!$E$4:$E$1110&lt;=Тўловлар[[#This Row],[Дата]])),Товар!$L$4:$L$1110),Кўрсаткичлар!$B$4)</f>
        <v>0</v>
      </c>
      <c r="O507" s="30">
        <f>Тўловлар[[#This Row],[Поддон]]*Тўловлар[[#This Row],[Поддон нархи]]</f>
        <v>0</v>
      </c>
      <c r="P507" s="30">
        <f>Тўловлар[[#This Row],[Жами сумма]]-Тўловлар[[#This Row],[Поддон пули]]</f>
        <v>0</v>
      </c>
      <c r="Q5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7" s="9" t="str">
        <f>IFERROR(INDEX(Мижозлар[Агент],MATCH($C507,Мижозлар[Расмий ном],0)),"")</f>
        <v/>
      </c>
    </row>
    <row r="508" spans="6:19" x14ac:dyDescent="0.2">
      <c r="F508" s="198"/>
      <c r="G508" s="9">
        <f>Тўловлар[[#This Row],[Поддон]]*$G$3</f>
        <v>0</v>
      </c>
      <c r="K508" s="9">
        <f>SUM(Тўловлар[[#This Row],[ПР-Сумма]]+Тўловлар[[#This Row],[Накд]]+Тўловлар[[#This Row],[Клик]]+Тўловлар[[#This Row],[Терминал]])</f>
        <v>0</v>
      </c>
      <c r="N508" s="30" cm="1">
        <f t="array" ref="N508">IFERROR(LOOKUP(2,1/((Товар!$D$4:$D$1110=Тўловлар[[#This Row],[Клиент]])*(Товар!$E$4:$E$1110&lt;=Тўловлар[[#This Row],[Дата]])),Товар!$L$4:$L$1110),Кўрсаткичлар!$B$4)</f>
        <v>0</v>
      </c>
      <c r="O508" s="30">
        <f>Тўловлар[[#This Row],[Поддон]]*Тўловлар[[#This Row],[Поддон нархи]]</f>
        <v>0</v>
      </c>
      <c r="P508" s="30">
        <f>Тўловлар[[#This Row],[Жами сумма]]-Тўловлар[[#This Row],[Поддон пули]]</f>
        <v>0</v>
      </c>
      <c r="Q5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8" s="9" t="str">
        <f>IFERROR(INDEX(Мижозлар[Агент],MATCH($C508,Мижозлар[Расмий ном],0)),"")</f>
        <v/>
      </c>
    </row>
    <row r="509" spans="6:19" x14ac:dyDescent="0.2">
      <c r="F509" s="198"/>
      <c r="G509" s="9">
        <f>Тўловлар[[#This Row],[Поддон]]*$G$3</f>
        <v>0</v>
      </c>
      <c r="K509" s="9">
        <f>SUM(Тўловлар[[#This Row],[ПР-Сумма]]+Тўловлар[[#This Row],[Накд]]+Тўловлар[[#This Row],[Клик]]+Тўловлар[[#This Row],[Терминал]])</f>
        <v>0</v>
      </c>
      <c r="N509" s="30" cm="1">
        <f t="array" ref="N509">IFERROR(LOOKUP(2,1/((Товар!$D$4:$D$1110=Тўловлар[[#This Row],[Клиент]])*(Товар!$E$4:$E$1110&lt;=Тўловлар[[#This Row],[Дата]])),Товар!$L$4:$L$1110),Кўрсаткичлар!$B$4)</f>
        <v>0</v>
      </c>
      <c r="O509" s="30">
        <f>Тўловлар[[#This Row],[Поддон]]*Тўловлар[[#This Row],[Поддон нархи]]</f>
        <v>0</v>
      </c>
      <c r="P509" s="30">
        <f>Тўловлар[[#This Row],[Жами сумма]]-Тўловлар[[#This Row],[Поддон пули]]</f>
        <v>0</v>
      </c>
      <c r="Q5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09" s="9" t="str">
        <f>IFERROR(INDEX(Мижозлар[Агент],MATCH($C509,Мижозлар[Расмий ном],0)),"")</f>
        <v/>
      </c>
    </row>
    <row r="510" spans="6:19" x14ac:dyDescent="0.2">
      <c r="F510" s="198"/>
      <c r="G510" s="9">
        <f>Тўловлар[[#This Row],[Поддон]]*$G$3</f>
        <v>0</v>
      </c>
      <c r="K510" s="9">
        <f>SUM(Тўловлар[[#This Row],[ПР-Сумма]]+Тўловлар[[#This Row],[Накд]]+Тўловлар[[#This Row],[Клик]]+Тўловлар[[#This Row],[Терминал]])</f>
        <v>0</v>
      </c>
      <c r="N510" s="30" cm="1">
        <f t="array" ref="N510">IFERROR(LOOKUP(2,1/((Товар!$D$4:$D$1110=Тўловлар[[#This Row],[Клиент]])*(Товар!$E$4:$E$1110&lt;=Тўловлар[[#This Row],[Дата]])),Товар!$L$4:$L$1110),Кўрсаткичлар!$B$4)</f>
        <v>0</v>
      </c>
      <c r="O510" s="30">
        <f>Тўловлар[[#This Row],[Поддон]]*Тўловлар[[#This Row],[Поддон нархи]]</f>
        <v>0</v>
      </c>
      <c r="P510" s="30">
        <f>Тўловлар[[#This Row],[Жами сумма]]-Тўловлар[[#This Row],[Поддон пули]]</f>
        <v>0</v>
      </c>
      <c r="Q5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0" s="9" t="str">
        <f>IFERROR(INDEX(Мижозлар[Агент],MATCH($C510,Мижозлар[Расмий ном],0)),"")</f>
        <v/>
      </c>
    </row>
    <row r="511" spans="6:19" x14ac:dyDescent="0.2">
      <c r="F511" s="198"/>
      <c r="G511" s="9">
        <f>Тўловлар[[#This Row],[Поддон]]*$G$3</f>
        <v>0</v>
      </c>
      <c r="K511" s="9">
        <f>SUM(Тўловлар[[#This Row],[ПР-Сумма]]+Тўловлар[[#This Row],[Накд]]+Тўловлар[[#This Row],[Клик]]+Тўловлар[[#This Row],[Терминал]])</f>
        <v>0</v>
      </c>
      <c r="N511" s="30" cm="1">
        <f t="array" ref="N511">IFERROR(LOOKUP(2,1/((Товар!$D$4:$D$1110=Тўловлар[[#This Row],[Клиент]])*(Товар!$E$4:$E$1110&lt;=Тўловлар[[#This Row],[Дата]])),Товар!$L$4:$L$1110),Кўрсаткичлар!$B$4)</f>
        <v>0</v>
      </c>
      <c r="O511" s="30">
        <f>Тўловлар[[#This Row],[Поддон]]*Тўловлар[[#This Row],[Поддон нархи]]</f>
        <v>0</v>
      </c>
      <c r="P511" s="30">
        <f>Тўловлар[[#This Row],[Жами сумма]]-Тўловлар[[#This Row],[Поддон пули]]</f>
        <v>0</v>
      </c>
      <c r="Q5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1" s="9" t="str">
        <f>IFERROR(INDEX(Мижозлар[Агент],MATCH($C511,Мижозлар[Расмий ном],0)),"")</f>
        <v/>
      </c>
    </row>
    <row r="512" spans="6:19" x14ac:dyDescent="0.2">
      <c r="F512" s="198"/>
      <c r="G512" s="9">
        <f>Тўловлар[[#This Row],[Поддон]]*$G$3</f>
        <v>0</v>
      </c>
      <c r="K512" s="9">
        <f>SUM(Тўловлар[[#This Row],[ПР-Сумма]]+Тўловлар[[#This Row],[Накд]]+Тўловлар[[#This Row],[Клик]]+Тўловлар[[#This Row],[Терминал]])</f>
        <v>0</v>
      </c>
      <c r="N512" s="30" cm="1">
        <f t="array" ref="N512">IFERROR(LOOKUP(2,1/((Товар!$D$4:$D$1110=Тўловлар[[#This Row],[Клиент]])*(Товар!$E$4:$E$1110&lt;=Тўловлар[[#This Row],[Дата]])),Товар!$L$4:$L$1110),Кўрсаткичлар!$B$4)</f>
        <v>0</v>
      </c>
      <c r="O512" s="30">
        <f>Тўловлар[[#This Row],[Поддон]]*Тўловлар[[#This Row],[Поддон нархи]]</f>
        <v>0</v>
      </c>
      <c r="P512" s="30">
        <f>Тўловлар[[#This Row],[Жами сумма]]-Тўловлар[[#This Row],[Поддон пули]]</f>
        <v>0</v>
      </c>
      <c r="Q5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2" s="9" t="str">
        <f>IFERROR(INDEX(Мижозлар[Агент],MATCH($C512,Мижозлар[Расмий ном],0)),"")</f>
        <v/>
      </c>
    </row>
    <row r="513" spans="6:19" x14ac:dyDescent="0.2">
      <c r="F513" s="198"/>
      <c r="G513" s="9">
        <f>Тўловлар[[#This Row],[Поддон]]*$G$3</f>
        <v>0</v>
      </c>
      <c r="K513" s="9">
        <f>SUM(Тўловлар[[#This Row],[ПР-Сумма]]+Тўловлар[[#This Row],[Накд]]+Тўловлар[[#This Row],[Клик]]+Тўловлар[[#This Row],[Терминал]])</f>
        <v>0</v>
      </c>
      <c r="N513" s="30" cm="1">
        <f t="array" ref="N513">IFERROR(LOOKUP(2,1/((Товар!$D$4:$D$1110=Тўловлар[[#This Row],[Клиент]])*(Товар!$E$4:$E$1110&lt;=Тўловлар[[#This Row],[Дата]])),Товар!$L$4:$L$1110),Кўрсаткичлар!$B$4)</f>
        <v>0</v>
      </c>
      <c r="O513" s="30">
        <f>Тўловлар[[#This Row],[Поддон]]*Тўловлар[[#This Row],[Поддон нархи]]</f>
        <v>0</v>
      </c>
      <c r="P513" s="30">
        <f>Тўловлар[[#This Row],[Жами сумма]]-Тўловлар[[#This Row],[Поддон пули]]</f>
        <v>0</v>
      </c>
      <c r="Q5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3" s="9" t="str">
        <f>IFERROR(INDEX(Мижозлар[Агент],MATCH($C513,Мижозлар[Расмий ном],0)),"")</f>
        <v/>
      </c>
    </row>
    <row r="514" spans="6:19" x14ac:dyDescent="0.2">
      <c r="F514" s="198"/>
      <c r="G514" s="9">
        <f>Тўловлар[[#This Row],[Поддон]]*$G$3</f>
        <v>0</v>
      </c>
      <c r="K514" s="9">
        <f>SUM(Тўловлар[[#This Row],[ПР-Сумма]]+Тўловлар[[#This Row],[Накд]]+Тўловлар[[#This Row],[Клик]]+Тўловлар[[#This Row],[Терминал]])</f>
        <v>0</v>
      </c>
      <c r="N514" s="30" cm="1">
        <f t="array" ref="N514">IFERROR(LOOKUP(2,1/((Товар!$D$4:$D$1110=Тўловлар[[#This Row],[Клиент]])*(Товар!$E$4:$E$1110&lt;=Тўловлар[[#This Row],[Дата]])),Товар!$L$4:$L$1110),Кўрсаткичлар!$B$4)</f>
        <v>0</v>
      </c>
      <c r="O514" s="30">
        <f>Тўловлар[[#This Row],[Поддон]]*Тўловлар[[#This Row],[Поддон нархи]]</f>
        <v>0</v>
      </c>
      <c r="P514" s="30">
        <f>Тўловлар[[#This Row],[Жами сумма]]-Тўловлар[[#This Row],[Поддон пули]]</f>
        <v>0</v>
      </c>
      <c r="Q5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4" s="9" t="str">
        <f>IFERROR(INDEX(Мижозлар[Агент],MATCH($C514,Мижозлар[Расмий ном],0)),"")</f>
        <v/>
      </c>
    </row>
    <row r="515" spans="6:19" x14ac:dyDescent="0.2">
      <c r="F515" s="198"/>
      <c r="G515" s="9">
        <f>Тўловлар[[#This Row],[Поддон]]*$G$3</f>
        <v>0</v>
      </c>
      <c r="K515" s="9">
        <f>SUM(Тўловлар[[#This Row],[ПР-Сумма]]+Тўловлар[[#This Row],[Накд]]+Тўловлар[[#This Row],[Клик]]+Тўловлар[[#This Row],[Терминал]])</f>
        <v>0</v>
      </c>
      <c r="N515" s="30" cm="1">
        <f t="array" ref="N515">IFERROR(LOOKUP(2,1/((Товар!$D$4:$D$1110=Тўловлар[[#This Row],[Клиент]])*(Товар!$E$4:$E$1110&lt;=Тўловлар[[#This Row],[Дата]])),Товар!$L$4:$L$1110),Кўрсаткичлар!$B$4)</f>
        <v>0</v>
      </c>
      <c r="O515" s="30">
        <f>Тўловлар[[#This Row],[Поддон]]*Тўловлар[[#This Row],[Поддон нархи]]</f>
        <v>0</v>
      </c>
      <c r="P515" s="30">
        <f>Тўловлар[[#This Row],[Жами сумма]]-Тўловлар[[#This Row],[Поддон пули]]</f>
        <v>0</v>
      </c>
      <c r="Q5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5" s="9" t="str">
        <f>IFERROR(INDEX(Мижозлар[Агент],MATCH($C515,Мижозлар[Расмий ном],0)),"")</f>
        <v/>
      </c>
    </row>
    <row r="516" spans="6:19" x14ac:dyDescent="0.2">
      <c r="F516" s="198"/>
      <c r="G516" s="9">
        <f>Тўловлар[[#This Row],[Поддон]]*$G$3</f>
        <v>0</v>
      </c>
      <c r="K516" s="9">
        <f>SUM(Тўловлар[[#This Row],[ПР-Сумма]]+Тўловлар[[#This Row],[Накд]]+Тўловлар[[#This Row],[Клик]]+Тўловлар[[#This Row],[Терминал]])</f>
        <v>0</v>
      </c>
      <c r="N516" s="30" cm="1">
        <f t="array" ref="N516">IFERROR(LOOKUP(2,1/((Товар!$D$4:$D$1110=Тўловлар[[#This Row],[Клиент]])*(Товар!$E$4:$E$1110&lt;=Тўловлар[[#This Row],[Дата]])),Товар!$L$4:$L$1110),Кўрсаткичлар!$B$4)</f>
        <v>0</v>
      </c>
      <c r="O516" s="30">
        <f>Тўловлар[[#This Row],[Поддон]]*Тўловлар[[#This Row],[Поддон нархи]]</f>
        <v>0</v>
      </c>
      <c r="P516" s="30">
        <f>Тўловлар[[#This Row],[Жами сумма]]-Тўловлар[[#This Row],[Поддон пули]]</f>
        <v>0</v>
      </c>
      <c r="Q5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6" s="9" t="str">
        <f>IFERROR(INDEX(Мижозлар[Агент],MATCH($C516,Мижозлар[Расмий ном],0)),"")</f>
        <v/>
      </c>
    </row>
    <row r="517" spans="6:19" x14ac:dyDescent="0.2">
      <c r="F517" s="198"/>
      <c r="G517" s="9">
        <f>Тўловлар[[#This Row],[Поддон]]*$G$3</f>
        <v>0</v>
      </c>
      <c r="K517" s="9">
        <f>SUM(Тўловлар[[#This Row],[ПР-Сумма]]+Тўловлар[[#This Row],[Накд]]+Тўловлар[[#This Row],[Клик]]+Тўловлар[[#This Row],[Терминал]])</f>
        <v>0</v>
      </c>
      <c r="N517" s="30" cm="1">
        <f t="array" ref="N517">IFERROR(LOOKUP(2,1/((Товар!$D$4:$D$1110=Тўловлар[[#This Row],[Клиент]])*(Товар!$E$4:$E$1110&lt;=Тўловлар[[#This Row],[Дата]])),Товар!$L$4:$L$1110),Кўрсаткичлар!$B$4)</f>
        <v>0</v>
      </c>
      <c r="O517" s="30">
        <f>Тўловлар[[#This Row],[Поддон]]*Тўловлар[[#This Row],[Поддон нархи]]</f>
        <v>0</v>
      </c>
      <c r="P517" s="30">
        <f>Тўловлар[[#This Row],[Жами сумма]]-Тўловлар[[#This Row],[Поддон пули]]</f>
        <v>0</v>
      </c>
      <c r="Q5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7" s="9" t="str">
        <f>IFERROR(INDEX(Мижозлар[Агент],MATCH($C517,Мижозлар[Расмий ном],0)),"")</f>
        <v/>
      </c>
    </row>
    <row r="518" spans="6:19" x14ac:dyDescent="0.2">
      <c r="F518" s="198"/>
      <c r="G518" s="9">
        <f>Тўловлар[[#This Row],[Поддон]]*$G$3</f>
        <v>0</v>
      </c>
      <c r="K518" s="9">
        <f>SUM(Тўловлар[[#This Row],[ПР-Сумма]]+Тўловлар[[#This Row],[Накд]]+Тўловлар[[#This Row],[Клик]]+Тўловлар[[#This Row],[Терминал]])</f>
        <v>0</v>
      </c>
      <c r="N518" s="30" cm="1">
        <f t="array" ref="N518">IFERROR(LOOKUP(2,1/((Товар!$D$4:$D$1110=Тўловлар[[#This Row],[Клиент]])*(Товар!$E$4:$E$1110&lt;=Тўловлар[[#This Row],[Дата]])),Товар!$L$4:$L$1110),Кўрсаткичлар!$B$4)</f>
        <v>0</v>
      </c>
      <c r="O518" s="30">
        <f>Тўловлар[[#This Row],[Поддон]]*Тўловлар[[#This Row],[Поддон нархи]]</f>
        <v>0</v>
      </c>
      <c r="P518" s="30">
        <f>Тўловлар[[#This Row],[Жами сумма]]-Тўловлар[[#This Row],[Поддон пули]]</f>
        <v>0</v>
      </c>
      <c r="Q5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8" s="9" t="str">
        <f>IFERROR(INDEX(Мижозлар[Агент],MATCH($C518,Мижозлар[Расмий ном],0)),"")</f>
        <v/>
      </c>
    </row>
    <row r="519" spans="6:19" x14ac:dyDescent="0.2">
      <c r="F519" s="198"/>
      <c r="G519" s="9">
        <f>Тўловлар[[#This Row],[Поддон]]*$G$3</f>
        <v>0</v>
      </c>
      <c r="K519" s="9">
        <f>SUM(Тўловлар[[#This Row],[ПР-Сумма]]+Тўловлар[[#This Row],[Накд]]+Тўловлар[[#This Row],[Клик]]+Тўловлар[[#This Row],[Терминал]])</f>
        <v>0</v>
      </c>
      <c r="N519" s="30" cm="1">
        <f t="array" ref="N519">IFERROR(LOOKUP(2,1/((Товар!$D$4:$D$1110=Тўловлар[[#This Row],[Клиент]])*(Товар!$E$4:$E$1110&lt;=Тўловлар[[#This Row],[Дата]])),Товар!$L$4:$L$1110),Кўрсаткичлар!$B$4)</f>
        <v>0</v>
      </c>
      <c r="O519" s="30">
        <f>Тўловлар[[#This Row],[Поддон]]*Тўловлар[[#This Row],[Поддон нархи]]</f>
        <v>0</v>
      </c>
      <c r="P519" s="30">
        <f>Тўловлар[[#This Row],[Жами сумма]]-Тўловлар[[#This Row],[Поддон пули]]</f>
        <v>0</v>
      </c>
      <c r="Q5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19" s="9" t="str">
        <f>IFERROR(INDEX(Мижозлар[Агент],MATCH($C519,Мижозлар[Расмий ном],0)),"")</f>
        <v/>
      </c>
    </row>
    <row r="520" spans="6:19" x14ac:dyDescent="0.2">
      <c r="F520" s="198"/>
      <c r="G520" s="9">
        <f>Тўловлар[[#This Row],[Поддон]]*$G$3</f>
        <v>0</v>
      </c>
      <c r="K520" s="9">
        <f>SUM(Тўловлар[[#This Row],[ПР-Сумма]]+Тўловлар[[#This Row],[Накд]]+Тўловлар[[#This Row],[Клик]]+Тўловлар[[#This Row],[Терминал]])</f>
        <v>0</v>
      </c>
      <c r="N520" s="30" cm="1">
        <f t="array" ref="N520">IFERROR(LOOKUP(2,1/((Товар!$D$4:$D$1110=Тўловлар[[#This Row],[Клиент]])*(Товар!$E$4:$E$1110&lt;=Тўловлар[[#This Row],[Дата]])),Товар!$L$4:$L$1110),Кўрсаткичлар!$B$4)</f>
        <v>0</v>
      </c>
      <c r="O520" s="30">
        <f>Тўловлар[[#This Row],[Поддон]]*Тўловлар[[#This Row],[Поддон нархи]]</f>
        <v>0</v>
      </c>
      <c r="P520" s="30">
        <f>Тўловлар[[#This Row],[Жами сумма]]-Тўловлар[[#This Row],[Поддон пули]]</f>
        <v>0</v>
      </c>
      <c r="Q5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0" s="9" t="str">
        <f>IFERROR(INDEX(Мижозлар[Агент],MATCH($C520,Мижозлар[Расмий ном],0)),"")</f>
        <v/>
      </c>
    </row>
    <row r="521" spans="6:19" x14ac:dyDescent="0.2">
      <c r="F521" s="198"/>
      <c r="G521" s="9">
        <f>Тўловлар[[#This Row],[Поддон]]*$G$3</f>
        <v>0</v>
      </c>
      <c r="K521" s="9">
        <f>SUM(Тўловлар[[#This Row],[ПР-Сумма]]+Тўловлар[[#This Row],[Накд]]+Тўловлар[[#This Row],[Клик]]+Тўловлар[[#This Row],[Терминал]])</f>
        <v>0</v>
      </c>
      <c r="N521" s="30" cm="1">
        <f t="array" ref="N521">IFERROR(LOOKUP(2,1/((Товар!$D$4:$D$1110=Тўловлар[[#This Row],[Клиент]])*(Товар!$E$4:$E$1110&lt;=Тўловлар[[#This Row],[Дата]])),Товар!$L$4:$L$1110),Кўрсаткичлар!$B$4)</f>
        <v>0</v>
      </c>
      <c r="O521" s="30">
        <f>Тўловлар[[#This Row],[Поддон]]*Тўловлар[[#This Row],[Поддон нархи]]</f>
        <v>0</v>
      </c>
      <c r="P521" s="30">
        <f>Тўловлар[[#This Row],[Жами сумма]]-Тўловлар[[#This Row],[Поддон пули]]</f>
        <v>0</v>
      </c>
      <c r="Q5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1" s="9" t="str">
        <f>IFERROR(INDEX(Мижозлар[Агент],MATCH($C521,Мижозлар[Расмий ном],0)),"")</f>
        <v/>
      </c>
    </row>
    <row r="522" spans="6:19" x14ac:dyDescent="0.2">
      <c r="F522" s="198"/>
      <c r="G522" s="9">
        <f>Тўловлар[[#This Row],[Поддон]]*$G$3</f>
        <v>0</v>
      </c>
      <c r="K522" s="9">
        <f>SUM(Тўловлар[[#This Row],[ПР-Сумма]]+Тўловлар[[#This Row],[Накд]]+Тўловлар[[#This Row],[Клик]]+Тўловлар[[#This Row],[Терминал]])</f>
        <v>0</v>
      </c>
      <c r="N522" s="30" cm="1">
        <f t="array" ref="N522">IFERROR(LOOKUP(2,1/((Товар!$D$4:$D$1110=Тўловлар[[#This Row],[Клиент]])*(Товар!$E$4:$E$1110&lt;=Тўловлар[[#This Row],[Дата]])),Товар!$L$4:$L$1110),Кўрсаткичлар!$B$4)</f>
        <v>0</v>
      </c>
      <c r="O522" s="30">
        <f>Тўловлар[[#This Row],[Поддон]]*Тўловлар[[#This Row],[Поддон нархи]]</f>
        <v>0</v>
      </c>
      <c r="P522" s="30">
        <f>Тўловлар[[#This Row],[Жами сумма]]-Тўловлар[[#This Row],[Поддон пули]]</f>
        <v>0</v>
      </c>
      <c r="Q5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2" s="9" t="str">
        <f>IFERROR(INDEX(Мижозлар[Агент],MATCH($C522,Мижозлар[Расмий ном],0)),"")</f>
        <v/>
      </c>
    </row>
    <row r="523" spans="6:19" x14ac:dyDescent="0.2">
      <c r="F523" s="198"/>
      <c r="G523" s="9">
        <f>Тўловлар[[#This Row],[Поддон]]*$G$3</f>
        <v>0</v>
      </c>
      <c r="K523" s="9">
        <f>SUM(Тўловлар[[#This Row],[ПР-Сумма]]+Тўловлар[[#This Row],[Накд]]+Тўловлар[[#This Row],[Клик]]+Тўловлар[[#This Row],[Терминал]])</f>
        <v>0</v>
      </c>
      <c r="N523" s="30" cm="1">
        <f t="array" ref="N523">IFERROR(LOOKUP(2,1/((Товар!$D$4:$D$1110=Тўловлар[[#This Row],[Клиент]])*(Товар!$E$4:$E$1110&lt;=Тўловлар[[#This Row],[Дата]])),Товар!$L$4:$L$1110),Кўрсаткичлар!$B$4)</f>
        <v>0</v>
      </c>
      <c r="O523" s="30">
        <f>Тўловлар[[#This Row],[Поддон]]*Тўловлар[[#This Row],[Поддон нархи]]</f>
        <v>0</v>
      </c>
      <c r="P523" s="30">
        <f>Тўловлар[[#This Row],[Жами сумма]]-Тўловлар[[#This Row],[Поддон пули]]</f>
        <v>0</v>
      </c>
      <c r="Q5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3" s="9" t="str">
        <f>IFERROR(INDEX(Мижозлар[Агент],MATCH($C523,Мижозлар[Расмий ном],0)),"")</f>
        <v/>
      </c>
    </row>
    <row r="524" spans="6:19" x14ac:dyDescent="0.2">
      <c r="F524" s="198"/>
      <c r="G524" s="9">
        <f>Тўловлар[[#This Row],[Поддон]]*$G$3</f>
        <v>0</v>
      </c>
      <c r="K524" s="9">
        <f>SUM(Тўловлар[[#This Row],[ПР-Сумма]]+Тўловлар[[#This Row],[Накд]]+Тўловлар[[#This Row],[Клик]]+Тўловлар[[#This Row],[Терминал]])</f>
        <v>0</v>
      </c>
      <c r="N524" s="30" cm="1">
        <f t="array" ref="N524">IFERROR(LOOKUP(2,1/((Товар!$D$4:$D$1110=Тўловлар[[#This Row],[Клиент]])*(Товар!$E$4:$E$1110&lt;=Тўловлар[[#This Row],[Дата]])),Товар!$L$4:$L$1110),Кўрсаткичлар!$B$4)</f>
        <v>0</v>
      </c>
      <c r="O524" s="30">
        <f>Тўловлар[[#This Row],[Поддон]]*Тўловлар[[#This Row],[Поддон нархи]]</f>
        <v>0</v>
      </c>
      <c r="P524" s="30">
        <f>Тўловлар[[#This Row],[Жами сумма]]-Тўловлар[[#This Row],[Поддон пули]]</f>
        <v>0</v>
      </c>
      <c r="Q5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4" s="9" t="str">
        <f>IFERROR(INDEX(Мижозлар[Агент],MATCH($C524,Мижозлар[Расмий ном],0)),"")</f>
        <v/>
      </c>
    </row>
    <row r="525" spans="6:19" x14ac:dyDescent="0.2">
      <c r="F525" s="198"/>
      <c r="G525" s="9">
        <f>Тўловлар[[#This Row],[Поддон]]*$G$3</f>
        <v>0</v>
      </c>
      <c r="K525" s="9">
        <f>SUM(Тўловлар[[#This Row],[ПР-Сумма]]+Тўловлар[[#This Row],[Накд]]+Тўловлар[[#This Row],[Клик]]+Тўловлар[[#This Row],[Терминал]])</f>
        <v>0</v>
      </c>
      <c r="N525" s="30" cm="1">
        <f t="array" ref="N525">IFERROR(LOOKUP(2,1/((Товар!$D$4:$D$1110=Тўловлар[[#This Row],[Клиент]])*(Товар!$E$4:$E$1110&lt;=Тўловлар[[#This Row],[Дата]])),Товар!$L$4:$L$1110),Кўрсаткичлар!$B$4)</f>
        <v>0</v>
      </c>
      <c r="O525" s="30">
        <f>Тўловлар[[#This Row],[Поддон]]*Тўловлар[[#This Row],[Поддон нархи]]</f>
        <v>0</v>
      </c>
      <c r="P525" s="30">
        <f>Тўловлар[[#This Row],[Жами сумма]]-Тўловлар[[#This Row],[Поддон пули]]</f>
        <v>0</v>
      </c>
      <c r="Q5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5" s="9" t="str">
        <f>IFERROR(INDEX(Мижозлар[Агент],MATCH($C525,Мижозлар[Расмий ном],0)),"")</f>
        <v/>
      </c>
    </row>
    <row r="526" spans="6:19" x14ac:dyDescent="0.2">
      <c r="F526" s="198"/>
      <c r="G526" s="9">
        <f>Тўловлар[[#This Row],[Поддон]]*$G$3</f>
        <v>0</v>
      </c>
      <c r="K526" s="9">
        <f>SUM(Тўловлар[[#This Row],[ПР-Сумма]]+Тўловлар[[#This Row],[Накд]]+Тўловлар[[#This Row],[Клик]]+Тўловлар[[#This Row],[Терминал]])</f>
        <v>0</v>
      </c>
      <c r="L526" s="9"/>
      <c r="N526" s="30" cm="1">
        <f t="array" ref="N526">IFERROR(LOOKUP(2,1/((Товар!$D$4:$D$1110=Тўловлар[[#This Row],[Клиент]])*(Товар!$E$4:$E$1110&lt;=Тўловлар[[#This Row],[Дата]])),Товар!$L$4:$L$1110),Кўрсаткичлар!$B$4)</f>
        <v>0</v>
      </c>
      <c r="O526" s="30">
        <f>Тўловлар[[#This Row],[Поддон]]*Тўловлар[[#This Row],[Поддон нархи]]</f>
        <v>0</v>
      </c>
      <c r="P526" s="30">
        <f>Тўловлар[[#This Row],[Жами сумма]]-Тўловлар[[#This Row],[Поддон пули]]</f>
        <v>0</v>
      </c>
      <c r="Q5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6" s="9" t="str">
        <f>IFERROR(INDEX(Мижозлар[Агент],MATCH($C526,Мижозлар[Расмий ном],0)),"")</f>
        <v/>
      </c>
    </row>
    <row r="527" spans="6:19" x14ac:dyDescent="0.2">
      <c r="F527" s="198"/>
      <c r="G527" s="9">
        <f>Тўловлар[[#This Row],[Поддон]]*$G$3</f>
        <v>0</v>
      </c>
      <c r="K527" s="9">
        <f>SUM(Тўловлар[[#This Row],[ПР-Сумма]]+Тўловлар[[#This Row],[Накд]]+Тўловлар[[#This Row],[Клик]]+Тўловлар[[#This Row],[Терминал]])</f>
        <v>0</v>
      </c>
      <c r="L527" s="9"/>
      <c r="N527" s="30" cm="1">
        <f t="array" ref="N527">IFERROR(LOOKUP(2,1/((Товар!$D$4:$D$1110=Тўловлар[[#This Row],[Клиент]])*(Товар!$E$4:$E$1110&lt;=Тўловлар[[#This Row],[Дата]])),Товар!$L$4:$L$1110),Кўрсаткичлар!$B$4)</f>
        <v>0</v>
      </c>
      <c r="O527" s="30">
        <f>Тўловлар[[#This Row],[Поддон]]*Тўловлар[[#This Row],[Поддон нархи]]</f>
        <v>0</v>
      </c>
      <c r="P527" s="30">
        <f>Тўловлар[[#This Row],[Жами сумма]]-Тўловлар[[#This Row],[Поддон пули]]</f>
        <v>0</v>
      </c>
      <c r="Q5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7" s="9" t="str">
        <f>IFERROR(INDEX(Мижозлар[Агент],MATCH($C527,Мижозлар[Расмий ном],0)),"")</f>
        <v/>
      </c>
    </row>
    <row r="528" spans="6:19" x14ac:dyDescent="0.2">
      <c r="F528" s="198"/>
      <c r="G528" s="9">
        <f>Тўловлар[[#This Row],[Поддон]]*$G$3</f>
        <v>0</v>
      </c>
      <c r="K528" s="9">
        <f>SUM(Тўловлар[[#This Row],[ПР-Сумма]]+Тўловлар[[#This Row],[Накд]]+Тўловлар[[#This Row],[Клик]]+Тўловлар[[#This Row],[Терминал]])</f>
        <v>0</v>
      </c>
      <c r="L528" s="9"/>
      <c r="N528" s="30" cm="1">
        <f t="array" ref="N528">IFERROR(LOOKUP(2,1/((Товар!$D$4:$D$1110=Тўловлар[[#This Row],[Клиент]])*(Товар!$E$4:$E$1110&lt;=Тўловлар[[#This Row],[Дата]])),Товар!$L$4:$L$1110),Кўрсаткичлар!$B$4)</f>
        <v>0</v>
      </c>
      <c r="O528" s="30">
        <f>Тўловлар[[#This Row],[Поддон]]*Тўловлар[[#This Row],[Поддон нархи]]</f>
        <v>0</v>
      </c>
      <c r="P528" s="30">
        <f>Тўловлар[[#This Row],[Жами сумма]]-Тўловлар[[#This Row],[Поддон пули]]</f>
        <v>0</v>
      </c>
      <c r="Q5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8" s="9" t="str">
        <f>IFERROR(INDEX(Мижозлар[Агент],MATCH($C528,Мижозлар[Расмий ном],0)),"")</f>
        <v/>
      </c>
    </row>
    <row r="529" spans="6:19" x14ac:dyDescent="0.2">
      <c r="F529" s="198"/>
      <c r="G529" s="9">
        <f>Тўловлар[[#This Row],[Поддон]]*$G$3</f>
        <v>0</v>
      </c>
      <c r="K529" s="9">
        <f>SUM(Тўловлар[[#This Row],[ПР-Сумма]]+Тўловлар[[#This Row],[Накд]]+Тўловлар[[#This Row],[Клик]]+Тўловлар[[#This Row],[Терминал]])</f>
        <v>0</v>
      </c>
      <c r="L529" s="9"/>
      <c r="N529" s="30" cm="1">
        <f t="array" ref="N529">IFERROR(LOOKUP(2,1/((Товар!$D$4:$D$1110=Тўловлар[[#This Row],[Клиент]])*(Товар!$E$4:$E$1110&lt;=Тўловлар[[#This Row],[Дата]])),Товар!$L$4:$L$1110),Кўрсаткичлар!$B$4)</f>
        <v>0</v>
      </c>
      <c r="O529" s="30">
        <f>Тўловлар[[#This Row],[Поддон]]*Тўловлар[[#This Row],[Поддон нархи]]</f>
        <v>0</v>
      </c>
      <c r="P529" s="30">
        <f>Тўловлар[[#This Row],[Жами сумма]]-Тўловлар[[#This Row],[Поддон пули]]</f>
        <v>0</v>
      </c>
      <c r="Q5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29" s="9" t="str">
        <f>IFERROR(INDEX(Мижозлар[Агент],MATCH($C529,Мижозлар[Расмий ном],0)),"")</f>
        <v/>
      </c>
    </row>
    <row r="530" spans="6:19" x14ac:dyDescent="0.2">
      <c r="F530" s="198"/>
      <c r="G530" s="9">
        <f>Тўловлар[[#This Row],[Поддон]]*$G$3</f>
        <v>0</v>
      </c>
      <c r="K530" s="9">
        <f>SUM(Тўловлар[[#This Row],[ПР-Сумма]]+Тўловлар[[#This Row],[Накд]]+Тўловлар[[#This Row],[Клик]]+Тўловлар[[#This Row],[Терминал]])</f>
        <v>0</v>
      </c>
      <c r="L530" s="9"/>
      <c r="N530" s="30" cm="1">
        <f t="array" ref="N530">IFERROR(LOOKUP(2,1/((Товар!$D$4:$D$1110=Тўловлар[[#This Row],[Клиент]])*(Товар!$E$4:$E$1110&lt;=Тўловлар[[#This Row],[Дата]])),Товар!$L$4:$L$1110),Кўрсаткичлар!$B$4)</f>
        <v>0</v>
      </c>
      <c r="O530" s="30">
        <f>Тўловлар[[#This Row],[Поддон]]*Тўловлар[[#This Row],[Поддон нархи]]</f>
        <v>0</v>
      </c>
      <c r="P530" s="30">
        <f>Тўловлар[[#This Row],[Жами сумма]]-Тўловлар[[#This Row],[Поддон пули]]</f>
        <v>0</v>
      </c>
      <c r="Q5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0" s="9" t="str">
        <f>IFERROR(INDEX(Мижозлар[Агент],MATCH($C530,Мижозлар[Расмий ном],0)),"")</f>
        <v/>
      </c>
    </row>
    <row r="531" spans="6:19" x14ac:dyDescent="0.2">
      <c r="F531" s="198"/>
      <c r="G531" s="9">
        <f>Тўловлар[[#This Row],[Поддон]]*$G$3</f>
        <v>0</v>
      </c>
      <c r="K531" s="9">
        <f>SUM(Тўловлар[[#This Row],[ПР-Сумма]]+Тўловлар[[#This Row],[Накд]]+Тўловлар[[#This Row],[Клик]]+Тўловлар[[#This Row],[Терминал]])</f>
        <v>0</v>
      </c>
      <c r="L531" s="9"/>
      <c r="N531" s="30" cm="1">
        <f t="array" ref="N531">IFERROR(LOOKUP(2,1/((Товар!$D$4:$D$1110=Тўловлар[[#This Row],[Клиент]])*(Товар!$E$4:$E$1110&lt;=Тўловлар[[#This Row],[Дата]])),Товар!$L$4:$L$1110),Кўрсаткичлар!$B$4)</f>
        <v>0</v>
      </c>
      <c r="O531" s="30">
        <f>Тўловлар[[#This Row],[Поддон]]*Тўловлар[[#This Row],[Поддон нархи]]</f>
        <v>0</v>
      </c>
      <c r="P531" s="30">
        <f>Тўловлар[[#This Row],[Жами сумма]]-Тўловлар[[#This Row],[Поддон пули]]</f>
        <v>0</v>
      </c>
      <c r="Q5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1" s="9" t="str">
        <f>IFERROR(INDEX(Мижозлар[Агент],MATCH($C531,Мижозлар[Расмий ном],0)),"")</f>
        <v/>
      </c>
    </row>
    <row r="532" spans="6:19" x14ac:dyDescent="0.2">
      <c r="F532" s="198"/>
      <c r="G532" s="9">
        <f>Тўловлар[[#This Row],[Поддон]]*$G$3</f>
        <v>0</v>
      </c>
      <c r="K532" s="9">
        <f>SUM(Тўловлар[[#This Row],[ПР-Сумма]]+Тўловлар[[#This Row],[Накд]]+Тўловлар[[#This Row],[Клик]]+Тўловлар[[#This Row],[Терминал]])</f>
        <v>0</v>
      </c>
      <c r="L532" s="9"/>
      <c r="N532" s="30" cm="1">
        <f t="array" ref="N532">IFERROR(LOOKUP(2,1/((Товар!$D$4:$D$1110=Тўловлар[[#This Row],[Клиент]])*(Товар!$E$4:$E$1110&lt;=Тўловлар[[#This Row],[Дата]])),Товар!$L$4:$L$1110),Кўрсаткичлар!$B$4)</f>
        <v>0</v>
      </c>
      <c r="O532" s="30">
        <f>Тўловлар[[#This Row],[Поддон]]*Тўловлар[[#This Row],[Поддон нархи]]</f>
        <v>0</v>
      </c>
      <c r="P532" s="30">
        <f>Тўловлар[[#This Row],[Жами сумма]]-Тўловлар[[#This Row],[Поддон пули]]</f>
        <v>0</v>
      </c>
      <c r="Q5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2" s="9" t="str">
        <f>IFERROR(INDEX(Мижозлар[Агент],MATCH($C532,Мижозлар[Расмий ном],0)),"")</f>
        <v/>
      </c>
    </row>
    <row r="533" spans="6:19" x14ac:dyDescent="0.2">
      <c r="F533" s="198"/>
      <c r="G533" s="9">
        <f>Тўловлар[[#This Row],[Поддон]]*$G$3</f>
        <v>0</v>
      </c>
      <c r="K533" s="9">
        <f>SUM(Тўловлар[[#This Row],[ПР-Сумма]]+Тўловлар[[#This Row],[Накд]]+Тўловлар[[#This Row],[Клик]]+Тўловлар[[#This Row],[Терминал]])</f>
        <v>0</v>
      </c>
      <c r="L533" s="9"/>
      <c r="N533" s="30" cm="1">
        <f t="array" ref="N533">IFERROR(LOOKUP(2,1/((Товар!$D$4:$D$1110=Тўловлар[[#This Row],[Клиент]])*(Товар!$E$4:$E$1110&lt;=Тўловлар[[#This Row],[Дата]])),Товар!$L$4:$L$1110),Кўрсаткичлар!$B$4)</f>
        <v>0</v>
      </c>
      <c r="O533" s="30">
        <f>Тўловлар[[#This Row],[Поддон]]*Тўловлар[[#This Row],[Поддон нархи]]</f>
        <v>0</v>
      </c>
      <c r="P533" s="30">
        <f>Тўловлар[[#This Row],[Жами сумма]]-Тўловлар[[#This Row],[Поддон пули]]</f>
        <v>0</v>
      </c>
      <c r="Q5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3" s="9" t="str">
        <f>IFERROR(INDEX(Мижозлар[Агент],MATCH($C533,Мижозлар[Расмий ном],0)),"")</f>
        <v/>
      </c>
    </row>
    <row r="534" spans="6:19" x14ac:dyDescent="0.2">
      <c r="F534" s="198"/>
      <c r="G534" s="9">
        <f>Тўловлар[[#This Row],[Поддон]]*$G$3</f>
        <v>0</v>
      </c>
      <c r="K534" s="9">
        <f>SUM(Тўловлар[[#This Row],[ПР-Сумма]]+Тўловлар[[#This Row],[Накд]]+Тўловлар[[#This Row],[Клик]]+Тўловлар[[#This Row],[Терминал]])</f>
        <v>0</v>
      </c>
      <c r="N534" s="30" cm="1">
        <f t="array" ref="N534">IFERROR(LOOKUP(2,1/((Товар!$D$4:$D$1110=Тўловлар[[#This Row],[Клиент]])*(Товар!$E$4:$E$1110&lt;=Тўловлар[[#This Row],[Дата]])),Товар!$L$4:$L$1110),Кўрсаткичлар!$B$4)</f>
        <v>0</v>
      </c>
      <c r="O534" s="30">
        <f>Тўловлар[[#This Row],[Поддон]]*Тўловлар[[#This Row],[Поддон нархи]]</f>
        <v>0</v>
      </c>
      <c r="P534" s="30">
        <f>Тўловлар[[#This Row],[Жами сумма]]-Тўловлар[[#This Row],[Поддон пули]]</f>
        <v>0</v>
      </c>
      <c r="Q5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4" s="9" t="str">
        <f>IFERROR(INDEX(Мижозлар[Агент],MATCH($C534,Мижозлар[Расмий ном],0)),"")</f>
        <v/>
      </c>
    </row>
    <row r="535" spans="6:19" x14ac:dyDescent="0.2">
      <c r="F535" s="198"/>
      <c r="G535" s="9">
        <f>Тўловлар[[#This Row],[Поддон]]*$G$3</f>
        <v>0</v>
      </c>
      <c r="K535" s="9">
        <f>SUM(Тўловлар[[#This Row],[ПР-Сумма]]+Тўловлар[[#This Row],[Накд]]+Тўловлар[[#This Row],[Клик]]+Тўловлар[[#This Row],[Терминал]])</f>
        <v>0</v>
      </c>
      <c r="N535" s="30" cm="1">
        <f t="array" ref="N535">IFERROR(LOOKUP(2,1/((Товар!$D$4:$D$1110=Тўловлар[[#This Row],[Клиент]])*(Товар!$E$4:$E$1110&lt;=Тўловлар[[#This Row],[Дата]])),Товар!$L$4:$L$1110),Кўрсаткичлар!$B$4)</f>
        <v>0</v>
      </c>
      <c r="O535" s="30">
        <f>Тўловлар[[#This Row],[Поддон]]*Тўловлар[[#This Row],[Поддон нархи]]</f>
        <v>0</v>
      </c>
      <c r="P535" s="30">
        <f>Тўловлар[[#This Row],[Жами сумма]]-Тўловлар[[#This Row],[Поддон пули]]</f>
        <v>0</v>
      </c>
      <c r="Q5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5" s="9" t="str">
        <f>IFERROR(INDEX(Мижозлар[Агент],MATCH($C535,Мижозлар[Расмий ном],0)),"")</f>
        <v/>
      </c>
    </row>
    <row r="536" spans="6:19" x14ac:dyDescent="0.2">
      <c r="F536" s="198"/>
      <c r="G536" s="9">
        <f>Тўловлар[[#This Row],[Поддон]]*$G$3</f>
        <v>0</v>
      </c>
      <c r="K536" s="9">
        <f>SUM(Тўловлар[[#This Row],[ПР-Сумма]]+Тўловлар[[#This Row],[Накд]]+Тўловлар[[#This Row],[Клик]]+Тўловлар[[#This Row],[Терминал]])</f>
        <v>0</v>
      </c>
      <c r="N536" s="30" cm="1">
        <f t="array" ref="N536">IFERROR(LOOKUP(2,1/((Товар!$D$4:$D$1110=Тўловлар[[#This Row],[Клиент]])*(Товар!$E$4:$E$1110&lt;=Тўловлар[[#This Row],[Дата]])),Товар!$L$4:$L$1110),Кўрсаткичлар!$B$4)</f>
        <v>0</v>
      </c>
      <c r="O536" s="30">
        <f>Тўловлар[[#This Row],[Поддон]]*Тўловлар[[#This Row],[Поддон нархи]]</f>
        <v>0</v>
      </c>
      <c r="P536" s="30">
        <f>Тўловлар[[#This Row],[Жами сумма]]-Тўловлар[[#This Row],[Поддон пули]]</f>
        <v>0</v>
      </c>
      <c r="Q5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6" s="9" t="str">
        <f>IFERROR(INDEX(Мижозлар[Агент],MATCH($C536,Мижозлар[Расмий ном],0)),"")</f>
        <v/>
      </c>
    </row>
    <row r="537" spans="6:19" x14ac:dyDescent="0.2">
      <c r="F537" s="198"/>
      <c r="G537" s="9">
        <f>Тўловлар[[#This Row],[Поддон]]*$G$3</f>
        <v>0</v>
      </c>
      <c r="K537" s="9">
        <f>SUM(Тўловлар[[#This Row],[ПР-Сумма]]+Тўловлар[[#This Row],[Накд]]+Тўловлар[[#This Row],[Клик]]+Тўловлар[[#This Row],[Терминал]])</f>
        <v>0</v>
      </c>
      <c r="N537" s="30" cm="1">
        <f t="array" ref="N537">IFERROR(LOOKUP(2,1/((Товар!$D$4:$D$1110=Тўловлар[[#This Row],[Клиент]])*(Товар!$E$4:$E$1110&lt;=Тўловлар[[#This Row],[Дата]])),Товар!$L$4:$L$1110),Кўрсаткичлар!$B$4)</f>
        <v>0</v>
      </c>
      <c r="O537" s="30">
        <f>Тўловлар[[#This Row],[Поддон]]*Тўловлар[[#This Row],[Поддон нархи]]</f>
        <v>0</v>
      </c>
      <c r="P537" s="30">
        <f>Тўловлар[[#This Row],[Жами сумма]]-Тўловлар[[#This Row],[Поддон пули]]</f>
        <v>0</v>
      </c>
      <c r="Q5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7" s="9" t="str">
        <f>IFERROR(INDEX(Мижозлар[Агент],MATCH($C537,Мижозлар[Расмий ном],0)),"")</f>
        <v/>
      </c>
    </row>
    <row r="538" spans="6:19" x14ac:dyDescent="0.2">
      <c r="F538" s="198"/>
      <c r="G538" s="9">
        <f>Тўловлар[[#This Row],[Поддон]]*$G$3</f>
        <v>0</v>
      </c>
      <c r="K538" s="9">
        <f>SUM(Тўловлар[[#This Row],[ПР-Сумма]]+Тўловлар[[#This Row],[Накд]]+Тўловлар[[#This Row],[Клик]]+Тўловлар[[#This Row],[Терминал]])</f>
        <v>0</v>
      </c>
      <c r="N538" s="30" cm="1">
        <f t="array" ref="N538">IFERROR(LOOKUP(2,1/((Товар!$D$4:$D$1110=Тўловлар[[#This Row],[Клиент]])*(Товар!$E$4:$E$1110&lt;=Тўловлар[[#This Row],[Дата]])),Товар!$L$4:$L$1110),Кўрсаткичлар!$B$4)</f>
        <v>0</v>
      </c>
      <c r="O538" s="30">
        <f>Тўловлар[[#This Row],[Поддон]]*Тўловлар[[#This Row],[Поддон нархи]]</f>
        <v>0</v>
      </c>
      <c r="P538" s="30">
        <f>Тўловлар[[#This Row],[Жами сумма]]-Тўловлар[[#This Row],[Поддон пули]]</f>
        <v>0</v>
      </c>
      <c r="Q5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8" s="9" t="str">
        <f>IFERROR(INDEX(Мижозлар[Агент],MATCH($C538,Мижозлар[Расмий ном],0)),"")</f>
        <v/>
      </c>
    </row>
    <row r="539" spans="6:19" x14ac:dyDescent="0.2">
      <c r="F539" s="198"/>
      <c r="G539" s="9">
        <f>Тўловлар[[#This Row],[Поддон]]*$G$3</f>
        <v>0</v>
      </c>
      <c r="K539" s="9">
        <f>SUM(Тўловлар[[#This Row],[ПР-Сумма]]+Тўловлар[[#This Row],[Накд]]+Тўловлар[[#This Row],[Клик]]+Тўловлар[[#This Row],[Терминал]])</f>
        <v>0</v>
      </c>
      <c r="N539" s="30" cm="1">
        <f t="array" ref="N539">IFERROR(LOOKUP(2,1/((Товар!$D$4:$D$1110=Тўловлар[[#This Row],[Клиент]])*(Товар!$E$4:$E$1110&lt;=Тўловлар[[#This Row],[Дата]])),Товар!$L$4:$L$1110),Кўрсаткичлар!$B$4)</f>
        <v>0</v>
      </c>
      <c r="O539" s="30">
        <f>Тўловлар[[#This Row],[Поддон]]*Тўловлар[[#This Row],[Поддон нархи]]</f>
        <v>0</v>
      </c>
      <c r="P539" s="30">
        <f>Тўловлар[[#This Row],[Жами сумма]]-Тўловлар[[#This Row],[Поддон пули]]</f>
        <v>0</v>
      </c>
      <c r="Q5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39" s="9" t="str">
        <f>IFERROR(INDEX(Мижозлар[Агент],MATCH($C539,Мижозлар[Расмий ном],0)),"")</f>
        <v/>
      </c>
    </row>
    <row r="540" spans="6:19" x14ac:dyDescent="0.2">
      <c r="F540" s="198"/>
      <c r="G540" s="9">
        <f>Тўловлар[[#This Row],[Поддон]]*$G$3</f>
        <v>0</v>
      </c>
      <c r="K540" s="9">
        <f>SUM(Тўловлар[[#This Row],[ПР-Сумма]]+Тўловлар[[#This Row],[Накд]]+Тўловлар[[#This Row],[Клик]]+Тўловлар[[#This Row],[Терминал]])</f>
        <v>0</v>
      </c>
      <c r="N540" s="30" cm="1">
        <f t="array" ref="N540">IFERROR(LOOKUP(2,1/((Товар!$D$4:$D$1110=Тўловлар[[#This Row],[Клиент]])*(Товар!$E$4:$E$1110&lt;=Тўловлар[[#This Row],[Дата]])),Товар!$L$4:$L$1110),Кўрсаткичлар!$B$4)</f>
        <v>0</v>
      </c>
      <c r="O540" s="30">
        <f>Тўловлар[[#This Row],[Поддон]]*Тўловлар[[#This Row],[Поддон нархи]]</f>
        <v>0</v>
      </c>
      <c r="P540" s="30">
        <f>Тўловлар[[#This Row],[Жами сумма]]-Тўловлар[[#This Row],[Поддон пули]]</f>
        <v>0</v>
      </c>
      <c r="Q5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0" s="9" t="str">
        <f>IFERROR(INDEX(Мижозлар[Агент],MATCH($C540,Мижозлар[Расмий ном],0)),"")</f>
        <v/>
      </c>
    </row>
    <row r="541" spans="6:19" x14ac:dyDescent="0.2">
      <c r="F541" s="198"/>
      <c r="G541" s="9">
        <f>Тўловлар[[#This Row],[Поддон]]*$G$3</f>
        <v>0</v>
      </c>
      <c r="K541" s="9">
        <f>SUM(Тўловлар[[#This Row],[ПР-Сумма]]+Тўловлар[[#This Row],[Накд]]+Тўловлар[[#This Row],[Клик]]+Тўловлар[[#This Row],[Терминал]])</f>
        <v>0</v>
      </c>
      <c r="N541" s="30" cm="1">
        <f t="array" ref="N541">IFERROR(LOOKUP(2,1/((Товар!$D$4:$D$1110=Тўловлар[[#This Row],[Клиент]])*(Товар!$E$4:$E$1110&lt;=Тўловлар[[#This Row],[Дата]])),Товар!$L$4:$L$1110),Кўрсаткичлар!$B$4)</f>
        <v>0</v>
      </c>
      <c r="O541" s="30">
        <f>Тўловлар[[#This Row],[Поддон]]*Тўловлар[[#This Row],[Поддон нархи]]</f>
        <v>0</v>
      </c>
      <c r="P541" s="30">
        <f>Тўловлар[[#This Row],[Жами сумма]]-Тўловлар[[#This Row],[Поддон пули]]</f>
        <v>0</v>
      </c>
      <c r="Q5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1" s="9" t="str">
        <f>IFERROR(INDEX(Мижозлар[Агент],MATCH($C541,Мижозлар[Расмий ном],0)),"")</f>
        <v/>
      </c>
    </row>
    <row r="542" spans="6:19" x14ac:dyDescent="0.2">
      <c r="F542" s="198"/>
      <c r="G542" s="9">
        <f>Тўловлар[[#This Row],[Поддон]]*$G$3</f>
        <v>0</v>
      </c>
      <c r="K542" s="9">
        <f>SUM(Тўловлар[[#This Row],[ПР-Сумма]]+Тўловлар[[#This Row],[Накд]]+Тўловлар[[#This Row],[Клик]]+Тўловлар[[#This Row],[Терминал]])</f>
        <v>0</v>
      </c>
      <c r="N542" s="30" cm="1">
        <f t="array" ref="N542">IFERROR(LOOKUP(2,1/((Товар!$D$4:$D$1110=Тўловлар[[#This Row],[Клиент]])*(Товар!$E$4:$E$1110&lt;=Тўловлар[[#This Row],[Дата]])),Товар!$L$4:$L$1110),Кўрсаткичлар!$B$4)</f>
        <v>0</v>
      </c>
      <c r="O542" s="30">
        <f>Тўловлар[[#This Row],[Поддон]]*Тўловлар[[#This Row],[Поддон нархи]]</f>
        <v>0</v>
      </c>
      <c r="P542" s="30">
        <f>Тўловлар[[#This Row],[Жами сумма]]-Тўловлар[[#This Row],[Поддон пули]]</f>
        <v>0</v>
      </c>
      <c r="Q5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2" s="9" t="str">
        <f>IFERROR(INDEX(Мижозлар[Агент],MATCH($C542,Мижозлар[Расмий ном],0)),"")</f>
        <v/>
      </c>
    </row>
    <row r="543" spans="6:19" x14ac:dyDescent="0.2">
      <c r="F543" s="198"/>
      <c r="G543" s="9">
        <f>Тўловлар[[#This Row],[Поддон]]*$G$3</f>
        <v>0</v>
      </c>
      <c r="K543" s="9">
        <f>SUM(Тўловлар[[#This Row],[ПР-Сумма]]+Тўловлар[[#This Row],[Накд]]+Тўловлар[[#This Row],[Клик]]+Тўловлар[[#This Row],[Терминал]])</f>
        <v>0</v>
      </c>
      <c r="N543" s="30" cm="1">
        <f t="array" ref="N543">IFERROR(LOOKUP(2,1/((Товар!$D$4:$D$1110=Тўловлар[[#This Row],[Клиент]])*(Товар!$E$4:$E$1110&lt;=Тўловлар[[#This Row],[Дата]])),Товар!$L$4:$L$1110),Кўрсаткичлар!$B$4)</f>
        <v>0</v>
      </c>
      <c r="O543" s="30">
        <f>Тўловлар[[#This Row],[Поддон]]*Тўловлар[[#This Row],[Поддон нархи]]</f>
        <v>0</v>
      </c>
      <c r="P543" s="30">
        <f>Тўловлар[[#This Row],[Жами сумма]]-Тўловлар[[#This Row],[Поддон пули]]</f>
        <v>0</v>
      </c>
      <c r="Q5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3" s="9" t="str">
        <f>IFERROR(INDEX(Мижозлар[Агент],MATCH($C543,Мижозлар[Расмий ном],0)),"")</f>
        <v/>
      </c>
    </row>
    <row r="544" spans="6:19" x14ac:dyDescent="0.2">
      <c r="F544" s="198"/>
      <c r="G544" s="9">
        <f>Тўловлар[[#This Row],[Поддон]]*$G$3</f>
        <v>0</v>
      </c>
      <c r="K544" s="9">
        <f>SUM(Тўловлар[[#This Row],[ПР-Сумма]]+Тўловлар[[#This Row],[Накд]]+Тўловлар[[#This Row],[Клик]]+Тўловлар[[#This Row],[Терминал]])</f>
        <v>0</v>
      </c>
      <c r="N544" s="30" cm="1">
        <f t="array" ref="N544">IFERROR(LOOKUP(2,1/((Товар!$D$4:$D$1110=Тўловлар[[#This Row],[Клиент]])*(Товар!$E$4:$E$1110&lt;=Тўловлар[[#This Row],[Дата]])),Товар!$L$4:$L$1110),Кўрсаткичлар!$B$4)</f>
        <v>0</v>
      </c>
      <c r="O544" s="30">
        <f>Тўловлар[[#This Row],[Поддон]]*Тўловлар[[#This Row],[Поддон нархи]]</f>
        <v>0</v>
      </c>
      <c r="P544" s="30">
        <f>Тўловлар[[#This Row],[Жами сумма]]-Тўловлар[[#This Row],[Поддон пули]]</f>
        <v>0</v>
      </c>
      <c r="Q5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4" s="9" t="str">
        <f>IFERROR(INDEX(Мижозлар[Агент],MATCH($C544,Мижозлар[Расмий ном],0)),"")</f>
        <v/>
      </c>
    </row>
    <row r="545" spans="6:19" x14ac:dyDescent="0.2">
      <c r="F545" s="198"/>
      <c r="G545" s="9">
        <f>Тўловлар[[#This Row],[Поддон]]*$G$3</f>
        <v>0</v>
      </c>
      <c r="K545" s="9">
        <f>SUM(Тўловлар[[#This Row],[ПР-Сумма]]+Тўловлар[[#This Row],[Накд]]+Тўловлар[[#This Row],[Клик]]+Тўловлар[[#This Row],[Терминал]])</f>
        <v>0</v>
      </c>
      <c r="N545" s="30" cm="1">
        <f t="array" ref="N545">IFERROR(LOOKUP(2,1/((Товар!$D$4:$D$1110=Тўловлар[[#This Row],[Клиент]])*(Товар!$E$4:$E$1110&lt;=Тўловлар[[#This Row],[Дата]])),Товар!$L$4:$L$1110),Кўрсаткичлар!$B$4)</f>
        <v>0</v>
      </c>
      <c r="O545" s="30">
        <f>Тўловлар[[#This Row],[Поддон]]*Тўловлар[[#This Row],[Поддон нархи]]</f>
        <v>0</v>
      </c>
      <c r="P545" s="30">
        <f>Тўловлар[[#This Row],[Жами сумма]]-Тўловлар[[#This Row],[Поддон пули]]</f>
        <v>0</v>
      </c>
      <c r="Q5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5" s="9" t="str">
        <f>IFERROR(INDEX(Мижозлар[Агент],MATCH($C545,Мижозлар[Расмий ном],0)),"")</f>
        <v/>
      </c>
    </row>
    <row r="546" spans="6:19" x14ac:dyDescent="0.2">
      <c r="F546" s="198"/>
      <c r="G546" s="9">
        <f>Тўловлар[[#This Row],[Поддон]]*$G$3</f>
        <v>0</v>
      </c>
      <c r="K546" s="9">
        <f>SUM(Тўловлар[[#This Row],[ПР-Сумма]]+Тўловлар[[#This Row],[Накд]]+Тўловлар[[#This Row],[Клик]]+Тўловлар[[#This Row],[Терминал]])</f>
        <v>0</v>
      </c>
      <c r="N546" s="30" cm="1">
        <f t="array" ref="N546">IFERROR(LOOKUP(2,1/((Товар!$D$4:$D$1110=Тўловлар[[#This Row],[Клиент]])*(Товар!$E$4:$E$1110&lt;=Тўловлар[[#This Row],[Дата]])),Товар!$L$4:$L$1110),Кўрсаткичлар!$B$4)</f>
        <v>0</v>
      </c>
      <c r="O546" s="30">
        <f>Тўловлар[[#This Row],[Поддон]]*Тўловлар[[#This Row],[Поддон нархи]]</f>
        <v>0</v>
      </c>
      <c r="P546" s="30">
        <f>Тўловлар[[#This Row],[Жами сумма]]-Тўловлар[[#This Row],[Поддон пули]]</f>
        <v>0</v>
      </c>
      <c r="Q5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6" s="9" t="str">
        <f>IFERROR(INDEX(Мижозлар[Агент],MATCH($C546,Мижозлар[Расмий ном],0)),"")</f>
        <v/>
      </c>
    </row>
    <row r="547" spans="6:19" x14ac:dyDescent="0.2">
      <c r="F547" s="198"/>
      <c r="G547" s="9">
        <f>Тўловлар[[#This Row],[Поддон]]*$G$3</f>
        <v>0</v>
      </c>
      <c r="K547" s="9">
        <f>SUM(Тўловлар[[#This Row],[ПР-Сумма]]+Тўловлар[[#This Row],[Накд]]+Тўловлар[[#This Row],[Клик]]+Тўловлар[[#This Row],[Терминал]])</f>
        <v>0</v>
      </c>
      <c r="N547" s="30" cm="1">
        <f t="array" ref="N547">IFERROR(LOOKUP(2,1/((Товар!$D$4:$D$1110=Тўловлар[[#This Row],[Клиент]])*(Товар!$E$4:$E$1110&lt;=Тўловлар[[#This Row],[Дата]])),Товар!$L$4:$L$1110),Кўрсаткичлар!$B$4)</f>
        <v>0</v>
      </c>
      <c r="O547" s="30">
        <f>Тўловлар[[#This Row],[Поддон]]*Тўловлар[[#This Row],[Поддон нархи]]</f>
        <v>0</v>
      </c>
      <c r="P547" s="30">
        <f>Тўловлар[[#This Row],[Жами сумма]]-Тўловлар[[#This Row],[Поддон пули]]</f>
        <v>0</v>
      </c>
      <c r="Q5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7" s="9" t="str">
        <f>IFERROR(INDEX(Мижозлар[Агент],MATCH($C547,Мижозлар[Расмий ном],0)),"")</f>
        <v/>
      </c>
    </row>
    <row r="548" spans="6:19" x14ac:dyDescent="0.2">
      <c r="F548" s="198"/>
      <c r="G548" s="9">
        <f>Тўловлар[[#This Row],[Поддон]]*$G$3</f>
        <v>0</v>
      </c>
      <c r="K548" s="9">
        <f>SUM(Тўловлар[[#This Row],[ПР-Сумма]]+Тўловлар[[#This Row],[Накд]]+Тўловлар[[#This Row],[Клик]]+Тўловлар[[#This Row],[Терминал]])</f>
        <v>0</v>
      </c>
      <c r="N548" s="30" cm="1">
        <f t="array" ref="N548">IFERROR(LOOKUP(2,1/((Товар!$D$4:$D$1110=Тўловлар[[#This Row],[Клиент]])*(Товар!$E$4:$E$1110&lt;=Тўловлар[[#This Row],[Дата]])),Товар!$L$4:$L$1110),Кўрсаткичлар!$B$4)</f>
        <v>0</v>
      </c>
      <c r="O548" s="30">
        <f>Тўловлар[[#This Row],[Поддон]]*Тўловлар[[#This Row],[Поддон нархи]]</f>
        <v>0</v>
      </c>
      <c r="P548" s="30">
        <f>Тўловлар[[#This Row],[Жами сумма]]-Тўловлар[[#This Row],[Поддон пули]]</f>
        <v>0</v>
      </c>
      <c r="Q5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8" s="9" t="str">
        <f>IFERROR(INDEX(Мижозлар[Агент],MATCH($C548,Мижозлар[Расмий ном],0)),"")</f>
        <v/>
      </c>
    </row>
    <row r="549" spans="6:19" x14ac:dyDescent="0.2">
      <c r="F549" s="198"/>
      <c r="G549" s="9">
        <f>Тўловлар[[#This Row],[Поддон]]*$G$3</f>
        <v>0</v>
      </c>
      <c r="K549" s="9">
        <f>SUM(Тўловлар[[#This Row],[ПР-Сумма]]+Тўловлар[[#This Row],[Накд]]+Тўловлар[[#This Row],[Клик]]+Тўловлар[[#This Row],[Терминал]])</f>
        <v>0</v>
      </c>
      <c r="N549" s="30" cm="1">
        <f t="array" ref="N549">IFERROR(LOOKUP(2,1/((Товар!$D$4:$D$1110=Тўловлар[[#This Row],[Клиент]])*(Товар!$E$4:$E$1110&lt;=Тўловлар[[#This Row],[Дата]])),Товар!$L$4:$L$1110),Кўрсаткичлар!$B$4)</f>
        <v>0</v>
      </c>
      <c r="O549" s="30">
        <f>Тўловлар[[#This Row],[Поддон]]*Тўловлар[[#This Row],[Поддон нархи]]</f>
        <v>0</v>
      </c>
      <c r="P549" s="30">
        <f>Тўловлар[[#This Row],[Жами сумма]]-Тўловлар[[#This Row],[Поддон пули]]</f>
        <v>0</v>
      </c>
      <c r="Q5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49" s="9" t="str">
        <f>IFERROR(INDEX(Мижозлар[Агент],MATCH($C549,Мижозлар[Расмий ном],0)),"")</f>
        <v/>
      </c>
    </row>
    <row r="550" spans="6:19" x14ac:dyDescent="0.2">
      <c r="F550" s="198"/>
      <c r="G550" s="9">
        <f>Тўловлар[[#This Row],[Поддон]]*$G$3</f>
        <v>0</v>
      </c>
      <c r="K550" s="9">
        <f>SUM(Тўловлар[[#This Row],[ПР-Сумма]]+Тўловлар[[#This Row],[Накд]]+Тўловлар[[#This Row],[Клик]]+Тўловлар[[#This Row],[Терминал]])</f>
        <v>0</v>
      </c>
      <c r="N550" s="30" cm="1">
        <f t="array" ref="N550">IFERROR(LOOKUP(2,1/((Товар!$D$4:$D$1110=Тўловлар[[#This Row],[Клиент]])*(Товар!$E$4:$E$1110&lt;=Тўловлар[[#This Row],[Дата]])),Товар!$L$4:$L$1110),Кўрсаткичлар!$B$4)</f>
        <v>0</v>
      </c>
      <c r="O550" s="30">
        <f>Тўловлар[[#This Row],[Поддон]]*Тўловлар[[#This Row],[Поддон нархи]]</f>
        <v>0</v>
      </c>
      <c r="P550" s="30">
        <f>Тўловлар[[#This Row],[Жами сумма]]-Тўловлар[[#This Row],[Поддон пули]]</f>
        <v>0</v>
      </c>
      <c r="Q5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0" s="9" t="str">
        <f>IFERROR(INDEX(Мижозлар[Агент],MATCH($C550,Мижозлар[Расмий ном],0)),"")</f>
        <v/>
      </c>
    </row>
    <row r="551" spans="6:19" x14ac:dyDescent="0.2">
      <c r="F551" s="198"/>
      <c r="G551" s="9">
        <f>Тўловлар[[#This Row],[Поддон]]*$G$3</f>
        <v>0</v>
      </c>
      <c r="K551" s="9">
        <f>SUM(Тўловлар[[#This Row],[ПР-Сумма]]+Тўловлар[[#This Row],[Накд]]+Тўловлар[[#This Row],[Клик]]+Тўловлар[[#This Row],[Терминал]])</f>
        <v>0</v>
      </c>
      <c r="N551" s="30" cm="1">
        <f t="array" ref="N551">IFERROR(LOOKUP(2,1/((Товар!$D$4:$D$1110=Тўловлар[[#This Row],[Клиент]])*(Товар!$E$4:$E$1110&lt;=Тўловлар[[#This Row],[Дата]])),Товар!$L$4:$L$1110),Кўрсаткичлар!$B$4)</f>
        <v>0</v>
      </c>
      <c r="O551" s="30">
        <f>Тўловлар[[#This Row],[Поддон]]*Тўловлар[[#This Row],[Поддон нархи]]</f>
        <v>0</v>
      </c>
      <c r="P551" s="30">
        <f>Тўловлар[[#This Row],[Жами сумма]]-Тўловлар[[#This Row],[Поддон пули]]</f>
        <v>0</v>
      </c>
      <c r="Q5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1" s="9" t="str">
        <f>IFERROR(INDEX(Мижозлар[Агент],MATCH($C551,Мижозлар[Расмий ном],0)),"")</f>
        <v/>
      </c>
    </row>
    <row r="552" spans="6:19" x14ac:dyDescent="0.2">
      <c r="F552" s="198"/>
      <c r="G552" s="9">
        <f>Тўловлар[[#This Row],[Поддон]]*$G$3</f>
        <v>0</v>
      </c>
      <c r="K552" s="9">
        <f>SUM(Тўловлар[[#This Row],[ПР-Сумма]]+Тўловлар[[#This Row],[Накд]]+Тўловлар[[#This Row],[Клик]]+Тўловлар[[#This Row],[Терминал]])</f>
        <v>0</v>
      </c>
      <c r="N552" s="30" cm="1">
        <f t="array" ref="N552">IFERROR(LOOKUP(2,1/((Товар!$D$4:$D$1110=Тўловлар[[#This Row],[Клиент]])*(Товар!$E$4:$E$1110&lt;=Тўловлар[[#This Row],[Дата]])),Товар!$L$4:$L$1110),Кўрсаткичлар!$B$4)</f>
        <v>0</v>
      </c>
      <c r="O552" s="30">
        <f>Тўловлар[[#This Row],[Поддон]]*Тўловлар[[#This Row],[Поддон нархи]]</f>
        <v>0</v>
      </c>
      <c r="P552" s="30">
        <f>Тўловлар[[#This Row],[Жами сумма]]-Тўловлар[[#This Row],[Поддон пули]]</f>
        <v>0</v>
      </c>
      <c r="Q5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2" s="9" t="str">
        <f>IFERROR(INDEX(Мижозлар[Агент],MATCH($C552,Мижозлар[Расмий ном],0)),"")</f>
        <v/>
      </c>
    </row>
    <row r="553" spans="6:19" x14ac:dyDescent="0.2">
      <c r="F553" s="198"/>
      <c r="G553" s="9">
        <f>Тўловлар[[#This Row],[Поддон]]*$G$3</f>
        <v>0</v>
      </c>
      <c r="K553" s="9">
        <f>SUM(Тўловлар[[#This Row],[ПР-Сумма]]+Тўловлар[[#This Row],[Накд]]+Тўловлар[[#This Row],[Клик]]+Тўловлар[[#This Row],[Терминал]])</f>
        <v>0</v>
      </c>
      <c r="N553" s="30" cm="1">
        <f t="array" ref="N553">IFERROR(LOOKUP(2,1/((Товар!$D$4:$D$1110=Тўловлар[[#This Row],[Клиент]])*(Товар!$E$4:$E$1110&lt;=Тўловлар[[#This Row],[Дата]])),Товар!$L$4:$L$1110),Кўрсаткичлар!$B$4)</f>
        <v>0</v>
      </c>
      <c r="O553" s="30">
        <f>Тўловлар[[#This Row],[Поддон]]*Тўловлар[[#This Row],[Поддон нархи]]</f>
        <v>0</v>
      </c>
      <c r="P553" s="30">
        <f>Тўловлар[[#This Row],[Жами сумма]]-Тўловлар[[#This Row],[Поддон пули]]</f>
        <v>0</v>
      </c>
      <c r="Q5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3" s="9" t="str">
        <f>IFERROR(INDEX(Мижозлар[Агент],MATCH($C553,Мижозлар[Расмий ном],0)),"")</f>
        <v/>
      </c>
    </row>
    <row r="554" spans="6:19" x14ac:dyDescent="0.2">
      <c r="F554" s="198"/>
      <c r="G554" s="9">
        <f>Тўловлар[[#This Row],[Поддон]]*$G$3</f>
        <v>0</v>
      </c>
      <c r="K554" s="9">
        <f>SUM(Тўловлар[[#This Row],[ПР-Сумма]]+Тўловлар[[#This Row],[Накд]]+Тўловлар[[#This Row],[Клик]]+Тўловлар[[#This Row],[Терминал]])</f>
        <v>0</v>
      </c>
      <c r="N554" s="30" cm="1">
        <f t="array" ref="N554">IFERROR(LOOKUP(2,1/((Товар!$D$4:$D$1110=Тўловлар[[#This Row],[Клиент]])*(Товар!$E$4:$E$1110&lt;=Тўловлар[[#This Row],[Дата]])),Товар!$L$4:$L$1110),Кўрсаткичлар!$B$4)</f>
        <v>0</v>
      </c>
      <c r="O554" s="30">
        <f>Тўловлар[[#This Row],[Поддон]]*Тўловлар[[#This Row],[Поддон нархи]]</f>
        <v>0</v>
      </c>
      <c r="P554" s="30">
        <f>Тўловлар[[#This Row],[Жами сумма]]-Тўловлар[[#This Row],[Поддон пули]]</f>
        <v>0</v>
      </c>
      <c r="Q5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4" s="9" t="str">
        <f>IFERROR(INDEX(Мижозлар[Агент],MATCH($C554,Мижозлар[Расмий ном],0)),"")</f>
        <v/>
      </c>
    </row>
    <row r="555" spans="6:19" x14ac:dyDescent="0.2">
      <c r="F555" s="198"/>
      <c r="G555" s="9">
        <f>Тўловлар[[#This Row],[Поддон]]*$G$3</f>
        <v>0</v>
      </c>
      <c r="K555" s="9">
        <f>SUM(Тўловлар[[#This Row],[ПР-Сумма]]+Тўловлар[[#This Row],[Накд]]+Тўловлар[[#This Row],[Клик]]+Тўловлар[[#This Row],[Терминал]])</f>
        <v>0</v>
      </c>
      <c r="N555" s="30" cm="1">
        <f t="array" ref="N555">IFERROR(LOOKUP(2,1/((Товар!$D$4:$D$1110=Тўловлар[[#This Row],[Клиент]])*(Товар!$E$4:$E$1110&lt;=Тўловлар[[#This Row],[Дата]])),Товар!$L$4:$L$1110),Кўрсаткичлар!$B$4)</f>
        <v>0</v>
      </c>
      <c r="O555" s="30">
        <f>Тўловлар[[#This Row],[Поддон]]*Тўловлар[[#This Row],[Поддон нархи]]</f>
        <v>0</v>
      </c>
      <c r="P555" s="30">
        <f>Тўловлар[[#This Row],[Жами сумма]]-Тўловлар[[#This Row],[Поддон пули]]</f>
        <v>0</v>
      </c>
      <c r="Q5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5" s="9" t="str">
        <f>IFERROR(INDEX(Мижозлар[Агент],MATCH($C555,Мижозлар[Расмий ном],0)),"")</f>
        <v/>
      </c>
    </row>
    <row r="556" spans="6:19" x14ac:dyDescent="0.2">
      <c r="F556" s="198"/>
      <c r="G556" s="9">
        <f>Тўловлар[[#This Row],[Поддон]]*$G$3</f>
        <v>0</v>
      </c>
      <c r="K556" s="9">
        <f>SUM(Тўловлар[[#This Row],[ПР-Сумма]]+Тўловлар[[#This Row],[Накд]]+Тўловлар[[#This Row],[Клик]]+Тўловлар[[#This Row],[Терминал]])</f>
        <v>0</v>
      </c>
      <c r="N556" s="30" cm="1">
        <f t="array" ref="N556">IFERROR(LOOKUP(2,1/((Товар!$D$4:$D$1110=Тўловлар[[#This Row],[Клиент]])*(Товар!$E$4:$E$1110&lt;=Тўловлар[[#This Row],[Дата]])),Товар!$L$4:$L$1110),Кўрсаткичлар!$B$4)</f>
        <v>0</v>
      </c>
      <c r="O556" s="30">
        <f>Тўловлар[[#This Row],[Поддон]]*Тўловлар[[#This Row],[Поддон нархи]]</f>
        <v>0</v>
      </c>
      <c r="P556" s="30">
        <f>Тўловлар[[#This Row],[Жами сумма]]-Тўловлар[[#This Row],[Поддон пули]]</f>
        <v>0</v>
      </c>
      <c r="Q5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6" s="9" t="str">
        <f>IFERROR(INDEX(Мижозлар[Агент],MATCH($C556,Мижозлар[Расмий ном],0)),"")</f>
        <v/>
      </c>
    </row>
    <row r="557" spans="6:19" x14ac:dyDescent="0.2">
      <c r="F557" s="198"/>
      <c r="G557" s="9">
        <f>Тўловлар[[#This Row],[Поддон]]*$G$3</f>
        <v>0</v>
      </c>
      <c r="K557" s="9">
        <f>SUM(Тўловлар[[#This Row],[ПР-Сумма]]+Тўловлар[[#This Row],[Накд]]+Тўловлар[[#This Row],[Клик]]+Тўловлар[[#This Row],[Терминал]])</f>
        <v>0</v>
      </c>
      <c r="N557" s="30" cm="1">
        <f t="array" ref="N557">IFERROR(LOOKUP(2,1/((Товар!$D$4:$D$1110=Тўловлар[[#This Row],[Клиент]])*(Товар!$E$4:$E$1110&lt;=Тўловлар[[#This Row],[Дата]])),Товар!$L$4:$L$1110),Кўрсаткичлар!$B$4)</f>
        <v>0</v>
      </c>
      <c r="O557" s="30">
        <f>Тўловлар[[#This Row],[Поддон]]*Тўловлар[[#This Row],[Поддон нархи]]</f>
        <v>0</v>
      </c>
      <c r="P557" s="30">
        <f>Тўловлар[[#This Row],[Жами сумма]]-Тўловлар[[#This Row],[Поддон пули]]</f>
        <v>0</v>
      </c>
      <c r="Q5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7" s="9" t="str">
        <f>IFERROR(INDEX(Мижозлар[Агент],MATCH($C557,Мижозлар[Расмий ном],0)),"")</f>
        <v/>
      </c>
    </row>
    <row r="558" spans="6:19" x14ac:dyDescent="0.2">
      <c r="F558" s="198"/>
      <c r="G558" s="9">
        <f>Тўловлар[[#This Row],[Поддон]]*$G$3</f>
        <v>0</v>
      </c>
      <c r="K558" s="9">
        <f>SUM(Тўловлар[[#This Row],[ПР-Сумма]]+Тўловлар[[#This Row],[Накд]]+Тўловлар[[#This Row],[Клик]]+Тўловлар[[#This Row],[Терминал]])</f>
        <v>0</v>
      </c>
      <c r="N558" s="30" cm="1">
        <f t="array" ref="N558">IFERROR(LOOKUP(2,1/((Товар!$D$4:$D$1110=Тўловлар[[#This Row],[Клиент]])*(Товар!$E$4:$E$1110&lt;=Тўловлар[[#This Row],[Дата]])),Товар!$L$4:$L$1110),Кўрсаткичлар!$B$4)</f>
        <v>0</v>
      </c>
      <c r="O558" s="30">
        <f>Тўловлар[[#This Row],[Поддон]]*Тўловлар[[#This Row],[Поддон нархи]]</f>
        <v>0</v>
      </c>
      <c r="P558" s="30">
        <f>Тўловлар[[#This Row],[Жами сумма]]-Тўловлар[[#This Row],[Поддон пули]]</f>
        <v>0</v>
      </c>
      <c r="Q5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8" s="9" t="str">
        <f>IFERROR(INDEX(Мижозлар[Агент],MATCH($C558,Мижозлар[Расмий ном],0)),"")</f>
        <v/>
      </c>
    </row>
    <row r="559" spans="6:19" x14ac:dyDescent="0.2">
      <c r="F559" s="198"/>
      <c r="G559" s="9">
        <f>Тўловлар[[#This Row],[Поддон]]*$G$3</f>
        <v>0</v>
      </c>
      <c r="K559" s="9">
        <f>SUM(Тўловлар[[#This Row],[ПР-Сумма]]+Тўловлар[[#This Row],[Накд]]+Тўловлар[[#This Row],[Клик]]+Тўловлар[[#This Row],[Терминал]])</f>
        <v>0</v>
      </c>
      <c r="N559" s="30" cm="1">
        <f t="array" ref="N559">IFERROR(LOOKUP(2,1/((Товар!$D$4:$D$1110=Тўловлар[[#This Row],[Клиент]])*(Товар!$E$4:$E$1110&lt;=Тўловлар[[#This Row],[Дата]])),Товар!$L$4:$L$1110),Кўрсаткичлар!$B$4)</f>
        <v>0</v>
      </c>
      <c r="O559" s="30">
        <f>Тўловлар[[#This Row],[Поддон]]*Тўловлар[[#This Row],[Поддон нархи]]</f>
        <v>0</v>
      </c>
      <c r="P559" s="30">
        <f>Тўловлар[[#This Row],[Жами сумма]]-Тўловлар[[#This Row],[Поддон пули]]</f>
        <v>0</v>
      </c>
      <c r="Q5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59" s="9" t="str">
        <f>IFERROR(INDEX(Мижозлар[Агент],MATCH($C559,Мижозлар[Расмий ном],0)),"")</f>
        <v/>
      </c>
    </row>
    <row r="560" spans="6:19" x14ac:dyDescent="0.2">
      <c r="F560" s="198"/>
      <c r="G560" s="9">
        <f>Тўловлар[[#This Row],[Поддон]]*$G$3</f>
        <v>0</v>
      </c>
      <c r="K560" s="9">
        <f>SUM(Тўловлар[[#This Row],[ПР-Сумма]]+Тўловлар[[#This Row],[Накд]]+Тўловлар[[#This Row],[Клик]]+Тўловлар[[#This Row],[Терминал]])</f>
        <v>0</v>
      </c>
      <c r="N560" s="30" cm="1">
        <f t="array" ref="N560">IFERROR(LOOKUP(2,1/((Товар!$D$4:$D$1110=Тўловлар[[#This Row],[Клиент]])*(Товар!$E$4:$E$1110&lt;=Тўловлар[[#This Row],[Дата]])),Товар!$L$4:$L$1110),Кўрсаткичлар!$B$4)</f>
        <v>0</v>
      </c>
      <c r="O560" s="30">
        <f>Тўловлар[[#This Row],[Поддон]]*Тўловлар[[#This Row],[Поддон нархи]]</f>
        <v>0</v>
      </c>
      <c r="P560" s="30">
        <f>Тўловлар[[#This Row],[Жами сумма]]-Тўловлар[[#This Row],[Поддон пули]]</f>
        <v>0</v>
      </c>
      <c r="Q5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0" s="9" t="str">
        <f>IFERROR(INDEX(Мижозлар[Агент],MATCH($C560,Мижозлар[Расмий ном],0)),"")</f>
        <v/>
      </c>
    </row>
    <row r="561" spans="6:19" x14ac:dyDescent="0.2">
      <c r="F561" s="198"/>
      <c r="G561" s="9">
        <f>Тўловлар[[#This Row],[Поддон]]*$G$3</f>
        <v>0</v>
      </c>
      <c r="K561" s="9">
        <f>SUM(Тўловлар[[#This Row],[ПР-Сумма]]+Тўловлар[[#This Row],[Накд]]+Тўловлар[[#This Row],[Клик]]+Тўловлар[[#This Row],[Терминал]])</f>
        <v>0</v>
      </c>
      <c r="N561" s="30" cm="1">
        <f t="array" ref="N561">IFERROR(LOOKUP(2,1/((Товар!$D$4:$D$1110=Тўловлар[[#This Row],[Клиент]])*(Товар!$E$4:$E$1110&lt;=Тўловлар[[#This Row],[Дата]])),Товар!$L$4:$L$1110),Кўрсаткичлар!$B$4)</f>
        <v>0</v>
      </c>
      <c r="O561" s="30">
        <f>Тўловлар[[#This Row],[Поддон]]*Тўловлар[[#This Row],[Поддон нархи]]</f>
        <v>0</v>
      </c>
      <c r="P561" s="30">
        <f>Тўловлар[[#This Row],[Жами сумма]]-Тўловлар[[#This Row],[Поддон пули]]</f>
        <v>0</v>
      </c>
      <c r="Q5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1" s="9" t="str">
        <f>IFERROR(INDEX(Мижозлар[Агент],MATCH($C561,Мижозлар[Расмий ном],0)),"")</f>
        <v/>
      </c>
    </row>
    <row r="562" spans="6:19" x14ac:dyDescent="0.2">
      <c r="F562" s="198"/>
      <c r="G562" s="9">
        <f>Тўловлар[[#This Row],[Поддон]]*$G$3</f>
        <v>0</v>
      </c>
      <c r="K562" s="9">
        <f>SUM(Тўловлар[[#This Row],[ПР-Сумма]]+Тўловлар[[#This Row],[Накд]]+Тўловлар[[#This Row],[Клик]]+Тўловлар[[#This Row],[Терминал]])</f>
        <v>0</v>
      </c>
      <c r="N562" s="30" cm="1">
        <f t="array" ref="N562">IFERROR(LOOKUP(2,1/((Товар!$D$4:$D$1110=Тўловлар[[#This Row],[Клиент]])*(Товар!$E$4:$E$1110&lt;=Тўловлар[[#This Row],[Дата]])),Товар!$L$4:$L$1110),Кўрсаткичлар!$B$4)</f>
        <v>0</v>
      </c>
      <c r="O562" s="30">
        <f>Тўловлар[[#This Row],[Поддон]]*Тўловлар[[#This Row],[Поддон нархи]]</f>
        <v>0</v>
      </c>
      <c r="P562" s="30">
        <f>Тўловлар[[#This Row],[Жами сумма]]-Тўловлар[[#This Row],[Поддон пули]]</f>
        <v>0</v>
      </c>
      <c r="Q5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2" s="9" t="str">
        <f>IFERROR(INDEX(Мижозлар[Агент],MATCH($C562,Мижозлар[Расмий ном],0)),"")</f>
        <v/>
      </c>
    </row>
    <row r="563" spans="6:19" x14ac:dyDescent="0.2">
      <c r="F563" s="198"/>
      <c r="G563" s="9">
        <f>Тўловлар[[#This Row],[Поддон]]*$G$3</f>
        <v>0</v>
      </c>
      <c r="K563" s="9">
        <f>SUM(Тўловлар[[#This Row],[ПР-Сумма]]+Тўловлар[[#This Row],[Накд]]+Тўловлар[[#This Row],[Клик]]+Тўловлар[[#This Row],[Терминал]])</f>
        <v>0</v>
      </c>
      <c r="N563" s="30" cm="1">
        <f t="array" ref="N563">IFERROR(LOOKUP(2,1/((Товар!$D$4:$D$1110=Тўловлар[[#This Row],[Клиент]])*(Товар!$E$4:$E$1110&lt;=Тўловлар[[#This Row],[Дата]])),Товар!$L$4:$L$1110),Кўрсаткичлар!$B$4)</f>
        <v>0</v>
      </c>
      <c r="O563" s="30">
        <f>Тўловлар[[#This Row],[Поддон]]*Тўловлар[[#This Row],[Поддон нархи]]</f>
        <v>0</v>
      </c>
      <c r="P563" s="30">
        <f>Тўловлар[[#This Row],[Жами сумма]]-Тўловлар[[#This Row],[Поддон пули]]</f>
        <v>0</v>
      </c>
      <c r="Q5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3" s="9" t="str">
        <f>IFERROR(INDEX(Мижозлар[Агент],MATCH($C563,Мижозлар[Расмий ном],0)),"")</f>
        <v/>
      </c>
    </row>
    <row r="564" spans="6:19" x14ac:dyDescent="0.2">
      <c r="F564" s="198"/>
      <c r="G564" s="9">
        <f>Тўловлар[[#This Row],[Поддон]]*$G$3</f>
        <v>0</v>
      </c>
      <c r="K564" s="9">
        <f>SUM(Тўловлар[[#This Row],[ПР-Сумма]]+Тўловлар[[#This Row],[Накд]]+Тўловлар[[#This Row],[Клик]]+Тўловлар[[#This Row],[Терминал]])</f>
        <v>0</v>
      </c>
      <c r="N564" s="30" cm="1">
        <f t="array" ref="N564">IFERROR(LOOKUP(2,1/((Товар!$D$4:$D$1110=Тўловлар[[#This Row],[Клиент]])*(Товар!$E$4:$E$1110&lt;=Тўловлар[[#This Row],[Дата]])),Товар!$L$4:$L$1110),Кўрсаткичлар!$B$4)</f>
        <v>0</v>
      </c>
      <c r="O564" s="30">
        <f>Тўловлар[[#This Row],[Поддон]]*Тўловлар[[#This Row],[Поддон нархи]]</f>
        <v>0</v>
      </c>
      <c r="P564" s="30">
        <f>Тўловлар[[#This Row],[Жами сумма]]-Тўловлар[[#This Row],[Поддон пули]]</f>
        <v>0</v>
      </c>
      <c r="Q5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4" s="9" t="str">
        <f>IFERROR(INDEX(Мижозлар[Агент],MATCH($C564,Мижозлар[Расмий ном],0)),"")</f>
        <v/>
      </c>
    </row>
    <row r="565" spans="6:19" x14ac:dyDescent="0.2">
      <c r="F565" s="198"/>
      <c r="G565" s="9">
        <f>Тўловлар[[#This Row],[Поддон]]*$G$3</f>
        <v>0</v>
      </c>
      <c r="K565" s="9">
        <f>SUM(Тўловлар[[#This Row],[ПР-Сумма]]+Тўловлар[[#This Row],[Накд]]+Тўловлар[[#This Row],[Клик]]+Тўловлар[[#This Row],[Терминал]])</f>
        <v>0</v>
      </c>
      <c r="N565" s="30" cm="1">
        <f t="array" ref="N565">IFERROR(LOOKUP(2,1/((Товар!$D$4:$D$1110=Тўловлар[[#This Row],[Клиент]])*(Товар!$E$4:$E$1110&lt;=Тўловлар[[#This Row],[Дата]])),Товар!$L$4:$L$1110),Кўрсаткичлар!$B$4)</f>
        <v>0</v>
      </c>
      <c r="O565" s="30">
        <f>Тўловлар[[#This Row],[Поддон]]*Тўловлар[[#This Row],[Поддон нархи]]</f>
        <v>0</v>
      </c>
      <c r="P565" s="30">
        <f>Тўловлар[[#This Row],[Жами сумма]]-Тўловлар[[#This Row],[Поддон пули]]</f>
        <v>0</v>
      </c>
      <c r="Q5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5" s="9" t="str">
        <f>IFERROR(INDEX(Мижозлар[Агент],MATCH($C565,Мижозлар[Расмий ном],0)),"")</f>
        <v/>
      </c>
    </row>
    <row r="566" spans="6:19" x14ac:dyDescent="0.2">
      <c r="F566" s="198"/>
      <c r="G566" s="9">
        <f>Тўловлар[[#This Row],[Поддон]]*$G$3</f>
        <v>0</v>
      </c>
      <c r="K566" s="9">
        <f>SUM(Тўловлар[[#This Row],[ПР-Сумма]]+Тўловлар[[#This Row],[Накд]]+Тўловлар[[#This Row],[Клик]]+Тўловлар[[#This Row],[Терминал]])</f>
        <v>0</v>
      </c>
      <c r="N566" s="30" cm="1">
        <f t="array" ref="N566">IFERROR(LOOKUP(2,1/((Товар!$D$4:$D$1110=Тўловлар[[#This Row],[Клиент]])*(Товар!$E$4:$E$1110&lt;=Тўловлар[[#This Row],[Дата]])),Товар!$L$4:$L$1110),Кўрсаткичлар!$B$4)</f>
        <v>0</v>
      </c>
      <c r="O566" s="30">
        <f>Тўловлар[[#This Row],[Поддон]]*Тўловлар[[#This Row],[Поддон нархи]]</f>
        <v>0</v>
      </c>
      <c r="P566" s="30">
        <f>Тўловлар[[#This Row],[Жами сумма]]-Тўловлар[[#This Row],[Поддон пули]]</f>
        <v>0</v>
      </c>
      <c r="Q5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6" s="9" t="str">
        <f>IFERROR(INDEX(Мижозлар[Агент],MATCH($C566,Мижозлар[Расмий ном],0)),"")</f>
        <v/>
      </c>
    </row>
    <row r="567" spans="6:19" x14ac:dyDescent="0.2">
      <c r="F567" s="198"/>
      <c r="G567" s="9">
        <f>Тўловлар[[#This Row],[Поддон]]*$G$3</f>
        <v>0</v>
      </c>
      <c r="K567" s="9">
        <f>SUM(Тўловлар[[#This Row],[ПР-Сумма]]+Тўловлар[[#This Row],[Накд]]+Тўловлар[[#This Row],[Клик]]+Тўловлар[[#This Row],[Терминал]])</f>
        <v>0</v>
      </c>
      <c r="N567" s="30" cm="1">
        <f t="array" ref="N567">IFERROR(LOOKUP(2,1/((Товар!$D$4:$D$1110=Тўловлар[[#This Row],[Клиент]])*(Товар!$E$4:$E$1110&lt;=Тўловлар[[#This Row],[Дата]])),Товар!$L$4:$L$1110),Кўрсаткичлар!$B$4)</f>
        <v>0</v>
      </c>
      <c r="O567" s="30">
        <f>Тўловлар[[#This Row],[Поддон]]*Тўловлар[[#This Row],[Поддон нархи]]</f>
        <v>0</v>
      </c>
      <c r="P567" s="30">
        <f>Тўловлар[[#This Row],[Жами сумма]]-Тўловлар[[#This Row],[Поддон пули]]</f>
        <v>0</v>
      </c>
      <c r="Q5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7" s="9" t="str">
        <f>IFERROR(INDEX(Мижозлар[Агент],MATCH($C567,Мижозлар[Расмий ном],0)),"")</f>
        <v/>
      </c>
    </row>
    <row r="568" spans="6:19" x14ac:dyDescent="0.2">
      <c r="F568" s="198"/>
      <c r="G568" s="9">
        <f>Тўловлар[[#This Row],[Поддон]]*$G$3</f>
        <v>0</v>
      </c>
      <c r="K568" s="9">
        <f>SUM(Тўловлар[[#This Row],[ПР-Сумма]]+Тўловлар[[#This Row],[Накд]]+Тўловлар[[#This Row],[Клик]]+Тўловлар[[#This Row],[Терминал]])</f>
        <v>0</v>
      </c>
      <c r="N568" s="30" cm="1">
        <f t="array" ref="N568">IFERROR(LOOKUP(2,1/((Товар!$D$4:$D$1110=Тўловлар[[#This Row],[Клиент]])*(Товар!$E$4:$E$1110&lt;=Тўловлар[[#This Row],[Дата]])),Товар!$L$4:$L$1110),Кўрсаткичлар!$B$4)</f>
        <v>0</v>
      </c>
      <c r="O568" s="30">
        <f>Тўловлар[[#This Row],[Поддон]]*Тўловлар[[#This Row],[Поддон нархи]]</f>
        <v>0</v>
      </c>
      <c r="P568" s="30">
        <f>Тўловлар[[#This Row],[Жами сумма]]-Тўловлар[[#This Row],[Поддон пули]]</f>
        <v>0</v>
      </c>
      <c r="Q5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8" s="9" t="str">
        <f>IFERROR(INDEX(Мижозлар[Агент],MATCH($C568,Мижозлар[Расмий ном],0)),"")</f>
        <v/>
      </c>
    </row>
    <row r="569" spans="6:19" x14ac:dyDescent="0.2">
      <c r="F569" s="198"/>
      <c r="G569" s="9">
        <f>Тўловлар[[#This Row],[Поддон]]*$G$3</f>
        <v>0</v>
      </c>
      <c r="K569" s="9">
        <f>SUM(Тўловлар[[#This Row],[ПР-Сумма]]+Тўловлар[[#This Row],[Накд]]+Тўловлар[[#This Row],[Клик]]+Тўловлар[[#This Row],[Терминал]])</f>
        <v>0</v>
      </c>
      <c r="N569" s="30" cm="1">
        <f t="array" ref="N569">IFERROR(LOOKUP(2,1/((Товар!$D$4:$D$1110=Тўловлар[[#This Row],[Клиент]])*(Товар!$E$4:$E$1110&lt;=Тўловлар[[#This Row],[Дата]])),Товар!$L$4:$L$1110),Кўрсаткичлар!$B$4)</f>
        <v>0</v>
      </c>
      <c r="O569" s="30">
        <f>Тўловлар[[#This Row],[Поддон]]*Тўловлар[[#This Row],[Поддон нархи]]</f>
        <v>0</v>
      </c>
      <c r="P569" s="30">
        <f>Тўловлар[[#This Row],[Жами сумма]]-Тўловлар[[#This Row],[Поддон пули]]</f>
        <v>0</v>
      </c>
      <c r="Q5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69" s="9" t="str">
        <f>IFERROR(INDEX(Мижозлар[Агент],MATCH($C569,Мижозлар[Расмий ном],0)),"")</f>
        <v/>
      </c>
    </row>
    <row r="570" spans="6:19" x14ac:dyDescent="0.2">
      <c r="F570" s="198"/>
      <c r="G570" s="9">
        <f>Тўловлар[[#This Row],[Поддон]]*$G$3</f>
        <v>0</v>
      </c>
      <c r="K570" s="9">
        <f>SUM(Тўловлар[[#This Row],[ПР-Сумма]]+Тўловлар[[#This Row],[Накд]]+Тўловлар[[#This Row],[Клик]]+Тўловлар[[#This Row],[Терминал]])</f>
        <v>0</v>
      </c>
      <c r="N570" s="30" cm="1">
        <f t="array" ref="N570">IFERROR(LOOKUP(2,1/((Товар!$D$4:$D$1110=Тўловлар[[#This Row],[Клиент]])*(Товар!$E$4:$E$1110&lt;=Тўловлар[[#This Row],[Дата]])),Товар!$L$4:$L$1110),Кўрсаткичлар!$B$4)</f>
        <v>0</v>
      </c>
      <c r="O570" s="30">
        <f>Тўловлар[[#This Row],[Поддон]]*Тўловлар[[#This Row],[Поддон нархи]]</f>
        <v>0</v>
      </c>
      <c r="P570" s="30">
        <f>Тўловлар[[#This Row],[Жами сумма]]-Тўловлар[[#This Row],[Поддон пули]]</f>
        <v>0</v>
      </c>
      <c r="Q5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0" s="9" t="str">
        <f>IFERROR(INDEX(Мижозлар[Агент],MATCH($C570,Мижозлар[Расмий ном],0)),"")</f>
        <v/>
      </c>
    </row>
    <row r="571" spans="6:19" x14ac:dyDescent="0.2">
      <c r="F571" s="198"/>
      <c r="G571" s="9">
        <f>Тўловлар[[#This Row],[Поддон]]*$G$3</f>
        <v>0</v>
      </c>
      <c r="K571" s="9">
        <f>SUM(Тўловлар[[#This Row],[ПР-Сумма]]+Тўловлар[[#This Row],[Накд]]+Тўловлар[[#This Row],[Клик]]+Тўловлар[[#This Row],[Терминал]])</f>
        <v>0</v>
      </c>
      <c r="N571" s="30" cm="1">
        <f t="array" ref="N571">IFERROR(LOOKUP(2,1/((Товар!$D$4:$D$1110=Тўловлар[[#This Row],[Клиент]])*(Товар!$E$4:$E$1110&lt;=Тўловлар[[#This Row],[Дата]])),Товар!$L$4:$L$1110),Кўрсаткичлар!$B$4)</f>
        <v>0</v>
      </c>
      <c r="O571" s="30">
        <f>Тўловлар[[#This Row],[Поддон]]*Тўловлар[[#This Row],[Поддон нархи]]</f>
        <v>0</v>
      </c>
      <c r="P571" s="30">
        <f>Тўловлар[[#This Row],[Жами сумма]]-Тўловлар[[#This Row],[Поддон пули]]</f>
        <v>0</v>
      </c>
      <c r="Q5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1" s="9" t="str">
        <f>IFERROR(INDEX(Мижозлар[Агент],MATCH($C571,Мижозлар[Расмий ном],0)),"")</f>
        <v/>
      </c>
    </row>
    <row r="572" spans="6:19" x14ac:dyDescent="0.2">
      <c r="F572" s="198"/>
      <c r="G572" s="9">
        <f>Тўловлар[[#This Row],[Поддон]]*$G$3</f>
        <v>0</v>
      </c>
      <c r="K572" s="9">
        <f>SUM(Тўловлар[[#This Row],[ПР-Сумма]]+Тўловлар[[#This Row],[Накд]]+Тўловлар[[#This Row],[Клик]]+Тўловлар[[#This Row],[Терминал]])</f>
        <v>0</v>
      </c>
      <c r="N572" s="30" cm="1">
        <f t="array" ref="N572">IFERROR(LOOKUP(2,1/((Товар!$D$4:$D$1110=Тўловлар[[#This Row],[Клиент]])*(Товар!$E$4:$E$1110&lt;=Тўловлар[[#This Row],[Дата]])),Товар!$L$4:$L$1110),Кўрсаткичлар!$B$4)</f>
        <v>0</v>
      </c>
      <c r="O572" s="30">
        <f>Тўловлар[[#This Row],[Поддон]]*Тўловлар[[#This Row],[Поддон нархи]]</f>
        <v>0</v>
      </c>
      <c r="P572" s="30">
        <f>Тўловлар[[#This Row],[Жами сумма]]-Тўловлар[[#This Row],[Поддон пули]]</f>
        <v>0</v>
      </c>
      <c r="Q5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2" s="9" t="str">
        <f>IFERROR(INDEX(Мижозлар[Агент],MATCH($C572,Мижозлар[Расмий ном],0)),"")</f>
        <v/>
      </c>
    </row>
    <row r="573" spans="6:19" x14ac:dyDescent="0.2">
      <c r="F573" s="198"/>
      <c r="G573" s="9">
        <f>Тўловлар[[#This Row],[Поддон]]*$G$3</f>
        <v>0</v>
      </c>
      <c r="K573" s="9">
        <f>SUM(Тўловлар[[#This Row],[ПР-Сумма]]+Тўловлар[[#This Row],[Накд]]+Тўловлар[[#This Row],[Клик]]+Тўловлар[[#This Row],[Терминал]])</f>
        <v>0</v>
      </c>
      <c r="N573" s="30" cm="1">
        <f t="array" ref="N573">IFERROR(LOOKUP(2,1/((Товар!$D$4:$D$1110=Тўловлар[[#This Row],[Клиент]])*(Товар!$E$4:$E$1110&lt;=Тўловлар[[#This Row],[Дата]])),Товар!$L$4:$L$1110),Кўрсаткичлар!$B$4)</f>
        <v>0</v>
      </c>
      <c r="O573" s="30">
        <f>Тўловлар[[#This Row],[Поддон]]*Тўловлар[[#This Row],[Поддон нархи]]</f>
        <v>0</v>
      </c>
      <c r="P573" s="30">
        <f>Тўловлар[[#This Row],[Жами сумма]]-Тўловлар[[#This Row],[Поддон пули]]</f>
        <v>0</v>
      </c>
      <c r="Q5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3" s="9" t="str">
        <f>IFERROR(INDEX(Мижозлар[Агент],MATCH($C573,Мижозлар[Расмий ном],0)),"")</f>
        <v/>
      </c>
    </row>
    <row r="574" spans="6:19" x14ac:dyDescent="0.2">
      <c r="F574" s="198"/>
      <c r="G574" s="9">
        <f>Тўловлар[[#This Row],[Поддон]]*$G$3</f>
        <v>0</v>
      </c>
      <c r="K574" s="9">
        <f>SUM(Тўловлар[[#This Row],[ПР-Сумма]]+Тўловлар[[#This Row],[Накд]]+Тўловлар[[#This Row],[Клик]]+Тўловлар[[#This Row],[Терминал]])</f>
        <v>0</v>
      </c>
      <c r="N574" s="30" cm="1">
        <f t="array" ref="N574">IFERROR(LOOKUP(2,1/((Товар!$D$4:$D$1110=Тўловлар[[#This Row],[Клиент]])*(Товар!$E$4:$E$1110&lt;=Тўловлар[[#This Row],[Дата]])),Товар!$L$4:$L$1110),Кўрсаткичлар!$B$4)</f>
        <v>0</v>
      </c>
      <c r="O574" s="30">
        <f>Тўловлар[[#This Row],[Поддон]]*Тўловлар[[#This Row],[Поддон нархи]]</f>
        <v>0</v>
      </c>
      <c r="P574" s="30">
        <f>Тўловлар[[#This Row],[Жами сумма]]-Тўловлар[[#This Row],[Поддон пули]]</f>
        <v>0</v>
      </c>
      <c r="Q5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4" s="9" t="str">
        <f>IFERROR(INDEX(Мижозлар[Агент],MATCH($C574,Мижозлар[Расмий ном],0)),"")</f>
        <v/>
      </c>
    </row>
    <row r="575" spans="6:19" x14ac:dyDescent="0.2">
      <c r="F575" s="198"/>
      <c r="G575" s="9">
        <f>Тўловлар[[#This Row],[Поддон]]*$G$3</f>
        <v>0</v>
      </c>
      <c r="K575" s="9">
        <f>SUM(Тўловлар[[#This Row],[ПР-Сумма]]+Тўловлар[[#This Row],[Накд]]+Тўловлар[[#This Row],[Клик]]+Тўловлар[[#This Row],[Терминал]])</f>
        <v>0</v>
      </c>
      <c r="N575" s="30" cm="1">
        <f t="array" ref="N575">IFERROR(LOOKUP(2,1/((Товар!$D$4:$D$1110=Тўловлар[[#This Row],[Клиент]])*(Товар!$E$4:$E$1110&lt;=Тўловлар[[#This Row],[Дата]])),Товар!$L$4:$L$1110),Кўрсаткичлар!$B$4)</f>
        <v>0</v>
      </c>
      <c r="O575" s="30">
        <f>Тўловлар[[#This Row],[Поддон]]*Тўловлар[[#This Row],[Поддон нархи]]</f>
        <v>0</v>
      </c>
      <c r="P575" s="30">
        <f>Тўловлар[[#This Row],[Жами сумма]]-Тўловлар[[#This Row],[Поддон пули]]</f>
        <v>0</v>
      </c>
      <c r="Q5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5" s="9" t="str">
        <f>IFERROR(INDEX(Мижозлар[Агент],MATCH($C575,Мижозлар[Расмий ном],0)),"")</f>
        <v/>
      </c>
    </row>
    <row r="576" spans="6:19" x14ac:dyDescent="0.2">
      <c r="F576" s="198"/>
      <c r="G576" s="9">
        <f>Тўловлар[[#This Row],[Поддон]]*$G$3</f>
        <v>0</v>
      </c>
      <c r="K576" s="9">
        <f>SUM(Тўловлар[[#This Row],[ПР-Сумма]]+Тўловлар[[#This Row],[Накд]]+Тўловлар[[#This Row],[Клик]]+Тўловлар[[#This Row],[Терминал]])</f>
        <v>0</v>
      </c>
      <c r="N576" s="30" cm="1">
        <f t="array" ref="N576">IFERROR(LOOKUP(2,1/((Товар!$D$4:$D$1110=Тўловлар[[#This Row],[Клиент]])*(Товар!$E$4:$E$1110&lt;=Тўловлар[[#This Row],[Дата]])),Товар!$L$4:$L$1110),Кўрсаткичлар!$B$4)</f>
        <v>0</v>
      </c>
      <c r="O576" s="30">
        <f>Тўловлар[[#This Row],[Поддон]]*Тўловлар[[#This Row],[Поддон нархи]]</f>
        <v>0</v>
      </c>
      <c r="P576" s="30">
        <f>Тўловлар[[#This Row],[Жами сумма]]-Тўловлар[[#This Row],[Поддон пули]]</f>
        <v>0</v>
      </c>
      <c r="Q5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6" s="9" t="str">
        <f>IFERROR(INDEX(Мижозлар[Агент],MATCH($C576,Мижозлар[Расмий ном],0)),"")</f>
        <v/>
      </c>
    </row>
    <row r="577" spans="6:19" x14ac:dyDescent="0.2">
      <c r="F577" s="198"/>
      <c r="G577" s="9">
        <f>Тўловлар[[#This Row],[Поддон]]*$G$3</f>
        <v>0</v>
      </c>
      <c r="K577" s="9">
        <f>SUM(Тўловлар[[#This Row],[ПР-Сумма]]+Тўловлар[[#This Row],[Накд]]+Тўловлар[[#This Row],[Клик]]+Тўловлар[[#This Row],[Терминал]])</f>
        <v>0</v>
      </c>
      <c r="N577" s="30" cm="1">
        <f t="array" ref="N577">IFERROR(LOOKUP(2,1/((Товар!$D$4:$D$1110=Тўловлар[[#This Row],[Клиент]])*(Товар!$E$4:$E$1110&lt;=Тўловлар[[#This Row],[Дата]])),Товар!$L$4:$L$1110),Кўрсаткичлар!$B$4)</f>
        <v>0</v>
      </c>
      <c r="O577" s="30">
        <f>Тўловлар[[#This Row],[Поддон]]*Тўловлар[[#This Row],[Поддон нархи]]</f>
        <v>0</v>
      </c>
      <c r="P577" s="30">
        <f>Тўловлар[[#This Row],[Жами сумма]]-Тўловлар[[#This Row],[Поддон пули]]</f>
        <v>0</v>
      </c>
      <c r="Q5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7" s="9" t="str">
        <f>IFERROR(INDEX(Мижозлар[Агент],MATCH($C577,Мижозлар[Расмий ном],0)),"")</f>
        <v/>
      </c>
    </row>
    <row r="578" spans="6:19" x14ac:dyDescent="0.2">
      <c r="F578" s="198"/>
      <c r="G578" s="9">
        <f>Тўловлар[[#This Row],[Поддон]]*$G$3</f>
        <v>0</v>
      </c>
      <c r="K578" s="9">
        <f>SUM(Тўловлар[[#This Row],[ПР-Сумма]]+Тўловлар[[#This Row],[Накд]]+Тўловлар[[#This Row],[Клик]]+Тўловлар[[#This Row],[Терминал]])</f>
        <v>0</v>
      </c>
      <c r="N578" s="30" cm="1">
        <f t="array" ref="N578">IFERROR(LOOKUP(2,1/((Товар!$D$4:$D$1110=Тўловлар[[#This Row],[Клиент]])*(Товар!$E$4:$E$1110&lt;=Тўловлар[[#This Row],[Дата]])),Товар!$L$4:$L$1110),Кўрсаткичлар!$B$4)</f>
        <v>0</v>
      </c>
      <c r="O578" s="30">
        <f>Тўловлар[[#This Row],[Поддон]]*Тўловлар[[#This Row],[Поддон нархи]]</f>
        <v>0</v>
      </c>
      <c r="P578" s="30">
        <f>Тўловлар[[#This Row],[Жами сумма]]-Тўловлар[[#This Row],[Поддон пули]]</f>
        <v>0</v>
      </c>
      <c r="Q5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8" s="9" t="str">
        <f>IFERROR(INDEX(Мижозлар[Агент],MATCH($C578,Мижозлар[Расмий ном],0)),"")</f>
        <v/>
      </c>
    </row>
    <row r="579" spans="6:19" x14ac:dyDescent="0.2">
      <c r="F579" s="198"/>
      <c r="G579" s="9">
        <f>Тўловлар[[#This Row],[Поддон]]*$G$3</f>
        <v>0</v>
      </c>
      <c r="K579" s="9">
        <f>SUM(Тўловлар[[#This Row],[ПР-Сумма]]+Тўловлар[[#This Row],[Накд]]+Тўловлар[[#This Row],[Клик]]+Тўловлар[[#This Row],[Терминал]])</f>
        <v>0</v>
      </c>
      <c r="N579" s="30" cm="1">
        <f t="array" ref="N579">IFERROR(LOOKUP(2,1/((Товар!$D$4:$D$1110=Тўловлар[[#This Row],[Клиент]])*(Товар!$E$4:$E$1110&lt;=Тўловлар[[#This Row],[Дата]])),Товар!$L$4:$L$1110),Кўрсаткичлар!$B$4)</f>
        <v>0</v>
      </c>
      <c r="O579" s="30">
        <f>Тўловлар[[#This Row],[Поддон]]*Тўловлар[[#This Row],[Поддон нархи]]</f>
        <v>0</v>
      </c>
      <c r="P579" s="30">
        <f>Тўловлар[[#This Row],[Жами сумма]]-Тўловлар[[#This Row],[Поддон пули]]</f>
        <v>0</v>
      </c>
      <c r="Q5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79" s="9" t="str">
        <f>IFERROR(INDEX(Мижозлар[Агент],MATCH($C579,Мижозлар[Расмий ном],0)),"")</f>
        <v/>
      </c>
    </row>
    <row r="580" spans="6:19" x14ac:dyDescent="0.2">
      <c r="F580" s="198"/>
      <c r="G580" s="9">
        <f>Тўловлар[[#This Row],[Поддон]]*$G$3</f>
        <v>0</v>
      </c>
      <c r="K580" s="9">
        <f>SUM(Тўловлар[[#This Row],[ПР-Сумма]]+Тўловлар[[#This Row],[Накд]]+Тўловлар[[#This Row],[Клик]]+Тўловлар[[#This Row],[Терминал]])</f>
        <v>0</v>
      </c>
      <c r="N580" s="30" cm="1">
        <f t="array" ref="N580">IFERROR(LOOKUP(2,1/((Товар!$D$4:$D$1110=Тўловлар[[#This Row],[Клиент]])*(Товар!$E$4:$E$1110&lt;=Тўловлар[[#This Row],[Дата]])),Товар!$L$4:$L$1110),Кўрсаткичлар!$B$4)</f>
        <v>0</v>
      </c>
      <c r="O580" s="30">
        <f>Тўловлар[[#This Row],[Поддон]]*Тўловлар[[#This Row],[Поддон нархи]]</f>
        <v>0</v>
      </c>
      <c r="P580" s="30">
        <f>Тўловлар[[#This Row],[Жами сумма]]-Тўловлар[[#This Row],[Поддон пули]]</f>
        <v>0</v>
      </c>
      <c r="Q5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0" s="9" t="str">
        <f>IFERROR(INDEX(Мижозлар[Агент],MATCH($C580,Мижозлар[Расмий ном],0)),"")</f>
        <v/>
      </c>
    </row>
    <row r="581" spans="6:19" x14ac:dyDescent="0.2">
      <c r="F581" s="198"/>
      <c r="G581" s="9">
        <f>Тўловлар[[#This Row],[Поддон]]*$G$3</f>
        <v>0</v>
      </c>
      <c r="K581" s="9">
        <f>SUM(Тўловлар[[#This Row],[ПР-Сумма]]+Тўловлар[[#This Row],[Накд]]+Тўловлар[[#This Row],[Клик]]+Тўловлар[[#This Row],[Терминал]])</f>
        <v>0</v>
      </c>
      <c r="N581" s="30" cm="1">
        <f t="array" ref="N581">IFERROR(LOOKUP(2,1/((Товар!$D$4:$D$1110=Тўловлар[[#This Row],[Клиент]])*(Товар!$E$4:$E$1110&lt;=Тўловлар[[#This Row],[Дата]])),Товар!$L$4:$L$1110),Кўрсаткичлар!$B$4)</f>
        <v>0</v>
      </c>
      <c r="O581" s="30">
        <f>Тўловлар[[#This Row],[Поддон]]*Тўловлар[[#This Row],[Поддон нархи]]</f>
        <v>0</v>
      </c>
      <c r="P581" s="30">
        <f>Тўловлар[[#This Row],[Жами сумма]]-Тўловлар[[#This Row],[Поддон пули]]</f>
        <v>0</v>
      </c>
      <c r="Q5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1" s="9" t="str">
        <f>IFERROR(INDEX(Мижозлар[Агент],MATCH($C581,Мижозлар[Расмий ном],0)),"")</f>
        <v/>
      </c>
    </row>
    <row r="582" spans="6:19" x14ac:dyDescent="0.2">
      <c r="F582" s="198"/>
      <c r="G582" s="9">
        <f>Тўловлар[[#This Row],[Поддон]]*$G$3</f>
        <v>0</v>
      </c>
      <c r="K582" s="9">
        <f>SUM(Тўловлар[[#This Row],[ПР-Сумма]]+Тўловлар[[#This Row],[Накд]]+Тўловлар[[#This Row],[Клик]]+Тўловлар[[#This Row],[Терминал]])</f>
        <v>0</v>
      </c>
      <c r="N582" s="30" cm="1">
        <f t="array" ref="N582">IFERROR(LOOKUP(2,1/((Товар!$D$4:$D$1110=Тўловлар[[#This Row],[Клиент]])*(Товар!$E$4:$E$1110&lt;=Тўловлар[[#This Row],[Дата]])),Товар!$L$4:$L$1110),Кўрсаткичлар!$B$4)</f>
        <v>0</v>
      </c>
      <c r="O582" s="30">
        <f>Тўловлар[[#This Row],[Поддон]]*Тўловлар[[#This Row],[Поддон нархи]]</f>
        <v>0</v>
      </c>
      <c r="P582" s="30">
        <f>Тўловлар[[#This Row],[Жами сумма]]-Тўловлар[[#This Row],[Поддон пули]]</f>
        <v>0</v>
      </c>
      <c r="Q5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2" s="9" t="str">
        <f>IFERROR(INDEX(Мижозлар[Агент],MATCH($C582,Мижозлар[Расмий ном],0)),"")</f>
        <v/>
      </c>
    </row>
    <row r="583" spans="6:19" x14ac:dyDescent="0.2">
      <c r="F583" s="198"/>
      <c r="G583" s="9">
        <f>Тўловлар[[#This Row],[Поддон]]*$G$3</f>
        <v>0</v>
      </c>
      <c r="K583" s="9">
        <f>SUM(Тўловлар[[#This Row],[ПР-Сумма]]+Тўловлар[[#This Row],[Накд]]+Тўловлар[[#This Row],[Клик]]+Тўловлар[[#This Row],[Терминал]])</f>
        <v>0</v>
      </c>
      <c r="N583" s="30" cm="1">
        <f t="array" ref="N583">IFERROR(LOOKUP(2,1/((Товар!$D$4:$D$1110=Тўловлар[[#This Row],[Клиент]])*(Товар!$E$4:$E$1110&lt;=Тўловлар[[#This Row],[Дата]])),Товар!$L$4:$L$1110),Кўрсаткичлар!$B$4)</f>
        <v>0</v>
      </c>
      <c r="O583" s="30">
        <f>Тўловлар[[#This Row],[Поддон]]*Тўловлар[[#This Row],[Поддон нархи]]</f>
        <v>0</v>
      </c>
      <c r="P583" s="30">
        <f>Тўловлар[[#This Row],[Жами сумма]]-Тўловлар[[#This Row],[Поддон пули]]</f>
        <v>0</v>
      </c>
      <c r="Q5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3" s="9" t="str">
        <f>IFERROR(INDEX(Мижозлар[Агент],MATCH($C583,Мижозлар[Расмий ном],0)),"")</f>
        <v/>
      </c>
    </row>
    <row r="584" spans="6:19" x14ac:dyDescent="0.2">
      <c r="F584" s="198"/>
      <c r="G584" s="9">
        <f>Тўловлар[[#This Row],[Поддон]]*$G$3</f>
        <v>0</v>
      </c>
      <c r="K584" s="9">
        <f>SUM(Тўловлар[[#This Row],[ПР-Сумма]]+Тўловлар[[#This Row],[Накд]]+Тўловлар[[#This Row],[Клик]]+Тўловлар[[#This Row],[Терминал]])</f>
        <v>0</v>
      </c>
      <c r="N584" s="30" cm="1">
        <f t="array" ref="N584">IFERROR(LOOKUP(2,1/((Товар!$D$4:$D$1110=Тўловлар[[#This Row],[Клиент]])*(Товар!$E$4:$E$1110&lt;=Тўловлар[[#This Row],[Дата]])),Товар!$L$4:$L$1110),Кўрсаткичлар!$B$4)</f>
        <v>0</v>
      </c>
      <c r="O584" s="30">
        <f>Тўловлар[[#This Row],[Поддон]]*Тўловлар[[#This Row],[Поддон нархи]]</f>
        <v>0</v>
      </c>
      <c r="P584" s="30">
        <f>Тўловлар[[#This Row],[Жами сумма]]-Тўловлар[[#This Row],[Поддон пули]]</f>
        <v>0</v>
      </c>
      <c r="Q5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4" s="9" t="str">
        <f>IFERROR(INDEX(Мижозлар[Агент],MATCH($C584,Мижозлар[Расмий ном],0)),"")</f>
        <v/>
      </c>
    </row>
    <row r="585" spans="6:19" x14ac:dyDescent="0.2">
      <c r="F585" s="198"/>
      <c r="G585" s="9">
        <f>Тўловлар[[#This Row],[Поддон]]*$G$3</f>
        <v>0</v>
      </c>
      <c r="K585" s="9">
        <f>SUM(Тўловлар[[#This Row],[ПР-Сумма]]+Тўловлар[[#This Row],[Накд]]+Тўловлар[[#This Row],[Клик]]+Тўловлар[[#This Row],[Терминал]])</f>
        <v>0</v>
      </c>
      <c r="N585" s="30" cm="1">
        <f t="array" ref="N585">IFERROR(LOOKUP(2,1/((Товар!$D$4:$D$1110=Тўловлар[[#This Row],[Клиент]])*(Товар!$E$4:$E$1110&lt;=Тўловлар[[#This Row],[Дата]])),Товар!$L$4:$L$1110),Кўрсаткичлар!$B$4)</f>
        <v>0</v>
      </c>
      <c r="O585" s="30">
        <f>Тўловлар[[#This Row],[Поддон]]*Тўловлар[[#This Row],[Поддон нархи]]</f>
        <v>0</v>
      </c>
      <c r="P585" s="30">
        <f>Тўловлар[[#This Row],[Жами сумма]]-Тўловлар[[#This Row],[Поддон пули]]</f>
        <v>0</v>
      </c>
      <c r="Q5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5" s="9" t="str">
        <f>IFERROR(INDEX(Мижозлар[Агент],MATCH($C585,Мижозлар[Расмий ном],0)),"")</f>
        <v/>
      </c>
    </row>
    <row r="586" spans="6:19" x14ac:dyDescent="0.2">
      <c r="F586" s="198"/>
      <c r="G586" s="9">
        <f>Тўловлар[[#This Row],[Поддон]]*$G$3</f>
        <v>0</v>
      </c>
      <c r="K586" s="9">
        <f>SUM(Тўловлар[[#This Row],[ПР-Сумма]]+Тўловлар[[#This Row],[Накд]]+Тўловлар[[#This Row],[Клик]]+Тўловлар[[#This Row],[Терминал]])</f>
        <v>0</v>
      </c>
      <c r="N586" s="30" cm="1">
        <f t="array" ref="N586">IFERROR(LOOKUP(2,1/((Товар!$D$4:$D$1110=Тўловлар[[#This Row],[Клиент]])*(Товар!$E$4:$E$1110&lt;=Тўловлар[[#This Row],[Дата]])),Товар!$L$4:$L$1110),Кўрсаткичлар!$B$4)</f>
        <v>0</v>
      </c>
      <c r="O586" s="30">
        <f>Тўловлар[[#This Row],[Поддон]]*Тўловлар[[#This Row],[Поддон нархи]]</f>
        <v>0</v>
      </c>
      <c r="P586" s="30">
        <f>Тўловлар[[#This Row],[Жами сумма]]-Тўловлар[[#This Row],[Поддон пули]]</f>
        <v>0</v>
      </c>
      <c r="Q5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6" s="9" t="str">
        <f>IFERROR(INDEX(Мижозлар[Агент],MATCH($C586,Мижозлар[Расмий ном],0)),"")</f>
        <v/>
      </c>
    </row>
    <row r="587" spans="6:19" x14ac:dyDescent="0.2">
      <c r="F587" s="198"/>
      <c r="G587" s="9">
        <f>Тўловлар[[#This Row],[Поддон]]*$G$3</f>
        <v>0</v>
      </c>
      <c r="K587" s="9">
        <f>SUM(Тўловлар[[#This Row],[ПР-Сумма]]+Тўловлар[[#This Row],[Накд]]+Тўловлар[[#This Row],[Клик]]+Тўловлар[[#This Row],[Терминал]])</f>
        <v>0</v>
      </c>
      <c r="N587" s="30" cm="1">
        <f t="array" ref="N587">IFERROR(LOOKUP(2,1/((Товар!$D$4:$D$1110=Тўловлар[[#This Row],[Клиент]])*(Товар!$E$4:$E$1110&lt;=Тўловлар[[#This Row],[Дата]])),Товар!$L$4:$L$1110),Кўрсаткичлар!$B$4)</f>
        <v>0</v>
      </c>
      <c r="O587" s="30">
        <f>Тўловлар[[#This Row],[Поддон]]*Тўловлар[[#This Row],[Поддон нархи]]</f>
        <v>0</v>
      </c>
      <c r="P587" s="30">
        <f>Тўловлар[[#This Row],[Жами сумма]]-Тўловлар[[#This Row],[Поддон пули]]</f>
        <v>0</v>
      </c>
      <c r="Q5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7" s="9" t="str">
        <f>IFERROR(INDEX(Мижозлар[Агент],MATCH($C587,Мижозлар[Расмий ном],0)),"")</f>
        <v/>
      </c>
    </row>
    <row r="588" spans="6:19" x14ac:dyDescent="0.2">
      <c r="F588" s="198"/>
      <c r="G588" s="9">
        <f>Тўловлар[[#This Row],[Поддон]]*$G$3</f>
        <v>0</v>
      </c>
      <c r="K588" s="9">
        <f>SUM(Тўловлар[[#This Row],[ПР-Сумма]]+Тўловлар[[#This Row],[Накд]]+Тўловлар[[#This Row],[Клик]]+Тўловлар[[#This Row],[Терминал]])</f>
        <v>0</v>
      </c>
      <c r="N588" s="30" cm="1">
        <f t="array" ref="N588">IFERROR(LOOKUP(2,1/((Товар!$D$4:$D$1110=Тўловлар[[#This Row],[Клиент]])*(Товар!$E$4:$E$1110&lt;=Тўловлар[[#This Row],[Дата]])),Товар!$L$4:$L$1110),Кўрсаткичлар!$B$4)</f>
        <v>0</v>
      </c>
      <c r="O588" s="30">
        <f>Тўловлар[[#This Row],[Поддон]]*Тўловлар[[#This Row],[Поддон нархи]]</f>
        <v>0</v>
      </c>
      <c r="P588" s="30">
        <f>Тўловлар[[#This Row],[Жами сумма]]-Тўловлар[[#This Row],[Поддон пули]]</f>
        <v>0</v>
      </c>
      <c r="Q5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8" s="9" t="str">
        <f>IFERROR(INDEX(Мижозлар[Агент],MATCH($C588,Мижозлар[Расмий ном],0)),"")</f>
        <v/>
      </c>
    </row>
    <row r="589" spans="6:19" x14ac:dyDescent="0.2">
      <c r="F589" s="198"/>
      <c r="G589" s="9">
        <f>Тўловлар[[#This Row],[Поддон]]*$G$3</f>
        <v>0</v>
      </c>
      <c r="K589" s="9">
        <f>SUM(Тўловлар[[#This Row],[ПР-Сумма]]+Тўловлар[[#This Row],[Накд]]+Тўловлар[[#This Row],[Клик]]+Тўловлар[[#This Row],[Терминал]])</f>
        <v>0</v>
      </c>
      <c r="N589" s="30" cm="1">
        <f t="array" ref="N589">IFERROR(LOOKUP(2,1/((Товар!$D$4:$D$1110=Тўловлар[[#This Row],[Клиент]])*(Товар!$E$4:$E$1110&lt;=Тўловлар[[#This Row],[Дата]])),Товар!$L$4:$L$1110),Кўрсаткичлар!$B$4)</f>
        <v>0</v>
      </c>
      <c r="O589" s="30">
        <f>Тўловлар[[#This Row],[Поддон]]*Тўловлар[[#This Row],[Поддон нархи]]</f>
        <v>0</v>
      </c>
      <c r="P589" s="30">
        <f>Тўловлар[[#This Row],[Жами сумма]]-Тўловлар[[#This Row],[Поддон пули]]</f>
        <v>0</v>
      </c>
      <c r="Q5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89" s="9" t="str">
        <f>IFERROR(INDEX(Мижозлар[Агент],MATCH($C589,Мижозлар[Расмий ном],0)),"")</f>
        <v/>
      </c>
    </row>
    <row r="590" spans="6:19" x14ac:dyDescent="0.2">
      <c r="F590" s="198"/>
      <c r="G590" s="9">
        <f>Тўловлар[[#This Row],[Поддон]]*$G$3</f>
        <v>0</v>
      </c>
      <c r="K590" s="9">
        <f>SUM(Тўловлар[[#This Row],[ПР-Сумма]]+Тўловлар[[#This Row],[Накд]]+Тўловлар[[#This Row],[Клик]]+Тўловлар[[#This Row],[Терминал]])</f>
        <v>0</v>
      </c>
      <c r="N590" s="30" cm="1">
        <f t="array" ref="N590">IFERROR(LOOKUP(2,1/((Товар!$D$4:$D$1110=Тўловлар[[#This Row],[Клиент]])*(Товар!$E$4:$E$1110&lt;=Тўловлар[[#This Row],[Дата]])),Товар!$L$4:$L$1110),Кўрсаткичлар!$B$4)</f>
        <v>0</v>
      </c>
      <c r="O590" s="30">
        <f>Тўловлар[[#This Row],[Поддон]]*Тўловлар[[#This Row],[Поддон нархи]]</f>
        <v>0</v>
      </c>
      <c r="P590" s="30">
        <f>Тўловлар[[#This Row],[Жами сумма]]-Тўловлар[[#This Row],[Поддон пули]]</f>
        <v>0</v>
      </c>
      <c r="Q5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0" s="9" t="str">
        <f>IFERROR(INDEX(Мижозлар[Агент],MATCH($C590,Мижозлар[Расмий ном],0)),"")</f>
        <v/>
      </c>
    </row>
    <row r="591" spans="6:19" x14ac:dyDescent="0.2">
      <c r="F591" s="198"/>
      <c r="G591" s="9">
        <f>Тўловлар[[#This Row],[Поддон]]*$G$3</f>
        <v>0</v>
      </c>
      <c r="K591" s="9">
        <f>SUM(Тўловлар[[#This Row],[ПР-Сумма]]+Тўловлар[[#This Row],[Накд]]+Тўловлар[[#This Row],[Клик]]+Тўловлар[[#This Row],[Терминал]])</f>
        <v>0</v>
      </c>
      <c r="N591" s="30" cm="1">
        <f t="array" ref="N591">IFERROR(LOOKUP(2,1/((Товар!$D$4:$D$1110=Тўловлар[[#This Row],[Клиент]])*(Товар!$E$4:$E$1110&lt;=Тўловлар[[#This Row],[Дата]])),Товар!$L$4:$L$1110),Кўрсаткичлар!$B$4)</f>
        <v>0</v>
      </c>
      <c r="O591" s="30">
        <f>Тўловлар[[#This Row],[Поддон]]*Тўловлар[[#This Row],[Поддон нархи]]</f>
        <v>0</v>
      </c>
      <c r="P591" s="30">
        <f>Тўловлар[[#This Row],[Жами сумма]]-Тўловлар[[#This Row],[Поддон пули]]</f>
        <v>0</v>
      </c>
      <c r="Q5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1" s="9" t="str">
        <f>IFERROR(INDEX(Мижозлар[Агент],MATCH($C591,Мижозлар[Расмий ном],0)),"")</f>
        <v/>
      </c>
    </row>
    <row r="592" spans="6:19" x14ac:dyDescent="0.2">
      <c r="F592" s="198"/>
      <c r="G592" s="9">
        <f>Тўловлар[[#This Row],[Поддон]]*$G$3</f>
        <v>0</v>
      </c>
      <c r="K592" s="9">
        <f>SUM(Тўловлар[[#This Row],[ПР-Сумма]]+Тўловлар[[#This Row],[Накд]]+Тўловлар[[#This Row],[Клик]]+Тўловлар[[#This Row],[Терминал]])</f>
        <v>0</v>
      </c>
      <c r="N592" s="30" cm="1">
        <f t="array" ref="N592">IFERROR(LOOKUP(2,1/((Товар!$D$4:$D$1110=Тўловлар[[#This Row],[Клиент]])*(Товар!$E$4:$E$1110&lt;=Тўловлар[[#This Row],[Дата]])),Товар!$L$4:$L$1110),Кўрсаткичлар!$B$4)</f>
        <v>0</v>
      </c>
      <c r="O592" s="30">
        <f>Тўловлар[[#This Row],[Поддон]]*Тўловлар[[#This Row],[Поддон нархи]]</f>
        <v>0</v>
      </c>
      <c r="P592" s="30">
        <f>Тўловлар[[#This Row],[Жами сумма]]-Тўловлар[[#This Row],[Поддон пули]]</f>
        <v>0</v>
      </c>
      <c r="Q5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2" s="9" t="str">
        <f>IFERROR(INDEX(Мижозлар[Агент],MATCH($C592,Мижозлар[Расмий ном],0)),"")</f>
        <v/>
      </c>
    </row>
    <row r="593" spans="6:19" x14ac:dyDescent="0.2">
      <c r="F593" s="198"/>
      <c r="G593" s="9">
        <f>Тўловлар[[#This Row],[Поддон]]*$G$3</f>
        <v>0</v>
      </c>
      <c r="K593" s="9">
        <f>SUM(Тўловлар[[#This Row],[ПР-Сумма]]+Тўловлар[[#This Row],[Накд]]+Тўловлар[[#This Row],[Клик]]+Тўловлар[[#This Row],[Терминал]])</f>
        <v>0</v>
      </c>
      <c r="N593" s="30" cm="1">
        <f t="array" ref="N593">IFERROR(LOOKUP(2,1/((Товар!$D$4:$D$1110=Тўловлар[[#This Row],[Клиент]])*(Товар!$E$4:$E$1110&lt;=Тўловлар[[#This Row],[Дата]])),Товар!$L$4:$L$1110),Кўрсаткичлар!$B$4)</f>
        <v>0</v>
      </c>
      <c r="O593" s="30">
        <f>Тўловлар[[#This Row],[Поддон]]*Тўловлар[[#This Row],[Поддон нархи]]</f>
        <v>0</v>
      </c>
      <c r="P593" s="30">
        <f>Тўловлар[[#This Row],[Жами сумма]]-Тўловлар[[#This Row],[Поддон пули]]</f>
        <v>0</v>
      </c>
      <c r="Q5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3" s="9" t="str">
        <f>IFERROR(INDEX(Мижозлар[Агент],MATCH($C593,Мижозлар[Расмий ном],0)),"")</f>
        <v/>
      </c>
    </row>
    <row r="594" spans="6:19" x14ac:dyDescent="0.2">
      <c r="F594" s="198"/>
      <c r="G594" s="9">
        <f>Тўловлар[[#This Row],[Поддон]]*$G$3</f>
        <v>0</v>
      </c>
      <c r="K594" s="9">
        <f>SUM(Тўловлар[[#This Row],[ПР-Сумма]]+Тўловлар[[#This Row],[Накд]]+Тўловлар[[#This Row],[Клик]]+Тўловлар[[#This Row],[Терминал]])</f>
        <v>0</v>
      </c>
      <c r="N594" s="30" cm="1">
        <f t="array" ref="N594">IFERROR(LOOKUP(2,1/((Товар!$D$4:$D$1110=Тўловлар[[#This Row],[Клиент]])*(Товар!$E$4:$E$1110&lt;=Тўловлар[[#This Row],[Дата]])),Товар!$L$4:$L$1110),Кўрсаткичлар!$B$4)</f>
        <v>0</v>
      </c>
      <c r="O594" s="30">
        <f>Тўловлар[[#This Row],[Поддон]]*Тўловлар[[#This Row],[Поддон нархи]]</f>
        <v>0</v>
      </c>
      <c r="P594" s="30">
        <f>Тўловлар[[#This Row],[Жами сумма]]-Тўловлар[[#This Row],[Поддон пули]]</f>
        <v>0</v>
      </c>
      <c r="Q5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4" s="9" t="str">
        <f>IFERROR(INDEX(Мижозлар[Агент],MATCH($C594,Мижозлар[Расмий ном],0)),"")</f>
        <v/>
      </c>
    </row>
    <row r="595" spans="6:19" x14ac:dyDescent="0.2">
      <c r="F595" s="198"/>
      <c r="G595" s="9">
        <f>Тўловлар[[#This Row],[Поддон]]*$G$3</f>
        <v>0</v>
      </c>
      <c r="K595" s="9">
        <f>SUM(Тўловлар[[#This Row],[ПР-Сумма]]+Тўловлар[[#This Row],[Накд]]+Тўловлар[[#This Row],[Клик]]+Тўловлар[[#This Row],[Терминал]])</f>
        <v>0</v>
      </c>
      <c r="N595" s="30" cm="1">
        <f t="array" ref="N595">IFERROR(LOOKUP(2,1/((Товар!$D$4:$D$1110=Тўловлар[[#This Row],[Клиент]])*(Товар!$E$4:$E$1110&lt;=Тўловлар[[#This Row],[Дата]])),Товар!$L$4:$L$1110),Кўрсаткичлар!$B$4)</f>
        <v>0</v>
      </c>
      <c r="O595" s="30">
        <f>Тўловлар[[#This Row],[Поддон]]*Тўловлар[[#This Row],[Поддон нархи]]</f>
        <v>0</v>
      </c>
      <c r="P595" s="30">
        <f>Тўловлар[[#This Row],[Жами сумма]]-Тўловлар[[#This Row],[Поддон пули]]</f>
        <v>0</v>
      </c>
      <c r="Q5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5" s="9" t="str">
        <f>IFERROR(INDEX(Мижозлар[Агент],MATCH($C595,Мижозлар[Расмий ном],0)),"")</f>
        <v/>
      </c>
    </row>
    <row r="596" spans="6:19" x14ac:dyDescent="0.2">
      <c r="F596" s="198"/>
      <c r="G596" s="9">
        <f>Тўловлар[[#This Row],[Поддон]]*$G$3</f>
        <v>0</v>
      </c>
      <c r="K596" s="9">
        <f>SUM(Тўловлар[[#This Row],[ПР-Сумма]]+Тўловлар[[#This Row],[Накд]]+Тўловлар[[#This Row],[Клик]]+Тўловлар[[#This Row],[Терминал]])</f>
        <v>0</v>
      </c>
      <c r="N596" s="30" cm="1">
        <f t="array" ref="N596">IFERROR(LOOKUP(2,1/((Товар!$D$4:$D$1110=Тўловлар[[#This Row],[Клиент]])*(Товар!$E$4:$E$1110&lt;=Тўловлар[[#This Row],[Дата]])),Товар!$L$4:$L$1110),Кўрсаткичлар!$B$4)</f>
        <v>0</v>
      </c>
      <c r="O596" s="30">
        <f>Тўловлар[[#This Row],[Поддон]]*Тўловлар[[#This Row],[Поддон нархи]]</f>
        <v>0</v>
      </c>
      <c r="P596" s="30">
        <f>Тўловлар[[#This Row],[Жами сумма]]-Тўловлар[[#This Row],[Поддон пули]]</f>
        <v>0</v>
      </c>
      <c r="Q5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6" s="9" t="str">
        <f>IFERROR(INDEX(Мижозлар[Агент],MATCH($C596,Мижозлар[Расмий ном],0)),"")</f>
        <v/>
      </c>
    </row>
    <row r="597" spans="6:19" x14ac:dyDescent="0.2">
      <c r="F597" s="198"/>
      <c r="G597" s="9">
        <f>Тўловлар[[#This Row],[Поддон]]*$G$3</f>
        <v>0</v>
      </c>
      <c r="K597" s="9">
        <f>SUM(Тўловлар[[#This Row],[ПР-Сумма]]+Тўловлар[[#This Row],[Накд]]+Тўловлар[[#This Row],[Клик]]+Тўловлар[[#This Row],[Терминал]])</f>
        <v>0</v>
      </c>
      <c r="N597" s="30" cm="1">
        <f t="array" ref="N597">IFERROR(LOOKUP(2,1/((Товар!$D$4:$D$1110=Тўловлар[[#This Row],[Клиент]])*(Товар!$E$4:$E$1110&lt;=Тўловлар[[#This Row],[Дата]])),Товар!$L$4:$L$1110),Кўрсаткичлар!$B$4)</f>
        <v>0</v>
      </c>
      <c r="O597" s="30">
        <f>Тўловлар[[#This Row],[Поддон]]*Тўловлар[[#This Row],[Поддон нархи]]</f>
        <v>0</v>
      </c>
      <c r="P597" s="30">
        <f>Тўловлар[[#This Row],[Жами сумма]]-Тўловлар[[#This Row],[Поддон пули]]</f>
        <v>0</v>
      </c>
      <c r="Q5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7" s="9" t="str">
        <f>IFERROR(INDEX(Мижозлар[Агент],MATCH($C597,Мижозлар[Расмий ном],0)),"")</f>
        <v/>
      </c>
    </row>
    <row r="598" spans="6:19" x14ac:dyDescent="0.2">
      <c r="F598" s="198"/>
      <c r="G598" s="9">
        <f>Тўловлар[[#This Row],[Поддон]]*$G$3</f>
        <v>0</v>
      </c>
      <c r="K598" s="9">
        <f>SUM(Тўловлар[[#This Row],[ПР-Сумма]]+Тўловлар[[#This Row],[Накд]]+Тўловлар[[#This Row],[Клик]]+Тўловлар[[#This Row],[Терминал]])</f>
        <v>0</v>
      </c>
      <c r="N598" s="30" cm="1">
        <f t="array" ref="N598">IFERROR(LOOKUP(2,1/((Товар!$D$4:$D$1110=Тўловлар[[#This Row],[Клиент]])*(Товар!$E$4:$E$1110&lt;=Тўловлар[[#This Row],[Дата]])),Товар!$L$4:$L$1110),Кўрсаткичлар!$B$4)</f>
        <v>0</v>
      </c>
      <c r="O598" s="30">
        <f>Тўловлар[[#This Row],[Поддон]]*Тўловлар[[#This Row],[Поддон нархи]]</f>
        <v>0</v>
      </c>
      <c r="P598" s="30">
        <f>Тўловлар[[#This Row],[Жами сумма]]-Тўловлар[[#This Row],[Поддон пули]]</f>
        <v>0</v>
      </c>
      <c r="Q5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8" s="9" t="str">
        <f>IFERROR(INDEX(Мижозлар[Агент],MATCH($C598,Мижозлар[Расмий ном],0)),"")</f>
        <v/>
      </c>
    </row>
    <row r="599" spans="6:19" x14ac:dyDescent="0.2">
      <c r="F599" s="198"/>
      <c r="G599" s="9">
        <f>Тўловлар[[#This Row],[Поддон]]*$G$3</f>
        <v>0</v>
      </c>
      <c r="K599" s="9">
        <f>SUM(Тўловлар[[#This Row],[ПР-Сумма]]+Тўловлар[[#This Row],[Накд]]+Тўловлар[[#This Row],[Клик]]+Тўловлар[[#This Row],[Терминал]])</f>
        <v>0</v>
      </c>
      <c r="N599" s="30" cm="1">
        <f t="array" ref="N599">IFERROR(LOOKUP(2,1/((Товар!$D$4:$D$1110=Тўловлар[[#This Row],[Клиент]])*(Товар!$E$4:$E$1110&lt;=Тўловлар[[#This Row],[Дата]])),Товар!$L$4:$L$1110),Кўрсаткичлар!$B$4)</f>
        <v>0</v>
      </c>
      <c r="O599" s="30">
        <f>Тўловлар[[#This Row],[Поддон]]*Тўловлар[[#This Row],[Поддон нархи]]</f>
        <v>0</v>
      </c>
      <c r="P599" s="30">
        <f>Тўловлар[[#This Row],[Жами сумма]]-Тўловлар[[#This Row],[Поддон пули]]</f>
        <v>0</v>
      </c>
      <c r="Q5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5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599" s="9" t="str">
        <f>IFERROR(INDEX(Мижозлар[Агент],MATCH($C599,Мижозлар[Расмий ном],0)),"")</f>
        <v/>
      </c>
    </row>
    <row r="600" spans="6:19" x14ac:dyDescent="0.2">
      <c r="F600" s="198"/>
      <c r="G600" s="9">
        <f>Тўловлар[[#This Row],[Поддон]]*$G$3</f>
        <v>0</v>
      </c>
      <c r="K600" s="9">
        <f>SUM(Тўловлар[[#This Row],[ПР-Сумма]]+Тўловлар[[#This Row],[Накд]]+Тўловлар[[#This Row],[Клик]]+Тўловлар[[#This Row],[Терминал]])</f>
        <v>0</v>
      </c>
      <c r="N600" s="30" cm="1">
        <f t="array" ref="N600">IFERROR(LOOKUP(2,1/((Товар!$D$4:$D$1110=Тўловлар[[#This Row],[Клиент]])*(Товар!$E$4:$E$1110&lt;=Тўловлар[[#This Row],[Дата]])),Товар!$L$4:$L$1110),Кўрсаткичлар!$B$4)</f>
        <v>0</v>
      </c>
      <c r="O600" s="30">
        <f>Тўловлар[[#This Row],[Поддон]]*Тўловлар[[#This Row],[Поддон нархи]]</f>
        <v>0</v>
      </c>
      <c r="P600" s="30">
        <f>Тўловлар[[#This Row],[Жами сумма]]-Тўловлар[[#This Row],[Поддон пули]]</f>
        <v>0</v>
      </c>
      <c r="Q6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0" s="9" t="str">
        <f>IFERROR(INDEX(Мижозлар[Агент],MATCH($C600,Мижозлар[Расмий ном],0)),"")</f>
        <v/>
      </c>
    </row>
    <row r="601" spans="6:19" x14ac:dyDescent="0.2">
      <c r="F601" s="198"/>
      <c r="G601" s="9">
        <f>Тўловлар[[#This Row],[Поддон]]*$G$3</f>
        <v>0</v>
      </c>
      <c r="K601" s="9">
        <f>SUM(Тўловлар[[#This Row],[ПР-Сумма]]+Тўловлар[[#This Row],[Накд]]+Тўловлар[[#This Row],[Клик]]+Тўловлар[[#This Row],[Терминал]])</f>
        <v>0</v>
      </c>
      <c r="N601" s="30" cm="1">
        <f t="array" ref="N601">IFERROR(LOOKUP(2,1/((Товар!$D$4:$D$1110=Тўловлар[[#This Row],[Клиент]])*(Товар!$E$4:$E$1110&lt;=Тўловлар[[#This Row],[Дата]])),Товар!$L$4:$L$1110),Кўрсаткичлар!$B$4)</f>
        <v>0</v>
      </c>
      <c r="O601" s="30">
        <f>Тўловлар[[#This Row],[Поддон]]*Тўловлар[[#This Row],[Поддон нархи]]</f>
        <v>0</v>
      </c>
      <c r="P601" s="30">
        <f>Тўловлар[[#This Row],[Жами сумма]]-Тўловлар[[#This Row],[Поддон пули]]</f>
        <v>0</v>
      </c>
      <c r="Q6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1" s="9" t="str">
        <f>IFERROR(INDEX(Мижозлар[Агент],MATCH($C601,Мижозлар[Расмий ном],0)),"")</f>
        <v/>
      </c>
    </row>
    <row r="602" spans="6:19" x14ac:dyDescent="0.2">
      <c r="F602" s="198"/>
      <c r="G602" s="9">
        <f>Тўловлар[[#This Row],[Поддон]]*$G$3</f>
        <v>0</v>
      </c>
      <c r="K602" s="9">
        <f>SUM(Тўловлар[[#This Row],[ПР-Сумма]]+Тўловлар[[#This Row],[Накд]]+Тўловлар[[#This Row],[Клик]]+Тўловлар[[#This Row],[Терминал]])</f>
        <v>0</v>
      </c>
      <c r="N602" s="30" cm="1">
        <f t="array" ref="N602">IFERROR(LOOKUP(2,1/((Товар!$D$4:$D$1110=Тўловлар[[#This Row],[Клиент]])*(Товар!$E$4:$E$1110&lt;=Тўловлар[[#This Row],[Дата]])),Товар!$L$4:$L$1110),Кўрсаткичлар!$B$4)</f>
        <v>0</v>
      </c>
      <c r="O602" s="30">
        <f>Тўловлар[[#This Row],[Поддон]]*Тўловлар[[#This Row],[Поддон нархи]]</f>
        <v>0</v>
      </c>
      <c r="P602" s="30">
        <f>Тўловлар[[#This Row],[Жами сумма]]-Тўловлар[[#This Row],[Поддон пули]]</f>
        <v>0</v>
      </c>
      <c r="Q6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2" s="9" t="str">
        <f>IFERROR(INDEX(Мижозлар[Агент],MATCH($C602,Мижозлар[Расмий ном],0)),"")</f>
        <v/>
      </c>
    </row>
    <row r="603" spans="6:19" x14ac:dyDescent="0.2">
      <c r="F603" s="198"/>
      <c r="G603" s="9">
        <f>Тўловлар[[#This Row],[Поддон]]*$G$3</f>
        <v>0</v>
      </c>
      <c r="K603" s="9">
        <f>SUM(Тўловлар[[#This Row],[ПР-Сумма]]+Тўловлар[[#This Row],[Накд]]+Тўловлар[[#This Row],[Клик]]+Тўловлар[[#This Row],[Терминал]])</f>
        <v>0</v>
      </c>
      <c r="N603" s="30" cm="1">
        <f t="array" ref="N603">IFERROR(LOOKUP(2,1/((Товар!$D$4:$D$1110=Тўловлар[[#This Row],[Клиент]])*(Товар!$E$4:$E$1110&lt;=Тўловлар[[#This Row],[Дата]])),Товар!$L$4:$L$1110),Кўрсаткичлар!$B$4)</f>
        <v>0</v>
      </c>
      <c r="O603" s="30">
        <f>Тўловлар[[#This Row],[Поддон]]*Тўловлар[[#This Row],[Поддон нархи]]</f>
        <v>0</v>
      </c>
      <c r="P603" s="30">
        <f>Тўловлар[[#This Row],[Жами сумма]]-Тўловлар[[#This Row],[Поддон пули]]</f>
        <v>0</v>
      </c>
      <c r="Q6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3" s="9" t="str">
        <f>IFERROR(INDEX(Мижозлар[Агент],MATCH($C603,Мижозлар[Расмий ном],0)),"")</f>
        <v/>
      </c>
    </row>
    <row r="604" spans="6:19" x14ac:dyDescent="0.2">
      <c r="F604" s="198"/>
      <c r="G604" s="9">
        <f>Тўловлар[[#This Row],[Поддон]]*$G$3</f>
        <v>0</v>
      </c>
      <c r="K604" s="9">
        <f>SUM(Тўловлар[[#This Row],[ПР-Сумма]]+Тўловлар[[#This Row],[Накд]]+Тўловлар[[#This Row],[Клик]]+Тўловлар[[#This Row],[Терминал]])</f>
        <v>0</v>
      </c>
      <c r="N604" s="30" cm="1">
        <f t="array" ref="N604">IFERROR(LOOKUP(2,1/((Товар!$D$4:$D$1110=Тўловлар[[#This Row],[Клиент]])*(Товар!$E$4:$E$1110&lt;=Тўловлар[[#This Row],[Дата]])),Товар!$L$4:$L$1110),Кўрсаткичлар!$B$4)</f>
        <v>0</v>
      </c>
      <c r="O604" s="30">
        <f>Тўловлар[[#This Row],[Поддон]]*Тўловлар[[#This Row],[Поддон нархи]]</f>
        <v>0</v>
      </c>
      <c r="P604" s="30">
        <f>Тўловлар[[#This Row],[Жами сумма]]-Тўловлар[[#This Row],[Поддон пули]]</f>
        <v>0</v>
      </c>
      <c r="Q6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4" s="9" t="str">
        <f>IFERROR(INDEX(Мижозлар[Агент],MATCH($C604,Мижозлар[Расмий ном],0)),"")</f>
        <v/>
      </c>
    </row>
    <row r="605" spans="6:19" x14ac:dyDescent="0.2">
      <c r="F605" s="198"/>
      <c r="G605" s="9">
        <f>Тўловлар[[#This Row],[Поддон]]*$G$3</f>
        <v>0</v>
      </c>
      <c r="K605" s="9">
        <f>SUM(Тўловлар[[#This Row],[ПР-Сумма]]+Тўловлар[[#This Row],[Накд]]+Тўловлар[[#This Row],[Клик]]+Тўловлар[[#This Row],[Терминал]])</f>
        <v>0</v>
      </c>
      <c r="N605" s="30" cm="1">
        <f t="array" ref="N605">IFERROR(LOOKUP(2,1/((Товар!$D$4:$D$1110=Тўловлар[[#This Row],[Клиент]])*(Товар!$E$4:$E$1110&lt;=Тўловлар[[#This Row],[Дата]])),Товар!$L$4:$L$1110),Кўрсаткичлар!$B$4)</f>
        <v>0</v>
      </c>
      <c r="O605" s="30">
        <f>Тўловлар[[#This Row],[Поддон]]*Тўловлар[[#This Row],[Поддон нархи]]</f>
        <v>0</v>
      </c>
      <c r="P605" s="30">
        <f>Тўловлар[[#This Row],[Жами сумма]]-Тўловлар[[#This Row],[Поддон пули]]</f>
        <v>0</v>
      </c>
      <c r="Q6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5" s="9" t="str">
        <f>IFERROR(INDEX(Мижозлар[Агент],MATCH($C605,Мижозлар[Расмий ном],0)),"")</f>
        <v/>
      </c>
    </row>
    <row r="606" spans="6:19" x14ac:dyDescent="0.2">
      <c r="F606" s="198"/>
      <c r="G606" s="9">
        <f>Тўловлар[[#This Row],[Поддон]]*$G$3</f>
        <v>0</v>
      </c>
      <c r="K606" s="9">
        <f>SUM(Тўловлар[[#This Row],[ПР-Сумма]]+Тўловлар[[#This Row],[Накд]]+Тўловлар[[#This Row],[Клик]]+Тўловлар[[#This Row],[Терминал]])</f>
        <v>0</v>
      </c>
      <c r="N606" s="30" cm="1">
        <f t="array" ref="N606">IFERROR(LOOKUP(2,1/((Товар!$D$4:$D$1110=Тўловлар[[#This Row],[Клиент]])*(Товар!$E$4:$E$1110&lt;=Тўловлар[[#This Row],[Дата]])),Товар!$L$4:$L$1110),Кўрсаткичлар!$B$4)</f>
        <v>0</v>
      </c>
      <c r="O606" s="30">
        <f>Тўловлар[[#This Row],[Поддон]]*Тўловлар[[#This Row],[Поддон нархи]]</f>
        <v>0</v>
      </c>
      <c r="P606" s="30">
        <f>Тўловлар[[#This Row],[Жами сумма]]-Тўловлар[[#This Row],[Поддон пули]]</f>
        <v>0</v>
      </c>
      <c r="Q6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6" s="9" t="str">
        <f>IFERROR(INDEX(Мижозлар[Агент],MATCH($C606,Мижозлар[Расмий ном],0)),"")</f>
        <v/>
      </c>
    </row>
    <row r="607" spans="6:19" x14ac:dyDescent="0.2">
      <c r="F607" s="198"/>
      <c r="G607" s="9">
        <f>Тўловлар[[#This Row],[Поддон]]*$G$3</f>
        <v>0</v>
      </c>
      <c r="K607" s="9">
        <f>SUM(Тўловлар[[#This Row],[ПР-Сумма]]+Тўловлар[[#This Row],[Накд]]+Тўловлар[[#This Row],[Клик]]+Тўловлар[[#This Row],[Терминал]])</f>
        <v>0</v>
      </c>
      <c r="N607" s="30" cm="1">
        <f t="array" ref="N607">IFERROR(LOOKUP(2,1/((Товар!$D$4:$D$1110=Тўловлар[[#This Row],[Клиент]])*(Товар!$E$4:$E$1110&lt;=Тўловлар[[#This Row],[Дата]])),Товар!$L$4:$L$1110),Кўрсаткичлар!$B$4)</f>
        <v>0</v>
      </c>
      <c r="O607" s="30">
        <f>Тўловлар[[#This Row],[Поддон]]*Тўловлар[[#This Row],[Поддон нархи]]</f>
        <v>0</v>
      </c>
      <c r="P607" s="30">
        <f>Тўловлар[[#This Row],[Жами сумма]]-Тўловлар[[#This Row],[Поддон пули]]</f>
        <v>0</v>
      </c>
      <c r="Q6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7" s="9" t="str">
        <f>IFERROR(INDEX(Мижозлар[Агент],MATCH($C607,Мижозлар[Расмий ном],0)),"")</f>
        <v/>
      </c>
    </row>
    <row r="608" spans="6:19" x14ac:dyDescent="0.2">
      <c r="F608" s="198"/>
      <c r="G608" s="9">
        <f>Тўловлар[[#This Row],[Поддон]]*$G$3</f>
        <v>0</v>
      </c>
      <c r="K608" s="9">
        <f>SUM(Тўловлар[[#This Row],[ПР-Сумма]]+Тўловлар[[#This Row],[Накд]]+Тўловлар[[#This Row],[Клик]]+Тўловлар[[#This Row],[Терминал]])</f>
        <v>0</v>
      </c>
      <c r="N608" s="30" cm="1">
        <f t="array" ref="N608">IFERROR(LOOKUP(2,1/((Товар!$D$4:$D$1110=Тўловлар[[#This Row],[Клиент]])*(Товар!$E$4:$E$1110&lt;=Тўловлар[[#This Row],[Дата]])),Товар!$L$4:$L$1110),Кўрсаткичлар!$B$4)</f>
        <v>0</v>
      </c>
      <c r="O608" s="30">
        <f>Тўловлар[[#This Row],[Поддон]]*Тўловлар[[#This Row],[Поддон нархи]]</f>
        <v>0</v>
      </c>
      <c r="P608" s="30">
        <f>Тўловлар[[#This Row],[Жами сумма]]-Тўловлар[[#This Row],[Поддон пули]]</f>
        <v>0</v>
      </c>
      <c r="Q6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8" s="9" t="str">
        <f>IFERROR(INDEX(Мижозлар[Агент],MATCH($C608,Мижозлар[Расмий ном],0)),"")</f>
        <v/>
      </c>
    </row>
    <row r="609" spans="6:19" x14ac:dyDescent="0.2">
      <c r="F609" s="198"/>
      <c r="G609" s="9">
        <f>Тўловлар[[#This Row],[Поддон]]*$G$3</f>
        <v>0</v>
      </c>
      <c r="K609" s="9">
        <f>SUM(Тўловлар[[#This Row],[ПР-Сумма]]+Тўловлар[[#This Row],[Накд]]+Тўловлар[[#This Row],[Клик]]+Тўловлар[[#This Row],[Терминал]])</f>
        <v>0</v>
      </c>
      <c r="N609" s="30" cm="1">
        <f t="array" ref="N609">IFERROR(LOOKUP(2,1/((Товар!$D$4:$D$1110=Тўловлар[[#This Row],[Клиент]])*(Товар!$E$4:$E$1110&lt;=Тўловлар[[#This Row],[Дата]])),Товар!$L$4:$L$1110),Кўрсаткичлар!$B$4)</f>
        <v>0</v>
      </c>
      <c r="O609" s="30">
        <f>Тўловлар[[#This Row],[Поддон]]*Тўловлар[[#This Row],[Поддон нархи]]</f>
        <v>0</v>
      </c>
      <c r="P609" s="30">
        <f>Тўловлар[[#This Row],[Жами сумма]]-Тўловлар[[#This Row],[Поддон пули]]</f>
        <v>0</v>
      </c>
      <c r="Q6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09" s="9" t="str">
        <f>IFERROR(INDEX(Мижозлар[Агент],MATCH($C609,Мижозлар[Расмий ном],0)),"")</f>
        <v/>
      </c>
    </row>
    <row r="610" spans="6:19" x14ac:dyDescent="0.2">
      <c r="F610" s="198"/>
      <c r="G610" s="9">
        <f>Тўловлар[[#This Row],[Поддон]]*$G$3</f>
        <v>0</v>
      </c>
      <c r="K610" s="9">
        <f>SUM(Тўловлар[[#This Row],[ПР-Сумма]]+Тўловлар[[#This Row],[Накд]]+Тўловлар[[#This Row],[Клик]]+Тўловлар[[#This Row],[Терминал]])</f>
        <v>0</v>
      </c>
      <c r="N610" s="30" cm="1">
        <f t="array" ref="N610">IFERROR(LOOKUP(2,1/((Товар!$D$4:$D$1110=Тўловлар[[#This Row],[Клиент]])*(Товар!$E$4:$E$1110&lt;=Тўловлар[[#This Row],[Дата]])),Товар!$L$4:$L$1110),Кўрсаткичлар!$B$4)</f>
        <v>0</v>
      </c>
      <c r="O610" s="30">
        <f>Тўловлар[[#This Row],[Поддон]]*Тўловлар[[#This Row],[Поддон нархи]]</f>
        <v>0</v>
      </c>
      <c r="P610" s="30">
        <f>Тўловлар[[#This Row],[Жами сумма]]-Тўловлар[[#This Row],[Поддон пули]]</f>
        <v>0</v>
      </c>
      <c r="Q6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0" s="9" t="str">
        <f>IFERROR(INDEX(Мижозлар[Агент],MATCH($C610,Мижозлар[Расмий ном],0)),"")</f>
        <v/>
      </c>
    </row>
    <row r="611" spans="6:19" x14ac:dyDescent="0.2">
      <c r="F611" s="198"/>
      <c r="G611" s="9">
        <f>Тўловлар[[#This Row],[Поддон]]*$G$3</f>
        <v>0</v>
      </c>
      <c r="K611" s="9">
        <f>SUM(Тўловлар[[#This Row],[ПР-Сумма]]+Тўловлар[[#This Row],[Накд]]+Тўловлар[[#This Row],[Клик]]+Тўловлар[[#This Row],[Терминал]])</f>
        <v>0</v>
      </c>
      <c r="N611" s="30" cm="1">
        <f t="array" ref="N611">IFERROR(LOOKUP(2,1/((Товар!$D$4:$D$1110=Тўловлар[[#This Row],[Клиент]])*(Товар!$E$4:$E$1110&lt;=Тўловлар[[#This Row],[Дата]])),Товар!$L$4:$L$1110),Кўрсаткичлар!$B$4)</f>
        <v>0</v>
      </c>
      <c r="O611" s="30">
        <f>Тўловлар[[#This Row],[Поддон]]*Тўловлар[[#This Row],[Поддон нархи]]</f>
        <v>0</v>
      </c>
      <c r="P611" s="30">
        <f>Тўловлар[[#This Row],[Жами сумма]]-Тўловлар[[#This Row],[Поддон пули]]</f>
        <v>0</v>
      </c>
      <c r="Q6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1" s="9" t="str">
        <f>IFERROR(INDEX(Мижозлар[Агент],MATCH($C611,Мижозлар[Расмий ном],0)),"")</f>
        <v/>
      </c>
    </row>
    <row r="612" spans="6:19" x14ac:dyDescent="0.2">
      <c r="F612" s="198"/>
      <c r="G612" s="9">
        <f>Тўловлар[[#This Row],[Поддон]]*$G$3</f>
        <v>0</v>
      </c>
      <c r="K612" s="9">
        <f>SUM(Тўловлар[[#This Row],[ПР-Сумма]]+Тўловлар[[#This Row],[Накд]]+Тўловлар[[#This Row],[Клик]]+Тўловлар[[#This Row],[Терминал]])</f>
        <v>0</v>
      </c>
      <c r="N612" s="30" cm="1">
        <f t="array" ref="N612">IFERROR(LOOKUP(2,1/((Товар!$D$4:$D$1110=Тўловлар[[#This Row],[Клиент]])*(Товар!$E$4:$E$1110&lt;=Тўловлар[[#This Row],[Дата]])),Товар!$L$4:$L$1110),Кўрсаткичлар!$B$4)</f>
        <v>0</v>
      </c>
      <c r="O612" s="30">
        <f>Тўловлар[[#This Row],[Поддон]]*Тўловлар[[#This Row],[Поддон нархи]]</f>
        <v>0</v>
      </c>
      <c r="P612" s="30">
        <f>Тўловлар[[#This Row],[Жами сумма]]-Тўловлар[[#This Row],[Поддон пули]]</f>
        <v>0</v>
      </c>
      <c r="Q6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2" s="9" t="str">
        <f>IFERROR(INDEX(Мижозлар[Агент],MATCH($C612,Мижозлар[Расмий ном],0)),"")</f>
        <v/>
      </c>
    </row>
    <row r="613" spans="6:19" x14ac:dyDescent="0.2">
      <c r="F613" s="198"/>
      <c r="G613" s="9">
        <f>Тўловлар[[#This Row],[Поддон]]*$G$3</f>
        <v>0</v>
      </c>
      <c r="K613" s="9">
        <f>SUM(Тўловлар[[#This Row],[ПР-Сумма]]+Тўловлар[[#This Row],[Накд]]+Тўловлар[[#This Row],[Клик]]+Тўловлар[[#This Row],[Терминал]])</f>
        <v>0</v>
      </c>
      <c r="N613" s="30" cm="1">
        <f t="array" ref="N613">IFERROR(LOOKUP(2,1/((Товар!$D$4:$D$1110=Тўловлар[[#This Row],[Клиент]])*(Товар!$E$4:$E$1110&lt;=Тўловлар[[#This Row],[Дата]])),Товар!$L$4:$L$1110),Кўрсаткичлар!$B$4)</f>
        <v>0</v>
      </c>
      <c r="O613" s="30">
        <f>Тўловлар[[#This Row],[Поддон]]*Тўловлар[[#This Row],[Поддон нархи]]</f>
        <v>0</v>
      </c>
      <c r="P613" s="30">
        <f>Тўловлар[[#This Row],[Жами сумма]]-Тўловлар[[#This Row],[Поддон пули]]</f>
        <v>0</v>
      </c>
      <c r="Q6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3" s="9" t="str">
        <f>IFERROR(INDEX(Мижозлар[Агент],MATCH($C613,Мижозлар[Расмий ном],0)),"")</f>
        <v/>
      </c>
    </row>
    <row r="614" spans="6:19" x14ac:dyDescent="0.2">
      <c r="F614" s="198"/>
      <c r="G614" s="9">
        <f>Тўловлар[[#This Row],[Поддон]]*$G$3</f>
        <v>0</v>
      </c>
      <c r="K614" s="9">
        <f>SUM(Тўловлар[[#This Row],[ПР-Сумма]]+Тўловлар[[#This Row],[Накд]]+Тўловлар[[#This Row],[Клик]]+Тўловлар[[#This Row],[Терминал]])</f>
        <v>0</v>
      </c>
      <c r="N614" s="30" cm="1">
        <f t="array" ref="N614">IFERROR(LOOKUP(2,1/((Товар!$D$4:$D$1110=Тўловлар[[#This Row],[Клиент]])*(Товар!$E$4:$E$1110&lt;=Тўловлар[[#This Row],[Дата]])),Товар!$L$4:$L$1110),Кўрсаткичлар!$B$4)</f>
        <v>0</v>
      </c>
      <c r="O614" s="30">
        <f>Тўловлар[[#This Row],[Поддон]]*Тўловлар[[#This Row],[Поддон нархи]]</f>
        <v>0</v>
      </c>
      <c r="P614" s="30">
        <f>Тўловлар[[#This Row],[Жами сумма]]-Тўловлар[[#This Row],[Поддон пули]]</f>
        <v>0</v>
      </c>
      <c r="Q6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4" s="9" t="str">
        <f>IFERROR(INDEX(Мижозлар[Агент],MATCH($C614,Мижозлар[Расмий ном],0)),"")</f>
        <v/>
      </c>
    </row>
    <row r="615" spans="6:19" x14ac:dyDescent="0.2">
      <c r="F615" s="198"/>
      <c r="G615" s="9">
        <f>Тўловлар[[#This Row],[Поддон]]*$G$3</f>
        <v>0</v>
      </c>
      <c r="K615" s="9">
        <f>SUM(Тўловлар[[#This Row],[ПР-Сумма]]+Тўловлар[[#This Row],[Накд]]+Тўловлар[[#This Row],[Клик]]+Тўловлар[[#This Row],[Терминал]])</f>
        <v>0</v>
      </c>
      <c r="N615" s="30" cm="1">
        <f t="array" ref="N615">IFERROR(LOOKUP(2,1/((Товар!$D$4:$D$1110=Тўловлар[[#This Row],[Клиент]])*(Товар!$E$4:$E$1110&lt;=Тўловлар[[#This Row],[Дата]])),Товар!$L$4:$L$1110),Кўрсаткичлар!$B$4)</f>
        <v>0</v>
      </c>
      <c r="O615" s="30">
        <f>Тўловлар[[#This Row],[Поддон]]*Тўловлар[[#This Row],[Поддон нархи]]</f>
        <v>0</v>
      </c>
      <c r="P615" s="30">
        <f>Тўловлар[[#This Row],[Жами сумма]]-Тўловлар[[#This Row],[Поддон пули]]</f>
        <v>0</v>
      </c>
      <c r="Q6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5" s="9" t="str">
        <f>IFERROR(INDEX(Мижозлар[Агент],MATCH($C615,Мижозлар[Расмий ном],0)),"")</f>
        <v/>
      </c>
    </row>
    <row r="616" spans="6:19" x14ac:dyDescent="0.2">
      <c r="F616" s="198"/>
      <c r="G616" s="9">
        <f>Тўловлар[[#This Row],[Поддон]]*$G$3</f>
        <v>0</v>
      </c>
      <c r="K616" s="9">
        <f>SUM(Тўловлар[[#This Row],[ПР-Сумма]]+Тўловлар[[#This Row],[Накд]]+Тўловлар[[#This Row],[Клик]]+Тўловлар[[#This Row],[Терминал]])</f>
        <v>0</v>
      </c>
      <c r="N616" s="30" cm="1">
        <f t="array" ref="N616">IFERROR(LOOKUP(2,1/((Товар!$D$4:$D$1110=Тўловлар[[#This Row],[Клиент]])*(Товар!$E$4:$E$1110&lt;=Тўловлар[[#This Row],[Дата]])),Товар!$L$4:$L$1110),Кўрсаткичлар!$B$4)</f>
        <v>0</v>
      </c>
      <c r="O616" s="30">
        <f>Тўловлар[[#This Row],[Поддон]]*Тўловлар[[#This Row],[Поддон нархи]]</f>
        <v>0</v>
      </c>
      <c r="P616" s="30">
        <f>Тўловлар[[#This Row],[Жами сумма]]-Тўловлар[[#This Row],[Поддон пули]]</f>
        <v>0</v>
      </c>
      <c r="Q6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6" s="9" t="str">
        <f>IFERROR(INDEX(Мижозлар[Агент],MATCH($C616,Мижозлар[Расмий ном],0)),"")</f>
        <v/>
      </c>
    </row>
    <row r="617" spans="6:19" x14ac:dyDescent="0.2">
      <c r="F617" s="198"/>
      <c r="G617" s="9">
        <f>Тўловлар[[#This Row],[Поддон]]*$G$3</f>
        <v>0</v>
      </c>
      <c r="K617" s="9">
        <f>SUM(Тўловлар[[#This Row],[ПР-Сумма]]+Тўловлар[[#This Row],[Накд]]+Тўловлар[[#This Row],[Клик]]+Тўловлар[[#This Row],[Терминал]])</f>
        <v>0</v>
      </c>
      <c r="N617" s="30" cm="1">
        <f t="array" ref="N617">IFERROR(LOOKUP(2,1/((Товар!$D$4:$D$1110=Тўловлар[[#This Row],[Клиент]])*(Товар!$E$4:$E$1110&lt;=Тўловлар[[#This Row],[Дата]])),Товар!$L$4:$L$1110),Кўрсаткичлар!$B$4)</f>
        <v>0</v>
      </c>
      <c r="O617" s="30">
        <f>Тўловлар[[#This Row],[Поддон]]*Тўловлар[[#This Row],[Поддон нархи]]</f>
        <v>0</v>
      </c>
      <c r="P617" s="30">
        <f>Тўловлар[[#This Row],[Жами сумма]]-Тўловлар[[#This Row],[Поддон пули]]</f>
        <v>0</v>
      </c>
      <c r="Q6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7" s="9" t="str">
        <f>IFERROR(INDEX(Мижозлар[Агент],MATCH($C617,Мижозлар[Расмий ном],0)),"")</f>
        <v/>
      </c>
    </row>
    <row r="618" spans="6:19" x14ac:dyDescent="0.2">
      <c r="F618" s="198"/>
      <c r="G618" s="9">
        <f>Тўловлар[[#This Row],[Поддон]]*$G$3</f>
        <v>0</v>
      </c>
      <c r="K618" s="9">
        <f>SUM(Тўловлар[[#This Row],[ПР-Сумма]]+Тўловлар[[#This Row],[Накд]]+Тўловлар[[#This Row],[Клик]]+Тўловлар[[#This Row],[Терминал]])</f>
        <v>0</v>
      </c>
      <c r="N618" s="30" cm="1">
        <f t="array" ref="N618">IFERROR(LOOKUP(2,1/((Товар!$D$4:$D$1110=Тўловлар[[#This Row],[Клиент]])*(Товар!$E$4:$E$1110&lt;=Тўловлар[[#This Row],[Дата]])),Товар!$L$4:$L$1110),Кўрсаткичлар!$B$4)</f>
        <v>0</v>
      </c>
      <c r="O618" s="30">
        <f>Тўловлар[[#This Row],[Поддон]]*Тўловлар[[#This Row],[Поддон нархи]]</f>
        <v>0</v>
      </c>
      <c r="P618" s="30">
        <f>Тўловлар[[#This Row],[Жами сумма]]-Тўловлар[[#This Row],[Поддон пули]]</f>
        <v>0</v>
      </c>
      <c r="Q6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8" s="9" t="str">
        <f>IFERROR(INDEX(Мижозлар[Агент],MATCH($C618,Мижозлар[Расмий ном],0)),"")</f>
        <v/>
      </c>
    </row>
    <row r="619" spans="6:19" x14ac:dyDescent="0.2">
      <c r="F619" s="198"/>
      <c r="G619" s="9">
        <f>Тўловлар[[#This Row],[Поддон]]*$G$3</f>
        <v>0</v>
      </c>
      <c r="K619" s="9">
        <f>SUM(Тўловлар[[#This Row],[ПР-Сумма]]+Тўловлар[[#This Row],[Накд]]+Тўловлар[[#This Row],[Клик]]+Тўловлар[[#This Row],[Терминал]])</f>
        <v>0</v>
      </c>
      <c r="N619" s="30" cm="1">
        <f t="array" ref="N619">IFERROR(LOOKUP(2,1/((Товар!$D$4:$D$1110=Тўловлар[[#This Row],[Клиент]])*(Товар!$E$4:$E$1110&lt;=Тўловлар[[#This Row],[Дата]])),Товар!$L$4:$L$1110),Кўрсаткичлар!$B$4)</f>
        <v>0</v>
      </c>
      <c r="O619" s="30">
        <f>Тўловлар[[#This Row],[Поддон]]*Тўловлар[[#This Row],[Поддон нархи]]</f>
        <v>0</v>
      </c>
      <c r="P619" s="30">
        <f>Тўловлар[[#This Row],[Жами сумма]]-Тўловлар[[#This Row],[Поддон пули]]</f>
        <v>0</v>
      </c>
      <c r="Q6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19" s="9" t="str">
        <f>IFERROR(INDEX(Мижозлар[Агент],MATCH($C619,Мижозлар[Расмий ном],0)),"")</f>
        <v/>
      </c>
    </row>
    <row r="620" spans="6:19" x14ac:dyDescent="0.2">
      <c r="F620" s="198"/>
      <c r="G620" s="9">
        <f>Тўловлар[[#This Row],[Поддон]]*$G$3</f>
        <v>0</v>
      </c>
      <c r="K620" s="9">
        <f>SUM(Тўловлар[[#This Row],[ПР-Сумма]]+Тўловлар[[#This Row],[Накд]]+Тўловлар[[#This Row],[Клик]]+Тўловлар[[#This Row],[Терминал]])</f>
        <v>0</v>
      </c>
      <c r="N620" s="30" cm="1">
        <f t="array" ref="N620">IFERROR(LOOKUP(2,1/((Товар!$D$4:$D$1110=Тўловлар[[#This Row],[Клиент]])*(Товар!$E$4:$E$1110&lt;=Тўловлар[[#This Row],[Дата]])),Товар!$L$4:$L$1110),Кўрсаткичлар!$B$4)</f>
        <v>0</v>
      </c>
      <c r="O620" s="30">
        <f>Тўловлар[[#This Row],[Поддон]]*Тўловлар[[#This Row],[Поддон нархи]]</f>
        <v>0</v>
      </c>
      <c r="P620" s="30">
        <f>Тўловлар[[#This Row],[Жами сумма]]-Тўловлар[[#This Row],[Поддон пули]]</f>
        <v>0</v>
      </c>
      <c r="Q6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0" s="9" t="str">
        <f>IFERROR(INDEX(Мижозлар[Агент],MATCH($C620,Мижозлар[Расмий ном],0)),"")</f>
        <v/>
      </c>
    </row>
    <row r="621" spans="6:19" x14ac:dyDescent="0.2">
      <c r="F621" s="198"/>
      <c r="G621" s="9">
        <f>Тўловлар[[#This Row],[Поддон]]*$G$3</f>
        <v>0</v>
      </c>
      <c r="K621" s="9">
        <f>SUM(Тўловлар[[#This Row],[ПР-Сумма]]+Тўловлар[[#This Row],[Накд]]+Тўловлар[[#This Row],[Клик]]+Тўловлар[[#This Row],[Терминал]])</f>
        <v>0</v>
      </c>
      <c r="N621" s="30" cm="1">
        <f t="array" ref="N621">IFERROR(LOOKUP(2,1/((Товар!$D$4:$D$1110=Тўловлар[[#This Row],[Клиент]])*(Товар!$E$4:$E$1110&lt;=Тўловлар[[#This Row],[Дата]])),Товар!$L$4:$L$1110),Кўрсаткичлар!$B$4)</f>
        <v>0</v>
      </c>
      <c r="O621" s="30">
        <f>Тўловлар[[#This Row],[Поддон]]*Тўловлар[[#This Row],[Поддон нархи]]</f>
        <v>0</v>
      </c>
      <c r="P621" s="30">
        <f>Тўловлар[[#This Row],[Жами сумма]]-Тўловлар[[#This Row],[Поддон пули]]</f>
        <v>0</v>
      </c>
      <c r="Q6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1" s="9" t="str">
        <f>IFERROR(INDEX(Мижозлар[Агент],MATCH($C621,Мижозлар[Расмий ном],0)),"")</f>
        <v/>
      </c>
    </row>
    <row r="622" spans="6:19" x14ac:dyDescent="0.2">
      <c r="F622" s="198"/>
      <c r="G622" s="9">
        <f>Тўловлар[[#This Row],[Поддон]]*$G$3</f>
        <v>0</v>
      </c>
      <c r="K622" s="9">
        <f>SUM(Тўловлар[[#This Row],[ПР-Сумма]]+Тўловлар[[#This Row],[Накд]]+Тўловлар[[#This Row],[Клик]]+Тўловлар[[#This Row],[Терминал]])</f>
        <v>0</v>
      </c>
      <c r="N622" s="30" cm="1">
        <f t="array" ref="N622">IFERROR(LOOKUP(2,1/((Товар!$D$4:$D$1110=Тўловлар[[#This Row],[Клиент]])*(Товар!$E$4:$E$1110&lt;=Тўловлар[[#This Row],[Дата]])),Товар!$L$4:$L$1110),Кўрсаткичлар!$B$4)</f>
        <v>0</v>
      </c>
      <c r="O622" s="30">
        <f>Тўловлар[[#This Row],[Поддон]]*Тўловлар[[#This Row],[Поддон нархи]]</f>
        <v>0</v>
      </c>
      <c r="P622" s="30">
        <f>Тўловлар[[#This Row],[Жами сумма]]-Тўловлар[[#This Row],[Поддон пули]]</f>
        <v>0</v>
      </c>
      <c r="Q6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2" s="9" t="str">
        <f>IFERROR(INDEX(Мижозлар[Агент],MATCH($C622,Мижозлар[Расмий ном],0)),"")</f>
        <v/>
      </c>
    </row>
    <row r="623" spans="6:19" x14ac:dyDescent="0.2">
      <c r="F623" s="198"/>
      <c r="G623" s="9">
        <f>Тўловлар[[#This Row],[Поддон]]*$G$3</f>
        <v>0</v>
      </c>
      <c r="K623" s="9">
        <f>SUM(Тўловлар[[#This Row],[ПР-Сумма]]+Тўловлар[[#This Row],[Накд]]+Тўловлар[[#This Row],[Клик]]+Тўловлар[[#This Row],[Терминал]])</f>
        <v>0</v>
      </c>
      <c r="N623" s="30" cm="1">
        <f t="array" ref="N623">IFERROR(LOOKUP(2,1/((Товар!$D$4:$D$1110=Тўловлар[[#This Row],[Клиент]])*(Товар!$E$4:$E$1110&lt;=Тўловлар[[#This Row],[Дата]])),Товар!$L$4:$L$1110),Кўрсаткичлар!$B$4)</f>
        <v>0</v>
      </c>
      <c r="O623" s="30">
        <f>Тўловлар[[#This Row],[Поддон]]*Тўловлар[[#This Row],[Поддон нархи]]</f>
        <v>0</v>
      </c>
      <c r="P623" s="30">
        <f>Тўловлар[[#This Row],[Жами сумма]]-Тўловлар[[#This Row],[Поддон пули]]</f>
        <v>0</v>
      </c>
      <c r="Q6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3" s="9" t="str">
        <f>IFERROR(INDEX(Мижозлар[Агент],MATCH($C623,Мижозлар[Расмий ном],0)),"")</f>
        <v/>
      </c>
    </row>
    <row r="624" spans="6:19" x14ac:dyDescent="0.2">
      <c r="F624" s="198"/>
      <c r="G624" s="9">
        <f>Тўловлар[[#This Row],[Поддон]]*$G$3</f>
        <v>0</v>
      </c>
      <c r="K624" s="9">
        <f>SUM(Тўловлар[[#This Row],[ПР-Сумма]]+Тўловлар[[#This Row],[Накд]]+Тўловлар[[#This Row],[Клик]]+Тўловлар[[#This Row],[Терминал]])</f>
        <v>0</v>
      </c>
      <c r="N624" s="30" cm="1">
        <f t="array" ref="N624">IFERROR(LOOKUP(2,1/((Товар!$D$4:$D$1110=Тўловлар[[#This Row],[Клиент]])*(Товар!$E$4:$E$1110&lt;=Тўловлар[[#This Row],[Дата]])),Товар!$L$4:$L$1110),Кўрсаткичлар!$B$4)</f>
        <v>0</v>
      </c>
      <c r="O624" s="30">
        <f>Тўловлар[[#This Row],[Поддон]]*Тўловлар[[#This Row],[Поддон нархи]]</f>
        <v>0</v>
      </c>
      <c r="P624" s="30">
        <f>Тўловлар[[#This Row],[Жами сумма]]-Тўловлар[[#This Row],[Поддон пули]]</f>
        <v>0</v>
      </c>
      <c r="Q6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4" s="9" t="str">
        <f>IFERROR(INDEX(Мижозлар[Агент],MATCH($C624,Мижозлар[Расмий ном],0)),"")</f>
        <v/>
      </c>
    </row>
    <row r="625" spans="6:19" x14ac:dyDescent="0.2">
      <c r="F625" s="198"/>
      <c r="G625" s="9">
        <f>Тўловлар[[#This Row],[Поддон]]*$G$3</f>
        <v>0</v>
      </c>
      <c r="K625" s="9">
        <f>SUM(Тўловлар[[#This Row],[ПР-Сумма]]+Тўловлар[[#This Row],[Накд]]+Тўловлар[[#This Row],[Клик]]+Тўловлар[[#This Row],[Терминал]])</f>
        <v>0</v>
      </c>
      <c r="N625" s="30" cm="1">
        <f t="array" ref="N625">IFERROR(LOOKUP(2,1/((Товар!$D$4:$D$1110=Тўловлар[[#This Row],[Клиент]])*(Товар!$E$4:$E$1110&lt;=Тўловлар[[#This Row],[Дата]])),Товар!$L$4:$L$1110),Кўрсаткичлар!$B$4)</f>
        <v>0</v>
      </c>
      <c r="O625" s="30">
        <f>Тўловлар[[#This Row],[Поддон]]*Тўловлар[[#This Row],[Поддон нархи]]</f>
        <v>0</v>
      </c>
      <c r="P625" s="30">
        <f>Тўловлар[[#This Row],[Жами сумма]]-Тўловлар[[#This Row],[Поддон пули]]</f>
        <v>0</v>
      </c>
      <c r="Q6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5" s="9" t="str">
        <f>IFERROR(INDEX(Мижозлар[Агент],MATCH($C625,Мижозлар[Расмий ном],0)),"")</f>
        <v/>
      </c>
    </row>
    <row r="626" spans="6:19" x14ac:dyDescent="0.2">
      <c r="F626" s="198"/>
      <c r="G626" s="9">
        <f>Тўловлар[[#This Row],[Поддон]]*$G$3</f>
        <v>0</v>
      </c>
      <c r="K626" s="9">
        <f>SUM(Тўловлар[[#This Row],[ПР-Сумма]]+Тўловлар[[#This Row],[Накд]]+Тўловлар[[#This Row],[Клик]]+Тўловлар[[#This Row],[Терминал]])</f>
        <v>0</v>
      </c>
      <c r="N626" s="30" cm="1">
        <f t="array" ref="N626">IFERROR(LOOKUP(2,1/((Товар!$D$4:$D$1110=Тўловлар[[#This Row],[Клиент]])*(Товар!$E$4:$E$1110&lt;=Тўловлар[[#This Row],[Дата]])),Товар!$L$4:$L$1110),Кўрсаткичлар!$B$4)</f>
        <v>0</v>
      </c>
      <c r="O626" s="30">
        <f>Тўловлар[[#This Row],[Поддон]]*Тўловлар[[#This Row],[Поддон нархи]]</f>
        <v>0</v>
      </c>
      <c r="P626" s="30">
        <f>Тўловлар[[#This Row],[Жами сумма]]-Тўловлар[[#This Row],[Поддон пули]]</f>
        <v>0</v>
      </c>
      <c r="Q6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6" s="9" t="str">
        <f>IFERROR(INDEX(Мижозлар[Агент],MATCH($C626,Мижозлар[Расмий ном],0)),"")</f>
        <v/>
      </c>
    </row>
    <row r="627" spans="6:19" x14ac:dyDescent="0.2">
      <c r="F627" s="198"/>
      <c r="G627" s="9">
        <f>Тўловлар[[#This Row],[Поддон]]*$G$3</f>
        <v>0</v>
      </c>
      <c r="K627" s="9">
        <f>SUM(Тўловлар[[#This Row],[ПР-Сумма]]+Тўловлар[[#This Row],[Накд]]+Тўловлар[[#This Row],[Клик]]+Тўловлар[[#This Row],[Терминал]])</f>
        <v>0</v>
      </c>
      <c r="N627" s="30" cm="1">
        <f t="array" ref="N627">IFERROR(LOOKUP(2,1/((Товар!$D$4:$D$1110=Тўловлар[[#This Row],[Клиент]])*(Товар!$E$4:$E$1110&lt;=Тўловлар[[#This Row],[Дата]])),Товар!$L$4:$L$1110),Кўрсаткичлар!$B$4)</f>
        <v>0</v>
      </c>
      <c r="O627" s="30">
        <f>Тўловлар[[#This Row],[Поддон]]*Тўловлар[[#This Row],[Поддон нархи]]</f>
        <v>0</v>
      </c>
      <c r="P627" s="30">
        <f>Тўловлар[[#This Row],[Жами сумма]]-Тўловлар[[#This Row],[Поддон пули]]</f>
        <v>0</v>
      </c>
      <c r="Q6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7" s="9" t="str">
        <f>IFERROR(INDEX(Мижозлар[Агент],MATCH($C627,Мижозлар[Расмий ном],0)),"")</f>
        <v/>
      </c>
    </row>
    <row r="628" spans="6:19" x14ac:dyDescent="0.2">
      <c r="F628" s="198"/>
      <c r="G628" s="9">
        <f>Тўловлар[[#This Row],[Поддон]]*$G$3</f>
        <v>0</v>
      </c>
      <c r="K628" s="9">
        <f>SUM(Тўловлар[[#This Row],[ПР-Сумма]]+Тўловлар[[#This Row],[Накд]]+Тўловлар[[#This Row],[Клик]]+Тўловлар[[#This Row],[Терминал]])</f>
        <v>0</v>
      </c>
      <c r="N628" s="30" cm="1">
        <f t="array" ref="N628">IFERROR(LOOKUP(2,1/((Товар!$D$4:$D$1110=Тўловлар[[#This Row],[Клиент]])*(Товар!$E$4:$E$1110&lt;=Тўловлар[[#This Row],[Дата]])),Товар!$L$4:$L$1110),Кўрсаткичлар!$B$4)</f>
        <v>0</v>
      </c>
      <c r="O628" s="30">
        <f>Тўловлар[[#This Row],[Поддон]]*Тўловлар[[#This Row],[Поддон нархи]]</f>
        <v>0</v>
      </c>
      <c r="P628" s="30">
        <f>Тўловлар[[#This Row],[Жами сумма]]-Тўловлар[[#This Row],[Поддон пули]]</f>
        <v>0</v>
      </c>
      <c r="Q6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8" s="9" t="str">
        <f>IFERROR(INDEX(Мижозлар[Агент],MATCH($C628,Мижозлар[Расмий ном],0)),"")</f>
        <v/>
      </c>
    </row>
    <row r="629" spans="6:19" x14ac:dyDescent="0.2">
      <c r="F629" s="198"/>
      <c r="G629" s="9">
        <f>Тўловлар[[#This Row],[Поддон]]*$G$3</f>
        <v>0</v>
      </c>
      <c r="K629" s="9">
        <f>SUM(Тўловлар[[#This Row],[ПР-Сумма]]+Тўловлар[[#This Row],[Накд]]+Тўловлар[[#This Row],[Клик]]+Тўловлар[[#This Row],[Терминал]])</f>
        <v>0</v>
      </c>
      <c r="N629" s="30" cm="1">
        <f t="array" ref="N629">IFERROR(LOOKUP(2,1/((Товар!$D$4:$D$1110=Тўловлар[[#This Row],[Клиент]])*(Товар!$E$4:$E$1110&lt;=Тўловлар[[#This Row],[Дата]])),Товар!$L$4:$L$1110),Кўрсаткичлар!$B$4)</f>
        <v>0</v>
      </c>
      <c r="O629" s="30">
        <f>Тўловлар[[#This Row],[Поддон]]*Тўловлар[[#This Row],[Поддон нархи]]</f>
        <v>0</v>
      </c>
      <c r="P629" s="30">
        <f>Тўловлар[[#This Row],[Жами сумма]]-Тўловлар[[#This Row],[Поддон пули]]</f>
        <v>0</v>
      </c>
      <c r="Q6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29" s="9" t="str">
        <f>IFERROR(INDEX(Мижозлар[Агент],MATCH($C629,Мижозлар[Расмий ном],0)),"")</f>
        <v/>
      </c>
    </row>
    <row r="630" spans="6:19" x14ac:dyDescent="0.2">
      <c r="F630" s="198"/>
      <c r="G630" s="9">
        <f>Тўловлар[[#This Row],[Поддон]]*$G$3</f>
        <v>0</v>
      </c>
      <c r="K630" s="9">
        <f>SUM(Тўловлар[[#This Row],[ПР-Сумма]]+Тўловлар[[#This Row],[Накд]]+Тўловлар[[#This Row],[Клик]]+Тўловлар[[#This Row],[Терминал]])</f>
        <v>0</v>
      </c>
      <c r="N630" s="30" cm="1">
        <f t="array" ref="N630">IFERROR(LOOKUP(2,1/((Товар!$D$4:$D$1110=Тўловлар[[#This Row],[Клиент]])*(Товар!$E$4:$E$1110&lt;=Тўловлар[[#This Row],[Дата]])),Товар!$L$4:$L$1110),Кўрсаткичлар!$B$4)</f>
        <v>0</v>
      </c>
      <c r="O630" s="30">
        <f>Тўловлар[[#This Row],[Поддон]]*Тўловлар[[#This Row],[Поддон нархи]]</f>
        <v>0</v>
      </c>
      <c r="P630" s="30">
        <f>Тўловлар[[#This Row],[Жами сумма]]-Тўловлар[[#This Row],[Поддон пули]]</f>
        <v>0</v>
      </c>
      <c r="Q6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0" s="9" t="str">
        <f>IFERROR(INDEX(Мижозлар[Агент],MATCH($C630,Мижозлар[Расмий ном],0)),"")</f>
        <v/>
      </c>
    </row>
    <row r="631" spans="6:19" x14ac:dyDescent="0.2">
      <c r="F631" s="198"/>
      <c r="G631" s="9">
        <f>Тўловлар[[#This Row],[Поддон]]*$G$3</f>
        <v>0</v>
      </c>
      <c r="K631" s="9">
        <f>SUM(Тўловлар[[#This Row],[ПР-Сумма]]+Тўловлар[[#This Row],[Накд]]+Тўловлар[[#This Row],[Клик]]+Тўловлар[[#This Row],[Терминал]])</f>
        <v>0</v>
      </c>
      <c r="N631" s="30" cm="1">
        <f t="array" ref="N631">IFERROR(LOOKUP(2,1/((Товар!$D$4:$D$1110=Тўловлар[[#This Row],[Клиент]])*(Товар!$E$4:$E$1110&lt;=Тўловлар[[#This Row],[Дата]])),Товар!$L$4:$L$1110),Кўрсаткичлар!$B$4)</f>
        <v>0</v>
      </c>
      <c r="O631" s="30">
        <f>Тўловлар[[#This Row],[Поддон]]*Тўловлар[[#This Row],[Поддон нархи]]</f>
        <v>0</v>
      </c>
      <c r="P631" s="30">
        <f>Тўловлар[[#This Row],[Жами сумма]]-Тўловлар[[#This Row],[Поддон пули]]</f>
        <v>0</v>
      </c>
      <c r="Q6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1" s="9" t="str">
        <f>IFERROR(INDEX(Мижозлар[Агент],MATCH($C631,Мижозлар[Расмий ном],0)),"")</f>
        <v/>
      </c>
    </row>
    <row r="632" spans="6:19" x14ac:dyDescent="0.2">
      <c r="F632" s="198"/>
      <c r="G632" s="9">
        <f>Тўловлар[[#This Row],[Поддон]]*$G$3</f>
        <v>0</v>
      </c>
      <c r="K632" s="9">
        <f>SUM(Тўловлар[[#This Row],[ПР-Сумма]]+Тўловлар[[#This Row],[Накд]]+Тўловлар[[#This Row],[Клик]]+Тўловлар[[#This Row],[Терминал]])</f>
        <v>0</v>
      </c>
      <c r="N632" s="30" cm="1">
        <f t="array" ref="N632">IFERROR(LOOKUP(2,1/((Товар!$D$4:$D$1110=Тўловлар[[#This Row],[Клиент]])*(Товар!$E$4:$E$1110&lt;=Тўловлар[[#This Row],[Дата]])),Товар!$L$4:$L$1110),Кўрсаткичлар!$B$4)</f>
        <v>0</v>
      </c>
      <c r="O632" s="30">
        <f>Тўловлар[[#This Row],[Поддон]]*Тўловлар[[#This Row],[Поддон нархи]]</f>
        <v>0</v>
      </c>
      <c r="P632" s="30">
        <f>Тўловлар[[#This Row],[Жами сумма]]-Тўловлар[[#This Row],[Поддон пули]]</f>
        <v>0</v>
      </c>
      <c r="Q6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2" s="9" t="str">
        <f>IFERROR(INDEX(Мижозлар[Агент],MATCH($C632,Мижозлар[Расмий ном],0)),"")</f>
        <v/>
      </c>
    </row>
    <row r="633" spans="6:19" x14ac:dyDescent="0.2">
      <c r="F633" s="198"/>
      <c r="G633" s="9">
        <f>Тўловлар[[#This Row],[Поддон]]*$G$3</f>
        <v>0</v>
      </c>
      <c r="K633" s="9">
        <f>SUM(Тўловлар[[#This Row],[ПР-Сумма]]+Тўловлар[[#This Row],[Накд]]+Тўловлар[[#This Row],[Клик]]+Тўловлар[[#This Row],[Терминал]])</f>
        <v>0</v>
      </c>
      <c r="N633" s="30" cm="1">
        <f t="array" ref="N633">IFERROR(LOOKUP(2,1/((Товар!$D$4:$D$1110=Тўловлар[[#This Row],[Клиент]])*(Товар!$E$4:$E$1110&lt;=Тўловлар[[#This Row],[Дата]])),Товар!$L$4:$L$1110),Кўрсаткичлар!$B$4)</f>
        <v>0</v>
      </c>
      <c r="O633" s="30">
        <f>Тўловлар[[#This Row],[Поддон]]*Тўловлар[[#This Row],[Поддон нархи]]</f>
        <v>0</v>
      </c>
      <c r="P633" s="30">
        <f>Тўловлар[[#This Row],[Жами сумма]]-Тўловлар[[#This Row],[Поддон пули]]</f>
        <v>0</v>
      </c>
      <c r="Q6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3" s="9" t="str">
        <f>IFERROR(INDEX(Мижозлар[Агент],MATCH($C633,Мижозлар[Расмий ном],0)),"")</f>
        <v/>
      </c>
    </row>
    <row r="634" spans="6:19" x14ac:dyDescent="0.2">
      <c r="F634" s="198"/>
      <c r="G634" s="9">
        <f>Тўловлар[[#This Row],[Поддон]]*$G$3</f>
        <v>0</v>
      </c>
      <c r="K634" s="9">
        <f>SUM(Тўловлар[[#This Row],[ПР-Сумма]]+Тўловлар[[#This Row],[Накд]]+Тўловлар[[#This Row],[Клик]]+Тўловлар[[#This Row],[Терминал]])</f>
        <v>0</v>
      </c>
      <c r="N634" s="30" cm="1">
        <f t="array" ref="N634">IFERROR(LOOKUP(2,1/((Товар!$D$4:$D$1110=Тўловлар[[#This Row],[Клиент]])*(Товар!$E$4:$E$1110&lt;=Тўловлар[[#This Row],[Дата]])),Товар!$L$4:$L$1110),Кўрсаткичлар!$B$4)</f>
        <v>0</v>
      </c>
      <c r="O634" s="30">
        <f>Тўловлар[[#This Row],[Поддон]]*Тўловлар[[#This Row],[Поддон нархи]]</f>
        <v>0</v>
      </c>
      <c r="P634" s="30">
        <f>Тўловлар[[#This Row],[Жами сумма]]-Тўловлар[[#This Row],[Поддон пули]]</f>
        <v>0</v>
      </c>
      <c r="Q6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4" s="9" t="str">
        <f>IFERROR(INDEX(Мижозлар[Агент],MATCH($C634,Мижозлар[Расмий ном],0)),"")</f>
        <v/>
      </c>
    </row>
    <row r="635" spans="6:19" x14ac:dyDescent="0.2">
      <c r="F635" s="198"/>
      <c r="G635" s="9">
        <f>Тўловлар[[#This Row],[Поддон]]*$G$3</f>
        <v>0</v>
      </c>
      <c r="K635" s="9">
        <f>SUM(Тўловлар[[#This Row],[ПР-Сумма]]+Тўловлар[[#This Row],[Накд]]+Тўловлар[[#This Row],[Клик]]+Тўловлар[[#This Row],[Терминал]])</f>
        <v>0</v>
      </c>
      <c r="N635" s="30" cm="1">
        <f t="array" ref="N635">IFERROR(LOOKUP(2,1/((Товар!$D$4:$D$1110=Тўловлар[[#This Row],[Клиент]])*(Товар!$E$4:$E$1110&lt;=Тўловлар[[#This Row],[Дата]])),Товар!$L$4:$L$1110),Кўрсаткичлар!$B$4)</f>
        <v>0</v>
      </c>
      <c r="O635" s="30">
        <f>Тўловлар[[#This Row],[Поддон]]*Тўловлар[[#This Row],[Поддон нархи]]</f>
        <v>0</v>
      </c>
      <c r="P635" s="30">
        <f>Тўловлар[[#This Row],[Жами сумма]]-Тўловлар[[#This Row],[Поддон пули]]</f>
        <v>0</v>
      </c>
      <c r="Q6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5" s="9" t="str">
        <f>IFERROR(INDEX(Мижозлар[Агент],MATCH($C635,Мижозлар[Расмий ном],0)),"")</f>
        <v/>
      </c>
    </row>
    <row r="636" spans="6:19" x14ac:dyDescent="0.2">
      <c r="F636" s="198"/>
      <c r="G636" s="9">
        <f>Тўловлар[[#This Row],[Поддон]]*$G$3</f>
        <v>0</v>
      </c>
      <c r="K636" s="9">
        <f>SUM(Тўловлар[[#This Row],[ПР-Сумма]]+Тўловлар[[#This Row],[Накд]]+Тўловлар[[#This Row],[Клик]]+Тўловлар[[#This Row],[Терминал]])</f>
        <v>0</v>
      </c>
      <c r="N636" s="30" cm="1">
        <f t="array" ref="N636">IFERROR(LOOKUP(2,1/((Товар!$D$4:$D$1110=Тўловлар[[#This Row],[Клиент]])*(Товар!$E$4:$E$1110&lt;=Тўловлар[[#This Row],[Дата]])),Товар!$L$4:$L$1110),Кўрсаткичлар!$B$4)</f>
        <v>0</v>
      </c>
      <c r="O636" s="30">
        <f>Тўловлар[[#This Row],[Поддон]]*Тўловлар[[#This Row],[Поддон нархи]]</f>
        <v>0</v>
      </c>
      <c r="P636" s="30">
        <f>Тўловлар[[#This Row],[Жами сумма]]-Тўловлар[[#This Row],[Поддон пули]]</f>
        <v>0</v>
      </c>
      <c r="Q6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6" s="9" t="str">
        <f>IFERROR(INDEX(Мижозлар[Агент],MATCH($C636,Мижозлар[Расмий ном],0)),"")</f>
        <v/>
      </c>
    </row>
    <row r="637" spans="6:19" x14ac:dyDescent="0.2">
      <c r="F637" s="198"/>
      <c r="G637" s="9">
        <f>Тўловлар[[#This Row],[Поддон]]*$G$3</f>
        <v>0</v>
      </c>
      <c r="K637" s="9">
        <f>SUM(Тўловлар[[#This Row],[ПР-Сумма]]+Тўловлар[[#This Row],[Накд]]+Тўловлар[[#This Row],[Клик]]+Тўловлар[[#This Row],[Терминал]])</f>
        <v>0</v>
      </c>
      <c r="N637" s="30" cm="1">
        <f t="array" ref="N637">IFERROR(LOOKUP(2,1/((Товар!$D$4:$D$1110=Тўловлар[[#This Row],[Клиент]])*(Товар!$E$4:$E$1110&lt;=Тўловлар[[#This Row],[Дата]])),Товар!$L$4:$L$1110),Кўрсаткичлар!$B$4)</f>
        <v>0</v>
      </c>
      <c r="O637" s="30">
        <f>Тўловлар[[#This Row],[Поддон]]*Тўловлар[[#This Row],[Поддон нархи]]</f>
        <v>0</v>
      </c>
      <c r="P637" s="30">
        <f>Тўловлар[[#This Row],[Жами сумма]]-Тўловлар[[#This Row],[Поддон пули]]</f>
        <v>0</v>
      </c>
      <c r="Q6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7" s="9" t="str">
        <f>IFERROR(INDEX(Мижозлар[Агент],MATCH($C637,Мижозлар[Расмий ном],0)),"")</f>
        <v/>
      </c>
    </row>
    <row r="638" spans="6:19" x14ac:dyDescent="0.2">
      <c r="F638" s="198"/>
      <c r="G638" s="9">
        <f>Тўловлар[[#This Row],[Поддон]]*$G$3</f>
        <v>0</v>
      </c>
      <c r="K638" s="9">
        <f>SUM(Тўловлар[[#This Row],[ПР-Сумма]]+Тўловлар[[#This Row],[Накд]]+Тўловлар[[#This Row],[Клик]]+Тўловлар[[#This Row],[Терминал]])</f>
        <v>0</v>
      </c>
      <c r="N638" s="30" cm="1">
        <f t="array" ref="N638">IFERROR(LOOKUP(2,1/((Товар!$D$4:$D$1110=Тўловлар[[#This Row],[Клиент]])*(Товар!$E$4:$E$1110&lt;=Тўловлар[[#This Row],[Дата]])),Товар!$L$4:$L$1110),Кўрсаткичлар!$B$4)</f>
        <v>0</v>
      </c>
      <c r="O638" s="30">
        <f>Тўловлар[[#This Row],[Поддон]]*Тўловлар[[#This Row],[Поддон нархи]]</f>
        <v>0</v>
      </c>
      <c r="P638" s="30">
        <f>Тўловлар[[#This Row],[Жами сумма]]-Тўловлар[[#This Row],[Поддон пули]]</f>
        <v>0</v>
      </c>
      <c r="Q6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8" s="9" t="str">
        <f>IFERROR(INDEX(Мижозлар[Агент],MATCH($C638,Мижозлар[Расмий ном],0)),"")</f>
        <v/>
      </c>
    </row>
    <row r="639" spans="6:19" x14ac:dyDescent="0.2">
      <c r="F639" s="198"/>
      <c r="G639" s="9">
        <f>Тўловлар[[#This Row],[Поддон]]*$G$3</f>
        <v>0</v>
      </c>
      <c r="K639" s="9">
        <f>SUM(Тўловлар[[#This Row],[ПР-Сумма]]+Тўловлар[[#This Row],[Накд]]+Тўловлар[[#This Row],[Клик]]+Тўловлар[[#This Row],[Терминал]])</f>
        <v>0</v>
      </c>
      <c r="N639" s="30" cm="1">
        <f t="array" ref="N639">IFERROR(LOOKUP(2,1/((Товар!$D$4:$D$1110=Тўловлар[[#This Row],[Клиент]])*(Товар!$E$4:$E$1110&lt;=Тўловлар[[#This Row],[Дата]])),Товар!$L$4:$L$1110),Кўрсаткичлар!$B$4)</f>
        <v>0</v>
      </c>
      <c r="O639" s="30">
        <f>Тўловлар[[#This Row],[Поддон]]*Тўловлар[[#This Row],[Поддон нархи]]</f>
        <v>0</v>
      </c>
      <c r="P639" s="30">
        <f>Тўловлар[[#This Row],[Жами сумма]]-Тўловлар[[#This Row],[Поддон пули]]</f>
        <v>0</v>
      </c>
      <c r="Q6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39" s="9" t="str">
        <f>IFERROR(INDEX(Мижозлар[Агент],MATCH($C639,Мижозлар[Расмий ном],0)),"")</f>
        <v/>
      </c>
    </row>
    <row r="640" spans="6:19" x14ac:dyDescent="0.2">
      <c r="F640" s="198"/>
      <c r="G640" s="9">
        <f>Тўловлар[[#This Row],[Поддон]]*$G$3</f>
        <v>0</v>
      </c>
      <c r="K640" s="9">
        <f>SUM(Тўловлар[[#This Row],[ПР-Сумма]]+Тўловлар[[#This Row],[Накд]]+Тўловлар[[#This Row],[Клик]]+Тўловлар[[#This Row],[Терминал]])</f>
        <v>0</v>
      </c>
      <c r="N640" s="30" cm="1">
        <f t="array" ref="N640">IFERROR(LOOKUP(2,1/((Товар!$D$4:$D$1110=Тўловлар[[#This Row],[Клиент]])*(Товар!$E$4:$E$1110&lt;=Тўловлар[[#This Row],[Дата]])),Товар!$L$4:$L$1110),Кўрсаткичлар!$B$4)</f>
        <v>0</v>
      </c>
      <c r="O640" s="30">
        <f>Тўловлар[[#This Row],[Поддон]]*Тўловлар[[#This Row],[Поддон нархи]]</f>
        <v>0</v>
      </c>
      <c r="P640" s="30">
        <f>Тўловлар[[#This Row],[Жами сумма]]-Тўловлар[[#This Row],[Поддон пули]]</f>
        <v>0</v>
      </c>
      <c r="Q6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0" s="9" t="str">
        <f>IFERROR(INDEX(Мижозлар[Агент],MATCH($C640,Мижозлар[Расмий ном],0)),"")</f>
        <v/>
      </c>
    </row>
    <row r="641" spans="6:19" x14ac:dyDescent="0.2">
      <c r="F641" s="198"/>
      <c r="G641" s="9">
        <f>Тўловлар[[#This Row],[Поддон]]*$G$3</f>
        <v>0</v>
      </c>
      <c r="K641" s="9">
        <f>SUM(Тўловлар[[#This Row],[ПР-Сумма]]+Тўловлар[[#This Row],[Накд]]+Тўловлар[[#This Row],[Клик]]+Тўловлар[[#This Row],[Терминал]])</f>
        <v>0</v>
      </c>
      <c r="N641" s="30" cm="1">
        <f t="array" ref="N641">IFERROR(LOOKUP(2,1/((Товар!$D$4:$D$1110=Тўловлар[[#This Row],[Клиент]])*(Товар!$E$4:$E$1110&lt;=Тўловлар[[#This Row],[Дата]])),Товар!$L$4:$L$1110),Кўрсаткичлар!$B$4)</f>
        <v>0</v>
      </c>
      <c r="O641" s="30">
        <f>Тўловлар[[#This Row],[Поддон]]*Тўловлар[[#This Row],[Поддон нархи]]</f>
        <v>0</v>
      </c>
      <c r="P641" s="30">
        <f>Тўловлар[[#This Row],[Жами сумма]]-Тўловлар[[#This Row],[Поддон пули]]</f>
        <v>0</v>
      </c>
      <c r="Q6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1" s="9" t="str">
        <f>IFERROR(INDEX(Мижозлар[Агент],MATCH($C641,Мижозлар[Расмий ном],0)),"")</f>
        <v/>
      </c>
    </row>
    <row r="642" spans="6:19" x14ac:dyDescent="0.2">
      <c r="F642" s="198"/>
      <c r="G642" s="9">
        <f>Тўловлар[[#This Row],[Поддон]]*$G$3</f>
        <v>0</v>
      </c>
      <c r="K642" s="9">
        <f>SUM(Тўловлар[[#This Row],[ПР-Сумма]]+Тўловлар[[#This Row],[Накд]]+Тўловлар[[#This Row],[Клик]]+Тўловлар[[#This Row],[Терминал]])</f>
        <v>0</v>
      </c>
      <c r="N642" s="30" cm="1">
        <f t="array" ref="N642">IFERROR(LOOKUP(2,1/((Товар!$D$4:$D$1110=Тўловлар[[#This Row],[Клиент]])*(Товар!$E$4:$E$1110&lt;=Тўловлар[[#This Row],[Дата]])),Товар!$L$4:$L$1110),Кўрсаткичлар!$B$4)</f>
        <v>0</v>
      </c>
      <c r="O642" s="30">
        <f>Тўловлар[[#This Row],[Поддон]]*Тўловлар[[#This Row],[Поддон нархи]]</f>
        <v>0</v>
      </c>
      <c r="P642" s="30">
        <f>Тўловлар[[#This Row],[Жами сумма]]-Тўловлар[[#This Row],[Поддон пули]]</f>
        <v>0</v>
      </c>
      <c r="Q6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2" s="9" t="str">
        <f>IFERROR(INDEX(Мижозлар[Агент],MATCH($C642,Мижозлар[Расмий ном],0)),"")</f>
        <v/>
      </c>
    </row>
    <row r="643" spans="6:19" x14ac:dyDescent="0.2">
      <c r="F643" s="198"/>
      <c r="G643" s="9">
        <f>Тўловлар[[#This Row],[Поддон]]*$G$3</f>
        <v>0</v>
      </c>
      <c r="K643" s="9">
        <f>SUM(Тўловлар[[#This Row],[ПР-Сумма]]+Тўловлар[[#This Row],[Накд]]+Тўловлар[[#This Row],[Клик]]+Тўловлар[[#This Row],[Терминал]])</f>
        <v>0</v>
      </c>
      <c r="N643" s="30" cm="1">
        <f t="array" ref="N643">IFERROR(LOOKUP(2,1/((Товар!$D$4:$D$1110=Тўловлар[[#This Row],[Клиент]])*(Товар!$E$4:$E$1110&lt;=Тўловлар[[#This Row],[Дата]])),Товар!$L$4:$L$1110),Кўрсаткичлар!$B$4)</f>
        <v>0</v>
      </c>
      <c r="O643" s="30">
        <f>Тўловлар[[#This Row],[Поддон]]*Тўловлар[[#This Row],[Поддон нархи]]</f>
        <v>0</v>
      </c>
      <c r="P643" s="30">
        <f>Тўловлар[[#This Row],[Жами сумма]]-Тўловлар[[#This Row],[Поддон пули]]</f>
        <v>0</v>
      </c>
      <c r="Q6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3" s="9" t="str">
        <f>IFERROR(INDEX(Мижозлар[Агент],MATCH($C643,Мижозлар[Расмий ном],0)),"")</f>
        <v/>
      </c>
    </row>
    <row r="644" spans="6:19" x14ac:dyDescent="0.2">
      <c r="F644" s="198"/>
      <c r="G644" s="9">
        <f>Тўловлар[[#This Row],[Поддон]]*$G$3</f>
        <v>0</v>
      </c>
      <c r="K644" s="9">
        <f>SUM(Тўловлар[[#This Row],[ПР-Сумма]]+Тўловлар[[#This Row],[Накд]]+Тўловлар[[#This Row],[Клик]]+Тўловлар[[#This Row],[Терминал]])</f>
        <v>0</v>
      </c>
      <c r="N644" s="30" cm="1">
        <f t="array" ref="N644">IFERROR(LOOKUP(2,1/((Товар!$D$4:$D$1110=Тўловлар[[#This Row],[Клиент]])*(Товар!$E$4:$E$1110&lt;=Тўловлар[[#This Row],[Дата]])),Товар!$L$4:$L$1110),Кўрсаткичлар!$B$4)</f>
        <v>0</v>
      </c>
      <c r="O644" s="30">
        <f>Тўловлар[[#This Row],[Поддон]]*Тўловлар[[#This Row],[Поддон нархи]]</f>
        <v>0</v>
      </c>
      <c r="P644" s="30">
        <f>Тўловлар[[#This Row],[Жами сумма]]-Тўловлар[[#This Row],[Поддон пули]]</f>
        <v>0</v>
      </c>
      <c r="Q6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4" s="9" t="str">
        <f>IFERROR(INDEX(Мижозлар[Агент],MATCH($C644,Мижозлар[Расмий ном],0)),"")</f>
        <v/>
      </c>
    </row>
    <row r="645" spans="6:19" x14ac:dyDescent="0.2">
      <c r="F645" s="198"/>
      <c r="G645" s="9">
        <f>Тўловлар[[#This Row],[Поддон]]*$G$3</f>
        <v>0</v>
      </c>
      <c r="K645" s="9">
        <f>SUM(Тўловлар[[#This Row],[ПР-Сумма]]+Тўловлар[[#This Row],[Накд]]+Тўловлар[[#This Row],[Клик]]+Тўловлар[[#This Row],[Терминал]])</f>
        <v>0</v>
      </c>
      <c r="N645" s="30" cm="1">
        <f t="array" ref="N645">IFERROR(LOOKUP(2,1/((Товар!$D$4:$D$1110=Тўловлар[[#This Row],[Клиент]])*(Товар!$E$4:$E$1110&lt;=Тўловлар[[#This Row],[Дата]])),Товар!$L$4:$L$1110),Кўрсаткичлар!$B$4)</f>
        <v>0</v>
      </c>
      <c r="O645" s="30">
        <f>Тўловлар[[#This Row],[Поддон]]*Тўловлар[[#This Row],[Поддон нархи]]</f>
        <v>0</v>
      </c>
      <c r="P645" s="30">
        <f>Тўловлар[[#This Row],[Жами сумма]]-Тўловлар[[#This Row],[Поддон пули]]</f>
        <v>0</v>
      </c>
      <c r="Q6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5" s="9" t="str">
        <f>IFERROR(INDEX(Мижозлар[Агент],MATCH($C645,Мижозлар[Расмий ном],0)),"")</f>
        <v/>
      </c>
    </row>
    <row r="646" spans="6:19" x14ac:dyDescent="0.2">
      <c r="F646" s="198"/>
      <c r="G646" s="9">
        <f>Тўловлар[[#This Row],[Поддон]]*$G$3</f>
        <v>0</v>
      </c>
      <c r="K646" s="9">
        <f>SUM(Тўловлар[[#This Row],[ПР-Сумма]]+Тўловлар[[#This Row],[Накд]]+Тўловлар[[#This Row],[Клик]]+Тўловлар[[#This Row],[Терминал]])</f>
        <v>0</v>
      </c>
      <c r="N646" s="30" cm="1">
        <f t="array" ref="N646">IFERROR(LOOKUP(2,1/((Товар!$D$4:$D$1110=Тўловлар[[#This Row],[Клиент]])*(Товар!$E$4:$E$1110&lt;=Тўловлар[[#This Row],[Дата]])),Товар!$L$4:$L$1110),Кўрсаткичлар!$B$4)</f>
        <v>0</v>
      </c>
      <c r="O646" s="30">
        <f>Тўловлар[[#This Row],[Поддон]]*Тўловлар[[#This Row],[Поддон нархи]]</f>
        <v>0</v>
      </c>
      <c r="P646" s="30">
        <f>Тўловлар[[#This Row],[Жами сумма]]-Тўловлар[[#This Row],[Поддон пули]]</f>
        <v>0</v>
      </c>
      <c r="Q6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6" s="9" t="str">
        <f>IFERROR(INDEX(Мижозлар[Агент],MATCH($C646,Мижозлар[Расмий ном],0)),"")</f>
        <v/>
      </c>
    </row>
    <row r="647" spans="6:19" x14ac:dyDescent="0.2">
      <c r="F647" s="198"/>
      <c r="G647" s="9">
        <f>Тўловлар[[#This Row],[Поддон]]*$G$3</f>
        <v>0</v>
      </c>
      <c r="K647" s="9">
        <f>SUM(Тўловлар[[#This Row],[ПР-Сумма]]+Тўловлар[[#This Row],[Накд]]+Тўловлар[[#This Row],[Клик]]+Тўловлар[[#This Row],[Терминал]])</f>
        <v>0</v>
      </c>
      <c r="N647" s="30" cm="1">
        <f t="array" ref="N647">IFERROR(LOOKUP(2,1/((Товар!$D$4:$D$1110=Тўловлар[[#This Row],[Клиент]])*(Товар!$E$4:$E$1110&lt;=Тўловлар[[#This Row],[Дата]])),Товар!$L$4:$L$1110),Кўрсаткичлар!$B$4)</f>
        <v>0</v>
      </c>
      <c r="O647" s="30">
        <f>Тўловлар[[#This Row],[Поддон]]*Тўловлар[[#This Row],[Поддон нархи]]</f>
        <v>0</v>
      </c>
      <c r="P647" s="30">
        <f>Тўловлар[[#This Row],[Жами сумма]]-Тўловлар[[#This Row],[Поддон пули]]</f>
        <v>0</v>
      </c>
      <c r="Q6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7" s="9" t="str">
        <f>IFERROR(INDEX(Мижозлар[Агент],MATCH($C647,Мижозлар[Расмий ном],0)),"")</f>
        <v/>
      </c>
    </row>
    <row r="648" spans="6:19" x14ac:dyDescent="0.2">
      <c r="F648" s="198"/>
      <c r="G648" s="9">
        <f>Тўловлар[[#This Row],[Поддон]]*$G$3</f>
        <v>0</v>
      </c>
      <c r="K648" s="9">
        <f>SUM(Тўловлар[[#This Row],[ПР-Сумма]]+Тўловлар[[#This Row],[Накд]]+Тўловлар[[#This Row],[Клик]]+Тўловлар[[#This Row],[Терминал]])</f>
        <v>0</v>
      </c>
      <c r="N648" s="30" cm="1">
        <f t="array" ref="N648">IFERROR(LOOKUP(2,1/((Товар!$D$4:$D$1110=Тўловлар[[#This Row],[Клиент]])*(Товар!$E$4:$E$1110&lt;=Тўловлар[[#This Row],[Дата]])),Товар!$L$4:$L$1110),Кўрсаткичлар!$B$4)</f>
        <v>0</v>
      </c>
      <c r="O648" s="30">
        <f>Тўловлар[[#This Row],[Поддон]]*Тўловлар[[#This Row],[Поддон нархи]]</f>
        <v>0</v>
      </c>
      <c r="P648" s="30">
        <f>Тўловлар[[#This Row],[Жами сумма]]-Тўловлар[[#This Row],[Поддон пули]]</f>
        <v>0</v>
      </c>
      <c r="Q6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8" s="9" t="str">
        <f>IFERROR(INDEX(Мижозлар[Агент],MATCH($C648,Мижозлар[Расмий ном],0)),"")</f>
        <v/>
      </c>
    </row>
    <row r="649" spans="6:19" x14ac:dyDescent="0.2">
      <c r="F649" s="198"/>
      <c r="G649" s="9">
        <f>Тўловлар[[#This Row],[Поддон]]*$G$3</f>
        <v>0</v>
      </c>
      <c r="K649" s="9">
        <f>SUM(Тўловлар[[#This Row],[ПР-Сумма]]+Тўловлар[[#This Row],[Накд]]+Тўловлар[[#This Row],[Клик]]+Тўловлар[[#This Row],[Терминал]])</f>
        <v>0</v>
      </c>
      <c r="N649" s="30" cm="1">
        <f t="array" ref="N649">IFERROR(LOOKUP(2,1/((Товар!$D$4:$D$1110=Тўловлар[[#This Row],[Клиент]])*(Товар!$E$4:$E$1110&lt;=Тўловлар[[#This Row],[Дата]])),Товар!$L$4:$L$1110),Кўрсаткичлар!$B$4)</f>
        <v>0</v>
      </c>
      <c r="O649" s="30">
        <f>Тўловлар[[#This Row],[Поддон]]*Тўловлар[[#This Row],[Поддон нархи]]</f>
        <v>0</v>
      </c>
      <c r="P649" s="30">
        <f>Тўловлар[[#This Row],[Жами сумма]]-Тўловлар[[#This Row],[Поддон пули]]</f>
        <v>0</v>
      </c>
      <c r="Q6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49" s="9" t="str">
        <f>IFERROR(INDEX(Мижозлар[Агент],MATCH($C649,Мижозлар[Расмий ном],0)),"")</f>
        <v/>
      </c>
    </row>
    <row r="650" spans="6:19" x14ac:dyDescent="0.2">
      <c r="F650" s="198"/>
      <c r="G650" s="9">
        <f>Тўловлар[[#This Row],[Поддон]]*$G$3</f>
        <v>0</v>
      </c>
      <c r="K650" s="9">
        <f>SUM(Тўловлар[[#This Row],[ПР-Сумма]]+Тўловлар[[#This Row],[Накд]]+Тўловлар[[#This Row],[Клик]]+Тўловлар[[#This Row],[Терминал]])</f>
        <v>0</v>
      </c>
      <c r="N650" s="30" cm="1">
        <f t="array" ref="N650">IFERROR(LOOKUP(2,1/((Товар!$D$4:$D$1110=Тўловлар[[#This Row],[Клиент]])*(Товар!$E$4:$E$1110&lt;=Тўловлар[[#This Row],[Дата]])),Товар!$L$4:$L$1110),Кўрсаткичлар!$B$4)</f>
        <v>0</v>
      </c>
      <c r="O650" s="30">
        <f>Тўловлар[[#This Row],[Поддон]]*Тўловлар[[#This Row],[Поддон нархи]]</f>
        <v>0</v>
      </c>
      <c r="P650" s="30">
        <f>Тўловлар[[#This Row],[Жами сумма]]-Тўловлар[[#This Row],[Поддон пули]]</f>
        <v>0</v>
      </c>
      <c r="Q6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0" s="9" t="str">
        <f>IFERROR(INDEX(Мижозлар[Агент],MATCH($C650,Мижозлар[Расмий ном],0)),"")</f>
        <v/>
      </c>
    </row>
    <row r="651" spans="6:19" x14ac:dyDescent="0.2">
      <c r="F651" s="198"/>
      <c r="G651" s="9">
        <f>Тўловлар[[#This Row],[Поддон]]*$G$3</f>
        <v>0</v>
      </c>
      <c r="K651" s="9">
        <f>SUM(Тўловлар[[#This Row],[ПР-Сумма]]+Тўловлар[[#This Row],[Накд]]+Тўловлар[[#This Row],[Клик]]+Тўловлар[[#This Row],[Терминал]])</f>
        <v>0</v>
      </c>
      <c r="N651" s="30" cm="1">
        <f t="array" ref="N651">IFERROR(LOOKUP(2,1/((Товар!$D$4:$D$1110=Тўловлар[[#This Row],[Клиент]])*(Товар!$E$4:$E$1110&lt;=Тўловлар[[#This Row],[Дата]])),Товар!$L$4:$L$1110),Кўрсаткичлар!$B$4)</f>
        <v>0</v>
      </c>
      <c r="O651" s="30">
        <f>Тўловлар[[#This Row],[Поддон]]*Тўловлар[[#This Row],[Поддон нархи]]</f>
        <v>0</v>
      </c>
      <c r="P651" s="30">
        <f>Тўловлар[[#This Row],[Жами сумма]]-Тўловлар[[#This Row],[Поддон пули]]</f>
        <v>0</v>
      </c>
      <c r="Q6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1" s="9" t="str">
        <f>IFERROR(INDEX(Мижозлар[Агент],MATCH($C651,Мижозлар[Расмий ном],0)),"")</f>
        <v/>
      </c>
    </row>
    <row r="652" spans="6:19" x14ac:dyDescent="0.2">
      <c r="F652" s="198"/>
      <c r="G652" s="9">
        <f>Тўловлар[[#This Row],[Поддон]]*$G$3</f>
        <v>0</v>
      </c>
      <c r="K652" s="9">
        <f>SUM(Тўловлар[[#This Row],[ПР-Сумма]]+Тўловлар[[#This Row],[Накд]]+Тўловлар[[#This Row],[Клик]]+Тўловлар[[#This Row],[Терминал]])</f>
        <v>0</v>
      </c>
      <c r="N652" s="30" cm="1">
        <f t="array" ref="N652">IFERROR(LOOKUP(2,1/((Товар!$D$4:$D$1110=Тўловлар[[#This Row],[Клиент]])*(Товар!$E$4:$E$1110&lt;=Тўловлар[[#This Row],[Дата]])),Товар!$L$4:$L$1110),Кўрсаткичлар!$B$4)</f>
        <v>0</v>
      </c>
      <c r="O652" s="30">
        <f>Тўловлар[[#This Row],[Поддон]]*Тўловлар[[#This Row],[Поддон нархи]]</f>
        <v>0</v>
      </c>
      <c r="P652" s="30">
        <f>Тўловлар[[#This Row],[Жами сумма]]-Тўловлар[[#This Row],[Поддон пули]]</f>
        <v>0</v>
      </c>
      <c r="Q6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2" s="9" t="str">
        <f>IFERROR(INDEX(Мижозлар[Агент],MATCH($C652,Мижозлар[Расмий ном],0)),"")</f>
        <v/>
      </c>
    </row>
    <row r="653" spans="6:19" x14ac:dyDescent="0.2">
      <c r="F653" s="198"/>
      <c r="G653" s="9">
        <f>Тўловлар[[#This Row],[Поддон]]*$G$3</f>
        <v>0</v>
      </c>
      <c r="K653" s="9">
        <f>SUM(Тўловлар[[#This Row],[ПР-Сумма]]+Тўловлар[[#This Row],[Накд]]+Тўловлар[[#This Row],[Клик]]+Тўловлар[[#This Row],[Терминал]])</f>
        <v>0</v>
      </c>
      <c r="N653" s="30" cm="1">
        <f t="array" ref="N653">IFERROR(LOOKUP(2,1/((Товар!$D$4:$D$1110=Тўловлар[[#This Row],[Клиент]])*(Товар!$E$4:$E$1110&lt;=Тўловлар[[#This Row],[Дата]])),Товар!$L$4:$L$1110),Кўрсаткичлар!$B$4)</f>
        <v>0</v>
      </c>
      <c r="O653" s="30">
        <f>Тўловлар[[#This Row],[Поддон]]*Тўловлар[[#This Row],[Поддон нархи]]</f>
        <v>0</v>
      </c>
      <c r="P653" s="30">
        <f>Тўловлар[[#This Row],[Жами сумма]]-Тўловлар[[#This Row],[Поддон пули]]</f>
        <v>0</v>
      </c>
      <c r="Q6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3" s="9" t="str">
        <f>IFERROR(INDEX(Мижозлар[Агент],MATCH($C653,Мижозлар[Расмий ном],0)),"")</f>
        <v/>
      </c>
    </row>
    <row r="654" spans="6:19" x14ac:dyDescent="0.2">
      <c r="F654" s="198"/>
      <c r="G654" s="9">
        <f>Тўловлар[[#This Row],[Поддон]]*$G$3</f>
        <v>0</v>
      </c>
      <c r="K654" s="9">
        <f>SUM(Тўловлар[[#This Row],[ПР-Сумма]]+Тўловлар[[#This Row],[Накд]]+Тўловлар[[#This Row],[Клик]]+Тўловлар[[#This Row],[Терминал]])</f>
        <v>0</v>
      </c>
      <c r="N654" s="30" cm="1">
        <f t="array" ref="N654">IFERROR(LOOKUP(2,1/((Товар!$D$4:$D$1110=Тўловлар[[#This Row],[Клиент]])*(Товар!$E$4:$E$1110&lt;=Тўловлар[[#This Row],[Дата]])),Товар!$L$4:$L$1110),Кўрсаткичлар!$B$4)</f>
        <v>0</v>
      </c>
      <c r="O654" s="30">
        <f>Тўловлар[[#This Row],[Поддон]]*Тўловлар[[#This Row],[Поддон нархи]]</f>
        <v>0</v>
      </c>
      <c r="P654" s="30">
        <f>Тўловлар[[#This Row],[Жами сумма]]-Тўловлар[[#This Row],[Поддон пули]]</f>
        <v>0</v>
      </c>
      <c r="Q6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4" s="9" t="str">
        <f>IFERROR(INDEX(Мижозлар[Агент],MATCH($C654,Мижозлар[Расмий ном],0)),"")</f>
        <v/>
      </c>
    </row>
    <row r="655" spans="6:19" x14ac:dyDescent="0.2">
      <c r="F655" s="198"/>
      <c r="G655" s="9">
        <f>Тўловлар[[#This Row],[Поддон]]*$G$3</f>
        <v>0</v>
      </c>
      <c r="K655" s="9">
        <f>SUM(Тўловлар[[#This Row],[ПР-Сумма]]+Тўловлар[[#This Row],[Накд]]+Тўловлар[[#This Row],[Клик]]+Тўловлар[[#This Row],[Терминал]])</f>
        <v>0</v>
      </c>
      <c r="N655" s="30" cm="1">
        <f t="array" ref="N655">IFERROR(LOOKUP(2,1/((Товар!$D$4:$D$1110=Тўловлар[[#This Row],[Клиент]])*(Товар!$E$4:$E$1110&lt;=Тўловлар[[#This Row],[Дата]])),Товар!$L$4:$L$1110),Кўрсаткичлар!$B$4)</f>
        <v>0</v>
      </c>
      <c r="O655" s="30">
        <f>Тўловлар[[#This Row],[Поддон]]*Тўловлар[[#This Row],[Поддон нархи]]</f>
        <v>0</v>
      </c>
      <c r="P655" s="30">
        <f>Тўловлар[[#This Row],[Жами сумма]]-Тўловлар[[#This Row],[Поддон пули]]</f>
        <v>0</v>
      </c>
      <c r="Q6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5" s="9" t="str">
        <f>IFERROR(INDEX(Мижозлар[Агент],MATCH($C655,Мижозлар[Расмий ном],0)),"")</f>
        <v/>
      </c>
    </row>
    <row r="656" spans="6:19" x14ac:dyDescent="0.2">
      <c r="F656" s="198"/>
      <c r="G656" s="9">
        <f>Тўловлар[[#This Row],[Поддон]]*$G$3</f>
        <v>0</v>
      </c>
      <c r="K656" s="9">
        <f>SUM(Тўловлар[[#This Row],[ПР-Сумма]]+Тўловлар[[#This Row],[Накд]]+Тўловлар[[#This Row],[Клик]]+Тўловлар[[#This Row],[Терминал]])</f>
        <v>0</v>
      </c>
      <c r="N656" s="30" cm="1">
        <f t="array" ref="N656">IFERROR(LOOKUP(2,1/((Товар!$D$4:$D$1110=Тўловлар[[#This Row],[Клиент]])*(Товар!$E$4:$E$1110&lt;=Тўловлар[[#This Row],[Дата]])),Товар!$L$4:$L$1110),Кўрсаткичлар!$B$4)</f>
        <v>0</v>
      </c>
      <c r="O656" s="30">
        <f>Тўловлар[[#This Row],[Поддон]]*Тўловлар[[#This Row],[Поддон нархи]]</f>
        <v>0</v>
      </c>
      <c r="P656" s="30">
        <f>Тўловлар[[#This Row],[Жами сумма]]-Тўловлар[[#This Row],[Поддон пули]]</f>
        <v>0</v>
      </c>
      <c r="Q6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6" s="9" t="str">
        <f>IFERROR(INDEX(Мижозлар[Агент],MATCH($C656,Мижозлар[Расмий ном],0)),"")</f>
        <v/>
      </c>
    </row>
    <row r="657" spans="6:19" x14ac:dyDescent="0.2">
      <c r="F657" s="198"/>
      <c r="G657" s="9">
        <f>Тўловлар[[#This Row],[Поддон]]*$G$3</f>
        <v>0</v>
      </c>
      <c r="K657" s="9">
        <f>SUM(Тўловлар[[#This Row],[ПР-Сумма]]+Тўловлар[[#This Row],[Накд]]+Тўловлар[[#This Row],[Клик]]+Тўловлар[[#This Row],[Терминал]])</f>
        <v>0</v>
      </c>
      <c r="N657" s="30" cm="1">
        <f t="array" ref="N657">IFERROR(LOOKUP(2,1/((Товар!$D$4:$D$1110=Тўловлар[[#This Row],[Клиент]])*(Товар!$E$4:$E$1110&lt;=Тўловлар[[#This Row],[Дата]])),Товар!$L$4:$L$1110),Кўрсаткичлар!$B$4)</f>
        <v>0</v>
      </c>
      <c r="O657" s="30">
        <f>Тўловлар[[#This Row],[Поддон]]*Тўловлар[[#This Row],[Поддон нархи]]</f>
        <v>0</v>
      </c>
      <c r="P657" s="30">
        <f>Тўловлар[[#This Row],[Жами сумма]]-Тўловлар[[#This Row],[Поддон пули]]</f>
        <v>0</v>
      </c>
      <c r="Q6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7" s="9" t="str">
        <f>IFERROR(INDEX(Мижозлар[Агент],MATCH($C657,Мижозлар[Расмий ном],0)),"")</f>
        <v/>
      </c>
    </row>
    <row r="658" spans="6:19" x14ac:dyDescent="0.2">
      <c r="F658" s="198"/>
      <c r="G658" s="9">
        <f>Тўловлар[[#This Row],[Поддон]]*$G$3</f>
        <v>0</v>
      </c>
      <c r="K658" s="9">
        <f>SUM(Тўловлар[[#This Row],[ПР-Сумма]]+Тўловлар[[#This Row],[Накд]]+Тўловлар[[#This Row],[Клик]]+Тўловлар[[#This Row],[Терминал]])</f>
        <v>0</v>
      </c>
      <c r="N658" s="30" cm="1">
        <f t="array" ref="N658">IFERROR(LOOKUP(2,1/((Товар!$D$4:$D$1110=Тўловлар[[#This Row],[Клиент]])*(Товар!$E$4:$E$1110&lt;=Тўловлар[[#This Row],[Дата]])),Товар!$L$4:$L$1110),Кўрсаткичлар!$B$4)</f>
        <v>0</v>
      </c>
      <c r="O658" s="30">
        <f>Тўловлар[[#This Row],[Поддон]]*Тўловлар[[#This Row],[Поддон нархи]]</f>
        <v>0</v>
      </c>
      <c r="P658" s="30">
        <f>Тўловлар[[#This Row],[Жами сумма]]-Тўловлар[[#This Row],[Поддон пули]]</f>
        <v>0</v>
      </c>
      <c r="Q6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8" s="9" t="str">
        <f>IFERROR(INDEX(Мижозлар[Агент],MATCH($C658,Мижозлар[Расмий ном],0)),"")</f>
        <v/>
      </c>
    </row>
    <row r="659" spans="6:19" x14ac:dyDescent="0.2">
      <c r="F659" s="198"/>
      <c r="G659" s="9">
        <f>Тўловлар[[#This Row],[Поддон]]*$G$3</f>
        <v>0</v>
      </c>
      <c r="K659" s="9">
        <f>SUM(Тўловлар[[#This Row],[ПР-Сумма]]+Тўловлар[[#This Row],[Накд]]+Тўловлар[[#This Row],[Клик]]+Тўловлар[[#This Row],[Терминал]])</f>
        <v>0</v>
      </c>
      <c r="N659" s="30" cm="1">
        <f t="array" ref="N659">IFERROR(LOOKUP(2,1/((Товар!$D$4:$D$1110=Тўловлар[[#This Row],[Клиент]])*(Товар!$E$4:$E$1110&lt;=Тўловлар[[#This Row],[Дата]])),Товар!$L$4:$L$1110),Кўрсаткичлар!$B$4)</f>
        <v>0</v>
      </c>
      <c r="O659" s="30">
        <f>Тўловлар[[#This Row],[Поддон]]*Тўловлар[[#This Row],[Поддон нархи]]</f>
        <v>0</v>
      </c>
      <c r="P659" s="30">
        <f>Тўловлар[[#This Row],[Жами сумма]]-Тўловлар[[#This Row],[Поддон пули]]</f>
        <v>0</v>
      </c>
      <c r="Q6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59" s="9" t="str">
        <f>IFERROR(INDEX(Мижозлар[Агент],MATCH($C659,Мижозлар[Расмий ном],0)),"")</f>
        <v/>
      </c>
    </row>
    <row r="660" spans="6:19" x14ac:dyDescent="0.2">
      <c r="F660" s="198"/>
      <c r="G660" s="9">
        <f>Тўловлар[[#This Row],[Поддон]]*$G$3</f>
        <v>0</v>
      </c>
      <c r="K660" s="9">
        <f>SUM(Тўловлар[[#This Row],[ПР-Сумма]]+Тўловлар[[#This Row],[Накд]]+Тўловлар[[#This Row],[Клик]]+Тўловлар[[#This Row],[Терминал]])</f>
        <v>0</v>
      </c>
      <c r="N660" s="30" cm="1">
        <f t="array" ref="N660">IFERROR(LOOKUP(2,1/((Товар!$D$4:$D$1110=Тўловлар[[#This Row],[Клиент]])*(Товар!$E$4:$E$1110&lt;=Тўловлар[[#This Row],[Дата]])),Товар!$L$4:$L$1110),Кўрсаткичлар!$B$4)</f>
        <v>0</v>
      </c>
      <c r="O660" s="30">
        <f>Тўловлар[[#This Row],[Поддон]]*Тўловлар[[#This Row],[Поддон нархи]]</f>
        <v>0</v>
      </c>
      <c r="P660" s="30">
        <f>Тўловлар[[#This Row],[Жами сумма]]-Тўловлар[[#This Row],[Поддон пули]]</f>
        <v>0</v>
      </c>
      <c r="Q6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0" s="9" t="str">
        <f>IFERROR(INDEX(Мижозлар[Агент],MATCH($C660,Мижозлар[Расмий ном],0)),"")</f>
        <v/>
      </c>
    </row>
    <row r="661" spans="6:19" x14ac:dyDescent="0.2">
      <c r="F661" s="198"/>
      <c r="G661" s="9">
        <f>Тўловлар[[#This Row],[Поддон]]*$G$3</f>
        <v>0</v>
      </c>
      <c r="K661" s="9">
        <f>SUM(Тўловлар[[#This Row],[ПР-Сумма]]+Тўловлар[[#This Row],[Накд]]+Тўловлар[[#This Row],[Клик]]+Тўловлар[[#This Row],[Терминал]])</f>
        <v>0</v>
      </c>
      <c r="N661" s="30" cm="1">
        <f t="array" ref="N661">IFERROR(LOOKUP(2,1/((Товар!$D$4:$D$1110=Тўловлар[[#This Row],[Клиент]])*(Товар!$E$4:$E$1110&lt;=Тўловлар[[#This Row],[Дата]])),Товар!$L$4:$L$1110),Кўрсаткичлар!$B$4)</f>
        <v>0</v>
      </c>
      <c r="O661" s="30">
        <f>Тўловлар[[#This Row],[Поддон]]*Тўловлар[[#This Row],[Поддон нархи]]</f>
        <v>0</v>
      </c>
      <c r="P661" s="30">
        <f>Тўловлар[[#This Row],[Жами сумма]]-Тўловлар[[#This Row],[Поддон пули]]</f>
        <v>0</v>
      </c>
      <c r="Q6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1" s="9" t="str">
        <f>IFERROR(INDEX(Мижозлар[Агент],MATCH($C661,Мижозлар[Расмий ном],0)),"")</f>
        <v/>
      </c>
    </row>
    <row r="662" spans="6:19" x14ac:dyDescent="0.2">
      <c r="F662" s="198"/>
      <c r="G662" s="9">
        <f>Тўловлар[[#This Row],[Поддон]]*$G$3</f>
        <v>0</v>
      </c>
      <c r="K662" s="9">
        <f>SUM(Тўловлар[[#This Row],[ПР-Сумма]]+Тўловлар[[#This Row],[Накд]]+Тўловлар[[#This Row],[Клик]]+Тўловлар[[#This Row],[Терминал]])</f>
        <v>0</v>
      </c>
      <c r="N662" s="30" cm="1">
        <f t="array" ref="N662">IFERROR(LOOKUP(2,1/((Товар!$D$4:$D$1110=Тўловлар[[#This Row],[Клиент]])*(Товар!$E$4:$E$1110&lt;=Тўловлар[[#This Row],[Дата]])),Товар!$L$4:$L$1110),Кўрсаткичлар!$B$4)</f>
        <v>0</v>
      </c>
      <c r="O662" s="30">
        <f>Тўловлар[[#This Row],[Поддон]]*Тўловлар[[#This Row],[Поддон нархи]]</f>
        <v>0</v>
      </c>
      <c r="P662" s="30">
        <f>Тўловлар[[#This Row],[Жами сумма]]-Тўловлар[[#This Row],[Поддон пули]]</f>
        <v>0</v>
      </c>
      <c r="Q6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2" s="9" t="str">
        <f>IFERROR(INDEX(Мижозлар[Агент],MATCH($C662,Мижозлар[Расмий ном],0)),"")</f>
        <v/>
      </c>
    </row>
    <row r="663" spans="6:19" x14ac:dyDescent="0.2">
      <c r="F663" s="198"/>
      <c r="G663" s="9">
        <f>Тўловлар[[#This Row],[Поддон]]*$G$3</f>
        <v>0</v>
      </c>
      <c r="K663" s="9">
        <f>SUM(Тўловлар[[#This Row],[ПР-Сумма]]+Тўловлар[[#This Row],[Накд]]+Тўловлар[[#This Row],[Клик]]+Тўловлар[[#This Row],[Терминал]])</f>
        <v>0</v>
      </c>
      <c r="N663" s="30" cm="1">
        <f t="array" ref="N663">IFERROR(LOOKUP(2,1/((Товар!$D$4:$D$1110=Тўловлар[[#This Row],[Клиент]])*(Товар!$E$4:$E$1110&lt;=Тўловлар[[#This Row],[Дата]])),Товар!$L$4:$L$1110),Кўрсаткичлар!$B$4)</f>
        <v>0</v>
      </c>
      <c r="O663" s="30">
        <f>Тўловлар[[#This Row],[Поддон]]*Тўловлар[[#This Row],[Поддон нархи]]</f>
        <v>0</v>
      </c>
      <c r="P663" s="30">
        <f>Тўловлар[[#This Row],[Жами сумма]]-Тўловлар[[#This Row],[Поддон пули]]</f>
        <v>0</v>
      </c>
      <c r="Q6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3" s="9" t="str">
        <f>IFERROR(INDEX(Мижозлар[Агент],MATCH($C663,Мижозлар[Расмий ном],0)),"")</f>
        <v/>
      </c>
    </row>
    <row r="664" spans="6:19" x14ac:dyDescent="0.2">
      <c r="F664" s="198"/>
      <c r="G664" s="9">
        <f>Тўловлар[[#This Row],[Поддон]]*$G$3</f>
        <v>0</v>
      </c>
      <c r="K664" s="9">
        <f>SUM(Тўловлар[[#This Row],[ПР-Сумма]]+Тўловлар[[#This Row],[Накд]]+Тўловлар[[#This Row],[Клик]]+Тўловлар[[#This Row],[Терминал]])</f>
        <v>0</v>
      </c>
      <c r="N664" s="30" cm="1">
        <f t="array" ref="N664">IFERROR(LOOKUP(2,1/((Товар!$D$4:$D$1110=Тўловлар[[#This Row],[Клиент]])*(Товар!$E$4:$E$1110&lt;=Тўловлар[[#This Row],[Дата]])),Товар!$L$4:$L$1110),Кўрсаткичлар!$B$4)</f>
        <v>0</v>
      </c>
      <c r="O664" s="30">
        <f>Тўловлар[[#This Row],[Поддон]]*Тўловлар[[#This Row],[Поддон нархи]]</f>
        <v>0</v>
      </c>
      <c r="P664" s="30">
        <f>Тўловлар[[#This Row],[Жами сумма]]-Тўловлар[[#This Row],[Поддон пули]]</f>
        <v>0</v>
      </c>
      <c r="Q6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4" s="9" t="str">
        <f>IFERROR(INDEX(Мижозлар[Агент],MATCH($C664,Мижозлар[Расмий ном],0)),"")</f>
        <v/>
      </c>
    </row>
    <row r="665" spans="6:19" x14ac:dyDescent="0.2">
      <c r="F665" s="198"/>
      <c r="G665" s="9">
        <f>Тўловлар[[#This Row],[Поддон]]*$G$3</f>
        <v>0</v>
      </c>
      <c r="K665" s="9">
        <f>SUM(Тўловлар[[#This Row],[ПР-Сумма]]+Тўловлар[[#This Row],[Накд]]+Тўловлар[[#This Row],[Клик]]+Тўловлар[[#This Row],[Терминал]])</f>
        <v>0</v>
      </c>
      <c r="N665" s="30" cm="1">
        <f t="array" ref="N665">IFERROR(LOOKUP(2,1/((Товар!$D$4:$D$1110=Тўловлар[[#This Row],[Клиент]])*(Товар!$E$4:$E$1110&lt;=Тўловлар[[#This Row],[Дата]])),Товар!$L$4:$L$1110),Кўрсаткичлар!$B$4)</f>
        <v>0</v>
      </c>
      <c r="O665" s="30">
        <f>Тўловлар[[#This Row],[Поддон]]*Тўловлар[[#This Row],[Поддон нархи]]</f>
        <v>0</v>
      </c>
      <c r="P665" s="30">
        <f>Тўловлар[[#This Row],[Жами сумма]]-Тўловлар[[#This Row],[Поддон пули]]</f>
        <v>0</v>
      </c>
      <c r="Q6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5" s="9" t="str">
        <f>IFERROR(INDEX(Мижозлар[Агент],MATCH($C665,Мижозлар[Расмий ном],0)),"")</f>
        <v/>
      </c>
    </row>
    <row r="666" spans="6:19" x14ac:dyDescent="0.2">
      <c r="F666" s="198"/>
      <c r="G666" s="9">
        <f>Тўловлар[[#This Row],[Поддон]]*$G$3</f>
        <v>0</v>
      </c>
      <c r="K666" s="9">
        <f>SUM(Тўловлар[[#This Row],[ПР-Сумма]]+Тўловлар[[#This Row],[Накд]]+Тўловлар[[#This Row],[Клик]]+Тўловлар[[#This Row],[Терминал]])</f>
        <v>0</v>
      </c>
      <c r="N666" s="30" cm="1">
        <f t="array" ref="N666">IFERROR(LOOKUP(2,1/((Товар!$D$4:$D$1110=Тўловлар[[#This Row],[Клиент]])*(Товар!$E$4:$E$1110&lt;=Тўловлар[[#This Row],[Дата]])),Товар!$L$4:$L$1110),Кўрсаткичлар!$B$4)</f>
        <v>0</v>
      </c>
      <c r="O666" s="30">
        <f>Тўловлар[[#This Row],[Поддон]]*Тўловлар[[#This Row],[Поддон нархи]]</f>
        <v>0</v>
      </c>
      <c r="P666" s="30">
        <f>Тўловлар[[#This Row],[Жами сумма]]-Тўловлар[[#This Row],[Поддон пули]]</f>
        <v>0</v>
      </c>
      <c r="Q6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6" s="9" t="str">
        <f>IFERROR(INDEX(Мижозлар[Агент],MATCH($C666,Мижозлар[Расмий ном],0)),"")</f>
        <v/>
      </c>
    </row>
    <row r="667" spans="6:19" x14ac:dyDescent="0.2">
      <c r="F667" s="198"/>
      <c r="G667" s="9">
        <f>Тўловлар[[#This Row],[Поддон]]*$G$3</f>
        <v>0</v>
      </c>
      <c r="K667" s="9">
        <f>SUM(Тўловлар[[#This Row],[ПР-Сумма]]+Тўловлар[[#This Row],[Накд]]+Тўловлар[[#This Row],[Клик]]+Тўловлар[[#This Row],[Терминал]])</f>
        <v>0</v>
      </c>
      <c r="N667" s="30" cm="1">
        <f t="array" ref="N667">IFERROR(LOOKUP(2,1/((Товар!$D$4:$D$1110=Тўловлар[[#This Row],[Клиент]])*(Товар!$E$4:$E$1110&lt;=Тўловлар[[#This Row],[Дата]])),Товар!$L$4:$L$1110),Кўрсаткичлар!$B$4)</f>
        <v>0</v>
      </c>
      <c r="O667" s="30">
        <f>Тўловлар[[#This Row],[Поддон]]*Тўловлар[[#This Row],[Поддон нархи]]</f>
        <v>0</v>
      </c>
      <c r="P667" s="30">
        <f>Тўловлар[[#This Row],[Жами сумма]]-Тўловлар[[#This Row],[Поддон пули]]</f>
        <v>0</v>
      </c>
      <c r="Q6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7" s="9" t="str">
        <f>IFERROR(INDEX(Мижозлар[Агент],MATCH($C667,Мижозлар[Расмий ном],0)),"")</f>
        <v/>
      </c>
    </row>
    <row r="668" spans="6:19" x14ac:dyDescent="0.2">
      <c r="F668" s="198"/>
      <c r="G668" s="9">
        <f>Тўловлар[[#This Row],[Поддон]]*$G$3</f>
        <v>0</v>
      </c>
      <c r="K668" s="9">
        <f>SUM(Тўловлар[[#This Row],[ПР-Сумма]]+Тўловлар[[#This Row],[Накд]]+Тўловлар[[#This Row],[Клик]]+Тўловлар[[#This Row],[Терминал]])</f>
        <v>0</v>
      </c>
      <c r="N668" s="30" cm="1">
        <f t="array" ref="N668">IFERROR(LOOKUP(2,1/((Товар!$D$4:$D$1110=Тўловлар[[#This Row],[Клиент]])*(Товар!$E$4:$E$1110&lt;=Тўловлар[[#This Row],[Дата]])),Товар!$L$4:$L$1110),Кўрсаткичлар!$B$4)</f>
        <v>0</v>
      </c>
      <c r="O668" s="30">
        <f>Тўловлар[[#This Row],[Поддон]]*Тўловлар[[#This Row],[Поддон нархи]]</f>
        <v>0</v>
      </c>
      <c r="P668" s="30">
        <f>Тўловлар[[#This Row],[Жами сумма]]-Тўловлар[[#This Row],[Поддон пули]]</f>
        <v>0</v>
      </c>
      <c r="Q6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8" s="9" t="str">
        <f>IFERROR(INDEX(Мижозлар[Агент],MATCH($C668,Мижозлар[Расмий ном],0)),"")</f>
        <v/>
      </c>
    </row>
    <row r="669" spans="6:19" x14ac:dyDescent="0.2">
      <c r="F669" s="198"/>
      <c r="G669" s="9">
        <f>Тўловлар[[#This Row],[Поддон]]*$G$3</f>
        <v>0</v>
      </c>
      <c r="K669" s="9">
        <f>SUM(Тўловлар[[#This Row],[ПР-Сумма]]+Тўловлар[[#This Row],[Накд]]+Тўловлар[[#This Row],[Клик]]+Тўловлар[[#This Row],[Терминал]])</f>
        <v>0</v>
      </c>
      <c r="N669" s="30" cm="1">
        <f t="array" ref="N669">IFERROR(LOOKUP(2,1/((Товар!$D$4:$D$1110=Тўловлар[[#This Row],[Клиент]])*(Товар!$E$4:$E$1110&lt;=Тўловлар[[#This Row],[Дата]])),Товар!$L$4:$L$1110),Кўрсаткичлар!$B$4)</f>
        <v>0</v>
      </c>
      <c r="O669" s="30">
        <f>Тўловлар[[#This Row],[Поддон]]*Тўловлар[[#This Row],[Поддон нархи]]</f>
        <v>0</v>
      </c>
      <c r="P669" s="30">
        <f>Тўловлар[[#This Row],[Жами сумма]]-Тўловлар[[#This Row],[Поддон пули]]</f>
        <v>0</v>
      </c>
      <c r="Q6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69" s="9" t="str">
        <f>IFERROR(INDEX(Мижозлар[Агент],MATCH($C669,Мижозлар[Расмий ном],0)),"")</f>
        <v/>
      </c>
    </row>
    <row r="670" spans="6:19" x14ac:dyDescent="0.2">
      <c r="F670" s="198"/>
      <c r="G670" s="9">
        <f>Тўловлар[[#This Row],[Поддон]]*$G$3</f>
        <v>0</v>
      </c>
      <c r="K670" s="9">
        <f>SUM(Тўловлар[[#This Row],[ПР-Сумма]]+Тўловлар[[#This Row],[Накд]]+Тўловлар[[#This Row],[Клик]]+Тўловлар[[#This Row],[Терминал]])</f>
        <v>0</v>
      </c>
      <c r="N670" s="30" cm="1">
        <f t="array" ref="N670">IFERROR(LOOKUP(2,1/((Товар!$D$4:$D$1110=Тўловлар[[#This Row],[Клиент]])*(Товар!$E$4:$E$1110&lt;=Тўловлар[[#This Row],[Дата]])),Товар!$L$4:$L$1110),Кўрсаткичлар!$B$4)</f>
        <v>0</v>
      </c>
      <c r="O670" s="30">
        <f>Тўловлар[[#This Row],[Поддон]]*Тўловлар[[#This Row],[Поддон нархи]]</f>
        <v>0</v>
      </c>
      <c r="P670" s="30">
        <f>Тўловлар[[#This Row],[Жами сумма]]-Тўловлар[[#This Row],[Поддон пули]]</f>
        <v>0</v>
      </c>
      <c r="Q6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0" s="9" t="str">
        <f>IFERROR(INDEX(Мижозлар[Агент],MATCH($C670,Мижозлар[Расмий ном],0)),"")</f>
        <v/>
      </c>
    </row>
    <row r="671" spans="6:19" x14ac:dyDescent="0.2">
      <c r="F671" s="198"/>
      <c r="G671" s="9">
        <f>Тўловлар[[#This Row],[Поддон]]*$G$3</f>
        <v>0</v>
      </c>
      <c r="K671" s="9">
        <f>SUM(Тўловлар[[#This Row],[ПР-Сумма]]+Тўловлар[[#This Row],[Накд]]+Тўловлар[[#This Row],[Клик]]+Тўловлар[[#This Row],[Терминал]])</f>
        <v>0</v>
      </c>
      <c r="N671" s="30" cm="1">
        <f t="array" ref="N671">IFERROR(LOOKUP(2,1/((Товар!$D$4:$D$1110=Тўловлар[[#This Row],[Клиент]])*(Товар!$E$4:$E$1110&lt;=Тўловлар[[#This Row],[Дата]])),Товар!$L$4:$L$1110),Кўрсаткичлар!$B$4)</f>
        <v>0</v>
      </c>
      <c r="O671" s="30">
        <f>Тўловлар[[#This Row],[Поддон]]*Тўловлар[[#This Row],[Поддон нархи]]</f>
        <v>0</v>
      </c>
      <c r="P671" s="30">
        <f>Тўловлар[[#This Row],[Жами сумма]]-Тўловлар[[#This Row],[Поддон пули]]</f>
        <v>0</v>
      </c>
      <c r="Q6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1" s="9" t="str">
        <f>IFERROR(INDEX(Мижозлар[Агент],MATCH($C671,Мижозлар[Расмий ном],0)),"")</f>
        <v/>
      </c>
    </row>
    <row r="672" spans="6:19" x14ac:dyDescent="0.2">
      <c r="F672" s="198"/>
      <c r="G672" s="9">
        <f>Тўловлар[[#This Row],[Поддон]]*$G$3</f>
        <v>0</v>
      </c>
      <c r="K672" s="9">
        <f>SUM(Тўловлар[[#This Row],[ПР-Сумма]]+Тўловлар[[#This Row],[Накд]]+Тўловлар[[#This Row],[Клик]]+Тўловлар[[#This Row],[Терминал]])</f>
        <v>0</v>
      </c>
      <c r="N672" s="30" cm="1">
        <f t="array" ref="N672">IFERROR(LOOKUP(2,1/((Товар!$D$4:$D$1110=Тўловлар[[#This Row],[Клиент]])*(Товар!$E$4:$E$1110&lt;=Тўловлар[[#This Row],[Дата]])),Товар!$L$4:$L$1110),Кўрсаткичлар!$B$4)</f>
        <v>0</v>
      </c>
      <c r="O672" s="30">
        <f>Тўловлар[[#This Row],[Поддон]]*Тўловлар[[#This Row],[Поддон нархи]]</f>
        <v>0</v>
      </c>
      <c r="P672" s="30">
        <f>Тўловлар[[#This Row],[Жами сумма]]-Тўловлар[[#This Row],[Поддон пули]]</f>
        <v>0</v>
      </c>
      <c r="Q6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2" s="9" t="str">
        <f>IFERROR(INDEX(Мижозлар[Агент],MATCH($C672,Мижозлар[Расмий ном],0)),"")</f>
        <v/>
      </c>
    </row>
    <row r="673" spans="6:19" x14ac:dyDescent="0.2">
      <c r="F673" s="198"/>
      <c r="G673" s="9">
        <f>Тўловлар[[#This Row],[Поддон]]*$G$3</f>
        <v>0</v>
      </c>
      <c r="K673" s="9">
        <f>SUM(Тўловлар[[#This Row],[ПР-Сумма]]+Тўловлар[[#This Row],[Накд]]+Тўловлар[[#This Row],[Клик]]+Тўловлар[[#This Row],[Терминал]])</f>
        <v>0</v>
      </c>
      <c r="N673" s="30" cm="1">
        <f t="array" ref="N673">IFERROR(LOOKUP(2,1/((Товар!$D$4:$D$1110=Тўловлар[[#This Row],[Клиент]])*(Товар!$E$4:$E$1110&lt;=Тўловлар[[#This Row],[Дата]])),Товар!$L$4:$L$1110),Кўрсаткичлар!$B$4)</f>
        <v>0</v>
      </c>
      <c r="O673" s="30">
        <f>Тўловлар[[#This Row],[Поддон]]*Тўловлар[[#This Row],[Поддон нархи]]</f>
        <v>0</v>
      </c>
      <c r="P673" s="30">
        <f>Тўловлар[[#This Row],[Жами сумма]]-Тўловлар[[#This Row],[Поддон пули]]</f>
        <v>0</v>
      </c>
      <c r="Q6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3" s="9" t="str">
        <f>IFERROR(INDEX(Мижозлар[Агент],MATCH($C673,Мижозлар[Расмий ном],0)),"")</f>
        <v/>
      </c>
    </row>
    <row r="674" spans="6:19" x14ac:dyDescent="0.2">
      <c r="F674" s="198"/>
      <c r="G674" s="9">
        <f>Тўловлар[[#This Row],[Поддон]]*$G$3</f>
        <v>0</v>
      </c>
      <c r="K674" s="9">
        <f>SUM(Тўловлар[[#This Row],[ПР-Сумма]]+Тўловлар[[#This Row],[Накд]]+Тўловлар[[#This Row],[Клик]]+Тўловлар[[#This Row],[Терминал]])</f>
        <v>0</v>
      </c>
      <c r="N674" s="30" cm="1">
        <f t="array" ref="N674">IFERROR(LOOKUP(2,1/((Товар!$D$4:$D$1110=Тўловлар[[#This Row],[Клиент]])*(Товар!$E$4:$E$1110&lt;=Тўловлар[[#This Row],[Дата]])),Товар!$L$4:$L$1110),Кўрсаткичлар!$B$4)</f>
        <v>0</v>
      </c>
      <c r="O674" s="30">
        <f>Тўловлар[[#This Row],[Поддон]]*Тўловлар[[#This Row],[Поддон нархи]]</f>
        <v>0</v>
      </c>
      <c r="P674" s="30">
        <f>Тўловлар[[#This Row],[Жами сумма]]-Тўловлар[[#This Row],[Поддон пули]]</f>
        <v>0</v>
      </c>
      <c r="Q6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4" s="9" t="str">
        <f>IFERROR(INDEX(Мижозлар[Агент],MATCH($C674,Мижозлар[Расмий ном],0)),"")</f>
        <v/>
      </c>
    </row>
    <row r="675" spans="6:19" x14ac:dyDescent="0.2">
      <c r="F675" s="198"/>
      <c r="G675" s="9">
        <f>Тўловлар[[#This Row],[Поддон]]*$G$3</f>
        <v>0</v>
      </c>
      <c r="K675" s="9">
        <f>SUM(Тўловлар[[#This Row],[ПР-Сумма]]+Тўловлар[[#This Row],[Накд]]+Тўловлар[[#This Row],[Клик]]+Тўловлар[[#This Row],[Терминал]])</f>
        <v>0</v>
      </c>
      <c r="N675" s="30" cm="1">
        <f t="array" ref="N675">IFERROR(LOOKUP(2,1/((Товар!$D$4:$D$1110=Тўловлар[[#This Row],[Клиент]])*(Товар!$E$4:$E$1110&lt;=Тўловлар[[#This Row],[Дата]])),Товар!$L$4:$L$1110),Кўрсаткичлар!$B$4)</f>
        <v>0</v>
      </c>
      <c r="O675" s="30">
        <f>Тўловлар[[#This Row],[Поддон]]*Тўловлар[[#This Row],[Поддон нархи]]</f>
        <v>0</v>
      </c>
      <c r="P675" s="30">
        <f>Тўловлар[[#This Row],[Жами сумма]]-Тўловлар[[#This Row],[Поддон пули]]</f>
        <v>0</v>
      </c>
      <c r="Q6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5" s="9" t="str">
        <f>IFERROR(INDEX(Мижозлар[Агент],MATCH($C675,Мижозлар[Расмий ном],0)),"")</f>
        <v/>
      </c>
    </row>
    <row r="676" spans="6:19" x14ac:dyDescent="0.2">
      <c r="F676" s="198"/>
      <c r="G676" s="9">
        <f>Тўловлар[[#This Row],[Поддон]]*$G$3</f>
        <v>0</v>
      </c>
      <c r="K676" s="9">
        <f>SUM(Тўловлар[[#This Row],[ПР-Сумма]]+Тўловлар[[#This Row],[Накд]]+Тўловлар[[#This Row],[Клик]]+Тўловлар[[#This Row],[Терминал]])</f>
        <v>0</v>
      </c>
      <c r="N676" s="30" cm="1">
        <f t="array" ref="N676">IFERROR(LOOKUP(2,1/((Товар!$D$4:$D$1110=Тўловлар[[#This Row],[Клиент]])*(Товар!$E$4:$E$1110&lt;=Тўловлар[[#This Row],[Дата]])),Товар!$L$4:$L$1110),Кўрсаткичлар!$B$4)</f>
        <v>0</v>
      </c>
      <c r="O676" s="30">
        <f>Тўловлар[[#This Row],[Поддон]]*Тўловлар[[#This Row],[Поддон нархи]]</f>
        <v>0</v>
      </c>
      <c r="P676" s="30">
        <f>Тўловлар[[#This Row],[Жами сумма]]-Тўловлар[[#This Row],[Поддон пули]]</f>
        <v>0</v>
      </c>
      <c r="Q6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6" s="9" t="str">
        <f>IFERROR(INDEX(Мижозлар[Агент],MATCH($C676,Мижозлар[Расмий ном],0)),"")</f>
        <v/>
      </c>
    </row>
    <row r="677" spans="6:19" x14ac:dyDescent="0.2">
      <c r="F677" s="198"/>
      <c r="G677" s="9">
        <f>Тўловлар[[#This Row],[Поддон]]*$G$3</f>
        <v>0</v>
      </c>
      <c r="K677" s="9">
        <f>SUM(Тўловлар[[#This Row],[ПР-Сумма]]+Тўловлар[[#This Row],[Накд]]+Тўловлар[[#This Row],[Клик]]+Тўловлар[[#This Row],[Терминал]])</f>
        <v>0</v>
      </c>
      <c r="N677" s="30" cm="1">
        <f t="array" ref="N677">IFERROR(LOOKUP(2,1/((Товар!$D$4:$D$1110=Тўловлар[[#This Row],[Клиент]])*(Товар!$E$4:$E$1110&lt;=Тўловлар[[#This Row],[Дата]])),Товар!$L$4:$L$1110),Кўрсаткичлар!$B$4)</f>
        <v>0</v>
      </c>
      <c r="O677" s="30">
        <f>Тўловлар[[#This Row],[Поддон]]*Тўловлар[[#This Row],[Поддон нархи]]</f>
        <v>0</v>
      </c>
      <c r="P677" s="30">
        <f>Тўловлар[[#This Row],[Жами сумма]]-Тўловлар[[#This Row],[Поддон пули]]</f>
        <v>0</v>
      </c>
      <c r="Q6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7" s="9" t="str">
        <f>IFERROR(INDEX(Мижозлар[Агент],MATCH($C677,Мижозлар[Расмий ном],0)),"")</f>
        <v/>
      </c>
    </row>
    <row r="678" spans="6:19" x14ac:dyDescent="0.2">
      <c r="F678" s="198"/>
      <c r="G678" s="9">
        <f>Тўловлар[[#This Row],[Поддон]]*$G$3</f>
        <v>0</v>
      </c>
      <c r="K678" s="9">
        <f>SUM(Тўловлар[[#This Row],[ПР-Сумма]]+Тўловлар[[#This Row],[Накд]]+Тўловлар[[#This Row],[Клик]]+Тўловлар[[#This Row],[Терминал]])</f>
        <v>0</v>
      </c>
      <c r="N678" s="30" cm="1">
        <f t="array" ref="N678">IFERROR(LOOKUP(2,1/((Товар!$D$4:$D$1110=Тўловлар[[#This Row],[Клиент]])*(Товар!$E$4:$E$1110&lt;=Тўловлар[[#This Row],[Дата]])),Товар!$L$4:$L$1110),Кўрсаткичлар!$B$4)</f>
        <v>0</v>
      </c>
      <c r="O678" s="30">
        <f>Тўловлар[[#This Row],[Поддон]]*Тўловлар[[#This Row],[Поддон нархи]]</f>
        <v>0</v>
      </c>
      <c r="P678" s="30">
        <f>Тўловлар[[#This Row],[Жами сумма]]-Тўловлар[[#This Row],[Поддон пули]]</f>
        <v>0</v>
      </c>
      <c r="Q6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8" s="9" t="str">
        <f>IFERROR(INDEX(Мижозлар[Агент],MATCH($C678,Мижозлар[Расмий ном],0)),"")</f>
        <v/>
      </c>
    </row>
    <row r="679" spans="6:19" x14ac:dyDescent="0.2">
      <c r="F679" s="198"/>
      <c r="G679" s="9">
        <f>Тўловлар[[#This Row],[Поддон]]*$G$3</f>
        <v>0</v>
      </c>
      <c r="K679" s="9">
        <f>SUM(Тўловлар[[#This Row],[ПР-Сумма]]+Тўловлар[[#This Row],[Накд]]+Тўловлар[[#This Row],[Клик]]+Тўловлар[[#This Row],[Терминал]])</f>
        <v>0</v>
      </c>
      <c r="N679" s="30" cm="1">
        <f t="array" ref="N679">IFERROR(LOOKUP(2,1/((Товар!$D$4:$D$1110=Тўловлар[[#This Row],[Клиент]])*(Товар!$E$4:$E$1110&lt;=Тўловлар[[#This Row],[Дата]])),Товар!$L$4:$L$1110),Кўрсаткичлар!$B$4)</f>
        <v>0</v>
      </c>
      <c r="O679" s="30">
        <f>Тўловлар[[#This Row],[Поддон]]*Тўловлар[[#This Row],[Поддон нархи]]</f>
        <v>0</v>
      </c>
      <c r="P679" s="30">
        <f>Тўловлар[[#This Row],[Жами сумма]]-Тўловлар[[#This Row],[Поддон пули]]</f>
        <v>0</v>
      </c>
      <c r="Q6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79" s="9" t="str">
        <f>IFERROR(INDEX(Мижозлар[Агент],MATCH($C679,Мижозлар[Расмий ном],0)),"")</f>
        <v/>
      </c>
    </row>
    <row r="680" spans="6:19" x14ac:dyDescent="0.2">
      <c r="F680" s="198"/>
      <c r="G680" s="9">
        <f>Тўловлар[[#This Row],[Поддон]]*$G$3</f>
        <v>0</v>
      </c>
      <c r="K680" s="9">
        <f>SUM(Тўловлар[[#This Row],[ПР-Сумма]]+Тўловлар[[#This Row],[Накд]]+Тўловлар[[#This Row],[Клик]]+Тўловлар[[#This Row],[Терминал]])</f>
        <v>0</v>
      </c>
      <c r="N680" s="30" cm="1">
        <f t="array" ref="N680">IFERROR(LOOKUP(2,1/((Товар!$D$4:$D$1110=Тўловлар[[#This Row],[Клиент]])*(Товар!$E$4:$E$1110&lt;=Тўловлар[[#This Row],[Дата]])),Товар!$L$4:$L$1110),Кўрсаткичлар!$B$4)</f>
        <v>0</v>
      </c>
      <c r="O680" s="30">
        <f>Тўловлар[[#This Row],[Поддон]]*Тўловлар[[#This Row],[Поддон нархи]]</f>
        <v>0</v>
      </c>
      <c r="P680" s="30">
        <f>Тўловлар[[#This Row],[Жами сумма]]-Тўловлар[[#This Row],[Поддон пули]]</f>
        <v>0</v>
      </c>
      <c r="Q6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0" s="9" t="str">
        <f>IFERROR(INDEX(Мижозлар[Агент],MATCH($C680,Мижозлар[Расмий ном],0)),"")</f>
        <v/>
      </c>
    </row>
    <row r="681" spans="6:19" x14ac:dyDescent="0.2">
      <c r="F681" s="198"/>
      <c r="G681" s="9">
        <f>Тўловлар[[#This Row],[Поддон]]*$G$3</f>
        <v>0</v>
      </c>
      <c r="K681" s="9">
        <f>SUM(Тўловлар[[#This Row],[ПР-Сумма]]+Тўловлар[[#This Row],[Накд]]+Тўловлар[[#This Row],[Клик]]+Тўловлар[[#This Row],[Терминал]])</f>
        <v>0</v>
      </c>
      <c r="N681" s="30" cm="1">
        <f t="array" ref="N681">IFERROR(LOOKUP(2,1/((Товар!$D$4:$D$1110=Тўловлар[[#This Row],[Клиент]])*(Товар!$E$4:$E$1110&lt;=Тўловлар[[#This Row],[Дата]])),Товар!$L$4:$L$1110),Кўрсаткичлар!$B$4)</f>
        <v>0</v>
      </c>
      <c r="O681" s="30">
        <f>Тўловлар[[#This Row],[Поддон]]*Тўловлар[[#This Row],[Поддон нархи]]</f>
        <v>0</v>
      </c>
      <c r="P681" s="30">
        <f>Тўловлар[[#This Row],[Жами сумма]]-Тўловлар[[#This Row],[Поддон пули]]</f>
        <v>0</v>
      </c>
      <c r="Q6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1" s="9" t="str">
        <f>IFERROR(INDEX(Мижозлар[Агент],MATCH($C681,Мижозлар[Расмий ном],0)),"")</f>
        <v/>
      </c>
    </row>
    <row r="682" spans="6:19" x14ac:dyDescent="0.2">
      <c r="F682" s="198"/>
      <c r="G682" s="9">
        <f>Тўловлар[[#This Row],[Поддон]]*$G$3</f>
        <v>0</v>
      </c>
      <c r="K682" s="9">
        <f>SUM(Тўловлар[[#This Row],[ПР-Сумма]]+Тўловлар[[#This Row],[Накд]]+Тўловлар[[#This Row],[Клик]]+Тўловлар[[#This Row],[Терминал]])</f>
        <v>0</v>
      </c>
      <c r="N682" s="30" cm="1">
        <f t="array" ref="N682">IFERROR(LOOKUP(2,1/((Товар!$D$4:$D$1110=Тўловлар[[#This Row],[Клиент]])*(Товар!$E$4:$E$1110&lt;=Тўловлар[[#This Row],[Дата]])),Товар!$L$4:$L$1110),Кўрсаткичлар!$B$4)</f>
        <v>0</v>
      </c>
      <c r="O682" s="30">
        <f>Тўловлар[[#This Row],[Поддон]]*Тўловлар[[#This Row],[Поддон нархи]]</f>
        <v>0</v>
      </c>
      <c r="P682" s="30">
        <f>Тўловлар[[#This Row],[Жами сумма]]-Тўловлар[[#This Row],[Поддон пули]]</f>
        <v>0</v>
      </c>
      <c r="Q6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2" s="9" t="str">
        <f>IFERROR(INDEX(Мижозлар[Агент],MATCH($C682,Мижозлар[Расмий ном],0)),"")</f>
        <v/>
      </c>
    </row>
    <row r="683" spans="6:19" x14ac:dyDescent="0.2">
      <c r="F683" s="198"/>
      <c r="G683" s="9">
        <f>Тўловлар[[#This Row],[Поддон]]*$G$3</f>
        <v>0</v>
      </c>
      <c r="K683" s="9">
        <f>SUM(Тўловлар[[#This Row],[ПР-Сумма]]+Тўловлар[[#This Row],[Накд]]+Тўловлар[[#This Row],[Клик]]+Тўловлар[[#This Row],[Терминал]])</f>
        <v>0</v>
      </c>
      <c r="N683" s="30" cm="1">
        <f t="array" ref="N683">IFERROR(LOOKUP(2,1/((Товар!$D$4:$D$1110=Тўловлар[[#This Row],[Клиент]])*(Товар!$E$4:$E$1110&lt;=Тўловлар[[#This Row],[Дата]])),Товар!$L$4:$L$1110),Кўрсаткичлар!$B$4)</f>
        <v>0</v>
      </c>
      <c r="O683" s="30">
        <f>Тўловлар[[#This Row],[Поддон]]*Тўловлар[[#This Row],[Поддон нархи]]</f>
        <v>0</v>
      </c>
      <c r="P683" s="30">
        <f>Тўловлар[[#This Row],[Жами сумма]]-Тўловлар[[#This Row],[Поддон пули]]</f>
        <v>0</v>
      </c>
      <c r="Q6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3" s="9" t="str">
        <f>IFERROR(INDEX(Мижозлар[Агент],MATCH($C683,Мижозлар[Расмий ном],0)),"")</f>
        <v/>
      </c>
    </row>
    <row r="684" spans="6:19" x14ac:dyDescent="0.2">
      <c r="F684" s="198"/>
      <c r="G684" s="9">
        <f>Тўловлар[[#This Row],[Поддон]]*$G$3</f>
        <v>0</v>
      </c>
      <c r="K684" s="9">
        <f>SUM(Тўловлар[[#This Row],[ПР-Сумма]]+Тўловлар[[#This Row],[Накд]]+Тўловлар[[#This Row],[Клик]]+Тўловлар[[#This Row],[Терминал]])</f>
        <v>0</v>
      </c>
      <c r="N684" s="30" cm="1">
        <f t="array" ref="N684">IFERROR(LOOKUP(2,1/((Товар!$D$4:$D$1110=Тўловлар[[#This Row],[Клиент]])*(Товар!$E$4:$E$1110&lt;=Тўловлар[[#This Row],[Дата]])),Товар!$L$4:$L$1110),Кўрсаткичлар!$B$4)</f>
        <v>0</v>
      </c>
      <c r="O684" s="30">
        <f>Тўловлар[[#This Row],[Поддон]]*Тўловлар[[#This Row],[Поддон нархи]]</f>
        <v>0</v>
      </c>
      <c r="P684" s="30">
        <f>Тўловлар[[#This Row],[Жами сумма]]-Тўловлар[[#This Row],[Поддон пули]]</f>
        <v>0</v>
      </c>
      <c r="Q6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4" s="9" t="str">
        <f>IFERROR(INDEX(Мижозлар[Агент],MATCH($C684,Мижозлар[Расмий ном],0)),"")</f>
        <v/>
      </c>
    </row>
    <row r="685" spans="6:19" x14ac:dyDescent="0.2">
      <c r="F685" s="198"/>
      <c r="G685" s="9">
        <f>Тўловлар[[#This Row],[Поддон]]*$G$3</f>
        <v>0</v>
      </c>
      <c r="K685" s="9">
        <f>SUM(Тўловлар[[#This Row],[ПР-Сумма]]+Тўловлар[[#This Row],[Накд]]+Тўловлар[[#This Row],[Клик]]+Тўловлар[[#This Row],[Терминал]])</f>
        <v>0</v>
      </c>
      <c r="N685" s="30" cm="1">
        <f t="array" ref="N685">IFERROR(LOOKUP(2,1/((Товар!$D$4:$D$1110=Тўловлар[[#This Row],[Клиент]])*(Товар!$E$4:$E$1110&lt;=Тўловлар[[#This Row],[Дата]])),Товар!$L$4:$L$1110),Кўрсаткичлар!$B$4)</f>
        <v>0</v>
      </c>
      <c r="O685" s="30">
        <f>Тўловлар[[#This Row],[Поддон]]*Тўловлар[[#This Row],[Поддон нархи]]</f>
        <v>0</v>
      </c>
      <c r="P685" s="30">
        <f>Тўловлар[[#This Row],[Жами сумма]]-Тўловлар[[#This Row],[Поддон пули]]</f>
        <v>0</v>
      </c>
      <c r="Q6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5" s="9" t="str">
        <f>IFERROR(INDEX(Мижозлар[Агент],MATCH($C685,Мижозлар[Расмий ном],0)),"")</f>
        <v/>
      </c>
    </row>
    <row r="686" spans="6:19" x14ac:dyDescent="0.2">
      <c r="F686" s="198"/>
      <c r="G686" s="9">
        <f>Тўловлар[[#This Row],[Поддон]]*$G$3</f>
        <v>0</v>
      </c>
      <c r="K686" s="9">
        <f>SUM(Тўловлар[[#This Row],[ПР-Сумма]]+Тўловлар[[#This Row],[Накд]]+Тўловлар[[#This Row],[Клик]]+Тўловлар[[#This Row],[Терминал]])</f>
        <v>0</v>
      </c>
      <c r="N686" s="30" cm="1">
        <f t="array" ref="N686">IFERROR(LOOKUP(2,1/((Товар!$D$4:$D$1110=Тўловлар[[#This Row],[Клиент]])*(Товар!$E$4:$E$1110&lt;=Тўловлар[[#This Row],[Дата]])),Товар!$L$4:$L$1110),Кўрсаткичлар!$B$4)</f>
        <v>0</v>
      </c>
      <c r="O686" s="30">
        <f>Тўловлар[[#This Row],[Поддон]]*Тўловлар[[#This Row],[Поддон нархи]]</f>
        <v>0</v>
      </c>
      <c r="P686" s="30">
        <f>Тўловлар[[#This Row],[Жами сумма]]-Тўловлар[[#This Row],[Поддон пули]]</f>
        <v>0</v>
      </c>
      <c r="Q6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6" s="9" t="str">
        <f>IFERROR(INDEX(Мижозлар[Агент],MATCH($C686,Мижозлар[Расмий ном],0)),"")</f>
        <v/>
      </c>
    </row>
    <row r="687" spans="6:19" x14ac:dyDescent="0.2">
      <c r="F687" s="198"/>
      <c r="G687" s="9">
        <f>Тўловлар[[#This Row],[Поддон]]*$G$3</f>
        <v>0</v>
      </c>
      <c r="K687" s="9">
        <f>SUM(Тўловлар[[#This Row],[ПР-Сумма]]+Тўловлар[[#This Row],[Накд]]+Тўловлар[[#This Row],[Клик]]+Тўловлар[[#This Row],[Терминал]])</f>
        <v>0</v>
      </c>
      <c r="N687" s="30" cm="1">
        <f t="array" ref="N687">IFERROR(LOOKUP(2,1/((Товар!$D$4:$D$1110=Тўловлар[[#This Row],[Клиент]])*(Товар!$E$4:$E$1110&lt;=Тўловлар[[#This Row],[Дата]])),Товар!$L$4:$L$1110),Кўрсаткичлар!$B$4)</f>
        <v>0</v>
      </c>
      <c r="O687" s="30">
        <f>Тўловлар[[#This Row],[Поддон]]*Тўловлар[[#This Row],[Поддон нархи]]</f>
        <v>0</v>
      </c>
      <c r="P687" s="30">
        <f>Тўловлар[[#This Row],[Жами сумма]]-Тўловлар[[#This Row],[Поддон пули]]</f>
        <v>0</v>
      </c>
      <c r="Q6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7" s="9" t="str">
        <f>IFERROR(INDEX(Мижозлар[Агент],MATCH($C687,Мижозлар[Расмий ном],0)),"")</f>
        <v/>
      </c>
    </row>
    <row r="688" spans="6:19" x14ac:dyDescent="0.2">
      <c r="F688" s="198"/>
      <c r="G688" s="9">
        <f>Тўловлар[[#This Row],[Поддон]]*$G$3</f>
        <v>0</v>
      </c>
      <c r="K688" s="9">
        <f>SUM(Тўловлар[[#This Row],[ПР-Сумма]]+Тўловлар[[#This Row],[Накд]]+Тўловлар[[#This Row],[Клик]]+Тўловлар[[#This Row],[Терминал]])</f>
        <v>0</v>
      </c>
      <c r="N688" s="30" cm="1">
        <f t="array" ref="N688">IFERROR(LOOKUP(2,1/((Товар!$D$4:$D$1110=Тўловлар[[#This Row],[Клиент]])*(Товар!$E$4:$E$1110&lt;=Тўловлар[[#This Row],[Дата]])),Товар!$L$4:$L$1110),Кўрсаткичлар!$B$4)</f>
        <v>0</v>
      </c>
      <c r="O688" s="30">
        <f>Тўловлар[[#This Row],[Поддон]]*Тўловлар[[#This Row],[Поддон нархи]]</f>
        <v>0</v>
      </c>
      <c r="P688" s="30">
        <f>Тўловлар[[#This Row],[Жами сумма]]-Тўловлар[[#This Row],[Поддон пули]]</f>
        <v>0</v>
      </c>
      <c r="Q6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8" s="9" t="str">
        <f>IFERROR(INDEX(Мижозлар[Агент],MATCH($C688,Мижозлар[Расмий ном],0)),"")</f>
        <v/>
      </c>
    </row>
    <row r="689" spans="4:19" x14ac:dyDescent="0.2">
      <c r="F689" s="198"/>
      <c r="G689" s="9">
        <f>Тўловлар[[#This Row],[Поддон]]*$G$3</f>
        <v>0</v>
      </c>
      <c r="K689" s="9">
        <f>SUM(Тўловлар[[#This Row],[ПР-Сумма]]+Тўловлар[[#This Row],[Накд]]+Тўловлар[[#This Row],[Клик]]+Тўловлар[[#This Row],[Терминал]])</f>
        <v>0</v>
      </c>
      <c r="N689" s="30" cm="1">
        <f t="array" ref="N689">IFERROR(LOOKUP(2,1/((Товар!$D$4:$D$1110=Тўловлар[[#This Row],[Клиент]])*(Товар!$E$4:$E$1110&lt;=Тўловлар[[#This Row],[Дата]])),Товар!$L$4:$L$1110),Кўрсаткичлар!$B$4)</f>
        <v>0</v>
      </c>
      <c r="O689" s="30">
        <f>Тўловлар[[#This Row],[Поддон]]*Тўловлар[[#This Row],[Поддон нархи]]</f>
        <v>0</v>
      </c>
      <c r="P689" s="30">
        <f>Тўловлар[[#This Row],[Жами сумма]]-Тўловлар[[#This Row],[Поддон пули]]</f>
        <v>0</v>
      </c>
      <c r="Q6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89" s="9" t="str">
        <f>IFERROR(INDEX(Мижозлар[Агент],MATCH($C689,Мижозлар[Расмий ном],0)),"")</f>
        <v/>
      </c>
    </row>
    <row r="690" spans="4:19" x14ac:dyDescent="0.2">
      <c r="F690" s="198"/>
      <c r="G690" s="9">
        <f>Тўловлар[[#This Row],[Поддон]]*$G$3</f>
        <v>0</v>
      </c>
      <c r="K690" s="9">
        <f>SUM(Тўловлар[[#This Row],[ПР-Сумма]]+Тўловлар[[#This Row],[Накд]]+Тўловлар[[#This Row],[Клик]]+Тўловлар[[#This Row],[Терминал]])</f>
        <v>0</v>
      </c>
      <c r="N690" s="30" cm="1">
        <f t="array" ref="N690">IFERROR(LOOKUP(2,1/((Товар!$D$4:$D$1110=Тўловлар[[#This Row],[Клиент]])*(Товар!$E$4:$E$1110&lt;=Тўловлар[[#This Row],[Дата]])),Товар!$L$4:$L$1110),Кўрсаткичлар!$B$4)</f>
        <v>0</v>
      </c>
      <c r="O690" s="30">
        <f>Тўловлар[[#This Row],[Поддон]]*Тўловлар[[#This Row],[Поддон нархи]]</f>
        <v>0</v>
      </c>
      <c r="P690" s="30">
        <f>Тўловлар[[#This Row],[Жами сумма]]-Тўловлар[[#This Row],[Поддон пули]]</f>
        <v>0</v>
      </c>
      <c r="Q6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0" s="9" t="str">
        <f>IFERROR(INDEX(Мижозлар[Агент],MATCH($C690,Мижозлар[Расмий ном],0)),"")</f>
        <v/>
      </c>
    </row>
    <row r="691" spans="4:19" x14ac:dyDescent="0.2">
      <c r="F691" s="198"/>
      <c r="G691" s="9">
        <f>Тўловлар[[#This Row],[Поддон]]*$G$3</f>
        <v>0</v>
      </c>
      <c r="K691" s="9">
        <f>SUM(Тўловлар[[#This Row],[ПР-Сумма]]+Тўловлар[[#This Row],[Накд]]+Тўловлар[[#This Row],[Клик]]+Тўловлар[[#This Row],[Терминал]])</f>
        <v>0</v>
      </c>
      <c r="N691" s="30" cm="1">
        <f t="array" ref="N691">IFERROR(LOOKUP(2,1/((Товар!$D$4:$D$1110=Тўловлар[[#This Row],[Клиент]])*(Товар!$E$4:$E$1110&lt;=Тўловлар[[#This Row],[Дата]])),Товар!$L$4:$L$1110),Кўрсаткичлар!$B$4)</f>
        <v>0</v>
      </c>
      <c r="O691" s="30">
        <f>Тўловлар[[#This Row],[Поддон]]*Тўловлар[[#This Row],[Поддон нархи]]</f>
        <v>0</v>
      </c>
      <c r="P691" s="30">
        <f>Тўловлар[[#This Row],[Жами сумма]]-Тўловлар[[#This Row],[Поддон пули]]</f>
        <v>0</v>
      </c>
      <c r="Q6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1" s="9" t="str">
        <f>IFERROR(INDEX(Мижозлар[Агент],MATCH($C691,Мижозлар[Расмий ном],0)),"")</f>
        <v/>
      </c>
    </row>
    <row r="692" spans="4:19" x14ac:dyDescent="0.2">
      <c r="D692" s="13"/>
      <c r="F692" s="198"/>
      <c r="G692" s="9">
        <f>Тўловлар[[#This Row],[Поддон]]*$G$3</f>
        <v>0</v>
      </c>
      <c r="K692" s="9">
        <f>SUM(Тўловлар[[#This Row],[ПР-Сумма]]+Тўловлар[[#This Row],[Накд]]+Тўловлар[[#This Row],[Клик]]+Тўловлар[[#This Row],[Терминал]])</f>
        <v>0</v>
      </c>
      <c r="N692" s="30" cm="1">
        <f t="array" ref="N692">IFERROR(LOOKUP(2,1/((Товар!$D$4:$D$1110=Тўловлар[[#This Row],[Клиент]])*(Товар!$E$4:$E$1110&lt;=Тўловлар[[#This Row],[Дата]])),Товар!$L$4:$L$1110),Кўрсаткичлар!$B$4)</f>
        <v>0</v>
      </c>
      <c r="O692" s="30">
        <f>Тўловлар[[#This Row],[Поддон]]*Тўловлар[[#This Row],[Поддон нархи]]</f>
        <v>0</v>
      </c>
      <c r="P692" s="30">
        <f>Тўловлар[[#This Row],[Жами сумма]]-Тўловлар[[#This Row],[Поддон пули]]</f>
        <v>0</v>
      </c>
      <c r="Q6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2" s="9" t="str">
        <f>IFERROR(INDEX(Мижозлар[Агент],MATCH($C692,Мижозлар[Расмий ном],0)),"")</f>
        <v/>
      </c>
    </row>
    <row r="693" spans="4:19" x14ac:dyDescent="0.2">
      <c r="D693" s="13"/>
      <c r="F693" s="198"/>
      <c r="G693" s="9">
        <f>Тўловлар[[#This Row],[Поддон]]*$G$3</f>
        <v>0</v>
      </c>
      <c r="K693" s="9">
        <f>SUM(Тўловлар[[#This Row],[ПР-Сумма]]+Тўловлар[[#This Row],[Накд]]+Тўловлар[[#This Row],[Клик]]+Тўловлар[[#This Row],[Терминал]])</f>
        <v>0</v>
      </c>
      <c r="N693" s="30" cm="1">
        <f t="array" ref="N693">IFERROR(LOOKUP(2,1/((Товар!$D$4:$D$1110=Тўловлар[[#This Row],[Клиент]])*(Товар!$E$4:$E$1110&lt;=Тўловлар[[#This Row],[Дата]])),Товар!$L$4:$L$1110),Кўрсаткичлар!$B$4)</f>
        <v>0</v>
      </c>
      <c r="O693" s="30">
        <f>Тўловлар[[#This Row],[Поддон]]*Тўловлар[[#This Row],[Поддон нархи]]</f>
        <v>0</v>
      </c>
      <c r="P693" s="30">
        <f>Тўловлар[[#This Row],[Жами сумма]]-Тўловлар[[#This Row],[Поддон пули]]</f>
        <v>0</v>
      </c>
      <c r="Q6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3" s="9" t="str">
        <f>IFERROR(INDEX(Мижозлар[Агент],MATCH($C693,Мижозлар[Расмий ном],0)),"")</f>
        <v/>
      </c>
    </row>
    <row r="694" spans="4:19" x14ac:dyDescent="0.2">
      <c r="F694" s="198"/>
      <c r="G694" s="9">
        <f>Тўловлар[[#This Row],[Поддон]]*$G$3</f>
        <v>0</v>
      </c>
      <c r="K694" s="9">
        <f>SUM(Тўловлар[[#This Row],[ПР-Сумма]]+Тўловлар[[#This Row],[Накд]]+Тўловлар[[#This Row],[Клик]]+Тўловлар[[#This Row],[Терминал]])</f>
        <v>0</v>
      </c>
      <c r="N694" s="30" cm="1">
        <f t="array" ref="N694">IFERROR(LOOKUP(2,1/((Товар!$D$4:$D$1110=Тўловлар[[#This Row],[Клиент]])*(Товар!$E$4:$E$1110&lt;=Тўловлар[[#This Row],[Дата]])),Товар!$L$4:$L$1110),Кўрсаткичлар!$B$4)</f>
        <v>0</v>
      </c>
      <c r="O694" s="30">
        <f>Тўловлар[[#This Row],[Поддон]]*Тўловлар[[#This Row],[Поддон нархи]]</f>
        <v>0</v>
      </c>
      <c r="P694" s="30">
        <f>Тўловлар[[#This Row],[Жами сумма]]-Тўловлар[[#This Row],[Поддон пули]]</f>
        <v>0</v>
      </c>
      <c r="Q6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4" s="9" t="str">
        <f>IFERROR(INDEX(Мижозлар[Агент],MATCH($C694,Мижозлар[Расмий ном],0)),"")</f>
        <v/>
      </c>
    </row>
    <row r="695" spans="4:19" x14ac:dyDescent="0.2">
      <c r="F695" s="198"/>
      <c r="G695" s="9">
        <f>Тўловлар[[#This Row],[Поддон]]*$G$3</f>
        <v>0</v>
      </c>
      <c r="K695" s="9">
        <f>SUM(Тўловлар[[#This Row],[ПР-Сумма]]+Тўловлар[[#This Row],[Накд]]+Тўловлар[[#This Row],[Клик]]+Тўловлар[[#This Row],[Терминал]])</f>
        <v>0</v>
      </c>
      <c r="N695" s="30" cm="1">
        <f t="array" ref="N695">IFERROR(LOOKUP(2,1/((Товар!$D$4:$D$1110=Тўловлар[[#This Row],[Клиент]])*(Товар!$E$4:$E$1110&lt;=Тўловлар[[#This Row],[Дата]])),Товар!$L$4:$L$1110),Кўрсаткичлар!$B$4)</f>
        <v>0</v>
      </c>
      <c r="O695" s="30">
        <f>Тўловлар[[#This Row],[Поддон]]*Тўловлар[[#This Row],[Поддон нархи]]</f>
        <v>0</v>
      </c>
      <c r="P695" s="30">
        <f>Тўловлар[[#This Row],[Жами сумма]]-Тўловлар[[#This Row],[Поддон пули]]</f>
        <v>0</v>
      </c>
      <c r="Q6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5" s="9" t="str">
        <f>IFERROR(INDEX(Мижозлар[Агент],MATCH($C695,Мижозлар[Расмий ном],0)),"")</f>
        <v/>
      </c>
    </row>
    <row r="696" spans="4:19" x14ac:dyDescent="0.2">
      <c r="F696" s="198"/>
      <c r="G696" s="9">
        <f>Тўловлар[[#This Row],[Поддон]]*$G$3</f>
        <v>0</v>
      </c>
      <c r="K696" s="9">
        <f>SUM(Тўловлар[[#This Row],[ПР-Сумма]]+Тўловлар[[#This Row],[Накд]]+Тўловлар[[#This Row],[Клик]]+Тўловлар[[#This Row],[Терминал]])</f>
        <v>0</v>
      </c>
      <c r="N696" s="30" cm="1">
        <f t="array" ref="N696">IFERROR(LOOKUP(2,1/((Товар!$D$4:$D$1110=Тўловлар[[#This Row],[Клиент]])*(Товар!$E$4:$E$1110&lt;=Тўловлар[[#This Row],[Дата]])),Товар!$L$4:$L$1110),Кўрсаткичлар!$B$4)</f>
        <v>0</v>
      </c>
      <c r="O696" s="30">
        <f>Тўловлар[[#This Row],[Поддон]]*Тўловлар[[#This Row],[Поддон нархи]]</f>
        <v>0</v>
      </c>
      <c r="P696" s="30">
        <f>Тўловлар[[#This Row],[Жами сумма]]-Тўловлар[[#This Row],[Поддон пули]]</f>
        <v>0</v>
      </c>
      <c r="Q6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6" s="9" t="str">
        <f>IFERROR(INDEX(Мижозлар[Агент],MATCH($C696,Мижозлар[Расмий ном],0)),"")</f>
        <v/>
      </c>
    </row>
    <row r="697" spans="4:19" x14ac:dyDescent="0.2">
      <c r="F697" s="198"/>
      <c r="G697" s="9">
        <f>Тўловлар[[#This Row],[Поддон]]*$G$3</f>
        <v>0</v>
      </c>
      <c r="K697" s="9">
        <f>SUM(Тўловлар[[#This Row],[ПР-Сумма]]+Тўловлар[[#This Row],[Накд]]+Тўловлар[[#This Row],[Клик]]+Тўловлар[[#This Row],[Терминал]])</f>
        <v>0</v>
      </c>
      <c r="N697" s="30" cm="1">
        <f t="array" ref="N697">IFERROR(LOOKUP(2,1/((Товар!$D$4:$D$1110=Тўловлар[[#This Row],[Клиент]])*(Товар!$E$4:$E$1110&lt;=Тўловлар[[#This Row],[Дата]])),Товар!$L$4:$L$1110),Кўрсаткичлар!$B$4)</f>
        <v>0</v>
      </c>
      <c r="O697" s="30">
        <f>Тўловлар[[#This Row],[Поддон]]*Тўловлар[[#This Row],[Поддон нархи]]</f>
        <v>0</v>
      </c>
      <c r="P697" s="30">
        <f>Тўловлар[[#This Row],[Жами сумма]]-Тўловлар[[#This Row],[Поддон пули]]</f>
        <v>0</v>
      </c>
      <c r="Q6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7" s="9" t="str">
        <f>IFERROR(INDEX(Мижозлар[Агент],MATCH($C697,Мижозлар[Расмий ном],0)),"")</f>
        <v/>
      </c>
    </row>
    <row r="698" spans="4:19" x14ac:dyDescent="0.2">
      <c r="F698" s="198"/>
      <c r="G698" s="9">
        <f>Тўловлар[[#This Row],[Поддон]]*$G$3</f>
        <v>0</v>
      </c>
      <c r="K698" s="9">
        <f>SUM(Тўловлар[[#This Row],[ПР-Сумма]]+Тўловлар[[#This Row],[Накд]]+Тўловлар[[#This Row],[Клик]]+Тўловлар[[#This Row],[Терминал]])</f>
        <v>0</v>
      </c>
      <c r="N698" s="30" cm="1">
        <f t="array" ref="N698">IFERROR(LOOKUP(2,1/((Товар!$D$4:$D$1110=Тўловлар[[#This Row],[Клиент]])*(Товар!$E$4:$E$1110&lt;=Тўловлар[[#This Row],[Дата]])),Товар!$L$4:$L$1110),Кўрсаткичлар!$B$4)</f>
        <v>0</v>
      </c>
      <c r="O698" s="30">
        <f>Тўловлар[[#This Row],[Поддон]]*Тўловлар[[#This Row],[Поддон нархи]]</f>
        <v>0</v>
      </c>
      <c r="P698" s="30">
        <f>Тўловлар[[#This Row],[Жами сумма]]-Тўловлар[[#This Row],[Поддон пули]]</f>
        <v>0</v>
      </c>
      <c r="Q6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8" s="9" t="str">
        <f>IFERROR(INDEX(Мижозлар[Агент],MATCH($C698,Мижозлар[Расмий ном],0)),"")</f>
        <v/>
      </c>
    </row>
    <row r="699" spans="4:19" x14ac:dyDescent="0.2">
      <c r="F699" s="198"/>
      <c r="G699" s="9">
        <f>Тўловлар[[#This Row],[Поддон]]*$G$3</f>
        <v>0</v>
      </c>
      <c r="K699" s="9">
        <f>SUM(Тўловлар[[#This Row],[ПР-Сумма]]+Тўловлар[[#This Row],[Накд]]+Тўловлар[[#This Row],[Клик]]+Тўловлар[[#This Row],[Терминал]])</f>
        <v>0</v>
      </c>
      <c r="N699" s="30" cm="1">
        <f t="array" ref="N699">IFERROR(LOOKUP(2,1/((Товар!$D$4:$D$1110=Тўловлар[[#This Row],[Клиент]])*(Товар!$E$4:$E$1110&lt;=Тўловлар[[#This Row],[Дата]])),Товар!$L$4:$L$1110),Кўрсаткичлар!$B$4)</f>
        <v>0</v>
      </c>
      <c r="O699" s="30">
        <f>Тўловлар[[#This Row],[Поддон]]*Тўловлар[[#This Row],[Поддон нархи]]</f>
        <v>0</v>
      </c>
      <c r="P699" s="30">
        <f>Тўловлар[[#This Row],[Жами сумма]]-Тўловлар[[#This Row],[Поддон пули]]</f>
        <v>0</v>
      </c>
      <c r="Q6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6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699" s="9" t="str">
        <f>IFERROR(INDEX(Мижозлар[Агент],MATCH($C699,Мижозлар[Расмий ном],0)),"")</f>
        <v/>
      </c>
    </row>
    <row r="700" spans="4:19" x14ac:dyDescent="0.2">
      <c r="F700" s="198"/>
      <c r="G700" s="9">
        <f>Тўловлар[[#This Row],[Поддон]]*$G$3</f>
        <v>0</v>
      </c>
      <c r="K700" s="9">
        <f>SUM(Тўловлар[[#This Row],[ПР-Сумма]]+Тўловлар[[#This Row],[Накд]]+Тўловлар[[#This Row],[Клик]]+Тўловлар[[#This Row],[Терминал]])</f>
        <v>0</v>
      </c>
      <c r="N700" s="30" cm="1">
        <f t="array" ref="N700">IFERROR(LOOKUP(2,1/((Товар!$D$4:$D$1110=Тўловлар[[#This Row],[Клиент]])*(Товар!$E$4:$E$1110&lt;=Тўловлар[[#This Row],[Дата]])),Товар!$L$4:$L$1110),Кўрсаткичлар!$B$4)</f>
        <v>0</v>
      </c>
      <c r="O700" s="30">
        <f>Тўловлар[[#This Row],[Поддон]]*Тўловлар[[#This Row],[Поддон нархи]]</f>
        <v>0</v>
      </c>
      <c r="P700" s="30">
        <f>Тўловлар[[#This Row],[Жами сумма]]-Тўловлар[[#This Row],[Поддон пули]]</f>
        <v>0</v>
      </c>
      <c r="Q7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0" s="9" t="str">
        <f>IFERROR(INDEX(Мижозлар[Агент],MATCH($C700,Мижозлар[Расмий ном],0)),"")</f>
        <v/>
      </c>
    </row>
    <row r="701" spans="4:19" x14ac:dyDescent="0.2">
      <c r="F701" s="198"/>
      <c r="G701" s="9">
        <f>Тўловлар[[#This Row],[Поддон]]*$G$3</f>
        <v>0</v>
      </c>
      <c r="K701" s="9">
        <f>SUM(Тўловлар[[#This Row],[ПР-Сумма]]+Тўловлар[[#This Row],[Накд]]+Тўловлар[[#This Row],[Клик]]+Тўловлар[[#This Row],[Терминал]])</f>
        <v>0</v>
      </c>
      <c r="N701" s="30" cm="1">
        <f t="array" ref="N701">IFERROR(LOOKUP(2,1/((Товар!$D$4:$D$1110=Тўловлар[[#This Row],[Клиент]])*(Товар!$E$4:$E$1110&lt;=Тўловлар[[#This Row],[Дата]])),Товар!$L$4:$L$1110),Кўрсаткичлар!$B$4)</f>
        <v>0</v>
      </c>
      <c r="O701" s="30">
        <f>Тўловлар[[#This Row],[Поддон]]*Тўловлар[[#This Row],[Поддон нархи]]</f>
        <v>0</v>
      </c>
      <c r="P701" s="30">
        <f>Тўловлар[[#This Row],[Жами сумма]]-Тўловлар[[#This Row],[Поддон пули]]</f>
        <v>0</v>
      </c>
      <c r="Q7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1" s="9" t="str">
        <f>IFERROR(INDEX(Мижозлар[Агент],MATCH($C701,Мижозлар[Расмий ном],0)),"")</f>
        <v/>
      </c>
    </row>
    <row r="702" spans="4:19" x14ac:dyDescent="0.2">
      <c r="F702" s="198"/>
      <c r="G702" s="9">
        <f>Тўловлар[[#This Row],[Поддон]]*$G$3</f>
        <v>0</v>
      </c>
      <c r="K702" s="9">
        <f>SUM(Тўловлар[[#This Row],[ПР-Сумма]]+Тўловлар[[#This Row],[Накд]]+Тўловлар[[#This Row],[Клик]]+Тўловлар[[#This Row],[Терминал]])</f>
        <v>0</v>
      </c>
      <c r="N702" s="30" cm="1">
        <f t="array" ref="N702">IFERROR(LOOKUP(2,1/((Товар!$D$4:$D$1110=Тўловлар[[#This Row],[Клиент]])*(Товар!$E$4:$E$1110&lt;=Тўловлар[[#This Row],[Дата]])),Товар!$L$4:$L$1110),Кўрсаткичлар!$B$4)</f>
        <v>0</v>
      </c>
      <c r="O702" s="30">
        <f>Тўловлар[[#This Row],[Поддон]]*Тўловлар[[#This Row],[Поддон нархи]]</f>
        <v>0</v>
      </c>
      <c r="P702" s="30">
        <f>Тўловлар[[#This Row],[Жами сумма]]-Тўловлар[[#This Row],[Поддон пули]]</f>
        <v>0</v>
      </c>
      <c r="Q7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2" s="9" t="str">
        <f>IFERROR(INDEX(Мижозлар[Агент],MATCH($C702,Мижозлар[Расмий ном],0)),"")</f>
        <v/>
      </c>
    </row>
    <row r="703" spans="4:19" x14ac:dyDescent="0.2">
      <c r="F703" s="198"/>
      <c r="G703" s="9">
        <f>Тўловлар[[#This Row],[Поддон]]*$G$3</f>
        <v>0</v>
      </c>
      <c r="K703" s="9">
        <f>SUM(Тўловлар[[#This Row],[ПР-Сумма]]+Тўловлар[[#This Row],[Накд]]+Тўловлар[[#This Row],[Клик]]+Тўловлар[[#This Row],[Терминал]])</f>
        <v>0</v>
      </c>
      <c r="N703" s="30" cm="1">
        <f t="array" ref="N703">IFERROR(LOOKUP(2,1/((Товар!$D$4:$D$1110=Тўловлар[[#This Row],[Клиент]])*(Товар!$E$4:$E$1110&lt;=Тўловлар[[#This Row],[Дата]])),Товар!$L$4:$L$1110),Кўрсаткичлар!$B$4)</f>
        <v>0</v>
      </c>
      <c r="O703" s="30">
        <f>Тўловлар[[#This Row],[Поддон]]*Тўловлар[[#This Row],[Поддон нархи]]</f>
        <v>0</v>
      </c>
      <c r="P703" s="30">
        <f>Тўловлар[[#This Row],[Жами сумма]]-Тўловлар[[#This Row],[Поддон пули]]</f>
        <v>0</v>
      </c>
      <c r="Q7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3" s="9" t="str">
        <f>IFERROR(INDEX(Мижозлар[Агент],MATCH($C703,Мижозлар[Расмий ном],0)),"")</f>
        <v/>
      </c>
    </row>
    <row r="704" spans="4:19" x14ac:dyDescent="0.2">
      <c r="F704" s="198"/>
      <c r="G704" s="9">
        <f>Тўловлар[[#This Row],[Поддон]]*$G$3</f>
        <v>0</v>
      </c>
      <c r="K704" s="9">
        <f>SUM(Тўловлар[[#This Row],[ПР-Сумма]]+Тўловлар[[#This Row],[Накд]]+Тўловлар[[#This Row],[Клик]]+Тўловлар[[#This Row],[Терминал]])</f>
        <v>0</v>
      </c>
      <c r="N704" s="30" cm="1">
        <f t="array" ref="N704">IFERROR(LOOKUP(2,1/((Товар!$D$4:$D$1110=Тўловлар[[#This Row],[Клиент]])*(Товар!$E$4:$E$1110&lt;=Тўловлар[[#This Row],[Дата]])),Товар!$L$4:$L$1110),Кўрсаткичлар!$B$4)</f>
        <v>0</v>
      </c>
      <c r="O704" s="30">
        <f>Тўловлар[[#This Row],[Поддон]]*Тўловлар[[#This Row],[Поддон нархи]]</f>
        <v>0</v>
      </c>
      <c r="P704" s="30">
        <f>Тўловлар[[#This Row],[Жами сумма]]-Тўловлар[[#This Row],[Поддон пули]]</f>
        <v>0</v>
      </c>
      <c r="Q7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4" s="9" t="str">
        <f>IFERROR(INDEX(Мижозлар[Агент],MATCH($C704,Мижозлар[Расмий ном],0)),"")</f>
        <v/>
      </c>
    </row>
    <row r="705" spans="6:19" x14ac:dyDescent="0.2">
      <c r="F705" s="198"/>
      <c r="G705" s="9">
        <f>Тўловлар[[#This Row],[Поддон]]*$G$3</f>
        <v>0</v>
      </c>
      <c r="K705" s="9">
        <f>SUM(Тўловлар[[#This Row],[ПР-Сумма]]+Тўловлар[[#This Row],[Накд]]+Тўловлар[[#This Row],[Клик]]+Тўловлар[[#This Row],[Терминал]])</f>
        <v>0</v>
      </c>
      <c r="N705" s="30" cm="1">
        <f t="array" ref="N705">IFERROR(LOOKUP(2,1/((Товар!$D$4:$D$1110=Тўловлар[[#This Row],[Клиент]])*(Товар!$E$4:$E$1110&lt;=Тўловлар[[#This Row],[Дата]])),Товар!$L$4:$L$1110),Кўрсаткичлар!$B$4)</f>
        <v>0</v>
      </c>
      <c r="O705" s="30">
        <f>Тўловлар[[#This Row],[Поддон]]*Тўловлар[[#This Row],[Поддон нархи]]</f>
        <v>0</v>
      </c>
      <c r="P705" s="30">
        <f>Тўловлар[[#This Row],[Жами сумма]]-Тўловлар[[#This Row],[Поддон пули]]</f>
        <v>0</v>
      </c>
      <c r="Q7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5" s="9" t="str">
        <f>IFERROR(INDEX(Мижозлар[Агент],MATCH($C705,Мижозлар[Расмий ном],0)),"")</f>
        <v/>
      </c>
    </row>
    <row r="706" spans="6:19" x14ac:dyDescent="0.2">
      <c r="F706" s="198"/>
      <c r="G706" s="9">
        <f>Тўловлар[[#This Row],[Поддон]]*$G$3</f>
        <v>0</v>
      </c>
      <c r="K706" s="9">
        <f>SUM(Тўловлар[[#This Row],[ПР-Сумма]]+Тўловлар[[#This Row],[Накд]]+Тўловлар[[#This Row],[Клик]]+Тўловлар[[#This Row],[Терминал]])</f>
        <v>0</v>
      </c>
      <c r="N706" s="30" cm="1">
        <f t="array" ref="N706">IFERROR(LOOKUP(2,1/((Товар!$D$4:$D$1110=Тўловлар[[#This Row],[Клиент]])*(Товар!$E$4:$E$1110&lt;=Тўловлар[[#This Row],[Дата]])),Товар!$L$4:$L$1110),Кўрсаткичлар!$B$4)</f>
        <v>0</v>
      </c>
      <c r="O706" s="30">
        <f>Тўловлар[[#This Row],[Поддон]]*Тўловлар[[#This Row],[Поддон нархи]]</f>
        <v>0</v>
      </c>
      <c r="P706" s="30">
        <f>Тўловлар[[#This Row],[Жами сумма]]-Тўловлар[[#This Row],[Поддон пули]]</f>
        <v>0</v>
      </c>
      <c r="Q7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6" s="9" t="str">
        <f>IFERROR(INDEX(Мижозлар[Агент],MATCH($C706,Мижозлар[Расмий ном],0)),"")</f>
        <v/>
      </c>
    </row>
    <row r="707" spans="6:19" x14ac:dyDescent="0.2">
      <c r="F707" s="198"/>
      <c r="G707" s="9">
        <f>Тўловлар[[#This Row],[Поддон]]*$G$3</f>
        <v>0</v>
      </c>
      <c r="K707" s="9">
        <f>SUM(Тўловлар[[#This Row],[ПР-Сумма]]+Тўловлар[[#This Row],[Накд]]+Тўловлар[[#This Row],[Клик]]+Тўловлар[[#This Row],[Терминал]])</f>
        <v>0</v>
      </c>
      <c r="N707" s="30" cm="1">
        <f t="array" ref="N707">IFERROR(LOOKUP(2,1/((Товар!$D$4:$D$1110=Тўловлар[[#This Row],[Клиент]])*(Товар!$E$4:$E$1110&lt;=Тўловлар[[#This Row],[Дата]])),Товар!$L$4:$L$1110),Кўрсаткичлар!$B$4)</f>
        <v>0</v>
      </c>
      <c r="O707" s="30">
        <f>Тўловлар[[#This Row],[Поддон]]*Тўловлар[[#This Row],[Поддон нархи]]</f>
        <v>0</v>
      </c>
      <c r="P707" s="30">
        <f>Тўловлар[[#This Row],[Жами сумма]]-Тўловлар[[#This Row],[Поддон пули]]</f>
        <v>0</v>
      </c>
      <c r="Q7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7" s="9" t="str">
        <f>IFERROR(INDEX(Мижозлар[Агент],MATCH($C707,Мижозлар[Расмий ном],0)),"")</f>
        <v/>
      </c>
    </row>
    <row r="708" spans="6:19" x14ac:dyDescent="0.2">
      <c r="F708" s="198"/>
      <c r="G708" s="9">
        <f>Тўловлар[[#This Row],[Поддон]]*$G$3</f>
        <v>0</v>
      </c>
      <c r="K708" s="9">
        <f>SUM(Тўловлар[[#This Row],[ПР-Сумма]]+Тўловлар[[#This Row],[Накд]]+Тўловлар[[#This Row],[Клик]]+Тўловлар[[#This Row],[Терминал]])</f>
        <v>0</v>
      </c>
      <c r="N708" s="30" cm="1">
        <f t="array" ref="N708">IFERROR(LOOKUP(2,1/((Товар!$D$4:$D$1110=Тўловлар[[#This Row],[Клиент]])*(Товар!$E$4:$E$1110&lt;=Тўловлар[[#This Row],[Дата]])),Товар!$L$4:$L$1110),Кўрсаткичлар!$B$4)</f>
        <v>0</v>
      </c>
      <c r="O708" s="30">
        <f>Тўловлар[[#This Row],[Поддон]]*Тўловлар[[#This Row],[Поддон нархи]]</f>
        <v>0</v>
      </c>
      <c r="P708" s="30">
        <f>Тўловлар[[#This Row],[Жами сумма]]-Тўловлар[[#This Row],[Поддон пули]]</f>
        <v>0</v>
      </c>
      <c r="Q7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8" s="9" t="str">
        <f>IFERROR(INDEX(Мижозлар[Агент],MATCH($C708,Мижозлар[Расмий ном],0)),"")</f>
        <v/>
      </c>
    </row>
    <row r="709" spans="6:19" x14ac:dyDescent="0.2">
      <c r="F709" s="198"/>
      <c r="G709" s="9">
        <f>Тўловлар[[#This Row],[Поддон]]*$G$3</f>
        <v>0</v>
      </c>
      <c r="K709" s="9">
        <f>SUM(Тўловлар[[#This Row],[ПР-Сумма]]+Тўловлар[[#This Row],[Накд]]+Тўловлар[[#This Row],[Клик]]+Тўловлар[[#This Row],[Терминал]])</f>
        <v>0</v>
      </c>
      <c r="N709" s="30" cm="1">
        <f t="array" ref="N709">IFERROR(LOOKUP(2,1/((Товар!$D$4:$D$1110=Тўловлар[[#This Row],[Клиент]])*(Товар!$E$4:$E$1110&lt;=Тўловлар[[#This Row],[Дата]])),Товар!$L$4:$L$1110),Кўрсаткичлар!$B$4)</f>
        <v>0</v>
      </c>
      <c r="O709" s="30">
        <f>Тўловлар[[#This Row],[Поддон]]*Тўловлар[[#This Row],[Поддон нархи]]</f>
        <v>0</v>
      </c>
      <c r="P709" s="30">
        <f>Тўловлар[[#This Row],[Жами сумма]]-Тўловлар[[#This Row],[Поддон пули]]</f>
        <v>0</v>
      </c>
      <c r="Q7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09" s="9" t="str">
        <f>IFERROR(INDEX(Мижозлар[Агент],MATCH($C709,Мижозлар[Расмий ном],0)),"")</f>
        <v/>
      </c>
    </row>
    <row r="710" spans="6:19" x14ac:dyDescent="0.2">
      <c r="F710" s="198"/>
      <c r="G710" s="9">
        <f>Тўловлар[[#This Row],[Поддон]]*$G$3</f>
        <v>0</v>
      </c>
      <c r="K710" s="9">
        <f>SUM(Тўловлар[[#This Row],[ПР-Сумма]]+Тўловлар[[#This Row],[Накд]]+Тўловлар[[#This Row],[Клик]]+Тўловлар[[#This Row],[Терминал]])</f>
        <v>0</v>
      </c>
      <c r="N710" s="30" cm="1">
        <f t="array" ref="N710">IFERROR(LOOKUP(2,1/((Товар!$D$4:$D$1110=Тўловлар[[#This Row],[Клиент]])*(Товар!$E$4:$E$1110&lt;=Тўловлар[[#This Row],[Дата]])),Товар!$L$4:$L$1110),Кўрсаткичлар!$B$4)</f>
        <v>0</v>
      </c>
      <c r="O710" s="30">
        <f>Тўловлар[[#This Row],[Поддон]]*Тўловлар[[#This Row],[Поддон нархи]]</f>
        <v>0</v>
      </c>
      <c r="P710" s="30">
        <f>Тўловлар[[#This Row],[Жами сумма]]-Тўловлар[[#This Row],[Поддон пули]]</f>
        <v>0</v>
      </c>
      <c r="Q7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0" s="9" t="str">
        <f>IFERROR(INDEX(Мижозлар[Агент],MATCH($C710,Мижозлар[Расмий ном],0)),"")</f>
        <v/>
      </c>
    </row>
    <row r="711" spans="6:19" x14ac:dyDescent="0.2">
      <c r="F711" s="198"/>
      <c r="G711" s="9">
        <f>Тўловлар[[#This Row],[Поддон]]*$G$3</f>
        <v>0</v>
      </c>
      <c r="K711" s="9">
        <f>SUM(Тўловлар[[#This Row],[ПР-Сумма]]+Тўловлар[[#This Row],[Накд]]+Тўловлар[[#This Row],[Клик]]+Тўловлар[[#This Row],[Терминал]])</f>
        <v>0</v>
      </c>
      <c r="N711" s="30" cm="1">
        <f t="array" ref="N711">IFERROR(LOOKUP(2,1/((Товар!$D$4:$D$1110=Тўловлар[[#This Row],[Клиент]])*(Товар!$E$4:$E$1110&lt;=Тўловлар[[#This Row],[Дата]])),Товар!$L$4:$L$1110),Кўрсаткичлар!$B$4)</f>
        <v>0</v>
      </c>
      <c r="O711" s="30">
        <f>Тўловлар[[#This Row],[Поддон]]*Тўловлар[[#This Row],[Поддон нархи]]</f>
        <v>0</v>
      </c>
      <c r="P711" s="30">
        <f>Тўловлар[[#This Row],[Жами сумма]]-Тўловлар[[#This Row],[Поддон пули]]</f>
        <v>0</v>
      </c>
      <c r="Q7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1" s="9" t="str">
        <f>IFERROR(INDEX(Мижозлар[Агент],MATCH($C711,Мижозлар[Расмий ном],0)),"")</f>
        <v/>
      </c>
    </row>
    <row r="712" spans="6:19" x14ac:dyDescent="0.2">
      <c r="F712" s="198"/>
      <c r="G712" s="9">
        <f>Тўловлар[[#This Row],[Поддон]]*$G$3</f>
        <v>0</v>
      </c>
      <c r="K712" s="9">
        <f>SUM(Тўловлар[[#This Row],[ПР-Сумма]]+Тўловлар[[#This Row],[Накд]]+Тўловлар[[#This Row],[Клик]]+Тўловлар[[#This Row],[Терминал]])</f>
        <v>0</v>
      </c>
      <c r="N712" s="30" cm="1">
        <f t="array" ref="N712">IFERROR(LOOKUP(2,1/((Товар!$D$4:$D$1110=Тўловлар[[#This Row],[Клиент]])*(Товар!$E$4:$E$1110&lt;=Тўловлар[[#This Row],[Дата]])),Товар!$L$4:$L$1110),Кўрсаткичлар!$B$4)</f>
        <v>0</v>
      </c>
      <c r="O712" s="30">
        <f>Тўловлар[[#This Row],[Поддон]]*Тўловлар[[#This Row],[Поддон нархи]]</f>
        <v>0</v>
      </c>
      <c r="P712" s="30">
        <f>Тўловлар[[#This Row],[Жами сумма]]-Тўловлар[[#This Row],[Поддон пули]]</f>
        <v>0</v>
      </c>
      <c r="Q7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2" s="9" t="str">
        <f>IFERROR(INDEX(Мижозлар[Агент],MATCH($C712,Мижозлар[Расмий ном],0)),"")</f>
        <v/>
      </c>
    </row>
    <row r="713" spans="6:19" x14ac:dyDescent="0.2">
      <c r="F713" s="198"/>
      <c r="G713" s="9">
        <f>Тўловлар[[#This Row],[Поддон]]*$G$3</f>
        <v>0</v>
      </c>
      <c r="K713" s="9">
        <f>SUM(Тўловлар[[#This Row],[ПР-Сумма]]+Тўловлар[[#This Row],[Накд]]+Тўловлар[[#This Row],[Клик]]+Тўловлар[[#This Row],[Терминал]])</f>
        <v>0</v>
      </c>
      <c r="N713" s="30" cm="1">
        <f t="array" ref="N713">IFERROR(LOOKUP(2,1/((Товар!$D$4:$D$1110=Тўловлар[[#This Row],[Клиент]])*(Товар!$E$4:$E$1110&lt;=Тўловлар[[#This Row],[Дата]])),Товар!$L$4:$L$1110),Кўрсаткичлар!$B$4)</f>
        <v>0</v>
      </c>
      <c r="O713" s="30">
        <f>Тўловлар[[#This Row],[Поддон]]*Тўловлар[[#This Row],[Поддон нархи]]</f>
        <v>0</v>
      </c>
      <c r="P713" s="30">
        <f>Тўловлар[[#This Row],[Жами сумма]]-Тўловлар[[#This Row],[Поддон пули]]</f>
        <v>0</v>
      </c>
      <c r="Q7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3" s="9" t="str">
        <f>IFERROR(INDEX(Мижозлар[Агент],MATCH($C713,Мижозлар[Расмий ном],0)),"")</f>
        <v/>
      </c>
    </row>
    <row r="714" spans="6:19" x14ac:dyDescent="0.2">
      <c r="F714" s="198"/>
      <c r="G714" s="9">
        <f>Тўловлар[[#This Row],[Поддон]]*$G$3</f>
        <v>0</v>
      </c>
      <c r="K714" s="9">
        <f>SUM(Тўловлар[[#This Row],[ПР-Сумма]]+Тўловлар[[#This Row],[Накд]]+Тўловлар[[#This Row],[Клик]]+Тўловлар[[#This Row],[Терминал]])</f>
        <v>0</v>
      </c>
      <c r="N714" s="30" cm="1">
        <f t="array" ref="N714">IFERROR(LOOKUP(2,1/((Товар!$D$4:$D$1110=Тўловлар[[#This Row],[Клиент]])*(Товар!$E$4:$E$1110&lt;=Тўловлар[[#This Row],[Дата]])),Товар!$L$4:$L$1110),Кўрсаткичлар!$B$4)</f>
        <v>0</v>
      </c>
      <c r="O714" s="30">
        <f>Тўловлар[[#This Row],[Поддон]]*Тўловлар[[#This Row],[Поддон нархи]]</f>
        <v>0</v>
      </c>
      <c r="P714" s="30">
        <f>Тўловлар[[#This Row],[Жами сумма]]-Тўловлар[[#This Row],[Поддон пули]]</f>
        <v>0</v>
      </c>
      <c r="Q7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4" s="9" t="str">
        <f>IFERROR(INDEX(Мижозлар[Агент],MATCH($C714,Мижозлар[Расмий ном],0)),"")</f>
        <v/>
      </c>
    </row>
    <row r="715" spans="6:19" x14ac:dyDescent="0.2">
      <c r="F715" s="198"/>
      <c r="G715" s="9">
        <f>Тўловлар[[#This Row],[Поддон]]*$G$3</f>
        <v>0</v>
      </c>
      <c r="K715" s="9">
        <f>SUM(Тўловлар[[#This Row],[ПР-Сумма]]+Тўловлар[[#This Row],[Накд]]+Тўловлар[[#This Row],[Клик]]+Тўловлар[[#This Row],[Терминал]])</f>
        <v>0</v>
      </c>
      <c r="N715" s="30" cm="1">
        <f t="array" ref="N715">IFERROR(LOOKUP(2,1/((Товар!$D$4:$D$1110=Тўловлар[[#This Row],[Клиент]])*(Товар!$E$4:$E$1110&lt;=Тўловлар[[#This Row],[Дата]])),Товар!$L$4:$L$1110),Кўрсаткичлар!$B$4)</f>
        <v>0</v>
      </c>
      <c r="O715" s="30">
        <f>Тўловлар[[#This Row],[Поддон]]*Тўловлар[[#This Row],[Поддон нархи]]</f>
        <v>0</v>
      </c>
      <c r="P715" s="30">
        <f>Тўловлар[[#This Row],[Жами сумма]]-Тўловлар[[#This Row],[Поддон пули]]</f>
        <v>0</v>
      </c>
      <c r="Q7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5" s="9" t="str">
        <f>IFERROR(INDEX(Мижозлар[Агент],MATCH($C715,Мижозлар[Расмий ном],0)),"")</f>
        <v/>
      </c>
    </row>
    <row r="716" spans="6:19" x14ac:dyDescent="0.2">
      <c r="F716" s="198"/>
      <c r="G716" s="9">
        <f>Тўловлар[[#This Row],[Поддон]]*$G$3</f>
        <v>0</v>
      </c>
      <c r="K716" s="9">
        <f>SUM(Тўловлар[[#This Row],[ПР-Сумма]]+Тўловлар[[#This Row],[Накд]]+Тўловлар[[#This Row],[Клик]]+Тўловлар[[#This Row],[Терминал]])</f>
        <v>0</v>
      </c>
      <c r="N716" s="30" cm="1">
        <f t="array" ref="N716">IFERROR(LOOKUP(2,1/((Товар!$D$4:$D$1110=Тўловлар[[#This Row],[Клиент]])*(Товар!$E$4:$E$1110&lt;=Тўловлар[[#This Row],[Дата]])),Товар!$L$4:$L$1110),Кўрсаткичлар!$B$4)</f>
        <v>0</v>
      </c>
      <c r="O716" s="30">
        <f>Тўловлар[[#This Row],[Поддон]]*Тўловлар[[#This Row],[Поддон нархи]]</f>
        <v>0</v>
      </c>
      <c r="P716" s="30">
        <f>Тўловлар[[#This Row],[Жами сумма]]-Тўловлар[[#This Row],[Поддон пули]]</f>
        <v>0</v>
      </c>
      <c r="Q7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6" s="9" t="str">
        <f>IFERROR(INDEX(Мижозлар[Агент],MATCH($C716,Мижозлар[Расмий ном],0)),"")</f>
        <v/>
      </c>
    </row>
    <row r="717" spans="6:19" x14ac:dyDescent="0.2">
      <c r="F717" s="198"/>
      <c r="G717" s="9">
        <f>Тўловлар[[#This Row],[Поддон]]*$G$3</f>
        <v>0</v>
      </c>
      <c r="K717" s="9">
        <f>SUM(Тўловлар[[#This Row],[ПР-Сумма]]+Тўловлар[[#This Row],[Накд]]+Тўловлар[[#This Row],[Клик]]+Тўловлар[[#This Row],[Терминал]])</f>
        <v>0</v>
      </c>
      <c r="N717" s="30" cm="1">
        <f t="array" ref="N717">IFERROR(LOOKUP(2,1/((Товар!$D$4:$D$1110=Тўловлар[[#This Row],[Клиент]])*(Товар!$E$4:$E$1110&lt;=Тўловлар[[#This Row],[Дата]])),Товар!$L$4:$L$1110),Кўрсаткичлар!$B$4)</f>
        <v>0</v>
      </c>
      <c r="O717" s="30">
        <f>Тўловлар[[#This Row],[Поддон]]*Тўловлар[[#This Row],[Поддон нархи]]</f>
        <v>0</v>
      </c>
      <c r="P717" s="30">
        <f>Тўловлар[[#This Row],[Жами сумма]]-Тўловлар[[#This Row],[Поддон пули]]</f>
        <v>0</v>
      </c>
      <c r="Q7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7" s="9" t="str">
        <f>IFERROR(INDEX(Мижозлар[Агент],MATCH($C717,Мижозлар[Расмий ном],0)),"")</f>
        <v/>
      </c>
    </row>
    <row r="718" spans="6:19" x14ac:dyDescent="0.2">
      <c r="F718" s="198"/>
      <c r="G718" s="9">
        <f>Тўловлар[[#This Row],[Поддон]]*$G$3</f>
        <v>0</v>
      </c>
      <c r="K718" s="9">
        <f>SUM(Тўловлар[[#This Row],[ПР-Сумма]]+Тўловлар[[#This Row],[Накд]]+Тўловлар[[#This Row],[Клик]]+Тўловлар[[#This Row],[Терминал]])</f>
        <v>0</v>
      </c>
      <c r="N718" s="30" cm="1">
        <f t="array" ref="N718">IFERROR(LOOKUP(2,1/((Товар!$D$4:$D$1110=Тўловлар[[#This Row],[Клиент]])*(Товар!$E$4:$E$1110&lt;=Тўловлар[[#This Row],[Дата]])),Товар!$L$4:$L$1110),Кўрсаткичлар!$B$4)</f>
        <v>0</v>
      </c>
      <c r="O718" s="30">
        <f>Тўловлар[[#This Row],[Поддон]]*Тўловлар[[#This Row],[Поддон нархи]]</f>
        <v>0</v>
      </c>
      <c r="P718" s="30">
        <f>Тўловлар[[#This Row],[Жами сумма]]-Тўловлар[[#This Row],[Поддон пули]]</f>
        <v>0</v>
      </c>
      <c r="Q7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8" s="9" t="str">
        <f>IFERROR(INDEX(Мижозлар[Агент],MATCH($C718,Мижозлар[Расмий ном],0)),"")</f>
        <v/>
      </c>
    </row>
    <row r="719" spans="6:19" x14ac:dyDescent="0.2">
      <c r="F719" s="198"/>
      <c r="G719" s="9">
        <f>Тўловлар[[#This Row],[Поддон]]*$G$3</f>
        <v>0</v>
      </c>
      <c r="K719" s="9">
        <f>SUM(Тўловлар[[#This Row],[ПР-Сумма]]+Тўловлар[[#This Row],[Накд]]+Тўловлар[[#This Row],[Клик]]+Тўловлар[[#This Row],[Терминал]])</f>
        <v>0</v>
      </c>
      <c r="N719" s="30" cm="1">
        <f t="array" ref="N719">IFERROR(LOOKUP(2,1/((Товар!$D$4:$D$1110=Тўловлар[[#This Row],[Клиент]])*(Товар!$E$4:$E$1110&lt;=Тўловлар[[#This Row],[Дата]])),Товар!$L$4:$L$1110),Кўрсаткичлар!$B$4)</f>
        <v>0</v>
      </c>
      <c r="O719" s="30">
        <f>Тўловлар[[#This Row],[Поддон]]*Тўловлар[[#This Row],[Поддон нархи]]</f>
        <v>0</v>
      </c>
      <c r="P719" s="30">
        <f>Тўловлар[[#This Row],[Жами сумма]]-Тўловлар[[#This Row],[Поддон пули]]</f>
        <v>0</v>
      </c>
      <c r="Q7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19" s="9" t="str">
        <f>IFERROR(INDEX(Мижозлар[Агент],MATCH($C719,Мижозлар[Расмий ном],0)),"")</f>
        <v/>
      </c>
    </row>
    <row r="720" spans="6:19" x14ac:dyDescent="0.2">
      <c r="F720" s="198"/>
      <c r="G720" s="9">
        <f>Тўловлар[[#This Row],[Поддон]]*$G$3</f>
        <v>0</v>
      </c>
      <c r="K720" s="9">
        <f>SUM(Тўловлар[[#This Row],[ПР-Сумма]]+Тўловлар[[#This Row],[Накд]]+Тўловлар[[#This Row],[Клик]]+Тўловлар[[#This Row],[Терминал]])</f>
        <v>0</v>
      </c>
      <c r="N720" s="30" cm="1">
        <f t="array" ref="N720">IFERROR(LOOKUP(2,1/((Товар!$D$4:$D$1110=Тўловлар[[#This Row],[Клиент]])*(Товар!$E$4:$E$1110&lt;=Тўловлар[[#This Row],[Дата]])),Товар!$L$4:$L$1110),Кўрсаткичлар!$B$4)</f>
        <v>0</v>
      </c>
      <c r="O720" s="30">
        <f>Тўловлар[[#This Row],[Поддон]]*Тўловлар[[#This Row],[Поддон нархи]]</f>
        <v>0</v>
      </c>
      <c r="P720" s="30">
        <f>Тўловлар[[#This Row],[Жами сумма]]-Тўловлар[[#This Row],[Поддон пули]]</f>
        <v>0</v>
      </c>
      <c r="Q7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0" s="9" t="str">
        <f>IFERROR(INDEX(Мижозлар[Агент],MATCH($C720,Мижозлар[Расмий ном],0)),"")</f>
        <v/>
      </c>
    </row>
    <row r="721" spans="6:19" x14ac:dyDescent="0.2">
      <c r="F721" s="198"/>
      <c r="G721" s="9">
        <f>Тўловлар[[#This Row],[Поддон]]*$G$3</f>
        <v>0</v>
      </c>
      <c r="K721" s="9">
        <f>SUM(Тўловлар[[#This Row],[ПР-Сумма]]+Тўловлар[[#This Row],[Накд]]+Тўловлар[[#This Row],[Клик]]+Тўловлар[[#This Row],[Терминал]])</f>
        <v>0</v>
      </c>
      <c r="N721" s="30" cm="1">
        <f t="array" ref="N721">IFERROR(LOOKUP(2,1/((Товар!$D$4:$D$1110=Тўловлар[[#This Row],[Клиент]])*(Товар!$E$4:$E$1110&lt;=Тўловлар[[#This Row],[Дата]])),Товар!$L$4:$L$1110),Кўрсаткичлар!$B$4)</f>
        <v>0</v>
      </c>
      <c r="O721" s="30">
        <f>Тўловлар[[#This Row],[Поддон]]*Тўловлар[[#This Row],[Поддон нархи]]</f>
        <v>0</v>
      </c>
      <c r="P721" s="30">
        <f>Тўловлар[[#This Row],[Жами сумма]]-Тўловлар[[#This Row],[Поддон пули]]</f>
        <v>0</v>
      </c>
      <c r="Q7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1" s="9" t="str">
        <f>IFERROR(INDEX(Мижозлар[Агент],MATCH($C721,Мижозлар[Расмий ном],0)),"")</f>
        <v/>
      </c>
    </row>
    <row r="722" spans="6:19" x14ac:dyDescent="0.2">
      <c r="F722" s="198"/>
      <c r="G722" s="9">
        <f>Тўловлар[[#This Row],[Поддон]]*$G$3</f>
        <v>0</v>
      </c>
      <c r="K722" s="9">
        <f>SUM(Тўловлар[[#This Row],[ПР-Сумма]]+Тўловлар[[#This Row],[Накд]]+Тўловлар[[#This Row],[Клик]]+Тўловлар[[#This Row],[Терминал]])</f>
        <v>0</v>
      </c>
      <c r="N722" s="30" cm="1">
        <f t="array" ref="N722">IFERROR(LOOKUP(2,1/((Товар!$D$4:$D$1110=Тўловлар[[#This Row],[Клиент]])*(Товар!$E$4:$E$1110&lt;=Тўловлар[[#This Row],[Дата]])),Товар!$L$4:$L$1110),Кўрсаткичлар!$B$4)</f>
        <v>0</v>
      </c>
      <c r="O722" s="30">
        <f>Тўловлар[[#This Row],[Поддон]]*Тўловлар[[#This Row],[Поддон нархи]]</f>
        <v>0</v>
      </c>
      <c r="P722" s="30">
        <f>Тўловлар[[#This Row],[Жами сумма]]-Тўловлар[[#This Row],[Поддон пули]]</f>
        <v>0</v>
      </c>
      <c r="Q7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2" s="9" t="str">
        <f>IFERROR(INDEX(Мижозлар[Агент],MATCH($C722,Мижозлар[Расмий ном],0)),"")</f>
        <v/>
      </c>
    </row>
    <row r="723" spans="6:19" x14ac:dyDescent="0.2">
      <c r="F723" s="198"/>
      <c r="G723" s="9">
        <f>Тўловлар[[#This Row],[Поддон]]*$G$3</f>
        <v>0</v>
      </c>
      <c r="K723" s="9">
        <f>SUM(Тўловлар[[#This Row],[ПР-Сумма]]+Тўловлар[[#This Row],[Накд]]+Тўловлар[[#This Row],[Клик]]+Тўловлар[[#This Row],[Терминал]])</f>
        <v>0</v>
      </c>
      <c r="N723" s="30" cm="1">
        <f t="array" ref="N723">IFERROR(LOOKUP(2,1/((Товар!$D$4:$D$1110=Тўловлар[[#This Row],[Клиент]])*(Товар!$E$4:$E$1110&lt;=Тўловлар[[#This Row],[Дата]])),Товар!$L$4:$L$1110),Кўрсаткичлар!$B$4)</f>
        <v>0</v>
      </c>
      <c r="O723" s="30">
        <f>Тўловлар[[#This Row],[Поддон]]*Тўловлар[[#This Row],[Поддон нархи]]</f>
        <v>0</v>
      </c>
      <c r="P723" s="30">
        <f>Тўловлар[[#This Row],[Жами сумма]]-Тўловлар[[#This Row],[Поддон пули]]</f>
        <v>0</v>
      </c>
      <c r="Q7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3" s="9" t="str">
        <f>IFERROR(INDEX(Мижозлар[Агент],MATCH($C723,Мижозлар[Расмий ном],0)),"")</f>
        <v/>
      </c>
    </row>
    <row r="724" spans="6:19" x14ac:dyDescent="0.2">
      <c r="F724" s="198"/>
      <c r="G724" s="9">
        <f>Тўловлар[[#This Row],[Поддон]]*$G$3</f>
        <v>0</v>
      </c>
      <c r="K724" s="9">
        <f>SUM(Тўловлар[[#This Row],[ПР-Сумма]]+Тўловлар[[#This Row],[Накд]]+Тўловлар[[#This Row],[Клик]]+Тўловлар[[#This Row],[Терминал]])</f>
        <v>0</v>
      </c>
      <c r="N724" s="30" cm="1">
        <f t="array" ref="N724">IFERROR(LOOKUP(2,1/((Товар!$D$4:$D$1110=Тўловлар[[#This Row],[Клиент]])*(Товар!$E$4:$E$1110&lt;=Тўловлар[[#This Row],[Дата]])),Товар!$L$4:$L$1110),Кўрсаткичлар!$B$4)</f>
        <v>0</v>
      </c>
      <c r="O724" s="30">
        <f>Тўловлар[[#This Row],[Поддон]]*Тўловлар[[#This Row],[Поддон нархи]]</f>
        <v>0</v>
      </c>
      <c r="P724" s="30">
        <f>Тўловлар[[#This Row],[Жами сумма]]-Тўловлар[[#This Row],[Поддон пули]]</f>
        <v>0</v>
      </c>
      <c r="Q7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4" s="9" t="str">
        <f>IFERROR(INDEX(Мижозлар[Агент],MATCH($C724,Мижозлар[Расмий ном],0)),"")</f>
        <v/>
      </c>
    </row>
    <row r="725" spans="6:19" x14ac:dyDescent="0.2">
      <c r="F725" s="198"/>
      <c r="G725" s="9">
        <f>Тўловлар[[#This Row],[Поддон]]*$G$3</f>
        <v>0</v>
      </c>
      <c r="K725" s="9">
        <f>SUM(Тўловлар[[#This Row],[ПР-Сумма]]+Тўловлар[[#This Row],[Накд]]+Тўловлар[[#This Row],[Клик]]+Тўловлар[[#This Row],[Терминал]])</f>
        <v>0</v>
      </c>
      <c r="N725" s="30" cm="1">
        <f t="array" ref="N725">IFERROR(LOOKUP(2,1/((Товар!$D$4:$D$1110=Тўловлар[[#This Row],[Клиент]])*(Товар!$E$4:$E$1110&lt;=Тўловлар[[#This Row],[Дата]])),Товар!$L$4:$L$1110),Кўрсаткичлар!$B$4)</f>
        <v>0</v>
      </c>
      <c r="O725" s="30">
        <f>Тўловлар[[#This Row],[Поддон]]*Тўловлар[[#This Row],[Поддон нархи]]</f>
        <v>0</v>
      </c>
      <c r="P725" s="30">
        <f>Тўловлар[[#This Row],[Жами сумма]]-Тўловлар[[#This Row],[Поддон пули]]</f>
        <v>0</v>
      </c>
      <c r="Q7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5" s="9" t="str">
        <f>IFERROR(INDEX(Мижозлар[Агент],MATCH($C725,Мижозлар[Расмий ном],0)),"")</f>
        <v/>
      </c>
    </row>
    <row r="726" spans="6:19" x14ac:dyDescent="0.2">
      <c r="F726" s="198"/>
      <c r="G726" s="9">
        <f>Тўловлар[[#This Row],[Поддон]]*$G$3</f>
        <v>0</v>
      </c>
      <c r="K726" s="9">
        <f>SUM(Тўловлар[[#This Row],[ПР-Сумма]]+Тўловлар[[#This Row],[Накд]]+Тўловлар[[#This Row],[Клик]]+Тўловлар[[#This Row],[Терминал]])</f>
        <v>0</v>
      </c>
      <c r="N726" s="30" cm="1">
        <f t="array" ref="N726">IFERROR(LOOKUP(2,1/((Товар!$D$4:$D$1110=Тўловлар[[#This Row],[Клиент]])*(Товар!$E$4:$E$1110&lt;=Тўловлар[[#This Row],[Дата]])),Товар!$L$4:$L$1110),Кўрсаткичлар!$B$4)</f>
        <v>0</v>
      </c>
      <c r="O726" s="30">
        <f>Тўловлар[[#This Row],[Поддон]]*Тўловлар[[#This Row],[Поддон нархи]]</f>
        <v>0</v>
      </c>
      <c r="P726" s="30">
        <f>Тўловлар[[#This Row],[Жами сумма]]-Тўловлар[[#This Row],[Поддон пули]]</f>
        <v>0</v>
      </c>
      <c r="Q7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6" s="9" t="str">
        <f>IFERROR(INDEX(Мижозлар[Агент],MATCH($C726,Мижозлар[Расмий ном],0)),"")</f>
        <v/>
      </c>
    </row>
    <row r="727" spans="6:19" x14ac:dyDescent="0.2">
      <c r="F727" s="198"/>
      <c r="G727" s="9">
        <f>Тўловлар[[#This Row],[Поддон]]*$G$3</f>
        <v>0</v>
      </c>
      <c r="K727" s="9">
        <f>SUM(Тўловлар[[#This Row],[ПР-Сумма]]+Тўловлар[[#This Row],[Накд]]+Тўловлар[[#This Row],[Клик]]+Тўловлар[[#This Row],[Терминал]])</f>
        <v>0</v>
      </c>
      <c r="N727" s="30" cm="1">
        <f t="array" ref="N727">IFERROR(LOOKUP(2,1/((Товар!$D$4:$D$1110=Тўловлар[[#This Row],[Клиент]])*(Товар!$E$4:$E$1110&lt;=Тўловлар[[#This Row],[Дата]])),Товар!$L$4:$L$1110),Кўрсаткичлар!$B$4)</f>
        <v>0</v>
      </c>
      <c r="O727" s="30">
        <f>Тўловлар[[#This Row],[Поддон]]*Тўловлар[[#This Row],[Поддон нархи]]</f>
        <v>0</v>
      </c>
      <c r="P727" s="30">
        <f>Тўловлар[[#This Row],[Жами сумма]]-Тўловлар[[#This Row],[Поддон пули]]</f>
        <v>0</v>
      </c>
      <c r="Q7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7" s="9" t="str">
        <f>IFERROR(INDEX(Мижозлар[Агент],MATCH($C727,Мижозлар[Расмий ном],0)),"")</f>
        <v/>
      </c>
    </row>
    <row r="728" spans="6:19" x14ac:dyDescent="0.2">
      <c r="F728" s="198"/>
      <c r="G728" s="9">
        <f>Тўловлар[[#This Row],[Поддон]]*$G$3</f>
        <v>0</v>
      </c>
      <c r="K728" s="9">
        <f>SUM(Тўловлар[[#This Row],[ПР-Сумма]]+Тўловлар[[#This Row],[Накд]]+Тўловлар[[#This Row],[Клик]]+Тўловлар[[#This Row],[Терминал]])</f>
        <v>0</v>
      </c>
      <c r="N728" s="30" cm="1">
        <f t="array" ref="N728">IFERROR(LOOKUP(2,1/((Товар!$D$4:$D$1110=Тўловлар[[#This Row],[Клиент]])*(Товар!$E$4:$E$1110&lt;=Тўловлар[[#This Row],[Дата]])),Товар!$L$4:$L$1110),Кўрсаткичлар!$B$4)</f>
        <v>0</v>
      </c>
      <c r="O728" s="30">
        <f>Тўловлар[[#This Row],[Поддон]]*Тўловлар[[#This Row],[Поддон нархи]]</f>
        <v>0</v>
      </c>
      <c r="P728" s="30">
        <f>Тўловлар[[#This Row],[Жами сумма]]-Тўловлар[[#This Row],[Поддон пули]]</f>
        <v>0</v>
      </c>
      <c r="Q7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8" s="9" t="str">
        <f>IFERROR(INDEX(Мижозлар[Агент],MATCH($C728,Мижозлар[Расмий ном],0)),"")</f>
        <v/>
      </c>
    </row>
    <row r="729" spans="6:19" x14ac:dyDescent="0.2">
      <c r="F729" s="198"/>
      <c r="G729" s="9">
        <f>Тўловлар[[#This Row],[Поддон]]*$G$3</f>
        <v>0</v>
      </c>
      <c r="K729" s="9">
        <f>SUM(Тўловлар[[#This Row],[ПР-Сумма]]+Тўловлар[[#This Row],[Накд]]+Тўловлар[[#This Row],[Клик]]+Тўловлар[[#This Row],[Терминал]])</f>
        <v>0</v>
      </c>
      <c r="N729" s="30" cm="1">
        <f t="array" ref="N729">IFERROR(LOOKUP(2,1/((Товар!$D$4:$D$1110=Тўловлар[[#This Row],[Клиент]])*(Товар!$E$4:$E$1110&lt;=Тўловлар[[#This Row],[Дата]])),Товар!$L$4:$L$1110),Кўрсаткичлар!$B$4)</f>
        <v>0</v>
      </c>
      <c r="O729" s="30">
        <f>Тўловлар[[#This Row],[Поддон]]*Тўловлар[[#This Row],[Поддон нархи]]</f>
        <v>0</v>
      </c>
      <c r="P729" s="30">
        <f>Тўловлар[[#This Row],[Жами сумма]]-Тўловлар[[#This Row],[Поддон пули]]</f>
        <v>0</v>
      </c>
      <c r="Q7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29" s="9" t="str">
        <f>IFERROR(INDEX(Мижозлар[Агент],MATCH($C729,Мижозлар[Расмий ном],0)),"")</f>
        <v/>
      </c>
    </row>
    <row r="730" spans="6:19" x14ac:dyDescent="0.2">
      <c r="F730" s="198"/>
      <c r="G730" s="9">
        <f>Тўловлар[[#This Row],[Поддон]]*$G$3</f>
        <v>0</v>
      </c>
      <c r="K730" s="9">
        <f>SUM(Тўловлар[[#This Row],[ПР-Сумма]]+Тўловлар[[#This Row],[Накд]]+Тўловлар[[#This Row],[Клик]]+Тўловлар[[#This Row],[Терминал]])</f>
        <v>0</v>
      </c>
      <c r="N730" s="30" cm="1">
        <f t="array" ref="N730">IFERROR(LOOKUP(2,1/((Товар!$D$4:$D$1110=Тўловлар[[#This Row],[Клиент]])*(Товар!$E$4:$E$1110&lt;=Тўловлар[[#This Row],[Дата]])),Товар!$L$4:$L$1110),Кўрсаткичлар!$B$4)</f>
        <v>0</v>
      </c>
      <c r="O730" s="30">
        <f>Тўловлар[[#This Row],[Поддон]]*Тўловлар[[#This Row],[Поддон нархи]]</f>
        <v>0</v>
      </c>
      <c r="P730" s="30">
        <f>Тўловлар[[#This Row],[Жами сумма]]-Тўловлар[[#This Row],[Поддон пули]]</f>
        <v>0</v>
      </c>
      <c r="Q7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0" s="9" t="str">
        <f>IFERROR(INDEX(Мижозлар[Агент],MATCH($C730,Мижозлар[Расмий ном],0)),"")</f>
        <v/>
      </c>
    </row>
    <row r="731" spans="6:19" x14ac:dyDescent="0.2">
      <c r="F731" s="198"/>
      <c r="G731" s="9">
        <f>Тўловлар[[#This Row],[Поддон]]*$G$3</f>
        <v>0</v>
      </c>
      <c r="K731" s="9">
        <f>SUM(Тўловлар[[#This Row],[ПР-Сумма]]+Тўловлар[[#This Row],[Накд]]+Тўловлар[[#This Row],[Клик]]+Тўловлар[[#This Row],[Терминал]])</f>
        <v>0</v>
      </c>
      <c r="N731" s="30" cm="1">
        <f t="array" ref="N731">IFERROR(LOOKUP(2,1/((Товар!$D$4:$D$1110=Тўловлар[[#This Row],[Клиент]])*(Товар!$E$4:$E$1110&lt;=Тўловлар[[#This Row],[Дата]])),Товар!$L$4:$L$1110),Кўрсаткичлар!$B$4)</f>
        <v>0</v>
      </c>
      <c r="O731" s="30">
        <f>Тўловлар[[#This Row],[Поддон]]*Тўловлар[[#This Row],[Поддон нархи]]</f>
        <v>0</v>
      </c>
      <c r="P731" s="30">
        <f>Тўловлар[[#This Row],[Жами сумма]]-Тўловлар[[#This Row],[Поддон пули]]</f>
        <v>0</v>
      </c>
      <c r="Q7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1" s="9" t="str">
        <f>IFERROR(INDEX(Мижозлар[Агент],MATCH($C731,Мижозлар[Расмий ном],0)),"")</f>
        <v/>
      </c>
    </row>
    <row r="732" spans="6:19" x14ac:dyDescent="0.2">
      <c r="F732" s="198"/>
      <c r="G732" s="9">
        <f>Тўловлар[[#This Row],[Поддон]]*$G$3</f>
        <v>0</v>
      </c>
      <c r="K732" s="9">
        <f>SUM(Тўловлар[[#This Row],[ПР-Сумма]]+Тўловлар[[#This Row],[Накд]]+Тўловлар[[#This Row],[Клик]]+Тўловлар[[#This Row],[Терминал]])</f>
        <v>0</v>
      </c>
      <c r="N732" s="30" cm="1">
        <f t="array" ref="N732">IFERROR(LOOKUP(2,1/((Товар!$D$4:$D$1110=Тўловлар[[#This Row],[Клиент]])*(Товар!$E$4:$E$1110&lt;=Тўловлар[[#This Row],[Дата]])),Товар!$L$4:$L$1110),Кўрсаткичлар!$B$4)</f>
        <v>0</v>
      </c>
      <c r="O732" s="30">
        <f>Тўловлар[[#This Row],[Поддон]]*Тўловлар[[#This Row],[Поддон нархи]]</f>
        <v>0</v>
      </c>
      <c r="P732" s="30">
        <f>Тўловлар[[#This Row],[Жами сумма]]-Тўловлар[[#This Row],[Поддон пули]]</f>
        <v>0</v>
      </c>
      <c r="Q7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2" s="9" t="str">
        <f>IFERROR(INDEX(Мижозлар[Агент],MATCH($C732,Мижозлар[Расмий ном],0)),"")</f>
        <v/>
      </c>
    </row>
    <row r="733" spans="6:19" x14ac:dyDescent="0.2">
      <c r="F733" s="198"/>
      <c r="G733" s="9">
        <f>Тўловлар[[#This Row],[Поддон]]*$G$3</f>
        <v>0</v>
      </c>
      <c r="K733" s="9">
        <f>SUM(Тўловлар[[#This Row],[ПР-Сумма]]+Тўловлар[[#This Row],[Накд]]+Тўловлар[[#This Row],[Клик]]+Тўловлар[[#This Row],[Терминал]])</f>
        <v>0</v>
      </c>
      <c r="N733" s="30" cm="1">
        <f t="array" ref="N733">IFERROR(LOOKUP(2,1/((Товар!$D$4:$D$1110=Тўловлар[[#This Row],[Клиент]])*(Товар!$E$4:$E$1110&lt;=Тўловлар[[#This Row],[Дата]])),Товар!$L$4:$L$1110),Кўрсаткичлар!$B$4)</f>
        <v>0</v>
      </c>
      <c r="O733" s="30">
        <f>Тўловлар[[#This Row],[Поддон]]*Тўловлар[[#This Row],[Поддон нархи]]</f>
        <v>0</v>
      </c>
      <c r="P733" s="30">
        <f>Тўловлар[[#This Row],[Жами сумма]]-Тўловлар[[#This Row],[Поддон пули]]</f>
        <v>0</v>
      </c>
      <c r="Q7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3" s="9" t="str">
        <f>IFERROR(INDEX(Мижозлар[Агент],MATCH($C733,Мижозлар[Расмий ном],0)),"")</f>
        <v/>
      </c>
    </row>
    <row r="734" spans="6:19" x14ac:dyDescent="0.2">
      <c r="F734" s="198"/>
      <c r="G734" s="9">
        <f>Тўловлар[[#This Row],[Поддон]]*$G$3</f>
        <v>0</v>
      </c>
      <c r="K734" s="9">
        <f>SUM(Тўловлар[[#This Row],[ПР-Сумма]]+Тўловлар[[#This Row],[Накд]]+Тўловлар[[#This Row],[Клик]]+Тўловлар[[#This Row],[Терминал]])</f>
        <v>0</v>
      </c>
      <c r="N734" s="30" cm="1">
        <f t="array" ref="N734">IFERROR(LOOKUP(2,1/((Товар!$D$4:$D$1110=Тўловлар[[#This Row],[Клиент]])*(Товар!$E$4:$E$1110&lt;=Тўловлар[[#This Row],[Дата]])),Товар!$L$4:$L$1110),Кўрсаткичлар!$B$4)</f>
        <v>0</v>
      </c>
      <c r="O734" s="30">
        <f>Тўловлар[[#This Row],[Поддон]]*Тўловлар[[#This Row],[Поддон нархи]]</f>
        <v>0</v>
      </c>
      <c r="P734" s="30">
        <f>Тўловлар[[#This Row],[Жами сумма]]-Тўловлар[[#This Row],[Поддон пули]]</f>
        <v>0</v>
      </c>
      <c r="Q7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4" s="9" t="str">
        <f>IFERROR(INDEX(Мижозлар[Агент],MATCH($C734,Мижозлар[Расмий ном],0)),"")</f>
        <v/>
      </c>
    </row>
    <row r="735" spans="6:19" x14ac:dyDescent="0.2">
      <c r="F735" s="198"/>
      <c r="G735" s="9">
        <f>Тўловлар[[#This Row],[Поддон]]*$G$3</f>
        <v>0</v>
      </c>
      <c r="K735" s="9">
        <f>SUM(Тўловлар[[#This Row],[ПР-Сумма]]+Тўловлар[[#This Row],[Накд]]+Тўловлар[[#This Row],[Клик]]+Тўловлар[[#This Row],[Терминал]])</f>
        <v>0</v>
      </c>
      <c r="N735" s="30" cm="1">
        <f t="array" ref="N735">IFERROR(LOOKUP(2,1/((Товар!$D$4:$D$1110=Тўловлар[[#This Row],[Клиент]])*(Товар!$E$4:$E$1110&lt;=Тўловлар[[#This Row],[Дата]])),Товар!$L$4:$L$1110),Кўрсаткичлар!$B$4)</f>
        <v>0</v>
      </c>
      <c r="O735" s="30">
        <f>Тўловлар[[#This Row],[Поддон]]*Тўловлар[[#This Row],[Поддон нархи]]</f>
        <v>0</v>
      </c>
      <c r="P735" s="30">
        <f>Тўловлар[[#This Row],[Жами сумма]]-Тўловлар[[#This Row],[Поддон пули]]</f>
        <v>0</v>
      </c>
      <c r="Q7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5" s="9" t="str">
        <f>IFERROR(INDEX(Мижозлар[Агент],MATCH($C735,Мижозлар[Расмий ном],0)),"")</f>
        <v/>
      </c>
    </row>
    <row r="736" spans="6:19" x14ac:dyDescent="0.2">
      <c r="F736" s="198"/>
      <c r="G736" s="9">
        <f>Тўловлар[[#This Row],[Поддон]]*$G$3</f>
        <v>0</v>
      </c>
      <c r="K736" s="9">
        <f>SUM(Тўловлар[[#This Row],[ПР-Сумма]]+Тўловлар[[#This Row],[Накд]]+Тўловлар[[#This Row],[Клик]]+Тўловлар[[#This Row],[Терминал]])</f>
        <v>0</v>
      </c>
      <c r="N736" s="30" cm="1">
        <f t="array" ref="N736">IFERROR(LOOKUP(2,1/((Товар!$D$4:$D$1110=Тўловлар[[#This Row],[Клиент]])*(Товар!$E$4:$E$1110&lt;=Тўловлар[[#This Row],[Дата]])),Товар!$L$4:$L$1110),Кўрсаткичлар!$B$4)</f>
        <v>0</v>
      </c>
      <c r="O736" s="30">
        <f>Тўловлар[[#This Row],[Поддон]]*Тўловлар[[#This Row],[Поддон нархи]]</f>
        <v>0</v>
      </c>
      <c r="P736" s="30">
        <f>Тўловлар[[#This Row],[Жами сумма]]-Тўловлар[[#This Row],[Поддон пули]]</f>
        <v>0</v>
      </c>
      <c r="Q7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6" s="9" t="str">
        <f>IFERROR(INDEX(Мижозлар[Агент],MATCH($C736,Мижозлар[Расмий ном],0)),"")</f>
        <v/>
      </c>
    </row>
    <row r="737" spans="6:19" x14ac:dyDescent="0.2">
      <c r="F737" s="198"/>
      <c r="G737" s="9">
        <f>Тўловлар[[#This Row],[Поддон]]*$G$3</f>
        <v>0</v>
      </c>
      <c r="K737" s="9">
        <f>SUM(Тўловлар[[#This Row],[ПР-Сумма]]+Тўловлар[[#This Row],[Накд]]+Тўловлар[[#This Row],[Клик]]+Тўловлар[[#This Row],[Терминал]])</f>
        <v>0</v>
      </c>
      <c r="N737" s="30" cm="1">
        <f t="array" ref="N737">IFERROR(LOOKUP(2,1/((Товар!$D$4:$D$1110=Тўловлар[[#This Row],[Клиент]])*(Товар!$E$4:$E$1110&lt;=Тўловлар[[#This Row],[Дата]])),Товар!$L$4:$L$1110),Кўрсаткичлар!$B$4)</f>
        <v>0</v>
      </c>
      <c r="O737" s="30">
        <f>Тўловлар[[#This Row],[Поддон]]*Тўловлар[[#This Row],[Поддон нархи]]</f>
        <v>0</v>
      </c>
      <c r="P737" s="30">
        <f>Тўловлар[[#This Row],[Жами сумма]]-Тўловлар[[#This Row],[Поддон пули]]</f>
        <v>0</v>
      </c>
      <c r="Q7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7" s="9" t="str">
        <f>IFERROR(INDEX(Мижозлар[Агент],MATCH($C737,Мижозлар[Расмий ном],0)),"")</f>
        <v/>
      </c>
    </row>
    <row r="738" spans="6:19" x14ac:dyDescent="0.2">
      <c r="F738" s="198"/>
      <c r="G738" s="9">
        <f>Тўловлар[[#This Row],[Поддон]]*$G$3</f>
        <v>0</v>
      </c>
      <c r="K738" s="9">
        <f>SUM(Тўловлар[[#This Row],[ПР-Сумма]]+Тўловлар[[#This Row],[Накд]]+Тўловлар[[#This Row],[Клик]]+Тўловлар[[#This Row],[Терминал]])</f>
        <v>0</v>
      </c>
      <c r="N738" s="30" cm="1">
        <f t="array" ref="N738">IFERROR(LOOKUP(2,1/((Товар!$D$4:$D$1110=Тўловлар[[#This Row],[Клиент]])*(Товар!$E$4:$E$1110&lt;=Тўловлар[[#This Row],[Дата]])),Товар!$L$4:$L$1110),Кўрсаткичлар!$B$4)</f>
        <v>0</v>
      </c>
      <c r="O738" s="30">
        <f>Тўловлар[[#This Row],[Поддон]]*Тўловлар[[#This Row],[Поддон нархи]]</f>
        <v>0</v>
      </c>
      <c r="P738" s="30">
        <f>Тўловлар[[#This Row],[Жами сумма]]-Тўловлар[[#This Row],[Поддон пули]]</f>
        <v>0</v>
      </c>
      <c r="Q7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8" s="9" t="str">
        <f>IFERROR(INDEX(Мижозлар[Агент],MATCH($C738,Мижозлар[Расмий ном],0)),"")</f>
        <v/>
      </c>
    </row>
    <row r="739" spans="6:19" x14ac:dyDescent="0.2">
      <c r="F739" s="198"/>
      <c r="G739" s="9">
        <f>Тўловлар[[#This Row],[Поддон]]*$G$3</f>
        <v>0</v>
      </c>
      <c r="K739" s="9">
        <f>SUM(Тўловлар[[#This Row],[ПР-Сумма]]+Тўловлар[[#This Row],[Накд]]+Тўловлар[[#This Row],[Клик]]+Тўловлар[[#This Row],[Терминал]])</f>
        <v>0</v>
      </c>
      <c r="N739" s="30" cm="1">
        <f t="array" ref="N739">IFERROR(LOOKUP(2,1/((Товар!$D$4:$D$1110=Тўловлар[[#This Row],[Клиент]])*(Товар!$E$4:$E$1110&lt;=Тўловлар[[#This Row],[Дата]])),Товар!$L$4:$L$1110),Кўрсаткичлар!$B$4)</f>
        <v>0</v>
      </c>
      <c r="O739" s="30">
        <f>Тўловлар[[#This Row],[Поддон]]*Тўловлар[[#This Row],[Поддон нархи]]</f>
        <v>0</v>
      </c>
      <c r="P739" s="30">
        <f>Тўловлар[[#This Row],[Жами сумма]]-Тўловлар[[#This Row],[Поддон пули]]</f>
        <v>0</v>
      </c>
      <c r="Q7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39" s="9" t="str">
        <f>IFERROR(INDEX(Мижозлар[Агент],MATCH($C739,Мижозлар[Расмий ном],0)),"")</f>
        <v/>
      </c>
    </row>
    <row r="740" spans="6:19" x14ac:dyDescent="0.2">
      <c r="F740" s="198"/>
      <c r="G740" s="9">
        <f>Тўловлар[[#This Row],[Поддон]]*$G$3</f>
        <v>0</v>
      </c>
      <c r="K740" s="9">
        <f>SUM(Тўловлар[[#This Row],[ПР-Сумма]]+Тўловлар[[#This Row],[Накд]]+Тўловлар[[#This Row],[Клик]]+Тўловлар[[#This Row],[Терминал]])</f>
        <v>0</v>
      </c>
      <c r="N740" s="30" cm="1">
        <f t="array" ref="N740">IFERROR(LOOKUP(2,1/((Товар!$D$4:$D$1110=Тўловлар[[#This Row],[Клиент]])*(Товар!$E$4:$E$1110&lt;=Тўловлар[[#This Row],[Дата]])),Товар!$L$4:$L$1110),Кўрсаткичлар!$B$4)</f>
        <v>0</v>
      </c>
      <c r="O740" s="30">
        <f>Тўловлар[[#This Row],[Поддон]]*Тўловлар[[#This Row],[Поддон нархи]]</f>
        <v>0</v>
      </c>
      <c r="P740" s="30">
        <f>Тўловлар[[#This Row],[Жами сумма]]-Тўловлар[[#This Row],[Поддон пули]]</f>
        <v>0</v>
      </c>
      <c r="Q7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0" s="9" t="str">
        <f>IFERROR(INDEX(Мижозлар[Агент],MATCH($C740,Мижозлар[Расмий ном],0)),"")</f>
        <v/>
      </c>
    </row>
    <row r="741" spans="6:19" x14ac:dyDescent="0.2">
      <c r="F741" s="198"/>
      <c r="G741" s="9">
        <f>Тўловлар[[#This Row],[Поддон]]*$G$3</f>
        <v>0</v>
      </c>
      <c r="K741" s="9">
        <f>SUM(Тўловлар[[#This Row],[ПР-Сумма]]+Тўловлар[[#This Row],[Накд]]+Тўловлар[[#This Row],[Клик]]+Тўловлар[[#This Row],[Терминал]])</f>
        <v>0</v>
      </c>
      <c r="N741" s="30" cm="1">
        <f t="array" ref="N741">IFERROR(LOOKUP(2,1/((Товар!$D$4:$D$1110=Тўловлар[[#This Row],[Клиент]])*(Товар!$E$4:$E$1110&lt;=Тўловлар[[#This Row],[Дата]])),Товар!$L$4:$L$1110),Кўрсаткичлар!$B$4)</f>
        <v>0</v>
      </c>
      <c r="O741" s="30">
        <f>Тўловлар[[#This Row],[Поддон]]*Тўловлар[[#This Row],[Поддон нархи]]</f>
        <v>0</v>
      </c>
      <c r="P741" s="30">
        <f>Тўловлар[[#This Row],[Жами сумма]]-Тўловлар[[#This Row],[Поддон пули]]</f>
        <v>0</v>
      </c>
      <c r="Q7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1" s="9" t="str">
        <f>IFERROR(INDEX(Мижозлар[Агент],MATCH($C741,Мижозлар[Расмий ном],0)),"")</f>
        <v/>
      </c>
    </row>
    <row r="742" spans="6:19" x14ac:dyDescent="0.2">
      <c r="F742" s="198"/>
      <c r="G742" s="9">
        <f>Тўловлар[[#This Row],[Поддон]]*$G$3</f>
        <v>0</v>
      </c>
      <c r="K742" s="9">
        <f>SUM(Тўловлар[[#This Row],[ПР-Сумма]]+Тўловлар[[#This Row],[Накд]]+Тўловлар[[#This Row],[Клик]]+Тўловлар[[#This Row],[Терминал]])</f>
        <v>0</v>
      </c>
      <c r="N742" s="30" cm="1">
        <f t="array" ref="N742">IFERROR(LOOKUP(2,1/((Товар!$D$4:$D$1110=Тўловлар[[#This Row],[Клиент]])*(Товар!$E$4:$E$1110&lt;=Тўловлар[[#This Row],[Дата]])),Товар!$L$4:$L$1110),Кўрсаткичлар!$B$4)</f>
        <v>0</v>
      </c>
      <c r="O742" s="30">
        <f>Тўловлар[[#This Row],[Поддон]]*Тўловлар[[#This Row],[Поддон нархи]]</f>
        <v>0</v>
      </c>
      <c r="P742" s="30">
        <f>Тўловлар[[#This Row],[Жами сумма]]-Тўловлар[[#This Row],[Поддон пули]]</f>
        <v>0</v>
      </c>
      <c r="Q7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2" s="9" t="str">
        <f>IFERROR(INDEX(Мижозлар[Агент],MATCH($C742,Мижозлар[Расмий ном],0)),"")</f>
        <v/>
      </c>
    </row>
    <row r="743" spans="6:19" x14ac:dyDescent="0.2">
      <c r="F743" s="198"/>
      <c r="G743" s="9">
        <f>Тўловлар[[#This Row],[Поддон]]*$G$3</f>
        <v>0</v>
      </c>
      <c r="K743" s="9">
        <f>SUM(Тўловлар[[#This Row],[ПР-Сумма]]+Тўловлар[[#This Row],[Накд]]+Тўловлар[[#This Row],[Клик]]+Тўловлар[[#This Row],[Терминал]])</f>
        <v>0</v>
      </c>
      <c r="N743" s="30" cm="1">
        <f t="array" ref="N743">IFERROR(LOOKUP(2,1/((Товар!$D$4:$D$1110=Тўловлар[[#This Row],[Клиент]])*(Товар!$E$4:$E$1110&lt;=Тўловлар[[#This Row],[Дата]])),Товар!$L$4:$L$1110),Кўрсаткичлар!$B$4)</f>
        <v>0</v>
      </c>
      <c r="O743" s="30">
        <f>Тўловлар[[#This Row],[Поддон]]*Тўловлар[[#This Row],[Поддон нархи]]</f>
        <v>0</v>
      </c>
      <c r="P743" s="30">
        <f>Тўловлар[[#This Row],[Жами сумма]]-Тўловлар[[#This Row],[Поддон пули]]</f>
        <v>0</v>
      </c>
      <c r="Q7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3" s="9" t="str">
        <f>IFERROR(INDEX(Мижозлар[Агент],MATCH($C743,Мижозлар[Расмий ном],0)),"")</f>
        <v/>
      </c>
    </row>
    <row r="744" spans="6:19" x14ac:dyDescent="0.2">
      <c r="F744" s="198"/>
      <c r="G744" s="9">
        <f>Тўловлар[[#This Row],[Поддон]]*$G$3</f>
        <v>0</v>
      </c>
      <c r="K744" s="9">
        <f>SUM(Тўловлар[[#This Row],[ПР-Сумма]]+Тўловлар[[#This Row],[Накд]]+Тўловлар[[#This Row],[Клик]]+Тўловлар[[#This Row],[Терминал]])</f>
        <v>0</v>
      </c>
      <c r="N744" s="30" cm="1">
        <f t="array" ref="N744">IFERROR(LOOKUP(2,1/((Товар!$D$4:$D$1110=Тўловлар[[#This Row],[Клиент]])*(Товар!$E$4:$E$1110&lt;=Тўловлар[[#This Row],[Дата]])),Товар!$L$4:$L$1110),Кўрсаткичлар!$B$4)</f>
        <v>0</v>
      </c>
      <c r="O744" s="30">
        <f>Тўловлар[[#This Row],[Поддон]]*Тўловлар[[#This Row],[Поддон нархи]]</f>
        <v>0</v>
      </c>
      <c r="P744" s="30">
        <f>Тўловлар[[#This Row],[Жами сумма]]-Тўловлар[[#This Row],[Поддон пули]]</f>
        <v>0</v>
      </c>
      <c r="Q7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4" s="9" t="str">
        <f>IFERROR(INDEX(Мижозлар[Агент],MATCH($C744,Мижозлар[Расмий ном],0)),"")</f>
        <v/>
      </c>
    </row>
    <row r="745" spans="6:19" x14ac:dyDescent="0.2">
      <c r="F745" s="198"/>
      <c r="G745" s="9">
        <f>Тўловлар[[#This Row],[Поддон]]*$G$3</f>
        <v>0</v>
      </c>
      <c r="K745" s="9">
        <f>SUM(Тўловлар[[#This Row],[ПР-Сумма]]+Тўловлар[[#This Row],[Накд]]+Тўловлар[[#This Row],[Клик]]+Тўловлар[[#This Row],[Терминал]])</f>
        <v>0</v>
      </c>
      <c r="N745" s="30" cm="1">
        <f t="array" ref="N745">IFERROR(LOOKUP(2,1/((Товар!$D$4:$D$1110=Тўловлар[[#This Row],[Клиент]])*(Товар!$E$4:$E$1110&lt;=Тўловлар[[#This Row],[Дата]])),Товар!$L$4:$L$1110),Кўрсаткичлар!$B$4)</f>
        <v>0</v>
      </c>
      <c r="O745" s="30">
        <f>Тўловлар[[#This Row],[Поддон]]*Тўловлар[[#This Row],[Поддон нархи]]</f>
        <v>0</v>
      </c>
      <c r="P745" s="30">
        <f>Тўловлар[[#This Row],[Жами сумма]]-Тўловлар[[#This Row],[Поддон пули]]</f>
        <v>0</v>
      </c>
      <c r="Q7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5" s="9" t="str">
        <f>IFERROR(INDEX(Мижозлар[Агент],MATCH($C745,Мижозлар[Расмий ном],0)),"")</f>
        <v/>
      </c>
    </row>
    <row r="746" spans="6:19" x14ac:dyDescent="0.2">
      <c r="F746" s="198"/>
      <c r="G746" s="9">
        <f>Тўловлар[[#This Row],[Поддон]]*$G$3</f>
        <v>0</v>
      </c>
      <c r="K746" s="9">
        <f>SUM(Тўловлар[[#This Row],[ПР-Сумма]]+Тўловлар[[#This Row],[Накд]]+Тўловлар[[#This Row],[Клик]]+Тўловлар[[#This Row],[Терминал]])</f>
        <v>0</v>
      </c>
      <c r="N746" s="30" cm="1">
        <f t="array" ref="N746">IFERROR(LOOKUP(2,1/((Товар!$D$4:$D$1110=Тўловлар[[#This Row],[Клиент]])*(Товар!$E$4:$E$1110&lt;=Тўловлар[[#This Row],[Дата]])),Товар!$L$4:$L$1110),Кўрсаткичлар!$B$4)</f>
        <v>0</v>
      </c>
      <c r="O746" s="30">
        <f>Тўловлар[[#This Row],[Поддон]]*Тўловлар[[#This Row],[Поддон нархи]]</f>
        <v>0</v>
      </c>
      <c r="P746" s="30">
        <f>Тўловлар[[#This Row],[Жами сумма]]-Тўловлар[[#This Row],[Поддон пули]]</f>
        <v>0</v>
      </c>
      <c r="Q7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6" s="9" t="str">
        <f>IFERROR(INDEX(Мижозлар[Агент],MATCH($C746,Мижозлар[Расмий ном],0)),"")</f>
        <v/>
      </c>
    </row>
    <row r="747" spans="6:19" x14ac:dyDescent="0.2">
      <c r="F747" s="198"/>
      <c r="G747" s="9">
        <f>Тўловлар[[#This Row],[Поддон]]*$G$3</f>
        <v>0</v>
      </c>
      <c r="K747" s="9">
        <f>SUM(Тўловлар[[#This Row],[ПР-Сумма]]+Тўловлар[[#This Row],[Накд]]+Тўловлар[[#This Row],[Клик]]+Тўловлар[[#This Row],[Терминал]])</f>
        <v>0</v>
      </c>
      <c r="N747" s="30" cm="1">
        <f t="array" ref="N747">IFERROR(LOOKUP(2,1/((Товар!$D$4:$D$1110=Тўловлар[[#This Row],[Клиент]])*(Товар!$E$4:$E$1110&lt;=Тўловлар[[#This Row],[Дата]])),Товар!$L$4:$L$1110),Кўрсаткичлар!$B$4)</f>
        <v>0</v>
      </c>
      <c r="O747" s="30">
        <f>Тўловлар[[#This Row],[Поддон]]*Тўловлар[[#This Row],[Поддон нархи]]</f>
        <v>0</v>
      </c>
      <c r="P747" s="30">
        <f>Тўловлар[[#This Row],[Жами сумма]]-Тўловлар[[#This Row],[Поддон пули]]</f>
        <v>0</v>
      </c>
      <c r="Q7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7" s="9" t="str">
        <f>IFERROR(INDEX(Мижозлар[Агент],MATCH($C747,Мижозлар[Расмий ном],0)),"")</f>
        <v/>
      </c>
    </row>
    <row r="748" spans="6:19" x14ac:dyDescent="0.2">
      <c r="F748" s="198"/>
      <c r="G748" s="9">
        <f>Тўловлар[[#This Row],[Поддон]]*$G$3</f>
        <v>0</v>
      </c>
      <c r="K748" s="9">
        <f>SUM(Тўловлар[[#This Row],[ПР-Сумма]]+Тўловлар[[#This Row],[Накд]]+Тўловлар[[#This Row],[Клик]]+Тўловлар[[#This Row],[Терминал]])</f>
        <v>0</v>
      </c>
      <c r="N748" s="30" cm="1">
        <f t="array" ref="N748">IFERROR(LOOKUP(2,1/((Товар!$D$4:$D$1110=Тўловлар[[#This Row],[Клиент]])*(Товар!$E$4:$E$1110&lt;=Тўловлар[[#This Row],[Дата]])),Товар!$L$4:$L$1110),Кўрсаткичлар!$B$4)</f>
        <v>0</v>
      </c>
      <c r="O748" s="30">
        <f>Тўловлар[[#This Row],[Поддон]]*Тўловлар[[#This Row],[Поддон нархи]]</f>
        <v>0</v>
      </c>
      <c r="P748" s="30">
        <f>Тўловлар[[#This Row],[Жами сумма]]-Тўловлар[[#This Row],[Поддон пули]]</f>
        <v>0</v>
      </c>
      <c r="Q7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8" s="9" t="str">
        <f>IFERROR(INDEX(Мижозлар[Агент],MATCH($C748,Мижозлар[Расмий ном],0)),"")</f>
        <v/>
      </c>
    </row>
    <row r="749" spans="6:19" x14ac:dyDescent="0.2">
      <c r="F749" s="198"/>
      <c r="G749" s="9">
        <f>Тўловлар[[#This Row],[Поддон]]*$G$3</f>
        <v>0</v>
      </c>
      <c r="K749" s="9">
        <f>SUM(Тўловлар[[#This Row],[ПР-Сумма]]+Тўловлар[[#This Row],[Накд]]+Тўловлар[[#This Row],[Клик]]+Тўловлар[[#This Row],[Терминал]])</f>
        <v>0</v>
      </c>
      <c r="N749" s="30" cm="1">
        <f t="array" ref="N749">IFERROR(LOOKUP(2,1/((Товар!$D$4:$D$1110=Тўловлар[[#This Row],[Клиент]])*(Товар!$E$4:$E$1110&lt;=Тўловлар[[#This Row],[Дата]])),Товар!$L$4:$L$1110),Кўрсаткичлар!$B$4)</f>
        <v>0</v>
      </c>
      <c r="O749" s="30">
        <f>Тўловлар[[#This Row],[Поддон]]*Тўловлар[[#This Row],[Поддон нархи]]</f>
        <v>0</v>
      </c>
      <c r="P749" s="30">
        <f>Тўловлар[[#This Row],[Жами сумма]]-Тўловлар[[#This Row],[Поддон пули]]</f>
        <v>0</v>
      </c>
      <c r="Q7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49" s="9" t="str">
        <f>IFERROR(INDEX(Мижозлар[Агент],MATCH($C749,Мижозлар[Расмий ном],0)),"")</f>
        <v/>
      </c>
    </row>
    <row r="750" spans="6:19" x14ac:dyDescent="0.2">
      <c r="F750" s="198"/>
      <c r="G750" s="9">
        <f>Тўловлар[[#This Row],[Поддон]]*$G$3</f>
        <v>0</v>
      </c>
      <c r="K750" s="9">
        <f>SUM(Тўловлар[[#This Row],[ПР-Сумма]]+Тўловлар[[#This Row],[Накд]]+Тўловлар[[#This Row],[Клик]]+Тўловлар[[#This Row],[Терминал]])</f>
        <v>0</v>
      </c>
      <c r="N750" s="30" cm="1">
        <f t="array" ref="N750">IFERROR(LOOKUP(2,1/((Товар!$D$4:$D$1110=Тўловлар[[#This Row],[Клиент]])*(Товар!$E$4:$E$1110&lt;=Тўловлар[[#This Row],[Дата]])),Товар!$L$4:$L$1110),Кўрсаткичлар!$B$4)</f>
        <v>0</v>
      </c>
      <c r="O750" s="30">
        <f>Тўловлар[[#This Row],[Поддон]]*Тўловлар[[#This Row],[Поддон нархи]]</f>
        <v>0</v>
      </c>
      <c r="P750" s="30">
        <f>Тўловлар[[#This Row],[Жами сумма]]-Тўловлар[[#This Row],[Поддон пули]]</f>
        <v>0</v>
      </c>
      <c r="Q7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0" s="9" t="str">
        <f>IFERROR(INDEX(Мижозлар[Агент],MATCH($C750,Мижозлар[Расмий ном],0)),"")</f>
        <v/>
      </c>
    </row>
    <row r="751" spans="6:19" x14ac:dyDescent="0.2">
      <c r="F751" s="198"/>
      <c r="G751" s="9">
        <f>Тўловлар[[#This Row],[Поддон]]*$G$3</f>
        <v>0</v>
      </c>
      <c r="K751" s="9">
        <f>SUM(Тўловлар[[#This Row],[ПР-Сумма]]+Тўловлар[[#This Row],[Накд]]+Тўловлар[[#This Row],[Клик]]+Тўловлар[[#This Row],[Терминал]])</f>
        <v>0</v>
      </c>
      <c r="N751" s="30" cm="1">
        <f t="array" ref="N751">IFERROR(LOOKUP(2,1/((Товар!$D$4:$D$1110=Тўловлар[[#This Row],[Клиент]])*(Товар!$E$4:$E$1110&lt;=Тўловлар[[#This Row],[Дата]])),Товар!$L$4:$L$1110),Кўрсаткичлар!$B$4)</f>
        <v>0</v>
      </c>
      <c r="O751" s="30">
        <f>Тўловлар[[#This Row],[Поддон]]*Тўловлар[[#This Row],[Поддон нархи]]</f>
        <v>0</v>
      </c>
      <c r="P751" s="30">
        <f>Тўловлар[[#This Row],[Жами сумма]]-Тўловлар[[#This Row],[Поддон пули]]</f>
        <v>0</v>
      </c>
      <c r="Q7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1" s="9" t="str">
        <f>IFERROR(INDEX(Мижозлар[Агент],MATCH($C751,Мижозлар[Расмий ном],0)),"")</f>
        <v/>
      </c>
    </row>
    <row r="752" spans="6:19" x14ac:dyDescent="0.2">
      <c r="F752" s="198"/>
      <c r="G752" s="9">
        <f>Тўловлар[[#This Row],[Поддон]]*$G$3</f>
        <v>0</v>
      </c>
      <c r="K752" s="9">
        <f>SUM(Тўловлар[[#This Row],[ПР-Сумма]]+Тўловлар[[#This Row],[Накд]]+Тўловлар[[#This Row],[Клик]]+Тўловлар[[#This Row],[Терминал]])</f>
        <v>0</v>
      </c>
      <c r="N752" s="30" cm="1">
        <f t="array" ref="N752">IFERROR(LOOKUP(2,1/((Товар!$D$4:$D$1110=Тўловлар[[#This Row],[Клиент]])*(Товар!$E$4:$E$1110&lt;=Тўловлар[[#This Row],[Дата]])),Товар!$L$4:$L$1110),Кўрсаткичлар!$B$4)</f>
        <v>0</v>
      </c>
      <c r="O752" s="30">
        <f>Тўловлар[[#This Row],[Поддон]]*Тўловлар[[#This Row],[Поддон нархи]]</f>
        <v>0</v>
      </c>
      <c r="P752" s="30">
        <f>Тўловлар[[#This Row],[Жами сумма]]-Тўловлар[[#This Row],[Поддон пули]]</f>
        <v>0</v>
      </c>
      <c r="Q7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2" s="9" t="str">
        <f>IFERROR(INDEX(Мижозлар[Агент],MATCH($C752,Мижозлар[Расмий ном],0)),"")</f>
        <v/>
      </c>
    </row>
    <row r="753" spans="6:19" x14ac:dyDescent="0.2">
      <c r="F753" s="198"/>
      <c r="G753" s="9">
        <f>Тўловлар[[#This Row],[Поддон]]*$G$3</f>
        <v>0</v>
      </c>
      <c r="K753" s="9">
        <f>SUM(Тўловлар[[#This Row],[ПР-Сумма]]+Тўловлар[[#This Row],[Накд]]+Тўловлар[[#This Row],[Клик]]+Тўловлар[[#This Row],[Терминал]])</f>
        <v>0</v>
      </c>
      <c r="N753" s="30" cm="1">
        <f t="array" ref="N753">IFERROR(LOOKUP(2,1/((Товар!$D$4:$D$1110=Тўловлар[[#This Row],[Клиент]])*(Товар!$E$4:$E$1110&lt;=Тўловлар[[#This Row],[Дата]])),Товар!$L$4:$L$1110),Кўрсаткичлар!$B$4)</f>
        <v>0</v>
      </c>
      <c r="O753" s="30">
        <f>Тўловлар[[#This Row],[Поддон]]*Тўловлар[[#This Row],[Поддон нархи]]</f>
        <v>0</v>
      </c>
      <c r="P753" s="30">
        <f>Тўловлар[[#This Row],[Жами сумма]]-Тўловлар[[#This Row],[Поддон пули]]</f>
        <v>0</v>
      </c>
      <c r="Q7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3" s="9" t="str">
        <f>IFERROR(INDEX(Мижозлар[Агент],MATCH($C753,Мижозлар[Расмий ном],0)),"")</f>
        <v/>
      </c>
    </row>
    <row r="754" spans="6:19" x14ac:dyDescent="0.2">
      <c r="F754" s="198"/>
      <c r="G754" s="9">
        <f>Тўловлар[[#This Row],[Поддон]]*$G$3</f>
        <v>0</v>
      </c>
      <c r="K754" s="9">
        <f>SUM(Тўловлар[[#This Row],[ПР-Сумма]]+Тўловлар[[#This Row],[Накд]]+Тўловлар[[#This Row],[Клик]]+Тўловлар[[#This Row],[Терминал]])</f>
        <v>0</v>
      </c>
      <c r="N754" s="30" cm="1">
        <f t="array" ref="N754">IFERROR(LOOKUP(2,1/((Товар!$D$4:$D$1110=Тўловлар[[#This Row],[Клиент]])*(Товар!$E$4:$E$1110&lt;=Тўловлар[[#This Row],[Дата]])),Товар!$L$4:$L$1110),Кўрсаткичлар!$B$4)</f>
        <v>0</v>
      </c>
      <c r="O754" s="30">
        <f>Тўловлар[[#This Row],[Поддон]]*Тўловлар[[#This Row],[Поддон нархи]]</f>
        <v>0</v>
      </c>
      <c r="P754" s="30">
        <f>Тўловлар[[#This Row],[Жами сумма]]-Тўловлар[[#This Row],[Поддон пули]]</f>
        <v>0</v>
      </c>
      <c r="Q7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4" s="9" t="str">
        <f>IFERROR(INDEX(Мижозлар[Агент],MATCH($C754,Мижозлар[Расмий ном],0)),"")</f>
        <v/>
      </c>
    </row>
    <row r="755" spans="6:19" x14ac:dyDescent="0.2">
      <c r="F755" s="198"/>
      <c r="G755" s="9">
        <f>Тўловлар[[#This Row],[Поддон]]*$G$3</f>
        <v>0</v>
      </c>
      <c r="K755" s="9">
        <f>SUM(Тўловлар[[#This Row],[ПР-Сумма]]+Тўловлар[[#This Row],[Накд]]+Тўловлар[[#This Row],[Клик]]+Тўловлар[[#This Row],[Терминал]])</f>
        <v>0</v>
      </c>
      <c r="N755" s="30" cm="1">
        <f t="array" ref="N755">IFERROR(LOOKUP(2,1/((Товар!$D$4:$D$1110=Тўловлар[[#This Row],[Клиент]])*(Товар!$E$4:$E$1110&lt;=Тўловлар[[#This Row],[Дата]])),Товар!$L$4:$L$1110),Кўрсаткичлар!$B$4)</f>
        <v>0</v>
      </c>
      <c r="O755" s="30">
        <f>Тўловлар[[#This Row],[Поддон]]*Тўловлар[[#This Row],[Поддон нархи]]</f>
        <v>0</v>
      </c>
      <c r="P755" s="30">
        <f>Тўловлар[[#This Row],[Жами сумма]]-Тўловлар[[#This Row],[Поддон пули]]</f>
        <v>0</v>
      </c>
      <c r="Q7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5" s="9" t="str">
        <f>IFERROR(INDEX(Мижозлар[Агент],MATCH($C755,Мижозлар[Расмий ном],0)),"")</f>
        <v/>
      </c>
    </row>
    <row r="756" spans="6:19" x14ac:dyDescent="0.2">
      <c r="F756" s="198"/>
      <c r="G756" s="9">
        <f>Тўловлар[[#This Row],[Поддон]]*$G$3</f>
        <v>0</v>
      </c>
      <c r="K756" s="9">
        <f>SUM(Тўловлар[[#This Row],[ПР-Сумма]]+Тўловлар[[#This Row],[Накд]]+Тўловлар[[#This Row],[Клик]]+Тўловлар[[#This Row],[Терминал]])</f>
        <v>0</v>
      </c>
      <c r="N756" s="30" cm="1">
        <f t="array" ref="N756">IFERROR(LOOKUP(2,1/((Товар!$D$4:$D$1110=Тўловлар[[#This Row],[Клиент]])*(Товар!$E$4:$E$1110&lt;=Тўловлар[[#This Row],[Дата]])),Товар!$L$4:$L$1110),Кўрсаткичлар!$B$4)</f>
        <v>0</v>
      </c>
      <c r="O756" s="30">
        <f>Тўловлар[[#This Row],[Поддон]]*Тўловлар[[#This Row],[Поддон нархи]]</f>
        <v>0</v>
      </c>
      <c r="P756" s="30">
        <f>Тўловлар[[#This Row],[Жами сумма]]-Тўловлар[[#This Row],[Поддон пули]]</f>
        <v>0</v>
      </c>
      <c r="Q7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6" s="9" t="str">
        <f>IFERROR(INDEX(Мижозлар[Агент],MATCH($C756,Мижозлар[Расмий ном],0)),"")</f>
        <v/>
      </c>
    </row>
    <row r="757" spans="6:19" x14ac:dyDescent="0.2">
      <c r="F757" s="198"/>
      <c r="G757" s="9">
        <f>Тўловлар[[#This Row],[Поддон]]*$G$3</f>
        <v>0</v>
      </c>
      <c r="K757" s="9">
        <f>SUM(Тўловлар[[#This Row],[ПР-Сумма]]+Тўловлар[[#This Row],[Накд]]+Тўловлар[[#This Row],[Клик]]+Тўловлар[[#This Row],[Терминал]])</f>
        <v>0</v>
      </c>
      <c r="N757" s="30" cm="1">
        <f t="array" ref="N757">IFERROR(LOOKUP(2,1/((Товар!$D$4:$D$1110=Тўловлар[[#This Row],[Клиент]])*(Товар!$E$4:$E$1110&lt;=Тўловлар[[#This Row],[Дата]])),Товар!$L$4:$L$1110),Кўрсаткичлар!$B$4)</f>
        <v>0</v>
      </c>
      <c r="O757" s="30">
        <f>Тўловлар[[#This Row],[Поддон]]*Тўловлар[[#This Row],[Поддон нархи]]</f>
        <v>0</v>
      </c>
      <c r="P757" s="30">
        <f>Тўловлар[[#This Row],[Жами сумма]]-Тўловлар[[#This Row],[Поддон пули]]</f>
        <v>0</v>
      </c>
      <c r="Q7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7" s="9" t="str">
        <f>IFERROR(INDEX(Мижозлар[Агент],MATCH($C757,Мижозлар[Расмий ном],0)),"")</f>
        <v/>
      </c>
    </row>
    <row r="758" spans="6:19" x14ac:dyDescent="0.2">
      <c r="F758" s="198"/>
      <c r="G758" s="9">
        <f>Тўловлар[[#This Row],[Поддон]]*$G$3</f>
        <v>0</v>
      </c>
      <c r="K758" s="9">
        <f>SUM(Тўловлар[[#This Row],[ПР-Сумма]]+Тўловлар[[#This Row],[Накд]]+Тўловлар[[#This Row],[Клик]]+Тўловлар[[#This Row],[Терминал]])</f>
        <v>0</v>
      </c>
      <c r="N758" s="30" cm="1">
        <f t="array" ref="N758">IFERROR(LOOKUP(2,1/((Товар!$D$4:$D$1110=Тўловлар[[#This Row],[Клиент]])*(Товар!$E$4:$E$1110&lt;=Тўловлар[[#This Row],[Дата]])),Товар!$L$4:$L$1110),Кўрсаткичлар!$B$4)</f>
        <v>0</v>
      </c>
      <c r="O758" s="30">
        <f>Тўловлар[[#This Row],[Поддон]]*Тўловлар[[#This Row],[Поддон нархи]]</f>
        <v>0</v>
      </c>
      <c r="P758" s="30">
        <f>Тўловлар[[#This Row],[Жами сумма]]-Тўловлар[[#This Row],[Поддон пули]]</f>
        <v>0</v>
      </c>
      <c r="Q7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8" s="9" t="str">
        <f>IFERROR(INDEX(Мижозлар[Агент],MATCH($C758,Мижозлар[Расмий ном],0)),"")</f>
        <v/>
      </c>
    </row>
    <row r="759" spans="6:19" x14ac:dyDescent="0.2">
      <c r="F759" s="198"/>
      <c r="G759" s="9">
        <f>Тўловлар[[#This Row],[Поддон]]*$G$3</f>
        <v>0</v>
      </c>
      <c r="K759" s="9">
        <f>SUM(Тўловлар[[#This Row],[ПР-Сумма]]+Тўловлар[[#This Row],[Накд]]+Тўловлар[[#This Row],[Клик]]+Тўловлар[[#This Row],[Терминал]])</f>
        <v>0</v>
      </c>
      <c r="N759" s="30" cm="1">
        <f t="array" ref="N759">IFERROR(LOOKUP(2,1/((Товар!$D$4:$D$1110=Тўловлар[[#This Row],[Клиент]])*(Товар!$E$4:$E$1110&lt;=Тўловлар[[#This Row],[Дата]])),Товар!$L$4:$L$1110),Кўрсаткичлар!$B$4)</f>
        <v>0</v>
      </c>
      <c r="O759" s="30">
        <f>Тўловлар[[#This Row],[Поддон]]*Тўловлар[[#This Row],[Поддон нархи]]</f>
        <v>0</v>
      </c>
      <c r="P759" s="30">
        <f>Тўловлар[[#This Row],[Жами сумма]]-Тўловлар[[#This Row],[Поддон пули]]</f>
        <v>0</v>
      </c>
      <c r="Q7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59" s="9" t="str">
        <f>IFERROR(INDEX(Мижозлар[Агент],MATCH($C759,Мижозлар[Расмий ном],0)),"")</f>
        <v/>
      </c>
    </row>
    <row r="760" spans="6:19" x14ac:dyDescent="0.2">
      <c r="F760" s="198"/>
      <c r="G760" s="9">
        <f>Тўловлар[[#This Row],[Поддон]]*$G$3</f>
        <v>0</v>
      </c>
      <c r="K760" s="9">
        <f>SUM(Тўловлар[[#This Row],[ПР-Сумма]]+Тўловлар[[#This Row],[Накд]]+Тўловлар[[#This Row],[Клик]]+Тўловлар[[#This Row],[Терминал]])</f>
        <v>0</v>
      </c>
      <c r="N760" s="30" cm="1">
        <f t="array" ref="N760">IFERROR(LOOKUP(2,1/((Товар!$D$4:$D$1110=Тўловлар[[#This Row],[Клиент]])*(Товар!$E$4:$E$1110&lt;=Тўловлар[[#This Row],[Дата]])),Товар!$L$4:$L$1110),Кўрсаткичлар!$B$4)</f>
        <v>0</v>
      </c>
      <c r="O760" s="30">
        <f>Тўловлар[[#This Row],[Поддон]]*Тўловлар[[#This Row],[Поддон нархи]]</f>
        <v>0</v>
      </c>
      <c r="P760" s="30">
        <f>Тўловлар[[#This Row],[Жами сумма]]-Тўловлар[[#This Row],[Поддон пули]]</f>
        <v>0</v>
      </c>
      <c r="Q7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0" s="9" t="str">
        <f>IFERROR(INDEX(Мижозлар[Агент],MATCH($C760,Мижозлар[Расмий ном],0)),"")</f>
        <v/>
      </c>
    </row>
    <row r="761" spans="6:19" x14ac:dyDescent="0.2">
      <c r="F761" s="198"/>
      <c r="G761" s="9">
        <f>Тўловлар[[#This Row],[Поддон]]*$G$3</f>
        <v>0</v>
      </c>
      <c r="K761" s="9">
        <f>SUM(Тўловлар[[#This Row],[ПР-Сумма]]+Тўловлар[[#This Row],[Накд]]+Тўловлар[[#This Row],[Клик]]+Тўловлар[[#This Row],[Терминал]])</f>
        <v>0</v>
      </c>
      <c r="N761" s="30" cm="1">
        <f t="array" ref="N761">IFERROR(LOOKUP(2,1/((Товар!$D$4:$D$1110=Тўловлар[[#This Row],[Клиент]])*(Товар!$E$4:$E$1110&lt;=Тўловлар[[#This Row],[Дата]])),Товар!$L$4:$L$1110),Кўрсаткичлар!$B$4)</f>
        <v>0</v>
      </c>
      <c r="O761" s="30">
        <f>Тўловлар[[#This Row],[Поддон]]*Тўловлар[[#This Row],[Поддон нархи]]</f>
        <v>0</v>
      </c>
      <c r="P761" s="30">
        <f>Тўловлар[[#This Row],[Жами сумма]]-Тўловлар[[#This Row],[Поддон пули]]</f>
        <v>0</v>
      </c>
      <c r="Q7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1" s="9" t="str">
        <f>IFERROR(INDEX(Мижозлар[Агент],MATCH($C761,Мижозлар[Расмий ном],0)),"")</f>
        <v/>
      </c>
    </row>
    <row r="762" spans="6:19" x14ac:dyDescent="0.2">
      <c r="F762" s="198"/>
      <c r="G762" s="9">
        <f>Тўловлар[[#This Row],[Поддон]]*$G$3</f>
        <v>0</v>
      </c>
      <c r="K762" s="9">
        <f>SUM(Тўловлар[[#This Row],[ПР-Сумма]]+Тўловлар[[#This Row],[Накд]]+Тўловлар[[#This Row],[Клик]]+Тўловлар[[#This Row],[Терминал]])</f>
        <v>0</v>
      </c>
      <c r="N762" s="30" cm="1">
        <f t="array" ref="N762">IFERROR(LOOKUP(2,1/((Товар!$D$4:$D$1110=Тўловлар[[#This Row],[Клиент]])*(Товар!$E$4:$E$1110&lt;=Тўловлар[[#This Row],[Дата]])),Товар!$L$4:$L$1110),Кўрсаткичлар!$B$4)</f>
        <v>0</v>
      </c>
      <c r="O762" s="30">
        <f>Тўловлар[[#This Row],[Поддон]]*Тўловлар[[#This Row],[Поддон нархи]]</f>
        <v>0</v>
      </c>
      <c r="P762" s="30">
        <f>Тўловлар[[#This Row],[Жами сумма]]-Тўловлар[[#This Row],[Поддон пули]]</f>
        <v>0</v>
      </c>
      <c r="Q7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2" s="9" t="str">
        <f>IFERROR(INDEX(Мижозлар[Агент],MATCH($C762,Мижозлар[Расмий ном],0)),"")</f>
        <v/>
      </c>
    </row>
    <row r="763" spans="6:19" x14ac:dyDescent="0.2">
      <c r="F763" s="198"/>
      <c r="G763" s="9">
        <f>Тўловлар[[#This Row],[Поддон]]*$G$3</f>
        <v>0</v>
      </c>
      <c r="K763" s="9">
        <f>SUM(Тўловлар[[#This Row],[ПР-Сумма]]+Тўловлар[[#This Row],[Накд]]+Тўловлар[[#This Row],[Клик]]+Тўловлар[[#This Row],[Терминал]])</f>
        <v>0</v>
      </c>
      <c r="N763" s="30" cm="1">
        <f t="array" ref="N763">IFERROR(LOOKUP(2,1/((Товар!$D$4:$D$1110=Тўловлар[[#This Row],[Клиент]])*(Товар!$E$4:$E$1110&lt;=Тўловлар[[#This Row],[Дата]])),Товар!$L$4:$L$1110),Кўрсаткичлар!$B$4)</f>
        <v>0</v>
      </c>
      <c r="O763" s="30">
        <f>Тўловлар[[#This Row],[Поддон]]*Тўловлар[[#This Row],[Поддон нархи]]</f>
        <v>0</v>
      </c>
      <c r="P763" s="30">
        <f>Тўловлар[[#This Row],[Жами сумма]]-Тўловлар[[#This Row],[Поддон пули]]</f>
        <v>0</v>
      </c>
      <c r="Q7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3" s="9" t="str">
        <f>IFERROR(INDEX(Мижозлар[Агент],MATCH($C763,Мижозлар[Расмий ном],0)),"")</f>
        <v/>
      </c>
    </row>
    <row r="764" spans="6:19" x14ac:dyDescent="0.2">
      <c r="F764" s="198"/>
      <c r="G764" s="9">
        <f>Тўловлар[[#This Row],[Поддон]]*$G$3</f>
        <v>0</v>
      </c>
      <c r="K764" s="9">
        <f>SUM(Тўловлар[[#This Row],[ПР-Сумма]]+Тўловлар[[#This Row],[Накд]]+Тўловлар[[#This Row],[Клик]]+Тўловлар[[#This Row],[Терминал]])</f>
        <v>0</v>
      </c>
      <c r="N764" s="30" cm="1">
        <f t="array" ref="N764">IFERROR(LOOKUP(2,1/((Товар!$D$4:$D$1110=Тўловлар[[#This Row],[Клиент]])*(Товар!$E$4:$E$1110&lt;=Тўловлар[[#This Row],[Дата]])),Товар!$L$4:$L$1110),Кўрсаткичлар!$B$4)</f>
        <v>0</v>
      </c>
      <c r="O764" s="30">
        <f>Тўловлар[[#This Row],[Поддон]]*Тўловлар[[#This Row],[Поддон нархи]]</f>
        <v>0</v>
      </c>
      <c r="P764" s="30">
        <f>Тўловлар[[#This Row],[Жами сумма]]-Тўловлар[[#This Row],[Поддон пули]]</f>
        <v>0</v>
      </c>
      <c r="Q7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4" s="9" t="str">
        <f>IFERROR(INDEX(Мижозлар[Агент],MATCH($C764,Мижозлар[Расмий ном],0)),"")</f>
        <v/>
      </c>
    </row>
    <row r="765" spans="6:19" x14ac:dyDescent="0.2">
      <c r="F765" s="198"/>
      <c r="G765" s="9">
        <f>Тўловлар[[#This Row],[Поддон]]*$G$3</f>
        <v>0</v>
      </c>
      <c r="K765" s="9">
        <f>SUM(Тўловлар[[#This Row],[ПР-Сумма]]+Тўловлар[[#This Row],[Накд]]+Тўловлар[[#This Row],[Клик]]+Тўловлар[[#This Row],[Терминал]])</f>
        <v>0</v>
      </c>
      <c r="N765" s="30" cm="1">
        <f t="array" ref="N765">IFERROR(LOOKUP(2,1/((Товар!$D$4:$D$1110=Тўловлар[[#This Row],[Клиент]])*(Товар!$E$4:$E$1110&lt;=Тўловлар[[#This Row],[Дата]])),Товар!$L$4:$L$1110),Кўрсаткичлар!$B$4)</f>
        <v>0</v>
      </c>
      <c r="O765" s="30">
        <f>Тўловлар[[#This Row],[Поддон]]*Тўловлар[[#This Row],[Поддон нархи]]</f>
        <v>0</v>
      </c>
      <c r="P765" s="30">
        <f>Тўловлар[[#This Row],[Жами сумма]]-Тўловлар[[#This Row],[Поддон пули]]</f>
        <v>0</v>
      </c>
      <c r="Q7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5" s="9" t="str">
        <f>IFERROR(INDEX(Мижозлар[Агент],MATCH($C765,Мижозлар[Расмий ном],0)),"")</f>
        <v/>
      </c>
    </row>
    <row r="766" spans="6:19" x14ac:dyDescent="0.2">
      <c r="F766" s="198"/>
      <c r="G766" s="9">
        <f>Тўловлар[[#This Row],[Поддон]]*$G$3</f>
        <v>0</v>
      </c>
      <c r="K766" s="9">
        <f>SUM(Тўловлар[[#This Row],[ПР-Сумма]]+Тўловлар[[#This Row],[Накд]]+Тўловлар[[#This Row],[Клик]]+Тўловлар[[#This Row],[Терминал]])</f>
        <v>0</v>
      </c>
      <c r="N766" s="30" cm="1">
        <f t="array" ref="N766">IFERROR(LOOKUP(2,1/((Товар!$D$4:$D$1110=Тўловлар[[#This Row],[Клиент]])*(Товар!$E$4:$E$1110&lt;=Тўловлар[[#This Row],[Дата]])),Товар!$L$4:$L$1110),Кўрсаткичлар!$B$4)</f>
        <v>0</v>
      </c>
      <c r="O766" s="30">
        <f>Тўловлар[[#This Row],[Поддон]]*Тўловлар[[#This Row],[Поддон нархи]]</f>
        <v>0</v>
      </c>
      <c r="P766" s="30">
        <f>Тўловлар[[#This Row],[Жами сумма]]-Тўловлар[[#This Row],[Поддон пули]]</f>
        <v>0</v>
      </c>
      <c r="Q7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6" s="9" t="str">
        <f>IFERROR(INDEX(Мижозлар[Агент],MATCH($C766,Мижозлар[Расмий ном],0)),"")</f>
        <v/>
      </c>
    </row>
    <row r="767" spans="6:19" x14ac:dyDescent="0.2">
      <c r="F767" s="198"/>
      <c r="G767" s="9">
        <f>Тўловлар[[#This Row],[Поддон]]*$G$3</f>
        <v>0</v>
      </c>
      <c r="K767" s="9">
        <f>SUM(Тўловлар[[#This Row],[ПР-Сумма]]+Тўловлар[[#This Row],[Накд]]+Тўловлар[[#This Row],[Клик]]+Тўловлар[[#This Row],[Терминал]])</f>
        <v>0</v>
      </c>
      <c r="N767" s="30" cm="1">
        <f t="array" ref="N767">IFERROR(LOOKUP(2,1/((Товар!$D$4:$D$1110=Тўловлар[[#This Row],[Клиент]])*(Товар!$E$4:$E$1110&lt;=Тўловлар[[#This Row],[Дата]])),Товар!$L$4:$L$1110),Кўрсаткичлар!$B$4)</f>
        <v>0</v>
      </c>
      <c r="O767" s="30">
        <f>Тўловлар[[#This Row],[Поддон]]*Тўловлар[[#This Row],[Поддон нархи]]</f>
        <v>0</v>
      </c>
      <c r="P767" s="30">
        <f>Тўловлар[[#This Row],[Жами сумма]]-Тўловлар[[#This Row],[Поддон пули]]</f>
        <v>0</v>
      </c>
      <c r="Q7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7" s="9" t="str">
        <f>IFERROR(INDEX(Мижозлар[Агент],MATCH($C767,Мижозлар[Расмий ном],0)),"")</f>
        <v/>
      </c>
    </row>
    <row r="768" spans="6:19" x14ac:dyDescent="0.2">
      <c r="F768" s="198"/>
      <c r="G768" s="9">
        <f>Тўловлар[[#This Row],[Поддон]]*$G$3</f>
        <v>0</v>
      </c>
      <c r="K768" s="9">
        <f>SUM(Тўловлар[[#This Row],[ПР-Сумма]]+Тўловлар[[#This Row],[Накд]]+Тўловлар[[#This Row],[Клик]]+Тўловлар[[#This Row],[Терминал]])</f>
        <v>0</v>
      </c>
      <c r="N768" s="30" cm="1">
        <f t="array" ref="N768">IFERROR(LOOKUP(2,1/((Товар!$D$4:$D$1110=Тўловлар[[#This Row],[Клиент]])*(Товар!$E$4:$E$1110&lt;=Тўловлар[[#This Row],[Дата]])),Товар!$L$4:$L$1110),Кўрсаткичлар!$B$4)</f>
        <v>0</v>
      </c>
      <c r="O768" s="30">
        <f>Тўловлар[[#This Row],[Поддон]]*Тўловлар[[#This Row],[Поддон нархи]]</f>
        <v>0</v>
      </c>
      <c r="P768" s="30">
        <f>Тўловлар[[#This Row],[Жами сумма]]-Тўловлар[[#This Row],[Поддон пули]]</f>
        <v>0</v>
      </c>
      <c r="Q7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8" s="9" t="str">
        <f>IFERROR(INDEX(Мижозлар[Агент],MATCH($C768,Мижозлар[Расмий ном],0)),"")</f>
        <v/>
      </c>
    </row>
    <row r="769" spans="6:19" x14ac:dyDescent="0.2">
      <c r="F769" s="198"/>
      <c r="G769" s="9">
        <f>Тўловлар[[#This Row],[Поддон]]*$G$3</f>
        <v>0</v>
      </c>
      <c r="K769" s="9">
        <f>SUM(Тўловлар[[#This Row],[ПР-Сумма]]+Тўловлар[[#This Row],[Накд]]+Тўловлар[[#This Row],[Клик]]+Тўловлар[[#This Row],[Терминал]])</f>
        <v>0</v>
      </c>
      <c r="N769" s="30" cm="1">
        <f t="array" ref="N769">IFERROR(LOOKUP(2,1/((Товар!$D$4:$D$1110=Тўловлар[[#This Row],[Клиент]])*(Товар!$E$4:$E$1110&lt;=Тўловлар[[#This Row],[Дата]])),Товар!$L$4:$L$1110),Кўрсаткичлар!$B$4)</f>
        <v>0</v>
      </c>
      <c r="O769" s="30">
        <f>Тўловлар[[#This Row],[Поддон]]*Тўловлар[[#This Row],[Поддон нархи]]</f>
        <v>0</v>
      </c>
      <c r="P769" s="30">
        <f>Тўловлар[[#This Row],[Жами сумма]]-Тўловлар[[#This Row],[Поддон пули]]</f>
        <v>0</v>
      </c>
      <c r="Q7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69" s="9" t="str">
        <f>IFERROR(INDEX(Мижозлар[Агент],MATCH($C769,Мижозлар[Расмий ном],0)),"")</f>
        <v/>
      </c>
    </row>
    <row r="770" spans="6:19" x14ac:dyDescent="0.2">
      <c r="F770" s="198"/>
      <c r="G770" s="9">
        <f>Тўловлар[[#This Row],[Поддон]]*$G$3</f>
        <v>0</v>
      </c>
      <c r="K770" s="9">
        <f>SUM(Тўловлар[[#This Row],[ПР-Сумма]]+Тўловлар[[#This Row],[Накд]]+Тўловлар[[#This Row],[Клик]]+Тўловлар[[#This Row],[Терминал]])</f>
        <v>0</v>
      </c>
      <c r="N770" s="30" cm="1">
        <f t="array" ref="N770">IFERROR(LOOKUP(2,1/((Товар!$D$4:$D$1110=Тўловлар[[#This Row],[Клиент]])*(Товар!$E$4:$E$1110&lt;=Тўловлар[[#This Row],[Дата]])),Товар!$L$4:$L$1110),Кўрсаткичлар!$B$4)</f>
        <v>0</v>
      </c>
      <c r="O770" s="30">
        <f>Тўловлар[[#This Row],[Поддон]]*Тўловлар[[#This Row],[Поддон нархи]]</f>
        <v>0</v>
      </c>
      <c r="P770" s="30">
        <f>Тўловлар[[#This Row],[Жами сумма]]-Тўловлар[[#This Row],[Поддон пули]]</f>
        <v>0</v>
      </c>
      <c r="Q7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0" s="9" t="str">
        <f>IFERROR(INDEX(Мижозлар[Агент],MATCH($C770,Мижозлар[Расмий ном],0)),"")</f>
        <v/>
      </c>
    </row>
    <row r="771" spans="6:19" x14ac:dyDescent="0.2">
      <c r="F771" s="198"/>
      <c r="G771" s="9">
        <f>Тўловлар[[#This Row],[Поддон]]*$G$3</f>
        <v>0</v>
      </c>
      <c r="K771" s="9">
        <f>SUM(Тўловлар[[#This Row],[ПР-Сумма]]+Тўловлар[[#This Row],[Накд]]+Тўловлар[[#This Row],[Клик]]+Тўловлар[[#This Row],[Терминал]])</f>
        <v>0</v>
      </c>
      <c r="N771" s="30" cm="1">
        <f t="array" ref="N771">IFERROR(LOOKUP(2,1/((Товар!$D$4:$D$1110=Тўловлар[[#This Row],[Клиент]])*(Товар!$E$4:$E$1110&lt;=Тўловлар[[#This Row],[Дата]])),Товар!$L$4:$L$1110),Кўрсаткичлар!$B$4)</f>
        <v>0</v>
      </c>
      <c r="O771" s="30">
        <f>Тўловлар[[#This Row],[Поддон]]*Тўловлар[[#This Row],[Поддон нархи]]</f>
        <v>0</v>
      </c>
      <c r="P771" s="30">
        <f>Тўловлар[[#This Row],[Жами сумма]]-Тўловлар[[#This Row],[Поддон пули]]</f>
        <v>0</v>
      </c>
      <c r="Q7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1" s="9" t="str">
        <f>IFERROR(INDEX(Мижозлар[Агент],MATCH($C771,Мижозлар[Расмий ном],0)),"")</f>
        <v/>
      </c>
    </row>
    <row r="772" spans="6:19" x14ac:dyDescent="0.2">
      <c r="F772" s="198"/>
      <c r="G772" s="9">
        <f>Тўловлар[[#This Row],[Поддон]]*$G$3</f>
        <v>0</v>
      </c>
      <c r="K772" s="9">
        <f>SUM(Тўловлар[[#This Row],[ПР-Сумма]]+Тўловлар[[#This Row],[Накд]]+Тўловлар[[#This Row],[Клик]]+Тўловлар[[#This Row],[Терминал]])</f>
        <v>0</v>
      </c>
      <c r="N772" s="30" cm="1">
        <f t="array" ref="N772">IFERROR(LOOKUP(2,1/((Товар!$D$4:$D$1110=Тўловлар[[#This Row],[Клиент]])*(Товар!$E$4:$E$1110&lt;=Тўловлар[[#This Row],[Дата]])),Товар!$L$4:$L$1110),Кўрсаткичлар!$B$4)</f>
        <v>0</v>
      </c>
      <c r="O772" s="30">
        <f>Тўловлар[[#This Row],[Поддон]]*Тўловлар[[#This Row],[Поддон нархи]]</f>
        <v>0</v>
      </c>
      <c r="P772" s="30">
        <f>Тўловлар[[#This Row],[Жами сумма]]-Тўловлар[[#This Row],[Поддон пули]]</f>
        <v>0</v>
      </c>
      <c r="Q7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2" s="9" t="str">
        <f>IFERROR(INDEX(Мижозлар[Агент],MATCH($C772,Мижозлар[Расмий ном],0)),"")</f>
        <v/>
      </c>
    </row>
    <row r="773" spans="6:19" x14ac:dyDescent="0.2">
      <c r="F773" s="198"/>
      <c r="G773" s="9">
        <f>Тўловлар[[#This Row],[Поддон]]*$G$3</f>
        <v>0</v>
      </c>
      <c r="K773" s="9">
        <f>SUM(Тўловлар[[#This Row],[ПР-Сумма]]+Тўловлар[[#This Row],[Накд]]+Тўловлар[[#This Row],[Клик]]+Тўловлар[[#This Row],[Терминал]])</f>
        <v>0</v>
      </c>
      <c r="N773" s="30" cm="1">
        <f t="array" ref="N773">IFERROR(LOOKUP(2,1/((Товар!$D$4:$D$1110=Тўловлар[[#This Row],[Клиент]])*(Товар!$E$4:$E$1110&lt;=Тўловлар[[#This Row],[Дата]])),Товар!$L$4:$L$1110),Кўрсаткичлар!$B$4)</f>
        <v>0</v>
      </c>
      <c r="O773" s="30">
        <f>Тўловлар[[#This Row],[Поддон]]*Тўловлар[[#This Row],[Поддон нархи]]</f>
        <v>0</v>
      </c>
      <c r="P773" s="30">
        <f>Тўловлар[[#This Row],[Жами сумма]]-Тўловлар[[#This Row],[Поддон пули]]</f>
        <v>0</v>
      </c>
      <c r="Q7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3" s="9" t="str">
        <f>IFERROR(INDEX(Мижозлар[Агент],MATCH($C773,Мижозлар[Расмий ном],0)),"")</f>
        <v/>
      </c>
    </row>
    <row r="774" spans="6:19" x14ac:dyDescent="0.2">
      <c r="F774" s="198"/>
      <c r="G774" s="9">
        <f>Тўловлар[[#This Row],[Поддон]]*$G$3</f>
        <v>0</v>
      </c>
      <c r="K774" s="9">
        <f>SUM(Тўловлар[[#This Row],[ПР-Сумма]]+Тўловлар[[#This Row],[Накд]]+Тўловлар[[#This Row],[Клик]]+Тўловлар[[#This Row],[Терминал]])</f>
        <v>0</v>
      </c>
      <c r="N774" s="30" cm="1">
        <f t="array" ref="N774">IFERROR(LOOKUP(2,1/((Товар!$D$4:$D$1110=Тўловлар[[#This Row],[Клиент]])*(Товар!$E$4:$E$1110&lt;=Тўловлар[[#This Row],[Дата]])),Товар!$L$4:$L$1110),Кўрсаткичлар!$B$4)</f>
        <v>0</v>
      </c>
      <c r="O774" s="30">
        <f>Тўловлар[[#This Row],[Поддон]]*Тўловлар[[#This Row],[Поддон нархи]]</f>
        <v>0</v>
      </c>
      <c r="P774" s="30">
        <f>Тўловлар[[#This Row],[Жами сумма]]-Тўловлар[[#This Row],[Поддон пули]]</f>
        <v>0</v>
      </c>
      <c r="Q7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4" s="9" t="str">
        <f>IFERROR(INDEX(Мижозлар[Агент],MATCH($C774,Мижозлар[Расмий ном],0)),"")</f>
        <v/>
      </c>
    </row>
    <row r="775" spans="6:19" x14ac:dyDescent="0.2">
      <c r="F775" s="198"/>
      <c r="G775" s="9">
        <f>Тўловлар[[#This Row],[Поддон]]*$G$3</f>
        <v>0</v>
      </c>
      <c r="K775" s="9">
        <f>SUM(Тўловлар[[#This Row],[ПР-Сумма]]+Тўловлар[[#This Row],[Накд]]+Тўловлар[[#This Row],[Клик]]+Тўловлар[[#This Row],[Терминал]])</f>
        <v>0</v>
      </c>
      <c r="N775" s="30" cm="1">
        <f t="array" ref="N775">IFERROR(LOOKUP(2,1/((Товар!$D$4:$D$1110=Тўловлар[[#This Row],[Клиент]])*(Товар!$E$4:$E$1110&lt;=Тўловлар[[#This Row],[Дата]])),Товар!$L$4:$L$1110),Кўрсаткичлар!$B$4)</f>
        <v>0</v>
      </c>
      <c r="O775" s="30">
        <f>Тўловлар[[#This Row],[Поддон]]*Тўловлар[[#This Row],[Поддон нархи]]</f>
        <v>0</v>
      </c>
      <c r="P775" s="30">
        <f>Тўловлар[[#This Row],[Жами сумма]]-Тўловлар[[#This Row],[Поддон пули]]</f>
        <v>0</v>
      </c>
      <c r="Q7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5" s="9" t="str">
        <f>IFERROR(INDEX(Мижозлар[Агент],MATCH($C775,Мижозлар[Расмий ном],0)),"")</f>
        <v/>
      </c>
    </row>
    <row r="776" spans="6:19" x14ac:dyDescent="0.2">
      <c r="F776" s="198"/>
      <c r="G776" s="9">
        <f>Тўловлар[[#This Row],[Поддон]]*$G$3</f>
        <v>0</v>
      </c>
      <c r="K776" s="9">
        <f>SUM(Тўловлар[[#This Row],[ПР-Сумма]]+Тўловлар[[#This Row],[Накд]]+Тўловлар[[#This Row],[Клик]]+Тўловлар[[#This Row],[Терминал]])</f>
        <v>0</v>
      </c>
      <c r="N776" s="30" cm="1">
        <f t="array" ref="N776">IFERROR(LOOKUP(2,1/((Товар!$D$4:$D$1110=Тўловлар[[#This Row],[Клиент]])*(Товар!$E$4:$E$1110&lt;=Тўловлар[[#This Row],[Дата]])),Товар!$L$4:$L$1110),Кўрсаткичлар!$B$4)</f>
        <v>0</v>
      </c>
      <c r="O776" s="30">
        <f>Тўловлар[[#This Row],[Поддон]]*Тўловлар[[#This Row],[Поддон нархи]]</f>
        <v>0</v>
      </c>
      <c r="P776" s="30">
        <f>Тўловлар[[#This Row],[Жами сумма]]-Тўловлар[[#This Row],[Поддон пули]]</f>
        <v>0</v>
      </c>
      <c r="Q7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6" s="9" t="str">
        <f>IFERROR(INDEX(Мижозлар[Агент],MATCH($C776,Мижозлар[Расмий ном],0)),"")</f>
        <v/>
      </c>
    </row>
    <row r="777" spans="6:19" x14ac:dyDescent="0.2">
      <c r="F777" s="198"/>
      <c r="G777" s="9">
        <f>Тўловлар[[#This Row],[Поддон]]*$G$3</f>
        <v>0</v>
      </c>
      <c r="K777" s="9">
        <f>SUM(Тўловлар[[#This Row],[ПР-Сумма]]+Тўловлар[[#This Row],[Накд]]+Тўловлар[[#This Row],[Клик]]+Тўловлар[[#This Row],[Терминал]])</f>
        <v>0</v>
      </c>
      <c r="N777" s="30" cm="1">
        <f t="array" ref="N777">IFERROR(LOOKUP(2,1/((Товар!$D$4:$D$1110=Тўловлар[[#This Row],[Клиент]])*(Товар!$E$4:$E$1110&lt;=Тўловлар[[#This Row],[Дата]])),Товар!$L$4:$L$1110),Кўрсаткичлар!$B$4)</f>
        <v>0</v>
      </c>
      <c r="O777" s="30">
        <f>Тўловлар[[#This Row],[Поддон]]*Тўловлар[[#This Row],[Поддон нархи]]</f>
        <v>0</v>
      </c>
      <c r="P777" s="30">
        <f>Тўловлар[[#This Row],[Жами сумма]]-Тўловлар[[#This Row],[Поддон пули]]</f>
        <v>0</v>
      </c>
      <c r="Q7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7" s="9" t="str">
        <f>IFERROR(INDEX(Мижозлар[Агент],MATCH($C777,Мижозлар[Расмий ном],0)),"")</f>
        <v/>
      </c>
    </row>
    <row r="778" spans="6:19" x14ac:dyDescent="0.2">
      <c r="F778" s="198"/>
      <c r="G778" s="9">
        <f>Тўловлар[[#This Row],[Поддон]]*$G$3</f>
        <v>0</v>
      </c>
      <c r="K778" s="9">
        <f>SUM(Тўловлар[[#This Row],[ПР-Сумма]]+Тўловлар[[#This Row],[Накд]]+Тўловлар[[#This Row],[Клик]]+Тўловлар[[#This Row],[Терминал]])</f>
        <v>0</v>
      </c>
      <c r="N778" s="30" cm="1">
        <f t="array" ref="N778">IFERROR(LOOKUP(2,1/((Товар!$D$4:$D$1110=Тўловлар[[#This Row],[Клиент]])*(Товар!$E$4:$E$1110&lt;=Тўловлар[[#This Row],[Дата]])),Товар!$L$4:$L$1110),Кўрсаткичлар!$B$4)</f>
        <v>0</v>
      </c>
      <c r="O778" s="30">
        <f>Тўловлар[[#This Row],[Поддон]]*Тўловлар[[#This Row],[Поддон нархи]]</f>
        <v>0</v>
      </c>
      <c r="P778" s="30">
        <f>Тўловлар[[#This Row],[Жами сумма]]-Тўловлар[[#This Row],[Поддон пули]]</f>
        <v>0</v>
      </c>
      <c r="Q7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8" s="9" t="str">
        <f>IFERROR(INDEX(Мижозлар[Агент],MATCH($C778,Мижозлар[Расмий ном],0)),"")</f>
        <v/>
      </c>
    </row>
    <row r="779" spans="6:19" x14ac:dyDescent="0.2">
      <c r="F779" s="198"/>
      <c r="G779" s="9">
        <f>Тўловлар[[#This Row],[Поддон]]*$G$3</f>
        <v>0</v>
      </c>
      <c r="K779" s="9">
        <f>SUM(Тўловлар[[#This Row],[ПР-Сумма]]+Тўловлар[[#This Row],[Накд]]+Тўловлар[[#This Row],[Клик]]+Тўловлар[[#This Row],[Терминал]])</f>
        <v>0</v>
      </c>
      <c r="N779" s="30" cm="1">
        <f t="array" ref="N779">IFERROR(LOOKUP(2,1/((Товар!$D$4:$D$1110=Тўловлар[[#This Row],[Клиент]])*(Товар!$E$4:$E$1110&lt;=Тўловлар[[#This Row],[Дата]])),Товар!$L$4:$L$1110),Кўрсаткичлар!$B$4)</f>
        <v>0</v>
      </c>
      <c r="O779" s="30">
        <f>Тўловлар[[#This Row],[Поддон]]*Тўловлар[[#This Row],[Поддон нархи]]</f>
        <v>0</v>
      </c>
      <c r="P779" s="30">
        <f>Тўловлар[[#This Row],[Жами сумма]]-Тўловлар[[#This Row],[Поддон пули]]</f>
        <v>0</v>
      </c>
      <c r="Q7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79" s="9" t="str">
        <f>IFERROR(INDEX(Мижозлар[Агент],MATCH($C779,Мижозлар[Расмий ном],0)),"")</f>
        <v/>
      </c>
    </row>
    <row r="780" spans="6:19" x14ac:dyDescent="0.2">
      <c r="F780" s="198"/>
      <c r="G780" s="9">
        <f>Тўловлар[[#This Row],[Поддон]]*$G$3</f>
        <v>0</v>
      </c>
      <c r="K780" s="9">
        <f>SUM(Тўловлар[[#This Row],[ПР-Сумма]]+Тўловлар[[#This Row],[Накд]]+Тўловлар[[#This Row],[Клик]]+Тўловлар[[#This Row],[Терминал]])</f>
        <v>0</v>
      </c>
      <c r="N780" s="30" cm="1">
        <f t="array" ref="N780">IFERROR(LOOKUP(2,1/((Товар!$D$4:$D$1110=Тўловлар[[#This Row],[Клиент]])*(Товар!$E$4:$E$1110&lt;=Тўловлар[[#This Row],[Дата]])),Товар!$L$4:$L$1110),Кўрсаткичлар!$B$4)</f>
        <v>0</v>
      </c>
      <c r="O780" s="30">
        <f>Тўловлар[[#This Row],[Поддон]]*Тўловлар[[#This Row],[Поддон нархи]]</f>
        <v>0</v>
      </c>
      <c r="P780" s="30">
        <f>Тўловлар[[#This Row],[Жами сумма]]-Тўловлар[[#This Row],[Поддон пули]]</f>
        <v>0</v>
      </c>
      <c r="Q7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0" s="9" t="str">
        <f>IFERROR(INDEX(Мижозлар[Агент],MATCH($C780,Мижозлар[Расмий ном],0)),"")</f>
        <v/>
      </c>
    </row>
    <row r="781" spans="6:19" x14ac:dyDescent="0.2">
      <c r="F781" s="198"/>
      <c r="G781" s="9">
        <f>Тўловлар[[#This Row],[Поддон]]*$G$3</f>
        <v>0</v>
      </c>
      <c r="K781" s="9">
        <f>SUM(Тўловлар[[#This Row],[ПР-Сумма]]+Тўловлар[[#This Row],[Накд]]+Тўловлар[[#This Row],[Клик]]+Тўловлар[[#This Row],[Терминал]])</f>
        <v>0</v>
      </c>
      <c r="N781" s="30" cm="1">
        <f t="array" ref="N781">IFERROR(LOOKUP(2,1/((Товар!$D$4:$D$1110=Тўловлар[[#This Row],[Клиент]])*(Товар!$E$4:$E$1110&lt;=Тўловлар[[#This Row],[Дата]])),Товар!$L$4:$L$1110),Кўрсаткичлар!$B$4)</f>
        <v>0</v>
      </c>
      <c r="O781" s="30">
        <f>Тўловлар[[#This Row],[Поддон]]*Тўловлар[[#This Row],[Поддон нархи]]</f>
        <v>0</v>
      </c>
      <c r="P781" s="30">
        <f>Тўловлар[[#This Row],[Жами сумма]]-Тўловлар[[#This Row],[Поддон пули]]</f>
        <v>0</v>
      </c>
      <c r="Q7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1" s="9" t="str">
        <f>IFERROR(INDEX(Мижозлар[Агент],MATCH($C781,Мижозлар[Расмий ном],0)),"")</f>
        <v/>
      </c>
    </row>
    <row r="782" spans="6:19" x14ac:dyDescent="0.2">
      <c r="F782" s="198"/>
      <c r="G782" s="9">
        <f>Тўловлар[[#This Row],[Поддон]]*$G$3</f>
        <v>0</v>
      </c>
      <c r="K782" s="9">
        <f>SUM(Тўловлар[[#This Row],[ПР-Сумма]]+Тўловлар[[#This Row],[Накд]]+Тўловлар[[#This Row],[Клик]]+Тўловлар[[#This Row],[Терминал]])</f>
        <v>0</v>
      </c>
      <c r="N782" s="30" cm="1">
        <f t="array" ref="N782">IFERROR(LOOKUP(2,1/((Товар!$D$4:$D$1110=Тўловлар[[#This Row],[Клиент]])*(Товар!$E$4:$E$1110&lt;=Тўловлар[[#This Row],[Дата]])),Товар!$L$4:$L$1110),Кўрсаткичлар!$B$4)</f>
        <v>0</v>
      </c>
      <c r="O782" s="30">
        <f>Тўловлар[[#This Row],[Поддон]]*Тўловлар[[#This Row],[Поддон нархи]]</f>
        <v>0</v>
      </c>
      <c r="P782" s="30">
        <f>Тўловлар[[#This Row],[Жами сумма]]-Тўловлар[[#This Row],[Поддон пули]]</f>
        <v>0</v>
      </c>
      <c r="Q7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2" s="9" t="str">
        <f>IFERROR(INDEX(Мижозлар[Агент],MATCH($C782,Мижозлар[Расмий ном],0)),"")</f>
        <v/>
      </c>
    </row>
    <row r="783" spans="6:19" x14ac:dyDescent="0.2">
      <c r="F783" s="198"/>
      <c r="G783" s="9">
        <f>Тўловлар[[#This Row],[Поддон]]*$G$3</f>
        <v>0</v>
      </c>
      <c r="K783" s="9">
        <f>SUM(Тўловлар[[#This Row],[ПР-Сумма]]+Тўловлар[[#This Row],[Накд]]+Тўловлар[[#This Row],[Клик]]+Тўловлар[[#This Row],[Терминал]])</f>
        <v>0</v>
      </c>
      <c r="N783" s="30" cm="1">
        <f t="array" ref="N783">IFERROR(LOOKUP(2,1/((Товар!$D$4:$D$1110=Тўловлар[[#This Row],[Клиент]])*(Товар!$E$4:$E$1110&lt;=Тўловлар[[#This Row],[Дата]])),Товар!$L$4:$L$1110),Кўрсаткичлар!$B$4)</f>
        <v>0</v>
      </c>
      <c r="O783" s="30">
        <f>Тўловлар[[#This Row],[Поддон]]*Тўловлар[[#This Row],[Поддон нархи]]</f>
        <v>0</v>
      </c>
      <c r="P783" s="30">
        <f>Тўловлар[[#This Row],[Жами сумма]]-Тўловлар[[#This Row],[Поддон пули]]</f>
        <v>0</v>
      </c>
      <c r="Q7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3" s="9" t="str">
        <f>IFERROR(INDEX(Мижозлар[Агент],MATCH($C783,Мижозлар[Расмий ном],0)),"")</f>
        <v/>
      </c>
    </row>
    <row r="784" spans="6:19" x14ac:dyDescent="0.2">
      <c r="F784" s="198"/>
      <c r="G784" s="9">
        <f>Тўловлар[[#This Row],[Поддон]]*$G$3</f>
        <v>0</v>
      </c>
      <c r="K784" s="9">
        <f>SUM(Тўловлар[[#This Row],[ПР-Сумма]]+Тўловлар[[#This Row],[Накд]]+Тўловлар[[#This Row],[Клик]]+Тўловлар[[#This Row],[Терминал]])</f>
        <v>0</v>
      </c>
      <c r="N784" s="30" cm="1">
        <f t="array" ref="N784">IFERROR(LOOKUP(2,1/((Товар!$D$4:$D$1110=Тўловлар[[#This Row],[Клиент]])*(Товар!$E$4:$E$1110&lt;=Тўловлар[[#This Row],[Дата]])),Товар!$L$4:$L$1110),Кўрсаткичлар!$B$4)</f>
        <v>0</v>
      </c>
      <c r="O784" s="30">
        <f>Тўловлар[[#This Row],[Поддон]]*Тўловлар[[#This Row],[Поддон нархи]]</f>
        <v>0</v>
      </c>
      <c r="P784" s="30">
        <f>Тўловлар[[#This Row],[Жами сумма]]-Тўловлар[[#This Row],[Поддон пули]]</f>
        <v>0</v>
      </c>
      <c r="Q7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4" s="9" t="str">
        <f>IFERROR(INDEX(Мижозлар[Агент],MATCH($C784,Мижозлар[Расмий ном],0)),"")</f>
        <v/>
      </c>
    </row>
    <row r="785" spans="6:19" x14ac:dyDescent="0.2">
      <c r="F785" s="198"/>
      <c r="G785" s="9">
        <f>Тўловлар[[#This Row],[Поддон]]*$G$3</f>
        <v>0</v>
      </c>
      <c r="K785" s="9">
        <f>SUM(Тўловлар[[#This Row],[ПР-Сумма]]+Тўловлар[[#This Row],[Накд]]+Тўловлар[[#This Row],[Клик]]+Тўловлар[[#This Row],[Терминал]])</f>
        <v>0</v>
      </c>
      <c r="N785" s="30" cm="1">
        <f t="array" ref="N785">IFERROR(LOOKUP(2,1/((Товар!$D$4:$D$1110=Тўловлар[[#This Row],[Клиент]])*(Товар!$E$4:$E$1110&lt;=Тўловлар[[#This Row],[Дата]])),Товар!$L$4:$L$1110),Кўрсаткичлар!$B$4)</f>
        <v>0</v>
      </c>
      <c r="O785" s="30">
        <f>Тўловлар[[#This Row],[Поддон]]*Тўловлар[[#This Row],[Поддон нархи]]</f>
        <v>0</v>
      </c>
      <c r="P785" s="30">
        <f>Тўловлар[[#This Row],[Жами сумма]]-Тўловлар[[#This Row],[Поддон пули]]</f>
        <v>0</v>
      </c>
      <c r="Q7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5" s="9" t="str">
        <f>IFERROR(INDEX(Мижозлар[Агент],MATCH($C785,Мижозлар[Расмий ном],0)),"")</f>
        <v/>
      </c>
    </row>
    <row r="786" spans="6:19" x14ac:dyDescent="0.2">
      <c r="F786" s="198"/>
      <c r="G786" s="9">
        <f>Тўловлар[[#This Row],[Поддон]]*$G$3</f>
        <v>0</v>
      </c>
      <c r="K786" s="9">
        <f>SUM(Тўловлар[[#This Row],[ПР-Сумма]]+Тўловлар[[#This Row],[Накд]]+Тўловлар[[#This Row],[Клик]]+Тўловлар[[#This Row],[Терминал]])</f>
        <v>0</v>
      </c>
      <c r="N786" s="30" cm="1">
        <f t="array" ref="N786">IFERROR(LOOKUP(2,1/((Товар!$D$4:$D$1110=Тўловлар[[#This Row],[Клиент]])*(Товар!$E$4:$E$1110&lt;=Тўловлар[[#This Row],[Дата]])),Товар!$L$4:$L$1110),Кўрсаткичлар!$B$4)</f>
        <v>0</v>
      </c>
      <c r="O786" s="30">
        <f>Тўловлар[[#This Row],[Поддон]]*Тўловлар[[#This Row],[Поддон нархи]]</f>
        <v>0</v>
      </c>
      <c r="P786" s="30">
        <f>Тўловлар[[#This Row],[Жами сумма]]-Тўловлар[[#This Row],[Поддон пули]]</f>
        <v>0</v>
      </c>
      <c r="Q7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6" s="9" t="str">
        <f>IFERROR(INDEX(Мижозлар[Агент],MATCH($C786,Мижозлар[Расмий ном],0)),"")</f>
        <v/>
      </c>
    </row>
    <row r="787" spans="6:19" x14ac:dyDescent="0.2">
      <c r="F787" s="198"/>
      <c r="G787" s="9">
        <f>Тўловлар[[#This Row],[Поддон]]*$G$3</f>
        <v>0</v>
      </c>
      <c r="K787" s="9">
        <f>SUM(Тўловлар[[#This Row],[ПР-Сумма]]+Тўловлар[[#This Row],[Накд]]+Тўловлар[[#This Row],[Клик]]+Тўловлар[[#This Row],[Терминал]])</f>
        <v>0</v>
      </c>
      <c r="N787" s="30" cm="1">
        <f t="array" ref="N787">IFERROR(LOOKUP(2,1/((Товар!$D$4:$D$1110=Тўловлар[[#This Row],[Клиент]])*(Товар!$E$4:$E$1110&lt;=Тўловлар[[#This Row],[Дата]])),Товар!$L$4:$L$1110),Кўрсаткичлар!$B$4)</f>
        <v>0</v>
      </c>
      <c r="O787" s="30">
        <f>Тўловлар[[#This Row],[Поддон]]*Тўловлар[[#This Row],[Поддон нархи]]</f>
        <v>0</v>
      </c>
      <c r="P787" s="30">
        <f>Тўловлар[[#This Row],[Жами сумма]]-Тўловлар[[#This Row],[Поддон пули]]</f>
        <v>0</v>
      </c>
      <c r="Q7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7" s="9" t="str">
        <f>IFERROR(INDEX(Мижозлар[Агент],MATCH($C787,Мижозлар[Расмий ном],0)),"")</f>
        <v/>
      </c>
    </row>
    <row r="788" spans="6:19" x14ac:dyDescent="0.2">
      <c r="F788" s="198"/>
      <c r="G788" s="9">
        <f>Тўловлар[[#This Row],[Поддон]]*$G$3</f>
        <v>0</v>
      </c>
      <c r="K788" s="9">
        <f>SUM(Тўловлар[[#This Row],[ПР-Сумма]]+Тўловлар[[#This Row],[Накд]]+Тўловлар[[#This Row],[Клик]]+Тўловлар[[#This Row],[Терминал]])</f>
        <v>0</v>
      </c>
      <c r="N788" s="30" cm="1">
        <f t="array" ref="N788">IFERROR(LOOKUP(2,1/((Товар!$D$4:$D$1110=Тўловлар[[#This Row],[Клиент]])*(Товар!$E$4:$E$1110&lt;=Тўловлар[[#This Row],[Дата]])),Товар!$L$4:$L$1110),Кўрсаткичлар!$B$4)</f>
        <v>0</v>
      </c>
      <c r="O788" s="30">
        <f>Тўловлар[[#This Row],[Поддон]]*Тўловлар[[#This Row],[Поддон нархи]]</f>
        <v>0</v>
      </c>
      <c r="P788" s="30">
        <f>Тўловлар[[#This Row],[Жами сумма]]-Тўловлар[[#This Row],[Поддон пули]]</f>
        <v>0</v>
      </c>
      <c r="Q7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8" s="9" t="str">
        <f>IFERROR(INDEX(Мижозлар[Агент],MATCH($C788,Мижозлар[Расмий ном],0)),"")</f>
        <v/>
      </c>
    </row>
    <row r="789" spans="6:19" x14ac:dyDescent="0.2">
      <c r="F789" s="198"/>
      <c r="G789" s="9">
        <f>Тўловлар[[#This Row],[Поддон]]*$G$3</f>
        <v>0</v>
      </c>
      <c r="K789" s="9">
        <f>SUM(Тўловлар[[#This Row],[ПР-Сумма]]+Тўловлар[[#This Row],[Накд]]+Тўловлар[[#This Row],[Клик]]+Тўловлар[[#This Row],[Терминал]])</f>
        <v>0</v>
      </c>
      <c r="N789" s="30" cm="1">
        <f t="array" ref="N789">IFERROR(LOOKUP(2,1/((Товар!$D$4:$D$1110=Тўловлар[[#This Row],[Клиент]])*(Товар!$E$4:$E$1110&lt;=Тўловлар[[#This Row],[Дата]])),Товар!$L$4:$L$1110),Кўрсаткичлар!$B$4)</f>
        <v>0</v>
      </c>
      <c r="O789" s="30">
        <f>Тўловлар[[#This Row],[Поддон]]*Тўловлар[[#This Row],[Поддон нархи]]</f>
        <v>0</v>
      </c>
      <c r="P789" s="30">
        <f>Тўловлар[[#This Row],[Жами сумма]]-Тўловлар[[#This Row],[Поддон пули]]</f>
        <v>0</v>
      </c>
      <c r="Q7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89" s="9" t="str">
        <f>IFERROR(INDEX(Мижозлар[Агент],MATCH($C789,Мижозлар[Расмий ном],0)),"")</f>
        <v/>
      </c>
    </row>
    <row r="790" spans="6:19" x14ac:dyDescent="0.2">
      <c r="F790" s="198"/>
      <c r="G790" s="9">
        <f>Тўловлар[[#This Row],[Поддон]]*$G$3</f>
        <v>0</v>
      </c>
      <c r="K790" s="9">
        <f>SUM(Тўловлар[[#This Row],[ПР-Сумма]]+Тўловлар[[#This Row],[Накд]]+Тўловлар[[#This Row],[Клик]]+Тўловлар[[#This Row],[Терминал]])</f>
        <v>0</v>
      </c>
      <c r="N790" s="30" cm="1">
        <f t="array" ref="N790">IFERROR(LOOKUP(2,1/((Товар!$D$4:$D$1110=Тўловлар[[#This Row],[Клиент]])*(Товар!$E$4:$E$1110&lt;=Тўловлар[[#This Row],[Дата]])),Товар!$L$4:$L$1110),Кўрсаткичлар!$B$4)</f>
        <v>0</v>
      </c>
      <c r="O790" s="30">
        <f>Тўловлар[[#This Row],[Поддон]]*Тўловлар[[#This Row],[Поддон нархи]]</f>
        <v>0</v>
      </c>
      <c r="P790" s="30">
        <f>Тўловлар[[#This Row],[Жами сумма]]-Тўловлар[[#This Row],[Поддон пули]]</f>
        <v>0</v>
      </c>
      <c r="Q7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0" s="9" t="str">
        <f>IFERROR(INDEX(Мижозлар[Агент],MATCH($C790,Мижозлар[Расмий ном],0)),"")</f>
        <v/>
      </c>
    </row>
    <row r="791" spans="6:19" x14ac:dyDescent="0.2">
      <c r="F791" s="198"/>
      <c r="G791" s="9">
        <f>Тўловлар[[#This Row],[Поддон]]*$G$3</f>
        <v>0</v>
      </c>
      <c r="K791" s="9">
        <f>SUM(Тўловлар[[#This Row],[ПР-Сумма]]+Тўловлар[[#This Row],[Накд]]+Тўловлар[[#This Row],[Клик]]+Тўловлар[[#This Row],[Терминал]])</f>
        <v>0</v>
      </c>
      <c r="N791" s="30" cm="1">
        <f t="array" ref="N791">IFERROR(LOOKUP(2,1/((Товар!$D$4:$D$1110=Тўловлар[[#This Row],[Клиент]])*(Товар!$E$4:$E$1110&lt;=Тўловлар[[#This Row],[Дата]])),Товар!$L$4:$L$1110),Кўрсаткичлар!$B$4)</f>
        <v>0</v>
      </c>
      <c r="O791" s="30">
        <f>Тўловлар[[#This Row],[Поддон]]*Тўловлар[[#This Row],[Поддон нархи]]</f>
        <v>0</v>
      </c>
      <c r="P791" s="30">
        <f>Тўловлар[[#This Row],[Жами сумма]]-Тўловлар[[#This Row],[Поддон пули]]</f>
        <v>0</v>
      </c>
      <c r="Q7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1" s="9" t="str">
        <f>IFERROR(INDEX(Мижозлар[Агент],MATCH($C791,Мижозлар[Расмий ном],0)),"")</f>
        <v/>
      </c>
    </row>
    <row r="792" spans="6:19" x14ac:dyDescent="0.2">
      <c r="F792" s="198"/>
      <c r="G792" s="9">
        <f>Тўловлар[[#This Row],[Поддон]]*$G$3</f>
        <v>0</v>
      </c>
      <c r="K792" s="9">
        <f>SUM(Тўловлар[[#This Row],[ПР-Сумма]]+Тўловлар[[#This Row],[Накд]]+Тўловлар[[#This Row],[Клик]]+Тўловлар[[#This Row],[Терминал]])</f>
        <v>0</v>
      </c>
      <c r="N792" s="30" cm="1">
        <f t="array" ref="N792">IFERROR(LOOKUP(2,1/((Товар!$D$4:$D$1110=Тўловлар[[#This Row],[Клиент]])*(Товар!$E$4:$E$1110&lt;=Тўловлар[[#This Row],[Дата]])),Товар!$L$4:$L$1110),Кўрсаткичлар!$B$4)</f>
        <v>0</v>
      </c>
      <c r="O792" s="30">
        <f>Тўловлар[[#This Row],[Поддон]]*Тўловлар[[#This Row],[Поддон нархи]]</f>
        <v>0</v>
      </c>
      <c r="P792" s="30">
        <f>Тўловлар[[#This Row],[Жами сумма]]-Тўловлар[[#This Row],[Поддон пули]]</f>
        <v>0</v>
      </c>
      <c r="Q7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2" s="9" t="str">
        <f>IFERROR(INDEX(Мижозлар[Агент],MATCH($C792,Мижозлар[Расмий ном],0)),"")</f>
        <v/>
      </c>
    </row>
    <row r="793" spans="6:19" x14ac:dyDescent="0.2">
      <c r="F793" s="198"/>
      <c r="G793" s="9">
        <f>Тўловлар[[#This Row],[Поддон]]*$G$3</f>
        <v>0</v>
      </c>
      <c r="K793" s="9">
        <f>SUM(Тўловлар[[#This Row],[ПР-Сумма]]+Тўловлар[[#This Row],[Накд]]+Тўловлар[[#This Row],[Клик]]+Тўловлар[[#This Row],[Терминал]])</f>
        <v>0</v>
      </c>
      <c r="N793" s="30" cm="1">
        <f t="array" ref="N793">IFERROR(LOOKUP(2,1/((Товар!$D$4:$D$1110=Тўловлар[[#This Row],[Клиент]])*(Товар!$E$4:$E$1110&lt;=Тўловлар[[#This Row],[Дата]])),Товар!$L$4:$L$1110),Кўрсаткичлар!$B$4)</f>
        <v>0</v>
      </c>
      <c r="O793" s="30">
        <f>Тўловлар[[#This Row],[Поддон]]*Тўловлар[[#This Row],[Поддон нархи]]</f>
        <v>0</v>
      </c>
      <c r="P793" s="30">
        <f>Тўловлар[[#This Row],[Жами сумма]]-Тўловлар[[#This Row],[Поддон пули]]</f>
        <v>0</v>
      </c>
      <c r="Q7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3" s="9" t="str">
        <f>IFERROR(INDEX(Мижозлар[Агент],MATCH($C793,Мижозлар[Расмий ном],0)),"")</f>
        <v/>
      </c>
    </row>
    <row r="794" spans="6:19" x14ac:dyDescent="0.2">
      <c r="F794" s="198"/>
      <c r="G794" s="9">
        <f>Тўловлар[[#This Row],[Поддон]]*$G$3</f>
        <v>0</v>
      </c>
      <c r="K794" s="9">
        <f>SUM(Тўловлар[[#This Row],[ПР-Сумма]]+Тўловлар[[#This Row],[Накд]]+Тўловлар[[#This Row],[Клик]]+Тўловлар[[#This Row],[Терминал]])</f>
        <v>0</v>
      </c>
      <c r="N794" s="30" cm="1">
        <f t="array" ref="N794">IFERROR(LOOKUP(2,1/((Товар!$D$4:$D$1110=Тўловлар[[#This Row],[Клиент]])*(Товар!$E$4:$E$1110&lt;=Тўловлар[[#This Row],[Дата]])),Товар!$L$4:$L$1110),Кўрсаткичлар!$B$4)</f>
        <v>0</v>
      </c>
      <c r="O794" s="30">
        <f>Тўловлар[[#This Row],[Поддон]]*Тўловлар[[#This Row],[Поддон нархи]]</f>
        <v>0</v>
      </c>
      <c r="P794" s="30">
        <f>Тўловлар[[#This Row],[Жами сумма]]-Тўловлар[[#This Row],[Поддон пули]]</f>
        <v>0</v>
      </c>
      <c r="Q7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4" s="9" t="str">
        <f>IFERROR(INDEX(Мижозлар[Агент],MATCH($C794,Мижозлар[Расмий ном],0)),"")</f>
        <v/>
      </c>
    </row>
    <row r="795" spans="6:19" x14ac:dyDescent="0.2">
      <c r="F795" s="198"/>
      <c r="G795" s="9">
        <f>Тўловлар[[#This Row],[Поддон]]*$G$3</f>
        <v>0</v>
      </c>
      <c r="K795" s="9">
        <f>SUM(Тўловлар[[#This Row],[ПР-Сумма]]+Тўловлар[[#This Row],[Накд]]+Тўловлар[[#This Row],[Клик]]+Тўловлар[[#This Row],[Терминал]])</f>
        <v>0</v>
      </c>
      <c r="N795" s="30" cm="1">
        <f t="array" ref="N795">IFERROR(LOOKUP(2,1/((Товар!$D$4:$D$1110=Тўловлар[[#This Row],[Клиент]])*(Товар!$E$4:$E$1110&lt;=Тўловлар[[#This Row],[Дата]])),Товар!$L$4:$L$1110),Кўрсаткичлар!$B$4)</f>
        <v>0</v>
      </c>
      <c r="O795" s="30">
        <f>Тўловлар[[#This Row],[Поддон]]*Тўловлар[[#This Row],[Поддон нархи]]</f>
        <v>0</v>
      </c>
      <c r="P795" s="30">
        <f>Тўловлар[[#This Row],[Жами сумма]]-Тўловлар[[#This Row],[Поддон пули]]</f>
        <v>0</v>
      </c>
      <c r="Q7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5" s="9" t="str">
        <f>IFERROR(INDEX(Мижозлар[Агент],MATCH($C795,Мижозлар[Расмий ном],0)),"")</f>
        <v/>
      </c>
    </row>
    <row r="796" spans="6:19" x14ac:dyDescent="0.2">
      <c r="F796" s="198"/>
      <c r="G796" s="9">
        <f>Тўловлар[[#This Row],[Поддон]]*$G$3</f>
        <v>0</v>
      </c>
      <c r="K796" s="9">
        <f>SUM(Тўловлар[[#This Row],[ПР-Сумма]]+Тўловлар[[#This Row],[Накд]]+Тўловлар[[#This Row],[Клик]]+Тўловлар[[#This Row],[Терминал]])</f>
        <v>0</v>
      </c>
      <c r="N796" s="30" cm="1">
        <f t="array" ref="N796">IFERROR(LOOKUP(2,1/((Товар!$D$4:$D$1110=Тўловлар[[#This Row],[Клиент]])*(Товар!$E$4:$E$1110&lt;=Тўловлар[[#This Row],[Дата]])),Товар!$L$4:$L$1110),Кўрсаткичлар!$B$4)</f>
        <v>0</v>
      </c>
      <c r="O796" s="30">
        <f>Тўловлар[[#This Row],[Поддон]]*Тўловлар[[#This Row],[Поддон нархи]]</f>
        <v>0</v>
      </c>
      <c r="P796" s="30">
        <f>Тўловлар[[#This Row],[Жами сумма]]-Тўловлар[[#This Row],[Поддон пули]]</f>
        <v>0</v>
      </c>
      <c r="Q7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6" s="9" t="str">
        <f>IFERROR(INDEX(Мижозлар[Агент],MATCH($C796,Мижозлар[Расмий ном],0)),"")</f>
        <v/>
      </c>
    </row>
    <row r="797" spans="6:19" x14ac:dyDescent="0.2">
      <c r="F797" s="198"/>
      <c r="G797" s="9">
        <f>Тўловлар[[#This Row],[Поддон]]*$G$3</f>
        <v>0</v>
      </c>
      <c r="K797" s="9">
        <f>SUM(Тўловлар[[#This Row],[ПР-Сумма]]+Тўловлар[[#This Row],[Накд]]+Тўловлар[[#This Row],[Клик]]+Тўловлар[[#This Row],[Терминал]])</f>
        <v>0</v>
      </c>
      <c r="N797" s="30" cm="1">
        <f t="array" ref="N797">IFERROR(LOOKUP(2,1/((Товар!$D$4:$D$1110=Тўловлар[[#This Row],[Клиент]])*(Товар!$E$4:$E$1110&lt;=Тўловлар[[#This Row],[Дата]])),Товар!$L$4:$L$1110),Кўрсаткичлар!$B$4)</f>
        <v>0</v>
      </c>
      <c r="O797" s="30">
        <f>Тўловлар[[#This Row],[Поддон]]*Тўловлар[[#This Row],[Поддон нархи]]</f>
        <v>0</v>
      </c>
      <c r="P797" s="30">
        <f>Тўловлар[[#This Row],[Жами сумма]]-Тўловлар[[#This Row],[Поддон пули]]</f>
        <v>0</v>
      </c>
      <c r="Q7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7" s="9" t="str">
        <f>IFERROR(INDEX(Мижозлар[Агент],MATCH($C797,Мижозлар[Расмий ном],0)),"")</f>
        <v/>
      </c>
    </row>
    <row r="798" spans="6:19" x14ac:dyDescent="0.2">
      <c r="F798" s="198"/>
      <c r="G798" s="9">
        <f>Тўловлар[[#This Row],[Поддон]]*$G$3</f>
        <v>0</v>
      </c>
      <c r="K798" s="9">
        <f>SUM(Тўловлар[[#This Row],[ПР-Сумма]]+Тўловлар[[#This Row],[Накд]]+Тўловлар[[#This Row],[Клик]]+Тўловлар[[#This Row],[Терминал]])</f>
        <v>0</v>
      </c>
      <c r="N798" s="30" cm="1">
        <f t="array" ref="N798">IFERROR(LOOKUP(2,1/((Товар!$D$4:$D$1110=Тўловлар[[#This Row],[Клиент]])*(Товар!$E$4:$E$1110&lt;=Тўловлар[[#This Row],[Дата]])),Товар!$L$4:$L$1110),Кўрсаткичлар!$B$4)</f>
        <v>0</v>
      </c>
      <c r="O798" s="30">
        <f>Тўловлар[[#This Row],[Поддон]]*Тўловлар[[#This Row],[Поддон нархи]]</f>
        <v>0</v>
      </c>
      <c r="P798" s="30">
        <f>Тўловлар[[#This Row],[Жами сумма]]-Тўловлар[[#This Row],[Поддон пули]]</f>
        <v>0</v>
      </c>
      <c r="Q7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8" s="9" t="str">
        <f>IFERROR(INDEX(Мижозлар[Агент],MATCH($C798,Мижозлар[Расмий ном],0)),"")</f>
        <v/>
      </c>
    </row>
    <row r="799" spans="6:19" x14ac:dyDescent="0.2">
      <c r="F799" s="198"/>
      <c r="G799" s="9">
        <f>Тўловлар[[#This Row],[Поддон]]*$G$3</f>
        <v>0</v>
      </c>
      <c r="K799" s="9">
        <f>SUM(Тўловлар[[#This Row],[ПР-Сумма]]+Тўловлар[[#This Row],[Накд]]+Тўловлар[[#This Row],[Клик]]+Тўловлар[[#This Row],[Терминал]])</f>
        <v>0</v>
      </c>
      <c r="N799" s="30" cm="1">
        <f t="array" ref="N799">IFERROR(LOOKUP(2,1/((Товар!$D$4:$D$1110=Тўловлар[[#This Row],[Клиент]])*(Товар!$E$4:$E$1110&lt;=Тўловлар[[#This Row],[Дата]])),Товар!$L$4:$L$1110),Кўрсаткичлар!$B$4)</f>
        <v>0</v>
      </c>
      <c r="O799" s="30">
        <f>Тўловлар[[#This Row],[Поддон]]*Тўловлар[[#This Row],[Поддон нархи]]</f>
        <v>0</v>
      </c>
      <c r="P799" s="30">
        <f>Тўловлар[[#This Row],[Жами сумма]]-Тўловлар[[#This Row],[Поддон пули]]</f>
        <v>0</v>
      </c>
      <c r="Q7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7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799" s="9" t="str">
        <f>IFERROR(INDEX(Мижозлар[Агент],MATCH($C799,Мижозлар[Расмий ном],0)),"")</f>
        <v/>
      </c>
    </row>
    <row r="800" spans="6:19" x14ac:dyDescent="0.2">
      <c r="F800" s="198"/>
      <c r="G800" s="9">
        <f>Тўловлар[[#This Row],[Поддон]]*$G$3</f>
        <v>0</v>
      </c>
      <c r="K800" s="9">
        <f>SUM(Тўловлар[[#This Row],[ПР-Сумма]]+Тўловлар[[#This Row],[Накд]]+Тўловлар[[#This Row],[Клик]]+Тўловлар[[#This Row],[Терминал]])</f>
        <v>0</v>
      </c>
      <c r="N800" s="30" cm="1">
        <f t="array" ref="N800">IFERROR(LOOKUP(2,1/((Товар!$D$4:$D$1110=Тўловлар[[#This Row],[Клиент]])*(Товар!$E$4:$E$1110&lt;=Тўловлар[[#This Row],[Дата]])),Товар!$L$4:$L$1110),Кўрсаткичлар!$B$4)</f>
        <v>0</v>
      </c>
      <c r="O800" s="30">
        <f>Тўловлар[[#This Row],[Поддон]]*Тўловлар[[#This Row],[Поддон нархи]]</f>
        <v>0</v>
      </c>
      <c r="P800" s="30">
        <f>Тўловлар[[#This Row],[Жами сумма]]-Тўловлар[[#This Row],[Поддон пули]]</f>
        <v>0</v>
      </c>
      <c r="Q8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0" s="9" t="str">
        <f>IFERROR(INDEX(Мижозлар[Агент],MATCH($C800,Мижозлар[Расмий ном],0)),"")</f>
        <v/>
      </c>
    </row>
    <row r="801" spans="6:19" x14ac:dyDescent="0.2">
      <c r="F801" s="198"/>
      <c r="G801" s="9">
        <f>Тўловлар[[#This Row],[Поддон]]*$G$3</f>
        <v>0</v>
      </c>
      <c r="K801" s="9">
        <f>SUM(Тўловлар[[#This Row],[ПР-Сумма]]+Тўловлар[[#This Row],[Накд]]+Тўловлар[[#This Row],[Клик]]+Тўловлар[[#This Row],[Терминал]])</f>
        <v>0</v>
      </c>
      <c r="N801" s="30" cm="1">
        <f t="array" ref="N801">IFERROR(LOOKUP(2,1/((Товар!$D$4:$D$1110=Тўловлар[[#This Row],[Клиент]])*(Товар!$E$4:$E$1110&lt;=Тўловлар[[#This Row],[Дата]])),Товар!$L$4:$L$1110),Кўрсаткичлар!$B$4)</f>
        <v>0</v>
      </c>
      <c r="O801" s="30">
        <f>Тўловлар[[#This Row],[Поддон]]*Тўловлар[[#This Row],[Поддон нархи]]</f>
        <v>0</v>
      </c>
      <c r="P801" s="30">
        <f>Тўловлар[[#This Row],[Жами сумма]]-Тўловлар[[#This Row],[Поддон пули]]</f>
        <v>0</v>
      </c>
      <c r="Q8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1" s="9" t="str">
        <f>IFERROR(INDEX(Мижозлар[Агент],MATCH($C801,Мижозлар[Расмий ном],0)),"")</f>
        <v/>
      </c>
    </row>
    <row r="802" spans="6:19" x14ac:dyDescent="0.2">
      <c r="F802" s="198"/>
      <c r="G802" s="9">
        <f>Тўловлар[[#This Row],[Поддон]]*$G$3</f>
        <v>0</v>
      </c>
      <c r="K802" s="9">
        <f>SUM(Тўловлар[[#This Row],[ПР-Сумма]]+Тўловлар[[#This Row],[Накд]]+Тўловлар[[#This Row],[Клик]]+Тўловлар[[#This Row],[Терминал]])</f>
        <v>0</v>
      </c>
      <c r="N802" s="30" cm="1">
        <f t="array" ref="N802">IFERROR(LOOKUP(2,1/((Товар!$D$4:$D$1110=Тўловлар[[#This Row],[Клиент]])*(Товар!$E$4:$E$1110&lt;=Тўловлар[[#This Row],[Дата]])),Товар!$L$4:$L$1110),Кўрсаткичлар!$B$4)</f>
        <v>0</v>
      </c>
      <c r="O802" s="30">
        <f>Тўловлар[[#This Row],[Поддон]]*Тўловлар[[#This Row],[Поддон нархи]]</f>
        <v>0</v>
      </c>
      <c r="P802" s="30">
        <f>Тўловлар[[#This Row],[Жами сумма]]-Тўловлар[[#This Row],[Поддон пули]]</f>
        <v>0</v>
      </c>
      <c r="Q8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2" s="9" t="str">
        <f>IFERROR(INDEX(Мижозлар[Агент],MATCH($C802,Мижозлар[Расмий ном],0)),"")</f>
        <v/>
      </c>
    </row>
    <row r="803" spans="6:19" x14ac:dyDescent="0.2">
      <c r="F803" s="198"/>
      <c r="G803" s="9">
        <f>Тўловлар[[#This Row],[Поддон]]*$G$3</f>
        <v>0</v>
      </c>
      <c r="K803" s="9">
        <f>SUM(Тўловлар[[#This Row],[ПР-Сумма]]+Тўловлар[[#This Row],[Накд]]+Тўловлар[[#This Row],[Клик]]+Тўловлар[[#This Row],[Терминал]])</f>
        <v>0</v>
      </c>
      <c r="N803" s="30" cm="1">
        <f t="array" ref="N803">IFERROR(LOOKUP(2,1/((Товар!$D$4:$D$1110=Тўловлар[[#This Row],[Клиент]])*(Товар!$E$4:$E$1110&lt;=Тўловлар[[#This Row],[Дата]])),Товар!$L$4:$L$1110),Кўрсаткичлар!$B$4)</f>
        <v>0</v>
      </c>
      <c r="O803" s="30">
        <f>Тўловлар[[#This Row],[Поддон]]*Тўловлар[[#This Row],[Поддон нархи]]</f>
        <v>0</v>
      </c>
      <c r="P803" s="30">
        <f>Тўловлар[[#This Row],[Жами сумма]]-Тўловлар[[#This Row],[Поддон пули]]</f>
        <v>0</v>
      </c>
      <c r="Q8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3" s="9" t="str">
        <f>IFERROR(INDEX(Мижозлар[Агент],MATCH($C803,Мижозлар[Расмий ном],0)),"")</f>
        <v/>
      </c>
    </row>
    <row r="804" spans="6:19" x14ac:dyDescent="0.2">
      <c r="F804" s="198"/>
      <c r="G804" s="9">
        <f>Тўловлар[[#This Row],[Поддон]]*$G$3</f>
        <v>0</v>
      </c>
      <c r="K804" s="9">
        <f>SUM(Тўловлар[[#This Row],[ПР-Сумма]]+Тўловлар[[#This Row],[Накд]]+Тўловлар[[#This Row],[Клик]]+Тўловлар[[#This Row],[Терминал]])</f>
        <v>0</v>
      </c>
      <c r="N804" s="30" cm="1">
        <f t="array" ref="N804">IFERROR(LOOKUP(2,1/((Товар!$D$4:$D$1110=Тўловлар[[#This Row],[Клиент]])*(Товар!$E$4:$E$1110&lt;=Тўловлар[[#This Row],[Дата]])),Товар!$L$4:$L$1110),Кўрсаткичлар!$B$4)</f>
        <v>0</v>
      </c>
      <c r="O804" s="30">
        <f>Тўловлар[[#This Row],[Поддон]]*Тўловлар[[#This Row],[Поддон нархи]]</f>
        <v>0</v>
      </c>
      <c r="P804" s="30">
        <f>Тўловлар[[#This Row],[Жами сумма]]-Тўловлар[[#This Row],[Поддон пули]]</f>
        <v>0</v>
      </c>
      <c r="Q8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4" s="9" t="str">
        <f>IFERROR(INDEX(Мижозлар[Агент],MATCH($C804,Мижозлар[Расмий ном],0)),"")</f>
        <v/>
      </c>
    </row>
    <row r="805" spans="6:19" x14ac:dyDescent="0.2">
      <c r="F805" s="198"/>
      <c r="G805" s="9">
        <f>Тўловлар[[#This Row],[Поддон]]*$G$3</f>
        <v>0</v>
      </c>
      <c r="K805" s="9">
        <f>SUM(Тўловлар[[#This Row],[ПР-Сумма]]+Тўловлар[[#This Row],[Накд]]+Тўловлар[[#This Row],[Клик]]+Тўловлар[[#This Row],[Терминал]])</f>
        <v>0</v>
      </c>
      <c r="N805" s="30" cm="1">
        <f t="array" ref="N805">IFERROR(LOOKUP(2,1/((Товар!$D$4:$D$1110=Тўловлар[[#This Row],[Клиент]])*(Товар!$E$4:$E$1110&lt;=Тўловлар[[#This Row],[Дата]])),Товар!$L$4:$L$1110),Кўрсаткичлар!$B$4)</f>
        <v>0</v>
      </c>
      <c r="O805" s="30">
        <f>Тўловлар[[#This Row],[Поддон]]*Тўловлар[[#This Row],[Поддон нархи]]</f>
        <v>0</v>
      </c>
      <c r="P805" s="30">
        <f>Тўловлар[[#This Row],[Жами сумма]]-Тўловлар[[#This Row],[Поддон пули]]</f>
        <v>0</v>
      </c>
      <c r="Q8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5" s="9" t="str">
        <f>IFERROR(INDEX(Мижозлар[Агент],MATCH($C805,Мижозлар[Расмий ном],0)),"")</f>
        <v/>
      </c>
    </row>
    <row r="806" spans="6:19" x14ac:dyDescent="0.2">
      <c r="F806" s="198"/>
      <c r="G806" s="9">
        <f>Тўловлар[[#This Row],[Поддон]]*$G$3</f>
        <v>0</v>
      </c>
      <c r="K806" s="9">
        <f>SUM(Тўловлар[[#This Row],[ПР-Сумма]]+Тўловлар[[#This Row],[Накд]]+Тўловлар[[#This Row],[Клик]]+Тўловлар[[#This Row],[Терминал]])</f>
        <v>0</v>
      </c>
      <c r="N806" s="30" cm="1">
        <f t="array" ref="N806">IFERROR(LOOKUP(2,1/((Товар!$D$4:$D$1110=Тўловлар[[#This Row],[Клиент]])*(Товар!$E$4:$E$1110&lt;=Тўловлар[[#This Row],[Дата]])),Товар!$L$4:$L$1110),Кўрсаткичлар!$B$4)</f>
        <v>0</v>
      </c>
      <c r="O806" s="30">
        <f>Тўловлар[[#This Row],[Поддон]]*Тўловлар[[#This Row],[Поддон нархи]]</f>
        <v>0</v>
      </c>
      <c r="P806" s="30">
        <f>Тўловлар[[#This Row],[Жами сумма]]-Тўловлар[[#This Row],[Поддон пули]]</f>
        <v>0</v>
      </c>
      <c r="Q8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6" s="9" t="str">
        <f>IFERROR(INDEX(Мижозлар[Агент],MATCH($C806,Мижозлар[Расмий ном],0)),"")</f>
        <v/>
      </c>
    </row>
    <row r="807" spans="6:19" x14ac:dyDescent="0.2">
      <c r="F807" s="198"/>
      <c r="G807" s="9">
        <f>Тўловлар[[#This Row],[Поддон]]*$G$3</f>
        <v>0</v>
      </c>
      <c r="K807" s="9">
        <f>SUM(Тўловлар[[#This Row],[ПР-Сумма]]+Тўловлар[[#This Row],[Накд]]+Тўловлар[[#This Row],[Клик]]+Тўловлар[[#This Row],[Терминал]])</f>
        <v>0</v>
      </c>
      <c r="N807" s="30" cm="1">
        <f t="array" ref="N807">IFERROR(LOOKUP(2,1/((Товар!$D$4:$D$1110=Тўловлар[[#This Row],[Клиент]])*(Товар!$E$4:$E$1110&lt;=Тўловлар[[#This Row],[Дата]])),Товар!$L$4:$L$1110),Кўрсаткичлар!$B$4)</f>
        <v>0</v>
      </c>
      <c r="O807" s="30">
        <f>Тўловлар[[#This Row],[Поддон]]*Тўловлар[[#This Row],[Поддон нархи]]</f>
        <v>0</v>
      </c>
      <c r="P807" s="30">
        <f>Тўловлар[[#This Row],[Жами сумма]]-Тўловлар[[#This Row],[Поддон пули]]</f>
        <v>0</v>
      </c>
      <c r="Q8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7" s="9" t="str">
        <f>IFERROR(INDEX(Мижозлар[Агент],MATCH($C807,Мижозлар[Расмий ном],0)),"")</f>
        <v/>
      </c>
    </row>
    <row r="808" spans="6:19" x14ac:dyDescent="0.2">
      <c r="F808" s="198"/>
      <c r="G808" s="9">
        <f>Тўловлар[[#This Row],[Поддон]]*$G$3</f>
        <v>0</v>
      </c>
      <c r="K808" s="9">
        <f>SUM(Тўловлар[[#This Row],[ПР-Сумма]]+Тўловлар[[#This Row],[Накд]]+Тўловлар[[#This Row],[Клик]]+Тўловлар[[#This Row],[Терминал]])</f>
        <v>0</v>
      </c>
      <c r="N808" s="30" cm="1">
        <f t="array" ref="N808">IFERROR(LOOKUP(2,1/((Товар!$D$4:$D$1110=Тўловлар[[#This Row],[Клиент]])*(Товар!$E$4:$E$1110&lt;=Тўловлар[[#This Row],[Дата]])),Товар!$L$4:$L$1110),Кўрсаткичлар!$B$4)</f>
        <v>0</v>
      </c>
      <c r="O808" s="30">
        <f>Тўловлар[[#This Row],[Поддон]]*Тўловлар[[#This Row],[Поддон нархи]]</f>
        <v>0</v>
      </c>
      <c r="P808" s="30">
        <f>Тўловлар[[#This Row],[Жами сумма]]-Тўловлар[[#This Row],[Поддон пули]]</f>
        <v>0</v>
      </c>
      <c r="Q8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8" s="9" t="str">
        <f>IFERROR(INDEX(Мижозлар[Агент],MATCH($C808,Мижозлар[Расмий ном],0)),"")</f>
        <v/>
      </c>
    </row>
    <row r="809" spans="6:19" x14ac:dyDescent="0.2">
      <c r="F809" s="198"/>
      <c r="G809" s="9">
        <f>Тўловлар[[#This Row],[Поддон]]*$G$3</f>
        <v>0</v>
      </c>
      <c r="K809" s="9">
        <f>SUM(Тўловлар[[#This Row],[ПР-Сумма]]+Тўловлар[[#This Row],[Накд]]+Тўловлар[[#This Row],[Клик]]+Тўловлар[[#This Row],[Терминал]])</f>
        <v>0</v>
      </c>
      <c r="N809" s="30" cm="1">
        <f t="array" ref="N809">IFERROR(LOOKUP(2,1/((Товар!$D$4:$D$1110=Тўловлар[[#This Row],[Клиент]])*(Товар!$E$4:$E$1110&lt;=Тўловлар[[#This Row],[Дата]])),Товар!$L$4:$L$1110),Кўрсаткичлар!$B$4)</f>
        <v>0</v>
      </c>
      <c r="O809" s="30">
        <f>Тўловлар[[#This Row],[Поддон]]*Тўловлар[[#This Row],[Поддон нархи]]</f>
        <v>0</v>
      </c>
      <c r="P809" s="30">
        <f>Тўловлар[[#This Row],[Жами сумма]]-Тўловлар[[#This Row],[Поддон пули]]</f>
        <v>0</v>
      </c>
      <c r="Q8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09" s="9" t="str">
        <f>IFERROR(INDEX(Мижозлар[Агент],MATCH($C809,Мижозлар[Расмий ном],0)),"")</f>
        <v/>
      </c>
    </row>
    <row r="810" spans="6:19" x14ac:dyDescent="0.2">
      <c r="F810" s="198"/>
      <c r="G810" s="9">
        <f>Тўловлар[[#This Row],[Поддон]]*$G$3</f>
        <v>0</v>
      </c>
      <c r="K810" s="9">
        <f>SUM(Тўловлар[[#This Row],[ПР-Сумма]]+Тўловлар[[#This Row],[Накд]]+Тўловлар[[#This Row],[Клик]]+Тўловлар[[#This Row],[Терминал]])</f>
        <v>0</v>
      </c>
      <c r="N810" s="30" cm="1">
        <f t="array" ref="N810">IFERROR(LOOKUP(2,1/((Товар!$D$4:$D$1110=Тўловлар[[#This Row],[Клиент]])*(Товар!$E$4:$E$1110&lt;=Тўловлар[[#This Row],[Дата]])),Товар!$L$4:$L$1110),Кўрсаткичлар!$B$4)</f>
        <v>0</v>
      </c>
      <c r="O810" s="30">
        <f>Тўловлар[[#This Row],[Поддон]]*Тўловлар[[#This Row],[Поддон нархи]]</f>
        <v>0</v>
      </c>
      <c r="P810" s="30">
        <f>Тўловлар[[#This Row],[Жами сумма]]-Тўловлар[[#This Row],[Поддон пули]]</f>
        <v>0</v>
      </c>
      <c r="Q8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0" s="9" t="str">
        <f>IFERROR(INDEX(Мижозлар[Агент],MATCH($C810,Мижозлар[Расмий ном],0)),"")</f>
        <v/>
      </c>
    </row>
    <row r="811" spans="6:19" x14ac:dyDescent="0.2">
      <c r="F811" s="198"/>
      <c r="G811" s="9">
        <f>Тўловлар[[#This Row],[Поддон]]*$G$3</f>
        <v>0</v>
      </c>
      <c r="K811" s="9">
        <f>SUM(Тўловлар[[#This Row],[ПР-Сумма]]+Тўловлар[[#This Row],[Накд]]+Тўловлар[[#This Row],[Клик]]+Тўловлар[[#This Row],[Терминал]])</f>
        <v>0</v>
      </c>
      <c r="N811" s="30" cm="1">
        <f t="array" ref="N811">IFERROR(LOOKUP(2,1/((Товар!$D$4:$D$1110=Тўловлар[[#This Row],[Клиент]])*(Товар!$E$4:$E$1110&lt;=Тўловлар[[#This Row],[Дата]])),Товар!$L$4:$L$1110),Кўрсаткичлар!$B$4)</f>
        <v>0</v>
      </c>
      <c r="O811" s="30">
        <f>Тўловлар[[#This Row],[Поддон]]*Тўловлар[[#This Row],[Поддон нархи]]</f>
        <v>0</v>
      </c>
      <c r="P811" s="30">
        <f>Тўловлар[[#This Row],[Жами сумма]]-Тўловлар[[#This Row],[Поддон пули]]</f>
        <v>0</v>
      </c>
      <c r="Q8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1" s="9" t="str">
        <f>IFERROR(INDEX(Мижозлар[Агент],MATCH($C811,Мижозлар[Расмий ном],0)),"")</f>
        <v/>
      </c>
    </row>
    <row r="812" spans="6:19" x14ac:dyDescent="0.2">
      <c r="F812" s="198"/>
      <c r="G812" s="9">
        <f>Тўловлар[[#This Row],[Поддон]]*$G$3</f>
        <v>0</v>
      </c>
      <c r="K812" s="9">
        <f>SUM(Тўловлар[[#This Row],[ПР-Сумма]]+Тўловлар[[#This Row],[Накд]]+Тўловлар[[#This Row],[Клик]]+Тўловлар[[#This Row],[Терминал]])</f>
        <v>0</v>
      </c>
      <c r="N812" s="30" cm="1">
        <f t="array" ref="N812">IFERROR(LOOKUP(2,1/((Товар!$D$4:$D$1110=Тўловлар[[#This Row],[Клиент]])*(Товар!$E$4:$E$1110&lt;=Тўловлар[[#This Row],[Дата]])),Товар!$L$4:$L$1110),Кўрсаткичлар!$B$4)</f>
        <v>0</v>
      </c>
      <c r="O812" s="30">
        <f>Тўловлар[[#This Row],[Поддон]]*Тўловлар[[#This Row],[Поддон нархи]]</f>
        <v>0</v>
      </c>
      <c r="P812" s="30">
        <f>Тўловлар[[#This Row],[Жами сумма]]-Тўловлар[[#This Row],[Поддон пули]]</f>
        <v>0</v>
      </c>
      <c r="Q8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2" s="9" t="str">
        <f>IFERROR(INDEX(Мижозлар[Агент],MATCH($C812,Мижозлар[Расмий ном],0)),"")</f>
        <v/>
      </c>
    </row>
    <row r="813" spans="6:19" x14ac:dyDescent="0.2">
      <c r="F813" s="198"/>
      <c r="G813" s="9">
        <f>Тўловлар[[#This Row],[Поддон]]*$G$3</f>
        <v>0</v>
      </c>
      <c r="K813" s="9">
        <f>SUM(Тўловлар[[#This Row],[ПР-Сумма]]+Тўловлар[[#This Row],[Накд]]+Тўловлар[[#This Row],[Клик]]+Тўловлар[[#This Row],[Терминал]])</f>
        <v>0</v>
      </c>
      <c r="N813" s="30" cm="1">
        <f t="array" ref="N813">IFERROR(LOOKUP(2,1/((Товар!$D$4:$D$1110=Тўловлар[[#This Row],[Клиент]])*(Товар!$E$4:$E$1110&lt;=Тўловлар[[#This Row],[Дата]])),Товар!$L$4:$L$1110),Кўрсаткичлар!$B$4)</f>
        <v>0</v>
      </c>
      <c r="O813" s="30">
        <f>Тўловлар[[#This Row],[Поддон]]*Тўловлар[[#This Row],[Поддон нархи]]</f>
        <v>0</v>
      </c>
      <c r="P813" s="30">
        <f>Тўловлар[[#This Row],[Жами сумма]]-Тўловлар[[#This Row],[Поддон пули]]</f>
        <v>0</v>
      </c>
      <c r="Q8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3" s="9" t="str">
        <f>IFERROR(INDEX(Мижозлар[Агент],MATCH($C813,Мижозлар[Расмий ном],0)),"")</f>
        <v/>
      </c>
    </row>
    <row r="814" spans="6:19" x14ac:dyDescent="0.2">
      <c r="F814" s="198"/>
      <c r="G814" s="9">
        <f>Тўловлар[[#This Row],[Поддон]]*$G$3</f>
        <v>0</v>
      </c>
      <c r="K814" s="9">
        <f>SUM(Тўловлар[[#This Row],[ПР-Сумма]]+Тўловлар[[#This Row],[Накд]]+Тўловлар[[#This Row],[Клик]]+Тўловлар[[#This Row],[Терминал]])</f>
        <v>0</v>
      </c>
      <c r="N814" s="30" cm="1">
        <f t="array" ref="N814">IFERROR(LOOKUP(2,1/((Товар!$D$4:$D$1110=Тўловлар[[#This Row],[Клиент]])*(Товар!$E$4:$E$1110&lt;=Тўловлар[[#This Row],[Дата]])),Товар!$L$4:$L$1110),Кўрсаткичлар!$B$4)</f>
        <v>0</v>
      </c>
      <c r="O814" s="30">
        <f>Тўловлар[[#This Row],[Поддон]]*Тўловлар[[#This Row],[Поддон нархи]]</f>
        <v>0</v>
      </c>
      <c r="P814" s="30">
        <f>Тўловлар[[#This Row],[Жами сумма]]-Тўловлар[[#This Row],[Поддон пули]]</f>
        <v>0</v>
      </c>
      <c r="Q8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4" s="9" t="str">
        <f>IFERROR(INDEX(Мижозлар[Агент],MATCH($C814,Мижозлар[Расмий ном],0)),"")</f>
        <v/>
      </c>
    </row>
    <row r="815" spans="6:19" x14ac:dyDescent="0.2">
      <c r="F815" s="198"/>
      <c r="G815" s="9">
        <f>Тўловлар[[#This Row],[Поддон]]*$G$3</f>
        <v>0</v>
      </c>
      <c r="K815" s="9">
        <f>SUM(Тўловлар[[#This Row],[ПР-Сумма]]+Тўловлар[[#This Row],[Накд]]+Тўловлар[[#This Row],[Клик]]+Тўловлар[[#This Row],[Терминал]])</f>
        <v>0</v>
      </c>
      <c r="N815" s="30" cm="1">
        <f t="array" ref="N815">IFERROR(LOOKUP(2,1/((Товар!$D$4:$D$1110=Тўловлар[[#This Row],[Клиент]])*(Товар!$E$4:$E$1110&lt;=Тўловлар[[#This Row],[Дата]])),Товар!$L$4:$L$1110),Кўрсаткичлар!$B$4)</f>
        <v>0</v>
      </c>
      <c r="O815" s="30">
        <f>Тўловлар[[#This Row],[Поддон]]*Тўловлар[[#This Row],[Поддон нархи]]</f>
        <v>0</v>
      </c>
      <c r="P815" s="30">
        <f>Тўловлар[[#This Row],[Жами сумма]]-Тўловлар[[#This Row],[Поддон пули]]</f>
        <v>0</v>
      </c>
      <c r="Q8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5" s="9" t="str">
        <f>IFERROR(INDEX(Мижозлар[Агент],MATCH($C815,Мижозлар[Расмий ном],0)),"")</f>
        <v/>
      </c>
    </row>
    <row r="816" spans="6:19" x14ac:dyDescent="0.2">
      <c r="F816" s="198"/>
      <c r="G816" s="9">
        <f>Тўловлар[[#This Row],[Поддон]]*$G$3</f>
        <v>0</v>
      </c>
      <c r="K816" s="9">
        <f>SUM(Тўловлар[[#This Row],[ПР-Сумма]]+Тўловлар[[#This Row],[Накд]]+Тўловлар[[#This Row],[Клик]]+Тўловлар[[#This Row],[Терминал]])</f>
        <v>0</v>
      </c>
      <c r="N816" s="30" cm="1">
        <f t="array" ref="N816">IFERROR(LOOKUP(2,1/((Товар!$D$4:$D$1110=Тўловлар[[#This Row],[Клиент]])*(Товар!$E$4:$E$1110&lt;=Тўловлар[[#This Row],[Дата]])),Товар!$L$4:$L$1110),Кўрсаткичлар!$B$4)</f>
        <v>0</v>
      </c>
      <c r="O816" s="30">
        <f>Тўловлар[[#This Row],[Поддон]]*Тўловлар[[#This Row],[Поддон нархи]]</f>
        <v>0</v>
      </c>
      <c r="P816" s="30">
        <f>Тўловлар[[#This Row],[Жами сумма]]-Тўловлар[[#This Row],[Поддон пули]]</f>
        <v>0</v>
      </c>
      <c r="Q8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6" s="9" t="str">
        <f>IFERROR(INDEX(Мижозлар[Агент],MATCH($C816,Мижозлар[Расмий ном],0)),"")</f>
        <v/>
      </c>
    </row>
    <row r="817" spans="6:19" x14ac:dyDescent="0.2">
      <c r="F817" s="198"/>
      <c r="G817" s="9">
        <f>Тўловлар[[#This Row],[Поддон]]*$G$3</f>
        <v>0</v>
      </c>
      <c r="K817" s="9">
        <f>SUM(Тўловлар[[#This Row],[ПР-Сумма]]+Тўловлар[[#This Row],[Накд]]+Тўловлар[[#This Row],[Клик]]+Тўловлар[[#This Row],[Терминал]])</f>
        <v>0</v>
      </c>
      <c r="N817" s="30" cm="1">
        <f t="array" ref="N817">IFERROR(LOOKUP(2,1/((Товар!$D$4:$D$1110=Тўловлар[[#This Row],[Клиент]])*(Товар!$E$4:$E$1110&lt;=Тўловлар[[#This Row],[Дата]])),Товар!$L$4:$L$1110),Кўрсаткичлар!$B$4)</f>
        <v>0</v>
      </c>
      <c r="O817" s="30">
        <f>Тўловлар[[#This Row],[Поддон]]*Тўловлар[[#This Row],[Поддон нархи]]</f>
        <v>0</v>
      </c>
      <c r="P817" s="30">
        <f>Тўловлар[[#This Row],[Жами сумма]]-Тўловлар[[#This Row],[Поддон пули]]</f>
        <v>0</v>
      </c>
      <c r="Q8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7" s="9" t="str">
        <f>IFERROR(INDEX(Мижозлар[Агент],MATCH($C817,Мижозлар[Расмий ном],0)),"")</f>
        <v/>
      </c>
    </row>
    <row r="818" spans="6:19" x14ac:dyDescent="0.2">
      <c r="F818" s="198"/>
      <c r="G818" s="9">
        <f>Тўловлар[[#This Row],[Поддон]]*$G$3</f>
        <v>0</v>
      </c>
      <c r="K818" s="9">
        <f>SUM(Тўловлар[[#This Row],[ПР-Сумма]]+Тўловлар[[#This Row],[Накд]]+Тўловлар[[#This Row],[Клик]]+Тўловлар[[#This Row],[Терминал]])</f>
        <v>0</v>
      </c>
      <c r="N818" s="30" cm="1">
        <f t="array" ref="N818">IFERROR(LOOKUP(2,1/((Товар!$D$4:$D$1110=Тўловлар[[#This Row],[Клиент]])*(Товар!$E$4:$E$1110&lt;=Тўловлар[[#This Row],[Дата]])),Товар!$L$4:$L$1110),Кўрсаткичлар!$B$4)</f>
        <v>0</v>
      </c>
      <c r="O818" s="30">
        <f>Тўловлар[[#This Row],[Поддон]]*Тўловлар[[#This Row],[Поддон нархи]]</f>
        <v>0</v>
      </c>
      <c r="P818" s="30">
        <f>Тўловлар[[#This Row],[Жами сумма]]-Тўловлар[[#This Row],[Поддон пули]]</f>
        <v>0</v>
      </c>
      <c r="Q8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8" s="9" t="str">
        <f>IFERROR(INDEX(Мижозлар[Агент],MATCH($C818,Мижозлар[Расмий ном],0)),"")</f>
        <v/>
      </c>
    </row>
    <row r="819" spans="6:19" x14ac:dyDescent="0.2">
      <c r="F819" s="198"/>
      <c r="G819" s="9">
        <f>Тўловлар[[#This Row],[Поддон]]*$G$3</f>
        <v>0</v>
      </c>
      <c r="K819" s="9">
        <f>SUM(Тўловлар[[#This Row],[ПР-Сумма]]+Тўловлар[[#This Row],[Накд]]+Тўловлар[[#This Row],[Клик]]+Тўловлар[[#This Row],[Терминал]])</f>
        <v>0</v>
      </c>
      <c r="N819" s="30" cm="1">
        <f t="array" ref="N819">IFERROR(LOOKUP(2,1/((Товар!$D$4:$D$1110=Тўловлар[[#This Row],[Клиент]])*(Товар!$E$4:$E$1110&lt;=Тўловлар[[#This Row],[Дата]])),Товар!$L$4:$L$1110),Кўрсаткичлар!$B$4)</f>
        <v>0</v>
      </c>
      <c r="O819" s="30">
        <f>Тўловлар[[#This Row],[Поддон]]*Тўловлар[[#This Row],[Поддон нархи]]</f>
        <v>0</v>
      </c>
      <c r="P819" s="30">
        <f>Тўловлар[[#This Row],[Жами сумма]]-Тўловлар[[#This Row],[Поддон пули]]</f>
        <v>0</v>
      </c>
      <c r="Q8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19" s="9" t="str">
        <f>IFERROR(INDEX(Мижозлар[Агент],MATCH($C819,Мижозлар[Расмий ном],0)),"")</f>
        <v/>
      </c>
    </row>
    <row r="820" spans="6:19" x14ac:dyDescent="0.2">
      <c r="F820" s="198"/>
      <c r="G820" s="9">
        <f>Тўловлар[[#This Row],[Поддон]]*$G$3</f>
        <v>0</v>
      </c>
      <c r="K820" s="9">
        <f>SUM(Тўловлар[[#This Row],[ПР-Сумма]]+Тўловлар[[#This Row],[Накд]]+Тўловлар[[#This Row],[Клик]]+Тўловлар[[#This Row],[Терминал]])</f>
        <v>0</v>
      </c>
      <c r="N820" s="30" cm="1">
        <f t="array" ref="N820">IFERROR(LOOKUP(2,1/((Товар!$D$4:$D$1110=Тўловлар[[#This Row],[Клиент]])*(Товар!$E$4:$E$1110&lt;=Тўловлар[[#This Row],[Дата]])),Товар!$L$4:$L$1110),Кўрсаткичлар!$B$4)</f>
        <v>0</v>
      </c>
      <c r="O820" s="30">
        <f>Тўловлар[[#This Row],[Поддон]]*Тўловлар[[#This Row],[Поддон нархи]]</f>
        <v>0</v>
      </c>
      <c r="P820" s="30">
        <f>Тўловлар[[#This Row],[Жами сумма]]-Тўловлар[[#This Row],[Поддон пули]]</f>
        <v>0</v>
      </c>
      <c r="Q8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0" s="9" t="str">
        <f>IFERROR(INDEX(Мижозлар[Агент],MATCH($C820,Мижозлар[Расмий ном],0)),"")</f>
        <v/>
      </c>
    </row>
    <row r="821" spans="6:19" x14ac:dyDescent="0.2">
      <c r="F821" s="198"/>
      <c r="G821" s="9">
        <f>Тўловлар[[#This Row],[Поддон]]*$G$3</f>
        <v>0</v>
      </c>
      <c r="K821" s="9">
        <f>SUM(Тўловлар[[#This Row],[ПР-Сумма]]+Тўловлар[[#This Row],[Накд]]+Тўловлар[[#This Row],[Клик]]+Тўловлар[[#This Row],[Терминал]])</f>
        <v>0</v>
      </c>
      <c r="N821" s="30" cm="1">
        <f t="array" ref="N821">IFERROR(LOOKUP(2,1/((Товар!$D$4:$D$1110=Тўловлар[[#This Row],[Клиент]])*(Товар!$E$4:$E$1110&lt;=Тўловлар[[#This Row],[Дата]])),Товар!$L$4:$L$1110),Кўрсаткичлар!$B$4)</f>
        <v>0</v>
      </c>
      <c r="O821" s="30">
        <f>Тўловлар[[#This Row],[Поддон]]*Тўловлар[[#This Row],[Поддон нархи]]</f>
        <v>0</v>
      </c>
      <c r="P821" s="30">
        <f>Тўловлар[[#This Row],[Жами сумма]]-Тўловлар[[#This Row],[Поддон пули]]</f>
        <v>0</v>
      </c>
      <c r="Q8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1" s="9" t="str">
        <f>IFERROR(INDEX(Мижозлар[Агент],MATCH($C821,Мижозлар[Расмий ном],0)),"")</f>
        <v/>
      </c>
    </row>
    <row r="822" spans="6:19" x14ac:dyDescent="0.2">
      <c r="F822" s="198"/>
      <c r="G822" s="9">
        <f>Тўловлар[[#This Row],[Поддон]]*$G$3</f>
        <v>0</v>
      </c>
      <c r="K822" s="9">
        <f>SUM(Тўловлар[[#This Row],[ПР-Сумма]]+Тўловлар[[#This Row],[Накд]]+Тўловлар[[#This Row],[Клик]]+Тўловлар[[#This Row],[Терминал]])</f>
        <v>0</v>
      </c>
      <c r="N822" s="30" cm="1">
        <f t="array" ref="N822">IFERROR(LOOKUP(2,1/((Товар!$D$4:$D$1110=Тўловлар[[#This Row],[Клиент]])*(Товар!$E$4:$E$1110&lt;=Тўловлар[[#This Row],[Дата]])),Товар!$L$4:$L$1110),Кўрсаткичлар!$B$4)</f>
        <v>0</v>
      </c>
      <c r="O822" s="30">
        <f>Тўловлар[[#This Row],[Поддон]]*Тўловлар[[#This Row],[Поддон нархи]]</f>
        <v>0</v>
      </c>
      <c r="P822" s="30">
        <f>Тўловлар[[#This Row],[Жами сумма]]-Тўловлар[[#This Row],[Поддон пули]]</f>
        <v>0</v>
      </c>
      <c r="Q8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2" s="9" t="str">
        <f>IFERROR(INDEX(Мижозлар[Агент],MATCH($C822,Мижозлар[Расмий ном],0)),"")</f>
        <v/>
      </c>
    </row>
    <row r="823" spans="6:19" x14ac:dyDescent="0.2">
      <c r="F823" s="198"/>
      <c r="G823" s="9">
        <f>Тўловлар[[#This Row],[Поддон]]*$G$3</f>
        <v>0</v>
      </c>
      <c r="K823" s="9">
        <f>SUM(Тўловлар[[#This Row],[ПР-Сумма]]+Тўловлар[[#This Row],[Накд]]+Тўловлар[[#This Row],[Клик]]+Тўловлар[[#This Row],[Терминал]])</f>
        <v>0</v>
      </c>
      <c r="N823" s="30" cm="1">
        <f t="array" ref="N823">IFERROR(LOOKUP(2,1/((Товар!$D$4:$D$1110=Тўловлар[[#This Row],[Клиент]])*(Товар!$E$4:$E$1110&lt;=Тўловлар[[#This Row],[Дата]])),Товар!$L$4:$L$1110),Кўрсаткичлар!$B$4)</f>
        <v>0</v>
      </c>
      <c r="O823" s="30">
        <f>Тўловлар[[#This Row],[Поддон]]*Тўловлар[[#This Row],[Поддон нархи]]</f>
        <v>0</v>
      </c>
      <c r="P823" s="30">
        <f>Тўловлар[[#This Row],[Жами сумма]]-Тўловлар[[#This Row],[Поддон пули]]</f>
        <v>0</v>
      </c>
      <c r="Q8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3" s="9" t="str">
        <f>IFERROR(INDEX(Мижозлар[Агент],MATCH($C823,Мижозлар[Расмий ном],0)),"")</f>
        <v/>
      </c>
    </row>
    <row r="824" spans="6:19" x14ac:dyDescent="0.2">
      <c r="F824" s="198"/>
      <c r="G824" s="9">
        <f>Тўловлар[[#This Row],[Поддон]]*$G$3</f>
        <v>0</v>
      </c>
      <c r="K824" s="9">
        <f>SUM(Тўловлар[[#This Row],[ПР-Сумма]]+Тўловлар[[#This Row],[Накд]]+Тўловлар[[#This Row],[Клик]]+Тўловлар[[#This Row],[Терминал]])</f>
        <v>0</v>
      </c>
      <c r="N824" s="30" cm="1">
        <f t="array" ref="N824">IFERROR(LOOKUP(2,1/((Товар!$D$4:$D$1110=Тўловлар[[#This Row],[Клиент]])*(Товар!$E$4:$E$1110&lt;=Тўловлар[[#This Row],[Дата]])),Товар!$L$4:$L$1110),Кўрсаткичлар!$B$4)</f>
        <v>0</v>
      </c>
      <c r="O824" s="30">
        <f>Тўловлар[[#This Row],[Поддон]]*Тўловлар[[#This Row],[Поддон нархи]]</f>
        <v>0</v>
      </c>
      <c r="P824" s="30">
        <f>Тўловлар[[#This Row],[Жами сумма]]-Тўловлар[[#This Row],[Поддон пули]]</f>
        <v>0</v>
      </c>
      <c r="Q8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4" s="9" t="str">
        <f>IFERROR(INDEX(Мижозлар[Агент],MATCH($C824,Мижозлар[Расмий ном],0)),"")</f>
        <v/>
      </c>
    </row>
    <row r="825" spans="6:19" x14ac:dyDescent="0.2">
      <c r="F825" s="198"/>
      <c r="G825" s="9">
        <f>Тўловлар[[#This Row],[Поддон]]*$G$3</f>
        <v>0</v>
      </c>
      <c r="K825" s="9">
        <f>SUM(Тўловлар[[#This Row],[ПР-Сумма]]+Тўловлар[[#This Row],[Накд]]+Тўловлар[[#This Row],[Клик]]+Тўловлар[[#This Row],[Терминал]])</f>
        <v>0</v>
      </c>
      <c r="N825" s="30" cm="1">
        <f t="array" ref="N825">IFERROR(LOOKUP(2,1/((Товар!$D$4:$D$1110=Тўловлар[[#This Row],[Клиент]])*(Товар!$E$4:$E$1110&lt;=Тўловлар[[#This Row],[Дата]])),Товар!$L$4:$L$1110),Кўрсаткичлар!$B$4)</f>
        <v>0</v>
      </c>
      <c r="O825" s="30">
        <f>Тўловлар[[#This Row],[Поддон]]*Тўловлар[[#This Row],[Поддон нархи]]</f>
        <v>0</v>
      </c>
      <c r="P825" s="30">
        <f>Тўловлар[[#This Row],[Жами сумма]]-Тўловлар[[#This Row],[Поддон пули]]</f>
        <v>0</v>
      </c>
      <c r="Q8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5" s="9" t="str">
        <f>IFERROR(INDEX(Мижозлар[Агент],MATCH($C825,Мижозлар[Расмий ном],0)),"")</f>
        <v/>
      </c>
    </row>
    <row r="826" spans="6:19" x14ac:dyDescent="0.2">
      <c r="F826" s="198"/>
      <c r="G826" s="9">
        <f>Тўловлар[[#This Row],[Поддон]]*$G$3</f>
        <v>0</v>
      </c>
      <c r="K826" s="9">
        <f>SUM(Тўловлар[[#This Row],[ПР-Сумма]]+Тўловлар[[#This Row],[Накд]]+Тўловлар[[#This Row],[Клик]]+Тўловлар[[#This Row],[Терминал]])</f>
        <v>0</v>
      </c>
      <c r="N826" s="30" cm="1">
        <f t="array" ref="N826">IFERROR(LOOKUP(2,1/((Товар!$D$4:$D$1110=Тўловлар[[#This Row],[Клиент]])*(Товар!$E$4:$E$1110&lt;=Тўловлар[[#This Row],[Дата]])),Товар!$L$4:$L$1110),Кўрсаткичлар!$B$4)</f>
        <v>0</v>
      </c>
      <c r="O826" s="30">
        <f>Тўловлар[[#This Row],[Поддон]]*Тўловлар[[#This Row],[Поддон нархи]]</f>
        <v>0</v>
      </c>
      <c r="P826" s="30">
        <f>Тўловлар[[#This Row],[Жами сумма]]-Тўловлар[[#This Row],[Поддон пули]]</f>
        <v>0</v>
      </c>
      <c r="Q8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6" s="9" t="str">
        <f>IFERROR(INDEX(Мижозлар[Агент],MATCH($C826,Мижозлар[Расмий ном],0)),"")</f>
        <v/>
      </c>
    </row>
    <row r="827" spans="6:19" x14ac:dyDescent="0.2">
      <c r="F827" s="198"/>
      <c r="G827" s="9">
        <f>Тўловлар[[#This Row],[Поддон]]*$G$3</f>
        <v>0</v>
      </c>
      <c r="K827" s="9">
        <f>SUM(Тўловлар[[#This Row],[ПР-Сумма]]+Тўловлар[[#This Row],[Накд]]+Тўловлар[[#This Row],[Клик]]+Тўловлар[[#This Row],[Терминал]])</f>
        <v>0</v>
      </c>
      <c r="N827" s="30" cm="1">
        <f t="array" ref="N827">IFERROR(LOOKUP(2,1/((Товар!$D$4:$D$1110=Тўловлар[[#This Row],[Клиент]])*(Товар!$E$4:$E$1110&lt;=Тўловлар[[#This Row],[Дата]])),Товар!$L$4:$L$1110),Кўрсаткичлар!$B$4)</f>
        <v>0</v>
      </c>
      <c r="O827" s="30">
        <f>Тўловлар[[#This Row],[Поддон]]*Тўловлар[[#This Row],[Поддон нархи]]</f>
        <v>0</v>
      </c>
      <c r="P827" s="30">
        <f>Тўловлар[[#This Row],[Жами сумма]]-Тўловлар[[#This Row],[Поддон пули]]</f>
        <v>0</v>
      </c>
      <c r="Q8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7" s="9" t="str">
        <f>IFERROR(INDEX(Мижозлар[Агент],MATCH($C827,Мижозлар[Расмий ном],0)),"")</f>
        <v/>
      </c>
    </row>
    <row r="828" spans="6:19" x14ac:dyDescent="0.2">
      <c r="F828" s="198"/>
      <c r="G828" s="9">
        <f>Тўловлар[[#This Row],[Поддон]]*$G$3</f>
        <v>0</v>
      </c>
      <c r="K828" s="9">
        <f>SUM(Тўловлар[[#This Row],[ПР-Сумма]]+Тўловлар[[#This Row],[Накд]]+Тўловлар[[#This Row],[Клик]]+Тўловлар[[#This Row],[Терминал]])</f>
        <v>0</v>
      </c>
      <c r="N828" s="30" cm="1">
        <f t="array" ref="N828">IFERROR(LOOKUP(2,1/((Товар!$D$4:$D$1110=Тўловлар[[#This Row],[Клиент]])*(Товар!$E$4:$E$1110&lt;=Тўловлар[[#This Row],[Дата]])),Товар!$L$4:$L$1110),Кўрсаткичлар!$B$4)</f>
        <v>0</v>
      </c>
      <c r="O828" s="30">
        <f>Тўловлар[[#This Row],[Поддон]]*Тўловлар[[#This Row],[Поддон нархи]]</f>
        <v>0</v>
      </c>
      <c r="P828" s="30">
        <f>Тўловлар[[#This Row],[Жами сумма]]-Тўловлар[[#This Row],[Поддон пули]]</f>
        <v>0</v>
      </c>
      <c r="Q8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8" s="9" t="str">
        <f>IFERROR(INDEX(Мижозлар[Агент],MATCH($C828,Мижозлар[Расмий ном],0)),"")</f>
        <v/>
      </c>
    </row>
    <row r="829" spans="6:19" x14ac:dyDescent="0.2">
      <c r="F829" s="198"/>
      <c r="G829" s="9">
        <f>Тўловлар[[#This Row],[Поддон]]*$G$3</f>
        <v>0</v>
      </c>
      <c r="K829" s="9">
        <f>SUM(Тўловлар[[#This Row],[ПР-Сумма]]+Тўловлар[[#This Row],[Накд]]+Тўловлар[[#This Row],[Клик]]+Тўловлар[[#This Row],[Терминал]])</f>
        <v>0</v>
      </c>
      <c r="N829" s="30" cm="1">
        <f t="array" ref="N829">IFERROR(LOOKUP(2,1/((Товар!$D$4:$D$1110=Тўловлар[[#This Row],[Клиент]])*(Товар!$E$4:$E$1110&lt;=Тўловлар[[#This Row],[Дата]])),Товар!$L$4:$L$1110),Кўрсаткичлар!$B$4)</f>
        <v>0</v>
      </c>
      <c r="O829" s="30">
        <f>Тўловлар[[#This Row],[Поддон]]*Тўловлар[[#This Row],[Поддон нархи]]</f>
        <v>0</v>
      </c>
      <c r="P829" s="30">
        <f>Тўловлар[[#This Row],[Жами сумма]]-Тўловлар[[#This Row],[Поддон пули]]</f>
        <v>0</v>
      </c>
      <c r="Q8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29" s="9" t="str">
        <f>IFERROR(INDEX(Мижозлар[Агент],MATCH($C829,Мижозлар[Расмий ном],0)),"")</f>
        <v/>
      </c>
    </row>
    <row r="830" spans="6:19" x14ac:dyDescent="0.2">
      <c r="F830" s="198"/>
      <c r="G830" s="9">
        <f>Тўловлар[[#This Row],[Поддон]]*$G$3</f>
        <v>0</v>
      </c>
      <c r="K830" s="9">
        <f>SUM(Тўловлар[[#This Row],[ПР-Сумма]]+Тўловлар[[#This Row],[Накд]]+Тўловлар[[#This Row],[Клик]]+Тўловлар[[#This Row],[Терминал]])</f>
        <v>0</v>
      </c>
      <c r="N830" s="30" cm="1">
        <f t="array" ref="N830">IFERROR(LOOKUP(2,1/((Товар!$D$4:$D$1110=Тўловлар[[#This Row],[Клиент]])*(Товар!$E$4:$E$1110&lt;=Тўловлар[[#This Row],[Дата]])),Товар!$L$4:$L$1110),Кўрсаткичлар!$B$4)</f>
        <v>0</v>
      </c>
      <c r="O830" s="30">
        <f>Тўловлар[[#This Row],[Поддон]]*Тўловлар[[#This Row],[Поддон нархи]]</f>
        <v>0</v>
      </c>
      <c r="P830" s="30">
        <f>Тўловлар[[#This Row],[Жами сумма]]-Тўловлар[[#This Row],[Поддон пули]]</f>
        <v>0</v>
      </c>
      <c r="Q8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0" s="9" t="str">
        <f>IFERROR(INDEX(Мижозлар[Агент],MATCH($C830,Мижозлар[Расмий ном],0)),"")</f>
        <v/>
      </c>
    </row>
    <row r="831" spans="6:19" x14ac:dyDescent="0.2">
      <c r="F831" s="198"/>
      <c r="G831" s="9">
        <f>Тўловлар[[#This Row],[Поддон]]*$G$3</f>
        <v>0</v>
      </c>
      <c r="K831" s="9">
        <f>SUM(Тўловлар[[#This Row],[ПР-Сумма]]+Тўловлар[[#This Row],[Накд]]+Тўловлар[[#This Row],[Клик]]+Тўловлар[[#This Row],[Терминал]])</f>
        <v>0</v>
      </c>
      <c r="N831" s="30" cm="1">
        <f t="array" ref="N831">IFERROR(LOOKUP(2,1/((Товар!$D$4:$D$1110=Тўловлар[[#This Row],[Клиент]])*(Товар!$E$4:$E$1110&lt;=Тўловлар[[#This Row],[Дата]])),Товар!$L$4:$L$1110),Кўрсаткичлар!$B$4)</f>
        <v>0</v>
      </c>
      <c r="O831" s="30">
        <f>Тўловлар[[#This Row],[Поддон]]*Тўловлар[[#This Row],[Поддон нархи]]</f>
        <v>0</v>
      </c>
      <c r="P831" s="30">
        <f>Тўловлар[[#This Row],[Жами сумма]]-Тўловлар[[#This Row],[Поддон пули]]</f>
        <v>0</v>
      </c>
      <c r="Q8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1" s="9" t="str">
        <f>IFERROR(INDEX(Мижозлар[Агент],MATCH($C831,Мижозлар[Расмий ном],0)),"")</f>
        <v/>
      </c>
    </row>
    <row r="832" spans="6:19" x14ac:dyDescent="0.2">
      <c r="F832" s="198"/>
      <c r="G832" s="9">
        <f>Тўловлар[[#This Row],[Поддон]]*$G$3</f>
        <v>0</v>
      </c>
      <c r="K832" s="9">
        <f>SUM(Тўловлар[[#This Row],[ПР-Сумма]]+Тўловлар[[#This Row],[Накд]]+Тўловлар[[#This Row],[Клик]]+Тўловлар[[#This Row],[Терминал]])</f>
        <v>0</v>
      </c>
      <c r="N832" s="30" cm="1">
        <f t="array" ref="N832">IFERROR(LOOKUP(2,1/((Товар!$D$4:$D$1110=Тўловлар[[#This Row],[Клиент]])*(Товар!$E$4:$E$1110&lt;=Тўловлар[[#This Row],[Дата]])),Товар!$L$4:$L$1110),Кўрсаткичлар!$B$4)</f>
        <v>0</v>
      </c>
      <c r="O832" s="30">
        <f>Тўловлар[[#This Row],[Поддон]]*Тўловлар[[#This Row],[Поддон нархи]]</f>
        <v>0</v>
      </c>
      <c r="P832" s="30">
        <f>Тўловлар[[#This Row],[Жами сумма]]-Тўловлар[[#This Row],[Поддон пули]]</f>
        <v>0</v>
      </c>
      <c r="Q8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2" s="9" t="str">
        <f>IFERROR(INDEX(Мижозлар[Агент],MATCH($C832,Мижозлар[Расмий ном],0)),"")</f>
        <v/>
      </c>
    </row>
    <row r="833" spans="6:19" x14ac:dyDescent="0.2">
      <c r="F833" s="198"/>
      <c r="G833" s="9">
        <f>Тўловлар[[#This Row],[Поддон]]*$G$3</f>
        <v>0</v>
      </c>
      <c r="K833" s="9">
        <f>SUM(Тўловлар[[#This Row],[ПР-Сумма]]+Тўловлар[[#This Row],[Накд]]+Тўловлар[[#This Row],[Клик]]+Тўловлар[[#This Row],[Терминал]])</f>
        <v>0</v>
      </c>
      <c r="N833" s="30" cm="1">
        <f t="array" ref="N833">IFERROR(LOOKUP(2,1/((Товар!$D$4:$D$1110=Тўловлар[[#This Row],[Клиент]])*(Товар!$E$4:$E$1110&lt;=Тўловлар[[#This Row],[Дата]])),Товар!$L$4:$L$1110),Кўрсаткичлар!$B$4)</f>
        <v>0</v>
      </c>
      <c r="O833" s="30">
        <f>Тўловлар[[#This Row],[Поддон]]*Тўловлар[[#This Row],[Поддон нархи]]</f>
        <v>0</v>
      </c>
      <c r="P833" s="30">
        <f>Тўловлар[[#This Row],[Жами сумма]]-Тўловлар[[#This Row],[Поддон пули]]</f>
        <v>0</v>
      </c>
      <c r="Q8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3" s="9" t="str">
        <f>IFERROR(INDEX(Мижозлар[Агент],MATCH($C833,Мижозлар[Расмий ном],0)),"")</f>
        <v/>
      </c>
    </row>
    <row r="834" spans="6:19" x14ac:dyDescent="0.2">
      <c r="F834" s="198"/>
      <c r="G834" s="9">
        <f>Тўловлар[[#This Row],[Поддон]]*$G$3</f>
        <v>0</v>
      </c>
      <c r="K834" s="9">
        <f>SUM(Тўловлар[[#This Row],[ПР-Сумма]]+Тўловлар[[#This Row],[Накд]]+Тўловлар[[#This Row],[Клик]]+Тўловлар[[#This Row],[Терминал]])</f>
        <v>0</v>
      </c>
      <c r="N834" s="30" cm="1">
        <f t="array" ref="N834">IFERROR(LOOKUP(2,1/((Товар!$D$4:$D$1110=Тўловлар[[#This Row],[Клиент]])*(Товар!$E$4:$E$1110&lt;=Тўловлар[[#This Row],[Дата]])),Товар!$L$4:$L$1110),Кўрсаткичлар!$B$4)</f>
        <v>0</v>
      </c>
      <c r="O834" s="30">
        <f>Тўловлар[[#This Row],[Поддон]]*Тўловлар[[#This Row],[Поддон нархи]]</f>
        <v>0</v>
      </c>
      <c r="P834" s="30">
        <f>Тўловлар[[#This Row],[Жами сумма]]-Тўловлар[[#This Row],[Поддон пули]]</f>
        <v>0</v>
      </c>
      <c r="Q8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4" s="9" t="str">
        <f>IFERROR(INDEX(Мижозлар[Агент],MATCH($C834,Мижозлар[Расмий ном],0)),"")</f>
        <v/>
      </c>
    </row>
    <row r="835" spans="6:19" x14ac:dyDescent="0.2">
      <c r="F835" s="198"/>
      <c r="G835" s="9">
        <f>Тўловлар[[#This Row],[Поддон]]*$G$3</f>
        <v>0</v>
      </c>
      <c r="K835" s="9">
        <f>SUM(Тўловлар[[#This Row],[ПР-Сумма]]+Тўловлар[[#This Row],[Накд]]+Тўловлар[[#This Row],[Клик]]+Тўловлар[[#This Row],[Терминал]])</f>
        <v>0</v>
      </c>
      <c r="N835" s="30" cm="1">
        <f t="array" ref="N835">IFERROR(LOOKUP(2,1/((Товар!$D$4:$D$1110=Тўловлар[[#This Row],[Клиент]])*(Товар!$E$4:$E$1110&lt;=Тўловлар[[#This Row],[Дата]])),Товар!$L$4:$L$1110),Кўрсаткичлар!$B$4)</f>
        <v>0</v>
      </c>
      <c r="O835" s="30">
        <f>Тўловлар[[#This Row],[Поддон]]*Тўловлар[[#This Row],[Поддон нархи]]</f>
        <v>0</v>
      </c>
      <c r="P835" s="30">
        <f>Тўловлар[[#This Row],[Жами сумма]]-Тўловлар[[#This Row],[Поддон пули]]</f>
        <v>0</v>
      </c>
      <c r="Q8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5" s="9" t="str">
        <f>IFERROR(INDEX(Мижозлар[Агент],MATCH($C835,Мижозлар[Расмий ном],0)),"")</f>
        <v/>
      </c>
    </row>
    <row r="836" spans="6:19" x14ac:dyDescent="0.2">
      <c r="F836" s="198"/>
      <c r="G836" s="9">
        <f>Тўловлар[[#This Row],[Поддон]]*$G$3</f>
        <v>0</v>
      </c>
      <c r="K836" s="9">
        <f>SUM(Тўловлар[[#This Row],[ПР-Сумма]]+Тўловлар[[#This Row],[Накд]]+Тўловлар[[#This Row],[Клик]]+Тўловлар[[#This Row],[Терминал]])</f>
        <v>0</v>
      </c>
      <c r="N836" s="30" cm="1">
        <f t="array" ref="N836">IFERROR(LOOKUP(2,1/((Товар!$D$4:$D$1110=Тўловлар[[#This Row],[Клиент]])*(Товар!$E$4:$E$1110&lt;=Тўловлар[[#This Row],[Дата]])),Товар!$L$4:$L$1110),Кўрсаткичлар!$B$4)</f>
        <v>0</v>
      </c>
      <c r="O836" s="30">
        <f>Тўловлар[[#This Row],[Поддон]]*Тўловлар[[#This Row],[Поддон нархи]]</f>
        <v>0</v>
      </c>
      <c r="P836" s="30">
        <f>Тўловлар[[#This Row],[Жами сумма]]-Тўловлар[[#This Row],[Поддон пули]]</f>
        <v>0</v>
      </c>
      <c r="Q8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6" s="9" t="str">
        <f>IFERROR(INDEX(Мижозлар[Агент],MATCH($C836,Мижозлар[Расмий ном],0)),"")</f>
        <v/>
      </c>
    </row>
    <row r="837" spans="6:19" x14ac:dyDescent="0.2">
      <c r="F837" s="198"/>
      <c r="G837" s="9">
        <f>Тўловлар[[#This Row],[Поддон]]*$G$3</f>
        <v>0</v>
      </c>
      <c r="K837" s="9">
        <f>SUM(Тўловлар[[#This Row],[ПР-Сумма]]+Тўловлар[[#This Row],[Накд]]+Тўловлар[[#This Row],[Клик]]+Тўловлар[[#This Row],[Терминал]])</f>
        <v>0</v>
      </c>
      <c r="N837" s="30" cm="1">
        <f t="array" ref="N837">IFERROR(LOOKUP(2,1/((Товар!$D$4:$D$1110=Тўловлар[[#This Row],[Клиент]])*(Товар!$E$4:$E$1110&lt;=Тўловлар[[#This Row],[Дата]])),Товар!$L$4:$L$1110),Кўрсаткичлар!$B$4)</f>
        <v>0</v>
      </c>
      <c r="O837" s="30">
        <f>Тўловлар[[#This Row],[Поддон]]*Тўловлар[[#This Row],[Поддон нархи]]</f>
        <v>0</v>
      </c>
      <c r="P837" s="30">
        <f>Тўловлар[[#This Row],[Жами сумма]]-Тўловлар[[#This Row],[Поддон пули]]</f>
        <v>0</v>
      </c>
      <c r="Q8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7" s="9" t="str">
        <f>IFERROR(INDEX(Мижозлар[Агент],MATCH($C837,Мижозлар[Расмий ном],0)),"")</f>
        <v/>
      </c>
    </row>
    <row r="838" spans="6:19" x14ac:dyDescent="0.2">
      <c r="F838" s="198"/>
      <c r="G838" s="9">
        <f>Тўловлар[[#This Row],[Поддон]]*$G$3</f>
        <v>0</v>
      </c>
      <c r="K838" s="9">
        <f>SUM(Тўловлар[[#This Row],[ПР-Сумма]]+Тўловлар[[#This Row],[Накд]]+Тўловлар[[#This Row],[Клик]]+Тўловлар[[#This Row],[Терминал]])</f>
        <v>0</v>
      </c>
      <c r="N838" s="30" cm="1">
        <f t="array" ref="N838">IFERROR(LOOKUP(2,1/((Товар!$D$4:$D$1110=Тўловлар[[#This Row],[Клиент]])*(Товар!$E$4:$E$1110&lt;=Тўловлар[[#This Row],[Дата]])),Товар!$L$4:$L$1110),Кўрсаткичлар!$B$4)</f>
        <v>0</v>
      </c>
      <c r="O838" s="30">
        <f>Тўловлар[[#This Row],[Поддон]]*Тўловлар[[#This Row],[Поддон нархи]]</f>
        <v>0</v>
      </c>
      <c r="P838" s="30">
        <f>Тўловлар[[#This Row],[Жами сумма]]-Тўловлар[[#This Row],[Поддон пули]]</f>
        <v>0</v>
      </c>
      <c r="Q8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8" s="9" t="str">
        <f>IFERROR(INDEX(Мижозлар[Агент],MATCH($C838,Мижозлар[Расмий ном],0)),"")</f>
        <v/>
      </c>
    </row>
    <row r="839" spans="6:19" x14ac:dyDescent="0.2">
      <c r="F839" s="198"/>
      <c r="G839" s="9">
        <f>Тўловлар[[#This Row],[Поддон]]*$G$3</f>
        <v>0</v>
      </c>
      <c r="K839" s="9">
        <f>SUM(Тўловлар[[#This Row],[ПР-Сумма]]+Тўловлар[[#This Row],[Накд]]+Тўловлар[[#This Row],[Клик]]+Тўловлар[[#This Row],[Терминал]])</f>
        <v>0</v>
      </c>
      <c r="N839" s="30" cm="1">
        <f t="array" ref="N839">IFERROR(LOOKUP(2,1/((Товар!$D$4:$D$1110=Тўловлар[[#This Row],[Клиент]])*(Товар!$E$4:$E$1110&lt;=Тўловлар[[#This Row],[Дата]])),Товар!$L$4:$L$1110),Кўрсаткичлар!$B$4)</f>
        <v>0</v>
      </c>
      <c r="O839" s="30">
        <f>Тўловлар[[#This Row],[Поддон]]*Тўловлар[[#This Row],[Поддон нархи]]</f>
        <v>0</v>
      </c>
      <c r="P839" s="30">
        <f>Тўловлар[[#This Row],[Жами сумма]]-Тўловлар[[#This Row],[Поддон пули]]</f>
        <v>0</v>
      </c>
      <c r="Q8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39" s="9" t="str">
        <f>IFERROR(INDEX(Мижозлар[Агент],MATCH($C839,Мижозлар[Расмий ном],0)),"")</f>
        <v/>
      </c>
    </row>
    <row r="840" spans="6:19" x14ac:dyDescent="0.2">
      <c r="F840" s="198"/>
      <c r="G840" s="9">
        <f>Тўловлар[[#This Row],[Поддон]]*$G$3</f>
        <v>0</v>
      </c>
      <c r="K840" s="9">
        <f>SUM(Тўловлар[[#This Row],[ПР-Сумма]]+Тўловлар[[#This Row],[Накд]]+Тўловлар[[#This Row],[Клик]]+Тўловлар[[#This Row],[Терминал]])</f>
        <v>0</v>
      </c>
      <c r="N840" s="30" cm="1">
        <f t="array" ref="N840">IFERROR(LOOKUP(2,1/((Товар!$D$4:$D$1110=Тўловлар[[#This Row],[Клиент]])*(Товар!$E$4:$E$1110&lt;=Тўловлар[[#This Row],[Дата]])),Товар!$L$4:$L$1110),Кўрсаткичлар!$B$4)</f>
        <v>0</v>
      </c>
      <c r="O840" s="30">
        <f>Тўловлар[[#This Row],[Поддон]]*Тўловлар[[#This Row],[Поддон нархи]]</f>
        <v>0</v>
      </c>
      <c r="P840" s="30">
        <f>Тўловлар[[#This Row],[Жами сумма]]-Тўловлар[[#This Row],[Поддон пули]]</f>
        <v>0</v>
      </c>
      <c r="Q8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0" s="9" t="str">
        <f>IFERROR(INDEX(Мижозлар[Агент],MATCH($C840,Мижозлар[Расмий ном],0)),"")</f>
        <v/>
      </c>
    </row>
    <row r="841" spans="6:19" x14ac:dyDescent="0.2">
      <c r="F841" s="198"/>
      <c r="G841" s="9">
        <f>Тўловлар[[#This Row],[Поддон]]*$G$3</f>
        <v>0</v>
      </c>
      <c r="K841" s="9">
        <f>SUM(Тўловлар[[#This Row],[ПР-Сумма]]+Тўловлар[[#This Row],[Накд]]+Тўловлар[[#This Row],[Клик]]+Тўловлар[[#This Row],[Терминал]])</f>
        <v>0</v>
      </c>
      <c r="N841" s="30" cm="1">
        <f t="array" ref="N841">IFERROR(LOOKUP(2,1/((Товар!$D$4:$D$1110=Тўловлар[[#This Row],[Клиент]])*(Товар!$E$4:$E$1110&lt;=Тўловлар[[#This Row],[Дата]])),Товар!$L$4:$L$1110),Кўрсаткичлар!$B$4)</f>
        <v>0</v>
      </c>
      <c r="O841" s="30">
        <f>Тўловлар[[#This Row],[Поддон]]*Тўловлар[[#This Row],[Поддон нархи]]</f>
        <v>0</v>
      </c>
      <c r="P841" s="30">
        <f>Тўловлар[[#This Row],[Жами сумма]]-Тўловлар[[#This Row],[Поддон пули]]</f>
        <v>0</v>
      </c>
      <c r="Q8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1" s="9" t="str">
        <f>IFERROR(INDEX(Мижозлар[Агент],MATCH($C841,Мижозлар[Расмий ном],0)),"")</f>
        <v/>
      </c>
    </row>
    <row r="842" spans="6:19" x14ac:dyDescent="0.2">
      <c r="F842" s="198"/>
      <c r="G842" s="9">
        <f>Тўловлар[[#This Row],[Поддон]]*$G$3</f>
        <v>0</v>
      </c>
      <c r="K842" s="9">
        <f>SUM(Тўловлар[[#This Row],[ПР-Сумма]]+Тўловлар[[#This Row],[Накд]]+Тўловлар[[#This Row],[Клик]]+Тўловлар[[#This Row],[Терминал]])</f>
        <v>0</v>
      </c>
      <c r="N842" s="30" cm="1">
        <f t="array" ref="N842">IFERROR(LOOKUP(2,1/((Товар!$D$4:$D$1110=Тўловлар[[#This Row],[Клиент]])*(Товар!$E$4:$E$1110&lt;=Тўловлар[[#This Row],[Дата]])),Товар!$L$4:$L$1110),Кўрсаткичлар!$B$4)</f>
        <v>0</v>
      </c>
      <c r="O842" s="30">
        <f>Тўловлар[[#This Row],[Поддон]]*Тўловлар[[#This Row],[Поддон нархи]]</f>
        <v>0</v>
      </c>
      <c r="P842" s="30">
        <f>Тўловлар[[#This Row],[Жами сумма]]-Тўловлар[[#This Row],[Поддон пули]]</f>
        <v>0</v>
      </c>
      <c r="Q8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2" s="9" t="str">
        <f>IFERROR(INDEX(Мижозлар[Агент],MATCH($C842,Мижозлар[Расмий ном],0)),"")</f>
        <v/>
      </c>
    </row>
    <row r="843" spans="6:19" x14ac:dyDescent="0.2">
      <c r="F843" s="198"/>
      <c r="G843" s="9">
        <f>Тўловлар[[#This Row],[Поддон]]*$G$3</f>
        <v>0</v>
      </c>
      <c r="K843" s="9">
        <f>SUM(Тўловлар[[#This Row],[ПР-Сумма]]+Тўловлар[[#This Row],[Накд]]+Тўловлар[[#This Row],[Клик]]+Тўловлар[[#This Row],[Терминал]])</f>
        <v>0</v>
      </c>
      <c r="N843" s="30" cm="1">
        <f t="array" ref="N843">IFERROR(LOOKUP(2,1/((Товар!$D$4:$D$1110=Тўловлар[[#This Row],[Клиент]])*(Товар!$E$4:$E$1110&lt;=Тўловлар[[#This Row],[Дата]])),Товар!$L$4:$L$1110),Кўрсаткичлар!$B$4)</f>
        <v>0</v>
      </c>
      <c r="O843" s="30">
        <f>Тўловлар[[#This Row],[Поддон]]*Тўловлар[[#This Row],[Поддон нархи]]</f>
        <v>0</v>
      </c>
      <c r="P843" s="30">
        <f>Тўловлар[[#This Row],[Жами сумма]]-Тўловлар[[#This Row],[Поддон пули]]</f>
        <v>0</v>
      </c>
      <c r="Q8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3" s="9" t="str">
        <f>IFERROR(INDEX(Мижозлар[Агент],MATCH($C843,Мижозлар[Расмий ном],0)),"")</f>
        <v/>
      </c>
    </row>
    <row r="844" spans="6:19" x14ac:dyDescent="0.2">
      <c r="F844" s="198"/>
      <c r="G844" s="9">
        <f>Тўловлар[[#This Row],[Поддон]]*$G$3</f>
        <v>0</v>
      </c>
      <c r="K844" s="9">
        <f>SUM(Тўловлар[[#This Row],[ПР-Сумма]]+Тўловлар[[#This Row],[Накд]]+Тўловлар[[#This Row],[Клик]]+Тўловлар[[#This Row],[Терминал]])</f>
        <v>0</v>
      </c>
      <c r="N844" s="30" cm="1">
        <f t="array" ref="N844">IFERROR(LOOKUP(2,1/((Товар!$D$4:$D$1110=Тўловлар[[#This Row],[Клиент]])*(Товар!$E$4:$E$1110&lt;=Тўловлар[[#This Row],[Дата]])),Товар!$L$4:$L$1110),Кўрсаткичлар!$B$4)</f>
        <v>0</v>
      </c>
      <c r="O844" s="30">
        <f>Тўловлар[[#This Row],[Поддон]]*Тўловлар[[#This Row],[Поддон нархи]]</f>
        <v>0</v>
      </c>
      <c r="P844" s="30">
        <f>Тўловлар[[#This Row],[Жами сумма]]-Тўловлар[[#This Row],[Поддон пули]]</f>
        <v>0</v>
      </c>
      <c r="Q8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4" s="9" t="str">
        <f>IFERROR(INDEX(Мижозлар[Агент],MATCH($C844,Мижозлар[Расмий ном],0)),"")</f>
        <v/>
      </c>
    </row>
    <row r="845" spans="6:19" x14ac:dyDescent="0.2">
      <c r="F845" s="198"/>
      <c r="G845" s="9">
        <f>Тўловлар[[#This Row],[Поддон]]*$G$3</f>
        <v>0</v>
      </c>
      <c r="K845" s="9">
        <f>SUM(Тўловлар[[#This Row],[ПР-Сумма]]+Тўловлар[[#This Row],[Накд]]+Тўловлар[[#This Row],[Клик]]+Тўловлар[[#This Row],[Терминал]])</f>
        <v>0</v>
      </c>
      <c r="N845" s="30" cm="1">
        <f t="array" ref="N845">IFERROR(LOOKUP(2,1/((Товар!$D$4:$D$1110=Тўловлар[[#This Row],[Клиент]])*(Товар!$E$4:$E$1110&lt;=Тўловлар[[#This Row],[Дата]])),Товар!$L$4:$L$1110),Кўрсаткичлар!$B$4)</f>
        <v>0</v>
      </c>
      <c r="O845" s="30">
        <f>Тўловлар[[#This Row],[Поддон]]*Тўловлар[[#This Row],[Поддон нархи]]</f>
        <v>0</v>
      </c>
      <c r="P845" s="30">
        <f>Тўловлар[[#This Row],[Жами сумма]]-Тўловлар[[#This Row],[Поддон пули]]</f>
        <v>0</v>
      </c>
      <c r="Q8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5" s="9" t="str">
        <f>IFERROR(INDEX(Мижозлар[Агент],MATCH($C845,Мижозлар[Расмий ном],0)),"")</f>
        <v/>
      </c>
    </row>
    <row r="846" spans="6:19" x14ac:dyDescent="0.2">
      <c r="F846" s="198"/>
      <c r="G846" s="9">
        <f>Тўловлар[[#This Row],[Поддон]]*$G$3</f>
        <v>0</v>
      </c>
      <c r="K846" s="9">
        <f>SUM(Тўловлар[[#This Row],[ПР-Сумма]]+Тўловлар[[#This Row],[Накд]]+Тўловлар[[#This Row],[Клик]]+Тўловлар[[#This Row],[Терминал]])</f>
        <v>0</v>
      </c>
      <c r="N846" s="30" cm="1">
        <f t="array" ref="N846">IFERROR(LOOKUP(2,1/((Товар!$D$4:$D$1110=Тўловлар[[#This Row],[Клиент]])*(Товар!$E$4:$E$1110&lt;=Тўловлар[[#This Row],[Дата]])),Товар!$L$4:$L$1110),Кўрсаткичлар!$B$4)</f>
        <v>0</v>
      </c>
      <c r="O846" s="30">
        <f>Тўловлар[[#This Row],[Поддон]]*Тўловлар[[#This Row],[Поддон нархи]]</f>
        <v>0</v>
      </c>
      <c r="P846" s="30">
        <f>Тўловлар[[#This Row],[Жами сумма]]-Тўловлар[[#This Row],[Поддон пули]]</f>
        <v>0</v>
      </c>
      <c r="Q8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6" s="9" t="str">
        <f>IFERROR(INDEX(Мижозлар[Агент],MATCH($C846,Мижозлар[Расмий ном],0)),"")</f>
        <v/>
      </c>
    </row>
    <row r="847" spans="6:19" x14ac:dyDescent="0.2">
      <c r="F847" s="198"/>
      <c r="G847" s="9">
        <f>Тўловлар[[#This Row],[Поддон]]*$G$3</f>
        <v>0</v>
      </c>
      <c r="K847" s="9">
        <f>SUM(Тўловлар[[#This Row],[ПР-Сумма]]+Тўловлар[[#This Row],[Накд]]+Тўловлар[[#This Row],[Клик]]+Тўловлар[[#This Row],[Терминал]])</f>
        <v>0</v>
      </c>
      <c r="N847" s="30" cm="1">
        <f t="array" ref="N847">IFERROR(LOOKUP(2,1/((Товар!$D$4:$D$1110=Тўловлар[[#This Row],[Клиент]])*(Товар!$E$4:$E$1110&lt;=Тўловлар[[#This Row],[Дата]])),Товар!$L$4:$L$1110),Кўрсаткичлар!$B$4)</f>
        <v>0</v>
      </c>
      <c r="O847" s="30">
        <f>Тўловлар[[#This Row],[Поддон]]*Тўловлар[[#This Row],[Поддон нархи]]</f>
        <v>0</v>
      </c>
      <c r="P847" s="30">
        <f>Тўловлар[[#This Row],[Жами сумма]]-Тўловлар[[#This Row],[Поддон пули]]</f>
        <v>0</v>
      </c>
      <c r="Q8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7" s="9" t="str">
        <f>IFERROR(INDEX(Мижозлар[Агент],MATCH($C847,Мижозлар[Расмий ном],0)),"")</f>
        <v/>
      </c>
    </row>
    <row r="848" spans="6:19" x14ac:dyDescent="0.2">
      <c r="F848" s="198"/>
      <c r="G848" s="9">
        <f>Тўловлар[[#This Row],[Поддон]]*$G$3</f>
        <v>0</v>
      </c>
      <c r="K848" s="9">
        <f>SUM(Тўловлар[[#This Row],[ПР-Сумма]]+Тўловлар[[#This Row],[Накд]]+Тўловлар[[#This Row],[Клик]]+Тўловлар[[#This Row],[Терминал]])</f>
        <v>0</v>
      </c>
      <c r="N848" s="30" cm="1">
        <f t="array" ref="N848">IFERROR(LOOKUP(2,1/((Товар!$D$4:$D$1110=Тўловлар[[#This Row],[Клиент]])*(Товар!$E$4:$E$1110&lt;=Тўловлар[[#This Row],[Дата]])),Товар!$L$4:$L$1110),Кўрсаткичлар!$B$4)</f>
        <v>0</v>
      </c>
      <c r="O848" s="30">
        <f>Тўловлар[[#This Row],[Поддон]]*Тўловлар[[#This Row],[Поддон нархи]]</f>
        <v>0</v>
      </c>
      <c r="P848" s="30">
        <f>Тўловлар[[#This Row],[Жами сумма]]-Тўловлар[[#This Row],[Поддон пули]]</f>
        <v>0</v>
      </c>
      <c r="Q8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8" s="9" t="str">
        <f>IFERROR(INDEX(Мижозлар[Агент],MATCH($C848,Мижозлар[Расмий ном],0)),"")</f>
        <v/>
      </c>
    </row>
    <row r="849" spans="6:19" x14ac:dyDescent="0.2">
      <c r="F849" s="198"/>
      <c r="G849" s="9">
        <f>Тўловлар[[#This Row],[Поддон]]*$G$3</f>
        <v>0</v>
      </c>
      <c r="K849" s="9">
        <f>SUM(Тўловлар[[#This Row],[ПР-Сумма]]+Тўловлар[[#This Row],[Накд]]+Тўловлар[[#This Row],[Клик]]+Тўловлар[[#This Row],[Терминал]])</f>
        <v>0</v>
      </c>
      <c r="N849" s="30" cm="1">
        <f t="array" ref="N849">IFERROR(LOOKUP(2,1/((Товар!$D$4:$D$1110=Тўловлар[[#This Row],[Клиент]])*(Товар!$E$4:$E$1110&lt;=Тўловлар[[#This Row],[Дата]])),Товар!$L$4:$L$1110),Кўрсаткичлар!$B$4)</f>
        <v>0</v>
      </c>
      <c r="O849" s="30">
        <f>Тўловлар[[#This Row],[Поддон]]*Тўловлар[[#This Row],[Поддон нархи]]</f>
        <v>0</v>
      </c>
      <c r="P849" s="30">
        <f>Тўловлар[[#This Row],[Жами сумма]]-Тўловлар[[#This Row],[Поддон пули]]</f>
        <v>0</v>
      </c>
      <c r="Q8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49" s="9" t="str">
        <f>IFERROR(INDEX(Мижозлар[Агент],MATCH($C849,Мижозлар[Расмий ном],0)),"")</f>
        <v/>
      </c>
    </row>
    <row r="850" spans="6:19" x14ac:dyDescent="0.2">
      <c r="F850" s="198"/>
      <c r="G850" s="9">
        <f>Тўловлар[[#This Row],[Поддон]]*$G$3</f>
        <v>0</v>
      </c>
      <c r="K850" s="9">
        <f>SUM(Тўловлар[[#This Row],[ПР-Сумма]]+Тўловлар[[#This Row],[Накд]]+Тўловлар[[#This Row],[Клик]]+Тўловлар[[#This Row],[Терминал]])</f>
        <v>0</v>
      </c>
      <c r="N850" s="30" cm="1">
        <f t="array" ref="N850">IFERROR(LOOKUP(2,1/((Товар!$D$4:$D$1110=Тўловлар[[#This Row],[Клиент]])*(Товар!$E$4:$E$1110&lt;=Тўловлар[[#This Row],[Дата]])),Товар!$L$4:$L$1110),Кўрсаткичлар!$B$4)</f>
        <v>0</v>
      </c>
      <c r="O850" s="30">
        <f>Тўловлар[[#This Row],[Поддон]]*Тўловлар[[#This Row],[Поддон нархи]]</f>
        <v>0</v>
      </c>
      <c r="P850" s="30">
        <f>Тўловлар[[#This Row],[Жами сумма]]-Тўловлар[[#This Row],[Поддон пули]]</f>
        <v>0</v>
      </c>
      <c r="Q8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0" s="9" t="str">
        <f>IFERROR(INDEX(Мижозлар[Агент],MATCH($C850,Мижозлар[Расмий ном],0)),"")</f>
        <v/>
      </c>
    </row>
    <row r="851" spans="6:19" x14ac:dyDescent="0.2">
      <c r="F851" s="198"/>
      <c r="G851" s="9">
        <f>Тўловлар[[#This Row],[Поддон]]*$G$3</f>
        <v>0</v>
      </c>
      <c r="K851" s="9">
        <f>SUM(Тўловлар[[#This Row],[ПР-Сумма]]+Тўловлар[[#This Row],[Накд]]+Тўловлар[[#This Row],[Клик]]+Тўловлар[[#This Row],[Терминал]])</f>
        <v>0</v>
      </c>
      <c r="N851" s="30" cm="1">
        <f t="array" ref="N851">IFERROR(LOOKUP(2,1/((Товар!$D$4:$D$1110=Тўловлар[[#This Row],[Клиент]])*(Товар!$E$4:$E$1110&lt;=Тўловлар[[#This Row],[Дата]])),Товар!$L$4:$L$1110),Кўрсаткичлар!$B$4)</f>
        <v>0</v>
      </c>
      <c r="O851" s="30">
        <f>Тўловлар[[#This Row],[Поддон]]*Тўловлар[[#This Row],[Поддон нархи]]</f>
        <v>0</v>
      </c>
      <c r="P851" s="30">
        <f>Тўловлар[[#This Row],[Жами сумма]]-Тўловлар[[#This Row],[Поддон пули]]</f>
        <v>0</v>
      </c>
      <c r="Q8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1" s="9" t="str">
        <f>IFERROR(INDEX(Мижозлар[Агент],MATCH($C851,Мижозлар[Расмий ном],0)),"")</f>
        <v/>
      </c>
    </row>
    <row r="852" spans="6:19" x14ac:dyDescent="0.2">
      <c r="F852" s="198"/>
      <c r="G852" s="9">
        <f>Тўловлар[[#This Row],[Поддон]]*$G$3</f>
        <v>0</v>
      </c>
      <c r="K852" s="9">
        <f>SUM(Тўловлар[[#This Row],[ПР-Сумма]]+Тўловлар[[#This Row],[Накд]]+Тўловлар[[#This Row],[Клик]]+Тўловлар[[#This Row],[Терминал]])</f>
        <v>0</v>
      </c>
      <c r="N852" s="30" cm="1">
        <f t="array" ref="N852">IFERROR(LOOKUP(2,1/((Товар!$D$4:$D$1110=Тўловлар[[#This Row],[Клиент]])*(Товар!$E$4:$E$1110&lt;=Тўловлар[[#This Row],[Дата]])),Товар!$L$4:$L$1110),Кўрсаткичлар!$B$4)</f>
        <v>0</v>
      </c>
      <c r="O852" s="30">
        <f>Тўловлар[[#This Row],[Поддон]]*Тўловлар[[#This Row],[Поддон нархи]]</f>
        <v>0</v>
      </c>
      <c r="P852" s="30">
        <f>Тўловлар[[#This Row],[Жами сумма]]-Тўловлар[[#This Row],[Поддон пули]]</f>
        <v>0</v>
      </c>
      <c r="Q8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2" s="9" t="str">
        <f>IFERROR(INDEX(Мижозлар[Агент],MATCH($C852,Мижозлар[Расмий ном],0)),"")</f>
        <v/>
      </c>
    </row>
    <row r="853" spans="6:19" x14ac:dyDescent="0.2">
      <c r="F853" s="198"/>
      <c r="G853" s="9">
        <f>Тўловлар[[#This Row],[Поддон]]*$G$3</f>
        <v>0</v>
      </c>
      <c r="K853" s="9">
        <f>SUM(Тўловлар[[#This Row],[ПР-Сумма]]+Тўловлар[[#This Row],[Накд]]+Тўловлар[[#This Row],[Клик]]+Тўловлар[[#This Row],[Терминал]])</f>
        <v>0</v>
      </c>
      <c r="N853" s="30" cm="1">
        <f t="array" ref="N853">IFERROR(LOOKUP(2,1/((Товар!$D$4:$D$1110=Тўловлар[[#This Row],[Клиент]])*(Товар!$E$4:$E$1110&lt;=Тўловлар[[#This Row],[Дата]])),Товар!$L$4:$L$1110),Кўрсаткичлар!$B$4)</f>
        <v>0</v>
      </c>
      <c r="O853" s="30">
        <f>Тўловлар[[#This Row],[Поддон]]*Тўловлар[[#This Row],[Поддон нархи]]</f>
        <v>0</v>
      </c>
      <c r="P853" s="30">
        <f>Тўловлар[[#This Row],[Жами сумма]]-Тўловлар[[#This Row],[Поддон пули]]</f>
        <v>0</v>
      </c>
      <c r="Q8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3" s="9" t="str">
        <f>IFERROR(INDEX(Мижозлар[Агент],MATCH($C853,Мижозлар[Расмий ном],0)),"")</f>
        <v/>
      </c>
    </row>
    <row r="854" spans="6:19" x14ac:dyDescent="0.2">
      <c r="F854" s="198"/>
      <c r="G854" s="9">
        <f>Тўловлар[[#This Row],[Поддон]]*$G$3</f>
        <v>0</v>
      </c>
      <c r="K854" s="9">
        <f>SUM(Тўловлар[[#This Row],[ПР-Сумма]]+Тўловлар[[#This Row],[Накд]]+Тўловлар[[#This Row],[Клик]]+Тўловлар[[#This Row],[Терминал]])</f>
        <v>0</v>
      </c>
      <c r="N854" s="30" cm="1">
        <f t="array" ref="N854">IFERROR(LOOKUP(2,1/((Товар!$D$4:$D$1110=Тўловлар[[#This Row],[Клиент]])*(Товар!$E$4:$E$1110&lt;=Тўловлар[[#This Row],[Дата]])),Товар!$L$4:$L$1110),Кўрсаткичлар!$B$4)</f>
        <v>0</v>
      </c>
      <c r="O854" s="30">
        <f>Тўловлар[[#This Row],[Поддон]]*Тўловлар[[#This Row],[Поддон нархи]]</f>
        <v>0</v>
      </c>
      <c r="P854" s="30">
        <f>Тўловлар[[#This Row],[Жами сумма]]-Тўловлар[[#This Row],[Поддон пули]]</f>
        <v>0</v>
      </c>
      <c r="Q8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4" s="9" t="str">
        <f>IFERROR(INDEX(Мижозлар[Агент],MATCH($C854,Мижозлар[Расмий ном],0)),"")</f>
        <v/>
      </c>
    </row>
    <row r="855" spans="6:19" x14ac:dyDescent="0.2">
      <c r="F855" s="198"/>
      <c r="G855" s="9">
        <f>Тўловлар[[#This Row],[Поддон]]*$G$3</f>
        <v>0</v>
      </c>
      <c r="K855" s="9">
        <f>SUM(Тўловлар[[#This Row],[ПР-Сумма]]+Тўловлар[[#This Row],[Накд]]+Тўловлар[[#This Row],[Клик]]+Тўловлар[[#This Row],[Терминал]])</f>
        <v>0</v>
      </c>
      <c r="N855" s="30" cm="1">
        <f t="array" ref="N855">IFERROR(LOOKUP(2,1/((Товар!$D$4:$D$1110=Тўловлар[[#This Row],[Клиент]])*(Товар!$E$4:$E$1110&lt;=Тўловлар[[#This Row],[Дата]])),Товар!$L$4:$L$1110),Кўрсаткичлар!$B$4)</f>
        <v>0</v>
      </c>
      <c r="O855" s="30">
        <f>Тўловлар[[#This Row],[Поддон]]*Тўловлар[[#This Row],[Поддон нархи]]</f>
        <v>0</v>
      </c>
      <c r="P855" s="30">
        <f>Тўловлар[[#This Row],[Жами сумма]]-Тўловлар[[#This Row],[Поддон пули]]</f>
        <v>0</v>
      </c>
      <c r="Q8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5" s="9" t="str">
        <f>IFERROR(INDEX(Мижозлар[Агент],MATCH($C855,Мижозлар[Расмий ном],0)),"")</f>
        <v/>
      </c>
    </row>
    <row r="856" spans="6:19" x14ac:dyDescent="0.2">
      <c r="F856" s="198"/>
      <c r="G856" s="9">
        <f>Тўловлар[[#This Row],[Поддон]]*$G$3</f>
        <v>0</v>
      </c>
      <c r="K856" s="9">
        <f>SUM(Тўловлар[[#This Row],[ПР-Сумма]]+Тўловлар[[#This Row],[Накд]]+Тўловлар[[#This Row],[Клик]]+Тўловлар[[#This Row],[Терминал]])</f>
        <v>0</v>
      </c>
      <c r="N856" s="30" cm="1">
        <f t="array" ref="N856">IFERROR(LOOKUP(2,1/((Товар!$D$4:$D$1110=Тўловлар[[#This Row],[Клиент]])*(Товар!$E$4:$E$1110&lt;=Тўловлар[[#This Row],[Дата]])),Товар!$L$4:$L$1110),Кўрсаткичлар!$B$4)</f>
        <v>0</v>
      </c>
      <c r="O856" s="30">
        <f>Тўловлар[[#This Row],[Поддон]]*Тўловлар[[#This Row],[Поддон нархи]]</f>
        <v>0</v>
      </c>
      <c r="P856" s="30">
        <f>Тўловлар[[#This Row],[Жами сумма]]-Тўловлар[[#This Row],[Поддон пули]]</f>
        <v>0</v>
      </c>
      <c r="Q8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6" s="9" t="str">
        <f>IFERROR(INDEX(Мижозлар[Агент],MATCH($C856,Мижозлар[Расмий ном],0)),"")</f>
        <v/>
      </c>
    </row>
    <row r="857" spans="6:19" x14ac:dyDescent="0.2">
      <c r="F857" s="198"/>
      <c r="G857" s="9">
        <f>Тўловлар[[#This Row],[Поддон]]*$G$3</f>
        <v>0</v>
      </c>
      <c r="K857" s="9">
        <f>SUM(Тўловлар[[#This Row],[ПР-Сумма]]+Тўловлар[[#This Row],[Накд]]+Тўловлар[[#This Row],[Клик]]+Тўловлар[[#This Row],[Терминал]])</f>
        <v>0</v>
      </c>
      <c r="N857" s="30" cm="1">
        <f t="array" ref="N857">IFERROR(LOOKUP(2,1/((Товар!$D$4:$D$1110=Тўловлар[[#This Row],[Клиент]])*(Товар!$E$4:$E$1110&lt;=Тўловлар[[#This Row],[Дата]])),Товар!$L$4:$L$1110),Кўрсаткичлар!$B$4)</f>
        <v>0</v>
      </c>
      <c r="O857" s="30">
        <f>Тўловлар[[#This Row],[Поддон]]*Тўловлар[[#This Row],[Поддон нархи]]</f>
        <v>0</v>
      </c>
      <c r="P857" s="30">
        <f>Тўловлар[[#This Row],[Жами сумма]]-Тўловлар[[#This Row],[Поддон пули]]</f>
        <v>0</v>
      </c>
      <c r="Q8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7" s="9" t="str">
        <f>IFERROR(INDEX(Мижозлар[Агент],MATCH($C857,Мижозлар[Расмий ном],0)),"")</f>
        <v/>
      </c>
    </row>
    <row r="858" spans="6:19" x14ac:dyDescent="0.2">
      <c r="F858" s="198"/>
      <c r="G858" s="9">
        <f>Тўловлар[[#This Row],[Поддон]]*$G$3</f>
        <v>0</v>
      </c>
      <c r="K858" s="9">
        <f>SUM(Тўловлар[[#This Row],[ПР-Сумма]]+Тўловлар[[#This Row],[Накд]]+Тўловлар[[#This Row],[Клик]]+Тўловлар[[#This Row],[Терминал]])</f>
        <v>0</v>
      </c>
      <c r="N858" s="30" cm="1">
        <f t="array" ref="N858">IFERROR(LOOKUP(2,1/((Товар!$D$4:$D$1110=Тўловлар[[#This Row],[Клиент]])*(Товар!$E$4:$E$1110&lt;=Тўловлар[[#This Row],[Дата]])),Товар!$L$4:$L$1110),Кўрсаткичлар!$B$4)</f>
        <v>0</v>
      </c>
      <c r="O858" s="30">
        <f>Тўловлар[[#This Row],[Поддон]]*Тўловлар[[#This Row],[Поддон нархи]]</f>
        <v>0</v>
      </c>
      <c r="P858" s="30">
        <f>Тўловлар[[#This Row],[Жами сумма]]-Тўловлар[[#This Row],[Поддон пули]]</f>
        <v>0</v>
      </c>
      <c r="Q8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8" s="9" t="str">
        <f>IFERROR(INDEX(Мижозлар[Агент],MATCH($C858,Мижозлар[Расмий ном],0)),"")</f>
        <v/>
      </c>
    </row>
    <row r="859" spans="6:19" x14ac:dyDescent="0.2">
      <c r="F859" s="198"/>
      <c r="G859" s="9">
        <f>Тўловлар[[#This Row],[Поддон]]*$G$3</f>
        <v>0</v>
      </c>
      <c r="K859" s="9">
        <f>SUM(Тўловлар[[#This Row],[ПР-Сумма]]+Тўловлар[[#This Row],[Накд]]+Тўловлар[[#This Row],[Клик]]+Тўловлар[[#This Row],[Терминал]])</f>
        <v>0</v>
      </c>
      <c r="N859" s="30" cm="1">
        <f t="array" ref="N859">IFERROR(LOOKUP(2,1/((Товар!$D$4:$D$1110=Тўловлар[[#This Row],[Клиент]])*(Товар!$E$4:$E$1110&lt;=Тўловлар[[#This Row],[Дата]])),Товар!$L$4:$L$1110),Кўрсаткичлар!$B$4)</f>
        <v>0</v>
      </c>
      <c r="O859" s="30">
        <f>Тўловлар[[#This Row],[Поддон]]*Тўловлар[[#This Row],[Поддон нархи]]</f>
        <v>0</v>
      </c>
      <c r="P859" s="30">
        <f>Тўловлар[[#This Row],[Жами сумма]]-Тўловлар[[#This Row],[Поддон пули]]</f>
        <v>0</v>
      </c>
      <c r="Q8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59" s="9" t="str">
        <f>IFERROR(INDEX(Мижозлар[Агент],MATCH($C859,Мижозлар[Расмий ном],0)),"")</f>
        <v/>
      </c>
    </row>
    <row r="860" spans="6:19" x14ac:dyDescent="0.2">
      <c r="F860" s="198"/>
      <c r="G860" s="9">
        <f>Тўловлар[[#This Row],[Поддон]]*$G$3</f>
        <v>0</v>
      </c>
      <c r="K860" s="9">
        <f>SUM(Тўловлар[[#This Row],[ПР-Сумма]]+Тўловлар[[#This Row],[Накд]]+Тўловлар[[#This Row],[Клик]]+Тўловлар[[#This Row],[Терминал]])</f>
        <v>0</v>
      </c>
      <c r="N860" s="30" cm="1">
        <f t="array" ref="N860">IFERROR(LOOKUP(2,1/((Товар!$D$4:$D$1110=Тўловлар[[#This Row],[Клиент]])*(Товар!$E$4:$E$1110&lt;=Тўловлар[[#This Row],[Дата]])),Товар!$L$4:$L$1110),Кўрсаткичлар!$B$4)</f>
        <v>0</v>
      </c>
      <c r="O860" s="30">
        <f>Тўловлар[[#This Row],[Поддон]]*Тўловлар[[#This Row],[Поддон нархи]]</f>
        <v>0</v>
      </c>
      <c r="P860" s="30">
        <f>Тўловлар[[#This Row],[Жами сумма]]-Тўловлар[[#This Row],[Поддон пули]]</f>
        <v>0</v>
      </c>
      <c r="Q8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0" s="9" t="str">
        <f>IFERROR(INDEX(Мижозлар[Агент],MATCH($C860,Мижозлар[Расмий ном],0)),"")</f>
        <v/>
      </c>
    </row>
    <row r="861" spans="6:19" x14ac:dyDescent="0.2">
      <c r="F861" s="198"/>
      <c r="G861" s="9">
        <f>Тўловлар[[#This Row],[Поддон]]*$G$3</f>
        <v>0</v>
      </c>
      <c r="K861" s="9">
        <f>SUM(Тўловлар[[#This Row],[ПР-Сумма]]+Тўловлар[[#This Row],[Накд]]+Тўловлар[[#This Row],[Клик]]+Тўловлар[[#This Row],[Терминал]])</f>
        <v>0</v>
      </c>
      <c r="N861" s="30" cm="1">
        <f t="array" ref="N861">IFERROR(LOOKUP(2,1/((Товар!$D$4:$D$1110=Тўловлар[[#This Row],[Клиент]])*(Товар!$E$4:$E$1110&lt;=Тўловлар[[#This Row],[Дата]])),Товар!$L$4:$L$1110),Кўрсаткичлар!$B$4)</f>
        <v>0</v>
      </c>
      <c r="O861" s="30">
        <f>Тўловлар[[#This Row],[Поддон]]*Тўловлар[[#This Row],[Поддон нархи]]</f>
        <v>0</v>
      </c>
      <c r="P861" s="30">
        <f>Тўловлар[[#This Row],[Жами сумма]]-Тўловлар[[#This Row],[Поддон пули]]</f>
        <v>0</v>
      </c>
      <c r="Q8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1" s="9" t="str">
        <f>IFERROR(INDEX(Мижозлар[Агент],MATCH($C861,Мижозлар[Расмий ном],0)),"")</f>
        <v/>
      </c>
    </row>
    <row r="862" spans="6:19" x14ac:dyDescent="0.2">
      <c r="F862" s="198"/>
      <c r="G862" s="9">
        <f>Тўловлар[[#This Row],[Поддон]]*$G$3</f>
        <v>0</v>
      </c>
      <c r="K862" s="9">
        <f>SUM(Тўловлар[[#This Row],[ПР-Сумма]]+Тўловлар[[#This Row],[Накд]]+Тўловлар[[#This Row],[Клик]]+Тўловлар[[#This Row],[Терминал]])</f>
        <v>0</v>
      </c>
      <c r="N862" s="30" cm="1">
        <f t="array" ref="N862">IFERROR(LOOKUP(2,1/((Товар!$D$4:$D$1110=Тўловлар[[#This Row],[Клиент]])*(Товар!$E$4:$E$1110&lt;=Тўловлар[[#This Row],[Дата]])),Товар!$L$4:$L$1110),Кўрсаткичлар!$B$4)</f>
        <v>0</v>
      </c>
      <c r="O862" s="30">
        <f>Тўловлар[[#This Row],[Поддон]]*Тўловлар[[#This Row],[Поддон нархи]]</f>
        <v>0</v>
      </c>
      <c r="P862" s="30">
        <f>Тўловлар[[#This Row],[Жами сумма]]-Тўловлар[[#This Row],[Поддон пули]]</f>
        <v>0</v>
      </c>
      <c r="Q8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2" s="9" t="str">
        <f>IFERROR(INDEX(Мижозлар[Агент],MATCH($C862,Мижозлар[Расмий ном],0)),"")</f>
        <v/>
      </c>
    </row>
    <row r="863" spans="6:19" x14ac:dyDescent="0.2">
      <c r="F863" s="198"/>
      <c r="G863" s="9">
        <f>Тўловлар[[#This Row],[Поддон]]*$G$3</f>
        <v>0</v>
      </c>
      <c r="K863" s="9">
        <f>SUM(Тўловлар[[#This Row],[ПР-Сумма]]+Тўловлар[[#This Row],[Накд]]+Тўловлар[[#This Row],[Клик]]+Тўловлар[[#This Row],[Терминал]])</f>
        <v>0</v>
      </c>
      <c r="N863" s="30" cm="1">
        <f t="array" ref="N863">IFERROR(LOOKUP(2,1/((Товар!$D$4:$D$1110=Тўловлар[[#This Row],[Клиент]])*(Товар!$E$4:$E$1110&lt;=Тўловлар[[#This Row],[Дата]])),Товар!$L$4:$L$1110),Кўрсаткичлар!$B$4)</f>
        <v>0</v>
      </c>
      <c r="O863" s="30">
        <f>Тўловлар[[#This Row],[Поддон]]*Тўловлар[[#This Row],[Поддон нархи]]</f>
        <v>0</v>
      </c>
      <c r="P863" s="30">
        <f>Тўловлар[[#This Row],[Жами сумма]]-Тўловлар[[#This Row],[Поддон пули]]</f>
        <v>0</v>
      </c>
      <c r="Q8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3" s="9" t="str">
        <f>IFERROR(INDEX(Мижозлар[Агент],MATCH($C863,Мижозлар[Расмий ном],0)),"")</f>
        <v/>
      </c>
    </row>
    <row r="864" spans="6:19" x14ac:dyDescent="0.2">
      <c r="F864" s="198"/>
      <c r="G864" s="9">
        <f>Тўловлар[[#This Row],[Поддон]]*$G$3</f>
        <v>0</v>
      </c>
      <c r="K864" s="9">
        <f>SUM(Тўловлар[[#This Row],[ПР-Сумма]]+Тўловлар[[#This Row],[Накд]]+Тўловлар[[#This Row],[Клик]]+Тўловлар[[#This Row],[Терминал]])</f>
        <v>0</v>
      </c>
      <c r="N864" s="30" cm="1">
        <f t="array" ref="N864">IFERROR(LOOKUP(2,1/((Товар!$D$4:$D$1110=Тўловлар[[#This Row],[Клиент]])*(Товар!$E$4:$E$1110&lt;=Тўловлар[[#This Row],[Дата]])),Товар!$L$4:$L$1110),Кўрсаткичлар!$B$4)</f>
        <v>0</v>
      </c>
      <c r="O864" s="30">
        <f>Тўловлар[[#This Row],[Поддон]]*Тўловлар[[#This Row],[Поддон нархи]]</f>
        <v>0</v>
      </c>
      <c r="P864" s="30">
        <f>Тўловлар[[#This Row],[Жами сумма]]-Тўловлар[[#This Row],[Поддон пули]]</f>
        <v>0</v>
      </c>
      <c r="Q8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4" s="9" t="str">
        <f>IFERROR(INDEX(Мижозлар[Агент],MATCH($C864,Мижозлар[Расмий ном],0)),"")</f>
        <v/>
      </c>
    </row>
    <row r="865" spans="6:19" x14ac:dyDescent="0.2">
      <c r="F865" s="198"/>
      <c r="G865" s="9">
        <f>Тўловлар[[#This Row],[Поддон]]*$G$3</f>
        <v>0</v>
      </c>
      <c r="K865" s="9">
        <f>SUM(Тўловлар[[#This Row],[ПР-Сумма]]+Тўловлар[[#This Row],[Накд]]+Тўловлар[[#This Row],[Клик]]+Тўловлар[[#This Row],[Терминал]])</f>
        <v>0</v>
      </c>
      <c r="N865" s="30" cm="1">
        <f t="array" ref="N865">IFERROR(LOOKUP(2,1/((Товар!$D$4:$D$1110=Тўловлар[[#This Row],[Клиент]])*(Товар!$E$4:$E$1110&lt;=Тўловлар[[#This Row],[Дата]])),Товар!$L$4:$L$1110),Кўрсаткичлар!$B$4)</f>
        <v>0</v>
      </c>
      <c r="O865" s="30">
        <f>Тўловлар[[#This Row],[Поддон]]*Тўловлар[[#This Row],[Поддон нархи]]</f>
        <v>0</v>
      </c>
      <c r="P865" s="30">
        <f>Тўловлар[[#This Row],[Жами сумма]]-Тўловлар[[#This Row],[Поддон пули]]</f>
        <v>0</v>
      </c>
      <c r="Q8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5" s="9" t="str">
        <f>IFERROR(INDEX(Мижозлар[Агент],MATCH($C865,Мижозлар[Расмий ном],0)),"")</f>
        <v/>
      </c>
    </row>
    <row r="866" spans="6:19" x14ac:dyDescent="0.2">
      <c r="F866" s="198"/>
      <c r="G866" s="9">
        <f>Тўловлар[[#This Row],[Поддон]]*$G$3</f>
        <v>0</v>
      </c>
      <c r="K866" s="9">
        <f>SUM(Тўловлар[[#This Row],[ПР-Сумма]]+Тўловлар[[#This Row],[Накд]]+Тўловлар[[#This Row],[Клик]]+Тўловлар[[#This Row],[Терминал]])</f>
        <v>0</v>
      </c>
      <c r="N866" s="30" cm="1">
        <f t="array" ref="N866">IFERROR(LOOKUP(2,1/((Товар!$D$4:$D$1110=Тўловлар[[#This Row],[Клиент]])*(Товар!$E$4:$E$1110&lt;=Тўловлар[[#This Row],[Дата]])),Товар!$L$4:$L$1110),Кўрсаткичлар!$B$4)</f>
        <v>0</v>
      </c>
      <c r="O866" s="30">
        <f>Тўловлар[[#This Row],[Поддон]]*Тўловлар[[#This Row],[Поддон нархи]]</f>
        <v>0</v>
      </c>
      <c r="P866" s="30">
        <f>Тўловлар[[#This Row],[Жами сумма]]-Тўловлар[[#This Row],[Поддон пули]]</f>
        <v>0</v>
      </c>
      <c r="Q8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6" s="9" t="str">
        <f>IFERROR(INDEX(Мижозлар[Агент],MATCH($C866,Мижозлар[Расмий ном],0)),"")</f>
        <v/>
      </c>
    </row>
    <row r="867" spans="6:19" x14ac:dyDescent="0.2">
      <c r="F867" s="198"/>
      <c r="G867" s="9">
        <f>Тўловлар[[#This Row],[Поддон]]*$G$3</f>
        <v>0</v>
      </c>
      <c r="K867" s="9">
        <f>SUM(Тўловлар[[#This Row],[ПР-Сумма]]+Тўловлар[[#This Row],[Накд]]+Тўловлар[[#This Row],[Клик]]+Тўловлар[[#This Row],[Терминал]])</f>
        <v>0</v>
      </c>
      <c r="N867" s="30" cm="1">
        <f t="array" ref="N867">IFERROR(LOOKUP(2,1/((Товар!$D$4:$D$1110=Тўловлар[[#This Row],[Клиент]])*(Товар!$E$4:$E$1110&lt;=Тўловлар[[#This Row],[Дата]])),Товар!$L$4:$L$1110),Кўрсаткичлар!$B$4)</f>
        <v>0</v>
      </c>
      <c r="O867" s="30">
        <f>Тўловлар[[#This Row],[Поддон]]*Тўловлар[[#This Row],[Поддон нархи]]</f>
        <v>0</v>
      </c>
      <c r="P867" s="30">
        <f>Тўловлар[[#This Row],[Жами сумма]]-Тўловлар[[#This Row],[Поддон пули]]</f>
        <v>0</v>
      </c>
      <c r="Q8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7" s="9" t="str">
        <f>IFERROR(INDEX(Мижозлар[Агент],MATCH($C867,Мижозлар[Расмий ном],0)),"")</f>
        <v/>
      </c>
    </row>
    <row r="868" spans="6:19" x14ac:dyDescent="0.2">
      <c r="F868" s="198"/>
      <c r="G868" s="9">
        <f>Тўловлар[[#This Row],[Поддон]]*$G$3</f>
        <v>0</v>
      </c>
      <c r="K868" s="9">
        <f>SUM(Тўловлар[[#This Row],[ПР-Сумма]]+Тўловлар[[#This Row],[Накд]]+Тўловлар[[#This Row],[Клик]]+Тўловлар[[#This Row],[Терминал]])</f>
        <v>0</v>
      </c>
      <c r="N868" s="30" cm="1">
        <f t="array" ref="N868">IFERROR(LOOKUP(2,1/((Товар!$D$4:$D$1110=Тўловлар[[#This Row],[Клиент]])*(Товар!$E$4:$E$1110&lt;=Тўловлар[[#This Row],[Дата]])),Товар!$L$4:$L$1110),Кўрсаткичлар!$B$4)</f>
        <v>0</v>
      </c>
      <c r="O868" s="30">
        <f>Тўловлар[[#This Row],[Поддон]]*Тўловлар[[#This Row],[Поддон нархи]]</f>
        <v>0</v>
      </c>
      <c r="P868" s="30">
        <f>Тўловлар[[#This Row],[Жами сумма]]-Тўловлар[[#This Row],[Поддон пули]]</f>
        <v>0</v>
      </c>
      <c r="Q8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8" s="9" t="str">
        <f>IFERROR(INDEX(Мижозлар[Агент],MATCH($C868,Мижозлар[Расмий ном],0)),"")</f>
        <v/>
      </c>
    </row>
    <row r="869" spans="6:19" x14ac:dyDescent="0.2">
      <c r="F869" s="198"/>
      <c r="G869" s="9">
        <f>Тўловлар[[#This Row],[Поддон]]*$G$3</f>
        <v>0</v>
      </c>
      <c r="K869" s="9">
        <f>SUM(Тўловлар[[#This Row],[ПР-Сумма]]+Тўловлар[[#This Row],[Накд]]+Тўловлар[[#This Row],[Клик]]+Тўловлар[[#This Row],[Терминал]])</f>
        <v>0</v>
      </c>
      <c r="N869" s="30" cm="1">
        <f t="array" ref="N869">IFERROR(LOOKUP(2,1/((Товар!$D$4:$D$1110=Тўловлар[[#This Row],[Клиент]])*(Товар!$E$4:$E$1110&lt;=Тўловлар[[#This Row],[Дата]])),Товар!$L$4:$L$1110),Кўрсаткичлар!$B$4)</f>
        <v>0</v>
      </c>
      <c r="O869" s="30">
        <f>Тўловлар[[#This Row],[Поддон]]*Тўловлар[[#This Row],[Поддон нархи]]</f>
        <v>0</v>
      </c>
      <c r="P869" s="30">
        <f>Тўловлар[[#This Row],[Жами сумма]]-Тўловлар[[#This Row],[Поддон пули]]</f>
        <v>0</v>
      </c>
      <c r="Q8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69" s="9" t="str">
        <f>IFERROR(INDEX(Мижозлар[Агент],MATCH($C869,Мижозлар[Расмий ном],0)),"")</f>
        <v/>
      </c>
    </row>
    <row r="870" spans="6:19" x14ac:dyDescent="0.2">
      <c r="F870" s="198"/>
      <c r="G870" s="9">
        <f>Тўловлар[[#This Row],[Поддон]]*$G$3</f>
        <v>0</v>
      </c>
      <c r="K870" s="9">
        <f>SUM(Тўловлар[[#This Row],[ПР-Сумма]]+Тўловлар[[#This Row],[Накд]]+Тўловлар[[#This Row],[Клик]]+Тўловлар[[#This Row],[Терминал]])</f>
        <v>0</v>
      </c>
      <c r="N870" s="30" cm="1">
        <f t="array" ref="N870">IFERROR(LOOKUP(2,1/((Товар!$D$4:$D$1110=Тўловлар[[#This Row],[Клиент]])*(Товар!$E$4:$E$1110&lt;=Тўловлар[[#This Row],[Дата]])),Товар!$L$4:$L$1110),Кўрсаткичлар!$B$4)</f>
        <v>0</v>
      </c>
      <c r="O870" s="30">
        <f>Тўловлар[[#This Row],[Поддон]]*Тўловлар[[#This Row],[Поддон нархи]]</f>
        <v>0</v>
      </c>
      <c r="P870" s="30">
        <f>Тўловлар[[#This Row],[Жами сумма]]-Тўловлар[[#This Row],[Поддон пули]]</f>
        <v>0</v>
      </c>
      <c r="Q8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0" s="9" t="str">
        <f>IFERROR(INDEX(Мижозлар[Агент],MATCH($C870,Мижозлар[Расмий ном],0)),"")</f>
        <v/>
      </c>
    </row>
    <row r="871" spans="6:19" x14ac:dyDescent="0.2">
      <c r="F871" s="198"/>
      <c r="G871" s="9">
        <f>Тўловлар[[#This Row],[Поддон]]*$G$3</f>
        <v>0</v>
      </c>
      <c r="K871" s="9">
        <f>SUM(Тўловлар[[#This Row],[ПР-Сумма]]+Тўловлар[[#This Row],[Накд]]+Тўловлар[[#This Row],[Клик]]+Тўловлар[[#This Row],[Терминал]])</f>
        <v>0</v>
      </c>
      <c r="N871" s="30" cm="1">
        <f t="array" ref="N871">IFERROR(LOOKUP(2,1/((Товар!$D$4:$D$1110=Тўловлар[[#This Row],[Клиент]])*(Товар!$E$4:$E$1110&lt;=Тўловлар[[#This Row],[Дата]])),Товар!$L$4:$L$1110),Кўрсаткичлар!$B$4)</f>
        <v>0</v>
      </c>
      <c r="O871" s="30">
        <f>Тўловлар[[#This Row],[Поддон]]*Тўловлар[[#This Row],[Поддон нархи]]</f>
        <v>0</v>
      </c>
      <c r="P871" s="30">
        <f>Тўловлар[[#This Row],[Жами сумма]]-Тўловлар[[#This Row],[Поддон пули]]</f>
        <v>0</v>
      </c>
      <c r="Q8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1" s="9" t="str">
        <f>IFERROR(INDEX(Мижозлар[Агент],MATCH($C871,Мижозлар[Расмий ном],0)),"")</f>
        <v/>
      </c>
    </row>
    <row r="872" spans="6:19" x14ac:dyDescent="0.2">
      <c r="F872" s="198"/>
      <c r="G872" s="9">
        <f>Тўловлар[[#This Row],[Поддон]]*$G$3</f>
        <v>0</v>
      </c>
      <c r="K872" s="9">
        <f>SUM(Тўловлар[[#This Row],[ПР-Сумма]]+Тўловлар[[#This Row],[Накд]]+Тўловлар[[#This Row],[Клик]]+Тўловлар[[#This Row],[Терминал]])</f>
        <v>0</v>
      </c>
      <c r="N872" s="30" cm="1">
        <f t="array" ref="N872">IFERROR(LOOKUP(2,1/((Товар!$D$4:$D$1110=Тўловлар[[#This Row],[Клиент]])*(Товар!$E$4:$E$1110&lt;=Тўловлар[[#This Row],[Дата]])),Товар!$L$4:$L$1110),Кўрсаткичлар!$B$4)</f>
        <v>0</v>
      </c>
      <c r="O872" s="30">
        <f>Тўловлар[[#This Row],[Поддон]]*Тўловлар[[#This Row],[Поддон нархи]]</f>
        <v>0</v>
      </c>
      <c r="P872" s="30">
        <f>Тўловлар[[#This Row],[Жами сумма]]-Тўловлар[[#This Row],[Поддон пули]]</f>
        <v>0</v>
      </c>
      <c r="Q8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2" s="9" t="str">
        <f>IFERROR(INDEX(Мижозлар[Агент],MATCH($C872,Мижозлар[Расмий ном],0)),"")</f>
        <v/>
      </c>
    </row>
    <row r="873" spans="6:19" x14ac:dyDescent="0.2">
      <c r="F873" s="198"/>
      <c r="G873" s="9">
        <f>Тўловлар[[#This Row],[Поддон]]*$G$3</f>
        <v>0</v>
      </c>
      <c r="K873" s="9">
        <f>SUM(Тўловлар[[#This Row],[ПР-Сумма]]+Тўловлар[[#This Row],[Накд]]+Тўловлар[[#This Row],[Клик]]+Тўловлар[[#This Row],[Терминал]])</f>
        <v>0</v>
      </c>
      <c r="N873" s="30" cm="1">
        <f t="array" ref="N873">IFERROR(LOOKUP(2,1/((Товар!$D$4:$D$1110=Тўловлар[[#This Row],[Клиент]])*(Товар!$E$4:$E$1110&lt;=Тўловлар[[#This Row],[Дата]])),Товар!$L$4:$L$1110),Кўрсаткичлар!$B$4)</f>
        <v>0</v>
      </c>
      <c r="O873" s="30">
        <f>Тўловлар[[#This Row],[Поддон]]*Тўловлар[[#This Row],[Поддон нархи]]</f>
        <v>0</v>
      </c>
      <c r="P873" s="30">
        <f>Тўловлар[[#This Row],[Жами сумма]]-Тўловлар[[#This Row],[Поддон пули]]</f>
        <v>0</v>
      </c>
      <c r="Q8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3" s="9" t="str">
        <f>IFERROR(INDEX(Мижозлар[Агент],MATCH($C873,Мижозлар[Расмий ном],0)),"")</f>
        <v/>
      </c>
    </row>
    <row r="874" spans="6:19" x14ac:dyDescent="0.2">
      <c r="F874" s="198"/>
      <c r="G874" s="9">
        <f>Тўловлар[[#This Row],[Поддон]]*$G$3</f>
        <v>0</v>
      </c>
      <c r="K874" s="9">
        <f>SUM(Тўловлар[[#This Row],[ПР-Сумма]]+Тўловлар[[#This Row],[Накд]]+Тўловлар[[#This Row],[Клик]]+Тўловлар[[#This Row],[Терминал]])</f>
        <v>0</v>
      </c>
      <c r="N874" s="30" cm="1">
        <f t="array" ref="N874">IFERROR(LOOKUP(2,1/((Товар!$D$4:$D$1110=Тўловлар[[#This Row],[Клиент]])*(Товар!$E$4:$E$1110&lt;=Тўловлар[[#This Row],[Дата]])),Товар!$L$4:$L$1110),Кўрсаткичлар!$B$4)</f>
        <v>0</v>
      </c>
      <c r="O874" s="30">
        <f>Тўловлар[[#This Row],[Поддон]]*Тўловлар[[#This Row],[Поддон нархи]]</f>
        <v>0</v>
      </c>
      <c r="P874" s="30">
        <f>Тўловлар[[#This Row],[Жами сумма]]-Тўловлар[[#This Row],[Поддон пули]]</f>
        <v>0</v>
      </c>
      <c r="Q8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4" s="9" t="str">
        <f>IFERROR(INDEX(Мижозлар[Агент],MATCH($C874,Мижозлар[Расмий ном],0)),"")</f>
        <v/>
      </c>
    </row>
    <row r="875" spans="6:19" x14ac:dyDescent="0.2">
      <c r="F875" s="198"/>
      <c r="G875" s="9">
        <f>Тўловлар[[#This Row],[Поддон]]*$G$3</f>
        <v>0</v>
      </c>
      <c r="K875" s="9">
        <f>SUM(Тўловлар[[#This Row],[ПР-Сумма]]+Тўловлар[[#This Row],[Накд]]+Тўловлар[[#This Row],[Клик]]+Тўловлар[[#This Row],[Терминал]])</f>
        <v>0</v>
      </c>
      <c r="N875" s="30" cm="1">
        <f t="array" ref="N875">IFERROR(LOOKUP(2,1/((Товар!$D$4:$D$1110=Тўловлар[[#This Row],[Клиент]])*(Товар!$E$4:$E$1110&lt;=Тўловлар[[#This Row],[Дата]])),Товар!$L$4:$L$1110),Кўрсаткичлар!$B$4)</f>
        <v>0</v>
      </c>
      <c r="O875" s="30">
        <f>Тўловлар[[#This Row],[Поддон]]*Тўловлар[[#This Row],[Поддон нархи]]</f>
        <v>0</v>
      </c>
      <c r="P875" s="30">
        <f>Тўловлар[[#This Row],[Жами сумма]]-Тўловлар[[#This Row],[Поддон пули]]</f>
        <v>0</v>
      </c>
      <c r="Q8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5" s="9" t="str">
        <f>IFERROR(INDEX(Мижозлар[Агент],MATCH($C875,Мижозлар[Расмий ном],0)),"")</f>
        <v/>
      </c>
    </row>
    <row r="876" spans="6:19" x14ac:dyDescent="0.2">
      <c r="F876" s="198"/>
      <c r="G876" s="9">
        <f>Тўловлар[[#This Row],[Поддон]]*$G$3</f>
        <v>0</v>
      </c>
      <c r="K876" s="9">
        <f>SUM(Тўловлар[[#This Row],[ПР-Сумма]]+Тўловлар[[#This Row],[Накд]]+Тўловлар[[#This Row],[Клик]]+Тўловлар[[#This Row],[Терминал]])</f>
        <v>0</v>
      </c>
      <c r="N876" s="30" cm="1">
        <f t="array" ref="N876">IFERROR(LOOKUP(2,1/((Товар!$D$4:$D$1110=Тўловлар[[#This Row],[Клиент]])*(Товар!$E$4:$E$1110&lt;=Тўловлар[[#This Row],[Дата]])),Товар!$L$4:$L$1110),Кўрсаткичлар!$B$4)</f>
        <v>0</v>
      </c>
      <c r="O876" s="30">
        <f>Тўловлар[[#This Row],[Поддон]]*Тўловлар[[#This Row],[Поддон нархи]]</f>
        <v>0</v>
      </c>
      <c r="P876" s="30">
        <f>Тўловлар[[#This Row],[Жами сумма]]-Тўловлар[[#This Row],[Поддон пули]]</f>
        <v>0</v>
      </c>
      <c r="Q8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6" s="9" t="str">
        <f>IFERROR(INDEX(Мижозлар[Агент],MATCH($C876,Мижозлар[Расмий ном],0)),"")</f>
        <v/>
      </c>
    </row>
    <row r="877" spans="6:19" x14ac:dyDescent="0.2">
      <c r="F877" s="198"/>
      <c r="G877" s="9">
        <f>Тўловлар[[#This Row],[Поддон]]*$G$3</f>
        <v>0</v>
      </c>
      <c r="K877" s="9">
        <f>SUM(Тўловлар[[#This Row],[ПР-Сумма]]+Тўловлар[[#This Row],[Накд]]+Тўловлар[[#This Row],[Клик]]+Тўловлар[[#This Row],[Терминал]])</f>
        <v>0</v>
      </c>
      <c r="N877" s="30" cm="1">
        <f t="array" ref="N877">IFERROR(LOOKUP(2,1/((Товар!$D$4:$D$1110=Тўловлар[[#This Row],[Клиент]])*(Товар!$E$4:$E$1110&lt;=Тўловлар[[#This Row],[Дата]])),Товар!$L$4:$L$1110),Кўрсаткичлар!$B$4)</f>
        <v>0</v>
      </c>
      <c r="O877" s="30">
        <f>Тўловлар[[#This Row],[Поддон]]*Тўловлар[[#This Row],[Поддон нархи]]</f>
        <v>0</v>
      </c>
      <c r="P877" s="30">
        <f>Тўловлар[[#This Row],[Жами сумма]]-Тўловлар[[#This Row],[Поддон пули]]</f>
        <v>0</v>
      </c>
      <c r="Q8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7" s="9" t="str">
        <f>IFERROR(INDEX(Мижозлар[Агент],MATCH($C877,Мижозлар[Расмий ном],0)),"")</f>
        <v/>
      </c>
    </row>
    <row r="878" spans="6:19" x14ac:dyDescent="0.2">
      <c r="F878" s="198"/>
      <c r="G878" s="9">
        <f>Тўловлар[[#This Row],[Поддон]]*$G$3</f>
        <v>0</v>
      </c>
      <c r="K878" s="9">
        <f>SUM(Тўловлар[[#This Row],[ПР-Сумма]]+Тўловлар[[#This Row],[Накд]]+Тўловлар[[#This Row],[Клик]]+Тўловлар[[#This Row],[Терминал]])</f>
        <v>0</v>
      </c>
      <c r="N878" s="30" cm="1">
        <f t="array" ref="N878">IFERROR(LOOKUP(2,1/((Товар!$D$4:$D$1110=Тўловлар[[#This Row],[Клиент]])*(Товар!$E$4:$E$1110&lt;=Тўловлар[[#This Row],[Дата]])),Товар!$L$4:$L$1110),Кўрсаткичлар!$B$4)</f>
        <v>0</v>
      </c>
      <c r="O878" s="30">
        <f>Тўловлар[[#This Row],[Поддон]]*Тўловлар[[#This Row],[Поддон нархи]]</f>
        <v>0</v>
      </c>
      <c r="P878" s="30">
        <f>Тўловлар[[#This Row],[Жами сумма]]-Тўловлар[[#This Row],[Поддон пули]]</f>
        <v>0</v>
      </c>
      <c r="Q8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8" s="9" t="str">
        <f>IFERROR(INDEX(Мижозлар[Агент],MATCH($C878,Мижозлар[Расмий ном],0)),"")</f>
        <v/>
      </c>
    </row>
    <row r="879" spans="6:19" x14ac:dyDescent="0.2">
      <c r="F879" s="198"/>
      <c r="G879" s="9">
        <f>Тўловлар[[#This Row],[Поддон]]*$G$3</f>
        <v>0</v>
      </c>
      <c r="K879" s="9">
        <f>SUM(Тўловлар[[#This Row],[ПР-Сумма]]+Тўловлар[[#This Row],[Накд]]+Тўловлар[[#This Row],[Клик]]+Тўловлар[[#This Row],[Терминал]])</f>
        <v>0</v>
      </c>
      <c r="N879" s="30" cm="1">
        <f t="array" ref="N879">IFERROR(LOOKUP(2,1/((Товар!$D$4:$D$1110=Тўловлар[[#This Row],[Клиент]])*(Товар!$E$4:$E$1110&lt;=Тўловлар[[#This Row],[Дата]])),Товар!$L$4:$L$1110),Кўрсаткичлар!$B$4)</f>
        <v>0</v>
      </c>
      <c r="O879" s="30">
        <f>Тўловлар[[#This Row],[Поддон]]*Тўловлар[[#This Row],[Поддон нархи]]</f>
        <v>0</v>
      </c>
      <c r="P879" s="30">
        <f>Тўловлар[[#This Row],[Жами сумма]]-Тўловлар[[#This Row],[Поддон пули]]</f>
        <v>0</v>
      </c>
      <c r="Q8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79" s="9" t="str">
        <f>IFERROR(INDEX(Мижозлар[Агент],MATCH($C879,Мижозлар[Расмий ном],0)),"")</f>
        <v/>
      </c>
    </row>
    <row r="880" spans="6:19" x14ac:dyDescent="0.2">
      <c r="F880" s="198"/>
      <c r="G880" s="9">
        <f>Тўловлар[[#This Row],[Поддон]]*$G$3</f>
        <v>0</v>
      </c>
      <c r="K880" s="9">
        <f>SUM(Тўловлар[[#This Row],[ПР-Сумма]]+Тўловлар[[#This Row],[Накд]]+Тўловлар[[#This Row],[Клик]]+Тўловлар[[#This Row],[Терминал]])</f>
        <v>0</v>
      </c>
      <c r="N880" s="30" cm="1">
        <f t="array" ref="N880">IFERROR(LOOKUP(2,1/((Товар!$D$4:$D$1110=Тўловлар[[#This Row],[Клиент]])*(Товар!$E$4:$E$1110&lt;=Тўловлар[[#This Row],[Дата]])),Товар!$L$4:$L$1110),Кўрсаткичлар!$B$4)</f>
        <v>0</v>
      </c>
      <c r="O880" s="30">
        <f>Тўловлар[[#This Row],[Поддон]]*Тўловлар[[#This Row],[Поддон нархи]]</f>
        <v>0</v>
      </c>
      <c r="P880" s="30">
        <f>Тўловлар[[#This Row],[Жами сумма]]-Тўловлар[[#This Row],[Поддон пули]]</f>
        <v>0</v>
      </c>
      <c r="Q8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0" s="9" t="str">
        <f>IFERROR(INDEX(Мижозлар[Агент],MATCH($C880,Мижозлар[Расмий ном],0)),"")</f>
        <v/>
      </c>
    </row>
    <row r="881" spans="6:19" x14ac:dyDescent="0.2">
      <c r="F881" s="198"/>
      <c r="G881" s="9">
        <f>Тўловлар[[#This Row],[Поддон]]*$G$3</f>
        <v>0</v>
      </c>
      <c r="K881" s="9">
        <f>SUM(Тўловлар[[#This Row],[ПР-Сумма]]+Тўловлар[[#This Row],[Накд]]+Тўловлар[[#This Row],[Клик]]+Тўловлар[[#This Row],[Терминал]])</f>
        <v>0</v>
      </c>
      <c r="N881" s="30" cm="1">
        <f t="array" ref="N881">IFERROR(LOOKUP(2,1/((Товар!$D$4:$D$1110=Тўловлар[[#This Row],[Клиент]])*(Товар!$E$4:$E$1110&lt;=Тўловлар[[#This Row],[Дата]])),Товар!$L$4:$L$1110),Кўрсаткичлар!$B$4)</f>
        <v>0</v>
      </c>
      <c r="O881" s="30">
        <f>Тўловлар[[#This Row],[Поддон]]*Тўловлар[[#This Row],[Поддон нархи]]</f>
        <v>0</v>
      </c>
      <c r="P881" s="30">
        <f>Тўловлар[[#This Row],[Жами сумма]]-Тўловлар[[#This Row],[Поддон пули]]</f>
        <v>0</v>
      </c>
      <c r="Q8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1" s="9" t="str">
        <f>IFERROR(INDEX(Мижозлар[Агент],MATCH($C881,Мижозлар[Расмий ном],0)),"")</f>
        <v/>
      </c>
    </row>
    <row r="882" spans="6:19" x14ac:dyDescent="0.2">
      <c r="F882" s="198"/>
      <c r="G882" s="9">
        <f>Тўловлар[[#This Row],[Поддон]]*$G$3</f>
        <v>0</v>
      </c>
      <c r="K882" s="9">
        <f>SUM(Тўловлар[[#This Row],[ПР-Сумма]]+Тўловлар[[#This Row],[Накд]]+Тўловлар[[#This Row],[Клик]]+Тўловлар[[#This Row],[Терминал]])</f>
        <v>0</v>
      </c>
      <c r="N882" s="30" cm="1">
        <f t="array" ref="N882">IFERROR(LOOKUP(2,1/((Товар!$D$4:$D$1110=Тўловлар[[#This Row],[Клиент]])*(Товар!$E$4:$E$1110&lt;=Тўловлар[[#This Row],[Дата]])),Товар!$L$4:$L$1110),Кўрсаткичлар!$B$4)</f>
        <v>0</v>
      </c>
      <c r="O882" s="30">
        <f>Тўловлар[[#This Row],[Поддон]]*Тўловлар[[#This Row],[Поддон нархи]]</f>
        <v>0</v>
      </c>
      <c r="P882" s="30">
        <f>Тўловлар[[#This Row],[Жами сумма]]-Тўловлар[[#This Row],[Поддон пули]]</f>
        <v>0</v>
      </c>
      <c r="Q8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2" s="9" t="str">
        <f>IFERROR(INDEX(Мижозлар[Агент],MATCH($C882,Мижозлар[Расмий ном],0)),"")</f>
        <v/>
      </c>
    </row>
    <row r="883" spans="6:19" x14ac:dyDescent="0.2">
      <c r="F883" s="198"/>
      <c r="G883" s="9">
        <f>Тўловлар[[#This Row],[Поддон]]*$G$3</f>
        <v>0</v>
      </c>
      <c r="K883" s="9">
        <f>SUM(Тўловлар[[#This Row],[ПР-Сумма]]+Тўловлар[[#This Row],[Накд]]+Тўловлар[[#This Row],[Клик]]+Тўловлар[[#This Row],[Терминал]])</f>
        <v>0</v>
      </c>
      <c r="N883" s="30" cm="1">
        <f t="array" ref="N883">IFERROR(LOOKUP(2,1/((Товар!$D$4:$D$1110=Тўловлар[[#This Row],[Клиент]])*(Товар!$E$4:$E$1110&lt;=Тўловлар[[#This Row],[Дата]])),Товар!$L$4:$L$1110),Кўрсаткичлар!$B$4)</f>
        <v>0</v>
      </c>
      <c r="O883" s="30">
        <f>Тўловлар[[#This Row],[Поддон]]*Тўловлар[[#This Row],[Поддон нархи]]</f>
        <v>0</v>
      </c>
      <c r="P883" s="30">
        <f>Тўловлар[[#This Row],[Жами сумма]]-Тўловлар[[#This Row],[Поддон пули]]</f>
        <v>0</v>
      </c>
      <c r="Q8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3" s="9" t="str">
        <f>IFERROR(INDEX(Мижозлар[Агент],MATCH($C883,Мижозлар[Расмий ном],0)),"")</f>
        <v/>
      </c>
    </row>
    <row r="884" spans="6:19" x14ac:dyDescent="0.2">
      <c r="F884" s="198"/>
      <c r="G884" s="9">
        <f>Тўловлар[[#This Row],[Поддон]]*$G$3</f>
        <v>0</v>
      </c>
      <c r="K884" s="9">
        <f>SUM(Тўловлар[[#This Row],[ПР-Сумма]]+Тўловлар[[#This Row],[Накд]]+Тўловлар[[#This Row],[Клик]]+Тўловлар[[#This Row],[Терминал]])</f>
        <v>0</v>
      </c>
      <c r="N884" s="30" cm="1">
        <f t="array" ref="N884">IFERROR(LOOKUP(2,1/((Товар!$D$4:$D$1110=Тўловлар[[#This Row],[Клиент]])*(Товар!$E$4:$E$1110&lt;=Тўловлар[[#This Row],[Дата]])),Товар!$L$4:$L$1110),Кўрсаткичлар!$B$4)</f>
        <v>0</v>
      </c>
      <c r="O884" s="30">
        <f>Тўловлар[[#This Row],[Поддон]]*Тўловлар[[#This Row],[Поддон нархи]]</f>
        <v>0</v>
      </c>
      <c r="P884" s="30">
        <f>Тўловлар[[#This Row],[Жами сумма]]-Тўловлар[[#This Row],[Поддон пули]]</f>
        <v>0</v>
      </c>
      <c r="Q8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4" s="9" t="str">
        <f>IFERROR(INDEX(Мижозлар[Агент],MATCH($C884,Мижозлар[Расмий ном],0)),"")</f>
        <v/>
      </c>
    </row>
    <row r="885" spans="6:19" x14ac:dyDescent="0.2">
      <c r="F885" s="198"/>
      <c r="G885" s="9">
        <f>Тўловлар[[#This Row],[Поддон]]*$G$3</f>
        <v>0</v>
      </c>
      <c r="K885" s="9">
        <f>SUM(Тўловлар[[#This Row],[ПР-Сумма]]+Тўловлар[[#This Row],[Накд]]+Тўловлар[[#This Row],[Клик]]+Тўловлар[[#This Row],[Терминал]])</f>
        <v>0</v>
      </c>
      <c r="N885" s="30" cm="1">
        <f t="array" ref="N885">IFERROR(LOOKUP(2,1/((Товар!$D$4:$D$1110=Тўловлар[[#This Row],[Клиент]])*(Товар!$E$4:$E$1110&lt;=Тўловлар[[#This Row],[Дата]])),Товар!$L$4:$L$1110),Кўрсаткичлар!$B$4)</f>
        <v>0</v>
      </c>
      <c r="O885" s="30">
        <f>Тўловлар[[#This Row],[Поддон]]*Тўловлар[[#This Row],[Поддон нархи]]</f>
        <v>0</v>
      </c>
      <c r="P885" s="30">
        <f>Тўловлар[[#This Row],[Жами сумма]]-Тўловлар[[#This Row],[Поддон пули]]</f>
        <v>0</v>
      </c>
      <c r="Q8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5" s="9" t="str">
        <f>IFERROR(INDEX(Мижозлар[Агент],MATCH($C885,Мижозлар[Расмий ном],0)),"")</f>
        <v/>
      </c>
    </row>
    <row r="886" spans="6:19" x14ac:dyDescent="0.2">
      <c r="F886" s="198"/>
      <c r="G886" s="9">
        <f>Тўловлар[[#This Row],[Поддон]]*$G$3</f>
        <v>0</v>
      </c>
      <c r="K886" s="9">
        <f>SUM(Тўловлар[[#This Row],[ПР-Сумма]]+Тўловлар[[#This Row],[Накд]]+Тўловлар[[#This Row],[Клик]]+Тўловлар[[#This Row],[Терминал]])</f>
        <v>0</v>
      </c>
      <c r="N886" s="30" cm="1">
        <f t="array" ref="N886">IFERROR(LOOKUP(2,1/((Товар!$D$4:$D$1110=Тўловлар[[#This Row],[Клиент]])*(Товар!$E$4:$E$1110&lt;=Тўловлар[[#This Row],[Дата]])),Товар!$L$4:$L$1110),Кўрсаткичлар!$B$4)</f>
        <v>0</v>
      </c>
      <c r="O886" s="30">
        <f>Тўловлар[[#This Row],[Поддон]]*Тўловлар[[#This Row],[Поддон нархи]]</f>
        <v>0</v>
      </c>
      <c r="P886" s="30">
        <f>Тўловлар[[#This Row],[Жами сумма]]-Тўловлар[[#This Row],[Поддон пули]]</f>
        <v>0</v>
      </c>
      <c r="Q8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6" s="9" t="str">
        <f>IFERROR(INDEX(Мижозлар[Агент],MATCH($C886,Мижозлар[Расмий ном],0)),"")</f>
        <v/>
      </c>
    </row>
    <row r="887" spans="6:19" x14ac:dyDescent="0.2">
      <c r="F887" s="198"/>
      <c r="G887" s="9">
        <f>Тўловлар[[#This Row],[Поддон]]*$G$3</f>
        <v>0</v>
      </c>
      <c r="K887" s="9">
        <f>SUM(Тўловлар[[#This Row],[ПР-Сумма]]+Тўловлар[[#This Row],[Накд]]+Тўловлар[[#This Row],[Клик]]+Тўловлар[[#This Row],[Терминал]])</f>
        <v>0</v>
      </c>
      <c r="N887" s="30" cm="1">
        <f t="array" ref="N887">IFERROR(LOOKUP(2,1/((Товар!$D$4:$D$1110=Тўловлар[[#This Row],[Клиент]])*(Товар!$E$4:$E$1110&lt;=Тўловлар[[#This Row],[Дата]])),Товар!$L$4:$L$1110),Кўрсаткичлар!$B$4)</f>
        <v>0</v>
      </c>
      <c r="O887" s="30">
        <f>Тўловлар[[#This Row],[Поддон]]*Тўловлар[[#This Row],[Поддон нархи]]</f>
        <v>0</v>
      </c>
      <c r="P887" s="30">
        <f>Тўловлар[[#This Row],[Жами сумма]]-Тўловлар[[#This Row],[Поддон пули]]</f>
        <v>0</v>
      </c>
      <c r="Q8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7" s="9" t="str">
        <f>IFERROR(INDEX(Мижозлар[Агент],MATCH($C887,Мижозлар[Расмий ном],0)),"")</f>
        <v/>
      </c>
    </row>
    <row r="888" spans="6:19" x14ac:dyDescent="0.2">
      <c r="F888" s="198"/>
      <c r="G888" s="9">
        <f>Тўловлар[[#This Row],[Поддон]]*$G$3</f>
        <v>0</v>
      </c>
      <c r="K888" s="9">
        <f>SUM(Тўловлар[[#This Row],[ПР-Сумма]]+Тўловлар[[#This Row],[Накд]]+Тўловлар[[#This Row],[Клик]]+Тўловлар[[#This Row],[Терминал]])</f>
        <v>0</v>
      </c>
      <c r="N888" s="30" cm="1">
        <f t="array" ref="N888">IFERROR(LOOKUP(2,1/((Товар!$D$4:$D$1110=Тўловлар[[#This Row],[Клиент]])*(Товар!$E$4:$E$1110&lt;=Тўловлар[[#This Row],[Дата]])),Товар!$L$4:$L$1110),Кўрсаткичлар!$B$4)</f>
        <v>0</v>
      </c>
      <c r="O888" s="30">
        <f>Тўловлар[[#This Row],[Поддон]]*Тўловлар[[#This Row],[Поддон нархи]]</f>
        <v>0</v>
      </c>
      <c r="P888" s="30">
        <f>Тўловлар[[#This Row],[Жами сумма]]-Тўловлар[[#This Row],[Поддон пули]]</f>
        <v>0</v>
      </c>
      <c r="Q8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8" s="9" t="str">
        <f>IFERROR(INDEX(Мижозлар[Агент],MATCH($C888,Мижозлар[Расмий ном],0)),"")</f>
        <v/>
      </c>
    </row>
    <row r="889" spans="6:19" x14ac:dyDescent="0.2">
      <c r="F889" s="198"/>
      <c r="G889" s="9">
        <f>Тўловлар[[#This Row],[Поддон]]*$G$3</f>
        <v>0</v>
      </c>
      <c r="K889" s="9">
        <f>SUM(Тўловлар[[#This Row],[ПР-Сумма]]+Тўловлар[[#This Row],[Накд]]+Тўловлар[[#This Row],[Клик]]+Тўловлар[[#This Row],[Терминал]])</f>
        <v>0</v>
      </c>
      <c r="N889" s="30" cm="1">
        <f t="array" ref="N889">IFERROR(LOOKUP(2,1/((Товар!$D$4:$D$1110=Тўловлар[[#This Row],[Клиент]])*(Товар!$E$4:$E$1110&lt;=Тўловлар[[#This Row],[Дата]])),Товар!$L$4:$L$1110),Кўрсаткичлар!$B$4)</f>
        <v>0</v>
      </c>
      <c r="O889" s="30">
        <f>Тўловлар[[#This Row],[Поддон]]*Тўловлар[[#This Row],[Поддон нархи]]</f>
        <v>0</v>
      </c>
      <c r="P889" s="30">
        <f>Тўловлар[[#This Row],[Жами сумма]]-Тўловлар[[#This Row],[Поддон пули]]</f>
        <v>0</v>
      </c>
      <c r="Q8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89" s="9" t="str">
        <f>IFERROR(INDEX(Мижозлар[Агент],MATCH($C889,Мижозлар[Расмий ном],0)),"")</f>
        <v/>
      </c>
    </row>
    <row r="890" spans="6:19" x14ac:dyDescent="0.2">
      <c r="F890" s="198"/>
      <c r="G890" s="9">
        <f>Тўловлар[[#This Row],[Поддон]]*$G$3</f>
        <v>0</v>
      </c>
      <c r="K890" s="9">
        <f>SUM(Тўловлар[[#This Row],[ПР-Сумма]]+Тўловлар[[#This Row],[Накд]]+Тўловлар[[#This Row],[Клик]]+Тўловлар[[#This Row],[Терминал]])</f>
        <v>0</v>
      </c>
      <c r="N890" s="30" cm="1">
        <f t="array" ref="N890">IFERROR(LOOKUP(2,1/((Товар!$D$4:$D$1110=Тўловлар[[#This Row],[Клиент]])*(Товар!$E$4:$E$1110&lt;=Тўловлар[[#This Row],[Дата]])),Товар!$L$4:$L$1110),Кўрсаткичлар!$B$4)</f>
        <v>0</v>
      </c>
      <c r="O890" s="30">
        <f>Тўловлар[[#This Row],[Поддон]]*Тўловлар[[#This Row],[Поддон нархи]]</f>
        <v>0</v>
      </c>
      <c r="P890" s="30">
        <f>Тўловлар[[#This Row],[Жами сумма]]-Тўловлар[[#This Row],[Поддон пули]]</f>
        <v>0</v>
      </c>
      <c r="Q8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0" s="9" t="str">
        <f>IFERROR(INDEX(Мижозлар[Агент],MATCH($C890,Мижозлар[Расмий ном],0)),"")</f>
        <v/>
      </c>
    </row>
    <row r="891" spans="6:19" x14ac:dyDescent="0.2">
      <c r="F891" s="198"/>
      <c r="G891" s="9">
        <f>Тўловлар[[#This Row],[Поддон]]*$G$3</f>
        <v>0</v>
      </c>
      <c r="K891" s="9">
        <f>SUM(Тўловлар[[#This Row],[ПР-Сумма]]+Тўловлар[[#This Row],[Накд]]+Тўловлар[[#This Row],[Клик]]+Тўловлар[[#This Row],[Терминал]])</f>
        <v>0</v>
      </c>
      <c r="N891" s="30" cm="1">
        <f t="array" ref="N891">IFERROR(LOOKUP(2,1/((Товар!$D$4:$D$1110=Тўловлар[[#This Row],[Клиент]])*(Товар!$E$4:$E$1110&lt;=Тўловлар[[#This Row],[Дата]])),Товар!$L$4:$L$1110),Кўрсаткичлар!$B$4)</f>
        <v>0</v>
      </c>
      <c r="O891" s="30">
        <f>Тўловлар[[#This Row],[Поддон]]*Тўловлар[[#This Row],[Поддон нархи]]</f>
        <v>0</v>
      </c>
      <c r="P891" s="30">
        <f>Тўловлар[[#This Row],[Жами сумма]]-Тўловлар[[#This Row],[Поддон пули]]</f>
        <v>0</v>
      </c>
      <c r="Q8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1" s="9" t="str">
        <f>IFERROR(INDEX(Мижозлар[Агент],MATCH($C891,Мижозлар[Расмий ном],0)),"")</f>
        <v/>
      </c>
    </row>
    <row r="892" spans="6:19" x14ac:dyDescent="0.2">
      <c r="F892" s="198"/>
      <c r="G892" s="9">
        <f>Тўловлар[[#This Row],[Поддон]]*$G$3</f>
        <v>0</v>
      </c>
      <c r="K892" s="9">
        <f>SUM(Тўловлар[[#This Row],[ПР-Сумма]]+Тўловлар[[#This Row],[Накд]]+Тўловлар[[#This Row],[Клик]]+Тўловлар[[#This Row],[Терминал]])</f>
        <v>0</v>
      </c>
      <c r="N892" s="30" cm="1">
        <f t="array" ref="N892">IFERROR(LOOKUP(2,1/((Товар!$D$4:$D$1110=Тўловлар[[#This Row],[Клиент]])*(Товар!$E$4:$E$1110&lt;=Тўловлар[[#This Row],[Дата]])),Товар!$L$4:$L$1110),Кўрсаткичлар!$B$4)</f>
        <v>0</v>
      </c>
      <c r="O892" s="30">
        <f>Тўловлар[[#This Row],[Поддон]]*Тўловлар[[#This Row],[Поддон нархи]]</f>
        <v>0</v>
      </c>
      <c r="P892" s="30">
        <f>Тўловлар[[#This Row],[Жами сумма]]-Тўловлар[[#This Row],[Поддон пули]]</f>
        <v>0</v>
      </c>
      <c r="Q8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2" s="9" t="str">
        <f>IFERROR(INDEX(Мижозлар[Агент],MATCH($C892,Мижозлар[Расмий ном],0)),"")</f>
        <v/>
      </c>
    </row>
    <row r="893" spans="6:19" x14ac:dyDescent="0.2">
      <c r="F893" s="198"/>
      <c r="G893" s="9">
        <f>Тўловлар[[#This Row],[Поддон]]*$G$3</f>
        <v>0</v>
      </c>
      <c r="K893" s="9">
        <f>SUM(Тўловлар[[#This Row],[ПР-Сумма]]+Тўловлар[[#This Row],[Накд]]+Тўловлар[[#This Row],[Клик]]+Тўловлар[[#This Row],[Терминал]])</f>
        <v>0</v>
      </c>
      <c r="N893" s="30" cm="1">
        <f t="array" ref="N893">IFERROR(LOOKUP(2,1/((Товар!$D$4:$D$1110=Тўловлар[[#This Row],[Клиент]])*(Товар!$E$4:$E$1110&lt;=Тўловлар[[#This Row],[Дата]])),Товар!$L$4:$L$1110),Кўрсаткичлар!$B$4)</f>
        <v>0</v>
      </c>
      <c r="O893" s="30">
        <f>Тўловлар[[#This Row],[Поддон]]*Тўловлар[[#This Row],[Поддон нархи]]</f>
        <v>0</v>
      </c>
      <c r="P893" s="30">
        <f>Тўловлар[[#This Row],[Жами сумма]]-Тўловлар[[#This Row],[Поддон пули]]</f>
        <v>0</v>
      </c>
      <c r="Q8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3" s="9" t="str">
        <f>IFERROR(INDEX(Мижозлар[Агент],MATCH($C893,Мижозлар[Расмий ном],0)),"")</f>
        <v/>
      </c>
    </row>
    <row r="894" spans="6:19" x14ac:dyDescent="0.2">
      <c r="F894" s="198"/>
      <c r="G894" s="9">
        <f>Тўловлар[[#This Row],[Поддон]]*$G$3</f>
        <v>0</v>
      </c>
      <c r="K894" s="9">
        <f>SUM(Тўловлар[[#This Row],[ПР-Сумма]]+Тўловлар[[#This Row],[Накд]]+Тўловлар[[#This Row],[Клик]]+Тўловлар[[#This Row],[Терминал]])</f>
        <v>0</v>
      </c>
      <c r="N894" s="30" cm="1">
        <f t="array" ref="N894">IFERROR(LOOKUP(2,1/((Товар!$D$4:$D$1110=Тўловлар[[#This Row],[Клиент]])*(Товар!$E$4:$E$1110&lt;=Тўловлар[[#This Row],[Дата]])),Товар!$L$4:$L$1110),Кўрсаткичлар!$B$4)</f>
        <v>0</v>
      </c>
      <c r="O894" s="30">
        <f>Тўловлар[[#This Row],[Поддон]]*Тўловлар[[#This Row],[Поддон нархи]]</f>
        <v>0</v>
      </c>
      <c r="P894" s="30">
        <f>Тўловлар[[#This Row],[Жами сумма]]-Тўловлар[[#This Row],[Поддон пули]]</f>
        <v>0</v>
      </c>
      <c r="Q8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4" s="9" t="str">
        <f>IFERROR(INDEX(Мижозлар[Агент],MATCH($C894,Мижозлар[Расмий ном],0)),"")</f>
        <v/>
      </c>
    </row>
    <row r="895" spans="6:19" x14ac:dyDescent="0.2">
      <c r="F895" s="198"/>
      <c r="G895" s="9">
        <f>Тўловлар[[#This Row],[Поддон]]*$G$3</f>
        <v>0</v>
      </c>
      <c r="K895" s="9">
        <f>SUM(Тўловлар[[#This Row],[ПР-Сумма]]+Тўловлар[[#This Row],[Накд]]+Тўловлар[[#This Row],[Клик]]+Тўловлар[[#This Row],[Терминал]])</f>
        <v>0</v>
      </c>
      <c r="N895" s="30" cm="1">
        <f t="array" ref="N895">IFERROR(LOOKUP(2,1/((Товар!$D$4:$D$1110=Тўловлар[[#This Row],[Клиент]])*(Товар!$E$4:$E$1110&lt;=Тўловлар[[#This Row],[Дата]])),Товар!$L$4:$L$1110),Кўрсаткичлар!$B$4)</f>
        <v>0</v>
      </c>
      <c r="O895" s="30">
        <f>Тўловлар[[#This Row],[Поддон]]*Тўловлар[[#This Row],[Поддон нархи]]</f>
        <v>0</v>
      </c>
      <c r="P895" s="30">
        <f>Тўловлар[[#This Row],[Жами сумма]]-Тўловлар[[#This Row],[Поддон пули]]</f>
        <v>0</v>
      </c>
      <c r="Q8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5" s="9" t="str">
        <f>IFERROR(INDEX(Мижозлар[Агент],MATCH($C895,Мижозлар[Расмий ном],0)),"")</f>
        <v/>
      </c>
    </row>
    <row r="896" spans="6:19" x14ac:dyDescent="0.2">
      <c r="F896" s="198"/>
      <c r="G896" s="9">
        <f>Тўловлар[[#This Row],[Поддон]]*$G$3</f>
        <v>0</v>
      </c>
      <c r="K896" s="9">
        <f>SUM(Тўловлар[[#This Row],[ПР-Сумма]]+Тўловлар[[#This Row],[Накд]]+Тўловлар[[#This Row],[Клик]]+Тўловлар[[#This Row],[Терминал]])</f>
        <v>0</v>
      </c>
      <c r="N896" s="30" cm="1">
        <f t="array" ref="N896">IFERROR(LOOKUP(2,1/((Товар!$D$4:$D$1110=Тўловлар[[#This Row],[Клиент]])*(Товар!$E$4:$E$1110&lt;=Тўловлар[[#This Row],[Дата]])),Товар!$L$4:$L$1110),Кўрсаткичлар!$B$4)</f>
        <v>0</v>
      </c>
      <c r="O896" s="30">
        <f>Тўловлар[[#This Row],[Поддон]]*Тўловлар[[#This Row],[Поддон нархи]]</f>
        <v>0</v>
      </c>
      <c r="P896" s="30">
        <f>Тўловлар[[#This Row],[Жами сумма]]-Тўловлар[[#This Row],[Поддон пули]]</f>
        <v>0</v>
      </c>
      <c r="Q8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6" s="9" t="str">
        <f>IFERROR(INDEX(Мижозлар[Агент],MATCH($C896,Мижозлар[Расмий ном],0)),"")</f>
        <v/>
      </c>
    </row>
    <row r="897" spans="6:19" x14ac:dyDescent="0.2">
      <c r="F897" s="198"/>
      <c r="G897" s="9">
        <f>Тўловлар[[#This Row],[Поддон]]*$G$3</f>
        <v>0</v>
      </c>
      <c r="K897" s="9">
        <f>SUM(Тўловлар[[#This Row],[ПР-Сумма]]+Тўловлар[[#This Row],[Накд]]+Тўловлар[[#This Row],[Клик]]+Тўловлар[[#This Row],[Терминал]])</f>
        <v>0</v>
      </c>
      <c r="N897" s="30" cm="1">
        <f t="array" ref="N897">IFERROR(LOOKUP(2,1/((Товар!$D$4:$D$1110=Тўловлар[[#This Row],[Клиент]])*(Товар!$E$4:$E$1110&lt;=Тўловлар[[#This Row],[Дата]])),Товар!$L$4:$L$1110),Кўрсаткичлар!$B$4)</f>
        <v>0</v>
      </c>
      <c r="O897" s="30">
        <f>Тўловлар[[#This Row],[Поддон]]*Тўловлар[[#This Row],[Поддон нархи]]</f>
        <v>0</v>
      </c>
      <c r="P897" s="30">
        <f>Тўловлар[[#This Row],[Жами сумма]]-Тўловлар[[#This Row],[Поддон пули]]</f>
        <v>0</v>
      </c>
      <c r="Q8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7" s="9" t="str">
        <f>IFERROR(INDEX(Мижозлар[Агент],MATCH($C897,Мижозлар[Расмий ном],0)),"")</f>
        <v/>
      </c>
    </row>
    <row r="898" spans="6:19" x14ac:dyDescent="0.2">
      <c r="F898" s="198"/>
      <c r="G898" s="9">
        <f>Тўловлар[[#This Row],[Поддон]]*$G$3</f>
        <v>0</v>
      </c>
      <c r="K898" s="9">
        <f>SUM(Тўловлар[[#This Row],[ПР-Сумма]]+Тўловлар[[#This Row],[Накд]]+Тўловлар[[#This Row],[Клик]]+Тўловлар[[#This Row],[Терминал]])</f>
        <v>0</v>
      </c>
      <c r="N898" s="30" cm="1">
        <f t="array" ref="N898">IFERROR(LOOKUP(2,1/((Товар!$D$4:$D$1110=Тўловлар[[#This Row],[Клиент]])*(Товар!$E$4:$E$1110&lt;=Тўловлар[[#This Row],[Дата]])),Товар!$L$4:$L$1110),Кўрсаткичлар!$B$4)</f>
        <v>0</v>
      </c>
      <c r="O898" s="30">
        <f>Тўловлар[[#This Row],[Поддон]]*Тўловлар[[#This Row],[Поддон нархи]]</f>
        <v>0</v>
      </c>
      <c r="P898" s="30">
        <f>Тўловлар[[#This Row],[Жами сумма]]-Тўловлар[[#This Row],[Поддон пули]]</f>
        <v>0</v>
      </c>
      <c r="Q8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8" s="9" t="str">
        <f>IFERROR(INDEX(Мижозлар[Агент],MATCH($C898,Мижозлар[Расмий ном],0)),"")</f>
        <v/>
      </c>
    </row>
    <row r="899" spans="6:19" x14ac:dyDescent="0.2">
      <c r="F899" s="198"/>
      <c r="G899" s="9">
        <f>Тўловлар[[#This Row],[Поддон]]*$G$3</f>
        <v>0</v>
      </c>
      <c r="K899" s="9">
        <f>SUM(Тўловлар[[#This Row],[ПР-Сумма]]+Тўловлар[[#This Row],[Накд]]+Тўловлар[[#This Row],[Клик]]+Тўловлар[[#This Row],[Терминал]])</f>
        <v>0</v>
      </c>
      <c r="N899" s="30" cm="1">
        <f t="array" ref="N899">IFERROR(LOOKUP(2,1/((Товар!$D$4:$D$1110=Тўловлар[[#This Row],[Клиент]])*(Товар!$E$4:$E$1110&lt;=Тўловлар[[#This Row],[Дата]])),Товар!$L$4:$L$1110),Кўрсаткичлар!$B$4)</f>
        <v>0</v>
      </c>
      <c r="O899" s="30">
        <f>Тўловлар[[#This Row],[Поддон]]*Тўловлар[[#This Row],[Поддон нархи]]</f>
        <v>0</v>
      </c>
      <c r="P899" s="30">
        <f>Тўловлар[[#This Row],[Жами сумма]]-Тўловлар[[#This Row],[Поддон пули]]</f>
        <v>0</v>
      </c>
      <c r="Q8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8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899" s="9" t="str">
        <f>IFERROR(INDEX(Мижозлар[Агент],MATCH($C899,Мижозлар[Расмий ном],0)),"")</f>
        <v/>
      </c>
    </row>
    <row r="900" spans="6:19" x14ac:dyDescent="0.2">
      <c r="F900" s="198"/>
      <c r="G900" s="9">
        <f>Тўловлар[[#This Row],[Поддон]]*$G$3</f>
        <v>0</v>
      </c>
      <c r="K900" s="9">
        <f>SUM(Тўловлар[[#This Row],[ПР-Сумма]]+Тўловлар[[#This Row],[Накд]]+Тўловлар[[#This Row],[Клик]]+Тўловлар[[#This Row],[Терминал]])</f>
        <v>0</v>
      </c>
      <c r="N900" s="30" cm="1">
        <f t="array" ref="N900">IFERROR(LOOKUP(2,1/((Товар!$D$4:$D$1110=Тўловлар[[#This Row],[Клиент]])*(Товар!$E$4:$E$1110&lt;=Тўловлар[[#This Row],[Дата]])),Товар!$L$4:$L$1110),Кўрсаткичлар!$B$4)</f>
        <v>0</v>
      </c>
      <c r="O900" s="30">
        <f>Тўловлар[[#This Row],[Поддон]]*Тўловлар[[#This Row],[Поддон нархи]]</f>
        <v>0</v>
      </c>
      <c r="P900" s="30">
        <f>Тўловлар[[#This Row],[Жами сумма]]-Тўловлар[[#This Row],[Поддон пули]]</f>
        <v>0</v>
      </c>
      <c r="Q9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0" s="9" t="str">
        <f>IFERROR(INDEX(Мижозлар[Агент],MATCH($C900,Мижозлар[Расмий ном],0)),"")</f>
        <v/>
      </c>
    </row>
    <row r="901" spans="6:19" x14ac:dyDescent="0.2">
      <c r="F901" s="198"/>
      <c r="G901" s="9">
        <f>Тўловлар[[#This Row],[Поддон]]*$G$3</f>
        <v>0</v>
      </c>
      <c r="K901" s="9">
        <f>SUM(Тўловлар[[#This Row],[ПР-Сумма]]+Тўловлар[[#This Row],[Накд]]+Тўловлар[[#This Row],[Клик]]+Тўловлар[[#This Row],[Терминал]])</f>
        <v>0</v>
      </c>
      <c r="N901" s="30" cm="1">
        <f t="array" ref="N901">IFERROR(LOOKUP(2,1/((Товар!$D$4:$D$1110=Тўловлар[[#This Row],[Клиент]])*(Товар!$E$4:$E$1110&lt;=Тўловлар[[#This Row],[Дата]])),Товар!$L$4:$L$1110),Кўрсаткичлар!$B$4)</f>
        <v>0</v>
      </c>
      <c r="O901" s="30">
        <f>Тўловлар[[#This Row],[Поддон]]*Тўловлар[[#This Row],[Поддон нархи]]</f>
        <v>0</v>
      </c>
      <c r="P901" s="30">
        <f>Тўловлар[[#This Row],[Жами сумма]]-Тўловлар[[#This Row],[Поддон пули]]</f>
        <v>0</v>
      </c>
      <c r="Q9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1" s="9" t="str">
        <f>IFERROR(INDEX(Мижозлар[Агент],MATCH($C901,Мижозлар[Расмий ном],0)),"")</f>
        <v/>
      </c>
    </row>
    <row r="902" spans="6:19" x14ac:dyDescent="0.2">
      <c r="F902" s="198"/>
      <c r="G902" s="9">
        <f>Тўловлар[[#This Row],[Поддон]]*$G$3</f>
        <v>0</v>
      </c>
      <c r="K902" s="9">
        <f>SUM(Тўловлар[[#This Row],[ПР-Сумма]]+Тўловлар[[#This Row],[Накд]]+Тўловлар[[#This Row],[Клик]]+Тўловлар[[#This Row],[Терминал]])</f>
        <v>0</v>
      </c>
      <c r="N902" s="30" cm="1">
        <f t="array" ref="N902">IFERROR(LOOKUP(2,1/((Товар!$D$4:$D$1110=Тўловлар[[#This Row],[Клиент]])*(Товар!$E$4:$E$1110&lt;=Тўловлар[[#This Row],[Дата]])),Товар!$L$4:$L$1110),Кўрсаткичлар!$B$4)</f>
        <v>0</v>
      </c>
      <c r="O902" s="30">
        <f>Тўловлар[[#This Row],[Поддон]]*Тўловлар[[#This Row],[Поддон нархи]]</f>
        <v>0</v>
      </c>
      <c r="P902" s="30">
        <f>Тўловлар[[#This Row],[Жами сумма]]-Тўловлар[[#This Row],[Поддон пули]]</f>
        <v>0</v>
      </c>
      <c r="Q9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2" s="9" t="str">
        <f>IFERROR(INDEX(Мижозлар[Агент],MATCH($C902,Мижозлар[Расмий ном],0)),"")</f>
        <v/>
      </c>
    </row>
    <row r="903" spans="6:19" x14ac:dyDescent="0.2">
      <c r="F903" s="198"/>
      <c r="G903" s="9">
        <f>Тўловлар[[#This Row],[Поддон]]*$G$3</f>
        <v>0</v>
      </c>
      <c r="K903" s="9">
        <f>SUM(Тўловлар[[#This Row],[ПР-Сумма]]+Тўловлар[[#This Row],[Накд]]+Тўловлар[[#This Row],[Клик]]+Тўловлар[[#This Row],[Терминал]])</f>
        <v>0</v>
      </c>
      <c r="N903" s="30" cm="1">
        <f t="array" ref="N903">IFERROR(LOOKUP(2,1/((Товар!$D$4:$D$1110=Тўловлар[[#This Row],[Клиент]])*(Товар!$E$4:$E$1110&lt;=Тўловлар[[#This Row],[Дата]])),Товар!$L$4:$L$1110),Кўрсаткичлар!$B$4)</f>
        <v>0</v>
      </c>
      <c r="O903" s="30">
        <f>Тўловлар[[#This Row],[Поддон]]*Тўловлар[[#This Row],[Поддон нархи]]</f>
        <v>0</v>
      </c>
      <c r="P903" s="30">
        <f>Тўловлар[[#This Row],[Жами сумма]]-Тўловлар[[#This Row],[Поддон пули]]</f>
        <v>0</v>
      </c>
      <c r="Q9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3" s="9" t="str">
        <f>IFERROR(INDEX(Мижозлар[Агент],MATCH($C903,Мижозлар[Расмий ном],0)),"")</f>
        <v/>
      </c>
    </row>
    <row r="904" spans="6:19" x14ac:dyDescent="0.2">
      <c r="F904" s="198"/>
      <c r="G904" s="9">
        <f>Тўловлар[[#This Row],[Поддон]]*$G$3</f>
        <v>0</v>
      </c>
      <c r="K904" s="9">
        <f>SUM(Тўловлар[[#This Row],[ПР-Сумма]]+Тўловлар[[#This Row],[Накд]]+Тўловлар[[#This Row],[Клик]]+Тўловлар[[#This Row],[Терминал]])</f>
        <v>0</v>
      </c>
      <c r="N904" s="30" cm="1">
        <f t="array" ref="N904">IFERROR(LOOKUP(2,1/((Товар!$D$4:$D$1110=Тўловлар[[#This Row],[Клиент]])*(Товар!$E$4:$E$1110&lt;=Тўловлар[[#This Row],[Дата]])),Товар!$L$4:$L$1110),Кўрсаткичлар!$B$4)</f>
        <v>0</v>
      </c>
      <c r="O904" s="30">
        <f>Тўловлар[[#This Row],[Поддон]]*Тўловлар[[#This Row],[Поддон нархи]]</f>
        <v>0</v>
      </c>
      <c r="P904" s="30">
        <f>Тўловлар[[#This Row],[Жами сумма]]-Тўловлар[[#This Row],[Поддон пули]]</f>
        <v>0</v>
      </c>
      <c r="Q9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4" s="9" t="str">
        <f>IFERROR(INDEX(Мижозлар[Агент],MATCH($C904,Мижозлар[Расмий ном],0)),"")</f>
        <v/>
      </c>
    </row>
    <row r="905" spans="6:19" x14ac:dyDescent="0.2">
      <c r="F905" s="198"/>
      <c r="G905" s="9">
        <f>Тўловлар[[#This Row],[Поддон]]*$G$3</f>
        <v>0</v>
      </c>
      <c r="K905" s="9">
        <f>SUM(Тўловлар[[#This Row],[ПР-Сумма]]+Тўловлар[[#This Row],[Накд]]+Тўловлар[[#This Row],[Клик]]+Тўловлар[[#This Row],[Терминал]])</f>
        <v>0</v>
      </c>
      <c r="N905" s="30" cm="1">
        <f t="array" ref="N905">IFERROR(LOOKUP(2,1/((Товар!$D$4:$D$1110=Тўловлар[[#This Row],[Клиент]])*(Товар!$E$4:$E$1110&lt;=Тўловлар[[#This Row],[Дата]])),Товар!$L$4:$L$1110),Кўрсаткичлар!$B$4)</f>
        <v>0</v>
      </c>
      <c r="O905" s="30">
        <f>Тўловлар[[#This Row],[Поддон]]*Тўловлар[[#This Row],[Поддон нархи]]</f>
        <v>0</v>
      </c>
      <c r="P905" s="30">
        <f>Тўловлар[[#This Row],[Жами сумма]]-Тўловлар[[#This Row],[Поддон пули]]</f>
        <v>0</v>
      </c>
      <c r="Q9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5" s="9" t="str">
        <f>IFERROR(INDEX(Мижозлар[Агент],MATCH($C905,Мижозлар[Расмий ном],0)),"")</f>
        <v/>
      </c>
    </row>
    <row r="906" spans="6:19" x14ac:dyDescent="0.2">
      <c r="F906" s="198"/>
      <c r="G906" s="9">
        <f>Тўловлар[[#This Row],[Поддон]]*$G$3</f>
        <v>0</v>
      </c>
      <c r="K906" s="9">
        <f>SUM(Тўловлар[[#This Row],[ПР-Сумма]]+Тўловлар[[#This Row],[Накд]]+Тўловлар[[#This Row],[Клик]]+Тўловлар[[#This Row],[Терминал]])</f>
        <v>0</v>
      </c>
      <c r="N906" s="30" cm="1">
        <f t="array" ref="N906">IFERROR(LOOKUP(2,1/((Товар!$D$4:$D$1110=Тўловлар[[#This Row],[Клиент]])*(Товар!$E$4:$E$1110&lt;=Тўловлар[[#This Row],[Дата]])),Товар!$L$4:$L$1110),Кўрсаткичлар!$B$4)</f>
        <v>0</v>
      </c>
      <c r="O906" s="30">
        <f>Тўловлар[[#This Row],[Поддон]]*Тўловлар[[#This Row],[Поддон нархи]]</f>
        <v>0</v>
      </c>
      <c r="P906" s="30">
        <f>Тўловлар[[#This Row],[Жами сумма]]-Тўловлар[[#This Row],[Поддон пули]]</f>
        <v>0</v>
      </c>
      <c r="Q9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6" s="9" t="str">
        <f>IFERROR(INDEX(Мижозлар[Агент],MATCH($C906,Мижозлар[Расмий ном],0)),"")</f>
        <v/>
      </c>
    </row>
    <row r="907" spans="6:19" x14ac:dyDescent="0.2">
      <c r="F907" s="198"/>
      <c r="G907" s="9">
        <f>Тўловлар[[#This Row],[Поддон]]*$G$3</f>
        <v>0</v>
      </c>
      <c r="K907" s="9">
        <f>SUM(Тўловлар[[#This Row],[ПР-Сумма]]+Тўловлар[[#This Row],[Накд]]+Тўловлар[[#This Row],[Клик]]+Тўловлар[[#This Row],[Терминал]])</f>
        <v>0</v>
      </c>
      <c r="N907" s="30" cm="1">
        <f t="array" ref="N907">IFERROR(LOOKUP(2,1/((Товар!$D$4:$D$1110=Тўловлар[[#This Row],[Клиент]])*(Товар!$E$4:$E$1110&lt;=Тўловлар[[#This Row],[Дата]])),Товар!$L$4:$L$1110),Кўрсаткичлар!$B$4)</f>
        <v>0</v>
      </c>
      <c r="O907" s="30">
        <f>Тўловлар[[#This Row],[Поддон]]*Тўловлар[[#This Row],[Поддон нархи]]</f>
        <v>0</v>
      </c>
      <c r="P907" s="30">
        <f>Тўловлар[[#This Row],[Жами сумма]]-Тўловлар[[#This Row],[Поддон пули]]</f>
        <v>0</v>
      </c>
      <c r="Q9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7" s="9" t="str">
        <f>IFERROR(INDEX(Мижозлар[Агент],MATCH($C907,Мижозлар[Расмий ном],0)),"")</f>
        <v/>
      </c>
    </row>
    <row r="908" spans="6:19" x14ac:dyDescent="0.2">
      <c r="F908" s="198"/>
      <c r="G908" s="9">
        <f>Тўловлар[[#This Row],[Поддон]]*$G$3</f>
        <v>0</v>
      </c>
      <c r="K908" s="9">
        <f>SUM(Тўловлар[[#This Row],[ПР-Сумма]]+Тўловлар[[#This Row],[Накд]]+Тўловлар[[#This Row],[Клик]]+Тўловлар[[#This Row],[Терминал]])</f>
        <v>0</v>
      </c>
      <c r="N908" s="30" cm="1">
        <f t="array" ref="N908">IFERROR(LOOKUP(2,1/((Товар!$D$4:$D$1110=Тўловлар[[#This Row],[Клиент]])*(Товар!$E$4:$E$1110&lt;=Тўловлар[[#This Row],[Дата]])),Товар!$L$4:$L$1110),Кўрсаткичлар!$B$4)</f>
        <v>0</v>
      </c>
      <c r="O908" s="30">
        <f>Тўловлар[[#This Row],[Поддон]]*Тўловлар[[#This Row],[Поддон нархи]]</f>
        <v>0</v>
      </c>
      <c r="P908" s="30">
        <f>Тўловлар[[#This Row],[Жами сумма]]-Тўловлар[[#This Row],[Поддон пули]]</f>
        <v>0</v>
      </c>
      <c r="Q9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8" s="9" t="str">
        <f>IFERROR(INDEX(Мижозлар[Агент],MATCH($C908,Мижозлар[Расмий ном],0)),"")</f>
        <v/>
      </c>
    </row>
    <row r="909" spans="6:19" x14ac:dyDescent="0.2">
      <c r="F909" s="198"/>
      <c r="G909" s="9">
        <f>Тўловлар[[#This Row],[Поддон]]*$G$3</f>
        <v>0</v>
      </c>
      <c r="K909" s="9">
        <f>SUM(Тўловлар[[#This Row],[ПР-Сумма]]+Тўловлар[[#This Row],[Накд]]+Тўловлар[[#This Row],[Клик]]+Тўловлар[[#This Row],[Терминал]])</f>
        <v>0</v>
      </c>
      <c r="N909" s="30" cm="1">
        <f t="array" ref="N909">IFERROR(LOOKUP(2,1/((Товар!$D$4:$D$1110=Тўловлар[[#This Row],[Клиент]])*(Товар!$E$4:$E$1110&lt;=Тўловлар[[#This Row],[Дата]])),Товар!$L$4:$L$1110),Кўрсаткичлар!$B$4)</f>
        <v>0</v>
      </c>
      <c r="O909" s="30">
        <f>Тўловлар[[#This Row],[Поддон]]*Тўловлар[[#This Row],[Поддон нархи]]</f>
        <v>0</v>
      </c>
      <c r="P909" s="30">
        <f>Тўловлар[[#This Row],[Жами сумма]]-Тўловлар[[#This Row],[Поддон пули]]</f>
        <v>0</v>
      </c>
      <c r="Q9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09" s="9" t="str">
        <f>IFERROR(INDEX(Мижозлар[Агент],MATCH($C909,Мижозлар[Расмий ном],0)),"")</f>
        <v/>
      </c>
    </row>
    <row r="910" spans="6:19" x14ac:dyDescent="0.2">
      <c r="F910" s="198"/>
      <c r="G910" s="9">
        <f>Тўловлар[[#This Row],[Поддон]]*$G$3</f>
        <v>0</v>
      </c>
      <c r="K910" s="9">
        <f>SUM(Тўловлар[[#This Row],[ПР-Сумма]]+Тўловлар[[#This Row],[Накд]]+Тўловлар[[#This Row],[Клик]]+Тўловлар[[#This Row],[Терминал]])</f>
        <v>0</v>
      </c>
      <c r="N910" s="30" cm="1">
        <f t="array" ref="N910">IFERROR(LOOKUP(2,1/((Товар!$D$4:$D$1110=Тўловлар[[#This Row],[Клиент]])*(Товар!$E$4:$E$1110&lt;=Тўловлар[[#This Row],[Дата]])),Товар!$L$4:$L$1110),Кўрсаткичлар!$B$4)</f>
        <v>0</v>
      </c>
      <c r="O910" s="30">
        <f>Тўловлар[[#This Row],[Поддон]]*Тўловлар[[#This Row],[Поддон нархи]]</f>
        <v>0</v>
      </c>
      <c r="P910" s="30">
        <f>Тўловлар[[#This Row],[Жами сумма]]-Тўловлар[[#This Row],[Поддон пули]]</f>
        <v>0</v>
      </c>
      <c r="Q9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0" s="9" t="str">
        <f>IFERROR(INDEX(Мижозлар[Агент],MATCH($C910,Мижозлар[Расмий ном],0)),"")</f>
        <v/>
      </c>
    </row>
    <row r="911" spans="6:19" x14ac:dyDescent="0.2">
      <c r="F911" s="198"/>
      <c r="G911" s="9">
        <f>Тўловлар[[#This Row],[Поддон]]*$G$3</f>
        <v>0</v>
      </c>
      <c r="K911" s="9">
        <f>SUM(Тўловлар[[#This Row],[ПР-Сумма]]+Тўловлар[[#This Row],[Накд]]+Тўловлар[[#This Row],[Клик]]+Тўловлар[[#This Row],[Терминал]])</f>
        <v>0</v>
      </c>
      <c r="N911" s="30" cm="1">
        <f t="array" ref="N911">IFERROR(LOOKUP(2,1/((Товар!$D$4:$D$1110=Тўловлар[[#This Row],[Клиент]])*(Товар!$E$4:$E$1110&lt;=Тўловлар[[#This Row],[Дата]])),Товар!$L$4:$L$1110),Кўрсаткичлар!$B$4)</f>
        <v>0</v>
      </c>
      <c r="O911" s="30">
        <f>Тўловлар[[#This Row],[Поддон]]*Тўловлар[[#This Row],[Поддон нархи]]</f>
        <v>0</v>
      </c>
      <c r="P911" s="30">
        <f>Тўловлар[[#This Row],[Жами сумма]]-Тўловлар[[#This Row],[Поддон пули]]</f>
        <v>0</v>
      </c>
      <c r="Q9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1" s="9" t="str">
        <f>IFERROR(INDEX(Мижозлар[Агент],MATCH($C911,Мижозлар[Расмий ном],0)),"")</f>
        <v/>
      </c>
    </row>
    <row r="912" spans="6:19" x14ac:dyDescent="0.2">
      <c r="F912" s="198"/>
      <c r="G912" s="9">
        <f>Тўловлар[[#This Row],[Поддон]]*$G$3</f>
        <v>0</v>
      </c>
      <c r="K912" s="9">
        <f>SUM(Тўловлар[[#This Row],[ПР-Сумма]]+Тўловлар[[#This Row],[Накд]]+Тўловлар[[#This Row],[Клик]]+Тўловлар[[#This Row],[Терминал]])</f>
        <v>0</v>
      </c>
      <c r="N912" s="30" cm="1">
        <f t="array" ref="N912">IFERROR(LOOKUP(2,1/((Товар!$D$4:$D$1110=Тўловлар[[#This Row],[Клиент]])*(Товар!$E$4:$E$1110&lt;=Тўловлар[[#This Row],[Дата]])),Товар!$L$4:$L$1110),Кўрсаткичлар!$B$4)</f>
        <v>0</v>
      </c>
      <c r="O912" s="30">
        <f>Тўловлар[[#This Row],[Поддон]]*Тўловлар[[#This Row],[Поддон нархи]]</f>
        <v>0</v>
      </c>
      <c r="P912" s="30">
        <f>Тўловлар[[#This Row],[Жами сумма]]-Тўловлар[[#This Row],[Поддон пули]]</f>
        <v>0</v>
      </c>
      <c r="Q9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2" s="9" t="str">
        <f>IFERROR(INDEX(Мижозлар[Агент],MATCH($C912,Мижозлар[Расмий ном],0)),"")</f>
        <v/>
      </c>
    </row>
    <row r="913" spans="6:19" x14ac:dyDescent="0.2">
      <c r="F913" s="198"/>
      <c r="G913" s="9">
        <f>Тўловлар[[#This Row],[Поддон]]*$G$3</f>
        <v>0</v>
      </c>
      <c r="K913" s="9">
        <f>SUM(Тўловлар[[#This Row],[ПР-Сумма]]+Тўловлар[[#This Row],[Накд]]+Тўловлар[[#This Row],[Клик]]+Тўловлар[[#This Row],[Терминал]])</f>
        <v>0</v>
      </c>
      <c r="N913" s="30" cm="1">
        <f t="array" ref="N913">IFERROR(LOOKUP(2,1/((Товар!$D$4:$D$1110=Тўловлар[[#This Row],[Клиент]])*(Товар!$E$4:$E$1110&lt;=Тўловлар[[#This Row],[Дата]])),Товар!$L$4:$L$1110),Кўрсаткичлар!$B$4)</f>
        <v>0</v>
      </c>
      <c r="O913" s="30">
        <f>Тўловлар[[#This Row],[Поддон]]*Тўловлар[[#This Row],[Поддон нархи]]</f>
        <v>0</v>
      </c>
      <c r="P913" s="30">
        <f>Тўловлар[[#This Row],[Жами сумма]]-Тўловлар[[#This Row],[Поддон пули]]</f>
        <v>0</v>
      </c>
      <c r="Q9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3" s="9" t="str">
        <f>IFERROR(INDEX(Мижозлар[Агент],MATCH($C913,Мижозлар[Расмий ном],0)),"")</f>
        <v/>
      </c>
    </row>
    <row r="914" spans="6:19" x14ac:dyDescent="0.2">
      <c r="F914" s="198"/>
      <c r="G914" s="9">
        <f>Тўловлар[[#This Row],[Поддон]]*$G$3</f>
        <v>0</v>
      </c>
      <c r="K914" s="9">
        <f>SUM(Тўловлар[[#This Row],[ПР-Сумма]]+Тўловлар[[#This Row],[Накд]]+Тўловлар[[#This Row],[Клик]]+Тўловлар[[#This Row],[Терминал]])</f>
        <v>0</v>
      </c>
      <c r="N914" s="30" cm="1">
        <f t="array" ref="N914">IFERROR(LOOKUP(2,1/((Товар!$D$4:$D$1110=Тўловлар[[#This Row],[Клиент]])*(Товар!$E$4:$E$1110&lt;=Тўловлар[[#This Row],[Дата]])),Товар!$L$4:$L$1110),Кўрсаткичлар!$B$4)</f>
        <v>0</v>
      </c>
      <c r="O914" s="30">
        <f>Тўловлар[[#This Row],[Поддон]]*Тўловлар[[#This Row],[Поддон нархи]]</f>
        <v>0</v>
      </c>
      <c r="P914" s="30">
        <f>Тўловлар[[#This Row],[Жами сумма]]-Тўловлар[[#This Row],[Поддон пули]]</f>
        <v>0</v>
      </c>
      <c r="Q9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4" s="9" t="str">
        <f>IFERROR(INDEX(Мижозлар[Агент],MATCH($C914,Мижозлар[Расмий ном],0)),"")</f>
        <v/>
      </c>
    </row>
    <row r="915" spans="6:19" x14ac:dyDescent="0.2">
      <c r="F915" s="198"/>
      <c r="G915" s="9">
        <f>Тўловлар[[#This Row],[Поддон]]*$G$3</f>
        <v>0</v>
      </c>
      <c r="K915" s="9">
        <f>SUM(Тўловлар[[#This Row],[ПР-Сумма]]+Тўловлар[[#This Row],[Накд]]+Тўловлар[[#This Row],[Клик]]+Тўловлар[[#This Row],[Терминал]])</f>
        <v>0</v>
      </c>
      <c r="N915" s="30" cm="1">
        <f t="array" ref="N915">IFERROR(LOOKUP(2,1/((Товар!$D$4:$D$1110=Тўловлар[[#This Row],[Клиент]])*(Товар!$E$4:$E$1110&lt;=Тўловлар[[#This Row],[Дата]])),Товар!$L$4:$L$1110),Кўрсаткичлар!$B$4)</f>
        <v>0</v>
      </c>
      <c r="O915" s="30">
        <f>Тўловлар[[#This Row],[Поддон]]*Тўловлар[[#This Row],[Поддон нархи]]</f>
        <v>0</v>
      </c>
      <c r="P915" s="30">
        <f>Тўловлар[[#This Row],[Жами сумма]]-Тўловлар[[#This Row],[Поддон пули]]</f>
        <v>0</v>
      </c>
      <c r="Q9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5" s="9" t="str">
        <f>IFERROR(INDEX(Мижозлар[Агент],MATCH($C915,Мижозлар[Расмий ном],0)),"")</f>
        <v/>
      </c>
    </row>
    <row r="916" spans="6:19" x14ac:dyDescent="0.2">
      <c r="F916" s="198"/>
      <c r="G916" s="9">
        <f>Тўловлар[[#This Row],[Поддон]]*$G$3</f>
        <v>0</v>
      </c>
      <c r="K916" s="9">
        <f>SUM(Тўловлар[[#This Row],[ПР-Сумма]]+Тўловлар[[#This Row],[Накд]]+Тўловлар[[#This Row],[Клик]]+Тўловлар[[#This Row],[Терминал]])</f>
        <v>0</v>
      </c>
      <c r="N916" s="30" cm="1">
        <f t="array" ref="N916">IFERROR(LOOKUP(2,1/((Товар!$D$4:$D$1110=Тўловлар[[#This Row],[Клиент]])*(Товар!$E$4:$E$1110&lt;=Тўловлар[[#This Row],[Дата]])),Товар!$L$4:$L$1110),Кўрсаткичлар!$B$4)</f>
        <v>0</v>
      </c>
      <c r="O916" s="30">
        <f>Тўловлар[[#This Row],[Поддон]]*Тўловлар[[#This Row],[Поддон нархи]]</f>
        <v>0</v>
      </c>
      <c r="P916" s="30">
        <f>Тўловлар[[#This Row],[Жами сумма]]-Тўловлар[[#This Row],[Поддон пули]]</f>
        <v>0</v>
      </c>
      <c r="Q9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6" s="9" t="str">
        <f>IFERROR(INDEX(Мижозлар[Агент],MATCH($C916,Мижозлар[Расмий ном],0)),"")</f>
        <v/>
      </c>
    </row>
    <row r="917" spans="6:19" x14ac:dyDescent="0.2">
      <c r="F917" s="198"/>
      <c r="G917" s="9">
        <f>Тўловлар[[#This Row],[Поддон]]*$G$3</f>
        <v>0</v>
      </c>
      <c r="K917" s="9">
        <f>SUM(Тўловлар[[#This Row],[ПР-Сумма]]+Тўловлар[[#This Row],[Накд]]+Тўловлар[[#This Row],[Клик]]+Тўловлар[[#This Row],[Терминал]])</f>
        <v>0</v>
      </c>
      <c r="N917" s="30" cm="1">
        <f t="array" ref="N917">IFERROR(LOOKUP(2,1/((Товар!$D$4:$D$1110=Тўловлар[[#This Row],[Клиент]])*(Товар!$E$4:$E$1110&lt;=Тўловлар[[#This Row],[Дата]])),Товар!$L$4:$L$1110),Кўрсаткичлар!$B$4)</f>
        <v>0</v>
      </c>
      <c r="O917" s="30">
        <f>Тўловлар[[#This Row],[Поддон]]*Тўловлар[[#This Row],[Поддон нархи]]</f>
        <v>0</v>
      </c>
      <c r="P917" s="30">
        <f>Тўловлар[[#This Row],[Жами сумма]]-Тўловлар[[#This Row],[Поддон пули]]</f>
        <v>0</v>
      </c>
      <c r="Q9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7" s="9" t="str">
        <f>IFERROR(INDEX(Мижозлар[Агент],MATCH($C917,Мижозлар[Расмий ном],0)),"")</f>
        <v/>
      </c>
    </row>
    <row r="918" spans="6:19" x14ac:dyDescent="0.2">
      <c r="F918" s="198"/>
      <c r="G918" s="9">
        <f>Тўловлар[[#This Row],[Поддон]]*$G$3</f>
        <v>0</v>
      </c>
      <c r="K918" s="9">
        <f>SUM(Тўловлар[[#This Row],[ПР-Сумма]]+Тўловлар[[#This Row],[Накд]]+Тўловлар[[#This Row],[Клик]]+Тўловлар[[#This Row],[Терминал]])</f>
        <v>0</v>
      </c>
      <c r="N918" s="30" cm="1">
        <f t="array" ref="N918">IFERROR(LOOKUP(2,1/((Товар!$D$4:$D$1110=Тўловлар[[#This Row],[Клиент]])*(Товар!$E$4:$E$1110&lt;=Тўловлар[[#This Row],[Дата]])),Товар!$L$4:$L$1110),Кўрсаткичлар!$B$4)</f>
        <v>0</v>
      </c>
      <c r="O918" s="30">
        <f>Тўловлар[[#This Row],[Поддон]]*Тўловлар[[#This Row],[Поддон нархи]]</f>
        <v>0</v>
      </c>
      <c r="P918" s="30">
        <f>Тўловлар[[#This Row],[Жами сумма]]-Тўловлар[[#This Row],[Поддон пули]]</f>
        <v>0</v>
      </c>
      <c r="Q9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8" s="9" t="str">
        <f>IFERROR(INDEX(Мижозлар[Агент],MATCH($C918,Мижозлар[Расмий ном],0)),"")</f>
        <v/>
      </c>
    </row>
    <row r="919" spans="6:19" x14ac:dyDescent="0.2">
      <c r="F919" s="198"/>
      <c r="G919" s="9">
        <f>Тўловлар[[#This Row],[Поддон]]*$G$3</f>
        <v>0</v>
      </c>
      <c r="K919" s="9">
        <f>SUM(Тўловлар[[#This Row],[ПР-Сумма]]+Тўловлар[[#This Row],[Накд]]+Тўловлар[[#This Row],[Клик]]+Тўловлар[[#This Row],[Терминал]])</f>
        <v>0</v>
      </c>
      <c r="N919" s="30" cm="1">
        <f t="array" ref="N919">IFERROR(LOOKUP(2,1/((Товар!$D$4:$D$1110=Тўловлар[[#This Row],[Клиент]])*(Товар!$E$4:$E$1110&lt;=Тўловлар[[#This Row],[Дата]])),Товар!$L$4:$L$1110),Кўрсаткичлар!$B$4)</f>
        <v>0</v>
      </c>
      <c r="O919" s="30">
        <f>Тўловлар[[#This Row],[Поддон]]*Тўловлар[[#This Row],[Поддон нархи]]</f>
        <v>0</v>
      </c>
      <c r="P919" s="30">
        <f>Тўловлар[[#This Row],[Жами сумма]]-Тўловлар[[#This Row],[Поддон пули]]</f>
        <v>0</v>
      </c>
      <c r="Q9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19" s="9" t="str">
        <f>IFERROR(INDEX(Мижозлар[Агент],MATCH($C919,Мижозлар[Расмий ном],0)),"")</f>
        <v/>
      </c>
    </row>
    <row r="920" spans="6:19" x14ac:dyDescent="0.2">
      <c r="F920" s="198"/>
      <c r="G920" s="9">
        <f>Тўловлар[[#This Row],[Поддон]]*$G$3</f>
        <v>0</v>
      </c>
      <c r="K920" s="9">
        <f>SUM(Тўловлар[[#This Row],[ПР-Сумма]]+Тўловлар[[#This Row],[Накд]]+Тўловлар[[#This Row],[Клик]]+Тўловлар[[#This Row],[Терминал]])</f>
        <v>0</v>
      </c>
      <c r="N920" s="30" cm="1">
        <f t="array" ref="N920">IFERROR(LOOKUP(2,1/((Товар!$D$4:$D$1110=Тўловлар[[#This Row],[Клиент]])*(Товар!$E$4:$E$1110&lt;=Тўловлар[[#This Row],[Дата]])),Товар!$L$4:$L$1110),Кўрсаткичлар!$B$4)</f>
        <v>0</v>
      </c>
      <c r="O920" s="30">
        <f>Тўловлар[[#This Row],[Поддон]]*Тўловлар[[#This Row],[Поддон нархи]]</f>
        <v>0</v>
      </c>
      <c r="P920" s="30">
        <f>Тўловлар[[#This Row],[Жами сумма]]-Тўловлар[[#This Row],[Поддон пули]]</f>
        <v>0</v>
      </c>
      <c r="Q9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0" s="9" t="str">
        <f>IFERROR(INDEX(Мижозлар[Агент],MATCH($C920,Мижозлар[Расмий ном],0)),"")</f>
        <v/>
      </c>
    </row>
    <row r="921" spans="6:19" x14ac:dyDescent="0.2">
      <c r="F921" s="198"/>
      <c r="G921" s="9">
        <f>Тўловлар[[#This Row],[Поддон]]*$G$3</f>
        <v>0</v>
      </c>
      <c r="K921" s="9">
        <f>SUM(Тўловлар[[#This Row],[ПР-Сумма]]+Тўловлар[[#This Row],[Накд]]+Тўловлар[[#This Row],[Клик]]+Тўловлар[[#This Row],[Терминал]])</f>
        <v>0</v>
      </c>
      <c r="N921" s="30" cm="1">
        <f t="array" ref="N921">IFERROR(LOOKUP(2,1/((Товар!$D$4:$D$1110=Тўловлар[[#This Row],[Клиент]])*(Товар!$E$4:$E$1110&lt;=Тўловлар[[#This Row],[Дата]])),Товар!$L$4:$L$1110),Кўрсаткичлар!$B$4)</f>
        <v>0</v>
      </c>
      <c r="O921" s="30">
        <f>Тўловлар[[#This Row],[Поддон]]*Тўловлар[[#This Row],[Поддон нархи]]</f>
        <v>0</v>
      </c>
      <c r="P921" s="30">
        <f>Тўловлар[[#This Row],[Жами сумма]]-Тўловлар[[#This Row],[Поддон пули]]</f>
        <v>0</v>
      </c>
      <c r="Q9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1" s="9" t="str">
        <f>IFERROR(INDEX(Мижозлар[Агент],MATCH($C921,Мижозлар[Расмий ном],0)),"")</f>
        <v/>
      </c>
    </row>
    <row r="922" spans="6:19" x14ac:dyDescent="0.2">
      <c r="F922" s="198"/>
      <c r="G922" s="9">
        <f>Тўловлар[[#This Row],[Поддон]]*$G$3</f>
        <v>0</v>
      </c>
      <c r="K922" s="9">
        <f>SUM(Тўловлар[[#This Row],[ПР-Сумма]]+Тўловлар[[#This Row],[Накд]]+Тўловлар[[#This Row],[Клик]]+Тўловлар[[#This Row],[Терминал]])</f>
        <v>0</v>
      </c>
      <c r="N922" s="30" cm="1">
        <f t="array" ref="N922">IFERROR(LOOKUP(2,1/((Товар!$D$4:$D$1110=Тўловлар[[#This Row],[Клиент]])*(Товар!$E$4:$E$1110&lt;=Тўловлар[[#This Row],[Дата]])),Товар!$L$4:$L$1110),Кўрсаткичлар!$B$4)</f>
        <v>0</v>
      </c>
      <c r="O922" s="30">
        <f>Тўловлар[[#This Row],[Поддон]]*Тўловлар[[#This Row],[Поддон нархи]]</f>
        <v>0</v>
      </c>
      <c r="P922" s="30">
        <f>Тўловлар[[#This Row],[Жами сумма]]-Тўловлар[[#This Row],[Поддон пули]]</f>
        <v>0</v>
      </c>
      <c r="Q9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2" s="9" t="str">
        <f>IFERROR(INDEX(Мижозлар[Агент],MATCH($C922,Мижозлар[Расмий ном],0)),"")</f>
        <v/>
      </c>
    </row>
    <row r="923" spans="6:19" x14ac:dyDescent="0.2">
      <c r="F923" s="198"/>
      <c r="G923" s="9">
        <f>Тўловлар[[#This Row],[Поддон]]*$G$3</f>
        <v>0</v>
      </c>
      <c r="K923" s="9">
        <f>SUM(Тўловлар[[#This Row],[ПР-Сумма]]+Тўловлар[[#This Row],[Накд]]+Тўловлар[[#This Row],[Клик]]+Тўловлар[[#This Row],[Терминал]])</f>
        <v>0</v>
      </c>
      <c r="N923" s="30" cm="1">
        <f t="array" ref="N923">IFERROR(LOOKUP(2,1/((Товар!$D$4:$D$1110=Тўловлар[[#This Row],[Клиент]])*(Товар!$E$4:$E$1110&lt;=Тўловлар[[#This Row],[Дата]])),Товар!$L$4:$L$1110),Кўрсаткичлар!$B$4)</f>
        <v>0</v>
      </c>
      <c r="O923" s="30">
        <f>Тўловлар[[#This Row],[Поддон]]*Тўловлар[[#This Row],[Поддон нархи]]</f>
        <v>0</v>
      </c>
      <c r="P923" s="30">
        <f>Тўловлар[[#This Row],[Жами сумма]]-Тўловлар[[#This Row],[Поддон пули]]</f>
        <v>0</v>
      </c>
      <c r="Q9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3" s="9" t="str">
        <f>IFERROR(INDEX(Мижозлар[Агент],MATCH($C923,Мижозлар[Расмий ном],0)),"")</f>
        <v/>
      </c>
    </row>
    <row r="924" spans="6:19" x14ac:dyDescent="0.2">
      <c r="F924" s="198"/>
      <c r="G924" s="9">
        <f>Тўловлар[[#This Row],[Поддон]]*$G$3</f>
        <v>0</v>
      </c>
      <c r="K924" s="9">
        <f>SUM(Тўловлар[[#This Row],[ПР-Сумма]]+Тўловлар[[#This Row],[Накд]]+Тўловлар[[#This Row],[Клик]]+Тўловлар[[#This Row],[Терминал]])</f>
        <v>0</v>
      </c>
      <c r="N924" s="30" cm="1">
        <f t="array" ref="N924">IFERROR(LOOKUP(2,1/((Товар!$D$4:$D$1110=Тўловлар[[#This Row],[Клиент]])*(Товар!$E$4:$E$1110&lt;=Тўловлар[[#This Row],[Дата]])),Товар!$L$4:$L$1110),Кўрсаткичлар!$B$4)</f>
        <v>0</v>
      </c>
      <c r="O924" s="30">
        <f>Тўловлар[[#This Row],[Поддон]]*Тўловлар[[#This Row],[Поддон нархи]]</f>
        <v>0</v>
      </c>
      <c r="P924" s="30">
        <f>Тўловлар[[#This Row],[Жами сумма]]-Тўловлар[[#This Row],[Поддон пули]]</f>
        <v>0</v>
      </c>
      <c r="Q9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4" s="9" t="str">
        <f>IFERROR(INDEX(Мижозлар[Агент],MATCH($C924,Мижозлар[Расмий ном],0)),"")</f>
        <v/>
      </c>
    </row>
    <row r="925" spans="6:19" x14ac:dyDescent="0.2">
      <c r="F925" s="198"/>
      <c r="G925" s="9">
        <f>Тўловлар[[#This Row],[Поддон]]*$G$3</f>
        <v>0</v>
      </c>
      <c r="K925" s="9">
        <f>SUM(Тўловлар[[#This Row],[ПР-Сумма]]+Тўловлар[[#This Row],[Накд]]+Тўловлар[[#This Row],[Клик]]+Тўловлар[[#This Row],[Терминал]])</f>
        <v>0</v>
      </c>
      <c r="N925" s="30" cm="1">
        <f t="array" ref="N925">IFERROR(LOOKUP(2,1/((Товар!$D$4:$D$1110=Тўловлар[[#This Row],[Клиент]])*(Товар!$E$4:$E$1110&lt;=Тўловлар[[#This Row],[Дата]])),Товар!$L$4:$L$1110),Кўрсаткичлар!$B$4)</f>
        <v>0</v>
      </c>
      <c r="O925" s="30">
        <f>Тўловлар[[#This Row],[Поддон]]*Тўловлар[[#This Row],[Поддон нархи]]</f>
        <v>0</v>
      </c>
      <c r="P925" s="30">
        <f>Тўловлар[[#This Row],[Жами сумма]]-Тўловлар[[#This Row],[Поддон пули]]</f>
        <v>0</v>
      </c>
      <c r="Q9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5" s="9" t="str">
        <f>IFERROR(INDEX(Мижозлар[Агент],MATCH($C925,Мижозлар[Расмий ном],0)),"")</f>
        <v/>
      </c>
    </row>
    <row r="926" spans="6:19" x14ac:dyDescent="0.2">
      <c r="F926" s="198"/>
      <c r="G926" s="9">
        <f>Тўловлар[[#This Row],[Поддон]]*$G$3</f>
        <v>0</v>
      </c>
      <c r="K926" s="9">
        <f>SUM(Тўловлар[[#This Row],[ПР-Сумма]]+Тўловлар[[#This Row],[Накд]]+Тўловлар[[#This Row],[Клик]]+Тўловлар[[#This Row],[Терминал]])</f>
        <v>0</v>
      </c>
      <c r="N926" s="30" cm="1">
        <f t="array" ref="N926">IFERROR(LOOKUP(2,1/((Товар!$D$4:$D$1110=Тўловлар[[#This Row],[Клиент]])*(Товар!$E$4:$E$1110&lt;=Тўловлар[[#This Row],[Дата]])),Товар!$L$4:$L$1110),Кўрсаткичлар!$B$4)</f>
        <v>0</v>
      </c>
      <c r="O926" s="30">
        <f>Тўловлар[[#This Row],[Поддон]]*Тўловлар[[#This Row],[Поддон нархи]]</f>
        <v>0</v>
      </c>
      <c r="P926" s="30">
        <f>Тўловлар[[#This Row],[Жами сумма]]-Тўловлар[[#This Row],[Поддон пули]]</f>
        <v>0</v>
      </c>
      <c r="Q9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6" s="9" t="str">
        <f>IFERROR(INDEX(Мижозлар[Агент],MATCH($C926,Мижозлар[Расмий ном],0)),"")</f>
        <v/>
      </c>
    </row>
    <row r="927" spans="6:19" x14ac:dyDescent="0.2">
      <c r="F927" s="198"/>
      <c r="G927" s="9">
        <f>Тўловлар[[#This Row],[Поддон]]*$G$3</f>
        <v>0</v>
      </c>
      <c r="K927" s="9">
        <f>SUM(Тўловлар[[#This Row],[ПР-Сумма]]+Тўловлар[[#This Row],[Накд]]+Тўловлар[[#This Row],[Клик]]+Тўловлар[[#This Row],[Терминал]])</f>
        <v>0</v>
      </c>
      <c r="N927" s="30" cm="1">
        <f t="array" ref="N927">IFERROR(LOOKUP(2,1/((Товар!$D$4:$D$1110=Тўловлар[[#This Row],[Клиент]])*(Товар!$E$4:$E$1110&lt;=Тўловлар[[#This Row],[Дата]])),Товар!$L$4:$L$1110),Кўрсаткичлар!$B$4)</f>
        <v>0</v>
      </c>
      <c r="O927" s="30">
        <f>Тўловлар[[#This Row],[Поддон]]*Тўловлар[[#This Row],[Поддон нархи]]</f>
        <v>0</v>
      </c>
      <c r="P927" s="30">
        <f>Тўловлар[[#This Row],[Жами сумма]]-Тўловлар[[#This Row],[Поддон пули]]</f>
        <v>0</v>
      </c>
      <c r="Q9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7" s="9" t="str">
        <f>IFERROR(INDEX(Мижозлар[Агент],MATCH($C927,Мижозлар[Расмий ном],0)),"")</f>
        <v/>
      </c>
    </row>
    <row r="928" spans="6:19" x14ac:dyDescent="0.2">
      <c r="F928" s="198"/>
      <c r="G928" s="9">
        <f>Тўловлар[[#This Row],[Поддон]]*$G$3</f>
        <v>0</v>
      </c>
      <c r="K928" s="9">
        <f>SUM(Тўловлар[[#This Row],[ПР-Сумма]]+Тўловлар[[#This Row],[Накд]]+Тўловлар[[#This Row],[Клик]]+Тўловлар[[#This Row],[Терминал]])</f>
        <v>0</v>
      </c>
      <c r="N928" s="30" cm="1">
        <f t="array" ref="N928">IFERROR(LOOKUP(2,1/((Товар!$D$4:$D$1110=Тўловлар[[#This Row],[Клиент]])*(Товар!$E$4:$E$1110&lt;=Тўловлар[[#This Row],[Дата]])),Товар!$L$4:$L$1110),Кўрсаткичлар!$B$4)</f>
        <v>0</v>
      </c>
      <c r="O928" s="30">
        <f>Тўловлар[[#This Row],[Поддон]]*Тўловлар[[#This Row],[Поддон нархи]]</f>
        <v>0</v>
      </c>
      <c r="P928" s="30">
        <f>Тўловлар[[#This Row],[Жами сумма]]-Тўловлар[[#This Row],[Поддон пули]]</f>
        <v>0</v>
      </c>
      <c r="Q9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8" s="9" t="str">
        <f>IFERROR(INDEX(Мижозлар[Агент],MATCH($C928,Мижозлар[Расмий ном],0)),"")</f>
        <v/>
      </c>
    </row>
    <row r="929" spans="6:19" x14ac:dyDescent="0.2">
      <c r="F929" s="198"/>
      <c r="G929" s="9">
        <f>Тўловлар[[#This Row],[Поддон]]*$G$3</f>
        <v>0</v>
      </c>
      <c r="K929" s="9">
        <f>SUM(Тўловлар[[#This Row],[ПР-Сумма]]+Тўловлар[[#This Row],[Накд]]+Тўловлар[[#This Row],[Клик]]+Тўловлар[[#This Row],[Терминал]])</f>
        <v>0</v>
      </c>
      <c r="N929" s="30" cm="1">
        <f t="array" ref="N929">IFERROR(LOOKUP(2,1/((Товар!$D$4:$D$1110=Тўловлар[[#This Row],[Клиент]])*(Товар!$E$4:$E$1110&lt;=Тўловлар[[#This Row],[Дата]])),Товар!$L$4:$L$1110),Кўрсаткичлар!$B$4)</f>
        <v>0</v>
      </c>
      <c r="O929" s="30">
        <f>Тўловлар[[#This Row],[Поддон]]*Тўловлар[[#This Row],[Поддон нархи]]</f>
        <v>0</v>
      </c>
      <c r="P929" s="30">
        <f>Тўловлар[[#This Row],[Жами сумма]]-Тўловлар[[#This Row],[Поддон пули]]</f>
        <v>0</v>
      </c>
      <c r="Q9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29" s="9" t="str">
        <f>IFERROR(INDEX(Мижозлар[Агент],MATCH($C929,Мижозлар[Расмий ном],0)),"")</f>
        <v/>
      </c>
    </row>
    <row r="930" spans="6:19" x14ac:dyDescent="0.2">
      <c r="F930" s="198"/>
      <c r="G930" s="9">
        <f>Тўловлар[[#This Row],[Поддон]]*$G$3</f>
        <v>0</v>
      </c>
      <c r="K930" s="9">
        <f>SUM(Тўловлар[[#This Row],[ПР-Сумма]]+Тўловлар[[#This Row],[Накд]]+Тўловлар[[#This Row],[Клик]]+Тўловлар[[#This Row],[Терминал]])</f>
        <v>0</v>
      </c>
      <c r="N930" s="30" cm="1">
        <f t="array" ref="N930">IFERROR(LOOKUP(2,1/((Товар!$D$4:$D$1110=Тўловлар[[#This Row],[Клиент]])*(Товар!$E$4:$E$1110&lt;=Тўловлар[[#This Row],[Дата]])),Товар!$L$4:$L$1110),Кўрсаткичлар!$B$4)</f>
        <v>0</v>
      </c>
      <c r="O930" s="30">
        <f>Тўловлар[[#This Row],[Поддон]]*Тўловлар[[#This Row],[Поддон нархи]]</f>
        <v>0</v>
      </c>
      <c r="P930" s="30">
        <f>Тўловлар[[#This Row],[Жами сумма]]-Тўловлар[[#This Row],[Поддон пули]]</f>
        <v>0</v>
      </c>
      <c r="Q9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0" s="9" t="str">
        <f>IFERROR(INDEX(Мижозлар[Агент],MATCH($C930,Мижозлар[Расмий ном],0)),"")</f>
        <v/>
      </c>
    </row>
    <row r="931" spans="6:19" x14ac:dyDescent="0.2">
      <c r="F931" s="198"/>
      <c r="G931" s="9">
        <f>Тўловлар[[#This Row],[Поддон]]*$G$3</f>
        <v>0</v>
      </c>
      <c r="K931" s="9">
        <f>SUM(Тўловлар[[#This Row],[ПР-Сумма]]+Тўловлар[[#This Row],[Накд]]+Тўловлар[[#This Row],[Клик]]+Тўловлар[[#This Row],[Терминал]])</f>
        <v>0</v>
      </c>
      <c r="N931" s="30" cm="1">
        <f t="array" ref="N931">IFERROR(LOOKUP(2,1/((Товар!$D$4:$D$1110=Тўловлар[[#This Row],[Клиент]])*(Товар!$E$4:$E$1110&lt;=Тўловлар[[#This Row],[Дата]])),Товар!$L$4:$L$1110),Кўрсаткичлар!$B$4)</f>
        <v>0</v>
      </c>
      <c r="O931" s="30">
        <f>Тўловлар[[#This Row],[Поддон]]*Тўловлар[[#This Row],[Поддон нархи]]</f>
        <v>0</v>
      </c>
      <c r="P931" s="30">
        <f>Тўловлар[[#This Row],[Жами сумма]]-Тўловлар[[#This Row],[Поддон пули]]</f>
        <v>0</v>
      </c>
      <c r="Q9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1" s="9" t="str">
        <f>IFERROR(INDEX(Мижозлар[Агент],MATCH($C931,Мижозлар[Расмий ном],0)),"")</f>
        <v/>
      </c>
    </row>
    <row r="932" spans="6:19" x14ac:dyDescent="0.2">
      <c r="F932" s="198"/>
      <c r="G932" s="9">
        <f>Тўловлар[[#This Row],[Поддон]]*$G$3</f>
        <v>0</v>
      </c>
      <c r="K932" s="9">
        <f>SUM(Тўловлар[[#This Row],[ПР-Сумма]]+Тўловлар[[#This Row],[Накд]]+Тўловлар[[#This Row],[Клик]]+Тўловлар[[#This Row],[Терминал]])</f>
        <v>0</v>
      </c>
      <c r="N932" s="30" cm="1">
        <f t="array" ref="N932">IFERROR(LOOKUP(2,1/((Товар!$D$4:$D$1110=Тўловлар[[#This Row],[Клиент]])*(Товар!$E$4:$E$1110&lt;=Тўловлар[[#This Row],[Дата]])),Товар!$L$4:$L$1110),Кўрсаткичлар!$B$4)</f>
        <v>0</v>
      </c>
      <c r="O932" s="30">
        <f>Тўловлар[[#This Row],[Поддон]]*Тўловлар[[#This Row],[Поддон нархи]]</f>
        <v>0</v>
      </c>
      <c r="P932" s="30">
        <f>Тўловлар[[#This Row],[Жами сумма]]-Тўловлар[[#This Row],[Поддон пули]]</f>
        <v>0</v>
      </c>
      <c r="Q9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2" s="9" t="str">
        <f>IFERROR(INDEX(Мижозлар[Агент],MATCH($C932,Мижозлар[Расмий ном],0)),"")</f>
        <v/>
      </c>
    </row>
    <row r="933" spans="6:19" x14ac:dyDescent="0.2">
      <c r="F933" s="198"/>
      <c r="G933" s="9">
        <f>Тўловлар[[#This Row],[Поддон]]*$G$3</f>
        <v>0</v>
      </c>
      <c r="K933" s="9">
        <f>SUM(Тўловлар[[#This Row],[ПР-Сумма]]+Тўловлар[[#This Row],[Накд]]+Тўловлар[[#This Row],[Клик]]+Тўловлар[[#This Row],[Терминал]])</f>
        <v>0</v>
      </c>
      <c r="N933" s="30" cm="1">
        <f t="array" ref="N933">IFERROR(LOOKUP(2,1/((Товар!$D$4:$D$1110=Тўловлар[[#This Row],[Клиент]])*(Товар!$E$4:$E$1110&lt;=Тўловлар[[#This Row],[Дата]])),Товар!$L$4:$L$1110),Кўрсаткичлар!$B$4)</f>
        <v>0</v>
      </c>
      <c r="O933" s="30">
        <f>Тўловлар[[#This Row],[Поддон]]*Тўловлар[[#This Row],[Поддон нархи]]</f>
        <v>0</v>
      </c>
      <c r="P933" s="30">
        <f>Тўловлар[[#This Row],[Жами сумма]]-Тўловлар[[#This Row],[Поддон пули]]</f>
        <v>0</v>
      </c>
      <c r="Q9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3" s="9" t="str">
        <f>IFERROR(INDEX(Мижозлар[Агент],MATCH($C933,Мижозлар[Расмий ном],0)),"")</f>
        <v/>
      </c>
    </row>
    <row r="934" spans="6:19" x14ac:dyDescent="0.2">
      <c r="F934" s="198"/>
      <c r="G934" s="9">
        <f>Тўловлар[[#This Row],[Поддон]]*$G$3</f>
        <v>0</v>
      </c>
      <c r="K934" s="9">
        <f>SUM(Тўловлар[[#This Row],[ПР-Сумма]]+Тўловлар[[#This Row],[Накд]]+Тўловлар[[#This Row],[Клик]]+Тўловлар[[#This Row],[Терминал]])</f>
        <v>0</v>
      </c>
      <c r="N934" s="30" cm="1">
        <f t="array" ref="N934">IFERROR(LOOKUP(2,1/((Товар!$D$4:$D$1110=Тўловлар[[#This Row],[Клиент]])*(Товар!$E$4:$E$1110&lt;=Тўловлар[[#This Row],[Дата]])),Товар!$L$4:$L$1110),Кўрсаткичлар!$B$4)</f>
        <v>0</v>
      </c>
      <c r="O934" s="30">
        <f>Тўловлар[[#This Row],[Поддон]]*Тўловлар[[#This Row],[Поддон нархи]]</f>
        <v>0</v>
      </c>
      <c r="P934" s="30">
        <f>Тўловлар[[#This Row],[Жами сумма]]-Тўловлар[[#This Row],[Поддон пули]]</f>
        <v>0</v>
      </c>
      <c r="Q9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4" s="9" t="str">
        <f>IFERROR(INDEX(Мижозлар[Агент],MATCH($C934,Мижозлар[Расмий ном],0)),"")</f>
        <v/>
      </c>
    </row>
    <row r="935" spans="6:19" x14ac:dyDescent="0.2">
      <c r="F935" s="198"/>
      <c r="G935" s="9">
        <f>Тўловлар[[#This Row],[Поддон]]*$G$3</f>
        <v>0</v>
      </c>
      <c r="K935" s="9">
        <f>SUM(Тўловлар[[#This Row],[ПР-Сумма]]+Тўловлар[[#This Row],[Накд]]+Тўловлар[[#This Row],[Клик]]+Тўловлар[[#This Row],[Терминал]])</f>
        <v>0</v>
      </c>
      <c r="N935" s="30" cm="1">
        <f t="array" ref="N935">IFERROR(LOOKUP(2,1/((Товар!$D$4:$D$1110=Тўловлар[[#This Row],[Клиент]])*(Товар!$E$4:$E$1110&lt;=Тўловлар[[#This Row],[Дата]])),Товар!$L$4:$L$1110),Кўрсаткичлар!$B$4)</f>
        <v>0</v>
      </c>
      <c r="O935" s="30">
        <f>Тўловлар[[#This Row],[Поддон]]*Тўловлар[[#This Row],[Поддон нархи]]</f>
        <v>0</v>
      </c>
      <c r="P935" s="30">
        <f>Тўловлар[[#This Row],[Жами сумма]]-Тўловлар[[#This Row],[Поддон пули]]</f>
        <v>0</v>
      </c>
      <c r="Q9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5" s="9" t="str">
        <f>IFERROR(INDEX(Мижозлар[Агент],MATCH($C935,Мижозлар[Расмий ном],0)),"")</f>
        <v/>
      </c>
    </row>
    <row r="936" spans="6:19" x14ac:dyDescent="0.2">
      <c r="F936" s="198"/>
      <c r="G936" s="9">
        <f>Тўловлар[[#This Row],[Поддон]]*$G$3</f>
        <v>0</v>
      </c>
      <c r="K936" s="9">
        <f>SUM(Тўловлар[[#This Row],[ПР-Сумма]]+Тўловлар[[#This Row],[Накд]]+Тўловлар[[#This Row],[Клик]]+Тўловлар[[#This Row],[Терминал]])</f>
        <v>0</v>
      </c>
      <c r="N936" s="30" cm="1">
        <f t="array" ref="N936">IFERROR(LOOKUP(2,1/((Товар!$D$4:$D$1110=Тўловлар[[#This Row],[Клиент]])*(Товар!$E$4:$E$1110&lt;=Тўловлар[[#This Row],[Дата]])),Товар!$L$4:$L$1110),Кўрсаткичлар!$B$4)</f>
        <v>0</v>
      </c>
      <c r="O936" s="30">
        <f>Тўловлар[[#This Row],[Поддон]]*Тўловлар[[#This Row],[Поддон нархи]]</f>
        <v>0</v>
      </c>
      <c r="P936" s="30">
        <f>Тўловлар[[#This Row],[Жами сумма]]-Тўловлар[[#This Row],[Поддон пули]]</f>
        <v>0</v>
      </c>
      <c r="Q9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6" s="9" t="str">
        <f>IFERROR(INDEX(Мижозлар[Агент],MATCH($C936,Мижозлар[Расмий ном],0)),"")</f>
        <v/>
      </c>
    </row>
    <row r="937" spans="6:19" x14ac:dyDescent="0.2">
      <c r="F937" s="198"/>
      <c r="G937" s="9">
        <f>Тўловлар[[#This Row],[Поддон]]*$G$3</f>
        <v>0</v>
      </c>
      <c r="K937" s="9">
        <f>SUM(Тўловлар[[#This Row],[ПР-Сумма]]+Тўловлар[[#This Row],[Накд]]+Тўловлар[[#This Row],[Клик]]+Тўловлар[[#This Row],[Терминал]])</f>
        <v>0</v>
      </c>
      <c r="N937" s="30" cm="1">
        <f t="array" ref="N937">IFERROR(LOOKUP(2,1/((Товар!$D$4:$D$1110=Тўловлар[[#This Row],[Клиент]])*(Товар!$E$4:$E$1110&lt;=Тўловлар[[#This Row],[Дата]])),Товар!$L$4:$L$1110),Кўрсаткичлар!$B$4)</f>
        <v>0</v>
      </c>
      <c r="O937" s="30">
        <f>Тўловлар[[#This Row],[Поддон]]*Тўловлар[[#This Row],[Поддон нархи]]</f>
        <v>0</v>
      </c>
      <c r="P937" s="30">
        <f>Тўловлар[[#This Row],[Жами сумма]]-Тўловлар[[#This Row],[Поддон пули]]</f>
        <v>0</v>
      </c>
      <c r="Q9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7" s="9" t="str">
        <f>IFERROR(INDEX(Мижозлар[Агент],MATCH($C937,Мижозлар[Расмий ном],0)),"")</f>
        <v/>
      </c>
    </row>
    <row r="938" spans="6:19" x14ac:dyDescent="0.2">
      <c r="F938" s="198"/>
      <c r="G938" s="9">
        <f>Тўловлар[[#This Row],[Поддон]]*$G$3</f>
        <v>0</v>
      </c>
      <c r="K938" s="9">
        <f>SUM(Тўловлар[[#This Row],[ПР-Сумма]]+Тўловлар[[#This Row],[Накд]]+Тўловлар[[#This Row],[Клик]]+Тўловлар[[#This Row],[Терминал]])</f>
        <v>0</v>
      </c>
      <c r="N938" s="30" cm="1">
        <f t="array" ref="N938">IFERROR(LOOKUP(2,1/((Товар!$D$4:$D$1110=Тўловлар[[#This Row],[Клиент]])*(Товар!$E$4:$E$1110&lt;=Тўловлар[[#This Row],[Дата]])),Товар!$L$4:$L$1110),Кўрсаткичлар!$B$4)</f>
        <v>0</v>
      </c>
      <c r="O938" s="30">
        <f>Тўловлар[[#This Row],[Поддон]]*Тўловлар[[#This Row],[Поддон нархи]]</f>
        <v>0</v>
      </c>
      <c r="P938" s="30">
        <f>Тўловлар[[#This Row],[Жами сумма]]-Тўловлар[[#This Row],[Поддон пули]]</f>
        <v>0</v>
      </c>
      <c r="Q9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8" s="9" t="str">
        <f>IFERROR(INDEX(Мижозлар[Агент],MATCH($C938,Мижозлар[Расмий ном],0)),"")</f>
        <v/>
      </c>
    </row>
    <row r="939" spans="6:19" x14ac:dyDescent="0.2">
      <c r="F939" s="198"/>
      <c r="G939" s="9">
        <f>Тўловлар[[#This Row],[Поддон]]*$G$3</f>
        <v>0</v>
      </c>
      <c r="K939" s="9">
        <f>SUM(Тўловлар[[#This Row],[ПР-Сумма]]+Тўловлар[[#This Row],[Накд]]+Тўловлар[[#This Row],[Клик]]+Тўловлар[[#This Row],[Терминал]])</f>
        <v>0</v>
      </c>
      <c r="N939" s="30" cm="1">
        <f t="array" ref="N939">IFERROR(LOOKUP(2,1/((Товар!$D$4:$D$1110=Тўловлар[[#This Row],[Клиент]])*(Товар!$E$4:$E$1110&lt;=Тўловлар[[#This Row],[Дата]])),Товар!$L$4:$L$1110),Кўрсаткичлар!$B$4)</f>
        <v>0</v>
      </c>
      <c r="O939" s="30">
        <f>Тўловлар[[#This Row],[Поддон]]*Тўловлар[[#This Row],[Поддон нархи]]</f>
        <v>0</v>
      </c>
      <c r="P939" s="30">
        <f>Тўловлар[[#This Row],[Жами сумма]]-Тўловлар[[#This Row],[Поддон пули]]</f>
        <v>0</v>
      </c>
      <c r="Q9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39" s="9" t="str">
        <f>IFERROR(INDEX(Мижозлар[Агент],MATCH($C939,Мижозлар[Расмий ном],0)),"")</f>
        <v/>
      </c>
    </row>
    <row r="940" spans="6:19" x14ac:dyDescent="0.2">
      <c r="F940" s="198"/>
      <c r="G940" s="9">
        <f>Тўловлар[[#This Row],[Поддон]]*$G$3</f>
        <v>0</v>
      </c>
      <c r="K940" s="9">
        <f>SUM(Тўловлар[[#This Row],[ПР-Сумма]]+Тўловлар[[#This Row],[Накд]]+Тўловлар[[#This Row],[Клик]]+Тўловлар[[#This Row],[Терминал]])</f>
        <v>0</v>
      </c>
      <c r="N940" s="30" cm="1">
        <f t="array" ref="N940">IFERROR(LOOKUP(2,1/((Товар!$D$4:$D$1110=Тўловлар[[#This Row],[Клиент]])*(Товар!$E$4:$E$1110&lt;=Тўловлар[[#This Row],[Дата]])),Товар!$L$4:$L$1110),Кўрсаткичлар!$B$4)</f>
        <v>0</v>
      </c>
      <c r="O940" s="30">
        <f>Тўловлар[[#This Row],[Поддон]]*Тўловлар[[#This Row],[Поддон нархи]]</f>
        <v>0</v>
      </c>
      <c r="P940" s="30">
        <f>Тўловлар[[#This Row],[Жами сумма]]-Тўловлар[[#This Row],[Поддон пули]]</f>
        <v>0</v>
      </c>
      <c r="Q9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0" s="9" t="str">
        <f>IFERROR(INDEX(Мижозлар[Агент],MATCH($C940,Мижозлар[Расмий ном],0)),"")</f>
        <v/>
      </c>
    </row>
    <row r="941" spans="6:19" x14ac:dyDescent="0.2">
      <c r="F941" s="198"/>
      <c r="G941" s="9">
        <f>Тўловлар[[#This Row],[Поддон]]*$G$3</f>
        <v>0</v>
      </c>
      <c r="K941" s="9">
        <f>SUM(Тўловлар[[#This Row],[ПР-Сумма]]+Тўловлар[[#This Row],[Накд]]+Тўловлар[[#This Row],[Клик]]+Тўловлар[[#This Row],[Терминал]])</f>
        <v>0</v>
      </c>
      <c r="N941" s="30" cm="1">
        <f t="array" ref="N941">IFERROR(LOOKUP(2,1/((Товар!$D$4:$D$1110=Тўловлар[[#This Row],[Клиент]])*(Товар!$E$4:$E$1110&lt;=Тўловлар[[#This Row],[Дата]])),Товар!$L$4:$L$1110),Кўрсаткичлар!$B$4)</f>
        <v>0</v>
      </c>
      <c r="O941" s="30">
        <f>Тўловлар[[#This Row],[Поддон]]*Тўловлар[[#This Row],[Поддон нархи]]</f>
        <v>0</v>
      </c>
      <c r="P941" s="30">
        <f>Тўловлар[[#This Row],[Жами сумма]]-Тўловлар[[#This Row],[Поддон пули]]</f>
        <v>0</v>
      </c>
      <c r="Q9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1" s="9" t="str">
        <f>IFERROR(INDEX(Мижозлар[Агент],MATCH($C941,Мижозлар[Расмий ном],0)),"")</f>
        <v/>
      </c>
    </row>
    <row r="942" spans="6:19" x14ac:dyDescent="0.2">
      <c r="F942" s="198"/>
      <c r="G942" s="9">
        <f>Тўловлар[[#This Row],[Поддон]]*$G$3</f>
        <v>0</v>
      </c>
      <c r="K942" s="9">
        <f>SUM(Тўловлар[[#This Row],[ПР-Сумма]]+Тўловлар[[#This Row],[Накд]]+Тўловлар[[#This Row],[Клик]]+Тўловлар[[#This Row],[Терминал]])</f>
        <v>0</v>
      </c>
      <c r="N942" s="30" cm="1">
        <f t="array" ref="N942">IFERROR(LOOKUP(2,1/((Товар!$D$4:$D$1110=Тўловлар[[#This Row],[Клиент]])*(Товар!$E$4:$E$1110&lt;=Тўловлар[[#This Row],[Дата]])),Товар!$L$4:$L$1110),Кўрсаткичлар!$B$4)</f>
        <v>0</v>
      </c>
      <c r="O942" s="30">
        <f>Тўловлар[[#This Row],[Поддон]]*Тўловлар[[#This Row],[Поддон нархи]]</f>
        <v>0</v>
      </c>
      <c r="P942" s="30">
        <f>Тўловлар[[#This Row],[Жами сумма]]-Тўловлар[[#This Row],[Поддон пули]]</f>
        <v>0</v>
      </c>
      <c r="Q9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2" s="9" t="str">
        <f>IFERROR(INDEX(Мижозлар[Агент],MATCH($C942,Мижозлар[Расмий ном],0)),"")</f>
        <v/>
      </c>
    </row>
    <row r="943" spans="6:19" x14ac:dyDescent="0.2">
      <c r="F943" s="198"/>
      <c r="G943" s="9">
        <f>Тўловлар[[#This Row],[Поддон]]*$G$3</f>
        <v>0</v>
      </c>
      <c r="K943" s="9">
        <f>SUM(Тўловлар[[#This Row],[ПР-Сумма]]+Тўловлар[[#This Row],[Накд]]+Тўловлар[[#This Row],[Клик]]+Тўловлар[[#This Row],[Терминал]])</f>
        <v>0</v>
      </c>
      <c r="N943" s="30" cm="1">
        <f t="array" ref="N943">IFERROR(LOOKUP(2,1/((Товар!$D$4:$D$1110=Тўловлар[[#This Row],[Клиент]])*(Товар!$E$4:$E$1110&lt;=Тўловлар[[#This Row],[Дата]])),Товар!$L$4:$L$1110),Кўрсаткичлар!$B$4)</f>
        <v>0</v>
      </c>
      <c r="O943" s="30">
        <f>Тўловлар[[#This Row],[Поддон]]*Тўловлар[[#This Row],[Поддон нархи]]</f>
        <v>0</v>
      </c>
      <c r="P943" s="30">
        <f>Тўловлар[[#This Row],[Жами сумма]]-Тўловлар[[#This Row],[Поддон пули]]</f>
        <v>0</v>
      </c>
      <c r="Q9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3" s="9" t="str">
        <f>IFERROR(INDEX(Мижозлар[Агент],MATCH($C943,Мижозлар[Расмий ном],0)),"")</f>
        <v/>
      </c>
    </row>
    <row r="944" spans="6:19" x14ac:dyDescent="0.2">
      <c r="F944" s="198"/>
      <c r="G944" s="9">
        <f>Тўловлар[[#This Row],[Поддон]]*$G$3</f>
        <v>0</v>
      </c>
      <c r="K944" s="9">
        <f>SUM(Тўловлар[[#This Row],[ПР-Сумма]]+Тўловлар[[#This Row],[Накд]]+Тўловлар[[#This Row],[Клик]]+Тўловлар[[#This Row],[Терминал]])</f>
        <v>0</v>
      </c>
      <c r="N944" s="30" cm="1">
        <f t="array" ref="N944">IFERROR(LOOKUP(2,1/((Товар!$D$4:$D$1110=Тўловлар[[#This Row],[Клиент]])*(Товар!$E$4:$E$1110&lt;=Тўловлар[[#This Row],[Дата]])),Товар!$L$4:$L$1110),Кўрсаткичлар!$B$4)</f>
        <v>0</v>
      </c>
      <c r="O944" s="30">
        <f>Тўловлар[[#This Row],[Поддон]]*Тўловлар[[#This Row],[Поддон нархи]]</f>
        <v>0</v>
      </c>
      <c r="P944" s="30">
        <f>Тўловлар[[#This Row],[Жами сумма]]-Тўловлар[[#This Row],[Поддон пули]]</f>
        <v>0</v>
      </c>
      <c r="Q9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4" s="9" t="str">
        <f>IFERROR(INDEX(Мижозлар[Агент],MATCH($C944,Мижозлар[Расмий ном],0)),"")</f>
        <v/>
      </c>
    </row>
    <row r="945" spans="6:19" x14ac:dyDescent="0.2">
      <c r="F945" s="198"/>
      <c r="G945" s="9">
        <f>Тўловлар[[#This Row],[Поддон]]*$G$3</f>
        <v>0</v>
      </c>
      <c r="K945" s="9">
        <f>SUM(Тўловлар[[#This Row],[ПР-Сумма]]+Тўловлар[[#This Row],[Накд]]+Тўловлар[[#This Row],[Клик]]+Тўловлар[[#This Row],[Терминал]])</f>
        <v>0</v>
      </c>
      <c r="N945" s="30" cm="1">
        <f t="array" ref="N945">IFERROR(LOOKUP(2,1/((Товар!$D$4:$D$1110=Тўловлар[[#This Row],[Клиент]])*(Товар!$E$4:$E$1110&lt;=Тўловлар[[#This Row],[Дата]])),Товар!$L$4:$L$1110),Кўрсаткичлар!$B$4)</f>
        <v>0</v>
      </c>
      <c r="O945" s="30">
        <f>Тўловлар[[#This Row],[Поддон]]*Тўловлар[[#This Row],[Поддон нархи]]</f>
        <v>0</v>
      </c>
      <c r="P945" s="30">
        <f>Тўловлар[[#This Row],[Жами сумма]]-Тўловлар[[#This Row],[Поддон пули]]</f>
        <v>0</v>
      </c>
      <c r="Q9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5" s="9" t="str">
        <f>IFERROR(INDEX(Мижозлар[Агент],MATCH($C945,Мижозлар[Расмий ном],0)),"")</f>
        <v/>
      </c>
    </row>
    <row r="946" spans="6:19" x14ac:dyDescent="0.2">
      <c r="F946" s="198"/>
      <c r="G946" s="9">
        <f>Тўловлар[[#This Row],[Поддон]]*$G$3</f>
        <v>0</v>
      </c>
      <c r="K946" s="9">
        <f>SUM(Тўловлар[[#This Row],[ПР-Сумма]]+Тўловлар[[#This Row],[Накд]]+Тўловлар[[#This Row],[Клик]]+Тўловлар[[#This Row],[Терминал]])</f>
        <v>0</v>
      </c>
      <c r="N946" s="30" cm="1">
        <f t="array" ref="N946">IFERROR(LOOKUP(2,1/((Товар!$D$4:$D$1110=Тўловлар[[#This Row],[Клиент]])*(Товар!$E$4:$E$1110&lt;=Тўловлар[[#This Row],[Дата]])),Товар!$L$4:$L$1110),Кўрсаткичлар!$B$4)</f>
        <v>0</v>
      </c>
      <c r="O946" s="30">
        <f>Тўловлар[[#This Row],[Поддон]]*Тўловлар[[#This Row],[Поддон нархи]]</f>
        <v>0</v>
      </c>
      <c r="P946" s="30">
        <f>Тўловлар[[#This Row],[Жами сумма]]-Тўловлар[[#This Row],[Поддон пули]]</f>
        <v>0</v>
      </c>
      <c r="Q9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6" s="9" t="str">
        <f>IFERROR(INDEX(Мижозлар[Агент],MATCH($C946,Мижозлар[Расмий ном],0)),"")</f>
        <v/>
      </c>
    </row>
    <row r="947" spans="6:19" x14ac:dyDescent="0.2">
      <c r="F947" s="198"/>
      <c r="G947" s="9">
        <f>Тўловлар[[#This Row],[Поддон]]*$G$3</f>
        <v>0</v>
      </c>
      <c r="K947" s="9">
        <f>SUM(Тўловлар[[#This Row],[ПР-Сумма]]+Тўловлар[[#This Row],[Накд]]+Тўловлар[[#This Row],[Клик]]+Тўловлар[[#This Row],[Терминал]])</f>
        <v>0</v>
      </c>
      <c r="N947" s="30" cm="1">
        <f t="array" ref="N947">IFERROR(LOOKUP(2,1/((Товар!$D$4:$D$1110=Тўловлар[[#This Row],[Клиент]])*(Товар!$E$4:$E$1110&lt;=Тўловлар[[#This Row],[Дата]])),Товар!$L$4:$L$1110),Кўрсаткичлар!$B$4)</f>
        <v>0</v>
      </c>
      <c r="O947" s="30">
        <f>Тўловлар[[#This Row],[Поддон]]*Тўловлар[[#This Row],[Поддон нархи]]</f>
        <v>0</v>
      </c>
      <c r="P947" s="30">
        <f>Тўловлар[[#This Row],[Жами сумма]]-Тўловлар[[#This Row],[Поддон пули]]</f>
        <v>0</v>
      </c>
      <c r="Q9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7" s="9" t="str">
        <f>IFERROR(INDEX(Мижозлар[Агент],MATCH($C947,Мижозлар[Расмий ном],0)),"")</f>
        <v/>
      </c>
    </row>
    <row r="948" spans="6:19" x14ac:dyDescent="0.2">
      <c r="F948" s="198"/>
      <c r="G948" s="9">
        <f>Тўловлар[[#This Row],[Поддон]]*$G$3</f>
        <v>0</v>
      </c>
      <c r="K948" s="9">
        <f>SUM(Тўловлар[[#This Row],[ПР-Сумма]]+Тўловлар[[#This Row],[Накд]]+Тўловлар[[#This Row],[Клик]]+Тўловлар[[#This Row],[Терминал]])</f>
        <v>0</v>
      </c>
      <c r="N948" s="30" cm="1">
        <f t="array" ref="N948">IFERROR(LOOKUP(2,1/((Товар!$D$4:$D$1110=Тўловлар[[#This Row],[Клиент]])*(Товар!$E$4:$E$1110&lt;=Тўловлар[[#This Row],[Дата]])),Товар!$L$4:$L$1110),Кўрсаткичлар!$B$4)</f>
        <v>0</v>
      </c>
      <c r="O948" s="30">
        <f>Тўловлар[[#This Row],[Поддон]]*Тўловлар[[#This Row],[Поддон нархи]]</f>
        <v>0</v>
      </c>
      <c r="P948" s="30">
        <f>Тўловлар[[#This Row],[Жами сумма]]-Тўловлар[[#This Row],[Поддон пули]]</f>
        <v>0</v>
      </c>
      <c r="Q9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8" s="9" t="str">
        <f>IFERROR(INDEX(Мижозлар[Агент],MATCH($C948,Мижозлар[Расмий ном],0)),"")</f>
        <v/>
      </c>
    </row>
    <row r="949" spans="6:19" x14ac:dyDescent="0.2">
      <c r="F949" s="198"/>
      <c r="G949" s="9">
        <f>Тўловлар[[#This Row],[Поддон]]*$G$3</f>
        <v>0</v>
      </c>
      <c r="K949" s="9">
        <f>SUM(Тўловлар[[#This Row],[ПР-Сумма]]+Тўловлар[[#This Row],[Накд]]+Тўловлар[[#This Row],[Клик]]+Тўловлар[[#This Row],[Терминал]])</f>
        <v>0</v>
      </c>
      <c r="N949" s="30" cm="1">
        <f t="array" ref="N949">IFERROR(LOOKUP(2,1/((Товар!$D$4:$D$1110=Тўловлар[[#This Row],[Клиент]])*(Товар!$E$4:$E$1110&lt;=Тўловлар[[#This Row],[Дата]])),Товар!$L$4:$L$1110),Кўрсаткичлар!$B$4)</f>
        <v>0</v>
      </c>
      <c r="O949" s="30">
        <f>Тўловлар[[#This Row],[Поддон]]*Тўловлар[[#This Row],[Поддон нархи]]</f>
        <v>0</v>
      </c>
      <c r="P949" s="30">
        <f>Тўловлар[[#This Row],[Жами сумма]]-Тўловлар[[#This Row],[Поддон пули]]</f>
        <v>0</v>
      </c>
      <c r="Q9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49" s="9" t="str">
        <f>IFERROR(INDEX(Мижозлар[Агент],MATCH($C949,Мижозлар[Расмий ном],0)),"")</f>
        <v/>
      </c>
    </row>
    <row r="950" spans="6:19" x14ac:dyDescent="0.2">
      <c r="F950" s="198"/>
      <c r="G950" s="9">
        <f>Тўловлар[[#This Row],[Поддон]]*$G$3</f>
        <v>0</v>
      </c>
      <c r="K950" s="9">
        <f>SUM(Тўловлар[[#This Row],[ПР-Сумма]]+Тўловлар[[#This Row],[Накд]]+Тўловлар[[#This Row],[Клик]]+Тўловлар[[#This Row],[Терминал]])</f>
        <v>0</v>
      </c>
      <c r="N950" s="30" cm="1">
        <f t="array" ref="N950">IFERROR(LOOKUP(2,1/((Товар!$D$4:$D$1110=Тўловлар[[#This Row],[Клиент]])*(Товар!$E$4:$E$1110&lt;=Тўловлар[[#This Row],[Дата]])),Товар!$L$4:$L$1110),Кўрсаткичлар!$B$4)</f>
        <v>0</v>
      </c>
      <c r="O950" s="30">
        <f>Тўловлар[[#This Row],[Поддон]]*Тўловлар[[#This Row],[Поддон нархи]]</f>
        <v>0</v>
      </c>
      <c r="P950" s="30">
        <f>Тўловлар[[#This Row],[Жами сумма]]-Тўловлар[[#This Row],[Поддон пули]]</f>
        <v>0</v>
      </c>
      <c r="Q9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0" s="9" t="str">
        <f>IFERROR(INDEX(Мижозлар[Агент],MATCH($C950,Мижозлар[Расмий ном],0)),"")</f>
        <v/>
      </c>
    </row>
    <row r="951" spans="6:19" x14ac:dyDescent="0.2">
      <c r="F951" s="198"/>
      <c r="G951" s="9">
        <f>Тўловлар[[#This Row],[Поддон]]*$G$3</f>
        <v>0</v>
      </c>
      <c r="K951" s="9">
        <f>SUM(Тўловлар[[#This Row],[ПР-Сумма]]+Тўловлар[[#This Row],[Накд]]+Тўловлар[[#This Row],[Клик]]+Тўловлар[[#This Row],[Терминал]])</f>
        <v>0</v>
      </c>
      <c r="N951" s="30" cm="1">
        <f t="array" ref="N951">IFERROR(LOOKUP(2,1/((Товар!$D$4:$D$1110=Тўловлар[[#This Row],[Клиент]])*(Товар!$E$4:$E$1110&lt;=Тўловлар[[#This Row],[Дата]])),Товар!$L$4:$L$1110),Кўрсаткичлар!$B$4)</f>
        <v>0</v>
      </c>
      <c r="O951" s="30">
        <f>Тўловлар[[#This Row],[Поддон]]*Тўловлар[[#This Row],[Поддон нархи]]</f>
        <v>0</v>
      </c>
      <c r="P951" s="30">
        <f>Тўловлар[[#This Row],[Жами сумма]]-Тўловлар[[#This Row],[Поддон пули]]</f>
        <v>0</v>
      </c>
      <c r="Q9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1" s="9" t="str">
        <f>IFERROR(INDEX(Мижозлар[Агент],MATCH($C951,Мижозлар[Расмий ном],0)),"")</f>
        <v/>
      </c>
    </row>
    <row r="952" spans="6:19" x14ac:dyDescent="0.2">
      <c r="F952" s="198"/>
      <c r="G952" s="9">
        <f>Тўловлар[[#This Row],[Поддон]]*$G$3</f>
        <v>0</v>
      </c>
      <c r="K952" s="9">
        <f>SUM(Тўловлар[[#This Row],[ПР-Сумма]]+Тўловлар[[#This Row],[Накд]]+Тўловлар[[#This Row],[Клик]]+Тўловлар[[#This Row],[Терминал]])</f>
        <v>0</v>
      </c>
      <c r="N952" s="30" cm="1">
        <f t="array" ref="N952">IFERROR(LOOKUP(2,1/((Товар!$D$4:$D$1110=Тўловлар[[#This Row],[Клиент]])*(Товар!$E$4:$E$1110&lt;=Тўловлар[[#This Row],[Дата]])),Товар!$L$4:$L$1110),Кўрсаткичлар!$B$4)</f>
        <v>0</v>
      </c>
      <c r="O952" s="30">
        <f>Тўловлар[[#This Row],[Поддон]]*Тўловлар[[#This Row],[Поддон нархи]]</f>
        <v>0</v>
      </c>
      <c r="P952" s="30">
        <f>Тўловлар[[#This Row],[Жами сумма]]-Тўловлар[[#This Row],[Поддон пули]]</f>
        <v>0</v>
      </c>
      <c r="Q9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2" s="9" t="str">
        <f>IFERROR(INDEX(Мижозлар[Агент],MATCH($C952,Мижозлар[Расмий ном],0)),"")</f>
        <v/>
      </c>
    </row>
    <row r="953" spans="6:19" x14ac:dyDescent="0.2">
      <c r="F953" s="198"/>
      <c r="G953" s="9">
        <f>Тўловлар[[#This Row],[Поддон]]*$G$3</f>
        <v>0</v>
      </c>
      <c r="K953" s="9">
        <f>SUM(Тўловлар[[#This Row],[ПР-Сумма]]+Тўловлар[[#This Row],[Накд]]+Тўловлар[[#This Row],[Клик]]+Тўловлар[[#This Row],[Терминал]])</f>
        <v>0</v>
      </c>
      <c r="N953" s="30" cm="1">
        <f t="array" ref="N953">IFERROR(LOOKUP(2,1/((Товар!$D$4:$D$1110=Тўловлар[[#This Row],[Клиент]])*(Товар!$E$4:$E$1110&lt;=Тўловлар[[#This Row],[Дата]])),Товар!$L$4:$L$1110),Кўрсаткичлар!$B$4)</f>
        <v>0</v>
      </c>
      <c r="O953" s="30">
        <f>Тўловлар[[#This Row],[Поддон]]*Тўловлар[[#This Row],[Поддон нархи]]</f>
        <v>0</v>
      </c>
      <c r="P953" s="30">
        <f>Тўловлар[[#This Row],[Жами сумма]]-Тўловлар[[#This Row],[Поддон пули]]</f>
        <v>0</v>
      </c>
      <c r="Q9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3" s="9" t="str">
        <f>IFERROR(INDEX(Мижозлар[Агент],MATCH($C953,Мижозлар[Расмий ном],0)),"")</f>
        <v/>
      </c>
    </row>
    <row r="954" spans="6:19" x14ac:dyDescent="0.2">
      <c r="F954" s="198"/>
      <c r="G954" s="9">
        <f>Тўловлар[[#This Row],[Поддон]]*$G$3</f>
        <v>0</v>
      </c>
      <c r="K954" s="9">
        <f>SUM(Тўловлар[[#This Row],[ПР-Сумма]]+Тўловлар[[#This Row],[Накд]]+Тўловлар[[#This Row],[Клик]]+Тўловлар[[#This Row],[Терминал]])</f>
        <v>0</v>
      </c>
      <c r="N954" s="30" cm="1">
        <f t="array" ref="N954">IFERROR(LOOKUP(2,1/((Товар!$D$4:$D$1110=Тўловлар[[#This Row],[Клиент]])*(Товар!$E$4:$E$1110&lt;=Тўловлар[[#This Row],[Дата]])),Товар!$L$4:$L$1110),Кўрсаткичлар!$B$4)</f>
        <v>0</v>
      </c>
      <c r="O954" s="30">
        <f>Тўловлар[[#This Row],[Поддон]]*Тўловлар[[#This Row],[Поддон нархи]]</f>
        <v>0</v>
      </c>
      <c r="P954" s="30">
        <f>Тўловлар[[#This Row],[Жами сумма]]-Тўловлар[[#This Row],[Поддон пули]]</f>
        <v>0</v>
      </c>
      <c r="Q9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4" s="9" t="str">
        <f>IFERROR(INDEX(Мижозлар[Агент],MATCH($C954,Мижозлар[Расмий ном],0)),"")</f>
        <v/>
      </c>
    </row>
    <row r="955" spans="6:19" x14ac:dyDescent="0.2">
      <c r="F955" s="198"/>
      <c r="G955" s="9">
        <f>Тўловлар[[#This Row],[Поддон]]*$G$3</f>
        <v>0</v>
      </c>
      <c r="K955" s="9">
        <f>SUM(Тўловлар[[#This Row],[ПР-Сумма]]+Тўловлар[[#This Row],[Накд]]+Тўловлар[[#This Row],[Клик]]+Тўловлар[[#This Row],[Терминал]])</f>
        <v>0</v>
      </c>
      <c r="N955" s="30" cm="1">
        <f t="array" ref="N955">IFERROR(LOOKUP(2,1/((Товар!$D$4:$D$1110=Тўловлар[[#This Row],[Клиент]])*(Товар!$E$4:$E$1110&lt;=Тўловлар[[#This Row],[Дата]])),Товар!$L$4:$L$1110),Кўрсаткичлар!$B$4)</f>
        <v>0</v>
      </c>
      <c r="O955" s="30">
        <f>Тўловлар[[#This Row],[Поддон]]*Тўловлар[[#This Row],[Поддон нархи]]</f>
        <v>0</v>
      </c>
      <c r="P955" s="30">
        <f>Тўловлар[[#This Row],[Жами сумма]]-Тўловлар[[#This Row],[Поддон пули]]</f>
        <v>0</v>
      </c>
      <c r="Q9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5" s="9" t="str">
        <f>IFERROR(INDEX(Мижозлар[Агент],MATCH($C955,Мижозлар[Расмий ном],0)),"")</f>
        <v/>
      </c>
    </row>
    <row r="956" spans="6:19" x14ac:dyDescent="0.2">
      <c r="F956" s="198"/>
      <c r="G956" s="9">
        <f>Тўловлар[[#This Row],[Поддон]]*$G$3</f>
        <v>0</v>
      </c>
      <c r="K956" s="9">
        <f>SUM(Тўловлар[[#This Row],[ПР-Сумма]]+Тўловлар[[#This Row],[Накд]]+Тўловлар[[#This Row],[Клик]]+Тўловлар[[#This Row],[Терминал]])</f>
        <v>0</v>
      </c>
      <c r="N956" s="30" cm="1">
        <f t="array" ref="N956">IFERROR(LOOKUP(2,1/((Товар!$D$4:$D$1110=Тўловлар[[#This Row],[Клиент]])*(Товар!$E$4:$E$1110&lt;=Тўловлар[[#This Row],[Дата]])),Товар!$L$4:$L$1110),Кўрсаткичлар!$B$4)</f>
        <v>0</v>
      </c>
      <c r="O956" s="30">
        <f>Тўловлар[[#This Row],[Поддон]]*Тўловлар[[#This Row],[Поддон нархи]]</f>
        <v>0</v>
      </c>
      <c r="P956" s="30">
        <f>Тўловлар[[#This Row],[Жами сумма]]-Тўловлар[[#This Row],[Поддон пули]]</f>
        <v>0</v>
      </c>
      <c r="Q9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6" s="9" t="str">
        <f>IFERROR(INDEX(Мижозлар[Агент],MATCH($C956,Мижозлар[Расмий ном],0)),"")</f>
        <v/>
      </c>
    </row>
    <row r="957" spans="6:19" x14ac:dyDescent="0.2">
      <c r="F957" s="198"/>
      <c r="G957" s="9">
        <f>Тўловлар[[#This Row],[Поддон]]*$G$3</f>
        <v>0</v>
      </c>
      <c r="K957" s="9">
        <f>SUM(Тўловлар[[#This Row],[ПР-Сумма]]+Тўловлар[[#This Row],[Накд]]+Тўловлар[[#This Row],[Клик]]+Тўловлар[[#This Row],[Терминал]])</f>
        <v>0</v>
      </c>
      <c r="N957" s="30" cm="1">
        <f t="array" ref="N957">IFERROR(LOOKUP(2,1/((Товар!$D$4:$D$1110=Тўловлар[[#This Row],[Клиент]])*(Товар!$E$4:$E$1110&lt;=Тўловлар[[#This Row],[Дата]])),Товар!$L$4:$L$1110),Кўрсаткичлар!$B$4)</f>
        <v>0</v>
      </c>
      <c r="O957" s="30">
        <f>Тўловлар[[#This Row],[Поддон]]*Тўловлар[[#This Row],[Поддон нархи]]</f>
        <v>0</v>
      </c>
      <c r="P957" s="30">
        <f>Тўловлар[[#This Row],[Жами сумма]]-Тўловлар[[#This Row],[Поддон пули]]</f>
        <v>0</v>
      </c>
      <c r="Q9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7" s="9" t="str">
        <f>IFERROR(INDEX(Мижозлар[Агент],MATCH($C957,Мижозлар[Расмий ном],0)),"")</f>
        <v/>
      </c>
    </row>
    <row r="958" spans="6:19" x14ac:dyDescent="0.2">
      <c r="F958" s="198"/>
      <c r="G958" s="9">
        <f>Тўловлар[[#This Row],[Поддон]]*$G$3</f>
        <v>0</v>
      </c>
      <c r="K958" s="9">
        <f>SUM(Тўловлар[[#This Row],[ПР-Сумма]]+Тўловлар[[#This Row],[Накд]]+Тўловлар[[#This Row],[Клик]]+Тўловлар[[#This Row],[Терминал]])</f>
        <v>0</v>
      </c>
      <c r="N958" s="30" cm="1">
        <f t="array" ref="N958">IFERROR(LOOKUP(2,1/((Товар!$D$4:$D$1110=Тўловлар[[#This Row],[Клиент]])*(Товар!$E$4:$E$1110&lt;=Тўловлар[[#This Row],[Дата]])),Товар!$L$4:$L$1110),Кўрсаткичлар!$B$4)</f>
        <v>0</v>
      </c>
      <c r="O958" s="30">
        <f>Тўловлар[[#This Row],[Поддон]]*Тўловлар[[#This Row],[Поддон нархи]]</f>
        <v>0</v>
      </c>
      <c r="P958" s="30">
        <f>Тўловлар[[#This Row],[Жами сумма]]-Тўловлар[[#This Row],[Поддон пули]]</f>
        <v>0</v>
      </c>
      <c r="Q9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8" s="9" t="str">
        <f>IFERROR(INDEX(Мижозлар[Агент],MATCH($C958,Мижозлар[Расмий ном],0)),"")</f>
        <v/>
      </c>
    </row>
    <row r="959" spans="6:19" x14ac:dyDescent="0.2">
      <c r="F959" s="198"/>
      <c r="G959" s="9">
        <f>Тўловлар[[#This Row],[Поддон]]*$G$3</f>
        <v>0</v>
      </c>
      <c r="K959" s="9">
        <f>SUM(Тўловлар[[#This Row],[ПР-Сумма]]+Тўловлар[[#This Row],[Накд]]+Тўловлар[[#This Row],[Клик]]+Тўловлар[[#This Row],[Терминал]])</f>
        <v>0</v>
      </c>
      <c r="N959" s="30" cm="1">
        <f t="array" ref="N959">IFERROR(LOOKUP(2,1/((Товар!$D$4:$D$1110=Тўловлар[[#This Row],[Клиент]])*(Товар!$E$4:$E$1110&lt;=Тўловлар[[#This Row],[Дата]])),Товар!$L$4:$L$1110),Кўрсаткичлар!$B$4)</f>
        <v>0</v>
      </c>
      <c r="O959" s="30">
        <f>Тўловлар[[#This Row],[Поддон]]*Тўловлар[[#This Row],[Поддон нархи]]</f>
        <v>0</v>
      </c>
      <c r="P959" s="30">
        <f>Тўловлар[[#This Row],[Жами сумма]]-Тўловлар[[#This Row],[Поддон пули]]</f>
        <v>0</v>
      </c>
      <c r="Q9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59" s="9" t="str">
        <f>IFERROR(INDEX(Мижозлар[Агент],MATCH($C959,Мижозлар[Расмий ном],0)),"")</f>
        <v/>
      </c>
    </row>
    <row r="960" spans="6:19" x14ac:dyDescent="0.2">
      <c r="F960" s="198"/>
      <c r="G960" s="9">
        <f>Тўловлар[[#This Row],[Поддон]]*$G$3</f>
        <v>0</v>
      </c>
      <c r="K960" s="9">
        <f>SUM(Тўловлар[[#This Row],[ПР-Сумма]]+Тўловлар[[#This Row],[Накд]]+Тўловлар[[#This Row],[Клик]]+Тўловлар[[#This Row],[Терминал]])</f>
        <v>0</v>
      </c>
      <c r="N960" s="30" cm="1">
        <f t="array" ref="N960">IFERROR(LOOKUP(2,1/((Товар!$D$4:$D$1110=Тўловлар[[#This Row],[Клиент]])*(Товар!$E$4:$E$1110&lt;=Тўловлар[[#This Row],[Дата]])),Товар!$L$4:$L$1110),Кўрсаткичлар!$B$4)</f>
        <v>0</v>
      </c>
      <c r="O960" s="30">
        <f>Тўловлар[[#This Row],[Поддон]]*Тўловлар[[#This Row],[Поддон нархи]]</f>
        <v>0</v>
      </c>
      <c r="P960" s="30">
        <f>Тўловлар[[#This Row],[Жами сумма]]-Тўловлар[[#This Row],[Поддон пули]]</f>
        <v>0</v>
      </c>
      <c r="Q9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0" s="9" t="str">
        <f>IFERROR(INDEX(Мижозлар[Агент],MATCH($C960,Мижозлар[Расмий ном],0)),"")</f>
        <v/>
      </c>
    </row>
    <row r="961" spans="6:19" x14ac:dyDescent="0.2">
      <c r="F961" s="198"/>
      <c r="G961" s="9">
        <f>Тўловлар[[#This Row],[Поддон]]*$G$3</f>
        <v>0</v>
      </c>
      <c r="K961" s="9">
        <f>SUM(Тўловлар[[#This Row],[ПР-Сумма]]+Тўловлар[[#This Row],[Накд]]+Тўловлар[[#This Row],[Клик]]+Тўловлар[[#This Row],[Терминал]])</f>
        <v>0</v>
      </c>
      <c r="N961" s="30" cm="1">
        <f t="array" ref="N961">IFERROR(LOOKUP(2,1/((Товар!$D$4:$D$1110=Тўловлар[[#This Row],[Клиент]])*(Товар!$E$4:$E$1110&lt;=Тўловлар[[#This Row],[Дата]])),Товар!$L$4:$L$1110),Кўрсаткичлар!$B$4)</f>
        <v>0</v>
      </c>
      <c r="O961" s="30">
        <f>Тўловлар[[#This Row],[Поддон]]*Тўловлар[[#This Row],[Поддон нархи]]</f>
        <v>0</v>
      </c>
      <c r="P961" s="30">
        <f>Тўловлар[[#This Row],[Жами сумма]]-Тўловлар[[#This Row],[Поддон пули]]</f>
        <v>0</v>
      </c>
      <c r="Q9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1" s="9" t="str">
        <f>IFERROR(INDEX(Мижозлар[Агент],MATCH($C961,Мижозлар[Расмий ном],0)),"")</f>
        <v/>
      </c>
    </row>
    <row r="962" spans="6:19" x14ac:dyDescent="0.2">
      <c r="F962" s="198"/>
      <c r="G962" s="9">
        <f>Тўловлар[[#This Row],[Поддон]]*$G$3</f>
        <v>0</v>
      </c>
      <c r="K962" s="9">
        <f>SUM(Тўловлар[[#This Row],[ПР-Сумма]]+Тўловлар[[#This Row],[Накд]]+Тўловлар[[#This Row],[Клик]]+Тўловлар[[#This Row],[Терминал]])</f>
        <v>0</v>
      </c>
      <c r="N962" s="30" cm="1">
        <f t="array" ref="N962">IFERROR(LOOKUP(2,1/((Товар!$D$4:$D$1110=Тўловлар[[#This Row],[Клиент]])*(Товар!$E$4:$E$1110&lt;=Тўловлар[[#This Row],[Дата]])),Товар!$L$4:$L$1110),Кўрсаткичлар!$B$4)</f>
        <v>0</v>
      </c>
      <c r="O962" s="30">
        <f>Тўловлар[[#This Row],[Поддон]]*Тўловлар[[#This Row],[Поддон нархи]]</f>
        <v>0</v>
      </c>
      <c r="P962" s="30">
        <f>Тўловлар[[#This Row],[Жами сумма]]-Тўловлар[[#This Row],[Поддон пули]]</f>
        <v>0</v>
      </c>
      <c r="Q9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2" s="9" t="str">
        <f>IFERROR(INDEX(Мижозлар[Агент],MATCH($C962,Мижозлар[Расмий ном],0)),"")</f>
        <v/>
      </c>
    </row>
    <row r="963" spans="6:19" x14ac:dyDescent="0.2">
      <c r="F963" s="198"/>
      <c r="G963" s="9">
        <f>Тўловлар[[#This Row],[Поддон]]*$G$3</f>
        <v>0</v>
      </c>
      <c r="K963" s="9">
        <f>SUM(Тўловлар[[#This Row],[ПР-Сумма]]+Тўловлар[[#This Row],[Накд]]+Тўловлар[[#This Row],[Клик]]+Тўловлар[[#This Row],[Терминал]])</f>
        <v>0</v>
      </c>
      <c r="N963" s="30" cm="1">
        <f t="array" ref="N963">IFERROR(LOOKUP(2,1/((Товар!$D$4:$D$1110=Тўловлар[[#This Row],[Клиент]])*(Товар!$E$4:$E$1110&lt;=Тўловлар[[#This Row],[Дата]])),Товар!$L$4:$L$1110),Кўрсаткичлар!$B$4)</f>
        <v>0</v>
      </c>
      <c r="O963" s="30">
        <f>Тўловлар[[#This Row],[Поддон]]*Тўловлар[[#This Row],[Поддон нархи]]</f>
        <v>0</v>
      </c>
      <c r="P963" s="30">
        <f>Тўловлар[[#This Row],[Жами сумма]]-Тўловлар[[#This Row],[Поддон пули]]</f>
        <v>0</v>
      </c>
      <c r="Q9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3" s="9" t="str">
        <f>IFERROR(INDEX(Мижозлар[Агент],MATCH($C963,Мижозлар[Расмий ном],0)),"")</f>
        <v/>
      </c>
    </row>
    <row r="964" spans="6:19" x14ac:dyDescent="0.2">
      <c r="F964" s="198"/>
      <c r="G964" s="9">
        <f>Тўловлар[[#This Row],[Поддон]]*$G$3</f>
        <v>0</v>
      </c>
      <c r="K964" s="9">
        <f>SUM(Тўловлар[[#This Row],[ПР-Сумма]]+Тўловлар[[#This Row],[Накд]]+Тўловлар[[#This Row],[Клик]]+Тўловлар[[#This Row],[Терминал]])</f>
        <v>0</v>
      </c>
      <c r="N964" s="30" cm="1">
        <f t="array" ref="N964">IFERROR(LOOKUP(2,1/((Товар!$D$4:$D$1110=Тўловлар[[#This Row],[Клиент]])*(Товар!$E$4:$E$1110&lt;=Тўловлар[[#This Row],[Дата]])),Товар!$L$4:$L$1110),Кўрсаткичлар!$B$4)</f>
        <v>0</v>
      </c>
      <c r="O964" s="30">
        <f>Тўловлар[[#This Row],[Поддон]]*Тўловлар[[#This Row],[Поддон нархи]]</f>
        <v>0</v>
      </c>
      <c r="P964" s="30">
        <f>Тўловлар[[#This Row],[Жами сумма]]-Тўловлар[[#This Row],[Поддон пули]]</f>
        <v>0</v>
      </c>
      <c r="Q96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4" s="9" t="str">
        <f>IFERROR(INDEX(Мижозлар[Агент],MATCH($C964,Мижозлар[Расмий ном],0)),"")</f>
        <v/>
      </c>
    </row>
    <row r="965" spans="6:19" x14ac:dyDescent="0.2">
      <c r="F965" s="198"/>
      <c r="G965" s="9">
        <f>Тўловлар[[#This Row],[Поддон]]*$G$3</f>
        <v>0</v>
      </c>
      <c r="K965" s="9">
        <f>SUM(Тўловлар[[#This Row],[ПР-Сумма]]+Тўловлар[[#This Row],[Накд]]+Тўловлар[[#This Row],[Клик]]+Тўловлар[[#This Row],[Терминал]])</f>
        <v>0</v>
      </c>
      <c r="N965" s="30" cm="1">
        <f t="array" ref="N965">IFERROR(LOOKUP(2,1/((Товар!$D$4:$D$1110=Тўловлар[[#This Row],[Клиент]])*(Товар!$E$4:$E$1110&lt;=Тўловлар[[#This Row],[Дата]])),Товар!$L$4:$L$1110),Кўрсаткичлар!$B$4)</f>
        <v>0</v>
      </c>
      <c r="O965" s="30">
        <f>Тўловлар[[#This Row],[Поддон]]*Тўловлар[[#This Row],[Поддон нархи]]</f>
        <v>0</v>
      </c>
      <c r="P965" s="30">
        <f>Тўловлар[[#This Row],[Жами сумма]]-Тўловлар[[#This Row],[Поддон пули]]</f>
        <v>0</v>
      </c>
      <c r="Q96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5" s="9" t="str">
        <f>IFERROR(INDEX(Мижозлар[Агент],MATCH($C965,Мижозлар[Расмий ном],0)),"")</f>
        <v/>
      </c>
    </row>
    <row r="966" spans="6:19" x14ac:dyDescent="0.2">
      <c r="F966" s="198"/>
      <c r="G966" s="9">
        <f>Тўловлар[[#This Row],[Поддон]]*$G$3</f>
        <v>0</v>
      </c>
      <c r="K966" s="9">
        <f>SUM(Тўловлар[[#This Row],[ПР-Сумма]]+Тўловлар[[#This Row],[Накд]]+Тўловлар[[#This Row],[Клик]]+Тўловлар[[#This Row],[Терминал]])</f>
        <v>0</v>
      </c>
      <c r="N966" s="30" cm="1">
        <f t="array" ref="N966">IFERROR(LOOKUP(2,1/((Товар!$D$4:$D$1110=Тўловлар[[#This Row],[Клиент]])*(Товар!$E$4:$E$1110&lt;=Тўловлар[[#This Row],[Дата]])),Товар!$L$4:$L$1110),Кўрсаткичлар!$B$4)</f>
        <v>0</v>
      </c>
      <c r="O966" s="30">
        <f>Тўловлар[[#This Row],[Поддон]]*Тўловлар[[#This Row],[Поддон нархи]]</f>
        <v>0</v>
      </c>
      <c r="P966" s="30">
        <f>Тўловлар[[#This Row],[Жами сумма]]-Тўловлар[[#This Row],[Поддон пули]]</f>
        <v>0</v>
      </c>
      <c r="Q96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6" s="9" t="str">
        <f>IFERROR(INDEX(Мижозлар[Агент],MATCH($C966,Мижозлар[Расмий ном],0)),"")</f>
        <v/>
      </c>
    </row>
    <row r="967" spans="6:19" x14ac:dyDescent="0.2">
      <c r="F967" s="198"/>
      <c r="G967" s="9">
        <f>Тўловлар[[#This Row],[Поддон]]*$G$3</f>
        <v>0</v>
      </c>
      <c r="K967" s="9">
        <f>SUM(Тўловлар[[#This Row],[ПР-Сумма]]+Тўловлар[[#This Row],[Накд]]+Тўловлар[[#This Row],[Клик]]+Тўловлар[[#This Row],[Терминал]])</f>
        <v>0</v>
      </c>
      <c r="N967" s="30" cm="1">
        <f t="array" ref="N967">IFERROR(LOOKUP(2,1/((Товар!$D$4:$D$1110=Тўловлар[[#This Row],[Клиент]])*(Товар!$E$4:$E$1110&lt;=Тўловлар[[#This Row],[Дата]])),Товар!$L$4:$L$1110),Кўрсаткичлар!$B$4)</f>
        <v>0</v>
      </c>
      <c r="O967" s="30">
        <f>Тўловлар[[#This Row],[Поддон]]*Тўловлар[[#This Row],[Поддон нархи]]</f>
        <v>0</v>
      </c>
      <c r="P967" s="30">
        <f>Тўловлар[[#This Row],[Жами сумма]]-Тўловлар[[#This Row],[Поддон пули]]</f>
        <v>0</v>
      </c>
      <c r="Q96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7" s="9" t="str">
        <f>IFERROR(INDEX(Мижозлар[Агент],MATCH($C967,Мижозлар[Расмий ном],0)),"")</f>
        <v/>
      </c>
    </row>
    <row r="968" spans="6:19" x14ac:dyDescent="0.2">
      <c r="F968" s="198"/>
      <c r="G968" s="9">
        <f>Тўловлар[[#This Row],[Поддон]]*$G$3</f>
        <v>0</v>
      </c>
      <c r="K968" s="9">
        <f>SUM(Тўловлар[[#This Row],[ПР-Сумма]]+Тўловлар[[#This Row],[Накд]]+Тўловлар[[#This Row],[Клик]]+Тўловлар[[#This Row],[Терминал]])</f>
        <v>0</v>
      </c>
      <c r="N968" s="30" cm="1">
        <f t="array" ref="N968">IFERROR(LOOKUP(2,1/((Товар!$D$4:$D$1110=Тўловлар[[#This Row],[Клиент]])*(Товар!$E$4:$E$1110&lt;=Тўловлар[[#This Row],[Дата]])),Товар!$L$4:$L$1110),Кўрсаткичлар!$B$4)</f>
        <v>0</v>
      </c>
      <c r="O968" s="30">
        <f>Тўловлар[[#This Row],[Поддон]]*Тўловлар[[#This Row],[Поддон нархи]]</f>
        <v>0</v>
      </c>
      <c r="P968" s="30">
        <f>Тўловлар[[#This Row],[Жами сумма]]-Тўловлар[[#This Row],[Поддон пули]]</f>
        <v>0</v>
      </c>
      <c r="Q96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8" s="9" t="str">
        <f>IFERROR(INDEX(Мижозлар[Агент],MATCH($C968,Мижозлар[Расмий ном],0)),"")</f>
        <v/>
      </c>
    </row>
    <row r="969" spans="6:19" x14ac:dyDescent="0.2">
      <c r="F969" s="198"/>
      <c r="G969" s="9">
        <f>Тўловлар[[#This Row],[Поддон]]*$G$3</f>
        <v>0</v>
      </c>
      <c r="K969" s="9">
        <f>SUM(Тўловлар[[#This Row],[ПР-Сумма]]+Тўловлар[[#This Row],[Накд]]+Тўловлар[[#This Row],[Клик]]+Тўловлар[[#This Row],[Терминал]])</f>
        <v>0</v>
      </c>
      <c r="N969" s="30" cm="1">
        <f t="array" ref="N969">IFERROR(LOOKUP(2,1/((Товар!$D$4:$D$1110=Тўловлар[[#This Row],[Клиент]])*(Товар!$E$4:$E$1110&lt;=Тўловлар[[#This Row],[Дата]])),Товар!$L$4:$L$1110),Кўрсаткичлар!$B$4)</f>
        <v>0</v>
      </c>
      <c r="O969" s="30">
        <f>Тўловлар[[#This Row],[Поддон]]*Тўловлар[[#This Row],[Поддон нархи]]</f>
        <v>0</v>
      </c>
      <c r="P969" s="30">
        <f>Тўловлар[[#This Row],[Жами сумма]]-Тўловлар[[#This Row],[Поддон пули]]</f>
        <v>0</v>
      </c>
      <c r="Q96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6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69" s="9" t="str">
        <f>IFERROR(INDEX(Мижозлар[Агент],MATCH($C969,Мижозлар[Расмий ном],0)),"")</f>
        <v/>
      </c>
    </row>
    <row r="970" spans="6:19" x14ac:dyDescent="0.2">
      <c r="F970" s="198"/>
      <c r="G970" s="9">
        <f>Тўловлар[[#This Row],[Поддон]]*$G$3</f>
        <v>0</v>
      </c>
      <c r="K970" s="9">
        <f>SUM(Тўловлар[[#This Row],[ПР-Сумма]]+Тўловлар[[#This Row],[Накд]]+Тўловлар[[#This Row],[Клик]]+Тўловлар[[#This Row],[Терминал]])</f>
        <v>0</v>
      </c>
      <c r="N970" s="30" cm="1">
        <f t="array" ref="N970">IFERROR(LOOKUP(2,1/((Товар!$D$4:$D$1110=Тўловлар[[#This Row],[Клиент]])*(Товар!$E$4:$E$1110&lt;=Тўловлар[[#This Row],[Дата]])),Товар!$L$4:$L$1110),Кўрсаткичлар!$B$4)</f>
        <v>0</v>
      </c>
      <c r="O970" s="30">
        <f>Тўловлар[[#This Row],[Поддон]]*Тўловлар[[#This Row],[Поддон нархи]]</f>
        <v>0</v>
      </c>
      <c r="P970" s="30">
        <f>Тўловлар[[#This Row],[Жами сумма]]-Тўловлар[[#This Row],[Поддон пули]]</f>
        <v>0</v>
      </c>
      <c r="Q97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0" s="9" t="str">
        <f>IFERROR(INDEX(Мижозлар[Агент],MATCH($C970,Мижозлар[Расмий ном],0)),"")</f>
        <v/>
      </c>
    </row>
    <row r="971" spans="6:19" x14ac:dyDescent="0.2">
      <c r="F971" s="198"/>
      <c r="G971" s="9">
        <f>Тўловлар[[#This Row],[Поддон]]*$G$3</f>
        <v>0</v>
      </c>
      <c r="K971" s="9">
        <f>SUM(Тўловлар[[#This Row],[ПР-Сумма]]+Тўловлар[[#This Row],[Накд]]+Тўловлар[[#This Row],[Клик]]+Тўловлар[[#This Row],[Терминал]])</f>
        <v>0</v>
      </c>
      <c r="N971" s="30" cm="1">
        <f t="array" ref="N971">IFERROR(LOOKUP(2,1/((Товар!$D$4:$D$1110=Тўловлар[[#This Row],[Клиент]])*(Товар!$E$4:$E$1110&lt;=Тўловлар[[#This Row],[Дата]])),Товар!$L$4:$L$1110),Кўрсаткичлар!$B$4)</f>
        <v>0</v>
      </c>
      <c r="O971" s="30">
        <f>Тўловлар[[#This Row],[Поддон]]*Тўловлар[[#This Row],[Поддон нархи]]</f>
        <v>0</v>
      </c>
      <c r="P971" s="30">
        <f>Тўловлар[[#This Row],[Жами сумма]]-Тўловлар[[#This Row],[Поддон пули]]</f>
        <v>0</v>
      </c>
      <c r="Q97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1" s="9" t="str">
        <f>IFERROR(INDEX(Мижозлар[Агент],MATCH($C971,Мижозлар[Расмий ном],0)),"")</f>
        <v/>
      </c>
    </row>
    <row r="972" spans="6:19" x14ac:dyDescent="0.2">
      <c r="F972" s="198"/>
      <c r="G972" s="9">
        <f>Тўловлар[[#This Row],[Поддон]]*$G$3</f>
        <v>0</v>
      </c>
      <c r="K972" s="9">
        <f>SUM(Тўловлар[[#This Row],[ПР-Сумма]]+Тўловлар[[#This Row],[Накд]]+Тўловлар[[#This Row],[Клик]]+Тўловлар[[#This Row],[Терминал]])</f>
        <v>0</v>
      </c>
      <c r="N972" s="30" cm="1">
        <f t="array" ref="N972">IFERROR(LOOKUP(2,1/((Товар!$D$4:$D$1110=Тўловлар[[#This Row],[Клиент]])*(Товар!$E$4:$E$1110&lt;=Тўловлар[[#This Row],[Дата]])),Товар!$L$4:$L$1110),Кўрсаткичлар!$B$4)</f>
        <v>0</v>
      </c>
      <c r="O972" s="30">
        <f>Тўловлар[[#This Row],[Поддон]]*Тўловлар[[#This Row],[Поддон нархи]]</f>
        <v>0</v>
      </c>
      <c r="P972" s="30">
        <f>Тўловлар[[#This Row],[Жами сумма]]-Тўловлар[[#This Row],[Поддон пули]]</f>
        <v>0</v>
      </c>
      <c r="Q97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2" s="9" t="str">
        <f>IFERROR(INDEX(Мижозлар[Агент],MATCH($C972,Мижозлар[Расмий ном],0)),"")</f>
        <v/>
      </c>
    </row>
    <row r="973" spans="6:19" x14ac:dyDescent="0.2">
      <c r="F973" s="198"/>
      <c r="G973" s="9">
        <f>Тўловлар[[#This Row],[Поддон]]*$G$3</f>
        <v>0</v>
      </c>
      <c r="K973" s="9">
        <f>SUM(Тўловлар[[#This Row],[ПР-Сумма]]+Тўловлар[[#This Row],[Накд]]+Тўловлар[[#This Row],[Клик]]+Тўловлар[[#This Row],[Терминал]])</f>
        <v>0</v>
      </c>
      <c r="N973" s="30" cm="1">
        <f t="array" ref="N973">IFERROR(LOOKUP(2,1/((Товар!$D$4:$D$1110=Тўловлар[[#This Row],[Клиент]])*(Товар!$E$4:$E$1110&lt;=Тўловлар[[#This Row],[Дата]])),Товар!$L$4:$L$1110),Кўрсаткичлар!$B$4)</f>
        <v>0</v>
      </c>
      <c r="O973" s="30">
        <f>Тўловлар[[#This Row],[Поддон]]*Тўловлар[[#This Row],[Поддон нархи]]</f>
        <v>0</v>
      </c>
      <c r="P973" s="30">
        <f>Тўловлар[[#This Row],[Жами сумма]]-Тўловлар[[#This Row],[Поддон пули]]</f>
        <v>0</v>
      </c>
      <c r="Q97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3" s="9" t="str">
        <f>IFERROR(INDEX(Мижозлар[Агент],MATCH($C973,Мижозлар[Расмий ном],0)),"")</f>
        <v/>
      </c>
    </row>
    <row r="974" spans="6:19" x14ac:dyDescent="0.2">
      <c r="F974" s="198"/>
      <c r="G974" s="9">
        <f>Тўловлар[[#This Row],[Поддон]]*$G$3</f>
        <v>0</v>
      </c>
      <c r="K974" s="9">
        <f>SUM(Тўловлар[[#This Row],[ПР-Сумма]]+Тўловлар[[#This Row],[Накд]]+Тўловлар[[#This Row],[Клик]]+Тўловлар[[#This Row],[Терминал]])</f>
        <v>0</v>
      </c>
      <c r="N974" s="30" cm="1">
        <f t="array" ref="N974">IFERROR(LOOKUP(2,1/((Товар!$D$4:$D$1110=Тўловлар[[#This Row],[Клиент]])*(Товар!$E$4:$E$1110&lt;=Тўловлар[[#This Row],[Дата]])),Товар!$L$4:$L$1110),Кўрсаткичлар!$B$4)</f>
        <v>0</v>
      </c>
      <c r="O974" s="30">
        <f>Тўловлар[[#This Row],[Поддон]]*Тўловлар[[#This Row],[Поддон нархи]]</f>
        <v>0</v>
      </c>
      <c r="P974" s="30">
        <f>Тўловлар[[#This Row],[Жами сумма]]-Тўловлар[[#This Row],[Поддон пули]]</f>
        <v>0</v>
      </c>
      <c r="Q97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4" s="9" t="str">
        <f>IFERROR(INDEX(Мижозлар[Агент],MATCH($C974,Мижозлар[Расмий ном],0)),"")</f>
        <v/>
      </c>
    </row>
    <row r="975" spans="6:19" x14ac:dyDescent="0.2">
      <c r="F975" s="198"/>
      <c r="G975" s="9">
        <f>Тўловлар[[#This Row],[Поддон]]*$G$3</f>
        <v>0</v>
      </c>
      <c r="K975" s="9">
        <f>SUM(Тўловлар[[#This Row],[ПР-Сумма]]+Тўловлар[[#This Row],[Накд]]+Тўловлар[[#This Row],[Клик]]+Тўловлар[[#This Row],[Терминал]])</f>
        <v>0</v>
      </c>
      <c r="N975" s="30" cm="1">
        <f t="array" ref="N975">IFERROR(LOOKUP(2,1/((Товар!$D$4:$D$1110=Тўловлар[[#This Row],[Клиент]])*(Товар!$E$4:$E$1110&lt;=Тўловлар[[#This Row],[Дата]])),Товар!$L$4:$L$1110),Кўрсаткичлар!$B$4)</f>
        <v>0</v>
      </c>
      <c r="O975" s="30">
        <f>Тўловлар[[#This Row],[Поддон]]*Тўловлар[[#This Row],[Поддон нархи]]</f>
        <v>0</v>
      </c>
      <c r="P975" s="30">
        <f>Тўловлар[[#This Row],[Жами сумма]]-Тўловлар[[#This Row],[Поддон пули]]</f>
        <v>0</v>
      </c>
      <c r="Q97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5" s="9" t="str">
        <f>IFERROR(INDEX(Мижозлар[Агент],MATCH($C975,Мижозлар[Расмий ном],0)),"")</f>
        <v/>
      </c>
    </row>
    <row r="976" spans="6:19" x14ac:dyDescent="0.2">
      <c r="F976" s="198"/>
      <c r="G976" s="9">
        <f>Тўловлар[[#This Row],[Поддон]]*$G$3</f>
        <v>0</v>
      </c>
      <c r="K976" s="9">
        <f>SUM(Тўловлар[[#This Row],[ПР-Сумма]]+Тўловлар[[#This Row],[Накд]]+Тўловлар[[#This Row],[Клик]]+Тўловлар[[#This Row],[Терминал]])</f>
        <v>0</v>
      </c>
      <c r="N976" s="30" cm="1">
        <f t="array" ref="N976">IFERROR(LOOKUP(2,1/((Товар!$D$4:$D$1110=Тўловлар[[#This Row],[Клиент]])*(Товар!$E$4:$E$1110&lt;=Тўловлар[[#This Row],[Дата]])),Товар!$L$4:$L$1110),Кўрсаткичлар!$B$4)</f>
        <v>0</v>
      </c>
      <c r="O976" s="30">
        <f>Тўловлар[[#This Row],[Поддон]]*Тўловлар[[#This Row],[Поддон нархи]]</f>
        <v>0</v>
      </c>
      <c r="P976" s="30">
        <f>Тўловлар[[#This Row],[Жами сумма]]-Тўловлар[[#This Row],[Поддон пули]]</f>
        <v>0</v>
      </c>
      <c r="Q97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6" s="9" t="str">
        <f>IFERROR(INDEX(Мижозлар[Агент],MATCH($C976,Мижозлар[Расмий ном],0)),"")</f>
        <v/>
      </c>
    </row>
    <row r="977" spans="6:19" x14ac:dyDescent="0.2">
      <c r="F977" s="198"/>
      <c r="G977" s="9">
        <f>Тўловлар[[#This Row],[Поддон]]*$G$3</f>
        <v>0</v>
      </c>
      <c r="K977" s="9">
        <f>SUM(Тўловлар[[#This Row],[ПР-Сумма]]+Тўловлар[[#This Row],[Накд]]+Тўловлар[[#This Row],[Клик]]+Тўловлар[[#This Row],[Терминал]])</f>
        <v>0</v>
      </c>
      <c r="N977" s="30" cm="1">
        <f t="array" ref="N977">IFERROR(LOOKUP(2,1/((Товар!$D$4:$D$1110=Тўловлар[[#This Row],[Клиент]])*(Товар!$E$4:$E$1110&lt;=Тўловлар[[#This Row],[Дата]])),Товар!$L$4:$L$1110),Кўрсаткичлар!$B$4)</f>
        <v>0</v>
      </c>
      <c r="O977" s="30">
        <f>Тўловлар[[#This Row],[Поддон]]*Тўловлар[[#This Row],[Поддон нархи]]</f>
        <v>0</v>
      </c>
      <c r="P977" s="30">
        <f>Тўловлар[[#This Row],[Жами сумма]]-Тўловлар[[#This Row],[Поддон пули]]</f>
        <v>0</v>
      </c>
      <c r="Q97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7" s="9" t="str">
        <f>IFERROR(INDEX(Мижозлар[Агент],MATCH($C977,Мижозлар[Расмий ном],0)),"")</f>
        <v/>
      </c>
    </row>
    <row r="978" spans="6:19" x14ac:dyDescent="0.2">
      <c r="F978" s="198"/>
      <c r="G978" s="9">
        <f>Тўловлар[[#This Row],[Поддон]]*$G$3</f>
        <v>0</v>
      </c>
      <c r="K978" s="9">
        <f>SUM(Тўловлар[[#This Row],[ПР-Сумма]]+Тўловлар[[#This Row],[Накд]]+Тўловлар[[#This Row],[Клик]]+Тўловлар[[#This Row],[Терминал]])</f>
        <v>0</v>
      </c>
      <c r="N978" s="30" cm="1">
        <f t="array" ref="N978">IFERROR(LOOKUP(2,1/((Товар!$D$4:$D$1110=Тўловлар[[#This Row],[Клиент]])*(Товар!$E$4:$E$1110&lt;=Тўловлар[[#This Row],[Дата]])),Товар!$L$4:$L$1110),Кўрсаткичлар!$B$4)</f>
        <v>0</v>
      </c>
      <c r="O978" s="30">
        <f>Тўловлар[[#This Row],[Поддон]]*Тўловлар[[#This Row],[Поддон нархи]]</f>
        <v>0</v>
      </c>
      <c r="P978" s="30">
        <f>Тўловлар[[#This Row],[Жами сумма]]-Тўловлар[[#This Row],[Поддон пули]]</f>
        <v>0</v>
      </c>
      <c r="Q97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8" s="9" t="str">
        <f>IFERROR(INDEX(Мижозлар[Агент],MATCH($C978,Мижозлар[Расмий ном],0)),"")</f>
        <v/>
      </c>
    </row>
    <row r="979" spans="6:19" x14ac:dyDescent="0.2">
      <c r="F979" s="198"/>
      <c r="G979" s="9">
        <f>Тўловлар[[#This Row],[Поддон]]*$G$3</f>
        <v>0</v>
      </c>
      <c r="K979" s="9">
        <f>SUM(Тўловлар[[#This Row],[ПР-Сумма]]+Тўловлар[[#This Row],[Накд]]+Тўловлар[[#This Row],[Клик]]+Тўловлар[[#This Row],[Терминал]])</f>
        <v>0</v>
      </c>
      <c r="N979" s="30" cm="1">
        <f t="array" ref="N979">IFERROR(LOOKUP(2,1/((Товар!$D$4:$D$1110=Тўловлар[[#This Row],[Клиент]])*(Товар!$E$4:$E$1110&lt;=Тўловлар[[#This Row],[Дата]])),Товар!$L$4:$L$1110),Кўрсаткичлар!$B$4)</f>
        <v>0</v>
      </c>
      <c r="O979" s="30">
        <f>Тўловлар[[#This Row],[Поддон]]*Тўловлар[[#This Row],[Поддон нархи]]</f>
        <v>0</v>
      </c>
      <c r="P979" s="30">
        <f>Тўловлар[[#This Row],[Жами сумма]]-Тўловлар[[#This Row],[Поддон пули]]</f>
        <v>0</v>
      </c>
      <c r="Q97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7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79" s="9" t="str">
        <f>IFERROR(INDEX(Мижозлар[Агент],MATCH($C979,Мижозлар[Расмий ном],0)),"")</f>
        <v/>
      </c>
    </row>
    <row r="980" spans="6:19" x14ac:dyDescent="0.2">
      <c r="F980" s="198"/>
      <c r="G980" s="9">
        <f>Тўловлар[[#This Row],[Поддон]]*$G$3</f>
        <v>0</v>
      </c>
      <c r="K980" s="9">
        <f>SUM(Тўловлар[[#This Row],[ПР-Сумма]]+Тўловлар[[#This Row],[Накд]]+Тўловлар[[#This Row],[Клик]]+Тўловлар[[#This Row],[Терминал]])</f>
        <v>0</v>
      </c>
      <c r="N980" s="30" cm="1">
        <f t="array" ref="N980">IFERROR(LOOKUP(2,1/((Товар!$D$4:$D$1110=Тўловлар[[#This Row],[Клиент]])*(Товар!$E$4:$E$1110&lt;=Тўловлар[[#This Row],[Дата]])),Товар!$L$4:$L$1110),Кўрсаткичлар!$B$4)</f>
        <v>0</v>
      </c>
      <c r="O980" s="30">
        <f>Тўловлар[[#This Row],[Поддон]]*Тўловлар[[#This Row],[Поддон нархи]]</f>
        <v>0</v>
      </c>
      <c r="P980" s="30">
        <f>Тўловлар[[#This Row],[Жами сумма]]-Тўловлар[[#This Row],[Поддон пули]]</f>
        <v>0</v>
      </c>
      <c r="Q98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0" s="9" t="str">
        <f>IFERROR(INDEX(Мижозлар[Агент],MATCH($C980,Мижозлар[Расмий ном],0)),"")</f>
        <v/>
      </c>
    </row>
    <row r="981" spans="6:19" x14ac:dyDescent="0.2">
      <c r="F981" s="198"/>
      <c r="G981" s="9">
        <f>Тўловлар[[#This Row],[Поддон]]*$G$3</f>
        <v>0</v>
      </c>
      <c r="K981" s="9">
        <f>SUM(Тўловлар[[#This Row],[ПР-Сумма]]+Тўловлар[[#This Row],[Накд]]+Тўловлар[[#This Row],[Клик]]+Тўловлар[[#This Row],[Терминал]])</f>
        <v>0</v>
      </c>
      <c r="N981" s="30" cm="1">
        <f t="array" ref="N981">IFERROR(LOOKUP(2,1/((Товар!$D$4:$D$1110=Тўловлар[[#This Row],[Клиент]])*(Товар!$E$4:$E$1110&lt;=Тўловлар[[#This Row],[Дата]])),Товар!$L$4:$L$1110),Кўрсаткичлар!$B$4)</f>
        <v>0</v>
      </c>
      <c r="O981" s="30">
        <f>Тўловлар[[#This Row],[Поддон]]*Тўловлар[[#This Row],[Поддон нархи]]</f>
        <v>0</v>
      </c>
      <c r="P981" s="30">
        <f>Тўловлар[[#This Row],[Жами сумма]]-Тўловлар[[#This Row],[Поддон пули]]</f>
        <v>0</v>
      </c>
      <c r="Q98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1" s="9" t="str">
        <f>IFERROR(INDEX(Мижозлар[Агент],MATCH($C981,Мижозлар[Расмий ном],0)),"")</f>
        <v/>
      </c>
    </row>
    <row r="982" spans="6:19" x14ac:dyDescent="0.2">
      <c r="F982" s="198"/>
      <c r="G982" s="9">
        <f>Тўловлар[[#This Row],[Поддон]]*$G$3</f>
        <v>0</v>
      </c>
      <c r="K982" s="9">
        <f>SUM(Тўловлар[[#This Row],[ПР-Сумма]]+Тўловлар[[#This Row],[Накд]]+Тўловлар[[#This Row],[Клик]]+Тўловлар[[#This Row],[Терминал]])</f>
        <v>0</v>
      </c>
      <c r="N982" s="30" cm="1">
        <f t="array" ref="N982">IFERROR(LOOKUP(2,1/((Товар!$D$4:$D$1110=Тўловлар[[#This Row],[Клиент]])*(Товар!$E$4:$E$1110&lt;=Тўловлар[[#This Row],[Дата]])),Товар!$L$4:$L$1110),Кўрсаткичлар!$B$4)</f>
        <v>0</v>
      </c>
      <c r="O982" s="30">
        <f>Тўловлар[[#This Row],[Поддон]]*Тўловлар[[#This Row],[Поддон нархи]]</f>
        <v>0</v>
      </c>
      <c r="P982" s="30">
        <f>Тўловлар[[#This Row],[Жами сумма]]-Тўловлар[[#This Row],[Поддон пули]]</f>
        <v>0</v>
      </c>
      <c r="Q98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2" s="9" t="str">
        <f>IFERROR(INDEX(Мижозлар[Агент],MATCH($C982,Мижозлар[Расмий ном],0)),"")</f>
        <v/>
      </c>
    </row>
    <row r="983" spans="6:19" x14ac:dyDescent="0.2">
      <c r="F983" s="198"/>
      <c r="G983" s="9">
        <f>Тўловлар[[#This Row],[Поддон]]*$G$3</f>
        <v>0</v>
      </c>
      <c r="K983" s="9">
        <f>SUM(Тўловлар[[#This Row],[ПР-Сумма]]+Тўловлар[[#This Row],[Накд]]+Тўловлар[[#This Row],[Клик]]+Тўловлар[[#This Row],[Терминал]])</f>
        <v>0</v>
      </c>
      <c r="N983" s="30" cm="1">
        <f t="array" ref="N983">IFERROR(LOOKUP(2,1/((Товар!$D$4:$D$1110=Тўловлар[[#This Row],[Клиент]])*(Товар!$E$4:$E$1110&lt;=Тўловлар[[#This Row],[Дата]])),Товар!$L$4:$L$1110),Кўрсаткичлар!$B$4)</f>
        <v>0</v>
      </c>
      <c r="O983" s="30">
        <f>Тўловлар[[#This Row],[Поддон]]*Тўловлар[[#This Row],[Поддон нархи]]</f>
        <v>0</v>
      </c>
      <c r="P983" s="30">
        <f>Тўловлар[[#This Row],[Жами сумма]]-Тўловлар[[#This Row],[Поддон пули]]</f>
        <v>0</v>
      </c>
      <c r="Q98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3" s="9" t="str">
        <f>IFERROR(INDEX(Мижозлар[Агент],MATCH($C983,Мижозлар[Расмий ном],0)),"")</f>
        <v/>
      </c>
    </row>
    <row r="984" spans="6:19" x14ac:dyDescent="0.2">
      <c r="F984" s="198"/>
      <c r="G984" s="9">
        <f>Тўловлар[[#This Row],[Поддон]]*$G$3</f>
        <v>0</v>
      </c>
      <c r="K984" s="9">
        <f>SUM(Тўловлар[[#This Row],[ПР-Сумма]]+Тўловлар[[#This Row],[Накд]]+Тўловлар[[#This Row],[Клик]]+Тўловлар[[#This Row],[Терминал]])</f>
        <v>0</v>
      </c>
      <c r="N984" s="30" cm="1">
        <f t="array" ref="N984">IFERROR(LOOKUP(2,1/((Товар!$D$4:$D$1110=Тўловлар[[#This Row],[Клиент]])*(Товар!$E$4:$E$1110&lt;=Тўловлар[[#This Row],[Дата]])),Товар!$L$4:$L$1110),Кўрсаткичлар!$B$4)</f>
        <v>0</v>
      </c>
      <c r="O984" s="30">
        <f>Тўловлар[[#This Row],[Поддон]]*Тўловлар[[#This Row],[Поддон нархи]]</f>
        <v>0</v>
      </c>
      <c r="P984" s="30">
        <f>Тўловлар[[#This Row],[Жами сумма]]-Тўловлар[[#This Row],[Поддон пули]]</f>
        <v>0</v>
      </c>
      <c r="Q98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4" s="9" t="str">
        <f>IFERROR(INDEX(Мижозлар[Агент],MATCH($C984,Мижозлар[Расмий ном],0)),"")</f>
        <v/>
      </c>
    </row>
    <row r="985" spans="6:19" x14ac:dyDescent="0.2">
      <c r="F985" s="198"/>
      <c r="G985" s="9">
        <f>Тўловлар[[#This Row],[Поддон]]*$G$3</f>
        <v>0</v>
      </c>
      <c r="K985" s="9">
        <f>SUM(Тўловлар[[#This Row],[ПР-Сумма]]+Тўловлар[[#This Row],[Накд]]+Тўловлар[[#This Row],[Клик]]+Тўловлар[[#This Row],[Терминал]])</f>
        <v>0</v>
      </c>
      <c r="N985" s="30" cm="1">
        <f t="array" ref="N985">IFERROR(LOOKUP(2,1/((Товар!$D$4:$D$1110=Тўловлар[[#This Row],[Клиент]])*(Товар!$E$4:$E$1110&lt;=Тўловлар[[#This Row],[Дата]])),Товар!$L$4:$L$1110),Кўрсаткичлар!$B$4)</f>
        <v>0</v>
      </c>
      <c r="O985" s="30">
        <f>Тўловлар[[#This Row],[Поддон]]*Тўловлар[[#This Row],[Поддон нархи]]</f>
        <v>0</v>
      </c>
      <c r="P985" s="30">
        <f>Тўловлар[[#This Row],[Жами сумма]]-Тўловлар[[#This Row],[Поддон пули]]</f>
        <v>0</v>
      </c>
      <c r="Q98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5" s="9" t="str">
        <f>IFERROR(INDEX(Мижозлар[Агент],MATCH($C985,Мижозлар[Расмий ном],0)),"")</f>
        <v/>
      </c>
    </row>
    <row r="986" spans="6:19" x14ac:dyDescent="0.2">
      <c r="F986" s="198"/>
      <c r="G986" s="9">
        <f>Тўловлар[[#This Row],[Поддон]]*$G$3</f>
        <v>0</v>
      </c>
      <c r="K986" s="9">
        <f>SUM(Тўловлар[[#This Row],[ПР-Сумма]]+Тўловлар[[#This Row],[Накд]]+Тўловлар[[#This Row],[Клик]]+Тўловлар[[#This Row],[Терминал]])</f>
        <v>0</v>
      </c>
      <c r="N986" s="30" cm="1">
        <f t="array" ref="N986">IFERROR(LOOKUP(2,1/((Товар!$D$4:$D$1110=Тўловлар[[#This Row],[Клиент]])*(Товар!$E$4:$E$1110&lt;=Тўловлар[[#This Row],[Дата]])),Товар!$L$4:$L$1110),Кўрсаткичлар!$B$4)</f>
        <v>0</v>
      </c>
      <c r="O986" s="30">
        <f>Тўловлар[[#This Row],[Поддон]]*Тўловлар[[#This Row],[Поддон нархи]]</f>
        <v>0</v>
      </c>
      <c r="P986" s="30">
        <f>Тўловлар[[#This Row],[Жами сумма]]-Тўловлар[[#This Row],[Поддон пули]]</f>
        <v>0</v>
      </c>
      <c r="Q98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6" s="9" t="str">
        <f>IFERROR(INDEX(Мижозлар[Агент],MATCH($C986,Мижозлар[Расмий ном],0)),"")</f>
        <v/>
      </c>
    </row>
    <row r="987" spans="6:19" x14ac:dyDescent="0.2">
      <c r="F987" s="198"/>
      <c r="G987" s="9">
        <f>Тўловлар[[#This Row],[Поддон]]*$G$3</f>
        <v>0</v>
      </c>
      <c r="K987" s="9">
        <f>SUM(Тўловлар[[#This Row],[ПР-Сумма]]+Тўловлар[[#This Row],[Накд]]+Тўловлар[[#This Row],[Клик]]+Тўловлар[[#This Row],[Терминал]])</f>
        <v>0</v>
      </c>
      <c r="N987" s="30" cm="1">
        <f t="array" ref="N987">IFERROR(LOOKUP(2,1/((Товар!$D$4:$D$1110=Тўловлар[[#This Row],[Клиент]])*(Товар!$E$4:$E$1110&lt;=Тўловлар[[#This Row],[Дата]])),Товар!$L$4:$L$1110),Кўрсаткичлар!$B$4)</f>
        <v>0</v>
      </c>
      <c r="O987" s="30">
        <f>Тўловлар[[#This Row],[Поддон]]*Тўловлар[[#This Row],[Поддон нархи]]</f>
        <v>0</v>
      </c>
      <c r="P987" s="30">
        <f>Тўловлар[[#This Row],[Жами сумма]]-Тўловлар[[#This Row],[Поддон пули]]</f>
        <v>0</v>
      </c>
      <c r="Q98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7" s="9" t="str">
        <f>IFERROR(INDEX(Мижозлар[Агент],MATCH($C987,Мижозлар[Расмий ном],0)),"")</f>
        <v/>
      </c>
    </row>
    <row r="988" spans="6:19" x14ac:dyDescent="0.2">
      <c r="F988" s="198"/>
      <c r="G988" s="9">
        <f>Тўловлар[[#This Row],[Поддон]]*$G$3</f>
        <v>0</v>
      </c>
      <c r="K988" s="9">
        <f>SUM(Тўловлар[[#This Row],[ПР-Сумма]]+Тўловлар[[#This Row],[Накд]]+Тўловлар[[#This Row],[Клик]]+Тўловлар[[#This Row],[Терминал]])</f>
        <v>0</v>
      </c>
      <c r="N988" s="30" cm="1">
        <f t="array" ref="N988">IFERROR(LOOKUP(2,1/((Товар!$D$4:$D$1110=Тўловлар[[#This Row],[Клиент]])*(Товар!$E$4:$E$1110&lt;=Тўловлар[[#This Row],[Дата]])),Товар!$L$4:$L$1110),Кўрсаткичлар!$B$4)</f>
        <v>0</v>
      </c>
      <c r="O988" s="30">
        <f>Тўловлар[[#This Row],[Поддон]]*Тўловлар[[#This Row],[Поддон нархи]]</f>
        <v>0</v>
      </c>
      <c r="P988" s="30">
        <f>Тўловлар[[#This Row],[Жами сумма]]-Тўловлар[[#This Row],[Поддон пули]]</f>
        <v>0</v>
      </c>
      <c r="Q98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8" s="9" t="str">
        <f>IFERROR(INDEX(Мижозлар[Агент],MATCH($C988,Мижозлар[Расмий ном],0)),"")</f>
        <v/>
      </c>
    </row>
    <row r="989" spans="6:19" x14ac:dyDescent="0.2">
      <c r="F989" s="198"/>
      <c r="G989" s="9">
        <f>Тўловлар[[#This Row],[Поддон]]*$G$3</f>
        <v>0</v>
      </c>
      <c r="K989" s="9">
        <f>SUM(Тўловлар[[#This Row],[ПР-Сумма]]+Тўловлар[[#This Row],[Накд]]+Тўловлар[[#This Row],[Клик]]+Тўловлар[[#This Row],[Терминал]])</f>
        <v>0</v>
      </c>
      <c r="N989" s="30" cm="1">
        <f t="array" ref="N989">IFERROR(LOOKUP(2,1/((Товар!$D$4:$D$1110=Тўловлар[[#This Row],[Клиент]])*(Товар!$E$4:$E$1110&lt;=Тўловлар[[#This Row],[Дата]])),Товар!$L$4:$L$1110),Кўрсаткичлар!$B$4)</f>
        <v>0</v>
      </c>
      <c r="O989" s="30">
        <f>Тўловлар[[#This Row],[Поддон]]*Тўловлар[[#This Row],[Поддон нархи]]</f>
        <v>0</v>
      </c>
      <c r="P989" s="30">
        <f>Тўловлар[[#This Row],[Жами сумма]]-Тўловлар[[#This Row],[Поддон пули]]</f>
        <v>0</v>
      </c>
      <c r="Q98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8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89" s="9" t="str">
        <f>IFERROR(INDEX(Мижозлар[Агент],MATCH($C989,Мижозлар[Расмий ном],0)),"")</f>
        <v/>
      </c>
    </row>
    <row r="990" spans="6:19" x14ac:dyDescent="0.2">
      <c r="F990" s="198"/>
      <c r="G990" s="9">
        <f>Тўловлар[[#This Row],[Поддон]]*$G$3</f>
        <v>0</v>
      </c>
      <c r="K990" s="9">
        <f>SUM(Тўловлар[[#This Row],[ПР-Сумма]]+Тўловлар[[#This Row],[Накд]]+Тўловлар[[#This Row],[Клик]]+Тўловлар[[#This Row],[Терминал]])</f>
        <v>0</v>
      </c>
      <c r="N990" s="30" cm="1">
        <f t="array" ref="N990">IFERROR(LOOKUP(2,1/((Товар!$D$4:$D$1110=Тўловлар[[#This Row],[Клиент]])*(Товар!$E$4:$E$1110&lt;=Тўловлар[[#This Row],[Дата]])),Товар!$L$4:$L$1110),Кўрсаткичлар!$B$4)</f>
        <v>0</v>
      </c>
      <c r="O990" s="30">
        <f>Тўловлар[[#This Row],[Поддон]]*Тўловлар[[#This Row],[Поддон нархи]]</f>
        <v>0</v>
      </c>
      <c r="P990" s="30">
        <f>Тўловлар[[#This Row],[Жами сумма]]-Тўловлар[[#This Row],[Поддон пули]]</f>
        <v>0</v>
      </c>
      <c r="Q99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0" s="9" t="str">
        <f>IFERROR(INDEX(Мижозлар[Агент],MATCH($C990,Мижозлар[Расмий ном],0)),"")</f>
        <v/>
      </c>
    </row>
    <row r="991" spans="6:19" x14ac:dyDescent="0.2">
      <c r="F991" s="198"/>
      <c r="G991" s="9">
        <f>Тўловлар[[#This Row],[Поддон]]*$G$3</f>
        <v>0</v>
      </c>
      <c r="K991" s="9">
        <f>SUM(Тўловлар[[#This Row],[ПР-Сумма]]+Тўловлар[[#This Row],[Накд]]+Тўловлар[[#This Row],[Клик]]+Тўловлар[[#This Row],[Терминал]])</f>
        <v>0</v>
      </c>
      <c r="N991" s="30" cm="1">
        <f t="array" ref="N991">IFERROR(LOOKUP(2,1/((Товар!$D$4:$D$1110=Тўловлар[[#This Row],[Клиент]])*(Товар!$E$4:$E$1110&lt;=Тўловлар[[#This Row],[Дата]])),Товар!$L$4:$L$1110),Кўрсаткичлар!$B$4)</f>
        <v>0</v>
      </c>
      <c r="O991" s="30">
        <f>Тўловлар[[#This Row],[Поддон]]*Тўловлар[[#This Row],[Поддон нархи]]</f>
        <v>0</v>
      </c>
      <c r="P991" s="30">
        <f>Тўловлар[[#This Row],[Жами сумма]]-Тўловлар[[#This Row],[Поддон пули]]</f>
        <v>0</v>
      </c>
      <c r="Q99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1" s="9" t="str">
        <f>IFERROR(INDEX(Мижозлар[Агент],MATCH($C991,Мижозлар[Расмий ном],0)),"")</f>
        <v/>
      </c>
    </row>
    <row r="992" spans="6:19" x14ac:dyDescent="0.2">
      <c r="F992" s="198"/>
      <c r="G992" s="9">
        <f>Тўловлар[[#This Row],[Поддон]]*$G$3</f>
        <v>0</v>
      </c>
      <c r="K992" s="9">
        <f>SUM(Тўловлар[[#This Row],[ПР-Сумма]]+Тўловлар[[#This Row],[Накд]]+Тўловлар[[#This Row],[Клик]]+Тўловлар[[#This Row],[Терминал]])</f>
        <v>0</v>
      </c>
      <c r="N992" s="30" cm="1">
        <f t="array" ref="N992">IFERROR(LOOKUP(2,1/((Товар!$D$4:$D$1110=Тўловлар[[#This Row],[Клиент]])*(Товар!$E$4:$E$1110&lt;=Тўловлар[[#This Row],[Дата]])),Товар!$L$4:$L$1110),Кўрсаткичлар!$B$4)</f>
        <v>0</v>
      </c>
      <c r="O992" s="30">
        <f>Тўловлар[[#This Row],[Поддон]]*Тўловлар[[#This Row],[Поддон нархи]]</f>
        <v>0</v>
      </c>
      <c r="P992" s="30">
        <f>Тўловлар[[#This Row],[Жами сумма]]-Тўловлар[[#This Row],[Поддон пули]]</f>
        <v>0</v>
      </c>
      <c r="Q99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2" s="9" t="str">
        <f>IFERROR(INDEX(Мижозлар[Агент],MATCH($C992,Мижозлар[Расмий ном],0)),"")</f>
        <v/>
      </c>
    </row>
    <row r="993" spans="6:19" x14ac:dyDescent="0.2">
      <c r="F993" s="198"/>
      <c r="G993" s="9">
        <f>Тўловлар[[#This Row],[Поддон]]*$G$3</f>
        <v>0</v>
      </c>
      <c r="K993" s="9">
        <f>SUM(Тўловлар[[#This Row],[ПР-Сумма]]+Тўловлар[[#This Row],[Накд]]+Тўловлар[[#This Row],[Клик]]+Тўловлар[[#This Row],[Терминал]])</f>
        <v>0</v>
      </c>
      <c r="N993" s="30" cm="1">
        <f t="array" ref="N993">IFERROR(LOOKUP(2,1/((Товар!$D$4:$D$1110=Тўловлар[[#This Row],[Клиент]])*(Товар!$E$4:$E$1110&lt;=Тўловлар[[#This Row],[Дата]])),Товар!$L$4:$L$1110),Кўрсаткичлар!$B$4)</f>
        <v>0</v>
      </c>
      <c r="O993" s="30">
        <f>Тўловлар[[#This Row],[Поддон]]*Тўловлар[[#This Row],[Поддон нархи]]</f>
        <v>0</v>
      </c>
      <c r="P993" s="30">
        <f>Тўловлар[[#This Row],[Жами сумма]]-Тўловлар[[#This Row],[Поддон пули]]</f>
        <v>0</v>
      </c>
      <c r="Q99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3" s="9" t="str">
        <f>IFERROR(INDEX(Мижозлар[Агент],MATCH($C993,Мижозлар[Расмий ном],0)),"")</f>
        <v/>
      </c>
    </row>
    <row r="994" spans="6:19" x14ac:dyDescent="0.2">
      <c r="F994" s="198"/>
      <c r="G994" s="9">
        <f>Тўловлар[[#This Row],[Поддон]]*$G$3</f>
        <v>0</v>
      </c>
      <c r="K994" s="9">
        <f>SUM(Тўловлар[[#This Row],[ПР-Сумма]]+Тўловлар[[#This Row],[Накд]]+Тўловлар[[#This Row],[Клик]]+Тўловлар[[#This Row],[Терминал]])</f>
        <v>0</v>
      </c>
      <c r="N994" s="30" cm="1">
        <f t="array" ref="N994">IFERROR(LOOKUP(2,1/((Товар!$D$4:$D$1110=Тўловлар[[#This Row],[Клиент]])*(Товар!$E$4:$E$1110&lt;=Тўловлар[[#This Row],[Дата]])),Товар!$L$4:$L$1110),Кўрсаткичлар!$B$4)</f>
        <v>0</v>
      </c>
      <c r="O994" s="30">
        <f>Тўловлар[[#This Row],[Поддон]]*Тўловлар[[#This Row],[Поддон нархи]]</f>
        <v>0</v>
      </c>
      <c r="P994" s="30">
        <f>Тўловлар[[#This Row],[Жами сумма]]-Тўловлар[[#This Row],[Поддон пули]]</f>
        <v>0</v>
      </c>
      <c r="Q99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4" s="9" t="str">
        <f>IFERROR(INDEX(Мижозлар[Агент],MATCH($C994,Мижозлар[Расмий ном],0)),"")</f>
        <v/>
      </c>
    </row>
    <row r="995" spans="6:19" x14ac:dyDescent="0.2">
      <c r="F995" s="198"/>
      <c r="G995" s="9">
        <f>Тўловлар[[#This Row],[Поддон]]*$G$3</f>
        <v>0</v>
      </c>
      <c r="K995" s="9">
        <f>SUM(Тўловлар[[#This Row],[ПР-Сумма]]+Тўловлар[[#This Row],[Накд]]+Тўловлар[[#This Row],[Клик]]+Тўловлар[[#This Row],[Терминал]])</f>
        <v>0</v>
      </c>
      <c r="N995" s="30" cm="1">
        <f t="array" ref="N995">IFERROR(LOOKUP(2,1/((Товар!$D$4:$D$1110=Тўловлар[[#This Row],[Клиент]])*(Товар!$E$4:$E$1110&lt;=Тўловлар[[#This Row],[Дата]])),Товар!$L$4:$L$1110),Кўрсаткичлар!$B$4)</f>
        <v>0</v>
      </c>
      <c r="O995" s="30">
        <f>Тўловлар[[#This Row],[Поддон]]*Тўловлар[[#This Row],[Поддон нархи]]</f>
        <v>0</v>
      </c>
      <c r="P995" s="30">
        <f>Тўловлар[[#This Row],[Жами сумма]]-Тўловлар[[#This Row],[Поддон пули]]</f>
        <v>0</v>
      </c>
      <c r="Q99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5" s="9" t="str">
        <f>IFERROR(INDEX(Мижозлар[Агент],MATCH($C995,Мижозлар[Расмий ном],0)),"")</f>
        <v/>
      </c>
    </row>
    <row r="996" spans="6:19" x14ac:dyDescent="0.2">
      <c r="F996" s="198"/>
      <c r="G996" s="9">
        <f>Тўловлар[[#This Row],[Поддон]]*$G$3</f>
        <v>0</v>
      </c>
      <c r="K996" s="9">
        <f>SUM(Тўловлар[[#This Row],[ПР-Сумма]]+Тўловлар[[#This Row],[Накд]]+Тўловлар[[#This Row],[Клик]]+Тўловлар[[#This Row],[Терминал]])</f>
        <v>0</v>
      </c>
      <c r="N996" s="30" cm="1">
        <f t="array" ref="N996">IFERROR(LOOKUP(2,1/((Товар!$D$4:$D$1110=Тўловлар[[#This Row],[Клиент]])*(Товар!$E$4:$E$1110&lt;=Тўловлар[[#This Row],[Дата]])),Товар!$L$4:$L$1110),Кўрсаткичлар!$B$4)</f>
        <v>0</v>
      </c>
      <c r="O996" s="30">
        <f>Тўловлар[[#This Row],[Поддон]]*Тўловлар[[#This Row],[Поддон нархи]]</f>
        <v>0</v>
      </c>
      <c r="P996" s="30">
        <f>Тўловлар[[#This Row],[Жами сумма]]-Тўловлар[[#This Row],[Поддон пули]]</f>
        <v>0</v>
      </c>
      <c r="Q99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6" s="9" t="str">
        <f>IFERROR(INDEX(Мижозлар[Агент],MATCH($C996,Мижозлар[Расмий ном],0)),"")</f>
        <v/>
      </c>
    </row>
    <row r="997" spans="6:19" x14ac:dyDescent="0.2">
      <c r="F997" s="198"/>
      <c r="G997" s="9">
        <f>Тўловлар[[#This Row],[Поддон]]*$G$3</f>
        <v>0</v>
      </c>
      <c r="K997" s="9">
        <f>SUM(Тўловлар[[#This Row],[ПР-Сумма]]+Тўловлар[[#This Row],[Накд]]+Тўловлар[[#This Row],[Клик]]+Тўловлар[[#This Row],[Терминал]])</f>
        <v>0</v>
      </c>
      <c r="N997" s="30" cm="1">
        <f t="array" ref="N997">IFERROR(LOOKUP(2,1/((Товар!$D$4:$D$1110=Тўловлар[[#This Row],[Клиент]])*(Товар!$E$4:$E$1110&lt;=Тўловлар[[#This Row],[Дата]])),Товар!$L$4:$L$1110),Кўрсаткичлар!$B$4)</f>
        <v>0</v>
      </c>
      <c r="O997" s="30">
        <f>Тўловлар[[#This Row],[Поддон]]*Тўловлар[[#This Row],[Поддон нархи]]</f>
        <v>0</v>
      </c>
      <c r="P997" s="30">
        <f>Тўловлар[[#This Row],[Жами сумма]]-Тўловлар[[#This Row],[Поддон пули]]</f>
        <v>0</v>
      </c>
      <c r="Q99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7" s="9" t="str">
        <f>IFERROR(INDEX(Мижозлар[Агент],MATCH($C997,Мижозлар[Расмий ном],0)),"")</f>
        <v/>
      </c>
    </row>
    <row r="998" spans="6:19" x14ac:dyDescent="0.2">
      <c r="F998" s="198"/>
      <c r="G998" s="9">
        <f>Тўловлар[[#This Row],[Поддон]]*$G$3</f>
        <v>0</v>
      </c>
      <c r="K998" s="9">
        <f>SUM(Тўловлар[[#This Row],[ПР-Сумма]]+Тўловлар[[#This Row],[Накд]]+Тўловлар[[#This Row],[Клик]]+Тўловлар[[#This Row],[Терминал]])</f>
        <v>0</v>
      </c>
      <c r="N998" s="30" cm="1">
        <f t="array" ref="N998">IFERROR(LOOKUP(2,1/((Товар!$D$4:$D$1110=Тўловлар[[#This Row],[Клиент]])*(Товар!$E$4:$E$1110&lt;=Тўловлар[[#This Row],[Дата]])),Товар!$L$4:$L$1110),Кўрсаткичлар!$B$4)</f>
        <v>0</v>
      </c>
      <c r="O998" s="30">
        <f>Тўловлар[[#This Row],[Поддон]]*Тўловлар[[#This Row],[Поддон нархи]]</f>
        <v>0</v>
      </c>
      <c r="P998" s="30">
        <f>Тўловлар[[#This Row],[Жами сумма]]-Тўловлар[[#This Row],[Поддон пули]]</f>
        <v>0</v>
      </c>
      <c r="Q99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8" s="9" t="str">
        <f>IFERROR(INDEX(Мижозлар[Агент],MATCH($C998,Мижозлар[Расмий ном],0)),"")</f>
        <v/>
      </c>
    </row>
    <row r="999" spans="6:19" x14ac:dyDescent="0.2">
      <c r="F999" s="198"/>
      <c r="G999" s="9">
        <f>Тўловлар[[#This Row],[Поддон]]*$G$3</f>
        <v>0</v>
      </c>
      <c r="K999" s="9">
        <f>SUM(Тўловлар[[#This Row],[ПР-Сумма]]+Тўловлар[[#This Row],[Накд]]+Тўловлар[[#This Row],[Клик]]+Тўловлар[[#This Row],[Терминал]])</f>
        <v>0</v>
      </c>
      <c r="N999" s="30" cm="1">
        <f t="array" ref="N999">IFERROR(LOOKUP(2,1/((Товар!$D$4:$D$1110=Тўловлар[[#This Row],[Клиент]])*(Товар!$E$4:$E$1110&lt;=Тўловлар[[#This Row],[Дата]])),Товар!$L$4:$L$1110),Кўрсаткичлар!$B$4)</f>
        <v>0</v>
      </c>
      <c r="O999" s="30">
        <f>Тўловлар[[#This Row],[Поддон]]*Тўловлар[[#This Row],[Поддон нархи]]</f>
        <v>0</v>
      </c>
      <c r="P999" s="30">
        <f>Тўловлар[[#This Row],[Жами сумма]]-Тўловлар[[#This Row],[Поддон пули]]</f>
        <v>0</v>
      </c>
      <c r="Q99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99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999" s="9" t="str">
        <f>IFERROR(INDEX(Мижозлар[Агент],MATCH($C999,Мижозлар[Расмий ном],0)),"")</f>
        <v/>
      </c>
    </row>
    <row r="1000" spans="6:19" x14ac:dyDescent="0.2">
      <c r="F1000" s="198"/>
      <c r="G1000" s="9">
        <f>Тўловлар[[#This Row],[Поддон]]*$G$3</f>
        <v>0</v>
      </c>
      <c r="K1000" s="9">
        <f>SUM(Тўловлар[[#This Row],[ПР-Сумма]]+Тўловлар[[#This Row],[Накд]]+Тўловлар[[#This Row],[Клик]]+Тўловлар[[#This Row],[Терминал]])</f>
        <v>0</v>
      </c>
      <c r="N1000" s="30" cm="1">
        <f t="array" ref="N1000">IFERROR(LOOKUP(2,1/((Товар!$D$4:$D$1110=Тўловлар[[#This Row],[Клиент]])*(Товар!$E$4:$E$1110&lt;=Тўловлар[[#This Row],[Дата]])),Товар!$L$4:$L$1110),Кўрсаткичлар!$B$4)</f>
        <v>0</v>
      </c>
      <c r="O1000" s="30">
        <f>Тўловлар[[#This Row],[Поддон]]*Тўловлар[[#This Row],[Поддон нархи]]</f>
        <v>0</v>
      </c>
      <c r="P1000" s="30">
        <f>Тўловлар[[#This Row],[Жами сумма]]-Тўловлар[[#This Row],[Поддон пули]]</f>
        <v>0</v>
      </c>
      <c r="Q100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0" s="9" t="str">
        <f>IFERROR(INDEX(Мижозлар[Агент],MATCH($C1000,Мижозлар[Расмий ном],0)),"")</f>
        <v/>
      </c>
    </row>
    <row r="1001" spans="6:19" x14ac:dyDescent="0.2">
      <c r="F1001" s="198"/>
      <c r="G1001" s="9">
        <f>Тўловлар[[#This Row],[Поддон]]*$G$3</f>
        <v>0</v>
      </c>
      <c r="K1001" s="9">
        <f>SUM(Тўловлар[[#This Row],[ПР-Сумма]]+Тўловлар[[#This Row],[Накд]]+Тўловлар[[#This Row],[Клик]]+Тўловлар[[#This Row],[Терминал]])</f>
        <v>0</v>
      </c>
      <c r="N1001" s="30" cm="1">
        <f t="array" ref="N1001">IFERROR(LOOKUP(2,1/((Товар!$D$4:$D$1110=Тўловлар[[#This Row],[Клиент]])*(Товар!$E$4:$E$1110&lt;=Тўловлар[[#This Row],[Дата]])),Товар!$L$4:$L$1110),Кўрсаткичлар!$B$4)</f>
        <v>0</v>
      </c>
      <c r="O1001" s="30">
        <f>Тўловлар[[#This Row],[Поддон]]*Тўловлар[[#This Row],[Поддон нархи]]</f>
        <v>0</v>
      </c>
      <c r="P1001" s="30">
        <f>Тўловлар[[#This Row],[Жами сумма]]-Тўловлар[[#This Row],[Поддон пули]]</f>
        <v>0</v>
      </c>
      <c r="Q100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1" s="9" t="str">
        <f>IFERROR(INDEX(Мижозлар[Агент],MATCH($C1001,Мижозлар[Расмий ном],0)),"")</f>
        <v/>
      </c>
    </row>
    <row r="1002" spans="6:19" x14ac:dyDescent="0.2">
      <c r="F1002" s="198"/>
      <c r="G1002" s="9">
        <f>Тўловлар[[#This Row],[Поддон]]*$G$3</f>
        <v>0</v>
      </c>
      <c r="K1002" s="9">
        <f>SUM(Тўловлар[[#This Row],[ПР-Сумма]]+Тўловлар[[#This Row],[Накд]]+Тўловлар[[#This Row],[Клик]]+Тўловлар[[#This Row],[Терминал]])</f>
        <v>0</v>
      </c>
      <c r="N1002" s="30" cm="1">
        <f t="array" ref="N1002">IFERROR(LOOKUP(2,1/((Товар!$D$4:$D$1110=Тўловлар[[#This Row],[Клиент]])*(Товар!$E$4:$E$1110&lt;=Тўловлар[[#This Row],[Дата]])),Товар!$L$4:$L$1110),Кўрсаткичлар!$B$4)</f>
        <v>0</v>
      </c>
      <c r="O1002" s="30">
        <f>Тўловлар[[#This Row],[Поддон]]*Тўловлар[[#This Row],[Поддон нархи]]</f>
        <v>0</v>
      </c>
      <c r="P1002" s="30">
        <f>Тўловлар[[#This Row],[Жами сумма]]-Тўловлар[[#This Row],[Поддон пули]]</f>
        <v>0</v>
      </c>
      <c r="Q100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2" s="9" t="str">
        <f>IFERROR(INDEX(Мижозлар[Агент],MATCH($C1002,Мижозлар[Расмий ном],0)),"")</f>
        <v/>
      </c>
    </row>
    <row r="1003" spans="6:19" x14ac:dyDescent="0.2">
      <c r="F1003" s="198"/>
      <c r="G1003" s="9">
        <f>Тўловлар[[#This Row],[Поддон]]*$G$3</f>
        <v>0</v>
      </c>
      <c r="K1003" s="9">
        <f>SUM(Тўловлар[[#This Row],[ПР-Сумма]]+Тўловлар[[#This Row],[Накд]]+Тўловлар[[#This Row],[Клик]]+Тўловлар[[#This Row],[Терминал]])</f>
        <v>0</v>
      </c>
      <c r="N1003" s="30" cm="1">
        <f t="array" ref="N1003">IFERROR(LOOKUP(2,1/((Товар!$D$4:$D$1110=Тўловлар[[#This Row],[Клиент]])*(Товар!$E$4:$E$1110&lt;=Тўловлар[[#This Row],[Дата]])),Товар!$L$4:$L$1110),Кўрсаткичлар!$B$4)</f>
        <v>0</v>
      </c>
      <c r="O1003" s="30">
        <f>Тўловлар[[#This Row],[Поддон]]*Тўловлар[[#This Row],[Поддон нархи]]</f>
        <v>0</v>
      </c>
      <c r="P1003" s="30">
        <f>Тўловлар[[#This Row],[Жами сумма]]-Тўловлар[[#This Row],[Поддон пули]]</f>
        <v>0</v>
      </c>
      <c r="Q100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3" s="9" t="str">
        <f>IFERROR(INDEX(Мижозлар[Агент],MATCH($C1003,Мижозлар[Расмий ном],0)),"")</f>
        <v/>
      </c>
    </row>
    <row r="1004" spans="6:19" x14ac:dyDescent="0.2">
      <c r="F1004" s="198"/>
      <c r="G1004" s="9">
        <f>Тўловлар[[#This Row],[Поддон]]*$G$3</f>
        <v>0</v>
      </c>
      <c r="K1004" s="9">
        <f>SUM(Тўловлар[[#This Row],[ПР-Сумма]]+Тўловлар[[#This Row],[Накд]]+Тўловлар[[#This Row],[Клик]]+Тўловлар[[#This Row],[Терминал]])</f>
        <v>0</v>
      </c>
      <c r="N1004" s="30" cm="1">
        <f t="array" ref="N1004">IFERROR(LOOKUP(2,1/((Товар!$D$4:$D$1110=Тўловлар[[#This Row],[Клиент]])*(Товар!$E$4:$E$1110&lt;=Тўловлар[[#This Row],[Дата]])),Товар!$L$4:$L$1110),Кўрсаткичлар!$B$4)</f>
        <v>0</v>
      </c>
      <c r="O1004" s="30">
        <f>Тўловлар[[#This Row],[Поддон]]*Тўловлар[[#This Row],[Поддон нархи]]</f>
        <v>0</v>
      </c>
      <c r="P1004" s="30">
        <f>Тўловлар[[#This Row],[Жами сумма]]-Тўловлар[[#This Row],[Поддон пули]]</f>
        <v>0</v>
      </c>
      <c r="Q100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4" s="9" t="str">
        <f>IFERROR(INDEX(Мижозлар[Агент],MATCH($C1004,Мижозлар[Расмий ном],0)),"")</f>
        <v/>
      </c>
    </row>
    <row r="1005" spans="6:19" x14ac:dyDescent="0.2">
      <c r="F1005" s="198"/>
      <c r="G1005" s="9">
        <f>Тўловлар[[#This Row],[Поддон]]*$G$3</f>
        <v>0</v>
      </c>
      <c r="K1005" s="9">
        <f>SUM(Тўловлар[[#This Row],[ПР-Сумма]]+Тўловлар[[#This Row],[Накд]]+Тўловлар[[#This Row],[Клик]]+Тўловлар[[#This Row],[Терминал]])</f>
        <v>0</v>
      </c>
      <c r="N1005" s="30" cm="1">
        <f t="array" ref="N1005">IFERROR(LOOKUP(2,1/((Товар!$D$4:$D$1110=Тўловлар[[#This Row],[Клиент]])*(Товар!$E$4:$E$1110&lt;=Тўловлар[[#This Row],[Дата]])),Товар!$L$4:$L$1110),Кўрсаткичлар!$B$4)</f>
        <v>0</v>
      </c>
      <c r="O1005" s="30">
        <f>Тўловлар[[#This Row],[Поддон]]*Тўловлар[[#This Row],[Поддон нархи]]</f>
        <v>0</v>
      </c>
      <c r="P1005" s="30">
        <f>Тўловлар[[#This Row],[Жами сумма]]-Тўловлар[[#This Row],[Поддон пули]]</f>
        <v>0</v>
      </c>
      <c r="Q100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5" s="9" t="str">
        <f>IFERROR(INDEX(Мижозлар[Агент],MATCH($C1005,Мижозлар[Расмий ном],0)),"")</f>
        <v/>
      </c>
    </row>
    <row r="1006" spans="6:19" x14ac:dyDescent="0.2">
      <c r="F1006" s="198"/>
      <c r="G1006" s="9">
        <f>Тўловлар[[#This Row],[Поддон]]*$G$3</f>
        <v>0</v>
      </c>
      <c r="K1006" s="9">
        <f>SUM(Тўловлар[[#This Row],[ПР-Сумма]]+Тўловлар[[#This Row],[Накд]]+Тўловлар[[#This Row],[Клик]]+Тўловлар[[#This Row],[Терминал]])</f>
        <v>0</v>
      </c>
      <c r="N1006" s="30" cm="1">
        <f t="array" ref="N1006">IFERROR(LOOKUP(2,1/((Товар!$D$4:$D$1110=Тўловлар[[#This Row],[Клиент]])*(Товар!$E$4:$E$1110&lt;=Тўловлар[[#This Row],[Дата]])),Товар!$L$4:$L$1110),Кўрсаткичлар!$B$4)</f>
        <v>0</v>
      </c>
      <c r="O1006" s="30">
        <f>Тўловлар[[#This Row],[Поддон]]*Тўловлар[[#This Row],[Поддон нархи]]</f>
        <v>0</v>
      </c>
      <c r="P1006" s="30">
        <f>Тўловлар[[#This Row],[Жами сумма]]-Тўловлар[[#This Row],[Поддон пули]]</f>
        <v>0</v>
      </c>
      <c r="Q100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6" s="9" t="str">
        <f>IFERROR(INDEX(Мижозлар[Агент],MATCH($C1006,Мижозлар[Расмий ном],0)),"")</f>
        <v/>
      </c>
    </row>
    <row r="1007" spans="6:19" x14ac:dyDescent="0.2">
      <c r="F1007" s="198"/>
      <c r="G1007" s="9">
        <f>Тўловлар[[#This Row],[Поддон]]*$G$3</f>
        <v>0</v>
      </c>
      <c r="K1007" s="9">
        <f>SUM(Тўловлар[[#This Row],[ПР-Сумма]]+Тўловлар[[#This Row],[Накд]]+Тўловлар[[#This Row],[Клик]]+Тўловлар[[#This Row],[Терминал]])</f>
        <v>0</v>
      </c>
      <c r="N1007" s="30" cm="1">
        <f t="array" ref="N1007">IFERROR(LOOKUP(2,1/((Товар!$D$4:$D$1110=Тўловлар[[#This Row],[Клиент]])*(Товар!$E$4:$E$1110&lt;=Тўловлар[[#This Row],[Дата]])),Товар!$L$4:$L$1110),Кўрсаткичлар!$B$4)</f>
        <v>0</v>
      </c>
      <c r="O1007" s="30">
        <f>Тўловлар[[#This Row],[Поддон]]*Тўловлар[[#This Row],[Поддон нархи]]</f>
        <v>0</v>
      </c>
      <c r="P1007" s="30">
        <f>Тўловлар[[#This Row],[Жами сумма]]-Тўловлар[[#This Row],[Поддон пули]]</f>
        <v>0</v>
      </c>
      <c r="Q100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7" s="9" t="str">
        <f>IFERROR(INDEX(Мижозлар[Агент],MATCH($C1007,Мижозлар[Расмий ном],0)),"")</f>
        <v/>
      </c>
    </row>
    <row r="1008" spans="6:19" x14ac:dyDescent="0.2">
      <c r="F1008" s="198"/>
      <c r="G1008" s="9">
        <f>Тўловлар[[#This Row],[Поддон]]*$G$3</f>
        <v>0</v>
      </c>
      <c r="K1008" s="9">
        <f>SUM(Тўловлар[[#This Row],[ПР-Сумма]]+Тўловлар[[#This Row],[Накд]]+Тўловлар[[#This Row],[Клик]]+Тўловлар[[#This Row],[Терминал]])</f>
        <v>0</v>
      </c>
      <c r="N1008" s="30" cm="1">
        <f t="array" ref="N1008">IFERROR(LOOKUP(2,1/((Товар!$D$4:$D$1110=Тўловлар[[#This Row],[Клиент]])*(Товар!$E$4:$E$1110&lt;=Тўловлар[[#This Row],[Дата]])),Товар!$L$4:$L$1110),Кўрсаткичлар!$B$4)</f>
        <v>0</v>
      </c>
      <c r="O1008" s="30">
        <f>Тўловлар[[#This Row],[Поддон]]*Тўловлар[[#This Row],[Поддон нархи]]</f>
        <v>0</v>
      </c>
      <c r="P1008" s="30">
        <f>Тўловлар[[#This Row],[Жами сумма]]-Тўловлар[[#This Row],[Поддон пули]]</f>
        <v>0</v>
      </c>
      <c r="Q100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8" s="9" t="str">
        <f>IFERROR(INDEX(Мижозлар[Агент],MATCH($C1008,Мижозлар[Расмий ном],0)),"")</f>
        <v/>
      </c>
    </row>
    <row r="1009" spans="6:19" x14ac:dyDescent="0.2">
      <c r="F1009" s="198"/>
      <c r="G1009" s="9">
        <f>Тўловлар[[#This Row],[Поддон]]*$G$3</f>
        <v>0</v>
      </c>
      <c r="K1009" s="9">
        <f>SUM(Тўловлар[[#This Row],[ПР-Сумма]]+Тўловлар[[#This Row],[Накд]]+Тўловлар[[#This Row],[Клик]]+Тўловлар[[#This Row],[Терминал]])</f>
        <v>0</v>
      </c>
      <c r="N1009" s="30" cm="1">
        <f t="array" ref="N1009">IFERROR(LOOKUP(2,1/((Товар!$D$4:$D$1110=Тўловлар[[#This Row],[Клиент]])*(Товар!$E$4:$E$1110&lt;=Тўловлар[[#This Row],[Дата]])),Товар!$L$4:$L$1110),Кўрсаткичлар!$B$4)</f>
        <v>0</v>
      </c>
      <c r="O1009" s="30">
        <f>Тўловлар[[#This Row],[Поддон]]*Тўловлар[[#This Row],[Поддон нархи]]</f>
        <v>0</v>
      </c>
      <c r="P1009" s="30">
        <f>Тўловлар[[#This Row],[Жами сумма]]-Тўловлар[[#This Row],[Поддон пули]]</f>
        <v>0</v>
      </c>
      <c r="Q100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0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09" s="9" t="str">
        <f>IFERROR(INDEX(Мижозлар[Агент],MATCH($C1009,Мижозлар[Расмий ном],0)),"")</f>
        <v/>
      </c>
    </row>
    <row r="1010" spans="6:19" x14ac:dyDescent="0.2">
      <c r="F1010" s="198"/>
      <c r="G1010" s="9">
        <f>Тўловлар[[#This Row],[Поддон]]*$G$3</f>
        <v>0</v>
      </c>
      <c r="K1010" s="9">
        <f>SUM(Тўловлар[[#This Row],[ПР-Сумма]]+Тўловлар[[#This Row],[Накд]]+Тўловлар[[#This Row],[Клик]]+Тўловлар[[#This Row],[Терминал]])</f>
        <v>0</v>
      </c>
      <c r="N1010" s="30" cm="1">
        <f t="array" ref="N1010">IFERROR(LOOKUP(2,1/((Товар!$D$4:$D$1110=Тўловлар[[#This Row],[Клиент]])*(Товар!$E$4:$E$1110&lt;=Тўловлар[[#This Row],[Дата]])),Товар!$L$4:$L$1110),Кўрсаткичлар!$B$4)</f>
        <v>0</v>
      </c>
      <c r="O1010" s="30">
        <f>Тўловлар[[#This Row],[Поддон]]*Тўловлар[[#This Row],[Поддон нархи]]</f>
        <v>0</v>
      </c>
      <c r="P1010" s="30">
        <f>Тўловлар[[#This Row],[Жами сумма]]-Тўловлар[[#This Row],[Поддон пули]]</f>
        <v>0</v>
      </c>
      <c r="Q101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0" s="9" t="str">
        <f>IFERROR(INDEX(Мижозлар[Агент],MATCH($C1010,Мижозлар[Расмий ном],0)),"")</f>
        <v/>
      </c>
    </row>
    <row r="1011" spans="6:19" x14ac:dyDescent="0.2">
      <c r="F1011" s="198"/>
      <c r="G1011" s="9">
        <f>Тўловлар[[#This Row],[Поддон]]*$G$3</f>
        <v>0</v>
      </c>
      <c r="K1011" s="9">
        <f>SUM(Тўловлар[[#This Row],[ПР-Сумма]]+Тўловлар[[#This Row],[Накд]]+Тўловлар[[#This Row],[Клик]]+Тўловлар[[#This Row],[Терминал]])</f>
        <v>0</v>
      </c>
      <c r="N1011" s="30" cm="1">
        <f t="array" ref="N1011">IFERROR(LOOKUP(2,1/((Товар!$D$4:$D$1110=Тўловлар[[#This Row],[Клиент]])*(Товар!$E$4:$E$1110&lt;=Тўловлар[[#This Row],[Дата]])),Товар!$L$4:$L$1110),Кўрсаткичлар!$B$4)</f>
        <v>0</v>
      </c>
      <c r="O1011" s="30">
        <f>Тўловлар[[#This Row],[Поддон]]*Тўловлар[[#This Row],[Поддон нархи]]</f>
        <v>0</v>
      </c>
      <c r="P1011" s="30">
        <f>Тўловлар[[#This Row],[Жами сумма]]-Тўловлар[[#This Row],[Поддон пули]]</f>
        <v>0</v>
      </c>
      <c r="Q101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1" s="9" t="str">
        <f>IFERROR(INDEX(Мижозлар[Агент],MATCH($C1011,Мижозлар[Расмий ном],0)),"")</f>
        <v/>
      </c>
    </row>
    <row r="1012" spans="6:19" x14ac:dyDescent="0.2">
      <c r="F1012" s="198"/>
      <c r="G1012" s="9">
        <f>Тўловлар[[#This Row],[Поддон]]*$G$3</f>
        <v>0</v>
      </c>
      <c r="K1012" s="9">
        <f>SUM(Тўловлар[[#This Row],[ПР-Сумма]]+Тўловлар[[#This Row],[Накд]]+Тўловлар[[#This Row],[Клик]]+Тўловлар[[#This Row],[Терминал]])</f>
        <v>0</v>
      </c>
      <c r="N1012" s="30" cm="1">
        <f t="array" ref="N1012">IFERROR(LOOKUP(2,1/((Товар!$D$4:$D$1110=Тўловлар[[#This Row],[Клиент]])*(Товар!$E$4:$E$1110&lt;=Тўловлар[[#This Row],[Дата]])),Товар!$L$4:$L$1110),Кўрсаткичлар!$B$4)</f>
        <v>0</v>
      </c>
      <c r="O1012" s="30">
        <f>Тўловлар[[#This Row],[Поддон]]*Тўловлар[[#This Row],[Поддон нархи]]</f>
        <v>0</v>
      </c>
      <c r="P1012" s="30">
        <f>Тўловлар[[#This Row],[Жами сумма]]-Тўловлар[[#This Row],[Поддон пули]]</f>
        <v>0</v>
      </c>
      <c r="Q101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2" s="9" t="str">
        <f>IFERROR(INDEX(Мижозлар[Агент],MATCH($C1012,Мижозлар[Расмий ном],0)),"")</f>
        <v/>
      </c>
    </row>
    <row r="1013" spans="6:19" x14ac:dyDescent="0.2">
      <c r="F1013" s="198"/>
      <c r="G1013" s="9">
        <f>Тўловлар[[#This Row],[Поддон]]*$G$3</f>
        <v>0</v>
      </c>
      <c r="K1013" s="9">
        <f>SUM(Тўловлар[[#This Row],[ПР-Сумма]]+Тўловлар[[#This Row],[Накд]]+Тўловлар[[#This Row],[Клик]]+Тўловлар[[#This Row],[Терминал]])</f>
        <v>0</v>
      </c>
      <c r="N1013" s="30" cm="1">
        <f t="array" ref="N1013">IFERROR(LOOKUP(2,1/((Товар!$D$4:$D$1110=Тўловлар[[#This Row],[Клиент]])*(Товар!$E$4:$E$1110&lt;=Тўловлар[[#This Row],[Дата]])),Товар!$L$4:$L$1110),Кўрсаткичлар!$B$4)</f>
        <v>0</v>
      </c>
      <c r="O1013" s="30">
        <f>Тўловлар[[#This Row],[Поддон]]*Тўловлар[[#This Row],[Поддон нархи]]</f>
        <v>0</v>
      </c>
      <c r="P1013" s="30">
        <f>Тўловлар[[#This Row],[Жами сумма]]-Тўловлар[[#This Row],[Поддон пули]]</f>
        <v>0</v>
      </c>
      <c r="Q101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3" s="9" t="str">
        <f>IFERROR(INDEX(Мижозлар[Агент],MATCH($C1013,Мижозлар[Расмий ном],0)),"")</f>
        <v/>
      </c>
    </row>
    <row r="1014" spans="6:19" x14ac:dyDescent="0.2">
      <c r="F1014" s="198"/>
      <c r="G1014" s="9">
        <f>Тўловлар[[#This Row],[Поддон]]*$G$3</f>
        <v>0</v>
      </c>
      <c r="K1014" s="9">
        <f>SUM(Тўловлар[[#This Row],[ПР-Сумма]]+Тўловлар[[#This Row],[Накд]]+Тўловлар[[#This Row],[Клик]]+Тўловлар[[#This Row],[Терминал]])</f>
        <v>0</v>
      </c>
      <c r="N1014" s="30" cm="1">
        <f t="array" ref="N1014">IFERROR(LOOKUP(2,1/((Товар!$D$4:$D$1110=Тўловлар[[#This Row],[Клиент]])*(Товар!$E$4:$E$1110&lt;=Тўловлар[[#This Row],[Дата]])),Товар!$L$4:$L$1110),Кўрсаткичлар!$B$4)</f>
        <v>0</v>
      </c>
      <c r="O1014" s="30">
        <f>Тўловлар[[#This Row],[Поддон]]*Тўловлар[[#This Row],[Поддон нархи]]</f>
        <v>0</v>
      </c>
      <c r="P1014" s="30">
        <f>Тўловлар[[#This Row],[Жами сумма]]-Тўловлар[[#This Row],[Поддон пули]]</f>
        <v>0</v>
      </c>
      <c r="Q101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4" s="9" t="str">
        <f>IFERROR(INDEX(Мижозлар[Агент],MATCH($C1014,Мижозлар[Расмий ном],0)),"")</f>
        <v/>
      </c>
    </row>
    <row r="1015" spans="6:19" x14ac:dyDescent="0.2">
      <c r="F1015" s="198"/>
      <c r="G1015" s="9">
        <f>Тўловлар[[#This Row],[Поддон]]*$G$3</f>
        <v>0</v>
      </c>
      <c r="K1015" s="9">
        <f>SUM(Тўловлар[[#This Row],[ПР-Сумма]]+Тўловлар[[#This Row],[Накд]]+Тўловлар[[#This Row],[Клик]]+Тўловлар[[#This Row],[Терминал]])</f>
        <v>0</v>
      </c>
      <c r="N1015" s="30" cm="1">
        <f t="array" ref="N1015">IFERROR(LOOKUP(2,1/((Товар!$D$4:$D$1110=Тўловлар[[#This Row],[Клиент]])*(Товар!$E$4:$E$1110&lt;=Тўловлар[[#This Row],[Дата]])),Товар!$L$4:$L$1110),Кўрсаткичлар!$B$4)</f>
        <v>0</v>
      </c>
      <c r="O1015" s="30">
        <f>Тўловлар[[#This Row],[Поддон]]*Тўловлар[[#This Row],[Поддон нархи]]</f>
        <v>0</v>
      </c>
      <c r="P1015" s="30">
        <f>Тўловлар[[#This Row],[Жами сумма]]-Тўловлар[[#This Row],[Поддон пули]]</f>
        <v>0</v>
      </c>
      <c r="Q101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5" s="9" t="str">
        <f>IFERROR(INDEX(Мижозлар[Агент],MATCH($C1015,Мижозлар[Расмий ном],0)),"")</f>
        <v/>
      </c>
    </row>
    <row r="1016" spans="6:19" x14ac:dyDescent="0.2">
      <c r="F1016" s="198"/>
      <c r="G1016" s="9">
        <f>Тўловлар[[#This Row],[Поддон]]*$G$3</f>
        <v>0</v>
      </c>
      <c r="K1016" s="9">
        <f>SUM(Тўловлар[[#This Row],[ПР-Сумма]]+Тўловлар[[#This Row],[Накд]]+Тўловлар[[#This Row],[Клик]]+Тўловлар[[#This Row],[Терминал]])</f>
        <v>0</v>
      </c>
      <c r="N1016" s="30" cm="1">
        <f t="array" ref="N1016">IFERROR(LOOKUP(2,1/((Товар!$D$4:$D$1110=Тўловлар[[#This Row],[Клиент]])*(Товар!$E$4:$E$1110&lt;=Тўловлар[[#This Row],[Дата]])),Товар!$L$4:$L$1110),Кўрсаткичлар!$B$4)</f>
        <v>0</v>
      </c>
      <c r="O1016" s="30">
        <f>Тўловлар[[#This Row],[Поддон]]*Тўловлар[[#This Row],[Поддон нархи]]</f>
        <v>0</v>
      </c>
      <c r="P1016" s="30">
        <f>Тўловлар[[#This Row],[Жами сумма]]-Тўловлар[[#This Row],[Поддон пули]]</f>
        <v>0</v>
      </c>
      <c r="Q101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6" s="9" t="str">
        <f>IFERROR(INDEX(Мижозлар[Агент],MATCH($C1016,Мижозлар[Расмий ном],0)),"")</f>
        <v/>
      </c>
    </row>
    <row r="1017" spans="6:19" x14ac:dyDescent="0.2">
      <c r="F1017" s="198"/>
      <c r="G1017" s="9">
        <f>Тўловлар[[#This Row],[Поддон]]*$G$3</f>
        <v>0</v>
      </c>
      <c r="K1017" s="9">
        <f>SUM(Тўловлар[[#This Row],[ПР-Сумма]]+Тўловлар[[#This Row],[Накд]]+Тўловлар[[#This Row],[Клик]]+Тўловлар[[#This Row],[Терминал]])</f>
        <v>0</v>
      </c>
      <c r="N1017" s="30" cm="1">
        <f t="array" ref="N1017">IFERROR(LOOKUP(2,1/((Товар!$D$4:$D$1110=Тўловлар[[#This Row],[Клиент]])*(Товар!$E$4:$E$1110&lt;=Тўловлар[[#This Row],[Дата]])),Товар!$L$4:$L$1110),Кўрсаткичлар!$B$4)</f>
        <v>0</v>
      </c>
      <c r="O1017" s="30">
        <f>Тўловлар[[#This Row],[Поддон]]*Тўловлар[[#This Row],[Поддон нархи]]</f>
        <v>0</v>
      </c>
      <c r="P1017" s="30">
        <f>Тўловлар[[#This Row],[Жами сумма]]-Тўловлар[[#This Row],[Поддон пули]]</f>
        <v>0</v>
      </c>
      <c r="Q101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7" s="9" t="str">
        <f>IFERROR(INDEX(Мижозлар[Агент],MATCH($C1017,Мижозлар[Расмий ном],0)),"")</f>
        <v/>
      </c>
    </row>
    <row r="1018" spans="6:19" x14ac:dyDescent="0.2">
      <c r="F1018" s="198"/>
      <c r="G1018" s="9">
        <f>Тўловлар[[#This Row],[Поддон]]*$G$3</f>
        <v>0</v>
      </c>
      <c r="K1018" s="9">
        <f>SUM(Тўловлар[[#This Row],[ПР-Сумма]]+Тўловлар[[#This Row],[Накд]]+Тўловлар[[#This Row],[Клик]]+Тўловлар[[#This Row],[Терминал]])</f>
        <v>0</v>
      </c>
      <c r="N1018" s="30" cm="1">
        <f t="array" ref="N1018">IFERROR(LOOKUP(2,1/((Товар!$D$4:$D$1110=Тўловлар[[#This Row],[Клиент]])*(Товар!$E$4:$E$1110&lt;=Тўловлар[[#This Row],[Дата]])),Товар!$L$4:$L$1110),Кўрсаткичлар!$B$4)</f>
        <v>0</v>
      </c>
      <c r="O1018" s="30">
        <f>Тўловлар[[#This Row],[Поддон]]*Тўловлар[[#This Row],[Поддон нархи]]</f>
        <v>0</v>
      </c>
      <c r="P1018" s="30">
        <f>Тўловлар[[#This Row],[Жами сумма]]-Тўловлар[[#This Row],[Поддон пули]]</f>
        <v>0</v>
      </c>
      <c r="Q101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8" s="9" t="str">
        <f>IFERROR(INDEX(Мижозлар[Агент],MATCH($C1018,Мижозлар[Расмий ном],0)),"")</f>
        <v/>
      </c>
    </row>
    <row r="1019" spans="6:19" x14ac:dyDescent="0.2">
      <c r="F1019" s="198"/>
      <c r="G1019" s="9">
        <f>Тўловлар[[#This Row],[Поддон]]*$G$3</f>
        <v>0</v>
      </c>
      <c r="K1019" s="9">
        <f>SUM(Тўловлар[[#This Row],[ПР-Сумма]]+Тўловлар[[#This Row],[Накд]]+Тўловлар[[#This Row],[Клик]]+Тўловлар[[#This Row],[Терминал]])</f>
        <v>0</v>
      </c>
      <c r="N1019" s="30" cm="1">
        <f t="array" ref="N1019">IFERROR(LOOKUP(2,1/((Товар!$D$4:$D$1110=Тўловлар[[#This Row],[Клиент]])*(Товар!$E$4:$E$1110&lt;=Тўловлар[[#This Row],[Дата]])),Товар!$L$4:$L$1110),Кўрсаткичлар!$B$4)</f>
        <v>0</v>
      </c>
      <c r="O1019" s="30">
        <f>Тўловлар[[#This Row],[Поддон]]*Тўловлар[[#This Row],[Поддон нархи]]</f>
        <v>0</v>
      </c>
      <c r="P1019" s="30">
        <f>Тўловлар[[#This Row],[Жами сумма]]-Тўловлар[[#This Row],[Поддон пули]]</f>
        <v>0</v>
      </c>
      <c r="Q101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1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19" s="9" t="str">
        <f>IFERROR(INDEX(Мижозлар[Агент],MATCH($C1019,Мижозлар[Расмий ном],0)),"")</f>
        <v/>
      </c>
    </row>
    <row r="1020" spans="6:19" x14ac:dyDescent="0.2">
      <c r="F1020" s="198"/>
      <c r="G1020" s="9">
        <f>Тўловлар[[#This Row],[Поддон]]*$G$3</f>
        <v>0</v>
      </c>
      <c r="K1020" s="9">
        <f>SUM(Тўловлар[[#This Row],[ПР-Сумма]]+Тўловлар[[#This Row],[Накд]]+Тўловлар[[#This Row],[Клик]]+Тўловлар[[#This Row],[Терминал]])</f>
        <v>0</v>
      </c>
      <c r="N1020" s="30" cm="1">
        <f t="array" ref="N1020">IFERROR(LOOKUP(2,1/((Товар!$D$4:$D$1110=Тўловлар[[#This Row],[Клиент]])*(Товар!$E$4:$E$1110&lt;=Тўловлар[[#This Row],[Дата]])),Товар!$L$4:$L$1110),Кўрсаткичлар!$B$4)</f>
        <v>0</v>
      </c>
      <c r="O1020" s="30">
        <f>Тўловлар[[#This Row],[Поддон]]*Тўловлар[[#This Row],[Поддон нархи]]</f>
        <v>0</v>
      </c>
      <c r="P1020" s="30">
        <f>Тўловлар[[#This Row],[Жами сумма]]-Тўловлар[[#This Row],[Поддон пули]]</f>
        <v>0</v>
      </c>
      <c r="Q102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0" s="9" t="str">
        <f>IFERROR(INDEX(Мижозлар[Агент],MATCH($C1020,Мижозлар[Расмий ном],0)),"")</f>
        <v/>
      </c>
    </row>
    <row r="1021" spans="6:19" x14ac:dyDescent="0.2">
      <c r="F1021" s="198"/>
      <c r="G1021" s="9">
        <f>Тўловлар[[#This Row],[Поддон]]*$G$3</f>
        <v>0</v>
      </c>
      <c r="K1021" s="9">
        <f>SUM(Тўловлар[[#This Row],[ПР-Сумма]]+Тўловлар[[#This Row],[Накд]]+Тўловлар[[#This Row],[Клик]]+Тўловлар[[#This Row],[Терминал]])</f>
        <v>0</v>
      </c>
      <c r="N1021" s="30" cm="1">
        <f t="array" ref="N1021">IFERROR(LOOKUP(2,1/((Товар!$D$4:$D$1110=Тўловлар[[#This Row],[Клиент]])*(Товар!$E$4:$E$1110&lt;=Тўловлар[[#This Row],[Дата]])),Товар!$L$4:$L$1110),Кўрсаткичлар!$B$4)</f>
        <v>0</v>
      </c>
      <c r="O1021" s="30">
        <f>Тўловлар[[#This Row],[Поддон]]*Тўловлар[[#This Row],[Поддон нархи]]</f>
        <v>0</v>
      </c>
      <c r="P1021" s="30">
        <f>Тўловлар[[#This Row],[Жами сумма]]-Тўловлар[[#This Row],[Поддон пули]]</f>
        <v>0</v>
      </c>
      <c r="Q102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1" s="9" t="str">
        <f>IFERROR(INDEX(Мижозлар[Агент],MATCH($C1021,Мижозлар[Расмий ном],0)),"")</f>
        <v/>
      </c>
    </row>
    <row r="1022" spans="6:19" x14ac:dyDescent="0.2">
      <c r="F1022" s="198"/>
      <c r="G1022" s="9">
        <f>Тўловлар[[#This Row],[Поддон]]*$G$3</f>
        <v>0</v>
      </c>
      <c r="K1022" s="9">
        <f>SUM(Тўловлар[[#This Row],[ПР-Сумма]]+Тўловлар[[#This Row],[Накд]]+Тўловлар[[#This Row],[Клик]]+Тўловлар[[#This Row],[Терминал]])</f>
        <v>0</v>
      </c>
      <c r="N1022" s="30" cm="1">
        <f t="array" ref="N1022">IFERROR(LOOKUP(2,1/((Товар!$D$4:$D$1110=Тўловлар[[#This Row],[Клиент]])*(Товар!$E$4:$E$1110&lt;=Тўловлар[[#This Row],[Дата]])),Товар!$L$4:$L$1110),Кўрсаткичлар!$B$4)</f>
        <v>0</v>
      </c>
      <c r="O1022" s="30">
        <f>Тўловлар[[#This Row],[Поддон]]*Тўловлар[[#This Row],[Поддон нархи]]</f>
        <v>0</v>
      </c>
      <c r="P1022" s="30">
        <f>Тўловлар[[#This Row],[Жами сумма]]-Тўловлар[[#This Row],[Поддон пули]]</f>
        <v>0</v>
      </c>
      <c r="Q102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2" s="9" t="str">
        <f>IFERROR(INDEX(Мижозлар[Агент],MATCH($C1022,Мижозлар[Расмий ном],0)),"")</f>
        <v/>
      </c>
    </row>
    <row r="1023" spans="6:19" x14ac:dyDescent="0.2">
      <c r="F1023" s="198"/>
      <c r="G1023" s="9">
        <f>Тўловлар[[#This Row],[Поддон]]*$G$3</f>
        <v>0</v>
      </c>
      <c r="K1023" s="9">
        <f>SUM(Тўловлар[[#This Row],[ПР-Сумма]]+Тўловлар[[#This Row],[Накд]]+Тўловлар[[#This Row],[Клик]]+Тўловлар[[#This Row],[Терминал]])</f>
        <v>0</v>
      </c>
      <c r="N1023" s="30" cm="1">
        <f t="array" ref="N1023">IFERROR(LOOKUP(2,1/((Товар!$D$4:$D$1110=Тўловлар[[#This Row],[Клиент]])*(Товар!$E$4:$E$1110&lt;=Тўловлар[[#This Row],[Дата]])),Товар!$L$4:$L$1110),Кўрсаткичлар!$B$4)</f>
        <v>0</v>
      </c>
      <c r="O1023" s="30">
        <f>Тўловлар[[#This Row],[Поддон]]*Тўловлар[[#This Row],[Поддон нархи]]</f>
        <v>0</v>
      </c>
      <c r="P1023" s="30">
        <f>Тўловлар[[#This Row],[Жами сумма]]-Тўловлар[[#This Row],[Поддон пули]]</f>
        <v>0</v>
      </c>
      <c r="Q102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3" s="9" t="str">
        <f>IFERROR(INDEX(Мижозлар[Агент],MATCH($C1023,Мижозлар[Расмий ном],0)),"")</f>
        <v/>
      </c>
    </row>
    <row r="1024" spans="6:19" x14ac:dyDescent="0.2">
      <c r="F1024" s="198"/>
      <c r="G1024" s="9">
        <f>Тўловлар[[#This Row],[Поддон]]*$G$3</f>
        <v>0</v>
      </c>
      <c r="K1024" s="9">
        <f>SUM(Тўловлар[[#This Row],[ПР-Сумма]]+Тўловлар[[#This Row],[Накд]]+Тўловлар[[#This Row],[Клик]]+Тўловлар[[#This Row],[Терминал]])</f>
        <v>0</v>
      </c>
      <c r="N1024" s="30" cm="1">
        <f t="array" ref="N1024">IFERROR(LOOKUP(2,1/((Товар!$D$4:$D$1110=Тўловлар[[#This Row],[Клиент]])*(Товар!$E$4:$E$1110&lt;=Тўловлар[[#This Row],[Дата]])),Товар!$L$4:$L$1110),Кўрсаткичлар!$B$4)</f>
        <v>0</v>
      </c>
      <c r="O1024" s="30">
        <f>Тўловлар[[#This Row],[Поддон]]*Тўловлар[[#This Row],[Поддон нархи]]</f>
        <v>0</v>
      </c>
      <c r="P1024" s="30">
        <f>Тўловлар[[#This Row],[Жами сумма]]-Тўловлар[[#This Row],[Поддон пули]]</f>
        <v>0</v>
      </c>
      <c r="Q102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4" s="9" t="str">
        <f>IFERROR(INDEX(Мижозлар[Агент],MATCH($C1024,Мижозлар[Расмий ном],0)),"")</f>
        <v/>
      </c>
    </row>
    <row r="1025" spans="6:19" x14ac:dyDescent="0.2">
      <c r="F1025" s="198"/>
      <c r="G1025" s="9">
        <f>Тўловлар[[#This Row],[Поддон]]*$G$3</f>
        <v>0</v>
      </c>
      <c r="K1025" s="9">
        <f>SUM(Тўловлар[[#This Row],[ПР-Сумма]]+Тўловлар[[#This Row],[Накд]]+Тўловлар[[#This Row],[Клик]]+Тўловлар[[#This Row],[Терминал]])</f>
        <v>0</v>
      </c>
      <c r="N1025" s="30" cm="1">
        <f t="array" ref="N1025">IFERROR(LOOKUP(2,1/((Товар!$D$4:$D$1110=Тўловлар[[#This Row],[Клиент]])*(Товар!$E$4:$E$1110&lt;=Тўловлар[[#This Row],[Дата]])),Товар!$L$4:$L$1110),Кўрсаткичлар!$B$4)</f>
        <v>0</v>
      </c>
      <c r="O1025" s="30">
        <f>Тўловлар[[#This Row],[Поддон]]*Тўловлар[[#This Row],[Поддон нархи]]</f>
        <v>0</v>
      </c>
      <c r="P1025" s="30">
        <f>Тўловлар[[#This Row],[Жами сумма]]-Тўловлар[[#This Row],[Поддон пули]]</f>
        <v>0</v>
      </c>
      <c r="Q102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5" s="9" t="str">
        <f>IFERROR(INDEX(Мижозлар[Агент],MATCH($C1025,Мижозлар[Расмий ном],0)),"")</f>
        <v/>
      </c>
    </row>
    <row r="1026" spans="6:19" x14ac:dyDescent="0.2">
      <c r="F1026" s="198"/>
      <c r="G1026" s="9">
        <f>Тўловлар[[#This Row],[Поддон]]*$G$3</f>
        <v>0</v>
      </c>
      <c r="K1026" s="9">
        <f>SUM(Тўловлар[[#This Row],[ПР-Сумма]]+Тўловлар[[#This Row],[Накд]]+Тўловлар[[#This Row],[Клик]]+Тўловлар[[#This Row],[Терминал]])</f>
        <v>0</v>
      </c>
      <c r="N1026" s="30" cm="1">
        <f t="array" ref="N1026">IFERROR(LOOKUP(2,1/((Товар!$D$4:$D$1110=Тўловлар[[#This Row],[Клиент]])*(Товар!$E$4:$E$1110&lt;=Тўловлар[[#This Row],[Дата]])),Товар!$L$4:$L$1110),Кўрсаткичлар!$B$4)</f>
        <v>0</v>
      </c>
      <c r="O1026" s="30">
        <f>Тўловлар[[#This Row],[Поддон]]*Тўловлар[[#This Row],[Поддон нархи]]</f>
        <v>0</v>
      </c>
      <c r="P1026" s="30">
        <f>Тўловлар[[#This Row],[Жами сумма]]-Тўловлар[[#This Row],[Поддон пули]]</f>
        <v>0</v>
      </c>
      <c r="Q102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6" s="9" t="str">
        <f>IFERROR(INDEX(Мижозлар[Агент],MATCH($C1026,Мижозлар[Расмий ном],0)),"")</f>
        <v/>
      </c>
    </row>
    <row r="1027" spans="6:19" x14ac:dyDescent="0.2">
      <c r="F1027" s="198"/>
      <c r="G1027" s="9">
        <f>Тўловлар[[#This Row],[Поддон]]*$G$3</f>
        <v>0</v>
      </c>
      <c r="K1027" s="9">
        <f>SUM(Тўловлар[[#This Row],[ПР-Сумма]]+Тўловлар[[#This Row],[Накд]]+Тўловлар[[#This Row],[Клик]]+Тўловлар[[#This Row],[Терминал]])</f>
        <v>0</v>
      </c>
      <c r="N1027" s="30" cm="1">
        <f t="array" ref="N1027">IFERROR(LOOKUP(2,1/((Товар!$D$4:$D$1110=Тўловлар[[#This Row],[Клиент]])*(Товар!$E$4:$E$1110&lt;=Тўловлар[[#This Row],[Дата]])),Товар!$L$4:$L$1110),Кўрсаткичлар!$B$4)</f>
        <v>0</v>
      </c>
      <c r="O1027" s="30">
        <f>Тўловлар[[#This Row],[Поддон]]*Тўловлар[[#This Row],[Поддон нархи]]</f>
        <v>0</v>
      </c>
      <c r="P1027" s="30">
        <f>Тўловлар[[#This Row],[Жами сумма]]-Тўловлар[[#This Row],[Поддон пули]]</f>
        <v>0</v>
      </c>
      <c r="Q102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7" s="9" t="str">
        <f>IFERROR(INDEX(Мижозлар[Агент],MATCH($C1027,Мижозлар[Расмий ном],0)),"")</f>
        <v/>
      </c>
    </row>
    <row r="1028" spans="6:19" x14ac:dyDescent="0.2">
      <c r="F1028" s="198"/>
      <c r="G1028" s="9">
        <f>Тўловлар[[#This Row],[Поддон]]*$G$3</f>
        <v>0</v>
      </c>
      <c r="K1028" s="9">
        <f>SUM(Тўловлар[[#This Row],[ПР-Сумма]]+Тўловлар[[#This Row],[Накд]]+Тўловлар[[#This Row],[Клик]]+Тўловлар[[#This Row],[Терминал]])</f>
        <v>0</v>
      </c>
      <c r="N1028" s="30" cm="1">
        <f t="array" ref="N1028">IFERROR(LOOKUP(2,1/((Товар!$D$4:$D$1110=Тўловлар[[#This Row],[Клиент]])*(Товар!$E$4:$E$1110&lt;=Тўловлар[[#This Row],[Дата]])),Товар!$L$4:$L$1110),Кўрсаткичлар!$B$4)</f>
        <v>0</v>
      </c>
      <c r="O1028" s="30">
        <f>Тўловлар[[#This Row],[Поддон]]*Тўловлар[[#This Row],[Поддон нархи]]</f>
        <v>0</v>
      </c>
      <c r="P1028" s="30">
        <f>Тўловлар[[#This Row],[Жами сумма]]-Тўловлар[[#This Row],[Поддон пули]]</f>
        <v>0</v>
      </c>
      <c r="Q102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8" s="9" t="str">
        <f>IFERROR(INDEX(Мижозлар[Агент],MATCH($C1028,Мижозлар[Расмий ном],0)),"")</f>
        <v/>
      </c>
    </row>
    <row r="1029" spans="6:19" x14ac:dyDescent="0.2">
      <c r="F1029" s="198"/>
      <c r="G1029" s="9">
        <f>Тўловлар[[#This Row],[Поддон]]*$G$3</f>
        <v>0</v>
      </c>
      <c r="K1029" s="9">
        <f>SUM(Тўловлар[[#This Row],[ПР-Сумма]]+Тўловлар[[#This Row],[Накд]]+Тўловлар[[#This Row],[Клик]]+Тўловлар[[#This Row],[Терминал]])</f>
        <v>0</v>
      </c>
      <c r="N1029" s="30" cm="1">
        <f t="array" ref="N1029">IFERROR(LOOKUP(2,1/((Товар!$D$4:$D$1110=Тўловлар[[#This Row],[Клиент]])*(Товар!$E$4:$E$1110&lt;=Тўловлар[[#This Row],[Дата]])),Товар!$L$4:$L$1110),Кўрсаткичлар!$B$4)</f>
        <v>0</v>
      </c>
      <c r="O1029" s="30">
        <f>Тўловлар[[#This Row],[Поддон]]*Тўловлар[[#This Row],[Поддон нархи]]</f>
        <v>0</v>
      </c>
      <c r="P1029" s="30">
        <f>Тўловлар[[#This Row],[Жами сумма]]-Тўловлар[[#This Row],[Поддон пули]]</f>
        <v>0</v>
      </c>
      <c r="Q102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2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29" s="9" t="str">
        <f>IFERROR(INDEX(Мижозлар[Агент],MATCH($C1029,Мижозлар[Расмий ном],0)),"")</f>
        <v/>
      </c>
    </row>
    <row r="1030" spans="6:19" x14ac:dyDescent="0.2">
      <c r="F1030" s="198"/>
      <c r="G1030" s="9">
        <f>Тўловлар[[#This Row],[Поддон]]*$G$3</f>
        <v>0</v>
      </c>
      <c r="K1030" s="9">
        <f>SUM(Тўловлар[[#This Row],[ПР-Сумма]]+Тўловлар[[#This Row],[Накд]]+Тўловлар[[#This Row],[Клик]]+Тўловлар[[#This Row],[Терминал]])</f>
        <v>0</v>
      </c>
      <c r="N1030" s="30" cm="1">
        <f t="array" ref="N1030">IFERROR(LOOKUP(2,1/((Товар!$D$4:$D$1110=Тўловлар[[#This Row],[Клиент]])*(Товар!$E$4:$E$1110&lt;=Тўловлар[[#This Row],[Дата]])),Товар!$L$4:$L$1110),Кўрсаткичлар!$B$4)</f>
        <v>0</v>
      </c>
      <c r="O1030" s="30">
        <f>Тўловлар[[#This Row],[Поддон]]*Тўловлар[[#This Row],[Поддон нархи]]</f>
        <v>0</v>
      </c>
      <c r="P1030" s="30">
        <f>Тўловлар[[#This Row],[Жами сумма]]-Тўловлар[[#This Row],[Поддон пули]]</f>
        <v>0</v>
      </c>
      <c r="Q103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0" s="9" t="str">
        <f>IFERROR(INDEX(Мижозлар[Агент],MATCH($C1030,Мижозлар[Расмий ном],0)),"")</f>
        <v/>
      </c>
    </row>
    <row r="1031" spans="6:19" x14ac:dyDescent="0.2">
      <c r="F1031" s="198"/>
      <c r="G1031" s="9">
        <f>Тўловлар[[#This Row],[Поддон]]*$G$3</f>
        <v>0</v>
      </c>
      <c r="K1031" s="9">
        <f>SUM(Тўловлар[[#This Row],[ПР-Сумма]]+Тўловлар[[#This Row],[Накд]]+Тўловлар[[#This Row],[Клик]]+Тўловлар[[#This Row],[Терминал]])</f>
        <v>0</v>
      </c>
      <c r="N1031" s="30" cm="1">
        <f t="array" ref="N1031">IFERROR(LOOKUP(2,1/((Товар!$D$4:$D$1110=Тўловлар[[#This Row],[Клиент]])*(Товар!$E$4:$E$1110&lt;=Тўловлар[[#This Row],[Дата]])),Товар!$L$4:$L$1110),Кўрсаткичлар!$B$4)</f>
        <v>0</v>
      </c>
      <c r="O1031" s="30">
        <f>Тўловлар[[#This Row],[Поддон]]*Тўловлар[[#This Row],[Поддон нархи]]</f>
        <v>0</v>
      </c>
      <c r="P1031" s="30">
        <f>Тўловлар[[#This Row],[Жами сумма]]-Тўловлар[[#This Row],[Поддон пули]]</f>
        <v>0</v>
      </c>
      <c r="Q103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1" s="9" t="str">
        <f>IFERROR(INDEX(Мижозлар[Агент],MATCH($C1031,Мижозлар[Расмий ном],0)),"")</f>
        <v/>
      </c>
    </row>
    <row r="1032" spans="6:19" x14ac:dyDescent="0.2">
      <c r="F1032" s="198"/>
      <c r="G1032" s="9">
        <f>Тўловлар[[#This Row],[Поддон]]*$G$3</f>
        <v>0</v>
      </c>
      <c r="K1032" s="9">
        <f>SUM(Тўловлар[[#This Row],[ПР-Сумма]]+Тўловлар[[#This Row],[Накд]]+Тўловлар[[#This Row],[Клик]]+Тўловлар[[#This Row],[Терминал]])</f>
        <v>0</v>
      </c>
      <c r="N1032" s="30" cm="1">
        <f t="array" ref="N1032">IFERROR(LOOKUP(2,1/((Товар!$D$4:$D$1110=Тўловлар[[#This Row],[Клиент]])*(Товар!$E$4:$E$1110&lt;=Тўловлар[[#This Row],[Дата]])),Товар!$L$4:$L$1110),Кўрсаткичлар!$B$4)</f>
        <v>0</v>
      </c>
      <c r="O1032" s="30">
        <f>Тўловлар[[#This Row],[Поддон]]*Тўловлар[[#This Row],[Поддон нархи]]</f>
        <v>0</v>
      </c>
      <c r="P1032" s="30">
        <f>Тўловлар[[#This Row],[Жами сумма]]-Тўловлар[[#This Row],[Поддон пули]]</f>
        <v>0</v>
      </c>
      <c r="Q103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2" s="9" t="str">
        <f>IFERROR(INDEX(Мижозлар[Агент],MATCH($C1032,Мижозлар[Расмий ном],0)),"")</f>
        <v/>
      </c>
    </row>
    <row r="1033" spans="6:19" x14ac:dyDescent="0.2">
      <c r="F1033" s="198"/>
      <c r="G1033" s="9">
        <f>Тўловлар[[#This Row],[Поддон]]*$G$3</f>
        <v>0</v>
      </c>
      <c r="K1033" s="9">
        <f>SUM(Тўловлар[[#This Row],[ПР-Сумма]]+Тўловлар[[#This Row],[Накд]]+Тўловлар[[#This Row],[Клик]]+Тўловлар[[#This Row],[Терминал]])</f>
        <v>0</v>
      </c>
      <c r="N1033" s="30" cm="1">
        <f t="array" ref="N1033">IFERROR(LOOKUP(2,1/((Товар!$D$4:$D$1110=Тўловлар[[#This Row],[Клиент]])*(Товар!$E$4:$E$1110&lt;=Тўловлар[[#This Row],[Дата]])),Товар!$L$4:$L$1110),Кўрсаткичлар!$B$4)</f>
        <v>0</v>
      </c>
      <c r="O1033" s="30">
        <f>Тўловлар[[#This Row],[Поддон]]*Тўловлар[[#This Row],[Поддон нархи]]</f>
        <v>0</v>
      </c>
      <c r="P1033" s="30">
        <f>Тўловлар[[#This Row],[Жами сумма]]-Тўловлар[[#This Row],[Поддон пули]]</f>
        <v>0</v>
      </c>
      <c r="Q103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3" s="9" t="str">
        <f>IFERROR(INDEX(Мижозлар[Агент],MATCH($C1033,Мижозлар[Расмий ном],0)),"")</f>
        <v/>
      </c>
    </row>
    <row r="1034" spans="6:19" x14ac:dyDescent="0.2">
      <c r="F1034" s="198"/>
      <c r="G1034" s="9">
        <f>Тўловлар[[#This Row],[Поддон]]*$G$3</f>
        <v>0</v>
      </c>
      <c r="K1034" s="9">
        <f>SUM(Тўловлар[[#This Row],[ПР-Сумма]]+Тўловлар[[#This Row],[Накд]]+Тўловлар[[#This Row],[Клик]]+Тўловлар[[#This Row],[Терминал]])</f>
        <v>0</v>
      </c>
      <c r="N1034" s="30" cm="1">
        <f t="array" ref="N1034">IFERROR(LOOKUP(2,1/((Товар!$D$4:$D$1110=Тўловлар[[#This Row],[Клиент]])*(Товар!$E$4:$E$1110&lt;=Тўловлар[[#This Row],[Дата]])),Товар!$L$4:$L$1110),Кўрсаткичлар!$B$4)</f>
        <v>0</v>
      </c>
      <c r="O1034" s="30">
        <f>Тўловлар[[#This Row],[Поддон]]*Тўловлар[[#This Row],[Поддон нархи]]</f>
        <v>0</v>
      </c>
      <c r="P1034" s="30">
        <f>Тўловлар[[#This Row],[Жами сумма]]-Тўловлар[[#This Row],[Поддон пули]]</f>
        <v>0</v>
      </c>
      <c r="Q103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4" s="9" t="str">
        <f>IFERROR(INDEX(Мижозлар[Агент],MATCH($C1034,Мижозлар[Расмий ном],0)),"")</f>
        <v/>
      </c>
    </row>
    <row r="1035" spans="6:19" x14ac:dyDescent="0.2">
      <c r="F1035" s="198"/>
      <c r="G1035" s="9">
        <f>Тўловлар[[#This Row],[Поддон]]*$G$3</f>
        <v>0</v>
      </c>
      <c r="K1035" s="9">
        <f>SUM(Тўловлар[[#This Row],[ПР-Сумма]]+Тўловлар[[#This Row],[Накд]]+Тўловлар[[#This Row],[Клик]]+Тўловлар[[#This Row],[Терминал]])</f>
        <v>0</v>
      </c>
      <c r="N1035" s="30" cm="1">
        <f t="array" ref="N1035">IFERROR(LOOKUP(2,1/((Товар!$D$4:$D$1110=Тўловлар[[#This Row],[Клиент]])*(Товар!$E$4:$E$1110&lt;=Тўловлар[[#This Row],[Дата]])),Товар!$L$4:$L$1110),Кўрсаткичлар!$B$4)</f>
        <v>0</v>
      </c>
      <c r="O1035" s="30">
        <f>Тўловлар[[#This Row],[Поддон]]*Тўловлар[[#This Row],[Поддон нархи]]</f>
        <v>0</v>
      </c>
      <c r="P1035" s="30">
        <f>Тўловлар[[#This Row],[Жами сумма]]-Тўловлар[[#This Row],[Поддон пули]]</f>
        <v>0</v>
      </c>
      <c r="Q103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5" s="9" t="str">
        <f>IFERROR(INDEX(Мижозлар[Агент],MATCH($C1035,Мижозлар[Расмий ном],0)),"")</f>
        <v/>
      </c>
    </row>
    <row r="1036" spans="6:19" x14ac:dyDescent="0.2">
      <c r="F1036" s="198"/>
      <c r="G1036" s="9">
        <f>Тўловлар[[#This Row],[Поддон]]*$G$3</f>
        <v>0</v>
      </c>
      <c r="K1036" s="9">
        <f>SUM(Тўловлар[[#This Row],[ПР-Сумма]]+Тўловлар[[#This Row],[Накд]]+Тўловлар[[#This Row],[Клик]]+Тўловлар[[#This Row],[Терминал]])</f>
        <v>0</v>
      </c>
      <c r="N1036" s="30" cm="1">
        <f t="array" ref="N1036">IFERROR(LOOKUP(2,1/((Товар!$D$4:$D$1110=Тўловлар[[#This Row],[Клиент]])*(Товар!$E$4:$E$1110&lt;=Тўловлар[[#This Row],[Дата]])),Товар!$L$4:$L$1110),Кўрсаткичлар!$B$4)</f>
        <v>0</v>
      </c>
      <c r="O1036" s="30">
        <f>Тўловлар[[#This Row],[Поддон]]*Тўловлар[[#This Row],[Поддон нархи]]</f>
        <v>0</v>
      </c>
      <c r="P1036" s="30">
        <f>Тўловлар[[#This Row],[Жами сумма]]-Тўловлар[[#This Row],[Поддон пули]]</f>
        <v>0</v>
      </c>
      <c r="Q103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6" s="9" t="str">
        <f>IFERROR(INDEX(Мижозлар[Агент],MATCH($C1036,Мижозлар[Расмий ном],0)),"")</f>
        <v/>
      </c>
    </row>
    <row r="1037" spans="6:19" x14ac:dyDescent="0.2">
      <c r="F1037" s="198"/>
      <c r="G1037" s="9">
        <f>Тўловлар[[#This Row],[Поддон]]*$G$3</f>
        <v>0</v>
      </c>
      <c r="K1037" s="9">
        <f>SUM(Тўловлар[[#This Row],[ПР-Сумма]]+Тўловлар[[#This Row],[Накд]]+Тўловлар[[#This Row],[Клик]]+Тўловлар[[#This Row],[Терминал]])</f>
        <v>0</v>
      </c>
      <c r="N1037" s="30" cm="1">
        <f t="array" ref="N1037">IFERROR(LOOKUP(2,1/((Товар!$D$4:$D$1110=Тўловлар[[#This Row],[Клиент]])*(Товар!$E$4:$E$1110&lt;=Тўловлар[[#This Row],[Дата]])),Товар!$L$4:$L$1110),Кўрсаткичлар!$B$4)</f>
        <v>0</v>
      </c>
      <c r="O1037" s="30">
        <f>Тўловлар[[#This Row],[Поддон]]*Тўловлар[[#This Row],[Поддон нархи]]</f>
        <v>0</v>
      </c>
      <c r="P1037" s="30">
        <f>Тўловлар[[#This Row],[Жами сумма]]-Тўловлар[[#This Row],[Поддон пули]]</f>
        <v>0</v>
      </c>
      <c r="Q103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7" s="9" t="str">
        <f>IFERROR(INDEX(Мижозлар[Агент],MATCH($C1037,Мижозлар[Расмий ном],0)),"")</f>
        <v/>
      </c>
    </row>
    <row r="1038" spans="6:19" x14ac:dyDescent="0.2">
      <c r="F1038" s="198"/>
      <c r="G1038" s="9">
        <f>Тўловлар[[#This Row],[Поддон]]*$G$3</f>
        <v>0</v>
      </c>
      <c r="K1038" s="9">
        <f>SUM(Тўловлар[[#This Row],[ПР-Сумма]]+Тўловлар[[#This Row],[Накд]]+Тўловлар[[#This Row],[Клик]]+Тўловлар[[#This Row],[Терминал]])</f>
        <v>0</v>
      </c>
      <c r="N1038" s="30" cm="1">
        <f t="array" ref="N1038">IFERROR(LOOKUP(2,1/((Товар!$D$4:$D$1110=Тўловлар[[#This Row],[Клиент]])*(Товар!$E$4:$E$1110&lt;=Тўловлар[[#This Row],[Дата]])),Товар!$L$4:$L$1110),Кўрсаткичлар!$B$4)</f>
        <v>0</v>
      </c>
      <c r="O1038" s="30">
        <f>Тўловлар[[#This Row],[Поддон]]*Тўловлар[[#This Row],[Поддон нархи]]</f>
        <v>0</v>
      </c>
      <c r="P1038" s="30">
        <f>Тўловлар[[#This Row],[Жами сумма]]-Тўловлар[[#This Row],[Поддон пули]]</f>
        <v>0</v>
      </c>
      <c r="Q103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8" s="9" t="str">
        <f>IFERROR(INDEX(Мижозлар[Агент],MATCH($C1038,Мижозлар[Расмий ном],0)),"")</f>
        <v/>
      </c>
    </row>
    <row r="1039" spans="6:19" x14ac:dyDescent="0.2">
      <c r="F1039" s="198"/>
      <c r="G1039" s="9">
        <f>Тўловлар[[#This Row],[Поддон]]*$G$3</f>
        <v>0</v>
      </c>
      <c r="K1039" s="9">
        <f>SUM(Тўловлар[[#This Row],[ПР-Сумма]]+Тўловлар[[#This Row],[Накд]]+Тўловлар[[#This Row],[Клик]]+Тўловлар[[#This Row],[Терминал]])</f>
        <v>0</v>
      </c>
      <c r="N1039" s="30" cm="1">
        <f t="array" ref="N1039">IFERROR(LOOKUP(2,1/((Товар!$D$4:$D$1110=Тўловлар[[#This Row],[Клиент]])*(Товар!$E$4:$E$1110&lt;=Тўловлар[[#This Row],[Дата]])),Товар!$L$4:$L$1110),Кўрсаткичлар!$B$4)</f>
        <v>0</v>
      </c>
      <c r="O1039" s="30">
        <f>Тўловлар[[#This Row],[Поддон]]*Тўловлар[[#This Row],[Поддон нархи]]</f>
        <v>0</v>
      </c>
      <c r="P1039" s="30">
        <f>Тўловлар[[#This Row],[Жами сумма]]-Тўловлар[[#This Row],[Поддон пули]]</f>
        <v>0</v>
      </c>
      <c r="Q103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3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39" s="9" t="str">
        <f>IFERROR(INDEX(Мижозлар[Агент],MATCH($C1039,Мижозлар[Расмий ном],0)),"")</f>
        <v/>
      </c>
    </row>
    <row r="1040" spans="6:19" x14ac:dyDescent="0.2">
      <c r="F1040" s="198"/>
      <c r="G1040" s="9">
        <f>Тўловлар[[#This Row],[Поддон]]*$G$3</f>
        <v>0</v>
      </c>
      <c r="K1040" s="9">
        <f>SUM(Тўловлар[[#This Row],[ПР-Сумма]]+Тўловлар[[#This Row],[Накд]]+Тўловлар[[#This Row],[Клик]]+Тўловлар[[#This Row],[Терминал]])</f>
        <v>0</v>
      </c>
      <c r="N1040" s="30" cm="1">
        <f t="array" ref="N1040">IFERROR(LOOKUP(2,1/((Товар!$D$4:$D$1110=Тўловлар[[#This Row],[Клиент]])*(Товар!$E$4:$E$1110&lt;=Тўловлар[[#This Row],[Дата]])),Товар!$L$4:$L$1110),Кўрсаткичлар!$B$4)</f>
        <v>0</v>
      </c>
      <c r="O1040" s="30">
        <f>Тўловлар[[#This Row],[Поддон]]*Тўловлар[[#This Row],[Поддон нархи]]</f>
        <v>0</v>
      </c>
      <c r="P1040" s="30">
        <f>Тўловлар[[#This Row],[Жами сумма]]-Тўловлар[[#This Row],[Поддон пули]]</f>
        <v>0</v>
      </c>
      <c r="Q104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0" s="9" t="str">
        <f>IFERROR(INDEX(Мижозлар[Агент],MATCH($C1040,Мижозлар[Расмий ном],0)),"")</f>
        <v/>
      </c>
    </row>
    <row r="1041" spans="6:19" x14ac:dyDescent="0.2">
      <c r="F1041" s="198"/>
      <c r="G1041" s="9">
        <f>Тўловлар[[#This Row],[Поддон]]*$G$3</f>
        <v>0</v>
      </c>
      <c r="K1041" s="9">
        <f>SUM(Тўловлар[[#This Row],[ПР-Сумма]]+Тўловлар[[#This Row],[Накд]]+Тўловлар[[#This Row],[Клик]]+Тўловлар[[#This Row],[Терминал]])</f>
        <v>0</v>
      </c>
      <c r="N1041" s="30" cm="1">
        <f t="array" ref="N1041">IFERROR(LOOKUP(2,1/((Товар!$D$4:$D$1110=Тўловлар[[#This Row],[Клиент]])*(Товар!$E$4:$E$1110&lt;=Тўловлар[[#This Row],[Дата]])),Товар!$L$4:$L$1110),Кўрсаткичлар!$B$4)</f>
        <v>0</v>
      </c>
      <c r="O1041" s="30">
        <f>Тўловлар[[#This Row],[Поддон]]*Тўловлар[[#This Row],[Поддон нархи]]</f>
        <v>0</v>
      </c>
      <c r="P1041" s="30">
        <f>Тўловлар[[#This Row],[Жами сумма]]-Тўловлар[[#This Row],[Поддон пули]]</f>
        <v>0</v>
      </c>
      <c r="Q104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1" s="9" t="str">
        <f>IFERROR(INDEX(Мижозлар[Агент],MATCH($C1041,Мижозлар[Расмий ном],0)),"")</f>
        <v/>
      </c>
    </row>
    <row r="1042" spans="6:19" x14ac:dyDescent="0.2">
      <c r="F1042" s="198"/>
      <c r="G1042" s="9">
        <f>Тўловлар[[#This Row],[Поддон]]*$G$3</f>
        <v>0</v>
      </c>
      <c r="K1042" s="9">
        <f>SUM(Тўловлар[[#This Row],[ПР-Сумма]]+Тўловлар[[#This Row],[Накд]]+Тўловлар[[#This Row],[Клик]]+Тўловлар[[#This Row],[Терминал]])</f>
        <v>0</v>
      </c>
      <c r="N1042" s="30" cm="1">
        <f t="array" ref="N1042">IFERROR(LOOKUP(2,1/((Товар!$D$4:$D$1110=Тўловлар[[#This Row],[Клиент]])*(Товар!$E$4:$E$1110&lt;=Тўловлар[[#This Row],[Дата]])),Товар!$L$4:$L$1110),Кўрсаткичлар!$B$4)</f>
        <v>0</v>
      </c>
      <c r="O1042" s="30">
        <f>Тўловлар[[#This Row],[Поддон]]*Тўловлар[[#This Row],[Поддон нархи]]</f>
        <v>0</v>
      </c>
      <c r="P1042" s="30">
        <f>Тўловлар[[#This Row],[Жами сумма]]-Тўловлар[[#This Row],[Поддон пули]]</f>
        <v>0</v>
      </c>
      <c r="Q104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2" s="9" t="str">
        <f>IFERROR(INDEX(Мижозлар[Агент],MATCH($C1042,Мижозлар[Расмий ном],0)),"")</f>
        <v/>
      </c>
    </row>
    <row r="1043" spans="6:19" x14ac:dyDescent="0.2">
      <c r="F1043" s="198"/>
      <c r="G1043" s="9">
        <f>Тўловлар[[#This Row],[Поддон]]*$G$3</f>
        <v>0</v>
      </c>
      <c r="K1043" s="9">
        <f>SUM(Тўловлар[[#This Row],[ПР-Сумма]]+Тўловлар[[#This Row],[Накд]]+Тўловлар[[#This Row],[Клик]]+Тўловлар[[#This Row],[Терминал]])</f>
        <v>0</v>
      </c>
      <c r="N1043" s="30" cm="1">
        <f t="array" ref="N1043">IFERROR(LOOKUP(2,1/((Товар!$D$4:$D$1110=Тўловлар[[#This Row],[Клиент]])*(Товар!$E$4:$E$1110&lt;=Тўловлар[[#This Row],[Дата]])),Товар!$L$4:$L$1110),Кўрсаткичлар!$B$4)</f>
        <v>0</v>
      </c>
      <c r="O1043" s="30">
        <f>Тўловлар[[#This Row],[Поддон]]*Тўловлар[[#This Row],[Поддон нархи]]</f>
        <v>0</v>
      </c>
      <c r="P1043" s="30">
        <f>Тўловлар[[#This Row],[Жами сумма]]-Тўловлар[[#This Row],[Поддон пули]]</f>
        <v>0</v>
      </c>
      <c r="Q104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3" s="9" t="str">
        <f>IFERROR(INDEX(Мижозлар[Агент],MATCH($C1043,Мижозлар[Расмий ном],0)),"")</f>
        <v/>
      </c>
    </row>
    <row r="1044" spans="6:19" x14ac:dyDescent="0.2">
      <c r="F1044" s="198"/>
      <c r="G1044" s="9">
        <f>Тўловлар[[#This Row],[Поддон]]*$G$3</f>
        <v>0</v>
      </c>
      <c r="K1044" s="9">
        <f>SUM(Тўловлар[[#This Row],[ПР-Сумма]]+Тўловлар[[#This Row],[Накд]]+Тўловлар[[#This Row],[Клик]]+Тўловлар[[#This Row],[Терминал]])</f>
        <v>0</v>
      </c>
      <c r="N1044" s="30" cm="1">
        <f t="array" ref="N1044">IFERROR(LOOKUP(2,1/((Товар!$D$4:$D$1110=Тўловлар[[#This Row],[Клиент]])*(Товар!$E$4:$E$1110&lt;=Тўловлар[[#This Row],[Дата]])),Товар!$L$4:$L$1110),Кўрсаткичлар!$B$4)</f>
        <v>0</v>
      </c>
      <c r="O1044" s="30">
        <f>Тўловлар[[#This Row],[Поддон]]*Тўловлар[[#This Row],[Поддон нархи]]</f>
        <v>0</v>
      </c>
      <c r="P1044" s="30">
        <f>Тўловлар[[#This Row],[Жами сумма]]-Тўловлар[[#This Row],[Поддон пули]]</f>
        <v>0</v>
      </c>
      <c r="Q104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4" s="9" t="str">
        <f>IFERROR(INDEX(Мижозлар[Агент],MATCH($C1044,Мижозлар[Расмий ном],0)),"")</f>
        <v/>
      </c>
    </row>
    <row r="1045" spans="6:19" x14ac:dyDescent="0.2">
      <c r="F1045" s="198"/>
      <c r="G1045" s="9">
        <f>Тўловлар[[#This Row],[Поддон]]*$G$3</f>
        <v>0</v>
      </c>
      <c r="K1045" s="9">
        <f>SUM(Тўловлар[[#This Row],[ПР-Сумма]]+Тўловлар[[#This Row],[Накд]]+Тўловлар[[#This Row],[Клик]]+Тўловлар[[#This Row],[Терминал]])</f>
        <v>0</v>
      </c>
      <c r="N1045" s="30" cm="1">
        <f t="array" ref="N1045">IFERROR(LOOKUP(2,1/((Товар!$D$4:$D$1110=Тўловлар[[#This Row],[Клиент]])*(Товар!$E$4:$E$1110&lt;=Тўловлар[[#This Row],[Дата]])),Товар!$L$4:$L$1110),Кўрсаткичлар!$B$4)</f>
        <v>0</v>
      </c>
      <c r="O1045" s="30">
        <f>Тўловлар[[#This Row],[Поддон]]*Тўловлар[[#This Row],[Поддон нархи]]</f>
        <v>0</v>
      </c>
      <c r="P1045" s="30">
        <f>Тўловлар[[#This Row],[Жами сумма]]-Тўловлар[[#This Row],[Поддон пули]]</f>
        <v>0</v>
      </c>
      <c r="Q104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5" s="9" t="str">
        <f>IFERROR(INDEX(Мижозлар[Агент],MATCH($C1045,Мижозлар[Расмий ном],0)),"")</f>
        <v/>
      </c>
    </row>
    <row r="1046" spans="6:19" x14ac:dyDescent="0.2">
      <c r="F1046" s="198"/>
      <c r="G1046" s="9">
        <f>Тўловлар[[#This Row],[Поддон]]*$G$3</f>
        <v>0</v>
      </c>
      <c r="K1046" s="9">
        <f>SUM(Тўловлар[[#This Row],[ПР-Сумма]]+Тўловлар[[#This Row],[Накд]]+Тўловлар[[#This Row],[Клик]]+Тўловлар[[#This Row],[Терминал]])</f>
        <v>0</v>
      </c>
      <c r="N1046" s="30" cm="1">
        <f t="array" ref="N1046">IFERROR(LOOKUP(2,1/((Товар!$D$4:$D$1110=Тўловлар[[#This Row],[Клиент]])*(Товар!$E$4:$E$1110&lt;=Тўловлар[[#This Row],[Дата]])),Товар!$L$4:$L$1110),Кўрсаткичлар!$B$4)</f>
        <v>0</v>
      </c>
      <c r="O1046" s="30">
        <f>Тўловлар[[#This Row],[Поддон]]*Тўловлар[[#This Row],[Поддон нархи]]</f>
        <v>0</v>
      </c>
      <c r="P1046" s="30">
        <f>Тўловлар[[#This Row],[Жами сумма]]-Тўловлар[[#This Row],[Поддон пули]]</f>
        <v>0</v>
      </c>
      <c r="Q104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6" s="9" t="str">
        <f>IFERROR(INDEX(Мижозлар[Агент],MATCH($C1046,Мижозлар[Расмий ном],0)),"")</f>
        <v/>
      </c>
    </row>
    <row r="1047" spans="6:19" x14ac:dyDescent="0.2">
      <c r="F1047" s="198"/>
      <c r="G1047" s="9">
        <f>Тўловлар[[#This Row],[Поддон]]*$G$3</f>
        <v>0</v>
      </c>
      <c r="K1047" s="9">
        <f>SUM(Тўловлар[[#This Row],[ПР-Сумма]]+Тўловлар[[#This Row],[Накд]]+Тўловлар[[#This Row],[Клик]]+Тўловлар[[#This Row],[Терминал]])</f>
        <v>0</v>
      </c>
      <c r="N1047" s="30" cm="1">
        <f t="array" ref="N1047">IFERROR(LOOKUP(2,1/((Товар!$D$4:$D$1110=Тўловлар[[#This Row],[Клиент]])*(Товар!$E$4:$E$1110&lt;=Тўловлар[[#This Row],[Дата]])),Товар!$L$4:$L$1110),Кўрсаткичлар!$B$4)</f>
        <v>0</v>
      </c>
      <c r="O1047" s="30">
        <f>Тўловлар[[#This Row],[Поддон]]*Тўловлар[[#This Row],[Поддон нархи]]</f>
        <v>0</v>
      </c>
      <c r="P1047" s="30">
        <f>Тўловлар[[#This Row],[Жами сумма]]-Тўловлар[[#This Row],[Поддон пули]]</f>
        <v>0</v>
      </c>
      <c r="Q104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7" s="9" t="str">
        <f>IFERROR(INDEX(Мижозлар[Агент],MATCH($C1047,Мижозлар[Расмий ном],0)),"")</f>
        <v/>
      </c>
    </row>
    <row r="1048" spans="6:19" x14ac:dyDescent="0.2">
      <c r="F1048" s="198"/>
      <c r="G1048" s="9">
        <f>Тўловлар[[#This Row],[Поддон]]*$G$3</f>
        <v>0</v>
      </c>
      <c r="K1048" s="9">
        <f>SUM(Тўловлар[[#This Row],[ПР-Сумма]]+Тўловлар[[#This Row],[Накд]]+Тўловлар[[#This Row],[Клик]]+Тўловлар[[#This Row],[Терминал]])</f>
        <v>0</v>
      </c>
      <c r="N1048" s="30" cm="1">
        <f t="array" ref="N1048">IFERROR(LOOKUP(2,1/((Товар!$D$4:$D$1110=Тўловлар[[#This Row],[Клиент]])*(Товар!$E$4:$E$1110&lt;=Тўловлар[[#This Row],[Дата]])),Товар!$L$4:$L$1110),Кўрсаткичлар!$B$4)</f>
        <v>0</v>
      </c>
      <c r="O1048" s="30">
        <f>Тўловлар[[#This Row],[Поддон]]*Тўловлар[[#This Row],[Поддон нархи]]</f>
        <v>0</v>
      </c>
      <c r="P1048" s="30">
        <f>Тўловлар[[#This Row],[Жами сумма]]-Тўловлар[[#This Row],[Поддон пули]]</f>
        <v>0</v>
      </c>
      <c r="Q104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8" s="9" t="str">
        <f>IFERROR(INDEX(Мижозлар[Агент],MATCH($C1048,Мижозлар[Расмий ном],0)),"")</f>
        <v/>
      </c>
    </row>
    <row r="1049" spans="6:19" x14ac:dyDescent="0.2">
      <c r="F1049" s="198"/>
      <c r="G1049" s="9">
        <f>Тўловлар[[#This Row],[Поддон]]*$G$3</f>
        <v>0</v>
      </c>
      <c r="K1049" s="9">
        <f>SUM(Тўловлар[[#This Row],[ПР-Сумма]]+Тўловлар[[#This Row],[Накд]]+Тўловлар[[#This Row],[Клик]]+Тўловлар[[#This Row],[Терминал]])</f>
        <v>0</v>
      </c>
      <c r="N1049" s="30" cm="1">
        <f t="array" ref="N1049">IFERROR(LOOKUP(2,1/((Товар!$D$4:$D$1110=Тўловлар[[#This Row],[Клиент]])*(Товар!$E$4:$E$1110&lt;=Тўловлар[[#This Row],[Дата]])),Товар!$L$4:$L$1110),Кўрсаткичлар!$B$4)</f>
        <v>0</v>
      </c>
      <c r="O1049" s="30">
        <f>Тўловлар[[#This Row],[Поддон]]*Тўловлар[[#This Row],[Поддон нархи]]</f>
        <v>0</v>
      </c>
      <c r="P1049" s="30">
        <f>Тўловлар[[#This Row],[Жами сумма]]-Тўловлар[[#This Row],[Поддон пули]]</f>
        <v>0</v>
      </c>
      <c r="Q104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4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49" s="9" t="str">
        <f>IFERROR(INDEX(Мижозлар[Агент],MATCH($C1049,Мижозлар[Расмий ном],0)),"")</f>
        <v/>
      </c>
    </row>
    <row r="1050" spans="6:19" x14ac:dyDescent="0.2">
      <c r="F1050" s="198"/>
      <c r="G1050" s="9">
        <f>Тўловлар[[#This Row],[Поддон]]*$G$3</f>
        <v>0</v>
      </c>
      <c r="K1050" s="9">
        <f>SUM(Тўловлар[[#This Row],[ПР-Сумма]]+Тўловлар[[#This Row],[Накд]]+Тўловлар[[#This Row],[Клик]]+Тўловлар[[#This Row],[Терминал]])</f>
        <v>0</v>
      </c>
      <c r="N1050" s="30" cm="1">
        <f t="array" ref="N1050">IFERROR(LOOKUP(2,1/((Товар!$D$4:$D$1110=Тўловлар[[#This Row],[Клиент]])*(Товар!$E$4:$E$1110&lt;=Тўловлар[[#This Row],[Дата]])),Товар!$L$4:$L$1110),Кўрсаткичлар!$B$4)</f>
        <v>0</v>
      </c>
      <c r="O1050" s="30">
        <f>Тўловлар[[#This Row],[Поддон]]*Тўловлар[[#This Row],[Поддон нархи]]</f>
        <v>0</v>
      </c>
      <c r="P1050" s="30">
        <f>Тўловлар[[#This Row],[Жами сумма]]-Тўловлар[[#This Row],[Поддон пули]]</f>
        <v>0</v>
      </c>
      <c r="Q105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0" s="9" t="str">
        <f>IFERROR(INDEX(Мижозлар[Агент],MATCH($C1050,Мижозлар[Расмий ном],0)),"")</f>
        <v/>
      </c>
    </row>
    <row r="1051" spans="6:19" x14ac:dyDescent="0.2">
      <c r="F1051" s="198"/>
      <c r="G1051" s="9">
        <f>Тўловлар[[#This Row],[Поддон]]*$G$3</f>
        <v>0</v>
      </c>
      <c r="K1051" s="9">
        <f>SUM(Тўловлар[[#This Row],[ПР-Сумма]]+Тўловлар[[#This Row],[Накд]]+Тўловлар[[#This Row],[Клик]]+Тўловлар[[#This Row],[Терминал]])</f>
        <v>0</v>
      </c>
      <c r="N1051" s="30" cm="1">
        <f t="array" ref="N1051">IFERROR(LOOKUP(2,1/((Товар!$D$4:$D$1110=Тўловлар[[#This Row],[Клиент]])*(Товар!$E$4:$E$1110&lt;=Тўловлар[[#This Row],[Дата]])),Товар!$L$4:$L$1110),Кўрсаткичлар!$B$4)</f>
        <v>0</v>
      </c>
      <c r="O1051" s="30">
        <f>Тўловлар[[#This Row],[Поддон]]*Тўловлар[[#This Row],[Поддон нархи]]</f>
        <v>0</v>
      </c>
      <c r="P1051" s="30">
        <f>Тўловлар[[#This Row],[Жами сумма]]-Тўловлар[[#This Row],[Поддон пули]]</f>
        <v>0</v>
      </c>
      <c r="Q105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1" s="9" t="str">
        <f>IFERROR(INDEX(Мижозлар[Агент],MATCH($C1051,Мижозлар[Расмий ном],0)),"")</f>
        <v/>
      </c>
    </row>
    <row r="1052" spans="6:19" x14ac:dyDescent="0.2">
      <c r="F1052" s="198"/>
      <c r="G1052" s="9">
        <f>Тўловлар[[#This Row],[Поддон]]*$G$3</f>
        <v>0</v>
      </c>
      <c r="K1052" s="9">
        <f>SUM(Тўловлар[[#This Row],[ПР-Сумма]]+Тўловлар[[#This Row],[Накд]]+Тўловлар[[#This Row],[Клик]]+Тўловлар[[#This Row],[Терминал]])</f>
        <v>0</v>
      </c>
      <c r="N1052" s="30" cm="1">
        <f t="array" ref="N1052">IFERROR(LOOKUP(2,1/((Товар!$D$4:$D$1110=Тўловлар[[#This Row],[Клиент]])*(Товар!$E$4:$E$1110&lt;=Тўловлар[[#This Row],[Дата]])),Товар!$L$4:$L$1110),Кўрсаткичлар!$B$4)</f>
        <v>0</v>
      </c>
      <c r="O1052" s="30">
        <f>Тўловлар[[#This Row],[Поддон]]*Тўловлар[[#This Row],[Поддон нархи]]</f>
        <v>0</v>
      </c>
      <c r="P1052" s="30">
        <f>Тўловлар[[#This Row],[Жами сумма]]-Тўловлар[[#This Row],[Поддон пули]]</f>
        <v>0</v>
      </c>
      <c r="Q105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2" s="9" t="str">
        <f>IFERROR(INDEX(Мижозлар[Агент],MATCH($C1052,Мижозлар[Расмий ном],0)),"")</f>
        <v/>
      </c>
    </row>
    <row r="1053" spans="6:19" x14ac:dyDescent="0.2">
      <c r="F1053" s="198"/>
      <c r="G1053" s="9">
        <f>Тўловлар[[#This Row],[Поддон]]*$G$3</f>
        <v>0</v>
      </c>
      <c r="K1053" s="9">
        <f>SUM(Тўловлар[[#This Row],[ПР-Сумма]]+Тўловлар[[#This Row],[Накд]]+Тўловлар[[#This Row],[Клик]]+Тўловлар[[#This Row],[Терминал]])</f>
        <v>0</v>
      </c>
      <c r="N1053" s="30" cm="1">
        <f t="array" ref="N1053">IFERROR(LOOKUP(2,1/((Товар!$D$4:$D$1110=Тўловлар[[#This Row],[Клиент]])*(Товар!$E$4:$E$1110&lt;=Тўловлар[[#This Row],[Дата]])),Товар!$L$4:$L$1110),Кўрсаткичлар!$B$4)</f>
        <v>0</v>
      </c>
      <c r="O1053" s="30">
        <f>Тўловлар[[#This Row],[Поддон]]*Тўловлар[[#This Row],[Поддон нархи]]</f>
        <v>0</v>
      </c>
      <c r="P1053" s="30">
        <f>Тўловлар[[#This Row],[Жами сумма]]-Тўловлар[[#This Row],[Поддон пули]]</f>
        <v>0</v>
      </c>
      <c r="Q105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3" s="9" t="str">
        <f>IFERROR(INDEX(Мижозлар[Агент],MATCH($C1053,Мижозлар[Расмий ном],0)),"")</f>
        <v/>
      </c>
    </row>
    <row r="1054" spans="6:19" x14ac:dyDescent="0.2">
      <c r="F1054" s="198"/>
      <c r="G1054" s="9">
        <f>Тўловлар[[#This Row],[Поддон]]*$G$3</f>
        <v>0</v>
      </c>
      <c r="K1054" s="9">
        <f>SUM(Тўловлар[[#This Row],[ПР-Сумма]]+Тўловлар[[#This Row],[Накд]]+Тўловлар[[#This Row],[Клик]]+Тўловлар[[#This Row],[Терминал]])</f>
        <v>0</v>
      </c>
      <c r="N1054" s="30" cm="1">
        <f t="array" ref="N1054">IFERROR(LOOKUP(2,1/((Товар!$D$4:$D$1110=Тўловлар[[#This Row],[Клиент]])*(Товар!$E$4:$E$1110&lt;=Тўловлар[[#This Row],[Дата]])),Товар!$L$4:$L$1110),Кўрсаткичлар!$B$4)</f>
        <v>0</v>
      </c>
      <c r="O1054" s="30">
        <f>Тўловлар[[#This Row],[Поддон]]*Тўловлар[[#This Row],[Поддон нархи]]</f>
        <v>0</v>
      </c>
      <c r="P1054" s="30">
        <f>Тўловлар[[#This Row],[Жами сумма]]-Тўловлар[[#This Row],[Поддон пули]]</f>
        <v>0</v>
      </c>
      <c r="Q1054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4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4" s="9" t="str">
        <f>IFERROR(INDEX(Мижозлар[Агент],MATCH($C1054,Мижозлар[Расмий ном],0)),"")</f>
        <v/>
      </c>
    </row>
    <row r="1055" spans="6:19" x14ac:dyDescent="0.2">
      <c r="F1055" s="198"/>
      <c r="G1055" s="9">
        <f>Тўловлар[[#This Row],[Поддон]]*$G$3</f>
        <v>0</v>
      </c>
      <c r="K1055" s="9">
        <f>SUM(Тўловлар[[#This Row],[ПР-Сумма]]+Тўловлар[[#This Row],[Накд]]+Тўловлар[[#This Row],[Клик]]+Тўловлар[[#This Row],[Терминал]])</f>
        <v>0</v>
      </c>
      <c r="N1055" s="30" cm="1">
        <f t="array" ref="N1055">IFERROR(LOOKUP(2,1/((Товар!$D$4:$D$1110=Тўловлар[[#This Row],[Клиент]])*(Товар!$E$4:$E$1110&lt;=Тўловлар[[#This Row],[Дата]])),Товар!$L$4:$L$1110),Кўрсаткичлар!$B$4)</f>
        <v>0</v>
      </c>
      <c r="O1055" s="30">
        <f>Тўловлар[[#This Row],[Поддон]]*Тўловлар[[#This Row],[Поддон нархи]]</f>
        <v>0</v>
      </c>
      <c r="P1055" s="30">
        <f>Тўловлар[[#This Row],[Жами сумма]]-Тўловлар[[#This Row],[Поддон пули]]</f>
        <v>0</v>
      </c>
      <c r="Q1055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5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5" s="9" t="str">
        <f>IFERROR(INDEX(Мижозлар[Агент],MATCH($C1055,Мижозлар[Расмий ном],0)),"")</f>
        <v/>
      </c>
    </row>
    <row r="1056" spans="6:19" x14ac:dyDescent="0.2">
      <c r="F1056" s="198"/>
      <c r="G1056" s="9">
        <f>Тўловлар[[#This Row],[Поддон]]*$G$3</f>
        <v>0</v>
      </c>
      <c r="K1056" s="9">
        <f>SUM(Тўловлар[[#This Row],[ПР-Сумма]]+Тўловлар[[#This Row],[Накд]]+Тўловлар[[#This Row],[Клик]]+Тўловлар[[#This Row],[Терминал]])</f>
        <v>0</v>
      </c>
      <c r="N1056" s="30" cm="1">
        <f t="array" ref="N1056">IFERROR(LOOKUP(2,1/((Товар!$D$4:$D$1110=Тўловлар[[#This Row],[Клиент]])*(Товар!$E$4:$E$1110&lt;=Тўловлар[[#This Row],[Дата]])),Товар!$L$4:$L$1110),Кўрсаткичлар!$B$4)</f>
        <v>0</v>
      </c>
      <c r="O1056" s="30">
        <f>Тўловлар[[#This Row],[Поддон]]*Тўловлар[[#This Row],[Поддон нархи]]</f>
        <v>0</v>
      </c>
      <c r="P1056" s="30">
        <f>Тўловлар[[#This Row],[Жами сумма]]-Тўловлар[[#This Row],[Поддон пули]]</f>
        <v>0</v>
      </c>
      <c r="Q1056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6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6" s="9" t="str">
        <f>IFERROR(INDEX(Мижозлар[Агент],MATCH($C1056,Мижозлар[Расмий ном],0)),"")</f>
        <v/>
      </c>
    </row>
    <row r="1057" spans="6:19" x14ac:dyDescent="0.2">
      <c r="F1057" s="198"/>
      <c r="G1057" s="9">
        <f>Тўловлар[[#This Row],[Поддон]]*$G$3</f>
        <v>0</v>
      </c>
      <c r="K1057" s="9">
        <f>SUM(Тўловлар[[#This Row],[ПР-Сумма]]+Тўловлар[[#This Row],[Накд]]+Тўловлар[[#This Row],[Клик]]+Тўловлар[[#This Row],[Терминал]])</f>
        <v>0</v>
      </c>
      <c r="N1057" s="30" cm="1">
        <f t="array" ref="N1057">IFERROR(LOOKUP(2,1/((Товар!$D$4:$D$1110=Тўловлар[[#This Row],[Клиент]])*(Товар!$E$4:$E$1110&lt;=Тўловлар[[#This Row],[Дата]])),Товар!$L$4:$L$1110),Кўрсаткичлар!$B$4)</f>
        <v>0</v>
      </c>
      <c r="O1057" s="30">
        <f>Тўловлар[[#This Row],[Поддон]]*Тўловлар[[#This Row],[Поддон нархи]]</f>
        <v>0</v>
      </c>
      <c r="P1057" s="30">
        <f>Тўловлар[[#This Row],[Жами сумма]]-Тўловлар[[#This Row],[Поддон пули]]</f>
        <v>0</v>
      </c>
      <c r="Q1057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7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7" s="9" t="str">
        <f>IFERROR(INDEX(Мижозлар[Агент],MATCH($C1057,Мижозлар[Расмий ном],0)),"")</f>
        <v/>
      </c>
    </row>
    <row r="1058" spans="6:19" x14ac:dyDescent="0.2">
      <c r="F1058" s="198"/>
      <c r="G1058" s="9">
        <f>Тўловлар[[#This Row],[Поддон]]*$G$3</f>
        <v>0</v>
      </c>
      <c r="K1058" s="9">
        <f>SUM(Тўловлар[[#This Row],[ПР-Сумма]]+Тўловлар[[#This Row],[Накд]]+Тўловлар[[#This Row],[Клик]]+Тўловлар[[#This Row],[Терминал]])</f>
        <v>0</v>
      </c>
      <c r="N1058" s="30" cm="1">
        <f t="array" ref="N1058">IFERROR(LOOKUP(2,1/((Товар!$D$4:$D$1110=Тўловлар[[#This Row],[Клиент]])*(Товар!$E$4:$E$1110&lt;=Тўловлар[[#This Row],[Дата]])),Товар!$L$4:$L$1110),Кўрсаткичлар!$B$4)</f>
        <v>0</v>
      </c>
      <c r="O1058" s="30">
        <f>Тўловлар[[#This Row],[Поддон]]*Тўловлар[[#This Row],[Поддон нархи]]</f>
        <v>0</v>
      </c>
      <c r="P1058" s="30">
        <f>Тўловлар[[#This Row],[Жами сумма]]-Тўловлар[[#This Row],[Поддон пули]]</f>
        <v>0</v>
      </c>
      <c r="Q1058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8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8" s="9" t="str">
        <f>IFERROR(INDEX(Мижозлар[Агент],MATCH($C1058,Мижозлар[Расмий ном],0)),"")</f>
        <v/>
      </c>
    </row>
    <row r="1059" spans="6:19" x14ac:dyDescent="0.2">
      <c r="F1059" s="198"/>
      <c r="G1059" s="9">
        <f>Тўловлар[[#This Row],[Поддон]]*$G$3</f>
        <v>0</v>
      </c>
      <c r="K1059" s="9">
        <f>SUM(Тўловлар[[#This Row],[ПР-Сумма]]+Тўловлар[[#This Row],[Накд]]+Тўловлар[[#This Row],[Клик]]+Тўловлар[[#This Row],[Терминал]])</f>
        <v>0</v>
      </c>
      <c r="N1059" s="30" cm="1">
        <f t="array" ref="N1059">IFERROR(LOOKUP(2,1/((Товар!$D$4:$D$1110=Тўловлар[[#This Row],[Клиент]])*(Товар!$E$4:$E$1110&lt;=Тўловлар[[#This Row],[Дата]])),Товар!$L$4:$L$1110),Кўрсаткичлар!$B$4)</f>
        <v>0</v>
      </c>
      <c r="O1059" s="30">
        <f>Тўловлар[[#This Row],[Поддон]]*Тўловлар[[#This Row],[Поддон нархи]]</f>
        <v>0</v>
      </c>
      <c r="P1059" s="30">
        <f>Тўловлар[[#This Row],[Жами сумма]]-Тўловлар[[#This Row],[Поддон пули]]</f>
        <v>0</v>
      </c>
      <c r="Q1059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59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59" s="9" t="str">
        <f>IFERROR(INDEX(Мижозлар[Агент],MATCH($C1059,Мижозлар[Расмий ном],0)),"")</f>
        <v/>
      </c>
    </row>
    <row r="1060" spans="6:19" x14ac:dyDescent="0.2">
      <c r="F1060" s="198"/>
      <c r="G1060" s="9">
        <f>Тўловлар[[#This Row],[Поддон]]*$G$3</f>
        <v>0</v>
      </c>
      <c r="K1060" s="9">
        <f>SUM(Тўловлар[[#This Row],[ПР-Сумма]]+Тўловлар[[#This Row],[Накд]]+Тўловлар[[#This Row],[Клик]]+Тўловлар[[#This Row],[Терминал]])</f>
        <v>0</v>
      </c>
      <c r="N1060" s="30" cm="1">
        <f t="array" ref="N1060">IFERROR(LOOKUP(2,1/((Товар!$D$4:$D$1110=Тўловлар[[#This Row],[Клиент]])*(Товар!$E$4:$E$1110&lt;=Тўловлар[[#This Row],[Дата]])),Товар!$L$4:$L$1110),Кўрсаткичлар!$B$4)</f>
        <v>0</v>
      </c>
      <c r="O1060" s="30">
        <f>Тўловлар[[#This Row],[Поддон]]*Тўловлар[[#This Row],[Поддон нархи]]</f>
        <v>0</v>
      </c>
      <c r="P1060" s="30">
        <f>Тўловлар[[#This Row],[Жами сумма]]-Тўловлар[[#This Row],[Поддон пули]]</f>
        <v>0</v>
      </c>
      <c r="Q1060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60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60" s="9" t="str">
        <f>IFERROR(INDEX(Мижозлар[Агент],MATCH($C1060,Мижозлар[Расмий ном],0)),"")</f>
        <v/>
      </c>
    </row>
    <row r="1061" spans="6:19" x14ac:dyDescent="0.2">
      <c r="F1061" s="198"/>
      <c r="G1061" s="9">
        <f>Тўловлар[[#This Row],[Поддон]]*$G$3</f>
        <v>0</v>
      </c>
      <c r="K1061" s="9">
        <f>SUM(Тўловлар[[#This Row],[ПР-Сумма]]+Тўловлар[[#This Row],[Накд]]+Тўловлар[[#This Row],[Клик]]+Тўловлар[[#This Row],[Терминал]])</f>
        <v>0</v>
      </c>
      <c r="N1061" s="30" cm="1">
        <f t="array" ref="N1061">IFERROR(LOOKUP(2,1/((Товар!$D$4:$D$1110=Тўловлар[[#This Row],[Клиент]])*(Товар!$E$4:$E$1110&lt;=Тўловлар[[#This Row],[Дата]])),Товар!$L$4:$L$1110),Кўрсаткичлар!$B$4)</f>
        <v>0</v>
      </c>
      <c r="O1061" s="30">
        <f>Тўловлар[[#This Row],[Поддон]]*Тўловлар[[#This Row],[Поддон нархи]]</f>
        <v>0</v>
      </c>
      <c r="P1061" s="30">
        <f>Тўловлар[[#This Row],[Жами сумма]]-Тўловлар[[#This Row],[Поддон пули]]</f>
        <v>0</v>
      </c>
      <c r="Q1061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61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61" s="9" t="str">
        <f>IFERROR(INDEX(Мижозлар[Агент],MATCH($C1061,Мижозлар[Расмий ном],0)),"")</f>
        <v/>
      </c>
    </row>
    <row r="1062" spans="6:19" x14ac:dyDescent="0.2">
      <c r="F1062" s="198"/>
      <c r="G1062" s="9">
        <f>Тўловлар[[#This Row],[Поддон]]*$G$3</f>
        <v>0</v>
      </c>
      <c r="K1062" s="9">
        <f>SUM(Тўловлар[[#This Row],[ПР-Сумма]]+Тўловлар[[#This Row],[Накд]]+Тўловлар[[#This Row],[Клик]]+Тўловлар[[#This Row],[Терминал]])</f>
        <v>0</v>
      </c>
      <c r="N1062" s="30" cm="1">
        <f t="array" ref="N1062">IFERROR(LOOKUP(2,1/((Товар!$D$4:$D$1110=Тўловлар[[#This Row],[Клиент]])*(Товар!$E$4:$E$1110&lt;=Тўловлар[[#This Row],[Дата]])),Товар!$L$4:$L$1110),Кўрсаткичлар!$B$4)</f>
        <v>0</v>
      </c>
      <c r="O1062" s="30">
        <f>Тўловлар[[#This Row],[Поддон]]*Тўловлар[[#This Row],[Поддон нархи]]</f>
        <v>0</v>
      </c>
      <c r="P1062" s="30">
        <f>Тўловлар[[#This Row],[Жами сумма]]-Тўловлар[[#This Row],[Поддон пули]]</f>
        <v>0</v>
      </c>
      <c r="Q1062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62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62" s="9" t="str">
        <f>IFERROR(INDEX(Мижозлар[Агент],MATCH($C1062,Мижозлар[Расмий ном],0)),"")</f>
        <v/>
      </c>
    </row>
    <row r="1063" spans="6:19" x14ac:dyDescent="0.2">
      <c r="F1063" s="198"/>
      <c r="G1063" s="9">
        <f>Тўловлар[[#This Row],[Поддон]]*$G$3</f>
        <v>0</v>
      </c>
      <c r="K1063" s="9">
        <f>SUM(Тўловлар[[#This Row],[ПР-Сумма]]+Тўловлар[[#This Row],[Накд]]+Тўловлар[[#This Row],[Клик]]+Тўловлар[[#This Row],[Терминал]])</f>
        <v>0</v>
      </c>
      <c r="N1063" s="30" cm="1">
        <f t="array" ref="N1063">IFERROR(LOOKUP(2,1/((Товар!$D$4:$D$1110=Тўловлар[[#This Row],[Клиент]])*(Товар!$E$4:$E$1110&lt;=Тўловлар[[#This Row],[Дата]])),Товар!$L$4:$L$1110),Кўрсаткичлар!$B$4)</f>
        <v>0</v>
      </c>
      <c r="O1063" s="30">
        <f>Тўловлар[[#This Row],[Поддон]]*Тўловлар[[#This Row],[Поддон нархи]]</f>
        <v>0</v>
      </c>
      <c r="P1063" s="30">
        <f>Тўловлар[[#This Row],[Жами сумма]]-Тўловлар[[#This Row],[Поддон пули]]</f>
        <v>0</v>
      </c>
      <c r="Q1063" s="9" t="str">
        <f>IF(Тўловлар[[#This Row],[Клиент]]="","",IF(IFERROR(INDEX(Мижозлар[Агент],MATCH(Тўловлар[[#This Row],[Клиент]],Мижозлар[Расмий ном],0)),"")="",Тўловлар[[#This Row],[Агент]],INDEX(Мижозлар[Агент],MATCH(Тўловлар[[#This Row],[Клиент]],Мижозлар[Расмий ном],0))))</f>
        <v/>
      </c>
      <c r="R1063" s="9" t="str">
        <f>IF(OR(Тўловлар[[#This Row],[Клиент]]="",Тўловлар[[#This Row],[Агент]]=""),"",IFERROR(IF(Тўловлар[[#This Row],[Агент]]=INDEX(Мижозлар[Агент],MATCH(Тўловлар[[#This Row],[Клиент]],Мижозлар[Расмий ном],0)),"","ХАТО"),"МИЖОЗ ЙЎҚ"))</f>
        <v/>
      </c>
      <c r="S1063" s="9" t="str">
        <f>IFERROR(INDEX(Мижозлар[Агент],MATCH($C1063,Мижозлар[Расмий ном],0)),"")</f>
        <v/>
      </c>
    </row>
    <row r="1064" spans="6:19" ht="15" x14ac:dyDescent="0.25">
      <c r="R1064"/>
      <c r="S1064"/>
    </row>
    <row r="1065" spans="6:19" ht="15" x14ac:dyDescent="0.25">
      <c r="R1065"/>
      <c r="S1065"/>
    </row>
    <row r="1066" spans="6:19" ht="15" x14ac:dyDescent="0.25">
      <c r="R1066"/>
      <c r="S1066"/>
    </row>
    <row r="1067" spans="6:19" ht="15" x14ac:dyDescent="0.25">
      <c r="R1067"/>
      <c r="S1067"/>
    </row>
    <row r="1068" spans="6:19" ht="15" x14ac:dyDescent="0.25">
      <c r="R1068"/>
      <c r="S1068"/>
    </row>
    <row r="1069" spans="6:19" ht="15" x14ac:dyDescent="0.25">
      <c r="R1069"/>
      <c r="S1069"/>
    </row>
    <row r="1070" spans="6:19" ht="15" x14ac:dyDescent="0.25">
      <c r="R1070"/>
      <c r="S1070"/>
    </row>
    <row r="1071" spans="6:19" ht="15" x14ac:dyDescent="0.25">
      <c r="R1071"/>
      <c r="S1071"/>
    </row>
    <row r="1072" spans="6:19" ht="15" x14ac:dyDescent="0.25">
      <c r="R1072"/>
      <c r="S1072"/>
    </row>
    <row r="1073" spans="18:19" ht="15" x14ac:dyDescent="0.25">
      <c r="R1073"/>
      <c r="S1073"/>
    </row>
    <row r="1074" spans="18:19" ht="15" x14ac:dyDescent="0.25">
      <c r="R1074"/>
      <c r="S1074"/>
    </row>
    <row r="1075" spans="18:19" ht="15" x14ac:dyDescent="0.25">
      <c r="R1075"/>
      <c r="S1075"/>
    </row>
    <row r="1076" spans="18:19" ht="15" x14ac:dyDescent="0.25">
      <c r="R1076"/>
      <c r="S1076"/>
    </row>
    <row r="1077" spans="18:19" ht="15" x14ac:dyDescent="0.25">
      <c r="R1077"/>
      <c r="S1077"/>
    </row>
    <row r="1078" spans="18:19" ht="15" x14ac:dyDescent="0.25">
      <c r="R1078"/>
      <c r="S1078"/>
    </row>
    <row r="1079" spans="18:19" ht="15" x14ac:dyDescent="0.25">
      <c r="R1079"/>
      <c r="S1079"/>
    </row>
    <row r="1080" spans="18:19" ht="15" x14ac:dyDescent="0.25">
      <c r="R1080"/>
      <c r="S1080"/>
    </row>
    <row r="1081" spans="18:19" ht="15" x14ac:dyDescent="0.25">
      <c r="R1081"/>
      <c r="S1081"/>
    </row>
    <row r="1082" spans="18:19" ht="15" x14ac:dyDescent="0.25">
      <c r="R1082"/>
      <c r="S1082"/>
    </row>
    <row r="1083" spans="18:19" ht="15" x14ac:dyDescent="0.25">
      <c r="R1083"/>
      <c r="S1083"/>
    </row>
    <row r="1084" spans="18:19" ht="15" x14ac:dyDescent="0.25">
      <c r="R1084"/>
      <c r="S1084"/>
    </row>
    <row r="1085" spans="18:19" ht="15" x14ac:dyDescent="0.25">
      <c r="R1085"/>
      <c r="S1085"/>
    </row>
    <row r="1086" spans="18:19" ht="15" x14ac:dyDescent="0.25">
      <c r="R1086"/>
      <c r="S1086"/>
    </row>
    <row r="1087" spans="18:19" ht="15" x14ac:dyDescent="0.25">
      <c r="R1087"/>
      <c r="S1087"/>
    </row>
    <row r="1088" spans="18:19" ht="15" x14ac:dyDescent="0.25">
      <c r="R1088"/>
      <c r="S1088"/>
    </row>
    <row r="1089" spans="18:19" ht="15" x14ac:dyDescent="0.25">
      <c r="R1089"/>
      <c r="S1089"/>
    </row>
    <row r="1090" spans="18:19" ht="15" x14ac:dyDescent="0.25">
      <c r="R1090"/>
      <c r="S1090"/>
    </row>
    <row r="1091" spans="18:19" ht="15" x14ac:dyDescent="0.25">
      <c r="R1091"/>
      <c r="S1091"/>
    </row>
    <row r="1092" spans="18:19" ht="15" x14ac:dyDescent="0.25">
      <c r="R1092"/>
      <c r="S1092"/>
    </row>
    <row r="1093" spans="18:19" ht="15" x14ac:dyDescent="0.25">
      <c r="R1093"/>
      <c r="S1093"/>
    </row>
    <row r="1094" spans="18:19" ht="15" x14ac:dyDescent="0.25">
      <c r="R1094"/>
      <c r="S1094"/>
    </row>
    <row r="1095" spans="18:19" ht="15" x14ac:dyDescent="0.25">
      <c r="R1095"/>
      <c r="S1095"/>
    </row>
    <row r="1096" spans="18:19" ht="15" x14ac:dyDescent="0.25">
      <c r="R1096"/>
      <c r="S1096"/>
    </row>
    <row r="1097" spans="18:19" ht="15" x14ac:dyDescent="0.25">
      <c r="R1097"/>
      <c r="S1097"/>
    </row>
    <row r="1098" spans="18:19" ht="15" x14ac:dyDescent="0.25">
      <c r="R1098"/>
      <c r="S1098"/>
    </row>
    <row r="1099" spans="18:19" ht="15" x14ac:dyDescent="0.25">
      <c r="R1099"/>
      <c r="S1099"/>
    </row>
    <row r="1100" spans="18:19" ht="15" x14ac:dyDescent="0.25">
      <c r="R1100"/>
      <c r="S1100"/>
    </row>
    <row r="1101" spans="18:19" ht="15" x14ac:dyDescent="0.25">
      <c r="R1101"/>
      <c r="S1101"/>
    </row>
  </sheetData>
  <mergeCells count="1">
    <mergeCell ref="C3:D3"/>
  </mergeCells>
  <conditionalFormatting sqref="B5:C1063">
    <cfRule type="expression" dxfId="6" priority="1">
      <formula>OR($R5="ХАТО",$R5="МИЖОЗ ЙЎҚ")</formula>
    </cfRule>
  </conditionalFormatting>
  <conditionalFormatting sqref="R5:R1063">
    <cfRule type="containsText" dxfId="5" priority="2" operator="containsText" text="ХАТО">
      <formula>NOT(ISERROR(SEARCH("ХАТО",R5)))</formula>
    </cfRule>
  </conditionalFormatting>
  <dataValidations count="3">
    <dataValidation type="list" errorStyle="warning" allowBlank="1" showInputMessage="1" showErrorMessage="1" errorTitle="Номаълум агент" error="Бу агент справочникда йўқ. Кўрсаткичлар варағидаги Агентлар жадвалига қўшинг." sqref="B1064:B2010" xr:uid="{DE73F5A9-1056-4D9B-964A-14DC93BC00A0}">
      <formula1>АгентРўйхати</formula1>
    </dataValidation>
    <dataValidation type="list" errorStyle="warning" allowBlank="1" showErrorMessage="1" errorTitle="Номаълум мижоз" error="Бу мижоз справочникда йўқ. Аввал Кўрсаткичлар варағидаги Мижозлар жадвалига қўшинг." promptTitle="Мижоз" prompt="Рўйхатдан танланг" sqref="C5:C2010" xr:uid="{ED686AEB-6A96-4771-B447-77C87D3365D0}">
      <formula1>МижозРўйхати</formula1>
    </dataValidation>
    <dataValidation type="list" allowBlank="1" showInputMessage="1" showErrorMessage="1" errorTitle="Агент мос эмас" error="Бу мижоз бошқа агентга бириктирилган. Кўрсаткичлар варағидаги «Мижозлар справочниги»га қаранг." sqref="B5:B1063" xr:uid="{3696EAE8-BF72-491E-869F-3C0E36CDF0F3}">
      <formula1>IF($S5="",АгентРўйхати,$S5)</formula1>
    </dataValidation>
  </dataValidations>
  <pageMargins left="0.2" right="0.2" top="0.2" bottom="0.75" header="0.2" footer="0.3"/>
  <pageSetup paperSize="9" scale="10" orientation="landscape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C4B74-8D91-461C-B628-FC08F5EC377B}">
  <sheetPr>
    <tabColor rgb="FF00B0F0"/>
  </sheetPr>
  <dimension ref="A1:H97"/>
  <sheetViews>
    <sheetView zoomScale="130" zoomScaleNormal="130" workbookViewId="0">
      <pane ySplit="2" topLeftCell="A45" activePane="bottomLeft" state="frozen"/>
      <selection pane="bottomLeft" activeCell="C60" sqref="C60"/>
    </sheetView>
  </sheetViews>
  <sheetFormatPr defaultColWidth="9.140625" defaultRowHeight="14.25" x14ac:dyDescent="0.2"/>
  <cols>
    <col min="1" max="1" width="11.85546875" style="1" bestFit="1" customWidth="1"/>
    <col min="2" max="2" width="15.140625" style="1" bestFit="1" customWidth="1"/>
    <col min="3" max="3" width="15.5703125" style="1" bestFit="1" customWidth="1"/>
    <col min="4" max="4" width="16.5703125" style="1" bestFit="1" customWidth="1"/>
    <col min="5" max="5" width="14.5703125" style="1" bestFit="1" customWidth="1"/>
    <col min="6" max="7" width="12.140625" style="1" bestFit="1" customWidth="1"/>
    <col min="8" max="8" width="15" style="1" bestFit="1" customWidth="1"/>
    <col min="9" max="16384" width="9.140625" style="1"/>
  </cols>
  <sheetData>
    <row r="1" spans="1:8" x14ac:dyDescent="0.2">
      <c r="C1" s="27">
        <f>SUBTOTAL(9,ТўловПоставшик[Сумма])</f>
        <v>7321989420</v>
      </c>
      <c r="H1" s="32"/>
    </row>
    <row r="2" spans="1:8" x14ac:dyDescent="0.2">
      <c r="A2" s="1" t="s">
        <v>145</v>
      </c>
      <c r="B2" s="1" t="s">
        <v>209</v>
      </c>
      <c r="C2" s="1" t="s">
        <v>185</v>
      </c>
      <c r="D2" s="1" t="s">
        <v>269</v>
      </c>
      <c r="E2" s="1" t="s">
        <v>270</v>
      </c>
    </row>
    <row r="3" spans="1:8" x14ac:dyDescent="0.2">
      <c r="A3" s="6">
        <v>46198</v>
      </c>
      <c r="B3" s="6" t="s">
        <v>44</v>
      </c>
      <c r="C3" s="3">
        <v>45570000</v>
      </c>
      <c r="D3" s="1" t="s">
        <v>271</v>
      </c>
      <c r="E3" s="26" t="s">
        <v>22</v>
      </c>
    </row>
    <row r="4" spans="1:8" x14ac:dyDescent="0.2">
      <c r="A4" s="6">
        <v>46198</v>
      </c>
      <c r="B4" s="6" t="s">
        <v>44</v>
      </c>
      <c r="C4" s="3">
        <v>23328000</v>
      </c>
      <c r="D4" s="1" t="s">
        <v>271</v>
      </c>
      <c r="E4" s="26" t="s">
        <v>22</v>
      </c>
    </row>
    <row r="5" spans="1:8" x14ac:dyDescent="0.2">
      <c r="A5" s="6">
        <v>46202</v>
      </c>
      <c r="B5" s="6" t="s">
        <v>44</v>
      </c>
      <c r="C5" s="3">
        <v>24624000</v>
      </c>
      <c r="D5" s="1" t="s">
        <v>271</v>
      </c>
      <c r="E5" s="26" t="s">
        <v>22</v>
      </c>
    </row>
    <row r="6" spans="1:8" x14ac:dyDescent="0.2">
      <c r="A6" s="6">
        <v>46202</v>
      </c>
      <c r="B6" s="6" t="s">
        <v>44</v>
      </c>
      <c r="C6" s="3">
        <v>23965900</v>
      </c>
      <c r="D6" s="1" t="s">
        <v>271</v>
      </c>
      <c r="E6" s="26" t="s">
        <v>22</v>
      </c>
    </row>
    <row r="7" spans="1:8" x14ac:dyDescent="0.2">
      <c r="A7" s="6">
        <v>46202</v>
      </c>
      <c r="B7" s="6" t="s">
        <v>44</v>
      </c>
      <c r="C7" s="3">
        <v>47952000</v>
      </c>
      <c r="D7" s="1" t="s">
        <v>271</v>
      </c>
      <c r="E7" s="26" t="s">
        <v>22</v>
      </c>
    </row>
    <row r="8" spans="1:8" x14ac:dyDescent="0.2">
      <c r="A8" s="6">
        <v>46203</v>
      </c>
      <c r="B8" s="6" t="s">
        <v>44</v>
      </c>
      <c r="C8" s="3">
        <v>50000000</v>
      </c>
      <c r="D8" s="1" t="s">
        <v>271</v>
      </c>
      <c r="E8" s="26" t="s">
        <v>22</v>
      </c>
    </row>
    <row r="9" spans="1:8" x14ac:dyDescent="0.2">
      <c r="A9" s="6">
        <v>46203</v>
      </c>
      <c r="B9" s="6" t="s">
        <v>44</v>
      </c>
      <c r="C9" s="3">
        <v>23872000</v>
      </c>
      <c r="D9" s="1" t="s">
        <v>271</v>
      </c>
      <c r="E9" s="26" t="s">
        <v>22</v>
      </c>
    </row>
    <row r="10" spans="1:8" x14ac:dyDescent="0.2">
      <c r="A10" s="6">
        <v>46203</v>
      </c>
      <c r="B10" s="6" t="s">
        <v>44</v>
      </c>
      <c r="C10" s="3">
        <v>22703000</v>
      </c>
      <c r="D10" s="1" t="s">
        <v>271</v>
      </c>
      <c r="E10" s="26" t="s">
        <v>22</v>
      </c>
    </row>
    <row r="11" spans="1:8" x14ac:dyDescent="0.2">
      <c r="A11" s="6">
        <v>46204</v>
      </c>
      <c r="B11" s="6" t="s">
        <v>44</v>
      </c>
      <c r="C11" s="3">
        <v>25231000</v>
      </c>
      <c r="D11" s="1" t="s">
        <v>271</v>
      </c>
      <c r="E11" s="26" t="s">
        <v>22</v>
      </c>
    </row>
    <row r="12" spans="1:8" x14ac:dyDescent="0.2">
      <c r="A12" s="6">
        <v>46205</v>
      </c>
      <c r="B12" s="6" t="s">
        <v>44</v>
      </c>
      <c r="C12" s="3">
        <v>67737600</v>
      </c>
      <c r="D12" s="1" t="s">
        <v>271</v>
      </c>
      <c r="E12" s="26" t="s">
        <v>22</v>
      </c>
    </row>
    <row r="13" spans="1:8" x14ac:dyDescent="0.2">
      <c r="A13" s="6">
        <v>46205</v>
      </c>
      <c r="B13" s="6" t="s">
        <v>44</v>
      </c>
      <c r="C13" s="3">
        <v>72394560</v>
      </c>
      <c r="D13" s="1" t="s">
        <v>271</v>
      </c>
      <c r="E13" s="26" t="s">
        <v>22</v>
      </c>
    </row>
    <row r="14" spans="1:8" x14ac:dyDescent="0.2">
      <c r="A14" s="6">
        <v>46205</v>
      </c>
      <c r="B14" s="6" t="s">
        <v>44</v>
      </c>
      <c r="C14" s="3">
        <v>73872000</v>
      </c>
      <c r="D14" s="1" t="s">
        <v>271</v>
      </c>
      <c r="E14" s="26" t="s">
        <v>22</v>
      </c>
    </row>
    <row r="15" spans="1:8" x14ac:dyDescent="0.2">
      <c r="A15" s="6">
        <v>46206</v>
      </c>
      <c r="B15" s="6" t="s">
        <v>44</v>
      </c>
      <c r="C15" s="3">
        <v>47934720</v>
      </c>
      <c r="D15" s="1" t="s">
        <v>271</v>
      </c>
      <c r="E15" s="26" t="s">
        <v>22</v>
      </c>
    </row>
    <row r="16" spans="1:8" x14ac:dyDescent="0.2">
      <c r="A16" s="6">
        <v>46206</v>
      </c>
      <c r="B16" s="6" t="s">
        <v>44</v>
      </c>
      <c r="C16" s="3">
        <v>49904640</v>
      </c>
      <c r="D16" s="1" t="s">
        <v>271</v>
      </c>
      <c r="E16" s="26" t="s">
        <v>22</v>
      </c>
    </row>
    <row r="17" spans="1:5" x14ac:dyDescent="0.2">
      <c r="A17" s="6">
        <v>46206</v>
      </c>
      <c r="B17" s="6" t="s">
        <v>44</v>
      </c>
      <c r="C17" s="3">
        <v>506000000</v>
      </c>
      <c r="D17" s="1" t="s">
        <v>271</v>
      </c>
      <c r="E17" s="26" t="s">
        <v>22</v>
      </c>
    </row>
    <row r="18" spans="1:5" x14ac:dyDescent="0.2">
      <c r="A18" s="6">
        <v>46206</v>
      </c>
      <c r="B18" s="6" t="s">
        <v>44</v>
      </c>
      <c r="C18" s="3">
        <v>890000000</v>
      </c>
      <c r="D18" s="1" t="s">
        <v>271</v>
      </c>
      <c r="E18" s="26" t="s">
        <v>22</v>
      </c>
    </row>
    <row r="19" spans="1:5" x14ac:dyDescent="0.2">
      <c r="A19" s="6">
        <v>46213</v>
      </c>
      <c r="B19" s="6" t="s">
        <v>44</v>
      </c>
      <c r="C19" s="3">
        <v>300000000</v>
      </c>
      <c r="D19" s="1" t="s">
        <v>271</v>
      </c>
      <c r="E19" s="26" t="s">
        <v>22</v>
      </c>
    </row>
    <row r="20" spans="1:5" x14ac:dyDescent="0.2">
      <c r="A20" s="6">
        <v>46206</v>
      </c>
      <c r="B20" s="6" t="s">
        <v>44</v>
      </c>
      <c r="C20" s="3">
        <v>50000000</v>
      </c>
      <c r="D20" s="1" t="s">
        <v>271</v>
      </c>
      <c r="E20" s="26" t="s">
        <v>22</v>
      </c>
    </row>
    <row r="21" spans="1:5" x14ac:dyDescent="0.2">
      <c r="A21" s="6">
        <v>46210</v>
      </c>
      <c r="B21" s="6" t="s">
        <v>41</v>
      </c>
      <c r="C21" s="3">
        <v>50000000</v>
      </c>
      <c r="D21" s="1" t="s">
        <v>272</v>
      </c>
      <c r="E21" s="26" t="s">
        <v>22</v>
      </c>
    </row>
    <row r="22" spans="1:5" x14ac:dyDescent="0.2">
      <c r="A22" s="6">
        <v>46223</v>
      </c>
      <c r="B22" s="6" t="s">
        <v>44</v>
      </c>
      <c r="C22" s="3">
        <v>626000000</v>
      </c>
      <c r="D22" s="1" t="s">
        <v>271</v>
      </c>
      <c r="E22" s="1" t="s">
        <v>26</v>
      </c>
    </row>
    <row r="23" spans="1:5" x14ac:dyDescent="0.2">
      <c r="A23" s="6">
        <v>46227</v>
      </c>
      <c r="B23" s="6" t="s">
        <v>44</v>
      </c>
      <c r="C23" s="3">
        <v>200000000</v>
      </c>
      <c r="D23" s="1" t="s">
        <v>271</v>
      </c>
      <c r="E23" s="1" t="s">
        <v>26</v>
      </c>
    </row>
    <row r="24" spans="1:5" x14ac:dyDescent="0.2">
      <c r="A24" s="6">
        <v>46231</v>
      </c>
      <c r="B24" s="6" t="s">
        <v>44</v>
      </c>
      <c r="C24" s="3">
        <v>200000000</v>
      </c>
      <c r="D24" s="1" t="s">
        <v>271</v>
      </c>
      <c r="E24" s="1" t="s">
        <v>26</v>
      </c>
    </row>
    <row r="25" spans="1:5" x14ac:dyDescent="0.2">
      <c r="A25" s="6">
        <v>46233</v>
      </c>
      <c r="B25" s="6" t="s">
        <v>44</v>
      </c>
      <c r="C25" s="3">
        <v>150000000</v>
      </c>
      <c r="D25" s="1" t="s">
        <v>271</v>
      </c>
      <c r="E25" s="1" t="s">
        <v>26</v>
      </c>
    </row>
    <row r="26" spans="1:5" x14ac:dyDescent="0.2">
      <c r="A26" s="6">
        <v>46234</v>
      </c>
      <c r="B26" s="6" t="s">
        <v>44</v>
      </c>
      <c r="C26" s="3">
        <v>100000000</v>
      </c>
      <c r="D26" s="1" t="s">
        <v>271</v>
      </c>
      <c r="E26" s="1" t="s">
        <v>26</v>
      </c>
    </row>
    <row r="27" spans="1:5" x14ac:dyDescent="0.2">
      <c r="A27" s="6">
        <v>46237</v>
      </c>
      <c r="B27" s="6" t="s">
        <v>44</v>
      </c>
      <c r="C27" s="3">
        <v>150000000</v>
      </c>
      <c r="D27" s="1" t="s">
        <v>271</v>
      </c>
      <c r="E27" s="1" t="s">
        <v>26</v>
      </c>
    </row>
    <row r="28" spans="1:5" x14ac:dyDescent="0.2">
      <c r="A28" s="6">
        <v>46240</v>
      </c>
      <c r="B28" s="6" t="s">
        <v>44</v>
      </c>
      <c r="C28" s="3">
        <v>150000000</v>
      </c>
      <c r="D28" s="1" t="s">
        <v>271</v>
      </c>
      <c r="E28" s="1" t="s">
        <v>26</v>
      </c>
    </row>
    <row r="29" spans="1:5" x14ac:dyDescent="0.2">
      <c r="A29" s="6">
        <v>46242</v>
      </c>
      <c r="B29" s="6" t="s">
        <v>44</v>
      </c>
      <c r="C29" s="3">
        <v>180000000</v>
      </c>
      <c r="D29" s="1" t="s">
        <v>271</v>
      </c>
      <c r="E29" s="1" t="s">
        <v>26</v>
      </c>
    </row>
    <row r="30" spans="1:5" x14ac:dyDescent="0.2">
      <c r="A30" s="6">
        <v>46244</v>
      </c>
      <c r="B30" s="6" t="s">
        <v>44</v>
      </c>
      <c r="C30" s="33">
        <v>263000000</v>
      </c>
      <c r="D30" s="1" t="s">
        <v>271</v>
      </c>
      <c r="E30" s="1" t="s">
        <v>26</v>
      </c>
    </row>
    <row r="31" spans="1:5" x14ac:dyDescent="0.2">
      <c r="A31" s="6">
        <v>46246</v>
      </c>
      <c r="B31" s="6" t="s">
        <v>44</v>
      </c>
      <c r="C31" s="33">
        <v>53000000</v>
      </c>
      <c r="D31" s="1" t="s">
        <v>271</v>
      </c>
      <c r="E31" s="1" t="s">
        <v>26</v>
      </c>
    </row>
    <row r="32" spans="1:5" x14ac:dyDescent="0.2">
      <c r="A32" s="6">
        <v>46246</v>
      </c>
      <c r="B32" s="6" t="s">
        <v>44</v>
      </c>
      <c r="C32" s="33">
        <v>46000000</v>
      </c>
      <c r="D32" s="1" t="s">
        <v>271</v>
      </c>
      <c r="E32" s="1" t="s">
        <v>26</v>
      </c>
    </row>
    <row r="33" spans="1:5" x14ac:dyDescent="0.2">
      <c r="A33" s="6">
        <v>46246</v>
      </c>
      <c r="B33" s="6" t="s">
        <v>44</v>
      </c>
      <c r="C33" s="33">
        <v>50000000</v>
      </c>
      <c r="D33" s="1" t="s">
        <v>271</v>
      </c>
      <c r="E33" s="1" t="s">
        <v>26</v>
      </c>
    </row>
    <row r="34" spans="1:5" x14ac:dyDescent="0.2">
      <c r="A34" s="6">
        <v>46246</v>
      </c>
      <c r="B34" s="6" t="s">
        <v>44</v>
      </c>
      <c r="C34" s="3">
        <v>32000000</v>
      </c>
      <c r="D34" s="1" t="s">
        <v>271</v>
      </c>
      <c r="E34" s="1" t="s">
        <v>26</v>
      </c>
    </row>
    <row r="35" spans="1:5" x14ac:dyDescent="0.2">
      <c r="A35" s="6">
        <v>46247</v>
      </c>
      <c r="B35" s="6" t="s">
        <v>44</v>
      </c>
      <c r="C35" s="3">
        <v>88000000</v>
      </c>
      <c r="D35" s="1" t="s">
        <v>271</v>
      </c>
      <c r="E35" s="1" t="s">
        <v>26</v>
      </c>
    </row>
    <row r="36" spans="1:5" x14ac:dyDescent="0.2">
      <c r="A36" s="6">
        <v>46247</v>
      </c>
      <c r="B36" s="6" t="s">
        <v>44</v>
      </c>
      <c r="C36" s="3">
        <v>85000000</v>
      </c>
      <c r="D36" s="1" t="s">
        <v>271</v>
      </c>
      <c r="E36" s="1" t="s">
        <v>26</v>
      </c>
    </row>
    <row r="37" spans="1:5" x14ac:dyDescent="0.2">
      <c r="A37" s="6">
        <v>46248</v>
      </c>
      <c r="B37" s="6" t="s">
        <v>44</v>
      </c>
      <c r="C37" s="3">
        <v>94000000</v>
      </c>
      <c r="D37" s="1" t="s">
        <v>271</v>
      </c>
      <c r="E37" s="1" t="s">
        <v>26</v>
      </c>
    </row>
    <row r="38" spans="1:5" x14ac:dyDescent="0.2">
      <c r="A38" s="6">
        <v>46248</v>
      </c>
      <c r="B38" s="6" t="s">
        <v>44</v>
      </c>
      <c r="C38" s="3">
        <v>94900000</v>
      </c>
      <c r="D38" s="1" t="s">
        <v>271</v>
      </c>
      <c r="E38" s="1" t="s">
        <v>26</v>
      </c>
    </row>
    <row r="39" spans="1:5" x14ac:dyDescent="0.2">
      <c r="A39" s="6">
        <v>46248</v>
      </c>
      <c r="B39" s="6" t="s">
        <v>44</v>
      </c>
      <c r="C39" s="3">
        <v>43500000</v>
      </c>
      <c r="D39" s="1" t="s">
        <v>271</v>
      </c>
      <c r="E39" s="1" t="s">
        <v>26</v>
      </c>
    </row>
    <row r="40" spans="1:5" x14ac:dyDescent="0.2">
      <c r="A40" s="6">
        <v>46249</v>
      </c>
      <c r="B40" s="6" t="s">
        <v>44</v>
      </c>
      <c r="C40" s="3">
        <v>47000000</v>
      </c>
      <c r="D40" s="1" t="s">
        <v>271</v>
      </c>
      <c r="E40" s="1" t="s">
        <v>26</v>
      </c>
    </row>
    <row r="41" spans="1:5" x14ac:dyDescent="0.2">
      <c r="A41" s="6">
        <v>46251</v>
      </c>
      <c r="B41" s="6" t="s">
        <v>44</v>
      </c>
      <c r="C41" s="3">
        <v>81000000</v>
      </c>
      <c r="D41" s="1" t="s">
        <v>271</v>
      </c>
      <c r="E41" s="1" t="s">
        <v>26</v>
      </c>
    </row>
    <row r="42" spans="1:5" x14ac:dyDescent="0.2">
      <c r="A42" s="6">
        <v>46251</v>
      </c>
      <c r="B42" s="6" t="s">
        <v>44</v>
      </c>
      <c r="C42" s="3">
        <v>205000000</v>
      </c>
      <c r="D42" s="1" t="s">
        <v>271</v>
      </c>
      <c r="E42" s="1" t="s">
        <v>26</v>
      </c>
    </row>
    <row r="43" spans="1:5" x14ac:dyDescent="0.2">
      <c r="A43" s="6">
        <v>46252</v>
      </c>
      <c r="B43" s="6" t="s">
        <v>44</v>
      </c>
      <c r="C43" s="3">
        <v>210000000</v>
      </c>
      <c r="D43" s="1" t="s">
        <v>271</v>
      </c>
      <c r="E43" s="1" t="s">
        <v>26</v>
      </c>
    </row>
    <row r="44" spans="1:5" x14ac:dyDescent="0.2">
      <c r="A44" s="6">
        <v>46253</v>
      </c>
      <c r="B44" s="6" t="s">
        <v>44</v>
      </c>
      <c r="C44" s="3">
        <v>83000000</v>
      </c>
      <c r="D44" s="1" t="s">
        <v>271</v>
      </c>
      <c r="E44" s="1" t="s">
        <v>26</v>
      </c>
    </row>
    <row r="45" spans="1:5" x14ac:dyDescent="0.2">
      <c r="A45" s="6">
        <v>46253</v>
      </c>
      <c r="B45" s="6" t="s">
        <v>44</v>
      </c>
      <c r="C45" s="3">
        <v>130000000</v>
      </c>
      <c r="D45" s="1" t="s">
        <v>271</v>
      </c>
      <c r="E45" s="1" t="s">
        <v>26</v>
      </c>
    </row>
    <row r="46" spans="1:5" x14ac:dyDescent="0.2">
      <c r="A46" s="6">
        <v>46254</v>
      </c>
      <c r="B46" s="6" t="s">
        <v>44</v>
      </c>
      <c r="C46" s="3">
        <v>110000000</v>
      </c>
      <c r="D46" s="1" t="s">
        <v>271</v>
      </c>
      <c r="E46" s="1" t="s">
        <v>26</v>
      </c>
    </row>
    <row r="47" spans="1:5" x14ac:dyDescent="0.2">
      <c r="A47" s="6">
        <v>46255</v>
      </c>
      <c r="B47" s="6" t="s">
        <v>44</v>
      </c>
      <c r="C47" s="3">
        <v>113000000</v>
      </c>
      <c r="D47" s="1" t="s">
        <v>271</v>
      </c>
      <c r="E47" s="1" t="s">
        <v>26</v>
      </c>
    </row>
    <row r="48" spans="1:5" x14ac:dyDescent="0.2">
      <c r="A48" s="6">
        <v>46255</v>
      </c>
      <c r="B48" s="6" t="s">
        <v>44</v>
      </c>
      <c r="C48" s="3">
        <v>47000000</v>
      </c>
      <c r="D48" s="1" t="s">
        <v>271</v>
      </c>
      <c r="E48" s="1" t="s">
        <v>26</v>
      </c>
    </row>
    <row r="49" spans="1:5" x14ac:dyDescent="0.2">
      <c r="A49" s="6">
        <v>46258</v>
      </c>
      <c r="B49" s="6" t="s">
        <v>44</v>
      </c>
      <c r="C49" s="3">
        <v>103000000</v>
      </c>
      <c r="D49" s="1" t="s">
        <v>271</v>
      </c>
      <c r="E49" s="1" t="s">
        <v>26</v>
      </c>
    </row>
    <row r="50" spans="1:5" x14ac:dyDescent="0.2">
      <c r="A50" s="6">
        <v>46258</v>
      </c>
      <c r="B50" s="6" t="s">
        <v>44</v>
      </c>
      <c r="C50" s="3">
        <v>86000000</v>
      </c>
      <c r="D50" s="1" t="s">
        <v>271</v>
      </c>
      <c r="E50" s="1" t="s">
        <v>26</v>
      </c>
    </row>
    <row r="51" spans="1:5" x14ac:dyDescent="0.2">
      <c r="A51" s="6">
        <v>46259</v>
      </c>
      <c r="B51" s="6" t="s">
        <v>44</v>
      </c>
      <c r="C51" s="3">
        <v>198000000</v>
      </c>
      <c r="D51" s="1" t="s">
        <v>271</v>
      </c>
      <c r="E51" s="1" t="s">
        <v>26</v>
      </c>
    </row>
    <row r="52" spans="1:5" x14ac:dyDescent="0.2">
      <c r="A52" s="6">
        <v>46260</v>
      </c>
      <c r="B52" s="6" t="s">
        <v>44</v>
      </c>
      <c r="C52" s="3">
        <v>64000000</v>
      </c>
      <c r="D52" s="1" t="s">
        <v>271</v>
      </c>
      <c r="E52" s="1" t="s">
        <v>26</v>
      </c>
    </row>
    <row r="53" spans="1:5" x14ac:dyDescent="0.2">
      <c r="A53" s="6">
        <v>46260</v>
      </c>
      <c r="B53" s="6" t="s">
        <v>44</v>
      </c>
      <c r="C53" s="3">
        <v>50000000</v>
      </c>
      <c r="D53" s="1" t="s">
        <v>271</v>
      </c>
      <c r="E53" s="1" t="s">
        <v>26</v>
      </c>
    </row>
    <row r="54" spans="1:5" x14ac:dyDescent="0.2">
      <c r="A54" s="6">
        <v>46260</v>
      </c>
      <c r="B54" s="6" t="s">
        <v>44</v>
      </c>
      <c r="C54" s="3">
        <v>20500000</v>
      </c>
      <c r="D54" s="1" t="s">
        <v>271</v>
      </c>
      <c r="E54" s="1" t="s">
        <v>26</v>
      </c>
    </row>
    <row r="55" spans="1:5" x14ac:dyDescent="0.2">
      <c r="A55" s="6">
        <v>46261</v>
      </c>
      <c r="B55" s="6" t="s">
        <v>44</v>
      </c>
      <c r="C55" s="3">
        <v>100000000</v>
      </c>
      <c r="D55" s="1" t="s">
        <v>271</v>
      </c>
      <c r="E55" s="1" t="s">
        <v>26</v>
      </c>
    </row>
    <row r="56" spans="1:5" x14ac:dyDescent="0.2">
      <c r="A56" s="6">
        <v>46262</v>
      </c>
      <c r="B56" s="6" t="s">
        <v>44</v>
      </c>
      <c r="C56" s="3">
        <v>24000000</v>
      </c>
      <c r="D56" s="1" t="s">
        <v>271</v>
      </c>
      <c r="E56" s="1" t="s">
        <v>26</v>
      </c>
    </row>
    <row r="57" spans="1:5" x14ac:dyDescent="0.2">
      <c r="A57" s="6">
        <v>46262</v>
      </c>
      <c r="B57" s="6" t="s">
        <v>44</v>
      </c>
      <c r="C57" s="3">
        <v>300000000</v>
      </c>
      <c r="D57" s="1" t="s">
        <v>271</v>
      </c>
      <c r="E57" s="1" t="s">
        <v>26</v>
      </c>
    </row>
    <row r="58" spans="1:5" x14ac:dyDescent="0.2">
      <c r="A58" s="6">
        <v>46267</v>
      </c>
      <c r="B58" s="6" t="s">
        <v>44</v>
      </c>
      <c r="C58" s="3">
        <v>239800000</v>
      </c>
      <c r="D58" s="1" t="s">
        <v>271</v>
      </c>
      <c r="E58" s="1" t="s">
        <v>26</v>
      </c>
    </row>
    <row r="59" spans="1:5" x14ac:dyDescent="0.2">
      <c r="A59" s="6">
        <v>46267</v>
      </c>
      <c r="B59" s="6" t="s">
        <v>44</v>
      </c>
      <c r="C59" s="3">
        <v>51000000</v>
      </c>
      <c r="D59" s="1" t="s">
        <v>271</v>
      </c>
      <c r="E59" s="1" t="s">
        <v>26</v>
      </c>
    </row>
    <row r="60" spans="1:5" x14ac:dyDescent="0.2">
      <c r="A60" s="6">
        <v>46267</v>
      </c>
      <c r="B60" s="6" t="s">
        <v>44</v>
      </c>
      <c r="C60" s="3">
        <v>59200000</v>
      </c>
      <c r="D60" s="1" t="s">
        <v>271</v>
      </c>
      <c r="E60" s="1" t="s">
        <v>26</v>
      </c>
    </row>
    <row r="61" spans="1:5" x14ac:dyDescent="0.2">
      <c r="A61" s="6"/>
      <c r="B61" s="6"/>
      <c r="C61" s="3"/>
    </row>
    <row r="62" spans="1:5" x14ac:dyDescent="0.2">
      <c r="A62" s="6"/>
      <c r="B62" s="6"/>
      <c r="C62" s="3"/>
    </row>
    <row r="63" spans="1:5" x14ac:dyDescent="0.2">
      <c r="A63" s="6"/>
      <c r="B63" s="6"/>
      <c r="C63" s="3"/>
    </row>
    <row r="64" spans="1:5" x14ac:dyDescent="0.2">
      <c r="A64" s="6"/>
      <c r="B64" s="6"/>
      <c r="C64" s="3"/>
    </row>
    <row r="65" spans="1:3" x14ac:dyDescent="0.2">
      <c r="A65" s="6"/>
      <c r="B65" s="6"/>
      <c r="C65" s="3"/>
    </row>
    <row r="66" spans="1:3" x14ac:dyDescent="0.2">
      <c r="A66" s="6"/>
      <c r="B66" s="6"/>
      <c r="C66" s="3"/>
    </row>
    <row r="67" spans="1:3" x14ac:dyDescent="0.2">
      <c r="A67" s="6"/>
      <c r="B67" s="6"/>
      <c r="C67" s="3"/>
    </row>
    <row r="68" spans="1:3" x14ac:dyDescent="0.2">
      <c r="A68" s="6"/>
      <c r="B68" s="6"/>
      <c r="C68" s="3"/>
    </row>
    <row r="69" spans="1:3" x14ac:dyDescent="0.2">
      <c r="A69" s="6"/>
      <c r="B69" s="6"/>
      <c r="C69" s="3"/>
    </row>
    <row r="70" spans="1:3" x14ac:dyDescent="0.2">
      <c r="A70" s="6"/>
      <c r="B70" s="6"/>
      <c r="C70" s="3"/>
    </row>
    <row r="71" spans="1:3" x14ac:dyDescent="0.2">
      <c r="A71" s="6"/>
      <c r="B71" s="6"/>
      <c r="C71" s="3"/>
    </row>
    <row r="72" spans="1:3" x14ac:dyDescent="0.2">
      <c r="A72" s="6"/>
      <c r="B72" s="6"/>
      <c r="C72" s="3"/>
    </row>
    <row r="73" spans="1:3" x14ac:dyDescent="0.2">
      <c r="A73" s="6"/>
      <c r="B73" s="6"/>
      <c r="C73" s="3"/>
    </row>
    <row r="74" spans="1:3" x14ac:dyDescent="0.2">
      <c r="A74" s="6"/>
      <c r="B74" s="6"/>
      <c r="C74" s="3"/>
    </row>
    <row r="75" spans="1:3" x14ac:dyDescent="0.2">
      <c r="A75" s="6"/>
      <c r="B75" s="6"/>
      <c r="C75" s="3"/>
    </row>
    <row r="76" spans="1:3" x14ac:dyDescent="0.2">
      <c r="A76" s="6"/>
      <c r="B76" s="6"/>
      <c r="C76" s="3"/>
    </row>
    <row r="77" spans="1:3" x14ac:dyDescent="0.2">
      <c r="A77" s="6"/>
      <c r="B77" s="6"/>
      <c r="C77" s="3"/>
    </row>
    <row r="78" spans="1:3" x14ac:dyDescent="0.2">
      <c r="A78" s="6"/>
      <c r="B78" s="6"/>
      <c r="C78" s="3"/>
    </row>
    <row r="79" spans="1:3" x14ac:dyDescent="0.2">
      <c r="A79" s="6"/>
      <c r="B79" s="6"/>
      <c r="C79" s="3"/>
    </row>
    <row r="80" spans="1:3" x14ac:dyDescent="0.2">
      <c r="A80" s="6"/>
      <c r="B80" s="6"/>
      <c r="C80" s="3"/>
    </row>
    <row r="81" spans="1:3" x14ac:dyDescent="0.2">
      <c r="A81" s="6"/>
      <c r="B81" s="6"/>
      <c r="C81" s="3"/>
    </row>
    <row r="82" spans="1:3" x14ac:dyDescent="0.2">
      <c r="A82" s="6"/>
      <c r="B82" s="6"/>
      <c r="C82" s="3"/>
    </row>
    <row r="83" spans="1:3" x14ac:dyDescent="0.2">
      <c r="A83" s="6"/>
      <c r="B83" s="6"/>
      <c r="C83" s="3"/>
    </row>
    <row r="84" spans="1:3" x14ac:dyDescent="0.2">
      <c r="A84" s="6"/>
      <c r="B84" s="6"/>
      <c r="C84" s="3"/>
    </row>
    <row r="85" spans="1:3" x14ac:dyDescent="0.2">
      <c r="A85" s="6"/>
      <c r="B85" s="6"/>
      <c r="C85" s="3"/>
    </row>
    <row r="86" spans="1:3" x14ac:dyDescent="0.2">
      <c r="A86" s="6"/>
      <c r="B86" s="6"/>
      <c r="C86" s="3"/>
    </row>
    <row r="87" spans="1:3" x14ac:dyDescent="0.2">
      <c r="A87" s="6"/>
      <c r="B87" s="6"/>
      <c r="C87" s="3"/>
    </row>
    <row r="88" spans="1:3" x14ac:dyDescent="0.2">
      <c r="A88" s="6"/>
      <c r="B88" s="6"/>
      <c r="C88" s="3"/>
    </row>
    <row r="89" spans="1:3" x14ac:dyDescent="0.2">
      <c r="A89" s="6"/>
      <c r="B89" s="6"/>
      <c r="C89" s="3"/>
    </row>
    <row r="90" spans="1:3" x14ac:dyDescent="0.2">
      <c r="A90" s="6"/>
      <c r="B90" s="6"/>
      <c r="C90" s="3"/>
    </row>
    <row r="91" spans="1:3" x14ac:dyDescent="0.2">
      <c r="A91" s="6"/>
      <c r="B91" s="6"/>
      <c r="C91" s="3"/>
    </row>
    <row r="92" spans="1:3" x14ac:dyDescent="0.2">
      <c r="A92" s="6"/>
      <c r="B92" s="6"/>
      <c r="C92" s="3"/>
    </row>
    <row r="93" spans="1:3" x14ac:dyDescent="0.2">
      <c r="A93" s="6"/>
      <c r="B93" s="6"/>
      <c r="C93" s="3"/>
    </row>
    <row r="94" spans="1:3" x14ac:dyDescent="0.2">
      <c r="A94" s="6"/>
      <c r="B94" s="6"/>
      <c r="C94" s="3"/>
    </row>
    <row r="95" spans="1:3" x14ac:dyDescent="0.2">
      <c r="A95" s="6"/>
      <c r="B95" s="6"/>
      <c r="C95" s="3"/>
    </row>
    <row r="96" spans="1:3" x14ac:dyDescent="0.2">
      <c r="A96" s="6"/>
      <c r="B96" s="6"/>
      <c r="C96" s="3"/>
    </row>
    <row r="97" spans="1:3" x14ac:dyDescent="0.2">
      <c r="A97" s="6"/>
      <c r="B97" s="6"/>
      <c r="C97" s="3"/>
    </row>
  </sheetData>
  <dataValidations count="1">
    <dataValidation type="list" allowBlank="1" showInputMessage="1" showErrorMessage="1" sqref="B3:B523" xr:uid="{E2BEDE4A-349D-4E75-B467-F651DF4E4465}">
      <formula1>ТурРўйхати</formula1>
    </dataValidation>
  </dataValidations>
  <printOptions horizontalCentered="1"/>
  <pageMargins left="0.70866141732283472" right="0.70866141732283472" top="4.2913385826771657" bottom="0.74803149606299213" header="0.31496062992125984" footer="0.31496062992125984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9A9E-CDF8-4E04-A798-196C1115F5EB}">
  <sheetPr>
    <tabColor rgb="FFFF0066"/>
    <pageSetUpPr fitToPage="1"/>
  </sheetPr>
  <dimension ref="A1:W1192"/>
  <sheetViews>
    <sheetView zoomScale="85" zoomScaleNormal="85" workbookViewId="0">
      <pane ySplit="3" topLeftCell="A397" activePane="bottomLeft" state="frozen"/>
      <selection pane="bottomLeft" activeCell="G424" sqref="G424"/>
    </sheetView>
  </sheetViews>
  <sheetFormatPr defaultColWidth="9.140625" defaultRowHeight="15" outlineLevelCol="1" x14ac:dyDescent="0.25"/>
  <cols>
    <col min="1" max="1" width="16" style="1" bestFit="1" customWidth="1"/>
    <col min="2" max="2" width="18.85546875" style="137" bestFit="1" customWidth="1"/>
    <col min="3" max="3" width="14.5703125" style="137" bestFit="1" customWidth="1"/>
    <col min="4" max="4" width="27.140625" style="137" bestFit="1" customWidth="1"/>
    <col min="5" max="5" width="12.5703125" style="147" bestFit="1" customWidth="1"/>
    <col min="6" max="7" width="15.28515625" style="137" customWidth="1"/>
    <col min="8" max="8" width="15.42578125" style="148" bestFit="1" customWidth="1"/>
    <col min="9" max="9" width="15.42578125" style="137" bestFit="1" customWidth="1"/>
    <col min="10" max="10" width="19.42578125" style="137" bestFit="1" customWidth="1"/>
    <col min="11" max="11" width="15.42578125" style="138" customWidth="1"/>
    <col min="12" max="12" width="15.42578125" style="137" customWidth="1"/>
    <col min="13" max="13" width="22.42578125" style="137" customWidth="1"/>
    <col min="14" max="14" width="19.42578125" style="137" customWidth="1"/>
    <col min="15" max="15" width="17.28515625" style="149" customWidth="1"/>
    <col min="16" max="16" width="19.42578125" style="137" bestFit="1" customWidth="1"/>
    <col min="17" max="17" width="15.42578125" style="137" bestFit="1" customWidth="1"/>
    <col min="18" max="18" width="23.140625" style="137" bestFit="1" customWidth="1"/>
    <col min="19" max="19" width="17.7109375" style="137" bestFit="1" customWidth="1"/>
    <col min="20" max="20" width="16.42578125" style="137" bestFit="1" customWidth="1"/>
    <col min="21" max="21" width="19.42578125" style="1" bestFit="1" customWidth="1"/>
    <col min="22" max="22" width="18.140625" style="1" customWidth="1"/>
    <col min="23" max="23" width="18.140625" style="1" customWidth="1" outlineLevel="1"/>
    <col min="24" max="16384" width="9.140625" style="1"/>
  </cols>
  <sheetData>
    <row r="1" spans="1:23" ht="3.75" customHeight="1" x14ac:dyDescent="0.4">
      <c r="E1" s="138"/>
      <c r="F1" s="138"/>
      <c r="G1" s="138"/>
      <c r="H1" s="378">
        <f>SUBTOTAL(105,Таблица1[[Дата ]])</f>
        <v>46197</v>
      </c>
      <c r="I1" s="378"/>
      <c r="J1" s="378"/>
      <c r="K1" s="378"/>
      <c r="L1" s="378"/>
      <c r="M1" s="378"/>
      <c r="N1" s="378"/>
      <c r="O1" s="378"/>
      <c r="V1"/>
      <c r="W1"/>
    </row>
    <row r="2" spans="1:23" s="4" customFormat="1" ht="18" x14ac:dyDescent="0.25">
      <c r="B2" s="139"/>
      <c r="C2" s="139"/>
      <c r="D2" s="139"/>
      <c r="E2" s="139"/>
      <c r="F2" s="139"/>
      <c r="G2" s="139"/>
      <c r="H2" s="140">
        <f>SUBTOTAL(9,Таблица1[Блок
 Куб])</f>
        <v>12780.504000000077</v>
      </c>
      <c r="I2" s="139"/>
      <c r="J2" s="139">
        <f>SUBTOTAL(9,Таблица1[Сумма 
Приход])</f>
        <v>7451239050</v>
      </c>
      <c r="K2" s="139">
        <f>SUBTOTAL(9,Таблица1[Поддон
Шт])</f>
        <v>7392</v>
      </c>
      <c r="L2" s="139"/>
      <c r="M2" s="139">
        <f>SUBTOTAL(9,Таблица1[Сумма Поддон])</f>
        <v>960960000</v>
      </c>
      <c r="N2" s="139">
        <f>SUBTOTAL(9,Таблица1[Блок+
Поддон])</f>
        <v>8412199050</v>
      </c>
      <c r="O2" s="139"/>
      <c r="P2" s="139">
        <f>SUBTOTAL(9,Таблица1[Сумма 
Продажа])</f>
        <v>9100435039.9140663</v>
      </c>
      <c r="Q2" s="139"/>
      <c r="R2" s="139">
        <f>SUBTOTAL(9,Таблица1[Общая прибль])</f>
        <v>703999884.71506703</v>
      </c>
      <c r="S2" s="139">
        <f>SUBTOTAL(9,Таблица1[[Авто услу ]])</f>
        <v>945196105.19900012</v>
      </c>
      <c r="T2" s="139"/>
      <c r="U2" s="4">
        <f>P2-J2</f>
        <v>1649195989.9140663</v>
      </c>
      <c r="V2"/>
      <c r="W2"/>
    </row>
    <row r="3" spans="1:23" s="181" customFormat="1" ht="30" x14ac:dyDescent="0.25">
      <c r="A3" s="5" t="s">
        <v>33</v>
      </c>
      <c r="B3" s="176" t="s">
        <v>18</v>
      </c>
      <c r="C3" s="177" t="s">
        <v>16</v>
      </c>
      <c r="D3" s="177" t="s">
        <v>240</v>
      </c>
      <c r="E3" s="178" t="s">
        <v>341</v>
      </c>
      <c r="F3" s="179" t="s">
        <v>146</v>
      </c>
      <c r="G3" s="179" t="s">
        <v>147</v>
      </c>
      <c r="H3" s="179" t="s">
        <v>342</v>
      </c>
      <c r="I3" s="179" t="s">
        <v>343</v>
      </c>
      <c r="J3" s="179" t="s">
        <v>344</v>
      </c>
      <c r="K3" s="180" t="s">
        <v>345</v>
      </c>
      <c r="L3" s="179" t="s">
        <v>346</v>
      </c>
      <c r="M3" s="179" t="s">
        <v>347</v>
      </c>
      <c r="N3" s="179" t="s">
        <v>348</v>
      </c>
      <c r="O3" s="179" t="s">
        <v>349</v>
      </c>
      <c r="P3" s="179" t="s">
        <v>350</v>
      </c>
      <c r="Q3" s="177" t="s">
        <v>351</v>
      </c>
      <c r="R3" s="177" t="s">
        <v>352</v>
      </c>
      <c r="S3" s="179" t="s">
        <v>353</v>
      </c>
      <c r="T3" s="179" t="s">
        <v>150</v>
      </c>
      <c r="U3" s="179" t="s">
        <v>593</v>
      </c>
      <c r="V3" s="264" t="s">
        <v>658</v>
      </c>
      <c r="W3" s="264" t="s">
        <v>659</v>
      </c>
    </row>
    <row r="4" spans="1:23" ht="14.25" x14ac:dyDescent="0.2">
      <c r="A4" s="21" t="s">
        <v>44</v>
      </c>
      <c r="B4" s="135" t="s">
        <v>22</v>
      </c>
      <c r="C4" s="141" t="s">
        <v>25</v>
      </c>
      <c r="D4" s="141" t="s">
        <v>105</v>
      </c>
      <c r="E4" s="136">
        <v>46197</v>
      </c>
      <c r="F4" s="135" t="s">
        <v>354</v>
      </c>
      <c r="G4" s="34" t="s">
        <v>355</v>
      </c>
      <c r="H4" s="142">
        <v>31.103999999999999</v>
      </c>
      <c r="I4" s="34">
        <v>500000</v>
      </c>
      <c r="J4" s="34">
        <f>Таблица1[[#This Row],[Блок
 Куб]]*Таблица1[[#This Row],[Цена 
Приход]]</f>
        <v>15552000</v>
      </c>
      <c r="K4" s="34">
        <v>18</v>
      </c>
      <c r="L4" s="34">
        <v>130000</v>
      </c>
      <c r="M4" s="34">
        <f>Таблица1[[#This Row],[Поддон
Шт]]*Таблица1[[#This Row],[Цена
Поддон]]</f>
        <v>2340000</v>
      </c>
      <c r="N4" s="34">
        <f>Таблица1[[#This Row],[Сумма 
Приход]]+Таблица1[[#This Row],[Сумма Поддон]]</f>
        <v>17892000</v>
      </c>
      <c r="O4" s="34">
        <v>732542.43799999997</v>
      </c>
      <c r="P4" s="34">
        <f>Таблица1[[#This Row],[Блок
 Куб]]*Таблица1[[#This Row],[Цена
 Продажа]]</f>
        <v>22784999.991551999</v>
      </c>
      <c r="Q4" s="34" t="s">
        <v>356</v>
      </c>
      <c r="R4" s="34">
        <f>Таблица1[[#This Row],[Сумма 
Продажа]]-Таблица1[[#This Row],[Сумма 
Приход]]-Таблица1[[#This Row],[Авто услу ]]</f>
        <v>5232999.991551999</v>
      </c>
      <c r="S4" s="34">
        <v>2000000</v>
      </c>
      <c r="T4" s="143">
        <f>Таблица1[[#This Row],[Сумма 
Продажа]]-IF(Таблица1[[#This Row],[Расход 
Авто]]="Клиент",N(Таблица1[[#This Row],[Авто услу ]]),0)</f>
        <v>22784999.991551999</v>
      </c>
      <c r="U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" s="265" t="str">
        <f>IFERROR(INDEX(Мижозлар[Агент],MATCH($D4,Мижозлар[Расмий ном],0)),"")</f>
        <v>Жамол 22-22</v>
      </c>
    </row>
    <row r="5" spans="1:23" ht="14.25" x14ac:dyDescent="0.2">
      <c r="A5" s="21" t="s">
        <v>44</v>
      </c>
      <c r="B5" s="135" t="s">
        <v>22</v>
      </c>
      <c r="C5" s="141" t="s">
        <v>25</v>
      </c>
      <c r="D5" s="141" t="s">
        <v>105</v>
      </c>
      <c r="E5" s="136">
        <v>46197</v>
      </c>
      <c r="F5" s="135" t="s">
        <v>357</v>
      </c>
      <c r="G5" s="34" t="s">
        <v>355</v>
      </c>
      <c r="H5" s="142">
        <v>31.103999999999999</v>
      </c>
      <c r="I5" s="34">
        <v>500000</v>
      </c>
      <c r="J5" s="34">
        <f>Таблица1[[#This Row],[Блок
 Куб]]*Таблица1[[#This Row],[Цена 
Приход]]</f>
        <v>15552000</v>
      </c>
      <c r="K5" s="34">
        <v>18</v>
      </c>
      <c r="L5" s="34">
        <v>130000</v>
      </c>
      <c r="M5" s="34">
        <f>Таблица1[[#This Row],[Поддон
Шт]]*Таблица1[[#This Row],[Цена
Поддон]]</f>
        <v>2340000</v>
      </c>
      <c r="N5" s="34">
        <f>Таблица1[[#This Row],[Сумма 
Приход]]+Таблица1[[#This Row],[Сумма Поддон]]</f>
        <v>17892000</v>
      </c>
      <c r="O5" s="34">
        <v>732542.43799999997</v>
      </c>
      <c r="P5" s="34">
        <f>Таблица1[[#This Row],[Блок
 Куб]]*Таблица1[[#This Row],[Цена
 Продажа]]</f>
        <v>22784999.991551999</v>
      </c>
      <c r="Q5" s="34" t="s">
        <v>356</v>
      </c>
      <c r="R5" s="34">
        <f>Таблица1[[#This Row],[Сумма 
Продажа]]-Таблица1[[#This Row],[Сумма 
Приход]]-Таблица1[[#This Row],[Авто услу ]]</f>
        <v>5232999.991551999</v>
      </c>
      <c r="S5" s="34">
        <v>2000000</v>
      </c>
      <c r="T5" s="34">
        <f>Таблица1[[#This Row],[Сумма 
Продажа]]-IF(Таблица1[[#This Row],[Расход 
Авто]]="Клиент",N(Таблица1[[#This Row],[Авто услу ]]),0)</f>
        <v>22784999.991551999</v>
      </c>
      <c r="U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" s="265" t="str">
        <f>IFERROR(INDEX(Мижозлар[Агент],MATCH($D5,Мижозлар[Расмий ном],0)),"")</f>
        <v>Жамол 22-22</v>
      </c>
    </row>
    <row r="6" spans="1:23" ht="14.25" x14ac:dyDescent="0.2">
      <c r="A6" s="21" t="s">
        <v>44</v>
      </c>
      <c r="B6" s="135" t="s">
        <v>22</v>
      </c>
      <c r="C6" s="141" t="s">
        <v>40</v>
      </c>
      <c r="D6" s="141" t="s">
        <v>51</v>
      </c>
      <c r="E6" s="136">
        <v>46197</v>
      </c>
      <c r="F6" s="135" t="s">
        <v>358</v>
      </c>
      <c r="G6" s="34" t="s">
        <v>355</v>
      </c>
      <c r="H6" s="142">
        <v>31.103999999999999</v>
      </c>
      <c r="I6" s="34">
        <v>500000</v>
      </c>
      <c r="J6" s="34">
        <f>Таблица1[[#This Row],[Блок
 Куб]]*Таблица1[[#This Row],[Цена 
Приход]]</f>
        <v>15552000</v>
      </c>
      <c r="K6" s="34">
        <v>18</v>
      </c>
      <c r="L6" s="34">
        <v>130000</v>
      </c>
      <c r="M6" s="34">
        <f>Таблица1[[#This Row],[Поддон
Шт]]*Таблица1[[#This Row],[Цена
Поддон]]</f>
        <v>2340000</v>
      </c>
      <c r="N6" s="34">
        <f>Таблица1[[#This Row],[Сумма 
Приход]]+Таблица1[[#This Row],[Сумма Поддон]]</f>
        <v>17892000</v>
      </c>
      <c r="O6" s="34">
        <v>700000</v>
      </c>
      <c r="P6" s="34">
        <f>Таблица1[[#This Row],[Блок
 Куб]]*Таблица1[[#This Row],[Цена
 Продажа]]</f>
        <v>21772800</v>
      </c>
      <c r="Q6" s="34" t="s">
        <v>356</v>
      </c>
      <c r="R6" s="34">
        <f>Таблица1[[#This Row],[Сумма 
Продажа]]-Таблица1[[#This Row],[Сумма 
Приход]]-Таблица1[[#This Row],[Авто услу ]]</f>
        <v>4220800</v>
      </c>
      <c r="S6" s="34">
        <v>2000000</v>
      </c>
      <c r="T6" s="34">
        <f>Таблица1[[#This Row],[Сумма 
Продажа]]-IF(Таблица1[[#This Row],[Расход 
Авто]]="Клиент",N(Таблица1[[#This Row],[Авто услу ]]),0)</f>
        <v>21772800</v>
      </c>
      <c r="U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" s="265" t="str">
        <f>IFERROR(INDEX(Мижозлар[Агент],MATCH($D6,Мижозлар[Расмий ном],0)),"")</f>
        <v>Шохрух ога</v>
      </c>
    </row>
    <row r="7" spans="1:23" ht="14.25" x14ac:dyDescent="0.2">
      <c r="A7" s="21" t="s">
        <v>44</v>
      </c>
      <c r="B7" s="135" t="s">
        <v>22</v>
      </c>
      <c r="C7" s="141" t="s">
        <v>29</v>
      </c>
      <c r="D7" s="141" t="s">
        <v>98</v>
      </c>
      <c r="E7" s="136">
        <v>46197</v>
      </c>
      <c r="F7" s="135" t="s">
        <v>359</v>
      </c>
      <c r="G7" s="34" t="s">
        <v>355</v>
      </c>
      <c r="H7" s="142">
        <v>31.103999999999999</v>
      </c>
      <c r="I7" s="34">
        <v>500000</v>
      </c>
      <c r="J7" s="34">
        <f>Таблица1[[#This Row],[Блок
 Куб]]*Таблица1[[#This Row],[Цена 
Приход]]</f>
        <v>15552000</v>
      </c>
      <c r="K7" s="34">
        <v>18</v>
      </c>
      <c r="L7" s="34">
        <v>130000</v>
      </c>
      <c r="M7" s="34">
        <f>Таблица1[[#This Row],[Поддон
Шт]]*Таблица1[[#This Row],[Цена
Поддон]]</f>
        <v>2340000</v>
      </c>
      <c r="N7" s="34">
        <f>Таблица1[[#This Row],[Сумма 
Приход]]+Таблица1[[#This Row],[Сумма Поддон]]</f>
        <v>17892000</v>
      </c>
      <c r="O7" s="34">
        <v>750000</v>
      </c>
      <c r="P7" s="34">
        <f>Таблица1[[#This Row],[Блок
 Куб]]*Таблица1[[#This Row],[Цена
 Продажа]]</f>
        <v>23328000</v>
      </c>
      <c r="Q7" s="34" t="s">
        <v>356</v>
      </c>
      <c r="R7" s="34">
        <f>Таблица1[[#This Row],[Сумма 
Продажа]]-Таблица1[[#This Row],[Сумма 
Приход]]-Таблица1[[#This Row],[Авто услу ]]</f>
        <v>5776000</v>
      </c>
      <c r="S7" s="34">
        <v>2000000</v>
      </c>
      <c r="T7" s="34">
        <f>Таблица1[[#This Row],[Сумма 
Продажа]]-IF(Таблица1[[#This Row],[Расход 
Авто]]="Клиент",N(Таблица1[[#This Row],[Авто услу ]]),0)</f>
        <v>23328000</v>
      </c>
      <c r="U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" s="265" t="str">
        <f>IFERROR(INDEX(Мижозлар[Агент],MATCH($D7,Мижозлар[Расмий ном],0)),"")</f>
        <v>Зафар ога</v>
      </c>
    </row>
    <row r="8" spans="1:23" ht="14.25" x14ac:dyDescent="0.2">
      <c r="A8" s="21" t="s">
        <v>44</v>
      </c>
      <c r="B8" s="135" t="s">
        <v>22</v>
      </c>
      <c r="C8" s="141" t="s">
        <v>40</v>
      </c>
      <c r="D8" s="141" t="s">
        <v>51</v>
      </c>
      <c r="E8" s="136">
        <v>46197</v>
      </c>
      <c r="F8" s="135" t="s">
        <v>360</v>
      </c>
      <c r="G8" s="34" t="s">
        <v>355</v>
      </c>
      <c r="H8" s="142">
        <v>32.832000000000001</v>
      </c>
      <c r="I8" s="34">
        <v>500000</v>
      </c>
      <c r="J8" s="34">
        <f>Таблица1[[#This Row],[Блок
 Куб]]*Таблица1[[#This Row],[Цена 
Приход]]</f>
        <v>16416000</v>
      </c>
      <c r="K8" s="34">
        <v>19</v>
      </c>
      <c r="L8" s="34">
        <v>130000</v>
      </c>
      <c r="M8" s="34">
        <f>Таблица1[[#This Row],[Поддон
Шт]]*Таблица1[[#This Row],[Цена
Поддон]]</f>
        <v>2470000</v>
      </c>
      <c r="N8" s="34">
        <f>Таблица1[[#This Row],[Сумма 
Приход]]+Таблица1[[#This Row],[Сумма Поддон]]</f>
        <v>18886000</v>
      </c>
      <c r="O8" s="34">
        <v>700000</v>
      </c>
      <c r="P8" s="34">
        <f>Таблица1[[#This Row],[Блок
 Куб]]*Таблица1[[#This Row],[Цена
 Продажа]]</f>
        <v>22982400</v>
      </c>
      <c r="Q8" s="34" t="s">
        <v>356</v>
      </c>
      <c r="R8" s="34">
        <f>Таблица1[[#This Row],[Сумма 
Продажа]]-Таблица1[[#This Row],[Сумма 
Приход]]-Таблица1[[#This Row],[Авто услу ]]</f>
        <v>4566400</v>
      </c>
      <c r="S8" s="34">
        <v>2000000</v>
      </c>
      <c r="T8" s="34">
        <f>Таблица1[[#This Row],[Сумма 
Продажа]]-IF(Таблица1[[#This Row],[Расход 
Авто]]="Клиент",N(Таблица1[[#This Row],[Авто услу ]]),0)</f>
        <v>22982400</v>
      </c>
      <c r="U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" s="265" t="str">
        <f>IFERROR(INDEX(Мижозлар[Агент],MATCH($D8,Мижозлар[Расмий ном],0)),"")</f>
        <v>Шохрух ога</v>
      </c>
    </row>
    <row r="9" spans="1:23" ht="14.25" x14ac:dyDescent="0.2">
      <c r="A9" s="21" t="s">
        <v>44</v>
      </c>
      <c r="B9" s="135" t="s">
        <v>22</v>
      </c>
      <c r="C9" s="141" t="s">
        <v>40</v>
      </c>
      <c r="D9" s="141" t="s">
        <v>51</v>
      </c>
      <c r="E9" s="136">
        <v>46198</v>
      </c>
      <c r="F9" s="135" t="s">
        <v>361</v>
      </c>
      <c r="G9" s="34" t="s">
        <v>355</v>
      </c>
      <c r="H9" s="142">
        <v>32.832000000000001</v>
      </c>
      <c r="I9" s="34">
        <v>500000</v>
      </c>
      <c r="J9" s="34">
        <f>Таблица1[[#This Row],[Блок
 Куб]]*Таблица1[[#This Row],[Цена 
Приход]]</f>
        <v>16416000</v>
      </c>
      <c r="K9" s="34">
        <v>19</v>
      </c>
      <c r="L9" s="34">
        <v>130000</v>
      </c>
      <c r="M9" s="34">
        <f>Таблица1[[#This Row],[Поддон
Шт]]*Таблица1[[#This Row],[Цена
Поддон]]</f>
        <v>2470000</v>
      </c>
      <c r="N9" s="34">
        <f>Таблица1[[#This Row],[Сумма 
Приход]]+Таблица1[[#This Row],[Сумма Поддон]]</f>
        <v>18886000</v>
      </c>
      <c r="O9" s="34">
        <v>700000</v>
      </c>
      <c r="P9" s="34">
        <f>Таблица1[[#This Row],[Блок
 Куб]]*Таблица1[[#This Row],[Цена
 Продажа]]</f>
        <v>22982400</v>
      </c>
      <c r="Q9" s="34" t="s">
        <v>356</v>
      </c>
      <c r="R9" s="34">
        <f>Таблица1[[#This Row],[Сумма 
Продажа]]-Таблица1[[#This Row],[Сумма 
Приход]]-Таблица1[[#This Row],[Авто услу ]]</f>
        <v>4566400</v>
      </c>
      <c r="S9" s="34">
        <v>2000000</v>
      </c>
      <c r="T9" s="34">
        <f>Таблица1[[#This Row],[Сумма 
Продажа]]-IF(Таблица1[[#This Row],[Расход 
Авто]]="Клиент",N(Таблица1[[#This Row],[Авто услу ]]),0)</f>
        <v>22982400</v>
      </c>
      <c r="U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" s="265" t="str">
        <f>IFERROR(INDEX(Мижозлар[Агент],MATCH($D9,Мижозлар[Расмий ном],0)),"")</f>
        <v>Шохрух ога</v>
      </c>
    </row>
    <row r="10" spans="1:23" ht="14.25" x14ac:dyDescent="0.2">
      <c r="A10" s="21" t="s">
        <v>44</v>
      </c>
      <c r="B10" s="135" t="s">
        <v>22</v>
      </c>
      <c r="C10" s="141" t="s">
        <v>40</v>
      </c>
      <c r="D10" s="141" t="s">
        <v>80</v>
      </c>
      <c r="E10" s="136">
        <v>46198</v>
      </c>
      <c r="F10" s="135" t="s">
        <v>362</v>
      </c>
      <c r="G10" s="34" t="s">
        <v>355</v>
      </c>
      <c r="H10" s="142">
        <v>32.832000000000001</v>
      </c>
      <c r="I10" s="34">
        <v>500000</v>
      </c>
      <c r="J10" s="34">
        <f>Таблица1[[#This Row],[Блок
 Куб]]*Таблица1[[#This Row],[Цена 
Приход]]</f>
        <v>16416000</v>
      </c>
      <c r="K10" s="34">
        <v>19</v>
      </c>
      <c r="L10" s="34">
        <v>130000</v>
      </c>
      <c r="M10" s="34">
        <f>Таблица1[[#This Row],[Поддон
Шт]]*Таблица1[[#This Row],[Цена
Поддон]]</f>
        <v>2470000</v>
      </c>
      <c r="N10" s="34">
        <f>Таблица1[[#This Row],[Сумма 
Приход]]+Таблица1[[#This Row],[Сумма Поддон]]</f>
        <v>18886000</v>
      </c>
      <c r="O10" s="34">
        <v>735000</v>
      </c>
      <c r="P10" s="34">
        <f>Таблица1[[#This Row],[Блок
 Куб]]*Таблица1[[#This Row],[Цена
 Продажа]]</f>
        <v>24131520</v>
      </c>
      <c r="Q10" s="34" t="s">
        <v>356</v>
      </c>
      <c r="R10" s="34">
        <f>Таблица1[[#This Row],[Сумма 
Продажа]]-Таблица1[[#This Row],[Сумма 
Приход]]-Таблица1[[#This Row],[Авто услу ]]</f>
        <v>5715520</v>
      </c>
      <c r="S10" s="34">
        <v>2000000</v>
      </c>
      <c r="T10" s="34">
        <f>Таблица1[[#This Row],[Сумма 
Продажа]]-IF(Таблица1[[#This Row],[Расход 
Авто]]="Клиент",N(Таблица1[[#This Row],[Авто услу ]]),0)</f>
        <v>24131520</v>
      </c>
      <c r="U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" s="265" t="str">
        <f>IFERROR(INDEX(Мижозлар[Агент],MATCH($D10,Мижозлар[Расмий ном],0)),"")</f>
        <v>Шохрух ога</v>
      </c>
    </row>
    <row r="11" spans="1:23" ht="14.25" x14ac:dyDescent="0.2">
      <c r="A11" s="21" t="s">
        <v>44</v>
      </c>
      <c r="B11" s="135" t="s">
        <v>22</v>
      </c>
      <c r="C11" s="141" t="s">
        <v>40</v>
      </c>
      <c r="D11" s="141" t="s">
        <v>80</v>
      </c>
      <c r="E11" s="136">
        <v>46198</v>
      </c>
      <c r="F11" s="135" t="s">
        <v>363</v>
      </c>
      <c r="G11" s="34" t="s">
        <v>355</v>
      </c>
      <c r="H11" s="142">
        <v>32.832000000000001</v>
      </c>
      <c r="I11" s="34">
        <v>500000</v>
      </c>
      <c r="J11" s="34">
        <f>Таблица1[[#This Row],[Блок
 Куб]]*Таблица1[[#This Row],[Цена 
Приход]]</f>
        <v>16416000</v>
      </c>
      <c r="K11" s="34">
        <v>19</v>
      </c>
      <c r="L11" s="34">
        <v>130000</v>
      </c>
      <c r="M11" s="34">
        <f>Таблица1[[#This Row],[Поддон
Шт]]*Таблица1[[#This Row],[Цена
Поддон]]</f>
        <v>2470000</v>
      </c>
      <c r="N11" s="34">
        <f>Таблица1[[#This Row],[Сумма 
Приход]]+Таблица1[[#This Row],[Сумма Поддон]]</f>
        <v>18886000</v>
      </c>
      <c r="O11" s="34">
        <v>735000</v>
      </c>
      <c r="P11" s="34">
        <f>Таблица1[[#This Row],[Блок
 Куб]]*Таблица1[[#This Row],[Цена
 Продажа]]</f>
        <v>24131520</v>
      </c>
      <c r="Q11" s="34" t="s">
        <v>356</v>
      </c>
      <c r="R11" s="34">
        <f>Таблица1[[#This Row],[Сумма 
Продажа]]-Таблица1[[#This Row],[Сумма 
Приход]]-Таблица1[[#This Row],[Авто услу ]]</f>
        <v>5715520</v>
      </c>
      <c r="S11" s="34">
        <v>2000000</v>
      </c>
      <c r="T11" s="34">
        <f>Таблица1[[#This Row],[Сумма 
Продажа]]-IF(Таблица1[[#This Row],[Расход 
Авто]]="Клиент",N(Таблица1[[#This Row],[Авто услу ]]),0)</f>
        <v>24131520</v>
      </c>
      <c r="U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" s="265" t="str">
        <f>IFERROR(INDEX(Мижозлар[Агент],MATCH($D11,Мижозлар[Расмий ном],0)),"")</f>
        <v>Шохрух ога</v>
      </c>
    </row>
    <row r="12" spans="1:23" ht="14.25" x14ac:dyDescent="0.2">
      <c r="A12" s="21" t="s">
        <v>44</v>
      </c>
      <c r="B12" s="135" t="s">
        <v>22</v>
      </c>
      <c r="C12" s="141" t="s">
        <v>40</v>
      </c>
      <c r="D12" s="141" t="s">
        <v>80</v>
      </c>
      <c r="E12" s="136">
        <v>46198</v>
      </c>
      <c r="F12" s="135" t="s">
        <v>364</v>
      </c>
      <c r="G12" s="34" t="s">
        <v>355</v>
      </c>
      <c r="H12" s="142">
        <v>32.832000000000001</v>
      </c>
      <c r="I12" s="34">
        <v>500000</v>
      </c>
      <c r="J12" s="34">
        <f>Таблица1[[#This Row],[Блок
 Куб]]*Таблица1[[#This Row],[Цена 
Приход]]</f>
        <v>16416000</v>
      </c>
      <c r="K12" s="34">
        <v>19</v>
      </c>
      <c r="L12" s="34">
        <v>130000</v>
      </c>
      <c r="M12" s="34">
        <f>Таблица1[[#This Row],[Поддон
Шт]]*Таблица1[[#This Row],[Цена
Поддон]]</f>
        <v>2470000</v>
      </c>
      <c r="N12" s="34">
        <f>Таблица1[[#This Row],[Сумма 
Приход]]+Таблица1[[#This Row],[Сумма Поддон]]</f>
        <v>18886000</v>
      </c>
      <c r="O12" s="34">
        <v>735000</v>
      </c>
      <c r="P12" s="34">
        <f>Таблица1[[#This Row],[Блок
 Куб]]*Таблица1[[#This Row],[Цена
 Продажа]]</f>
        <v>24131520</v>
      </c>
      <c r="Q12" s="34" t="s">
        <v>356</v>
      </c>
      <c r="R12" s="34">
        <f>Таблица1[[#This Row],[Сумма 
Продажа]]-Таблица1[[#This Row],[Сумма 
Приход]]-Таблица1[[#This Row],[Авто услу ]]</f>
        <v>5715520</v>
      </c>
      <c r="S12" s="34">
        <v>2000000</v>
      </c>
      <c r="T12" s="34">
        <f>Таблица1[[#This Row],[Сумма 
Продажа]]-IF(Таблица1[[#This Row],[Расход 
Авто]]="Клиент",N(Таблица1[[#This Row],[Авто услу ]]),0)</f>
        <v>24131520</v>
      </c>
      <c r="U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" s="265" t="str">
        <f>IFERROR(INDEX(Мижозлар[Агент],MATCH($D12,Мижозлар[Расмий ном],0)),"")</f>
        <v>Шохрух ога</v>
      </c>
    </row>
    <row r="13" spans="1:23" ht="14.25" x14ac:dyDescent="0.2">
      <c r="A13" s="21" t="s">
        <v>44</v>
      </c>
      <c r="B13" s="135" t="s">
        <v>22</v>
      </c>
      <c r="C13" s="141" t="s">
        <v>21</v>
      </c>
      <c r="D13" s="141" t="s">
        <v>38</v>
      </c>
      <c r="E13" s="136">
        <v>46198</v>
      </c>
      <c r="F13" s="135" t="s">
        <v>365</v>
      </c>
      <c r="G13" s="34" t="s">
        <v>355</v>
      </c>
      <c r="H13" s="142">
        <v>32.832000000000001</v>
      </c>
      <c r="I13" s="34">
        <v>500000</v>
      </c>
      <c r="J13" s="34">
        <f>Таблица1[[#This Row],[Блок
 Куб]]*Таблица1[[#This Row],[Цена 
Приход]]</f>
        <v>16416000</v>
      </c>
      <c r="K13" s="34">
        <v>19</v>
      </c>
      <c r="L13" s="34">
        <v>130000</v>
      </c>
      <c r="M13" s="34">
        <f>Таблица1[[#This Row],[Поддон
Шт]]*Таблица1[[#This Row],[Цена
Поддон]]</f>
        <v>2470000</v>
      </c>
      <c r="N13" s="34">
        <f>Таблица1[[#This Row],[Сумма 
Приход]]+Таблица1[[#This Row],[Сумма Поддон]]</f>
        <v>18886000</v>
      </c>
      <c r="O13" s="34">
        <v>750000</v>
      </c>
      <c r="P13" s="34">
        <f>Таблица1[[#This Row],[Блок
 Куб]]*Таблица1[[#This Row],[Цена
 Продажа]]</f>
        <v>24624000</v>
      </c>
      <c r="Q13" s="34" t="s">
        <v>356</v>
      </c>
      <c r="R13" s="34">
        <f>Таблица1[[#This Row],[Сумма 
Продажа]]-Таблица1[[#This Row],[Сумма 
Приход]]-Таблица1[[#This Row],[Авто услу ]]</f>
        <v>5708000</v>
      </c>
      <c r="S13" s="34">
        <v>2500000</v>
      </c>
      <c r="T13" s="34">
        <f>Таблица1[[#This Row],[Сумма 
Продажа]]-IF(Таблица1[[#This Row],[Расход 
Авто]]="Клиент",N(Таблица1[[#This Row],[Авто услу ]]),0)</f>
        <v>24624000</v>
      </c>
      <c r="U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" s="265" t="str">
        <f>IFERROR(INDEX(Мижозлар[Агент],MATCH($D13,Мижозлар[Расмий ном],0)),"")</f>
        <v>Арслон ога</v>
      </c>
    </row>
    <row r="14" spans="1:23" ht="14.25" x14ac:dyDescent="0.2">
      <c r="A14" s="21" t="s">
        <v>44</v>
      </c>
      <c r="B14" s="135" t="s">
        <v>22</v>
      </c>
      <c r="C14" s="141" t="s">
        <v>21</v>
      </c>
      <c r="D14" s="141" t="s">
        <v>38</v>
      </c>
      <c r="E14" s="136">
        <v>46198</v>
      </c>
      <c r="F14" s="135" t="s">
        <v>366</v>
      </c>
      <c r="G14" s="34" t="s">
        <v>355</v>
      </c>
      <c r="H14" s="142">
        <v>31.103999999999999</v>
      </c>
      <c r="I14" s="34">
        <v>500000</v>
      </c>
      <c r="J14" s="34">
        <f>Таблица1[[#This Row],[Блок
 Куб]]*Таблица1[[#This Row],[Цена 
Приход]]</f>
        <v>15552000</v>
      </c>
      <c r="K14" s="34">
        <v>18</v>
      </c>
      <c r="L14" s="34">
        <v>130000</v>
      </c>
      <c r="M14" s="34">
        <f>Таблица1[[#This Row],[Поддон
Шт]]*Таблица1[[#This Row],[Цена
Поддон]]</f>
        <v>2340000</v>
      </c>
      <c r="N14" s="34">
        <f>Таблица1[[#This Row],[Сумма 
Приход]]+Таблица1[[#This Row],[Сумма Поддон]]</f>
        <v>17892000</v>
      </c>
      <c r="O14" s="34">
        <v>750000</v>
      </c>
      <c r="P14" s="34">
        <f>Таблица1[[#This Row],[Блок
 Куб]]*Таблица1[[#This Row],[Цена
 Продажа]]</f>
        <v>23328000</v>
      </c>
      <c r="Q14" s="34" t="s">
        <v>356</v>
      </c>
      <c r="R14" s="34">
        <f>Таблица1[[#This Row],[Сумма 
Продажа]]-Таблица1[[#This Row],[Сумма 
Приход]]-Таблица1[[#This Row],[Авто услу ]]</f>
        <v>5276000</v>
      </c>
      <c r="S14" s="34">
        <v>2500000</v>
      </c>
      <c r="T14" s="34">
        <f>Таблица1[[#This Row],[Сумма 
Продажа]]-IF(Таблица1[[#This Row],[Расход 
Авто]]="Клиент",N(Таблица1[[#This Row],[Авто услу ]]),0)</f>
        <v>23328000</v>
      </c>
      <c r="U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" s="265" t="str">
        <f>IFERROR(INDEX(Мижозлар[Агент],MATCH($D14,Мижозлар[Расмий ном],0)),"")</f>
        <v>Арслон ога</v>
      </c>
    </row>
    <row r="15" spans="1:23" ht="14.25" x14ac:dyDescent="0.2">
      <c r="A15" s="21" t="s">
        <v>44</v>
      </c>
      <c r="B15" s="135" t="s">
        <v>22</v>
      </c>
      <c r="C15" s="141" t="s">
        <v>29</v>
      </c>
      <c r="D15" s="141" t="s">
        <v>98</v>
      </c>
      <c r="E15" s="136">
        <v>46200</v>
      </c>
      <c r="F15" s="135" t="s">
        <v>367</v>
      </c>
      <c r="G15" s="34" t="s">
        <v>368</v>
      </c>
      <c r="H15" s="142">
        <v>32.832000000000001</v>
      </c>
      <c r="I15" s="34">
        <v>500000</v>
      </c>
      <c r="J15" s="34">
        <f>Таблица1[[#This Row],[Блок
 Куб]]*Таблица1[[#This Row],[Цена 
Приход]]</f>
        <v>16416000</v>
      </c>
      <c r="K15" s="34">
        <v>19</v>
      </c>
      <c r="L15" s="34">
        <v>130000</v>
      </c>
      <c r="M15" s="34">
        <f>Таблица1[[#This Row],[Поддон
Шт]]*Таблица1[[#This Row],[Цена
Поддон]]</f>
        <v>2470000</v>
      </c>
      <c r="N15" s="34">
        <f>Таблица1[[#This Row],[Сумма 
Приход]]+Таблица1[[#This Row],[Сумма Поддон]]</f>
        <v>18886000</v>
      </c>
      <c r="O15" s="34">
        <v>750000</v>
      </c>
      <c r="P15" s="34">
        <f>Таблица1[[#This Row],[Блок
 Куб]]*Таблица1[[#This Row],[Цена
 Продажа]]</f>
        <v>24624000</v>
      </c>
      <c r="Q15" s="34" t="s">
        <v>356</v>
      </c>
      <c r="R15" s="34">
        <f>Таблица1[[#This Row],[Сумма 
Продажа]]-Таблица1[[#This Row],[Сумма 
Приход]]-Таблица1[[#This Row],[Авто услу ]]</f>
        <v>5708000</v>
      </c>
      <c r="S15" s="34">
        <v>2500000</v>
      </c>
      <c r="T15" s="34">
        <f>Таблица1[[#This Row],[Сумма 
Продажа]]-IF(Таблица1[[#This Row],[Расход 
Авто]]="Клиент",N(Таблица1[[#This Row],[Авто услу ]]),0)</f>
        <v>24624000</v>
      </c>
      <c r="U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" s="265" t="str">
        <f>IFERROR(INDEX(Мижозлар[Агент],MATCH($D15,Мижозлар[Расмий ном],0)),"")</f>
        <v>Зафар ога</v>
      </c>
    </row>
    <row r="16" spans="1:23" ht="14.25" x14ac:dyDescent="0.2">
      <c r="A16" s="21" t="s">
        <v>44</v>
      </c>
      <c r="B16" s="135" t="s">
        <v>22</v>
      </c>
      <c r="C16" s="141" t="s">
        <v>29</v>
      </c>
      <c r="D16" s="141" t="s">
        <v>98</v>
      </c>
      <c r="E16" s="136">
        <v>46200</v>
      </c>
      <c r="F16" s="135" t="s">
        <v>369</v>
      </c>
      <c r="G16" s="34" t="s">
        <v>368</v>
      </c>
      <c r="H16" s="142">
        <v>32.832000000000001</v>
      </c>
      <c r="I16" s="34">
        <v>500000</v>
      </c>
      <c r="J16" s="34">
        <f>Таблица1[[#This Row],[Блок
 Куб]]*Таблица1[[#This Row],[Цена 
Приход]]</f>
        <v>16416000</v>
      </c>
      <c r="K16" s="34">
        <v>19</v>
      </c>
      <c r="L16" s="34">
        <v>130000</v>
      </c>
      <c r="M16" s="34">
        <f>Таблица1[[#This Row],[Поддон
Шт]]*Таблица1[[#This Row],[Цена
Поддон]]</f>
        <v>2470000</v>
      </c>
      <c r="N16" s="34">
        <f>Таблица1[[#This Row],[Сумма 
Приход]]+Таблица1[[#This Row],[Сумма Поддон]]</f>
        <v>18886000</v>
      </c>
      <c r="O16" s="34">
        <v>750000</v>
      </c>
      <c r="P16" s="34">
        <f>Таблица1[[#This Row],[Блок
 Куб]]*Таблица1[[#This Row],[Цена
 Продажа]]</f>
        <v>24624000</v>
      </c>
      <c r="Q16" s="34" t="s">
        <v>356</v>
      </c>
      <c r="R16" s="34">
        <f>Таблица1[[#This Row],[Сумма 
Продажа]]-Таблица1[[#This Row],[Сумма 
Приход]]-Таблица1[[#This Row],[Авто услу ]]</f>
        <v>6208000</v>
      </c>
      <c r="S16" s="34">
        <v>2000000</v>
      </c>
      <c r="T16" s="34">
        <f>Таблица1[[#This Row],[Сумма 
Продажа]]-IF(Таблица1[[#This Row],[Расход 
Авто]]="Клиент",N(Таблица1[[#This Row],[Авто услу ]]),0)</f>
        <v>24624000</v>
      </c>
      <c r="U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" s="265" t="str">
        <f>IFERROR(INDEX(Мижозлар[Агент],MATCH($D16,Мижозлар[Расмий ном],0)),"")</f>
        <v>Зафар ога</v>
      </c>
    </row>
    <row r="17" spans="1:23" ht="14.25" x14ac:dyDescent="0.2">
      <c r="A17" s="21" t="s">
        <v>44</v>
      </c>
      <c r="B17" s="135" t="s">
        <v>22</v>
      </c>
      <c r="C17" s="141" t="s">
        <v>29</v>
      </c>
      <c r="D17" s="141" t="s">
        <v>98</v>
      </c>
      <c r="E17" s="136">
        <v>46200</v>
      </c>
      <c r="F17" s="135" t="s">
        <v>370</v>
      </c>
      <c r="G17" s="34" t="s">
        <v>355</v>
      </c>
      <c r="H17" s="142">
        <v>32.832000000000001</v>
      </c>
      <c r="I17" s="34">
        <v>500000</v>
      </c>
      <c r="J17" s="34">
        <f>Таблица1[[#This Row],[Блок
 Куб]]*Таблица1[[#This Row],[Цена 
Приход]]</f>
        <v>16416000</v>
      </c>
      <c r="K17" s="34">
        <v>19</v>
      </c>
      <c r="L17" s="34">
        <v>130000</v>
      </c>
      <c r="M17" s="34">
        <f>Таблица1[[#This Row],[Поддон
Шт]]*Таблица1[[#This Row],[Цена
Поддон]]</f>
        <v>2470000</v>
      </c>
      <c r="N17" s="34">
        <f>Таблица1[[#This Row],[Сумма 
Приход]]+Таблица1[[#This Row],[Сумма Поддон]]</f>
        <v>18886000</v>
      </c>
      <c r="O17" s="34">
        <v>750000</v>
      </c>
      <c r="P17" s="34">
        <f>Таблица1[[#This Row],[Блок
 Куб]]*Таблица1[[#This Row],[Цена
 Продажа]]</f>
        <v>24624000</v>
      </c>
      <c r="Q17" s="34" t="s">
        <v>356</v>
      </c>
      <c r="R17" s="34">
        <f>Таблица1[[#This Row],[Сумма 
Продажа]]-Таблица1[[#This Row],[Сумма 
Приход]]-Таблица1[[#This Row],[Авто услу ]]</f>
        <v>6208000</v>
      </c>
      <c r="S17" s="34">
        <v>2000000</v>
      </c>
      <c r="T17" s="34">
        <f>Таблица1[[#This Row],[Сумма 
Продажа]]-IF(Таблица1[[#This Row],[Расход 
Авто]]="Клиент",N(Таблица1[[#This Row],[Авто услу ]]),0)</f>
        <v>24624000</v>
      </c>
      <c r="U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" s="265" t="str">
        <f>IFERROR(INDEX(Мижозлар[Агент],MATCH($D17,Мижозлар[Расмий ном],0)),"")</f>
        <v>Зафар ога</v>
      </c>
    </row>
    <row r="18" spans="1:23" ht="14.25" x14ac:dyDescent="0.2">
      <c r="A18" s="21" t="s">
        <v>44</v>
      </c>
      <c r="B18" s="135" t="s">
        <v>22</v>
      </c>
      <c r="C18" s="141" t="s">
        <v>29</v>
      </c>
      <c r="D18" s="141" t="s">
        <v>98</v>
      </c>
      <c r="E18" s="136">
        <v>46200</v>
      </c>
      <c r="F18" s="135" t="s">
        <v>371</v>
      </c>
      <c r="G18" s="34" t="s">
        <v>355</v>
      </c>
      <c r="H18" s="142">
        <v>32.832000000000001</v>
      </c>
      <c r="I18" s="34">
        <v>500000</v>
      </c>
      <c r="J18" s="34">
        <f>Таблица1[[#This Row],[Блок
 Куб]]*Таблица1[[#This Row],[Цена 
Приход]]</f>
        <v>16416000</v>
      </c>
      <c r="K18" s="34">
        <v>19</v>
      </c>
      <c r="L18" s="34">
        <v>130000</v>
      </c>
      <c r="M18" s="34">
        <f>Таблица1[[#This Row],[Поддон
Шт]]*Таблица1[[#This Row],[Цена
Поддон]]</f>
        <v>2470000</v>
      </c>
      <c r="N18" s="34">
        <f>Таблица1[[#This Row],[Сумма 
Приход]]+Таблица1[[#This Row],[Сумма Поддон]]</f>
        <v>18886000</v>
      </c>
      <c r="O18" s="34">
        <v>750000</v>
      </c>
      <c r="P18" s="34">
        <f>Таблица1[[#This Row],[Блок
 Куб]]*Таблица1[[#This Row],[Цена
 Продажа]]</f>
        <v>24624000</v>
      </c>
      <c r="Q18" s="34" t="s">
        <v>356</v>
      </c>
      <c r="R18" s="34">
        <f>Таблица1[[#This Row],[Сумма 
Продажа]]-Таблица1[[#This Row],[Сумма 
Приход]]-Таблица1[[#This Row],[Авто услу ]]</f>
        <v>6208000</v>
      </c>
      <c r="S18" s="34">
        <v>2000000</v>
      </c>
      <c r="T18" s="34">
        <f>Таблица1[[#This Row],[Сумма 
Продажа]]-IF(Таблица1[[#This Row],[Расход 
Авто]]="Клиент",N(Таблица1[[#This Row],[Авто услу ]]),0)</f>
        <v>24624000</v>
      </c>
      <c r="U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" s="265" t="str">
        <f>IFERROR(INDEX(Мижозлар[Агент],MATCH($D18,Мижозлар[Расмий ном],0)),"")</f>
        <v>Зафар ога</v>
      </c>
    </row>
    <row r="19" spans="1:23" ht="14.25" x14ac:dyDescent="0.2">
      <c r="A19" s="21" t="s">
        <v>44</v>
      </c>
      <c r="B19" s="135" t="s">
        <v>22</v>
      </c>
      <c r="C19" s="141" t="s">
        <v>40</v>
      </c>
      <c r="D19" s="141" t="s">
        <v>34</v>
      </c>
      <c r="E19" s="136">
        <v>46200</v>
      </c>
      <c r="F19" s="135" t="s">
        <v>372</v>
      </c>
      <c r="G19" s="34" t="s">
        <v>355</v>
      </c>
      <c r="H19" s="142">
        <v>32.832000000000001</v>
      </c>
      <c r="I19" s="34">
        <v>500000</v>
      </c>
      <c r="J19" s="34">
        <f>Таблица1[[#This Row],[Блок
 Куб]]*Таблица1[[#This Row],[Цена 
Приход]]</f>
        <v>16416000</v>
      </c>
      <c r="K19" s="34">
        <v>19</v>
      </c>
      <c r="L19" s="34">
        <v>130000</v>
      </c>
      <c r="M19" s="34">
        <f>Таблица1[[#This Row],[Поддон
Шт]]*Таблица1[[#This Row],[Цена
Поддон]]</f>
        <v>2470000</v>
      </c>
      <c r="N19" s="34">
        <f>Таблица1[[#This Row],[Сумма 
Приход]]+Таблица1[[#This Row],[Сумма Поддон]]</f>
        <v>18886000</v>
      </c>
      <c r="O19" s="34">
        <v>760000</v>
      </c>
      <c r="P19" s="34">
        <f>Таблица1[[#This Row],[Блок
 Куб]]*Таблица1[[#This Row],[Цена
 Продажа]]</f>
        <v>24952320</v>
      </c>
      <c r="Q19" s="34" t="s">
        <v>356</v>
      </c>
      <c r="R19" s="34">
        <f>Таблица1[[#This Row],[Сумма 
Продажа]]-Таблица1[[#This Row],[Сумма 
Приход]]-Таблица1[[#This Row],[Авто услу ]]</f>
        <v>6536320</v>
      </c>
      <c r="S19" s="34">
        <v>2000000</v>
      </c>
      <c r="T19" s="34">
        <f>Таблица1[[#This Row],[Сумма 
Продажа]]-IF(Таблица1[[#This Row],[Расход 
Авто]]="Клиент",N(Таблица1[[#This Row],[Авто услу ]]),0)</f>
        <v>24952320</v>
      </c>
      <c r="U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" s="265" t="str">
        <f>IFERROR(INDEX(Мижозлар[Агент],MATCH($D19,Мижозлар[Расмий ном],0)),"")</f>
        <v>Шохрух ога</v>
      </c>
    </row>
    <row r="20" spans="1:23" ht="14.25" x14ac:dyDescent="0.2">
      <c r="A20" s="21" t="s">
        <v>44</v>
      </c>
      <c r="B20" s="135" t="s">
        <v>22</v>
      </c>
      <c r="C20" s="141" t="s">
        <v>40</v>
      </c>
      <c r="D20" s="141" t="s">
        <v>87</v>
      </c>
      <c r="E20" s="136">
        <v>46200</v>
      </c>
      <c r="F20" s="135" t="s">
        <v>358</v>
      </c>
      <c r="G20" s="34" t="s">
        <v>355</v>
      </c>
      <c r="H20" s="142">
        <v>32.832000000000001</v>
      </c>
      <c r="I20" s="34">
        <v>500000</v>
      </c>
      <c r="J20" s="34">
        <f>Таблица1[[#This Row],[Блок
 Куб]]*Таблица1[[#This Row],[Цена 
Приход]]</f>
        <v>16416000</v>
      </c>
      <c r="K20" s="34">
        <v>19</v>
      </c>
      <c r="L20" s="34">
        <v>130000</v>
      </c>
      <c r="M20" s="34">
        <f>Таблица1[[#This Row],[Поддон
Шт]]*Таблица1[[#This Row],[Цена
Поддон]]</f>
        <v>2470000</v>
      </c>
      <c r="N20" s="34">
        <f>Таблица1[[#This Row],[Сумма 
Приход]]+Таблица1[[#This Row],[Сумма Поддон]]</f>
        <v>18886000</v>
      </c>
      <c r="O20" s="34">
        <v>729928.13</v>
      </c>
      <c r="P20" s="34">
        <f>Таблица1[[#This Row],[Блок
 Куб]]*Таблица1[[#This Row],[Цена
 Продажа]]</f>
        <v>23965000.364160001</v>
      </c>
      <c r="Q20" s="34" t="s">
        <v>356</v>
      </c>
      <c r="R20" s="34">
        <f>Таблица1[[#This Row],[Сумма 
Продажа]]-Таблица1[[#This Row],[Сумма 
Приход]]-Таблица1[[#This Row],[Авто услу ]]</f>
        <v>5549000.3641600013</v>
      </c>
      <c r="S20" s="34">
        <v>2000000</v>
      </c>
      <c r="T20" s="34">
        <f>Таблица1[[#This Row],[Сумма 
Продажа]]-IF(Таблица1[[#This Row],[Расход 
Авто]]="Клиент",N(Таблица1[[#This Row],[Авто услу ]]),0)</f>
        <v>23965000.364160001</v>
      </c>
      <c r="U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" s="265" t="str">
        <f>IFERROR(INDEX(Мижозлар[Агент],MATCH($D20,Мижозлар[Расмий ном],0)),"")</f>
        <v>Шохрух ога</v>
      </c>
    </row>
    <row r="21" spans="1:23" ht="14.25" x14ac:dyDescent="0.2">
      <c r="A21" s="21" t="s">
        <v>44</v>
      </c>
      <c r="B21" s="135" t="s">
        <v>22</v>
      </c>
      <c r="C21" s="141" t="s">
        <v>40</v>
      </c>
      <c r="D21" s="141" t="s">
        <v>34</v>
      </c>
      <c r="E21" s="136">
        <v>46201</v>
      </c>
      <c r="F21" s="135" t="s">
        <v>373</v>
      </c>
      <c r="G21" s="34" t="s">
        <v>355</v>
      </c>
      <c r="H21" s="142">
        <v>32.832000000000001</v>
      </c>
      <c r="I21" s="34">
        <v>500000</v>
      </c>
      <c r="J21" s="34">
        <f>Таблица1[[#This Row],[Блок
 Куб]]*Таблица1[[#This Row],[Цена 
Приход]]</f>
        <v>16416000</v>
      </c>
      <c r="K21" s="34">
        <v>19</v>
      </c>
      <c r="L21" s="34">
        <v>130000</v>
      </c>
      <c r="M21" s="34">
        <f>Таблица1[[#This Row],[Поддон
Шт]]*Таблица1[[#This Row],[Цена
Поддон]]</f>
        <v>2470000</v>
      </c>
      <c r="N21" s="34">
        <f>Таблица1[[#This Row],[Сумма 
Приход]]+Таблица1[[#This Row],[Сумма Поддон]]</f>
        <v>18886000</v>
      </c>
      <c r="O21" s="34">
        <v>760000</v>
      </c>
      <c r="P21" s="34">
        <f>Таблица1[[#This Row],[Блок
 Куб]]*Таблица1[[#This Row],[Цена
 Продажа]]</f>
        <v>24952320</v>
      </c>
      <c r="Q21" s="34" t="s">
        <v>356</v>
      </c>
      <c r="R21" s="34">
        <f>Таблица1[[#This Row],[Сумма 
Продажа]]-Таблица1[[#This Row],[Сумма 
Приход]]-Таблица1[[#This Row],[Авто услу ]]</f>
        <v>6536320</v>
      </c>
      <c r="S21" s="34">
        <v>2000000</v>
      </c>
      <c r="T21" s="34">
        <f>Таблица1[[#This Row],[Сумма 
Продажа]]-IF(Таблица1[[#This Row],[Расход 
Авто]]="Клиент",N(Таблица1[[#This Row],[Авто услу ]]),0)</f>
        <v>24952320</v>
      </c>
      <c r="U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" s="265" t="str">
        <f>IFERROR(INDEX(Мижозлар[Агент],MATCH($D21,Мижозлар[Расмий ном],0)),"")</f>
        <v>Шохрух ога</v>
      </c>
    </row>
    <row r="22" spans="1:23" ht="14.25" x14ac:dyDescent="0.2">
      <c r="A22" s="21" t="s">
        <v>44</v>
      </c>
      <c r="B22" s="135" t="s">
        <v>22</v>
      </c>
      <c r="C22" s="141" t="s">
        <v>29</v>
      </c>
      <c r="D22" s="141" t="s">
        <v>69</v>
      </c>
      <c r="E22" s="136">
        <v>46203</v>
      </c>
      <c r="F22" s="135" t="s">
        <v>371</v>
      </c>
      <c r="G22" s="34" t="s">
        <v>355</v>
      </c>
      <c r="H22" s="142">
        <v>32.832000000000001</v>
      </c>
      <c r="I22" s="34">
        <v>500000</v>
      </c>
      <c r="J22" s="34">
        <f>Таблица1[[#This Row],[Блок
 Куб]]*Таблица1[[#This Row],[Цена 
Приход]]</f>
        <v>16416000</v>
      </c>
      <c r="K22" s="34">
        <v>19</v>
      </c>
      <c r="L22" s="34">
        <v>130000</v>
      </c>
      <c r="M22" s="34">
        <f>Таблица1[[#This Row],[Поддон
Шт]]*Таблица1[[#This Row],[Цена
Поддон]]</f>
        <v>2470000</v>
      </c>
      <c r="N22" s="34">
        <f>Таблица1[[#This Row],[Сумма 
Приход]]+Таблица1[[#This Row],[Сумма Поддон]]</f>
        <v>18886000</v>
      </c>
      <c r="O22" s="34">
        <v>730000</v>
      </c>
      <c r="P22" s="34">
        <f>Таблица1[[#This Row],[Блок
 Куб]]*Таблица1[[#This Row],[Цена
 Продажа]]</f>
        <v>23967360</v>
      </c>
      <c r="Q22" s="34" t="s">
        <v>356</v>
      </c>
      <c r="R22" s="34">
        <f>Таблица1[[#This Row],[Сумма 
Продажа]]-Таблица1[[#This Row],[Сумма 
Приход]]-Таблица1[[#This Row],[Авто услу ]]</f>
        <v>5551360</v>
      </c>
      <c r="S22" s="34">
        <v>2000000</v>
      </c>
      <c r="T22" s="34">
        <f>Таблица1[[#This Row],[Сумма 
Продажа]]-IF(Таблица1[[#This Row],[Расход 
Авто]]="Клиент",N(Таблица1[[#This Row],[Авто услу ]]),0)</f>
        <v>23967360</v>
      </c>
      <c r="U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" s="265" t="str">
        <f>IFERROR(INDEX(Мижозлар[Агент],MATCH($D22,Мижозлар[Расмий ном],0)),"")</f>
        <v>Зафар ога</v>
      </c>
    </row>
    <row r="23" spans="1:23" ht="14.25" x14ac:dyDescent="0.2">
      <c r="A23" s="21" t="s">
        <v>44</v>
      </c>
      <c r="B23" s="135" t="s">
        <v>22</v>
      </c>
      <c r="C23" s="141" t="s">
        <v>29</v>
      </c>
      <c r="D23" s="141" t="s">
        <v>69</v>
      </c>
      <c r="E23" s="136">
        <v>46203</v>
      </c>
      <c r="F23" s="135" t="s">
        <v>374</v>
      </c>
      <c r="G23" s="34" t="s">
        <v>355</v>
      </c>
      <c r="H23" s="142">
        <v>32.832000000000001</v>
      </c>
      <c r="I23" s="34">
        <v>500000</v>
      </c>
      <c r="J23" s="34">
        <f>Таблица1[[#This Row],[Блок
 Куб]]*Таблица1[[#This Row],[Цена 
Приход]]</f>
        <v>16416000</v>
      </c>
      <c r="K23" s="34">
        <v>19</v>
      </c>
      <c r="L23" s="34">
        <v>130000</v>
      </c>
      <c r="M23" s="34">
        <f>Таблица1[[#This Row],[Поддон
Шт]]*Таблица1[[#This Row],[Цена
Поддон]]</f>
        <v>2470000</v>
      </c>
      <c r="N23" s="34">
        <f>Таблица1[[#This Row],[Сумма 
Приход]]+Таблица1[[#This Row],[Сумма Поддон]]</f>
        <v>18886000</v>
      </c>
      <c r="O23" s="34">
        <v>730000</v>
      </c>
      <c r="P23" s="34">
        <f>Таблица1[[#This Row],[Блок
 Куб]]*Таблица1[[#This Row],[Цена
 Продажа]]</f>
        <v>23967360</v>
      </c>
      <c r="Q23" s="34" t="s">
        <v>356</v>
      </c>
      <c r="R23" s="34">
        <f>Таблица1[[#This Row],[Сумма 
Продажа]]-Таблица1[[#This Row],[Сумма 
Приход]]-Таблица1[[#This Row],[Авто услу ]]</f>
        <v>5551360</v>
      </c>
      <c r="S23" s="34">
        <v>2000000</v>
      </c>
      <c r="T23" s="34">
        <f>Таблица1[[#This Row],[Сумма 
Продажа]]-IF(Таблица1[[#This Row],[Расход 
Авто]]="Клиент",N(Таблица1[[#This Row],[Авто услу ]]),0)</f>
        <v>23967360</v>
      </c>
      <c r="U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" s="265" t="str">
        <f>IFERROR(INDEX(Мижозлар[Агент],MATCH($D23,Мижозлар[Расмий ном],0)),"")</f>
        <v>Зафар ога</v>
      </c>
    </row>
    <row r="24" spans="1:23" ht="14.25" x14ac:dyDescent="0.2">
      <c r="A24" s="21" t="s">
        <v>44</v>
      </c>
      <c r="B24" s="135" t="s">
        <v>22</v>
      </c>
      <c r="C24" s="141" t="s">
        <v>40</v>
      </c>
      <c r="D24" s="141" t="s">
        <v>55</v>
      </c>
      <c r="E24" s="136">
        <v>46203</v>
      </c>
      <c r="F24" s="135" t="s">
        <v>375</v>
      </c>
      <c r="G24" s="34" t="s">
        <v>355</v>
      </c>
      <c r="H24" s="142">
        <v>32.832000000000001</v>
      </c>
      <c r="I24" s="34">
        <v>500000</v>
      </c>
      <c r="J24" s="34">
        <f>Таблица1[[#This Row],[Блок
 Куб]]*Таблица1[[#This Row],[Цена 
Приход]]</f>
        <v>16416000</v>
      </c>
      <c r="K24" s="34">
        <v>19</v>
      </c>
      <c r="L24" s="34">
        <v>130000</v>
      </c>
      <c r="M24" s="34">
        <f>Таблица1[[#This Row],[Поддон
Шт]]*Таблица1[[#This Row],[Цена
Поддон]]</f>
        <v>2470000</v>
      </c>
      <c r="N24" s="34">
        <f>Таблица1[[#This Row],[Сумма 
Приход]]+Таблица1[[#This Row],[Сумма Поддон]]</f>
        <v>18886000</v>
      </c>
      <c r="O24" s="34">
        <v>735000</v>
      </c>
      <c r="P24" s="34">
        <f>Таблица1[[#This Row],[Блок
 Куб]]*Таблица1[[#This Row],[Цена
 Продажа]]</f>
        <v>24131520</v>
      </c>
      <c r="Q24" s="34" t="s">
        <v>356</v>
      </c>
      <c r="R24" s="34">
        <f>Таблица1[[#This Row],[Сумма 
Продажа]]-Таблица1[[#This Row],[Сумма 
Приход]]-Таблица1[[#This Row],[Авто услу ]]</f>
        <v>5715520</v>
      </c>
      <c r="S24" s="34">
        <v>2000000</v>
      </c>
      <c r="T24" s="34">
        <f>Таблица1[[#This Row],[Сумма 
Продажа]]-IF(Таблица1[[#This Row],[Расход 
Авто]]="Клиент",N(Таблица1[[#This Row],[Авто услу ]]),0)</f>
        <v>24131520</v>
      </c>
      <c r="U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" s="265" t="str">
        <f>IFERROR(INDEX(Мижозлар[Агент],MATCH($D24,Мижозлар[Расмий ном],0)),"")</f>
        <v>Шохрух ога</v>
      </c>
    </row>
    <row r="25" spans="1:23" ht="14.25" x14ac:dyDescent="0.2">
      <c r="A25" s="21" t="s">
        <v>44</v>
      </c>
      <c r="B25" s="135" t="s">
        <v>22</v>
      </c>
      <c r="C25" s="141" t="s">
        <v>40</v>
      </c>
      <c r="D25" s="141" t="s">
        <v>109</v>
      </c>
      <c r="E25" s="136">
        <v>46204</v>
      </c>
      <c r="F25" s="135" t="s">
        <v>376</v>
      </c>
      <c r="G25" s="34" t="s">
        <v>355</v>
      </c>
      <c r="H25" s="142">
        <v>32.832000000000001</v>
      </c>
      <c r="I25" s="34">
        <v>500000</v>
      </c>
      <c r="J25" s="34">
        <f>Таблица1[[#This Row],[Блок
 Куб]]*Таблица1[[#This Row],[Цена 
Приход]]</f>
        <v>16416000</v>
      </c>
      <c r="K25" s="34">
        <v>19</v>
      </c>
      <c r="L25" s="34">
        <v>130000</v>
      </c>
      <c r="M25" s="34">
        <f>Таблица1[[#This Row],[Поддон
Шт]]*Таблица1[[#This Row],[Цена
Поддон]]</f>
        <v>2470000</v>
      </c>
      <c r="N25" s="34">
        <f>Таблица1[[#This Row],[Сумма 
Приход]]+Таблица1[[#This Row],[Сумма Поддон]]</f>
        <v>18886000</v>
      </c>
      <c r="O25" s="34">
        <v>730000</v>
      </c>
      <c r="P25" s="34">
        <f>Таблица1[[#This Row],[Блок
 Куб]]*Таблица1[[#This Row],[Цена
 Продажа]]</f>
        <v>23967360</v>
      </c>
      <c r="Q25" s="34" t="s">
        <v>356</v>
      </c>
      <c r="R25" s="34">
        <f>Таблица1[[#This Row],[Сумма 
Продажа]]-Таблица1[[#This Row],[Сумма 
Приход]]-Таблица1[[#This Row],[Авто услу ]]</f>
        <v>5551360</v>
      </c>
      <c r="S25" s="34">
        <v>2000000</v>
      </c>
      <c r="T25" s="34">
        <f>Таблица1[[#This Row],[Сумма 
Продажа]]-IF(Таблица1[[#This Row],[Расход 
Авто]]="Клиент",N(Таблица1[[#This Row],[Авто услу ]]),0)</f>
        <v>23967360</v>
      </c>
      <c r="U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" s="265" t="str">
        <f>IFERROR(INDEX(Мижозлар[Агент],MATCH($D25,Мижозлар[Расмий ном],0)),"")</f>
        <v>Шохрух ога</v>
      </c>
    </row>
    <row r="26" spans="1:23" ht="14.25" x14ac:dyDescent="0.2">
      <c r="A26" s="21" t="s">
        <v>44</v>
      </c>
      <c r="B26" s="135" t="s">
        <v>22</v>
      </c>
      <c r="C26" s="141" t="s">
        <v>25</v>
      </c>
      <c r="D26" s="141" t="s">
        <v>114</v>
      </c>
      <c r="E26" s="136">
        <v>46204</v>
      </c>
      <c r="F26" s="135" t="s">
        <v>377</v>
      </c>
      <c r="G26" s="34" t="s">
        <v>355</v>
      </c>
      <c r="H26" s="142">
        <v>32.832000000000001</v>
      </c>
      <c r="I26" s="34">
        <v>500000</v>
      </c>
      <c r="J26" s="34">
        <f>Таблица1[[#This Row],[Блок
 Куб]]*Таблица1[[#This Row],[Цена 
Приход]]</f>
        <v>16416000</v>
      </c>
      <c r="K26" s="34">
        <v>19</v>
      </c>
      <c r="L26" s="34">
        <v>130000</v>
      </c>
      <c r="M26" s="34">
        <f>Таблица1[[#This Row],[Поддон
Шт]]*Таблица1[[#This Row],[Цена
Поддон]]</f>
        <v>2470000</v>
      </c>
      <c r="N26" s="34">
        <f>Таблица1[[#This Row],[Сумма 
Приход]]+Таблица1[[#This Row],[Сумма Поддон]]</f>
        <v>18886000</v>
      </c>
      <c r="O26" s="34">
        <v>730000</v>
      </c>
      <c r="P26" s="34">
        <f>Таблица1[[#This Row],[Блок
 Куб]]*Таблица1[[#This Row],[Цена
 Продажа]]</f>
        <v>23967360</v>
      </c>
      <c r="Q26" s="34" t="s">
        <v>356</v>
      </c>
      <c r="R26" s="34">
        <f>Таблица1[[#This Row],[Сумма 
Продажа]]-Таблица1[[#This Row],[Сумма 
Приход]]-Таблица1[[#This Row],[Авто услу ]]</f>
        <v>5051360</v>
      </c>
      <c r="S26" s="34">
        <v>2500000</v>
      </c>
      <c r="T26" s="34">
        <f>Таблица1[[#This Row],[Сумма 
Продажа]]-IF(Таблица1[[#This Row],[Расход 
Авто]]="Клиент",N(Таблица1[[#This Row],[Авто услу ]]),0)</f>
        <v>23967360</v>
      </c>
      <c r="U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" s="265" t="str">
        <f>IFERROR(INDEX(Мижозлар[Агент],MATCH($D26,Мижозлар[Расмий ном],0)),"")</f>
        <v>Жамол 22-22</v>
      </c>
    </row>
    <row r="27" spans="1:23" ht="14.25" x14ac:dyDescent="0.2">
      <c r="A27" s="21" t="s">
        <v>44</v>
      </c>
      <c r="B27" s="135" t="s">
        <v>22</v>
      </c>
      <c r="C27" s="141" t="s">
        <v>21</v>
      </c>
      <c r="D27" s="141" t="s">
        <v>38</v>
      </c>
      <c r="E27" s="136">
        <v>46204</v>
      </c>
      <c r="F27" s="135" t="s">
        <v>378</v>
      </c>
      <c r="G27" s="34" t="s">
        <v>355</v>
      </c>
      <c r="H27" s="142">
        <v>32.832000000000001</v>
      </c>
      <c r="I27" s="34">
        <v>500000</v>
      </c>
      <c r="J27" s="34">
        <f>Таблица1[[#This Row],[Блок
 Куб]]*Таблица1[[#This Row],[Цена 
Приход]]</f>
        <v>16416000</v>
      </c>
      <c r="K27" s="34">
        <v>19</v>
      </c>
      <c r="L27" s="34">
        <v>130000</v>
      </c>
      <c r="M27" s="34">
        <f>Таблица1[[#This Row],[Поддон
Шт]]*Таблица1[[#This Row],[Цена
Поддон]]</f>
        <v>2470000</v>
      </c>
      <c r="N27" s="34">
        <f>Таблица1[[#This Row],[Сумма 
Приход]]+Таблица1[[#This Row],[Сумма Поддон]]</f>
        <v>18886000</v>
      </c>
      <c r="O27" s="34">
        <v>750000</v>
      </c>
      <c r="P27" s="34">
        <f>Таблица1[[#This Row],[Блок
 Куб]]*Таблица1[[#This Row],[Цена
 Продажа]]</f>
        <v>24624000</v>
      </c>
      <c r="Q27" s="34" t="s">
        <v>356</v>
      </c>
      <c r="R27" s="34">
        <f>Таблица1[[#This Row],[Сумма 
Продажа]]-Таблица1[[#This Row],[Сумма 
Приход]]-Таблица1[[#This Row],[Авто услу ]]</f>
        <v>5708000</v>
      </c>
      <c r="S27" s="34">
        <v>2500000</v>
      </c>
      <c r="T27" s="34">
        <f>Таблица1[[#This Row],[Сумма 
Продажа]]-IF(Таблица1[[#This Row],[Расход 
Авто]]="Клиент",N(Таблица1[[#This Row],[Авто услу ]]),0)</f>
        <v>24624000</v>
      </c>
      <c r="U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" s="265" t="str">
        <f>IFERROR(INDEX(Мижозлар[Агент],MATCH($D27,Мижозлар[Расмий ном],0)),"")</f>
        <v>Арслон ога</v>
      </c>
    </row>
    <row r="28" spans="1:23" ht="14.25" x14ac:dyDescent="0.2">
      <c r="A28" s="21" t="s">
        <v>44</v>
      </c>
      <c r="B28" s="135" t="s">
        <v>22</v>
      </c>
      <c r="C28" s="141" t="s">
        <v>29</v>
      </c>
      <c r="D28" s="141" t="s">
        <v>98</v>
      </c>
      <c r="E28" s="136">
        <v>46204</v>
      </c>
      <c r="F28" s="135" t="s">
        <v>379</v>
      </c>
      <c r="G28" s="34" t="s">
        <v>355</v>
      </c>
      <c r="H28" s="142">
        <v>32.832000000000001</v>
      </c>
      <c r="I28" s="34">
        <v>500000</v>
      </c>
      <c r="J28" s="34">
        <f>Таблица1[[#This Row],[Блок
 Куб]]*Таблица1[[#This Row],[Цена 
Приход]]</f>
        <v>16416000</v>
      </c>
      <c r="K28" s="34">
        <v>19</v>
      </c>
      <c r="L28" s="34">
        <v>130000</v>
      </c>
      <c r="M28" s="34">
        <f>Таблица1[[#This Row],[Поддон
Шт]]*Таблица1[[#This Row],[Цена
Поддон]]</f>
        <v>2470000</v>
      </c>
      <c r="N28" s="34">
        <f>Таблица1[[#This Row],[Сумма 
Приход]]+Таблица1[[#This Row],[Сумма Поддон]]</f>
        <v>18886000</v>
      </c>
      <c r="O28" s="34">
        <v>750000</v>
      </c>
      <c r="P28" s="34">
        <f>Таблица1[[#This Row],[Блок
 Куб]]*Таблица1[[#This Row],[Цена
 Продажа]]</f>
        <v>24624000</v>
      </c>
      <c r="Q28" s="34" t="s">
        <v>356</v>
      </c>
      <c r="R28" s="34">
        <f>Таблица1[[#This Row],[Сумма 
Продажа]]-Таблица1[[#This Row],[Сумма 
Приход]]-Таблица1[[#This Row],[Авто услу ]]</f>
        <v>5708000</v>
      </c>
      <c r="S28" s="34">
        <v>2500000</v>
      </c>
      <c r="T28" s="34">
        <f>Таблица1[[#This Row],[Сумма 
Продажа]]-IF(Таблица1[[#This Row],[Расход 
Авто]]="Клиент",N(Таблица1[[#This Row],[Авто услу ]]),0)</f>
        <v>24624000</v>
      </c>
      <c r="U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" s="265" t="str">
        <f>IFERROR(INDEX(Мижозлар[Агент],MATCH($D28,Мижозлар[Расмий ном],0)),"")</f>
        <v>Зафар ога</v>
      </c>
    </row>
    <row r="29" spans="1:23" ht="14.25" x14ac:dyDescent="0.2">
      <c r="A29" s="21" t="s">
        <v>44</v>
      </c>
      <c r="B29" s="135" t="s">
        <v>22</v>
      </c>
      <c r="C29" s="141" t="s">
        <v>21</v>
      </c>
      <c r="D29" s="141" t="s">
        <v>38</v>
      </c>
      <c r="E29" s="136">
        <v>46204</v>
      </c>
      <c r="F29" s="135" t="s">
        <v>380</v>
      </c>
      <c r="G29" s="34" t="s">
        <v>368</v>
      </c>
      <c r="H29" s="142">
        <v>32.832000000000001</v>
      </c>
      <c r="I29" s="34">
        <v>500000</v>
      </c>
      <c r="J29" s="34">
        <f>Таблица1[[#This Row],[Блок
 Куб]]*Таблица1[[#This Row],[Цена 
Приход]]</f>
        <v>16416000</v>
      </c>
      <c r="K29" s="34">
        <v>19</v>
      </c>
      <c r="L29" s="34">
        <v>130000</v>
      </c>
      <c r="M29" s="34">
        <f>Таблица1[[#This Row],[Поддон
Шт]]*Таблица1[[#This Row],[Цена
Поддон]]</f>
        <v>2470000</v>
      </c>
      <c r="N29" s="34">
        <f>Таблица1[[#This Row],[Сумма 
Приход]]+Таблица1[[#This Row],[Сумма Поддон]]</f>
        <v>18886000</v>
      </c>
      <c r="O29" s="34">
        <v>750000</v>
      </c>
      <c r="P29" s="34">
        <f>Таблица1[[#This Row],[Блок
 Куб]]*Таблица1[[#This Row],[Цена
 Продажа]]</f>
        <v>24624000</v>
      </c>
      <c r="Q29" s="34" t="s">
        <v>356</v>
      </c>
      <c r="R29" s="34">
        <f>Таблица1[[#This Row],[Сумма 
Продажа]]-Таблица1[[#This Row],[Сумма 
Приход]]-Таблица1[[#This Row],[Авто услу ]]</f>
        <v>5658000</v>
      </c>
      <c r="S29" s="34">
        <v>2550000</v>
      </c>
      <c r="T29" s="34">
        <f>Таблица1[[#This Row],[Сумма 
Продажа]]-IF(Таблица1[[#This Row],[Расход 
Авто]]="Клиент",N(Таблица1[[#This Row],[Авто услу ]]),0)</f>
        <v>24624000</v>
      </c>
      <c r="U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" s="265" t="str">
        <f>IFERROR(INDEX(Мижозлар[Агент],MATCH($D29,Мижозлар[Расмий ном],0)),"")</f>
        <v>Арслон ога</v>
      </c>
    </row>
    <row r="30" spans="1:23" ht="14.25" x14ac:dyDescent="0.2">
      <c r="A30" s="21" t="s">
        <v>44</v>
      </c>
      <c r="B30" s="135" t="s">
        <v>22</v>
      </c>
      <c r="C30" s="141" t="s">
        <v>21</v>
      </c>
      <c r="D30" s="141" t="s">
        <v>38</v>
      </c>
      <c r="E30" s="136">
        <v>46204</v>
      </c>
      <c r="F30" s="135" t="s">
        <v>381</v>
      </c>
      <c r="G30" s="34" t="s">
        <v>368</v>
      </c>
      <c r="H30" s="142">
        <v>32.832000000000001</v>
      </c>
      <c r="I30" s="34">
        <v>500000</v>
      </c>
      <c r="J30" s="34">
        <f>Таблица1[[#This Row],[Блок
 Куб]]*Таблица1[[#This Row],[Цена 
Приход]]</f>
        <v>16416000</v>
      </c>
      <c r="K30" s="34">
        <v>19</v>
      </c>
      <c r="L30" s="34">
        <v>130000</v>
      </c>
      <c r="M30" s="34">
        <f>Таблица1[[#This Row],[Поддон
Шт]]*Таблица1[[#This Row],[Цена
Поддон]]</f>
        <v>2470000</v>
      </c>
      <c r="N30" s="34">
        <f>Таблица1[[#This Row],[Сумма 
Приход]]+Таблица1[[#This Row],[Сумма Поддон]]</f>
        <v>18886000</v>
      </c>
      <c r="O30" s="34">
        <v>750000</v>
      </c>
      <c r="P30" s="34">
        <f>Таблица1[[#This Row],[Блок
 Куб]]*Таблица1[[#This Row],[Цена
 Продажа]]</f>
        <v>24624000</v>
      </c>
      <c r="Q30" s="34" t="s">
        <v>356</v>
      </c>
      <c r="R30" s="34">
        <f>Таблица1[[#This Row],[Сумма 
Продажа]]-Таблица1[[#This Row],[Сумма 
Приход]]-Таблица1[[#This Row],[Авто услу ]]</f>
        <v>5658000</v>
      </c>
      <c r="S30" s="34">
        <v>2550000</v>
      </c>
      <c r="T30" s="34">
        <f>Таблица1[[#This Row],[Сумма 
Продажа]]-IF(Таблица1[[#This Row],[Расход 
Авто]]="Клиент",N(Таблица1[[#This Row],[Авто услу ]]),0)</f>
        <v>24624000</v>
      </c>
      <c r="U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" s="265" t="str">
        <f>IFERROR(INDEX(Мижозлар[Агент],MATCH($D30,Мижозлар[Расмий ном],0)),"")</f>
        <v>Арслон ога</v>
      </c>
    </row>
    <row r="31" spans="1:23" ht="14.25" x14ac:dyDescent="0.2">
      <c r="A31" s="21" t="s">
        <v>44</v>
      </c>
      <c r="B31" s="135" t="s">
        <v>22</v>
      </c>
      <c r="C31" s="141" t="s">
        <v>40</v>
      </c>
      <c r="D31" s="141" t="s">
        <v>109</v>
      </c>
      <c r="E31" s="136">
        <v>46205</v>
      </c>
      <c r="F31" s="135" t="s">
        <v>382</v>
      </c>
      <c r="G31" s="34" t="s">
        <v>368</v>
      </c>
      <c r="H31" s="142">
        <v>32.832000000000001</v>
      </c>
      <c r="I31" s="34">
        <v>593750</v>
      </c>
      <c r="J31" s="34">
        <f>Таблица1[[#This Row],[Блок
 Куб]]*Таблица1[[#This Row],[Цена 
Приход]]</f>
        <v>19494000</v>
      </c>
      <c r="K31" s="34">
        <v>19</v>
      </c>
      <c r="L31" s="34">
        <v>130000</v>
      </c>
      <c r="M31" s="34">
        <f>Таблица1[[#This Row],[Поддон
Шт]]*Таблица1[[#This Row],[Цена
Поддон]]</f>
        <v>2470000</v>
      </c>
      <c r="N31" s="34">
        <f>Таблица1[[#This Row],[Сумма 
Приход]]+Таблица1[[#This Row],[Сумма Поддон]]</f>
        <v>21964000</v>
      </c>
      <c r="O31" s="34">
        <v>730000</v>
      </c>
      <c r="P31" s="34">
        <f>Таблица1[[#This Row],[Блок
 Куб]]*Таблица1[[#This Row],[Цена
 Продажа]]</f>
        <v>23967360</v>
      </c>
      <c r="Q31" s="34" t="s">
        <v>356</v>
      </c>
      <c r="R31" s="34">
        <f>Таблица1[[#This Row],[Сумма 
Продажа]]-Таблица1[[#This Row],[Сумма 
Приход]]-Таблица1[[#This Row],[Авто услу ]]</f>
        <v>2473360</v>
      </c>
      <c r="S31" s="34">
        <v>2000000</v>
      </c>
      <c r="T31" s="34">
        <f>Таблица1[[#This Row],[Сумма 
Продажа]]-IF(Таблица1[[#This Row],[Расход 
Авто]]="Клиент",N(Таблица1[[#This Row],[Авто услу ]]),0)</f>
        <v>23967360</v>
      </c>
      <c r="U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" s="265" t="str">
        <f>IFERROR(INDEX(Мижозлар[Агент],MATCH($D31,Мижозлар[Расмий ном],0)),"")</f>
        <v>Шохрух ога</v>
      </c>
    </row>
    <row r="32" spans="1:23" ht="14.25" x14ac:dyDescent="0.2">
      <c r="A32" s="21" t="s">
        <v>41</v>
      </c>
      <c r="B32" s="135" t="s">
        <v>22</v>
      </c>
      <c r="C32" s="141" t="s">
        <v>25</v>
      </c>
      <c r="D32" s="141" t="s">
        <v>114</v>
      </c>
      <c r="E32" s="136">
        <v>46206</v>
      </c>
      <c r="F32" s="136" t="s">
        <v>383</v>
      </c>
      <c r="G32" s="34" t="s">
        <v>355</v>
      </c>
      <c r="H32" s="142">
        <v>32.832000000000001</v>
      </c>
      <c r="I32" s="34">
        <v>517750</v>
      </c>
      <c r="J32" s="34">
        <f>Таблица1[[#This Row],[Блок
 Куб]]*Таблица1[[#This Row],[Цена 
Приход]]</f>
        <v>16998768</v>
      </c>
      <c r="K32" s="34">
        <v>19</v>
      </c>
      <c r="L32" s="34">
        <v>130000</v>
      </c>
      <c r="M32" s="34">
        <f>Таблица1[[#This Row],[Поддон
Шт]]*Таблица1[[#This Row],[Цена
Поддон]]</f>
        <v>2470000</v>
      </c>
      <c r="N32" s="34">
        <f>Таблица1[[#This Row],[Сумма 
Приход]]+Таблица1[[#This Row],[Сумма Поддон]]</f>
        <v>19468768</v>
      </c>
      <c r="O32" s="34">
        <v>700000</v>
      </c>
      <c r="P32" s="34">
        <f>Таблица1[[#This Row],[Блок
 Куб]]*Таблица1[[#This Row],[Цена
 Продажа]]</f>
        <v>22982400</v>
      </c>
      <c r="Q32" s="34" t="s">
        <v>356</v>
      </c>
      <c r="R32" s="34">
        <f>Таблица1[[#This Row],[Сумма 
Продажа]]-Таблица1[[#This Row],[Сумма 
Приход]]-Таблица1[[#This Row],[Авто услу ]]</f>
        <v>3983632</v>
      </c>
      <c r="S32" s="34">
        <v>2000000</v>
      </c>
      <c r="T32" s="34">
        <f>Таблица1[[#This Row],[Сумма 
Продажа]]-IF(Таблица1[[#This Row],[Расход 
Авто]]="Клиент",N(Таблица1[[#This Row],[Авто услу ]]),0)</f>
        <v>22982400</v>
      </c>
      <c r="U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" s="265" t="str">
        <f>IFERROR(INDEX(Мижозлар[Агент],MATCH($D32,Мижозлар[Расмий ном],0)),"")</f>
        <v>Жамол 22-22</v>
      </c>
    </row>
    <row r="33" spans="1:23" ht="14.25" x14ac:dyDescent="0.2">
      <c r="A33" s="21" t="s">
        <v>44</v>
      </c>
      <c r="B33" s="135" t="s">
        <v>22</v>
      </c>
      <c r="C33" s="141" t="s">
        <v>25</v>
      </c>
      <c r="D33" s="141" t="s">
        <v>103</v>
      </c>
      <c r="E33" s="136">
        <v>46206</v>
      </c>
      <c r="F33" s="136" t="s">
        <v>384</v>
      </c>
      <c r="G33" s="34" t="s">
        <v>355</v>
      </c>
      <c r="H33" s="142">
        <v>32.832000000000001</v>
      </c>
      <c r="I33" s="34">
        <v>593750</v>
      </c>
      <c r="J33" s="34">
        <f>Таблица1[[#This Row],[Блок
 Куб]]*Таблица1[[#This Row],[Цена 
Приход]]</f>
        <v>19494000</v>
      </c>
      <c r="K33" s="34">
        <v>19</v>
      </c>
      <c r="L33" s="34">
        <v>130000</v>
      </c>
      <c r="M33" s="34">
        <f>Таблица1[[#This Row],[Поддон
Шт]]*Таблица1[[#This Row],[Цена
Поддон]]</f>
        <v>2470000</v>
      </c>
      <c r="N33" s="34">
        <f>Таблица1[[#This Row],[Сумма 
Приход]]+Таблица1[[#This Row],[Сумма Поддон]]</f>
        <v>21964000</v>
      </c>
      <c r="O33" s="34">
        <v>700000</v>
      </c>
      <c r="P33" s="34">
        <f>Таблица1[[#This Row],[Блок
 Куб]]*Таблица1[[#This Row],[Цена
 Продажа]]</f>
        <v>22982400</v>
      </c>
      <c r="Q33" s="34" t="s">
        <v>356</v>
      </c>
      <c r="R33" s="34">
        <f>Таблица1[[#This Row],[Сумма 
Продажа]]-Таблица1[[#This Row],[Сумма 
Приход]]-Таблица1[[#This Row],[Авто услу ]]</f>
        <v>1488400</v>
      </c>
      <c r="S33" s="34">
        <v>2000000</v>
      </c>
      <c r="T33" s="34">
        <f>Таблица1[[#This Row],[Сумма 
Продажа]]-IF(Таблица1[[#This Row],[Расход 
Авто]]="Клиент",N(Таблица1[[#This Row],[Авто услу ]]),0)</f>
        <v>22982400</v>
      </c>
      <c r="U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" s="265" t="str">
        <f>IFERROR(INDEX(Мижозлар[Агент],MATCH($D33,Мижозлар[Расмий ном],0)),"")</f>
        <v>Жамол 22-22</v>
      </c>
    </row>
    <row r="34" spans="1:23" ht="14.25" x14ac:dyDescent="0.2">
      <c r="A34" s="21" t="s">
        <v>44</v>
      </c>
      <c r="B34" s="135" t="s">
        <v>22</v>
      </c>
      <c r="C34" s="141" t="s">
        <v>40</v>
      </c>
      <c r="D34" s="141" t="s">
        <v>87</v>
      </c>
      <c r="E34" s="136">
        <v>46206</v>
      </c>
      <c r="F34" s="135" t="s">
        <v>380</v>
      </c>
      <c r="G34" s="34" t="s">
        <v>355</v>
      </c>
      <c r="H34" s="142">
        <v>32.832000000000001</v>
      </c>
      <c r="I34" s="34">
        <v>593750</v>
      </c>
      <c r="J34" s="34">
        <f>Таблица1[[#This Row],[Блок
 Куб]]*Таблица1[[#This Row],[Цена 
Приход]]</f>
        <v>19494000</v>
      </c>
      <c r="K34" s="34">
        <v>19</v>
      </c>
      <c r="L34" s="34">
        <v>130000</v>
      </c>
      <c r="M34" s="34">
        <f>Таблица1[[#This Row],[Поддон
Шт]]*Таблица1[[#This Row],[Цена
Поддон]]</f>
        <v>2470000</v>
      </c>
      <c r="N34" s="34">
        <f>Таблица1[[#This Row],[Сумма 
Приход]]+Таблица1[[#This Row],[Сумма Поддон]]</f>
        <v>21964000</v>
      </c>
      <c r="O34" s="34">
        <v>700000</v>
      </c>
      <c r="P34" s="34">
        <f>Таблица1[[#This Row],[Блок
 Куб]]*Таблица1[[#This Row],[Цена
 Продажа]]</f>
        <v>22982400</v>
      </c>
      <c r="Q34" s="34" t="s">
        <v>240</v>
      </c>
      <c r="R34" s="34">
        <f>Таблица1[[#This Row],[Сумма 
Продажа]]-Таблица1[[#This Row],[Сумма 
Приход]]-Таблица1[[#This Row],[Авто услу ]]</f>
        <v>1488400</v>
      </c>
      <c r="S34" s="34">
        <v>2000000</v>
      </c>
      <c r="T34" s="34">
        <f>Таблица1[[#This Row],[Сумма 
Продажа]]-IF(Таблица1[[#This Row],[Расход 
Авто]]="Клиент",N(Таблица1[[#This Row],[Авто услу ]]),0)</f>
        <v>20982400</v>
      </c>
      <c r="U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" s="265" t="str">
        <f>IFERROR(INDEX(Мижозлар[Агент],MATCH($D34,Мижозлар[Расмий ном],0)),"")</f>
        <v>Шохрух ога</v>
      </c>
    </row>
    <row r="35" spans="1:23" ht="14.25" x14ac:dyDescent="0.2">
      <c r="A35" s="21" t="s">
        <v>44</v>
      </c>
      <c r="B35" s="135" t="s">
        <v>22</v>
      </c>
      <c r="C35" s="141" t="s">
        <v>29</v>
      </c>
      <c r="D35" s="141" t="s">
        <v>98</v>
      </c>
      <c r="E35" s="136">
        <v>46206</v>
      </c>
      <c r="F35" s="135" t="s">
        <v>385</v>
      </c>
      <c r="G35" s="34" t="s">
        <v>355</v>
      </c>
      <c r="H35" s="142">
        <v>32.832000000000001</v>
      </c>
      <c r="I35" s="34">
        <v>593750</v>
      </c>
      <c r="J35" s="34">
        <f>Таблица1[[#This Row],[Блок
 Куб]]*Таблица1[[#This Row],[Цена 
Приход]]</f>
        <v>19494000</v>
      </c>
      <c r="K35" s="34">
        <v>19</v>
      </c>
      <c r="L35" s="34">
        <v>130000</v>
      </c>
      <c r="M35" s="34">
        <f>Таблица1[[#This Row],[Поддон
Шт]]*Таблица1[[#This Row],[Цена
Поддон]]</f>
        <v>2470000</v>
      </c>
      <c r="N35" s="34">
        <f>Таблица1[[#This Row],[Сумма 
Приход]]+Таблица1[[#This Row],[Сумма Поддон]]</f>
        <v>21964000</v>
      </c>
      <c r="O35" s="34">
        <v>700000</v>
      </c>
      <c r="P35" s="34">
        <f>Таблица1[[#This Row],[Блок
 Куб]]*Таблица1[[#This Row],[Цена
 Продажа]]</f>
        <v>22982400</v>
      </c>
      <c r="Q35" s="34" t="s">
        <v>240</v>
      </c>
      <c r="R35" s="34">
        <f>Таблица1[[#This Row],[Сумма 
Продажа]]-Таблица1[[#This Row],[Сумма 
Приход]]-Таблица1[[#This Row],[Авто услу ]]</f>
        <v>988400</v>
      </c>
      <c r="S35" s="34">
        <v>2500000</v>
      </c>
      <c r="T35" s="34">
        <f>Таблица1[[#This Row],[Сумма 
Продажа]]-IF(Таблица1[[#This Row],[Расход 
Авто]]="Клиент",N(Таблица1[[#This Row],[Авто услу ]]),0)</f>
        <v>20482400</v>
      </c>
      <c r="U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" s="265" t="str">
        <f>IFERROR(INDEX(Мижозлар[Агент],MATCH($D35,Мижозлар[Расмий ном],0)),"")</f>
        <v>Зафар ога</v>
      </c>
    </row>
    <row r="36" spans="1:23" ht="14.25" x14ac:dyDescent="0.2">
      <c r="A36" s="21" t="s">
        <v>44</v>
      </c>
      <c r="B36" s="135" t="s">
        <v>22</v>
      </c>
      <c r="C36" s="141" t="s">
        <v>40</v>
      </c>
      <c r="D36" s="141" t="s">
        <v>87</v>
      </c>
      <c r="E36" s="136">
        <v>46206</v>
      </c>
      <c r="F36" s="135" t="s">
        <v>386</v>
      </c>
      <c r="G36" s="34" t="s">
        <v>355</v>
      </c>
      <c r="H36" s="142">
        <v>32.832000000000001</v>
      </c>
      <c r="I36" s="34">
        <v>593750</v>
      </c>
      <c r="J36" s="34">
        <f>Таблица1[[#This Row],[Блок
 Куб]]*Таблица1[[#This Row],[Цена 
Приход]]</f>
        <v>19494000</v>
      </c>
      <c r="K36" s="34">
        <v>19</v>
      </c>
      <c r="L36" s="34">
        <v>130000</v>
      </c>
      <c r="M36" s="34">
        <f>Таблица1[[#This Row],[Поддон
Шт]]*Таблица1[[#This Row],[Цена
Поддон]]</f>
        <v>2470000</v>
      </c>
      <c r="N36" s="34">
        <f>Таблица1[[#This Row],[Сумма 
Приход]]+Таблица1[[#This Row],[Сумма Поддон]]</f>
        <v>21964000</v>
      </c>
      <c r="O36" s="34">
        <v>700000</v>
      </c>
      <c r="P36" s="34">
        <f>Таблица1[[#This Row],[Блок
 Куб]]*Таблица1[[#This Row],[Цена
 Продажа]]</f>
        <v>22982400</v>
      </c>
      <c r="Q36" s="34" t="s">
        <v>240</v>
      </c>
      <c r="R36" s="34">
        <f>Таблица1[[#This Row],[Сумма 
Продажа]]-Таблица1[[#This Row],[Сумма 
Приход]]-Таблица1[[#This Row],[Авто услу ]]</f>
        <v>1488400</v>
      </c>
      <c r="S36" s="34">
        <v>2000000</v>
      </c>
      <c r="T36" s="34">
        <f>Таблица1[[#This Row],[Сумма 
Продажа]]-IF(Таблица1[[#This Row],[Расход 
Авто]]="Клиент",N(Таблица1[[#This Row],[Авто услу ]]),0)</f>
        <v>20982400</v>
      </c>
      <c r="U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" s="265" t="str">
        <f>IFERROR(INDEX(Мижозлар[Агент],MATCH($D36,Мижозлар[Расмий ном],0)),"")</f>
        <v>Шохрух ога</v>
      </c>
    </row>
    <row r="37" spans="1:23" ht="14.25" x14ac:dyDescent="0.2">
      <c r="A37" s="21" t="s">
        <v>44</v>
      </c>
      <c r="B37" s="135" t="s">
        <v>22</v>
      </c>
      <c r="C37" s="141" t="s">
        <v>25</v>
      </c>
      <c r="D37" s="141" t="s">
        <v>103</v>
      </c>
      <c r="E37" s="136">
        <v>46206</v>
      </c>
      <c r="F37" s="136" t="s">
        <v>387</v>
      </c>
      <c r="G37" s="34" t="s">
        <v>355</v>
      </c>
      <c r="H37" s="142">
        <v>32.832000000000001</v>
      </c>
      <c r="I37" s="34">
        <v>593750</v>
      </c>
      <c r="J37" s="34">
        <f>Таблица1[[#This Row],[Блок
 Куб]]*Таблица1[[#This Row],[Цена 
Приход]]</f>
        <v>19494000</v>
      </c>
      <c r="K37" s="34">
        <v>19</v>
      </c>
      <c r="L37" s="34">
        <v>130000</v>
      </c>
      <c r="M37" s="34">
        <f>Таблица1[[#This Row],[Поддон
Шт]]*Таблица1[[#This Row],[Цена
Поддон]]</f>
        <v>2470000</v>
      </c>
      <c r="N37" s="34">
        <f>Таблица1[[#This Row],[Сумма 
Приход]]+Таблица1[[#This Row],[Сумма Поддон]]</f>
        <v>21964000</v>
      </c>
      <c r="O37" s="34">
        <v>700000</v>
      </c>
      <c r="P37" s="34">
        <f>Таблица1[[#This Row],[Блок
 Куб]]*Таблица1[[#This Row],[Цена
 Продажа]]</f>
        <v>22982400</v>
      </c>
      <c r="Q37" s="34" t="s">
        <v>356</v>
      </c>
      <c r="R37" s="34">
        <f>Таблица1[[#This Row],[Сумма 
Продажа]]-Таблица1[[#This Row],[Сумма 
Приход]]-Таблица1[[#This Row],[Авто услу ]]</f>
        <v>1488400</v>
      </c>
      <c r="S37" s="34">
        <v>2000000</v>
      </c>
      <c r="T37" s="34">
        <f>Таблица1[[#This Row],[Сумма 
Продажа]]-IF(Таблица1[[#This Row],[Расход 
Авто]]="Клиент",N(Таблица1[[#This Row],[Авто услу ]]),0)</f>
        <v>22982400</v>
      </c>
      <c r="U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" s="265" t="str">
        <f>IFERROR(INDEX(Мижозлар[Агент],MATCH($D37,Мижозлар[Расмий ном],0)),"")</f>
        <v>Жамол 22-22</v>
      </c>
    </row>
    <row r="38" spans="1:23" ht="14.25" x14ac:dyDescent="0.2">
      <c r="A38" s="21" t="s">
        <v>44</v>
      </c>
      <c r="B38" s="135" t="s">
        <v>22</v>
      </c>
      <c r="C38" s="141" t="s">
        <v>25</v>
      </c>
      <c r="D38" s="141" t="s">
        <v>103</v>
      </c>
      <c r="E38" s="136">
        <v>46206</v>
      </c>
      <c r="F38" s="136" t="s">
        <v>388</v>
      </c>
      <c r="G38" s="34" t="s">
        <v>355</v>
      </c>
      <c r="H38" s="142">
        <v>32.832000000000001</v>
      </c>
      <c r="I38" s="34">
        <v>593750</v>
      </c>
      <c r="J38" s="34">
        <f>Таблица1[[#This Row],[Блок
 Куб]]*Таблица1[[#This Row],[Цена 
Приход]]</f>
        <v>19494000</v>
      </c>
      <c r="K38" s="34">
        <v>19</v>
      </c>
      <c r="L38" s="34">
        <v>130000</v>
      </c>
      <c r="M38" s="34">
        <f>Таблица1[[#This Row],[Поддон
Шт]]*Таблица1[[#This Row],[Цена
Поддон]]</f>
        <v>2470000</v>
      </c>
      <c r="N38" s="34">
        <f>Таблица1[[#This Row],[Сумма 
Приход]]+Таблица1[[#This Row],[Сумма Поддон]]</f>
        <v>21964000</v>
      </c>
      <c r="O38" s="34">
        <v>700000</v>
      </c>
      <c r="P38" s="34">
        <f>Таблица1[[#This Row],[Блок
 Куб]]*Таблица1[[#This Row],[Цена
 Продажа]]</f>
        <v>22982400</v>
      </c>
      <c r="Q38" s="34" t="s">
        <v>356</v>
      </c>
      <c r="R38" s="34">
        <f>Таблица1[[#This Row],[Сумма 
Продажа]]-Таблица1[[#This Row],[Сумма 
Приход]]-Таблица1[[#This Row],[Авто услу ]]</f>
        <v>1488400</v>
      </c>
      <c r="S38" s="34">
        <v>2000000</v>
      </c>
      <c r="T38" s="34">
        <f>Таблица1[[#This Row],[Сумма 
Продажа]]-IF(Таблица1[[#This Row],[Расход 
Авто]]="Клиент",N(Таблица1[[#This Row],[Авто услу ]]),0)</f>
        <v>22982400</v>
      </c>
      <c r="U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" s="265" t="str">
        <f>IFERROR(INDEX(Мижозлар[Агент],MATCH($D38,Мижозлар[Расмий ном],0)),"")</f>
        <v>Жамол 22-22</v>
      </c>
    </row>
    <row r="39" spans="1:23" ht="14.25" x14ac:dyDescent="0.2">
      <c r="A39" s="21" t="s">
        <v>44</v>
      </c>
      <c r="B39" s="135" t="s">
        <v>22</v>
      </c>
      <c r="C39" s="141" t="s">
        <v>29</v>
      </c>
      <c r="D39" s="141" t="s">
        <v>98</v>
      </c>
      <c r="E39" s="136">
        <v>46206</v>
      </c>
      <c r="F39" s="135" t="s">
        <v>389</v>
      </c>
      <c r="G39" s="34" t="s">
        <v>368</v>
      </c>
      <c r="H39" s="142">
        <v>32.832000000000001</v>
      </c>
      <c r="I39" s="34">
        <v>593750</v>
      </c>
      <c r="J39" s="34">
        <f>Таблица1[[#This Row],[Блок
 Куб]]*Таблица1[[#This Row],[Цена 
Приход]]</f>
        <v>19494000</v>
      </c>
      <c r="K39" s="34">
        <v>19</v>
      </c>
      <c r="L39" s="34">
        <v>130000</v>
      </c>
      <c r="M39" s="34">
        <f>Таблица1[[#This Row],[Поддон
Шт]]*Таблица1[[#This Row],[Цена
Поддон]]</f>
        <v>2470000</v>
      </c>
      <c r="N39" s="34">
        <f>Таблица1[[#This Row],[Сумма 
Приход]]+Таблица1[[#This Row],[Сумма Поддон]]</f>
        <v>21964000</v>
      </c>
      <c r="O39" s="34">
        <v>700000</v>
      </c>
      <c r="P39" s="34">
        <f>Таблица1[[#This Row],[Блок
 Куб]]*Таблица1[[#This Row],[Цена
 Продажа]]</f>
        <v>22982400</v>
      </c>
      <c r="Q39" s="34" t="s">
        <v>240</v>
      </c>
      <c r="R39" s="34">
        <f>Таблица1[[#This Row],[Сумма 
Продажа]]-Таблица1[[#This Row],[Сумма 
Приход]]-Таблица1[[#This Row],[Авто услу ]]</f>
        <v>988400</v>
      </c>
      <c r="S39" s="34">
        <v>2500000</v>
      </c>
      <c r="T39" s="34">
        <f>Таблица1[[#This Row],[Сумма 
Продажа]]-IF(Таблица1[[#This Row],[Расход 
Авто]]="Клиент",N(Таблица1[[#This Row],[Авто услу ]]),0)</f>
        <v>20482400</v>
      </c>
      <c r="U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" s="265" t="str">
        <f>IFERROR(INDEX(Мижозлар[Агент],MATCH($D39,Мижозлар[Расмий ном],0)),"")</f>
        <v>Зафар ога</v>
      </c>
    </row>
    <row r="40" spans="1:23" ht="14.25" x14ac:dyDescent="0.2">
      <c r="A40" s="21" t="s">
        <v>44</v>
      </c>
      <c r="B40" s="135" t="s">
        <v>22</v>
      </c>
      <c r="C40" s="141" t="s">
        <v>29</v>
      </c>
      <c r="D40" s="141" t="s">
        <v>98</v>
      </c>
      <c r="E40" s="136">
        <v>46206</v>
      </c>
      <c r="F40" s="135" t="s">
        <v>390</v>
      </c>
      <c r="G40" s="34" t="s">
        <v>355</v>
      </c>
      <c r="H40" s="142">
        <v>32.832000000000001</v>
      </c>
      <c r="I40" s="34">
        <v>593750</v>
      </c>
      <c r="J40" s="34">
        <f>Таблица1[[#This Row],[Блок
 Куб]]*Таблица1[[#This Row],[Цена 
Приход]]</f>
        <v>19494000</v>
      </c>
      <c r="K40" s="34">
        <v>19</v>
      </c>
      <c r="L40" s="34">
        <v>130000</v>
      </c>
      <c r="M40" s="34">
        <f>Таблица1[[#This Row],[Поддон
Шт]]*Таблица1[[#This Row],[Цена
Поддон]]</f>
        <v>2470000</v>
      </c>
      <c r="N40" s="34">
        <f>Таблица1[[#This Row],[Сумма 
Приход]]+Таблица1[[#This Row],[Сумма Поддон]]</f>
        <v>21964000</v>
      </c>
      <c r="O40" s="34">
        <v>700000</v>
      </c>
      <c r="P40" s="34">
        <f>Таблица1[[#This Row],[Блок
 Куб]]*Таблица1[[#This Row],[Цена
 Продажа]]</f>
        <v>22982400</v>
      </c>
      <c r="Q40" s="34" t="s">
        <v>240</v>
      </c>
      <c r="R40" s="34">
        <f>Таблица1[[#This Row],[Сумма 
Продажа]]-Таблица1[[#This Row],[Сумма 
Приход]]-Таблица1[[#This Row],[Авто услу ]]</f>
        <v>988400</v>
      </c>
      <c r="S40" s="34">
        <v>2500000</v>
      </c>
      <c r="T40" s="34">
        <f>Таблица1[[#This Row],[Сумма 
Продажа]]-IF(Таблица1[[#This Row],[Расход 
Авто]]="Клиент",N(Таблица1[[#This Row],[Авто услу ]]),0)</f>
        <v>20482400</v>
      </c>
      <c r="U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" s="265" t="str">
        <f>IFERROR(INDEX(Мижозлар[Агент],MATCH($D40,Мижозлар[Расмий ном],0)),"")</f>
        <v>Зафар ога</v>
      </c>
    </row>
    <row r="41" spans="1:23" ht="14.25" x14ac:dyDescent="0.2">
      <c r="A41" s="21" t="s">
        <v>44</v>
      </c>
      <c r="B41" s="135" t="s">
        <v>22</v>
      </c>
      <c r="C41" s="141" t="s">
        <v>36</v>
      </c>
      <c r="D41" s="141" t="s">
        <v>45</v>
      </c>
      <c r="E41" s="136">
        <v>46206</v>
      </c>
      <c r="F41" s="135" t="s">
        <v>391</v>
      </c>
      <c r="G41" s="34" t="s">
        <v>355</v>
      </c>
      <c r="H41" s="142">
        <v>32.832000000000001</v>
      </c>
      <c r="I41" s="34">
        <v>593750</v>
      </c>
      <c r="J41" s="34">
        <f>Таблица1[[#This Row],[Блок
 Куб]]*Таблица1[[#This Row],[Цена 
Приход]]</f>
        <v>19494000</v>
      </c>
      <c r="K41" s="34">
        <v>19</v>
      </c>
      <c r="L41" s="34">
        <v>130000</v>
      </c>
      <c r="M41" s="34">
        <f>Таблица1[[#This Row],[Поддон
Шт]]*Таблица1[[#This Row],[Цена
Поддон]]</f>
        <v>2470000</v>
      </c>
      <c r="N41" s="34">
        <f>Таблица1[[#This Row],[Сумма 
Приход]]+Таблица1[[#This Row],[Сумма Поддон]]</f>
        <v>21964000</v>
      </c>
      <c r="O41" s="34">
        <v>700000</v>
      </c>
      <c r="P41" s="34">
        <f>Таблица1[[#This Row],[Блок
 Куб]]*Таблица1[[#This Row],[Цена
 Продажа]]</f>
        <v>22982400</v>
      </c>
      <c r="Q41" s="34" t="s">
        <v>240</v>
      </c>
      <c r="R41" s="34">
        <f>Таблица1[[#This Row],[Сумма 
Продажа]]-Таблица1[[#This Row],[Сумма 
Приход]]-Таблица1[[#This Row],[Авто услу ]]</f>
        <v>1488400</v>
      </c>
      <c r="S41" s="34">
        <v>2000000</v>
      </c>
      <c r="T41" s="34">
        <f>Таблица1[[#This Row],[Сумма 
Продажа]]-IF(Таблица1[[#This Row],[Расход 
Авто]]="Клиент",N(Таблица1[[#This Row],[Авто услу ]]),0)</f>
        <v>20982400</v>
      </c>
      <c r="U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" s="265" t="str">
        <f>IFERROR(INDEX(Мижозлар[Агент],MATCH($D41,Мижозлар[Расмий ном],0)),"")</f>
        <v>Темур</v>
      </c>
    </row>
    <row r="42" spans="1:23" ht="14.25" x14ac:dyDescent="0.2">
      <c r="A42" s="21" t="s">
        <v>44</v>
      </c>
      <c r="B42" s="135" t="s">
        <v>22</v>
      </c>
      <c r="C42" s="141" t="s">
        <v>36</v>
      </c>
      <c r="D42" s="141" t="s">
        <v>45</v>
      </c>
      <c r="E42" s="136">
        <v>46206</v>
      </c>
      <c r="F42" s="135" t="s">
        <v>382</v>
      </c>
      <c r="G42" s="34" t="s">
        <v>355</v>
      </c>
      <c r="H42" s="142">
        <v>32.832000000000001</v>
      </c>
      <c r="I42" s="34">
        <v>593750</v>
      </c>
      <c r="J42" s="34">
        <f>Таблица1[[#This Row],[Блок
 Куб]]*Таблица1[[#This Row],[Цена 
Приход]]</f>
        <v>19494000</v>
      </c>
      <c r="K42" s="34">
        <v>19</v>
      </c>
      <c r="L42" s="34">
        <v>130000</v>
      </c>
      <c r="M42" s="34">
        <f>Таблица1[[#This Row],[Поддон
Шт]]*Таблица1[[#This Row],[Цена
Поддон]]</f>
        <v>2470000</v>
      </c>
      <c r="N42" s="34">
        <f>Таблица1[[#This Row],[Сумма 
Приход]]+Таблица1[[#This Row],[Сумма Поддон]]</f>
        <v>21964000</v>
      </c>
      <c r="O42" s="34">
        <v>700000</v>
      </c>
      <c r="P42" s="34">
        <f>Таблица1[[#This Row],[Блок
 Куб]]*Таблица1[[#This Row],[Цена
 Продажа]]</f>
        <v>22982400</v>
      </c>
      <c r="Q42" s="34" t="s">
        <v>240</v>
      </c>
      <c r="R42" s="34">
        <f>Таблица1[[#This Row],[Сумма 
Продажа]]-Таблица1[[#This Row],[Сумма 
Приход]]-Таблица1[[#This Row],[Авто услу ]]</f>
        <v>1488400</v>
      </c>
      <c r="S42" s="34">
        <v>2000000</v>
      </c>
      <c r="T42" s="34">
        <f>Таблица1[[#This Row],[Сумма 
Продажа]]-IF(Таблица1[[#This Row],[Расход 
Авто]]="Клиент",N(Таблица1[[#This Row],[Авто услу ]]),0)</f>
        <v>20982400</v>
      </c>
      <c r="U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" s="265" t="str">
        <f>IFERROR(INDEX(Мижозлар[Агент],MATCH($D42,Мижозлар[Расмий ном],0)),"")</f>
        <v>Темур</v>
      </c>
    </row>
    <row r="43" spans="1:23" ht="14.25" x14ac:dyDescent="0.2">
      <c r="A43" s="21" t="s">
        <v>44</v>
      </c>
      <c r="B43" s="135" t="s">
        <v>22</v>
      </c>
      <c r="C43" s="141" t="s">
        <v>36</v>
      </c>
      <c r="D43" s="141" t="s">
        <v>45</v>
      </c>
      <c r="E43" s="136">
        <v>46206</v>
      </c>
      <c r="F43" s="135" t="s">
        <v>392</v>
      </c>
      <c r="G43" s="34" t="s">
        <v>368</v>
      </c>
      <c r="H43" s="142">
        <v>32.832000000000001</v>
      </c>
      <c r="I43" s="34">
        <v>593750</v>
      </c>
      <c r="J43" s="34">
        <f>Таблица1[[#This Row],[Блок
 Куб]]*Таблица1[[#This Row],[Цена 
Приход]]</f>
        <v>19494000</v>
      </c>
      <c r="K43" s="34">
        <v>19</v>
      </c>
      <c r="L43" s="34">
        <v>130000</v>
      </c>
      <c r="M43" s="34">
        <f>Таблица1[[#This Row],[Поддон
Шт]]*Таблица1[[#This Row],[Цена
Поддон]]</f>
        <v>2470000</v>
      </c>
      <c r="N43" s="34">
        <f>Таблица1[[#This Row],[Сумма 
Приход]]+Таблица1[[#This Row],[Сумма Поддон]]</f>
        <v>21964000</v>
      </c>
      <c r="O43" s="34">
        <v>700000</v>
      </c>
      <c r="P43" s="34">
        <f>Таблица1[[#This Row],[Блок
 Куб]]*Таблица1[[#This Row],[Цена
 Продажа]]</f>
        <v>22982400</v>
      </c>
      <c r="Q43" s="34" t="s">
        <v>240</v>
      </c>
      <c r="R43" s="34">
        <f>Таблица1[[#This Row],[Сумма 
Продажа]]-Таблица1[[#This Row],[Сумма 
Приход]]-Таблица1[[#This Row],[Авто услу ]]</f>
        <v>1488400</v>
      </c>
      <c r="S43" s="34">
        <v>2000000</v>
      </c>
      <c r="T43" s="34">
        <f>Таблица1[[#This Row],[Сумма 
Продажа]]-IF(Таблица1[[#This Row],[Расход 
Авто]]="Клиент",N(Таблица1[[#This Row],[Авто услу ]]),0)</f>
        <v>20982400</v>
      </c>
      <c r="U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" s="265" t="str">
        <f>IFERROR(INDEX(Мижозлар[Агент],MATCH($D43,Мижозлар[Расмий ном],0)),"")</f>
        <v>Темур</v>
      </c>
    </row>
    <row r="44" spans="1:23" ht="14.25" x14ac:dyDescent="0.2">
      <c r="A44" s="21" t="s">
        <v>44</v>
      </c>
      <c r="B44" s="135" t="s">
        <v>22</v>
      </c>
      <c r="C44" s="141" t="s">
        <v>29</v>
      </c>
      <c r="D44" s="141" t="s">
        <v>89</v>
      </c>
      <c r="E44" s="136">
        <v>46209</v>
      </c>
      <c r="F44" s="135" t="s">
        <v>380</v>
      </c>
      <c r="G44" s="34" t="s">
        <v>355</v>
      </c>
      <c r="H44" s="142">
        <v>32.832000000000001</v>
      </c>
      <c r="I44" s="34">
        <v>593750</v>
      </c>
      <c r="J44" s="34">
        <f>Таблица1[[#This Row],[Блок
 Куб]]*Таблица1[[#This Row],[Цена 
Приход]]</f>
        <v>19494000</v>
      </c>
      <c r="K44" s="34">
        <v>19</v>
      </c>
      <c r="L44" s="34">
        <v>130000</v>
      </c>
      <c r="M44" s="34">
        <f>Таблица1[[#This Row],[Поддон
Шт]]*Таблица1[[#This Row],[Цена
Поддон]]</f>
        <v>2470000</v>
      </c>
      <c r="N44" s="34">
        <f>Таблица1[[#This Row],[Сумма 
Приход]]+Таблица1[[#This Row],[Сумма Поддон]]</f>
        <v>21964000</v>
      </c>
      <c r="O44" s="34">
        <v>700000</v>
      </c>
      <c r="P44" s="34">
        <f>Таблица1[[#This Row],[Блок
 Куб]]*Таблица1[[#This Row],[Цена
 Продажа]]</f>
        <v>22982400</v>
      </c>
      <c r="Q44" s="34" t="s">
        <v>240</v>
      </c>
      <c r="R44" s="34">
        <f>Таблица1[[#This Row],[Сумма 
Продажа]]-Таблица1[[#This Row],[Сумма 
Приход]]-Таблица1[[#This Row],[Авто услу ]]</f>
        <v>1488400</v>
      </c>
      <c r="S44" s="34">
        <v>2000000</v>
      </c>
      <c r="T44" s="34">
        <f>Таблица1[[#This Row],[Сумма 
Продажа]]-IF(Таблица1[[#This Row],[Расход 
Авто]]="Клиент",N(Таблица1[[#This Row],[Авто услу ]]),0)</f>
        <v>20982400</v>
      </c>
      <c r="U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" s="265" t="str">
        <f>IFERROR(INDEX(Мижозлар[Агент],MATCH($D44,Мижозлар[Расмий ном],0)),"")</f>
        <v>Зафар ога</v>
      </c>
    </row>
    <row r="45" spans="1:23" ht="14.25" x14ac:dyDescent="0.2">
      <c r="A45" s="21" t="s">
        <v>44</v>
      </c>
      <c r="B45" s="135" t="s">
        <v>22</v>
      </c>
      <c r="C45" s="141" t="s">
        <v>36</v>
      </c>
      <c r="D45" s="141" t="s">
        <v>71</v>
      </c>
      <c r="E45" s="136">
        <v>46209</v>
      </c>
      <c r="F45" s="135" t="s">
        <v>393</v>
      </c>
      <c r="G45" s="34" t="s">
        <v>355</v>
      </c>
      <c r="H45" s="142">
        <v>32.832000000000001</v>
      </c>
      <c r="I45" s="34">
        <v>593750</v>
      </c>
      <c r="J45" s="34">
        <f>Таблица1[[#This Row],[Блок
 Куб]]*Таблица1[[#This Row],[Цена 
Приход]]</f>
        <v>19494000</v>
      </c>
      <c r="K45" s="34">
        <v>19</v>
      </c>
      <c r="L45" s="34">
        <v>130000</v>
      </c>
      <c r="M45" s="34">
        <f>Таблица1[[#This Row],[Поддон
Шт]]*Таблица1[[#This Row],[Цена
Поддон]]</f>
        <v>2470000</v>
      </c>
      <c r="N45" s="34">
        <f>Таблица1[[#This Row],[Сумма 
Приход]]+Таблица1[[#This Row],[Сумма Поддон]]</f>
        <v>21964000</v>
      </c>
      <c r="O45" s="34">
        <v>700000</v>
      </c>
      <c r="P45" s="34">
        <f>Таблица1[[#This Row],[Блок
 Куб]]*Таблица1[[#This Row],[Цена
 Продажа]]</f>
        <v>22982400</v>
      </c>
      <c r="Q45" s="34" t="s">
        <v>240</v>
      </c>
      <c r="R45" s="34">
        <f>Таблица1[[#This Row],[Сумма 
Продажа]]-Таблица1[[#This Row],[Сумма 
Приход]]-Таблица1[[#This Row],[Авто услу ]]</f>
        <v>1488400</v>
      </c>
      <c r="S45" s="34">
        <v>2000000</v>
      </c>
      <c r="T45" s="34">
        <f>Таблица1[[#This Row],[Сумма 
Продажа]]-IF(Таблица1[[#This Row],[Расход 
Авто]]="Клиент",N(Таблица1[[#This Row],[Авто услу ]]),0)</f>
        <v>20982400</v>
      </c>
      <c r="U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" s="265" t="str">
        <f>IFERROR(INDEX(Мижозлар[Агент],MATCH($D45,Мижозлар[Расмий ном],0)),"")</f>
        <v>Темур</v>
      </c>
    </row>
    <row r="46" spans="1:23" ht="14.25" x14ac:dyDescent="0.2">
      <c r="A46" s="21" t="s">
        <v>44</v>
      </c>
      <c r="B46" s="135" t="s">
        <v>22</v>
      </c>
      <c r="C46" s="141" t="s">
        <v>21</v>
      </c>
      <c r="D46" s="141" t="s">
        <v>116</v>
      </c>
      <c r="E46" s="144">
        <v>46209</v>
      </c>
      <c r="F46" s="141" t="s">
        <v>394</v>
      </c>
      <c r="G46" s="34" t="s">
        <v>395</v>
      </c>
      <c r="H46" s="142">
        <v>23.4</v>
      </c>
      <c r="I46" s="34">
        <v>593750</v>
      </c>
      <c r="J46" s="34">
        <f>Таблица1[[#This Row],[Блок
 Куб]]*Таблица1[[#This Row],[Цена 
Приход]]</f>
        <v>13893750</v>
      </c>
      <c r="K46" s="34">
        <v>13</v>
      </c>
      <c r="L46" s="34">
        <v>130000</v>
      </c>
      <c r="M46" s="34">
        <f>Таблица1[[#This Row],[Поддон
Шт]]*Таблица1[[#This Row],[Цена
Поддон]]</f>
        <v>1690000</v>
      </c>
      <c r="N46" s="34">
        <f>Таблица1[[#This Row],[Сумма 
Приход]]+Таблица1[[#This Row],[Сумма Поддон]]</f>
        <v>15583750</v>
      </c>
      <c r="O46" s="34">
        <v>700000</v>
      </c>
      <c r="P46" s="34">
        <f>Таблица1[[#This Row],[Блок
 Куб]]*Таблица1[[#This Row],[Цена
 Продажа]]</f>
        <v>16379999.999999998</v>
      </c>
      <c r="Q46" s="34" t="s">
        <v>356</v>
      </c>
      <c r="R46" s="34">
        <f>Таблица1[[#This Row],[Сумма 
Продажа]]-Таблица1[[#This Row],[Сумма 
Приход]]-Таблица1[[#This Row],[Авто услу ]]</f>
        <v>1486249.9999999981</v>
      </c>
      <c r="S46" s="34">
        <v>1000000</v>
      </c>
      <c r="T46" s="34">
        <f>Таблица1[[#This Row],[Сумма 
Продажа]]-IF(Таблица1[[#This Row],[Расход 
Авто]]="Клиент",N(Таблица1[[#This Row],[Авто услу ]]),0)</f>
        <v>16379999.999999998</v>
      </c>
      <c r="U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" s="265" t="str">
        <f>IFERROR(INDEX(Мижозлар[Агент],MATCH($D46,Мижозлар[Расмий ном],0)),"")</f>
        <v>Арслон ога</v>
      </c>
    </row>
    <row r="47" spans="1:23" ht="14.25" x14ac:dyDescent="0.2">
      <c r="A47" s="21" t="s">
        <v>44</v>
      </c>
      <c r="B47" s="135" t="s">
        <v>22</v>
      </c>
      <c r="C47" s="141" t="s">
        <v>21</v>
      </c>
      <c r="D47" s="141" t="s">
        <v>116</v>
      </c>
      <c r="E47" s="144">
        <v>46209</v>
      </c>
      <c r="F47" s="141" t="s">
        <v>394</v>
      </c>
      <c r="G47" s="34" t="s">
        <v>355</v>
      </c>
      <c r="H47" s="142">
        <v>10.368</v>
      </c>
      <c r="I47" s="34">
        <v>593750</v>
      </c>
      <c r="J47" s="34">
        <f>Таблица1[[#This Row],[Блок
 Куб]]*Таблица1[[#This Row],[Цена 
Приход]]</f>
        <v>6156000</v>
      </c>
      <c r="K47" s="34">
        <v>6</v>
      </c>
      <c r="L47" s="34">
        <v>130000</v>
      </c>
      <c r="M47" s="34">
        <f>Таблица1[[#This Row],[Поддон
Шт]]*Таблица1[[#This Row],[Цена
Поддон]]</f>
        <v>780000</v>
      </c>
      <c r="N47" s="34">
        <f>Таблица1[[#This Row],[Сумма 
Приход]]+Таблица1[[#This Row],[Сумма Поддон]]</f>
        <v>6936000</v>
      </c>
      <c r="O47" s="34">
        <v>700000</v>
      </c>
      <c r="P47" s="34">
        <f>Таблица1[[#This Row],[Блок
 Куб]]*Таблица1[[#This Row],[Цена
 Продажа]]</f>
        <v>7257600</v>
      </c>
      <c r="Q47" s="34" t="s">
        <v>356</v>
      </c>
      <c r="R47" s="34">
        <f>Таблица1[[#This Row],[Сумма 
Продажа]]-Таблица1[[#This Row],[Сумма 
Приход]]-Таблица1[[#This Row],[Авто услу ]]</f>
        <v>101600</v>
      </c>
      <c r="S47" s="34">
        <v>1000000</v>
      </c>
      <c r="T47" s="34">
        <f>Таблица1[[#This Row],[Сумма 
Продажа]]-IF(Таблица1[[#This Row],[Расход 
Авто]]="Клиент",N(Таблица1[[#This Row],[Авто услу ]]),0)</f>
        <v>7257600</v>
      </c>
      <c r="U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" s="265" t="str">
        <f>IFERROR(INDEX(Мижозлар[Агент],MATCH($D47,Мижозлар[Расмий ном],0)),"")</f>
        <v>Арслон ога</v>
      </c>
    </row>
    <row r="48" spans="1:23" ht="14.25" x14ac:dyDescent="0.2">
      <c r="A48" s="21" t="s">
        <v>44</v>
      </c>
      <c r="B48" s="135" t="s">
        <v>22</v>
      </c>
      <c r="C48" s="141" t="s">
        <v>29</v>
      </c>
      <c r="D48" s="141" t="s">
        <v>98</v>
      </c>
      <c r="E48" s="136">
        <v>46209</v>
      </c>
      <c r="F48" s="135" t="s">
        <v>396</v>
      </c>
      <c r="G48" s="34" t="s">
        <v>355</v>
      </c>
      <c r="H48" s="142">
        <v>32.832000000000001</v>
      </c>
      <c r="I48" s="34">
        <v>593750</v>
      </c>
      <c r="J48" s="34">
        <f>Таблица1[[#This Row],[Блок
 Куб]]*Таблица1[[#This Row],[Цена 
Приход]]</f>
        <v>19494000</v>
      </c>
      <c r="K48" s="34">
        <v>19</v>
      </c>
      <c r="L48" s="34">
        <v>130000</v>
      </c>
      <c r="M48" s="34">
        <f>Таблица1[[#This Row],[Поддон
Шт]]*Таблица1[[#This Row],[Цена
Поддон]]</f>
        <v>2470000</v>
      </c>
      <c r="N48" s="34">
        <f>Таблица1[[#This Row],[Сумма 
Приход]]+Таблица1[[#This Row],[Сумма Поддон]]</f>
        <v>21964000</v>
      </c>
      <c r="O48" s="34">
        <v>700000</v>
      </c>
      <c r="P48" s="34">
        <f>Таблица1[[#This Row],[Блок
 Куб]]*Таблица1[[#This Row],[Цена
 Продажа]]</f>
        <v>22982400</v>
      </c>
      <c r="Q48" s="34" t="s">
        <v>240</v>
      </c>
      <c r="R48" s="34">
        <f>Таблица1[[#This Row],[Сумма 
Продажа]]-Таблица1[[#This Row],[Сумма 
Приход]]-Таблица1[[#This Row],[Авто услу ]]</f>
        <v>1488400</v>
      </c>
      <c r="S48" s="34">
        <v>2000000</v>
      </c>
      <c r="T48" s="34">
        <f>Таблица1[[#This Row],[Сумма 
Продажа]]-IF(Таблица1[[#This Row],[Расход 
Авто]]="Клиент",N(Таблица1[[#This Row],[Авто услу ]]),0)</f>
        <v>20982400</v>
      </c>
      <c r="U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" s="265" t="str">
        <f>IFERROR(INDEX(Мижозлар[Агент],MATCH($D48,Мижозлар[Расмий ном],0)),"")</f>
        <v>Зафар ога</v>
      </c>
    </row>
    <row r="49" spans="1:23" ht="14.25" x14ac:dyDescent="0.2">
      <c r="A49" s="21" t="s">
        <v>44</v>
      </c>
      <c r="B49" s="135" t="s">
        <v>22</v>
      </c>
      <c r="C49" s="141" t="s">
        <v>36</v>
      </c>
      <c r="D49" s="141" t="s">
        <v>45</v>
      </c>
      <c r="E49" s="136">
        <v>46209</v>
      </c>
      <c r="F49" s="135" t="s">
        <v>397</v>
      </c>
      <c r="G49" s="34" t="s">
        <v>368</v>
      </c>
      <c r="H49" s="142">
        <v>32.832000000000001</v>
      </c>
      <c r="I49" s="34">
        <v>593750</v>
      </c>
      <c r="J49" s="34">
        <f>Таблица1[[#This Row],[Блок
 Куб]]*Таблица1[[#This Row],[Цена 
Приход]]</f>
        <v>19494000</v>
      </c>
      <c r="K49" s="34">
        <v>19</v>
      </c>
      <c r="L49" s="34">
        <v>130000</v>
      </c>
      <c r="M49" s="34">
        <f>Таблица1[[#This Row],[Поддон
Шт]]*Таблица1[[#This Row],[Цена
Поддон]]</f>
        <v>2470000</v>
      </c>
      <c r="N49" s="34">
        <f>Таблица1[[#This Row],[Сумма 
Приход]]+Таблица1[[#This Row],[Сумма Поддон]]</f>
        <v>21964000</v>
      </c>
      <c r="O49" s="34">
        <v>700000</v>
      </c>
      <c r="P49" s="34">
        <f>Таблица1[[#This Row],[Блок
 Куб]]*Таблица1[[#This Row],[Цена
 Продажа]]</f>
        <v>22982400</v>
      </c>
      <c r="Q49" s="34" t="s">
        <v>240</v>
      </c>
      <c r="R49" s="34">
        <f>Таблица1[[#This Row],[Сумма 
Продажа]]-Таблица1[[#This Row],[Сумма 
Приход]]-Таблица1[[#This Row],[Авто услу ]]</f>
        <v>1488400</v>
      </c>
      <c r="S49" s="34">
        <v>2000000</v>
      </c>
      <c r="T49" s="34">
        <f>Таблица1[[#This Row],[Сумма 
Продажа]]-IF(Таблица1[[#This Row],[Расход 
Авто]]="Клиент",N(Таблица1[[#This Row],[Авто услу ]]),0)</f>
        <v>20982400</v>
      </c>
      <c r="U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" s="265" t="str">
        <f>IFERROR(INDEX(Мижозлар[Агент],MATCH($D49,Мижозлар[Расмий ном],0)),"")</f>
        <v>Темур</v>
      </c>
    </row>
    <row r="50" spans="1:23" ht="14.25" x14ac:dyDescent="0.2">
      <c r="A50" s="21" t="s">
        <v>44</v>
      </c>
      <c r="B50" s="135" t="s">
        <v>22</v>
      </c>
      <c r="C50" s="141" t="s">
        <v>36</v>
      </c>
      <c r="D50" s="141" t="s">
        <v>45</v>
      </c>
      <c r="E50" s="136">
        <v>46210</v>
      </c>
      <c r="F50" s="135" t="s">
        <v>398</v>
      </c>
      <c r="G50" s="34" t="s">
        <v>368</v>
      </c>
      <c r="H50" s="142">
        <v>32.832000000000001</v>
      </c>
      <c r="I50" s="34">
        <v>593750</v>
      </c>
      <c r="J50" s="34">
        <f>Таблица1[[#This Row],[Блок
 Куб]]*Таблица1[[#This Row],[Цена 
Приход]]</f>
        <v>19494000</v>
      </c>
      <c r="K50" s="34">
        <v>19</v>
      </c>
      <c r="L50" s="34">
        <v>130000</v>
      </c>
      <c r="M50" s="34">
        <f>Таблица1[[#This Row],[Поддон
Шт]]*Таблица1[[#This Row],[Цена
Поддон]]</f>
        <v>2470000</v>
      </c>
      <c r="N50" s="34">
        <f>Таблица1[[#This Row],[Сумма 
Приход]]+Таблица1[[#This Row],[Сумма Поддон]]</f>
        <v>21964000</v>
      </c>
      <c r="O50" s="34">
        <v>700000</v>
      </c>
      <c r="P50" s="34">
        <f>Таблица1[[#This Row],[Блок
 Куб]]*Таблица1[[#This Row],[Цена
 Продажа]]</f>
        <v>22982400</v>
      </c>
      <c r="Q50" s="34" t="s">
        <v>240</v>
      </c>
      <c r="R50" s="34">
        <f>Таблица1[[#This Row],[Сумма 
Продажа]]-Таблица1[[#This Row],[Сумма 
Приход]]-Таблица1[[#This Row],[Авто услу ]]</f>
        <v>1488400</v>
      </c>
      <c r="S50" s="34">
        <v>2000000</v>
      </c>
      <c r="T50" s="34">
        <f>Таблица1[[#This Row],[Сумма 
Продажа]]-IF(Таблица1[[#This Row],[Расход 
Авто]]="Клиент",N(Таблица1[[#This Row],[Авто услу ]]),0)</f>
        <v>20982400</v>
      </c>
      <c r="U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" s="265" t="str">
        <f>IFERROR(INDEX(Мижозлар[Агент],MATCH($D50,Мижозлар[Расмий ном],0)),"")</f>
        <v>Темур</v>
      </c>
    </row>
    <row r="51" spans="1:23" ht="14.25" x14ac:dyDescent="0.2">
      <c r="A51" s="21" t="s">
        <v>44</v>
      </c>
      <c r="B51" s="135" t="s">
        <v>22</v>
      </c>
      <c r="C51" s="141" t="s">
        <v>29</v>
      </c>
      <c r="D51" s="141" t="s">
        <v>98</v>
      </c>
      <c r="E51" s="136">
        <v>46210</v>
      </c>
      <c r="F51" s="135" t="s">
        <v>399</v>
      </c>
      <c r="G51" s="34" t="s">
        <v>355</v>
      </c>
      <c r="H51" s="142">
        <v>32.832000000000001</v>
      </c>
      <c r="I51" s="34">
        <v>593750</v>
      </c>
      <c r="J51" s="34">
        <f>Таблица1[[#This Row],[Блок
 Куб]]*Таблица1[[#This Row],[Цена 
Приход]]</f>
        <v>19494000</v>
      </c>
      <c r="K51" s="34">
        <v>19</v>
      </c>
      <c r="L51" s="34">
        <v>130000</v>
      </c>
      <c r="M51" s="34">
        <f>Таблица1[[#This Row],[Поддон
Шт]]*Таблица1[[#This Row],[Цена
Поддон]]</f>
        <v>2470000</v>
      </c>
      <c r="N51" s="34">
        <f>Таблица1[[#This Row],[Сумма 
Приход]]+Таблица1[[#This Row],[Сумма Поддон]]</f>
        <v>21964000</v>
      </c>
      <c r="O51" s="34">
        <v>700000</v>
      </c>
      <c r="P51" s="34">
        <f>Таблица1[[#This Row],[Блок
 Куб]]*Таблица1[[#This Row],[Цена
 Продажа]]</f>
        <v>22982400</v>
      </c>
      <c r="Q51" s="34" t="s">
        <v>240</v>
      </c>
      <c r="R51" s="34">
        <f>Таблица1[[#This Row],[Сумма 
Продажа]]-Таблица1[[#This Row],[Сумма 
Приход]]-Таблица1[[#This Row],[Авто услу ]]</f>
        <v>1488400</v>
      </c>
      <c r="S51" s="34">
        <v>2000000</v>
      </c>
      <c r="T51" s="34">
        <f>Таблица1[[#This Row],[Сумма 
Продажа]]-IF(Таблица1[[#This Row],[Расход 
Авто]]="Клиент",N(Таблица1[[#This Row],[Авто услу ]]),0)</f>
        <v>20982400</v>
      </c>
      <c r="U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" s="265" t="str">
        <f>IFERROR(INDEX(Мижозлар[Агент],MATCH($D51,Мижозлар[Расмий ном],0)),"")</f>
        <v>Зафар ога</v>
      </c>
    </row>
    <row r="52" spans="1:23" ht="14.25" x14ac:dyDescent="0.2">
      <c r="A52" s="21" t="s">
        <v>44</v>
      </c>
      <c r="B52" s="135" t="s">
        <v>22</v>
      </c>
      <c r="C52" s="141" t="s">
        <v>29</v>
      </c>
      <c r="D52" s="141" t="s">
        <v>98</v>
      </c>
      <c r="E52" s="136">
        <v>46210</v>
      </c>
      <c r="F52" s="135" t="s">
        <v>380</v>
      </c>
      <c r="G52" s="34" t="s">
        <v>355</v>
      </c>
      <c r="H52" s="142">
        <v>32.832000000000001</v>
      </c>
      <c r="I52" s="34">
        <v>593750</v>
      </c>
      <c r="J52" s="34">
        <f>Таблица1[[#This Row],[Блок
 Куб]]*Таблица1[[#This Row],[Цена 
Приход]]</f>
        <v>19494000</v>
      </c>
      <c r="K52" s="34">
        <v>19</v>
      </c>
      <c r="L52" s="34">
        <v>130000</v>
      </c>
      <c r="M52" s="34">
        <f>Таблица1[[#This Row],[Поддон
Шт]]*Таблица1[[#This Row],[Цена
Поддон]]</f>
        <v>2470000</v>
      </c>
      <c r="N52" s="34">
        <f>Таблица1[[#This Row],[Сумма 
Приход]]+Таблица1[[#This Row],[Сумма Поддон]]</f>
        <v>21964000</v>
      </c>
      <c r="O52" s="34">
        <v>700000</v>
      </c>
      <c r="P52" s="34">
        <f>Таблица1[[#This Row],[Блок
 Куб]]*Таблица1[[#This Row],[Цена
 Продажа]]</f>
        <v>22982400</v>
      </c>
      <c r="Q52" s="34" t="s">
        <v>240</v>
      </c>
      <c r="R52" s="34">
        <f>Таблица1[[#This Row],[Сумма 
Продажа]]-Таблица1[[#This Row],[Сумма 
Приход]]-Таблица1[[#This Row],[Авто услу ]]</f>
        <v>988400</v>
      </c>
      <c r="S52" s="34">
        <v>2500000</v>
      </c>
      <c r="T52" s="34">
        <f>Таблица1[[#This Row],[Сумма 
Продажа]]-IF(Таблица1[[#This Row],[Расход 
Авто]]="Клиент",N(Таблица1[[#This Row],[Авто услу ]]),0)</f>
        <v>20482400</v>
      </c>
      <c r="U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" s="265" t="str">
        <f>IFERROR(INDEX(Мижозлар[Агент],MATCH($D52,Мижозлар[Расмий ном],0)),"")</f>
        <v>Зафар ога</v>
      </c>
    </row>
    <row r="53" spans="1:23" ht="14.25" x14ac:dyDescent="0.2">
      <c r="A53" s="21" t="s">
        <v>44</v>
      </c>
      <c r="B53" s="135" t="s">
        <v>22</v>
      </c>
      <c r="C53" s="141" t="s">
        <v>29</v>
      </c>
      <c r="D53" s="141" t="s">
        <v>98</v>
      </c>
      <c r="E53" s="136">
        <v>46210</v>
      </c>
      <c r="F53" s="135" t="s">
        <v>400</v>
      </c>
      <c r="G53" s="34" t="s">
        <v>368</v>
      </c>
      <c r="H53" s="142">
        <v>32.832000000000001</v>
      </c>
      <c r="I53" s="34">
        <v>593750</v>
      </c>
      <c r="J53" s="34">
        <f>Таблица1[[#This Row],[Блок
 Куб]]*Таблица1[[#This Row],[Цена 
Приход]]</f>
        <v>19494000</v>
      </c>
      <c r="K53" s="34">
        <v>19</v>
      </c>
      <c r="L53" s="34">
        <v>130000</v>
      </c>
      <c r="M53" s="34">
        <f>Таблица1[[#This Row],[Поддон
Шт]]*Таблица1[[#This Row],[Цена
Поддон]]</f>
        <v>2470000</v>
      </c>
      <c r="N53" s="34">
        <f>Таблица1[[#This Row],[Сумма 
Приход]]+Таблица1[[#This Row],[Сумма Поддон]]</f>
        <v>21964000</v>
      </c>
      <c r="O53" s="34">
        <v>700000</v>
      </c>
      <c r="P53" s="34">
        <f>Таблица1[[#This Row],[Блок
 Куб]]*Таблица1[[#This Row],[Цена
 Продажа]]</f>
        <v>22982400</v>
      </c>
      <c r="Q53" s="34" t="s">
        <v>240</v>
      </c>
      <c r="R53" s="34">
        <f>Таблица1[[#This Row],[Сумма 
Продажа]]-Таблица1[[#This Row],[Сумма 
Приход]]-Таблица1[[#This Row],[Авто услу ]]</f>
        <v>988400</v>
      </c>
      <c r="S53" s="34">
        <v>2500000</v>
      </c>
      <c r="T53" s="34">
        <f>Таблица1[[#This Row],[Сумма 
Продажа]]-IF(Таблица1[[#This Row],[Расход 
Авто]]="Клиент",N(Таблица1[[#This Row],[Авто услу ]]),0)</f>
        <v>20482400</v>
      </c>
      <c r="U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" s="265" t="str">
        <f>IFERROR(INDEX(Мижозлар[Агент],MATCH($D53,Мижозлар[Расмий ном],0)),"")</f>
        <v>Зафар ога</v>
      </c>
    </row>
    <row r="54" spans="1:23" ht="14.25" x14ac:dyDescent="0.2">
      <c r="A54" s="21" t="s">
        <v>44</v>
      </c>
      <c r="B54" s="135" t="s">
        <v>22</v>
      </c>
      <c r="C54" s="141" t="s">
        <v>32</v>
      </c>
      <c r="D54" s="141" t="s">
        <v>107</v>
      </c>
      <c r="E54" s="136">
        <v>46210</v>
      </c>
      <c r="F54" s="135" t="s">
        <v>401</v>
      </c>
      <c r="G54" s="34" t="s">
        <v>368</v>
      </c>
      <c r="H54" s="142">
        <v>32.832000000000001</v>
      </c>
      <c r="I54" s="34">
        <v>593750</v>
      </c>
      <c r="J54" s="34">
        <f>Таблица1[[#This Row],[Блок
 Куб]]*Таблица1[[#This Row],[Цена 
Приход]]</f>
        <v>19494000</v>
      </c>
      <c r="K54" s="34">
        <v>19</v>
      </c>
      <c r="L54" s="34">
        <v>130000</v>
      </c>
      <c r="M54" s="34">
        <f>Таблица1[[#This Row],[Поддон
Шт]]*Таблица1[[#This Row],[Цена
Поддон]]</f>
        <v>2470000</v>
      </c>
      <c r="N54" s="34">
        <f>Таблица1[[#This Row],[Сумма 
Приход]]+Таблица1[[#This Row],[Сумма Поддон]]</f>
        <v>21964000</v>
      </c>
      <c r="O54" s="34">
        <v>700000</v>
      </c>
      <c r="P54" s="34">
        <f>Таблица1[[#This Row],[Блок
 Куб]]*Таблица1[[#This Row],[Цена
 Продажа]]</f>
        <v>22982400</v>
      </c>
      <c r="Q54" s="34" t="s">
        <v>240</v>
      </c>
      <c r="R54" s="34">
        <f>Таблица1[[#This Row],[Сумма 
Продажа]]-Таблица1[[#This Row],[Сумма 
Приход]]-Таблица1[[#This Row],[Авто услу ]]</f>
        <v>1488400</v>
      </c>
      <c r="S54" s="34">
        <v>2000000</v>
      </c>
      <c r="T54" s="34">
        <f>Таблица1[[#This Row],[Сумма 
Продажа]]-IF(Таблица1[[#This Row],[Расход 
Авто]]="Клиент",N(Таблица1[[#This Row],[Авто услу ]]),0)</f>
        <v>20982400</v>
      </c>
      <c r="U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" s="265" t="str">
        <f>IFERROR(INDEX(Мижозлар[Агент],MATCH($D54,Мижозлар[Расмий ном],0)),"")</f>
        <v>Сардор ога</v>
      </c>
    </row>
    <row r="55" spans="1:23" ht="14.25" x14ac:dyDescent="0.2">
      <c r="A55" s="21" t="s">
        <v>44</v>
      </c>
      <c r="B55" s="135" t="s">
        <v>22</v>
      </c>
      <c r="C55" s="141" t="s">
        <v>40</v>
      </c>
      <c r="D55" s="141" t="s">
        <v>109</v>
      </c>
      <c r="E55" s="136">
        <v>46210</v>
      </c>
      <c r="F55" s="135" t="s">
        <v>402</v>
      </c>
      <c r="G55" s="34" t="s">
        <v>403</v>
      </c>
      <c r="H55" s="142">
        <v>32.832000000000001</v>
      </c>
      <c r="I55" s="34">
        <v>563750</v>
      </c>
      <c r="J55" s="34">
        <f>Таблица1[[#This Row],[Блок
 Куб]]*Таблица1[[#This Row],[Цена 
Приход]]</f>
        <v>18509040</v>
      </c>
      <c r="K55" s="34">
        <v>19</v>
      </c>
      <c r="L55" s="34">
        <v>130000</v>
      </c>
      <c r="M55" s="34">
        <f>Таблица1[[#This Row],[Поддон
Шт]]*Таблица1[[#This Row],[Цена
Поддон]]</f>
        <v>2470000</v>
      </c>
      <c r="N55" s="34">
        <f>Таблица1[[#This Row],[Сумма 
Приход]]+Таблица1[[#This Row],[Сумма Поддон]]</f>
        <v>20979040</v>
      </c>
      <c r="O55" s="34">
        <v>700000</v>
      </c>
      <c r="P55" s="34">
        <f>Таблица1[[#This Row],[Блок
 Куб]]*Таблица1[[#This Row],[Цена
 Продажа]]</f>
        <v>22982400</v>
      </c>
      <c r="Q55" s="34" t="s">
        <v>240</v>
      </c>
      <c r="R55" s="34">
        <f>Таблица1[[#This Row],[Сумма 
Продажа]]-Таблица1[[#This Row],[Сумма 
Приход]]-Таблица1[[#This Row],[Авто услу ]]</f>
        <v>2473360</v>
      </c>
      <c r="S55" s="34">
        <v>2000000</v>
      </c>
      <c r="T55" s="34">
        <f>Таблица1[[#This Row],[Сумма 
Продажа]]-IF(Таблица1[[#This Row],[Расход 
Авто]]="Клиент",N(Таблица1[[#This Row],[Авто услу ]]),0)</f>
        <v>20982400</v>
      </c>
      <c r="U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" s="265" t="str">
        <f>IFERROR(INDEX(Мижозлар[Агент],MATCH($D55,Мижозлар[Расмий ном],0)),"")</f>
        <v>Шохрух ога</v>
      </c>
    </row>
    <row r="56" spans="1:23" ht="14.25" x14ac:dyDescent="0.2">
      <c r="A56" s="21" t="s">
        <v>44</v>
      </c>
      <c r="B56" s="135" t="s">
        <v>22</v>
      </c>
      <c r="C56" s="141" t="s">
        <v>32</v>
      </c>
      <c r="D56" s="141" t="s">
        <v>85</v>
      </c>
      <c r="E56" s="136">
        <v>46210</v>
      </c>
      <c r="F56" s="135" t="s">
        <v>404</v>
      </c>
      <c r="G56" s="34" t="s">
        <v>368</v>
      </c>
      <c r="H56" s="142">
        <v>32.832000000000001</v>
      </c>
      <c r="I56" s="34">
        <v>593750</v>
      </c>
      <c r="J56" s="34">
        <f>Таблица1[[#This Row],[Блок
 Куб]]*Таблица1[[#This Row],[Цена 
Приход]]</f>
        <v>19494000</v>
      </c>
      <c r="K56" s="34">
        <v>19</v>
      </c>
      <c r="L56" s="34">
        <v>130000</v>
      </c>
      <c r="M56" s="34">
        <f>Таблица1[[#This Row],[Поддон
Шт]]*Таблица1[[#This Row],[Цена
Поддон]]</f>
        <v>2470000</v>
      </c>
      <c r="N56" s="34">
        <f>Таблица1[[#This Row],[Сумма 
Приход]]+Таблица1[[#This Row],[Сумма Поддон]]</f>
        <v>21964000</v>
      </c>
      <c r="O56" s="34">
        <v>700000</v>
      </c>
      <c r="P56" s="34">
        <f>Таблица1[[#This Row],[Блок
 Куб]]*Таблица1[[#This Row],[Цена
 Продажа]]</f>
        <v>22982400</v>
      </c>
      <c r="Q56" s="34" t="s">
        <v>240</v>
      </c>
      <c r="R56" s="34">
        <f>Таблица1[[#This Row],[Сумма 
Продажа]]-Таблица1[[#This Row],[Сумма 
Приход]]-Таблица1[[#This Row],[Авто услу ]]</f>
        <v>1288400</v>
      </c>
      <c r="S56" s="34">
        <v>2200000</v>
      </c>
      <c r="T56" s="34">
        <f>Таблица1[[#This Row],[Сумма 
Продажа]]-IF(Таблица1[[#This Row],[Расход 
Авто]]="Клиент",N(Таблица1[[#This Row],[Авто услу ]]),0)</f>
        <v>20782400</v>
      </c>
      <c r="U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" s="265" t="str">
        <f>IFERROR(INDEX(Мижозлар[Агент],MATCH($D56,Мижозлар[Расмий ном],0)),"")</f>
        <v>Сардор ога</v>
      </c>
    </row>
    <row r="57" spans="1:23" ht="14.25" x14ac:dyDescent="0.2">
      <c r="A57" s="21" t="s">
        <v>44</v>
      </c>
      <c r="B57" s="135" t="s">
        <v>22</v>
      </c>
      <c r="C57" s="141" t="s">
        <v>32</v>
      </c>
      <c r="D57" s="141" t="s">
        <v>107</v>
      </c>
      <c r="E57" s="136">
        <v>46211</v>
      </c>
      <c r="F57" s="135" t="s">
        <v>405</v>
      </c>
      <c r="G57" s="34" t="s">
        <v>355</v>
      </c>
      <c r="H57" s="142">
        <v>32.832000000000001</v>
      </c>
      <c r="I57" s="34">
        <v>593750</v>
      </c>
      <c r="J57" s="34">
        <f>Таблица1[[#This Row],[Блок
 Куб]]*Таблица1[[#This Row],[Цена 
Приход]]</f>
        <v>19494000</v>
      </c>
      <c r="K57" s="34">
        <v>19</v>
      </c>
      <c r="L57" s="34">
        <v>130000</v>
      </c>
      <c r="M57" s="34">
        <f>Таблица1[[#This Row],[Поддон
Шт]]*Таблица1[[#This Row],[Цена
Поддон]]</f>
        <v>2470000</v>
      </c>
      <c r="N57" s="34">
        <f>Таблица1[[#This Row],[Сумма 
Приход]]+Таблица1[[#This Row],[Сумма Поддон]]</f>
        <v>21964000</v>
      </c>
      <c r="O57" s="34">
        <v>700000</v>
      </c>
      <c r="P57" s="34">
        <f>Таблица1[[#This Row],[Блок
 Куб]]*Таблица1[[#This Row],[Цена
 Продажа]]</f>
        <v>22982400</v>
      </c>
      <c r="Q57" s="34" t="s">
        <v>240</v>
      </c>
      <c r="R57" s="34">
        <f>Таблица1[[#This Row],[Сумма 
Продажа]]-Таблица1[[#This Row],[Сумма 
Приход]]-Таблица1[[#This Row],[Авто услу ]]</f>
        <v>1488400</v>
      </c>
      <c r="S57" s="34">
        <v>2000000</v>
      </c>
      <c r="T57" s="34">
        <f>Таблица1[[#This Row],[Сумма 
Продажа]]-IF(Таблица1[[#This Row],[Расход 
Авто]]="Клиент",N(Таблица1[[#This Row],[Авто услу ]]),0)</f>
        <v>20982400</v>
      </c>
      <c r="U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" s="265" t="str">
        <f>IFERROR(INDEX(Мижозлар[Агент],MATCH($D57,Мижозлар[Расмий ном],0)),"")</f>
        <v>Сардор ога</v>
      </c>
    </row>
    <row r="58" spans="1:23" ht="14.25" x14ac:dyDescent="0.2">
      <c r="A58" s="21" t="s">
        <v>44</v>
      </c>
      <c r="B58" s="135" t="s">
        <v>22</v>
      </c>
      <c r="C58" s="141" t="s">
        <v>36</v>
      </c>
      <c r="D58" s="141" t="s">
        <v>45</v>
      </c>
      <c r="E58" s="136">
        <v>46211</v>
      </c>
      <c r="F58" s="135" t="s">
        <v>406</v>
      </c>
      <c r="G58" s="34" t="s">
        <v>355</v>
      </c>
      <c r="H58" s="142">
        <v>32.832000000000001</v>
      </c>
      <c r="I58" s="34">
        <v>593750</v>
      </c>
      <c r="J58" s="34">
        <f>Таблица1[[#This Row],[Блок
 Куб]]*Таблица1[[#This Row],[Цена 
Приход]]</f>
        <v>19494000</v>
      </c>
      <c r="K58" s="34">
        <v>19</v>
      </c>
      <c r="L58" s="34">
        <v>130000</v>
      </c>
      <c r="M58" s="34">
        <f>Таблица1[[#This Row],[Поддон
Шт]]*Таблица1[[#This Row],[Цена
Поддон]]</f>
        <v>2470000</v>
      </c>
      <c r="N58" s="34">
        <f>Таблица1[[#This Row],[Сумма 
Приход]]+Таблица1[[#This Row],[Сумма Поддон]]</f>
        <v>21964000</v>
      </c>
      <c r="O58" s="34">
        <v>700000</v>
      </c>
      <c r="P58" s="34">
        <f>Таблица1[[#This Row],[Блок
 Куб]]*Таблица1[[#This Row],[Цена
 Продажа]]</f>
        <v>22982400</v>
      </c>
      <c r="Q58" s="34" t="s">
        <v>240</v>
      </c>
      <c r="R58" s="34">
        <f>Таблица1[[#This Row],[Сумма 
Продажа]]-Таблица1[[#This Row],[Сумма 
Приход]]-Таблица1[[#This Row],[Авто услу ]]</f>
        <v>1488400</v>
      </c>
      <c r="S58" s="34">
        <v>2000000</v>
      </c>
      <c r="T58" s="34">
        <f>Таблица1[[#This Row],[Сумма 
Продажа]]-IF(Таблица1[[#This Row],[Расход 
Авто]]="Клиент",N(Таблица1[[#This Row],[Авто услу ]]),0)</f>
        <v>20982400</v>
      </c>
      <c r="U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" s="265" t="str">
        <f>IFERROR(INDEX(Мижозлар[Агент],MATCH($D58,Мижозлар[Расмий ном],0)),"")</f>
        <v>Темур</v>
      </c>
    </row>
    <row r="59" spans="1:23" ht="14.25" x14ac:dyDescent="0.2">
      <c r="A59" s="21" t="s">
        <v>44</v>
      </c>
      <c r="B59" s="135" t="s">
        <v>22</v>
      </c>
      <c r="C59" s="141" t="s">
        <v>29</v>
      </c>
      <c r="D59" s="141" t="s">
        <v>98</v>
      </c>
      <c r="E59" s="136">
        <v>46211</v>
      </c>
      <c r="F59" s="135" t="s">
        <v>407</v>
      </c>
      <c r="G59" s="34" t="s">
        <v>355</v>
      </c>
      <c r="H59" s="142">
        <v>32.832000000000001</v>
      </c>
      <c r="I59" s="34">
        <v>593750</v>
      </c>
      <c r="J59" s="34">
        <f>Таблица1[[#This Row],[Блок
 Куб]]*Таблица1[[#This Row],[Цена 
Приход]]</f>
        <v>19494000</v>
      </c>
      <c r="K59" s="34">
        <v>19</v>
      </c>
      <c r="L59" s="34">
        <v>130000</v>
      </c>
      <c r="M59" s="34">
        <f>Таблица1[[#This Row],[Поддон
Шт]]*Таблица1[[#This Row],[Цена
Поддон]]</f>
        <v>2470000</v>
      </c>
      <c r="N59" s="34">
        <f>Таблица1[[#This Row],[Сумма 
Приход]]+Таблица1[[#This Row],[Сумма Поддон]]</f>
        <v>21964000</v>
      </c>
      <c r="O59" s="34">
        <v>700000</v>
      </c>
      <c r="P59" s="34">
        <f>Таблица1[[#This Row],[Блок
 Куб]]*Таблица1[[#This Row],[Цена
 Продажа]]</f>
        <v>22982400</v>
      </c>
      <c r="Q59" s="34" t="s">
        <v>240</v>
      </c>
      <c r="R59" s="34">
        <f>Таблица1[[#This Row],[Сумма 
Продажа]]-Таблица1[[#This Row],[Сумма 
Приход]]-Таблица1[[#This Row],[Авто услу ]]</f>
        <v>988400</v>
      </c>
      <c r="S59" s="34">
        <v>2500000</v>
      </c>
      <c r="T59" s="34">
        <f>Таблица1[[#This Row],[Сумма 
Продажа]]-IF(Таблица1[[#This Row],[Расход 
Авто]]="Клиент",N(Таблица1[[#This Row],[Авто услу ]]),0)</f>
        <v>20482400</v>
      </c>
      <c r="U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" s="265" t="str">
        <f>IFERROR(INDEX(Мижозлар[Агент],MATCH($D59,Мижозлар[Расмий ном],0)),"")</f>
        <v>Зафар ога</v>
      </c>
    </row>
    <row r="60" spans="1:23" ht="14.25" x14ac:dyDescent="0.2">
      <c r="A60" s="21" t="s">
        <v>41</v>
      </c>
      <c r="B60" s="135" t="s">
        <v>22</v>
      </c>
      <c r="C60" s="141" t="s">
        <v>21</v>
      </c>
      <c r="D60" s="141" t="s">
        <v>76</v>
      </c>
      <c r="E60" s="144">
        <v>46211</v>
      </c>
      <c r="F60" s="141" t="s">
        <v>359</v>
      </c>
      <c r="G60" s="34" t="s">
        <v>355</v>
      </c>
      <c r="H60" s="142">
        <v>34.56</v>
      </c>
      <c r="I60" s="34">
        <v>517750</v>
      </c>
      <c r="J60" s="34">
        <f>Таблица1[[#This Row],[Блок
 Куб]]*Таблица1[[#This Row],[Цена 
Приход]]</f>
        <v>17893440</v>
      </c>
      <c r="K60" s="34">
        <v>20</v>
      </c>
      <c r="L60" s="34">
        <v>130000</v>
      </c>
      <c r="M60" s="34">
        <f>Таблица1[[#This Row],[Поддон
Шт]]*Таблица1[[#This Row],[Цена
Поддон]]</f>
        <v>2600000</v>
      </c>
      <c r="N60" s="34">
        <f>Таблица1[[#This Row],[Сумма 
Приход]]+Таблица1[[#This Row],[Сумма Поддон]]</f>
        <v>20493440</v>
      </c>
      <c r="O60" s="34">
        <v>700000</v>
      </c>
      <c r="P60" s="34">
        <f>Таблица1[[#This Row],[Блок
 Куб]]*Таблица1[[#This Row],[Цена
 Продажа]]</f>
        <v>24192000</v>
      </c>
      <c r="Q60" s="34" t="s">
        <v>240</v>
      </c>
      <c r="R60" s="34">
        <f>Таблица1[[#This Row],[Сумма 
Продажа]]-Таблица1[[#This Row],[Сумма 
Приход]]-Таблица1[[#This Row],[Авто услу ]]</f>
        <v>4298560</v>
      </c>
      <c r="S60" s="34">
        <v>2000000</v>
      </c>
      <c r="T60" s="34">
        <f>Таблица1[[#This Row],[Сумма 
Продажа]]-IF(Таблица1[[#This Row],[Расход 
Авто]]="Клиент",N(Таблица1[[#This Row],[Авто услу ]]),0)</f>
        <v>22192000</v>
      </c>
      <c r="U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" s="265" t="str">
        <f>IFERROR(INDEX(Мижозлар[Агент],MATCH($D60,Мижозлар[Расмий ном],0)),"")</f>
        <v>Арслон ога</v>
      </c>
    </row>
    <row r="61" spans="1:23" ht="14.25" x14ac:dyDescent="0.2">
      <c r="A61" s="21" t="s">
        <v>44</v>
      </c>
      <c r="B61" s="135" t="s">
        <v>22</v>
      </c>
      <c r="C61" s="141" t="s">
        <v>36</v>
      </c>
      <c r="D61" s="141" t="s">
        <v>82</v>
      </c>
      <c r="E61" s="136">
        <v>46212</v>
      </c>
      <c r="F61" s="135" t="s">
        <v>391</v>
      </c>
      <c r="G61" s="34" t="s">
        <v>368</v>
      </c>
      <c r="H61" s="142">
        <v>32.832000000000001</v>
      </c>
      <c r="I61" s="34">
        <v>593750</v>
      </c>
      <c r="J61" s="34">
        <f>Таблица1[[#This Row],[Блок
 Куб]]*Таблица1[[#This Row],[Цена 
Приход]]</f>
        <v>19494000</v>
      </c>
      <c r="K61" s="34">
        <v>19</v>
      </c>
      <c r="L61" s="34">
        <v>130000</v>
      </c>
      <c r="M61" s="34">
        <f>Таблица1[[#This Row],[Поддон
Шт]]*Таблица1[[#This Row],[Цена
Поддон]]</f>
        <v>2470000</v>
      </c>
      <c r="N61" s="34">
        <f>Таблица1[[#This Row],[Сумма 
Приход]]+Таблица1[[#This Row],[Сумма Поддон]]</f>
        <v>21964000</v>
      </c>
      <c r="O61" s="34">
        <v>700000</v>
      </c>
      <c r="P61" s="34">
        <f>Таблица1[[#This Row],[Блок
 Куб]]*Таблица1[[#This Row],[Цена
 Продажа]]</f>
        <v>22982400</v>
      </c>
      <c r="Q61" s="34" t="s">
        <v>240</v>
      </c>
      <c r="R61" s="34">
        <f>Таблица1[[#This Row],[Сумма 
Продажа]]-Таблица1[[#This Row],[Сумма 
Приход]]-Таблица1[[#This Row],[Авто услу ]]</f>
        <v>1488400</v>
      </c>
      <c r="S61" s="34">
        <v>2000000</v>
      </c>
      <c r="T61" s="34">
        <f>Таблица1[[#This Row],[Сумма 
Продажа]]-IF(Таблица1[[#This Row],[Расход 
Авто]]="Клиент",N(Таблица1[[#This Row],[Авто услу ]]),0)</f>
        <v>20982400</v>
      </c>
      <c r="U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" s="265" t="str">
        <f>IFERROR(INDEX(Мижозлар[Агент],MATCH($D61,Мижозлар[Расмий ном],0)),"")</f>
        <v>Темур</v>
      </c>
    </row>
    <row r="62" spans="1:23" ht="14.25" x14ac:dyDescent="0.2">
      <c r="A62" s="21" t="s">
        <v>44</v>
      </c>
      <c r="B62" s="135" t="s">
        <v>22</v>
      </c>
      <c r="C62" s="141" t="s">
        <v>40</v>
      </c>
      <c r="D62" s="141" t="s">
        <v>109</v>
      </c>
      <c r="E62" s="136">
        <v>46212</v>
      </c>
      <c r="F62" s="135" t="s">
        <v>366</v>
      </c>
      <c r="G62" s="34" t="s">
        <v>403</v>
      </c>
      <c r="H62" s="142">
        <v>32.832000000000001</v>
      </c>
      <c r="I62" s="34">
        <v>563750</v>
      </c>
      <c r="J62" s="34">
        <f>Таблица1[[#This Row],[Блок
 Куб]]*Таблица1[[#This Row],[Цена 
Приход]]</f>
        <v>18509040</v>
      </c>
      <c r="K62" s="34">
        <v>19</v>
      </c>
      <c r="L62" s="34">
        <v>130000</v>
      </c>
      <c r="M62" s="34">
        <f>Таблица1[[#This Row],[Поддон
Шт]]*Таблица1[[#This Row],[Цена
Поддон]]</f>
        <v>2470000</v>
      </c>
      <c r="N62" s="34">
        <f>Таблица1[[#This Row],[Сумма 
Приход]]+Таблица1[[#This Row],[Сумма Поддон]]</f>
        <v>20979040</v>
      </c>
      <c r="O62" s="34">
        <v>700000</v>
      </c>
      <c r="P62" s="34">
        <f>Таблица1[[#This Row],[Блок
 Куб]]*Таблица1[[#This Row],[Цена
 Продажа]]</f>
        <v>22982400</v>
      </c>
      <c r="Q62" s="34" t="s">
        <v>240</v>
      </c>
      <c r="R62" s="34">
        <f>Таблица1[[#This Row],[Сумма 
Продажа]]-Таблица1[[#This Row],[Сумма 
Приход]]-Таблица1[[#This Row],[Авто услу ]]</f>
        <v>2273360</v>
      </c>
      <c r="S62" s="34">
        <v>2200000</v>
      </c>
      <c r="T62" s="34">
        <f>Таблица1[[#This Row],[Сумма 
Продажа]]-IF(Таблица1[[#This Row],[Расход 
Авто]]="Клиент",N(Таблица1[[#This Row],[Авто услу ]]),0)</f>
        <v>20782400</v>
      </c>
      <c r="U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" s="265" t="str">
        <f>IFERROR(INDEX(Мижозлар[Агент],MATCH($D62,Мижозлар[Расмий ном],0)),"")</f>
        <v>Шохрух ога</v>
      </c>
    </row>
    <row r="63" spans="1:23" ht="14.25" x14ac:dyDescent="0.2">
      <c r="A63" s="21" t="s">
        <v>44</v>
      </c>
      <c r="B63" s="135" t="s">
        <v>22</v>
      </c>
      <c r="C63" s="141" t="s">
        <v>21</v>
      </c>
      <c r="D63" s="141" t="s">
        <v>116</v>
      </c>
      <c r="E63" s="144">
        <v>46212</v>
      </c>
      <c r="F63" s="141" t="s">
        <v>408</v>
      </c>
      <c r="G63" s="34" t="s">
        <v>368</v>
      </c>
      <c r="H63" s="142">
        <v>32.832000000000001</v>
      </c>
      <c r="I63" s="34">
        <v>593750</v>
      </c>
      <c r="J63" s="34">
        <f>Таблица1[[#This Row],[Блок
 Куб]]*Таблица1[[#This Row],[Цена 
Приход]]</f>
        <v>19494000</v>
      </c>
      <c r="K63" s="34">
        <v>19</v>
      </c>
      <c r="L63" s="34">
        <v>130000</v>
      </c>
      <c r="M63" s="34">
        <f>Таблица1[[#This Row],[Поддон
Шт]]*Таблица1[[#This Row],[Цена
Поддон]]</f>
        <v>2470000</v>
      </c>
      <c r="N63" s="34">
        <f>Таблица1[[#This Row],[Сумма 
Приход]]+Таблица1[[#This Row],[Сумма Поддон]]</f>
        <v>21964000</v>
      </c>
      <c r="O63" s="34">
        <v>700000</v>
      </c>
      <c r="P63" s="34">
        <f>Таблица1[[#This Row],[Блок
 Куб]]*Таблица1[[#This Row],[Цена
 Продажа]]</f>
        <v>22982400</v>
      </c>
      <c r="Q63" s="34" t="s">
        <v>356</v>
      </c>
      <c r="R63" s="34">
        <f>Таблица1[[#This Row],[Сумма 
Продажа]]-Таблица1[[#This Row],[Сумма 
Приход]]-Таблица1[[#This Row],[Авто услу ]]</f>
        <v>1288400</v>
      </c>
      <c r="S63" s="34">
        <v>2200000</v>
      </c>
      <c r="T63" s="34">
        <f>Таблица1[[#This Row],[Сумма 
Продажа]]-IF(Таблица1[[#This Row],[Расход 
Авто]]="Клиент",N(Таблица1[[#This Row],[Авто услу ]]),0)</f>
        <v>22982400</v>
      </c>
      <c r="U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" s="265" t="str">
        <f>IFERROR(INDEX(Мижозлар[Агент],MATCH($D63,Мижозлар[Расмий ном],0)),"")</f>
        <v>Арслон ога</v>
      </c>
    </row>
    <row r="64" spans="1:23" ht="14.25" x14ac:dyDescent="0.2">
      <c r="A64" s="21" t="s">
        <v>44</v>
      </c>
      <c r="B64" s="135" t="s">
        <v>22</v>
      </c>
      <c r="C64" s="141" t="s">
        <v>21</v>
      </c>
      <c r="D64" s="141" t="s">
        <v>116</v>
      </c>
      <c r="E64" s="144">
        <v>46212</v>
      </c>
      <c r="F64" s="141" t="s">
        <v>409</v>
      </c>
      <c r="G64" s="34" t="s">
        <v>403</v>
      </c>
      <c r="H64" s="142">
        <v>32.832000000000001</v>
      </c>
      <c r="I64" s="34">
        <v>563750</v>
      </c>
      <c r="J64" s="34">
        <f>Таблица1[[#This Row],[Блок
 Куб]]*Таблица1[[#This Row],[Цена 
Приход]]</f>
        <v>18509040</v>
      </c>
      <c r="K64" s="34">
        <v>19</v>
      </c>
      <c r="L64" s="34">
        <v>130000</v>
      </c>
      <c r="M64" s="34">
        <f>Таблица1[[#This Row],[Поддон
Шт]]*Таблица1[[#This Row],[Цена
Поддон]]</f>
        <v>2470000</v>
      </c>
      <c r="N64" s="34">
        <f>Таблица1[[#This Row],[Сумма 
Приход]]+Таблица1[[#This Row],[Сумма Поддон]]</f>
        <v>20979040</v>
      </c>
      <c r="O64" s="34">
        <v>700000</v>
      </c>
      <c r="P64" s="34">
        <f>Таблица1[[#This Row],[Блок
 Куб]]*Таблица1[[#This Row],[Цена
 Продажа]]</f>
        <v>22982400</v>
      </c>
      <c r="Q64" s="34" t="s">
        <v>356</v>
      </c>
      <c r="R64" s="34">
        <f>Таблица1[[#This Row],[Сумма 
Продажа]]-Таблица1[[#This Row],[Сумма 
Приход]]-Таблица1[[#This Row],[Авто услу ]]</f>
        <v>2273360</v>
      </c>
      <c r="S64" s="34">
        <v>2200000</v>
      </c>
      <c r="T64" s="34">
        <f>Таблица1[[#This Row],[Сумма 
Продажа]]-IF(Таблица1[[#This Row],[Расход 
Авто]]="Клиент",N(Таблица1[[#This Row],[Авто услу ]]),0)</f>
        <v>22982400</v>
      </c>
      <c r="U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" s="265" t="str">
        <f>IFERROR(INDEX(Мижозлар[Агент],MATCH($D64,Мижозлар[Расмий ном],0)),"")</f>
        <v>Арслон ога</v>
      </c>
    </row>
    <row r="65" spans="1:23" ht="14.25" x14ac:dyDescent="0.2">
      <c r="A65" s="21" t="s">
        <v>44</v>
      </c>
      <c r="B65" s="135" t="s">
        <v>22</v>
      </c>
      <c r="C65" s="141" t="s">
        <v>36</v>
      </c>
      <c r="D65" s="141" t="s">
        <v>82</v>
      </c>
      <c r="E65" s="136">
        <v>46213</v>
      </c>
      <c r="F65" s="135" t="s">
        <v>410</v>
      </c>
      <c r="G65" s="34" t="s">
        <v>355</v>
      </c>
      <c r="H65" s="142">
        <v>32.832000000000001</v>
      </c>
      <c r="I65" s="34">
        <v>593750</v>
      </c>
      <c r="J65" s="34">
        <f>Таблица1[[#This Row],[Блок
 Куб]]*Таблица1[[#This Row],[Цена 
Приход]]</f>
        <v>19494000</v>
      </c>
      <c r="K65" s="34">
        <v>19</v>
      </c>
      <c r="L65" s="34">
        <v>130000</v>
      </c>
      <c r="M65" s="34">
        <f>Таблица1[[#This Row],[Поддон
Шт]]*Таблица1[[#This Row],[Цена
Поддон]]</f>
        <v>2470000</v>
      </c>
      <c r="N65" s="34">
        <f>Таблица1[[#This Row],[Сумма 
Приход]]+Таблица1[[#This Row],[Сумма Поддон]]</f>
        <v>21964000</v>
      </c>
      <c r="O65" s="34">
        <v>700000</v>
      </c>
      <c r="P65" s="34">
        <f>Таблица1[[#This Row],[Блок
 Куб]]*Таблица1[[#This Row],[Цена
 Продажа]]</f>
        <v>22982400</v>
      </c>
      <c r="Q65" s="34" t="s">
        <v>240</v>
      </c>
      <c r="R65" s="34">
        <f>Таблица1[[#This Row],[Сумма 
Продажа]]-Таблица1[[#This Row],[Сумма 
Приход]]-Таблица1[[#This Row],[Авто услу ]]</f>
        <v>1288400</v>
      </c>
      <c r="S65" s="34">
        <v>2200000</v>
      </c>
      <c r="T65" s="34">
        <f>Таблица1[[#This Row],[Сумма 
Продажа]]-IF(Таблица1[[#This Row],[Расход 
Авто]]="Клиент",N(Таблица1[[#This Row],[Авто услу ]]),0)</f>
        <v>20782400</v>
      </c>
      <c r="U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" s="265" t="str">
        <f>IFERROR(INDEX(Мижозлар[Агент],MATCH($D65,Мижозлар[Расмий ном],0)),"")</f>
        <v>Темур</v>
      </c>
    </row>
    <row r="66" spans="1:23" ht="14.25" x14ac:dyDescent="0.2">
      <c r="A66" s="21" t="s">
        <v>44</v>
      </c>
      <c r="B66" s="135" t="s">
        <v>22</v>
      </c>
      <c r="C66" s="141" t="s">
        <v>36</v>
      </c>
      <c r="D66" s="141" t="s">
        <v>71</v>
      </c>
      <c r="E66" s="136">
        <v>46213</v>
      </c>
      <c r="F66" s="135" t="s">
        <v>411</v>
      </c>
      <c r="G66" s="34" t="s">
        <v>368</v>
      </c>
      <c r="H66" s="142">
        <v>32.832000000000001</v>
      </c>
      <c r="I66" s="34">
        <v>593750</v>
      </c>
      <c r="J66" s="34">
        <f>Таблица1[[#This Row],[Блок
 Куб]]*Таблица1[[#This Row],[Цена 
Приход]]</f>
        <v>19494000</v>
      </c>
      <c r="K66" s="34">
        <v>19</v>
      </c>
      <c r="L66" s="34">
        <v>130000</v>
      </c>
      <c r="M66" s="34">
        <f>Таблица1[[#This Row],[Поддон
Шт]]*Таблица1[[#This Row],[Цена
Поддон]]</f>
        <v>2470000</v>
      </c>
      <c r="N66" s="34">
        <f>Таблица1[[#This Row],[Сумма 
Приход]]+Таблица1[[#This Row],[Сумма Поддон]]</f>
        <v>21964000</v>
      </c>
      <c r="O66" s="34">
        <v>700000</v>
      </c>
      <c r="P66" s="34">
        <f>Таблица1[[#This Row],[Блок
 Куб]]*Таблица1[[#This Row],[Цена
 Продажа]]</f>
        <v>22982400</v>
      </c>
      <c r="Q66" s="34" t="s">
        <v>240</v>
      </c>
      <c r="R66" s="34">
        <f>Таблица1[[#This Row],[Сумма 
Продажа]]-Таблица1[[#This Row],[Сумма 
Приход]]-Таблица1[[#This Row],[Авто услу ]]</f>
        <v>1288400</v>
      </c>
      <c r="S66" s="34">
        <v>2200000</v>
      </c>
      <c r="T66" s="34">
        <f>Таблица1[[#This Row],[Сумма 
Продажа]]-IF(Таблица1[[#This Row],[Расход 
Авто]]="Клиент",N(Таблица1[[#This Row],[Авто услу ]]),0)</f>
        <v>20782400</v>
      </c>
      <c r="U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" s="265" t="str">
        <f>IFERROR(INDEX(Мижозлар[Агент],MATCH($D66,Мижозлар[Расмий ном],0)),"")</f>
        <v>Темур</v>
      </c>
    </row>
    <row r="67" spans="1:23" ht="14.25" x14ac:dyDescent="0.2">
      <c r="A67" s="21" t="s">
        <v>44</v>
      </c>
      <c r="B67" s="135" t="s">
        <v>22</v>
      </c>
      <c r="C67" s="141" t="s">
        <v>36</v>
      </c>
      <c r="D67" s="141" t="s">
        <v>48</v>
      </c>
      <c r="E67" s="136">
        <v>46213</v>
      </c>
      <c r="F67" s="135" t="s">
        <v>412</v>
      </c>
      <c r="G67" s="34" t="s">
        <v>355</v>
      </c>
      <c r="H67" s="142">
        <v>32.832000000000001</v>
      </c>
      <c r="I67" s="34">
        <v>593750</v>
      </c>
      <c r="J67" s="34">
        <f>Таблица1[[#This Row],[Блок
 Куб]]*Таблица1[[#This Row],[Цена 
Приход]]</f>
        <v>19494000</v>
      </c>
      <c r="K67" s="34">
        <v>19</v>
      </c>
      <c r="L67" s="34">
        <v>130000</v>
      </c>
      <c r="M67" s="34">
        <f>Таблица1[[#This Row],[Поддон
Шт]]*Таблица1[[#This Row],[Цена
Поддон]]</f>
        <v>2470000</v>
      </c>
      <c r="N67" s="34">
        <f>Таблица1[[#This Row],[Сумма 
Приход]]+Таблица1[[#This Row],[Сумма Поддон]]</f>
        <v>21964000</v>
      </c>
      <c r="O67" s="34">
        <v>700000</v>
      </c>
      <c r="P67" s="34">
        <f>Таблица1[[#This Row],[Блок
 Куб]]*Таблица1[[#This Row],[Цена
 Продажа]]</f>
        <v>22982400</v>
      </c>
      <c r="Q67" s="34" t="s">
        <v>240</v>
      </c>
      <c r="R67" s="34">
        <f>Таблица1[[#This Row],[Сумма 
Продажа]]-Таблица1[[#This Row],[Сумма 
Приход]]-Таблица1[[#This Row],[Авто услу ]]</f>
        <v>1188400</v>
      </c>
      <c r="S67" s="34">
        <v>2300000</v>
      </c>
      <c r="T67" s="34">
        <f>Таблица1[[#This Row],[Сумма 
Продажа]]-IF(Таблица1[[#This Row],[Расход 
Авто]]="Клиент",N(Таблица1[[#This Row],[Авто услу ]]),0)</f>
        <v>20682400</v>
      </c>
      <c r="U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" s="265" t="str">
        <f>IFERROR(INDEX(Мижозлар[Агент],MATCH($D67,Мижозлар[Расмий ном],0)),"")</f>
        <v>Темур</v>
      </c>
    </row>
    <row r="68" spans="1:23" ht="14.25" x14ac:dyDescent="0.2">
      <c r="A68" s="21" t="s">
        <v>44</v>
      </c>
      <c r="B68" s="135" t="s">
        <v>22</v>
      </c>
      <c r="C68" s="141" t="s">
        <v>25</v>
      </c>
      <c r="D68" s="141" t="s">
        <v>103</v>
      </c>
      <c r="E68" s="136">
        <v>46214</v>
      </c>
      <c r="F68" s="135" t="s">
        <v>391</v>
      </c>
      <c r="G68" s="34" t="s">
        <v>403</v>
      </c>
      <c r="H68" s="142">
        <v>32.832000000000001</v>
      </c>
      <c r="I68" s="34">
        <v>563750</v>
      </c>
      <c r="J68" s="34">
        <f>Таблица1[[#This Row],[Блок
 Куб]]*Таблица1[[#This Row],[Цена 
Приход]]</f>
        <v>18509040</v>
      </c>
      <c r="K68" s="34">
        <v>19</v>
      </c>
      <c r="L68" s="34">
        <v>130000</v>
      </c>
      <c r="M68" s="34">
        <f>Таблица1[[#This Row],[Поддон
Шт]]*Таблица1[[#This Row],[Цена
Поддон]]</f>
        <v>2470000</v>
      </c>
      <c r="N68" s="34">
        <f>Таблица1[[#This Row],[Сумма 
Приход]]+Таблица1[[#This Row],[Сумма Поддон]]</f>
        <v>20979040</v>
      </c>
      <c r="O68" s="34">
        <v>700000</v>
      </c>
      <c r="P68" s="34">
        <f>Таблица1[[#This Row],[Блок
 Куб]]*Таблица1[[#This Row],[Цена
 Продажа]]</f>
        <v>22982400</v>
      </c>
      <c r="Q68" s="34" t="s">
        <v>356</v>
      </c>
      <c r="R68" s="34">
        <f>Таблица1[[#This Row],[Сумма 
Продажа]]-Таблица1[[#This Row],[Сумма 
Приход]]-Таблица1[[#This Row],[Авто услу ]]</f>
        <v>1973360</v>
      </c>
      <c r="S68" s="34">
        <v>2500000</v>
      </c>
      <c r="T68" s="34">
        <f>Таблица1[[#This Row],[Сумма 
Продажа]]-IF(Таблица1[[#This Row],[Расход 
Авто]]="Клиент",N(Таблица1[[#This Row],[Авто услу ]]),0)</f>
        <v>22982400</v>
      </c>
      <c r="U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" s="265" t="str">
        <f>IFERROR(INDEX(Мижозлар[Агент],MATCH($D68,Мижозлар[Расмий ном],0)),"")</f>
        <v>Жамол 22-22</v>
      </c>
    </row>
    <row r="69" spans="1:23" ht="14.25" x14ac:dyDescent="0.2">
      <c r="A69" s="21" t="s">
        <v>44</v>
      </c>
      <c r="B69" s="135" t="s">
        <v>22</v>
      </c>
      <c r="C69" s="141" t="s">
        <v>40</v>
      </c>
      <c r="D69" s="141" t="s">
        <v>27</v>
      </c>
      <c r="E69" s="136">
        <v>46214</v>
      </c>
      <c r="F69" s="135" t="s">
        <v>413</v>
      </c>
      <c r="G69" s="34" t="s">
        <v>355</v>
      </c>
      <c r="H69" s="142">
        <v>32.832000000000001</v>
      </c>
      <c r="I69" s="34">
        <v>593750</v>
      </c>
      <c r="J69" s="34">
        <f>Таблица1[[#This Row],[Блок
 Куб]]*Таблица1[[#This Row],[Цена 
Приход]]</f>
        <v>19494000</v>
      </c>
      <c r="K69" s="34">
        <v>19</v>
      </c>
      <c r="L69" s="34">
        <v>130000</v>
      </c>
      <c r="M69" s="34">
        <f>Таблица1[[#This Row],[Поддон
Шт]]*Таблица1[[#This Row],[Цена
Поддон]]</f>
        <v>2470000</v>
      </c>
      <c r="N69" s="34">
        <f>Таблица1[[#This Row],[Сумма 
Приход]]+Таблица1[[#This Row],[Сумма Поддон]]</f>
        <v>21964000</v>
      </c>
      <c r="O69" s="34">
        <v>700000</v>
      </c>
      <c r="P69" s="34">
        <f>Таблица1[[#This Row],[Блок
 Куб]]*Таблица1[[#This Row],[Цена
 Продажа]]</f>
        <v>22982400</v>
      </c>
      <c r="Q69" s="34" t="s">
        <v>240</v>
      </c>
      <c r="R69" s="34">
        <f>Таблица1[[#This Row],[Сумма 
Продажа]]-Таблица1[[#This Row],[Сумма 
Приход]]-Таблица1[[#This Row],[Авто услу ]]</f>
        <v>988400</v>
      </c>
      <c r="S69" s="34">
        <v>2500000</v>
      </c>
      <c r="T69" s="34">
        <f>Таблица1[[#This Row],[Сумма 
Продажа]]-IF(Таблица1[[#This Row],[Расход 
Авто]]="Клиент",N(Таблица1[[#This Row],[Авто услу ]]),0)</f>
        <v>20482400</v>
      </c>
      <c r="U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" s="265" t="str">
        <f>IFERROR(INDEX(Мижозлар[Агент],MATCH($D69,Мижозлар[Расмий ном],0)),"")</f>
        <v>Шохрух ога</v>
      </c>
    </row>
    <row r="70" spans="1:23" ht="14.25" x14ac:dyDescent="0.2">
      <c r="A70" s="21" t="s">
        <v>44</v>
      </c>
      <c r="B70" s="135" t="s">
        <v>22</v>
      </c>
      <c r="C70" s="141" t="s">
        <v>29</v>
      </c>
      <c r="D70" s="141" t="s">
        <v>98</v>
      </c>
      <c r="E70" s="136">
        <v>46214</v>
      </c>
      <c r="F70" s="135" t="s">
        <v>414</v>
      </c>
      <c r="G70" s="34" t="s">
        <v>355</v>
      </c>
      <c r="H70" s="142">
        <v>32.832000000000001</v>
      </c>
      <c r="I70" s="34">
        <v>593750</v>
      </c>
      <c r="J70" s="34">
        <f>Таблица1[[#This Row],[Блок
 Куб]]*Таблица1[[#This Row],[Цена 
Приход]]</f>
        <v>19494000</v>
      </c>
      <c r="K70" s="34">
        <v>19</v>
      </c>
      <c r="L70" s="34">
        <v>130000</v>
      </c>
      <c r="M70" s="34">
        <f>Таблица1[[#This Row],[Поддон
Шт]]*Таблица1[[#This Row],[Цена
Поддон]]</f>
        <v>2470000</v>
      </c>
      <c r="N70" s="34">
        <f>Таблица1[[#This Row],[Сумма 
Приход]]+Таблица1[[#This Row],[Сумма Поддон]]</f>
        <v>21964000</v>
      </c>
      <c r="O70" s="34">
        <v>700000</v>
      </c>
      <c r="P70" s="34">
        <f>Таблица1[[#This Row],[Блок
 Куб]]*Таблица1[[#This Row],[Цена
 Продажа]]</f>
        <v>22982400</v>
      </c>
      <c r="Q70" s="34" t="s">
        <v>240</v>
      </c>
      <c r="R70" s="34">
        <f>Таблица1[[#This Row],[Сумма 
Продажа]]-Таблица1[[#This Row],[Сумма 
Приход]]-Таблица1[[#This Row],[Авто услу ]]</f>
        <v>1288400</v>
      </c>
      <c r="S70" s="34">
        <v>2200000</v>
      </c>
      <c r="T70" s="34">
        <f>Таблица1[[#This Row],[Сумма 
Продажа]]-IF(Таблица1[[#This Row],[Расход 
Авто]]="Клиент",N(Таблица1[[#This Row],[Авто услу ]]),0)</f>
        <v>20782400</v>
      </c>
      <c r="U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" s="265" t="str">
        <f>IFERROR(INDEX(Мижозлар[Агент],MATCH($D70,Мижозлар[Расмий ном],0)),"")</f>
        <v>Зафар ога</v>
      </c>
    </row>
    <row r="71" spans="1:23" ht="14.25" x14ac:dyDescent="0.2">
      <c r="A71" s="21" t="s">
        <v>44</v>
      </c>
      <c r="B71" s="135" t="s">
        <v>22</v>
      </c>
      <c r="C71" s="141" t="s">
        <v>40</v>
      </c>
      <c r="D71" s="141" t="s">
        <v>87</v>
      </c>
      <c r="E71" s="136">
        <v>46214</v>
      </c>
      <c r="F71" s="135" t="s">
        <v>385</v>
      </c>
      <c r="G71" s="34" t="s">
        <v>355</v>
      </c>
      <c r="H71" s="142">
        <v>32.832000000000001</v>
      </c>
      <c r="I71" s="34">
        <v>593750</v>
      </c>
      <c r="J71" s="34">
        <f>Таблица1[[#This Row],[Блок
 Куб]]*Таблица1[[#This Row],[Цена 
Приход]]</f>
        <v>19494000</v>
      </c>
      <c r="K71" s="34">
        <v>19</v>
      </c>
      <c r="L71" s="34">
        <v>130000</v>
      </c>
      <c r="M71" s="34">
        <f>Таблица1[[#This Row],[Поддон
Шт]]*Таблица1[[#This Row],[Цена
Поддон]]</f>
        <v>2470000</v>
      </c>
      <c r="N71" s="34">
        <f>Таблица1[[#This Row],[Сумма 
Приход]]+Таблица1[[#This Row],[Сумма Поддон]]</f>
        <v>21964000</v>
      </c>
      <c r="O71" s="34">
        <v>700000</v>
      </c>
      <c r="P71" s="34">
        <f>Таблица1[[#This Row],[Блок
 Куб]]*Таблица1[[#This Row],[Цена
 Продажа]]</f>
        <v>22982400</v>
      </c>
      <c r="Q71" s="34" t="s">
        <v>240</v>
      </c>
      <c r="R71" s="34">
        <f>Таблица1[[#This Row],[Сумма 
Продажа]]-Таблица1[[#This Row],[Сумма 
Приход]]-Таблица1[[#This Row],[Авто услу ]]</f>
        <v>1288400</v>
      </c>
      <c r="S71" s="34">
        <v>2200000</v>
      </c>
      <c r="T71" s="34">
        <f>Таблица1[[#This Row],[Сумма 
Продажа]]-IF(Таблица1[[#This Row],[Расход 
Авто]]="Клиент",N(Таблица1[[#This Row],[Авто услу ]]),0)</f>
        <v>20782400</v>
      </c>
      <c r="U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" s="265" t="str">
        <f>IFERROR(INDEX(Мижозлар[Агент],MATCH($D71,Мижозлар[Расмий ном],0)),"")</f>
        <v>Шохрух ога</v>
      </c>
    </row>
    <row r="72" spans="1:23" ht="14.25" x14ac:dyDescent="0.2">
      <c r="A72" s="21" t="s">
        <v>44</v>
      </c>
      <c r="B72" s="135" t="s">
        <v>22</v>
      </c>
      <c r="C72" s="141" t="s">
        <v>32</v>
      </c>
      <c r="D72" s="141" t="s">
        <v>85</v>
      </c>
      <c r="E72" s="136">
        <v>46214</v>
      </c>
      <c r="F72" s="135" t="s">
        <v>415</v>
      </c>
      <c r="G72" s="34" t="s">
        <v>355</v>
      </c>
      <c r="H72" s="142">
        <v>32.832000000000001</v>
      </c>
      <c r="I72" s="34">
        <v>593750</v>
      </c>
      <c r="J72" s="34">
        <f>Таблица1[[#This Row],[Блок
 Куб]]*Таблица1[[#This Row],[Цена 
Приход]]</f>
        <v>19494000</v>
      </c>
      <c r="K72" s="34">
        <v>19</v>
      </c>
      <c r="L72" s="34">
        <v>130000</v>
      </c>
      <c r="M72" s="34">
        <f>Таблица1[[#This Row],[Поддон
Шт]]*Таблица1[[#This Row],[Цена
Поддон]]</f>
        <v>2470000</v>
      </c>
      <c r="N72" s="34">
        <f>Таблица1[[#This Row],[Сумма 
Приход]]+Таблица1[[#This Row],[Сумма Поддон]]</f>
        <v>21964000</v>
      </c>
      <c r="O72" s="34">
        <v>700000</v>
      </c>
      <c r="P72" s="34">
        <f>Таблица1[[#This Row],[Блок
 Куб]]*Таблица1[[#This Row],[Цена
 Продажа]]</f>
        <v>22982400</v>
      </c>
      <c r="Q72" s="34" t="s">
        <v>240</v>
      </c>
      <c r="R72" s="34">
        <f>Таблица1[[#This Row],[Сумма 
Продажа]]-Таблица1[[#This Row],[Сумма 
Приход]]-Таблица1[[#This Row],[Авто услу ]]</f>
        <v>988400</v>
      </c>
      <c r="S72" s="34">
        <v>2500000</v>
      </c>
      <c r="T72" s="34">
        <f>Таблица1[[#This Row],[Сумма 
Продажа]]-IF(Таблица1[[#This Row],[Расход 
Авто]]="Клиент",N(Таблица1[[#This Row],[Авто услу ]]),0)</f>
        <v>20482400</v>
      </c>
      <c r="U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" s="265" t="str">
        <f>IFERROR(INDEX(Мижозлар[Агент],MATCH($D72,Мижозлар[Расмий ном],0)),"")</f>
        <v>Сардор ога</v>
      </c>
    </row>
    <row r="73" spans="1:23" ht="14.25" x14ac:dyDescent="0.2">
      <c r="A73" s="21" t="s">
        <v>44</v>
      </c>
      <c r="B73" s="135" t="s">
        <v>22</v>
      </c>
      <c r="C73" s="141" t="s">
        <v>36</v>
      </c>
      <c r="D73" s="141" t="s">
        <v>45</v>
      </c>
      <c r="E73" s="136">
        <v>46214</v>
      </c>
      <c r="F73" s="135" t="s">
        <v>416</v>
      </c>
      <c r="G73" s="34" t="s">
        <v>355</v>
      </c>
      <c r="H73" s="142">
        <v>32.832000000000001</v>
      </c>
      <c r="I73" s="34">
        <v>593750</v>
      </c>
      <c r="J73" s="34">
        <f>Таблица1[[#This Row],[Блок
 Куб]]*Таблица1[[#This Row],[Цена 
Приход]]</f>
        <v>19494000</v>
      </c>
      <c r="K73" s="34">
        <v>19</v>
      </c>
      <c r="L73" s="34">
        <v>130000</v>
      </c>
      <c r="M73" s="34">
        <f>Таблица1[[#This Row],[Поддон
Шт]]*Таблица1[[#This Row],[Цена
Поддон]]</f>
        <v>2470000</v>
      </c>
      <c r="N73" s="34">
        <f>Таблица1[[#This Row],[Сумма 
Приход]]+Таблица1[[#This Row],[Сумма Поддон]]</f>
        <v>21964000</v>
      </c>
      <c r="O73" s="34">
        <v>700000</v>
      </c>
      <c r="P73" s="34">
        <f>Таблица1[[#This Row],[Блок
 Куб]]*Таблица1[[#This Row],[Цена
 Продажа]]</f>
        <v>22982400</v>
      </c>
      <c r="Q73" s="34" t="s">
        <v>240</v>
      </c>
      <c r="R73" s="34">
        <f>Таблица1[[#This Row],[Сумма 
Продажа]]-Таблица1[[#This Row],[Сумма 
Приход]]-Таблица1[[#This Row],[Авто услу ]]</f>
        <v>1288400</v>
      </c>
      <c r="S73" s="34">
        <v>2200000</v>
      </c>
      <c r="T73" s="34">
        <f>Таблица1[[#This Row],[Сумма 
Продажа]]-IF(Таблица1[[#This Row],[Расход 
Авто]]="Клиент",N(Таблица1[[#This Row],[Авто услу ]]),0)</f>
        <v>20782400</v>
      </c>
      <c r="U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" s="265" t="str">
        <f>IFERROR(INDEX(Мижозлар[Агент],MATCH($D73,Мижозлар[Расмий ном],0)),"")</f>
        <v>Темур</v>
      </c>
    </row>
    <row r="74" spans="1:23" ht="14.25" x14ac:dyDescent="0.2">
      <c r="A74" s="21" t="s">
        <v>44</v>
      </c>
      <c r="B74" s="135" t="s">
        <v>22</v>
      </c>
      <c r="C74" s="141" t="s">
        <v>40</v>
      </c>
      <c r="D74" s="141" t="s">
        <v>87</v>
      </c>
      <c r="E74" s="136">
        <v>46214</v>
      </c>
      <c r="F74" s="141" t="s">
        <v>417</v>
      </c>
      <c r="G74" s="34" t="s">
        <v>355</v>
      </c>
      <c r="H74" s="142">
        <v>32.832000000000001</v>
      </c>
      <c r="I74" s="34">
        <v>593750</v>
      </c>
      <c r="J74" s="34">
        <f>Таблица1[[#This Row],[Блок
 Куб]]*Таблица1[[#This Row],[Цена 
Приход]]</f>
        <v>19494000</v>
      </c>
      <c r="K74" s="34">
        <v>19</v>
      </c>
      <c r="L74" s="34">
        <v>130000</v>
      </c>
      <c r="M74" s="34">
        <f>Таблица1[[#This Row],[Поддон
Шт]]*Таблица1[[#This Row],[Цена
Поддон]]</f>
        <v>2470000</v>
      </c>
      <c r="N74" s="34">
        <f>Таблица1[[#This Row],[Сумма 
Приход]]+Таблица1[[#This Row],[Сумма Поддон]]</f>
        <v>21964000</v>
      </c>
      <c r="O74" s="34">
        <v>700000</v>
      </c>
      <c r="P74" s="34">
        <f>Таблица1[[#This Row],[Блок
 Куб]]*Таблица1[[#This Row],[Цена
 Продажа]]</f>
        <v>22982400</v>
      </c>
      <c r="Q74" s="34" t="s">
        <v>240</v>
      </c>
      <c r="R74" s="34">
        <f>Таблица1[[#This Row],[Сумма 
Продажа]]-Таблица1[[#This Row],[Сумма 
Приход]]-Таблица1[[#This Row],[Авто услу ]]</f>
        <v>1288400</v>
      </c>
      <c r="S74" s="34">
        <v>2200000</v>
      </c>
      <c r="T74" s="34">
        <f>Таблица1[[#This Row],[Сумма 
Продажа]]-IF(Таблица1[[#This Row],[Расход 
Авто]]="Клиент",N(Таблица1[[#This Row],[Авто услу ]]),0)</f>
        <v>20782400</v>
      </c>
      <c r="U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" s="265" t="str">
        <f>IFERROR(INDEX(Мижозлар[Агент],MATCH($D74,Мижозлар[Расмий ном],0)),"")</f>
        <v>Шохрух ога</v>
      </c>
    </row>
    <row r="75" spans="1:23" ht="14.25" x14ac:dyDescent="0.2">
      <c r="A75" s="21" t="s">
        <v>44</v>
      </c>
      <c r="B75" s="135" t="s">
        <v>22</v>
      </c>
      <c r="C75" s="141" t="s">
        <v>29</v>
      </c>
      <c r="D75" s="141" t="s">
        <v>98</v>
      </c>
      <c r="E75" s="136">
        <v>46214</v>
      </c>
      <c r="F75" s="34" t="s">
        <v>418</v>
      </c>
      <c r="G75" s="34" t="s">
        <v>368</v>
      </c>
      <c r="H75" s="142">
        <v>32.832000000000001</v>
      </c>
      <c r="I75" s="34">
        <v>593750</v>
      </c>
      <c r="J75" s="34">
        <f>Таблица1[[#This Row],[Блок
 Куб]]*Таблица1[[#This Row],[Цена 
Приход]]</f>
        <v>19494000</v>
      </c>
      <c r="K75" s="34">
        <v>19</v>
      </c>
      <c r="L75" s="34">
        <v>130000</v>
      </c>
      <c r="M75" s="34">
        <f>Таблица1[[#This Row],[Поддон
Шт]]*Таблица1[[#This Row],[Цена
Поддон]]</f>
        <v>2470000</v>
      </c>
      <c r="N75" s="34">
        <f>Таблица1[[#This Row],[Сумма 
Приход]]+Таблица1[[#This Row],[Сумма Поддон]]</f>
        <v>21964000</v>
      </c>
      <c r="O75" s="34">
        <v>700000</v>
      </c>
      <c r="P75" s="34">
        <f>Таблица1[[#This Row],[Блок
 Куб]]*Таблица1[[#This Row],[Цена
 Продажа]]</f>
        <v>22982400</v>
      </c>
      <c r="Q75" s="34" t="s">
        <v>240</v>
      </c>
      <c r="R75" s="34">
        <f>Таблица1[[#This Row],[Сумма 
Продажа]]-Таблица1[[#This Row],[Сумма 
Приход]]-Таблица1[[#This Row],[Авто услу ]]</f>
        <v>1288400</v>
      </c>
      <c r="S75" s="34">
        <v>2200000</v>
      </c>
      <c r="T75" s="34">
        <f>Таблица1[[#This Row],[Сумма 
Продажа]]-IF(Таблица1[[#This Row],[Расход 
Авто]]="Клиент",N(Таблица1[[#This Row],[Авто услу ]]),0)</f>
        <v>20782400</v>
      </c>
      <c r="U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" s="265" t="str">
        <f>IFERROR(INDEX(Мижозлар[Агент],MATCH($D75,Мижозлар[Расмий ном],0)),"")</f>
        <v>Зафар ога</v>
      </c>
    </row>
    <row r="76" spans="1:23" ht="14.25" x14ac:dyDescent="0.2">
      <c r="A76" s="21" t="s">
        <v>44</v>
      </c>
      <c r="B76" s="135" t="s">
        <v>22</v>
      </c>
      <c r="C76" s="141" t="s">
        <v>29</v>
      </c>
      <c r="D76" s="141" t="s">
        <v>89</v>
      </c>
      <c r="E76" s="136">
        <v>46214</v>
      </c>
      <c r="F76" s="135" t="s">
        <v>380</v>
      </c>
      <c r="G76" s="34" t="s">
        <v>355</v>
      </c>
      <c r="H76" s="142">
        <v>32.832000000000001</v>
      </c>
      <c r="I76" s="34">
        <v>593750</v>
      </c>
      <c r="J76" s="34">
        <f>Таблица1[[#This Row],[Блок
 Куб]]*Таблица1[[#This Row],[Цена 
Приход]]</f>
        <v>19494000</v>
      </c>
      <c r="K76" s="34">
        <v>19</v>
      </c>
      <c r="L76" s="34">
        <v>130000</v>
      </c>
      <c r="M76" s="34">
        <f>Таблица1[[#This Row],[Поддон
Шт]]*Таблица1[[#This Row],[Цена
Поддон]]</f>
        <v>2470000</v>
      </c>
      <c r="N76" s="34">
        <f>Таблица1[[#This Row],[Сумма 
Приход]]+Таблица1[[#This Row],[Сумма Поддон]]</f>
        <v>21964000</v>
      </c>
      <c r="O76" s="34">
        <v>700000</v>
      </c>
      <c r="P76" s="34">
        <f>Таблица1[[#This Row],[Блок
 Куб]]*Таблица1[[#This Row],[Цена
 Продажа]]</f>
        <v>22982400</v>
      </c>
      <c r="Q76" s="34" t="s">
        <v>356</v>
      </c>
      <c r="R76" s="34">
        <f>Таблица1[[#This Row],[Сумма 
Продажа]]-Таблица1[[#This Row],[Сумма 
Приход]]-Таблица1[[#This Row],[Авто услу ]]</f>
        <v>1288400</v>
      </c>
      <c r="S76" s="34">
        <v>2200000</v>
      </c>
      <c r="T76" s="34">
        <f>Таблица1[[#This Row],[Сумма 
Продажа]]-IF(Таблица1[[#This Row],[Расход 
Авто]]="Клиент",N(Таблица1[[#This Row],[Авто услу ]]),0)</f>
        <v>22982400</v>
      </c>
      <c r="U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" s="265" t="str">
        <f>IFERROR(INDEX(Мижозлар[Агент],MATCH($D76,Мижозлар[Расмий ном],0)),"")</f>
        <v>Зафар ога</v>
      </c>
    </row>
    <row r="77" spans="1:23" ht="14.25" x14ac:dyDescent="0.2">
      <c r="A77" s="21" t="s">
        <v>44</v>
      </c>
      <c r="B77" s="135" t="s">
        <v>22</v>
      </c>
      <c r="C77" s="141" t="s">
        <v>40</v>
      </c>
      <c r="D77" s="145" t="s">
        <v>119</v>
      </c>
      <c r="E77" s="136">
        <v>46215</v>
      </c>
      <c r="F77" s="141" t="s">
        <v>419</v>
      </c>
      <c r="G77" s="34" t="s">
        <v>355</v>
      </c>
      <c r="H77" s="142">
        <v>32.832000000000001</v>
      </c>
      <c r="I77" s="34">
        <v>593750</v>
      </c>
      <c r="J77" s="34">
        <f>Таблица1[[#This Row],[Блок
 Куб]]*Таблица1[[#This Row],[Цена 
Приход]]</f>
        <v>19494000</v>
      </c>
      <c r="K77" s="34">
        <v>19</v>
      </c>
      <c r="L77" s="34">
        <v>130000</v>
      </c>
      <c r="M77" s="34">
        <f>Таблица1[[#This Row],[Поддон
Шт]]*Таблица1[[#This Row],[Цена
Поддон]]</f>
        <v>2470000</v>
      </c>
      <c r="N77" s="34">
        <f>Таблица1[[#This Row],[Сумма 
Приход]]+Таблица1[[#This Row],[Сумма Поддон]]</f>
        <v>21964000</v>
      </c>
      <c r="O77" s="34">
        <v>700000</v>
      </c>
      <c r="P77" s="34">
        <f>Таблица1[[#This Row],[Блок
 Куб]]*Таблица1[[#This Row],[Цена
 Продажа]]</f>
        <v>22982400</v>
      </c>
      <c r="Q77" s="34" t="s">
        <v>240</v>
      </c>
      <c r="R77" s="34">
        <f>Таблица1[[#This Row],[Сумма 
Продажа]]-Таблица1[[#This Row],[Сумма 
Приход]]-Таблица1[[#This Row],[Авто услу ]]</f>
        <v>888400</v>
      </c>
      <c r="S77" s="34">
        <v>2600000</v>
      </c>
      <c r="T77" s="34">
        <f>Таблица1[[#This Row],[Сумма 
Продажа]]-IF(Таблица1[[#This Row],[Расход 
Авто]]="Клиент",N(Таблица1[[#This Row],[Авто услу ]]),0)</f>
        <v>20382400</v>
      </c>
      <c r="U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" s="265" t="str">
        <f>IFERROR(INDEX(Мижозлар[Агент],MATCH($D77,Мижозлар[Расмий ном],0)),"")</f>
        <v>Шохрух ога</v>
      </c>
    </row>
    <row r="78" spans="1:23" ht="14.25" x14ac:dyDescent="0.2">
      <c r="A78" s="21" t="s">
        <v>44</v>
      </c>
      <c r="B78" s="135" t="s">
        <v>22</v>
      </c>
      <c r="C78" s="141" t="s">
        <v>25</v>
      </c>
      <c r="D78" s="141" t="s">
        <v>53</v>
      </c>
      <c r="E78" s="136">
        <v>46215</v>
      </c>
      <c r="F78" s="135" t="s">
        <v>394</v>
      </c>
      <c r="G78" s="34" t="s">
        <v>355</v>
      </c>
      <c r="H78" s="142">
        <v>32.832000000000001</v>
      </c>
      <c r="I78" s="34">
        <v>593750</v>
      </c>
      <c r="J78" s="34">
        <f>Таблица1[[#This Row],[Блок
 Куб]]*Таблица1[[#This Row],[Цена 
Приход]]</f>
        <v>19494000</v>
      </c>
      <c r="K78" s="34">
        <v>19</v>
      </c>
      <c r="L78" s="34">
        <v>130000</v>
      </c>
      <c r="M78" s="34">
        <f>Таблица1[[#This Row],[Поддон
Шт]]*Таблица1[[#This Row],[Цена
Поддон]]</f>
        <v>2470000</v>
      </c>
      <c r="N78" s="34">
        <f>Таблица1[[#This Row],[Сумма 
Приход]]+Таблица1[[#This Row],[Сумма Поддон]]</f>
        <v>21964000</v>
      </c>
      <c r="O78" s="34">
        <v>700000</v>
      </c>
      <c r="P78" s="34">
        <f>Таблица1[[#This Row],[Блок
 Куб]]*Таблица1[[#This Row],[Цена
 Продажа]]</f>
        <v>22982400</v>
      </c>
      <c r="Q78" s="34" t="s">
        <v>356</v>
      </c>
      <c r="R78" s="34">
        <f>Таблица1[[#This Row],[Сумма 
Продажа]]-Таблица1[[#This Row],[Сумма 
Приход]]-Таблица1[[#This Row],[Авто услу ]]</f>
        <v>1288400</v>
      </c>
      <c r="S78" s="34">
        <v>2200000</v>
      </c>
      <c r="T78" s="34">
        <f>Таблица1[[#This Row],[Сумма 
Продажа]]-IF(Таблица1[[#This Row],[Расход 
Авто]]="Клиент",N(Таблица1[[#This Row],[Авто услу ]]),0)</f>
        <v>22982400</v>
      </c>
      <c r="U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" s="265" t="str">
        <f>IFERROR(INDEX(Мижозлар[Агент],MATCH($D78,Мижозлар[Расмий ном],0)),"")</f>
        <v>Жамол 22-22</v>
      </c>
    </row>
    <row r="79" spans="1:23" ht="14.25" x14ac:dyDescent="0.2">
      <c r="A79" s="21" t="s">
        <v>44</v>
      </c>
      <c r="B79" s="135" t="s">
        <v>22</v>
      </c>
      <c r="C79" s="141" t="s">
        <v>32</v>
      </c>
      <c r="D79" s="141" t="s">
        <v>63</v>
      </c>
      <c r="E79" s="136">
        <v>46215</v>
      </c>
      <c r="F79" s="135" t="s">
        <v>420</v>
      </c>
      <c r="G79" s="34" t="s">
        <v>355</v>
      </c>
      <c r="H79" s="142">
        <v>32.832000000000001</v>
      </c>
      <c r="I79" s="34">
        <v>593750</v>
      </c>
      <c r="J79" s="34">
        <f>Таблица1[[#This Row],[Блок
 Куб]]*Таблица1[[#This Row],[Цена 
Приход]]</f>
        <v>19494000</v>
      </c>
      <c r="K79" s="34">
        <v>19</v>
      </c>
      <c r="L79" s="34">
        <v>130000</v>
      </c>
      <c r="M79" s="34">
        <f>Таблица1[[#This Row],[Поддон
Шт]]*Таблица1[[#This Row],[Цена
Поддон]]</f>
        <v>2470000</v>
      </c>
      <c r="N79" s="34">
        <f>Таблица1[[#This Row],[Сумма 
Приход]]+Таблица1[[#This Row],[Сумма Поддон]]</f>
        <v>21964000</v>
      </c>
      <c r="O79" s="34">
        <v>700000</v>
      </c>
      <c r="P79" s="34">
        <f>Таблица1[[#This Row],[Блок
 Куб]]*Таблица1[[#This Row],[Цена
 Продажа]]</f>
        <v>22982400</v>
      </c>
      <c r="Q79" s="34" t="s">
        <v>240</v>
      </c>
      <c r="R79" s="34">
        <f>Таблица1[[#This Row],[Сумма 
Продажа]]-Таблица1[[#This Row],[Сумма 
Приход]]-Таблица1[[#This Row],[Авто услу ]]</f>
        <v>1288400</v>
      </c>
      <c r="S79" s="34">
        <v>2200000</v>
      </c>
      <c r="T79" s="34">
        <f>Таблица1[[#This Row],[Сумма 
Продажа]]-IF(Таблица1[[#This Row],[Расход 
Авто]]="Клиент",N(Таблица1[[#This Row],[Авто услу ]]),0)</f>
        <v>20782400</v>
      </c>
      <c r="U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" s="265" t="str">
        <f>IFERROR(INDEX(Мижозлар[Агент],MATCH($D79,Мижозлар[Расмий ном],0)),"")</f>
        <v>Сардор ога</v>
      </c>
    </row>
    <row r="80" spans="1:23" ht="14.25" x14ac:dyDescent="0.2">
      <c r="A80" s="21" t="s">
        <v>44</v>
      </c>
      <c r="B80" s="135" t="s">
        <v>22</v>
      </c>
      <c r="C80" s="141" t="s">
        <v>32</v>
      </c>
      <c r="D80" s="141" t="s">
        <v>63</v>
      </c>
      <c r="E80" s="136">
        <v>46216</v>
      </c>
      <c r="F80" s="135" t="s">
        <v>421</v>
      </c>
      <c r="G80" s="34" t="s">
        <v>368</v>
      </c>
      <c r="H80" s="142">
        <v>32.832000000000001</v>
      </c>
      <c r="I80" s="34">
        <v>593750</v>
      </c>
      <c r="J80" s="34">
        <f>Таблица1[[#This Row],[Блок
 Куб]]*Таблица1[[#This Row],[Цена 
Приход]]</f>
        <v>19494000</v>
      </c>
      <c r="K80" s="34">
        <v>19</v>
      </c>
      <c r="L80" s="34">
        <v>130000</v>
      </c>
      <c r="M80" s="34">
        <f>Таблица1[[#This Row],[Поддон
Шт]]*Таблица1[[#This Row],[Цена
Поддон]]</f>
        <v>2470000</v>
      </c>
      <c r="N80" s="34">
        <f>Таблица1[[#This Row],[Сумма 
Приход]]+Таблица1[[#This Row],[Сумма Поддон]]</f>
        <v>21964000</v>
      </c>
      <c r="O80" s="34">
        <v>700000</v>
      </c>
      <c r="P80" s="34">
        <f>Таблица1[[#This Row],[Блок
 Куб]]*Таблица1[[#This Row],[Цена
 Продажа]]</f>
        <v>22982400</v>
      </c>
      <c r="Q80" s="34" t="s">
        <v>240</v>
      </c>
      <c r="R80" s="34">
        <f>Таблица1[[#This Row],[Сумма 
Продажа]]-Таблица1[[#This Row],[Сумма 
Приход]]-Таблица1[[#This Row],[Авто услу ]]</f>
        <v>1288400</v>
      </c>
      <c r="S80" s="34">
        <v>2200000</v>
      </c>
      <c r="T80" s="34">
        <f>Таблица1[[#This Row],[Сумма 
Продажа]]-IF(Таблица1[[#This Row],[Расход 
Авто]]="Клиент",N(Таблица1[[#This Row],[Авто услу ]]),0)</f>
        <v>20782400</v>
      </c>
      <c r="U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" s="265" t="str">
        <f>IFERROR(INDEX(Мижозлар[Агент],MATCH($D80,Мижозлар[Расмий ном],0)),"")</f>
        <v>Сардор ога</v>
      </c>
    </row>
    <row r="81" spans="1:23" ht="14.25" x14ac:dyDescent="0.2">
      <c r="A81" s="21" t="s">
        <v>44</v>
      </c>
      <c r="B81" s="135" t="s">
        <v>22</v>
      </c>
      <c r="C81" s="141" t="s">
        <v>29</v>
      </c>
      <c r="D81" s="141" t="s">
        <v>98</v>
      </c>
      <c r="E81" s="136">
        <v>46216</v>
      </c>
      <c r="F81" s="135" t="s">
        <v>422</v>
      </c>
      <c r="G81" s="34" t="s">
        <v>355</v>
      </c>
      <c r="H81" s="142">
        <v>32.832000000000001</v>
      </c>
      <c r="I81" s="34">
        <v>593750</v>
      </c>
      <c r="J81" s="34">
        <f>Таблица1[[#This Row],[Блок
 Куб]]*Таблица1[[#This Row],[Цена 
Приход]]</f>
        <v>19494000</v>
      </c>
      <c r="K81" s="34">
        <v>19</v>
      </c>
      <c r="L81" s="34">
        <v>130000</v>
      </c>
      <c r="M81" s="34">
        <f>Таблица1[[#This Row],[Поддон
Шт]]*Таблица1[[#This Row],[Цена
Поддон]]</f>
        <v>2470000</v>
      </c>
      <c r="N81" s="34">
        <f>Таблица1[[#This Row],[Сумма 
Приход]]+Таблица1[[#This Row],[Сумма Поддон]]</f>
        <v>21964000</v>
      </c>
      <c r="O81" s="34">
        <v>700000</v>
      </c>
      <c r="P81" s="34">
        <f>Таблица1[[#This Row],[Блок
 Куб]]*Таблица1[[#This Row],[Цена
 Продажа]]</f>
        <v>22982400</v>
      </c>
      <c r="Q81" s="34" t="s">
        <v>240</v>
      </c>
      <c r="R81" s="34">
        <f>Таблица1[[#This Row],[Сумма 
Продажа]]-Таблица1[[#This Row],[Сумма 
Приход]]-Таблица1[[#This Row],[Авто услу ]]</f>
        <v>988400</v>
      </c>
      <c r="S81" s="34">
        <v>2500000</v>
      </c>
      <c r="T81" s="34">
        <f>Таблица1[[#This Row],[Сумма 
Продажа]]-IF(Таблица1[[#This Row],[Расход 
Авто]]="Клиент",N(Таблица1[[#This Row],[Авто услу ]]),0)</f>
        <v>20482400</v>
      </c>
      <c r="U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" s="265" t="str">
        <f>IFERROR(INDEX(Мижозлар[Агент],MATCH($D81,Мижозлар[Расмий ном],0)),"")</f>
        <v>Зафар ога</v>
      </c>
    </row>
    <row r="82" spans="1:23" ht="14.25" x14ac:dyDescent="0.2">
      <c r="A82" s="21" t="s">
        <v>44</v>
      </c>
      <c r="B82" s="135" t="s">
        <v>22</v>
      </c>
      <c r="C82" s="141" t="s">
        <v>36</v>
      </c>
      <c r="D82" s="141" t="s">
        <v>45</v>
      </c>
      <c r="E82" s="136">
        <v>46216</v>
      </c>
      <c r="F82" s="135" t="s">
        <v>423</v>
      </c>
      <c r="G82" s="34" t="s">
        <v>368</v>
      </c>
      <c r="H82" s="142">
        <v>32.832000000000001</v>
      </c>
      <c r="I82" s="34">
        <v>593750</v>
      </c>
      <c r="J82" s="34">
        <f>Таблица1[[#This Row],[Блок
 Куб]]*Таблица1[[#This Row],[Цена 
Приход]]</f>
        <v>19494000</v>
      </c>
      <c r="K82" s="34">
        <v>19</v>
      </c>
      <c r="L82" s="34">
        <v>130000</v>
      </c>
      <c r="M82" s="34">
        <f>Таблица1[[#This Row],[Поддон
Шт]]*Таблица1[[#This Row],[Цена
Поддон]]</f>
        <v>2470000</v>
      </c>
      <c r="N82" s="34">
        <f>Таблица1[[#This Row],[Сумма 
Приход]]+Таблица1[[#This Row],[Сумма Поддон]]</f>
        <v>21964000</v>
      </c>
      <c r="O82" s="34">
        <v>700000</v>
      </c>
      <c r="P82" s="34">
        <f>Таблица1[[#This Row],[Блок
 Куб]]*Таблица1[[#This Row],[Цена
 Продажа]]</f>
        <v>22982400</v>
      </c>
      <c r="Q82" s="34" t="s">
        <v>240</v>
      </c>
      <c r="R82" s="34">
        <f>Таблица1[[#This Row],[Сумма 
Продажа]]-Таблица1[[#This Row],[Сумма 
Приход]]-Таблица1[[#This Row],[Авто услу ]]</f>
        <v>1288400</v>
      </c>
      <c r="S82" s="34">
        <v>2200000</v>
      </c>
      <c r="T82" s="34">
        <f>Таблица1[[#This Row],[Сумма 
Продажа]]-IF(Таблица1[[#This Row],[Расход 
Авто]]="Клиент",N(Таблица1[[#This Row],[Авто услу ]]),0)</f>
        <v>20782400</v>
      </c>
      <c r="U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" s="265" t="str">
        <f>IFERROR(INDEX(Мижозлар[Агент],MATCH($D82,Мижозлар[Расмий ном],0)),"")</f>
        <v>Темур</v>
      </c>
    </row>
    <row r="83" spans="1:23" ht="14.25" x14ac:dyDescent="0.2">
      <c r="A83" s="21" t="s">
        <v>44</v>
      </c>
      <c r="B83" s="135" t="s">
        <v>22</v>
      </c>
      <c r="C83" s="141" t="s">
        <v>36</v>
      </c>
      <c r="D83" s="141" t="s">
        <v>45</v>
      </c>
      <c r="E83" s="136">
        <v>46216</v>
      </c>
      <c r="F83" s="135" t="s">
        <v>419</v>
      </c>
      <c r="G83" s="34" t="s">
        <v>355</v>
      </c>
      <c r="H83" s="142">
        <v>32.832000000000001</v>
      </c>
      <c r="I83" s="34">
        <v>593750</v>
      </c>
      <c r="J83" s="34">
        <f>Таблица1[[#This Row],[Блок
 Куб]]*Таблица1[[#This Row],[Цена 
Приход]]</f>
        <v>19494000</v>
      </c>
      <c r="K83" s="34">
        <v>19</v>
      </c>
      <c r="L83" s="34">
        <v>130000</v>
      </c>
      <c r="M83" s="34">
        <f>Таблица1[[#This Row],[Поддон
Шт]]*Таблица1[[#This Row],[Цена
Поддон]]</f>
        <v>2470000</v>
      </c>
      <c r="N83" s="34">
        <f>Таблица1[[#This Row],[Сумма 
Приход]]+Таблица1[[#This Row],[Сумма Поддон]]</f>
        <v>21964000</v>
      </c>
      <c r="O83" s="34">
        <v>700000</v>
      </c>
      <c r="P83" s="34">
        <f>Таблица1[[#This Row],[Блок
 Куб]]*Таблица1[[#This Row],[Цена
 Продажа]]</f>
        <v>22982400</v>
      </c>
      <c r="Q83" s="34" t="s">
        <v>240</v>
      </c>
      <c r="R83" s="34">
        <f>Таблица1[[#This Row],[Сумма 
Продажа]]-Таблица1[[#This Row],[Сумма 
Приход]]-Таблица1[[#This Row],[Авто услу ]]</f>
        <v>1288400</v>
      </c>
      <c r="S83" s="34">
        <v>2200000</v>
      </c>
      <c r="T83" s="34">
        <f>Таблица1[[#This Row],[Сумма 
Продажа]]-IF(Таблица1[[#This Row],[Расход 
Авто]]="Клиент",N(Таблица1[[#This Row],[Авто услу ]]),0)</f>
        <v>20782400</v>
      </c>
      <c r="U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" s="265" t="str">
        <f>IFERROR(INDEX(Мижозлар[Агент],MATCH($D83,Мижозлар[Расмий ном],0)),"")</f>
        <v>Темур</v>
      </c>
    </row>
    <row r="84" spans="1:23" ht="14.25" x14ac:dyDescent="0.2">
      <c r="A84" s="21" t="s">
        <v>44</v>
      </c>
      <c r="B84" s="135" t="s">
        <v>22</v>
      </c>
      <c r="C84" s="141" t="s">
        <v>36</v>
      </c>
      <c r="D84" s="141" t="s">
        <v>82</v>
      </c>
      <c r="E84" s="136">
        <v>46216</v>
      </c>
      <c r="F84" s="135" t="s">
        <v>424</v>
      </c>
      <c r="G84" s="34" t="s">
        <v>355</v>
      </c>
      <c r="H84" s="142">
        <v>32.832000000000001</v>
      </c>
      <c r="I84" s="34">
        <v>593750</v>
      </c>
      <c r="J84" s="34">
        <f>Таблица1[[#This Row],[Блок
 Куб]]*Таблица1[[#This Row],[Цена 
Приход]]</f>
        <v>19494000</v>
      </c>
      <c r="K84" s="34">
        <v>19</v>
      </c>
      <c r="L84" s="34">
        <v>130000</v>
      </c>
      <c r="M84" s="34">
        <f>Таблица1[[#This Row],[Поддон
Шт]]*Таблица1[[#This Row],[Цена
Поддон]]</f>
        <v>2470000</v>
      </c>
      <c r="N84" s="34">
        <f>Таблица1[[#This Row],[Сумма 
Приход]]+Таблица1[[#This Row],[Сумма Поддон]]</f>
        <v>21964000</v>
      </c>
      <c r="O84" s="34">
        <v>700000</v>
      </c>
      <c r="P84" s="34">
        <f>Таблица1[[#This Row],[Блок
 Куб]]*Таблица1[[#This Row],[Цена
 Продажа]]</f>
        <v>22982400</v>
      </c>
      <c r="Q84" s="34" t="s">
        <v>240</v>
      </c>
      <c r="R84" s="34">
        <f>Таблица1[[#This Row],[Сумма 
Продажа]]-Таблица1[[#This Row],[Сумма 
Приход]]-Таблица1[[#This Row],[Авто услу ]]</f>
        <v>1188400</v>
      </c>
      <c r="S84" s="34">
        <v>2300000</v>
      </c>
      <c r="T84" s="34">
        <f>Таблица1[[#This Row],[Сумма 
Продажа]]-IF(Таблица1[[#This Row],[Расход 
Авто]]="Клиент",N(Таблица1[[#This Row],[Авто услу ]]),0)</f>
        <v>20682400</v>
      </c>
      <c r="U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" s="265" t="str">
        <f>IFERROR(INDEX(Мижозлар[Агент],MATCH($D84,Мижозлар[Расмий ном],0)),"")</f>
        <v>Темур</v>
      </c>
    </row>
    <row r="85" spans="1:23" ht="14.25" x14ac:dyDescent="0.2">
      <c r="A85" s="21" t="s">
        <v>44</v>
      </c>
      <c r="B85" s="135" t="s">
        <v>22</v>
      </c>
      <c r="C85" s="141" t="s">
        <v>25</v>
      </c>
      <c r="D85" s="141" t="s">
        <v>53</v>
      </c>
      <c r="E85" s="136">
        <v>46216</v>
      </c>
      <c r="F85" s="135" t="s">
        <v>425</v>
      </c>
      <c r="G85" s="34" t="s">
        <v>355</v>
      </c>
      <c r="H85" s="142">
        <v>32.832000000000001</v>
      </c>
      <c r="I85" s="34">
        <v>593750</v>
      </c>
      <c r="J85" s="34">
        <f>Таблица1[[#This Row],[Блок
 Куб]]*Таблица1[[#This Row],[Цена 
Приход]]</f>
        <v>19494000</v>
      </c>
      <c r="K85" s="34">
        <v>19</v>
      </c>
      <c r="L85" s="34">
        <v>130000</v>
      </c>
      <c r="M85" s="34">
        <f>Таблица1[[#This Row],[Поддон
Шт]]*Таблица1[[#This Row],[Цена
Поддон]]</f>
        <v>2470000</v>
      </c>
      <c r="N85" s="34">
        <f>Таблица1[[#This Row],[Сумма 
Приход]]+Таблица1[[#This Row],[Сумма Поддон]]</f>
        <v>21964000</v>
      </c>
      <c r="O85" s="34">
        <v>700000</v>
      </c>
      <c r="P85" s="34">
        <f>Таблица1[[#This Row],[Блок
 Куб]]*Таблица1[[#This Row],[Цена
 Продажа]]</f>
        <v>22982400</v>
      </c>
      <c r="Q85" s="34" t="s">
        <v>356</v>
      </c>
      <c r="R85" s="34">
        <f>Таблица1[[#This Row],[Сумма 
Продажа]]-Таблица1[[#This Row],[Сумма 
Приход]]-Таблица1[[#This Row],[Авто услу ]]</f>
        <v>988400</v>
      </c>
      <c r="S85" s="34">
        <v>2500000</v>
      </c>
      <c r="T85" s="34">
        <f>Таблица1[[#This Row],[Сумма 
Продажа]]-IF(Таблица1[[#This Row],[Расход 
Авто]]="Клиент",N(Таблица1[[#This Row],[Авто услу ]]),0)</f>
        <v>22982400</v>
      </c>
      <c r="U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" s="265" t="str">
        <f>IFERROR(INDEX(Мижозлар[Агент],MATCH($D85,Мижозлар[Расмий ном],0)),"")</f>
        <v>Жамол 22-22</v>
      </c>
    </row>
    <row r="86" spans="1:23" ht="14.25" x14ac:dyDescent="0.2">
      <c r="A86" s="21" t="s">
        <v>44</v>
      </c>
      <c r="B86" s="135" t="s">
        <v>22</v>
      </c>
      <c r="C86" s="141" t="s">
        <v>25</v>
      </c>
      <c r="D86" s="141" t="s">
        <v>103</v>
      </c>
      <c r="E86" s="136">
        <v>46216</v>
      </c>
      <c r="F86" s="135" t="s">
        <v>426</v>
      </c>
      <c r="G86" s="34" t="s">
        <v>355</v>
      </c>
      <c r="H86" s="142">
        <v>32.832000000000001</v>
      </c>
      <c r="I86" s="34">
        <v>593750</v>
      </c>
      <c r="J86" s="34">
        <f>Таблица1[[#This Row],[Блок
 Куб]]*Таблица1[[#This Row],[Цена 
Приход]]</f>
        <v>19494000</v>
      </c>
      <c r="K86" s="34">
        <v>19</v>
      </c>
      <c r="L86" s="34">
        <v>130000</v>
      </c>
      <c r="M86" s="34">
        <f>Таблица1[[#This Row],[Поддон
Шт]]*Таблица1[[#This Row],[Цена
Поддон]]</f>
        <v>2470000</v>
      </c>
      <c r="N86" s="34">
        <f>Таблица1[[#This Row],[Сумма 
Приход]]+Таблица1[[#This Row],[Сумма Поддон]]</f>
        <v>21964000</v>
      </c>
      <c r="O86" s="34">
        <v>700000</v>
      </c>
      <c r="P86" s="34">
        <f>Таблица1[[#This Row],[Блок
 Куб]]*Таблица1[[#This Row],[Цена
 Продажа]]</f>
        <v>22982400</v>
      </c>
      <c r="Q86" s="34" t="s">
        <v>356</v>
      </c>
      <c r="R86" s="34">
        <f>Таблица1[[#This Row],[Сумма 
Продажа]]-Таблица1[[#This Row],[Сумма 
Приход]]-Таблица1[[#This Row],[Авто услу ]]</f>
        <v>988400</v>
      </c>
      <c r="S86" s="34">
        <v>2500000</v>
      </c>
      <c r="T86" s="34">
        <f>Таблица1[[#This Row],[Сумма 
Продажа]]-IF(Таблица1[[#This Row],[Расход 
Авто]]="Клиент",N(Таблица1[[#This Row],[Авто услу ]]),0)</f>
        <v>22982400</v>
      </c>
      <c r="U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" s="265" t="str">
        <f>IFERROR(INDEX(Мижозлар[Агент],MATCH($D86,Мижозлар[Расмий ном],0)),"")</f>
        <v>Жамол 22-22</v>
      </c>
    </row>
    <row r="87" spans="1:23" ht="14.25" x14ac:dyDescent="0.2">
      <c r="A87" s="21" t="s">
        <v>44</v>
      </c>
      <c r="B87" s="135" t="s">
        <v>22</v>
      </c>
      <c r="C87" s="141" t="s">
        <v>40</v>
      </c>
      <c r="D87" s="141" t="s">
        <v>80</v>
      </c>
      <c r="E87" s="136">
        <v>46216</v>
      </c>
      <c r="F87" s="135" t="s">
        <v>427</v>
      </c>
      <c r="G87" s="34" t="s">
        <v>355</v>
      </c>
      <c r="H87" s="142">
        <v>32.832000000000001</v>
      </c>
      <c r="I87" s="34">
        <v>593750</v>
      </c>
      <c r="J87" s="34">
        <f>Таблица1[[#This Row],[Блок
 Куб]]*Таблица1[[#This Row],[Цена 
Приход]]</f>
        <v>19494000</v>
      </c>
      <c r="K87" s="34">
        <v>19</v>
      </c>
      <c r="L87" s="34">
        <v>130000</v>
      </c>
      <c r="M87" s="34">
        <f>Таблица1[[#This Row],[Поддон
Шт]]*Таблица1[[#This Row],[Цена
Поддон]]</f>
        <v>2470000</v>
      </c>
      <c r="N87" s="34">
        <f>Таблица1[[#This Row],[Сумма 
Приход]]+Таблица1[[#This Row],[Сумма Поддон]]</f>
        <v>21964000</v>
      </c>
      <c r="O87" s="34">
        <v>700000</v>
      </c>
      <c r="P87" s="34">
        <f>Таблица1[[#This Row],[Блок
 Куб]]*Таблица1[[#This Row],[Цена
 Продажа]]</f>
        <v>22982400</v>
      </c>
      <c r="Q87" s="34" t="s">
        <v>356</v>
      </c>
      <c r="R87" s="34">
        <f>Таблица1[[#This Row],[Сумма 
Продажа]]-Таблица1[[#This Row],[Сумма 
Приход]]-Таблица1[[#This Row],[Авто услу ]]</f>
        <v>1088400</v>
      </c>
      <c r="S87" s="34">
        <v>2400000</v>
      </c>
      <c r="T87" s="34">
        <f>Таблица1[[#This Row],[Сумма 
Продажа]]-IF(Таблица1[[#This Row],[Расход 
Авто]]="Клиент",N(Таблица1[[#This Row],[Авто услу ]]),0)</f>
        <v>22982400</v>
      </c>
      <c r="U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" s="265" t="str">
        <f>IFERROR(INDEX(Мижозлар[Агент],MATCH($D87,Мижозлар[Расмий ном],0)),"")</f>
        <v>Шохрух ога</v>
      </c>
    </row>
    <row r="88" spans="1:23" ht="14.25" x14ac:dyDescent="0.2">
      <c r="A88" s="21" t="s">
        <v>41</v>
      </c>
      <c r="B88" s="135" t="s">
        <v>22</v>
      </c>
      <c r="C88" s="141" t="s">
        <v>32</v>
      </c>
      <c r="D88" s="141" t="s">
        <v>122</v>
      </c>
      <c r="E88" s="136">
        <v>46216</v>
      </c>
      <c r="F88" s="135" t="s">
        <v>428</v>
      </c>
      <c r="G88" s="34" t="s">
        <v>355</v>
      </c>
      <c r="H88" s="142">
        <v>25.92</v>
      </c>
      <c r="I88" s="34">
        <v>517750</v>
      </c>
      <c r="J88" s="34">
        <f>Таблица1[[#This Row],[Блок
 Куб]]*Таблица1[[#This Row],[Цена 
Приход]]</f>
        <v>13420080</v>
      </c>
      <c r="K88" s="34">
        <v>15</v>
      </c>
      <c r="L88" s="34">
        <v>130000</v>
      </c>
      <c r="M88" s="34">
        <f>Таблица1[[#This Row],[Поддон
Шт]]*Таблица1[[#This Row],[Цена
Поддон]]</f>
        <v>1950000</v>
      </c>
      <c r="N88" s="34">
        <f>Таблица1[[#This Row],[Сумма 
Приход]]+Таблица1[[#This Row],[Сумма Поддон]]</f>
        <v>15370080</v>
      </c>
      <c r="O88" s="34">
        <v>700000</v>
      </c>
      <c r="P88" s="34">
        <f>Таблица1[[#This Row],[Блок
 Куб]]*Таблица1[[#This Row],[Цена
 Продажа]]</f>
        <v>18144000</v>
      </c>
      <c r="Q88" s="34" t="s">
        <v>240</v>
      </c>
      <c r="R88" s="34">
        <f>Таблица1[[#This Row],[Сумма 
Продажа]]-Таблица1[[#This Row],[Сумма 
Приход]]-Таблица1[[#This Row],[Авто услу ]]</f>
        <v>2473920</v>
      </c>
      <c r="S88" s="34">
        <v>2250000</v>
      </c>
      <c r="T88" s="34">
        <f>Таблица1[[#This Row],[Сумма 
Продажа]]-IF(Таблица1[[#This Row],[Расход 
Авто]]="Клиент",N(Таблица1[[#This Row],[Авто услу ]]),0)</f>
        <v>15894000</v>
      </c>
      <c r="U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" s="265" t="str">
        <f>IFERROR(INDEX(Мижозлар[Агент],MATCH($D88,Мижозлар[Расмий ном],0)),"")</f>
        <v>Сардор ога</v>
      </c>
    </row>
    <row r="89" spans="1:23" ht="14.25" x14ac:dyDescent="0.2">
      <c r="A89" s="21" t="s">
        <v>44</v>
      </c>
      <c r="B89" s="135" t="s">
        <v>22</v>
      </c>
      <c r="C89" s="141" t="s">
        <v>40</v>
      </c>
      <c r="D89" s="141" t="s">
        <v>80</v>
      </c>
      <c r="E89" s="136">
        <v>46216</v>
      </c>
      <c r="F89" s="135" t="s">
        <v>428</v>
      </c>
      <c r="G89" s="34" t="s">
        <v>355</v>
      </c>
      <c r="H89" s="142">
        <v>6.9119999999999999</v>
      </c>
      <c r="I89" s="34">
        <v>593750</v>
      </c>
      <c r="J89" s="34">
        <f>Таблица1[[#This Row],[Блок
 Куб]]*Таблица1[[#This Row],[Цена 
Приход]]</f>
        <v>4104000</v>
      </c>
      <c r="K89" s="34">
        <v>4</v>
      </c>
      <c r="L89" s="34">
        <v>130000</v>
      </c>
      <c r="M89" s="34">
        <f>Таблица1[[#This Row],[Поддон
Шт]]*Таблица1[[#This Row],[Цена
Поддон]]</f>
        <v>520000</v>
      </c>
      <c r="N89" s="34">
        <f>Таблица1[[#This Row],[Сумма 
Приход]]+Таблица1[[#This Row],[Сумма Поддон]]</f>
        <v>4624000</v>
      </c>
      <c r="O89" s="34">
        <v>700000</v>
      </c>
      <c r="P89" s="34">
        <f>Таблица1[[#This Row],[Блок
 Куб]]*Таблица1[[#This Row],[Цена
 Продажа]]</f>
        <v>4838400</v>
      </c>
      <c r="Q89" s="34" t="s">
        <v>356</v>
      </c>
      <c r="R89" s="34">
        <f>Таблица1[[#This Row],[Сумма 
Продажа]]-Таблица1[[#This Row],[Сумма 
Приход]]-Таблица1[[#This Row],[Авто услу ]]</f>
        <v>284400</v>
      </c>
      <c r="S89" s="34">
        <v>450000</v>
      </c>
      <c r="T89" s="34">
        <f>Таблица1[[#This Row],[Сумма 
Продажа]]-IF(Таблица1[[#This Row],[Расход 
Авто]]="Клиент",N(Таблица1[[#This Row],[Авто услу ]]),0)</f>
        <v>4838400</v>
      </c>
      <c r="U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" s="265" t="str">
        <f>IFERROR(INDEX(Мижозлар[Агент],MATCH($D89,Мижозлар[Расмий ном],0)),"")</f>
        <v>Шохрух ога</v>
      </c>
    </row>
    <row r="90" spans="1:23" ht="14.25" x14ac:dyDescent="0.2">
      <c r="A90" s="21" t="s">
        <v>44</v>
      </c>
      <c r="B90" s="135" t="s">
        <v>22</v>
      </c>
      <c r="C90" s="141" t="s">
        <v>29</v>
      </c>
      <c r="D90" s="141" t="s">
        <v>89</v>
      </c>
      <c r="E90" s="136">
        <v>46217</v>
      </c>
      <c r="F90" s="135" t="s">
        <v>429</v>
      </c>
      <c r="G90" s="34" t="s">
        <v>368</v>
      </c>
      <c r="H90" s="142">
        <v>32.832000000000001</v>
      </c>
      <c r="I90" s="34">
        <v>593750</v>
      </c>
      <c r="J90" s="34">
        <f>Таблица1[[#This Row],[Блок
 Куб]]*Таблица1[[#This Row],[Цена 
Приход]]</f>
        <v>19494000</v>
      </c>
      <c r="K90" s="34">
        <v>19</v>
      </c>
      <c r="L90" s="34">
        <v>130000</v>
      </c>
      <c r="M90" s="34">
        <f>Таблица1[[#This Row],[Поддон
Шт]]*Таблица1[[#This Row],[Цена
Поддон]]</f>
        <v>2470000</v>
      </c>
      <c r="N90" s="34">
        <f>Таблица1[[#This Row],[Сумма 
Приход]]+Таблица1[[#This Row],[Сумма Поддон]]</f>
        <v>21964000</v>
      </c>
      <c r="O90" s="34">
        <v>700000</v>
      </c>
      <c r="P90" s="34">
        <f>Таблица1[[#This Row],[Блок
 Куб]]*Таблица1[[#This Row],[Цена
 Продажа]]</f>
        <v>22982400</v>
      </c>
      <c r="Q90" s="34" t="s">
        <v>356</v>
      </c>
      <c r="R90" s="34">
        <f>Таблица1[[#This Row],[Сумма 
Продажа]]-Таблица1[[#This Row],[Сумма 
Приход]]-Таблица1[[#This Row],[Авто услу ]]</f>
        <v>1288400</v>
      </c>
      <c r="S90" s="34">
        <v>2200000</v>
      </c>
      <c r="T90" s="34">
        <f>Таблица1[[#This Row],[Сумма 
Продажа]]-IF(Таблица1[[#This Row],[Расход 
Авто]]="Клиент",N(Таблица1[[#This Row],[Авто услу ]]),0)</f>
        <v>22982400</v>
      </c>
      <c r="U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" s="265" t="str">
        <f>IFERROR(INDEX(Мижозлар[Агент],MATCH($D90,Мижозлар[Расмий ном],0)),"")</f>
        <v>Зафар ога</v>
      </c>
    </row>
    <row r="91" spans="1:23" ht="14.25" x14ac:dyDescent="0.2">
      <c r="A91" s="21" t="s">
        <v>44</v>
      </c>
      <c r="B91" s="135" t="s">
        <v>22</v>
      </c>
      <c r="C91" s="141" t="s">
        <v>36</v>
      </c>
      <c r="D91" s="141" t="s">
        <v>82</v>
      </c>
      <c r="E91" s="136">
        <v>46217</v>
      </c>
      <c r="F91" s="135" t="s">
        <v>430</v>
      </c>
      <c r="G91" s="34" t="s">
        <v>355</v>
      </c>
      <c r="H91" s="142">
        <v>32.832000000000001</v>
      </c>
      <c r="I91" s="34">
        <v>593750</v>
      </c>
      <c r="J91" s="34">
        <f>Таблица1[[#This Row],[Блок
 Куб]]*Таблица1[[#This Row],[Цена 
Приход]]</f>
        <v>19494000</v>
      </c>
      <c r="K91" s="34">
        <v>19</v>
      </c>
      <c r="L91" s="34">
        <v>130000</v>
      </c>
      <c r="M91" s="34">
        <f>Таблица1[[#This Row],[Поддон
Шт]]*Таблица1[[#This Row],[Цена
Поддон]]</f>
        <v>2470000</v>
      </c>
      <c r="N91" s="34">
        <f>Таблица1[[#This Row],[Сумма 
Приход]]+Таблица1[[#This Row],[Сумма Поддон]]</f>
        <v>21964000</v>
      </c>
      <c r="O91" s="34">
        <v>700000</v>
      </c>
      <c r="P91" s="34">
        <f>Таблица1[[#This Row],[Блок
 Куб]]*Таблица1[[#This Row],[Цена
 Продажа]]</f>
        <v>22982400</v>
      </c>
      <c r="Q91" s="34" t="s">
        <v>240</v>
      </c>
      <c r="R91" s="34">
        <f>Таблица1[[#This Row],[Сумма 
Продажа]]-Таблица1[[#This Row],[Сумма 
Приход]]-Таблица1[[#This Row],[Авто услу ]]</f>
        <v>1188400</v>
      </c>
      <c r="S91" s="34">
        <v>2300000</v>
      </c>
      <c r="T91" s="34">
        <f>Таблица1[[#This Row],[Сумма 
Продажа]]-IF(Таблица1[[#This Row],[Расход 
Авто]]="Клиент",N(Таблица1[[#This Row],[Авто услу ]]),0)</f>
        <v>20682400</v>
      </c>
      <c r="U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" s="265" t="str">
        <f>IFERROR(INDEX(Мижозлар[Агент],MATCH($D91,Мижозлар[Расмий ном],0)),"")</f>
        <v>Темур</v>
      </c>
    </row>
    <row r="92" spans="1:23" ht="14.25" x14ac:dyDescent="0.2">
      <c r="A92" s="21" t="s">
        <v>44</v>
      </c>
      <c r="B92" s="135" t="s">
        <v>22</v>
      </c>
      <c r="C92" s="141" t="s">
        <v>40</v>
      </c>
      <c r="D92" s="141" t="s">
        <v>27</v>
      </c>
      <c r="E92" s="136">
        <v>46217</v>
      </c>
      <c r="F92" s="135" t="s">
        <v>431</v>
      </c>
      <c r="G92" s="34" t="s">
        <v>355</v>
      </c>
      <c r="H92" s="142">
        <v>32.832000000000001</v>
      </c>
      <c r="I92" s="34">
        <v>593750</v>
      </c>
      <c r="J92" s="34">
        <f>Таблица1[[#This Row],[Блок
 Куб]]*Таблица1[[#This Row],[Цена 
Приход]]</f>
        <v>19494000</v>
      </c>
      <c r="K92" s="34">
        <v>19</v>
      </c>
      <c r="L92" s="34">
        <v>130000</v>
      </c>
      <c r="M92" s="34">
        <f>Таблица1[[#This Row],[Поддон
Шт]]*Таблица1[[#This Row],[Цена
Поддон]]</f>
        <v>2470000</v>
      </c>
      <c r="N92" s="34">
        <f>Таблица1[[#This Row],[Сумма 
Приход]]+Таблица1[[#This Row],[Сумма Поддон]]</f>
        <v>21964000</v>
      </c>
      <c r="O92" s="34">
        <v>700000</v>
      </c>
      <c r="P92" s="34">
        <f>Таблица1[[#This Row],[Блок
 Куб]]*Таблица1[[#This Row],[Цена
 Продажа]]</f>
        <v>22982400</v>
      </c>
      <c r="Q92" s="34" t="s">
        <v>240</v>
      </c>
      <c r="R92" s="34">
        <f>Таблица1[[#This Row],[Сумма 
Продажа]]-Таблица1[[#This Row],[Сумма 
Приход]]-Таблица1[[#This Row],[Авто услу ]]</f>
        <v>988400</v>
      </c>
      <c r="S92" s="34">
        <v>2500000</v>
      </c>
      <c r="T92" s="34">
        <f>Таблица1[[#This Row],[Сумма 
Продажа]]-IF(Таблица1[[#This Row],[Расход 
Авто]]="Клиент",N(Таблица1[[#This Row],[Авто услу ]]),0)</f>
        <v>20482400</v>
      </c>
      <c r="U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" s="265" t="str">
        <f>IFERROR(INDEX(Мижозлар[Агент],MATCH($D92,Мижозлар[Расмий ном],0)),"")</f>
        <v>Шохрух ога</v>
      </c>
    </row>
    <row r="93" spans="1:23" ht="14.25" x14ac:dyDescent="0.2">
      <c r="A93" s="21" t="s">
        <v>44</v>
      </c>
      <c r="B93" s="135" t="s">
        <v>22</v>
      </c>
      <c r="C93" s="141" t="s">
        <v>40</v>
      </c>
      <c r="D93" s="141" t="s">
        <v>80</v>
      </c>
      <c r="E93" s="136">
        <v>46217</v>
      </c>
      <c r="F93" s="135" t="s">
        <v>432</v>
      </c>
      <c r="G93" s="34" t="s">
        <v>355</v>
      </c>
      <c r="H93" s="142">
        <v>32.832000000000001</v>
      </c>
      <c r="I93" s="34">
        <v>593750</v>
      </c>
      <c r="J93" s="34">
        <f>Таблица1[[#This Row],[Блок
 Куб]]*Таблица1[[#This Row],[Цена 
Приход]]</f>
        <v>19494000</v>
      </c>
      <c r="K93" s="34">
        <v>19</v>
      </c>
      <c r="L93" s="34">
        <v>130000</v>
      </c>
      <c r="M93" s="34">
        <f>Таблица1[[#This Row],[Поддон
Шт]]*Таблица1[[#This Row],[Цена
Поддон]]</f>
        <v>2470000</v>
      </c>
      <c r="N93" s="34">
        <f>Таблица1[[#This Row],[Сумма 
Приход]]+Таблица1[[#This Row],[Сумма Поддон]]</f>
        <v>21964000</v>
      </c>
      <c r="O93" s="34">
        <v>700000</v>
      </c>
      <c r="P93" s="34">
        <f>Таблица1[[#This Row],[Блок
 Куб]]*Таблица1[[#This Row],[Цена
 Продажа]]</f>
        <v>22982400</v>
      </c>
      <c r="Q93" s="34" t="s">
        <v>356</v>
      </c>
      <c r="R93" s="34">
        <f>Таблица1[[#This Row],[Сумма 
Продажа]]-Таблица1[[#This Row],[Сумма 
Приход]]-Таблица1[[#This Row],[Авто услу ]]</f>
        <v>988400</v>
      </c>
      <c r="S93" s="34">
        <v>2500000</v>
      </c>
      <c r="T93" s="34">
        <f>Таблица1[[#This Row],[Сумма 
Продажа]]-IF(Таблица1[[#This Row],[Расход 
Авто]]="Клиент",N(Таблица1[[#This Row],[Авто услу ]]),0)</f>
        <v>22982400</v>
      </c>
      <c r="U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" s="265" t="str">
        <f>IFERROR(INDEX(Мижозлар[Агент],MATCH($D93,Мижозлар[Расмий ном],0)),"")</f>
        <v>Шохрух ога</v>
      </c>
    </row>
    <row r="94" spans="1:23" ht="14.25" x14ac:dyDescent="0.2">
      <c r="A94" s="21" t="s">
        <v>44</v>
      </c>
      <c r="B94" s="135" t="s">
        <v>22</v>
      </c>
      <c r="C94" s="141" t="s">
        <v>40</v>
      </c>
      <c r="D94" s="141" t="s">
        <v>42</v>
      </c>
      <c r="E94" s="136">
        <v>46217</v>
      </c>
      <c r="F94" s="135" t="s">
        <v>433</v>
      </c>
      <c r="G94" s="34" t="s">
        <v>403</v>
      </c>
      <c r="H94" s="142">
        <v>32.832000000000001</v>
      </c>
      <c r="I94" s="34">
        <v>563750</v>
      </c>
      <c r="J94" s="34">
        <f>Таблица1[[#This Row],[Блок
 Куб]]*Таблица1[[#This Row],[Цена 
Приход]]</f>
        <v>18509040</v>
      </c>
      <c r="K94" s="34">
        <v>19</v>
      </c>
      <c r="L94" s="34">
        <v>130000</v>
      </c>
      <c r="M94" s="34">
        <f>Таблица1[[#This Row],[Поддон
Шт]]*Таблица1[[#This Row],[Цена
Поддон]]</f>
        <v>2470000</v>
      </c>
      <c r="N94" s="34">
        <f>Таблица1[[#This Row],[Сумма 
Приход]]+Таблица1[[#This Row],[Сумма Поддон]]</f>
        <v>20979040</v>
      </c>
      <c r="O94" s="34">
        <v>700000</v>
      </c>
      <c r="P94" s="34">
        <f>Таблица1[[#This Row],[Блок
 Куб]]*Таблица1[[#This Row],[Цена
 Продажа]]</f>
        <v>22982400</v>
      </c>
      <c r="Q94" s="34" t="s">
        <v>356</v>
      </c>
      <c r="R94" s="34">
        <f>Таблица1[[#This Row],[Сумма 
Продажа]]-Таблица1[[#This Row],[Сумма 
Приход]]-Таблица1[[#This Row],[Авто услу ]]</f>
        <v>1973360</v>
      </c>
      <c r="S94" s="34">
        <v>2500000</v>
      </c>
      <c r="T94" s="34">
        <f>Таблица1[[#This Row],[Сумма 
Продажа]]-IF(Таблица1[[#This Row],[Расход 
Авто]]="Клиент",N(Таблица1[[#This Row],[Авто услу ]]),0)</f>
        <v>22982400</v>
      </c>
      <c r="U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" s="265" t="str">
        <f>IFERROR(INDEX(Мижозлар[Агент],MATCH($D94,Мижозлар[Расмий ном],0)),"")</f>
        <v>Шохрух ога</v>
      </c>
    </row>
    <row r="95" spans="1:23" ht="14.25" x14ac:dyDescent="0.2">
      <c r="A95" s="21" t="s">
        <v>44</v>
      </c>
      <c r="B95" s="135" t="s">
        <v>22</v>
      </c>
      <c r="C95" s="141" t="s">
        <v>36</v>
      </c>
      <c r="D95" s="141" t="s">
        <v>45</v>
      </c>
      <c r="E95" s="136">
        <v>46217</v>
      </c>
      <c r="F95" s="135" t="s">
        <v>434</v>
      </c>
      <c r="G95" s="34" t="s">
        <v>355</v>
      </c>
      <c r="H95" s="142">
        <v>32.832000000000001</v>
      </c>
      <c r="I95" s="34">
        <v>593750</v>
      </c>
      <c r="J95" s="34">
        <f>Таблица1[[#This Row],[Блок
 Куб]]*Таблица1[[#This Row],[Цена 
Приход]]</f>
        <v>19494000</v>
      </c>
      <c r="K95" s="34">
        <v>19</v>
      </c>
      <c r="L95" s="34">
        <v>130000</v>
      </c>
      <c r="M95" s="34">
        <f>Таблица1[[#This Row],[Поддон
Шт]]*Таблица1[[#This Row],[Цена
Поддон]]</f>
        <v>2470000</v>
      </c>
      <c r="N95" s="34">
        <f>Таблица1[[#This Row],[Сумма 
Приход]]+Таблица1[[#This Row],[Сумма Поддон]]</f>
        <v>21964000</v>
      </c>
      <c r="O95" s="34">
        <v>700000</v>
      </c>
      <c r="P95" s="34">
        <f>Таблица1[[#This Row],[Блок
 Куб]]*Таблица1[[#This Row],[Цена
 Продажа]]</f>
        <v>22982400</v>
      </c>
      <c r="Q95" s="34" t="s">
        <v>240</v>
      </c>
      <c r="R95" s="34">
        <f>Таблица1[[#This Row],[Сумма 
Продажа]]-Таблица1[[#This Row],[Сумма 
Приход]]-Таблица1[[#This Row],[Авто услу ]]</f>
        <v>988400</v>
      </c>
      <c r="S95" s="34">
        <v>2500000</v>
      </c>
      <c r="T95" s="34">
        <f>Таблица1[[#This Row],[Сумма 
Продажа]]-IF(Таблица1[[#This Row],[Расход 
Авто]]="Клиент",N(Таблица1[[#This Row],[Авто услу ]]),0)</f>
        <v>20482400</v>
      </c>
      <c r="U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" s="265" t="str">
        <f>IFERROR(INDEX(Мижозлар[Агент],MATCH($D95,Мижозлар[Расмий ном],0)),"")</f>
        <v>Темур</v>
      </c>
    </row>
    <row r="96" spans="1:23" ht="14.25" x14ac:dyDescent="0.2">
      <c r="A96" s="21" t="s">
        <v>44</v>
      </c>
      <c r="B96" s="135" t="s">
        <v>22</v>
      </c>
      <c r="C96" s="141" t="s">
        <v>40</v>
      </c>
      <c r="D96" s="141" t="s">
        <v>42</v>
      </c>
      <c r="E96" s="136">
        <v>46217</v>
      </c>
      <c r="F96" s="135" t="s">
        <v>435</v>
      </c>
      <c r="G96" s="34" t="s">
        <v>403</v>
      </c>
      <c r="H96" s="142">
        <v>32.832000000000001</v>
      </c>
      <c r="I96" s="34">
        <v>563750</v>
      </c>
      <c r="J96" s="34">
        <f>Таблица1[[#This Row],[Блок
 Куб]]*Таблица1[[#This Row],[Цена 
Приход]]</f>
        <v>18509040</v>
      </c>
      <c r="K96" s="34">
        <v>19</v>
      </c>
      <c r="L96" s="34">
        <v>130000</v>
      </c>
      <c r="M96" s="34">
        <f>Таблица1[[#This Row],[Поддон
Шт]]*Таблица1[[#This Row],[Цена
Поддон]]</f>
        <v>2470000</v>
      </c>
      <c r="N96" s="34">
        <f>Таблица1[[#This Row],[Сумма 
Приход]]+Таблица1[[#This Row],[Сумма Поддон]]</f>
        <v>20979040</v>
      </c>
      <c r="O96" s="34">
        <v>700000</v>
      </c>
      <c r="P96" s="34">
        <f>Таблица1[[#This Row],[Блок
 Куб]]*Таблица1[[#This Row],[Цена
 Продажа]]</f>
        <v>22982400</v>
      </c>
      <c r="Q96" s="34" t="s">
        <v>356</v>
      </c>
      <c r="R96" s="34">
        <f>Таблица1[[#This Row],[Сумма 
Продажа]]-Таблица1[[#This Row],[Сумма 
Приход]]-Таблица1[[#This Row],[Авто услу ]]</f>
        <v>1973360</v>
      </c>
      <c r="S96" s="34">
        <v>2500000</v>
      </c>
      <c r="T96" s="34">
        <f>Таблица1[[#This Row],[Сумма 
Продажа]]-IF(Таблица1[[#This Row],[Расход 
Авто]]="Клиент",N(Таблица1[[#This Row],[Авто услу ]]),0)</f>
        <v>22982400</v>
      </c>
      <c r="U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" s="265" t="str">
        <f>IFERROR(INDEX(Мижозлар[Агент],MATCH($D96,Мижозлар[Расмий ном],0)),"")</f>
        <v>Шохрух ога</v>
      </c>
    </row>
    <row r="97" spans="1:23" ht="14.25" x14ac:dyDescent="0.2">
      <c r="A97" s="21" t="s">
        <v>44</v>
      </c>
      <c r="B97" s="135" t="s">
        <v>22</v>
      </c>
      <c r="C97" s="141" t="s">
        <v>32</v>
      </c>
      <c r="D97" s="141" t="s">
        <v>91</v>
      </c>
      <c r="E97" s="136">
        <v>46217</v>
      </c>
      <c r="F97" s="135" t="s">
        <v>379</v>
      </c>
      <c r="G97" s="34" t="s">
        <v>403</v>
      </c>
      <c r="H97" s="142">
        <v>32.832000000000001</v>
      </c>
      <c r="I97" s="34">
        <v>563750</v>
      </c>
      <c r="J97" s="34">
        <f>Таблица1[[#This Row],[Блок
 Куб]]*Таблица1[[#This Row],[Цена 
Приход]]</f>
        <v>18509040</v>
      </c>
      <c r="K97" s="34">
        <v>19</v>
      </c>
      <c r="L97" s="34">
        <v>130000</v>
      </c>
      <c r="M97" s="34">
        <f>Таблица1[[#This Row],[Поддон
Шт]]*Таблица1[[#This Row],[Цена
Поддон]]</f>
        <v>2470000</v>
      </c>
      <c r="N97" s="34">
        <f>Таблица1[[#This Row],[Сумма 
Приход]]+Таблица1[[#This Row],[Сумма Поддон]]</f>
        <v>20979040</v>
      </c>
      <c r="O97" s="34">
        <v>700000</v>
      </c>
      <c r="P97" s="34">
        <f>Таблица1[[#This Row],[Блок
 Куб]]*Таблица1[[#This Row],[Цена
 Продажа]]</f>
        <v>22982400</v>
      </c>
      <c r="Q97" s="34" t="s">
        <v>240</v>
      </c>
      <c r="R97" s="34">
        <f>Таблица1[[#This Row],[Сумма 
Продажа]]-Таблица1[[#This Row],[Сумма 
Приход]]-Таблица1[[#This Row],[Авто услу ]]</f>
        <v>1973360</v>
      </c>
      <c r="S97" s="34">
        <v>2500000</v>
      </c>
      <c r="T97" s="34">
        <f>Таблица1[[#This Row],[Сумма 
Продажа]]-IF(Таблица1[[#This Row],[Расход 
Авто]]="Клиент",N(Таблица1[[#This Row],[Авто услу ]]),0)</f>
        <v>20482400</v>
      </c>
      <c r="U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" s="265" t="str">
        <f>IFERROR(INDEX(Мижозлар[Агент],MATCH($D97,Мижозлар[Расмий ном],0)),"")</f>
        <v>Сардор ога</v>
      </c>
    </row>
    <row r="98" spans="1:23" ht="14.25" x14ac:dyDescent="0.2">
      <c r="A98" s="21" t="s">
        <v>44</v>
      </c>
      <c r="B98" s="135" t="s">
        <v>22</v>
      </c>
      <c r="C98" s="141" t="s">
        <v>32</v>
      </c>
      <c r="D98" s="141" t="s">
        <v>91</v>
      </c>
      <c r="E98" s="136">
        <v>46217</v>
      </c>
      <c r="F98" s="135" t="s">
        <v>436</v>
      </c>
      <c r="G98" s="34" t="s">
        <v>403</v>
      </c>
      <c r="H98" s="142">
        <v>32.832000000000001</v>
      </c>
      <c r="I98" s="34">
        <v>563750</v>
      </c>
      <c r="J98" s="34">
        <f>Таблица1[[#This Row],[Блок
 Куб]]*Таблица1[[#This Row],[Цена 
Приход]]</f>
        <v>18509040</v>
      </c>
      <c r="K98" s="34">
        <v>19</v>
      </c>
      <c r="L98" s="34">
        <v>130000</v>
      </c>
      <c r="M98" s="34">
        <f>Таблица1[[#This Row],[Поддон
Шт]]*Таблица1[[#This Row],[Цена
Поддон]]</f>
        <v>2470000</v>
      </c>
      <c r="N98" s="34">
        <f>Таблица1[[#This Row],[Сумма 
Приход]]+Таблица1[[#This Row],[Сумма Поддон]]</f>
        <v>20979040</v>
      </c>
      <c r="O98" s="34">
        <v>700000</v>
      </c>
      <c r="P98" s="34">
        <f>Таблица1[[#This Row],[Блок
 Куб]]*Таблица1[[#This Row],[Цена
 Продажа]]</f>
        <v>22982400</v>
      </c>
      <c r="Q98" s="34" t="s">
        <v>240</v>
      </c>
      <c r="R98" s="34">
        <f>Таблица1[[#This Row],[Сумма 
Продажа]]-Таблица1[[#This Row],[Сумма 
Приход]]-Таблица1[[#This Row],[Авто услу ]]</f>
        <v>1973360</v>
      </c>
      <c r="S98" s="34">
        <v>2500000</v>
      </c>
      <c r="T98" s="34">
        <f>Таблица1[[#This Row],[Сумма 
Продажа]]-IF(Таблица1[[#This Row],[Расход 
Авто]]="Клиент",N(Таблица1[[#This Row],[Авто услу ]]),0)</f>
        <v>20482400</v>
      </c>
      <c r="U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" s="265" t="str">
        <f>IFERROR(INDEX(Мижозлар[Агент],MATCH($D98,Мижозлар[Расмий ном],0)),"")</f>
        <v>Сардор ога</v>
      </c>
    </row>
    <row r="99" spans="1:23" ht="14.25" x14ac:dyDescent="0.2">
      <c r="A99" s="21" t="s">
        <v>44</v>
      </c>
      <c r="B99" s="135" t="s">
        <v>22</v>
      </c>
      <c r="C99" s="141" t="s">
        <v>40</v>
      </c>
      <c r="D99" s="141" t="s">
        <v>42</v>
      </c>
      <c r="E99" s="136">
        <v>46217</v>
      </c>
      <c r="F99" s="135" t="s">
        <v>437</v>
      </c>
      <c r="G99" s="34" t="s">
        <v>403</v>
      </c>
      <c r="H99" s="142">
        <v>32.832000000000001</v>
      </c>
      <c r="I99" s="34">
        <v>563750</v>
      </c>
      <c r="J99" s="34">
        <f>Таблица1[[#This Row],[Блок
 Куб]]*Таблица1[[#This Row],[Цена 
Приход]]</f>
        <v>18509040</v>
      </c>
      <c r="K99" s="34">
        <v>19</v>
      </c>
      <c r="L99" s="34">
        <v>130000</v>
      </c>
      <c r="M99" s="34">
        <f>Таблица1[[#This Row],[Поддон
Шт]]*Таблица1[[#This Row],[Цена
Поддон]]</f>
        <v>2470000</v>
      </c>
      <c r="N99" s="34">
        <f>Таблица1[[#This Row],[Сумма 
Приход]]+Таблица1[[#This Row],[Сумма Поддон]]</f>
        <v>20979040</v>
      </c>
      <c r="O99" s="34">
        <v>700000</v>
      </c>
      <c r="P99" s="34">
        <f>Таблица1[[#This Row],[Блок
 Куб]]*Таблица1[[#This Row],[Цена
 Продажа]]</f>
        <v>22982400</v>
      </c>
      <c r="Q99" s="34" t="s">
        <v>356</v>
      </c>
      <c r="R99" s="34">
        <f>Таблица1[[#This Row],[Сумма 
Продажа]]-Таблица1[[#This Row],[Сумма 
Приход]]-Таблица1[[#This Row],[Авто услу ]]</f>
        <v>1973360</v>
      </c>
      <c r="S99" s="34">
        <v>2500000</v>
      </c>
      <c r="T99" s="34">
        <f>Таблица1[[#This Row],[Сумма 
Продажа]]-IF(Таблица1[[#This Row],[Расход 
Авто]]="Клиент",N(Таблица1[[#This Row],[Авто услу ]]),0)</f>
        <v>22982400</v>
      </c>
      <c r="U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" s="265" t="str">
        <f>IFERROR(INDEX(Мижозлар[Агент],MATCH($D99,Мижозлар[Расмий ном],0)),"")</f>
        <v>Шохрух ога</v>
      </c>
    </row>
    <row r="100" spans="1:23" ht="13.5" customHeight="1" x14ac:dyDescent="0.2">
      <c r="A100" s="21" t="s">
        <v>44</v>
      </c>
      <c r="B100" s="135" t="s">
        <v>22</v>
      </c>
      <c r="C100" s="141" t="s">
        <v>36</v>
      </c>
      <c r="D100" s="141" t="s">
        <v>45</v>
      </c>
      <c r="E100" s="136">
        <v>46218</v>
      </c>
      <c r="F100" s="135" t="s">
        <v>438</v>
      </c>
      <c r="G100" s="34" t="s">
        <v>355</v>
      </c>
      <c r="H100" s="142">
        <v>32.832000000000001</v>
      </c>
      <c r="I100" s="34">
        <v>593750</v>
      </c>
      <c r="J100" s="34">
        <f>Таблица1[[#This Row],[Блок
 Куб]]*Таблица1[[#This Row],[Цена 
Приход]]</f>
        <v>19494000</v>
      </c>
      <c r="K100" s="34">
        <v>19</v>
      </c>
      <c r="L100" s="34">
        <v>130000</v>
      </c>
      <c r="M100" s="34">
        <f>Таблица1[[#This Row],[Поддон
Шт]]*Таблица1[[#This Row],[Цена
Поддон]]</f>
        <v>2470000</v>
      </c>
      <c r="N100" s="34">
        <f>Таблица1[[#This Row],[Сумма 
Приход]]+Таблица1[[#This Row],[Сумма Поддон]]</f>
        <v>21964000</v>
      </c>
      <c r="O100" s="34">
        <v>700000</v>
      </c>
      <c r="P100" s="34">
        <f>Таблица1[[#This Row],[Блок
 Куб]]*Таблица1[[#This Row],[Цена
 Продажа]]</f>
        <v>22982400</v>
      </c>
      <c r="Q100" s="34" t="s">
        <v>240</v>
      </c>
      <c r="R100" s="34">
        <f>Таблица1[[#This Row],[Сумма 
Продажа]]-Таблица1[[#This Row],[Сумма 
Приход]]-Таблица1[[#This Row],[Авто услу ]]</f>
        <v>988400</v>
      </c>
      <c r="S100" s="34">
        <v>2500000</v>
      </c>
      <c r="T100" s="34">
        <f>Таблица1[[#This Row],[Сумма 
Продажа]]-IF(Таблица1[[#This Row],[Расход 
Авто]]="Клиент",N(Таблица1[[#This Row],[Авто услу ]]),0)</f>
        <v>20482400</v>
      </c>
      <c r="U1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" s="265" t="str">
        <f>IFERROR(INDEX(Мижозлар[Агент],MATCH($D100,Мижозлар[Расмий ном],0)),"")</f>
        <v>Темур</v>
      </c>
    </row>
    <row r="101" spans="1:23" ht="14.25" x14ac:dyDescent="0.2">
      <c r="A101" s="21" t="s">
        <v>44</v>
      </c>
      <c r="B101" s="135" t="s">
        <v>22</v>
      </c>
      <c r="C101" s="141" t="s">
        <v>25</v>
      </c>
      <c r="D101" s="141" t="s">
        <v>103</v>
      </c>
      <c r="E101" s="136">
        <v>46218</v>
      </c>
      <c r="F101" s="135" t="s">
        <v>439</v>
      </c>
      <c r="G101" s="34" t="s">
        <v>403</v>
      </c>
      <c r="H101" s="142">
        <v>32.832000000000001</v>
      </c>
      <c r="I101" s="34">
        <v>563750</v>
      </c>
      <c r="J101" s="34">
        <f>Таблица1[[#This Row],[Блок
 Куб]]*Таблица1[[#This Row],[Цена 
Приход]]</f>
        <v>18509040</v>
      </c>
      <c r="K101" s="34">
        <v>19</v>
      </c>
      <c r="L101" s="34">
        <v>130000</v>
      </c>
      <c r="M101" s="34">
        <f>Таблица1[[#This Row],[Поддон
Шт]]*Таблица1[[#This Row],[Цена
Поддон]]</f>
        <v>2470000</v>
      </c>
      <c r="N101" s="34">
        <f>Таблица1[[#This Row],[Сумма 
Приход]]+Таблица1[[#This Row],[Сумма Поддон]]</f>
        <v>20979040</v>
      </c>
      <c r="O101" s="34">
        <v>700000</v>
      </c>
      <c r="P101" s="34">
        <f>Таблица1[[#This Row],[Блок
 Куб]]*Таблица1[[#This Row],[Цена
 Продажа]]</f>
        <v>22982400</v>
      </c>
      <c r="Q101" s="34" t="s">
        <v>356</v>
      </c>
      <c r="R101" s="34">
        <f>Таблица1[[#This Row],[Сумма 
Продажа]]-Таблица1[[#This Row],[Сумма 
Приход]]-Таблица1[[#This Row],[Авто услу ]]</f>
        <v>1973360</v>
      </c>
      <c r="S101" s="34">
        <v>2500000</v>
      </c>
      <c r="T101" s="34">
        <f>Таблица1[[#This Row],[Сумма 
Продажа]]-IF(Таблица1[[#This Row],[Расход 
Авто]]="Клиент",N(Таблица1[[#This Row],[Авто услу ]]),0)</f>
        <v>22982400</v>
      </c>
      <c r="U1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" s="265" t="str">
        <f>IFERROR(INDEX(Мижозлар[Агент],MATCH($D101,Мижозлар[Расмий ном],0)),"")</f>
        <v>Жамол 22-22</v>
      </c>
    </row>
    <row r="102" spans="1:23" ht="14.25" x14ac:dyDescent="0.2">
      <c r="A102" s="21" t="s">
        <v>44</v>
      </c>
      <c r="B102" s="135" t="s">
        <v>22</v>
      </c>
      <c r="C102" s="141" t="s">
        <v>40</v>
      </c>
      <c r="D102" s="141" t="s">
        <v>42</v>
      </c>
      <c r="E102" s="136">
        <v>46218</v>
      </c>
      <c r="F102" s="135" t="s">
        <v>426</v>
      </c>
      <c r="G102" s="34" t="s">
        <v>403</v>
      </c>
      <c r="H102" s="142">
        <v>32.832000000000001</v>
      </c>
      <c r="I102" s="34">
        <v>563750</v>
      </c>
      <c r="J102" s="34">
        <f>Таблица1[[#This Row],[Блок
 Куб]]*Таблица1[[#This Row],[Цена 
Приход]]</f>
        <v>18509040</v>
      </c>
      <c r="K102" s="34">
        <v>19</v>
      </c>
      <c r="L102" s="34">
        <v>130000</v>
      </c>
      <c r="M102" s="34">
        <f>Таблица1[[#This Row],[Поддон
Шт]]*Таблица1[[#This Row],[Цена
Поддон]]</f>
        <v>2470000</v>
      </c>
      <c r="N102" s="34">
        <f>Таблица1[[#This Row],[Сумма 
Приход]]+Таблица1[[#This Row],[Сумма Поддон]]</f>
        <v>20979040</v>
      </c>
      <c r="O102" s="34">
        <v>700000</v>
      </c>
      <c r="P102" s="34">
        <f>Таблица1[[#This Row],[Блок
 Куб]]*Таблица1[[#This Row],[Цена
 Продажа]]</f>
        <v>22982400</v>
      </c>
      <c r="Q102" s="34" t="s">
        <v>356</v>
      </c>
      <c r="R102" s="34">
        <f>Таблица1[[#This Row],[Сумма 
Продажа]]-Таблица1[[#This Row],[Сумма 
Приход]]-Таблица1[[#This Row],[Авто услу ]]</f>
        <v>1973360</v>
      </c>
      <c r="S102" s="34">
        <v>2500000</v>
      </c>
      <c r="T102" s="34">
        <f>Таблица1[[#This Row],[Сумма 
Продажа]]-IF(Таблица1[[#This Row],[Расход 
Авто]]="Клиент",N(Таблица1[[#This Row],[Авто услу ]]),0)</f>
        <v>22982400</v>
      </c>
      <c r="U1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" s="265" t="str">
        <f>IFERROR(INDEX(Мижозлар[Агент],MATCH($D102,Мижозлар[Расмий ном],0)),"")</f>
        <v>Шохрух ога</v>
      </c>
    </row>
    <row r="103" spans="1:23" ht="14.25" x14ac:dyDescent="0.2">
      <c r="A103" s="21" t="s">
        <v>44</v>
      </c>
      <c r="B103" s="135" t="s">
        <v>22</v>
      </c>
      <c r="C103" s="141" t="s">
        <v>36</v>
      </c>
      <c r="D103" s="141" t="s">
        <v>48</v>
      </c>
      <c r="E103" s="136">
        <v>46218</v>
      </c>
      <c r="F103" s="135" t="s">
        <v>440</v>
      </c>
      <c r="G103" s="34" t="s">
        <v>355</v>
      </c>
      <c r="H103" s="142">
        <v>32.832000000000001</v>
      </c>
      <c r="I103" s="34">
        <v>593750</v>
      </c>
      <c r="J103" s="34">
        <f>Таблица1[[#This Row],[Блок
 Куб]]*Таблица1[[#This Row],[Цена 
Приход]]</f>
        <v>19494000</v>
      </c>
      <c r="K103" s="34">
        <v>19</v>
      </c>
      <c r="L103" s="34">
        <v>130000</v>
      </c>
      <c r="M103" s="34">
        <f>Таблица1[[#This Row],[Поддон
Шт]]*Таблица1[[#This Row],[Цена
Поддон]]</f>
        <v>2470000</v>
      </c>
      <c r="N103" s="34">
        <f>Таблица1[[#This Row],[Сумма 
Приход]]+Таблица1[[#This Row],[Сумма Поддон]]</f>
        <v>21964000</v>
      </c>
      <c r="O103" s="34">
        <v>700000</v>
      </c>
      <c r="P103" s="34">
        <f>Таблица1[[#This Row],[Блок
 Куб]]*Таблица1[[#This Row],[Цена
 Продажа]]</f>
        <v>22982400</v>
      </c>
      <c r="Q103" s="34" t="s">
        <v>240</v>
      </c>
      <c r="R103" s="34">
        <f>Таблица1[[#This Row],[Сумма 
Продажа]]-Таблица1[[#This Row],[Сумма 
Приход]]-Таблица1[[#This Row],[Авто услу ]]</f>
        <v>988400</v>
      </c>
      <c r="S103" s="34">
        <v>2500000</v>
      </c>
      <c r="T103" s="34">
        <f>Таблица1[[#This Row],[Сумма 
Продажа]]-IF(Таблица1[[#This Row],[Расход 
Авто]]="Клиент",N(Таблица1[[#This Row],[Авто услу ]]),0)</f>
        <v>20482400</v>
      </c>
      <c r="U1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" s="265" t="str">
        <f>IFERROR(INDEX(Мижозлар[Агент],MATCH($D103,Мижозлар[Расмий ном],0)),"")</f>
        <v>Темур</v>
      </c>
    </row>
    <row r="104" spans="1:23" ht="14.25" x14ac:dyDescent="0.2">
      <c r="A104" s="166" t="s">
        <v>44</v>
      </c>
      <c r="B104" s="166" t="s">
        <v>22</v>
      </c>
      <c r="C104" s="167" t="s">
        <v>40</v>
      </c>
      <c r="D104" s="167" t="s">
        <v>30</v>
      </c>
      <c r="E104" s="168">
        <v>46218</v>
      </c>
      <c r="F104" s="166" t="s">
        <v>441</v>
      </c>
      <c r="G104" s="169" t="s">
        <v>403</v>
      </c>
      <c r="H104" s="170">
        <v>19.007999999999999</v>
      </c>
      <c r="I104" s="169">
        <v>563750</v>
      </c>
      <c r="J104" s="169">
        <f>Таблица1[[#This Row],[Блок
 Куб]]*Таблица1[[#This Row],[Цена 
Приход]]</f>
        <v>10715760</v>
      </c>
      <c r="K104" s="169">
        <v>11</v>
      </c>
      <c r="L104" s="169">
        <v>130000</v>
      </c>
      <c r="M104" s="169">
        <f>Таблица1[[#This Row],[Поддон
Шт]]*Таблица1[[#This Row],[Цена
Поддон]]</f>
        <v>1430000</v>
      </c>
      <c r="N104" s="169">
        <f>Таблица1[[#This Row],[Сумма 
Приход]]+Таблица1[[#This Row],[Сумма Поддон]]</f>
        <v>12145760</v>
      </c>
      <c r="O104" s="169">
        <v>700000</v>
      </c>
      <c r="P104" s="169">
        <f>Таблица1[[#This Row],[Блок
 Куб]]*Таблица1[[#This Row],[Цена
 Продажа]]</f>
        <v>13305600</v>
      </c>
      <c r="Q104" s="169" t="s">
        <v>240</v>
      </c>
      <c r="R104" s="169">
        <f>Таблица1[[#This Row],[Сумма 
Продажа]]-Таблица1[[#This Row],[Сумма 
Приход]]-Таблица1[[#This Row],[Авто услу ]]</f>
        <v>89840</v>
      </c>
      <c r="S104" s="169">
        <v>2500000</v>
      </c>
      <c r="T104" s="169">
        <f>Таблица1[[#This Row],[Сумма 
Продажа]]-IF(Таблица1[[#This Row],[Расход 
Авто]]="Клиент",N(Таблица1[[#This Row],[Авто услу ]]),0)</f>
        <v>10805600</v>
      </c>
      <c r="U1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" s="265" t="str">
        <f>IFERROR(INDEX(Мижозлар[Агент],MATCH($D104,Мижозлар[Расмий ном],0)),"")</f>
        <v>Шохрух ога</v>
      </c>
    </row>
    <row r="105" spans="1:23" ht="14.25" x14ac:dyDescent="0.2">
      <c r="A105" s="21" t="s">
        <v>44</v>
      </c>
      <c r="B105" s="135" t="s">
        <v>22</v>
      </c>
      <c r="C105" s="141" t="s">
        <v>40</v>
      </c>
      <c r="D105" s="141" t="s">
        <v>27</v>
      </c>
      <c r="E105" s="136">
        <v>46218</v>
      </c>
      <c r="F105" s="135" t="s">
        <v>441</v>
      </c>
      <c r="G105" s="34" t="s">
        <v>403</v>
      </c>
      <c r="H105" s="142">
        <v>13.824</v>
      </c>
      <c r="I105" s="34">
        <v>563750</v>
      </c>
      <c r="J105" s="34">
        <f>Таблица1[[#This Row],[Блок
 Куб]]*Таблица1[[#This Row],[Цена 
Приход]]</f>
        <v>7793280</v>
      </c>
      <c r="K105" s="34">
        <v>8</v>
      </c>
      <c r="L105" s="34">
        <v>130000</v>
      </c>
      <c r="M105" s="34">
        <f>Таблица1[[#This Row],[Поддон
Шт]]*Таблица1[[#This Row],[Цена
Поддон]]</f>
        <v>1040000</v>
      </c>
      <c r="N105" s="34">
        <f>Таблица1[[#This Row],[Сумма 
Приход]]+Таблица1[[#This Row],[Сумма Поддон]]</f>
        <v>8833280</v>
      </c>
      <c r="O105" s="34">
        <v>700000</v>
      </c>
      <c r="P105" s="34">
        <f>Таблица1[[#This Row],[Блок
 Куб]]*Таблица1[[#This Row],[Цена
 Продажа]]</f>
        <v>9676800</v>
      </c>
      <c r="Q105" s="34" t="s">
        <v>356</v>
      </c>
      <c r="R105" s="34">
        <f>Таблица1[[#This Row],[Сумма 
Продажа]]-Таблица1[[#This Row],[Сумма 
Приход]]-Таблица1[[#This Row],[Авто услу ]]</f>
        <v>830888.42200000002</v>
      </c>
      <c r="S105" s="34">
        <v>1052631.578</v>
      </c>
      <c r="T105" s="34">
        <f>Таблица1[[#This Row],[Сумма 
Продажа]]-IF(Таблица1[[#This Row],[Расход 
Авто]]="Клиент",N(Таблица1[[#This Row],[Авто услу ]]),0)</f>
        <v>9676800</v>
      </c>
      <c r="U1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" s="265" t="str">
        <f>IFERROR(INDEX(Мижозлар[Агент],MATCH($D105,Мижозлар[Расмий ном],0)),"")</f>
        <v>Шохрух ога</v>
      </c>
    </row>
    <row r="106" spans="1:23" ht="14.25" x14ac:dyDescent="0.2">
      <c r="A106" s="21" t="s">
        <v>44</v>
      </c>
      <c r="B106" s="135" t="s">
        <v>22</v>
      </c>
      <c r="C106" s="141" t="s">
        <v>25</v>
      </c>
      <c r="D106" s="141" t="s">
        <v>53</v>
      </c>
      <c r="E106" s="136">
        <v>46218</v>
      </c>
      <c r="F106" s="135" t="s">
        <v>442</v>
      </c>
      <c r="G106" s="34" t="s">
        <v>403</v>
      </c>
      <c r="H106" s="142">
        <v>32.832000000000001</v>
      </c>
      <c r="I106" s="34">
        <v>563750</v>
      </c>
      <c r="J106" s="34">
        <f>Таблица1[[#This Row],[Блок
 Куб]]*Таблица1[[#This Row],[Цена 
Приход]]</f>
        <v>18509040</v>
      </c>
      <c r="K106" s="34">
        <v>19</v>
      </c>
      <c r="L106" s="34">
        <v>130000</v>
      </c>
      <c r="M106" s="34">
        <f>Таблица1[[#This Row],[Поддон
Шт]]*Таблица1[[#This Row],[Цена
Поддон]]</f>
        <v>2470000</v>
      </c>
      <c r="N106" s="34">
        <f>Таблица1[[#This Row],[Сумма 
Приход]]+Таблица1[[#This Row],[Сумма Поддон]]</f>
        <v>20979040</v>
      </c>
      <c r="O106" s="34">
        <v>700000</v>
      </c>
      <c r="P106" s="34">
        <f>Таблица1[[#This Row],[Блок
 Куб]]*Таблица1[[#This Row],[Цена
 Продажа]]</f>
        <v>22982400</v>
      </c>
      <c r="Q106" s="34" t="s">
        <v>356</v>
      </c>
      <c r="R106" s="34">
        <f>Таблица1[[#This Row],[Сумма 
Продажа]]-Таблица1[[#This Row],[Сумма 
Приход]]-Таблица1[[#This Row],[Авто услу ]]</f>
        <v>1973360</v>
      </c>
      <c r="S106" s="34">
        <v>2500000</v>
      </c>
      <c r="T106" s="34">
        <f>Таблица1[[#This Row],[Сумма 
Продажа]]-IF(Таблица1[[#This Row],[Расход 
Авто]]="Клиент",N(Таблица1[[#This Row],[Авто услу ]]),0)</f>
        <v>22982400</v>
      </c>
      <c r="U1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" s="265" t="str">
        <f>IFERROR(INDEX(Мижозлар[Агент],MATCH($D106,Мижозлар[Расмий ном],0)),"")</f>
        <v>Жамол 22-22</v>
      </c>
    </row>
    <row r="107" spans="1:23" ht="14.25" x14ac:dyDescent="0.2">
      <c r="A107" s="21" t="s">
        <v>44</v>
      </c>
      <c r="B107" s="135" t="s">
        <v>22</v>
      </c>
      <c r="C107" s="141" t="s">
        <v>25</v>
      </c>
      <c r="D107" s="141" t="s">
        <v>53</v>
      </c>
      <c r="E107" s="136">
        <v>46218</v>
      </c>
      <c r="F107" s="135" t="s">
        <v>443</v>
      </c>
      <c r="G107" s="34" t="s">
        <v>403</v>
      </c>
      <c r="H107" s="142">
        <v>32.832000000000001</v>
      </c>
      <c r="I107" s="34">
        <v>563750</v>
      </c>
      <c r="J107" s="34">
        <f>Таблица1[[#This Row],[Блок
 Куб]]*Таблица1[[#This Row],[Цена 
Приход]]</f>
        <v>18509040</v>
      </c>
      <c r="K107" s="34">
        <v>19</v>
      </c>
      <c r="L107" s="34">
        <v>130000</v>
      </c>
      <c r="M107" s="34">
        <f>Таблица1[[#This Row],[Поддон
Шт]]*Таблица1[[#This Row],[Цена
Поддон]]</f>
        <v>2470000</v>
      </c>
      <c r="N107" s="34">
        <f>Таблица1[[#This Row],[Сумма 
Приход]]+Таблица1[[#This Row],[Сумма Поддон]]</f>
        <v>20979040</v>
      </c>
      <c r="O107" s="34">
        <v>700000</v>
      </c>
      <c r="P107" s="34">
        <f>Таблица1[[#This Row],[Блок
 Куб]]*Таблица1[[#This Row],[Цена
 Продажа]]</f>
        <v>22982400</v>
      </c>
      <c r="Q107" s="34" t="s">
        <v>356</v>
      </c>
      <c r="R107" s="34">
        <f>Таблица1[[#This Row],[Сумма 
Продажа]]-Таблица1[[#This Row],[Сумма 
Приход]]-Таблица1[[#This Row],[Авто услу ]]</f>
        <v>1973360</v>
      </c>
      <c r="S107" s="34">
        <v>2500000</v>
      </c>
      <c r="T107" s="34">
        <f>Таблица1[[#This Row],[Сумма 
Продажа]]-IF(Таблица1[[#This Row],[Расход 
Авто]]="Клиент",N(Таблица1[[#This Row],[Авто услу ]]),0)</f>
        <v>22982400</v>
      </c>
      <c r="U1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" s="265" t="str">
        <f>IFERROR(INDEX(Мижозлар[Агент],MATCH($D107,Мижозлар[Расмий ном],0)),"")</f>
        <v>Жамол 22-22</v>
      </c>
    </row>
    <row r="108" spans="1:23" ht="14.25" x14ac:dyDescent="0.2">
      <c r="A108" s="21" t="s">
        <v>44</v>
      </c>
      <c r="B108" s="135" t="s">
        <v>22</v>
      </c>
      <c r="C108" s="141" t="s">
        <v>25</v>
      </c>
      <c r="D108" s="141" t="s">
        <v>53</v>
      </c>
      <c r="E108" s="136">
        <v>46218</v>
      </c>
      <c r="F108" s="135" t="s">
        <v>444</v>
      </c>
      <c r="G108" s="34" t="s">
        <v>403</v>
      </c>
      <c r="H108" s="142">
        <v>32.832000000000001</v>
      </c>
      <c r="I108" s="34">
        <v>563750</v>
      </c>
      <c r="J108" s="34">
        <f>Таблица1[[#This Row],[Блок
 Куб]]*Таблица1[[#This Row],[Цена 
Приход]]</f>
        <v>18509040</v>
      </c>
      <c r="K108" s="34">
        <v>19</v>
      </c>
      <c r="L108" s="34">
        <v>130000</v>
      </c>
      <c r="M108" s="34">
        <f>Таблица1[[#This Row],[Поддон
Шт]]*Таблица1[[#This Row],[Цена
Поддон]]</f>
        <v>2470000</v>
      </c>
      <c r="N108" s="34">
        <f>Таблица1[[#This Row],[Сумма 
Приход]]+Таблица1[[#This Row],[Сумма Поддон]]</f>
        <v>20979040</v>
      </c>
      <c r="O108" s="34">
        <v>700000</v>
      </c>
      <c r="P108" s="34">
        <f>Таблица1[[#This Row],[Блок
 Куб]]*Таблица1[[#This Row],[Цена
 Продажа]]</f>
        <v>22982400</v>
      </c>
      <c r="Q108" s="34" t="s">
        <v>356</v>
      </c>
      <c r="R108" s="34">
        <f>Таблица1[[#This Row],[Сумма 
Продажа]]-Таблица1[[#This Row],[Сумма 
Приход]]-Таблица1[[#This Row],[Авто услу ]]</f>
        <v>1973360</v>
      </c>
      <c r="S108" s="34">
        <v>2500000</v>
      </c>
      <c r="T108" s="34">
        <f>Таблица1[[#This Row],[Сумма 
Продажа]]-IF(Таблица1[[#This Row],[Расход 
Авто]]="Клиент",N(Таблица1[[#This Row],[Авто услу ]]),0)</f>
        <v>22982400</v>
      </c>
      <c r="U1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" s="265" t="str">
        <f>IFERROR(INDEX(Мижозлар[Агент],MATCH($D108,Мижозлар[Расмий ном],0)),"")</f>
        <v>Жамол 22-22</v>
      </c>
    </row>
    <row r="109" spans="1:23" ht="14.25" x14ac:dyDescent="0.2">
      <c r="A109" s="21" t="s">
        <v>44</v>
      </c>
      <c r="B109" s="135" t="s">
        <v>22</v>
      </c>
      <c r="C109" s="141" t="s">
        <v>25</v>
      </c>
      <c r="D109" s="141" t="s">
        <v>53</v>
      </c>
      <c r="E109" s="136">
        <v>46219</v>
      </c>
      <c r="F109" s="135" t="s">
        <v>432</v>
      </c>
      <c r="G109" s="34" t="s">
        <v>403</v>
      </c>
      <c r="H109" s="142">
        <v>32.832000000000001</v>
      </c>
      <c r="I109" s="34">
        <v>563750</v>
      </c>
      <c r="J109" s="34">
        <f>Таблица1[[#This Row],[Блок
 Куб]]*Таблица1[[#This Row],[Цена 
Приход]]</f>
        <v>18509040</v>
      </c>
      <c r="K109" s="34">
        <v>19</v>
      </c>
      <c r="L109" s="34">
        <v>130000</v>
      </c>
      <c r="M109" s="34">
        <f>Таблица1[[#This Row],[Поддон
Шт]]*Таблица1[[#This Row],[Цена
Поддон]]</f>
        <v>2470000</v>
      </c>
      <c r="N109" s="34">
        <f>Таблица1[[#This Row],[Сумма 
Приход]]+Таблица1[[#This Row],[Сумма Поддон]]</f>
        <v>20979040</v>
      </c>
      <c r="O109" s="34">
        <v>700000</v>
      </c>
      <c r="P109" s="34">
        <f>Таблица1[[#This Row],[Блок
 Куб]]*Таблица1[[#This Row],[Цена
 Продажа]]</f>
        <v>22982400</v>
      </c>
      <c r="Q109" s="34" t="s">
        <v>356</v>
      </c>
      <c r="R109" s="34">
        <f>Таблица1[[#This Row],[Сумма 
Продажа]]-Таблица1[[#This Row],[Сумма 
Приход]]-Таблица1[[#This Row],[Авто услу ]]</f>
        <v>1973360</v>
      </c>
      <c r="S109" s="34">
        <v>2500000</v>
      </c>
      <c r="T109" s="34">
        <f>Таблица1[[#This Row],[Сумма 
Продажа]]-IF(Таблица1[[#This Row],[Расход 
Авто]]="Клиент",N(Таблица1[[#This Row],[Авто услу ]]),0)</f>
        <v>22982400</v>
      </c>
      <c r="U1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" s="265" t="str">
        <f>IFERROR(INDEX(Мижозлар[Агент],MATCH($D109,Мижозлар[Расмий ном],0)),"")</f>
        <v>Жамол 22-22</v>
      </c>
    </row>
    <row r="110" spans="1:23" ht="14.25" x14ac:dyDescent="0.2">
      <c r="A110" s="21" t="s">
        <v>44</v>
      </c>
      <c r="B110" s="135" t="s">
        <v>22</v>
      </c>
      <c r="C110" s="141" t="s">
        <v>40</v>
      </c>
      <c r="D110" s="141" t="s">
        <v>109</v>
      </c>
      <c r="E110" s="136">
        <v>46219</v>
      </c>
      <c r="F110" s="135" t="s">
        <v>397</v>
      </c>
      <c r="G110" s="34" t="s">
        <v>403</v>
      </c>
      <c r="H110" s="142">
        <v>32.832000000000001</v>
      </c>
      <c r="I110" s="34">
        <v>563750</v>
      </c>
      <c r="J110" s="34">
        <f>Таблица1[[#This Row],[Блок
 Куб]]*Таблица1[[#This Row],[Цена 
Приход]]</f>
        <v>18509040</v>
      </c>
      <c r="K110" s="34">
        <v>19</v>
      </c>
      <c r="L110" s="34">
        <v>130000</v>
      </c>
      <c r="M110" s="34">
        <f>Таблица1[[#This Row],[Поддон
Шт]]*Таблица1[[#This Row],[Цена
Поддон]]</f>
        <v>2470000</v>
      </c>
      <c r="N110" s="34">
        <f>Таблица1[[#This Row],[Сумма 
Приход]]+Таблица1[[#This Row],[Сумма Поддон]]</f>
        <v>20979040</v>
      </c>
      <c r="O110" s="34">
        <v>700000</v>
      </c>
      <c r="P110" s="34">
        <f>Таблица1[[#This Row],[Блок
 Куб]]*Таблица1[[#This Row],[Цена
 Продажа]]</f>
        <v>22982400</v>
      </c>
      <c r="Q110" s="34" t="s">
        <v>240</v>
      </c>
      <c r="R110" s="34">
        <f>Таблица1[[#This Row],[Сумма 
Продажа]]-Таблица1[[#This Row],[Сумма 
Приход]]-Таблица1[[#This Row],[Авто услу ]]</f>
        <v>1973360</v>
      </c>
      <c r="S110" s="34">
        <v>2500000</v>
      </c>
      <c r="T110" s="34">
        <f>Таблица1[[#This Row],[Сумма 
Продажа]]-IF(Таблица1[[#This Row],[Расход 
Авто]]="Клиент",N(Таблица1[[#This Row],[Авто услу ]]),0)</f>
        <v>20482400</v>
      </c>
      <c r="U1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" s="265" t="str">
        <f>IFERROR(INDEX(Мижозлар[Агент],MATCH($D110,Мижозлар[Расмий ном],0)),"")</f>
        <v>Шохрух ога</v>
      </c>
    </row>
    <row r="111" spans="1:23" ht="14.25" x14ac:dyDescent="0.2">
      <c r="A111" s="21" t="s">
        <v>44</v>
      </c>
      <c r="B111" s="135" t="s">
        <v>22</v>
      </c>
      <c r="C111" s="141" t="s">
        <v>32</v>
      </c>
      <c r="D111" s="141" t="s">
        <v>112</v>
      </c>
      <c r="E111" s="136">
        <v>46219</v>
      </c>
      <c r="F111" s="135" t="s">
        <v>445</v>
      </c>
      <c r="G111" s="34" t="s">
        <v>403</v>
      </c>
      <c r="H111" s="142">
        <v>32.832000000000001</v>
      </c>
      <c r="I111" s="34">
        <v>563750</v>
      </c>
      <c r="J111" s="34">
        <f>Таблица1[[#This Row],[Блок
 Куб]]*Таблица1[[#This Row],[Цена 
Приход]]</f>
        <v>18509040</v>
      </c>
      <c r="K111" s="34">
        <v>19</v>
      </c>
      <c r="L111" s="34">
        <v>130000</v>
      </c>
      <c r="M111" s="34">
        <f>Таблица1[[#This Row],[Поддон
Шт]]*Таблица1[[#This Row],[Цена
Поддон]]</f>
        <v>2470000</v>
      </c>
      <c r="N111" s="34">
        <f>Таблица1[[#This Row],[Сумма 
Приход]]+Таблица1[[#This Row],[Сумма Поддон]]</f>
        <v>20979040</v>
      </c>
      <c r="O111" s="34">
        <v>700000</v>
      </c>
      <c r="P111" s="34">
        <f>Таблица1[[#This Row],[Блок
 Куб]]*Таблица1[[#This Row],[Цена
 Продажа]]</f>
        <v>22982400</v>
      </c>
      <c r="Q111" s="34" t="s">
        <v>240</v>
      </c>
      <c r="R111" s="34">
        <f>Таблица1[[#This Row],[Сумма 
Продажа]]-Таблица1[[#This Row],[Сумма 
Приход]]-Таблица1[[#This Row],[Авто услу ]]</f>
        <v>1973360</v>
      </c>
      <c r="S111" s="34">
        <v>2500000</v>
      </c>
      <c r="T111" s="34">
        <f>Таблица1[[#This Row],[Сумма 
Продажа]]-IF(Таблица1[[#This Row],[Расход 
Авто]]="Клиент",N(Таблица1[[#This Row],[Авто услу ]]),0)</f>
        <v>20482400</v>
      </c>
      <c r="U1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1" s="265" t="str">
        <f>IFERROR(INDEX(Мижозлар[Агент],MATCH($D111,Мижозлар[Расмий ном],0)),"")</f>
        <v>Сардор ога</v>
      </c>
    </row>
    <row r="112" spans="1:23" ht="14.25" x14ac:dyDescent="0.2">
      <c r="A112" s="21" t="s">
        <v>44</v>
      </c>
      <c r="B112" s="135" t="s">
        <v>22</v>
      </c>
      <c r="C112" s="141" t="s">
        <v>36</v>
      </c>
      <c r="D112" s="141" t="s">
        <v>45</v>
      </c>
      <c r="E112" s="136">
        <v>46219</v>
      </c>
      <c r="F112" s="135" t="s">
        <v>446</v>
      </c>
      <c r="G112" s="34" t="s">
        <v>355</v>
      </c>
      <c r="H112" s="142">
        <v>32.832000000000001</v>
      </c>
      <c r="I112" s="34">
        <v>593750</v>
      </c>
      <c r="J112" s="34">
        <f>Таблица1[[#This Row],[Блок
 Куб]]*Таблица1[[#This Row],[Цена 
Приход]]</f>
        <v>19494000</v>
      </c>
      <c r="K112" s="34">
        <v>19</v>
      </c>
      <c r="L112" s="34">
        <v>130000</v>
      </c>
      <c r="M112" s="34">
        <f>Таблица1[[#This Row],[Поддон
Шт]]*Таблица1[[#This Row],[Цена
Поддон]]</f>
        <v>2470000</v>
      </c>
      <c r="N112" s="34">
        <f>Таблица1[[#This Row],[Сумма 
Приход]]+Таблица1[[#This Row],[Сумма Поддон]]</f>
        <v>21964000</v>
      </c>
      <c r="O112" s="34">
        <v>700000</v>
      </c>
      <c r="P112" s="34">
        <f>Таблица1[[#This Row],[Блок
 Куб]]*Таблица1[[#This Row],[Цена
 Продажа]]</f>
        <v>22982400</v>
      </c>
      <c r="Q112" s="34" t="s">
        <v>240</v>
      </c>
      <c r="R112" s="34">
        <f>Таблица1[[#This Row],[Сумма 
Продажа]]-Таблица1[[#This Row],[Сумма 
Приход]]-Таблица1[[#This Row],[Авто услу ]]</f>
        <v>988400</v>
      </c>
      <c r="S112" s="34">
        <v>2500000</v>
      </c>
      <c r="T112" s="34">
        <f>Таблица1[[#This Row],[Сумма 
Продажа]]-IF(Таблица1[[#This Row],[Расход 
Авто]]="Клиент",N(Таблица1[[#This Row],[Авто услу ]]),0)</f>
        <v>20482400</v>
      </c>
      <c r="U1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2" s="265" t="str">
        <f>IFERROR(INDEX(Мижозлар[Агент],MATCH($D112,Мижозлар[Расмий ном],0)),"")</f>
        <v>Темур</v>
      </c>
    </row>
    <row r="113" spans="1:23" ht="14.25" x14ac:dyDescent="0.2">
      <c r="A113" s="21" t="s">
        <v>44</v>
      </c>
      <c r="B113" s="135" t="s">
        <v>22</v>
      </c>
      <c r="C113" s="141" t="s">
        <v>36</v>
      </c>
      <c r="D113" s="141" t="s">
        <v>45</v>
      </c>
      <c r="E113" s="136">
        <v>46219</v>
      </c>
      <c r="F113" s="135" t="s">
        <v>419</v>
      </c>
      <c r="G113" s="34" t="s">
        <v>355</v>
      </c>
      <c r="H113" s="142">
        <v>32.832000000000001</v>
      </c>
      <c r="I113" s="34">
        <v>593750</v>
      </c>
      <c r="J113" s="34">
        <f>Таблица1[[#This Row],[Блок
 Куб]]*Таблица1[[#This Row],[Цена 
Приход]]</f>
        <v>19494000</v>
      </c>
      <c r="K113" s="34">
        <v>19</v>
      </c>
      <c r="L113" s="34">
        <v>130000</v>
      </c>
      <c r="M113" s="34">
        <f>Таблица1[[#This Row],[Поддон
Шт]]*Таблица1[[#This Row],[Цена
Поддон]]</f>
        <v>2470000</v>
      </c>
      <c r="N113" s="34">
        <f>Таблица1[[#This Row],[Сумма 
Приход]]+Таблица1[[#This Row],[Сумма Поддон]]</f>
        <v>21964000</v>
      </c>
      <c r="O113" s="34">
        <v>700000</v>
      </c>
      <c r="P113" s="34">
        <f>Таблица1[[#This Row],[Блок
 Куб]]*Таблица1[[#This Row],[Цена
 Продажа]]</f>
        <v>22982400</v>
      </c>
      <c r="Q113" s="34" t="s">
        <v>240</v>
      </c>
      <c r="R113" s="34">
        <f>Таблица1[[#This Row],[Сумма 
Продажа]]-Таблица1[[#This Row],[Сумма 
Приход]]-Таблица1[[#This Row],[Авто услу ]]</f>
        <v>988400</v>
      </c>
      <c r="S113" s="34">
        <v>2500000</v>
      </c>
      <c r="T113" s="34">
        <f>Таблица1[[#This Row],[Сумма 
Продажа]]-IF(Таблица1[[#This Row],[Расход 
Авто]]="Клиент",N(Таблица1[[#This Row],[Авто услу ]]),0)</f>
        <v>20482400</v>
      </c>
      <c r="U1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3" s="265" t="str">
        <f>IFERROR(INDEX(Мижозлар[Агент],MATCH($D113,Мижозлар[Расмий ном],0)),"")</f>
        <v>Темур</v>
      </c>
    </row>
    <row r="114" spans="1:23" ht="14.25" x14ac:dyDescent="0.2">
      <c r="A114" s="21" t="s">
        <v>44</v>
      </c>
      <c r="B114" s="135" t="s">
        <v>22</v>
      </c>
      <c r="C114" s="141" t="s">
        <v>36</v>
      </c>
      <c r="D114" s="141" t="s">
        <v>82</v>
      </c>
      <c r="E114" s="136">
        <v>46219</v>
      </c>
      <c r="F114" s="135" t="s">
        <v>447</v>
      </c>
      <c r="G114" s="34" t="s">
        <v>355</v>
      </c>
      <c r="H114" s="142">
        <v>32.832000000000001</v>
      </c>
      <c r="I114" s="34">
        <v>593750</v>
      </c>
      <c r="J114" s="34">
        <f>Таблица1[[#This Row],[Блок
 Куб]]*Таблица1[[#This Row],[Цена 
Приход]]</f>
        <v>19494000</v>
      </c>
      <c r="K114" s="34">
        <v>19</v>
      </c>
      <c r="L114" s="34">
        <v>130000</v>
      </c>
      <c r="M114" s="34">
        <f>Таблица1[[#This Row],[Поддон
Шт]]*Таблица1[[#This Row],[Цена
Поддон]]</f>
        <v>2470000</v>
      </c>
      <c r="N114" s="34">
        <f>Таблица1[[#This Row],[Сумма 
Приход]]+Таблица1[[#This Row],[Сумма Поддон]]</f>
        <v>21964000</v>
      </c>
      <c r="O114" s="34">
        <v>700000</v>
      </c>
      <c r="P114" s="34">
        <f>Таблица1[[#This Row],[Блок
 Куб]]*Таблица1[[#This Row],[Цена
 Продажа]]</f>
        <v>22982400</v>
      </c>
      <c r="Q114" s="34" t="s">
        <v>240</v>
      </c>
      <c r="R114" s="34">
        <f>Таблица1[[#This Row],[Сумма 
Продажа]]-Таблица1[[#This Row],[Сумма 
Приход]]-Таблица1[[#This Row],[Авто услу ]]</f>
        <v>988400</v>
      </c>
      <c r="S114" s="34">
        <v>2500000</v>
      </c>
      <c r="T114" s="34">
        <f>Таблица1[[#This Row],[Сумма 
Продажа]]-IF(Таблица1[[#This Row],[Расход 
Авто]]="Клиент",N(Таблица1[[#This Row],[Авто услу ]]),0)</f>
        <v>20482400</v>
      </c>
      <c r="U1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4" s="265" t="str">
        <f>IFERROR(INDEX(Мижозлар[Агент],MATCH($D114,Мижозлар[Расмий ном],0)),"")</f>
        <v>Темур</v>
      </c>
    </row>
    <row r="115" spans="1:23" ht="14.25" x14ac:dyDescent="0.2">
      <c r="A115" s="21" t="s">
        <v>44</v>
      </c>
      <c r="B115" s="135" t="s">
        <v>22</v>
      </c>
      <c r="C115" s="141" t="s">
        <v>29</v>
      </c>
      <c r="D115" s="141" t="s">
        <v>98</v>
      </c>
      <c r="E115" s="136">
        <v>46219</v>
      </c>
      <c r="F115" s="135" t="s">
        <v>448</v>
      </c>
      <c r="G115" s="34" t="s">
        <v>355</v>
      </c>
      <c r="H115" s="142">
        <v>32.832000000000001</v>
      </c>
      <c r="I115" s="34">
        <v>593750</v>
      </c>
      <c r="J115" s="34">
        <f>Таблица1[[#This Row],[Блок
 Куб]]*Таблица1[[#This Row],[Цена 
Приход]]</f>
        <v>19494000</v>
      </c>
      <c r="K115" s="34">
        <v>19</v>
      </c>
      <c r="L115" s="34">
        <v>130000</v>
      </c>
      <c r="M115" s="34">
        <f>Таблица1[[#This Row],[Поддон
Шт]]*Таблица1[[#This Row],[Цена
Поддон]]</f>
        <v>2470000</v>
      </c>
      <c r="N115" s="34">
        <f>Таблица1[[#This Row],[Сумма 
Приход]]+Таблица1[[#This Row],[Сумма Поддон]]</f>
        <v>21964000</v>
      </c>
      <c r="O115" s="34">
        <v>700000</v>
      </c>
      <c r="P115" s="34">
        <f>Таблица1[[#This Row],[Блок
 Куб]]*Таблица1[[#This Row],[Цена
 Продажа]]</f>
        <v>22982400</v>
      </c>
      <c r="Q115" s="34" t="s">
        <v>240</v>
      </c>
      <c r="R115" s="34">
        <f>Таблица1[[#This Row],[Сумма 
Продажа]]-Таблица1[[#This Row],[Сумма 
Приход]]-Таблица1[[#This Row],[Авто услу ]]</f>
        <v>988400</v>
      </c>
      <c r="S115" s="34">
        <v>2500000</v>
      </c>
      <c r="T115" s="34">
        <f>Таблица1[[#This Row],[Сумма 
Продажа]]-IF(Таблица1[[#This Row],[Расход 
Авто]]="Клиент",N(Таблица1[[#This Row],[Авто услу ]]),0)</f>
        <v>20482400</v>
      </c>
      <c r="U1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5" s="265" t="str">
        <f>IFERROR(INDEX(Мижозлар[Агент],MATCH($D115,Мижозлар[Расмий ном],0)),"")</f>
        <v>Зафар ога</v>
      </c>
    </row>
    <row r="116" spans="1:23" ht="14.25" x14ac:dyDescent="0.2">
      <c r="A116" s="21" t="s">
        <v>44</v>
      </c>
      <c r="B116" s="135" t="s">
        <v>22</v>
      </c>
      <c r="C116" s="141" t="s">
        <v>29</v>
      </c>
      <c r="D116" s="141" t="s">
        <v>100</v>
      </c>
      <c r="E116" s="136">
        <v>46219</v>
      </c>
      <c r="F116" s="135" t="s">
        <v>449</v>
      </c>
      <c r="G116" s="34" t="s">
        <v>355</v>
      </c>
      <c r="H116" s="142">
        <v>32.832000000000001</v>
      </c>
      <c r="I116" s="146">
        <v>593750</v>
      </c>
      <c r="J116" s="34">
        <f>Таблица1[[#This Row],[Блок
 Куб]]*Таблица1[[#This Row],[Цена 
Приход]]</f>
        <v>19494000</v>
      </c>
      <c r="K116" s="34">
        <v>19</v>
      </c>
      <c r="L116" s="34">
        <v>130000</v>
      </c>
      <c r="M116" s="34">
        <f>Таблица1[[#This Row],[Поддон
Шт]]*Таблица1[[#This Row],[Цена
Поддон]]</f>
        <v>2470000</v>
      </c>
      <c r="N116" s="34">
        <f>Таблица1[[#This Row],[Сумма 
Приход]]+Таблица1[[#This Row],[Сумма Поддон]]</f>
        <v>21964000</v>
      </c>
      <c r="O116" s="34">
        <v>700000</v>
      </c>
      <c r="P116" s="34">
        <f>Таблица1[[#This Row],[Блок
 Куб]]*Таблица1[[#This Row],[Цена
 Продажа]]</f>
        <v>22982400</v>
      </c>
      <c r="Q116" s="34" t="s">
        <v>240</v>
      </c>
      <c r="R116" s="34">
        <f>Таблица1[[#This Row],[Сумма 
Продажа]]-Таблица1[[#This Row],[Сумма 
Приход]]-Таблица1[[#This Row],[Авто услу ]]</f>
        <v>988400</v>
      </c>
      <c r="S116" s="146">
        <v>2500000</v>
      </c>
      <c r="T116" s="34">
        <f>Таблица1[[#This Row],[Сумма 
Продажа]]-IF(Таблица1[[#This Row],[Расход 
Авто]]="Клиент",N(Таблица1[[#This Row],[Авто услу ]]),0)</f>
        <v>20482400</v>
      </c>
      <c r="U1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6" s="265" t="str">
        <f>IFERROR(INDEX(Мижозлар[Агент],MATCH($D116,Мижозлар[Расмий ном],0)),"")</f>
        <v>Зафар ога</v>
      </c>
    </row>
    <row r="117" spans="1:23" ht="14.25" x14ac:dyDescent="0.2">
      <c r="A117" s="21" t="s">
        <v>44</v>
      </c>
      <c r="B117" s="135" t="s">
        <v>22</v>
      </c>
      <c r="C117" s="141" t="s">
        <v>36</v>
      </c>
      <c r="D117" s="141" t="s">
        <v>82</v>
      </c>
      <c r="E117" s="136">
        <v>46220</v>
      </c>
      <c r="F117" s="135" t="s">
        <v>377</v>
      </c>
      <c r="G117" s="34" t="s">
        <v>355</v>
      </c>
      <c r="H117" s="142">
        <v>32.832000000000001</v>
      </c>
      <c r="I117" s="34">
        <v>593750</v>
      </c>
      <c r="J117" s="34">
        <f>Таблица1[[#This Row],[Блок
 Куб]]*Таблица1[[#This Row],[Цена 
Приход]]</f>
        <v>19494000</v>
      </c>
      <c r="K117" s="34">
        <v>19</v>
      </c>
      <c r="L117" s="34">
        <v>130000</v>
      </c>
      <c r="M117" s="34">
        <f>Таблица1[[#This Row],[Поддон
Шт]]*Таблица1[[#This Row],[Цена
Поддон]]</f>
        <v>2470000</v>
      </c>
      <c r="N117" s="34">
        <f>Таблица1[[#This Row],[Сумма 
Приход]]+Таблица1[[#This Row],[Сумма Поддон]]</f>
        <v>21964000</v>
      </c>
      <c r="O117" s="34">
        <v>700000</v>
      </c>
      <c r="P117" s="34">
        <f>Таблица1[[#This Row],[Блок
 Куб]]*Таблица1[[#This Row],[Цена
 Продажа]]</f>
        <v>22982400</v>
      </c>
      <c r="Q117" s="34" t="s">
        <v>240</v>
      </c>
      <c r="R117" s="34">
        <f>Таблица1[[#This Row],[Сумма 
Продажа]]-Таблица1[[#This Row],[Сумма 
Приход]]-Таблица1[[#This Row],[Авто услу ]]</f>
        <v>988400</v>
      </c>
      <c r="S117" s="34">
        <v>2500000</v>
      </c>
      <c r="T117" s="34">
        <f>Таблица1[[#This Row],[Сумма 
Продажа]]-IF(Таблица1[[#This Row],[Расход 
Авто]]="Клиент",N(Таблица1[[#This Row],[Авто услу ]]),0)</f>
        <v>20482400</v>
      </c>
      <c r="U1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7" s="265" t="str">
        <f>IFERROR(INDEX(Мижозлар[Агент],MATCH($D117,Мижозлар[Расмий ном],0)),"")</f>
        <v>Темур</v>
      </c>
    </row>
    <row r="118" spans="1:23" ht="14.25" x14ac:dyDescent="0.2">
      <c r="A118" s="21" t="s">
        <v>44</v>
      </c>
      <c r="B118" s="135" t="s">
        <v>22</v>
      </c>
      <c r="C118" s="141" t="s">
        <v>32</v>
      </c>
      <c r="D118" s="141" t="s">
        <v>85</v>
      </c>
      <c r="E118" s="136">
        <v>46220</v>
      </c>
      <c r="F118" s="135" t="s">
        <v>450</v>
      </c>
      <c r="G118" s="34" t="s">
        <v>355</v>
      </c>
      <c r="H118" s="142">
        <v>32.832000000000001</v>
      </c>
      <c r="I118" s="34">
        <v>593750</v>
      </c>
      <c r="J118" s="34">
        <f>Таблица1[[#This Row],[Блок
 Куб]]*Таблица1[[#This Row],[Цена 
Приход]]</f>
        <v>19494000</v>
      </c>
      <c r="K118" s="34">
        <v>19</v>
      </c>
      <c r="L118" s="34">
        <v>130000</v>
      </c>
      <c r="M118" s="34">
        <f>Таблица1[[#This Row],[Поддон
Шт]]*Таблица1[[#This Row],[Цена
Поддон]]</f>
        <v>2470000</v>
      </c>
      <c r="N118" s="34">
        <f>Таблица1[[#This Row],[Сумма 
Приход]]+Таблица1[[#This Row],[Сумма Поддон]]</f>
        <v>21964000</v>
      </c>
      <c r="O118" s="34">
        <v>700000</v>
      </c>
      <c r="P118" s="34">
        <f>Таблица1[[#This Row],[Блок
 Куб]]*Таблица1[[#This Row],[Цена
 Продажа]]</f>
        <v>22982400</v>
      </c>
      <c r="Q118" s="34" t="s">
        <v>240</v>
      </c>
      <c r="R118" s="34">
        <f>Таблица1[[#This Row],[Сумма 
Продажа]]-Таблица1[[#This Row],[Сумма 
Приход]]-Таблица1[[#This Row],[Авто услу ]]</f>
        <v>988400</v>
      </c>
      <c r="S118" s="34">
        <v>2500000</v>
      </c>
      <c r="T118" s="34">
        <f>Таблица1[[#This Row],[Сумма 
Продажа]]-IF(Таблица1[[#This Row],[Расход 
Авто]]="Клиент",N(Таблица1[[#This Row],[Авто услу ]]),0)</f>
        <v>20482400</v>
      </c>
      <c r="U1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8" s="265" t="str">
        <f>IFERROR(INDEX(Мижозлар[Агент],MATCH($D118,Мижозлар[Расмий ном],0)),"")</f>
        <v>Сардор ога</v>
      </c>
    </row>
    <row r="119" spans="1:23" ht="14.25" x14ac:dyDescent="0.2">
      <c r="A119" s="21" t="s">
        <v>44</v>
      </c>
      <c r="B119" s="135" t="s">
        <v>22</v>
      </c>
      <c r="C119" s="141" t="s">
        <v>32</v>
      </c>
      <c r="D119" s="141" t="s">
        <v>112</v>
      </c>
      <c r="E119" s="136">
        <v>46220</v>
      </c>
      <c r="F119" s="135" t="s">
        <v>451</v>
      </c>
      <c r="G119" s="34" t="s">
        <v>368</v>
      </c>
      <c r="H119" s="142">
        <v>20.736000000000001</v>
      </c>
      <c r="I119" s="34">
        <v>593750</v>
      </c>
      <c r="J119" s="34">
        <f>Таблица1[[#This Row],[Блок
 Куб]]*Таблица1[[#This Row],[Цена 
Приход]]</f>
        <v>12312000</v>
      </c>
      <c r="K119" s="34">
        <v>12</v>
      </c>
      <c r="L119" s="34">
        <v>130000</v>
      </c>
      <c r="M119" s="34">
        <f>Таблица1[[#This Row],[Поддон
Шт]]*Таблица1[[#This Row],[Цена
Поддон]]</f>
        <v>1560000</v>
      </c>
      <c r="N119" s="34">
        <f>Таблица1[[#This Row],[Сумма 
Приход]]+Таблица1[[#This Row],[Сумма Поддон]]</f>
        <v>13872000</v>
      </c>
      <c r="O119" s="34">
        <v>700000</v>
      </c>
      <c r="P119" s="34">
        <f>Таблица1[[#This Row],[Блок
 Куб]]*Таблица1[[#This Row],[Цена
 Продажа]]</f>
        <v>14515200</v>
      </c>
      <c r="Q119" s="34" t="s">
        <v>240</v>
      </c>
      <c r="R119" s="34">
        <f>Таблица1[[#This Row],[Сумма 
Продажа]]-Таблица1[[#This Row],[Сумма 
Приход]]-Таблица1[[#This Row],[Авто услу ]]</f>
        <v>953200</v>
      </c>
      <c r="S119" s="34">
        <v>1250000</v>
      </c>
      <c r="T119" s="34">
        <f>Таблица1[[#This Row],[Сумма 
Продажа]]-IF(Таблица1[[#This Row],[Расход 
Авто]]="Клиент",N(Таблица1[[#This Row],[Авто услу ]]),0)</f>
        <v>13265200</v>
      </c>
      <c r="U1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9" s="265" t="str">
        <f>IFERROR(INDEX(Мижозлар[Агент],MATCH($D119,Мижозлар[Расмий ном],0)),"")</f>
        <v>Сардор ога</v>
      </c>
    </row>
    <row r="120" spans="1:23" ht="14.25" x14ac:dyDescent="0.2">
      <c r="A120" s="21" t="s">
        <v>44</v>
      </c>
      <c r="B120" s="135" t="s">
        <v>22</v>
      </c>
      <c r="C120" s="141" t="s">
        <v>21</v>
      </c>
      <c r="D120" s="141" t="s">
        <v>116</v>
      </c>
      <c r="E120" s="144">
        <v>46220</v>
      </c>
      <c r="F120" s="141" t="s">
        <v>452</v>
      </c>
      <c r="G120" s="34" t="s">
        <v>355</v>
      </c>
      <c r="H120" s="142">
        <v>32.832000000000001</v>
      </c>
      <c r="I120" s="34">
        <v>593750</v>
      </c>
      <c r="J120" s="34">
        <f>Таблица1[[#This Row],[Блок
 Куб]]*Таблица1[[#This Row],[Цена 
Приход]]</f>
        <v>19494000</v>
      </c>
      <c r="K120" s="34">
        <v>19</v>
      </c>
      <c r="L120" s="34">
        <v>130000</v>
      </c>
      <c r="M120" s="34">
        <f>Таблица1[[#This Row],[Поддон
Шт]]*Таблица1[[#This Row],[Цена
Поддон]]</f>
        <v>2470000</v>
      </c>
      <c r="N120" s="34">
        <f>Таблица1[[#This Row],[Сумма 
Приход]]+Таблица1[[#This Row],[Сумма Поддон]]</f>
        <v>21964000</v>
      </c>
      <c r="O120" s="34">
        <v>700000</v>
      </c>
      <c r="P120" s="34">
        <f>Таблица1[[#This Row],[Блок
 Куб]]*Таблица1[[#This Row],[Цена
 Продажа]]</f>
        <v>22982400</v>
      </c>
      <c r="Q120" s="34" t="s">
        <v>356</v>
      </c>
      <c r="R120" s="34">
        <f>Таблица1[[#This Row],[Сумма 
Продажа]]-Таблица1[[#This Row],[Сумма 
Приход]]-Таблица1[[#This Row],[Авто услу ]]</f>
        <v>988400</v>
      </c>
      <c r="S120" s="34">
        <v>2500000</v>
      </c>
      <c r="T120" s="34">
        <f>Таблица1[[#This Row],[Сумма 
Продажа]]-IF(Таблица1[[#This Row],[Расход 
Авто]]="Клиент",N(Таблица1[[#This Row],[Авто услу ]]),0)</f>
        <v>22982400</v>
      </c>
      <c r="U1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0" s="265" t="str">
        <f>IFERROR(INDEX(Мижозлар[Агент],MATCH($D120,Мижозлар[Расмий ном],0)),"")</f>
        <v>Арслон ога</v>
      </c>
    </row>
    <row r="121" spans="1:23" ht="14.25" x14ac:dyDescent="0.2">
      <c r="A121" s="21" t="s">
        <v>44</v>
      </c>
      <c r="B121" s="135" t="s">
        <v>22</v>
      </c>
      <c r="C121" s="141" t="s">
        <v>36</v>
      </c>
      <c r="D121" s="141" t="s">
        <v>45</v>
      </c>
      <c r="E121" s="136">
        <v>46220</v>
      </c>
      <c r="F121" s="135" t="s">
        <v>453</v>
      </c>
      <c r="G121" s="34" t="s">
        <v>355</v>
      </c>
      <c r="H121" s="142">
        <v>32.832000000000001</v>
      </c>
      <c r="I121" s="34">
        <v>593750</v>
      </c>
      <c r="J121" s="34">
        <f>Таблица1[[#This Row],[Блок
 Куб]]*Таблица1[[#This Row],[Цена 
Приход]]</f>
        <v>19494000</v>
      </c>
      <c r="K121" s="34">
        <v>19</v>
      </c>
      <c r="L121" s="34">
        <v>130000</v>
      </c>
      <c r="M121" s="34">
        <f>Таблица1[[#This Row],[Поддон
Шт]]*Таблица1[[#This Row],[Цена
Поддон]]</f>
        <v>2470000</v>
      </c>
      <c r="N121" s="34">
        <f>Таблица1[[#This Row],[Сумма 
Приход]]+Таблица1[[#This Row],[Сумма Поддон]]</f>
        <v>21964000</v>
      </c>
      <c r="O121" s="34">
        <v>700000</v>
      </c>
      <c r="P121" s="34">
        <f>Таблица1[[#This Row],[Блок
 Куб]]*Таблица1[[#This Row],[Цена
 Продажа]]</f>
        <v>22982400</v>
      </c>
      <c r="Q121" s="34" t="s">
        <v>240</v>
      </c>
      <c r="R121" s="34">
        <f>Таблица1[[#This Row],[Сумма 
Продажа]]-Таблица1[[#This Row],[Сумма 
Приход]]-Таблица1[[#This Row],[Авто услу ]]</f>
        <v>988400</v>
      </c>
      <c r="S121" s="34">
        <v>2500000</v>
      </c>
      <c r="T121" s="34">
        <f>Таблица1[[#This Row],[Сумма 
Продажа]]-IF(Таблица1[[#This Row],[Расход 
Авто]]="Клиент",N(Таблица1[[#This Row],[Авто услу ]]),0)</f>
        <v>20482400</v>
      </c>
      <c r="U1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1" s="265" t="str">
        <f>IFERROR(INDEX(Мижозлар[Агент],MATCH($D121,Мижозлар[Расмий ном],0)),"")</f>
        <v>Темур</v>
      </c>
    </row>
    <row r="122" spans="1:23" ht="14.25" x14ac:dyDescent="0.2">
      <c r="A122" s="21" t="s">
        <v>44</v>
      </c>
      <c r="B122" s="135" t="s">
        <v>26</v>
      </c>
      <c r="C122" s="141" t="s">
        <v>36</v>
      </c>
      <c r="D122" s="141" t="s">
        <v>45</v>
      </c>
      <c r="E122" s="136">
        <v>46220</v>
      </c>
      <c r="F122" s="135" t="s">
        <v>454</v>
      </c>
      <c r="G122" s="34" t="s">
        <v>355</v>
      </c>
      <c r="H122" s="142">
        <v>32.832000000000001</v>
      </c>
      <c r="I122" s="34">
        <v>593750</v>
      </c>
      <c r="J122" s="34">
        <f>Таблица1[[#This Row],[Блок
 Куб]]*Таблица1[[#This Row],[Цена 
Приход]]</f>
        <v>19494000</v>
      </c>
      <c r="K122" s="34">
        <v>19</v>
      </c>
      <c r="L122" s="34">
        <v>130000</v>
      </c>
      <c r="M122" s="34">
        <f>Таблица1[[#This Row],[Поддон
Шт]]*Таблица1[[#This Row],[Цена
Поддон]]</f>
        <v>2470000</v>
      </c>
      <c r="N122" s="34">
        <f>Таблица1[[#This Row],[Сумма 
Приход]]+Таблица1[[#This Row],[Сумма Поддон]]</f>
        <v>21964000</v>
      </c>
      <c r="O122" s="34">
        <v>700000</v>
      </c>
      <c r="P122" s="34">
        <f>Таблица1[[#This Row],[Блок
 Куб]]*Таблица1[[#This Row],[Цена
 Продажа]]</f>
        <v>22982400</v>
      </c>
      <c r="Q122" s="34" t="s">
        <v>240</v>
      </c>
      <c r="R122" s="34">
        <f>Таблица1[[#This Row],[Сумма 
Продажа]]-Таблица1[[#This Row],[Сумма 
Приход]]-Таблица1[[#This Row],[Авто услу ]]</f>
        <v>988400</v>
      </c>
      <c r="S122" s="34">
        <v>2500000</v>
      </c>
      <c r="T122" s="34">
        <f>Таблица1[[#This Row],[Сумма 
Продажа]]-IF(Таблица1[[#This Row],[Расход 
Авто]]="Клиент",N(Таблица1[[#This Row],[Авто услу ]]),0)</f>
        <v>20482400</v>
      </c>
      <c r="U1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2" s="265" t="str">
        <f>IFERROR(INDEX(Мижозлар[Агент],MATCH($D122,Мижозлар[Расмий ном],0)),"")</f>
        <v>Темур</v>
      </c>
    </row>
    <row r="123" spans="1:23" ht="14.25" x14ac:dyDescent="0.2">
      <c r="A123" s="21" t="s">
        <v>44</v>
      </c>
      <c r="B123" s="135" t="s">
        <v>26</v>
      </c>
      <c r="C123" s="141" t="s">
        <v>29</v>
      </c>
      <c r="D123" s="141" t="s">
        <v>98</v>
      </c>
      <c r="E123" s="136">
        <v>46220</v>
      </c>
      <c r="F123" s="135" t="s">
        <v>455</v>
      </c>
      <c r="G123" s="34" t="s">
        <v>355</v>
      </c>
      <c r="H123" s="142">
        <v>32.832000000000001</v>
      </c>
      <c r="I123" s="34">
        <v>593750</v>
      </c>
      <c r="J123" s="34">
        <f>Таблица1[[#This Row],[Блок
 Куб]]*Таблица1[[#This Row],[Цена 
Приход]]</f>
        <v>19494000</v>
      </c>
      <c r="K123" s="34">
        <v>19</v>
      </c>
      <c r="L123" s="34">
        <v>130000</v>
      </c>
      <c r="M123" s="34">
        <f>Таблица1[[#This Row],[Поддон
Шт]]*Таблица1[[#This Row],[Цена
Поддон]]</f>
        <v>2470000</v>
      </c>
      <c r="N123" s="34">
        <f>Таблица1[[#This Row],[Сумма 
Приход]]+Таблица1[[#This Row],[Сумма Поддон]]</f>
        <v>21964000</v>
      </c>
      <c r="O123" s="34">
        <v>700000</v>
      </c>
      <c r="P123" s="34">
        <f>Таблица1[[#This Row],[Блок
 Куб]]*Таблица1[[#This Row],[Цена
 Продажа]]</f>
        <v>22982400</v>
      </c>
      <c r="Q123" s="34" t="s">
        <v>240</v>
      </c>
      <c r="R123" s="34">
        <f>Таблица1[[#This Row],[Сумма 
Продажа]]-Таблица1[[#This Row],[Сумма 
Приход]]-Таблица1[[#This Row],[Авто услу ]]</f>
        <v>988400</v>
      </c>
      <c r="S123" s="34">
        <v>2500000</v>
      </c>
      <c r="T123" s="34">
        <f>Таблица1[[#This Row],[Сумма 
Продажа]]-IF(Таблица1[[#This Row],[Расход 
Авто]]="Клиент",N(Таблица1[[#This Row],[Авто услу ]]),0)</f>
        <v>20482400</v>
      </c>
      <c r="U1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3" s="265" t="str">
        <f>IFERROR(INDEX(Мижозлар[Агент],MATCH($D123,Мижозлар[Расмий ном],0)),"")</f>
        <v>Зафар ога</v>
      </c>
    </row>
    <row r="124" spans="1:23" ht="14.25" x14ac:dyDescent="0.2">
      <c r="A124" s="21" t="s">
        <v>44</v>
      </c>
      <c r="B124" s="135" t="s">
        <v>26</v>
      </c>
      <c r="C124" s="141" t="s">
        <v>36</v>
      </c>
      <c r="D124" s="141" t="s">
        <v>45</v>
      </c>
      <c r="E124" s="136">
        <v>46221</v>
      </c>
      <c r="F124" s="135" t="s">
        <v>456</v>
      </c>
      <c r="G124" s="34" t="s">
        <v>368</v>
      </c>
      <c r="H124" s="142">
        <v>32.832000000000001</v>
      </c>
      <c r="I124" s="34">
        <v>593750</v>
      </c>
      <c r="J124" s="34">
        <f>Таблица1[[#This Row],[Блок
 Куб]]*Таблица1[[#This Row],[Цена 
Приход]]</f>
        <v>19494000</v>
      </c>
      <c r="K124" s="34">
        <v>19</v>
      </c>
      <c r="L124" s="34">
        <v>130000</v>
      </c>
      <c r="M124" s="34">
        <f>Таблица1[[#This Row],[Поддон
Шт]]*Таблица1[[#This Row],[Цена
Поддон]]</f>
        <v>2470000</v>
      </c>
      <c r="N124" s="34">
        <f>Таблица1[[#This Row],[Сумма 
Приход]]+Таблица1[[#This Row],[Сумма Поддон]]</f>
        <v>21964000</v>
      </c>
      <c r="O124" s="34">
        <v>700000</v>
      </c>
      <c r="P124" s="34">
        <f>Таблица1[[#This Row],[Блок
 Куб]]*Таблица1[[#This Row],[Цена
 Продажа]]</f>
        <v>22982400</v>
      </c>
      <c r="Q124" s="34" t="s">
        <v>240</v>
      </c>
      <c r="R124" s="34">
        <f>Таблица1[[#This Row],[Сумма 
Продажа]]-Таблица1[[#This Row],[Сумма 
Приход]]-Таблица1[[#This Row],[Авто услу ]]</f>
        <v>988400</v>
      </c>
      <c r="S124" s="34">
        <v>2500000</v>
      </c>
      <c r="T124" s="34">
        <f>Таблица1[[#This Row],[Сумма 
Продажа]]-IF(Таблица1[[#This Row],[Расход 
Авто]]="Клиент",N(Таблица1[[#This Row],[Авто услу ]]),0)</f>
        <v>20482400</v>
      </c>
      <c r="U1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4" s="265" t="str">
        <f>IFERROR(INDEX(Мижозлар[Агент],MATCH($D124,Мижозлар[Расмий ном],0)),"")</f>
        <v>Темур</v>
      </c>
    </row>
    <row r="125" spans="1:23" ht="14.25" x14ac:dyDescent="0.2">
      <c r="A125" s="21" t="s">
        <v>44</v>
      </c>
      <c r="B125" s="135" t="s">
        <v>26</v>
      </c>
      <c r="C125" s="141" t="s">
        <v>40</v>
      </c>
      <c r="D125" s="141" t="s">
        <v>87</v>
      </c>
      <c r="E125" s="136">
        <v>46221</v>
      </c>
      <c r="F125" s="135" t="s">
        <v>432</v>
      </c>
      <c r="G125" s="34" t="s">
        <v>355</v>
      </c>
      <c r="H125" s="142">
        <v>32.832000000000001</v>
      </c>
      <c r="I125" s="34">
        <v>593750</v>
      </c>
      <c r="J125" s="34">
        <f>Таблица1[[#This Row],[Блок
 Куб]]*Таблица1[[#This Row],[Цена 
Приход]]</f>
        <v>19494000</v>
      </c>
      <c r="K125" s="34">
        <v>19</v>
      </c>
      <c r="L125" s="34">
        <v>130000</v>
      </c>
      <c r="M125" s="34">
        <f>Таблица1[[#This Row],[Поддон
Шт]]*Таблица1[[#This Row],[Цена
Поддон]]</f>
        <v>2470000</v>
      </c>
      <c r="N125" s="34">
        <f>Таблица1[[#This Row],[Сумма 
Приход]]+Таблица1[[#This Row],[Сумма Поддон]]</f>
        <v>21964000</v>
      </c>
      <c r="O125" s="34">
        <v>700000</v>
      </c>
      <c r="P125" s="34">
        <f>Таблица1[[#This Row],[Блок
 Куб]]*Таблица1[[#This Row],[Цена
 Продажа]]</f>
        <v>22982400</v>
      </c>
      <c r="Q125" s="34" t="s">
        <v>240</v>
      </c>
      <c r="R125" s="34">
        <f>Таблица1[[#This Row],[Сумма 
Продажа]]-Таблица1[[#This Row],[Сумма 
Приход]]-Таблица1[[#This Row],[Авто услу ]]</f>
        <v>988400</v>
      </c>
      <c r="S125" s="34">
        <v>2500000</v>
      </c>
      <c r="T125" s="34">
        <f>Таблица1[[#This Row],[Сумма 
Продажа]]-IF(Таблица1[[#This Row],[Расход 
Авто]]="Клиент",N(Таблица1[[#This Row],[Авто услу ]]),0)</f>
        <v>20482400</v>
      </c>
      <c r="U1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5" s="265" t="str">
        <f>IFERROR(INDEX(Мижозлар[Агент],MATCH($D125,Мижозлар[Расмий ном],0)),"")</f>
        <v>Шохрух ога</v>
      </c>
    </row>
    <row r="126" spans="1:23" ht="14.25" x14ac:dyDescent="0.2">
      <c r="A126" s="21" t="s">
        <v>44</v>
      </c>
      <c r="B126" s="135" t="s">
        <v>26</v>
      </c>
      <c r="C126" s="141" t="s">
        <v>32</v>
      </c>
      <c r="D126" s="141" t="s">
        <v>85</v>
      </c>
      <c r="E126" s="136">
        <v>46221</v>
      </c>
      <c r="F126" s="135" t="s">
        <v>426</v>
      </c>
      <c r="G126" s="34" t="s">
        <v>355</v>
      </c>
      <c r="H126" s="142">
        <v>32.832000000000001</v>
      </c>
      <c r="I126" s="34">
        <v>593750</v>
      </c>
      <c r="J126" s="34">
        <f>Таблица1[[#This Row],[Блок
 Куб]]*Таблица1[[#This Row],[Цена 
Приход]]</f>
        <v>19494000</v>
      </c>
      <c r="K126" s="34">
        <v>19</v>
      </c>
      <c r="L126" s="34">
        <v>130000</v>
      </c>
      <c r="M126" s="34">
        <f>Таблица1[[#This Row],[Поддон
Шт]]*Таблица1[[#This Row],[Цена
Поддон]]</f>
        <v>2470000</v>
      </c>
      <c r="N126" s="34">
        <f>Таблица1[[#This Row],[Сумма 
Приход]]+Таблица1[[#This Row],[Сумма Поддон]]</f>
        <v>21964000</v>
      </c>
      <c r="O126" s="34">
        <v>700000</v>
      </c>
      <c r="P126" s="34">
        <f>Таблица1[[#This Row],[Блок
 Куб]]*Таблица1[[#This Row],[Цена
 Продажа]]</f>
        <v>22982400</v>
      </c>
      <c r="Q126" s="34" t="s">
        <v>240</v>
      </c>
      <c r="R126" s="34">
        <f>Таблица1[[#This Row],[Сумма 
Продажа]]-Таблица1[[#This Row],[Сумма 
Приход]]-Таблица1[[#This Row],[Авто услу ]]</f>
        <v>988400</v>
      </c>
      <c r="S126" s="34">
        <v>2500000</v>
      </c>
      <c r="T126" s="34">
        <f>Таблица1[[#This Row],[Сумма 
Продажа]]-IF(Таблица1[[#This Row],[Расход 
Авто]]="Клиент",N(Таблица1[[#This Row],[Авто услу ]]),0)</f>
        <v>20482400</v>
      </c>
      <c r="U1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6" s="265" t="str">
        <f>IFERROR(INDEX(Мижозлар[Агент],MATCH($D126,Мижозлар[Расмий ном],0)),"")</f>
        <v>Сардор ога</v>
      </c>
    </row>
    <row r="127" spans="1:23" ht="14.25" x14ac:dyDescent="0.2">
      <c r="A127" s="21" t="s">
        <v>44</v>
      </c>
      <c r="B127" s="135" t="s">
        <v>26</v>
      </c>
      <c r="C127" s="141" t="s">
        <v>32</v>
      </c>
      <c r="D127" s="141" t="s">
        <v>85</v>
      </c>
      <c r="E127" s="136">
        <v>46221</v>
      </c>
      <c r="F127" s="135" t="s">
        <v>457</v>
      </c>
      <c r="G127" s="34" t="s">
        <v>355</v>
      </c>
      <c r="H127" s="142">
        <v>32.832000000000001</v>
      </c>
      <c r="I127" s="34">
        <v>593750</v>
      </c>
      <c r="J127" s="34">
        <f>Таблица1[[#This Row],[Блок
 Куб]]*Таблица1[[#This Row],[Цена 
Приход]]</f>
        <v>19494000</v>
      </c>
      <c r="K127" s="34">
        <v>19</v>
      </c>
      <c r="L127" s="34">
        <v>130000</v>
      </c>
      <c r="M127" s="34">
        <f>Таблица1[[#This Row],[Поддон
Шт]]*Таблица1[[#This Row],[Цена
Поддон]]</f>
        <v>2470000</v>
      </c>
      <c r="N127" s="34">
        <f>Таблица1[[#This Row],[Сумма 
Приход]]+Таблица1[[#This Row],[Сумма Поддон]]</f>
        <v>21964000</v>
      </c>
      <c r="O127" s="34">
        <v>700000</v>
      </c>
      <c r="P127" s="34">
        <f>Таблица1[[#This Row],[Блок
 Куб]]*Таблица1[[#This Row],[Цена
 Продажа]]</f>
        <v>22982400</v>
      </c>
      <c r="Q127" s="34" t="s">
        <v>240</v>
      </c>
      <c r="R127" s="34">
        <f>Таблица1[[#This Row],[Сумма 
Продажа]]-Таблица1[[#This Row],[Сумма 
Приход]]-Таблица1[[#This Row],[Авто услу ]]</f>
        <v>988400</v>
      </c>
      <c r="S127" s="34">
        <v>2500000</v>
      </c>
      <c r="T127" s="34">
        <f>Таблица1[[#This Row],[Сумма 
Продажа]]-IF(Таблица1[[#This Row],[Расход 
Авто]]="Клиент",N(Таблица1[[#This Row],[Авто услу ]]),0)</f>
        <v>20482400</v>
      </c>
      <c r="U1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7" s="265" t="str">
        <f>IFERROR(INDEX(Мижозлар[Агент],MATCH($D127,Мижозлар[Расмий ном],0)),"")</f>
        <v>Сардор ога</v>
      </c>
    </row>
    <row r="128" spans="1:23" ht="14.25" x14ac:dyDescent="0.2">
      <c r="A128" s="21" t="s">
        <v>44</v>
      </c>
      <c r="B128" s="135" t="s">
        <v>26</v>
      </c>
      <c r="C128" s="141" t="s">
        <v>29</v>
      </c>
      <c r="D128" s="141" t="s">
        <v>98</v>
      </c>
      <c r="E128" s="136">
        <v>46221</v>
      </c>
      <c r="F128" s="135" t="s">
        <v>458</v>
      </c>
      <c r="G128" s="34" t="s">
        <v>355</v>
      </c>
      <c r="H128" s="142">
        <v>32.832000000000001</v>
      </c>
      <c r="I128" s="34">
        <v>593750</v>
      </c>
      <c r="J128" s="34">
        <f>Таблица1[[#This Row],[Блок
 Куб]]*Таблица1[[#This Row],[Цена 
Приход]]</f>
        <v>19494000</v>
      </c>
      <c r="K128" s="34">
        <v>19</v>
      </c>
      <c r="L128" s="34">
        <v>130000</v>
      </c>
      <c r="M128" s="34">
        <f>Таблица1[[#This Row],[Поддон
Шт]]*Таблица1[[#This Row],[Цена
Поддон]]</f>
        <v>2470000</v>
      </c>
      <c r="N128" s="34">
        <f>Таблица1[[#This Row],[Сумма 
Приход]]+Таблица1[[#This Row],[Сумма Поддон]]</f>
        <v>21964000</v>
      </c>
      <c r="O128" s="34">
        <v>700000</v>
      </c>
      <c r="P128" s="34">
        <f>Таблица1[[#This Row],[Блок
 Куб]]*Таблица1[[#This Row],[Цена
 Продажа]]</f>
        <v>22982400</v>
      </c>
      <c r="Q128" s="34" t="s">
        <v>240</v>
      </c>
      <c r="R128" s="34">
        <f>Таблица1[[#This Row],[Сумма 
Продажа]]-Таблица1[[#This Row],[Сумма 
Приход]]-Таблица1[[#This Row],[Авто услу ]]</f>
        <v>988400</v>
      </c>
      <c r="S128" s="34">
        <v>2500000</v>
      </c>
      <c r="T128" s="34">
        <f>Таблица1[[#This Row],[Сумма 
Продажа]]-IF(Таблица1[[#This Row],[Расход 
Авто]]="Клиент",N(Таблица1[[#This Row],[Авто услу ]]),0)</f>
        <v>20482400</v>
      </c>
      <c r="U1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8" s="265" t="str">
        <f>IFERROR(INDEX(Мижозлар[Агент],MATCH($D128,Мижозлар[Расмий ном],0)),"")</f>
        <v>Зафар ога</v>
      </c>
    </row>
    <row r="129" spans="1:23" ht="14.25" x14ac:dyDescent="0.2">
      <c r="A129" s="21" t="s">
        <v>44</v>
      </c>
      <c r="B129" s="135" t="s">
        <v>26</v>
      </c>
      <c r="C129" s="141" t="s">
        <v>40</v>
      </c>
      <c r="D129" s="141" t="s">
        <v>87</v>
      </c>
      <c r="E129" s="136">
        <v>46221</v>
      </c>
      <c r="F129" s="135" t="s">
        <v>459</v>
      </c>
      <c r="G129" s="34" t="s">
        <v>368</v>
      </c>
      <c r="H129" s="142">
        <v>32.832000000000001</v>
      </c>
      <c r="I129" s="34">
        <v>593750</v>
      </c>
      <c r="J129" s="34">
        <f>Таблица1[[#This Row],[Блок
 Куб]]*Таблица1[[#This Row],[Цена 
Приход]]</f>
        <v>19494000</v>
      </c>
      <c r="K129" s="34">
        <v>19</v>
      </c>
      <c r="L129" s="34">
        <v>130000</v>
      </c>
      <c r="M129" s="34">
        <f>Таблица1[[#This Row],[Поддон
Шт]]*Таблица1[[#This Row],[Цена
Поддон]]</f>
        <v>2470000</v>
      </c>
      <c r="N129" s="34">
        <f>Таблица1[[#This Row],[Сумма 
Приход]]+Таблица1[[#This Row],[Сумма Поддон]]</f>
        <v>21964000</v>
      </c>
      <c r="O129" s="34">
        <v>700000</v>
      </c>
      <c r="P129" s="34">
        <f>Таблица1[[#This Row],[Блок
 Куб]]*Таблица1[[#This Row],[Цена
 Продажа]]</f>
        <v>22982400</v>
      </c>
      <c r="Q129" s="34" t="s">
        <v>240</v>
      </c>
      <c r="R129" s="34">
        <f>Таблица1[[#This Row],[Сумма 
Продажа]]-Таблица1[[#This Row],[Сумма 
Приход]]-Таблица1[[#This Row],[Авто услу ]]</f>
        <v>988400</v>
      </c>
      <c r="S129" s="34">
        <v>2500000</v>
      </c>
      <c r="T129" s="34">
        <f>Таблица1[[#This Row],[Сумма 
Продажа]]-IF(Таблица1[[#This Row],[Расход 
Авто]]="Клиент",N(Таблица1[[#This Row],[Авто услу ]]),0)</f>
        <v>20482400</v>
      </c>
      <c r="U1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29" s="265" t="str">
        <f>IFERROR(INDEX(Мижозлар[Агент],MATCH($D129,Мижозлар[Расмий ном],0)),"")</f>
        <v>Шохрух ога</v>
      </c>
    </row>
    <row r="130" spans="1:23" ht="14.25" x14ac:dyDescent="0.2">
      <c r="A130" s="21" t="s">
        <v>44</v>
      </c>
      <c r="B130" s="135" t="s">
        <v>26</v>
      </c>
      <c r="C130" s="141" t="s">
        <v>40</v>
      </c>
      <c r="D130" s="141" t="s">
        <v>87</v>
      </c>
      <c r="E130" s="136">
        <v>46221</v>
      </c>
      <c r="F130" s="135" t="s">
        <v>460</v>
      </c>
      <c r="G130" s="34" t="s">
        <v>355</v>
      </c>
      <c r="H130" s="142">
        <v>32.832000000000001</v>
      </c>
      <c r="I130" s="34">
        <v>593750</v>
      </c>
      <c r="J130" s="34">
        <f>Таблица1[[#This Row],[Блок
 Куб]]*Таблица1[[#This Row],[Цена 
Приход]]</f>
        <v>19494000</v>
      </c>
      <c r="K130" s="34">
        <v>19</v>
      </c>
      <c r="L130" s="34">
        <v>130000</v>
      </c>
      <c r="M130" s="34">
        <f>Таблица1[[#This Row],[Поддон
Шт]]*Таблица1[[#This Row],[Цена
Поддон]]</f>
        <v>2470000</v>
      </c>
      <c r="N130" s="34">
        <f>Таблица1[[#This Row],[Сумма 
Приход]]+Таблица1[[#This Row],[Сумма Поддон]]</f>
        <v>21964000</v>
      </c>
      <c r="O130" s="34">
        <v>700000</v>
      </c>
      <c r="P130" s="34">
        <f>Таблица1[[#This Row],[Блок
 Куб]]*Таблица1[[#This Row],[Цена
 Продажа]]</f>
        <v>22982400</v>
      </c>
      <c r="Q130" s="34" t="s">
        <v>240</v>
      </c>
      <c r="R130" s="34">
        <f>Таблица1[[#This Row],[Сумма 
Продажа]]-Таблица1[[#This Row],[Сумма 
Приход]]-Таблица1[[#This Row],[Авто услу ]]</f>
        <v>988400</v>
      </c>
      <c r="S130" s="34">
        <v>2500000</v>
      </c>
      <c r="T130" s="34">
        <f>Таблица1[[#This Row],[Сумма 
Продажа]]-IF(Таблица1[[#This Row],[Расход 
Авто]]="Клиент",N(Таблица1[[#This Row],[Авто услу ]]),0)</f>
        <v>20482400</v>
      </c>
      <c r="U1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0" s="265" t="str">
        <f>IFERROR(INDEX(Мижозлар[Агент],MATCH($D130,Мижозлар[Расмий ном],0)),"")</f>
        <v>Шохрух ога</v>
      </c>
    </row>
    <row r="131" spans="1:23" ht="14.25" x14ac:dyDescent="0.2">
      <c r="A131" s="21" t="s">
        <v>44</v>
      </c>
      <c r="B131" s="135" t="s">
        <v>26</v>
      </c>
      <c r="C131" s="141" t="s">
        <v>36</v>
      </c>
      <c r="D131" s="141" t="s">
        <v>48</v>
      </c>
      <c r="E131" s="136">
        <v>46221</v>
      </c>
      <c r="F131" s="135" t="s">
        <v>461</v>
      </c>
      <c r="G131" s="34" t="s">
        <v>355</v>
      </c>
      <c r="H131" s="142">
        <v>32.832000000000001</v>
      </c>
      <c r="I131" s="34">
        <v>593750</v>
      </c>
      <c r="J131" s="34">
        <f>Таблица1[[#This Row],[Блок
 Куб]]*Таблица1[[#This Row],[Цена 
Приход]]</f>
        <v>19494000</v>
      </c>
      <c r="K131" s="34">
        <v>19</v>
      </c>
      <c r="L131" s="34">
        <v>130000</v>
      </c>
      <c r="M131" s="34">
        <f>Таблица1[[#This Row],[Поддон
Шт]]*Таблица1[[#This Row],[Цена
Поддон]]</f>
        <v>2470000</v>
      </c>
      <c r="N131" s="34">
        <f>Таблица1[[#This Row],[Сумма 
Приход]]+Таблица1[[#This Row],[Сумма Поддон]]</f>
        <v>21964000</v>
      </c>
      <c r="O131" s="34">
        <v>700000</v>
      </c>
      <c r="P131" s="34">
        <f>Таблица1[[#This Row],[Блок
 Куб]]*Таблица1[[#This Row],[Цена
 Продажа]]</f>
        <v>22982400</v>
      </c>
      <c r="Q131" s="34" t="s">
        <v>240</v>
      </c>
      <c r="R131" s="34">
        <f>Таблица1[[#This Row],[Сумма 
Продажа]]-Таблица1[[#This Row],[Сумма 
Приход]]-Таблица1[[#This Row],[Авто услу ]]</f>
        <v>988400</v>
      </c>
      <c r="S131" s="34">
        <v>2500000</v>
      </c>
      <c r="T131" s="34">
        <f>Таблица1[[#This Row],[Сумма 
Продажа]]-IF(Таблица1[[#This Row],[Расход 
Авто]]="Клиент",N(Таблица1[[#This Row],[Авто услу ]]),0)</f>
        <v>20482400</v>
      </c>
      <c r="U1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1" s="265" t="str">
        <f>IFERROR(INDEX(Мижозлар[Агент],MATCH($D131,Мижозлар[Расмий ном],0)),"")</f>
        <v>Темур</v>
      </c>
    </row>
    <row r="132" spans="1:23" ht="14.25" x14ac:dyDescent="0.2">
      <c r="A132" s="21" t="s">
        <v>44</v>
      </c>
      <c r="B132" s="135" t="s">
        <v>22</v>
      </c>
      <c r="C132" s="141" t="s">
        <v>29</v>
      </c>
      <c r="D132" s="141" t="s">
        <v>100</v>
      </c>
      <c r="E132" s="136">
        <v>46221</v>
      </c>
      <c r="F132" s="135" t="s">
        <v>462</v>
      </c>
      <c r="G132" s="34" t="s">
        <v>368</v>
      </c>
      <c r="H132" s="142">
        <v>32.832000000000001</v>
      </c>
      <c r="I132" s="34">
        <v>593750</v>
      </c>
      <c r="J132" s="34">
        <f>Таблица1[[#This Row],[Блок
 Куб]]*Таблица1[[#This Row],[Цена 
Приход]]</f>
        <v>19494000</v>
      </c>
      <c r="K132" s="34">
        <v>19</v>
      </c>
      <c r="L132" s="34">
        <v>130000</v>
      </c>
      <c r="M132" s="34">
        <f>Таблица1[[#This Row],[Поддон
Шт]]*Таблица1[[#This Row],[Цена
Поддон]]</f>
        <v>2470000</v>
      </c>
      <c r="N132" s="34">
        <f>Таблица1[[#This Row],[Сумма 
Приход]]+Таблица1[[#This Row],[Сумма Поддон]]</f>
        <v>21964000</v>
      </c>
      <c r="O132" s="34">
        <v>700000</v>
      </c>
      <c r="P132" s="34">
        <f>Таблица1[[#This Row],[Блок
 Куб]]*Таблица1[[#This Row],[Цена
 Продажа]]</f>
        <v>22982400</v>
      </c>
      <c r="Q132" s="34" t="s">
        <v>240</v>
      </c>
      <c r="R132" s="34">
        <f>Таблица1[[#This Row],[Сумма 
Продажа]]-Таблица1[[#This Row],[Сумма 
Приход]]-Таблица1[[#This Row],[Авто услу ]]</f>
        <v>988400</v>
      </c>
      <c r="S132" s="34">
        <v>2500000</v>
      </c>
      <c r="T132" s="34">
        <f>Таблица1[[#This Row],[Сумма 
Продажа]]-IF(Таблица1[[#This Row],[Расход 
Авто]]="Клиент",N(Таблица1[[#This Row],[Авто услу ]]),0)</f>
        <v>20482400</v>
      </c>
      <c r="U1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2" s="265" t="str">
        <f>IFERROR(INDEX(Мижозлар[Агент],MATCH($D132,Мижозлар[Расмий ном],0)),"")</f>
        <v>Зафар ога</v>
      </c>
    </row>
    <row r="133" spans="1:23" ht="14.25" x14ac:dyDescent="0.2">
      <c r="A133" s="21" t="s">
        <v>44</v>
      </c>
      <c r="B133" s="135" t="s">
        <v>26</v>
      </c>
      <c r="C133" s="141" t="s">
        <v>36</v>
      </c>
      <c r="D133" s="141" t="s">
        <v>45</v>
      </c>
      <c r="E133" s="136">
        <v>46221</v>
      </c>
      <c r="F133" s="135" t="s">
        <v>369</v>
      </c>
      <c r="G133" s="34" t="s">
        <v>368</v>
      </c>
      <c r="H133" s="142">
        <v>32.832000000000001</v>
      </c>
      <c r="I133" s="34">
        <v>593750</v>
      </c>
      <c r="J133" s="34">
        <f>Таблица1[[#This Row],[Блок
 Куб]]*Таблица1[[#This Row],[Цена 
Приход]]</f>
        <v>19494000</v>
      </c>
      <c r="K133" s="34">
        <v>19</v>
      </c>
      <c r="L133" s="34">
        <v>130000</v>
      </c>
      <c r="M133" s="34">
        <f>Таблица1[[#This Row],[Поддон
Шт]]*Таблица1[[#This Row],[Цена
Поддон]]</f>
        <v>2470000</v>
      </c>
      <c r="N133" s="34">
        <f>Таблица1[[#This Row],[Сумма 
Приход]]+Таблица1[[#This Row],[Сумма Поддон]]</f>
        <v>21964000</v>
      </c>
      <c r="O133" s="34">
        <v>700000</v>
      </c>
      <c r="P133" s="34">
        <f>Таблица1[[#This Row],[Блок
 Куб]]*Таблица1[[#This Row],[Цена
 Продажа]]</f>
        <v>22982400</v>
      </c>
      <c r="Q133" s="34" t="s">
        <v>240</v>
      </c>
      <c r="R133" s="34">
        <f>Таблица1[[#This Row],[Сумма 
Продажа]]-Таблица1[[#This Row],[Сумма 
Приход]]-Таблица1[[#This Row],[Авто услу ]]</f>
        <v>988400</v>
      </c>
      <c r="S133" s="34">
        <v>2500000</v>
      </c>
      <c r="T133" s="34">
        <f>Таблица1[[#This Row],[Сумма 
Продажа]]-IF(Таблица1[[#This Row],[Расход 
Авто]]="Клиент",N(Таблица1[[#This Row],[Авто услу ]]),0)</f>
        <v>20482400</v>
      </c>
      <c r="U1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3" s="265" t="str">
        <f>IFERROR(INDEX(Мижозлар[Агент],MATCH($D133,Мижозлар[Расмий ном],0)),"")</f>
        <v>Темур</v>
      </c>
    </row>
    <row r="134" spans="1:23" ht="14.25" x14ac:dyDescent="0.2">
      <c r="A134" s="21" t="s">
        <v>44</v>
      </c>
      <c r="B134" s="135" t="s">
        <v>22</v>
      </c>
      <c r="C134" s="141" t="s">
        <v>29</v>
      </c>
      <c r="D134" s="141" t="s">
        <v>98</v>
      </c>
      <c r="E134" s="136">
        <v>46221</v>
      </c>
      <c r="F134" s="135" t="s">
        <v>463</v>
      </c>
      <c r="G134" s="34" t="s">
        <v>355</v>
      </c>
      <c r="H134" s="142">
        <v>32.832000000000001</v>
      </c>
      <c r="I134" s="34">
        <v>593750</v>
      </c>
      <c r="J134" s="34">
        <f>Таблица1[[#This Row],[Блок
 Куб]]*Таблица1[[#This Row],[Цена 
Приход]]</f>
        <v>19494000</v>
      </c>
      <c r="K134" s="34">
        <v>19</v>
      </c>
      <c r="L134" s="34">
        <v>130000</v>
      </c>
      <c r="M134" s="34">
        <f>Таблица1[[#This Row],[Поддон
Шт]]*Таблица1[[#This Row],[Цена
Поддон]]</f>
        <v>2470000</v>
      </c>
      <c r="N134" s="34">
        <f>Таблица1[[#This Row],[Сумма 
Приход]]+Таблица1[[#This Row],[Сумма Поддон]]</f>
        <v>21964000</v>
      </c>
      <c r="O134" s="34">
        <v>700000</v>
      </c>
      <c r="P134" s="34">
        <f>Таблица1[[#This Row],[Блок
 Куб]]*Таблица1[[#This Row],[Цена
 Продажа]]</f>
        <v>22982400</v>
      </c>
      <c r="Q134" s="34" t="s">
        <v>240</v>
      </c>
      <c r="R134" s="34">
        <f>Таблица1[[#This Row],[Сумма 
Продажа]]-Таблица1[[#This Row],[Сумма 
Приход]]-Таблица1[[#This Row],[Авто услу ]]</f>
        <v>988400</v>
      </c>
      <c r="S134" s="34">
        <v>2500000</v>
      </c>
      <c r="T134" s="34">
        <f>Таблица1[[#This Row],[Сумма 
Продажа]]-IF(Таблица1[[#This Row],[Расход 
Авто]]="Клиент",N(Таблица1[[#This Row],[Авто услу ]]),0)</f>
        <v>20482400</v>
      </c>
      <c r="U1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4" s="265" t="str">
        <f>IFERROR(INDEX(Мижозлар[Агент],MATCH($D134,Мижозлар[Расмий ном],0)),"")</f>
        <v>Зафар ога</v>
      </c>
    </row>
    <row r="135" spans="1:23" ht="14.25" x14ac:dyDescent="0.2">
      <c r="A135" s="21" t="s">
        <v>44</v>
      </c>
      <c r="B135" s="135" t="s">
        <v>26</v>
      </c>
      <c r="C135" s="141" t="s">
        <v>36</v>
      </c>
      <c r="D135" s="141" t="s">
        <v>45</v>
      </c>
      <c r="E135" s="136">
        <v>46223</v>
      </c>
      <c r="F135" s="135" t="s">
        <v>432</v>
      </c>
      <c r="G135" s="34" t="s">
        <v>355</v>
      </c>
      <c r="H135" s="142">
        <v>32.832000000000001</v>
      </c>
      <c r="I135" s="34">
        <v>593750</v>
      </c>
      <c r="J135" s="34">
        <f>Таблица1[[#This Row],[Блок
 Куб]]*Таблица1[[#This Row],[Цена 
Приход]]</f>
        <v>19494000</v>
      </c>
      <c r="K135" s="34">
        <v>19</v>
      </c>
      <c r="L135" s="34">
        <v>130000</v>
      </c>
      <c r="M135" s="34">
        <f>Таблица1[[#This Row],[Поддон
Шт]]*Таблица1[[#This Row],[Цена
Поддон]]</f>
        <v>2470000</v>
      </c>
      <c r="N135" s="34">
        <f>Таблица1[[#This Row],[Сумма 
Приход]]+Таблица1[[#This Row],[Сумма Поддон]]</f>
        <v>21964000</v>
      </c>
      <c r="O135" s="34">
        <v>700000</v>
      </c>
      <c r="P135" s="34">
        <f>Таблица1[[#This Row],[Блок
 Куб]]*Таблица1[[#This Row],[Цена
 Продажа]]</f>
        <v>22982400</v>
      </c>
      <c r="Q135" s="34" t="s">
        <v>240</v>
      </c>
      <c r="R135" s="34">
        <f>Таблица1[[#This Row],[Сумма 
Продажа]]-Таблица1[[#This Row],[Сумма 
Приход]]-Таблица1[[#This Row],[Авто услу ]]</f>
        <v>988400</v>
      </c>
      <c r="S135" s="34">
        <v>2500000</v>
      </c>
      <c r="T135" s="34">
        <f>Таблица1[[#This Row],[Сумма 
Продажа]]-IF(Таблица1[[#This Row],[Расход 
Авто]]="Клиент",N(Таблица1[[#This Row],[Авто услу ]]),0)</f>
        <v>20482400</v>
      </c>
      <c r="U1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5" s="265" t="str">
        <f>IFERROR(INDEX(Мижозлар[Агент],MATCH($D135,Мижозлар[Расмий ном],0)),"")</f>
        <v>Темур</v>
      </c>
    </row>
    <row r="136" spans="1:23" ht="14.25" x14ac:dyDescent="0.2">
      <c r="A136" s="21" t="s">
        <v>44</v>
      </c>
      <c r="B136" s="135" t="s">
        <v>26</v>
      </c>
      <c r="C136" s="141" t="s">
        <v>29</v>
      </c>
      <c r="D136" s="141" t="s">
        <v>98</v>
      </c>
      <c r="E136" s="136">
        <v>46223</v>
      </c>
      <c r="F136" s="135" t="s">
        <v>394</v>
      </c>
      <c r="G136" s="34" t="s">
        <v>368</v>
      </c>
      <c r="H136" s="142">
        <v>32.832000000000001</v>
      </c>
      <c r="I136" s="34">
        <v>593750</v>
      </c>
      <c r="J136" s="34">
        <f>Таблица1[[#This Row],[Блок
 Куб]]*Таблица1[[#This Row],[Цена 
Приход]]</f>
        <v>19494000</v>
      </c>
      <c r="K136" s="34">
        <v>19</v>
      </c>
      <c r="L136" s="34">
        <v>130000</v>
      </c>
      <c r="M136" s="34">
        <f>Таблица1[[#This Row],[Поддон
Шт]]*Таблица1[[#This Row],[Цена
Поддон]]</f>
        <v>2470000</v>
      </c>
      <c r="N136" s="34">
        <f>Таблица1[[#This Row],[Сумма 
Приход]]+Таблица1[[#This Row],[Сумма Поддон]]</f>
        <v>21964000</v>
      </c>
      <c r="O136" s="34">
        <v>700000</v>
      </c>
      <c r="P136" s="34">
        <f>Таблица1[[#This Row],[Блок
 Куб]]*Таблица1[[#This Row],[Цена
 Продажа]]</f>
        <v>22982400</v>
      </c>
      <c r="Q136" s="34" t="s">
        <v>240</v>
      </c>
      <c r="R136" s="34">
        <f>Таблица1[[#This Row],[Сумма 
Продажа]]-Таблица1[[#This Row],[Сумма 
Приход]]-Таблица1[[#This Row],[Авто услу ]]</f>
        <v>988400</v>
      </c>
      <c r="S136" s="34">
        <v>2500000</v>
      </c>
      <c r="T136" s="34">
        <f>Таблица1[[#This Row],[Сумма 
Продажа]]-IF(Таблица1[[#This Row],[Расход 
Авто]]="Клиент",N(Таблица1[[#This Row],[Авто услу ]]),0)</f>
        <v>20482400</v>
      </c>
      <c r="U1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6" s="265" t="str">
        <f>IFERROR(INDEX(Мижозлар[Агент],MATCH($D136,Мижозлар[Расмий ном],0)),"")</f>
        <v>Зафар ога</v>
      </c>
    </row>
    <row r="137" spans="1:23" ht="14.25" x14ac:dyDescent="0.2">
      <c r="A137" s="21" t="s">
        <v>44</v>
      </c>
      <c r="B137" s="135" t="s">
        <v>26</v>
      </c>
      <c r="C137" s="141" t="s">
        <v>36</v>
      </c>
      <c r="D137" s="141" t="s">
        <v>61</v>
      </c>
      <c r="E137" s="136">
        <v>46223</v>
      </c>
      <c r="F137" s="135" t="s">
        <v>464</v>
      </c>
      <c r="G137" s="34" t="s">
        <v>355</v>
      </c>
      <c r="H137" s="142">
        <v>20.736000000000001</v>
      </c>
      <c r="I137" s="34">
        <v>593750</v>
      </c>
      <c r="J137" s="34">
        <f>Таблица1[[#This Row],[Блок
 Куб]]*Таблица1[[#This Row],[Цена 
Приход]]</f>
        <v>12312000</v>
      </c>
      <c r="K137" s="34">
        <v>12</v>
      </c>
      <c r="L137" s="34">
        <v>130000</v>
      </c>
      <c r="M137" s="34">
        <f>Таблица1[[#This Row],[Поддон
Шт]]*Таблица1[[#This Row],[Цена
Поддон]]</f>
        <v>1560000</v>
      </c>
      <c r="N137" s="34">
        <f>Таблица1[[#This Row],[Сумма 
Приход]]+Таблица1[[#This Row],[Сумма Поддон]]</f>
        <v>13872000</v>
      </c>
      <c r="O137" s="34">
        <v>700000</v>
      </c>
      <c r="P137" s="34">
        <f>Таблица1[[#This Row],[Блок
 Куб]]*Таблица1[[#This Row],[Цена
 Продажа]]</f>
        <v>14515200</v>
      </c>
      <c r="Q137" s="34" t="s">
        <v>240</v>
      </c>
      <c r="R137" s="34">
        <f>Таблица1[[#This Row],[Сумма 
Продажа]]-Таблица1[[#This Row],[Сумма 
Приход]]-Таблица1[[#This Row],[Авто услу ]]</f>
        <v>623200</v>
      </c>
      <c r="S137" s="34">
        <v>1580000</v>
      </c>
      <c r="T137" s="34">
        <f>Таблица1[[#This Row],[Сумма 
Продажа]]-IF(Таблица1[[#This Row],[Расход 
Авто]]="Клиент",N(Таблица1[[#This Row],[Авто услу ]]),0)</f>
        <v>12935200</v>
      </c>
      <c r="U1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7" s="265" t="str">
        <f>IFERROR(INDEX(Мижозлар[Агент],MATCH($D137,Мижозлар[Расмий ном],0)),"")</f>
        <v>Темур</v>
      </c>
    </row>
    <row r="138" spans="1:23" ht="14.25" x14ac:dyDescent="0.2">
      <c r="A138" s="21" t="s">
        <v>44</v>
      </c>
      <c r="B138" s="135" t="s">
        <v>26</v>
      </c>
      <c r="C138" s="141" t="s">
        <v>36</v>
      </c>
      <c r="D138" s="141" t="s">
        <v>71</v>
      </c>
      <c r="E138" s="136">
        <v>46223</v>
      </c>
      <c r="F138" s="135" t="s">
        <v>465</v>
      </c>
      <c r="G138" s="34" t="s">
        <v>368</v>
      </c>
      <c r="H138" s="142">
        <v>32.832000000000001</v>
      </c>
      <c r="I138" s="34">
        <v>593750</v>
      </c>
      <c r="J138" s="34">
        <f>Таблица1[[#This Row],[Блок
 Куб]]*Таблица1[[#This Row],[Цена 
Приход]]</f>
        <v>19494000</v>
      </c>
      <c r="K138" s="34">
        <v>19</v>
      </c>
      <c r="L138" s="34">
        <v>130000</v>
      </c>
      <c r="M138" s="34">
        <f>Таблица1[[#This Row],[Поддон
Шт]]*Таблица1[[#This Row],[Цена
Поддон]]</f>
        <v>2470000</v>
      </c>
      <c r="N138" s="34">
        <f>Таблица1[[#This Row],[Сумма 
Приход]]+Таблица1[[#This Row],[Сумма Поддон]]</f>
        <v>21964000</v>
      </c>
      <c r="O138" s="34">
        <v>700000</v>
      </c>
      <c r="P138" s="34">
        <f>Таблица1[[#This Row],[Блок
 Куб]]*Таблица1[[#This Row],[Цена
 Продажа]]</f>
        <v>22982400</v>
      </c>
      <c r="Q138" s="34" t="s">
        <v>240</v>
      </c>
      <c r="R138" s="34">
        <f>Таблица1[[#This Row],[Сумма 
Продажа]]-Таблица1[[#This Row],[Сумма 
Приход]]-Таблица1[[#This Row],[Авто услу ]]</f>
        <v>988400</v>
      </c>
      <c r="S138" s="34">
        <v>2500000</v>
      </c>
      <c r="T138" s="34">
        <f>Таблица1[[#This Row],[Сумма 
Продажа]]-IF(Таблица1[[#This Row],[Расход 
Авто]]="Клиент",N(Таблица1[[#This Row],[Авто услу ]]),0)</f>
        <v>20482400</v>
      </c>
      <c r="U1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8" s="265" t="str">
        <f>IFERROR(INDEX(Мижозлар[Агент],MATCH($D138,Мижозлар[Расмий ном],0)),"")</f>
        <v>Темур</v>
      </c>
    </row>
    <row r="139" spans="1:23" ht="14.25" x14ac:dyDescent="0.2">
      <c r="A139" s="21" t="s">
        <v>44</v>
      </c>
      <c r="B139" s="135" t="s">
        <v>26</v>
      </c>
      <c r="C139" s="141" t="s">
        <v>29</v>
      </c>
      <c r="D139" s="141" t="s">
        <v>98</v>
      </c>
      <c r="E139" s="136">
        <v>46223</v>
      </c>
      <c r="F139" s="135" t="s">
        <v>466</v>
      </c>
      <c r="G139" s="34" t="s">
        <v>355</v>
      </c>
      <c r="H139" s="142">
        <v>32.832000000000001</v>
      </c>
      <c r="I139" s="34">
        <v>593750</v>
      </c>
      <c r="J139" s="34">
        <f>Таблица1[[#This Row],[Блок
 Куб]]*Таблица1[[#This Row],[Цена 
Приход]]</f>
        <v>19494000</v>
      </c>
      <c r="K139" s="34">
        <v>19</v>
      </c>
      <c r="L139" s="34">
        <v>130000</v>
      </c>
      <c r="M139" s="34">
        <f>Таблица1[[#This Row],[Поддон
Шт]]*Таблица1[[#This Row],[Цена
Поддон]]</f>
        <v>2470000</v>
      </c>
      <c r="N139" s="34">
        <f>Таблица1[[#This Row],[Сумма 
Приход]]+Таблица1[[#This Row],[Сумма Поддон]]</f>
        <v>21964000</v>
      </c>
      <c r="O139" s="34">
        <v>700000</v>
      </c>
      <c r="P139" s="34">
        <f>Таблица1[[#This Row],[Блок
 Куб]]*Таблица1[[#This Row],[Цена
 Продажа]]</f>
        <v>22982400</v>
      </c>
      <c r="Q139" s="34" t="s">
        <v>240</v>
      </c>
      <c r="R139" s="34">
        <f>Таблица1[[#This Row],[Сумма 
Продажа]]-Таблица1[[#This Row],[Сумма 
Приход]]-Таблица1[[#This Row],[Авто услу ]]</f>
        <v>988400</v>
      </c>
      <c r="S139" s="34">
        <v>2500000</v>
      </c>
      <c r="T139" s="34">
        <f>Таблица1[[#This Row],[Сумма 
Продажа]]-IF(Таблица1[[#This Row],[Расход 
Авто]]="Клиент",N(Таблица1[[#This Row],[Авто услу ]]),0)</f>
        <v>20482400</v>
      </c>
      <c r="U1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39" s="265" t="str">
        <f>IFERROR(INDEX(Мижозлар[Агент],MATCH($D139,Мижозлар[Расмий ном],0)),"")</f>
        <v>Зафар ога</v>
      </c>
    </row>
    <row r="140" spans="1:23" x14ac:dyDescent="0.2">
      <c r="A140" s="21" t="s">
        <v>44</v>
      </c>
      <c r="B140" s="135" t="s">
        <v>26</v>
      </c>
      <c r="C140" s="141" t="s">
        <v>32</v>
      </c>
      <c r="D140" s="141" t="s">
        <v>122</v>
      </c>
      <c r="E140" s="136">
        <v>46223</v>
      </c>
      <c r="F140" s="135" t="s">
        <v>426</v>
      </c>
      <c r="G140" s="34" t="s">
        <v>355</v>
      </c>
      <c r="H140" s="189">
        <v>22.463999999999999</v>
      </c>
      <c r="I140" s="190">
        <v>593750</v>
      </c>
      <c r="J140" s="34">
        <f>Таблица1[[#This Row],[Блок
 Куб]]*Таблица1[[#This Row],[Цена 
Приход]]</f>
        <v>13338000</v>
      </c>
      <c r="K140" s="34">
        <v>13</v>
      </c>
      <c r="L140" s="34">
        <v>130000</v>
      </c>
      <c r="M140" s="34">
        <f>Таблица1[[#This Row],[Поддон
Шт]]*Таблица1[[#This Row],[Цена
Поддон]]</f>
        <v>1690000</v>
      </c>
      <c r="N140" s="34">
        <f>Таблица1[[#This Row],[Сумма 
Приход]]+Таблица1[[#This Row],[Сумма Поддон]]</f>
        <v>15028000</v>
      </c>
      <c r="O140" s="34">
        <v>700000</v>
      </c>
      <c r="P140" s="34">
        <f>Таблица1[[#This Row],[Блок
 Куб]]*Таблица1[[#This Row],[Цена
 Продажа]]</f>
        <v>15724799.999999998</v>
      </c>
      <c r="Q140" s="34" t="s">
        <v>240</v>
      </c>
      <c r="R140" s="34">
        <f>Таблица1[[#This Row],[Сумма 
Продажа]]-Таблица1[[#This Row],[Сумма 
Приход]]-Таблица1[[#This Row],[Авто услу ]]</f>
        <v>682799.99999999814</v>
      </c>
      <c r="S140" s="34">
        <v>1704000</v>
      </c>
      <c r="T140" s="34">
        <f>Таблица1[[#This Row],[Сумма 
Продажа]]-IF(Таблица1[[#This Row],[Расход 
Авто]]="Клиент",N(Таблица1[[#This Row],[Авто услу ]]),0)</f>
        <v>14020799.999999998</v>
      </c>
      <c r="U1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0" s="265" t="str">
        <f>IFERROR(INDEX(Мижозлар[Агент],MATCH($D140,Мижозлар[Расмий ном],0)),"")</f>
        <v>Сардор ога</v>
      </c>
    </row>
    <row r="141" spans="1:23" ht="14.25" x14ac:dyDescent="0.2">
      <c r="A141" s="21" t="s">
        <v>44</v>
      </c>
      <c r="B141" s="135" t="s">
        <v>26</v>
      </c>
      <c r="C141" s="141" t="s">
        <v>40</v>
      </c>
      <c r="D141" s="141" t="s">
        <v>87</v>
      </c>
      <c r="E141" s="136">
        <v>46223</v>
      </c>
      <c r="F141" s="135" t="s">
        <v>426</v>
      </c>
      <c r="G141" s="34" t="s">
        <v>355</v>
      </c>
      <c r="H141" s="142">
        <f>H139-H140</f>
        <v>10.368000000000002</v>
      </c>
      <c r="I141" s="34">
        <v>593750</v>
      </c>
      <c r="J141" s="34">
        <f>Таблица1[[#This Row],[Блок
 Куб]]*Таблица1[[#This Row],[Цена 
Приход]]</f>
        <v>6156000.0000000009</v>
      </c>
      <c r="K141" s="34">
        <v>6</v>
      </c>
      <c r="L141" s="34">
        <v>130000</v>
      </c>
      <c r="M141" s="34">
        <f>Таблица1[[#This Row],[Поддон
Шт]]*Таблица1[[#This Row],[Цена
Поддон]]</f>
        <v>780000</v>
      </c>
      <c r="N141" s="34">
        <f>Таблица1[[#This Row],[Сумма 
Приход]]+Таблица1[[#This Row],[Сумма Поддон]]</f>
        <v>6936000.0000000009</v>
      </c>
      <c r="O141" s="34">
        <v>700000</v>
      </c>
      <c r="P141" s="34">
        <f>Таблица1[[#This Row],[Блок
 Куб]]*Таблица1[[#This Row],[Цена
 Продажа]]</f>
        <v>7257600.0000000019</v>
      </c>
      <c r="Q141" s="34" t="s">
        <v>356</v>
      </c>
      <c r="R141" s="34">
        <f>Таблица1[[#This Row],[Сумма 
Продажа]]-Таблица1[[#This Row],[Сумма 
Приход]]-Таблица1[[#This Row],[Авто услу ]]</f>
        <v>312126.31600000092</v>
      </c>
      <c r="S141" s="34">
        <v>789473.68400000001</v>
      </c>
      <c r="T141" s="34">
        <f>Таблица1[[#This Row],[Сумма 
Продажа]]-IF(Таблица1[[#This Row],[Расход 
Авто]]="Клиент",N(Таблица1[[#This Row],[Авто услу ]]),0)</f>
        <v>7257600.0000000019</v>
      </c>
      <c r="U1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1" s="265" t="str">
        <f>IFERROR(INDEX(Мижозлар[Агент],MATCH($D141,Мижозлар[Расмий ном],0)),"")</f>
        <v>Шохрух ога</v>
      </c>
    </row>
    <row r="142" spans="1:23" ht="14.25" x14ac:dyDescent="0.2">
      <c r="A142" s="21" t="s">
        <v>44</v>
      </c>
      <c r="B142" s="135" t="s">
        <v>26</v>
      </c>
      <c r="C142" s="141" t="s">
        <v>32</v>
      </c>
      <c r="D142" s="141" t="s">
        <v>91</v>
      </c>
      <c r="E142" s="136">
        <v>46224</v>
      </c>
      <c r="F142" s="135" t="s">
        <v>467</v>
      </c>
      <c r="G142" s="34" t="s">
        <v>355</v>
      </c>
      <c r="H142" s="142">
        <v>32.832000000000001</v>
      </c>
      <c r="I142" s="34">
        <v>593750</v>
      </c>
      <c r="J142" s="34">
        <f>Таблица1[[#This Row],[Блок
 Куб]]*Таблица1[[#This Row],[Цена 
Приход]]</f>
        <v>19494000</v>
      </c>
      <c r="K142" s="34">
        <v>19</v>
      </c>
      <c r="L142" s="34">
        <v>130000</v>
      </c>
      <c r="M142" s="34">
        <f>Таблица1[[#This Row],[Поддон
Шт]]*Таблица1[[#This Row],[Цена
Поддон]]</f>
        <v>2470000</v>
      </c>
      <c r="N142" s="34">
        <f>Таблица1[[#This Row],[Сумма 
Приход]]+Таблица1[[#This Row],[Сумма Поддон]]</f>
        <v>21964000</v>
      </c>
      <c r="O142" s="34">
        <v>700000</v>
      </c>
      <c r="P142" s="34">
        <f>Таблица1[[#This Row],[Блок
 Куб]]*Таблица1[[#This Row],[Цена
 Продажа]]</f>
        <v>22982400</v>
      </c>
      <c r="Q142" s="34" t="s">
        <v>240</v>
      </c>
      <c r="R142" s="34">
        <f>Таблица1[[#This Row],[Сумма 
Продажа]]-Таблица1[[#This Row],[Сумма 
Приход]]-Таблица1[[#This Row],[Авто услу ]]</f>
        <v>988400</v>
      </c>
      <c r="S142" s="34">
        <v>2500000</v>
      </c>
      <c r="T142" s="34">
        <f>Таблица1[[#This Row],[Сумма 
Продажа]]-IF(Таблица1[[#This Row],[Расход 
Авто]]="Клиент",N(Таблица1[[#This Row],[Авто услу ]]),0)</f>
        <v>20482400</v>
      </c>
      <c r="U1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2" s="265" t="str">
        <f>IFERROR(INDEX(Мижозлар[Агент],MATCH($D142,Мижозлар[Расмий ном],0)),"")</f>
        <v>Сардор ога</v>
      </c>
    </row>
    <row r="143" spans="1:23" ht="14.25" x14ac:dyDescent="0.2">
      <c r="A143" s="21" t="s">
        <v>44</v>
      </c>
      <c r="B143" s="135" t="s">
        <v>26</v>
      </c>
      <c r="C143" s="141" t="s">
        <v>36</v>
      </c>
      <c r="D143" s="141" t="s">
        <v>82</v>
      </c>
      <c r="E143" s="136">
        <v>46224</v>
      </c>
      <c r="F143" s="135" t="s">
        <v>432</v>
      </c>
      <c r="G143" s="34" t="s">
        <v>355</v>
      </c>
      <c r="H143" s="142">
        <v>32.832000000000001</v>
      </c>
      <c r="I143" s="34">
        <v>593750</v>
      </c>
      <c r="J143" s="34">
        <f>Таблица1[[#This Row],[Блок
 Куб]]*Таблица1[[#This Row],[Цена 
Приход]]</f>
        <v>19494000</v>
      </c>
      <c r="K143" s="34">
        <v>19</v>
      </c>
      <c r="L143" s="34">
        <v>130000</v>
      </c>
      <c r="M143" s="34">
        <f>Таблица1[[#This Row],[Поддон
Шт]]*Таблица1[[#This Row],[Цена
Поддон]]</f>
        <v>2470000</v>
      </c>
      <c r="N143" s="34">
        <f>Таблица1[[#This Row],[Сумма 
Приход]]+Таблица1[[#This Row],[Сумма Поддон]]</f>
        <v>21964000</v>
      </c>
      <c r="O143" s="34">
        <v>700000</v>
      </c>
      <c r="P143" s="34">
        <f>Таблица1[[#This Row],[Блок
 Куб]]*Таблица1[[#This Row],[Цена
 Продажа]]</f>
        <v>22982400</v>
      </c>
      <c r="Q143" s="34" t="s">
        <v>240</v>
      </c>
      <c r="R143" s="34">
        <f>Таблица1[[#This Row],[Сумма 
Продажа]]-Таблица1[[#This Row],[Сумма 
Приход]]-Таблица1[[#This Row],[Авто услу ]]</f>
        <v>988400</v>
      </c>
      <c r="S143" s="34">
        <v>2500000</v>
      </c>
      <c r="T143" s="34">
        <f>Таблица1[[#This Row],[Сумма 
Продажа]]-IF(Таблица1[[#This Row],[Расход 
Авто]]="Клиент",N(Таблица1[[#This Row],[Авто услу ]]),0)</f>
        <v>20482400</v>
      </c>
      <c r="U1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3" s="265" t="str">
        <f>IFERROR(INDEX(Мижозлар[Агент],MATCH($D143,Мижозлар[Расмий ном],0)),"")</f>
        <v>Темур</v>
      </c>
    </row>
    <row r="144" spans="1:23" ht="14.25" x14ac:dyDescent="0.2">
      <c r="A144" s="21" t="s">
        <v>44</v>
      </c>
      <c r="B144" s="135" t="s">
        <v>22</v>
      </c>
      <c r="C144" s="141" t="s">
        <v>25</v>
      </c>
      <c r="D144" s="141" t="s">
        <v>53</v>
      </c>
      <c r="E144" s="136">
        <v>46224</v>
      </c>
      <c r="F144" s="135" t="s">
        <v>468</v>
      </c>
      <c r="G144" s="34" t="s">
        <v>403</v>
      </c>
      <c r="H144" s="142">
        <v>32.832000000000001</v>
      </c>
      <c r="I144" s="34">
        <v>563750</v>
      </c>
      <c r="J144" s="34">
        <f>Таблица1[[#This Row],[Блок
 Куб]]*Таблица1[[#This Row],[Цена 
Приход]]</f>
        <v>18509040</v>
      </c>
      <c r="K144" s="34">
        <v>19</v>
      </c>
      <c r="L144" s="34">
        <v>130000</v>
      </c>
      <c r="M144" s="34">
        <f>Таблица1[[#This Row],[Поддон
Шт]]*Таблица1[[#This Row],[Цена
Поддон]]</f>
        <v>2470000</v>
      </c>
      <c r="N144" s="34">
        <f>Таблица1[[#This Row],[Сумма 
Приход]]+Таблица1[[#This Row],[Сумма Поддон]]</f>
        <v>20979040</v>
      </c>
      <c r="O144" s="34">
        <v>700000</v>
      </c>
      <c r="P144" s="34">
        <f>Таблица1[[#This Row],[Блок
 Куб]]*Таблица1[[#This Row],[Цена
 Продажа]]</f>
        <v>22982400</v>
      </c>
      <c r="Q144" s="34" t="s">
        <v>356</v>
      </c>
      <c r="R144" s="34">
        <f>Таблица1[[#This Row],[Сумма 
Продажа]]-Таблица1[[#This Row],[Сумма 
Приход]]-Таблица1[[#This Row],[Авто услу ]]</f>
        <v>1973360</v>
      </c>
      <c r="S144" s="34">
        <v>2500000</v>
      </c>
      <c r="T144" s="34">
        <f>Таблица1[[#This Row],[Сумма 
Продажа]]-IF(Таблица1[[#This Row],[Расход 
Авто]]="Клиент",N(Таблица1[[#This Row],[Авто услу ]]),0)</f>
        <v>22982400</v>
      </c>
      <c r="U1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4" s="265" t="str">
        <f>IFERROR(INDEX(Мижозлар[Агент],MATCH($D144,Мижозлар[Расмий ном],0)),"")</f>
        <v>Жамол 22-22</v>
      </c>
    </row>
    <row r="145" spans="1:23" ht="14.25" x14ac:dyDescent="0.2">
      <c r="A145" s="21" t="s">
        <v>41</v>
      </c>
      <c r="B145" s="135" t="s">
        <v>22</v>
      </c>
      <c r="C145" s="141" t="s">
        <v>32</v>
      </c>
      <c r="D145" s="141" t="s">
        <v>112</v>
      </c>
      <c r="E145" s="136">
        <v>46224</v>
      </c>
      <c r="F145" s="135" t="s">
        <v>382</v>
      </c>
      <c r="G145" s="34" t="s">
        <v>403</v>
      </c>
      <c r="H145" s="142">
        <v>25.92</v>
      </c>
      <c r="I145" s="34">
        <v>489250</v>
      </c>
      <c r="J145" s="34">
        <f>Таблица1[[#This Row],[Блок
 Куб]]*Таблица1[[#This Row],[Цена 
Приход]]</f>
        <v>12681360</v>
      </c>
      <c r="K145" s="34">
        <v>15</v>
      </c>
      <c r="L145" s="34">
        <v>130000</v>
      </c>
      <c r="M145" s="34">
        <f>Таблица1[[#This Row],[Поддон
Шт]]*Таблица1[[#This Row],[Цена
Поддон]]</f>
        <v>1950000</v>
      </c>
      <c r="N145" s="34">
        <f>Таблица1[[#This Row],[Сумма 
Приход]]+Таблица1[[#This Row],[Сумма Поддон]]</f>
        <v>14631360</v>
      </c>
      <c r="O145" s="34">
        <v>707716.05</v>
      </c>
      <c r="P145" s="34">
        <f>Таблица1[[#This Row],[Блок
 Куб]]*Таблица1[[#This Row],[Цена
 Продажа]]</f>
        <v>18344000.016000003</v>
      </c>
      <c r="Q145" s="34" t="s">
        <v>356</v>
      </c>
      <c r="R145" s="34">
        <f>Таблица1[[#This Row],[Сумма 
Продажа]]-Таблица1[[#This Row],[Сумма 
Приход]]-Таблица1[[#This Row],[Авто услу ]]</f>
        <v>3554745.2910000025</v>
      </c>
      <c r="S145" s="34">
        <v>2107894.7250000001</v>
      </c>
      <c r="T145" s="34">
        <f>Таблица1[[#This Row],[Сумма 
Продажа]]-IF(Таблица1[[#This Row],[Расход 
Авто]]="Клиент",N(Таблица1[[#This Row],[Авто услу ]]),0)</f>
        <v>18344000.016000003</v>
      </c>
      <c r="U1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5" s="265" t="str">
        <f>IFERROR(INDEX(Мижозлар[Агент],MATCH($D145,Мижозлар[Расмий ном],0)),"")</f>
        <v>Сардор ога</v>
      </c>
    </row>
    <row r="146" spans="1:23" ht="14.25" x14ac:dyDescent="0.2">
      <c r="A146" s="21" t="s">
        <v>44</v>
      </c>
      <c r="B146" s="135" t="s">
        <v>22</v>
      </c>
      <c r="C146" s="141" t="s">
        <v>25</v>
      </c>
      <c r="D146" s="141" t="s">
        <v>53</v>
      </c>
      <c r="E146" s="136">
        <v>46224</v>
      </c>
      <c r="F146" s="135" t="s">
        <v>382</v>
      </c>
      <c r="G146" s="34" t="s">
        <v>403</v>
      </c>
      <c r="H146" s="142">
        <v>5.1840000000000002</v>
      </c>
      <c r="I146" s="34">
        <v>563750</v>
      </c>
      <c r="J146" s="34">
        <f>Таблица1[[#This Row],[Блок
 Куб]]*Таблица1[[#This Row],[Цена 
Приход]]</f>
        <v>2922480</v>
      </c>
      <c r="K146" s="34">
        <v>3</v>
      </c>
      <c r="L146" s="34">
        <v>130000</v>
      </c>
      <c r="M146" s="34">
        <f>Таблица1[[#This Row],[Поддон
Шт]]*Таблица1[[#This Row],[Цена
Поддон]]</f>
        <v>390000</v>
      </c>
      <c r="N146" s="34">
        <f>Таблица1[[#This Row],[Сумма 
Приход]]+Таблица1[[#This Row],[Сумма Поддон]]</f>
        <v>3312480</v>
      </c>
      <c r="O146" s="34">
        <v>700000</v>
      </c>
      <c r="P146" s="34">
        <f>Таблица1[[#This Row],[Блок
 Куб]]*Таблица1[[#This Row],[Цена
 Продажа]]</f>
        <v>3628800</v>
      </c>
      <c r="Q146" s="34" t="s">
        <v>356</v>
      </c>
      <c r="R146" s="34">
        <f>Таблица1[[#This Row],[Сумма 
Продажа]]-Таблица1[[#This Row],[Сумма 
Приход]]-Таблица1[[#This Row],[Авто услу ]]</f>
        <v>284741.05499999999</v>
      </c>
      <c r="S146" s="34">
        <v>421578.94500000001</v>
      </c>
      <c r="T146" s="34">
        <f>Таблица1[[#This Row],[Сумма 
Продажа]]-IF(Таблица1[[#This Row],[Расход 
Авто]]="Клиент",N(Таблица1[[#This Row],[Авто услу ]]),0)</f>
        <v>3628800</v>
      </c>
      <c r="U1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6" s="265" t="str">
        <f>IFERROR(INDEX(Мижозлар[Агент],MATCH($D146,Мижозлар[Расмий ном],0)),"")</f>
        <v>Жамол 22-22</v>
      </c>
    </row>
    <row r="147" spans="1:23" ht="14.25" x14ac:dyDescent="0.2">
      <c r="A147" s="21" t="s">
        <v>44</v>
      </c>
      <c r="B147" s="135" t="s">
        <v>22</v>
      </c>
      <c r="C147" s="141" t="s">
        <v>25</v>
      </c>
      <c r="D147" s="141" t="s">
        <v>53</v>
      </c>
      <c r="E147" s="136">
        <v>46224</v>
      </c>
      <c r="F147" s="135" t="s">
        <v>382</v>
      </c>
      <c r="G147" s="34" t="s">
        <v>368</v>
      </c>
      <c r="H147" s="142">
        <v>1.728</v>
      </c>
      <c r="I147" s="34">
        <v>593750</v>
      </c>
      <c r="J147" s="34">
        <f>Таблица1[[#This Row],[Блок
 Куб]]*Таблица1[[#This Row],[Цена 
Приход]]</f>
        <v>1026000</v>
      </c>
      <c r="K147" s="34">
        <v>1</v>
      </c>
      <c r="L147" s="34">
        <v>130000</v>
      </c>
      <c r="M147" s="34">
        <f>Таблица1[[#This Row],[Поддон
Шт]]*Таблица1[[#This Row],[Цена
Поддон]]</f>
        <v>130000</v>
      </c>
      <c r="N147" s="34">
        <f>Таблица1[[#This Row],[Сумма 
Приход]]+Таблица1[[#This Row],[Сумма Поддон]]</f>
        <v>1156000</v>
      </c>
      <c r="O147" s="34">
        <v>700000</v>
      </c>
      <c r="P147" s="34">
        <f>Таблица1[[#This Row],[Блок
 Куб]]*Таблица1[[#This Row],[Цена
 Продажа]]</f>
        <v>1209600</v>
      </c>
      <c r="Q147" s="34" t="s">
        <v>356</v>
      </c>
      <c r="R147" s="34">
        <f>Таблица1[[#This Row],[Сумма 
Продажа]]-Таблица1[[#This Row],[Сумма 
Приход]]-Таблица1[[#This Row],[Авто услу ]]</f>
        <v>43073.684999999998</v>
      </c>
      <c r="S147" s="34">
        <v>140526.315</v>
      </c>
      <c r="T147" s="34">
        <f>Таблица1[[#This Row],[Сумма 
Продажа]]-IF(Таблица1[[#This Row],[Расход 
Авто]]="Клиент",N(Таблица1[[#This Row],[Авто услу ]]),0)</f>
        <v>1209600</v>
      </c>
      <c r="U1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7" s="265" t="str">
        <f>IFERROR(INDEX(Мижозлар[Агент],MATCH($D147,Мижозлар[Расмий ном],0)),"")</f>
        <v>Жамол 22-22</v>
      </c>
    </row>
    <row r="148" spans="1:23" ht="14.25" x14ac:dyDescent="0.2">
      <c r="A148" s="21" t="s">
        <v>44</v>
      </c>
      <c r="B148" s="135" t="s">
        <v>26</v>
      </c>
      <c r="C148" s="141" t="s">
        <v>36</v>
      </c>
      <c r="D148" s="141" t="s">
        <v>82</v>
      </c>
      <c r="E148" s="136">
        <v>46226</v>
      </c>
      <c r="F148" s="135" t="s">
        <v>432</v>
      </c>
      <c r="G148" s="34" t="s">
        <v>368</v>
      </c>
      <c r="H148" s="142">
        <v>32.832000000000001</v>
      </c>
      <c r="I148" s="34">
        <v>593750</v>
      </c>
      <c r="J148" s="34">
        <f>Таблица1[[#This Row],[Блок
 Куб]]*Таблица1[[#This Row],[Цена 
Приход]]</f>
        <v>19494000</v>
      </c>
      <c r="K148" s="34">
        <v>19</v>
      </c>
      <c r="L148" s="34">
        <v>130000</v>
      </c>
      <c r="M148" s="34">
        <f>Таблица1[[#This Row],[Поддон
Шт]]*Таблица1[[#This Row],[Цена
Поддон]]</f>
        <v>2470000</v>
      </c>
      <c r="N148" s="34">
        <f>Таблица1[[#This Row],[Сумма 
Приход]]+Таблица1[[#This Row],[Сумма Поддон]]</f>
        <v>21964000</v>
      </c>
      <c r="O148" s="34">
        <v>700000</v>
      </c>
      <c r="P148" s="34">
        <f>Таблица1[[#This Row],[Блок
 Куб]]*Таблица1[[#This Row],[Цена
 Продажа]]</f>
        <v>22982400</v>
      </c>
      <c r="Q148" s="34" t="s">
        <v>240</v>
      </c>
      <c r="R148" s="34">
        <f>Таблица1[[#This Row],[Сумма 
Продажа]]-Таблица1[[#This Row],[Сумма 
Приход]]-Таблица1[[#This Row],[Авто услу ]]</f>
        <v>988400</v>
      </c>
      <c r="S148" s="34">
        <v>2500000</v>
      </c>
      <c r="T148" s="34">
        <f>Таблица1[[#This Row],[Сумма 
Продажа]]-IF(Таблица1[[#This Row],[Расход 
Авто]]="Клиент",N(Таблица1[[#This Row],[Авто услу ]]),0)</f>
        <v>20482400</v>
      </c>
      <c r="U1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8" s="265" t="str">
        <f>IFERROR(INDEX(Мижозлар[Агент],MATCH($D148,Мижозлар[Расмий ном],0)),"")</f>
        <v>Темур</v>
      </c>
    </row>
    <row r="149" spans="1:23" ht="14.25" x14ac:dyDescent="0.2">
      <c r="A149" s="21" t="s">
        <v>44</v>
      </c>
      <c r="B149" s="135" t="s">
        <v>26</v>
      </c>
      <c r="C149" s="141" t="s">
        <v>32</v>
      </c>
      <c r="D149" s="141" t="s">
        <v>63</v>
      </c>
      <c r="E149" s="136">
        <v>46226</v>
      </c>
      <c r="F149" s="135" t="s">
        <v>469</v>
      </c>
      <c r="G149" s="34" t="s">
        <v>368</v>
      </c>
      <c r="H149" s="142">
        <v>32.832000000000001</v>
      </c>
      <c r="I149" s="34">
        <v>593750</v>
      </c>
      <c r="J149" s="34">
        <f>Таблица1[[#This Row],[Блок
 Куб]]*Таблица1[[#This Row],[Цена 
Приход]]</f>
        <v>19494000</v>
      </c>
      <c r="K149" s="34">
        <v>19</v>
      </c>
      <c r="L149" s="34">
        <v>130000</v>
      </c>
      <c r="M149" s="34">
        <f>Таблица1[[#This Row],[Поддон
Шт]]*Таблица1[[#This Row],[Цена
Поддон]]</f>
        <v>2470000</v>
      </c>
      <c r="N149" s="34">
        <f>Таблица1[[#This Row],[Сумма 
Приход]]+Таблица1[[#This Row],[Сумма Поддон]]</f>
        <v>21964000</v>
      </c>
      <c r="O149" s="34">
        <v>700000</v>
      </c>
      <c r="P149" s="34">
        <f>Таблица1[[#This Row],[Блок
 Куб]]*Таблица1[[#This Row],[Цена
 Продажа]]</f>
        <v>22982400</v>
      </c>
      <c r="Q149" s="34" t="s">
        <v>240</v>
      </c>
      <c r="R149" s="34">
        <f>Таблица1[[#This Row],[Сумма 
Продажа]]-Таблица1[[#This Row],[Сумма 
Приход]]-Таблица1[[#This Row],[Авто услу ]]</f>
        <v>988400</v>
      </c>
      <c r="S149" s="34">
        <v>2500000</v>
      </c>
      <c r="T149" s="34">
        <f>Таблица1[[#This Row],[Сумма 
Продажа]]-IF(Таблица1[[#This Row],[Расход 
Авто]]="Клиент",N(Таблица1[[#This Row],[Авто услу ]]),0)</f>
        <v>20482400</v>
      </c>
      <c r="U1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49" s="265" t="str">
        <f>IFERROR(INDEX(Мижозлар[Агент],MATCH($D149,Мижозлар[Расмий ном],0)),"")</f>
        <v>Сардор ога</v>
      </c>
    </row>
    <row r="150" spans="1:23" ht="14.25" x14ac:dyDescent="0.2">
      <c r="A150" s="21" t="s">
        <v>44</v>
      </c>
      <c r="B150" s="135" t="s">
        <v>26</v>
      </c>
      <c r="C150" s="141" t="s">
        <v>32</v>
      </c>
      <c r="D150" s="141" t="s">
        <v>91</v>
      </c>
      <c r="E150" s="136">
        <v>46226</v>
      </c>
      <c r="F150" s="135" t="s">
        <v>470</v>
      </c>
      <c r="G150" s="34" t="s">
        <v>368</v>
      </c>
      <c r="H150" s="142">
        <v>32.832000000000001</v>
      </c>
      <c r="I150" s="34">
        <v>593750</v>
      </c>
      <c r="J150" s="34">
        <f>Таблица1[[#This Row],[Блок
 Куб]]*Таблица1[[#This Row],[Цена 
Приход]]</f>
        <v>19494000</v>
      </c>
      <c r="K150" s="34">
        <v>19</v>
      </c>
      <c r="L150" s="34">
        <v>130000</v>
      </c>
      <c r="M150" s="34">
        <f>Таблица1[[#This Row],[Поддон
Шт]]*Таблица1[[#This Row],[Цена
Поддон]]</f>
        <v>2470000</v>
      </c>
      <c r="N150" s="34">
        <f>Таблица1[[#This Row],[Сумма 
Приход]]+Таблица1[[#This Row],[Сумма Поддон]]</f>
        <v>21964000</v>
      </c>
      <c r="O150" s="34">
        <v>700000</v>
      </c>
      <c r="P150" s="34">
        <f>Таблица1[[#This Row],[Блок
 Куб]]*Таблица1[[#This Row],[Цена
 Продажа]]</f>
        <v>22982400</v>
      </c>
      <c r="Q150" s="34" t="s">
        <v>240</v>
      </c>
      <c r="R150" s="34">
        <f>Таблица1[[#This Row],[Сумма 
Продажа]]-Таблица1[[#This Row],[Сумма 
Приход]]-Таблица1[[#This Row],[Авто услу ]]</f>
        <v>988400</v>
      </c>
      <c r="S150" s="34">
        <v>2500000</v>
      </c>
      <c r="T150" s="34">
        <f>Таблица1[[#This Row],[Сумма 
Продажа]]-IF(Таблица1[[#This Row],[Расход 
Авто]]="Клиент",N(Таблица1[[#This Row],[Авто услу ]]),0)</f>
        <v>20482400</v>
      </c>
      <c r="U1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0" s="265" t="str">
        <f>IFERROR(INDEX(Мижозлар[Агент],MATCH($D150,Мижозлар[Расмий ном],0)),"")</f>
        <v>Сардор ога</v>
      </c>
    </row>
    <row r="151" spans="1:23" ht="14.25" x14ac:dyDescent="0.2">
      <c r="A151" s="21" t="s">
        <v>44</v>
      </c>
      <c r="B151" s="135" t="s">
        <v>26</v>
      </c>
      <c r="C151" s="141" t="s">
        <v>29</v>
      </c>
      <c r="D151" s="141" t="s">
        <v>98</v>
      </c>
      <c r="E151" s="136">
        <v>46226</v>
      </c>
      <c r="F151" s="135" t="s">
        <v>471</v>
      </c>
      <c r="G151" s="34" t="s">
        <v>355</v>
      </c>
      <c r="H151" s="142">
        <v>32.832000000000001</v>
      </c>
      <c r="I151" s="34">
        <v>593750</v>
      </c>
      <c r="J151" s="34">
        <f>Таблица1[[#This Row],[Блок
 Куб]]*Таблица1[[#This Row],[Цена 
Приход]]</f>
        <v>19494000</v>
      </c>
      <c r="K151" s="34">
        <v>19</v>
      </c>
      <c r="L151" s="34">
        <v>130000</v>
      </c>
      <c r="M151" s="34">
        <f>Таблица1[[#This Row],[Поддон
Шт]]*Таблица1[[#This Row],[Цена
Поддон]]</f>
        <v>2470000</v>
      </c>
      <c r="N151" s="34">
        <f>Таблица1[[#This Row],[Сумма 
Приход]]+Таблица1[[#This Row],[Сумма Поддон]]</f>
        <v>21964000</v>
      </c>
      <c r="O151" s="34">
        <v>700000</v>
      </c>
      <c r="P151" s="34">
        <f>Таблица1[[#This Row],[Блок
 Куб]]*Таблица1[[#This Row],[Цена
 Продажа]]</f>
        <v>22982400</v>
      </c>
      <c r="Q151" s="34" t="s">
        <v>240</v>
      </c>
      <c r="R151" s="34">
        <f>Таблица1[[#This Row],[Сумма 
Продажа]]-Таблица1[[#This Row],[Сумма 
Приход]]-Таблица1[[#This Row],[Авто услу ]]</f>
        <v>988400</v>
      </c>
      <c r="S151" s="34">
        <v>2500000</v>
      </c>
      <c r="T151" s="34">
        <f>Таблица1[[#This Row],[Сумма 
Продажа]]-IF(Таблица1[[#This Row],[Расход 
Авто]]="Клиент",N(Таблица1[[#This Row],[Авто услу ]]),0)</f>
        <v>20482400</v>
      </c>
      <c r="U1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1" s="265" t="str">
        <f>IFERROR(INDEX(Мижозлар[Агент],MATCH($D151,Мижозлар[Расмий ном],0)),"")</f>
        <v>Зафар ога</v>
      </c>
    </row>
    <row r="152" spans="1:23" x14ac:dyDescent="0.2">
      <c r="A152" s="21" t="s">
        <v>44</v>
      </c>
      <c r="B152" s="135" t="s">
        <v>26</v>
      </c>
      <c r="C152" s="141" t="s">
        <v>40</v>
      </c>
      <c r="D152" s="141" t="s">
        <v>119</v>
      </c>
      <c r="E152" s="136">
        <v>46226</v>
      </c>
      <c r="F152" s="135" t="s">
        <v>472</v>
      </c>
      <c r="G152" s="34" t="s">
        <v>355</v>
      </c>
      <c r="H152" s="189">
        <v>32.832000000000001</v>
      </c>
      <c r="I152" s="190">
        <v>593750</v>
      </c>
      <c r="J152" s="34">
        <f>Таблица1[[#This Row],[Блок
 Куб]]*Таблица1[[#This Row],[Цена 
Приход]]</f>
        <v>19494000</v>
      </c>
      <c r="K152" s="34">
        <v>19</v>
      </c>
      <c r="L152" s="34">
        <v>130000</v>
      </c>
      <c r="M152" s="34">
        <f>Таблица1[[#This Row],[Поддон
Шт]]*Таблица1[[#This Row],[Цена
Поддон]]</f>
        <v>2470000</v>
      </c>
      <c r="N152" s="34">
        <f>Таблица1[[#This Row],[Сумма 
Приход]]+Таблица1[[#This Row],[Сумма Поддон]]</f>
        <v>21964000</v>
      </c>
      <c r="O152" s="34">
        <v>700000</v>
      </c>
      <c r="P152" s="34">
        <f>Таблица1[[#This Row],[Блок
 Куб]]*Таблица1[[#This Row],[Цена
 Продажа]]</f>
        <v>22982400</v>
      </c>
      <c r="Q152" s="34" t="s">
        <v>240</v>
      </c>
      <c r="R152" s="34">
        <f>Таблица1[[#This Row],[Сумма 
Продажа]]-Таблица1[[#This Row],[Сумма 
Приход]]-Таблица1[[#This Row],[Авто услу ]]</f>
        <v>988400</v>
      </c>
      <c r="S152" s="34">
        <v>2500000</v>
      </c>
      <c r="T152" s="34">
        <f>Таблица1[[#This Row],[Сумма 
Продажа]]-IF(Таблица1[[#This Row],[Расход 
Авто]]="Клиент",N(Таблица1[[#This Row],[Авто услу ]]),0)</f>
        <v>20482400</v>
      </c>
      <c r="U1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2" s="265" t="str">
        <f>IFERROR(INDEX(Мижозлар[Агент],MATCH($D152,Мижозлар[Расмий ном],0)),"")</f>
        <v>Шохрух ога</v>
      </c>
    </row>
    <row r="153" spans="1:23" ht="14.25" x14ac:dyDescent="0.2">
      <c r="A153" s="21" t="s">
        <v>44</v>
      </c>
      <c r="B153" s="135" t="s">
        <v>26</v>
      </c>
      <c r="C153" s="141" t="s">
        <v>29</v>
      </c>
      <c r="D153" s="141" t="s">
        <v>98</v>
      </c>
      <c r="E153" s="136">
        <v>46227</v>
      </c>
      <c r="F153" s="135" t="s">
        <v>417</v>
      </c>
      <c r="G153" s="34" t="s">
        <v>473</v>
      </c>
      <c r="H153" s="142">
        <v>32.832000000000001</v>
      </c>
      <c r="I153" s="34">
        <v>593750</v>
      </c>
      <c r="J153" s="34">
        <f>Таблица1[[#This Row],[Блок
 Куб]]*Таблица1[[#This Row],[Цена 
Приход]]</f>
        <v>19494000</v>
      </c>
      <c r="K153" s="34">
        <v>19</v>
      </c>
      <c r="L153" s="34">
        <v>130000</v>
      </c>
      <c r="M153" s="34">
        <f>Таблица1[[#This Row],[Поддон
Шт]]*Таблица1[[#This Row],[Цена
Поддон]]</f>
        <v>2470000</v>
      </c>
      <c r="N153" s="34">
        <f>Таблица1[[#This Row],[Сумма 
Приход]]+Таблица1[[#This Row],[Сумма Поддон]]</f>
        <v>21964000</v>
      </c>
      <c r="O153" s="34">
        <v>700000</v>
      </c>
      <c r="P153" s="34">
        <f>Таблица1[[#This Row],[Блок
 Куб]]*Таблица1[[#This Row],[Цена
 Продажа]]</f>
        <v>22982400</v>
      </c>
      <c r="Q153" s="34" t="s">
        <v>240</v>
      </c>
      <c r="R153" s="34">
        <f>Таблица1[[#This Row],[Сумма 
Продажа]]-Таблица1[[#This Row],[Сумма 
Приход]]-Таблица1[[#This Row],[Авто услу ]]</f>
        <v>988400</v>
      </c>
      <c r="S153" s="34">
        <v>2500000</v>
      </c>
      <c r="T153" s="34">
        <f>Таблица1[[#This Row],[Сумма 
Продажа]]-IF(Таблица1[[#This Row],[Расход 
Авто]]="Клиент",N(Таблица1[[#This Row],[Авто услу ]]),0)</f>
        <v>20482400</v>
      </c>
      <c r="U1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3" s="265" t="str">
        <f>IFERROR(INDEX(Мижозлар[Агент],MATCH($D153,Мижозлар[Расмий ном],0)),"")</f>
        <v>Зафар ога</v>
      </c>
    </row>
    <row r="154" spans="1:23" ht="14.25" x14ac:dyDescent="0.2">
      <c r="A154" s="21" t="s">
        <v>44</v>
      </c>
      <c r="B154" s="135" t="s">
        <v>26</v>
      </c>
      <c r="C154" s="141" t="s">
        <v>29</v>
      </c>
      <c r="D154" s="141" t="s">
        <v>98</v>
      </c>
      <c r="E154" s="136">
        <v>46228</v>
      </c>
      <c r="F154" s="135" t="s">
        <v>459</v>
      </c>
      <c r="G154" s="34" t="s">
        <v>355</v>
      </c>
      <c r="H154" s="142">
        <v>32.832000000000001</v>
      </c>
      <c r="I154" s="34">
        <v>593750</v>
      </c>
      <c r="J154" s="34">
        <f>Таблица1[[#This Row],[Блок
 Куб]]*Таблица1[[#This Row],[Цена 
Приход]]</f>
        <v>19494000</v>
      </c>
      <c r="K154" s="34">
        <v>19</v>
      </c>
      <c r="L154" s="34">
        <v>130000</v>
      </c>
      <c r="M154" s="34">
        <f>Таблица1[[#This Row],[Поддон
Шт]]*Таблица1[[#This Row],[Цена
Поддон]]</f>
        <v>2470000</v>
      </c>
      <c r="N154" s="34">
        <f>Таблица1[[#This Row],[Сумма 
Приход]]+Таблица1[[#This Row],[Сумма Поддон]]</f>
        <v>21964000</v>
      </c>
      <c r="O154" s="34">
        <v>700000</v>
      </c>
      <c r="P154" s="34">
        <f>Таблица1[[#This Row],[Блок
 Куб]]*Таблица1[[#This Row],[Цена
 Продажа]]</f>
        <v>22982400</v>
      </c>
      <c r="Q154" s="34" t="s">
        <v>240</v>
      </c>
      <c r="R154" s="34">
        <f>Таблица1[[#This Row],[Сумма 
Продажа]]-Таблица1[[#This Row],[Сумма 
Приход]]-Таблица1[[#This Row],[Авто услу ]]</f>
        <v>988400</v>
      </c>
      <c r="S154" s="34">
        <v>2500000</v>
      </c>
      <c r="T154" s="34">
        <f>Таблица1[[#This Row],[Сумма 
Продажа]]-IF(Таблица1[[#This Row],[Расход 
Авто]]="Клиент",N(Таблица1[[#This Row],[Авто услу ]]),0)</f>
        <v>20482400</v>
      </c>
      <c r="U1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4" s="265" t="str">
        <f>IFERROR(INDEX(Мижозлар[Агент],MATCH($D154,Мижозлар[Расмий ном],0)),"")</f>
        <v>Зафар ога</v>
      </c>
    </row>
    <row r="155" spans="1:23" ht="14.25" x14ac:dyDescent="0.2">
      <c r="A155" s="21" t="s">
        <v>44</v>
      </c>
      <c r="B155" s="135" t="s">
        <v>26</v>
      </c>
      <c r="C155" s="141" t="s">
        <v>32</v>
      </c>
      <c r="D155" s="141" t="s">
        <v>91</v>
      </c>
      <c r="E155" s="136">
        <v>46228</v>
      </c>
      <c r="F155" s="135" t="s">
        <v>382</v>
      </c>
      <c r="G155" s="34" t="s">
        <v>355</v>
      </c>
      <c r="H155" s="142">
        <v>32.832000000000001</v>
      </c>
      <c r="I155" s="34">
        <v>593750</v>
      </c>
      <c r="J155" s="34">
        <f>Таблица1[[#This Row],[Блок
 Куб]]*Таблица1[[#This Row],[Цена 
Приход]]</f>
        <v>19494000</v>
      </c>
      <c r="K155" s="34">
        <v>19</v>
      </c>
      <c r="L155" s="34">
        <v>130000</v>
      </c>
      <c r="M155" s="34">
        <f>Таблица1[[#This Row],[Поддон
Шт]]*Таблица1[[#This Row],[Цена
Поддон]]</f>
        <v>2470000</v>
      </c>
      <c r="N155" s="34">
        <f>Таблица1[[#This Row],[Сумма 
Приход]]+Таблица1[[#This Row],[Сумма Поддон]]</f>
        <v>21964000</v>
      </c>
      <c r="O155" s="34">
        <v>700000</v>
      </c>
      <c r="P155" s="34">
        <f>Таблица1[[#This Row],[Блок
 Куб]]*Таблица1[[#This Row],[Цена
 Продажа]]</f>
        <v>22982400</v>
      </c>
      <c r="Q155" s="34" t="s">
        <v>240</v>
      </c>
      <c r="R155" s="34">
        <f>Таблица1[[#This Row],[Сумма 
Продажа]]-Таблица1[[#This Row],[Сумма 
Приход]]-Таблица1[[#This Row],[Авто услу ]]</f>
        <v>988400</v>
      </c>
      <c r="S155" s="34">
        <v>2500000</v>
      </c>
      <c r="T155" s="34">
        <f>Таблица1[[#This Row],[Сумма 
Продажа]]-IF(Таблица1[[#This Row],[Расход 
Авто]]="Клиент",N(Таблица1[[#This Row],[Авто услу ]]),0)</f>
        <v>20482400</v>
      </c>
      <c r="U1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5" s="265" t="str">
        <f>IFERROR(INDEX(Мижозлар[Агент],MATCH($D155,Мижозлар[Расмий ном],0)),"")</f>
        <v>Сардор ога</v>
      </c>
    </row>
    <row r="156" spans="1:23" ht="14.25" x14ac:dyDescent="0.2">
      <c r="A156" s="21" t="s">
        <v>44</v>
      </c>
      <c r="B156" s="135" t="s">
        <v>26</v>
      </c>
      <c r="C156" s="141" t="s">
        <v>21</v>
      </c>
      <c r="D156" s="141" t="s">
        <v>116</v>
      </c>
      <c r="E156" s="136">
        <v>46228</v>
      </c>
      <c r="F156" s="135" t="s">
        <v>432</v>
      </c>
      <c r="G156" s="34" t="s">
        <v>395</v>
      </c>
      <c r="H156" s="142">
        <v>34.200000000000003</v>
      </c>
      <c r="I156" s="34">
        <v>593750</v>
      </c>
      <c r="J156" s="34">
        <f>Таблица1[[#This Row],[Блок
 Куб]]*Таблица1[[#This Row],[Цена 
Приход]]</f>
        <v>20306250</v>
      </c>
      <c r="K156" s="34">
        <v>19</v>
      </c>
      <c r="L156" s="34">
        <v>130000</v>
      </c>
      <c r="M156" s="34">
        <f>Таблица1[[#This Row],[Поддон
Шт]]*Таблица1[[#This Row],[Цена
Поддон]]</f>
        <v>2470000</v>
      </c>
      <c r="N156" s="34">
        <f>Таблица1[[#This Row],[Сумма 
Приход]]+Таблица1[[#This Row],[Сумма Поддон]]</f>
        <v>22776250</v>
      </c>
      <c r="O156" s="34">
        <v>700000</v>
      </c>
      <c r="P156" s="34">
        <f>Таблица1[[#This Row],[Блок
 Куб]]*Таблица1[[#This Row],[Цена
 Продажа]]</f>
        <v>23940000.000000004</v>
      </c>
      <c r="Q156" s="34" t="s">
        <v>240</v>
      </c>
      <c r="R156" s="34">
        <f>Таблица1[[#This Row],[Сумма 
Продажа]]-Таблица1[[#This Row],[Сумма 
Приход]]-Таблица1[[#This Row],[Авто услу ]]</f>
        <v>1133750.0000000037</v>
      </c>
      <c r="S156" s="34">
        <v>2500000</v>
      </c>
      <c r="T156" s="34">
        <f>Таблица1[[#This Row],[Сумма 
Продажа]]-IF(Таблица1[[#This Row],[Расход 
Авто]]="Клиент",N(Таблица1[[#This Row],[Авто услу ]]),0)</f>
        <v>21440000.000000004</v>
      </c>
      <c r="U1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6" s="265" t="str">
        <f>IFERROR(INDEX(Мижозлар[Агент],MATCH($D156,Мижозлар[Расмий ном],0)),"")</f>
        <v>Арслон ога</v>
      </c>
    </row>
    <row r="157" spans="1:23" ht="14.25" x14ac:dyDescent="0.2">
      <c r="A157" s="21" t="s">
        <v>44</v>
      </c>
      <c r="B157" s="135" t="s">
        <v>26</v>
      </c>
      <c r="C157" s="141" t="s">
        <v>40</v>
      </c>
      <c r="D157" s="141" t="s">
        <v>87</v>
      </c>
      <c r="E157" s="136">
        <v>46228</v>
      </c>
      <c r="F157" s="135" t="s">
        <v>474</v>
      </c>
      <c r="G157" s="34" t="s">
        <v>368</v>
      </c>
      <c r="H157" s="142">
        <v>32.832000000000001</v>
      </c>
      <c r="I157" s="34">
        <v>593750</v>
      </c>
      <c r="J157" s="34">
        <f>Таблица1[[#This Row],[Блок
 Куб]]*Таблица1[[#This Row],[Цена 
Приход]]</f>
        <v>19494000</v>
      </c>
      <c r="K157" s="34">
        <v>19</v>
      </c>
      <c r="L157" s="34">
        <v>130000</v>
      </c>
      <c r="M157" s="34">
        <f>Таблица1[[#This Row],[Поддон
Шт]]*Таблица1[[#This Row],[Цена
Поддон]]</f>
        <v>2470000</v>
      </c>
      <c r="N157" s="34">
        <f>Таблица1[[#This Row],[Сумма 
Приход]]+Таблица1[[#This Row],[Сумма Поддон]]</f>
        <v>21964000</v>
      </c>
      <c r="O157" s="34">
        <v>700000</v>
      </c>
      <c r="P157" s="34">
        <f>Таблица1[[#This Row],[Блок
 Куб]]*Таблица1[[#This Row],[Цена
 Продажа]]</f>
        <v>22982400</v>
      </c>
      <c r="Q157" s="34" t="s">
        <v>240</v>
      </c>
      <c r="R157" s="34">
        <f>Таблица1[[#This Row],[Сумма 
Продажа]]-Таблица1[[#This Row],[Сумма 
Приход]]-Таблица1[[#This Row],[Авто услу ]]</f>
        <v>988400</v>
      </c>
      <c r="S157" s="34">
        <v>2500000</v>
      </c>
      <c r="T157" s="34">
        <f>Таблица1[[#This Row],[Сумма 
Продажа]]-IF(Таблица1[[#This Row],[Расход 
Авто]]="Клиент",N(Таблица1[[#This Row],[Авто услу ]]),0)</f>
        <v>20482400</v>
      </c>
      <c r="U1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1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7" s="265" t="str">
        <f>IFERROR(INDEX(Мижозлар[Агент],MATCH($D157,Мижозлар[Расмий ном],0)),"")</f>
        <v>Шохрух ога</v>
      </c>
    </row>
    <row r="158" spans="1:23" ht="14.25" x14ac:dyDescent="0.2">
      <c r="A158" s="21" t="s">
        <v>44</v>
      </c>
      <c r="B158" s="135" t="s">
        <v>26</v>
      </c>
      <c r="C158" s="141" t="s">
        <v>32</v>
      </c>
      <c r="D158" s="141" t="s">
        <v>63</v>
      </c>
      <c r="E158" s="136">
        <v>46228</v>
      </c>
      <c r="F158" s="135" t="s">
        <v>475</v>
      </c>
      <c r="G158" s="34" t="s">
        <v>368</v>
      </c>
      <c r="H158" s="142">
        <v>32.832000000000001</v>
      </c>
      <c r="I158" s="34">
        <v>593750</v>
      </c>
      <c r="J158" s="34">
        <f>Таблица1[[#This Row],[Блок
 Куб]]*Таблица1[[#This Row],[Цена 
Приход]]</f>
        <v>19494000</v>
      </c>
      <c r="K158" s="34">
        <v>19</v>
      </c>
      <c r="L158" s="34">
        <v>130000</v>
      </c>
      <c r="M158" s="34">
        <f>Таблица1[[#This Row],[Поддон
Шт]]*Таблица1[[#This Row],[Цена
Поддон]]</f>
        <v>2470000</v>
      </c>
      <c r="N158" s="34">
        <f>Таблица1[[#This Row],[Сумма 
Приход]]+Таблица1[[#This Row],[Сумма Поддон]]</f>
        <v>21964000</v>
      </c>
      <c r="O158" s="34">
        <v>700000</v>
      </c>
      <c r="P158" s="34">
        <f>Таблица1[[#This Row],[Блок
 Куб]]*Таблица1[[#This Row],[Цена
 Продажа]]</f>
        <v>22982400</v>
      </c>
      <c r="Q158" s="34" t="s">
        <v>240</v>
      </c>
      <c r="R158" s="34">
        <f>Таблица1[[#This Row],[Сумма 
Продажа]]-Таблица1[[#This Row],[Сумма 
Приход]]-Таблица1[[#This Row],[Авто услу ]]</f>
        <v>988400</v>
      </c>
      <c r="S158" s="34">
        <v>2500000</v>
      </c>
      <c r="T158" s="34">
        <f>Таблица1[[#This Row],[Сумма 
Продажа]]-IF(Таблица1[[#This Row],[Расход 
Авто]]="Клиент",N(Таблица1[[#This Row],[Авто услу ]]),0)</f>
        <v>20482400</v>
      </c>
      <c r="U1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8" s="265" t="str">
        <f>IFERROR(INDEX(Мижозлар[Агент],MATCH($D158,Мижозлар[Расмий ном],0)),"")</f>
        <v>Сардор ога</v>
      </c>
    </row>
    <row r="159" spans="1:23" ht="14.25" x14ac:dyDescent="0.2">
      <c r="A159" s="21" t="s">
        <v>44</v>
      </c>
      <c r="B159" s="135" t="s">
        <v>26</v>
      </c>
      <c r="C159" s="141" t="s">
        <v>21</v>
      </c>
      <c r="D159" s="141" t="s">
        <v>116</v>
      </c>
      <c r="E159" s="136">
        <v>46228</v>
      </c>
      <c r="F159" s="135" t="s">
        <v>476</v>
      </c>
      <c r="G159" s="34" t="s">
        <v>395</v>
      </c>
      <c r="H159" s="142">
        <v>32.4</v>
      </c>
      <c r="I159" s="34">
        <v>593750</v>
      </c>
      <c r="J159" s="34">
        <f>Таблица1[[#This Row],[Блок
 Куб]]*Таблица1[[#This Row],[Цена 
Приход]]</f>
        <v>19237500</v>
      </c>
      <c r="K159" s="34">
        <v>18</v>
      </c>
      <c r="L159" s="34">
        <v>130000</v>
      </c>
      <c r="M159" s="34">
        <f>Таблица1[[#This Row],[Поддон
Шт]]*Таблица1[[#This Row],[Цена
Поддон]]</f>
        <v>2340000</v>
      </c>
      <c r="N159" s="34">
        <f>Таблица1[[#This Row],[Сумма 
Приход]]+Таблица1[[#This Row],[Сумма Поддон]]</f>
        <v>21577500</v>
      </c>
      <c r="O159" s="34">
        <v>700000</v>
      </c>
      <c r="P159" s="34">
        <f>Таблица1[[#This Row],[Блок
 Куб]]*Таблица1[[#This Row],[Цена
 Продажа]]</f>
        <v>22680000</v>
      </c>
      <c r="Q159" s="34" t="s">
        <v>240</v>
      </c>
      <c r="R159" s="34">
        <f>Таблица1[[#This Row],[Сумма 
Продажа]]-Таблица1[[#This Row],[Сумма 
Приход]]-Таблица1[[#This Row],[Авто услу ]]</f>
        <v>1074078.9539999999</v>
      </c>
      <c r="S159" s="34">
        <v>2368421.0460000001</v>
      </c>
      <c r="T159" s="34">
        <f>Таблица1[[#This Row],[Сумма 
Продажа]]-IF(Таблица1[[#This Row],[Расход 
Авто]]="Клиент",N(Таблица1[[#This Row],[Авто услу ]]),0)</f>
        <v>20311578.954</v>
      </c>
      <c r="U1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59" s="265" t="str">
        <f>IFERROR(INDEX(Мижозлар[Агент],MATCH($D159,Мижозлар[Расмий ном],0)),"")</f>
        <v>Арслон ога</v>
      </c>
    </row>
    <row r="160" spans="1:23" ht="14.25" x14ac:dyDescent="0.2">
      <c r="A160" s="21" t="s">
        <v>44</v>
      </c>
      <c r="B160" s="135" t="s">
        <v>26</v>
      </c>
      <c r="C160" s="141" t="s">
        <v>21</v>
      </c>
      <c r="D160" s="141" t="s">
        <v>116</v>
      </c>
      <c r="E160" s="136">
        <v>46228</v>
      </c>
      <c r="F160" s="135" t="s">
        <v>476</v>
      </c>
      <c r="G160" s="34" t="s">
        <v>368</v>
      </c>
      <c r="H160" s="142">
        <v>1.728</v>
      </c>
      <c r="I160" s="34">
        <v>593750</v>
      </c>
      <c r="J160" s="34">
        <f>Таблица1[[#This Row],[Блок
 Куб]]*Таблица1[[#This Row],[Цена 
Приход]]</f>
        <v>1026000</v>
      </c>
      <c r="K160" s="34">
        <v>1</v>
      </c>
      <c r="L160" s="34">
        <v>130000</v>
      </c>
      <c r="M160" s="34">
        <f>Таблица1[[#This Row],[Поддон
Шт]]*Таблица1[[#This Row],[Цена
Поддон]]</f>
        <v>130000</v>
      </c>
      <c r="N160" s="34">
        <f>Таблица1[[#This Row],[Сумма 
Приход]]+Таблица1[[#This Row],[Сумма Поддон]]</f>
        <v>1156000</v>
      </c>
      <c r="O160" s="34">
        <v>700000</v>
      </c>
      <c r="P160" s="34">
        <f>Таблица1[[#This Row],[Блок
 Куб]]*Таблица1[[#This Row],[Цена
 Продажа]]</f>
        <v>1209600</v>
      </c>
      <c r="Q160" s="34" t="s">
        <v>240</v>
      </c>
      <c r="R160" s="34">
        <f>Таблица1[[#This Row],[Сумма 
Продажа]]-Таблица1[[#This Row],[Сумма 
Приход]]-Таблица1[[#This Row],[Авто услу ]]</f>
        <v>52021.053000000014</v>
      </c>
      <c r="S160" s="34">
        <v>131578.94699999999</v>
      </c>
      <c r="T160" s="34">
        <f>Таблица1[[#This Row],[Сумма 
Продажа]]-IF(Таблица1[[#This Row],[Расход 
Авто]]="Клиент",N(Таблица1[[#This Row],[Авто услу ]]),0)</f>
        <v>1078021.0530000001</v>
      </c>
      <c r="U1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0" s="265" t="str">
        <f>IFERROR(INDEX(Мижозлар[Агент],MATCH($D160,Мижозлар[Расмий ном],0)),"")</f>
        <v>Арслон ога</v>
      </c>
    </row>
    <row r="161" spans="1:23" ht="14.25" x14ac:dyDescent="0.2">
      <c r="A161" s="21" t="s">
        <v>44</v>
      </c>
      <c r="B161" s="135" t="s">
        <v>26</v>
      </c>
      <c r="C161" s="141" t="s">
        <v>36</v>
      </c>
      <c r="D161" s="141" t="s">
        <v>48</v>
      </c>
      <c r="E161" s="136">
        <v>46229</v>
      </c>
      <c r="F161" s="135" t="s">
        <v>477</v>
      </c>
      <c r="G161" s="34" t="s">
        <v>355</v>
      </c>
      <c r="H161" s="142">
        <v>32.832000000000001</v>
      </c>
      <c r="I161" s="34">
        <v>593750</v>
      </c>
      <c r="J161" s="34">
        <f>Таблица1[[#This Row],[Блок
 Куб]]*Таблица1[[#This Row],[Цена 
Приход]]</f>
        <v>19494000</v>
      </c>
      <c r="K161" s="34">
        <v>19</v>
      </c>
      <c r="L161" s="34">
        <v>130000</v>
      </c>
      <c r="M161" s="34">
        <f>Таблица1[[#This Row],[Поддон
Шт]]*Таблица1[[#This Row],[Цена
Поддон]]</f>
        <v>2470000</v>
      </c>
      <c r="N161" s="34">
        <f>Таблица1[[#This Row],[Сумма 
Приход]]+Таблица1[[#This Row],[Сумма Поддон]]</f>
        <v>21964000</v>
      </c>
      <c r="O161" s="34">
        <v>700000</v>
      </c>
      <c r="P161" s="34">
        <f>Таблица1[[#This Row],[Блок
 Куб]]*Таблица1[[#This Row],[Цена
 Продажа]]</f>
        <v>22982400</v>
      </c>
      <c r="Q161" s="34" t="s">
        <v>240</v>
      </c>
      <c r="R161" s="34">
        <f>Таблица1[[#This Row],[Сумма 
Продажа]]-Таблица1[[#This Row],[Сумма 
Приход]]-Таблица1[[#This Row],[Авто услу ]]</f>
        <v>988400</v>
      </c>
      <c r="S161" s="34">
        <v>2500000</v>
      </c>
      <c r="T161" s="34">
        <f>Таблица1[[#This Row],[Сумма 
Продажа]]-IF(Таблица1[[#This Row],[Расход 
Авто]]="Клиент",N(Таблица1[[#This Row],[Авто услу ]]),0)</f>
        <v>20482400</v>
      </c>
      <c r="U1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1" s="265" t="str">
        <f>IFERROR(INDEX(Мижозлар[Агент],MATCH($D161,Мижозлар[Расмий ном],0)),"")</f>
        <v>Темур</v>
      </c>
    </row>
    <row r="162" spans="1:23" ht="14.25" x14ac:dyDescent="0.2">
      <c r="A162" s="21" t="s">
        <v>44</v>
      </c>
      <c r="B162" s="135" t="s">
        <v>26</v>
      </c>
      <c r="C162" s="141" t="s">
        <v>21</v>
      </c>
      <c r="D162" s="141" t="s">
        <v>59</v>
      </c>
      <c r="E162" s="136">
        <v>46229</v>
      </c>
      <c r="F162" s="135" t="s">
        <v>394</v>
      </c>
      <c r="G162" s="34" t="s">
        <v>473</v>
      </c>
      <c r="H162" s="142">
        <v>32.832000000000001</v>
      </c>
      <c r="I162" s="34">
        <v>593750</v>
      </c>
      <c r="J162" s="34">
        <f>Таблица1[[#This Row],[Блок
 Куб]]*Таблица1[[#This Row],[Цена 
Приход]]</f>
        <v>19494000</v>
      </c>
      <c r="K162" s="34">
        <v>19</v>
      </c>
      <c r="L162" s="34">
        <v>130000</v>
      </c>
      <c r="M162" s="34">
        <f>Таблица1[[#This Row],[Поддон
Шт]]*Таблица1[[#This Row],[Цена
Поддон]]</f>
        <v>2470000</v>
      </c>
      <c r="N162" s="34">
        <f>Таблица1[[#This Row],[Сумма 
Приход]]+Таблица1[[#This Row],[Сумма Поддон]]</f>
        <v>21964000</v>
      </c>
      <c r="O162" s="34">
        <v>700000</v>
      </c>
      <c r="P162" s="34">
        <f>Таблица1[[#This Row],[Блок
 Куб]]*Таблица1[[#This Row],[Цена
 Продажа]]</f>
        <v>22982400</v>
      </c>
      <c r="Q162" s="34" t="s">
        <v>240</v>
      </c>
      <c r="R162" s="34">
        <f>Таблица1[[#This Row],[Сумма 
Продажа]]-Таблица1[[#This Row],[Сумма 
Приход]]-Таблица1[[#This Row],[Авто услу ]]</f>
        <v>988400</v>
      </c>
      <c r="S162" s="34">
        <v>2500000</v>
      </c>
      <c r="T162" s="34">
        <f>Таблица1[[#This Row],[Сумма 
Продажа]]-IF(Таблица1[[#This Row],[Расход 
Авто]]="Клиент",N(Таблица1[[#This Row],[Авто услу ]]),0)</f>
        <v>20482400</v>
      </c>
      <c r="U1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1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2" s="265" t="str">
        <f>IFERROR(INDEX(Мижозлар[Агент],MATCH($D162,Мижозлар[Расмий ном],0)),"")</f>
        <v>Арслон ога</v>
      </c>
    </row>
    <row r="163" spans="1:23" ht="14.25" x14ac:dyDescent="0.2">
      <c r="A163" s="21" t="s">
        <v>44</v>
      </c>
      <c r="B163" s="135" t="s">
        <v>26</v>
      </c>
      <c r="C163" s="141" t="s">
        <v>29</v>
      </c>
      <c r="D163" s="141" t="s">
        <v>98</v>
      </c>
      <c r="E163" s="136">
        <v>46229</v>
      </c>
      <c r="F163" s="135" t="s">
        <v>379</v>
      </c>
      <c r="G163" s="34" t="s">
        <v>355</v>
      </c>
      <c r="H163" s="142">
        <v>32.832000000000001</v>
      </c>
      <c r="I163" s="34">
        <v>593750</v>
      </c>
      <c r="J163" s="34">
        <f>Таблица1[[#This Row],[Блок
 Куб]]*Таблица1[[#This Row],[Цена 
Приход]]</f>
        <v>19494000</v>
      </c>
      <c r="K163" s="34">
        <v>19</v>
      </c>
      <c r="L163" s="34">
        <v>130000</v>
      </c>
      <c r="M163" s="34">
        <f>Таблица1[[#This Row],[Поддон
Шт]]*Таблица1[[#This Row],[Цена
Поддон]]</f>
        <v>2470000</v>
      </c>
      <c r="N163" s="34">
        <f>Таблица1[[#This Row],[Сумма 
Приход]]+Таблица1[[#This Row],[Сумма Поддон]]</f>
        <v>21964000</v>
      </c>
      <c r="O163" s="34">
        <v>700000</v>
      </c>
      <c r="P163" s="34">
        <f>Таблица1[[#This Row],[Блок
 Куб]]*Таблица1[[#This Row],[Цена
 Продажа]]</f>
        <v>22982400</v>
      </c>
      <c r="Q163" s="34" t="s">
        <v>240</v>
      </c>
      <c r="R163" s="34">
        <f>Таблица1[[#This Row],[Сумма 
Продажа]]-Таблица1[[#This Row],[Сумма 
Приход]]-Таблица1[[#This Row],[Авто услу ]]</f>
        <v>988400</v>
      </c>
      <c r="S163" s="34">
        <v>2500000</v>
      </c>
      <c r="T163" s="34">
        <f>Таблица1[[#This Row],[Сумма 
Продажа]]-IF(Таблица1[[#This Row],[Расход 
Авто]]="Клиент",N(Таблица1[[#This Row],[Авто услу ]]),0)</f>
        <v>20482400</v>
      </c>
      <c r="U1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3" s="265" t="str">
        <f>IFERROR(INDEX(Мижозлар[Агент],MATCH($D163,Мижозлар[Расмий ном],0)),"")</f>
        <v>Зафар ога</v>
      </c>
    </row>
    <row r="164" spans="1:23" ht="14.25" x14ac:dyDescent="0.2">
      <c r="A164" s="21" t="s">
        <v>44</v>
      </c>
      <c r="B164" s="135" t="s">
        <v>26</v>
      </c>
      <c r="C164" s="141" t="s">
        <v>25</v>
      </c>
      <c r="D164" s="141" t="s">
        <v>114</v>
      </c>
      <c r="E164" s="136">
        <v>46229</v>
      </c>
      <c r="F164" s="135" t="s">
        <v>478</v>
      </c>
      <c r="G164" s="34" t="s">
        <v>368</v>
      </c>
      <c r="H164" s="142">
        <v>32.832000000000001</v>
      </c>
      <c r="I164" s="34">
        <v>593750</v>
      </c>
      <c r="J164" s="34">
        <f>Таблица1[[#This Row],[Блок
 Куб]]*Таблица1[[#This Row],[Цена 
Приход]]</f>
        <v>19494000</v>
      </c>
      <c r="K164" s="34">
        <v>19</v>
      </c>
      <c r="L164" s="34">
        <v>130000</v>
      </c>
      <c r="M164" s="34">
        <f>Таблица1[[#This Row],[Поддон
Шт]]*Таблица1[[#This Row],[Цена
Поддон]]</f>
        <v>2470000</v>
      </c>
      <c r="N164" s="34">
        <f>Таблица1[[#This Row],[Сумма 
Приход]]+Таблица1[[#This Row],[Сумма Поддон]]</f>
        <v>21964000</v>
      </c>
      <c r="O164" s="34">
        <v>700000</v>
      </c>
      <c r="P164" s="34">
        <f>Таблица1[[#This Row],[Блок
 Куб]]*Таблица1[[#This Row],[Цена
 Продажа]]</f>
        <v>22982400</v>
      </c>
      <c r="Q164" s="34" t="s">
        <v>356</v>
      </c>
      <c r="R164" s="34">
        <f>Таблица1[[#This Row],[Сумма 
Продажа]]-Таблица1[[#This Row],[Сумма 
Приход]]-Таблица1[[#This Row],[Авто услу ]]</f>
        <v>788400</v>
      </c>
      <c r="S164" s="34">
        <v>2700000</v>
      </c>
      <c r="T164" s="34">
        <f>Таблица1[[#This Row],[Сумма 
Продажа]]-IF(Таблица1[[#This Row],[Расход 
Авто]]="Клиент",N(Таблица1[[#This Row],[Авто услу ]]),0)</f>
        <v>22982400</v>
      </c>
      <c r="U1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4" s="265" t="str">
        <f>IFERROR(INDEX(Мижозлар[Агент],MATCH($D164,Мижозлар[Расмий ном],0)),"")</f>
        <v>Жамол 22-22</v>
      </c>
    </row>
    <row r="165" spans="1:23" ht="14.25" x14ac:dyDescent="0.2">
      <c r="A165" s="21" t="s">
        <v>44</v>
      </c>
      <c r="B165" s="135" t="s">
        <v>26</v>
      </c>
      <c r="C165" s="141" t="s">
        <v>36</v>
      </c>
      <c r="D165" s="141" t="s">
        <v>82</v>
      </c>
      <c r="E165" s="136">
        <v>46230</v>
      </c>
      <c r="F165" s="135" t="s">
        <v>479</v>
      </c>
      <c r="G165" s="34" t="s">
        <v>368</v>
      </c>
      <c r="H165" s="142">
        <v>32.832000000000001</v>
      </c>
      <c r="I165" s="34">
        <v>593750</v>
      </c>
      <c r="J165" s="34">
        <f>Таблица1[[#This Row],[Блок
 Куб]]*Таблица1[[#This Row],[Цена 
Приход]]</f>
        <v>19494000</v>
      </c>
      <c r="K165" s="34">
        <v>19</v>
      </c>
      <c r="L165" s="34">
        <v>130000</v>
      </c>
      <c r="M165" s="34">
        <f>Таблица1[[#This Row],[Поддон
Шт]]*Таблица1[[#This Row],[Цена
Поддон]]</f>
        <v>2470000</v>
      </c>
      <c r="N165" s="34">
        <f>Таблица1[[#This Row],[Сумма 
Приход]]+Таблица1[[#This Row],[Сумма Поддон]]</f>
        <v>21964000</v>
      </c>
      <c r="O165" s="34">
        <v>700000</v>
      </c>
      <c r="P165" s="34">
        <f>Таблица1[[#This Row],[Блок
 Куб]]*Таблица1[[#This Row],[Цена
 Продажа]]</f>
        <v>22982400</v>
      </c>
      <c r="Q165" s="34" t="s">
        <v>240</v>
      </c>
      <c r="R165" s="34">
        <f>Таблица1[[#This Row],[Сумма 
Продажа]]-Таблица1[[#This Row],[Сумма 
Приход]]-Таблица1[[#This Row],[Авто услу ]]</f>
        <v>988400</v>
      </c>
      <c r="S165" s="34">
        <v>2500000</v>
      </c>
      <c r="T165" s="34">
        <f>Таблица1[[#This Row],[Сумма 
Продажа]]-IF(Таблица1[[#This Row],[Расход 
Авто]]="Клиент",N(Таблица1[[#This Row],[Авто услу ]]),0)</f>
        <v>20482400</v>
      </c>
      <c r="U1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5" s="265" t="str">
        <f>IFERROR(INDEX(Мижозлар[Агент],MATCH($D165,Мижозлар[Расмий ном],0)),"")</f>
        <v>Темур</v>
      </c>
    </row>
    <row r="166" spans="1:23" ht="14.25" x14ac:dyDescent="0.2">
      <c r="A166" s="21" t="s">
        <v>44</v>
      </c>
      <c r="B166" s="135" t="s">
        <v>26</v>
      </c>
      <c r="C166" s="141" t="s">
        <v>36</v>
      </c>
      <c r="D166" s="141" t="s">
        <v>45</v>
      </c>
      <c r="E166" s="136">
        <v>46230</v>
      </c>
      <c r="F166" s="135" t="s">
        <v>480</v>
      </c>
      <c r="G166" s="34" t="s">
        <v>368</v>
      </c>
      <c r="H166" s="142">
        <v>32.832000000000001</v>
      </c>
      <c r="I166" s="34">
        <v>593750</v>
      </c>
      <c r="J166" s="34">
        <f>Таблица1[[#This Row],[Блок
 Куб]]*Таблица1[[#This Row],[Цена 
Приход]]</f>
        <v>19494000</v>
      </c>
      <c r="K166" s="34">
        <v>19</v>
      </c>
      <c r="L166" s="34">
        <v>130000</v>
      </c>
      <c r="M166" s="34">
        <f>Таблица1[[#This Row],[Поддон
Шт]]*Таблица1[[#This Row],[Цена
Поддон]]</f>
        <v>2470000</v>
      </c>
      <c r="N166" s="34">
        <f>Таблица1[[#This Row],[Сумма 
Приход]]+Таблица1[[#This Row],[Сумма Поддон]]</f>
        <v>21964000</v>
      </c>
      <c r="O166" s="34">
        <v>700000</v>
      </c>
      <c r="P166" s="34">
        <f>Таблица1[[#This Row],[Блок
 Куб]]*Таблица1[[#This Row],[Цена
 Продажа]]</f>
        <v>22982400</v>
      </c>
      <c r="Q166" s="34" t="s">
        <v>240</v>
      </c>
      <c r="R166" s="34">
        <f>Таблица1[[#This Row],[Сумма 
Продажа]]-Таблица1[[#This Row],[Сумма 
Приход]]-Таблица1[[#This Row],[Авто услу ]]</f>
        <v>988400</v>
      </c>
      <c r="S166" s="34">
        <v>2500000</v>
      </c>
      <c r="T166" s="34">
        <f>Таблица1[[#This Row],[Сумма 
Продажа]]-IF(Таблица1[[#This Row],[Расход 
Авто]]="Клиент",N(Таблица1[[#This Row],[Авто услу ]]),0)</f>
        <v>20482400</v>
      </c>
      <c r="U1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6" s="265" t="str">
        <f>IFERROR(INDEX(Мижозлар[Агент],MATCH($D166,Мижозлар[Расмий ном],0)),"")</f>
        <v>Темур</v>
      </c>
    </row>
    <row r="167" spans="1:23" ht="14.25" x14ac:dyDescent="0.2">
      <c r="A167" s="21" t="s">
        <v>44</v>
      </c>
      <c r="B167" s="135" t="s">
        <v>26</v>
      </c>
      <c r="C167" s="141" t="s">
        <v>29</v>
      </c>
      <c r="D167" s="141" t="s">
        <v>98</v>
      </c>
      <c r="E167" s="136">
        <v>46230</v>
      </c>
      <c r="F167" s="135" t="s">
        <v>481</v>
      </c>
      <c r="G167" s="34" t="s">
        <v>355</v>
      </c>
      <c r="H167" s="142">
        <v>32.832000000000001</v>
      </c>
      <c r="I167" s="34">
        <v>593750</v>
      </c>
      <c r="J167" s="34">
        <f>Таблица1[[#This Row],[Блок
 Куб]]*Таблица1[[#This Row],[Цена 
Приход]]</f>
        <v>19494000</v>
      </c>
      <c r="K167" s="34">
        <v>19</v>
      </c>
      <c r="L167" s="34">
        <v>130000</v>
      </c>
      <c r="M167" s="34">
        <f>Таблица1[[#This Row],[Поддон
Шт]]*Таблица1[[#This Row],[Цена
Поддон]]</f>
        <v>2470000</v>
      </c>
      <c r="N167" s="34">
        <f>Таблица1[[#This Row],[Сумма 
Приход]]+Таблица1[[#This Row],[Сумма Поддон]]</f>
        <v>21964000</v>
      </c>
      <c r="O167" s="34">
        <v>700000</v>
      </c>
      <c r="P167" s="34">
        <f>Таблица1[[#This Row],[Блок
 Куб]]*Таблица1[[#This Row],[Цена
 Продажа]]</f>
        <v>22982400</v>
      </c>
      <c r="Q167" s="34" t="s">
        <v>240</v>
      </c>
      <c r="R167" s="34">
        <f>Таблица1[[#This Row],[Сумма 
Продажа]]-Таблица1[[#This Row],[Сумма 
Приход]]-Таблица1[[#This Row],[Авто услу ]]</f>
        <v>988400</v>
      </c>
      <c r="S167" s="34">
        <v>2500000</v>
      </c>
      <c r="T167" s="34">
        <f>Таблица1[[#This Row],[Сумма 
Продажа]]-IF(Таблица1[[#This Row],[Расход 
Авто]]="Клиент",N(Таблица1[[#This Row],[Авто услу ]]),0)</f>
        <v>20482400</v>
      </c>
      <c r="U1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7" s="265" t="str">
        <f>IFERROR(INDEX(Мижозлар[Агент],MATCH($D167,Мижозлар[Расмий ном],0)),"")</f>
        <v>Зафар ога</v>
      </c>
    </row>
    <row r="168" spans="1:23" ht="14.25" x14ac:dyDescent="0.2">
      <c r="A168" s="21" t="s">
        <v>44</v>
      </c>
      <c r="B168" s="135" t="s">
        <v>26</v>
      </c>
      <c r="C168" s="141" t="s">
        <v>32</v>
      </c>
      <c r="D168" s="141" t="s">
        <v>85</v>
      </c>
      <c r="E168" s="136">
        <v>46230</v>
      </c>
      <c r="F168" s="135" t="s">
        <v>482</v>
      </c>
      <c r="G168" s="34" t="s">
        <v>355</v>
      </c>
      <c r="H168" s="142">
        <v>32.832000000000001</v>
      </c>
      <c r="I168" s="34">
        <v>593750</v>
      </c>
      <c r="J168" s="34">
        <f>Таблица1[[#This Row],[Блок
 Куб]]*Таблица1[[#This Row],[Цена 
Приход]]</f>
        <v>19494000</v>
      </c>
      <c r="K168" s="34">
        <v>19</v>
      </c>
      <c r="L168" s="34">
        <v>130000</v>
      </c>
      <c r="M168" s="34">
        <f>Таблица1[[#This Row],[Поддон
Шт]]*Таблица1[[#This Row],[Цена
Поддон]]</f>
        <v>2470000</v>
      </c>
      <c r="N168" s="34">
        <f>Таблица1[[#This Row],[Сумма 
Приход]]+Таблица1[[#This Row],[Сумма Поддон]]</f>
        <v>21964000</v>
      </c>
      <c r="O168" s="34">
        <v>700000</v>
      </c>
      <c r="P168" s="34">
        <f>Таблица1[[#This Row],[Блок
 Куб]]*Таблица1[[#This Row],[Цена
 Продажа]]</f>
        <v>22982400</v>
      </c>
      <c r="Q168" s="34" t="s">
        <v>240</v>
      </c>
      <c r="R168" s="34">
        <f>Таблица1[[#This Row],[Сумма 
Продажа]]-Таблица1[[#This Row],[Сумма 
Приход]]-Таблица1[[#This Row],[Авто услу ]]</f>
        <v>988400</v>
      </c>
      <c r="S168" s="34">
        <v>2500000</v>
      </c>
      <c r="T168" s="34">
        <f>Таблица1[[#This Row],[Сумма 
Продажа]]-IF(Таблица1[[#This Row],[Расход 
Авто]]="Клиент",N(Таблица1[[#This Row],[Авто услу ]]),0)</f>
        <v>20482400</v>
      </c>
      <c r="U1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8" s="265" t="str">
        <f>IFERROR(INDEX(Мижозлар[Агент],MATCH($D168,Мижозлар[Расмий ном],0)),"")</f>
        <v>Сардор ога</v>
      </c>
    </row>
    <row r="169" spans="1:23" ht="14.25" x14ac:dyDescent="0.2">
      <c r="A169" s="21" t="s">
        <v>44</v>
      </c>
      <c r="B169" s="135" t="s">
        <v>26</v>
      </c>
      <c r="C169" s="141" t="s">
        <v>36</v>
      </c>
      <c r="D169" s="141" t="s">
        <v>71</v>
      </c>
      <c r="E169" s="136">
        <v>46230</v>
      </c>
      <c r="F169" s="135" t="s">
        <v>417</v>
      </c>
      <c r="G169" s="34" t="s">
        <v>355</v>
      </c>
      <c r="H169" s="142">
        <v>32.832000000000001</v>
      </c>
      <c r="I169" s="34">
        <v>593750</v>
      </c>
      <c r="J169" s="34">
        <f>Таблица1[[#This Row],[Блок
 Куб]]*Таблица1[[#This Row],[Цена 
Приход]]</f>
        <v>19494000</v>
      </c>
      <c r="K169" s="34">
        <v>19</v>
      </c>
      <c r="L169" s="34">
        <v>130000</v>
      </c>
      <c r="M169" s="34">
        <f>Таблица1[[#This Row],[Поддон
Шт]]*Таблица1[[#This Row],[Цена
Поддон]]</f>
        <v>2470000</v>
      </c>
      <c r="N169" s="34">
        <f>Таблица1[[#This Row],[Сумма 
Приход]]+Таблица1[[#This Row],[Сумма Поддон]]</f>
        <v>21964000</v>
      </c>
      <c r="O169" s="34">
        <v>700000</v>
      </c>
      <c r="P169" s="34">
        <f>Таблица1[[#This Row],[Блок
 Куб]]*Таблица1[[#This Row],[Цена
 Продажа]]</f>
        <v>22982400</v>
      </c>
      <c r="Q169" s="34" t="s">
        <v>240</v>
      </c>
      <c r="R169" s="34">
        <f>Таблица1[[#This Row],[Сумма 
Продажа]]-Таблица1[[#This Row],[Сумма 
Приход]]-Таблица1[[#This Row],[Авто услу ]]</f>
        <v>988400</v>
      </c>
      <c r="S169" s="34">
        <v>2500000</v>
      </c>
      <c r="T169" s="34">
        <f>Таблица1[[#This Row],[Сумма 
Продажа]]-IF(Таблица1[[#This Row],[Расход 
Авто]]="Клиент",N(Таблица1[[#This Row],[Авто услу ]]),0)</f>
        <v>20482400</v>
      </c>
      <c r="U1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69" s="265" t="str">
        <f>IFERROR(INDEX(Мижозлар[Агент],MATCH($D169,Мижозлар[Расмий ном],0)),"")</f>
        <v>Темур</v>
      </c>
    </row>
    <row r="170" spans="1:23" ht="14.25" x14ac:dyDescent="0.2">
      <c r="A170" s="21" t="s">
        <v>44</v>
      </c>
      <c r="B170" s="135" t="s">
        <v>26</v>
      </c>
      <c r="C170" s="141" t="s">
        <v>36</v>
      </c>
      <c r="D170" s="141" t="s">
        <v>48</v>
      </c>
      <c r="E170" s="136">
        <v>46231</v>
      </c>
      <c r="F170" s="135" t="s">
        <v>432</v>
      </c>
      <c r="G170" s="34" t="s">
        <v>355</v>
      </c>
      <c r="H170" s="142">
        <v>32.832000000000001</v>
      </c>
      <c r="I170" s="34">
        <v>593750</v>
      </c>
      <c r="J170" s="34">
        <f>Таблица1[[#This Row],[Блок
 Куб]]*Таблица1[[#This Row],[Цена 
Приход]]</f>
        <v>19494000</v>
      </c>
      <c r="K170" s="34">
        <v>19</v>
      </c>
      <c r="L170" s="34">
        <v>130000</v>
      </c>
      <c r="M170" s="34">
        <f>Таблица1[[#This Row],[Поддон
Шт]]*Таблица1[[#This Row],[Цена
Поддон]]</f>
        <v>2470000</v>
      </c>
      <c r="N170" s="34">
        <f>Таблица1[[#This Row],[Сумма 
Приход]]+Таблица1[[#This Row],[Сумма Поддон]]</f>
        <v>21964000</v>
      </c>
      <c r="O170" s="34">
        <v>700000</v>
      </c>
      <c r="P170" s="34">
        <f>Таблица1[[#This Row],[Блок
 Куб]]*Таблица1[[#This Row],[Цена
 Продажа]]</f>
        <v>22982400</v>
      </c>
      <c r="Q170" s="34" t="s">
        <v>240</v>
      </c>
      <c r="R170" s="34">
        <f>Таблица1[[#This Row],[Сумма 
Продажа]]-Таблица1[[#This Row],[Сумма 
Приход]]-Таблица1[[#This Row],[Авто услу ]]</f>
        <v>988400</v>
      </c>
      <c r="S170" s="34">
        <v>2500000</v>
      </c>
      <c r="T170" s="34">
        <f>Таблица1[[#This Row],[Сумма 
Продажа]]-IF(Таблица1[[#This Row],[Расход 
Авто]]="Клиент",N(Таблица1[[#This Row],[Авто услу ]]),0)</f>
        <v>20482400</v>
      </c>
      <c r="U1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0" s="265" t="str">
        <f>IFERROR(INDEX(Мижозлар[Агент],MATCH($D170,Мижозлар[Расмий ном],0)),"")</f>
        <v>Темур</v>
      </c>
    </row>
    <row r="171" spans="1:23" ht="14.25" x14ac:dyDescent="0.2">
      <c r="A171" s="21" t="s">
        <v>44</v>
      </c>
      <c r="B171" s="135" t="s">
        <v>26</v>
      </c>
      <c r="C171" s="141" t="s">
        <v>29</v>
      </c>
      <c r="D171" s="141" t="s">
        <v>98</v>
      </c>
      <c r="E171" s="136">
        <v>46231</v>
      </c>
      <c r="F171" s="135" t="s">
        <v>483</v>
      </c>
      <c r="G171" s="34" t="s">
        <v>355</v>
      </c>
      <c r="H171" s="142">
        <v>32.832000000000001</v>
      </c>
      <c r="I171" s="34">
        <v>593750</v>
      </c>
      <c r="J171" s="34">
        <f>Таблица1[[#This Row],[Блок
 Куб]]*Таблица1[[#This Row],[Цена 
Приход]]</f>
        <v>19494000</v>
      </c>
      <c r="K171" s="34">
        <v>19</v>
      </c>
      <c r="L171" s="34">
        <v>130000</v>
      </c>
      <c r="M171" s="34">
        <f>Таблица1[[#This Row],[Поддон
Шт]]*Таблица1[[#This Row],[Цена
Поддон]]</f>
        <v>2470000</v>
      </c>
      <c r="N171" s="34">
        <f>Таблица1[[#This Row],[Сумма 
Приход]]+Таблица1[[#This Row],[Сумма Поддон]]</f>
        <v>21964000</v>
      </c>
      <c r="O171" s="34">
        <v>700000</v>
      </c>
      <c r="P171" s="34">
        <f>Таблица1[[#This Row],[Блок
 Куб]]*Таблица1[[#This Row],[Цена
 Продажа]]</f>
        <v>22982400</v>
      </c>
      <c r="Q171" s="34" t="s">
        <v>240</v>
      </c>
      <c r="R171" s="34">
        <f>Таблица1[[#This Row],[Сумма 
Продажа]]-Таблица1[[#This Row],[Сумма 
Приход]]-Таблица1[[#This Row],[Авто услу ]]</f>
        <v>988400</v>
      </c>
      <c r="S171" s="34">
        <v>2500000</v>
      </c>
      <c r="T171" s="34">
        <f>Таблица1[[#This Row],[Сумма 
Продажа]]-IF(Таблица1[[#This Row],[Расход 
Авто]]="Клиент",N(Таблица1[[#This Row],[Авто услу ]]),0)</f>
        <v>20482400</v>
      </c>
      <c r="U1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1" s="265" t="str">
        <f>IFERROR(INDEX(Мижозлар[Агент],MATCH($D171,Мижозлар[Расмий ном],0)),"")</f>
        <v>Зафар ога</v>
      </c>
    </row>
    <row r="172" spans="1:23" ht="14.25" x14ac:dyDescent="0.2">
      <c r="A172" s="21" t="s">
        <v>44</v>
      </c>
      <c r="B172" s="135" t="s">
        <v>26</v>
      </c>
      <c r="C172" s="141" t="s">
        <v>36</v>
      </c>
      <c r="D172" s="141" t="s">
        <v>45</v>
      </c>
      <c r="E172" s="136">
        <v>46231</v>
      </c>
      <c r="F172" s="135" t="s">
        <v>440</v>
      </c>
      <c r="G172" s="34" t="s">
        <v>368</v>
      </c>
      <c r="H172" s="142">
        <v>32.832000000000001</v>
      </c>
      <c r="I172" s="34">
        <v>593750</v>
      </c>
      <c r="J172" s="34">
        <f>Таблица1[[#This Row],[Блок
 Куб]]*Таблица1[[#This Row],[Цена 
Приход]]</f>
        <v>19494000</v>
      </c>
      <c r="K172" s="34">
        <v>19</v>
      </c>
      <c r="L172" s="34">
        <v>130000</v>
      </c>
      <c r="M172" s="34">
        <f>Таблица1[[#This Row],[Поддон
Шт]]*Таблица1[[#This Row],[Цена
Поддон]]</f>
        <v>2470000</v>
      </c>
      <c r="N172" s="34">
        <f>Таблица1[[#This Row],[Сумма 
Приход]]+Таблица1[[#This Row],[Сумма Поддон]]</f>
        <v>21964000</v>
      </c>
      <c r="O172" s="34">
        <v>700000</v>
      </c>
      <c r="P172" s="34">
        <f>Таблица1[[#This Row],[Блок
 Куб]]*Таблица1[[#This Row],[Цена
 Продажа]]</f>
        <v>22982400</v>
      </c>
      <c r="Q172" s="34" t="s">
        <v>240</v>
      </c>
      <c r="R172" s="34">
        <f>Таблица1[[#This Row],[Сумма 
Продажа]]-Таблица1[[#This Row],[Сумма 
Приход]]-Таблица1[[#This Row],[Авто услу ]]</f>
        <v>988400</v>
      </c>
      <c r="S172" s="34">
        <v>2500000</v>
      </c>
      <c r="T172" s="34">
        <f>Таблица1[[#This Row],[Сумма 
Продажа]]-IF(Таблица1[[#This Row],[Расход 
Авто]]="Клиент",N(Таблица1[[#This Row],[Авто услу ]]),0)</f>
        <v>20482400</v>
      </c>
      <c r="U1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2" s="265" t="str">
        <f>IFERROR(INDEX(Мижозлар[Агент],MATCH($D172,Мижозлар[Расмий ном],0)),"")</f>
        <v>Темур</v>
      </c>
    </row>
    <row r="173" spans="1:23" ht="14.25" x14ac:dyDescent="0.2">
      <c r="A173" s="21" t="s">
        <v>44</v>
      </c>
      <c r="B173" s="135" t="s">
        <v>26</v>
      </c>
      <c r="C173" s="141" t="s">
        <v>32</v>
      </c>
      <c r="D173" s="141" t="s">
        <v>85</v>
      </c>
      <c r="E173" s="136">
        <v>46231</v>
      </c>
      <c r="F173" s="135" t="s">
        <v>484</v>
      </c>
      <c r="G173" s="34" t="s">
        <v>355</v>
      </c>
      <c r="H173" s="142">
        <v>32.832000000000001</v>
      </c>
      <c r="I173" s="34">
        <v>593750</v>
      </c>
      <c r="J173" s="34">
        <f>Таблица1[[#This Row],[Блок
 Куб]]*Таблица1[[#This Row],[Цена 
Приход]]</f>
        <v>19494000</v>
      </c>
      <c r="K173" s="34">
        <v>19</v>
      </c>
      <c r="L173" s="34">
        <v>130000</v>
      </c>
      <c r="M173" s="34">
        <f>Таблица1[[#This Row],[Поддон
Шт]]*Таблица1[[#This Row],[Цена
Поддон]]</f>
        <v>2470000</v>
      </c>
      <c r="N173" s="34">
        <f>Таблица1[[#This Row],[Сумма 
Приход]]+Таблица1[[#This Row],[Сумма Поддон]]</f>
        <v>21964000</v>
      </c>
      <c r="O173" s="34">
        <v>700000</v>
      </c>
      <c r="P173" s="34">
        <f>Таблица1[[#This Row],[Блок
 Куб]]*Таблица1[[#This Row],[Цена
 Продажа]]</f>
        <v>22982400</v>
      </c>
      <c r="Q173" s="34" t="s">
        <v>240</v>
      </c>
      <c r="R173" s="34">
        <f>Таблица1[[#This Row],[Сумма 
Продажа]]-Таблица1[[#This Row],[Сумма 
Приход]]-Таблица1[[#This Row],[Авто услу ]]</f>
        <v>988400</v>
      </c>
      <c r="S173" s="34">
        <v>2500000</v>
      </c>
      <c r="T173" s="34">
        <f>Таблица1[[#This Row],[Сумма 
Продажа]]-IF(Таблица1[[#This Row],[Расход 
Авто]]="Клиент",N(Таблица1[[#This Row],[Авто услу ]]),0)</f>
        <v>20482400</v>
      </c>
      <c r="U1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3" s="265" t="str">
        <f>IFERROR(INDEX(Мижозлар[Агент],MATCH($D173,Мижозлар[Расмий ном],0)),"")</f>
        <v>Сардор ога</v>
      </c>
    </row>
    <row r="174" spans="1:23" ht="14.25" x14ac:dyDescent="0.2">
      <c r="A174" s="21" t="s">
        <v>44</v>
      </c>
      <c r="B174" s="135" t="s">
        <v>26</v>
      </c>
      <c r="C174" s="141" t="s">
        <v>32</v>
      </c>
      <c r="D174" s="141" t="s">
        <v>65</v>
      </c>
      <c r="E174" s="136">
        <v>46232</v>
      </c>
      <c r="F174" s="135" t="s">
        <v>459</v>
      </c>
      <c r="G174" s="34" t="s">
        <v>355</v>
      </c>
      <c r="H174" s="142">
        <v>32.832000000000001</v>
      </c>
      <c r="I174" s="34">
        <v>593750</v>
      </c>
      <c r="J174" s="34">
        <f>Таблица1[[#This Row],[Блок
 Куб]]*Таблица1[[#This Row],[Цена 
Приход]]</f>
        <v>19494000</v>
      </c>
      <c r="K174" s="34">
        <v>19</v>
      </c>
      <c r="L174" s="34">
        <v>130000</v>
      </c>
      <c r="M174" s="34">
        <f>Таблица1[[#This Row],[Поддон
Шт]]*Таблица1[[#This Row],[Цена
Поддон]]</f>
        <v>2470000</v>
      </c>
      <c r="N174" s="34">
        <f>Таблица1[[#This Row],[Сумма 
Приход]]+Таблица1[[#This Row],[Сумма Поддон]]</f>
        <v>21964000</v>
      </c>
      <c r="O174" s="34">
        <v>700000</v>
      </c>
      <c r="P174" s="34">
        <f>Таблица1[[#This Row],[Блок
 Куб]]*Таблица1[[#This Row],[Цена
 Продажа]]</f>
        <v>22982400</v>
      </c>
      <c r="Q174" s="34" t="s">
        <v>240</v>
      </c>
      <c r="R174" s="34">
        <f>Таблица1[[#This Row],[Сумма 
Продажа]]-Таблица1[[#This Row],[Сумма 
Приход]]-Таблица1[[#This Row],[Авто услу ]]</f>
        <v>988400</v>
      </c>
      <c r="S174" s="34">
        <v>2500000</v>
      </c>
      <c r="T174" s="34">
        <f>Таблица1[[#This Row],[Сумма 
Продажа]]-IF(Таблица1[[#This Row],[Расход 
Авто]]="Клиент",N(Таблица1[[#This Row],[Авто услу ]]),0)</f>
        <v>20482400</v>
      </c>
      <c r="U1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4" s="265" t="str">
        <f>IFERROR(INDEX(Мижозлар[Агент],MATCH($D174,Мижозлар[Расмий ном],0)),"")</f>
        <v>Сардор ога</v>
      </c>
    </row>
    <row r="175" spans="1:23" ht="14.25" x14ac:dyDescent="0.2">
      <c r="A175" s="21" t="s">
        <v>44</v>
      </c>
      <c r="B175" s="135" t="s">
        <v>26</v>
      </c>
      <c r="C175" s="141" t="s">
        <v>32</v>
      </c>
      <c r="D175" s="141" t="s">
        <v>65</v>
      </c>
      <c r="E175" s="136">
        <v>46232</v>
      </c>
      <c r="F175" s="135" t="s">
        <v>485</v>
      </c>
      <c r="G175" s="34" t="s">
        <v>355</v>
      </c>
      <c r="H175" s="142">
        <v>32.832000000000001</v>
      </c>
      <c r="I175" s="34">
        <v>593750</v>
      </c>
      <c r="J175" s="34">
        <f>Таблица1[[#This Row],[Блок
 Куб]]*Таблица1[[#This Row],[Цена 
Приход]]</f>
        <v>19494000</v>
      </c>
      <c r="K175" s="34">
        <v>19</v>
      </c>
      <c r="L175" s="34">
        <v>130000</v>
      </c>
      <c r="M175" s="34">
        <f>Таблица1[[#This Row],[Поддон
Шт]]*Таблица1[[#This Row],[Цена
Поддон]]</f>
        <v>2470000</v>
      </c>
      <c r="N175" s="34">
        <f>Таблица1[[#This Row],[Сумма 
Приход]]+Таблица1[[#This Row],[Сумма Поддон]]</f>
        <v>21964000</v>
      </c>
      <c r="O175" s="34">
        <v>700000</v>
      </c>
      <c r="P175" s="34">
        <f>Таблица1[[#This Row],[Блок
 Куб]]*Таблица1[[#This Row],[Цена
 Продажа]]</f>
        <v>22982400</v>
      </c>
      <c r="Q175" s="34" t="s">
        <v>240</v>
      </c>
      <c r="R175" s="34">
        <f>Таблица1[[#This Row],[Сумма 
Продажа]]-Таблица1[[#This Row],[Сумма 
Приход]]-Таблица1[[#This Row],[Авто услу ]]</f>
        <v>988400</v>
      </c>
      <c r="S175" s="34">
        <v>2500000</v>
      </c>
      <c r="T175" s="34">
        <f>Таблица1[[#This Row],[Сумма 
Продажа]]-IF(Таблица1[[#This Row],[Расход 
Авто]]="Клиент",N(Таблица1[[#This Row],[Авто услу ]]),0)</f>
        <v>20482400</v>
      </c>
      <c r="U1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5" s="265" t="str">
        <f>IFERROR(INDEX(Мижозлар[Агент],MATCH($D175,Мижозлар[Расмий ном],0)),"")</f>
        <v>Сардор ога</v>
      </c>
    </row>
    <row r="176" spans="1:23" ht="14.25" x14ac:dyDescent="0.2">
      <c r="A176" s="21" t="s">
        <v>44</v>
      </c>
      <c r="B176" s="135" t="s">
        <v>26</v>
      </c>
      <c r="C176" s="141" t="s">
        <v>36</v>
      </c>
      <c r="D176" s="141" t="s">
        <v>48</v>
      </c>
      <c r="E176" s="136">
        <v>46232</v>
      </c>
      <c r="F176" s="135" t="s">
        <v>432</v>
      </c>
      <c r="G176" s="34" t="s">
        <v>355</v>
      </c>
      <c r="H176" s="142">
        <v>32.832000000000001</v>
      </c>
      <c r="I176" s="34">
        <v>593750</v>
      </c>
      <c r="J176" s="34">
        <f>Таблица1[[#This Row],[Блок
 Куб]]*Таблица1[[#This Row],[Цена 
Приход]]</f>
        <v>19494000</v>
      </c>
      <c r="K176" s="34">
        <v>19</v>
      </c>
      <c r="L176" s="34">
        <v>130000</v>
      </c>
      <c r="M176" s="34">
        <f>Таблица1[[#This Row],[Поддон
Шт]]*Таблица1[[#This Row],[Цена
Поддон]]</f>
        <v>2470000</v>
      </c>
      <c r="N176" s="34">
        <f>Таблица1[[#This Row],[Сумма 
Приход]]+Таблица1[[#This Row],[Сумма Поддон]]</f>
        <v>21964000</v>
      </c>
      <c r="O176" s="34">
        <v>700000</v>
      </c>
      <c r="P176" s="34">
        <f>Таблица1[[#This Row],[Блок
 Куб]]*Таблица1[[#This Row],[Цена
 Продажа]]</f>
        <v>22982400</v>
      </c>
      <c r="Q176" s="34" t="s">
        <v>240</v>
      </c>
      <c r="R176" s="34">
        <f>Таблица1[[#This Row],[Сумма 
Продажа]]-Таблица1[[#This Row],[Сумма 
Приход]]-Таблица1[[#This Row],[Авто услу ]]</f>
        <v>988400</v>
      </c>
      <c r="S176" s="34">
        <v>2500000</v>
      </c>
      <c r="T176" s="34">
        <f>Таблица1[[#This Row],[Сумма 
Продажа]]-IF(Таблица1[[#This Row],[Расход 
Авто]]="Клиент",N(Таблица1[[#This Row],[Авто услу ]]),0)</f>
        <v>20482400</v>
      </c>
      <c r="U1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6" s="265" t="str">
        <f>IFERROR(INDEX(Мижозлар[Агент],MATCH($D176,Мижозлар[Расмий ном],0)),"")</f>
        <v>Темур</v>
      </c>
    </row>
    <row r="177" spans="1:23" ht="14.25" x14ac:dyDescent="0.2">
      <c r="A177" s="21" t="s">
        <v>44</v>
      </c>
      <c r="B177" s="135" t="s">
        <v>26</v>
      </c>
      <c r="C177" s="141" t="s">
        <v>36</v>
      </c>
      <c r="D177" s="141" t="s">
        <v>82</v>
      </c>
      <c r="E177" s="136">
        <v>46232</v>
      </c>
      <c r="F177" s="135" t="s">
        <v>479</v>
      </c>
      <c r="G177" s="34" t="s">
        <v>355</v>
      </c>
      <c r="H177" s="142">
        <v>32.832000000000001</v>
      </c>
      <c r="I177" s="34">
        <v>593750</v>
      </c>
      <c r="J177" s="34">
        <f>Таблица1[[#This Row],[Блок
 Куб]]*Таблица1[[#This Row],[Цена 
Приход]]</f>
        <v>19494000</v>
      </c>
      <c r="K177" s="34">
        <v>19</v>
      </c>
      <c r="L177" s="34">
        <v>130000</v>
      </c>
      <c r="M177" s="34">
        <f>Таблица1[[#This Row],[Поддон
Шт]]*Таблица1[[#This Row],[Цена
Поддон]]</f>
        <v>2470000</v>
      </c>
      <c r="N177" s="34">
        <f>Таблица1[[#This Row],[Сумма 
Приход]]+Таблица1[[#This Row],[Сумма Поддон]]</f>
        <v>21964000</v>
      </c>
      <c r="O177" s="34">
        <v>700000</v>
      </c>
      <c r="P177" s="34">
        <f>Таблица1[[#This Row],[Блок
 Куб]]*Таблица1[[#This Row],[Цена
 Продажа]]</f>
        <v>22982400</v>
      </c>
      <c r="Q177" s="34" t="s">
        <v>240</v>
      </c>
      <c r="R177" s="34">
        <f>Таблица1[[#This Row],[Сумма 
Продажа]]-Таблица1[[#This Row],[Сумма 
Приход]]-Таблица1[[#This Row],[Авто услу ]]</f>
        <v>988400</v>
      </c>
      <c r="S177" s="34">
        <v>2500000</v>
      </c>
      <c r="T177" s="34">
        <f>Таблица1[[#This Row],[Сумма 
Продажа]]-IF(Таблица1[[#This Row],[Расход 
Авто]]="Клиент",N(Таблица1[[#This Row],[Авто услу ]]),0)</f>
        <v>20482400</v>
      </c>
      <c r="U1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7" s="265" t="str">
        <f>IFERROR(INDEX(Мижозлар[Агент],MATCH($D177,Мижозлар[Расмий ном],0)),"")</f>
        <v>Темур</v>
      </c>
    </row>
    <row r="178" spans="1:23" ht="14.25" x14ac:dyDescent="0.2">
      <c r="A178" s="21" t="s">
        <v>44</v>
      </c>
      <c r="B178" s="135" t="s">
        <v>26</v>
      </c>
      <c r="C178" s="141" t="s">
        <v>25</v>
      </c>
      <c r="D178" s="141" t="s">
        <v>53</v>
      </c>
      <c r="E178" s="136">
        <v>46232</v>
      </c>
      <c r="F178" s="135" t="s">
        <v>486</v>
      </c>
      <c r="G178" s="34" t="s">
        <v>368</v>
      </c>
      <c r="H178" s="142">
        <v>32.832000000000001</v>
      </c>
      <c r="I178" s="34">
        <v>593750</v>
      </c>
      <c r="J178" s="34">
        <f>Таблица1[[#This Row],[Блок
 Куб]]*Таблица1[[#This Row],[Цена 
Приход]]</f>
        <v>19494000</v>
      </c>
      <c r="K178" s="34">
        <v>19</v>
      </c>
      <c r="L178" s="34">
        <v>130000</v>
      </c>
      <c r="M178" s="34">
        <f>Таблица1[[#This Row],[Поддон
Шт]]*Таблица1[[#This Row],[Цена
Поддон]]</f>
        <v>2470000</v>
      </c>
      <c r="N178" s="34">
        <f>Таблица1[[#This Row],[Сумма 
Приход]]+Таблица1[[#This Row],[Сумма Поддон]]</f>
        <v>21964000</v>
      </c>
      <c r="O178" s="34">
        <v>700000</v>
      </c>
      <c r="P178" s="34">
        <f>Таблица1[[#This Row],[Блок
 Куб]]*Таблица1[[#This Row],[Цена
 Продажа]]</f>
        <v>22982400</v>
      </c>
      <c r="Q178" s="34" t="s">
        <v>356</v>
      </c>
      <c r="R178" s="34">
        <f>Таблица1[[#This Row],[Сумма 
Продажа]]-Таблица1[[#This Row],[Сумма 
Приход]]-Таблица1[[#This Row],[Авто услу ]]</f>
        <v>988400</v>
      </c>
      <c r="S178" s="34">
        <v>2500000</v>
      </c>
      <c r="T178" s="34">
        <f>Таблица1[[#This Row],[Сумма 
Продажа]]-IF(Таблица1[[#This Row],[Расход 
Авто]]="Клиент",N(Таблица1[[#This Row],[Авто услу ]]),0)</f>
        <v>22982400</v>
      </c>
      <c r="U1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8" s="265" t="str">
        <f>IFERROR(INDEX(Мижозлар[Агент],MATCH($D178,Мижозлар[Расмий ном],0)),"")</f>
        <v>Жамол 22-22</v>
      </c>
    </row>
    <row r="179" spans="1:23" ht="14.25" x14ac:dyDescent="0.2">
      <c r="A179" s="21" t="s">
        <v>44</v>
      </c>
      <c r="B179" s="135" t="s">
        <v>26</v>
      </c>
      <c r="C179" s="141" t="s">
        <v>29</v>
      </c>
      <c r="D179" s="141" t="s">
        <v>98</v>
      </c>
      <c r="E179" s="136">
        <v>46232</v>
      </c>
      <c r="F179" s="135" t="s">
        <v>480</v>
      </c>
      <c r="G179" s="34" t="s">
        <v>355</v>
      </c>
      <c r="H179" s="142">
        <v>32.832000000000001</v>
      </c>
      <c r="I179" s="34">
        <v>593750</v>
      </c>
      <c r="J179" s="34">
        <f>Таблица1[[#This Row],[Блок
 Куб]]*Таблица1[[#This Row],[Цена 
Приход]]</f>
        <v>19494000</v>
      </c>
      <c r="K179" s="34">
        <v>19</v>
      </c>
      <c r="L179" s="34">
        <v>130000</v>
      </c>
      <c r="M179" s="34">
        <f>Таблица1[[#This Row],[Поддон
Шт]]*Таблица1[[#This Row],[Цена
Поддон]]</f>
        <v>2470000</v>
      </c>
      <c r="N179" s="34">
        <f>Таблица1[[#This Row],[Сумма 
Приход]]+Таблица1[[#This Row],[Сумма Поддон]]</f>
        <v>21964000</v>
      </c>
      <c r="O179" s="34">
        <v>700000</v>
      </c>
      <c r="P179" s="34">
        <f>Таблица1[[#This Row],[Блок
 Куб]]*Таблица1[[#This Row],[Цена
 Продажа]]</f>
        <v>22982400</v>
      </c>
      <c r="Q179" s="34" t="s">
        <v>240</v>
      </c>
      <c r="R179" s="34">
        <f>Таблица1[[#This Row],[Сумма 
Продажа]]-Таблица1[[#This Row],[Сумма 
Приход]]-Таблица1[[#This Row],[Авто услу ]]</f>
        <v>988400</v>
      </c>
      <c r="S179" s="34">
        <v>2500000</v>
      </c>
      <c r="T179" s="34">
        <f>Таблица1[[#This Row],[Сумма 
Продажа]]-IF(Таблица1[[#This Row],[Расход 
Авто]]="Клиент",N(Таблица1[[#This Row],[Авто услу ]]),0)</f>
        <v>20482400</v>
      </c>
      <c r="U1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79" s="265" t="str">
        <f>IFERROR(INDEX(Мижозлар[Агент],MATCH($D179,Мижозлар[Расмий ном],0)),"")</f>
        <v>Зафар ога</v>
      </c>
    </row>
    <row r="180" spans="1:23" ht="14.25" x14ac:dyDescent="0.2">
      <c r="A180" s="21" t="s">
        <v>44</v>
      </c>
      <c r="B180" s="135" t="s">
        <v>26</v>
      </c>
      <c r="C180" s="141" t="s">
        <v>25</v>
      </c>
      <c r="D180" s="141" t="s">
        <v>53</v>
      </c>
      <c r="E180" s="136">
        <v>46233</v>
      </c>
      <c r="F180" s="135" t="s">
        <v>487</v>
      </c>
      <c r="G180" s="34" t="s">
        <v>355</v>
      </c>
      <c r="H180" s="142">
        <v>32.832000000000001</v>
      </c>
      <c r="I180" s="34">
        <v>593750</v>
      </c>
      <c r="J180" s="34">
        <f>Таблица1[[#This Row],[Блок
 Куб]]*Таблица1[[#This Row],[Цена 
Приход]]</f>
        <v>19494000</v>
      </c>
      <c r="K180" s="34">
        <v>19</v>
      </c>
      <c r="L180" s="34">
        <v>130000</v>
      </c>
      <c r="M180" s="34">
        <f>Таблица1[[#This Row],[Поддон
Шт]]*Таблица1[[#This Row],[Цена
Поддон]]</f>
        <v>2470000</v>
      </c>
      <c r="N180" s="34">
        <f>Таблица1[[#This Row],[Сумма 
Приход]]+Таблица1[[#This Row],[Сумма Поддон]]</f>
        <v>21964000</v>
      </c>
      <c r="O180" s="34">
        <v>700000</v>
      </c>
      <c r="P180" s="34">
        <f>Таблица1[[#This Row],[Блок
 Куб]]*Таблица1[[#This Row],[Цена
 Продажа]]</f>
        <v>22982400</v>
      </c>
      <c r="Q180" s="34" t="s">
        <v>356</v>
      </c>
      <c r="R180" s="34">
        <f>Таблица1[[#This Row],[Сумма 
Продажа]]-Таблица1[[#This Row],[Сумма 
Приход]]-Таблица1[[#This Row],[Авто услу ]]</f>
        <v>1088400</v>
      </c>
      <c r="S180" s="34">
        <v>2400000</v>
      </c>
      <c r="T180" s="34">
        <f>Таблица1[[#This Row],[Сумма 
Продажа]]-IF(Таблица1[[#This Row],[Расход 
Авто]]="Клиент",N(Таблица1[[#This Row],[Авто услу ]]),0)</f>
        <v>22982400</v>
      </c>
      <c r="U1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0" s="265" t="str">
        <f>IFERROR(INDEX(Мижозлар[Агент],MATCH($D180,Мижозлар[Расмий ном],0)),"")</f>
        <v>Жамол 22-22</v>
      </c>
    </row>
    <row r="181" spans="1:23" ht="14.25" x14ac:dyDescent="0.2">
      <c r="A181" s="21" t="s">
        <v>44</v>
      </c>
      <c r="B181" s="135" t="s">
        <v>26</v>
      </c>
      <c r="C181" s="141" t="s">
        <v>25</v>
      </c>
      <c r="D181" s="141" t="s">
        <v>53</v>
      </c>
      <c r="E181" s="136">
        <v>46233</v>
      </c>
      <c r="F181" s="135" t="s">
        <v>488</v>
      </c>
      <c r="G181" s="34" t="s">
        <v>355</v>
      </c>
      <c r="H181" s="142">
        <v>32.832000000000001</v>
      </c>
      <c r="I181" s="34">
        <v>593750</v>
      </c>
      <c r="J181" s="34">
        <f>Таблица1[[#This Row],[Блок
 Куб]]*Таблица1[[#This Row],[Цена 
Приход]]</f>
        <v>19494000</v>
      </c>
      <c r="K181" s="34">
        <v>19</v>
      </c>
      <c r="L181" s="34">
        <v>130000</v>
      </c>
      <c r="M181" s="34">
        <f>Таблица1[[#This Row],[Поддон
Шт]]*Таблица1[[#This Row],[Цена
Поддон]]</f>
        <v>2470000</v>
      </c>
      <c r="N181" s="34">
        <f>Таблица1[[#This Row],[Сумма 
Приход]]+Таблица1[[#This Row],[Сумма Поддон]]</f>
        <v>21964000</v>
      </c>
      <c r="O181" s="34">
        <v>700000</v>
      </c>
      <c r="P181" s="34">
        <f>Таблица1[[#This Row],[Блок
 Куб]]*Таблица1[[#This Row],[Цена
 Продажа]]</f>
        <v>22982400</v>
      </c>
      <c r="Q181" s="34" t="s">
        <v>356</v>
      </c>
      <c r="R181" s="34">
        <f>Таблица1[[#This Row],[Сумма 
Продажа]]-Таблица1[[#This Row],[Сумма 
Приход]]-Таблица1[[#This Row],[Авто услу ]]</f>
        <v>1088400</v>
      </c>
      <c r="S181" s="34">
        <v>2400000</v>
      </c>
      <c r="T181" s="34">
        <f>Таблица1[[#This Row],[Сумма 
Продажа]]-IF(Таблица1[[#This Row],[Расход 
Авто]]="Клиент",N(Таблица1[[#This Row],[Авто услу ]]),0)</f>
        <v>22982400</v>
      </c>
      <c r="U1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1" s="265" t="str">
        <f>IFERROR(INDEX(Мижозлар[Агент],MATCH($D181,Мижозлар[Расмий ном],0)),"")</f>
        <v>Жамол 22-22</v>
      </c>
    </row>
    <row r="182" spans="1:23" ht="14.25" x14ac:dyDescent="0.2">
      <c r="A182" s="21" t="s">
        <v>44</v>
      </c>
      <c r="B182" s="135" t="s">
        <v>26</v>
      </c>
      <c r="C182" s="141" t="s">
        <v>29</v>
      </c>
      <c r="D182" s="141" t="s">
        <v>23</v>
      </c>
      <c r="E182" s="136">
        <v>46233</v>
      </c>
      <c r="F182" s="135" t="s">
        <v>489</v>
      </c>
      <c r="G182" s="34" t="s">
        <v>355</v>
      </c>
      <c r="H182" s="142">
        <v>32.832000000000001</v>
      </c>
      <c r="I182" s="34">
        <v>593750</v>
      </c>
      <c r="J182" s="34">
        <f>Таблица1[[#This Row],[Блок
 Куб]]*Таблица1[[#This Row],[Цена 
Приход]]</f>
        <v>19494000</v>
      </c>
      <c r="K182" s="34">
        <v>19</v>
      </c>
      <c r="L182" s="34">
        <v>130000</v>
      </c>
      <c r="M182" s="34">
        <f>Таблица1[[#This Row],[Поддон
Шт]]*Таблица1[[#This Row],[Цена
Поддон]]</f>
        <v>2470000</v>
      </c>
      <c r="N182" s="34">
        <f>Таблица1[[#This Row],[Сумма 
Приход]]+Таблица1[[#This Row],[Сумма Поддон]]</f>
        <v>21964000</v>
      </c>
      <c r="O182" s="34">
        <v>700000</v>
      </c>
      <c r="P182" s="34">
        <f>Таблица1[[#This Row],[Блок
 Куб]]*Таблица1[[#This Row],[Цена
 Продажа]]</f>
        <v>22982400</v>
      </c>
      <c r="Q182" s="34" t="s">
        <v>240</v>
      </c>
      <c r="R182" s="34">
        <f>Таблица1[[#This Row],[Сумма 
Продажа]]-Таблица1[[#This Row],[Сумма 
Приход]]-Таблица1[[#This Row],[Авто услу ]]</f>
        <v>1088400</v>
      </c>
      <c r="S182" s="34">
        <v>2400000</v>
      </c>
      <c r="T182" s="34">
        <f>Таблица1[[#This Row],[Сумма 
Продажа]]-IF(Таблица1[[#This Row],[Расход 
Авто]]="Клиент",N(Таблица1[[#This Row],[Авто услу ]]),0)</f>
        <v>20582400</v>
      </c>
      <c r="U1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2" s="265" t="str">
        <f>IFERROR(INDEX(Мижозлар[Агент],MATCH($D182,Мижозлар[Расмий ном],0)),"")</f>
        <v>Зафар ога</v>
      </c>
    </row>
    <row r="183" spans="1:23" ht="14.25" x14ac:dyDescent="0.2">
      <c r="A183" s="21" t="s">
        <v>44</v>
      </c>
      <c r="B183" s="135" t="s">
        <v>26</v>
      </c>
      <c r="C183" s="141" t="s">
        <v>29</v>
      </c>
      <c r="D183" s="141" t="s">
        <v>89</v>
      </c>
      <c r="E183" s="136">
        <v>46233</v>
      </c>
      <c r="F183" s="135" t="s">
        <v>426</v>
      </c>
      <c r="G183" s="34" t="s">
        <v>355</v>
      </c>
      <c r="H183" s="142">
        <v>32.832000000000001</v>
      </c>
      <c r="I183" s="34">
        <v>593750</v>
      </c>
      <c r="J183" s="34">
        <f>Таблица1[[#This Row],[Блок
 Куб]]*Таблица1[[#This Row],[Цена 
Приход]]</f>
        <v>19494000</v>
      </c>
      <c r="K183" s="34">
        <v>19</v>
      </c>
      <c r="L183" s="34">
        <v>130000</v>
      </c>
      <c r="M183" s="34">
        <f>Таблица1[[#This Row],[Поддон
Шт]]*Таблица1[[#This Row],[Цена
Поддон]]</f>
        <v>2470000</v>
      </c>
      <c r="N183" s="34">
        <f>Таблица1[[#This Row],[Сумма 
Приход]]+Таблица1[[#This Row],[Сумма Поддон]]</f>
        <v>21964000</v>
      </c>
      <c r="O183" s="34">
        <v>700000</v>
      </c>
      <c r="P183" s="34">
        <f>Таблица1[[#This Row],[Блок
 Куб]]*Таблица1[[#This Row],[Цена
 Продажа]]</f>
        <v>22982400</v>
      </c>
      <c r="Q183" s="34" t="s">
        <v>240</v>
      </c>
      <c r="R183" s="34">
        <f>Таблица1[[#This Row],[Сумма 
Продажа]]-Таблица1[[#This Row],[Сумма 
Приход]]-Таблица1[[#This Row],[Авто услу ]]</f>
        <v>988400</v>
      </c>
      <c r="S183" s="34">
        <v>2500000</v>
      </c>
      <c r="T183" s="34">
        <f>Таблица1[[#This Row],[Сумма 
Продажа]]-IF(Таблица1[[#This Row],[Расход 
Авто]]="Клиент",N(Таблица1[[#This Row],[Авто услу ]]),0)</f>
        <v>20482400</v>
      </c>
      <c r="U1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3" s="265" t="str">
        <f>IFERROR(INDEX(Мижозлар[Агент],MATCH($D183,Мижозлар[Расмий ном],0)),"")</f>
        <v>Зафар ога</v>
      </c>
    </row>
    <row r="184" spans="1:23" ht="14.25" x14ac:dyDescent="0.2">
      <c r="A184" s="21" t="s">
        <v>44</v>
      </c>
      <c r="B184" s="135" t="s">
        <v>26</v>
      </c>
      <c r="C184" s="141" t="s">
        <v>29</v>
      </c>
      <c r="D184" s="141" t="s">
        <v>57</v>
      </c>
      <c r="E184" s="136">
        <v>46234</v>
      </c>
      <c r="F184" s="135" t="s">
        <v>490</v>
      </c>
      <c r="G184" s="34" t="s">
        <v>355</v>
      </c>
      <c r="H184" s="142">
        <v>32.832000000000001</v>
      </c>
      <c r="I184" s="34">
        <v>593750</v>
      </c>
      <c r="J184" s="34">
        <f>Таблица1[[#This Row],[Блок
 Куб]]*Таблица1[[#This Row],[Цена 
Приход]]</f>
        <v>19494000</v>
      </c>
      <c r="K184" s="34">
        <v>19</v>
      </c>
      <c r="L184" s="34">
        <v>130000</v>
      </c>
      <c r="M184" s="34">
        <f>Таблица1[[#This Row],[Поддон
Шт]]*Таблица1[[#This Row],[Цена
Поддон]]</f>
        <v>2470000</v>
      </c>
      <c r="N184" s="34">
        <f>Таблица1[[#This Row],[Сумма 
Приход]]+Таблица1[[#This Row],[Сумма Поддон]]</f>
        <v>21964000</v>
      </c>
      <c r="O184" s="34">
        <v>700000</v>
      </c>
      <c r="P184" s="34">
        <f>Таблица1[[#This Row],[Блок
 Куб]]*Таблица1[[#This Row],[Цена
 Продажа]]</f>
        <v>22982400</v>
      </c>
      <c r="Q184" s="34" t="s">
        <v>240</v>
      </c>
      <c r="R184" s="34">
        <f>Таблица1[[#This Row],[Сумма 
Продажа]]-Таблица1[[#This Row],[Сумма 
Приход]]-Таблица1[[#This Row],[Авто услу ]]</f>
        <v>1088400</v>
      </c>
      <c r="S184" s="34">
        <v>2400000</v>
      </c>
      <c r="T184" s="34">
        <f>Таблица1[[#This Row],[Сумма 
Продажа]]-IF(Таблица1[[#This Row],[Расход 
Авто]]="Клиент",N(Таблица1[[#This Row],[Авто услу ]]),0)</f>
        <v>20582400</v>
      </c>
      <c r="U1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4" s="265" t="str">
        <f>IFERROR(INDEX(Мижозлар[Агент],MATCH($D184,Мижозлар[Расмий ном],0)),"")</f>
        <v>Зафар ога</v>
      </c>
    </row>
    <row r="185" spans="1:23" ht="14.25" x14ac:dyDescent="0.2">
      <c r="A185" s="21" t="s">
        <v>44</v>
      </c>
      <c r="B185" s="135" t="s">
        <v>26</v>
      </c>
      <c r="C185" s="141" t="s">
        <v>36</v>
      </c>
      <c r="D185" s="141" t="s">
        <v>78</v>
      </c>
      <c r="E185" s="136">
        <v>46234</v>
      </c>
      <c r="F185" s="135" t="s">
        <v>479</v>
      </c>
      <c r="G185" s="34" t="s">
        <v>355</v>
      </c>
      <c r="H185" s="142">
        <v>32.832000000000001</v>
      </c>
      <c r="I185" s="34">
        <v>593750</v>
      </c>
      <c r="J185" s="34">
        <f>Таблица1[[#This Row],[Блок
 Куб]]*Таблица1[[#This Row],[Цена 
Приход]]</f>
        <v>19494000</v>
      </c>
      <c r="K185" s="34">
        <v>19</v>
      </c>
      <c r="L185" s="34">
        <v>130000</v>
      </c>
      <c r="M185" s="34">
        <f>Таблица1[[#This Row],[Поддон
Шт]]*Таблица1[[#This Row],[Цена
Поддон]]</f>
        <v>2470000</v>
      </c>
      <c r="N185" s="34">
        <f>Таблица1[[#This Row],[Сумма 
Приход]]+Таблица1[[#This Row],[Сумма Поддон]]</f>
        <v>21964000</v>
      </c>
      <c r="O185" s="34">
        <v>700000</v>
      </c>
      <c r="P185" s="34">
        <f>Таблица1[[#This Row],[Блок
 Куб]]*Таблица1[[#This Row],[Цена
 Продажа]]</f>
        <v>22982400</v>
      </c>
      <c r="Q185" s="34" t="s">
        <v>240</v>
      </c>
      <c r="R185" s="34">
        <f>Таблица1[[#This Row],[Сумма 
Продажа]]-Таблица1[[#This Row],[Сумма 
Приход]]-Таблица1[[#This Row],[Авто услу ]]</f>
        <v>988400</v>
      </c>
      <c r="S185" s="34">
        <v>2500000</v>
      </c>
      <c r="T185" s="34">
        <f>Таблица1[[#This Row],[Сумма 
Продажа]]-IF(Таблица1[[#This Row],[Расход 
Авто]]="Клиент",N(Таблица1[[#This Row],[Авто услу ]]),0)</f>
        <v>20482400</v>
      </c>
      <c r="U1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5" s="265" t="str">
        <f>IFERROR(INDEX(Мижозлар[Агент],MATCH($D185,Мижозлар[Расмий ном],0)),"")</f>
        <v>Темур</v>
      </c>
    </row>
    <row r="186" spans="1:23" ht="14.25" x14ac:dyDescent="0.2">
      <c r="A186" s="21" t="s">
        <v>44</v>
      </c>
      <c r="B186" s="135" t="s">
        <v>26</v>
      </c>
      <c r="C186" s="141" t="s">
        <v>32</v>
      </c>
      <c r="D186" s="141" t="s">
        <v>65</v>
      </c>
      <c r="E186" s="136">
        <v>46234</v>
      </c>
      <c r="F186" s="135" t="s">
        <v>480</v>
      </c>
      <c r="G186" s="34" t="s">
        <v>355</v>
      </c>
      <c r="H186" s="142">
        <v>32.832000000000001</v>
      </c>
      <c r="I186" s="34">
        <v>593750</v>
      </c>
      <c r="J186" s="34">
        <f>Таблица1[[#This Row],[Блок
 Куб]]*Таблица1[[#This Row],[Цена 
Приход]]</f>
        <v>19494000</v>
      </c>
      <c r="K186" s="34">
        <v>19</v>
      </c>
      <c r="L186" s="34">
        <v>130000</v>
      </c>
      <c r="M186" s="34">
        <f>Таблица1[[#This Row],[Поддон
Шт]]*Таблица1[[#This Row],[Цена
Поддон]]</f>
        <v>2470000</v>
      </c>
      <c r="N186" s="34">
        <f>Таблица1[[#This Row],[Сумма 
Приход]]+Таблица1[[#This Row],[Сумма Поддон]]</f>
        <v>21964000</v>
      </c>
      <c r="O186" s="34">
        <v>700000</v>
      </c>
      <c r="P186" s="34">
        <f>Таблица1[[#This Row],[Блок
 Куб]]*Таблица1[[#This Row],[Цена
 Продажа]]</f>
        <v>22982400</v>
      </c>
      <c r="Q186" s="34" t="s">
        <v>240</v>
      </c>
      <c r="R186" s="34">
        <f>Таблица1[[#This Row],[Сумма 
Продажа]]-Таблица1[[#This Row],[Сумма 
Приход]]-Таблица1[[#This Row],[Авто услу ]]</f>
        <v>1088400</v>
      </c>
      <c r="S186" s="34">
        <v>2400000</v>
      </c>
      <c r="T186" s="34">
        <f>Таблица1[[#This Row],[Сумма 
Продажа]]-IF(Таблица1[[#This Row],[Расход 
Авто]]="Клиент",N(Таблица1[[#This Row],[Авто услу ]]),0)</f>
        <v>20582400</v>
      </c>
      <c r="U1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6" s="265" t="str">
        <f>IFERROR(INDEX(Мижозлар[Агент],MATCH($D186,Мижозлар[Расмий ном],0)),"")</f>
        <v>Сардор ога</v>
      </c>
    </row>
    <row r="187" spans="1:23" ht="14.25" x14ac:dyDescent="0.2">
      <c r="A187" s="21" t="s">
        <v>44</v>
      </c>
      <c r="B187" s="135" t="s">
        <v>26</v>
      </c>
      <c r="C187" s="141" t="s">
        <v>36</v>
      </c>
      <c r="D187" s="141" t="s">
        <v>71</v>
      </c>
      <c r="E187" s="136">
        <v>46234</v>
      </c>
      <c r="F187" s="135" t="s">
        <v>440</v>
      </c>
      <c r="G187" s="34" t="s">
        <v>368</v>
      </c>
      <c r="H187" s="142">
        <v>15.552</v>
      </c>
      <c r="I187" s="34">
        <v>593750</v>
      </c>
      <c r="J187" s="34">
        <f>Таблица1[[#This Row],[Блок
 Куб]]*Таблица1[[#This Row],[Цена 
Приход]]</f>
        <v>9234000</v>
      </c>
      <c r="K187" s="34">
        <v>9</v>
      </c>
      <c r="L187" s="34">
        <v>130000</v>
      </c>
      <c r="M187" s="34">
        <f>Таблица1[[#This Row],[Поддон
Шт]]*Таблица1[[#This Row],[Цена
Поддон]]</f>
        <v>1170000</v>
      </c>
      <c r="N187" s="34">
        <f>Таблица1[[#This Row],[Сумма 
Приход]]+Таблица1[[#This Row],[Сумма Поддон]]</f>
        <v>10404000</v>
      </c>
      <c r="O187" s="34">
        <v>700000</v>
      </c>
      <c r="P187" s="34">
        <f>Таблица1[[#This Row],[Блок
 Куб]]*Таблица1[[#This Row],[Цена
 Продажа]]</f>
        <v>10886400</v>
      </c>
      <c r="Q187" s="34" t="s">
        <v>240</v>
      </c>
      <c r="R187" s="34">
        <f>Таблица1[[#This Row],[Сумма 
Продажа]]-Таблица1[[#This Row],[Сумма 
Приход]]-Таблица1[[#This Row],[Авто услу ]]</f>
        <v>336610.527</v>
      </c>
      <c r="S187" s="34">
        <v>1315789.473</v>
      </c>
      <c r="T187" s="34">
        <f>Таблица1[[#This Row],[Сумма 
Продажа]]-IF(Таблица1[[#This Row],[Расход 
Авто]]="Клиент",N(Таблица1[[#This Row],[Авто услу ]]),0)</f>
        <v>9570610.5270000007</v>
      </c>
      <c r="U1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7" s="265" t="str">
        <f>IFERROR(INDEX(Мижозлар[Агент],MATCH($D187,Мижозлар[Расмий ном],0)),"")</f>
        <v>Темур</v>
      </c>
    </row>
    <row r="188" spans="1:23" ht="14.25" x14ac:dyDescent="0.2">
      <c r="A188" s="21" t="s">
        <v>44</v>
      </c>
      <c r="B188" s="135" t="s">
        <v>26</v>
      </c>
      <c r="C188" s="141" t="s">
        <v>36</v>
      </c>
      <c r="D188" s="141" t="s">
        <v>71</v>
      </c>
      <c r="E188" s="136">
        <v>46234</v>
      </c>
      <c r="F188" s="135" t="s">
        <v>440</v>
      </c>
      <c r="G188" s="34" t="s">
        <v>355</v>
      </c>
      <c r="H188" s="142">
        <v>17.28</v>
      </c>
      <c r="I188" s="34">
        <v>593750</v>
      </c>
      <c r="J188" s="34">
        <f>Таблица1[[#This Row],[Блок
 Куб]]*Таблица1[[#This Row],[Цена 
Приход]]</f>
        <v>10260000</v>
      </c>
      <c r="K188" s="34">
        <v>10</v>
      </c>
      <c r="L188" s="34">
        <v>130000</v>
      </c>
      <c r="M188" s="34">
        <f>Таблица1[[#This Row],[Поддон
Шт]]*Таблица1[[#This Row],[Цена
Поддон]]</f>
        <v>1300000</v>
      </c>
      <c r="N188" s="34">
        <f>Таблица1[[#This Row],[Сумма 
Приход]]+Таблица1[[#This Row],[Сумма Поддон]]</f>
        <v>11560000</v>
      </c>
      <c r="O188" s="34">
        <v>700000</v>
      </c>
      <c r="P188" s="34">
        <f>Таблица1[[#This Row],[Блок
 Куб]]*Таблица1[[#This Row],[Цена
 Продажа]]</f>
        <v>12096000</v>
      </c>
      <c r="Q188" s="34" t="s">
        <v>240</v>
      </c>
      <c r="R188" s="34">
        <f>Таблица1[[#This Row],[Сумма 
Продажа]]-Таблица1[[#This Row],[Сумма 
Приход]]-Таблица1[[#This Row],[Авто услу ]]</f>
        <v>651789.47399999993</v>
      </c>
      <c r="S188" s="34">
        <v>1184210.5260000001</v>
      </c>
      <c r="T188" s="34">
        <f>Таблица1[[#This Row],[Сумма 
Продажа]]-IF(Таблица1[[#This Row],[Расход 
Авто]]="Клиент",N(Таблица1[[#This Row],[Авто услу ]]),0)</f>
        <v>10911789.473999999</v>
      </c>
      <c r="U1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8" s="265" t="str">
        <f>IFERROR(INDEX(Мижозлар[Агент],MATCH($D188,Мижозлар[Расмий ном],0)),"")</f>
        <v>Темур</v>
      </c>
    </row>
    <row r="189" spans="1:23" ht="14.25" x14ac:dyDescent="0.2">
      <c r="A189" s="21" t="s">
        <v>44</v>
      </c>
      <c r="B189" s="135" t="s">
        <v>26</v>
      </c>
      <c r="C189" s="141" t="s">
        <v>25</v>
      </c>
      <c r="D189" s="141" t="s">
        <v>53</v>
      </c>
      <c r="E189" s="136">
        <v>46235</v>
      </c>
      <c r="F189" s="135" t="s">
        <v>432</v>
      </c>
      <c r="G189" s="34" t="s">
        <v>355</v>
      </c>
      <c r="H189" s="142">
        <v>32.832000000000001</v>
      </c>
      <c r="I189" s="34">
        <v>593750</v>
      </c>
      <c r="J189" s="34">
        <f>Таблица1[[#This Row],[Блок
 Куб]]*Таблица1[[#This Row],[Цена 
Приход]]</f>
        <v>19494000</v>
      </c>
      <c r="K189" s="34">
        <v>19</v>
      </c>
      <c r="L189" s="34">
        <v>130000</v>
      </c>
      <c r="M189" s="34">
        <f>Таблица1[[#This Row],[Поддон
Шт]]*Таблица1[[#This Row],[Цена
Поддон]]</f>
        <v>2470000</v>
      </c>
      <c r="N189" s="34">
        <f>Таблица1[[#This Row],[Сумма 
Приход]]+Таблица1[[#This Row],[Сумма Поддон]]</f>
        <v>21964000</v>
      </c>
      <c r="O189" s="34">
        <v>720000</v>
      </c>
      <c r="P189" s="34">
        <f>Таблица1[[#This Row],[Блок
 Куб]]*Таблица1[[#This Row],[Цена
 Продажа]]</f>
        <v>23639040</v>
      </c>
      <c r="Q189" s="34" t="s">
        <v>356</v>
      </c>
      <c r="R189" s="34">
        <f>Таблица1[[#This Row],[Сумма 
Продажа]]-Таблица1[[#This Row],[Сумма 
Приход]]-Таблица1[[#This Row],[Авто услу ]]</f>
        <v>1745040</v>
      </c>
      <c r="S189" s="34">
        <v>2400000</v>
      </c>
      <c r="T189" s="34">
        <f>Таблица1[[#This Row],[Сумма 
Продажа]]-IF(Таблица1[[#This Row],[Расход 
Авто]]="Клиент",N(Таблица1[[#This Row],[Авто услу ]]),0)</f>
        <v>23639040</v>
      </c>
      <c r="U1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89" s="265" t="str">
        <f>IFERROR(INDEX(Мижозлар[Агент],MATCH($D189,Мижозлар[Расмий ном],0)),"")</f>
        <v>Жамол 22-22</v>
      </c>
    </row>
    <row r="190" spans="1:23" ht="14.25" x14ac:dyDescent="0.2">
      <c r="A190" s="21" t="s">
        <v>44</v>
      </c>
      <c r="B190" s="135" t="s">
        <v>26</v>
      </c>
      <c r="C190" s="141" t="s">
        <v>32</v>
      </c>
      <c r="D190" s="141" t="s">
        <v>107</v>
      </c>
      <c r="E190" s="136">
        <v>46235</v>
      </c>
      <c r="F190" s="135" t="s">
        <v>426</v>
      </c>
      <c r="G190" s="34" t="s">
        <v>355</v>
      </c>
      <c r="H190" s="142">
        <v>32.832000000000001</v>
      </c>
      <c r="I190" s="34">
        <v>593750</v>
      </c>
      <c r="J190" s="34">
        <f>Таблица1[[#This Row],[Блок
 Куб]]*Таблица1[[#This Row],[Цена 
Приход]]</f>
        <v>19494000</v>
      </c>
      <c r="K190" s="34">
        <v>19</v>
      </c>
      <c r="L190" s="34">
        <v>130000</v>
      </c>
      <c r="M190" s="34">
        <f>Таблица1[[#This Row],[Поддон
Шт]]*Таблица1[[#This Row],[Цена
Поддон]]</f>
        <v>2470000</v>
      </c>
      <c r="N190" s="34">
        <f>Таблица1[[#This Row],[Сумма 
Приход]]+Таблица1[[#This Row],[Сумма Поддон]]</f>
        <v>21964000</v>
      </c>
      <c r="O190" s="34">
        <v>700000</v>
      </c>
      <c r="P190" s="34">
        <f>Таблица1[[#This Row],[Блок
 Куб]]*Таблица1[[#This Row],[Цена
 Продажа]]</f>
        <v>22982400</v>
      </c>
      <c r="Q190" s="34" t="s">
        <v>240</v>
      </c>
      <c r="R190" s="34">
        <f>Таблица1[[#This Row],[Сумма 
Продажа]]-Таблица1[[#This Row],[Сумма 
Приход]]-Таблица1[[#This Row],[Авто услу ]]</f>
        <v>1088400</v>
      </c>
      <c r="S190" s="34">
        <v>2400000</v>
      </c>
      <c r="T190" s="34">
        <f>Таблица1[[#This Row],[Сумма 
Продажа]]-IF(Таблица1[[#This Row],[Расход 
Авто]]="Клиент",N(Таблица1[[#This Row],[Авто услу ]]),0)</f>
        <v>20582400</v>
      </c>
      <c r="U1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0" s="265" t="str">
        <f>IFERROR(INDEX(Мижозлар[Агент],MATCH($D190,Мижозлар[Расмий ном],0)),"")</f>
        <v>Сардор ога</v>
      </c>
    </row>
    <row r="191" spans="1:23" ht="14.25" x14ac:dyDescent="0.2">
      <c r="A191" s="21" t="s">
        <v>44</v>
      </c>
      <c r="B191" s="135" t="s">
        <v>26</v>
      </c>
      <c r="C191" s="141" t="s">
        <v>36</v>
      </c>
      <c r="D191" s="141" t="s">
        <v>48</v>
      </c>
      <c r="E191" s="136">
        <v>46235</v>
      </c>
      <c r="F191" s="135" t="s">
        <v>491</v>
      </c>
      <c r="G191" s="34" t="s">
        <v>368</v>
      </c>
      <c r="H191" s="142">
        <v>32.832000000000001</v>
      </c>
      <c r="I191" s="34">
        <v>593750</v>
      </c>
      <c r="J191" s="34">
        <f>Таблица1[[#This Row],[Блок
 Куб]]*Таблица1[[#This Row],[Цена 
Приход]]</f>
        <v>19494000</v>
      </c>
      <c r="K191" s="34">
        <v>19</v>
      </c>
      <c r="L191" s="34">
        <v>130000</v>
      </c>
      <c r="M191" s="34">
        <f>Таблица1[[#This Row],[Поддон
Шт]]*Таблица1[[#This Row],[Цена
Поддон]]</f>
        <v>2470000</v>
      </c>
      <c r="N191" s="34">
        <f>Таблица1[[#This Row],[Сумма 
Приход]]+Таблица1[[#This Row],[Сумма Поддон]]</f>
        <v>21964000</v>
      </c>
      <c r="O191" s="34">
        <v>700000</v>
      </c>
      <c r="P191" s="34">
        <f>Таблица1[[#This Row],[Блок
 Куб]]*Таблица1[[#This Row],[Цена
 Продажа]]</f>
        <v>22982400</v>
      </c>
      <c r="Q191" s="34" t="s">
        <v>240</v>
      </c>
      <c r="R191" s="34">
        <f>Таблица1[[#This Row],[Сумма 
Продажа]]-Таблица1[[#This Row],[Сумма 
Приход]]-Таблица1[[#This Row],[Авто услу ]]</f>
        <v>988400</v>
      </c>
      <c r="S191" s="34">
        <v>2500000</v>
      </c>
      <c r="T191" s="34">
        <f>Таблица1[[#This Row],[Сумма 
Продажа]]-IF(Таблица1[[#This Row],[Расход 
Авто]]="Клиент",N(Таблица1[[#This Row],[Авто услу ]]),0)</f>
        <v>20482400</v>
      </c>
      <c r="U1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1" s="265" t="str">
        <f>IFERROR(INDEX(Мижозлар[Агент],MATCH($D191,Мижозлар[Расмий ном],0)),"")</f>
        <v>Темур</v>
      </c>
    </row>
    <row r="192" spans="1:23" ht="14.25" x14ac:dyDescent="0.2">
      <c r="A192" s="21" t="s">
        <v>44</v>
      </c>
      <c r="B192" s="135" t="s">
        <v>26</v>
      </c>
      <c r="C192" s="141" t="s">
        <v>29</v>
      </c>
      <c r="D192" s="141" t="s">
        <v>57</v>
      </c>
      <c r="E192" s="136">
        <v>46235</v>
      </c>
      <c r="F192" s="135" t="s">
        <v>492</v>
      </c>
      <c r="G192" s="34" t="s">
        <v>355</v>
      </c>
      <c r="H192" s="142">
        <v>32.832000000000001</v>
      </c>
      <c r="I192" s="34">
        <v>593750</v>
      </c>
      <c r="J192" s="34">
        <f>Таблица1[[#This Row],[Блок
 Куб]]*Таблица1[[#This Row],[Цена 
Приход]]</f>
        <v>19494000</v>
      </c>
      <c r="K192" s="34">
        <v>19</v>
      </c>
      <c r="L192" s="34">
        <v>130000</v>
      </c>
      <c r="M192" s="34">
        <f>Таблица1[[#This Row],[Поддон
Шт]]*Таблица1[[#This Row],[Цена
Поддон]]</f>
        <v>2470000</v>
      </c>
      <c r="N192" s="34">
        <f>Таблица1[[#This Row],[Сумма 
Приход]]+Таблица1[[#This Row],[Сумма Поддон]]</f>
        <v>21964000</v>
      </c>
      <c r="O192" s="34">
        <v>700000</v>
      </c>
      <c r="P192" s="34">
        <f>Таблица1[[#This Row],[Блок
 Куб]]*Таблица1[[#This Row],[Цена
 Продажа]]</f>
        <v>22982400</v>
      </c>
      <c r="Q192" s="34" t="s">
        <v>240</v>
      </c>
      <c r="R192" s="34">
        <f>Таблица1[[#This Row],[Сумма 
Продажа]]-Таблица1[[#This Row],[Сумма 
Приход]]-Таблица1[[#This Row],[Авто услу ]]</f>
        <v>1088400</v>
      </c>
      <c r="S192" s="34">
        <v>2400000</v>
      </c>
      <c r="T192" s="34">
        <f>Таблица1[[#This Row],[Сумма 
Продажа]]-IF(Таблица1[[#This Row],[Расход 
Авто]]="Клиент",N(Таблица1[[#This Row],[Авто услу ]]),0)</f>
        <v>20582400</v>
      </c>
      <c r="U1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2" s="265" t="str">
        <f>IFERROR(INDEX(Мижозлар[Агент],MATCH($D192,Мижозлар[Расмий ном],0)),"")</f>
        <v>Зафар ога</v>
      </c>
    </row>
    <row r="193" spans="1:23" ht="14.25" x14ac:dyDescent="0.2">
      <c r="A193" s="21" t="s">
        <v>44</v>
      </c>
      <c r="B193" s="135" t="s">
        <v>26</v>
      </c>
      <c r="C193" s="141" t="s">
        <v>25</v>
      </c>
      <c r="D193" s="141" t="s">
        <v>53</v>
      </c>
      <c r="E193" s="136">
        <v>46237</v>
      </c>
      <c r="F193" s="135" t="s">
        <v>493</v>
      </c>
      <c r="G193" s="34" t="s">
        <v>355</v>
      </c>
      <c r="H193" s="142">
        <v>32.832000000000001</v>
      </c>
      <c r="I193" s="34">
        <v>593750</v>
      </c>
      <c r="J193" s="34">
        <f>Таблица1[[#This Row],[Блок
 Куб]]*Таблица1[[#This Row],[Цена 
Приход]]</f>
        <v>19494000</v>
      </c>
      <c r="K193" s="34">
        <v>19</v>
      </c>
      <c r="L193" s="34">
        <v>130000</v>
      </c>
      <c r="M193" s="34">
        <f>Таблица1[[#This Row],[Поддон
Шт]]*Таблица1[[#This Row],[Цена
Поддон]]</f>
        <v>2470000</v>
      </c>
      <c r="N193" s="34">
        <f>Таблица1[[#This Row],[Сумма 
Приход]]+Таблица1[[#This Row],[Сумма Поддон]]</f>
        <v>21964000</v>
      </c>
      <c r="O193" s="34">
        <v>700000</v>
      </c>
      <c r="P193" s="34">
        <f>Таблица1[[#This Row],[Блок
 Куб]]*Таблица1[[#This Row],[Цена
 Продажа]]</f>
        <v>22982400</v>
      </c>
      <c r="Q193" s="34" t="s">
        <v>356</v>
      </c>
      <c r="R193" s="34">
        <f>Таблица1[[#This Row],[Сумма 
Продажа]]-Таблица1[[#This Row],[Сумма 
Приход]]-Таблица1[[#This Row],[Авто услу ]]</f>
        <v>1088400</v>
      </c>
      <c r="S193" s="34">
        <v>2400000</v>
      </c>
      <c r="T193" s="34">
        <f>Таблица1[[#This Row],[Сумма 
Продажа]]-IF(Таблица1[[#This Row],[Расход 
Авто]]="Клиент",N(Таблица1[[#This Row],[Авто услу ]]),0)</f>
        <v>22982400</v>
      </c>
      <c r="U1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3" s="265" t="str">
        <f>IFERROR(INDEX(Мижозлар[Агент],MATCH($D193,Мижозлар[Расмий ном],0)),"")</f>
        <v>Жамол 22-22</v>
      </c>
    </row>
    <row r="194" spans="1:23" ht="14.25" x14ac:dyDescent="0.2">
      <c r="A194" s="21" t="s">
        <v>44</v>
      </c>
      <c r="B194" s="135" t="s">
        <v>26</v>
      </c>
      <c r="C194" s="141" t="s">
        <v>32</v>
      </c>
      <c r="D194" s="141" t="s">
        <v>107</v>
      </c>
      <c r="E194" s="136">
        <v>46237</v>
      </c>
      <c r="F194" s="135" t="s">
        <v>373</v>
      </c>
      <c r="G194" s="34" t="s">
        <v>368</v>
      </c>
      <c r="H194" s="142">
        <v>32.832000000000001</v>
      </c>
      <c r="I194" s="34">
        <v>593750</v>
      </c>
      <c r="J194" s="34">
        <f>Таблица1[[#This Row],[Блок
 Куб]]*Таблица1[[#This Row],[Цена 
Приход]]</f>
        <v>19494000</v>
      </c>
      <c r="K194" s="34">
        <v>19</v>
      </c>
      <c r="L194" s="34">
        <v>130000</v>
      </c>
      <c r="M194" s="34">
        <f>Таблица1[[#This Row],[Поддон
Шт]]*Таблица1[[#This Row],[Цена
Поддон]]</f>
        <v>2470000</v>
      </c>
      <c r="N194" s="34">
        <f>Таблица1[[#This Row],[Сумма 
Приход]]+Таблица1[[#This Row],[Сумма Поддон]]</f>
        <v>21964000</v>
      </c>
      <c r="O194" s="34">
        <v>700000</v>
      </c>
      <c r="P194" s="34">
        <f>Таблица1[[#This Row],[Блок
 Куб]]*Таблица1[[#This Row],[Цена
 Продажа]]</f>
        <v>22982400</v>
      </c>
      <c r="Q194" s="34" t="s">
        <v>240</v>
      </c>
      <c r="R194" s="34">
        <f>Таблица1[[#This Row],[Сумма 
Продажа]]-Таблица1[[#This Row],[Сумма 
Приход]]-Таблица1[[#This Row],[Авто услу ]]</f>
        <v>1088400</v>
      </c>
      <c r="S194" s="34">
        <v>2400000</v>
      </c>
      <c r="T194" s="34">
        <f>Таблица1[[#This Row],[Сумма 
Продажа]]-IF(Таблица1[[#This Row],[Расход 
Авто]]="Клиент",N(Таблица1[[#This Row],[Авто услу ]]),0)</f>
        <v>20582400</v>
      </c>
      <c r="U1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1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4" s="265" t="str">
        <f>IFERROR(INDEX(Мижозлар[Агент],MATCH($D194,Мижозлар[Расмий ном],0)),"")</f>
        <v>Сардор ога</v>
      </c>
    </row>
    <row r="195" spans="1:23" ht="14.25" x14ac:dyDescent="0.2">
      <c r="A195" s="21" t="s">
        <v>44</v>
      </c>
      <c r="B195" s="135" t="s">
        <v>26</v>
      </c>
      <c r="C195" s="141" t="s">
        <v>36</v>
      </c>
      <c r="D195" s="141" t="s">
        <v>82</v>
      </c>
      <c r="E195" s="136">
        <v>46237</v>
      </c>
      <c r="F195" s="135" t="s">
        <v>494</v>
      </c>
      <c r="G195" s="34" t="s">
        <v>355</v>
      </c>
      <c r="H195" s="142">
        <v>32.832000000000001</v>
      </c>
      <c r="I195" s="34">
        <v>593750</v>
      </c>
      <c r="J195" s="34">
        <f>Таблица1[[#This Row],[Блок
 Куб]]*Таблица1[[#This Row],[Цена 
Приход]]</f>
        <v>19494000</v>
      </c>
      <c r="K195" s="34">
        <v>19</v>
      </c>
      <c r="L195" s="34">
        <v>130000</v>
      </c>
      <c r="M195" s="34">
        <f>Таблица1[[#This Row],[Поддон
Шт]]*Таблица1[[#This Row],[Цена
Поддон]]</f>
        <v>2470000</v>
      </c>
      <c r="N195" s="34">
        <f>Таблица1[[#This Row],[Сумма 
Приход]]+Таблица1[[#This Row],[Сумма Поддон]]</f>
        <v>21964000</v>
      </c>
      <c r="O195" s="34">
        <v>700000</v>
      </c>
      <c r="P195" s="34">
        <f>Таблица1[[#This Row],[Блок
 Куб]]*Таблица1[[#This Row],[Цена
 Продажа]]</f>
        <v>22982400</v>
      </c>
      <c r="Q195" s="34" t="s">
        <v>240</v>
      </c>
      <c r="R195" s="34">
        <f>Таблица1[[#This Row],[Сумма 
Продажа]]-Таблица1[[#This Row],[Сумма 
Приход]]-Таблица1[[#This Row],[Авто услу ]]</f>
        <v>1088400</v>
      </c>
      <c r="S195" s="34">
        <v>2400000</v>
      </c>
      <c r="T195" s="34">
        <f>Таблица1[[#This Row],[Сумма 
Продажа]]-IF(Таблица1[[#This Row],[Расход 
Авто]]="Клиент",N(Таблица1[[#This Row],[Авто услу ]]),0)</f>
        <v>20582400</v>
      </c>
      <c r="U1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5" s="265" t="str">
        <f>IFERROR(INDEX(Мижозлар[Агент],MATCH($D195,Мижозлар[Расмий ном],0)),"")</f>
        <v>Темур</v>
      </c>
    </row>
    <row r="196" spans="1:23" ht="14.25" x14ac:dyDescent="0.2">
      <c r="A196" s="21" t="s">
        <v>44</v>
      </c>
      <c r="B196" s="135" t="s">
        <v>26</v>
      </c>
      <c r="C196" s="141" t="s">
        <v>29</v>
      </c>
      <c r="D196" s="141" t="s">
        <v>98</v>
      </c>
      <c r="E196" s="136">
        <v>46237</v>
      </c>
      <c r="F196" s="135" t="s">
        <v>495</v>
      </c>
      <c r="G196" s="34" t="s">
        <v>355</v>
      </c>
      <c r="H196" s="142">
        <v>32.832000000000001</v>
      </c>
      <c r="I196" s="34">
        <v>593750</v>
      </c>
      <c r="J196" s="34">
        <f>Таблица1[[#This Row],[Блок
 Куб]]*Таблица1[[#This Row],[Цена 
Приход]]</f>
        <v>19494000</v>
      </c>
      <c r="K196" s="34">
        <v>19</v>
      </c>
      <c r="L196" s="34">
        <v>130000</v>
      </c>
      <c r="M196" s="34">
        <f>Таблица1[[#This Row],[Поддон
Шт]]*Таблица1[[#This Row],[Цена
Поддон]]</f>
        <v>2470000</v>
      </c>
      <c r="N196" s="34">
        <f>Таблица1[[#This Row],[Сумма 
Приход]]+Таблица1[[#This Row],[Сумма Поддон]]</f>
        <v>21964000</v>
      </c>
      <c r="O196" s="34">
        <v>700000</v>
      </c>
      <c r="P196" s="34">
        <f>Таблица1[[#This Row],[Блок
 Куб]]*Таблица1[[#This Row],[Цена
 Продажа]]</f>
        <v>22982400</v>
      </c>
      <c r="Q196" s="34" t="s">
        <v>240</v>
      </c>
      <c r="R196" s="34">
        <f>Таблица1[[#This Row],[Сумма 
Продажа]]-Таблица1[[#This Row],[Сумма 
Приход]]-Таблица1[[#This Row],[Авто услу ]]</f>
        <v>1088400</v>
      </c>
      <c r="S196" s="34">
        <v>2400000</v>
      </c>
      <c r="T196" s="34">
        <f>Таблица1[[#This Row],[Сумма 
Продажа]]-IF(Таблица1[[#This Row],[Расход 
Авто]]="Клиент",N(Таблица1[[#This Row],[Авто услу ]]),0)</f>
        <v>20582400</v>
      </c>
      <c r="U1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1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6" s="265" t="str">
        <f>IFERROR(INDEX(Мижозлар[Агент],MATCH($D196,Мижозлар[Расмий ном],0)),"")</f>
        <v>Зафар ога</v>
      </c>
    </row>
    <row r="197" spans="1:23" ht="14.25" x14ac:dyDescent="0.2">
      <c r="A197" s="21" t="s">
        <v>44</v>
      </c>
      <c r="B197" s="135" t="s">
        <v>26</v>
      </c>
      <c r="C197" s="141" t="s">
        <v>36</v>
      </c>
      <c r="D197" s="141" t="s">
        <v>82</v>
      </c>
      <c r="E197" s="136">
        <v>46237</v>
      </c>
      <c r="F197" s="135" t="s">
        <v>459</v>
      </c>
      <c r="G197" s="34" t="s">
        <v>368</v>
      </c>
      <c r="H197" s="142">
        <v>32.832000000000001</v>
      </c>
      <c r="I197" s="34">
        <v>593750</v>
      </c>
      <c r="J197" s="34">
        <f>Таблица1[[#This Row],[Блок
 Куб]]*Таблица1[[#This Row],[Цена 
Приход]]</f>
        <v>19494000</v>
      </c>
      <c r="K197" s="34">
        <v>19</v>
      </c>
      <c r="L197" s="34">
        <v>130000</v>
      </c>
      <c r="M197" s="34">
        <f>Таблица1[[#This Row],[Поддон
Шт]]*Таблица1[[#This Row],[Цена
Поддон]]</f>
        <v>2470000</v>
      </c>
      <c r="N197" s="34">
        <f>Таблица1[[#This Row],[Сумма 
Приход]]+Таблица1[[#This Row],[Сумма Поддон]]</f>
        <v>21964000</v>
      </c>
      <c r="O197" s="34">
        <v>700000</v>
      </c>
      <c r="P197" s="34">
        <f>Таблица1[[#This Row],[Блок
 Куб]]*Таблица1[[#This Row],[Цена
 Продажа]]</f>
        <v>22982400</v>
      </c>
      <c r="Q197" s="34" t="s">
        <v>240</v>
      </c>
      <c r="R197" s="34">
        <f>Таблица1[[#This Row],[Сумма 
Продажа]]-Таблица1[[#This Row],[Сумма 
Приход]]-Таблица1[[#This Row],[Авто услу ]]</f>
        <v>1088400</v>
      </c>
      <c r="S197" s="34">
        <v>2400000</v>
      </c>
      <c r="T197" s="34">
        <f>Таблица1[[#This Row],[Сумма 
Продажа]]-IF(Таблица1[[#This Row],[Расход 
Авто]]="Клиент",N(Таблица1[[#This Row],[Авто услу ]]),0)</f>
        <v>20582400</v>
      </c>
      <c r="U1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1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7" s="265" t="str">
        <f>IFERROR(INDEX(Мижозлар[Агент],MATCH($D197,Мижозлар[Расмий ном],0)),"")</f>
        <v>Темур</v>
      </c>
    </row>
    <row r="198" spans="1:23" ht="14.25" x14ac:dyDescent="0.2">
      <c r="A198" s="21" t="s">
        <v>44</v>
      </c>
      <c r="B198" s="135" t="s">
        <v>26</v>
      </c>
      <c r="C198" s="141" t="s">
        <v>25</v>
      </c>
      <c r="D198" s="141" t="s">
        <v>53</v>
      </c>
      <c r="E198" s="136">
        <v>46237</v>
      </c>
      <c r="F198" s="135" t="s">
        <v>496</v>
      </c>
      <c r="G198" s="34" t="s">
        <v>368</v>
      </c>
      <c r="H198" s="142">
        <v>8.64</v>
      </c>
      <c r="I198" s="34">
        <v>593750</v>
      </c>
      <c r="J198" s="34">
        <f>Таблица1[[#This Row],[Блок
 Куб]]*Таблица1[[#This Row],[Цена 
Приход]]</f>
        <v>5130000</v>
      </c>
      <c r="K198" s="34">
        <v>5</v>
      </c>
      <c r="L198" s="34">
        <v>130000</v>
      </c>
      <c r="M198" s="34">
        <f>Таблица1[[#This Row],[Поддон
Шт]]*Таблица1[[#This Row],[Цена
Поддон]]</f>
        <v>650000</v>
      </c>
      <c r="N198" s="34">
        <f>Таблица1[[#This Row],[Сумма 
Приход]]+Таблица1[[#This Row],[Сумма Поддон]]</f>
        <v>5780000</v>
      </c>
      <c r="O198" s="34">
        <v>700000</v>
      </c>
      <c r="P198" s="34">
        <f>Таблица1[[#This Row],[Блок
 Куб]]*Таблица1[[#This Row],[Цена
 Продажа]]</f>
        <v>6048000</v>
      </c>
      <c r="Q198" s="34" t="s">
        <v>356</v>
      </c>
      <c r="R198" s="34">
        <f>Таблица1[[#This Row],[Сумма 
Продажа]]-Таблица1[[#This Row],[Сумма 
Приход]]-Таблица1[[#This Row],[Авто услу ]]</f>
        <v>286421.05599999998</v>
      </c>
      <c r="S198" s="34">
        <v>631578.94400000002</v>
      </c>
      <c r="T198" s="34">
        <f>Таблица1[[#This Row],[Сумма 
Продажа]]-IF(Таблица1[[#This Row],[Расход 
Авто]]="Клиент",N(Таблица1[[#This Row],[Авто услу ]]),0)</f>
        <v>6048000</v>
      </c>
      <c r="U1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8" s="265" t="str">
        <f>IFERROR(INDEX(Мижозлар[Агент],MATCH($D198,Мижозлар[Расмий ном],0)),"")</f>
        <v>Жамол 22-22</v>
      </c>
    </row>
    <row r="199" spans="1:23" ht="14.25" x14ac:dyDescent="0.2">
      <c r="A199" s="21" t="s">
        <v>44</v>
      </c>
      <c r="B199" s="135" t="s">
        <v>26</v>
      </c>
      <c r="C199" s="141" t="s">
        <v>25</v>
      </c>
      <c r="D199" s="141" t="s">
        <v>53</v>
      </c>
      <c r="E199" s="136">
        <v>46237</v>
      </c>
      <c r="F199" s="135" t="s">
        <v>496</v>
      </c>
      <c r="G199" s="34" t="s">
        <v>355</v>
      </c>
      <c r="H199" s="142">
        <v>24.192</v>
      </c>
      <c r="I199" s="34">
        <v>593750</v>
      </c>
      <c r="J199" s="34">
        <f>Таблица1[[#This Row],[Блок
 Куб]]*Таблица1[[#This Row],[Цена 
Приход]]</f>
        <v>14364000</v>
      </c>
      <c r="K199" s="34">
        <v>14</v>
      </c>
      <c r="L199" s="34">
        <v>130000</v>
      </c>
      <c r="M199" s="34">
        <f>Таблица1[[#This Row],[Поддон
Шт]]*Таблица1[[#This Row],[Цена
Поддон]]</f>
        <v>1820000</v>
      </c>
      <c r="N199" s="34">
        <f>Таблица1[[#This Row],[Сумма 
Приход]]+Таблица1[[#This Row],[Сумма Поддон]]</f>
        <v>16184000</v>
      </c>
      <c r="O199" s="34">
        <v>700000</v>
      </c>
      <c r="P199" s="34">
        <f>Таблица1[[#This Row],[Блок
 Куб]]*Таблица1[[#This Row],[Цена
 Продажа]]</f>
        <v>16934400</v>
      </c>
      <c r="Q199" s="34" t="s">
        <v>356</v>
      </c>
      <c r="R199" s="34">
        <f>Таблица1[[#This Row],[Сумма 
Продажа]]-Таблица1[[#This Row],[Сумма 
Приход]]-Таблица1[[#This Row],[Авто услу ]]</f>
        <v>801978.95399999991</v>
      </c>
      <c r="S199" s="34">
        <v>1768421.0460000001</v>
      </c>
      <c r="T199" s="34">
        <f>Таблица1[[#This Row],[Сумма 
Продажа]]-IF(Таблица1[[#This Row],[Расход 
Авто]]="Клиент",N(Таблица1[[#This Row],[Авто услу ]]),0)</f>
        <v>16934400</v>
      </c>
      <c r="U1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1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99" s="265" t="str">
        <f>IFERROR(INDEX(Мижозлар[Агент],MATCH($D199,Мижозлар[Расмий ном],0)),"")</f>
        <v>Жамол 22-22</v>
      </c>
    </row>
    <row r="200" spans="1:23" ht="14.25" x14ac:dyDescent="0.2">
      <c r="A200" s="21" t="s">
        <v>44</v>
      </c>
      <c r="B200" s="135" t="s">
        <v>26</v>
      </c>
      <c r="C200" s="141" t="s">
        <v>29</v>
      </c>
      <c r="D200" s="141" t="s">
        <v>98</v>
      </c>
      <c r="E200" s="136">
        <v>46238</v>
      </c>
      <c r="F200" s="135" t="s">
        <v>479</v>
      </c>
      <c r="G200" s="34" t="s">
        <v>355</v>
      </c>
      <c r="H200" s="142">
        <v>32.832000000000001</v>
      </c>
      <c r="I200" s="34">
        <v>593750</v>
      </c>
      <c r="J200" s="34">
        <f>Таблица1[[#This Row],[Блок
 Куб]]*Таблица1[[#This Row],[Цена 
Приход]]</f>
        <v>19494000</v>
      </c>
      <c r="K200" s="34">
        <v>19</v>
      </c>
      <c r="L200" s="34">
        <v>130000</v>
      </c>
      <c r="M200" s="34">
        <f>Таблица1[[#This Row],[Поддон
Шт]]*Таблица1[[#This Row],[Цена
Поддон]]</f>
        <v>2470000</v>
      </c>
      <c r="N200" s="34">
        <f>Таблица1[[#This Row],[Сумма 
Приход]]+Таблица1[[#This Row],[Сумма Поддон]]</f>
        <v>21964000</v>
      </c>
      <c r="O200" s="34">
        <v>700000</v>
      </c>
      <c r="P200" s="34">
        <f>Таблица1[[#This Row],[Блок
 Куб]]*Таблица1[[#This Row],[Цена
 Продажа]]</f>
        <v>22982400</v>
      </c>
      <c r="Q200" s="34" t="s">
        <v>240</v>
      </c>
      <c r="R200" s="34">
        <f>Таблица1[[#This Row],[Сумма 
Продажа]]-Таблица1[[#This Row],[Сумма 
Приход]]-Таблица1[[#This Row],[Авто услу ]]</f>
        <v>1088400</v>
      </c>
      <c r="S200" s="34">
        <v>2400000</v>
      </c>
      <c r="T200" s="34">
        <f>Таблица1[[#This Row],[Сумма 
Продажа]]-IF(Таблица1[[#This Row],[Расход 
Авто]]="Клиент",N(Таблица1[[#This Row],[Авто услу ]]),0)</f>
        <v>20582400</v>
      </c>
      <c r="U2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0" s="265" t="str">
        <f>IFERROR(INDEX(Мижозлар[Агент],MATCH($D200,Мижозлар[Расмий ном],0)),"")</f>
        <v>Зафар ога</v>
      </c>
    </row>
    <row r="201" spans="1:23" ht="14.25" x14ac:dyDescent="0.2">
      <c r="A201" s="21" t="s">
        <v>44</v>
      </c>
      <c r="B201" s="135" t="s">
        <v>26</v>
      </c>
      <c r="C201" s="141" t="s">
        <v>32</v>
      </c>
      <c r="D201" s="141" t="s">
        <v>63</v>
      </c>
      <c r="E201" s="136">
        <v>46238</v>
      </c>
      <c r="F201" s="135" t="s">
        <v>432</v>
      </c>
      <c r="G201" s="34" t="s">
        <v>355</v>
      </c>
      <c r="H201" s="142">
        <v>32.832000000000001</v>
      </c>
      <c r="I201" s="34">
        <v>593750</v>
      </c>
      <c r="J201" s="34">
        <f>Таблица1[[#This Row],[Блок
 Куб]]*Таблица1[[#This Row],[Цена 
Приход]]</f>
        <v>19494000</v>
      </c>
      <c r="K201" s="34">
        <v>19</v>
      </c>
      <c r="L201" s="34">
        <v>130000</v>
      </c>
      <c r="M201" s="34">
        <f>Таблица1[[#This Row],[Поддон
Шт]]*Таблица1[[#This Row],[Цена
Поддон]]</f>
        <v>2470000</v>
      </c>
      <c r="N201" s="34">
        <f>Таблица1[[#This Row],[Сумма 
Приход]]+Таблица1[[#This Row],[Сумма Поддон]]</f>
        <v>21964000</v>
      </c>
      <c r="O201" s="34">
        <v>709774.61010000005</v>
      </c>
      <c r="P201" s="34">
        <f>Таблица1[[#This Row],[Блок
 Куб]]*Таблица1[[#This Row],[Цена
 Продажа]]</f>
        <v>23303319.998803202</v>
      </c>
      <c r="Q201" s="34" t="s">
        <v>240</v>
      </c>
      <c r="R201" s="34">
        <f>Таблица1[[#This Row],[Сумма 
Продажа]]-Таблица1[[#This Row],[Сумма 
Приход]]-Таблица1[[#This Row],[Авто услу ]]</f>
        <v>1409319.9988032021</v>
      </c>
      <c r="S201" s="34">
        <v>2400000</v>
      </c>
      <c r="T201" s="34">
        <f>Таблица1[[#This Row],[Сумма 
Продажа]]-IF(Таблица1[[#This Row],[Расход 
Авто]]="Клиент",N(Таблица1[[#This Row],[Авто услу ]]),0)</f>
        <v>20903319.998803202</v>
      </c>
      <c r="U2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1" s="265" t="str">
        <f>IFERROR(INDEX(Мижозлар[Агент],MATCH($D201,Мижозлар[Расмий ном],0)),"")</f>
        <v>Сардор ога</v>
      </c>
    </row>
    <row r="202" spans="1:23" ht="14.25" x14ac:dyDescent="0.2">
      <c r="A202" s="21" t="s">
        <v>44</v>
      </c>
      <c r="B202" s="135" t="s">
        <v>26</v>
      </c>
      <c r="C202" s="141" t="s">
        <v>32</v>
      </c>
      <c r="D202" s="141" t="s">
        <v>85</v>
      </c>
      <c r="E202" s="136">
        <v>46238</v>
      </c>
      <c r="F202" s="135" t="s">
        <v>497</v>
      </c>
      <c r="G202" s="34" t="s">
        <v>368</v>
      </c>
      <c r="H202" s="142">
        <v>32.832000000000001</v>
      </c>
      <c r="I202" s="34">
        <v>593750</v>
      </c>
      <c r="J202" s="34">
        <f>Таблица1[[#This Row],[Блок
 Куб]]*Таблица1[[#This Row],[Цена 
Приход]]</f>
        <v>19494000</v>
      </c>
      <c r="K202" s="34">
        <v>19</v>
      </c>
      <c r="L202" s="34">
        <v>130000</v>
      </c>
      <c r="M202" s="34">
        <f>Таблица1[[#This Row],[Поддон
Шт]]*Таблица1[[#This Row],[Цена
Поддон]]</f>
        <v>2470000</v>
      </c>
      <c r="N202" s="34">
        <f>Таблица1[[#This Row],[Сумма 
Приход]]+Таблица1[[#This Row],[Сумма Поддон]]</f>
        <v>21964000</v>
      </c>
      <c r="O202" s="34">
        <v>720000</v>
      </c>
      <c r="P202" s="34">
        <f>Таблица1[[#This Row],[Блок
 Куб]]*Таблица1[[#This Row],[Цена
 Продажа]]</f>
        <v>23639040</v>
      </c>
      <c r="Q202" s="34" t="s">
        <v>240</v>
      </c>
      <c r="R202" s="34">
        <f>Таблица1[[#This Row],[Сумма 
Продажа]]-Таблица1[[#This Row],[Сумма 
Приход]]-Таблица1[[#This Row],[Авто услу ]]</f>
        <v>1745040</v>
      </c>
      <c r="S202" s="34">
        <v>2400000</v>
      </c>
      <c r="T202" s="34">
        <f>Таблица1[[#This Row],[Сумма 
Продажа]]-IF(Таблица1[[#This Row],[Расход 
Авто]]="Клиент",N(Таблица1[[#This Row],[Авто услу ]]),0)</f>
        <v>21239040</v>
      </c>
      <c r="U2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2" s="265" t="str">
        <f>IFERROR(INDEX(Мижозлар[Агент],MATCH($D202,Мижозлар[Расмий ном],0)),"")</f>
        <v>Сардор ога</v>
      </c>
    </row>
    <row r="203" spans="1:23" ht="14.25" x14ac:dyDescent="0.2">
      <c r="A203" s="21" t="s">
        <v>44</v>
      </c>
      <c r="B203" s="135" t="s">
        <v>26</v>
      </c>
      <c r="C203" s="141" t="s">
        <v>29</v>
      </c>
      <c r="D203" s="141" t="s">
        <v>98</v>
      </c>
      <c r="E203" s="136">
        <v>46238</v>
      </c>
      <c r="F203" s="135" t="s">
        <v>498</v>
      </c>
      <c r="G203" s="34" t="s">
        <v>368</v>
      </c>
      <c r="H203" s="142">
        <v>32.832000000000001</v>
      </c>
      <c r="I203" s="34">
        <v>593750</v>
      </c>
      <c r="J203" s="34">
        <f>Таблица1[[#This Row],[Блок
 Куб]]*Таблица1[[#This Row],[Цена 
Приход]]</f>
        <v>19494000</v>
      </c>
      <c r="K203" s="34">
        <v>19</v>
      </c>
      <c r="L203" s="34">
        <v>130000</v>
      </c>
      <c r="M203" s="34">
        <f>Таблица1[[#This Row],[Поддон
Шт]]*Таблица1[[#This Row],[Цена
Поддон]]</f>
        <v>2470000</v>
      </c>
      <c r="N203" s="34">
        <f>Таблица1[[#This Row],[Сумма 
Приход]]+Таблица1[[#This Row],[Сумма Поддон]]</f>
        <v>21964000</v>
      </c>
      <c r="O203" s="34">
        <v>700000</v>
      </c>
      <c r="P203" s="34">
        <f>Таблица1[[#This Row],[Блок
 Куб]]*Таблица1[[#This Row],[Цена
 Продажа]]</f>
        <v>22982400</v>
      </c>
      <c r="Q203" s="34" t="s">
        <v>240</v>
      </c>
      <c r="R203" s="34">
        <f>Таблица1[[#This Row],[Сумма 
Продажа]]-Таблица1[[#This Row],[Сумма 
Приход]]-Таблица1[[#This Row],[Авто услу ]]</f>
        <v>1088400</v>
      </c>
      <c r="S203" s="34">
        <v>2400000</v>
      </c>
      <c r="T203" s="34">
        <f>Таблица1[[#This Row],[Сумма 
Продажа]]-IF(Таблица1[[#This Row],[Расход 
Авто]]="Клиент",N(Таблица1[[#This Row],[Авто услу ]]),0)</f>
        <v>20582400</v>
      </c>
      <c r="U2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3" s="265" t="str">
        <f>IFERROR(INDEX(Мижозлар[Агент],MATCH($D203,Мижозлар[Расмий ном],0)),"")</f>
        <v>Зафар ога</v>
      </c>
    </row>
    <row r="204" spans="1:23" ht="14.25" x14ac:dyDescent="0.2">
      <c r="A204" s="21" t="s">
        <v>44</v>
      </c>
      <c r="B204" s="135" t="s">
        <v>26</v>
      </c>
      <c r="C204" s="141" t="s">
        <v>21</v>
      </c>
      <c r="D204" s="141" t="s">
        <v>59</v>
      </c>
      <c r="E204" s="136">
        <v>46239</v>
      </c>
      <c r="F204" s="135" t="s">
        <v>432</v>
      </c>
      <c r="G204" s="34" t="s">
        <v>473</v>
      </c>
      <c r="H204" s="142">
        <v>32.832000000000001</v>
      </c>
      <c r="I204" s="34">
        <v>593750</v>
      </c>
      <c r="J204" s="34">
        <f>Таблица1[[#This Row],[Блок
 Куб]]*Таблица1[[#This Row],[Цена 
Приход]]</f>
        <v>19494000</v>
      </c>
      <c r="K204" s="34">
        <v>19</v>
      </c>
      <c r="L204" s="34">
        <v>130000</v>
      </c>
      <c r="M204" s="34">
        <f>Таблица1[[#This Row],[Поддон
Шт]]*Таблица1[[#This Row],[Цена
Поддон]]</f>
        <v>2470000</v>
      </c>
      <c r="N204" s="34">
        <f>Таблица1[[#This Row],[Сумма 
Приход]]+Таблица1[[#This Row],[Сумма Поддон]]</f>
        <v>21964000</v>
      </c>
      <c r="O204" s="34">
        <v>720000</v>
      </c>
      <c r="P204" s="34">
        <f>Таблица1[[#This Row],[Блок
 Куб]]*Таблица1[[#This Row],[Цена
 Продажа]]</f>
        <v>23639040</v>
      </c>
      <c r="Q204" s="34" t="s">
        <v>240</v>
      </c>
      <c r="R204" s="34">
        <f>Таблица1[[#This Row],[Сумма 
Продажа]]-Таблица1[[#This Row],[Сумма 
Приход]]-Таблица1[[#This Row],[Авто услу ]]</f>
        <v>1745040</v>
      </c>
      <c r="S204" s="34">
        <v>2400000</v>
      </c>
      <c r="T204" s="34">
        <f>Таблица1[[#This Row],[Сумма 
Продажа]]-IF(Таблица1[[#This Row],[Расход 
Авто]]="Клиент",N(Таблица1[[#This Row],[Авто услу ]]),0)</f>
        <v>21239040</v>
      </c>
      <c r="U2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4" s="265" t="str">
        <f>IFERROR(INDEX(Мижозлар[Агент],MATCH($D204,Мижозлар[Расмий ном],0)),"")</f>
        <v>Арслон ога</v>
      </c>
    </row>
    <row r="205" spans="1:23" ht="14.25" x14ac:dyDescent="0.2">
      <c r="A205" s="21" t="s">
        <v>44</v>
      </c>
      <c r="B205" s="135" t="s">
        <v>26</v>
      </c>
      <c r="C205" s="141" t="s">
        <v>29</v>
      </c>
      <c r="D205" s="141" t="s">
        <v>89</v>
      </c>
      <c r="E205" s="136">
        <v>46239</v>
      </c>
      <c r="F205" s="135" t="s">
        <v>499</v>
      </c>
      <c r="G205" s="34" t="s">
        <v>355</v>
      </c>
      <c r="H205" s="142">
        <v>32.832000000000001</v>
      </c>
      <c r="I205" s="34">
        <v>593750</v>
      </c>
      <c r="J205" s="34">
        <f>Таблица1[[#This Row],[Блок
 Куб]]*Таблица1[[#This Row],[Цена 
Приход]]</f>
        <v>19494000</v>
      </c>
      <c r="K205" s="34">
        <v>19</v>
      </c>
      <c r="L205" s="34">
        <v>130000</v>
      </c>
      <c r="M205" s="34">
        <f>Таблица1[[#This Row],[Поддон
Шт]]*Таблица1[[#This Row],[Цена
Поддон]]</f>
        <v>2470000</v>
      </c>
      <c r="N205" s="34">
        <f>Таблица1[[#This Row],[Сумма 
Приход]]+Таблица1[[#This Row],[Сумма Поддон]]</f>
        <v>21964000</v>
      </c>
      <c r="O205" s="34">
        <v>700000</v>
      </c>
      <c r="P205" s="34">
        <f>Таблица1[[#This Row],[Блок
 Куб]]*Таблица1[[#This Row],[Цена
 Продажа]]</f>
        <v>22982400</v>
      </c>
      <c r="Q205" s="34" t="s">
        <v>240</v>
      </c>
      <c r="R205" s="34">
        <f>Таблица1[[#This Row],[Сумма 
Продажа]]-Таблица1[[#This Row],[Сумма 
Приход]]-Таблица1[[#This Row],[Авто услу ]]</f>
        <v>988400</v>
      </c>
      <c r="S205" s="34">
        <v>2500000</v>
      </c>
      <c r="T205" s="34">
        <f>Таблица1[[#This Row],[Сумма 
Продажа]]-IF(Таблица1[[#This Row],[Расход 
Авто]]="Клиент",N(Таблица1[[#This Row],[Авто услу ]]),0)</f>
        <v>20482400</v>
      </c>
      <c r="U2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5" s="265" t="str">
        <f>IFERROR(INDEX(Мижозлар[Агент],MATCH($D205,Мижозлар[Расмий ном],0)),"")</f>
        <v>Зафар ога</v>
      </c>
    </row>
    <row r="206" spans="1:23" ht="14.25" x14ac:dyDescent="0.2">
      <c r="A206" s="21" t="s">
        <v>44</v>
      </c>
      <c r="B206" s="135" t="s">
        <v>26</v>
      </c>
      <c r="C206" s="141" t="s">
        <v>25</v>
      </c>
      <c r="D206" s="141" t="s">
        <v>53</v>
      </c>
      <c r="E206" s="136">
        <v>46239</v>
      </c>
      <c r="F206" s="135" t="s">
        <v>500</v>
      </c>
      <c r="G206" s="34" t="s">
        <v>355</v>
      </c>
      <c r="H206" s="142">
        <v>32.832000000000001</v>
      </c>
      <c r="I206" s="34">
        <v>593750</v>
      </c>
      <c r="J206" s="34">
        <f>Таблица1[[#This Row],[Блок
 Куб]]*Таблица1[[#This Row],[Цена 
Приход]]</f>
        <v>19494000</v>
      </c>
      <c r="K206" s="34">
        <v>19</v>
      </c>
      <c r="L206" s="34">
        <v>130000</v>
      </c>
      <c r="M206" s="34">
        <f>Таблица1[[#This Row],[Поддон
Шт]]*Таблица1[[#This Row],[Цена
Поддон]]</f>
        <v>2470000</v>
      </c>
      <c r="N206" s="34">
        <f>Таблица1[[#This Row],[Сумма 
Приход]]+Таблица1[[#This Row],[Сумма Поддон]]</f>
        <v>21964000</v>
      </c>
      <c r="O206" s="34">
        <v>700000</v>
      </c>
      <c r="P206" s="34">
        <f>Таблица1[[#This Row],[Блок
 Куб]]*Таблица1[[#This Row],[Цена
 Продажа]]</f>
        <v>22982400</v>
      </c>
      <c r="Q206" s="34" t="s">
        <v>356</v>
      </c>
      <c r="R206" s="34">
        <f>Таблица1[[#This Row],[Сумма 
Продажа]]-Таблица1[[#This Row],[Сумма 
Приход]]-Таблица1[[#This Row],[Авто услу ]]</f>
        <v>1088400</v>
      </c>
      <c r="S206" s="34">
        <v>2400000</v>
      </c>
      <c r="T206" s="34">
        <f>Таблица1[[#This Row],[Сумма 
Продажа]]-IF(Таблица1[[#This Row],[Расход 
Авто]]="Клиент",N(Таблица1[[#This Row],[Авто услу ]]),0)</f>
        <v>22982400</v>
      </c>
      <c r="U2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6" s="265" t="str">
        <f>IFERROR(INDEX(Мижозлар[Агент],MATCH($D206,Мижозлар[Расмий ном],0)),"")</f>
        <v>Жамол 22-22</v>
      </c>
    </row>
    <row r="207" spans="1:23" ht="14.25" x14ac:dyDescent="0.2">
      <c r="A207" s="21" t="s">
        <v>44</v>
      </c>
      <c r="B207" s="135" t="s">
        <v>26</v>
      </c>
      <c r="C207" s="141" t="s">
        <v>25</v>
      </c>
      <c r="D207" s="141" t="s">
        <v>53</v>
      </c>
      <c r="E207" s="136">
        <v>46239</v>
      </c>
      <c r="F207" s="135" t="s">
        <v>410</v>
      </c>
      <c r="G207" s="34" t="s">
        <v>368</v>
      </c>
      <c r="H207" s="142">
        <v>8.64</v>
      </c>
      <c r="I207" s="34">
        <v>593750</v>
      </c>
      <c r="J207" s="34">
        <f>Таблица1[[#This Row],[Блок
 Куб]]*Таблица1[[#This Row],[Цена 
Приход]]</f>
        <v>5130000</v>
      </c>
      <c r="K207" s="34">
        <v>5</v>
      </c>
      <c r="L207" s="34">
        <v>130000</v>
      </c>
      <c r="M207" s="34">
        <f>Таблица1[[#This Row],[Поддон
Шт]]*Таблица1[[#This Row],[Цена
Поддон]]</f>
        <v>650000</v>
      </c>
      <c r="N207" s="34">
        <f>Таблица1[[#This Row],[Сумма 
Приход]]+Таблица1[[#This Row],[Сумма Поддон]]</f>
        <v>5780000</v>
      </c>
      <c r="O207" s="34">
        <v>700000</v>
      </c>
      <c r="P207" s="34">
        <f>Таблица1[[#This Row],[Блок
 Куб]]*Таблица1[[#This Row],[Цена
 Продажа]]</f>
        <v>6048000</v>
      </c>
      <c r="Q207" s="34" t="s">
        <v>356</v>
      </c>
      <c r="R207" s="34">
        <f>Таблица1[[#This Row],[Сумма 
Продажа]]-Таблица1[[#This Row],[Сумма 
Приход]]-Таблица1[[#This Row],[Авто услу ]]</f>
        <v>286421.05599999998</v>
      </c>
      <c r="S207" s="34">
        <v>631578.94400000002</v>
      </c>
      <c r="T207" s="34">
        <f>Таблица1[[#This Row],[Сумма 
Продажа]]-IF(Таблица1[[#This Row],[Расход 
Авто]]="Клиент",N(Таблица1[[#This Row],[Авто услу ]]),0)</f>
        <v>6048000</v>
      </c>
      <c r="U2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7" s="265" t="str">
        <f>IFERROR(INDEX(Мижозлар[Агент],MATCH($D207,Мижозлар[Расмий ном],0)),"")</f>
        <v>Жамол 22-22</v>
      </c>
    </row>
    <row r="208" spans="1:23" ht="14.25" x14ac:dyDescent="0.2">
      <c r="A208" s="21" t="s">
        <v>44</v>
      </c>
      <c r="B208" s="135" t="s">
        <v>26</v>
      </c>
      <c r="C208" s="141" t="s">
        <v>25</v>
      </c>
      <c r="D208" s="141" t="s">
        <v>53</v>
      </c>
      <c r="E208" s="136">
        <v>46239</v>
      </c>
      <c r="F208" s="135" t="s">
        <v>410</v>
      </c>
      <c r="G208" s="34" t="s">
        <v>355</v>
      </c>
      <c r="H208" s="142">
        <v>24.192</v>
      </c>
      <c r="I208" s="34">
        <v>593750</v>
      </c>
      <c r="J208" s="34">
        <f>Таблица1[[#This Row],[Блок
 Куб]]*Таблица1[[#This Row],[Цена 
Приход]]</f>
        <v>14364000</v>
      </c>
      <c r="K208" s="34">
        <v>14</v>
      </c>
      <c r="L208" s="34">
        <v>130000</v>
      </c>
      <c r="M208" s="34">
        <f>Таблица1[[#This Row],[Поддон
Шт]]*Таблица1[[#This Row],[Цена
Поддон]]</f>
        <v>1820000</v>
      </c>
      <c r="N208" s="34">
        <f>Таблица1[[#This Row],[Сумма 
Приход]]+Таблица1[[#This Row],[Сумма Поддон]]</f>
        <v>16184000</v>
      </c>
      <c r="O208" s="34">
        <v>700000</v>
      </c>
      <c r="P208" s="34">
        <f>Таблица1[[#This Row],[Блок
 Куб]]*Таблица1[[#This Row],[Цена
 Продажа]]</f>
        <v>16934400</v>
      </c>
      <c r="Q208" s="34" t="s">
        <v>356</v>
      </c>
      <c r="R208" s="34">
        <f>Таблица1[[#This Row],[Сумма 
Продажа]]-Таблица1[[#This Row],[Сумма 
Приход]]-Таблица1[[#This Row],[Авто услу ]]</f>
        <v>801978.95399999991</v>
      </c>
      <c r="S208" s="34">
        <v>1768421.0460000001</v>
      </c>
      <c r="T208" s="34">
        <f>Таблица1[[#This Row],[Сумма 
Продажа]]-IF(Таблица1[[#This Row],[Расход 
Авто]]="Клиент",N(Таблица1[[#This Row],[Авто услу ]]),0)</f>
        <v>16934400</v>
      </c>
      <c r="U2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8" s="265" t="str">
        <f>IFERROR(INDEX(Мижозлар[Агент],MATCH($D208,Мижозлар[Расмий ном],0)),"")</f>
        <v>Жамол 22-22</v>
      </c>
    </row>
    <row r="209" spans="1:23" ht="14.25" x14ac:dyDescent="0.2">
      <c r="A209" s="21" t="s">
        <v>44</v>
      </c>
      <c r="B209" s="135" t="s">
        <v>26</v>
      </c>
      <c r="C209" s="141" t="s">
        <v>25</v>
      </c>
      <c r="D209" s="141" t="s">
        <v>53</v>
      </c>
      <c r="E209" s="136">
        <v>46239</v>
      </c>
      <c r="F209" s="135" t="s">
        <v>501</v>
      </c>
      <c r="G209" s="34" t="s">
        <v>355</v>
      </c>
      <c r="H209" s="142">
        <v>32.832000000000001</v>
      </c>
      <c r="I209" s="34">
        <v>593750</v>
      </c>
      <c r="J209" s="34">
        <f>Таблица1[[#This Row],[Блок
 Куб]]*Таблица1[[#This Row],[Цена 
Приход]]</f>
        <v>19494000</v>
      </c>
      <c r="K209" s="34">
        <v>19</v>
      </c>
      <c r="L209" s="34">
        <v>130000</v>
      </c>
      <c r="M209" s="34">
        <f>Таблица1[[#This Row],[Поддон
Шт]]*Таблица1[[#This Row],[Цена
Поддон]]</f>
        <v>2470000</v>
      </c>
      <c r="N209" s="34">
        <f>Таблица1[[#This Row],[Сумма 
Приход]]+Таблица1[[#This Row],[Сумма Поддон]]</f>
        <v>21964000</v>
      </c>
      <c r="O209" s="34">
        <v>700000</v>
      </c>
      <c r="P209" s="34">
        <f>Таблица1[[#This Row],[Блок
 Куб]]*Таблица1[[#This Row],[Цена
 Продажа]]</f>
        <v>22982400</v>
      </c>
      <c r="Q209" s="34" t="s">
        <v>356</v>
      </c>
      <c r="R209" s="34">
        <f>Таблица1[[#This Row],[Сумма 
Продажа]]-Таблица1[[#This Row],[Сумма 
Приход]]-Таблица1[[#This Row],[Авто услу ]]</f>
        <v>1088400</v>
      </c>
      <c r="S209" s="34">
        <v>2400000</v>
      </c>
      <c r="T209" s="34">
        <f>Таблица1[[#This Row],[Сумма 
Продажа]]-IF(Таблица1[[#This Row],[Расход 
Авто]]="Клиент",N(Таблица1[[#This Row],[Авто услу ]]),0)</f>
        <v>22982400</v>
      </c>
      <c r="U2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09" s="265" t="str">
        <f>IFERROR(INDEX(Мижозлар[Агент],MATCH($D209,Мижозлар[Расмий ном],0)),"")</f>
        <v>Жамол 22-22</v>
      </c>
    </row>
    <row r="210" spans="1:23" ht="14.25" x14ac:dyDescent="0.2">
      <c r="A210" s="21" t="s">
        <v>44</v>
      </c>
      <c r="B210" s="135" t="s">
        <v>26</v>
      </c>
      <c r="C210" s="141" t="s">
        <v>36</v>
      </c>
      <c r="D210" s="141" t="s">
        <v>78</v>
      </c>
      <c r="E210" s="136">
        <v>46240</v>
      </c>
      <c r="F210" s="135" t="s">
        <v>479</v>
      </c>
      <c r="G210" s="34" t="s">
        <v>355</v>
      </c>
      <c r="H210" s="142">
        <v>32.832000000000001</v>
      </c>
      <c r="I210" s="34">
        <v>593750</v>
      </c>
      <c r="J210" s="34">
        <f>Таблица1[[#This Row],[Блок
 Куб]]*Таблица1[[#This Row],[Цена 
Приход]]</f>
        <v>19494000</v>
      </c>
      <c r="K210" s="34">
        <v>19</v>
      </c>
      <c r="L210" s="34">
        <v>130000</v>
      </c>
      <c r="M210" s="34">
        <f>Таблица1[[#This Row],[Поддон
Шт]]*Таблица1[[#This Row],[Цена
Поддон]]</f>
        <v>2470000</v>
      </c>
      <c r="N210" s="34">
        <f>Таблица1[[#This Row],[Сумма 
Приход]]+Таблица1[[#This Row],[Сумма Поддон]]</f>
        <v>21964000</v>
      </c>
      <c r="O210" s="34">
        <v>700000</v>
      </c>
      <c r="P210" s="34">
        <f>Таблица1[[#This Row],[Блок
 Куб]]*Таблица1[[#This Row],[Цена
 Продажа]]</f>
        <v>22982400</v>
      </c>
      <c r="Q210" s="34" t="s">
        <v>240</v>
      </c>
      <c r="R210" s="34">
        <f>Таблица1[[#This Row],[Сумма 
Продажа]]-Таблица1[[#This Row],[Сумма 
Приход]]-Таблица1[[#This Row],[Авто услу ]]</f>
        <v>988400</v>
      </c>
      <c r="S210" s="34">
        <v>2500000</v>
      </c>
      <c r="T210" s="34">
        <f>Таблица1[[#This Row],[Сумма 
Продажа]]-IF(Таблица1[[#This Row],[Расход 
Авто]]="Клиент",N(Таблица1[[#This Row],[Авто услу ]]),0)</f>
        <v>20482400</v>
      </c>
      <c r="U2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0" s="265" t="str">
        <f>IFERROR(INDEX(Мижозлар[Агент],MATCH($D210,Мижозлар[Расмий ном],0)),"")</f>
        <v>Темур</v>
      </c>
    </row>
    <row r="211" spans="1:23" ht="14.25" x14ac:dyDescent="0.2">
      <c r="A211" s="21" t="s">
        <v>44</v>
      </c>
      <c r="B211" s="135" t="s">
        <v>26</v>
      </c>
      <c r="C211" s="141" t="s">
        <v>32</v>
      </c>
      <c r="D211" s="141" t="s">
        <v>65</v>
      </c>
      <c r="E211" s="136">
        <v>46240</v>
      </c>
      <c r="F211" s="135" t="s">
        <v>426</v>
      </c>
      <c r="G211" s="34" t="s">
        <v>355</v>
      </c>
      <c r="H211" s="142">
        <v>32.832000000000001</v>
      </c>
      <c r="I211" s="34">
        <v>593750</v>
      </c>
      <c r="J211" s="34">
        <f>Таблица1[[#This Row],[Блок
 Куб]]*Таблица1[[#This Row],[Цена 
Приход]]</f>
        <v>19494000</v>
      </c>
      <c r="K211" s="34">
        <v>19</v>
      </c>
      <c r="L211" s="34">
        <v>130000</v>
      </c>
      <c r="M211" s="34">
        <f>Таблица1[[#This Row],[Поддон
Шт]]*Таблица1[[#This Row],[Цена
Поддон]]</f>
        <v>2470000</v>
      </c>
      <c r="N211" s="34">
        <f>Таблица1[[#This Row],[Сумма 
Приход]]+Таблица1[[#This Row],[Сумма Поддон]]</f>
        <v>21964000</v>
      </c>
      <c r="O211" s="34">
        <v>708711</v>
      </c>
      <c r="P211" s="34">
        <f>Таблица1[[#This Row],[Блок
 Куб]]*Таблица1[[#This Row],[Цена
 Продажа]]</f>
        <v>23268399.552000001</v>
      </c>
      <c r="Q211" s="34" t="s">
        <v>240</v>
      </c>
      <c r="R211" s="34">
        <f>Таблица1[[#This Row],[Сумма 
Продажа]]-Таблица1[[#This Row],[Сумма 
Приход]]-Таблица1[[#This Row],[Авто услу ]]</f>
        <v>1374399.5520000011</v>
      </c>
      <c r="S211" s="34">
        <v>2400000</v>
      </c>
      <c r="T211" s="34">
        <f>Таблица1[[#This Row],[Сумма 
Продажа]]-IF(Таблица1[[#This Row],[Расход 
Авто]]="Клиент",N(Таблица1[[#This Row],[Авто услу ]]),0)</f>
        <v>20868399.552000001</v>
      </c>
      <c r="U2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1" s="265" t="str">
        <f>IFERROR(INDEX(Мижозлар[Агент],MATCH($D211,Мижозлар[Расмий ном],0)),"")</f>
        <v>Сардор ога</v>
      </c>
    </row>
    <row r="212" spans="1:23" x14ac:dyDescent="0.2">
      <c r="A212" s="21" t="s">
        <v>44</v>
      </c>
      <c r="B212" s="135" t="s">
        <v>26</v>
      </c>
      <c r="C212" s="141" t="s">
        <v>36</v>
      </c>
      <c r="D212" s="141" t="s">
        <v>82</v>
      </c>
      <c r="E212" s="136">
        <v>46240</v>
      </c>
      <c r="F212" s="135" t="s">
        <v>380</v>
      </c>
      <c r="G212" s="34" t="s">
        <v>355</v>
      </c>
      <c r="H212" s="142">
        <v>32.832000000000001</v>
      </c>
      <c r="I212" s="34">
        <v>593750</v>
      </c>
      <c r="J212" s="34">
        <f>Таблица1[[#This Row],[Блок
 Куб]]*Таблица1[[#This Row],[Цена 
Приход]]</f>
        <v>19494000</v>
      </c>
      <c r="K212" s="34">
        <v>19</v>
      </c>
      <c r="L212" s="34">
        <v>130000</v>
      </c>
      <c r="M212" s="34">
        <f>Таблица1[[#This Row],[Поддон
Шт]]*Таблица1[[#This Row],[Цена
Поддон]]</f>
        <v>2470000</v>
      </c>
      <c r="N212" s="34">
        <f>Таблица1[[#This Row],[Сумма 
Приход]]+Таблица1[[#This Row],[Сумма Поддон]]</f>
        <v>21964000</v>
      </c>
      <c r="O212" s="34">
        <v>720000</v>
      </c>
      <c r="P212" s="34">
        <f>Таблица1[[#This Row],[Блок
 Куб]]*Таблица1[[#This Row],[Цена
 Продажа]]</f>
        <v>23639040</v>
      </c>
      <c r="Q212" s="34" t="s">
        <v>240</v>
      </c>
      <c r="R212" s="34">
        <f>Таблица1[[#This Row],[Сумма 
Продажа]]-Таблица1[[#This Row],[Сумма 
Приход]]-Таблица1[[#This Row],[Авто услу ]]</f>
        <v>1745040</v>
      </c>
      <c r="S212" s="34">
        <v>2400000</v>
      </c>
      <c r="T212" s="320">
        <f>Таблица1[[#This Row],[Сумма 
Продажа]]-IF(Таблица1[[#This Row],[Расход 
Авто]]="Клиент",N(Таблица1[[#This Row],[Авто услу ]]),0)</f>
        <v>21239040</v>
      </c>
      <c r="U2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2" s="265" t="str">
        <f>IFERROR(INDEX(Мижозлар[Агент],MATCH($D212,Мижозлар[Расмий ном],0)),"")</f>
        <v>Темур</v>
      </c>
    </row>
    <row r="213" spans="1:23" x14ac:dyDescent="0.2">
      <c r="A213" s="21" t="s">
        <v>44</v>
      </c>
      <c r="B213" s="135" t="s">
        <v>26</v>
      </c>
      <c r="C213" s="141" t="s">
        <v>40</v>
      </c>
      <c r="D213" s="141" t="s">
        <v>19</v>
      </c>
      <c r="E213" s="136">
        <v>46240</v>
      </c>
      <c r="F213" s="135" t="s">
        <v>421</v>
      </c>
      <c r="G213" s="34" t="s">
        <v>355</v>
      </c>
      <c r="H213" s="189">
        <v>8.64</v>
      </c>
      <c r="I213" s="190">
        <v>593750</v>
      </c>
      <c r="J213" s="34">
        <f>Таблица1[[#This Row],[Блок
 Куб]]*Таблица1[[#This Row],[Цена 
Приход]]</f>
        <v>5130000</v>
      </c>
      <c r="K213" s="34">
        <v>5</v>
      </c>
      <c r="L213" s="34">
        <v>130000</v>
      </c>
      <c r="M213" s="34">
        <f>Таблица1[[#This Row],[Поддон
Шт]]*Таблица1[[#This Row],[Цена
Поддон]]</f>
        <v>650000</v>
      </c>
      <c r="N213" s="34">
        <f>Таблица1[[#This Row],[Сумма 
Приход]]+Таблица1[[#This Row],[Сумма Поддон]]</f>
        <v>5780000</v>
      </c>
      <c r="O213" s="34">
        <v>720000</v>
      </c>
      <c r="P213" s="34">
        <f>Таблица1[[#This Row],[Блок
 Куб]]*Таблица1[[#This Row],[Цена
 Продажа]]</f>
        <v>6220800</v>
      </c>
      <c r="Q213" s="34" t="s">
        <v>356</v>
      </c>
      <c r="R213" s="34">
        <f>Таблица1[[#This Row],[Сумма 
Продажа]]-Таблица1[[#This Row],[Сумма 
Приход]]-Таблица1[[#This Row],[Авто услу ]]</f>
        <v>460800</v>
      </c>
      <c r="S213" s="34">
        <v>630000</v>
      </c>
      <c r="T213" s="34">
        <f>Таблица1[[#This Row],[Сумма 
Продажа]]-IF(Таблица1[[#This Row],[Расход 
Авто]]="Клиент",N(Таблица1[[#This Row],[Авто услу ]]),0)</f>
        <v>6220800</v>
      </c>
      <c r="U2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3" s="265" t="str">
        <f>IFERROR(INDEX(Мижозлар[Агент],MATCH($D213,Мижозлар[Расмий ном],0)),"")</f>
        <v>Шохрух ога</v>
      </c>
    </row>
    <row r="214" spans="1:23" ht="14.25" x14ac:dyDescent="0.2">
      <c r="A214" s="21" t="s">
        <v>44</v>
      </c>
      <c r="B214" s="135" t="s">
        <v>26</v>
      </c>
      <c r="C214" s="141" t="s">
        <v>32</v>
      </c>
      <c r="D214" s="141" t="s">
        <v>65</v>
      </c>
      <c r="E214" s="136">
        <v>46240</v>
      </c>
      <c r="F214" s="135" t="s">
        <v>421</v>
      </c>
      <c r="G214" s="34" t="s">
        <v>355</v>
      </c>
      <c r="H214" s="142">
        <v>24.192</v>
      </c>
      <c r="I214" s="34">
        <v>593750</v>
      </c>
      <c r="J214" s="34">
        <f>Таблица1[[#This Row],[Блок
 Куб]]*Таблица1[[#This Row],[Цена 
Приход]]</f>
        <v>14364000</v>
      </c>
      <c r="K214" s="34">
        <v>14</v>
      </c>
      <c r="L214" s="34">
        <v>130000</v>
      </c>
      <c r="M214" s="34">
        <f>Таблица1[[#This Row],[Поддон
Шт]]*Таблица1[[#This Row],[Цена
Поддон]]</f>
        <v>1820000</v>
      </c>
      <c r="N214" s="34">
        <f>Таблица1[[#This Row],[Сумма 
Приход]]+Таблица1[[#This Row],[Сумма Поддон]]</f>
        <v>16184000</v>
      </c>
      <c r="O214" s="34">
        <v>720000</v>
      </c>
      <c r="P214" s="34">
        <f>Таблица1[[#This Row],[Блок
 Куб]]*Таблица1[[#This Row],[Цена
 Продажа]]</f>
        <v>17418240</v>
      </c>
      <c r="Q214" s="34" t="s">
        <v>240</v>
      </c>
      <c r="R214" s="34">
        <f>Таблица1[[#This Row],[Сумма 
Продажа]]-Таблица1[[#This Row],[Сумма 
Приход]]-Таблица1[[#This Row],[Авто услу ]]</f>
        <v>1284240</v>
      </c>
      <c r="S214" s="34">
        <v>1770000</v>
      </c>
      <c r="T214" s="34">
        <f>Таблица1[[#This Row],[Сумма 
Продажа]]-IF(Таблица1[[#This Row],[Расход 
Авто]]="Клиент",N(Таблица1[[#This Row],[Авто услу ]]),0)</f>
        <v>15648240</v>
      </c>
      <c r="U2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4" s="265" t="str">
        <f>IFERROR(INDEX(Мижозлар[Агент],MATCH($D214,Мижозлар[Расмий ном],0)),"")</f>
        <v>Сардор ога</v>
      </c>
    </row>
    <row r="215" spans="1:23" ht="14.25" x14ac:dyDescent="0.2">
      <c r="A215" s="21" t="s">
        <v>44</v>
      </c>
      <c r="B215" s="135" t="s">
        <v>26</v>
      </c>
      <c r="C215" s="141" t="s">
        <v>21</v>
      </c>
      <c r="D215" s="141" t="s">
        <v>59</v>
      </c>
      <c r="E215" s="136">
        <v>46240</v>
      </c>
      <c r="F215" s="135" t="s">
        <v>502</v>
      </c>
      <c r="G215" s="34" t="s">
        <v>473</v>
      </c>
      <c r="H215" s="142">
        <v>32.832000000000001</v>
      </c>
      <c r="I215" s="34">
        <v>593750</v>
      </c>
      <c r="J215" s="34">
        <f>Таблица1[[#This Row],[Блок
 Куб]]*Таблица1[[#This Row],[Цена 
Приход]]</f>
        <v>19494000</v>
      </c>
      <c r="K215" s="34">
        <v>19</v>
      </c>
      <c r="L215" s="34">
        <v>130000</v>
      </c>
      <c r="M215" s="34">
        <f>Таблица1[[#This Row],[Поддон
Шт]]*Таблица1[[#This Row],[Цена
Поддон]]</f>
        <v>2470000</v>
      </c>
      <c r="N215" s="34">
        <f>Таблица1[[#This Row],[Сумма 
Приход]]+Таблица1[[#This Row],[Сумма Поддон]]</f>
        <v>21964000</v>
      </c>
      <c r="O215" s="34">
        <v>720000</v>
      </c>
      <c r="P215" s="34">
        <f>Таблица1[[#This Row],[Блок
 Куб]]*Таблица1[[#This Row],[Цена
 Продажа]]</f>
        <v>23639040</v>
      </c>
      <c r="Q215" s="34" t="s">
        <v>240</v>
      </c>
      <c r="R215" s="34">
        <f>Таблица1[[#This Row],[Сумма 
Продажа]]-Таблица1[[#This Row],[Сумма 
Приход]]-Таблица1[[#This Row],[Авто услу ]]</f>
        <v>1745040</v>
      </c>
      <c r="S215" s="34">
        <v>2400000</v>
      </c>
      <c r="T215" s="34">
        <f>Таблица1[[#This Row],[Сумма 
Продажа]]-IF(Таблица1[[#This Row],[Расход 
Авто]]="Клиент",N(Таблица1[[#This Row],[Авто услу ]]),0)</f>
        <v>21239040</v>
      </c>
      <c r="U2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5" s="265" t="str">
        <f>IFERROR(INDEX(Мижозлар[Агент],MATCH($D215,Мижозлар[Расмий ном],0)),"")</f>
        <v>Арслон ога</v>
      </c>
    </row>
    <row r="216" spans="1:23" ht="14.25" x14ac:dyDescent="0.2">
      <c r="A216" s="21" t="s">
        <v>44</v>
      </c>
      <c r="B216" s="135" t="s">
        <v>26</v>
      </c>
      <c r="C216" s="141" t="s">
        <v>29</v>
      </c>
      <c r="D216" s="141" t="s">
        <v>98</v>
      </c>
      <c r="E216" s="136">
        <v>46241</v>
      </c>
      <c r="F216" s="135" t="s">
        <v>382</v>
      </c>
      <c r="G216" s="34" t="s">
        <v>355</v>
      </c>
      <c r="H216" s="142">
        <v>32.832000000000001</v>
      </c>
      <c r="I216" s="34">
        <v>593750</v>
      </c>
      <c r="J216" s="34">
        <f>Таблица1[[#This Row],[Блок
 Куб]]*Таблица1[[#This Row],[Цена 
Приход]]</f>
        <v>19494000</v>
      </c>
      <c r="K216" s="34">
        <v>19</v>
      </c>
      <c r="L216" s="34">
        <v>130000</v>
      </c>
      <c r="M216" s="34">
        <f>Таблица1[[#This Row],[Поддон
Шт]]*Таблица1[[#This Row],[Цена
Поддон]]</f>
        <v>2470000</v>
      </c>
      <c r="N216" s="34">
        <f>Таблица1[[#This Row],[Сумма 
Приход]]+Таблица1[[#This Row],[Сумма Поддон]]</f>
        <v>21964000</v>
      </c>
      <c r="O216" s="34">
        <v>700000</v>
      </c>
      <c r="P216" s="34">
        <f>Таблица1[[#This Row],[Блок
 Куб]]*Таблица1[[#This Row],[Цена
 Продажа]]</f>
        <v>22982400</v>
      </c>
      <c r="Q216" s="34" t="s">
        <v>240</v>
      </c>
      <c r="R216" s="34">
        <f>Таблица1[[#This Row],[Сумма 
Продажа]]-Таблица1[[#This Row],[Сумма 
Приход]]-Таблица1[[#This Row],[Авто услу ]]</f>
        <v>1088400</v>
      </c>
      <c r="S216" s="34">
        <v>2400000</v>
      </c>
      <c r="T216" s="34">
        <f>Таблица1[[#This Row],[Сумма 
Продажа]]-IF(Таблица1[[#This Row],[Расход 
Авто]]="Клиент",N(Таблица1[[#This Row],[Авто услу ]]),0)</f>
        <v>20582400</v>
      </c>
      <c r="U2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6" s="265" t="str">
        <f>IFERROR(INDEX(Мижозлар[Агент],MATCH($D216,Мижозлар[Расмий ном],0)),"")</f>
        <v>Зафар ога</v>
      </c>
    </row>
    <row r="217" spans="1:23" ht="14.25" x14ac:dyDescent="0.2">
      <c r="A217" s="21" t="s">
        <v>44</v>
      </c>
      <c r="B217" s="135" t="s">
        <v>26</v>
      </c>
      <c r="C217" s="141" t="s">
        <v>29</v>
      </c>
      <c r="D217" s="141" t="s">
        <v>67</v>
      </c>
      <c r="E217" s="136">
        <v>46241</v>
      </c>
      <c r="F217" s="135" t="s">
        <v>503</v>
      </c>
      <c r="G217" s="34" t="s">
        <v>368</v>
      </c>
      <c r="H217" s="142">
        <v>32.832000000000001</v>
      </c>
      <c r="I217" s="34">
        <v>593750</v>
      </c>
      <c r="J217" s="34">
        <f>Таблица1[[#This Row],[Блок
 Куб]]*Таблица1[[#This Row],[Цена 
Приход]]</f>
        <v>19494000</v>
      </c>
      <c r="K217" s="34">
        <v>19</v>
      </c>
      <c r="L217" s="34">
        <v>130000</v>
      </c>
      <c r="M217" s="34">
        <f>Таблица1[[#This Row],[Поддон
Шт]]*Таблица1[[#This Row],[Цена
Поддон]]</f>
        <v>2470000</v>
      </c>
      <c r="N217" s="34">
        <f>Таблица1[[#This Row],[Сумма 
Приход]]+Таблица1[[#This Row],[Сумма Поддон]]</f>
        <v>21964000</v>
      </c>
      <c r="O217" s="34">
        <v>720000</v>
      </c>
      <c r="P217" s="34">
        <f>Таблица1[[#This Row],[Блок
 Куб]]*Таблица1[[#This Row],[Цена
 Продажа]]</f>
        <v>23639040</v>
      </c>
      <c r="Q217" s="34" t="s">
        <v>240</v>
      </c>
      <c r="R217" s="34">
        <f>Таблица1[[#This Row],[Сумма 
Продажа]]-Таблица1[[#This Row],[Сумма 
Приход]]-Таблица1[[#This Row],[Авто услу ]]</f>
        <v>1745040</v>
      </c>
      <c r="S217" s="34">
        <v>2400000</v>
      </c>
      <c r="T217" s="34">
        <f>Таблица1[[#This Row],[Сумма 
Продажа]]-IF(Таблица1[[#This Row],[Расход 
Авто]]="Клиент",N(Таблица1[[#This Row],[Авто услу ]]),0)</f>
        <v>21239040</v>
      </c>
      <c r="U2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7" s="265" t="str">
        <f>IFERROR(INDEX(Мижозлар[Агент],MATCH($D217,Мижозлар[Расмий ном],0)),"")</f>
        <v>Зафар ога</v>
      </c>
    </row>
    <row r="218" spans="1:23" x14ac:dyDescent="0.2">
      <c r="A218" s="21" t="s">
        <v>44</v>
      </c>
      <c r="B218" s="135" t="s">
        <v>26</v>
      </c>
      <c r="C218" s="141" t="s">
        <v>36</v>
      </c>
      <c r="D218" s="141" t="s">
        <v>82</v>
      </c>
      <c r="E218" s="136">
        <v>46241</v>
      </c>
      <c r="F218" s="135" t="s">
        <v>432</v>
      </c>
      <c r="G218" s="34" t="s">
        <v>355</v>
      </c>
      <c r="H218" s="142">
        <v>32.832000000000001</v>
      </c>
      <c r="I218" s="34">
        <v>593750</v>
      </c>
      <c r="J218" s="34">
        <f>Таблица1[[#This Row],[Блок
 Куб]]*Таблица1[[#This Row],[Цена 
Приход]]</f>
        <v>19494000</v>
      </c>
      <c r="K218" s="34">
        <v>19</v>
      </c>
      <c r="L218" s="34">
        <v>130000</v>
      </c>
      <c r="M218" s="34">
        <f>Таблица1[[#This Row],[Поддон
Шт]]*Таблица1[[#This Row],[Цена
Поддон]]</f>
        <v>2470000</v>
      </c>
      <c r="N218" s="34">
        <f>Таблица1[[#This Row],[Сумма 
Приход]]+Таблица1[[#This Row],[Сумма Поддон]]</f>
        <v>21964000</v>
      </c>
      <c r="O218" s="34">
        <v>720000</v>
      </c>
      <c r="P218" s="34">
        <f>Таблица1[[#This Row],[Блок
 Куб]]*Таблица1[[#This Row],[Цена
 Продажа]]</f>
        <v>23639040</v>
      </c>
      <c r="Q218" s="34" t="s">
        <v>240</v>
      </c>
      <c r="R218" s="34">
        <f>Таблица1[[#This Row],[Сумма 
Продажа]]-Таблица1[[#This Row],[Сумма 
Приход]]-Таблица1[[#This Row],[Авто услу ]]</f>
        <v>1745040</v>
      </c>
      <c r="S218" s="34">
        <v>2400000</v>
      </c>
      <c r="T218" s="320">
        <f>Таблица1[[#This Row],[Сумма 
Продажа]]-IF(Таблица1[[#This Row],[Расход 
Авто]]="Клиент",N(Таблица1[[#This Row],[Авто услу ]]),0)</f>
        <v>21239040</v>
      </c>
      <c r="U2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8" s="265" t="str">
        <f>IFERROR(INDEX(Мижозлар[Агент],MATCH($D218,Мижозлар[Расмий ном],0)),"")</f>
        <v>Темур</v>
      </c>
    </row>
    <row r="219" spans="1:23" ht="14.25" x14ac:dyDescent="0.2">
      <c r="A219" s="21" t="s">
        <v>44</v>
      </c>
      <c r="B219" s="135" t="s">
        <v>26</v>
      </c>
      <c r="C219" s="141" t="s">
        <v>32</v>
      </c>
      <c r="D219" s="141" t="s">
        <v>85</v>
      </c>
      <c r="E219" s="136">
        <v>46241</v>
      </c>
      <c r="F219" s="135" t="s">
        <v>504</v>
      </c>
      <c r="G219" s="34" t="s">
        <v>355</v>
      </c>
      <c r="H219" s="142">
        <v>32.832000000000001</v>
      </c>
      <c r="I219" s="34">
        <v>593750</v>
      </c>
      <c r="J219" s="34">
        <f>Таблица1[[#This Row],[Блок
 Куб]]*Таблица1[[#This Row],[Цена 
Приход]]</f>
        <v>19494000</v>
      </c>
      <c r="K219" s="34">
        <v>19</v>
      </c>
      <c r="L219" s="34">
        <v>130000</v>
      </c>
      <c r="M219" s="34">
        <f>Таблица1[[#This Row],[Поддон
Шт]]*Таблица1[[#This Row],[Цена
Поддон]]</f>
        <v>2470000</v>
      </c>
      <c r="N219" s="34">
        <f>Таблица1[[#This Row],[Сумма 
Приход]]+Таблица1[[#This Row],[Сумма Поддон]]</f>
        <v>21964000</v>
      </c>
      <c r="O219" s="34">
        <v>720000</v>
      </c>
      <c r="P219" s="34">
        <f>Таблица1[[#This Row],[Блок
 Куб]]*Таблица1[[#This Row],[Цена
 Продажа]]</f>
        <v>23639040</v>
      </c>
      <c r="Q219" s="34" t="s">
        <v>240</v>
      </c>
      <c r="R219" s="34">
        <f>Таблица1[[#This Row],[Сумма 
Продажа]]-Таблица1[[#This Row],[Сумма 
Приход]]-Таблица1[[#This Row],[Авто услу ]]</f>
        <v>1745040</v>
      </c>
      <c r="S219" s="34">
        <v>2400000</v>
      </c>
      <c r="T219" s="34">
        <f>Таблица1[[#This Row],[Сумма 
Продажа]]-IF(Таблица1[[#This Row],[Расход 
Авто]]="Клиент",N(Таблица1[[#This Row],[Авто услу ]]),0)</f>
        <v>21239040</v>
      </c>
      <c r="U2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19" s="265" t="str">
        <f>IFERROR(INDEX(Мижозлар[Агент],MATCH($D219,Мижозлар[Расмий ном],0)),"")</f>
        <v>Сардор ога</v>
      </c>
    </row>
    <row r="220" spans="1:23" ht="14.25" x14ac:dyDescent="0.2">
      <c r="A220" s="21" t="s">
        <v>44</v>
      </c>
      <c r="B220" s="135" t="s">
        <v>22</v>
      </c>
      <c r="C220" s="141" t="s">
        <v>32</v>
      </c>
      <c r="D220" s="141" t="s">
        <v>85</v>
      </c>
      <c r="E220" s="136">
        <v>46242</v>
      </c>
      <c r="F220" s="135" t="s">
        <v>426</v>
      </c>
      <c r="G220" s="34" t="s">
        <v>355</v>
      </c>
      <c r="H220" s="142">
        <v>32.832000000000001</v>
      </c>
      <c r="I220" s="34">
        <v>593750</v>
      </c>
      <c r="J220" s="34">
        <f>Таблица1[[#This Row],[Блок
 Куб]]*Таблица1[[#This Row],[Цена 
Приход]]</f>
        <v>19494000</v>
      </c>
      <c r="K220" s="34">
        <v>19</v>
      </c>
      <c r="L220" s="34">
        <v>130000</v>
      </c>
      <c r="M220" s="34">
        <f>Таблица1[[#This Row],[Поддон
Шт]]*Таблица1[[#This Row],[Цена
Поддон]]</f>
        <v>2470000</v>
      </c>
      <c r="N220" s="34">
        <f>Таблица1[[#This Row],[Сумма 
Приход]]+Таблица1[[#This Row],[Сумма Поддон]]</f>
        <v>21964000</v>
      </c>
      <c r="O220" s="34">
        <v>720000</v>
      </c>
      <c r="P220" s="34">
        <f>Таблица1[[#This Row],[Блок
 Куб]]*Таблица1[[#This Row],[Цена
 Продажа]]</f>
        <v>23639040</v>
      </c>
      <c r="Q220" s="34" t="s">
        <v>240</v>
      </c>
      <c r="R220" s="34">
        <f>Таблица1[[#This Row],[Сумма 
Продажа]]-Таблица1[[#This Row],[Сумма 
Приход]]-Таблица1[[#This Row],[Авто услу ]]</f>
        <v>1745040</v>
      </c>
      <c r="S220" s="34">
        <v>2400000</v>
      </c>
      <c r="T220" s="34">
        <f>Таблица1[[#This Row],[Сумма 
Продажа]]-IF(Таблица1[[#This Row],[Расход 
Авто]]="Клиент",N(Таблица1[[#This Row],[Авто услу ]]),0)</f>
        <v>21239040</v>
      </c>
      <c r="U2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0" s="265" t="str">
        <f>IFERROR(INDEX(Мижозлар[Агент],MATCH($D220,Мижозлар[Расмий ном],0)),"")</f>
        <v>Сардор ога</v>
      </c>
    </row>
    <row r="221" spans="1:23" ht="14.25" x14ac:dyDescent="0.2">
      <c r="A221" s="21" t="s">
        <v>44</v>
      </c>
      <c r="B221" s="135" t="s">
        <v>22</v>
      </c>
      <c r="C221" s="141" t="s">
        <v>36</v>
      </c>
      <c r="D221" s="141" t="s">
        <v>82</v>
      </c>
      <c r="E221" s="136">
        <v>46242</v>
      </c>
      <c r="F221" s="135" t="s">
        <v>505</v>
      </c>
      <c r="G221" s="34" t="s">
        <v>368</v>
      </c>
      <c r="H221" s="142">
        <v>32.832000000000001</v>
      </c>
      <c r="I221" s="34">
        <v>593750</v>
      </c>
      <c r="J221" s="34">
        <f>Таблица1[[#This Row],[Блок
 Куб]]*Таблица1[[#This Row],[Цена 
Приход]]</f>
        <v>19494000</v>
      </c>
      <c r="K221" s="34">
        <v>19</v>
      </c>
      <c r="L221" s="34">
        <v>130000</v>
      </c>
      <c r="M221" s="34">
        <f>Таблица1[[#This Row],[Поддон
Шт]]*Таблица1[[#This Row],[Цена
Поддон]]</f>
        <v>2470000</v>
      </c>
      <c r="N221" s="34">
        <f>Таблица1[[#This Row],[Сумма 
Приход]]+Таблица1[[#This Row],[Сумма Поддон]]</f>
        <v>21964000</v>
      </c>
      <c r="O221" s="34">
        <v>720000</v>
      </c>
      <c r="P221" s="34">
        <f>Таблица1[[#This Row],[Блок
 Куб]]*Таблица1[[#This Row],[Цена
 Продажа]]</f>
        <v>23639040</v>
      </c>
      <c r="Q221" s="34" t="s">
        <v>240</v>
      </c>
      <c r="R221" s="34">
        <f>Таблица1[[#This Row],[Сумма 
Продажа]]-Таблица1[[#This Row],[Сумма 
Приход]]-Таблица1[[#This Row],[Авто услу ]]</f>
        <v>1745040</v>
      </c>
      <c r="S221" s="34">
        <v>2400000</v>
      </c>
      <c r="T221" s="34">
        <f>Таблица1[[#This Row],[Сумма 
Продажа]]-IF(Таблица1[[#This Row],[Расход 
Авто]]="Клиент",N(Таблица1[[#This Row],[Авто услу ]]),0)</f>
        <v>21239040</v>
      </c>
      <c r="U2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1" s="265" t="str">
        <f>IFERROR(INDEX(Мижозлар[Агент],MATCH($D221,Мижозлар[Расмий ном],0)),"")</f>
        <v>Темур</v>
      </c>
    </row>
    <row r="222" spans="1:23" ht="14.25" x14ac:dyDescent="0.2">
      <c r="A222" s="21" t="s">
        <v>44</v>
      </c>
      <c r="B222" s="135" t="s">
        <v>22</v>
      </c>
      <c r="C222" s="141" t="s">
        <v>36</v>
      </c>
      <c r="D222" s="141" t="s">
        <v>82</v>
      </c>
      <c r="E222" s="136">
        <v>46242</v>
      </c>
      <c r="F222" s="135" t="s">
        <v>506</v>
      </c>
      <c r="G222" s="34" t="s">
        <v>355</v>
      </c>
      <c r="H222" s="142">
        <v>32.832000000000001</v>
      </c>
      <c r="I222" s="34">
        <v>593750</v>
      </c>
      <c r="J222" s="34">
        <f>Таблица1[[#This Row],[Блок
 Куб]]*Таблица1[[#This Row],[Цена 
Приход]]</f>
        <v>19494000</v>
      </c>
      <c r="K222" s="34">
        <v>19</v>
      </c>
      <c r="L222" s="34">
        <v>130000</v>
      </c>
      <c r="M222" s="34">
        <f>Таблица1[[#This Row],[Поддон
Шт]]*Таблица1[[#This Row],[Цена
Поддон]]</f>
        <v>2470000</v>
      </c>
      <c r="N222" s="34">
        <f>Таблица1[[#This Row],[Сумма 
Приход]]+Таблица1[[#This Row],[Сумма Поддон]]</f>
        <v>21964000</v>
      </c>
      <c r="O222" s="34">
        <v>720000</v>
      </c>
      <c r="P222" s="34">
        <f>Таблица1[[#This Row],[Блок
 Куб]]*Таблица1[[#This Row],[Цена
 Продажа]]</f>
        <v>23639040</v>
      </c>
      <c r="Q222" s="34" t="s">
        <v>240</v>
      </c>
      <c r="R222" s="34">
        <f>Таблица1[[#This Row],[Сумма 
Продажа]]-Таблица1[[#This Row],[Сумма 
Приход]]-Таблица1[[#This Row],[Авто услу ]]</f>
        <v>1745040</v>
      </c>
      <c r="S222" s="34">
        <v>2400000</v>
      </c>
      <c r="T222" s="34">
        <f>Таблица1[[#This Row],[Сумма 
Продажа]]-IF(Таблица1[[#This Row],[Расход 
Авто]]="Клиент",N(Таблица1[[#This Row],[Авто услу ]]),0)</f>
        <v>21239040</v>
      </c>
      <c r="U2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2" s="265" t="str">
        <f>IFERROR(INDEX(Мижозлар[Агент],MATCH($D222,Мижозлар[Расмий ном],0)),"")</f>
        <v>Темур</v>
      </c>
    </row>
    <row r="223" spans="1:23" ht="14.25" x14ac:dyDescent="0.2">
      <c r="A223" s="21" t="s">
        <v>44</v>
      </c>
      <c r="B223" s="135" t="s">
        <v>22</v>
      </c>
      <c r="C223" s="141" t="s">
        <v>29</v>
      </c>
      <c r="D223" s="141" t="s">
        <v>67</v>
      </c>
      <c r="E223" s="136">
        <v>46242</v>
      </c>
      <c r="F223" s="135" t="s">
        <v>507</v>
      </c>
      <c r="G223" s="34" t="s">
        <v>355</v>
      </c>
      <c r="H223" s="142">
        <v>32.832000000000001</v>
      </c>
      <c r="I223" s="34">
        <v>593750</v>
      </c>
      <c r="J223" s="34">
        <f>Таблица1[[#This Row],[Блок
 Куб]]*Таблица1[[#This Row],[Цена 
Приход]]</f>
        <v>19494000</v>
      </c>
      <c r="K223" s="34">
        <v>19</v>
      </c>
      <c r="L223" s="34">
        <v>130000</v>
      </c>
      <c r="M223" s="34">
        <f>Таблица1[[#This Row],[Поддон
Шт]]*Таблица1[[#This Row],[Цена
Поддон]]</f>
        <v>2470000</v>
      </c>
      <c r="N223" s="34">
        <f>Таблица1[[#This Row],[Сумма 
Приход]]+Таблица1[[#This Row],[Сумма Поддон]]</f>
        <v>21964000</v>
      </c>
      <c r="O223" s="34">
        <v>720000</v>
      </c>
      <c r="P223" s="34">
        <f>Таблица1[[#This Row],[Блок
 Куб]]*Таблица1[[#This Row],[Цена
 Продажа]]</f>
        <v>23639040</v>
      </c>
      <c r="Q223" s="34" t="s">
        <v>240</v>
      </c>
      <c r="R223" s="34">
        <f>Таблица1[[#This Row],[Сумма 
Продажа]]-Таблица1[[#This Row],[Сумма 
Приход]]-Таблица1[[#This Row],[Авто услу ]]</f>
        <v>1745040</v>
      </c>
      <c r="S223" s="34">
        <v>2400000</v>
      </c>
      <c r="T223" s="34">
        <f>Таблица1[[#This Row],[Сумма 
Продажа]]-IF(Таблица1[[#This Row],[Расход 
Авто]]="Клиент",N(Таблица1[[#This Row],[Авто услу ]]),0)</f>
        <v>21239040</v>
      </c>
      <c r="U2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3" s="265" t="str">
        <f>IFERROR(INDEX(Мижозлар[Агент],MATCH($D223,Мижозлар[Расмий ном],0)),"")</f>
        <v>Зафар ога</v>
      </c>
    </row>
    <row r="224" spans="1:23" ht="14.25" x14ac:dyDescent="0.2">
      <c r="A224" s="21" t="s">
        <v>44</v>
      </c>
      <c r="B224" s="135" t="s">
        <v>22</v>
      </c>
      <c r="C224" s="141" t="s">
        <v>29</v>
      </c>
      <c r="D224" s="141" t="s">
        <v>57</v>
      </c>
      <c r="E224" s="136">
        <v>46242</v>
      </c>
      <c r="F224" s="135" t="s">
        <v>508</v>
      </c>
      <c r="G224" s="34" t="s">
        <v>355</v>
      </c>
      <c r="H224" s="142">
        <v>32.832000000000001</v>
      </c>
      <c r="I224" s="34">
        <v>593750</v>
      </c>
      <c r="J224" s="34">
        <f>Таблица1[[#This Row],[Блок
 Куб]]*Таблица1[[#This Row],[Цена 
Приход]]</f>
        <v>19494000</v>
      </c>
      <c r="K224" s="34">
        <v>19</v>
      </c>
      <c r="L224" s="34">
        <v>130000</v>
      </c>
      <c r="M224" s="34">
        <f>Таблица1[[#This Row],[Поддон
Шт]]*Таблица1[[#This Row],[Цена
Поддон]]</f>
        <v>2470000</v>
      </c>
      <c r="N224" s="34">
        <f>Таблица1[[#This Row],[Сумма 
Приход]]+Таблица1[[#This Row],[Сумма Поддон]]</f>
        <v>21964000</v>
      </c>
      <c r="O224" s="34">
        <v>700000</v>
      </c>
      <c r="P224" s="34">
        <f>Таблица1[[#This Row],[Блок
 Куб]]*Таблица1[[#This Row],[Цена
 Продажа]]</f>
        <v>22982400</v>
      </c>
      <c r="Q224" s="34" t="s">
        <v>240</v>
      </c>
      <c r="R224" s="34">
        <f>Таблица1[[#This Row],[Сумма 
Продажа]]-Таблица1[[#This Row],[Сумма 
Приход]]-Таблица1[[#This Row],[Авто услу ]]</f>
        <v>1088400</v>
      </c>
      <c r="S224" s="34">
        <v>2400000</v>
      </c>
      <c r="T224" s="34">
        <f>Таблица1[[#This Row],[Сумма 
Продажа]]-IF(Таблица1[[#This Row],[Расход 
Авто]]="Клиент",N(Таблица1[[#This Row],[Авто услу ]]),0)</f>
        <v>20582400</v>
      </c>
      <c r="U2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4" s="265" t="str">
        <f>IFERROR(INDEX(Мижозлар[Агент],MATCH($D224,Мижозлар[Расмий ном],0)),"")</f>
        <v>Зафар ога</v>
      </c>
    </row>
    <row r="225" spans="1:23" ht="14.25" x14ac:dyDescent="0.2">
      <c r="A225" s="21" t="s">
        <v>44</v>
      </c>
      <c r="B225" s="135" t="s">
        <v>26</v>
      </c>
      <c r="C225" s="141" t="s">
        <v>40</v>
      </c>
      <c r="D225" s="141" t="s">
        <v>87</v>
      </c>
      <c r="E225" s="136">
        <v>46243</v>
      </c>
      <c r="F225" s="135" t="s">
        <v>509</v>
      </c>
      <c r="G225" s="34" t="s">
        <v>355</v>
      </c>
      <c r="H225" s="142">
        <v>32.832000000000001</v>
      </c>
      <c r="I225" s="34">
        <v>593750</v>
      </c>
      <c r="J225" s="34">
        <f>Таблица1[[#This Row],[Блок
 Куб]]*Таблица1[[#This Row],[Цена 
Приход]]</f>
        <v>19494000</v>
      </c>
      <c r="K225" s="34">
        <v>19</v>
      </c>
      <c r="L225" s="34">
        <v>130000</v>
      </c>
      <c r="M225" s="34">
        <f>Таблица1[[#This Row],[Поддон
Шт]]*Таблица1[[#This Row],[Цена
Поддон]]</f>
        <v>2470000</v>
      </c>
      <c r="N225" s="34">
        <f>Таблица1[[#This Row],[Сумма 
Приход]]+Таблица1[[#This Row],[Сумма Поддон]]</f>
        <v>21964000</v>
      </c>
      <c r="O225" s="34">
        <v>720000</v>
      </c>
      <c r="P225" s="34">
        <f>Таблица1[[#This Row],[Блок
 Куб]]*Таблица1[[#This Row],[Цена
 Продажа]]</f>
        <v>23639040</v>
      </c>
      <c r="Q225" s="34" t="s">
        <v>240</v>
      </c>
      <c r="R225" s="34">
        <f>Таблица1[[#This Row],[Сумма 
Продажа]]-Таблица1[[#This Row],[Сумма 
Приход]]-Таблица1[[#This Row],[Авто услу ]]</f>
        <v>1745040</v>
      </c>
      <c r="S225" s="34">
        <v>2400000</v>
      </c>
      <c r="T225" s="34">
        <f>Таблица1[[#This Row],[Сумма 
Продажа]]-IF(Таблица1[[#This Row],[Расход 
Авто]]="Клиент",N(Таблица1[[#This Row],[Авто услу ]]),0)</f>
        <v>21239040</v>
      </c>
      <c r="U2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5" s="265" t="str">
        <f>IFERROR(INDEX(Мижозлар[Агент],MATCH($D225,Мижозлар[Расмий ном],0)),"")</f>
        <v>Шохрух ога</v>
      </c>
    </row>
    <row r="226" spans="1:23" ht="14.25" x14ac:dyDescent="0.2">
      <c r="A226" s="21" t="s">
        <v>44</v>
      </c>
      <c r="B226" s="135" t="s">
        <v>26</v>
      </c>
      <c r="C226" s="141" t="s">
        <v>40</v>
      </c>
      <c r="D226" s="141" t="s">
        <v>87</v>
      </c>
      <c r="E226" s="136">
        <v>46243</v>
      </c>
      <c r="F226" s="135" t="s">
        <v>390</v>
      </c>
      <c r="G226" s="34" t="s">
        <v>355</v>
      </c>
      <c r="H226" s="142">
        <v>32.832000000000001</v>
      </c>
      <c r="I226" s="34">
        <v>593750</v>
      </c>
      <c r="J226" s="34">
        <f>Таблица1[[#This Row],[Блок
 Куб]]*Таблица1[[#This Row],[Цена 
Приход]]</f>
        <v>19494000</v>
      </c>
      <c r="K226" s="34">
        <v>19</v>
      </c>
      <c r="L226" s="34">
        <v>130000</v>
      </c>
      <c r="M226" s="34">
        <f>Таблица1[[#This Row],[Поддон
Шт]]*Таблица1[[#This Row],[Цена
Поддон]]</f>
        <v>2470000</v>
      </c>
      <c r="N226" s="34">
        <f>Таблица1[[#This Row],[Сумма 
Приход]]+Таблица1[[#This Row],[Сумма Поддон]]</f>
        <v>21964000</v>
      </c>
      <c r="O226" s="34">
        <v>720000</v>
      </c>
      <c r="P226" s="34">
        <f>Таблица1[[#This Row],[Блок
 Куб]]*Таблица1[[#This Row],[Цена
 Продажа]]</f>
        <v>23639040</v>
      </c>
      <c r="Q226" s="34" t="s">
        <v>240</v>
      </c>
      <c r="R226" s="34">
        <f>Таблица1[[#This Row],[Сумма 
Продажа]]-Таблица1[[#This Row],[Сумма 
Приход]]-Таблица1[[#This Row],[Авто услу ]]</f>
        <v>1745040</v>
      </c>
      <c r="S226" s="34">
        <v>2400000</v>
      </c>
      <c r="T226" s="34">
        <f>Таблица1[[#This Row],[Сумма 
Продажа]]-IF(Таблица1[[#This Row],[Расход 
Авто]]="Клиент",N(Таблица1[[#This Row],[Авто услу ]]),0)</f>
        <v>21239040</v>
      </c>
      <c r="U2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6" s="265" t="str">
        <f>IFERROR(INDEX(Мижозлар[Агент],MATCH($D226,Мижозлар[Расмий ном],0)),"")</f>
        <v>Шохрух ога</v>
      </c>
    </row>
    <row r="227" spans="1:23" ht="14.25" x14ac:dyDescent="0.2">
      <c r="A227" s="21" t="s">
        <v>44</v>
      </c>
      <c r="B227" s="135" t="s">
        <v>26</v>
      </c>
      <c r="C227" s="141" t="s">
        <v>40</v>
      </c>
      <c r="D227" s="141" t="s">
        <v>87</v>
      </c>
      <c r="E227" s="136">
        <v>46243</v>
      </c>
      <c r="F227" s="135" t="s">
        <v>432</v>
      </c>
      <c r="G227" s="34" t="s">
        <v>355</v>
      </c>
      <c r="H227" s="142">
        <v>32.832000000000001</v>
      </c>
      <c r="I227" s="34">
        <v>593750</v>
      </c>
      <c r="J227" s="34">
        <f>Таблица1[[#This Row],[Блок
 Куб]]*Таблица1[[#This Row],[Цена 
Приход]]</f>
        <v>19494000</v>
      </c>
      <c r="K227" s="34">
        <v>19</v>
      </c>
      <c r="L227" s="34">
        <v>130000</v>
      </c>
      <c r="M227" s="34">
        <f>Таблица1[[#This Row],[Поддон
Шт]]*Таблица1[[#This Row],[Цена
Поддон]]</f>
        <v>2470000</v>
      </c>
      <c r="N227" s="34">
        <f>Таблица1[[#This Row],[Сумма 
Приход]]+Таблица1[[#This Row],[Сумма Поддон]]</f>
        <v>21964000</v>
      </c>
      <c r="O227" s="34">
        <v>720000</v>
      </c>
      <c r="P227" s="34">
        <f>Таблица1[[#This Row],[Блок
 Куб]]*Таблица1[[#This Row],[Цена
 Продажа]]</f>
        <v>23639040</v>
      </c>
      <c r="Q227" s="34" t="s">
        <v>240</v>
      </c>
      <c r="R227" s="34">
        <f>Таблица1[[#This Row],[Сумма 
Продажа]]-Таблица1[[#This Row],[Сумма 
Приход]]-Таблица1[[#This Row],[Авто услу ]]</f>
        <v>1745040</v>
      </c>
      <c r="S227" s="34">
        <v>2400000</v>
      </c>
      <c r="T227" s="34">
        <f>Таблица1[[#This Row],[Сумма 
Продажа]]-IF(Таблица1[[#This Row],[Расход 
Авто]]="Клиент",N(Таблица1[[#This Row],[Авто услу ]]),0)</f>
        <v>21239040</v>
      </c>
      <c r="U2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7" s="265" t="str">
        <f>IFERROR(INDEX(Мижозлар[Агент],MATCH($D227,Мижозлар[Расмий ном],0)),"")</f>
        <v>Шохрух ога</v>
      </c>
    </row>
    <row r="228" spans="1:23" ht="14.25" x14ac:dyDescent="0.2">
      <c r="A228" s="21" t="s">
        <v>44</v>
      </c>
      <c r="B228" s="135" t="s">
        <v>26</v>
      </c>
      <c r="C228" s="141" t="s">
        <v>40</v>
      </c>
      <c r="D228" s="141" t="s">
        <v>87</v>
      </c>
      <c r="E228" s="136">
        <v>46243</v>
      </c>
      <c r="F228" s="135" t="s">
        <v>426</v>
      </c>
      <c r="G228" s="34" t="s">
        <v>355</v>
      </c>
      <c r="H228" s="142">
        <v>24.192</v>
      </c>
      <c r="I228" s="34">
        <v>593750</v>
      </c>
      <c r="J228" s="34">
        <f>Таблица1[[#This Row],[Блок
 Куб]]*Таблица1[[#This Row],[Цена 
Приход]]</f>
        <v>14364000</v>
      </c>
      <c r="K228" s="34">
        <v>14</v>
      </c>
      <c r="L228" s="34">
        <v>130000</v>
      </c>
      <c r="M228" s="34">
        <f>Таблица1[[#This Row],[Поддон
Шт]]*Таблица1[[#This Row],[Цена
Поддон]]</f>
        <v>1820000</v>
      </c>
      <c r="N228" s="34">
        <f>Таблица1[[#This Row],[Сумма 
Приход]]+Таблица1[[#This Row],[Сумма Поддон]]</f>
        <v>16184000</v>
      </c>
      <c r="O228" s="34">
        <v>720000</v>
      </c>
      <c r="P228" s="34">
        <f>Таблица1[[#This Row],[Блок
 Куб]]*Таблица1[[#This Row],[Цена
 Продажа]]</f>
        <v>17418240</v>
      </c>
      <c r="Q228" s="34" t="s">
        <v>240</v>
      </c>
      <c r="R228" s="34">
        <f>Таблица1[[#This Row],[Сумма 
Продажа]]-Таблица1[[#This Row],[Сумма 
Приход]]-Таблица1[[#This Row],[Авто услу ]]</f>
        <v>1284240</v>
      </c>
      <c r="S228" s="34">
        <v>1770000</v>
      </c>
      <c r="T228" s="34">
        <f>Таблица1[[#This Row],[Сумма 
Продажа]]-IF(Таблица1[[#This Row],[Расход 
Авто]]="Клиент",N(Таблица1[[#This Row],[Авто услу ]]),0)</f>
        <v>15648240</v>
      </c>
      <c r="U2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8" s="265" t="str">
        <f>IFERROR(INDEX(Мижозлар[Агент],MATCH($D228,Мижозлар[Расмий ном],0)),"")</f>
        <v>Шохрух ога</v>
      </c>
    </row>
    <row r="229" spans="1:23" x14ac:dyDescent="0.2">
      <c r="A229" s="21" t="s">
        <v>44</v>
      </c>
      <c r="B229" s="135" t="s">
        <v>26</v>
      </c>
      <c r="C229" s="141" t="s">
        <v>40</v>
      </c>
      <c r="D229" s="141" t="s">
        <v>19</v>
      </c>
      <c r="E229" s="136">
        <v>46243</v>
      </c>
      <c r="F229" s="135" t="s">
        <v>426</v>
      </c>
      <c r="G229" s="34" t="s">
        <v>355</v>
      </c>
      <c r="H229" s="189">
        <v>8.64</v>
      </c>
      <c r="I229" s="190">
        <v>593750</v>
      </c>
      <c r="J229" s="34">
        <f>Таблица1[[#This Row],[Блок
 Куб]]*Таблица1[[#This Row],[Цена 
Приход]]</f>
        <v>5130000</v>
      </c>
      <c r="K229" s="34">
        <v>5</v>
      </c>
      <c r="L229" s="34">
        <v>130000</v>
      </c>
      <c r="M229" s="34">
        <f>Таблица1[[#This Row],[Поддон
Шт]]*Таблица1[[#This Row],[Цена
Поддон]]</f>
        <v>650000</v>
      </c>
      <c r="N229" s="34">
        <f>Таблица1[[#This Row],[Сумма 
Приход]]+Таблица1[[#This Row],[Сумма Поддон]]</f>
        <v>5780000</v>
      </c>
      <c r="O229" s="34">
        <v>720000</v>
      </c>
      <c r="P229" s="34">
        <f>Таблица1[[#This Row],[Блок
 Куб]]*Таблица1[[#This Row],[Цена
 Продажа]]</f>
        <v>6220800</v>
      </c>
      <c r="Q229" s="34" t="s">
        <v>356</v>
      </c>
      <c r="R229" s="34">
        <f>Таблица1[[#This Row],[Сумма 
Продажа]]-Таблица1[[#This Row],[Сумма 
Приход]]-Таблица1[[#This Row],[Авто услу ]]</f>
        <v>460800</v>
      </c>
      <c r="S229" s="34">
        <v>630000</v>
      </c>
      <c r="T229" s="34">
        <f>Таблица1[[#This Row],[Сумма 
Продажа]]-IF(Таблица1[[#This Row],[Расход 
Авто]]="Клиент",N(Таблица1[[#This Row],[Авто услу ]]),0)</f>
        <v>6220800</v>
      </c>
      <c r="U2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29" s="265" t="str">
        <f>IFERROR(INDEX(Мижозлар[Агент],MATCH($D229,Мижозлар[Расмий ном],0)),"")</f>
        <v>Шохрух ога</v>
      </c>
    </row>
    <row r="230" spans="1:23" ht="14.25" x14ac:dyDescent="0.2">
      <c r="A230" s="21" t="s">
        <v>44</v>
      </c>
      <c r="B230" s="135" t="s">
        <v>26</v>
      </c>
      <c r="C230" s="141" t="s">
        <v>40</v>
      </c>
      <c r="D230" s="141" t="s">
        <v>87</v>
      </c>
      <c r="E230" s="136">
        <v>46243</v>
      </c>
      <c r="F230" s="135" t="s">
        <v>392</v>
      </c>
      <c r="G230" s="34" t="s">
        <v>368</v>
      </c>
      <c r="H230" s="142">
        <v>32.832000000000001</v>
      </c>
      <c r="I230" s="34">
        <v>593750</v>
      </c>
      <c r="J230" s="34">
        <f>Таблица1[[#This Row],[Блок
 Куб]]*Таблица1[[#This Row],[Цена 
Приход]]</f>
        <v>19494000</v>
      </c>
      <c r="K230" s="34">
        <v>19</v>
      </c>
      <c r="L230" s="34">
        <v>130000</v>
      </c>
      <c r="M230" s="34">
        <f>Таблица1[[#This Row],[Поддон
Шт]]*Таблица1[[#This Row],[Цена
Поддон]]</f>
        <v>2470000</v>
      </c>
      <c r="N230" s="34">
        <f>Таблица1[[#This Row],[Сумма 
Приход]]+Таблица1[[#This Row],[Сумма Поддон]]</f>
        <v>21964000</v>
      </c>
      <c r="O230" s="34">
        <v>720000</v>
      </c>
      <c r="P230" s="34">
        <f>Таблица1[[#This Row],[Блок
 Куб]]*Таблица1[[#This Row],[Цена
 Продажа]]</f>
        <v>23639040</v>
      </c>
      <c r="Q230" s="34" t="s">
        <v>240</v>
      </c>
      <c r="R230" s="34">
        <f>Таблица1[[#This Row],[Сумма 
Продажа]]-Таблица1[[#This Row],[Сумма 
Приход]]-Таблица1[[#This Row],[Авто услу ]]</f>
        <v>1745040</v>
      </c>
      <c r="S230" s="34">
        <v>2400000</v>
      </c>
      <c r="T230" s="34">
        <f>Таблица1[[#This Row],[Сумма 
Продажа]]-IF(Таблица1[[#This Row],[Расход 
Авто]]="Клиент",N(Таблица1[[#This Row],[Авто услу ]]),0)</f>
        <v>21239040</v>
      </c>
      <c r="U2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0" s="265" t="str">
        <f>IFERROR(INDEX(Мижозлар[Агент],MATCH($D230,Мижозлар[Расмий ном],0)),"")</f>
        <v>Шохрух ога</v>
      </c>
    </row>
    <row r="231" spans="1:23" ht="14.25" x14ac:dyDescent="0.2">
      <c r="A231" s="21" t="s">
        <v>44</v>
      </c>
      <c r="B231" s="135" t="s">
        <v>26</v>
      </c>
      <c r="C231" s="141" t="s">
        <v>29</v>
      </c>
      <c r="D231" s="141" t="s">
        <v>57</v>
      </c>
      <c r="E231" s="136">
        <v>46244</v>
      </c>
      <c r="F231" s="135" t="s">
        <v>510</v>
      </c>
      <c r="G231" s="34" t="s">
        <v>355</v>
      </c>
      <c r="H231" s="142">
        <v>32.832000000000001</v>
      </c>
      <c r="I231" s="34">
        <v>593750</v>
      </c>
      <c r="J231" s="34">
        <f>Таблица1[[#This Row],[Блок
 Куб]]*Таблица1[[#This Row],[Цена 
Приход]]</f>
        <v>19494000</v>
      </c>
      <c r="K231" s="34">
        <v>19</v>
      </c>
      <c r="L231" s="34">
        <v>130000</v>
      </c>
      <c r="M231" s="34">
        <f>Таблица1[[#This Row],[Поддон
Шт]]*Таблица1[[#This Row],[Цена
Поддон]]</f>
        <v>2470000</v>
      </c>
      <c r="N231" s="34">
        <f>Таблица1[[#This Row],[Сумма 
Приход]]+Таблица1[[#This Row],[Сумма Поддон]]</f>
        <v>21964000</v>
      </c>
      <c r="O231" s="34">
        <v>700000</v>
      </c>
      <c r="P231" s="34">
        <f>Таблица1[[#This Row],[Блок
 Куб]]*Таблица1[[#This Row],[Цена
 Продажа]]</f>
        <v>22982400</v>
      </c>
      <c r="Q231" s="34" t="s">
        <v>240</v>
      </c>
      <c r="R231" s="34">
        <f>Таблица1[[#This Row],[Сумма 
Продажа]]-Таблица1[[#This Row],[Сумма 
Приход]]-Таблица1[[#This Row],[Авто услу ]]</f>
        <v>1088400</v>
      </c>
      <c r="S231" s="34">
        <v>2400000</v>
      </c>
      <c r="T231" s="34">
        <f>Таблица1[[#This Row],[Сумма 
Продажа]]-IF(Таблица1[[#This Row],[Расход 
Авто]]="Клиент",N(Таблица1[[#This Row],[Авто услу ]]),0)</f>
        <v>20582400</v>
      </c>
      <c r="U2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1" s="265" t="str">
        <f>IFERROR(INDEX(Мижозлар[Агент],MATCH($D231,Мижозлар[Расмий ном],0)),"")</f>
        <v>Зафар ога</v>
      </c>
    </row>
    <row r="232" spans="1:23" ht="14.25" x14ac:dyDescent="0.2">
      <c r="A232" s="21" t="s">
        <v>44</v>
      </c>
      <c r="B232" s="135" t="s">
        <v>26</v>
      </c>
      <c r="C232" s="141" t="s">
        <v>29</v>
      </c>
      <c r="D232" s="141" t="s">
        <v>57</v>
      </c>
      <c r="E232" s="136">
        <v>46245</v>
      </c>
      <c r="F232" s="135" t="s">
        <v>511</v>
      </c>
      <c r="G232" s="34" t="s">
        <v>355</v>
      </c>
      <c r="H232" s="142">
        <v>32.832000000000001</v>
      </c>
      <c r="I232" s="34">
        <v>593750</v>
      </c>
      <c r="J232" s="34">
        <f>Таблица1[[#This Row],[Блок
 Куб]]*Таблица1[[#This Row],[Цена 
Приход]]</f>
        <v>19494000</v>
      </c>
      <c r="K232" s="34">
        <v>19</v>
      </c>
      <c r="L232" s="34">
        <v>130000</v>
      </c>
      <c r="M232" s="34">
        <f>Таблица1[[#This Row],[Поддон
Шт]]*Таблица1[[#This Row],[Цена
Поддон]]</f>
        <v>2470000</v>
      </c>
      <c r="N232" s="34">
        <f>Таблица1[[#This Row],[Сумма 
Приход]]+Таблица1[[#This Row],[Сумма Поддон]]</f>
        <v>21964000</v>
      </c>
      <c r="O232" s="34">
        <v>700000</v>
      </c>
      <c r="P232" s="34">
        <f>Таблица1[[#This Row],[Блок
 Куб]]*Таблица1[[#This Row],[Цена
 Продажа]]</f>
        <v>22982400</v>
      </c>
      <c r="Q232" s="34" t="s">
        <v>240</v>
      </c>
      <c r="R232" s="34">
        <f>Таблица1[[#This Row],[Сумма 
Продажа]]-Таблица1[[#This Row],[Сумма 
Приход]]-Таблица1[[#This Row],[Авто услу ]]</f>
        <v>1088400</v>
      </c>
      <c r="S232" s="34">
        <v>2400000</v>
      </c>
      <c r="T232" s="34">
        <f>Таблица1[[#This Row],[Сумма 
Продажа]]-IF(Таблица1[[#This Row],[Расход 
Авто]]="Клиент",N(Таблица1[[#This Row],[Авто услу ]]),0)</f>
        <v>20582400</v>
      </c>
      <c r="U2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2" s="265" t="str">
        <f>IFERROR(INDEX(Мижозлар[Агент],MATCH($D232,Мижозлар[Расмий ном],0)),"")</f>
        <v>Зафар ога</v>
      </c>
    </row>
    <row r="233" spans="1:23" ht="14.25" x14ac:dyDescent="0.2">
      <c r="A233" s="21" t="s">
        <v>44</v>
      </c>
      <c r="B233" s="135" t="s">
        <v>26</v>
      </c>
      <c r="C233" s="141" t="s">
        <v>25</v>
      </c>
      <c r="D233" s="141" t="s">
        <v>53</v>
      </c>
      <c r="E233" s="136">
        <v>46245</v>
      </c>
      <c r="F233" s="135" t="s">
        <v>512</v>
      </c>
      <c r="G233" s="34" t="s">
        <v>355</v>
      </c>
      <c r="H233" s="142">
        <v>32.832000000000001</v>
      </c>
      <c r="I233" s="34">
        <v>593750</v>
      </c>
      <c r="J233" s="34">
        <f>Таблица1[[#This Row],[Блок
 Куб]]*Таблица1[[#This Row],[Цена 
Приход]]</f>
        <v>19494000</v>
      </c>
      <c r="K233" s="34">
        <v>19</v>
      </c>
      <c r="L233" s="34">
        <v>130000</v>
      </c>
      <c r="M233" s="34">
        <f>Таблица1[[#This Row],[Поддон
Шт]]*Таблица1[[#This Row],[Цена
Поддон]]</f>
        <v>2470000</v>
      </c>
      <c r="N233" s="34">
        <f>Таблица1[[#This Row],[Сумма 
Приход]]+Таблица1[[#This Row],[Сумма Поддон]]</f>
        <v>21964000</v>
      </c>
      <c r="O233" s="34">
        <v>720000</v>
      </c>
      <c r="P233" s="34">
        <f>Таблица1[[#This Row],[Блок
 Куб]]*Таблица1[[#This Row],[Цена
 Продажа]]</f>
        <v>23639040</v>
      </c>
      <c r="Q233" s="34" t="s">
        <v>356</v>
      </c>
      <c r="R233" s="34">
        <f>Таблица1[[#This Row],[Сумма 
Продажа]]-Таблица1[[#This Row],[Сумма 
Приход]]-Таблица1[[#This Row],[Авто услу ]]</f>
        <v>1745040</v>
      </c>
      <c r="S233" s="34">
        <v>2400000</v>
      </c>
      <c r="T233" s="34">
        <f>Таблица1[[#This Row],[Сумма 
Продажа]]-IF(Таблица1[[#This Row],[Расход 
Авто]]="Клиент",N(Таблица1[[#This Row],[Авто услу ]]),0)</f>
        <v>23639040</v>
      </c>
      <c r="U2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3" s="265" t="str">
        <f>IFERROR(INDEX(Мижозлар[Агент],MATCH($D233,Мижозлар[Расмий ном],0)),"")</f>
        <v>Жамол 22-22</v>
      </c>
    </row>
    <row r="234" spans="1:23" ht="14.25" x14ac:dyDescent="0.2">
      <c r="A234" s="21" t="s">
        <v>44</v>
      </c>
      <c r="B234" s="135" t="s">
        <v>26</v>
      </c>
      <c r="C234" s="141" t="s">
        <v>25</v>
      </c>
      <c r="D234" s="141" t="s">
        <v>53</v>
      </c>
      <c r="E234" s="136">
        <v>46245</v>
      </c>
      <c r="F234" s="135" t="s">
        <v>486</v>
      </c>
      <c r="G234" s="34" t="s">
        <v>355</v>
      </c>
      <c r="H234" s="142">
        <v>32.832000000000001</v>
      </c>
      <c r="I234" s="34">
        <v>593750</v>
      </c>
      <c r="J234" s="34">
        <f>Таблица1[[#This Row],[Блок
 Куб]]*Таблица1[[#This Row],[Цена 
Приход]]</f>
        <v>19494000</v>
      </c>
      <c r="K234" s="34">
        <v>19</v>
      </c>
      <c r="L234" s="34">
        <v>130000</v>
      </c>
      <c r="M234" s="34">
        <f>Таблица1[[#This Row],[Поддон
Шт]]*Таблица1[[#This Row],[Цена
Поддон]]</f>
        <v>2470000</v>
      </c>
      <c r="N234" s="34">
        <f>Таблица1[[#This Row],[Сумма 
Приход]]+Таблица1[[#This Row],[Сумма Поддон]]</f>
        <v>21964000</v>
      </c>
      <c r="O234" s="34">
        <v>720000</v>
      </c>
      <c r="P234" s="34">
        <f>Таблица1[[#This Row],[Блок
 Куб]]*Таблица1[[#This Row],[Цена
 Продажа]]</f>
        <v>23639040</v>
      </c>
      <c r="Q234" s="34" t="s">
        <v>356</v>
      </c>
      <c r="R234" s="34">
        <f>Таблица1[[#This Row],[Сумма 
Продажа]]-Таблица1[[#This Row],[Сумма 
Приход]]-Таблица1[[#This Row],[Авто услу ]]</f>
        <v>1745040</v>
      </c>
      <c r="S234" s="34">
        <v>2400000</v>
      </c>
      <c r="T234" s="34">
        <f>Таблица1[[#This Row],[Сумма 
Продажа]]-IF(Таблица1[[#This Row],[Расход 
Авто]]="Клиент",N(Таблица1[[#This Row],[Авто услу ]]),0)</f>
        <v>23639040</v>
      </c>
      <c r="U2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4" s="265" t="str">
        <f>IFERROR(INDEX(Мижозлар[Агент],MATCH($D234,Мижозлар[Расмий ном],0)),"")</f>
        <v>Жамол 22-22</v>
      </c>
    </row>
    <row r="235" spans="1:23" ht="14.25" x14ac:dyDescent="0.2">
      <c r="A235" s="21" t="s">
        <v>44</v>
      </c>
      <c r="B235" s="135" t="s">
        <v>26</v>
      </c>
      <c r="C235" s="141" t="s">
        <v>32</v>
      </c>
      <c r="D235" s="141" t="s">
        <v>65</v>
      </c>
      <c r="E235" s="136">
        <v>46245</v>
      </c>
      <c r="F235" s="135" t="s">
        <v>513</v>
      </c>
      <c r="G235" s="34" t="s">
        <v>368</v>
      </c>
      <c r="H235" s="142">
        <v>32.832000000000001</v>
      </c>
      <c r="I235" s="34">
        <v>593750</v>
      </c>
      <c r="J235" s="34">
        <f>Таблица1[[#This Row],[Блок
 Куб]]*Таблица1[[#This Row],[Цена 
Приход]]</f>
        <v>19494000</v>
      </c>
      <c r="K235" s="34">
        <v>19</v>
      </c>
      <c r="L235" s="34">
        <v>130000</v>
      </c>
      <c r="M235" s="34">
        <f>Таблица1[[#This Row],[Поддон
Шт]]*Таблица1[[#This Row],[Цена
Поддон]]</f>
        <v>2470000</v>
      </c>
      <c r="N235" s="34">
        <f>Таблица1[[#This Row],[Сумма 
Приход]]+Таблица1[[#This Row],[Сумма Поддон]]</f>
        <v>21964000</v>
      </c>
      <c r="O235" s="34">
        <v>720000</v>
      </c>
      <c r="P235" s="34">
        <f>Таблица1[[#This Row],[Блок
 Куб]]*Таблица1[[#This Row],[Цена
 Продажа]]</f>
        <v>23639040</v>
      </c>
      <c r="Q235" s="34" t="s">
        <v>240</v>
      </c>
      <c r="R235" s="34">
        <f>Таблица1[[#This Row],[Сумма 
Продажа]]-Таблица1[[#This Row],[Сумма 
Приход]]-Таблица1[[#This Row],[Авто услу ]]</f>
        <v>1745040</v>
      </c>
      <c r="S235" s="34">
        <v>2400000</v>
      </c>
      <c r="T235" s="34">
        <f>Таблица1[[#This Row],[Сумма 
Продажа]]-IF(Таблица1[[#This Row],[Расход 
Авто]]="Клиент",N(Таблица1[[#This Row],[Авто услу ]]),0)</f>
        <v>21239040</v>
      </c>
      <c r="U2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5" s="265" t="str">
        <f>IFERROR(INDEX(Мижозлар[Агент],MATCH($D235,Мижозлар[Расмий ном],0)),"")</f>
        <v>Сардор ога</v>
      </c>
    </row>
    <row r="236" spans="1:23" ht="14.25" x14ac:dyDescent="0.2">
      <c r="A236" s="21" t="s">
        <v>44</v>
      </c>
      <c r="B236" s="135" t="s">
        <v>26</v>
      </c>
      <c r="C236" s="141" t="s">
        <v>32</v>
      </c>
      <c r="D236" s="141" t="s">
        <v>107</v>
      </c>
      <c r="E236" s="136">
        <v>46245</v>
      </c>
      <c r="F236" s="135" t="s">
        <v>421</v>
      </c>
      <c r="G236" s="34" t="s">
        <v>355</v>
      </c>
      <c r="H236" s="142">
        <v>32.832000000000001</v>
      </c>
      <c r="I236" s="34">
        <v>593750</v>
      </c>
      <c r="J236" s="34">
        <f>Таблица1[[#This Row],[Блок
 Куб]]*Таблица1[[#This Row],[Цена 
Приход]]</f>
        <v>19494000</v>
      </c>
      <c r="K236" s="34">
        <v>19</v>
      </c>
      <c r="L236" s="34">
        <v>130000</v>
      </c>
      <c r="M236" s="34">
        <f>Таблица1[[#This Row],[Поддон
Шт]]*Таблица1[[#This Row],[Цена
Поддон]]</f>
        <v>2470000</v>
      </c>
      <c r="N236" s="34">
        <f>Таблица1[[#This Row],[Сумма 
Приход]]+Таблица1[[#This Row],[Сумма Поддон]]</f>
        <v>21964000</v>
      </c>
      <c r="O236" s="34">
        <v>720000</v>
      </c>
      <c r="P236" s="34">
        <f>Таблица1[[#This Row],[Блок
 Куб]]*Таблица1[[#This Row],[Цена
 Продажа]]</f>
        <v>23639040</v>
      </c>
      <c r="Q236" s="34" t="s">
        <v>240</v>
      </c>
      <c r="R236" s="34">
        <f>Таблица1[[#This Row],[Сумма 
Продажа]]-Таблица1[[#This Row],[Сумма 
Приход]]-Таблица1[[#This Row],[Авто услу ]]</f>
        <v>1745040</v>
      </c>
      <c r="S236" s="34">
        <v>2400000</v>
      </c>
      <c r="T236" s="34">
        <f>Таблица1[[#This Row],[Сумма 
Продажа]]-IF(Таблица1[[#This Row],[Расход 
Авто]]="Клиент",N(Таблица1[[#This Row],[Авто услу ]]),0)</f>
        <v>21239040</v>
      </c>
      <c r="U2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6" s="265" t="str">
        <f>IFERROR(INDEX(Мижозлар[Агент],MATCH($D236,Мижозлар[Расмий ном],0)),"")</f>
        <v>Сардор ога</v>
      </c>
    </row>
    <row r="237" spans="1:23" ht="14.25" x14ac:dyDescent="0.2">
      <c r="A237" s="21" t="s">
        <v>44</v>
      </c>
      <c r="B237" s="135" t="s">
        <v>26</v>
      </c>
      <c r="C237" s="141" t="s">
        <v>36</v>
      </c>
      <c r="D237" s="141" t="s">
        <v>82</v>
      </c>
      <c r="E237" s="136">
        <v>46245</v>
      </c>
      <c r="F237" s="135" t="s">
        <v>440</v>
      </c>
      <c r="G237" s="34" t="s">
        <v>355</v>
      </c>
      <c r="H237" s="142">
        <v>32.832000000000001</v>
      </c>
      <c r="I237" s="34">
        <v>593750</v>
      </c>
      <c r="J237" s="34">
        <f>Таблица1[[#This Row],[Блок
 Куб]]*Таблица1[[#This Row],[Цена 
Приход]]</f>
        <v>19494000</v>
      </c>
      <c r="K237" s="34">
        <v>19</v>
      </c>
      <c r="L237" s="34">
        <v>130000</v>
      </c>
      <c r="M237" s="34">
        <f>Таблица1[[#This Row],[Поддон
Шт]]*Таблица1[[#This Row],[Цена
Поддон]]</f>
        <v>2470000</v>
      </c>
      <c r="N237" s="34">
        <f>Таблица1[[#This Row],[Сумма 
Приход]]+Таблица1[[#This Row],[Сумма Поддон]]</f>
        <v>21964000</v>
      </c>
      <c r="O237" s="34">
        <v>720000</v>
      </c>
      <c r="P237" s="34">
        <f>Таблица1[[#This Row],[Блок
 Куб]]*Таблица1[[#This Row],[Цена
 Продажа]]</f>
        <v>23639040</v>
      </c>
      <c r="Q237" s="34" t="s">
        <v>240</v>
      </c>
      <c r="R237" s="34">
        <f>Таблица1[[#This Row],[Сумма 
Продажа]]-Таблица1[[#This Row],[Сумма 
Приход]]-Таблица1[[#This Row],[Авто услу ]]</f>
        <v>1745040</v>
      </c>
      <c r="S237" s="34">
        <v>2400000</v>
      </c>
      <c r="T237" s="34">
        <f>Таблица1[[#This Row],[Сумма 
Продажа]]-IF(Таблица1[[#This Row],[Расход 
Авто]]="Клиент",N(Таблица1[[#This Row],[Авто услу ]]),0)</f>
        <v>21239040</v>
      </c>
      <c r="U2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7" s="265" t="str">
        <f>IFERROR(INDEX(Мижозлар[Агент],MATCH($D237,Мижозлар[Расмий ном],0)),"")</f>
        <v>Темур</v>
      </c>
    </row>
    <row r="238" spans="1:23" ht="14.25" x14ac:dyDescent="0.2">
      <c r="A238" s="21" t="s">
        <v>44</v>
      </c>
      <c r="B238" s="135" t="s">
        <v>26</v>
      </c>
      <c r="C238" s="141" t="s">
        <v>29</v>
      </c>
      <c r="D238" s="141" t="s">
        <v>95</v>
      </c>
      <c r="E238" s="136">
        <v>46245</v>
      </c>
      <c r="F238" s="135" t="s">
        <v>420</v>
      </c>
      <c r="G238" s="34" t="s">
        <v>355</v>
      </c>
      <c r="H238" s="142">
        <v>32.832000000000001</v>
      </c>
      <c r="I238" s="34">
        <v>593750</v>
      </c>
      <c r="J238" s="34">
        <f>Таблица1[[#This Row],[Блок
 Куб]]*Таблица1[[#This Row],[Цена 
Приход]]</f>
        <v>19494000</v>
      </c>
      <c r="K238" s="34">
        <v>19</v>
      </c>
      <c r="L238" s="34">
        <v>130000</v>
      </c>
      <c r="M238" s="34">
        <f>Таблица1[[#This Row],[Поддон
Шт]]*Таблица1[[#This Row],[Цена
Поддон]]</f>
        <v>2470000</v>
      </c>
      <c r="N238" s="34">
        <f>Таблица1[[#This Row],[Сумма 
Приход]]+Таблица1[[#This Row],[Сумма Поддон]]</f>
        <v>21964000</v>
      </c>
      <c r="O238" s="34">
        <v>720000</v>
      </c>
      <c r="P238" s="34">
        <f>Таблица1[[#This Row],[Блок
 Куб]]*Таблица1[[#This Row],[Цена
 Продажа]]</f>
        <v>23639040</v>
      </c>
      <c r="Q238" s="34" t="s">
        <v>240</v>
      </c>
      <c r="R238" s="34">
        <f>Таблица1[[#This Row],[Сумма 
Продажа]]-Таблица1[[#This Row],[Сумма 
Приход]]-Таблица1[[#This Row],[Авто услу ]]</f>
        <v>1745040</v>
      </c>
      <c r="S238" s="34">
        <v>2400000</v>
      </c>
      <c r="T238" s="34">
        <f>Таблица1[[#This Row],[Сумма 
Продажа]]-IF(Таблица1[[#This Row],[Расход 
Авто]]="Клиент",N(Таблица1[[#This Row],[Авто услу ]]),0)</f>
        <v>21239040</v>
      </c>
      <c r="U2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8" s="265" t="str">
        <f>IFERROR(INDEX(Мижозлар[Агент],MATCH($D238,Мижозлар[Расмий ном],0)),"")</f>
        <v>Зафар ога</v>
      </c>
    </row>
    <row r="239" spans="1:23" ht="14.25" x14ac:dyDescent="0.2">
      <c r="A239" s="21" t="s">
        <v>44</v>
      </c>
      <c r="B239" s="135" t="s">
        <v>26</v>
      </c>
      <c r="C239" s="141" t="s">
        <v>36</v>
      </c>
      <c r="D239" s="141" t="s">
        <v>82</v>
      </c>
      <c r="E239" s="136">
        <v>46245</v>
      </c>
      <c r="F239" s="135" t="s">
        <v>504</v>
      </c>
      <c r="G239" s="34" t="s">
        <v>355</v>
      </c>
      <c r="H239" s="142">
        <v>32.832000000000001</v>
      </c>
      <c r="I239" s="34">
        <v>593750</v>
      </c>
      <c r="J239" s="34">
        <f>Таблица1[[#This Row],[Блок
 Куб]]*Таблица1[[#This Row],[Цена 
Приход]]</f>
        <v>19494000</v>
      </c>
      <c r="K239" s="34">
        <v>19</v>
      </c>
      <c r="L239" s="34">
        <v>130000</v>
      </c>
      <c r="M239" s="34">
        <f>Таблица1[[#This Row],[Поддон
Шт]]*Таблица1[[#This Row],[Цена
Поддон]]</f>
        <v>2470000</v>
      </c>
      <c r="N239" s="34">
        <f>Таблица1[[#This Row],[Сумма 
Приход]]+Таблица1[[#This Row],[Сумма Поддон]]</f>
        <v>21964000</v>
      </c>
      <c r="O239" s="34">
        <v>720000</v>
      </c>
      <c r="P239" s="34">
        <f>Таблица1[[#This Row],[Блок
 Куб]]*Таблица1[[#This Row],[Цена
 Продажа]]</f>
        <v>23639040</v>
      </c>
      <c r="Q239" s="34" t="s">
        <v>240</v>
      </c>
      <c r="R239" s="34">
        <f>Таблица1[[#This Row],[Сумма 
Продажа]]-Таблица1[[#This Row],[Сумма 
Приход]]-Таблица1[[#This Row],[Авто услу ]]</f>
        <v>1745040</v>
      </c>
      <c r="S239" s="34">
        <v>2400000</v>
      </c>
      <c r="T239" s="34">
        <f>Таблица1[[#This Row],[Сумма 
Продажа]]-IF(Таблица1[[#This Row],[Расход 
Авто]]="Клиент",N(Таблица1[[#This Row],[Авто услу ]]),0)</f>
        <v>21239040</v>
      </c>
      <c r="U2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39" s="265" t="str">
        <f>IFERROR(INDEX(Мижозлар[Агент],MATCH($D239,Мижозлар[Расмий ном],0)),"")</f>
        <v>Темур</v>
      </c>
    </row>
    <row r="240" spans="1:23" ht="14.25" x14ac:dyDescent="0.2">
      <c r="A240" s="21" t="s">
        <v>44</v>
      </c>
      <c r="B240" s="135" t="s">
        <v>26</v>
      </c>
      <c r="C240" s="141" t="s">
        <v>29</v>
      </c>
      <c r="D240" s="141" t="s">
        <v>95</v>
      </c>
      <c r="E240" s="136">
        <v>46245</v>
      </c>
      <c r="F240" s="135" t="s">
        <v>514</v>
      </c>
      <c r="G240" s="34" t="s">
        <v>355</v>
      </c>
      <c r="H240" s="142">
        <v>32.832000000000001</v>
      </c>
      <c r="I240" s="34">
        <v>593750</v>
      </c>
      <c r="J240" s="34">
        <f>Таблица1[[#This Row],[Блок
 Куб]]*Таблица1[[#This Row],[Цена 
Приход]]</f>
        <v>19494000</v>
      </c>
      <c r="K240" s="34">
        <v>19</v>
      </c>
      <c r="L240" s="34">
        <v>130000</v>
      </c>
      <c r="M240" s="34">
        <f>Таблица1[[#This Row],[Поддон
Шт]]*Таблица1[[#This Row],[Цена
Поддон]]</f>
        <v>2470000</v>
      </c>
      <c r="N240" s="34">
        <f>Таблица1[[#This Row],[Сумма 
Приход]]+Таблица1[[#This Row],[Сумма Поддон]]</f>
        <v>21964000</v>
      </c>
      <c r="O240" s="34">
        <v>720000</v>
      </c>
      <c r="P240" s="34">
        <f>Таблица1[[#This Row],[Блок
 Куб]]*Таблица1[[#This Row],[Цена
 Продажа]]</f>
        <v>23639040</v>
      </c>
      <c r="Q240" s="34" t="s">
        <v>240</v>
      </c>
      <c r="R240" s="34">
        <f>Таблица1[[#This Row],[Сумма 
Продажа]]-Таблица1[[#This Row],[Сумма 
Приход]]-Таблица1[[#This Row],[Авто услу ]]</f>
        <v>1645040</v>
      </c>
      <c r="S240" s="34">
        <v>2500000</v>
      </c>
      <c r="T240" s="34">
        <f>Таблица1[[#This Row],[Сумма 
Продажа]]-IF(Таблица1[[#This Row],[Расход 
Авто]]="Клиент",N(Таблица1[[#This Row],[Авто услу ]]),0)</f>
        <v>21139040</v>
      </c>
      <c r="U2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0" s="265" t="str">
        <f>IFERROR(INDEX(Мижозлар[Агент],MATCH($D240,Мижозлар[Расмий ном],0)),"")</f>
        <v>Зафар ога</v>
      </c>
    </row>
    <row r="241" spans="1:23" ht="14.25" x14ac:dyDescent="0.2">
      <c r="A241" s="21" t="s">
        <v>44</v>
      </c>
      <c r="B241" s="135" t="s">
        <v>26</v>
      </c>
      <c r="C241" s="141" t="s">
        <v>32</v>
      </c>
      <c r="D241" s="141" t="s">
        <v>107</v>
      </c>
      <c r="E241" s="136">
        <v>46245</v>
      </c>
      <c r="F241" s="135" t="s">
        <v>515</v>
      </c>
      <c r="G241" s="34" t="s">
        <v>368</v>
      </c>
      <c r="H241" s="142">
        <v>32.832000000000001</v>
      </c>
      <c r="I241" s="34">
        <v>593750</v>
      </c>
      <c r="J241" s="34">
        <f>Таблица1[[#This Row],[Блок
 Куб]]*Таблица1[[#This Row],[Цена 
Приход]]</f>
        <v>19494000</v>
      </c>
      <c r="K241" s="34">
        <v>19</v>
      </c>
      <c r="L241" s="34">
        <v>130000</v>
      </c>
      <c r="M241" s="34">
        <f>Таблица1[[#This Row],[Поддон
Шт]]*Таблица1[[#This Row],[Цена
Поддон]]</f>
        <v>2470000</v>
      </c>
      <c r="N241" s="34">
        <f>Таблица1[[#This Row],[Сумма 
Приход]]+Таблица1[[#This Row],[Сумма Поддон]]</f>
        <v>21964000</v>
      </c>
      <c r="O241" s="34">
        <v>720000</v>
      </c>
      <c r="P241" s="34">
        <f>Таблица1[[#This Row],[Блок
 Куб]]*Таблица1[[#This Row],[Цена
 Продажа]]</f>
        <v>23639040</v>
      </c>
      <c r="Q241" s="34" t="s">
        <v>240</v>
      </c>
      <c r="R241" s="34">
        <f>Таблица1[[#This Row],[Сумма 
Продажа]]-Таблица1[[#This Row],[Сумма 
Приход]]-Таблица1[[#This Row],[Авто услу ]]</f>
        <v>1745040</v>
      </c>
      <c r="S241" s="34">
        <v>2400000</v>
      </c>
      <c r="T241" s="34">
        <f>Таблица1[[#This Row],[Сумма 
Продажа]]-IF(Таблица1[[#This Row],[Расход 
Авто]]="Клиент",N(Таблица1[[#This Row],[Авто услу ]]),0)</f>
        <v>21239040</v>
      </c>
      <c r="U2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1" s="265" t="str">
        <f>IFERROR(INDEX(Мижозлар[Агент],MATCH($D241,Мижозлар[Расмий ном],0)),"")</f>
        <v>Сардор ога</v>
      </c>
    </row>
    <row r="242" spans="1:23" ht="14.25" x14ac:dyDescent="0.2">
      <c r="A242" s="21" t="s">
        <v>44</v>
      </c>
      <c r="B242" s="135" t="s">
        <v>26</v>
      </c>
      <c r="C242" s="141" t="s">
        <v>29</v>
      </c>
      <c r="D242" s="141" t="s">
        <v>95</v>
      </c>
      <c r="E242" s="136">
        <v>46246</v>
      </c>
      <c r="F242" s="135" t="s">
        <v>516</v>
      </c>
      <c r="G242" s="34" t="s">
        <v>368</v>
      </c>
      <c r="H242" s="142">
        <v>32.832000000000001</v>
      </c>
      <c r="I242" s="34">
        <v>593750</v>
      </c>
      <c r="J242" s="34">
        <f>Таблица1[[#This Row],[Блок
 Куб]]*Таблица1[[#This Row],[Цена 
Приход]]</f>
        <v>19494000</v>
      </c>
      <c r="K242" s="34">
        <v>19</v>
      </c>
      <c r="L242" s="34">
        <v>130000</v>
      </c>
      <c r="M242" s="34">
        <f>Таблица1[[#This Row],[Поддон
Шт]]*Таблица1[[#This Row],[Цена
Поддон]]</f>
        <v>2470000</v>
      </c>
      <c r="N242" s="34">
        <f>Таблица1[[#This Row],[Сумма 
Приход]]+Таблица1[[#This Row],[Сумма Поддон]]</f>
        <v>21964000</v>
      </c>
      <c r="O242" s="34">
        <v>720000</v>
      </c>
      <c r="P242" s="34">
        <f>Таблица1[[#This Row],[Блок
 Куб]]*Таблица1[[#This Row],[Цена
 Продажа]]</f>
        <v>23639040</v>
      </c>
      <c r="Q242" s="34" t="s">
        <v>240</v>
      </c>
      <c r="R242" s="34">
        <f>Таблица1[[#This Row],[Сумма 
Продажа]]-Таблица1[[#This Row],[Сумма 
Приход]]-Таблица1[[#This Row],[Авто услу ]]</f>
        <v>1645040</v>
      </c>
      <c r="S242" s="34">
        <v>2500000</v>
      </c>
      <c r="T242" s="34">
        <f>Таблица1[[#This Row],[Сумма 
Продажа]]-IF(Таблица1[[#This Row],[Расход 
Авто]]="Клиент",N(Таблица1[[#This Row],[Авто услу ]]),0)</f>
        <v>21139040</v>
      </c>
      <c r="U2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2" s="265" t="str">
        <f>IFERROR(INDEX(Мижозлар[Агент],MATCH($D242,Мижозлар[Расмий ном],0)),"")</f>
        <v>Зафар ога</v>
      </c>
    </row>
    <row r="243" spans="1:23" x14ac:dyDescent="0.2">
      <c r="A243" s="21" t="s">
        <v>44</v>
      </c>
      <c r="B243" s="135" t="s">
        <v>26</v>
      </c>
      <c r="C243" s="141" t="s">
        <v>36</v>
      </c>
      <c r="D243" s="141" t="s">
        <v>82</v>
      </c>
      <c r="E243" s="136">
        <v>46246</v>
      </c>
      <c r="F243" s="135" t="s">
        <v>517</v>
      </c>
      <c r="G243" s="34" t="s">
        <v>355</v>
      </c>
      <c r="H243" s="142">
        <v>32.832000000000001</v>
      </c>
      <c r="I243" s="34">
        <v>593750</v>
      </c>
      <c r="J243" s="34">
        <f>Таблица1[[#This Row],[Блок
 Куб]]*Таблица1[[#This Row],[Цена 
Приход]]</f>
        <v>19494000</v>
      </c>
      <c r="K243" s="34">
        <v>19</v>
      </c>
      <c r="L243" s="34">
        <v>130000</v>
      </c>
      <c r="M243" s="34">
        <f>Таблица1[[#This Row],[Поддон
Шт]]*Таблица1[[#This Row],[Цена
Поддон]]</f>
        <v>2470000</v>
      </c>
      <c r="N243" s="34">
        <f>Таблица1[[#This Row],[Сумма 
Приход]]+Таблица1[[#This Row],[Сумма Поддон]]</f>
        <v>21964000</v>
      </c>
      <c r="O243" s="34">
        <v>720000</v>
      </c>
      <c r="P243" s="34">
        <f>Таблица1[[#This Row],[Блок
 Куб]]*Таблица1[[#This Row],[Цена
 Продажа]]</f>
        <v>23639040</v>
      </c>
      <c r="Q243" s="34" t="s">
        <v>240</v>
      </c>
      <c r="R243" s="34">
        <f>Таблица1[[#This Row],[Сумма 
Продажа]]-Таблица1[[#This Row],[Сумма 
Приход]]-Таблица1[[#This Row],[Авто услу ]]</f>
        <v>1745040</v>
      </c>
      <c r="S243" s="34">
        <v>2400000</v>
      </c>
      <c r="T243" s="320">
        <f>Таблица1[[#This Row],[Сумма 
Продажа]]-IF(Таблица1[[#This Row],[Расход 
Авто]]="Клиент",N(Таблица1[[#This Row],[Авто услу ]]),0)</f>
        <v>21239040</v>
      </c>
      <c r="U2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3" s="265" t="str">
        <f>IFERROR(INDEX(Мижозлар[Агент],MATCH($D243,Мижозлар[Расмий ном],0)),"")</f>
        <v>Темур</v>
      </c>
    </row>
    <row r="244" spans="1:23" x14ac:dyDescent="0.2">
      <c r="A244" s="21" t="s">
        <v>44</v>
      </c>
      <c r="B244" s="135" t="s">
        <v>26</v>
      </c>
      <c r="C244" s="141" t="s">
        <v>36</v>
      </c>
      <c r="D244" s="141" t="s">
        <v>82</v>
      </c>
      <c r="E244" s="136">
        <v>46246</v>
      </c>
      <c r="F244" s="135" t="s">
        <v>440</v>
      </c>
      <c r="G244" s="34" t="s">
        <v>355</v>
      </c>
      <c r="H244" s="142">
        <v>32.832000000000001</v>
      </c>
      <c r="I244" s="34">
        <v>593750</v>
      </c>
      <c r="J244" s="34">
        <f>Таблица1[[#This Row],[Блок
 Куб]]*Таблица1[[#This Row],[Цена 
Приход]]</f>
        <v>19494000</v>
      </c>
      <c r="K244" s="34">
        <v>19</v>
      </c>
      <c r="L244" s="34">
        <v>130000</v>
      </c>
      <c r="M244" s="34">
        <f>Таблица1[[#This Row],[Поддон
Шт]]*Таблица1[[#This Row],[Цена
Поддон]]</f>
        <v>2470000</v>
      </c>
      <c r="N244" s="34">
        <f>Таблица1[[#This Row],[Сумма 
Приход]]+Таблица1[[#This Row],[Сумма Поддон]]</f>
        <v>21964000</v>
      </c>
      <c r="O244" s="34">
        <v>720000</v>
      </c>
      <c r="P244" s="34">
        <f>Таблица1[[#This Row],[Блок
 Куб]]*Таблица1[[#This Row],[Цена
 Продажа]]</f>
        <v>23639040</v>
      </c>
      <c r="Q244" s="34" t="s">
        <v>240</v>
      </c>
      <c r="R244" s="34">
        <f>Таблица1[[#This Row],[Сумма 
Продажа]]-Таблица1[[#This Row],[Сумма 
Приход]]-Таблица1[[#This Row],[Авто услу ]]</f>
        <v>1745040</v>
      </c>
      <c r="S244" s="34">
        <v>2400000</v>
      </c>
      <c r="T244" s="320">
        <f>Таблица1[[#This Row],[Сумма 
Продажа]]-IF(Таблица1[[#This Row],[Расход 
Авто]]="Клиент",N(Таблица1[[#This Row],[Авто услу ]]),0)</f>
        <v>21239040</v>
      </c>
      <c r="U2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4" s="265" t="str">
        <f>IFERROR(INDEX(Мижозлар[Агент],MATCH($D244,Мижозлар[Расмий ном],0)),"")</f>
        <v>Темур</v>
      </c>
    </row>
    <row r="245" spans="1:23" ht="14.25" x14ac:dyDescent="0.2">
      <c r="A245" s="21" t="s">
        <v>44</v>
      </c>
      <c r="B245" s="135" t="s">
        <v>26</v>
      </c>
      <c r="C245" s="141" t="s">
        <v>29</v>
      </c>
      <c r="D245" s="141" t="s">
        <v>95</v>
      </c>
      <c r="E245" s="136">
        <v>46246</v>
      </c>
      <c r="F245" s="135" t="s">
        <v>518</v>
      </c>
      <c r="G245" s="34" t="s">
        <v>355</v>
      </c>
      <c r="H245" s="142">
        <v>32.832000000000001</v>
      </c>
      <c r="I245" s="34">
        <v>593750</v>
      </c>
      <c r="J245" s="34">
        <f>Таблица1[[#This Row],[Блок
 Куб]]*Таблица1[[#This Row],[Цена 
Приход]]</f>
        <v>19494000</v>
      </c>
      <c r="K245" s="34">
        <v>19</v>
      </c>
      <c r="L245" s="34">
        <v>130000</v>
      </c>
      <c r="M245" s="34">
        <f>Таблица1[[#This Row],[Поддон
Шт]]*Таблица1[[#This Row],[Цена
Поддон]]</f>
        <v>2470000</v>
      </c>
      <c r="N245" s="34">
        <f>Таблица1[[#This Row],[Сумма 
Приход]]+Таблица1[[#This Row],[Сумма Поддон]]</f>
        <v>21964000</v>
      </c>
      <c r="O245" s="34">
        <v>720000</v>
      </c>
      <c r="P245" s="34">
        <f>Таблица1[[#This Row],[Блок
 Куб]]*Таблица1[[#This Row],[Цена
 Продажа]]</f>
        <v>23639040</v>
      </c>
      <c r="Q245" s="34" t="s">
        <v>240</v>
      </c>
      <c r="R245" s="34">
        <f>Таблица1[[#This Row],[Сумма 
Продажа]]-Таблица1[[#This Row],[Сумма 
Приход]]-Таблица1[[#This Row],[Авто услу ]]</f>
        <v>1745040</v>
      </c>
      <c r="S245" s="34">
        <v>2400000</v>
      </c>
      <c r="T245" s="34">
        <f>Таблица1[[#This Row],[Сумма 
Продажа]]-IF(Таблица1[[#This Row],[Расход 
Авто]]="Клиент",N(Таблица1[[#This Row],[Авто услу ]]),0)</f>
        <v>21239040</v>
      </c>
      <c r="U2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5" s="265" t="str">
        <f>IFERROR(INDEX(Мижозлар[Агент],MATCH($D245,Мижозлар[Расмий ном],0)),"")</f>
        <v>Зафар ога</v>
      </c>
    </row>
    <row r="246" spans="1:23" ht="14.25" x14ac:dyDescent="0.2">
      <c r="A246" s="21" t="s">
        <v>44</v>
      </c>
      <c r="B246" s="135" t="s">
        <v>26</v>
      </c>
      <c r="C246" s="141" t="s">
        <v>32</v>
      </c>
      <c r="D246" s="141" t="s">
        <v>85</v>
      </c>
      <c r="E246" s="136">
        <v>46246</v>
      </c>
      <c r="F246" s="135" t="s">
        <v>519</v>
      </c>
      <c r="G246" s="34" t="s">
        <v>368</v>
      </c>
      <c r="H246" s="142">
        <v>32.832000000000001</v>
      </c>
      <c r="I246" s="34">
        <v>593750</v>
      </c>
      <c r="J246" s="34">
        <f>Таблица1[[#This Row],[Блок
 Куб]]*Таблица1[[#This Row],[Цена 
Приход]]</f>
        <v>19494000</v>
      </c>
      <c r="K246" s="34">
        <v>19</v>
      </c>
      <c r="L246" s="34">
        <v>130000</v>
      </c>
      <c r="M246" s="34">
        <f>Таблица1[[#This Row],[Поддон
Шт]]*Таблица1[[#This Row],[Цена
Поддон]]</f>
        <v>2470000</v>
      </c>
      <c r="N246" s="34">
        <f>Таблица1[[#This Row],[Сумма 
Приход]]+Таблица1[[#This Row],[Сумма Поддон]]</f>
        <v>21964000</v>
      </c>
      <c r="O246" s="34">
        <v>720000</v>
      </c>
      <c r="P246" s="34">
        <f>Таблица1[[#This Row],[Блок
 Куб]]*Таблица1[[#This Row],[Цена
 Продажа]]</f>
        <v>23639040</v>
      </c>
      <c r="Q246" s="34" t="s">
        <v>240</v>
      </c>
      <c r="R246" s="34">
        <f>Таблица1[[#This Row],[Сумма 
Продажа]]-Таблица1[[#This Row],[Сумма 
Приход]]-Таблица1[[#This Row],[Авто услу ]]</f>
        <v>1745040</v>
      </c>
      <c r="S246" s="34">
        <v>2400000</v>
      </c>
      <c r="T246" s="34">
        <f>Таблица1[[#This Row],[Сумма 
Продажа]]-IF(Таблица1[[#This Row],[Расход 
Авто]]="Клиент",N(Таблица1[[#This Row],[Авто услу ]]),0)</f>
        <v>21239040</v>
      </c>
      <c r="U2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6" s="265" t="str">
        <f>IFERROR(INDEX(Мижозлар[Агент],MATCH($D246,Мижозлар[Расмий ном],0)),"")</f>
        <v>Сардор ога</v>
      </c>
    </row>
    <row r="247" spans="1:23" ht="14.25" x14ac:dyDescent="0.2">
      <c r="A247" s="21" t="s">
        <v>44</v>
      </c>
      <c r="B247" s="135" t="s">
        <v>26</v>
      </c>
      <c r="C247" s="141" t="s">
        <v>40</v>
      </c>
      <c r="D247" s="141" t="s">
        <v>19</v>
      </c>
      <c r="E247" s="136">
        <v>46247</v>
      </c>
      <c r="F247" s="135" t="s">
        <v>460</v>
      </c>
      <c r="G247" s="34" t="s">
        <v>355</v>
      </c>
      <c r="H247" s="142">
        <v>32.832000000000001</v>
      </c>
      <c r="I247" s="188">
        <v>593750</v>
      </c>
      <c r="J247" s="34">
        <f>Таблица1[[#This Row],[Блок
 Куб]]*Таблица1[[#This Row],[Цена 
Приход]]</f>
        <v>19494000</v>
      </c>
      <c r="K247" s="34">
        <v>19</v>
      </c>
      <c r="L247" s="34">
        <v>130000</v>
      </c>
      <c r="M247" s="34">
        <f>Таблица1[[#This Row],[Поддон
Шт]]*Таблица1[[#This Row],[Цена
Поддон]]</f>
        <v>2470000</v>
      </c>
      <c r="N247" s="34">
        <f>Таблица1[[#This Row],[Сумма 
Приход]]+Таблица1[[#This Row],[Сумма Поддон]]</f>
        <v>21964000</v>
      </c>
      <c r="O247" s="34">
        <v>720000</v>
      </c>
      <c r="P247" s="34">
        <f>Таблица1[[#This Row],[Блок
 Куб]]*Таблица1[[#This Row],[Цена
 Продажа]]</f>
        <v>23639040</v>
      </c>
      <c r="Q247" s="34" t="s">
        <v>356</v>
      </c>
      <c r="R247" s="34">
        <f>Таблица1[[#This Row],[Сумма 
Продажа]]-Таблица1[[#This Row],[Сумма 
Приход]]-Таблица1[[#This Row],[Авто услу ]]</f>
        <v>1745040</v>
      </c>
      <c r="S247" s="34">
        <v>2400000</v>
      </c>
      <c r="T247" s="34">
        <f>Таблица1[[#This Row],[Сумма 
Продажа]]-IF(Таблица1[[#This Row],[Расход 
Авто]]="Клиент",N(Таблица1[[#This Row],[Авто услу ]]),0)</f>
        <v>23639040</v>
      </c>
      <c r="U2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7" s="265" t="str">
        <f>IFERROR(INDEX(Мижозлар[Агент],MATCH($D247,Мижозлар[Расмий ном],0)),"")</f>
        <v>Шохрух ога</v>
      </c>
    </row>
    <row r="248" spans="1:23" ht="14.25" x14ac:dyDescent="0.2">
      <c r="A248" s="21" t="s">
        <v>44</v>
      </c>
      <c r="B248" s="135" t="s">
        <v>26</v>
      </c>
      <c r="C248" s="141" t="s">
        <v>29</v>
      </c>
      <c r="D248" s="141" t="s">
        <v>67</v>
      </c>
      <c r="E248" s="136">
        <v>46247</v>
      </c>
      <c r="F248" s="135" t="s">
        <v>520</v>
      </c>
      <c r="G248" s="34" t="s">
        <v>355</v>
      </c>
      <c r="H248" s="142">
        <v>32.832000000000001</v>
      </c>
      <c r="I248" s="34">
        <v>593750</v>
      </c>
      <c r="J248" s="34">
        <f>Таблица1[[#This Row],[Блок
 Куб]]*Таблица1[[#This Row],[Цена 
Приход]]</f>
        <v>19494000</v>
      </c>
      <c r="K248" s="34">
        <v>19</v>
      </c>
      <c r="L248" s="34">
        <v>130000</v>
      </c>
      <c r="M248" s="34">
        <f>Таблица1[[#This Row],[Поддон
Шт]]*Таблица1[[#This Row],[Цена
Поддон]]</f>
        <v>2470000</v>
      </c>
      <c r="N248" s="34">
        <f>Таблица1[[#This Row],[Сумма 
Приход]]+Таблица1[[#This Row],[Сумма Поддон]]</f>
        <v>21964000</v>
      </c>
      <c r="O248" s="34">
        <v>720000</v>
      </c>
      <c r="P248" s="34">
        <f>Таблица1[[#This Row],[Блок
 Куб]]*Таблица1[[#This Row],[Цена
 Продажа]]</f>
        <v>23639040</v>
      </c>
      <c r="Q248" s="34" t="s">
        <v>240</v>
      </c>
      <c r="R248" s="34">
        <f>Таблица1[[#This Row],[Сумма 
Продажа]]-Таблица1[[#This Row],[Сумма 
Приход]]-Таблица1[[#This Row],[Авто услу ]]</f>
        <v>1745040</v>
      </c>
      <c r="S248" s="34">
        <v>2400000</v>
      </c>
      <c r="T248" s="34">
        <f>Таблица1[[#This Row],[Сумма 
Продажа]]-IF(Таблица1[[#This Row],[Расход 
Авто]]="Клиент",N(Таблица1[[#This Row],[Авто услу ]]),0)</f>
        <v>21239040</v>
      </c>
      <c r="U2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8" s="265" t="str">
        <f>IFERROR(INDEX(Мижозлар[Агент],MATCH($D248,Мижозлар[Расмий ном],0)),"")</f>
        <v>Зафар ога</v>
      </c>
    </row>
    <row r="249" spans="1:23" ht="14.25" x14ac:dyDescent="0.2">
      <c r="A249" s="21" t="s">
        <v>44</v>
      </c>
      <c r="B249" s="135" t="s">
        <v>26</v>
      </c>
      <c r="C249" s="141" t="s">
        <v>32</v>
      </c>
      <c r="D249" s="141" t="s">
        <v>65</v>
      </c>
      <c r="E249" s="136">
        <v>46247</v>
      </c>
      <c r="F249" s="135" t="s">
        <v>521</v>
      </c>
      <c r="G249" s="34" t="s">
        <v>355</v>
      </c>
      <c r="H249" s="142">
        <v>32.832000000000001</v>
      </c>
      <c r="I249" s="34">
        <v>593750</v>
      </c>
      <c r="J249" s="34">
        <f>Таблица1[[#This Row],[Блок
 Куб]]*Таблица1[[#This Row],[Цена 
Приход]]</f>
        <v>19494000</v>
      </c>
      <c r="K249" s="34">
        <v>19</v>
      </c>
      <c r="L249" s="34">
        <v>130000</v>
      </c>
      <c r="M249" s="34">
        <f>Таблица1[[#This Row],[Поддон
Шт]]*Таблица1[[#This Row],[Цена
Поддон]]</f>
        <v>2470000</v>
      </c>
      <c r="N249" s="34">
        <f>Таблица1[[#This Row],[Сумма 
Приход]]+Таблица1[[#This Row],[Сумма Поддон]]</f>
        <v>21964000</v>
      </c>
      <c r="O249" s="34">
        <v>720000</v>
      </c>
      <c r="P249" s="34">
        <f>Таблица1[[#This Row],[Блок
 Куб]]*Таблица1[[#This Row],[Цена
 Продажа]]</f>
        <v>23639040</v>
      </c>
      <c r="Q249" s="34" t="s">
        <v>240</v>
      </c>
      <c r="R249" s="34">
        <f>Таблица1[[#This Row],[Сумма 
Продажа]]-Таблица1[[#This Row],[Сумма 
Приход]]-Таблица1[[#This Row],[Авто услу ]]</f>
        <v>1745040</v>
      </c>
      <c r="S249" s="34">
        <v>2400000</v>
      </c>
      <c r="T249" s="34">
        <f>Таблица1[[#This Row],[Сумма 
Продажа]]-IF(Таблица1[[#This Row],[Расход 
Авто]]="Клиент",N(Таблица1[[#This Row],[Авто услу ]]),0)</f>
        <v>21239040</v>
      </c>
      <c r="U2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49" s="265" t="str">
        <f>IFERROR(INDEX(Мижозлар[Агент],MATCH($D249,Мижозлар[Расмий ном],0)),"")</f>
        <v>Сардор ога</v>
      </c>
    </row>
    <row r="250" spans="1:23" ht="14.25" x14ac:dyDescent="0.2">
      <c r="A250" s="21" t="s">
        <v>44</v>
      </c>
      <c r="B250" s="135" t="s">
        <v>22</v>
      </c>
      <c r="C250" s="141" t="s">
        <v>21</v>
      </c>
      <c r="D250" s="141" t="s">
        <v>116</v>
      </c>
      <c r="E250" s="136">
        <v>46247</v>
      </c>
      <c r="F250" s="135" t="s">
        <v>522</v>
      </c>
      <c r="G250" s="34" t="s">
        <v>355</v>
      </c>
      <c r="H250" s="142">
        <v>32.832000000000001</v>
      </c>
      <c r="I250" s="34">
        <v>593750</v>
      </c>
      <c r="J250" s="34">
        <f>Таблица1[[#This Row],[Блок
 Куб]]*Таблица1[[#This Row],[Цена 
Приход]]</f>
        <v>19494000</v>
      </c>
      <c r="K250" s="34">
        <v>19</v>
      </c>
      <c r="L250" s="34">
        <v>130000</v>
      </c>
      <c r="M250" s="34">
        <f>Таблица1[[#This Row],[Поддон
Шт]]*Таблица1[[#This Row],[Цена
Поддон]]</f>
        <v>2470000</v>
      </c>
      <c r="N250" s="34">
        <f>Таблица1[[#This Row],[Сумма 
Приход]]+Таблица1[[#This Row],[Сумма Поддон]]</f>
        <v>21964000</v>
      </c>
      <c r="O250" s="34">
        <v>720000</v>
      </c>
      <c r="P250" s="34">
        <f>Таблица1[[#This Row],[Блок
 Куб]]*Таблица1[[#This Row],[Цена
 Продажа]]</f>
        <v>23639040</v>
      </c>
      <c r="Q250" s="34" t="s">
        <v>240</v>
      </c>
      <c r="R250" s="34">
        <f>Таблица1[[#This Row],[Сумма 
Продажа]]-Таблица1[[#This Row],[Сумма 
Приход]]-Таблица1[[#This Row],[Авто услу ]]</f>
        <v>1745040</v>
      </c>
      <c r="S250" s="34">
        <v>2400000</v>
      </c>
      <c r="T250" s="34">
        <f>Таблица1[[#This Row],[Сумма 
Продажа]]-IF(Таблица1[[#This Row],[Расход 
Авто]]="Клиент",N(Таблица1[[#This Row],[Авто услу ]]),0)</f>
        <v>21239040</v>
      </c>
      <c r="U2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0" s="265" t="str">
        <f>IFERROR(INDEX(Мижозлар[Агент],MATCH($D250,Мижозлар[Расмий ном],0)),"")</f>
        <v>Арслон ога</v>
      </c>
    </row>
    <row r="251" spans="1:23" ht="14.25" x14ac:dyDescent="0.2">
      <c r="A251" s="21" t="s">
        <v>44</v>
      </c>
      <c r="B251" s="135" t="s">
        <v>22</v>
      </c>
      <c r="C251" s="141" t="s">
        <v>32</v>
      </c>
      <c r="D251" s="141" t="s">
        <v>91</v>
      </c>
      <c r="E251" s="136">
        <v>46247</v>
      </c>
      <c r="F251" s="135" t="s">
        <v>503</v>
      </c>
      <c r="G251" s="34" t="s">
        <v>355</v>
      </c>
      <c r="H251" s="142">
        <v>24.192</v>
      </c>
      <c r="I251" s="34">
        <v>593750</v>
      </c>
      <c r="J251" s="34">
        <f>Таблица1[[#This Row],[Блок
 Куб]]*Таблица1[[#This Row],[Цена 
Приход]]</f>
        <v>14364000</v>
      </c>
      <c r="K251" s="34">
        <v>14</v>
      </c>
      <c r="L251" s="34">
        <v>130000</v>
      </c>
      <c r="M251" s="34">
        <f>Таблица1[[#This Row],[Поддон
Шт]]*Таблица1[[#This Row],[Цена
Поддон]]</f>
        <v>1820000</v>
      </c>
      <c r="N251" s="34">
        <f>Таблица1[[#This Row],[Сумма 
Приход]]+Таблица1[[#This Row],[Сумма Поддон]]</f>
        <v>16184000</v>
      </c>
      <c r="O251" s="34">
        <v>720000</v>
      </c>
      <c r="P251" s="34">
        <f>Таблица1[[#This Row],[Блок
 Куб]]*Таблица1[[#This Row],[Цена
 Продажа]]</f>
        <v>17418240</v>
      </c>
      <c r="Q251" s="34" t="s">
        <v>240</v>
      </c>
      <c r="R251" s="34">
        <f>Таблица1[[#This Row],[Сумма 
Продажа]]-Таблица1[[#This Row],[Сумма 
Приход]]-Таблица1[[#This Row],[Авто услу ]]</f>
        <v>1285818.9539999999</v>
      </c>
      <c r="S251" s="34">
        <v>1768421.0460000001</v>
      </c>
      <c r="T251" s="34">
        <f>Таблица1[[#This Row],[Сумма 
Продажа]]-IF(Таблица1[[#This Row],[Расход 
Авто]]="Клиент",N(Таблица1[[#This Row],[Авто услу ]]),0)</f>
        <v>15649818.954</v>
      </c>
      <c r="U2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1" s="265" t="str">
        <f>IFERROR(INDEX(Мижозлар[Агент],MATCH($D251,Мижозлар[Расмий ном],0)),"")</f>
        <v>Сардор ога</v>
      </c>
    </row>
    <row r="252" spans="1:23" ht="14.25" x14ac:dyDescent="0.2">
      <c r="A252" s="21" t="s">
        <v>44</v>
      </c>
      <c r="B252" s="135" t="s">
        <v>22</v>
      </c>
      <c r="C252" s="141" t="s">
        <v>32</v>
      </c>
      <c r="D252" s="141" t="s">
        <v>91</v>
      </c>
      <c r="E252" s="136">
        <v>46247</v>
      </c>
      <c r="F252" s="135" t="s">
        <v>503</v>
      </c>
      <c r="G252" s="34" t="s">
        <v>368</v>
      </c>
      <c r="H252" s="142">
        <v>8.64</v>
      </c>
      <c r="I252" s="34">
        <v>593750</v>
      </c>
      <c r="J252" s="34">
        <f>Таблица1[[#This Row],[Блок
 Куб]]*Таблица1[[#This Row],[Цена 
Приход]]</f>
        <v>5130000</v>
      </c>
      <c r="K252" s="34">
        <v>5</v>
      </c>
      <c r="L252" s="34">
        <v>130000</v>
      </c>
      <c r="M252" s="34">
        <f>Таблица1[[#This Row],[Поддон
Шт]]*Таблица1[[#This Row],[Цена
Поддон]]</f>
        <v>650000</v>
      </c>
      <c r="N252" s="34">
        <f>Таблица1[[#This Row],[Сумма 
Приход]]+Таблица1[[#This Row],[Сумма Поддон]]</f>
        <v>5780000</v>
      </c>
      <c r="O252" s="34">
        <v>720000</v>
      </c>
      <c r="P252" s="34">
        <f>Таблица1[[#This Row],[Блок
 Куб]]*Таблица1[[#This Row],[Цена
 Продажа]]</f>
        <v>6220800</v>
      </c>
      <c r="Q252" s="34" t="s">
        <v>240</v>
      </c>
      <c r="R252" s="34">
        <f>Таблица1[[#This Row],[Сумма 
Продажа]]-Таблица1[[#This Row],[Сумма 
Приход]]-Таблица1[[#This Row],[Авто услу ]]</f>
        <v>459221.05599999998</v>
      </c>
      <c r="S252" s="34">
        <v>631578.94400000002</v>
      </c>
      <c r="T252" s="34">
        <f>Таблица1[[#This Row],[Сумма 
Продажа]]-IF(Таблица1[[#This Row],[Расход 
Авто]]="Клиент",N(Таблица1[[#This Row],[Авто услу ]]),0)</f>
        <v>5589221.0559999999</v>
      </c>
      <c r="U2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2" s="265" t="str">
        <f>IFERROR(INDEX(Мижозлар[Агент],MATCH($D252,Мижозлар[Расмий ном],0)),"")</f>
        <v>Сардор ога</v>
      </c>
    </row>
    <row r="253" spans="1:23" ht="14.25" x14ac:dyDescent="0.2">
      <c r="A253" s="21" t="s">
        <v>44</v>
      </c>
      <c r="B253" s="135" t="s">
        <v>22</v>
      </c>
      <c r="C253" s="141" t="s">
        <v>36</v>
      </c>
      <c r="D253" s="141" t="s">
        <v>48</v>
      </c>
      <c r="E253" s="136">
        <v>46247</v>
      </c>
      <c r="F253" s="135" t="s">
        <v>523</v>
      </c>
      <c r="G253" s="34" t="s">
        <v>355</v>
      </c>
      <c r="H253" s="142">
        <v>32.832000000000001</v>
      </c>
      <c r="I253" s="34">
        <v>593750</v>
      </c>
      <c r="J253" s="34">
        <f>Таблица1[[#This Row],[Блок
 Куб]]*Таблица1[[#This Row],[Цена 
Приход]]</f>
        <v>19494000</v>
      </c>
      <c r="K253" s="34">
        <v>19</v>
      </c>
      <c r="L253" s="34">
        <v>130000</v>
      </c>
      <c r="M253" s="34">
        <f>Таблица1[[#This Row],[Поддон
Шт]]*Таблица1[[#This Row],[Цена
Поддон]]</f>
        <v>2470000</v>
      </c>
      <c r="N253" s="34">
        <f>Таблица1[[#This Row],[Сумма 
Приход]]+Таблица1[[#This Row],[Сумма Поддон]]</f>
        <v>21964000</v>
      </c>
      <c r="O253" s="34">
        <v>720000</v>
      </c>
      <c r="P253" s="34">
        <f>Таблица1[[#This Row],[Блок
 Куб]]*Таблица1[[#This Row],[Цена
 Продажа]]</f>
        <v>23639040</v>
      </c>
      <c r="Q253" s="34" t="s">
        <v>240</v>
      </c>
      <c r="R253" s="34">
        <f>Таблица1[[#This Row],[Сумма 
Продажа]]-Таблица1[[#This Row],[Сумма 
Приход]]-Таблица1[[#This Row],[Авто услу ]]</f>
        <v>1745040</v>
      </c>
      <c r="S253" s="34">
        <v>2400000</v>
      </c>
      <c r="T253" s="34">
        <f>Таблица1[[#This Row],[Сумма 
Продажа]]-IF(Таблица1[[#This Row],[Расход 
Авто]]="Клиент",N(Таблица1[[#This Row],[Авто услу ]]),0)</f>
        <v>21239040</v>
      </c>
      <c r="U2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3" s="265" t="str">
        <f>IFERROR(INDEX(Мижозлар[Агент],MATCH($D253,Мижозлар[Расмий ном],0)),"")</f>
        <v>Темур</v>
      </c>
    </row>
    <row r="254" spans="1:23" ht="14.25" x14ac:dyDescent="0.2">
      <c r="A254" s="21" t="s">
        <v>44</v>
      </c>
      <c r="B254" s="135" t="s">
        <v>26</v>
      </c>
      <c r="C254" s="141" t="s">
        <v>32</v>
      </c>
      <c r="D254" s="141" t="s">
        <v>85</v>
      </c>
      <c r="E254" s="136">
        <v>46248</v>
      </c>
      <c r="F254" s="135" t="s">
        <v>524</v>
      </c>
      <c r="G254" s="34" t="s">
        <v>368</v>
      </c>
      <c r="H254" s="142">
        <v>32.832000000000001</v>
      </c>
      <c r="I254" s="34">
        <v>593750</v>
      </c>
      <c r="J254" s="34">
        <f>Таблица1[[#This Row],[Блок
 Куб]]*Таблица1[[#This Row],[Цена 
Приход]]</f>
        <v>19494000</v>
      </c>
      <c r="K254" s="34">
        <v>19</v>
      </c>
      <c r="L254" s="34">
        <v>130000</v>
      </c>
      <c r="M254" s="34">
        <f>Таблица1[[#This Row],[Поддон
Шт]]*Таблица1[[#This Row],[Цена
Поддон]]</f>
        <v>2470000</v>
      </c>
      <c r="N254" s="34">
        <f>Таблица1[[#This Row],[Сумма 
Приход]]+Таблица1[[#This Row],[Сумма Поддон]]</f>
        <v>21964000</v>
      </c>
      <c r="O254" s="34">
        <v>720000</v>
      </c>
      <c r="P254" s="34">
        <f>Таблица1[[#This Row],[Блок
 Куб]]*Таблица1[[#This Row],[Цена
 Продажа]]</f>
        <v>23639040</v>
      </c>
      <c r="Q254" s="34" t="s">
        <v>240</v>
      </c>
      <c r="R254" s="34">
        <f>Таблица1[[#This Row],[Сумма 
Продажа]]-Таблица1[[#This Row],[Сумма 
Приход]]-Таблица1[[#This Row],[Авто услу ]]</f>
        <v>1745040</v>
      </c>
      <c r="S254" s="34">
        <v>2400000</v>
      </c>
      <c r="T254" s="34">
        <f>Таблица1[[#This Row],[Сумма 
Продажа]]-IF(Таблица1[[#This Row],[Расход 
Авто]]="Клиент",N(Таблица1[[#This Row],[Авто услу ]]),0)</f>
        <v>21239040</v>
      </c>
      <c r="U2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4" s="265" t="str">
        <f>IFERROR(INDEX(Мижозлар[Агент],MATCH($D254,Мижозлар[Расмий ном],0)),"")</f>
        <v>Сардор ога</v>
      </c>
    </row>
    <row r="255" spans="1:23" ht="14.25" x14ac:dyDescent="0.2">
      <c r="A255" s="21" t="s">
        <v>44</v>
      </c>
      <c r="B255" s="135" t="s">
        <v>26</v>
      </c>
      <c r="C255" s="141" t="s">
        <v>29</v>
      </c>
      <c r="D255" s="141" t="s">
        <v>67</v>
      </c>
      <c r="E255" s="136">
        <v>46248</v>
      </c>
      <c r="F255" s="135" t="s">
        <v>451</v>
      </c>
      <c r="G255" s="34" t="s">
        <v>368</v>
      </c>
      <c r="H255" s="142">
        <v>32.832000000000001</v>
      </c>
      <c r="I255" s="34">
        <v>593750</v>
      </c>
      <c r="J255" s="34">
        <f>Таблица1[[#This Row],[Блок
 Куб]]*Таблица1[[#This Row],[Цена 
Приход]]</f>
        <v>19494000</v>
      </c>
      <c r="K255" s="34">
        <v>19</v>
      </c>
      <c r="L255" s="34">
        <v>130000</v>
      </c>
      <c r="M255" s="34">
        <f>Таблица1[[#This Row],[Поддон
Шт]]*Таблица1[[#This Row],[Цена
Поддон]]</f>
        <v>2470000</v>
      </c>
      <c r="N255" s="34">
        <f>Таблица1[[#This Row],[Сумма 
Приход]]+Таблица1[[#This Row],[Сумма Поддон]]</f>
        <v>21964000</v>
      </c>
      <c r="O255" s="34">
        <v>720000</v>
      </c>
      <c r="P255" s="34">
        <f>Таблица1[[#This Row],[Блок
 Куб]]*Таблица1[[#This Row],[Цена
 Продажа]]</f>
        <v>23639040</v>
      </c>
      <c r="Q255" s="34" t="s">
        <v>240</v>
      </c>
      <c r="R255" s="34">
        <f>Таблица1[[#This Row],[Сумма 
Продажа]]-Таблица1[[#This Row],[Сумма 
Приход]]-Таблица1[[#This Row],[Авто услу ]]</f>
        <v>1745040</v>
      </c>
      <c r="S255" s="34">
        <v>2400000</v>
      </c>
      <c r="T255" s="34">
        <f>Таблица1[[#This Row],[Сумма 
Продажа]]-IF(Таблица1[[#This Row],[Расход 
Авто]]="Клиент",N(Таблица1[[#This Row],[Авто услу ]]),0)</f>
        <v>21239040</v>
      </c>
      <c r="U2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5" s="265" t="str">
        <f>IFERROR(INDEX(Мижозлар[Агент],MATCH($D255,Мижозлар[Расмий ном],0)),"")</f>
        <v>Зафар ога</v>
      </c>
    </row>
    <row r="256" spans="1:23" ht="14.25" x14ac:dyDescent="0.2">
      <c r="A256" s="21" t="s">
        <v>44</v>
      </c>
      <c r="B256" s="135" t="s">
        <v>26</v>
      </c>
      <c r="C256" s="141" t="s">
        <v>25</v>
      </c>
      <c r="D256" s="141" t="s">
        <v>53</v>
      </c>
      <c r="E256" s="136">
        <v>46248</v>
      </c>
      <c r="F256" s="135" t="s">
        <v>525</v>
      </c>
      <c r="G256" s="34" t="s">
        <v>355</v>
      </c>
      <c r="H256" s="142">
        <v>32.832000000000001</v>
      </c>
      <c r="I256" s="34">
        <v>593750</v>
      </c>
      <c r="J256" s="34">
        <f>Таблица1[[#This Row],[Блок
 Куб]]*Таблица1[[#This Row],[Цена 
Приход]]</f>
        <v>19494000</v>
      </c>
      <c r="K256" s="34">
        <v>19</v>
      </c>
      <c r="L256" s="34">
        <v>130000</v>
      </c>
      <c r="M256" s="34">
        <f>Таблица1[[#This Row],[Поддон
Шт]]*Таблица1[[#This Row],[Цена
Поддон]]</f>
        <v>2470000</v>
      </c>
      <c r="N256" s="34">
        <f>Таблица1[[#This Row],[Сумма 
Приход]]+Таблица1[[#This Row],[Сумма Поддон]]</f>
        <v>21964000</v>
      </c>
      <c r="O256" s="34">
        <v>720000</v>
      </c>
      <c r="P256" s="34">
        <f>Таблица1[[#This Row],[Блок
 Куб]]*Таблица1[[#This Row],[Цена
 Продажа]]</f>
        <v>23639040</v>
      </c>
      <c r="Q256" s="34" t="s">
        <v>356</v>
      </c>
      <c r="R256" s="34">
        <f>Таблица1[[#This Row],[Сумма 
Продажа]]-Таблица1[[#This Row],[Сумма 
Приход]]-Таблица1[[#This Row],[Авто услу ]]</f>
        <v>1745040</v>
      </c>
      <c r="S256" s="34">
        <v>2400000</v>
      </c>
      <c r="T256" s="34">
        <f>Таблица1[[#This Row],[Сумма 
Продажа]]-IF(Таблица1[[#This Row],[Расход 
Авто]]="Клиент",N(Таблица1[[#This Row],[Авто услу ]]),0)</f>
        <v>23639040</v>
      </c>
      <c r="U2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6" s="265" t="str">
        <f>IFERROR(INDEX(Мижозлар[Агент],MATCH($D256,Мижозлар[Расмий ном],0)),"")</f>
        <v>Жамол 22-22</v>
      </c>
    </row>
    <row r="257" spans="1:23" ht="14.25" x14ac:dyDescent="0.2">
      <c r="A257" s="21" t="s">
        <v>44</v>
      </c>
      <c r="B257" s="135" t="s">
        <v>26</v>
      </c>
      <c r="C257" s="141" t="s">
        <v>32</v>
      </c>
      <c r="D257" s="141" t="s">
        <v>65</v>
      </c>
      <c r="E257" s="136">
        <v>46248</v>
      </c>
      <c r="F257" s="135" t="s">
        <v>486</v>
      </c>
      <c r="G257" s="34" t="s">
        <v>355</v>
      </c>
      <c r="H257" s="142">
        <v>32.832000000000001</v>
      </c>
      <c r="I257" s="34">
        <v>593750</v>
      </c>
      <c r="J257" s="34">
        <f>Таблица1[[#This Row],[Блок
 Куб]]*Таблица1[[#This Row],[Цена 
Приход]]</f>
        <v>19494000</v>
      </c>
      <c r="K257" s="34">
        <v>19</v>
      </c>
      <c r="L257" s="34">
        <v>130000</v>
      </c>
      <c r="M257" s="34">
        <f>Таблица1[[#This Row],[Поддон
Шт]]*Таблица1[[#This Row],[Цена
Поддон]]</f>
        <v>2470000</v>
      </c>
      <c r="N257" s="34">
        <f>Таблица1[[#This Row],[Сумма 
Приход]]+Таблица1[[#This Row],[Сумма Поддон]]</f>
        <v>21964000</v>
      </c>
      <c r="O257" s="34">
        <v>720000</v>
      </c>
      <c r="P257" s="34">
        <f>Таблица1[[#This Row],[Блок
 Куб]]*Таблица1[[#This Row],[Цена
 Продажа]]</f>
        <v>23639040</v>
      </c>
      <c r="Q257" s="34" t="s">
        <v>240</v>
      </c>
      <c r="R257" s="34">
        <f>Таблица1[[#This Row],[Сумма 
Продажа]]-Таблица1[[#This Row],[Сумма 
Приход]]-Таблица1[[#This Row],[Авто услу ]]</f>
        <v>1745040</v>
      </c>
      <c r="S257" s="34">
        <v>2400000</v>
      </c>
      <c r="T257" s="34">
        <f>Таблица1[[#This Row],[Сумма 
Продажа]]-IF(Таблица1[[#This Row],[Расход 
Авто]]="Клиент",N(Таблица1[[#This Row],[Авто услу ]]),0)</f>
        <v>21239040</v>
      </c>
      <c r="U2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7" s="265" t="str">
        <f>IFERROR(INDEX(Мижозлар[Агент],MATCH($D257,Мижозлар[Расмий ном],0)),"")</f>
        <v>Сардор ога</v>
      </c>
    </row>
    <row r="258" spans="1:23" ht="14.25" x14ac:dyDescent="0.2">
      <c r="A258" s="21" t="s">
        <v>44</v>
      </c>
      <c r="B258" s="135" t="s">
        <v>26</v>
      </c>
      <c r="C258" s="141" t="s">
        <v>36</v>
      </c>
      <c r="D258" s="141" t="s">
        <v>82</v>
      </c>
      <c r="E258" s="136">
        <v>46248</v>
      </c>
      <c r="F258" s="135" t="s">
        <v>526</v>
      </c>
      <c r="G258" s="34" t="s">
        <v>355</v>
      </c>
      <c r="H258" s="142">
        <v>32.832000000000001</v>
      </c>
      <c r="I258" s="34">
        <v>593750</v>
      </c>
      <c r="J258" s="34">
        <f>Таблица1[[#This Row],[Блок
 Куб]]*Таблица1[[#This Row],[Цена 
Приход]]</f>
        <v>19494000</v>
      </c>
      <c r="K258" s="34">
        <v>19</v>
      </c>
      <c r="L258" s="34">
        <v>130000</v>
      </c>
      <c r="M258" s="34">
        <f>Таблица1[[#This Row],[Поддон
Шт]]*Таблица1[[#This Row],[Цена
Поддон]]</f>
        <v>2470000</v>
      </c>
      <c r="N258" s="34">
        <f>Таблица1[[#This Row],[Сумма 
Приход]]+Таблица1[[#This Row],[Сумма Поддон]]</f>
        <v>21964000</v>
      </c>
      <c r="O258" s="34">
        <v>720000</v>
      </c>
      <c r="P258" s="34">
        <f>Таблица1[[#This Row],[Блок
 Куб]]*Таблица1[[#This Row],[Цена
 Продажа]]</f>
        <v>23639040</v>
      </c>
      <c r="Q258" s="34" t="s">
        <v>240</v>
      </c>
      <c r="R258" s="34">
        <f>Таблица1[[#This Row],[Сумма 
Продажа]]-Таблица1[[#This Row],[Сумма 
Приход]]-Таблица1[[#This Row],[Авто услу ]]</f>
        <v>1745040</v>
      </c>
      <c r="S258" s="34">
        <v>2400000</v>
      </c>
      <c r="T258" s="34">
        <f>Таблица1[[#This Row],[Сумма 
Продажа]]-IF(Таблица1[[#This Row],[Расход 
Авто]]="Клиент",N(Таблица1[[#This Row],[Авто услу ]]),0)</f>
        <v>21239040</v>
      </c>
      <c r="U2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8" s="265" t="str">
        <f>IFERROR(INDEX(Мижозлар[Агент],MATCH($D258,Мижозлар[Расмий ном],0)),"")</f>
        <v>Темур</v>
      </c>
    </row>
    <row r="259" spans="1:23" ht="14.25" x14ac:dyDescent="0.2">
      <c r="A259" s="21" t="s">
        <v>44</v>
      </c>
      <c r="B259" s="135" t="s">
        <v>22</v>
      </c>
      <c r="C259" s="141" t="s">
        <v>36</v>
      </c>
      <c r="D259" s="141" t="s">
        <v>82</v>
      </c>
      <c r="E259" s="136">
        <v>46248</v>
      </c>
      <c r="F259" s="135" t="s">
        <v>527</v>
      </c>
      <c r="G259" s="34" t="s">
        <v>355</v>
      </c>
      <c r="H259" s="142">
        <v>32.832000000000001</v>
      </c>
      <c r="I259" s="34">
        <v>593750</v>
      </c>
      <c r="J259" s="34">
        <f>Таблица1[[#This Row],[Блок
 Куб]]*Таблица1[[#This Row],[Цена 
Приход]]</f>
        <v>19494000</v>
      </c>
      <c r="K259" s="34">
        <v>19</v>
      </c>
      <c r="L259" s="34">
        <v>130000</v>
      </c>
      <c r="M259" s="34">
        <f>Таблица1[[#This Row],[Поддон
Шт]]*Таблица1[[#This Row],[Цена
Поддон]]</f>
        <v>2470000</v>
      </c>
      <c r="N259" s="34">
        <f>Таблица1[[#This Row],[Сумма 
Приход]]+Таблица1[[#This Row],[Сумма Поддон]]</f>
        <v>21964000</v>
      </c>
      <c r="O259" s="34">
        <v>720000</v>
      </c>
      <c r="P259" s="34">
        <f>Таблица1[[#This Row],[Блок
 Куб]]*Таблица1[[#This Row],[Цена
 Продажа]]</f>
        <v>23639040</v>
      </c>
      <c r="Q259" s="34" t="s">
        <v>240</v>
      </c>
      <c r="R259" s="34">
        <f>Таблица1[[#This Row],[Сумма 
Продажа]]-Таблица1[[#This Row],[Сумма 
Приход]]-Таблица1[[#This Row],[Авто услу ]]</f>
        <v>1745040</v>
      </c>
      <c r="S259" s="34">
        <v>2400000</v>
      </c>
      <c r="T259" s="34">
        <f>Таблица1[[#This Row],[Сумма 
Продажа]]-IF(Таблица1[[#This Row],[Расход 
Авто]]="Клиент",N(Таблица1[[#This Row],[Авто услу ]]),0)</f>
        <v>21239040</v>
      </c>
      <c r="U2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59" s="265" t="str">
        <f>IFERROR(INDEX(Мижозлар[Агент],MATCH($D259,Мижозлар[Расмий ном],0)),"")</f>
        <v>Темур</v>
      </c>
    </row>
    <row r="260" spans="1:23" ht="14.25" x14ac:dyDescent="0.2">
      <c r="A260" s="21" t="s">
        <v>44</v>
      </c>
      <c r="B260" s="135" t="s">
        <v>26</v>
      </c>
      <c r="C260" s="141" t="s">
        <v>32</v>
      </c>
      <c r="D260" s="141" t="s">
        <v>107</v>
      </c>
      <c r="E260" s="136">
        <v>46248</v>
      </c>
      <c r="F260" s="135" t="s">
        <v>528</v>
      </c>
      <c r="G260" s="34" t="s">
        <v>355</v>
      </c>
      <c r="H260" s="142">
        <v>32.832000000000001</v>
      </c>
      <c r="I260" s="34">
        <v>593750</v>
      </c>
      <c r="J260" s="34">
        <f>Таблица1[[#This Row],[Блок
 Куб]]*Таблица1[[#This Row],[Цена 
Приход]]</f>
        <v>19494000</v>
      </c>
      <c r="K260" s="34">
        <v>19</v>
      </c>
      <c r="L260" s="34">
        <v>130000</v>
      </c>
      <c r="M260" s="34">
        <f>Таблица1[[#This Row],[Поддон
Шт]]*Таблица1[[#This Row],[Цена
Поддон]]</f>
        <v>2470000</v>
      </c>
      <c r="N260" s="34">
        <f>Таблица1[[#This Row],[Сумма 
Приход]]+Таблица1[[#This Row],[Сумма Поддон]]</f>
        <v>21964000</v>
      </c>
      <c r="O260" s="34">
        <v>720000</v>
      </c>
      <c r="P260" s="34">
        <f>Таблица1[[#This Row],[Блок
 Куб]]*Таблица1[[#This Row],[Цена
 Продажа]]</f>
        <v>23639040</v>
      </c>
      <c r="Q260" s="34" t="s">
        <v>240</v>
      </c>
      <c r="R260" s="34">
        <f>Таблица1[[#This Row],[Сумма 
Продажа]]-Таблица1[[#This Row],[Сумма 
Приход]]-Таблица1[[#This Row],[Авто услу ]]</f>
        <v>1745040</v>
      </c>
      <c r="S260" s="34">
        <v>2400000</v>
      </c>
      <c r="T260" s="34">
        <f>Таблица1[[#This Row],[Сумма 
Продажа]]-IF(Таблица1[[#This Row],[Расход 
Авто]]="Клиент",N(Таблица1[[#This Row],[Авто услу ]]),0)</f>
        <v>21239040</v>
      </c>
      <c r="U2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0" s="265" t="str">
        <f>IFERROR(INDEX(Мижозлар[Агент],MATCH($D260,Мижозлар[Расмий ном],0)),"")</f>
        <v>Сардор ога</v>
      </c>
    </row>
    <row r="261" spans="1:23" ht="14.25" x14ac:dyDescent="0.2">
      <c r="A261" s="21" t="s">
        <v>44</v>
      </c>
      <c r="B261" s="135" t="s">
        <v>26</v>
      </c>
      <c r="C261" s="141" t="s">
        <v>21</v>
      </c>
      <c r="D261" s="141" t="s">
        <v>116</v>
      </c>
      <c r="E261" s="136">
        <v>46248</v>
      </c>
      <c r="F261" s="135" t="s">
        <v>529</v>
      </c>
      <c r="G261" s="34" t="s">
        <v>355</v>
      </c>
      <c r="H261" s="142">
        <v>32.832000000000001</v>
      </c>
      <c r="I261" s="34">
        <v>593750</v>
      </c>
      <c r="J261" s="34">
        <f>Таблица1[[#This Row],[Блок
 Куб]]*Таблица1[[#This Row],[Цена 
Приход]]</f>
        <v>19494000</v>
      </c>
      <c r="K261" s="34">
        <v>19</v>
      </c>
      <c r="L261" s="34">
        <v>130000</v>
      </c>
      <c r="M261" s="34">
        <f>Таблица1[[#This Row],[Поддон
Шт]]*Таблица1[[#This Row],[Цена
Поддон]]</f>
        <v>2470000</v>
      </c>
      <c r="N261" s="34">
        <f>Таблица1[[#This Row],[Сумма 
Приход]]+Таблица1[[#This Row],[Сумма Поддон]]</f>
        <v>21964000</v>
      </c>
      <c r="O261" s="34">
        <v>720000</v>
      </c>
      <c r="P261" s="34">
        <f>Таблица1[[#This Row],[Блок
 Куб]]*Таблица1[[#This Row],[Цена
 Продажа]]</f>
        <v>23639040</v>
      </c>
      <c r="Q261" s="34" t="s">
        <v>240</v>
      </c>
      <c r="R261" s="34">
        <f>Таблица1[[#This Row],[Сумма 
Продажа]]-Таблица1[[#This Row],[Сумма 
Приход]]-Таблица1[[#This Row],[Авто услу ]]</f>
        <v>1745040</v>
      </c>
      <c r="S261" s="34">
        <v>2400000</v>
      </c>
      <c r="T261" s="34">
        <f>Таблица1[[#This Row],[Сумма 
Продажа]]-IF(Таблица1[[#This Row],[Расход 
Авто]]="Клиент",N(Таблица1[[#This Row],[Авто услу ]]),0)</f>
        <v>21239040</v>
      </c>
      <c r="U2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1" s="265" t="str">
        <f>IFERROR(INDEX(Мижозлар[Агент],MATCH($D261,Мижозлар[Расмий ном],0)),"")</f>
        <v>Арслон ога</v>
      </c>
    </row>
    <row r="262" spans="1:23" ht="14.25" x14ac:dyDescent="0.2">
      <c r="A262" s="21" t="s">
        <v>44</v>
      </c>
      <c r="B262" s="135" t="s">
        <v>26</v>
      </c>
      <c r="C262" s="141" t="s">
        <v>25</v>
      </c>
      <c r="D262" s="141" t="s">
        <v>114</v>
      </c>
      <c r="E262" s="136">
        <v>46249</v>
      </c>
      <c r="F262" s="135" t="s">
        <v>432</v>
      </c>
      <c r="G262" s="34" t="s">
        <v>355</v>
      </c>
      <c r="H262" s="142">
        <v>32.832000000000001</v>
      </c>
      <c r="I262" s="34">
        <v>593750</v>
      </c>
      <c r="J262" s="34">
        <f>Таблица1[[#This Row],[Блок
 Куб]]*Таблица1[[#This Row],[Цена 
Приход]]</f>
        <v>19494000</v>
      </c>
      <c r="K262" s="34">
        <v>19</v>
      </c>
      <c r="L262" s="34">
        <v>130000</v>
      </c>
      <c r="M262" s="34">
        <f>Таблица1[[#This Row],[Поддон
Шт]]*Таблица1[[#This Row],[Цена
Поддон]]</f>
        <v>2470000</v>
      </c>
      <c r="N262" s="34">
        <f>Таблица1[[#This Row],[Сумма 
Приход]]+Таблица1[[#This Row],[Сумма Поддон]]</f>
        <v>21964000</v>
      </c>
      <c r="O262" s="34">
        <v>720000</v>
      </c>
      <c r="P262" s="34">
        <f>Таблица1[[#This Row],[Блок
 Куб]]*Таблица1[[#This Row],[Цена
 Продажа]]</f>
        <v>23639040</v>
      </c>
      <c r="Q262" s="34" t="s">
        <v>356</v>
      </c>
      <c r="R262" s="34">
        <f>Таблица1[[#This Row],[Сумма 
Продажа]]-Таблица1[[#This Row],[Сумма 
Приход]]-Таблица1[[#This Row],[Авто услу ]]</f>
        <v>1445040</v>
      </c>
      <c r="S262" s="169">
        <v>2700000</v>
      </c>
      <c r="T262" s="34">
        <f>Таблица1[[#This Row],[Сумма 
Продажа]]-IF(Таблица1[[#This Row],[Расход 
Авто]]="Клиент",N(Таблица1[[#This Row],[Авто услу ]]),0)</f>
        <v>23639040</v>
      </c>
      <c r="U2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2" s="265" t="str">
        <f>IFERROR(INDEX(Мижозлар[Агент],MATCH($D262,Мижозлар[Расмий ном],0)),"")</f>
        <v>Жамол 22-22</v>
      </c>
    </row>
    <row r="263" spans="1:23" ht="14.25" x14ac:dyDescent="0.2">
      <c r="A263" s="21" t="s">
        <v>44</v>
      </c>
      <c r="B263" s="135" t="s">
        <v>26</v>
      </c>
      <c r="C263" s="141" t="s">
        <v>29</v>
      </c>
      <c r="D263" s="141" t="s">
        <v>95</v>
      </c>
      <c r="E263" s="136">
        <v>46249</v>
      </c>
      <c r="F263" s="135" t="s">
        <v>530</v>
      </c>
      <c r="G263" s="34" t="s">
        <v>368</v>
      </c>
      <c r="H263" s="142">
        <v>15.552</v>
      </c>
      <c r="I263" s="34">
        <v>593750</v>
      </c>
      <c r="J263" s="34">
        <f>Таблица1[[#This Row],[Блок
 Куб]]*Таблица1[[#This Row],[Цена 
Приход]]</f>
        <v>9234000</v>
      </c>
      <c r="K263" s="34">
        <v>9</v>
      </c>
      <c r="L263" s="34">
        <v>130000</v>
      </c>
      <c r="M263" s="34">
        <f>Таблица1[[#This Row],[Поддон
Шт]]*Таблица1[[#This Row],[Цена
Поддон]]</f>
        <v>1170000</v>
      </c>
      <c r="N263" s="34">
        <f>Таблица1[[#This Row],[Сумма 
Приход]]+Таблица1[[#This Row],[Сумма Поддон]]</f>
        <v>10404000</v>
      </c>
      <c r="O263" s="34">
        <v>720000</v>
      </c>
      <c r="P263" s="34">
        <f>Таблица1[[#This Row],[Блок
 Куб]]*Таблица1[[#This Row],[Цена
 Продажа]]</f>
        <v>11197440</v>
      </c>
      <c r="Q263" s="34" t="s">
        <v>240</v>
      </c>
      <c r="R263" s="34">
        <f>Таблица1[[#This Row],[Сумма 
Продажа]]-Таблица1[[#This Row],[Сумма 
Приход]]-Таблица1[[#This Row],[Авто услу ]]</f>
        <v>779229.47699999996</v>
      </c>
      <c r="S263" s="34">
        <v>1184210.523</v>
      </c>
      <c r="T263" s="34">
        <f>Таблица1[[#This Row],[Сумма 
Продажа]]-IF(Таблица1[[#This Row],[Расход 
Авто]]="Клиент",N(Таблица1[[#This Row],[Авто услу ]]),0)</f>
        <v>10013229.477</v>
      </c>
      <c r="U2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3" s="265" t="str">
        <f>IFERROR(INDEX(Мижозлар[Агент],MATCH($D263,Мижозлар[Расмий ном],0)),"")</f>
        <v>Зафар ога</v>
      </c>
    </row>
    <row r="264" spans="1:23" ht="14.25" x14ac:dyDescent="0.2">
      <c r="A264" s="21" t="s">
        <v>44</v>
      </c>
      <c r="B264" s="135" t="s">
        <v>26</v>
      </c>
      <c r="C264" s="141" t="s">
        <v>29</v>
      </c>
      <c r="D264" s="141" t="s">
        <v>95</v>
      </c>
      <c r="E264" s="136">
        <v>46249</v>
      </c>
      <c r="F264" s="135" t="s">
        <v>530</v>
      </c>
      <c r="G264" s="34" t="s">
        <v>355</v>
      </c>
      <c r="H264" s="142">
        <v>17.28</v>
      </c>
      <c r="I264" s="34">
        <v>593750</v>
      </c>
      <c r="J264" s="34">
        <f>Таблица1[[#This Row],[Блок
 Куб]]*Таблица1[[#This Row],[Цена 
Приход]]</f>
        <v>10260000</v>
      </c>
      <c r="K264" s="34">
        <v>10</v>
      </c>
      <c r="L264" s="34">
        <v>130000</v>
      </c>
      <c r="M264" s="34">
        <f>Таблица1[[#This Row],[Поддон
Шт]]*Таблица1[[#This Row],[Цена
Поддон]]</f>
        <v>1300000</v>
      </c>
      <c r="N264" s="34">
        <f>Таблица1[[#This Row],[Сумма 
Приход]]+Таблица1[[#This Row],[Сумма Поддон]]</f>
        <v>11560000</v>
      </c>
      <c r="O264" s="34">
        <v>720000</v>
      </c>
      <c r="P264" s="34">
        <f>Таблица1[[#This Row],[Блок
 Куб]]*Таблица1[[#This Row],[Цена
 Продажа]]</f>
        <v>12441600</v>
      </c>
      <c r="Q264" s="34" t="s">
        <v>240</v>
      </c>
      <c r="R264" s="34">
        <f>Таблица1[[#This Row],[Сумма 
Продажа]]-Таблица1[[#This Row],[Сумма 
Приход]]-Таблица1[[#This Row],[Авто услу ]]</f>
        <v>865810.53</v>
      </c>
      <c r="S264" s="34">
        <v>1315789.47</v>
      </c>
      <c r="T264" s="34">
        <f>Таблица1[[#This Row],[Сумма 
Продажа]]-IF(Таблица1[[#This Row],[Расход 
Авто]]="Клиент",N(Таблица1[[#This Row],[Авто услу ]]),0)</f>
        <v>11125810.529999999</v>
      </c>
      <c r="U2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4" s="265" t="str">
        <f>IFERROR(INDEX(Мижозлар[Агент],MATCH($D264,Мижозлар[Расмий ном],0)),"")</f>
        <v>Зафар ога</v>
      </c>
    </row>
    <row r="265" spans="1:23" ht="14.25" x14ac:dyDescent="0.2">
      <c r="A265" s="21" t="s">
        <v>44</v>
      </c>
      <c r="B265" s="135" t="s">
        <v>26</v>
      </c>
      <c r="C265" s="141" t="s">
        <v>32</v>
      </c>
      <c r="D265" s="141" t="s">
        <v>85</v>
      </c>
      <c r="E265" s="136">
        <v>46249</v>
      </c>
      <c r="F265" s="135" t="s">
        <v>504</v>
      </c>
      <c r="G265" s="34" t="s">
        <v>355</v>
      </c>
      <c r="H265" s="142">
        <v>32.832000000000001</v>
      </c>
      <c r="I265" s="34">
        <v>593750</v>
      </c>
      <c r="J265" s="34">
        <f>Таблица1[[#This Row],[Блок
 Куб]]*Таблица1[[#This Row],[Цена 
Приход]]</f>
        <v>19494000</v>
      </c>
      <c r="K265" s="34">
        <v>19</v>
      </c>
      <c r="L265" s="34">
        <v>130000</v>
      </c>
      <c r="M265" s="34">
        <f>Таблица1[[#This Row],[Поддон
Шт]]*Таблица1[[#This Row],[Цена
Поддон]]</f>
        <v>2470000</v>
      </c>
      <c r="N265" s="34">
        <f>Таблица1[[#This Row],[Сумма 
Приход]]+Таблица1[[#This Row],[Сумма Поддон]]</f>
        <v>21964000</v>
      </c>
      <c r="O265" s="34">
        <v>720000</v>
      </c>
      <c r="P265" s="34">
        <f>Таблица1[[#This Row],[Блок
 Куб]]*Таблица1[[#This Row],[Цена
 Продажа]]</f>
        <v>23639040</v>
      </c>
      <c r="Q265" s="34" t="s">
        <v>240</v>
      </c>
      <c r="R265" s="34">
        <f>Таблица1[[#This Row],[Сумма 
Продажа]]-Таблица1[[#This Row],[Сумма 
Приход]]-Таблица1[[#This Row],[Авто услу ]]</f>
        <v>1745040</v>
      </c>
      <c r="S265" s="34">
        <v>2400000</v>
      </c>
      <c r="T265" s="34">
        <f>Таблица1[[#This Row],[Сумма 
Продажа]]-IF(Таблица1[[#This Row],[Расход 
Авто]]="Клиент",N(Таблица1[[#This Row],[Авто услу ]]),0)</f>
        <v>21239040</v>
      </c>
      <c r="U2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5" s="265" t="str">
        <f>IFERROR(INDEX(Мижозлар[Агент],MATCH($D265,Мижозлар[Расмий ном],0)),"")</f>
        <v>Сардор ога</v>
      </c>
    </row>
    <row r="266" spans="1:23" ht="14.25" x14ac:dyDescent="0.2">
      <c r="A266" s="21" t="s">
        <v>44</v>
      </c>
      <c r="B266" s="135" t="s">
        <v>26</v>
      </c>
      <c r="C266" s="141" t="s">
        <v>29</v>
      </c>
      <c r="D266" s="141" t="s">
        <v>95</v>
      </c>
      <c r="E266" s="136">
        <v>46249</v>
      </c>
      <c r="F266" s="135" t="s">
        <v>531</v>
      </c>
      <c r="G266" s="34" t="s">
        <v>355</v>
      </c>
      <c r="H266" s="142">
        <v>32.832000000000001</v>
      </c>
      <c r="I266" s="34">
        <v>593750</v>
      </c>
      <c r="J266" s="34">
        <f>Таблица1[[#This Row],[Блок
 Куб]]*Таблица1[[#This Row],[Цена 
Приход]]</f>
        <v>19494000</v>
      </c>
      <c r="K266" s="34">
        <v>19</v>
      </c>
      <c r="L266" s="34">
        <v>130000</v>
      </c>
      <c r="M266" s="34">
        <f>Таблица1[[#This Row],[Поддон
Шт]]*Таблица1[[#This Row],[Цена
Поддон]]</f>
        <v>2470000</v>
      </c>
      <c r="N266" s="34">
        <f>Таблица1[[#This Row],[Сумма 
Приход]]+Таблица1[[#This Row],[Сумма Поддон]]</f>
        <v>21964000</v>
      </c>
      <c r="O266" s="34">
        <v>720000</v>
      </c>
      <c r="P266" s="34">
        <f>Таблица1[[#This Row],[Блок
 Куб]]*Таблица1[[#This Row],[Цена
 Продажа]]</f>
        <v>23639040</v>
      </c>
      <c r="Q266" s="34" t="s">
        <v>240</v>
      </c>
      <c r="R266" s="34">
        <f>Таблица1[[#This Row],[Сумма 
Продажа]]-Таблица1[[#This Row],[Сумма 
Приход]]-Таблица1[[#This Row],[Авто услу ]]</f>
        <v>1645040</v>
      </c>
      <c r="S266" s="34">
        <v>2500000</v>
      </c>
      <c r="T266" s="34">
        <f>Таблица1[[#This Row],[Сумма 
Продажа]]-IF(Таблица1[[#This Row],[Расход 
Авто]]="Клиент",N(Таблица1[[#This Row],[Авто услу ]]),0)</f>
        <v>21139040</v>
      </c>
      <c r="U2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6" s="265" t="str">
        <f>IFERROR(INDEX(Мижозлар[Агент],MATCH($D266,Мижозлар[Расмий ном],0)),"")</f>
        <v>Зафар ога</v>
      </c>
    </row>
    <row r="267" spans="1:23" ht="14.25" x14ac:dyDescent="0.2">
      <c r="A267" s="21" t="s">
        <v>44</v>
      </c>
      <c r="B267" s="135" t="s">
        <v>26</v>
      </c>
      <c r="C267" s="141" t="s">
        <v>21</v>
      </c>
      <c r="D267" s="141" t="s">
        <v>116</v>
      </c>
      <c r="E267" s="136">
        <v>46249</v>
      </c>
      <c r="F267" s="135" t="s">
        <v>522</v>
      </c>
      <c r="G267" s="34" t="s">
        <v>355</v>
      </c>
      <c r="H267" s="142">
        <v>32.832000000000001</v>
      </c>
      <c r="I267" s="34">
        <v>593750</v>
      </c>
      <c r="J267" s="34">
        <f>Таблица1[[#This Row],[Блок
 Куб]]*Таблица1[[#This Row],[Цена 
Приход]]</f>
        <v>19494000</v>
      </c>
      <c r="K267" s="34">
        <v>19</v>
      </c>
      <c r="L267" s="34">
        <v>130000</v>
      </c>
      <c r="M267" s="34">
        <f>Таблица1[[#This Row],[Поддон
Шт]]*Таблица1[[#This Row],[Цена
Поддон]]</f>
        <v>2470000</v>
      </c>
      <c r="N267" s="34">
        <f>Таблица1[[#This Row],[Сумма 
Приход]]+Таблица1[[#This Row],[Сумма Поддон]]</f>
        <v>21964000</v>
      </c>
      <c r="O267" s="34">
        <v>720000</v>
      </c>
      <c r="P267" s="34">
        <f>Таблица1[[#This Row],[Блок
 Куб]]*Таблица1[[#This Row],[Цена
 Продажа]]</f>
        <v>23639040</v>
      </c>
      <c r="Q267" s="34" t="s">
        <v>240</v>
      </c>
      <c r="R267" s="34">
        <f>Таблица1[[#This Row],[Сумма 
Продажа]]-Таблица1[[#This Row],[Сумма 
Приход]]-Таблица1[[#This Row],[Авто услу ]]</f>
        <v>1745040</v>
      </c>
      <c r="S267" s="34">
        <v>2400000</v>
      </c>
      <c r="T267" s="34">
        <f>Таблица1[[#This Row],[Сумма 
Продажа]]-IF(Таблица1[[#This Row],[Расход 
Авто]]="Клиент",N(Таблица1[[#This Row],[Авто услу ]]),0)</f>
        <v>21239040</v>
      </c>
      <c r="U2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7" s="265" t="str">
        <f>IFERROR(INDEX(Мижозлар[Агент],MATCH($D267,Мижозлар[Расмий ном],0)),"")</f>
        <v>Арслон ога</v>
      </c>
    </row>
    <row r="268" spans="1:23" ht="14.25" x14ac:dyDescent="0.2">
      <c r="A268" s="21" t="s">
        <v>44</v>
      </c>
      <c r="B268" s="135" t="s">
        <v>26</v>
      </c>
      <c r="C268" s="141" t="s">
        <v>36</v>
      </c>
      <c r="D268" s="141" t="s">
        <v>74</v>
      </c>
      <c r="E268" s="136">
        <v>46249</v>
      </c>
      <c r="F268" s="135" t="s">
        <v>360</v>
      </c>
      <c r="G268" s="34" t="s">
        <v>355</v>
      </c>
      <c r="H268" s="142">
        <v>32.832000000000001</v>
      </c>
      <c r="I268" s="34">
        <v>593750</v>
      </c>
      <c r="J268" s="34">
        <f>Таблица1[[#This Row],[Блок
 Куб]]*Таблица1[[#This Row],[Цена 
Приход]]</f>
        <v>19494000</v>
      </c>
      <c r="K268" s="34">
        <v>19</v>
      </c>
      <c r="L268" s="34">
        <v>130000</v>
      </c>
      <c r="M268" s="34">
        <f>Таблица1[[#This Row],[Поддон
Шт]]*Таблица1[[#This Row],[Цена
Поддон]]</f>
        <v>2470000</v>
      </c>
      <c r="N268" s="34">
        <f>Таблица1[[#This Row],[Сумма 
Приход]]+Таблица1[[#This Row],[Сумма Поддон]]</f>
        <v>21964000</v>
      </c>
      <c r="O268" s="34">
        <v>720000</v>
      </c>
      <c r="P268" s="34">
        <f>Таблица1[[#This Row],[Блок
 Куб]]*Таблица1[[#This Row],[Цена
 Продажа]]</f>
        <v>23639040</v>
      </c>
      <c r="Q268" s="34" t="s">
        <v>240</v>
      </c>
      <c r="R268" s="34">
        <f>Таблица1[[#This Row],[Сумма 
Продажа]]-Таблица1[[#This Row],[Сумма 
Приход]]-Таблица1[[#This Row],[Авто услу ]]</f>
        <v>1745040</v>
      </c>
      <c r="S268" s="34">
        <v>2400000</v>
      </c>
      <c r="T268" s="34">
        <f>Таблица1[[#This Row],[Сумма 
Продажа]]-IF(Таблица1[[#This Row],[Расход 
Авто]]="Клиент",N(Таблица1[[#This Row],[Авто услу ]]),0)</f>
        <v>21239040</v>
      </c>
      <c r="U2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8" s="265" t="str">
        <f>IFERROR(INDEX(Мижозлар[Агент],MATCH($D268,Мижозлар[Расмий ном],0)),"")</f>
        <v>Темур</v>
      </c>
    </row>
    <row r="269" spans="1:23" ht="14.25" x14ac:dyDescent="0.2">
      <c r="A269" s="21" t="s">
        <v>44</v>
      </c>
      <c r="B269" s="135" t="s">
        <v>26</v>
      </c>
      <c r="C269" s="141" t="s">
        <v>36</v>
      </c>
      <c r="D269" s="141" t="s">
        <v>48</v>
      </c>
      <c r="E269" s="136">
        <v>46250</v>
      </c>
      <c r="F269" s="135" t="s">
        <v>432</v>
      </c>
      <c r="G269" s="34" t="s">
        <v>355</v>
      </c>
      <c r="H269" s="142">
        <v>32.832000000000001</v>
      </c>
      <c r="I269" s="34">
        <v>593750</v>
      </c>
      <c r="J269" s="34">
        <f>Таблица1[[#This Row],[Блок
 Куб]]*Таблица1[[#This Row],[Цена 
Приход]]</f>
        <v>19494000</v>
      </c>
      <c r="K269" s="34">
        <v>19</v>
      </c>
      <c r="L269" s="34">
        <v>130000</v>
      </c>
      <c r="M269" s="34">
        <f>Таблица1[[#This Row],[Поддон
Шт]]*Таблица1[[#This Row],[Цена
Поддон]]</f>
        <v>2470000</v>
      </c>
      <c r="N269" s="34">
        <f>Таблица1[[#This Row],[Сумма 
Приход]]+Таблица1[[#This Row],[Сумма Поддон]]</f>
        <v>21964000</v>
      </c>
      <c r="O269" s="34">
        <v>720000</v>
      </c>
      <c r="P269" s="34">
        <f>Таблица1[[#This Row],[Блок
 Куб]]*Таблица1[[#This Row],[Цена
 Продажа]]</f>
        <v>23639040</v>
      </c>
      <c r="Q269" s="34" t="s">
        <v>240</v>
      </c>
      <c r="R269" s="34">
        <f>Таблица1[[#This Row],[Сумма 
Продажа]]-Таблица1[[#This Row],[Сумма 
Приход]]-Таблица1[[#This Row],[Авто услу ]]</f>
        <v>1745040</v>
      </c>
      <c r="S269" s="34">
        <v>2400000</v>
      </c>
      <c r="T269" s="34">
        <f>Таблица1[[#This Row],[Сумма 
Продажа]]-IF(Таблица1[[#This Row],[Расход 
Авто]]="Клиент",N(Таблица1[[#This Row],[Авто услу ]]),0)</f>
        <v>21239040</v>
      </c>
      <c r="U2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69" s="265" t="str">
        <f>IFERROR(INDEX(Мижозлар[Агент],MATCH($D269,Мижозлар[Расмий ном],0)),"")</f>
        <v>Темур</v>
      </c>
    </row>
    <row r="270" spans="1:23" ht="14.25" x14ac:dyDescent="0.2">
      <c r="A270" s="21" t="s">
        <v>44</v>
      </c>
      <c r="B270" s="135" t="s">
        <v>26</v>
      </c>
      <c r="C270" s="141" t="s">
        <v>40</v>
      </c>
      <c r="D270" s="141" t="s">
        <v>121</v>
      </c>
      <c r="E270" s="136">
        <v>46250</v>
      </c>
      <c r="F270" s="135" t="s">
        <v>532</v>
      </c>
      <c r="G270" s="34" t="s">
        <v>355</v>
      </c>
      <c r="H270" s="142">
        <v>32.832000000000001</v>
      </c>
      <c r="I270" s="188">
        <v>593750</v>
      </c>
      <c r="J270" s="34">
        <f>Таблица1[[#This Row],[Блок
 Куб]]*Таблица1[[#This Row],[Цена 
Приход]]</f>
        <v>19494000</v>
      </c>
      <c r="K270" s="34">
        <v>19</v>
      </c>
      <c r="L270" s="34">
        <v>130000</v>
      </c>
      <c r="M270" s="34">
        <f>Таблица1[[#This Row],[Поддон
Шт]]*Таблица1[[#This Row],[Цена
Поддон]]</f>
        <v>2470000</v>
      </c>
      <c r="N270" s="34">
        <f>Таблица1[[#This Row],[Сумма 
Приход]]+Таблица1[[#This Row],[Сумма Поддон]]</f>
        <v>21964000</v>
      </c>
      <c r="O270" s="34">
        <v>720000</v>
      </c>
      <c r="P270" s="34">
        <f>Таблица1[[#This Row],[Блок
 Куб]]*Таблица1[[#This Row],[Цена
 Продажа]]</f>
        <v>23639040</v>
      </c>
      <c r="Q270" s="34" t="s">
        <v>356</v>
      </c>
      <c r="R270" s="34">
        <f>Таблица1[[#This Row],[Сумма 
Продажа]]-Таблица1[[#This Row],[Сумма 
Приход]]-Таблица1[[#This Row],[Авто услу ]]</f>
        <v>1745040</v>
      </c>
      <c r="S270" s="34">
        <v>2400000</v>
      </c>
      <c r="T270" s="34">
        <f>Таблица1[[#This Row],[Сумма 
Продажа]]-IF(Таблица1[[#This Row],[Расход 
Авто]]="Клиент",N(Таблица1[[#This Row],[Авто услу ]]),0)</f>
        <v>23639040</v>
      </c>
      <c r="U2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0" s="265" t="str">
        <f>IFERROR(INDEX(Мижозлар[Агент],MATCH($D270,Мижозлар[Расмий ном],0)),"")</f>
        <v>Шохрух ога</v>
      </c>
    </row>
    <row r="271" spans="1:23" ht="14.25" x14ac:dyDescent="0.2">
      <c r="A271" s="28" t="s">
        <v>44</v>
      </c>
      <c r="B271" s="191" t="s">
        <v>26</v>
      </c>
      <c r="C271" s="192" t="s">
        <v>36</v>
      </c>
      <c r="D271" s="192" t="s">
        <v>48</v>
      </c>
      <c r="E271" s="193">
        <v>46251</v>
      </c>
      <c r="F271" s="191" t="s">
        <v>533</v>
      </c>
      <c r="G271" s="194" t="s">
        <v>355</v>
      </c>
      <c r="H271" s="195">
        <v>32.832000000000001</v>
      </c>
      <c r="I271" s="194">
        <v>593750</v>
      </c>
      <c r="J271" s="194">
        <f>Таблица1[[#This Row],[Блок
 Куб]]*Таблица1[[#This Row],[Цена 
Приход]]</f>
        <v>19494000</v>
      </c>
      <c r="K271" s="194">
        <v>19</v>
      </c>
      <c r="L271" s="194">
        <v>130000</v>
      </c>
      <c r="M271" s="194">
        <f>Таблица1[[#This Row],[Поддон
Шт]]*Таблица1[[#This Row],[Цена
Поддон]]</f>
        <v>2470000</v>
      </c>
      <c r="N271" s="194">
        <f>Таблица1[[#This Row],[Сумма 
Приход]]+Таблица1[[#This Row],[Сумма Поддон]]</f>
        <v>21964000</v>
      </c>
      <c r="O271" s="194">
        <v>720000</v>
      </c>
      <c r="P271" s="194">
        <f>Таблица1[[#This Row],[Блок
 Куб]]*Таблица1[[#This Row],[Цена
 Продажа]]</f>
        <v>23639040</v>
      </c>
      <c r="Q271" s="194" t="s">
        <v>240</v>
      </c>
      <c r="R271" s="194">
        <f>Таблица1[[#This Row],[Сумма 
Продажа]]-Таблица1[[#This Row],[Сумма 
Приход]]-Таблица1[[#This Row],[Авто услу ]]</f>
        <v>1745040</v>
      </c>
      <c r="S271" s="194">
        <v>2400000</v>
      </c>
      <c r="T271" s="194">
        <f>Таблица1[[#This Row],[Сумма 
Продажа]]-IF(Таблица1[[#This Row],[Расход 
Авто]]="Клиент",N(Таблица1[[#This Row],[Авто услу ]]),0)</f>
        <v>21239040</v>
      </c>
      <c r="U2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1" s="265" t="str">
        <f>IFERROR(INDEX(Мижозлар[Агент],MATCH($D271,Мижозлар[Расмий ном],0)),"")</f>
        <v>Темур</v>
      </c>
    </row>
    <row r="272" spans="1:23" ht="14.25" x14ac:dyDescent="0.2">
      <c r="A272" s="28" t="s">
        <v>44</v>
      </c>
      <c r="B272" s="191" t="s">
        <v>26</v>
      </c>
      <c r="C272" s="192" t="s">
        <v>36</v>
      </c>
      <c r="D272" s="192" t="s">
        <v>48</v>
      </c>
      <c r="E272" s="193">
        <v>46251</v>
      </c>
      <c r="F272" s="191" t="s">
        <v>534</v>
      </c>
      <c r="G272" s="194" t="s">
        <v>355</v>
      </c>
      <c r="H272" s="195">
        <v>32.832000000000001</v>
      </c>
      <c r="I272" s="194">
        <v>593750</v>
      </c>
      <c r="J272" s="194">
        <f>Таблица1[[#This Row],[Блок
 Куб]]*Таблица1[[#This Row],[Цена 
Приход]]</f>
        <v>19494000</v>
      </c>
      <c r="K272" s="194">
        <v>19</v>
      </c>
      <c r="L272" s="194">
        <v>130000</v>
      </c>
      <c r="M272" s="194">
        <f>Таблица1[[#This Row],[Поддон
Шт]]*Таблица1[[#This Row],[Цена
Поддон]]</f>
        <v>2470000</v>
      </c>
      <c r="N272" s="194">
        <f>Таблица1[[#This Row],[Сумма 
Приход]]+Таблица1[[#This Row],[Сумма Поддон]]</f>
        <v>21964000</v>
      </c>
      <c r="O272" s="194">
        <v>720000</v>
      </c>
      <c r="P272" s="194">
        <f>Таблица1[[#This Row],[Блок
 Куб]]*Таблица1[[#This Row],[Цена
 Продажа]]</f>
        <v>23639040</v>
      </c>
      <c r="Q272" s="194" t="s">
        <v>240</v>
      </c>
      <c r="R272" s="194">
        <f>Таблица1[[#This Row],[Сумма 
Продажа]]-Таблица1[[#This Row],[Сумма 
Приход]]-Таблица1[[#This Row],[Авто услу ]]</f>
        <v>1745040</v>
      </c>
      <c r="S272" s="194">
        <v>2400000</v>
      </c>
      <c r="T272" s="194">
        <f>Таблица1[[#This Row],[Сумма 
Продажа]]-IF(Таблица1[[#This Row],[Расход 
Авто]]="Клиент",N(Таблица1[[#This Row],[Авто услу ]]),0)</f>
        <v>21239040</v>
      </c>
      <c r="U2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2" s="265" t="str">
        <f>IFERROR(INDEX(Мижозлар[Агент],MATCH($D272,Мижозлар[Расмий ном],0)),"")</f>
        <v>Темур</v>
      </c>
    </row>
    <row r="273" spans="1:23" ht="14.25" x14ac:dyDescent="0.2">
      <c r="A273" s="28" t="s">
        <v>44</v>
      </c>
      <c r="B273" s="191" t="s">
        <v>26</v>
      </c>
      <c r="C273" s="192" t="s">
        <v>32</v>
      </c>
      <c r="D273" s="192" t="s">
        <v>107</v>
      </c>
      <c r="E273" s="193">
        <v>46251</v>
      </c>
      <c r="F273" s="191" t="s">
        <v>382</v>
      </c>
      <c r="G273" s="194" t="s">
        <v>355</v>
      </c>
      <c r="H273" s="195">
        <v>32.832000000000001</v>
      </c>
      <c r="I273" s="194">
        <v>593750</v>
      </c>
      <c r="J273" s="194">
        <f>Таблица1[[#This Row],[Блок
 Куб]]*Таблица1[[#This Row],[Цена 
Приход]]</f>
        <v>19494000</v>
      </c>
      <c r="K273" s="194">
        <v>19</v>
      </c>
      <c r="L273" s="194">
        <v>130000</v>
      </c>
      <c r="M273" s="194">
        <f>Таблица1[[#This Row],[Поддон
Шт]]*Таблица1[[#This Row],[Цена
Поддон]]</f>
        <v>2470000</v>
      </c>
      <c r="N273" s="194">
        <f>Таблица1[[#This Row],[Сумма 
Приход]]+Таблица1[[#This Row],[Сумма Поддон]]</f>
        <v>21964000</v>
      </c>
      <c r="O273" s="194">
        <v>720000</v>
      </c>
      <c r="P273" s="194">
        <f>Таблица1[[#This Row],[Блок
 Куб]]*Таблица1[[#This Row],[Цена
 Продажа]]</f>
        <v>23639040</v>
      </c>
      <c r="Q273" s="194" t="s">
        <v>240</v>
      </c>
      <c r="R273" s="194">
        <f>Таблица1[[#This Row],[Сумма 
Продажа]]-Таблица1[[#This Row],[Сумма 
Приход]]-Таблица1[[#This Row],[Авто услу ]]</f>
        <v>1745040</v>
      </c>
      <c r="S273" s="194">
        <v>2400000</v>
      </c>
      <c r="T273" s="194">
        <f>Таблица1[[#This Row],[Сумма 
Продажа]]-IF(Таблица1[[#This Row],[Расход 
Авто]]="Клиент",N(Таблица1[[#This Row],[Авто услу ]]),0)</f>
        <v>21239040</v>
      </c>
      <c r="U2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2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3" s="265" t="str">
        <f>IFERROR(INDEX(Мижозлар[Агент],MATCH($D273,Мижозлар[Расмий ном],0)),"")</f>
        <v>Сардор ога</v>
      </c>
    </row>
    <row r="274" spans="1:23" ht="14.25" x14ac:dyDescent="0.2">
      <c r="A274" s="28" t="s">
        <v>44</v>
      </c>
      <c r="B274" s="191" t="s">
        <v>26</v>
      </c>
      <c r="C274" s="192" t="s">
        <v>36</v>
      </c>
      <c r="D274" s="192" t="s">
        <v>48</v>
      </c>
      <c r="E274" s="193">
        <v>46251</v>
      </c>
      <c r="F274" s="191" t="s">
        <v>421</v>
      </c>
      <c r="G274" s="194" t="s">
        <v>355</v>
      </c>
      <c r="H274" s="195">
        <v>32.832000000000001</v>
      </c>
      <c r="I274" s="194">
        <v>593750</v>
      </c>
      <c r="J274" s="194">
        <f>Таблица1[[#This Row],[Блок
 Куб]]*Таблица1[[#This Row],[Цена 
Приход]]</f>
        <v>19494000</v>
      </c>
      <c r="K274" s="194">
        <v>19</v>
      </c>
      <c r="L274" s="194">
        <v>130000</v>
      </c>
      <c r="M274" s="194">
        <f>Таблица1[[#This Row],[Поддон
Шт]]*Таблица1[[#This Row],[Цена
Поддон]]</f>
        <v>2470000</v>
      </c>
      <c r="N274" s="194">
        <f>Таблица1[[#This Row],[Сумма 
Приход]]+Таблица1[[#This Row],[Сумма Поддон]]</f>
        <v>21964000</v>
      </c>
      <c r="O274" s="194">
        <v>720000</v>
      </c>
      <c r="P274" s="194">
        <f>Таблица1[[#This Row],[Блок
 Куб]]*Таблица1[[#This Row],[Цена
 Продажа]]</f>
        <v>23639040</v>
      </c>
      <c r="Q274" s="194" t="s">
        <v>240</v>
      </c>
      <c r="R274" s="194">
        <f>Таблица1[[#This Row],[Сумма 
Продажа]]-Таблица1[[#This Row],[Сумма 
Приход]]-Таблица1[[#This Row],[Авто услу ]]</f>
        <v>1745040</v>
      </c>
      <c r="S274" s="194">
        <v>2400000</v>
      </c>
      <c r="T274" s="194">
        <f>Таблица1[[#This Row],[Сумма 
Продажа]]-IF(Таблица1[[#This Row],[Расход 
Авто]]="Клиент",N(Таблица1[[#This Row],[Авто услу ]]),0)</f>
        <v>21239040</v>
      </c>
      <c r="U2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4" s="265" t="str">
        <f>IFERROR(INDEX(Мижозлар[Агент],MATCH($D274,Мижозлар[Расмий ном],0)),"")</f>
        <v>Темур</v>
      </c>
    </row>
    <row r="275" spans="1:23" ht="14.25" x14ac:dyDescent="0.2">
      <c r="A275" s="28" t="s">
        <v>44</v>
      </c>
      <c r="B275" s="191" t="s">
        <v>26</v>
      </c>
      <c r="C275" s="192" t="s">
        <v>29</v>
      </c>
      <c r="D275" s="192" t="s">
        <v>57</v>
      </c>
      <c r="E275" s="193">
        <v>46251</v>
      </c>
      <c r="F275" s="191" t="s">
        <v>457</v>
      </c>
      <c r="G275" s="194" t="s">
        <v>355</v>
      </c>
      <c r="H275" s="195">
        <v>32.832000000000001</v>
      </c>
      <c r="I275" s="194">
        <v>593750</v>
      </c>
      <c r="J275" s="194">
        <f>Таблица1[[#This Row],[Блок
 Куб]]*Таблица1[[#This Row],[Цена 
Приход]]</f>
        <v>19494000</v>
      </c>
      <c r="K275" s="194">
        <v>19</v>
      </c>
      <c r="L275" s="194">
        <v>130000</v>
      </c>
      <c r="M275" s="194">
        <f>Таблица1[[#This Row],[Поддон
Шт]]*Таблица1[[#This Row],[Цена
Поддон]]</f>
        <v>2470000</v>
      </c>
      <c r="N275" s="194">
        <f>Таблица1[[#This Row],[Сумма 
Приход]]+Таблица1[[#This Row],[Сумма Поддон]]</f>
        <v>21964000</v>
      </c>
      <c r="O275" s="194">
        <v>700000</v>
      </c>
      <c r="P275" s="194">
        <f>Таблица1[[#This Row],[Блок
 Куб]]*Таблица1[[#This Row],[Цена
 Продажа]]</f>
        <v>22982400</v>
      </c>
      <c r="Q275" s="194" t="s">
        <v>240</v>
      </c>
      <c r="R275" s="194">
        <f>Таблица1[[#This Row],[Сумма 
Продажа]]-Таблица1[[#This Row],[Сумма 
Приход]]-Таблица1[[#This Row],[Авто услу ]]</f>
        <v>1088400</v>
      </c>
      <c r="S275" s="194">
        <v>2400000</v>
      </c>
      <c r="T275" s="194">
        <f>Таблица1[[#This Row],[Сумма 
Продажа]]-IF(Таблица1[[#This Row],[Расход 
Авто]]="Клиент",N(Таблица1[[#This Row],[Авто услу ]]),0)</f>
        <v>20582400</v>
      </c>
      <c r="U2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5" s="265" t="str">
        <f>IFERROR(INDEX(Мижозлар[Агент],MATCH($D275,Мижозлар[Расмий ном],0)),"")</f>
        <v>Зафар ога</v>
      </c>
    </row>
    <row r="276" spans="1:23" ht="14.25" x14ac:dyDescent="0.2">
      <c r="A276" s="28" t="s">
        <v>44</v>
      </c>
      <c r="B276" s="191" t="s">
        <v>26</v>
      </c>
      <c r="C276" s="192" t="s">
        <v>29</v>
      </c>
      <c r="D276" s="192" t="s">
        <v>95</v>
      </c>
      <c r="E276" s="193">
        <v>46251</v>
      </c>
      <c r="F276" s="191" t="s">
        <v>535</v>
      </c>
      <c r="G276" s="194" t="s">
        <v>368</v>
      </c>
      <c r="H276" s="195">
        <v>20.736000000000001</v>
      </c>
      <c r="I276" s="194">
        <v>593750</v>
      </c>
      <c r="J276" s="194">
        <f>Таблица1[[#This Row],[Блок
 Куб]]*Таблица1[[#This Row],[Цена 
Приход]]</f>
        <v>12312000</v>
      </c>
      <c r="K276" s="194">
        <v>12</v>
      </c>
      <c r="L276" s="194">
        <v>130000</v>
      </c>
      <c r="M276" s="194">
        <f>Таблица1[[#This Row],[Поддон
Шт]]*Таблица1[[#This Row],[Цена
Поддон]]</f>
        <v>1560000</v>
      </c>
      <c r="N276" s="194">
        <f>Таблица1[[#This Row],[Сумма 
Приход]]+Таблица1[[#This Row],[Сумма Поддон]]</f>
        <v>13872000</v>
      </c>
      <c r="O276" s="194">
        <v>720000</v>
      </c>
      <c r="P276" s="194">
        <f>Таблица1[[#This Row],[Блок
 Куб]]*Таблица1[[#This Row],[Цена
 Продажа]]</f>
        <v>14929920</v>
      </c>
      <c r="Q276" s="194" t="s">
        <v>240</v>
      </c>
      <c r="R276" s="194">
        <f>Таблица1[[#This Row],[Сумма 
Продажа]]-Таблица1[[#This Row],[Сумма 
Приход]]-Таблица1[[#This Row],[Авто услу ]]</f>
        <v>1102130.527</v>
      </c>
      <c r="S276" s="194">
        <v>1515789.473</v>
      </c>
      <c r="T276" s="194">
        <f>Таблица1[[#This Row],[Сумма 
Продажа]]-IF(Таблица1[[#This Row],[Расход 
Авто]]="Клиент",N(Таблица1[[#This Row],[Авто услу ]]),0)</f>
        <v>13414130.527000001</v>
      </c>
      <c r="U2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6" s="265" t="str">
        <f>IFERROR(INDEX(Мижозлар[Агент],MATCH($D276,Мижозлар[Расмий ном],0)),"")</f>
        <v>Зафар ога</v>
      </c>
    </row>
    <row r="277" spans="1:23" ht="14.25" x14ac:dyDescent="0.2">
      <c r="A277" s="28" t="s">
        <v>44</v>
      </c>
      <c r="B277" s="191" t="s">
        <v>26</v>
      </c>
      <c r="C277" s="192" t="s">
        <v>29</v>
      </c>
      <c r="D277" s="192" t="s">
        <v>95</v>
      </c>
      <c r="E277" s="193">
        <v>46251</v>
      </c>
      <c r="F277" s="191" t="s">
        <v>535</v>
      </c>
      <c r="G277" s="194" t="s">
        <v>355</v>
      </c>
      <c r="H277" s="195">
        <v>12.096</v>
      </c>
      <c r="I277" s="194">
        <v>593750</v>
      </c>
      <c r="J277" s="194">
        <f>Таблица1[[#This Row],[Блок
 Куб]]*Таблица1[[#This Row],[Цена 
Приход]]</f>
        <v>7182000</v>
      </c>
      <c r="K277" s="194">
        <v>7</v>
      </c>
      <c r="L277" s="194">
        <v>130000</v>
      </c>
      <c r="M277" s="194">
        <f>Таблица1[[#This Row],[Поддон
Шт]]*Таблица1[[#This Row],[Цена
Поддон]]</f>
        <v>910000</v>
      </c>
      <c r="N277" s="194">
        <f>Таблица1[[#This Row],[Сумма 
Приход]]+Таблица1[[#This Row],[Сумма Поддон]]</f>
        <v>8092000</v>
      </c>
      <c r="O277" s="194">
        <v>720000</v>
      </c>
      <c r="P277" s="194">
        <f>Таблица1[[#This Row],[Блок
 Куб]]*Таблица1[[#This Row],[Цена
 Продажа]]</f>
        <v>8709120</v>
      </c>
      <c r="Q277" s="194" t="s">
        <v>240</v>
      </c>
      <c r="R277" s="194">
        <f>Таблица1[[#This Row],[Сумма 
Продажа]]-Таблица1[[#This Row],[Сумма 
Приход]]-Таблица1[[#This Row],[Авто услу ]]</f>
        <v>642909.47400000005</v>
      </c>
      <c r="S277" s="194">
        <v>884210.52599999995</v>
      </c>
      <c r="T277" s="194">
        <f>Таблица1[[#This Row],[Сумма 
Продажа]]-IF(Таблица1[[#This Row],[Расход 
Авто]]="Клиент",N(Таблица1[[#This Row],[Авто услу ]]),0)</f>
        <v>7824909.4740000004</v>
      </c>
      <c r="U2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7" s="265" t="str">
        <f>IFERROR(INDEX(Мижозлар[Агент],MATCH($D277,Мижозлар[Расмий ном],0)),"")</f>
        <v>Зафар ога</v>
      </c>
    </row>
    <row r="278" spans="1:23" ht="14.25" x14ac:dyDescent="0.2">
      <c r="A278" s="28" t="s">
        <v>44</v>
      </c>
      <c r="B278" s="191" t="s">
        <v>26</v>
      </c>
      <c r="C278" s="192" t="s">
        <v>29</v>
      </c>
      <c r="D278" s="192" t="s">
        <v>95</v>
      </c>
      <c r="E278" s="193">
        <v>46251</v>
      </c>
      <c r="F278" s="191" t="s">
        <v>491</v>
      </c>
      <c r="G278" s="194" t="s">
        <v>355</v>
      </c>
      <c r="H278" s="195">
        <v>32.832000000000001</v>
      </c>
      <c r="I278" s="194">
        <v>593750</v>
      </c>
      <c r="J278" s="194">
        <f>Таблица1[[#This Row],[Блок
 Куб]]*Таблица1[[#This Row],[Цена 
Приход]]</f>
        <v>19494000</v>
      </c>
      <c r="K278" s="194">
        <v>19</v>
      </c>
      <c r="L278" s="194">
        <v>130000</v>
      </c>
      <c r="M278" s="194">
        <f>Таблица1[[#This Row],[Поддон
Шт]]*Таблица1[[#This Row],[Цена
Поддон]]</f>
        <v>2470000</v>
      </c>
      <c r="N278" s="194">
        <f>Таблица1[[#This Row],[Сумма 
Приход]]+Таблица1[[#This Row],[Сумма Поддон]]</f>
        <v>21964000</v>
      </c>
      <c r="O278" s="194">
        <v>720000</v>
      </c>
      <c r="P278" s="194">
        <f>Таблица1[[#This Row],[Блок
 Куб]]*Таблица1[[#This Row],[Цена
 Продажа]]</f>
        <v>23639040</v>
      </c>
      <c r="Q278" s="194" t="s">
        <v>240</v>
      </c>
      <c r="R278" s="194">
        <f>Таблица1[[#This Row],[Сумма 
Продажа]]-Таблица1[[#This Row],[Сумма 
Приход]]-Таблица1[[#This Row],[Авто услу ]]</f>
        <v>1645040</v>
      </c>
      <c r="S278" s="194">
        <v>2500000</v>
      </c>
      <c r="T278" s="194">
        <f>Таблица1[[#This Row],[Сумма 
Продажа]]-IF(Таблица1[[#This Row],[Расход 
Авто]]="Клиент",N(Таблица1[[#This Row],[Авто услу ]]),0)</f>
        <v>21139040</v>
      </c>
      <c r="U2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8" s="265" t="str">
        <f>IFERROR(INDEX(Мижозлар[Агент],MATCH($D278,Мижозлар[Расмий ном],0)),"")</f>
        <v>Зафар ога</v>
      </c>
    </row>
    <row r="279" spans="1:23" ht="14.25" x14ac:dyDescent="0.2">
      <c r="A279" s="21" t="s">
        <v>44</v>
      </c>
      <c r="B279" s="135" t="s">
        <v>26</v>
      </c>
      <c r="C279" s="141" t="s">
        <v>40</v>
      </c>
      <c r="D279" s="141" t="s">
        <v>42</v>
      </c>
      <c r="E279" s="136">
        <v>46252</v>
      </c>
      <c r="F279" s="135" t="s">
        <v>523</v>
      </c>
      <c r="G279" s="34" t="s">
        <v>368</v>
      </c>
      <c r="H279" s="142">
        <v>10.368</v>
      </c>
      <c r="I279" s="34">
        <v>593750</v>
      </c>
      <c r="J279" s="34">
        <f>Таблица1[[#This Row],[Блок
 Куб]]*Таблица1[[#This Row],[Цена 
Приход]]</f>
        <v>6156000</v>
      </c>
      <c r="K279" s="34">
        <v>6</v>
      </c>
      <c r="L279" s="34">
        <v>130000</v>
      </c>
      <c r="M279" s="34">
        <f>Таблица1[[#This Row],[Поддон
Шт]]*Таблица1[[#This Row],[Цена
Поддон]]</f>
        <v>780000</v>
      </c>
      <c r="N279" s="34">
        <f>Таблица1[[#This Row],[Сумма 
Приход]]+Таблица1[[#This Row],[Сумма Поддон]]</f>
        <v>6936000</v>
      </c>
      <c r="O279" s="34">
        <v>720000</v>
      </c>
      <c r="P279" s="34">
        <f>Таблица1[[#This Row],[Блок
 Куб]]*Таблица1[[#This Row],[Цена
 Продажа]]</f>
        <v>7464960</v>
      </c>
      <c r="Q279" s="34" t="s">
        <v>240</v>
      </c>
      <c r="R279" s="34">
        <f>Таблица1[[#This Row],[Сумма 
Продажа]]-Таблица1[[#This Row],[Сумма 
Приход]]-Таблица1[[#This Row],[Авто услу ]]</f>
        <v>551065.26399999997</v>
      </c>
      <c r="S279" s="34">
        <v>757894.73600000003</v>
      </c>
      <c r="T279" s="34">
        <f>Таблица1[[#This Row],[Сумма 
Продажа]]-IF(Таблица1[[#This Row],[Расход 
Авто]]="Клиент",N(Таблица1[[#This Row],[Авто услу ]]),0)</f>
        <v>6707065.2640000004</v>
      </c>
      <c r="U2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79" s="265" t="str">
        <f>IFERROR(INDEX(Мижозлар[Агент],MATCH($D279,Мижозлар[Расмий ном],0)),"")</f>
        <v>Шохрух ога</v>
      </c>
    </row>
    <row r="280" spans="1:23" ht="14.25" x14ac:dyDescent="0.2">
      <c r="A280" s="21" t="s">
        <v>44</v>
      </c>
      <c r="B280" s="135" t="s">
        <v>26</v>
      </c>
      <c r="C280" s="141" t="s">
        <v>40</v>
      </c>
      <c r="D280" s="141" t="s">
        <v>42</v>
      </c>
      <c r="E280" s="136">
        <v>46252</v>
      </c>
      <c r="F280" s="135" t="s">
        <v>523</v>
      </c>
      <c r="G280" s="34" t="s">
        <v>355</v>
      </c>
      <c r="H280" s="142">
        <v>22.463999999999999</v>
      </c>
      <c r="I280" s="34">
        <v>593750</v>
      </c>
      <c r="J280" s="34">
        <f>Таблица1[[#This Row],[Блок
 Куб]]*Таблица1[[#This Row],[Цена 
Приход]]</f>
        <v>13338000</v>
      </c>
      <c r="K280" s="34">
        <v>13</v>
      </c>
      <c r="L280" s="34">
        <v>130000</v>
      </c>
      <c r="M280" s="34">
        <f>Таблица1[[#This Row],[Поддон
Шт]]*Таблица1[[#This Row],[Цена
Поддон]]</f>
        <v>1690000</v>
      </c>
      <c r="N280" s="34">
        <f>Таблица1[[#This Row],[Сумма 
Приход]]+Таблица1[[#This Row],[Сумма Поддон]]</f>
        <v>15028000</v>
      </c>
      <c r="O280" s="34">
        <v>720000</v>
      </c>
      <c r="P280" s="34">
        <f>Таблица1[[#This Row],[Блок
 Куб]]*Таблица1[[#This Row],[Цена
 Продажа]]</f>
        <v>16174079.999999998</v>
      </c>
      <c r="Q280" s="34" t="s">
        <v>240</v>
      </c>
      <c r="R280" s="34">
        <f>Таблица1[[#This Row],[Сумма 
Продажа]]-Таблица1[[#This Row],[Сумма 
Приход]]-Таблица1[[#This Row],[Авто услу ]]</f>
        <v>1193974.7369999981</v>
      </c>
      <c r="S280" s="34">
        <v>1642105.263</v>
      </c>
      <c r="T280" s="34">
        <f>Таблица1[[#This Row],[Сумма 
Продажа]]-IF(Таблица1[[#This Row],[Расход 
Авто]]="Клиент",N(Таблица1[[#This Row],[Авто услу ]]),0)</f>
        <v>14531974.736999998</v>
      </c>
      <c r="U2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2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0" s="265" t="str">
        <f>IFERROR(INDEX(Мижозлар[Агент],MATCH($D280,Мижозлар[Расмий ном],0)),"")</f>
        <v>Шохрух ога</v>
      </c>
    </row>
    <row r="281" spans="1:23" ht="14.25" x14ac:dyDescent="0.2">
      <c r="A281" s="21" t="s">
        <v>44</v>
      </c>
      <c r="B281" s="135" t="s">
        <v>26</v>
      </c>
      <c r="C281" s="141" t="s">
        <v>29</v>
      </c>
      <c r="D281" s="141" t="s">
        <v>57</v>
      </c>
      <c r="E281" s="136">
        <v>46252</v>
      </c>
      <c r="F281" s="135" t="s">
        <v>536</v>
      </c>
      <c r="G281" s="34" t="s">
        <v>355</v>
      </c>
      <c r="H281" s="142">
        <v>32.832000000000001</v>
      </c>
      <c r="I281" s="34">
        <v>593750</v>
      </c>
      <c r="J281" s="34">
        <f>Таблица1[[#This Row],[Блок
 Куб]]*Таблица1[[#This Row],[Цена 
Приход]]</f>
        <v>19494000</v>
      </c>
      <c r="K281" s="34">
        <v>19</v>
      </c>
      <c r="L281" s="34">
        <v>130000</v>
      </c>
      <c r="M281" s="34">
        <f>Таблица1[[#This Row],[Поддон
Шт]]*Таблица1[[#This Row],[Цена
Поддон]]</f>
        <v>2470000</v>
      </c>
      <c r="N281" s="34">
        <f>Таблица1[[#This Row],[Сумма 
Приход]]+Таблица1[[#This Row],[Сумма Поддон]]</f>
        <v>21964000</v>
      </c>
      <c r="O281" s="34">
        <v>700000</v>
      </c>
      <c r="P281" s="34">
        <f>Таблица1[[#This Row],[Блок
 Куб]]*Таблица1[[#This Row],[Цена
 Продажа]]</f>
        <v>22982400</v>
      </c>
      <c r="Q281" s="34" t="s">
        <v>240</v>
      </c>
      <c r="R281" s="34">
        <f>Таблица1[[#This Row],[Сумма 
Продажа]]-Таблица1[[#This Row],[Сумма 
Приход]]-Таблица1[[#This Row],[Авто услу ]]</f>
        <v>1088400</v>
      </c>
      <c r="S281" s="34">
        <v>2400000</v>
      </c>
      <c r="T281" s="34">
        <f>Таблица1[[#This Row],[Сумма 
Продажа]]-IF(Таблица1[[#This Row],[Расход 
Авто]]="Клиент",N(Таблица1[[#This Row],[Авто услу ]]),0)</f>
        <v>20582400</v>
      </c>
      <c r="U2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1" s="265" t="str">
        <f>IFERROR(INDEX(Мижозлар[Агент],MATCH($D281,Мижозлар[Расмий ном],0)),"")</f>
        <v>Зафар ога</v>
      </c>
    </row>
    <row r="282" spans="1:23" ht="14.25" x14ac:dyDescent="0.2">
      <c r="A282" s="21" t="s">
        <v>44</v>
      </c>
      <c r="B282" s="135" t="s">
        <v>26</v>
      </c>
      <c r="C282" s="141" t="s">
        <v>29</v>
      </c>
      <c r="D282" s="141" t="s">
        <v>95</v>
      </c>
      <c r="E282" s="136">
        <v>46252</v>
      </c>
      <c r="F282" s="135" t="s">
        <v>537</v>
      </c>
      <c r="G282" s="34" t="s">
        <v>355</v>
      </c>
      <c r="H282" s="142">
        <v>32.832000000000001</v>
      </c>
      <c r="I282" s="34">
        <v>593750</v>
      </c>
      <c r="J282" s="34">
        <f>Таблица1[[#This Row],[Блок
 Куб]]*Таблица1[[#This Row],[Цена 
Приход]]</f>
        <v>19494000</v>
      </c>
      <c r="K282" s="34">
        <v>19</v>
      </c>
      <c r="L282" s="34">
        <v>130000</v>
      </c>
      <c r="M282" s="34">
        <f>Таблица1[[#This Row],[Поддон
Шт]]*Таблица1[[#This Row],[Цена
Поддон]]</f>
        <v>2470000</v>
      </c>
      <c r="N282" s="34">
        <f>Таблица1[[#This Row],[Сумма 
Приход]]+Таблица1[[#This Row],[Сумма Поддон]]</f>
        <v>21964000</v>
      </c>
      <c r="O282" s="34">
        <v>720000</v>
      </c>
      <c r="P282" s="34">
        <f>Таблица1[[#This Row],[Блок
 Куб]]*Таблица1[[#This Row],[Цена
 Продажа]]</f>
        <v>23639040</v>
      </c>
      <c r="Q282" s="34" t="s">
        <v>240</v>
      </c>
      <c r="R282" s="34">
        <f>Таблица1[[#This Row],[Сумма 
Продажа]]-Таблица1[[#This Row],[Сумма 
Приход]]-Таблица1[[#This Row],[Авто услу ]]</f>
        <v>1745040</v>
      </c>
      <c r="S282" s="34">
        <v>2400000</v>
      </c>
      <c r="T282" s="34">
        <f>Таблица1[[#This Row],[Сумма 
Продажа]]-IF(Таблица1[[#This Row],[Расход 
Авто]]="Клиент",N(Таблица1[[#This Row],[Авто услу ]]),0)</f>
        <v>21239040</v>
      </c>
      <c r="U2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2" s="265" t="str">
        <f>IFERROR(INDEX(Мижозлар[Агент],MATCH($D282,Мижозлар[Расмий ном],0)),"")</f>
        <v>Зафар ога</v>
      </c>
    </row>
    <row r="283" spans="1:23" ht="14.25" x14ac:dyDescent="0.2">
      <c r="A283" s="21" t="s">
        <v>44</v>
      </c>
      <c r="B283" s="135" t="s">
        <v>26</v>
      </c>
      <c r="C283" s="141" t="s">
        <v>36</v>
      </c>
      <c r="D283" s="141" t="s">
        <v>74</v>
      </c>
      <c r="E283" s="136">
        <v>46252</v>
      </c>
      <c r="F283" s="135" t="s">
        <v>524</v>
      </c>
      <c r="G283" s="34" t="s">
        <v>355</v>
      </c>
      <c r="H283" s="142">
        <v>32.832000000000001</v>
      </c>
      <c r="I283" s="34">
        <v>593750</v>
      </c>
      <c r="J283" s="34">
        <f>Таблица1[[#This Row],[Блок
 Куб]]*Таблица1[[#This Row],[Цена 
Приход]]</f>
        <v>19494000</v>
      </c>
      <c r="K283" s="34">
        <v>19</v>
      </c>
      <c r="L283" s="34">
        <v>130000</v>
      </c>
      <c r="M283" s="34">
        <f>Таблица1[[#This Row],[Поддон
Шт]]*Таблица1[[#This Row],[Цена
Поддон]]</f>
        <v>2470000</v>
      </c>
      <c r="N283" s="34">
        <f>Таблица1[[#This Row],[Сумма 
Приход]]+Таблица1[[#This Row],[Сумма Поддон]]</f>
        <v>21964000</v>
      </c>
      <c r="O283" s="34">
        <v>720000</v>
      </c>
      <c r="P283" s="34">
        <f>Таблица1[[#This Row],[Блок
 Куб]]*Таблица1[[#This Row],[Цена
 Продажа]]</f>
        <v>23639040</v>
      </c>
      <c r="Q283" s="34" t="s">
        <v>240</v>
      </c>
      <c r="R283" s="34">
        <f>Таблица1[[#This Row],[Сумма 
Продажа]]-Таблица1[[#This Row],[Сумма 
Приход]]-Таблица1[[#This Row],[Авто услу ]]</f>
        <v>1745040</v>
      </c>
      <c r="S283" s="34">
        <v>2400000</v>
      </c>
      <c r="T283" s="34">
        <f>Таблица1[[#This Row],[Сумма 
Продажа]]-IF(Таблица1[[#This Row],[Расход 
Авто]]="Клиент",N(Таблица1[[#This Row],[Авто услу ]]),0)</f>
        <v>21239040</v>
      </c>
      <c r="U2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3" s="265" t="str">
        <f>IFERROR(INDEX(Мижозлар[Агент],MATCH($D283,Мижозлар[Расмий ном],0)),"")</f>
        <v>Темур</v>
      </c>
    </row>
    <row r="284" spans="1:23" ht="14.25" x14ac:dyDescent="0.2">
      <c r="A284" s="21" t="s">
        <v>44</v>
      </c>
      <c r="B284" s="135" t="s">
        <v>26</v>
      </c>
      <c r="C284" s="141" t="s">
        <v>36</v>
      </c>
      <c r="D284" s="141" t="s">
        <v>74</v>
      </c>
      <c r="E284" s="136">
        <v>46252</v>
      </c>
      <c r="F284" s="135" t="s">
        <v>538</v>
      </c>
      <c r="G284" s="34" t="s">
        <v>355</v>
      </c>
      <c r="H284" s="142">
        <v>32.832000000000001</v>
      </c>
      <c r="I284" s="34">
        <v>593750</v>
      </c>
      <c r="J284" s="34">
        <f>Таблица1[[#This Row],[Блок
 Куб]]*Таблица1[[#This Row],[Цена 
Приход]]</f>
        <v>19494000</v>
      </c>
      <c r="K284" s="34">
        <v>19</v>
      </c>
      <c r="L284" s="34">
        <v>130000</v>
      </c>
      <c r="M284" s="34">
        <f>Таблица1[[#This Row],[Поддон
Шт]]*Таблица1[[#This Row],[Цена
Поддон]]</f>
        <v>2470000</v>
      </c>
      <c r="N284" s="34">
        <f>Таблица1[[#This Row],[Сумма 
Приход]]+Таблица1[[#This Row],[Сумма Поддон]]</f>
        <v>21964000</v>
      </c>
      <c r="O284" s="34">
        <v>720000</v>
      </c>
      <c r="P284" s="34">
        <f>Таблица1[[#This Row],[Блок
 Куб]]*Таблица1[[#This Row],[Цена
 Продажа]]</f>
        <v>23639040</v>
      </c>
      <c r="Q284" s="34" t="s">
        <v>240</v>
      </c>
      <c r="R284" s="34">
        <f>Таблица1[[#This Row],[Сумма 
Продажа]]-Таблица1[[#This Row],[Сумма 
Приход]]-Таблица1[[#This Row],[Авто услу ]]</f>
        <v>1745040</v>
      </c>
      <c r="S284" s="34">
        <v>2400000</v>
      </c>
      <c r="T284" s="34">
        <f>Таблица1[[#This Row],[Сумма 
Продажа]]-IF(Таблица1[[#This Row],[Расход 
Авто]]="Клиент",N(Таблица1[[#This Row],[Авто услу ]]),0)</f>
        <v>21239040</v>
      </c>
      <c r="U2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4" s="265" t="str">
        <f>IFERROR(INDEX(Мижозлар[Агент],MATCH($D284,Мижозлар[Расмий ном],0)),"")</f>
        <v>Темур</v>
      </c>
    </row>
    <row r="285" spans="1:23" ht="14.25" x14ac:dyDescent="0.2">
      <c r="A285" s="21" t="s">
        <v>44</v>
      </c>
      <c r="B285" s="135" t="s">
        <v>26</v>
      </c>
      <c r="C285" s="141" t="s">
        <v>36</v>
      </c>
      <c r="D285" s="141" t="s">
        <v>74</v>
      </c>
      <c r="E285" s="136">
        <v>46252</v>
      </c>
      <c r="F285" s="135" t="s">
        <v>539</v>
      </c>
      <c r="G285" s="34" t="s">
        <v>368</v>
      </c>
      <c r="H285" s="142">
        <v>32.832000000000001</v>
      </c>
      <c r="I285" s="34">
        <v>593750</v>
      </c>
      <c r="J285" s="34">
        <f>Таблица1[[#This Row],[Блок
 Куб]]*Таблица1[[#This Row],[Цена 
Приход]]</f>
        <v>19494000</v>
      </c>
      <c r="K285" s="34">
        <v>19</v>
      </c>
      <c r="L285" s="34">
        <v>130000</v>
      </c>
      <c r="M285" s="34">
        <f>Таблица1[[#This Row],[Поддон
Шт]]*Таблица1[[#This Row],[Цена
Поддон]]</f>
        <v>2470000</v>
      </c>
      <c r="N285" s="34">
        <f>Таблица1[[#This Row],[Сумма 
Приход]]+Таблица1[[#This Row],[Сумма Поддон]]</f>
        <v>21964000</v>
      </c>
      <c r="O285" s="34">
        <v>720000</v>
      </c>
      <c r="P285" s="34">
        <f>Таблица1[[#This Row],[Блок
 Куб]]*Таблица1[[#This Row],[Цена
 Продажа]]</f>
        <v>23639040</v>
      </c>
      <c r="Q285" s="34" t="s">
        <v>240</v>
      </c>
      <c r="R285" s="34">
        <f>Таблица1[[#This Row],[Сумма 
Продажа]]-Таблица1[[#This Row],[Сумма 
Приход]]-Таблица1[[#This Row],[Авто услу ]]</f>
        <v>1745040</v>
      </c>
      <c r="S285" s="34">
        <v>2400000</v>
      </c>
      <c r="T285" s="34">
        <f>Таблица1[[#This Row],[Сумма 
Продажа]]-IF(Таблица1[[#This Row],[Расход 
Авто]]="Клиент",N(Таблица1[[#This Row],[Авто услу ]]),0)</f>
        <v>21239040</v>
      </c>
      <c r="U2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5" s="265" t="str">
        <f>IFERROR(INDEX(Мижозлар[Агент],MATCH($D285,Мижозлар[Расмий ном],0)),"")</f>
        <v>Темур</v>
      </c>
    </row>
    <row r="286" spans="1:23" ht="14.25" x14ac:dyDescent="0.2">
      <c r="A286" s="21" t="s">
        <v>44</v>
      </c>
      <c r="B286" s="135" t="s">
        <v>26</v>
      </c>
      <c r="C286" s="141" t="s">
        <v>29</v>
      </c>
      <c r="D286" s="141" t="s">
        <v>95</v>
      </c>
      <c r="E286" s="136">
        <v>46252</v>
      </c>
      <c r="F286" s="135" t="s">
        <v>371</v>
      </c>
      <c r="G286" s="34" t="s">
        <v>368</v>
      </c>
      <c r="H286" s="142">
        <v>32.832000000000001</v>
      </c>
      <c r="I286" s="34">
        <v>593750</v>
      </c>
      <c r="J286" s="34">
        <f>Таблица1[[#This Row],[Блок
 Куб]]*Таблица1[[#This Row],[Цена 
Приход]]</f>
        <v>19494000</v>
      </c>
      <c r="K286" s="34">
        <v>19</v>
      </c>
      <c r="L286" s="34">
        <v>130000</v>
      </c>
      <c r="M286" s="34">
        <f>Таблица1[[#This Row],[Поддон
Шт]]*Таблица1[[#This Row],[Цена
Поддон]]</f>
        <v>2470000</v>
      </c>
      <c r="N286" s="34">
        <f>Таблица1[[#This Row],[Сумма 
Приход]]+Таблица1[[#This Row],[Сумма Поддон]]</f>
        <v>21964000</v>
      </c>
      <c r="O286" s="34">
        <v>720000</v>
      </c>
      <c r="P286" s="34">
        <f>Таблица1[[#This Row],[Блок
 Куб]]*Таблица1[[#This Row],[Цена
 Продажа]]</f>
        <v>23639040</v>
      </c>
      <c r="Q286" s="34" t="s">
        <v>240</v>
      </c>
      <c r="R286" s="34">
        <f>Таблица1[[#This Row],[Сумма 
Продажа]]-Таблица1[[#This Row],[Сумма 
Приход]]-Таблица1[[#This Row],[Авто услу ]]</f>
        <v>1645040</v>
      </c>
      <c r="S286" s="34">
        <v>2500000</v>
      </c>
      <c r="T286" s="34">
        <f>Таблица1[[#This Row],[Сумма 
Продажа]]-IF(Таблица1[[#This Row],[Расход 
Авто]]="Клиент",N(Таблица1[[#This Row],[Авто услу ]]),0)</f>
        <v>21139040</v>
      </c>
      <c r="U2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6" s="265" t="str">
        <f>IFERROR(INDEX(Мижозлар[Агент],MATCH($D286,Мижозлар[Расмий ном],0)),"")</f>
        <v>Зафар ога</v>
      </c>
    </row>
    <row r="287" spans="1:23" ht="14.25" x14ac:dyDescent="0.2">
      <c r="A287" s="21" t="s">
        <v>44</v>
      </c>
      <c r="B287" s="135" t="s">
        <v>26</v>
      </c>
      <c r="C287" s="141" t="s">
        <v>36</v>
      </c>
      <c r="D287" s="141" t="s">
        <v>123</v>
      </c>
      <c r="E287" s="136">
        <v>46252</v>
      </c>
      <c r="F287" s="135" t="s">
        <v>540</v>
      </c>
      <c r="G287" s="34" t="s">
        <v>355</v>
      </c>
      <c r="H287" s="142">
        <v>32.832000000000001</v>
      </c>
      <c r="I287" s="34">
        <v>593750</v>
      </c>
      <c r="J287" s="34">
        <f>Таблица1[[#This Row],[Блок
 Куб]]*Таблица1[[#This Row],[Цена 
Приход]]</f>
        <v>19494000</v>
      </c>
      <c r="K287" s="34">
        <v>19</v>
      </c>
      <c r="L287" s="34">
        <v>130000</v>
      </c>
      <c r="M287" s="34">
        <f>Таблица1[[#This Row],[Поддон
Шт]]*Таблица1[[#This Row],[Цена
Поддон]]</f>
        <v>2470000</v>
      </c>
      <c r="N287" s="34">
        <f>Таблица1[[#This Row],[Сумма 
Приход]]+Таблица1[[#This Row],[Сумма Поддон]]</f>
        <v>21964000</v>
      </c>
      <c r="O287" s="34">
        <v>720000</v>
      </c>
      <c r="P287" s="34">
        <f>Таблица1[[#This Row],[Блок
 Куб]]*Таблица1[[#This Row],[Цена
 Продажа]]</f>
        <v>23639040</v>
      </c>
      <c r="Q287" s="34" t="s">
        <v>240</v>
      </c>
      <c r="R287" s="34">
        <f>Таблица1[[#This Row],[Сумма 
Продажа]]-Таблица1[[#This Row],[Сумма 
Приход]]-Таблица1[[#This Row],[Авто услу ]]</f>
        <v>1745040</v>
      </c>
      <c r="S287" s="34">
        <v>2400000</v>
      </c>
      <c r="T287" s="34">
        <f>Таблица1[[#This Row],[Сумма 
Продажа]]-IF(Таблица1[[#This Row],[Расход 
Авто]]="Клиент",N(Таблица1[[#This Row],[Авто услу ]]),0)</f>
        <v>21239040</v>
      </c>
      <c r="U2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7" s="265" t="str">
        <f>IFERROR(INDEX(Мижозлар[Агент],MATCH($D287,Мижозлар[Расмий ном],0)),"")</f>
        <v>Темур</v>
      </c>
    </row>
    <row r="288" spans="1:23" ht="14.25" x14ac:dyDescent="0.2">
      <c r="A288" s="21" t="s">
        <v>44</v>
      </c>
      <c r="B288" s="135" t="s">
        <v>26</v>
      </c>
      <c r="C288" s="141" t="s">
        <v>36</v>
      </c>
      <c r="D288" s="141" t="s">
        <v>48</v>
      </c>
      <c r="E288" s="136">
        <v>46252</v>
      </c>
      <c r="F288" s="135" t="s">
        <v>541</v>
      </c>
      <c r="G288" s="34" t="s">
        <v>368</v>
      </c>
      <c r="H288" s="142">
        <v>32.832000000000001</v>
      </c>
      <c r="I288" s="34">
        <v>593750</v>
      </c>
      <c r="J288" s="34">
        <f>Таблица1[[#This Row],[Блок
 Куб]]*Таблица1[[#This Row],[Цена 
Приход]]</f>
        <v>19494000</v>
      </c>
      <c r="K288" s="34">
        <v>19</v>
      </c>
      <c r="L288" s="34">
        <v>130000</v>
      </c>
      <c r="M288" s="34">
        <f>Таблица1[[#This Row],[Поддон
Шт]]*Таблица1[[#This Row],[Цена
Поддон]]</f>
        <v>2470000</v>
      </c>
      <c r="N288" s="34">
        <f>Таблица1[[#This Row],[Сумма 
Приход]]+Таблица1[[#This Row],[Сумма Поддон]]</f>
        <v>21964000</v>
      </c>
      <c r="O288" s="34">
        <v>720000</v>
      </c>
      <c r="P288" s="34">
        <f>Таблица1[[#This Row],[Блок
 Куб]]*Таблица1[[#This Row],[Цена
 Продажа]]</f>
        <v>23639040</v>
      </c>
      <c r="Q288" s="34" t="s">
        <v>240</v>
      </c>
      <c r="R288" s="34">
        <f>Таблица1[[#This Row],[Сумма 
Продажа]]-Таблица1[[#This Row],[Сумма 
Приход]]-Таблица1[[#This Row],[Авто услу ]]</f>
        <v>1745040</v>
      </c>
      <c r="S288" s="34">
        <v>2400000</v>
      </c>
      <c r="T288" s="34">
        <f>Таблица1[[#This Row],[Сумма 
Продажа]]-IF(Таблица1[[#This Row],[Расход 
Авто]]="Клиент",N(Таблица1[[#This Row],[Авто услу ]]),0)</f>
        <v>21239040</v>
      </c>
      <c r="U2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8" s="265" t="str">
        <f>IFERROR(INDEX(Мижозлар[Агент],MATCH($D288,Мижозлар[Расмий ном],0)),"")</f>
        <v>Темур</v>
      </c>
    </row>
    <row r="289" spans="1:23" ht="14.25" x14ac:dyDescent="0.2">
      <c r="A289" s="21" t="s">
        <v>44</v>
      </c>
      <c r="B289" s="135" t="s">
        <v>26</v>
      </c>
      <c r="C289" s="141" t="s">
        <v>21</v>
      </c>
      <c r="D289" s="141" t="s">
        <v>116</v>
      </c>
      <c r="E289" s="136">
        <v>46252</v>
      </c>
      <c r="F289" s="135" t="s">
        <v>542</v>
      </c>
      <c r="G289" s="34" t="s">
        <v>395</v>
      </c>
      <c r="H289" s="142">
        <v>27</v>
      </c>
      <c r="I289" s="34">
        <v>593750</v>
      </c>
      <c r="J289" s="34">
        <f>Таблица1[[#This Row],[Блок
 Куб]]*Таблица1[[#This Row],[Цена 
Приход]]</f>
        <v>16031250</v>
      </c>
      <c r="K289" s="34">
        <v>15</v>
      </c>
      <c r="L289" s="34">
        <v>130000</v>
      </c>
      <c r="M289" s="34">
        <f>Таблица1[[#This Row],[Поддон
Шт]]*Таблица1[[#This Row],[Цена
Поддон]]</f>
        <v>1950000</v>
      </c>
      <c r="N289" s="34">
        <f>Таблица1[[#This Row],[Сумма 
Приход]]+Таблица1[[#This Row],[Сумма Поддон]]</f>
        <v>17981250</v>
      </c>
      <c r="O289" s="34">
        <v>720000</v>
      </c>
      <c r="P289" s="34">
        <f>Таблица1[[#This Row],[Блок
 Куб]]*Таблица1[[#This Row],[Цена
 Продажа]]</f>
        <v>19440000</v>
      </c>
      <c r="Q289" s="34" t="s">
        <v>240</v>
      </c>
      <c r="R289" s="34">
        <f>Таблица1[[#This Row],[Сумма 
Продажа]]-Таблица1[[#This Row],[Сумма 
Приход]]-Таблица1[[#This Row],[Авто услу ]]</f>
        <v>1514013.1580000001</v>
      </c>
      <c r="S289" s="34">
        <v>1894736.8419999999</v>
      </c>
      <c r="T289" s="34">
        <f>Таблица1[[#This Row],[Сумма 
Продажа]]-IF(Таблица1[[#This Row],[Расход 
Авто]]="Клиент",N(Таблица1[[#This Row],[Авто услу ]]),0)</f>
        <v>17545263.158</v>
      </c>
      <c r="U2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89" s="265" t="str">
        <f>IFERROR(INDEX(Мижозлар[Агент],MATCH($D289,Мижозлар[Расмий ном],0)),"")</f>
        <v>Арслон ога</v>
      </c>
    </row>
    <row r="290" spans="1:23" ht="14.25" x14ac:dyDescent="0.2">
      <c r="A290" s="21" t="s">
        <v>44</v>
      </c>
      <c r="B290" s="135" t="s">
        <v>26</v>
      </c>
      <c r="C290" s="141" t="s">
        <v>21</v>
      </c>
      <c r="D290" s="141" t="s">
        <v>116</v>
      </c>
      <c r="E290" s="136">
        <v>46252</v>
      </c>
      <c r="F290" s="135" t="s">
        <v>542</v>
      </c>
      <c r="G290" s="34" t="s">
        <v>355</v>
      </c>
      <c r="H290" s="142">
        <v>6.9119999999999999</v>
      </c>
      <c r="I290" s="34">
        <v>593750</v>
      </c>
      <c r="J290" s="34">
        <f>Таблица1[[#This Row],[Блок
 Куб]]*Таблица1[[#This Row],[Цена 
Приход]]</f>
        <v>4104000</v>
      </c>
      <c r="K290" s="34">
        <v>4</v>
      </c>
      <c r="L290" s="34">
        <v>130000</v>
      </c>
      <c r="M290" s="34">
        <f>Таблица1[[#This Row],[Поддон
Шт]]*Таблица1[[#This Row],[Цена
Поддон]]</f>
        <v>520000</v>
      </c>
      <c r="N290" s="34">
        <f>Таблица1[[#This Row],[Сумма 
Приход]]+Таблица1[[#This Row],[Сумма Поддон]]</f>
        <v>4624000</v>
      </c>
      <c r="O290" s="34">
        <v>720000</v>
      </c>
      <c r="P290" s="34">
        <f>Таблица1[[#This Row],[Блок
 Куб]]*Таблица1[[#This Row],[Цена
 Продажа]]</f>
        <v>4976640</v>
      </c>
      <c r="Q290" s="34" t="s">
        <v>240</v>
      </c>
      <c r="R290" s="34">
        <f>Таблица1[[#This Row],[Сумма 
Продажа]]-Таблица1[[#This Row],[Сумма 
Приход]]-Таблица1[[#This Row],[Авто услу ]]</f>
        <v>367376.84299999999</v>
      </c>
      <c r="S290" s="34">
        <v>505263.15700000001</v>
      </c>
      <c r="T290" s="34">
        <f>Таблица1[[#This Row],[Сумма 
Продажа]]-IF(Таблица1[[#This Row],[Расход 
Авто]]="Клиент",N(Таблица1[[#This Row],[Авто услу ]]),0)</f>
        <v>4471376.8430000003</v>
      </c>
      <c r="U2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2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0" s="265" t="str">
        <f>IFERROR(INDEX(Мижозлар[Агент],MATCH($D290,Мижозлар[Расмий ном],0)),"")</f>
        <v>Арслон ога</v>
      </c>
    </row>
    <row r="291" spans="1:23" ht="14.25" x14ac:dyDescent="0.2">
      <c r="A291" s="28" t="s">
        <v>44</v>
      </c>
      <c r="B291" s="191" t="s">
        <v>26</v>
      </c>
      <c r="C291" s="192" t="s">
        <v>25</v>
      </c>
      <c r="D291" s="192" t="s">
        <v>53</v>
      </c>
      <c r="E291" s="193">
        <v>46253</v>
      </c>
      <c r="F291" s="191" t="s">
        <v>432</v>
      </c>
      <c r="G291" s="194" t="s">
        <v>355</v>
      </c>
      <c r="H291" s="195">
        <v>32.832000000000001</v>
      </c>
      <c r="I291" s="194">
        <v>593750</v>
      </c>
      <c r="J291" s="194">
        <f>Таблица1[[#This Row],[Блок
 Куб]]*Таблица1[[#This Row],[Цена 
Приход]]</f>
        <v>19494000</v>
      </c>
      <c r="K291" s="194">
        <v>19</v>
      </c>
      <c r="L291" s="194">
        <v>130000</v>
      </c>
      <c r="M291" s="194">
        <f>Таблица1[[#This Row],[Поддон
Шт]]*Таблица1[[#This Row],[Цена
Поддон]]</f>
        <v>2470000</v>
      </c>
      <c r="N291" s="194">
        <f>Таблица1[[#This Row],[Сумма 
Приход]]+Таблица1[[#This Row],[Сумма Поддон]]</f>
        <v>21964000</v>
      </c>
      <c r="O291" s="194">
        <v>720000</v>
      </c>
      <c r="P291" s="194">
        <f>Таблица1[[#This Row],[Блок
 Куб]]*Таблица1[[#This Row],[Цена
 Продажа]]</f>
        <v>23639040</v>
      </c>
      <c r="Q291" s="194" t="s">
        <v>356</v>
      </c>
      <c r="R291" s="194">
        <f>Таблица1[[#This Row],[Сумма 
Продажа]]-Таблица1[[#This Row],[Сумма 
Приход]]-Таблица1[[#This Row],[Авто услу ]]</f>
        <v>1445040</v>
      </c>
      <c r="S291" s="194">
        <v>2700000</v>
      </c>
      <c r="T291" s="194">
        <f>Таблица1[[#This Row],[Сумма 
Продажа]]-IF(Таблица1[[#This Row],[Расход 
Авто]]="Клиент",N(Таблица1[[#This Row],[Авто услу ]]),0)</f>
        <v>23639040</v>
      </c>
      <c r="U2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1" s="265" t="str">
        <f>IFERROR(INDEX(Мижозлар[Агент],MATCH($D291,Мижозлар[Расмий ном],0)),"")</f>
        <v>Жамол 22-22</v>
      </c>
    </row>
    <row r="292" spans="1:23" ht="14.25" x14ac:dyDescent="0.2">
      <c r="A292" s="28" t="s">
        <v>44</v>
      </c>
      <c r="B292" s="191" t="s">
        <v>26</v>
      </c>
      <c r="C292" s="192" t="s">
        <v>25</v>
      </c>
      <c r="D292" s="192" t="s">
        <v>53</v>
      </c>
      <c r="E292" s="193">
        <v>46253</v>
      </c>
      <c r="F292" s="191" t="s">
        <v>543</v>
      </c>
      <c r="G292" s="194" t="s">
        <v>355</v>
      </c>
      <c r="H292" s="195">
        <v>32.832000000000001</v>
      </c>
      <c r="I292" s="194">
        <v>593750</v>
      </c>
      <c r="J292" s="194">
        <f>Таблица1[[#This Row],[Блок
 Куб]]*Таблица1[[#This Row],[Цена 
Приход]]</f>
        <v>19494000</v>
      </c>
      <c r="K292" s="194">
        <v>19</v>
      </c>
      <c r="L292" s="194">
        <v>130000</v>
      </c>
      <c r="M292" s="194">
        <f>Таблица1[[#This Row],[Поддон
Шт]]*Таблица1[[#This Row],[Цена
Поддон]]</f>
        <v>2470000</v>
      </c>
      <c r="N292" s="194">
        <f>Таблица1[[#This Row],[Сумма 
Приход]]+Таблица1[[#This Row],[Сумма Поддон]]</f>
        <v>21964000</v>
      </c>
      <c r="O292" s="194">
        <v>720000</v>
      </c>
      <c r="P292" s="194">
        <f>Таблица1[[#This Row],[Блок
 Куб]]*Таблица1[[#This Row],[Цена
 Продажа]]</f>
        <v>23639040</v>
      </c>
      <c r="Q292" s="194" t="s">
        <v>356</v>
      </c>
      <c r="R292" s="194">
        <f>Таблица1[[#This Row],[Сумма 
Продажа]]-Таблица1[[#This Row],[Сумма 
Приход]]-Таблица1[[#This Row],[Авто услу ]]</f>
        <v>1745040</v>
      </c>
      <c r="S292" s="194">
        <v>2400000</v>
      </c>
      <c r="T292" s="194">
        <f>Таблица1[[#This Row],[Сумма 
Продажа]]-IF(Таблица1[[#This Row],[Расход 
Авто]]="Клиент",N(Таблица1[[#This Row],[Авто услу ]]),0)</f>
        <v>23639040</v>
      </c>
      <c r="U2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2" s="265" t="str">
        <f>IFERROR(INDEX(Мижозлар[Агент],MATCH($D292,Мижозлар[Расмий ном],0)),"")</f>
        <v>Жамол 22-22</v>
      </c>
    </row>
    <row r="293" spans="1:23" ht="14.25" x14ac:dyDescent="0.2">
      <c r="A293" s="28" t="s">
        <v>44</v>
      </c>
      <c r="B293" s="191" t="s">
        <v>26</v>
      </c>
      <c r="C293" s="192" t="s">
        <v>25</v>
      </c>
      <c r="D293" s="192" t="s">
        <v>53</v>
      </c>
      <c r="E293" s="193">
        <v>46253</v>
      </c>
      <c r="F293" s="191" t="s">
        <v>544</v>
      </c>
      <c r="G293" s="194" t="s">
        <v>355</v>
      </c>
      <c r="H293" s="195">
        <v>32.832000000000001</v>
      </c>
      <c r="I293" s="194">
        <v>593750</v>
      </c>
      <c r="J293" s="194">
        <f>Таблица1[[#This Row],[Блок
 Куб]]*Таблица1[[#This Row],[Цена 
Приход]]</f>
        <v>19494000</v>
      </c>
      <c r="K293" s="194">
        <v>19</v>
      </c>
      <c r="L293" s="194">
        <v>130000</v>
      </c>
      <c r="M293" s="194">
        <f>Таблица1[[#This Row],[Поддон
Шт]]*Таблица1[[#This Row],[Цена
Поддон]]</f>
        <v>2470000</v>
      </c>
      <c r="N293" s="194">
        <f>Таблица1[[#This Row],[Сумма 
Приход]]+Таблица1[[#This Row],[Сумма Поддон]]</f>
        <v>21964000</v>
      </c>
      <c r="O293" s="194">
        <v>720000</v>
      </c>
      <c r="P293" s="194">
        <f>Таблица1[[#This Row],[Блок
 Куб]]*Таблица1[[#This Row],[Цена
 Продажа]]</f>
        <v>23639040</v>
      </c>
      <c r="Q293" s="194" t="s">
        <v>356</v>
      </c>
      <c r="R293" s="194">
        <f>Таблица1[[#This Row],[Сумма 
Продажа]]-Таблица1[[#This Row],[Сумма 
Приход]]-Таблица1[[#This Row],[Авто услу ]]</f>
        <v>1745040</v>
      </c>
      <c r="S293" s="194">
        <v>2400000</v>
      </c>
      <c r="T293" s="194">
        <f>Таблица1[[#This Row],[Сумма 
Продажа]]-IF(Таблица1[[#This Row],[Расход 
Авто]]="Клиент",N(Таблица1[[#This Row],[Авто услу ]]),0)</f>
        <v>23639040</v>
      </c>
      <c r="U2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3" s="265" t="str">
        <f>IFERROR(INDEX(Мижозлар[Агент],MATCH($D293,Мижозлар[Расмий ном],0)),"")</f>
        <v>Жамол 22-22</v>
      </c>
    </row>
    <row r="294" spans="1:23" ht="14.25" x14ac:dyDescent="0.2">
      <c r="A294" s="28" t="s">
        <v>44</v>
      </c>
      <c r="B294" s="191" t="s">
        <v>26</v>
      </c>
      <c r="C294" s="192" t="s">
        <v>29</v>
      </c>
      <c r="D294" s="192" t="s">
        <v>95</v>
      </c>
      <c r="E294" s="193">
        <v>46253</v>
      </c>
      <c r="F294" s="191" t="s">
        <v>545</v>
      </c>
      <c r="G294" s="194" t="s">
        <v>355</v>
      </c>
      <c r="H294" s="195">
        <v>32.832000000000001</v>
      </c>
      <c r="I294" s="194">
        <v>593750</v>
      </c>
      <c r="J294" s="194">
        <f>Таблица1[[#This Row],[Блок
 Куб]]*Таблица1[[#This Row],[Цена 
Приход]]</f>
        <v>19494000</v>
      </c>
      <c r="K294" s="194">
        <v>19</v>
      </c>
      <c r="L294" s="194">
        <v>130000</v>
      </c>
      <c r="M294" s="194">
        <f>Таблица1[[#This Row],[Поддон
Шт]]*Таблица1[[#This Row],[Цена
Поддон]]</f>
        <v>2470000</v>
      </c>
      <c r="N294" s="194">
        <f>Таблица1[[#This Row],[Сумма 
Приход]]+Таблица1[[#This Row],[Сумма Поддон]]</f>
        <v>21964000</v>
      </c>
      <c r="O294" s="194">
        <v>720000</v>
      </c>
      <c r="P294" s="194">
        <f>Таблица1[[#This Row],[Блок
 Куб]]*Таблица1[[#This Row],[Цена
 Продажа]]</f>
        <v>23639040</v>
      </c>
      <c r="Q294" s="194" t="s">
        <v>240</v>
      </c>
      <c r="R294" s="194">
        <f>Таблица1[[#This Row],[Сумма 
Продажа]]-Таблица1[[#This Row],[Сумма 
Приход]]-Таблица1[[#This Row],[Авто услу ]]</f>
        <v>1745040</v>
      </c>
      <c r="S294" s="194">
        <v>2400000</v>
      </c>
      <c r="T294" s="194">
        <f>Таблица1[[#This Row],[Сумма 
Продажа]]-IF(Таблица1[[#This Row],[Расход 
Авто]]="Клиент",N(Таблица1[[#This Row],[Авто услу ]]),0)</f>
        <v>21239040</v>
      </c>
      <c r="U2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2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4" s="265" t="str">
        <f>IFERROR(INDEX(Мижозлар[Агент],MATCH($D294,Мижозлар[Расмий ном],0)),"")</f>
        <v>Зафар ога</v>
      </c>
    </row>
    <row r="295" spans="1:23" ht="14.25" x14ac:dyDescent="0.2">
      <c r="A295" s="28" t="s">
        <v>44</v>
      </c>
      <c r="B295" s="191" t="s">
        <v>26</v>
      </c>
      <c r="C295" s="192" t="s">
        <v>25</v>
      </c>
      <c r="D295" s="192" t="s">
        <v>53</v>
      </c>
      <c r="E295" s="193">
        <v>46253</v>
      </c>
      <c r="F295" s="191" t="s">
        <v>546</v>
      </c>
      <c r="G295" s="194" t="s">
        <v>355</v>
      </c>
      <c r="H295" s="195">
        <v>32.832000000000001</v>
      </c>
      <c r="I295" s="194">
        <v>593750</v>
      </c>
      <c r="J295" s="194">
        <f>Таблица1[[#This Row],[Блок
 Куб]]*Таблица1[[#This Row],[Цена 
Приход]]</f>
        <v>19494000</v>
      </c>
      <c r="K295" s="194">
        <v>19</v>
      </c>
      <c r="L295" s="194">
        <v>130000</v>
      </c>
      <c r="M295" s="194">
        <f>Таблица1[[#This Row],[Поддон
Шт]]*Таблица1[[#This Row],[Цена
Поддон]]</f>
        <v>2470000</v>
      </c>
      <c r="N295" s="194">
        <f>Таблица1[[#This Row],[Сумма 
Приход]]+Таблица1[[#This Row],[Сумма Поддон]]</f>
        <v>21964000</v>
      </c>
      <c r="O295" s="194">
        <v>720000</v>
      </c>
      <c r="P295" s="194">
        <f>Таблица1[[#This Row],[Блок
 Куб]]*Таблица1[[#This Row],[Цена
 Продажа]]</f>
        <v>23639040</v>
      </c>
      <c r="Q295" s="194" t="s">
        <v>356</v>
      </c>
      <c r="R295" s="194">
        <f>Таблица1[[#This Row],[Сумма 
Продажа]]-Таблица1[[#This Row],[Сумма 
Приход]]-Таблица1[[#This Row],[Авто услу ]]</f>
        <v>1745040</v>
      </c>
      <c r="S295" s="194">
        <v>2400000</v>
      </c>
      <c r="T295" s="194">
        <f>Таблица1[[#This Row],[Сумма 
Продажа]]-IF(Таблица1[[#This Row],[Расход 
Авто]]="Клиент",N(Таблица1[[#This Row],[Авто услу ]]),0)</f>
        <v>23639040</v>
      </c>
      <c r="U2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2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5" s="265" t="str">
        <f>IFERROR(INDEX(Мижозлар[Агент],MATCH($D295,Мижозлар[Расмий ном],0)),"")</f>
        <v>Жамол 22-22</v>
      </c>
    </row>
    <row r="296" spans="1:23" ht="14.25" x14ac:dyDescent="0.2">
      <c r="A296" s="28" t="s">
        <v>44</v>
      </c>
      <c r="B296" s="191" t="s">
        <v>26</v>
      </c>
      <c r="C296" s="192" t="s">
        <v>36</v>
      </c>
      <c r="D296" s="192" t="s">
        <v>123</v>
      </c>
      <c r="E296" s="193">
        <v>46253</v>
      </c>
      <c r="F296" s="191" t="s">
        <v>531</v>
      </c>
      <c r="G296" s="194" t="s">
        <v>355</v>
      </c>
      <c r="H296" s="195">
        <v>32.832000000000001</v>
      </c>
      <c r="I296" s="194">
        <v>593750</v>
      </c>
      <c r="J296" s="194">
        <f>Таблица1[[#This Row],[Блок
 Куб]]*Таблица1[[#This Row],[Цена 
Приход]]</f>
        <v>19494000</v>
      </c>
      <c r="K296" s="194">
        <v>19</v>
      </c>
      <c r="L296" s="194">
        <v>130000</v>
      </c>
      <c r="M296" s="194">
        <f>Таблица1[[#This Row],[Поддон
Шт]]*Таблица1[[#This Row],[Цена
Поддон]]</f>
        <v>2470000</v>
      </c>
      <c r="N296" s="194">
        <f>Таблица1[[#This Row],[Сумма 
Приход]]+Таблица1[[#This Row],[Сумма Поддон]]</f>
        <v>21964000</v>
      </c>
      <c r="O296" s="194">
        <v>720000</v>
      </c>
      <c r="P296" s="194">
        <f>Таблица1[[#This Row],[Блок
 Куб]]*Таблица1[[#This Row],[Цена
 Продажа]]</f>
        <v>23639040</v>
      </c>
      <c r="Q296" s="194" t="s">
        <v>240</v>
      </c>
      <c r="R296" s="194">
        <f>Таблица1[[#This Row],[Сумма 
Продажа]]-Таблица1[[#This Row],[Сумма 
Приход]]-Таблица1[[#This Row],[Авто услу ]]</f>
        <v>1745040</v>
      </c>
      <c r="S296" s="194">
        <v>2400000</v>
      </c>
      <c r="T296" s="194">
        <f>Таблица1[[#This Row],[Сумма 
Продажа]]-IF(Таблица1[[#This Row],[Расход 
Авто]]="Клиент",N(Таблица1[[#This Row],[Авто услу ]]),0)</f>
        <v>21239040</v>
      </c>
      <c r="U2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6" s="265" t="str">
        <f>IFERROR(INDEX(Мижозлар[Агент],MATCH($D296,Мижозлар[Расмий ном],0)),"")</f>
        <v>Темур</v>
      </c>
    </row>
    <row r="297" spans="1:23" ht="14.25" x14ac:dyDescent="0.2">
      <c r="A297" s="28" t="s">
        <v>44</v>
      </c>
      <c r="B297" s="191" t="s">
        <v>26</v>
      </c>
      <c r="C297" s="192" t="s">
        <v>36</v>
      </c>
      <c r="D297" s="192" t="s">
        <v>123</v>
      </c>
      <c r="E297" s="193">
        <v>46253</v>
      </c>
      <c r="F297" s="191" t="s">
        <v>547</v>
      </c>
      <c r="G297" s="194" t="s">
        <v>355</v>
      </c>
      <c r="H297" s="195">
        <v>32.832000000000001</v>
      </c>
      <c r="I297" s="194">
        <v>593750</v>
      </c>
      <c r="J297" s="194">
        <f>Таблица1[[#This Row],[Блок
 Куб]]*Таблица1[[#This Row],[Цена 
Приход]]</f>
        <v>19494000</v>
      </c>
      <c r="K297" s="194">
        <v>19</v>
      </c>
      <c r="L297" s="194">
        <v>130000</v>
      </c>
      <c r="M297" s="194">
        <f>Таблица1[[#This Row],[Поддон
Шт]]*Таблица1[[#This Row],[Цена
Поддон]]</f>
        <v>2470000</v>
      </c>
      <c r="N297" s="194">
        <f>Таблица1[[#This Row],[Сумма 
Приход]]+Таблица1[[#This Row],[Сумма Поддон]]</f>
        <v>21964000</v>
      </c>
      <c r="O297" s="194">
        <v>720000</v>
      </c>
      <c r="P297" s="194">
        <f>Таблица1[[#This Row],[Блок
 Куб]]*Таблица1[[#This Row],[Цена
 Продажа]]</f>
        <v>23639040</v>
      </c>
      <c r="Q297" s="194" t="s">
        <v>240</v>
      </c>
      <c r="R297" s="194">
        <f>Таблица1[[#This Row],[Сумма 
Продажа]]-Таблица1[[#This Row],[Сумма 
Приход]]-Таблица1[[#This Row],[Авто услу ]]</f>
        <v>1745040</v>
      </c>
      <c r="S297" s="194">
        <v>2400000</v>
      </c>
      <c r="T297" s="194">
        <f>Таблица1[[#This Row],[Сумма 
Продажа]]-IF(Таблица1[[#This Row],[Расход 
Авто]]="Клиент",N(Таблица1[[#This Row],[Авто услу ]]),0)</f>
        <v>21239040</v>
      </c>
      <c r="U2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7" s="265" t="str">
        <f>IFERROR(INDEX(Мижозлар[Агент],MATCH($D297,Мижозлар[Расмий ном],0)),"")</f>
        <v>Темур</v>
      </c>
    </row>
    <row r="298" spans="1:23" ht="14.25" x14ac:dyDescent="0.2">
      <c r="A298" s="28" t="s">
        <v>44</v>
      </c>
      <c r="B298" s="191" t="s">
        <v>26</v>
      </c>
      <c r="C298" s="192" t="s">
        <v>36</v>
      </c>
      <c r="D298" s="192" t="s">
        <v>82</v>
      </c>
      <c r="E298" s="193">
        <v>46253</v>
      </c>
      <c r="F298" s="191" t="s">
        <v>548</v>
      </c>
      <c r="G298" s="194" t="s">
        <v>368</v>
      </c>
      <c r="H298" s="195">
        <v>32.832000000000001</v>
      </c>
      <c r="I298" s="194">
        <v>593750</v>
      </c>
      <c r="J298" s="194">
        <f>Таблица1[[#This Row],[Блок
 Куб]]*Таблица1[[#This Row],[Цена 
Приход]]</f>
        <v>19494000</v>
      </c>
      <c r="K298" s="194">
        <v>19</v>
      </c>
      <c r="L298" s="194">
        <v>130000</v>
      </c>
      <c r="M298" s="194">
        <f>Таблица1[[#This Row],[Поддон
Шт]]*Таблица1[[#This Row],[Цена
Поддон]]</f>
        <v>2470000</v>
      </c>
      <c r="N298" s="194">
        <f>Таблица1[[#This Row],[Сумма 
Приход]]+Таблица1[[#This Row],[Сумма Поддон]]</f>
        <v>21964000</v>
      </c>
      <c r="O298" s="194">
        <v>720000</v>
      </c>
      <c r="P298" s="194">
        <f>Таблица1[[#This Row],[Блок
 Куб]]*Таблица1[[#This Row],[Цена
 Продажа]]</f>
        <v>23639040</v>
      </c>
      <c r="Q298" s="194" t="s">
        <v>240</v>
      </c>
      <c r="R298" s="194">
        <f>Таблица1[[#This Row],[Сумма 
Продажа]]-Таблица1[[#This Row],[Сумма 
Приход]]-Таблица1[[#This Row],[Авто услу ]]</f>
        <v>1745040</v>
      </c>
      <c r="S298" s="194">
        <v>2400000</v>
      </c>
      <c r="T298" s="194">
        <f>Таблица1[[#This Row],[Сумма 
Продажа]]-IF(Таблица1[[#This Row],[Расход 
Авто]]="Клиент",N(Таблица1[[#This Row],[Авто услу ]]),0)</f>
        <v>21239040</v>
      </c>
      <c r="U2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8" s="265" t="str">
        <f>IFERROR(INDEX(Мижозлар[Агент],MATCH($D298,Мижозлар[Расмий ном],0)),"")</f>
        <v>Темур</v>
      </c>
    </row>
    <row r="299" spans="1:23" x14ac:dyDescent="0.2">
      <c r="A299" s="28" t="s">
        <v>44</v>
      </c>
      <c r="B299" s="191" t="s">
        <v>26</v>
      </c>
      <c r="C299" s="192" t="s">
        <v>36</v>
      </c>
      <c r="D299" s="192" t="s">
        <v>82</v>
      </c>
      <c r="E299" s="193">
        <v>46253</v>
      </c>
      <c r="F299" s="191" t="s">
        <v>426</v>
      </c>
      <c r="G299" s="194" t="s">
        <v>368</v>
      </c>
      <c r="H299" s="195">
        <v>32.832000000000001</v>
      </c>
      <c r="I299" s="194">
        <v>593750</v>
      </c>
      <c r="J299" s="194">
        <f>Таблица1[[#This Row],[Блок
 Куб]]*Таблица1[[#This Row],[Цена 
Приход]]</f>
        <v>19494000</v>
      </c>
      <c r="K299" s="194">
        <v>19</v>
      </c>
      <c r="L299" s="194">
        <v>130000</v>
      </c>
      <c r="M299" s="194">
        <f>Таблица1[[#This Row],[Поддон
Шт]]*Таблица1[[#This Row],[Цена
Поддон]]</f>
        <v>2470000</v>
      </c>
      <c r="N299" s="194">
        <f>Таблица1[[#This Row],[Сумма 
Приход]]+Таблица1[[#This Row],[Сумма Поддон]]</f>
        <v>21964000</v>
      </c>
      <c r="O299" s="194">
        <v>720000</v>
      </c>
      <c r="P299" s="194">
        <f>Таблица1[[#This Row],[Блок
 Куб]]*Таблица1[[#This Row],[Цена
 Продажа]]</f>
        <v>23639040</v>
      </c>
      <c r="Q299" s="194" t="s">
        <v>240</v>
      </c>
      <c r="R299" s="194">
        <f>Таблица1[[#This Row],[Сумма 
Продажа]]-Таблица1[[#This Row],[Сумма 
Приход]]-Таблица1[[#This Row],[Авто услу ]]</f>
        <v>1745040</v>
      </c>
      <c r="S299" s="194">
        <v>2400000</v>
      </c>
      <c r="T299" s="321">
        <f>Таблица1[[#This Row],[Сумма 
Продажа]]-IF(Таблица1[[#This Row],[Расход 
Авто]]="Клиент",N(Таблица1[[#This Row],[Авто услу ]]),0)</f>
        <v>21239040</v>
      </c>
      <c r="U2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2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299" s="265" t="str">
        <f>IFERROR(INDEX(Мижозлар[Агент],MATCH($D299,Мижозлар[Расмий ном],0)),"")</f>
        <v>Темур</v>
      </c>
    </row>
    <row r="300" spans="1:23" ht="14.25" x14ac:dyDescent="0.2">
      <c r="A300" s="21" t="s">
        <v>44</v>
      </c>
      <c r="B300" s="135" t="s">
        <v>26</v>
      </c>
      <c r="C300" s="141" t="s">
        <v>29</v>
      </c>
      <c r="D300" s="141" t="s">
        <v>57</v>
      </c>
      <c r="E300" s="136">
        <v>46254</v>
      </c>
      <c r="F300" s="135" t="s">
        <v>585</v>
      </c>
      <c r="G300" s="34" t="s">
        <v>473</v>
      </c>
      <c r="H300" s="142">
        <v>6.9119999999999999</v>
      </c>
      <c r="I300" s="34">
        <v>593750</v>
      </c>
      <c r="J300" s="34">
        <f>Таблица1[[#This Row],[Блок
 Куб]]*Таблица1[[#This Row],[Цена 
Приход]]</f>
        <v>4104000</v>
      </c>
      <c r="K300" s="34">
        <v>4</v>
      </c>
      <c r="L300" s="34">
        <v>130000</v>
      </c>
      <c r="M300" s="34">
        <f>Таблица1[[#This Row],[Поддон
Шт]]*Таблица1[[#This Row],[Цена
Поддон]]</f>
        <v>520000</v>
      </c>
      <c r="N300" s="34">
        <f>Таблица1[[#This Row],[Сумма 
Приход]]+Таблица1[[#This Row],[Сумма Поддон]]</f>
        <v>4624000</v>
      </c>
      <c r="O300" s="34">
        <v>700000</v>
      </c>
      <c r="P300" s="34">
        <f>Таблица1[[#This Row],[Блок
 Куб]]*Таблица1[[#This Row],[Цена
 Продажа]]</f>
        <v>4838400</v>
      </c>
      <c r="Q300" s="34" t="s">
        <v>240</v>
      </c>
      <c r="R300" s="34">
        <f>Таблица1[[#This Row],[Сумма 
Продажа]]-Таблица1[[#This Row],[Сумма 
Приход]]-Таблица1[[#This Row],[Авто услу ]]</f>
        <v>229136.84210526315</v>
      </c>
      <c r="S300" s="34">
        <v>505263.15789473685</v>
      </c>
      <c r="T300" s="34">
        <f>Таблица1[[#This Row],[Сумма 
Продажа]]-IF(Таблица1[[#This Row],[Расход 
Авто]]="Клиент",N(Таблица1[[#This Row],[Авто услу ]]),0)</f>
        <v>4333136.8421052629</v>
      </c>
      <c r="U3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0" s="265" t="str">
        <f>IFERROR(INDEX(Мижозлар[Агент],MATCH($D300,Мижозлар[Расмий ном],0)),"")</f>
        <v>Зафар ога</v>
      </c>
    </row>
    <row r="301" spans="1:23" ht="14.25" x14ac:dyDescent="0.2">
      <c r="A301" s="21" t="s">
        <v>44</v>
      </c>
      <c r="B301" s="135" t="s">
        <v>26</v>
      </c>
      <c r="C301" s="141" t="s">
        <v>29</v>
      </c>
      <c r="D301" s="141" t="s">
        <v>57</v>
      </c>
      <c r="E301" s="136">
        <v>46254</v>
      </c>
      <c r="F301" s="135" t="s">
        <v>585</v>
      </c>
      <c r="G301" s="34" t="s">
        <v>355</v>
      </c>
      <c r="H301" s="142">
        <v>20.736000000000001</v>
      </c>
      <c r="I301" s="34">
        <v>593750</v>
      </c>
      <c r="J301" s="34">
        <f>Таблица1[[#This Row],[Блок
 Куб]]*Таблица1[[#This Row],[Цена 
Приход]]</f>
        <v>12312000</v>
      </c>
      <c r="K301" s="34">
        <v>12</v>
      </c>
      <c r="L301" s="34">
        <v>130000</v>
      </c>
      <c r="M301" s="34">
        <f>Таблица1[[#This Row],[Поддон
Шт]]*Таблица1[[#This Row],[Цена
Поддон]]</f>
        <v>1560000</v>
      </c>
      <c r="N301" s="34">
        <f>Таблица1[[#This Row],[Сумма 
Приход]]+Таблица1[[#This Row],[Сумма Поддон]]</f>
        <v>13872000</v>
      </c>
      <c r="O301" s="34">
        <v>700000</v>
      </c>
      <c r="P301" s="34">
        <f>Таблица1[[#This Row],[Блок
 Куб]]*Таблица1[[#This Row],[Цена
 Продажа]]</f>
        <v>14515200</v>
      </c>
      <c r="Q301" s="34" t="s">
        <v>240</v>
      </c>
      <c r="R301" s="34">
        <f>Таблица1[[#This Row],[Сумма 
Продажа]]-Таблица1[[#This Row],[Сумма 
Приход]]-Таблица1[[#This Row],[Авто услу ]]</f>
        <v>687410.52631578944</v>
      </c>
      <c r="S301" s="34">
        <v>1515789.4736842106</v>
      </c>
      <c r="T301" s="34">
        <f>Таблица1[[#This Row],[Сумма 
Продажа]]-IF(Таблица1[[#This Row],[Расход 
Авто]]="Клиент",N(Таблица1[[#This Row],[Авто услу ]]),0)</f>
        <v>12999410.52631579</v>
      </c>
      <c r="U3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1" s="265" t="str">
        <f>IFERROR(INDEX(Мижозлар[Агент],MATCH($D301,Мижозлар[Расмий ном],0)),"")</f>
        <v>Зафар ога</v>
      </c>
    </row>
    <row r="302" spans="1:23" ht="14.25" x14ac:dyDescent="0.2">
      <c r="A302" s="21" t="s">
        <v>44</v>
      </c>
      <c r="B302" s="135" t="s">
        <v>26</v>
      </c>
      <c r="C302" s="141" t="s">
        <v>40</v>
      </c>
      <c r="D302" s="141" t="s">
        <v>119</v>
      </c>
      <c r="E302" s="136">
        <v>46254</v>
      </c>
      <c r="F302" s="135" t="s">
        <v>585</v>
      </c>
      <c r="G302" s="34" t="s">
        <v>355</v>
      </c>
      <c r="H302" s="142">
        <v>5.1840000000000002</v>
      </c>
      <c r="I302" s="34">
        <v>593750</v>
      </c>
      <c r="J302" s="34">
        <f>Таблица1[[#This Row],[Блок
 Куб]]*Таблица1[[#This Row],[Цена 
Приход]]</f>
        <v>3078000</v>
      </c>
      <c r="K302" s="34">
        <v>3</v>
      </c>
      <c r="L302" s="34">
        <v>130000</v>
      </c>
      <c r="M302" s="34">
        <f>Таблица1[[#This Row],[Поддон
Шт]]*Таблица1[[#This Row],[Цена
Поддон]]</f>
        <v>390000</v>
      </c>
      <c r="N302" s="34">
        <f>Таблица1[[#This Row],[Сумма 
Приход]]+Таблица1[[#This Row],[Сумма Поддон]]</f>
        <v>3468000</v>
      </c>
      <c r="O302" s="34">
        <v>700000</v>
      </c>
      <c r="P302" s="34">
        <f>Таблица1[[#This Row],[Блок
 Куб]]*Таблица1[[#This Row],[Цена
 Продажа]]</f>
        <v>3628800</v>
      </c>
      <c r="Q302" s="34" t="s">
        <v>240</v>
      </c>
      <c r="R302" s="34">
        <f>Таблица1[[#This Row],[Сумма 
Продажа]]-Таблица1[[#This Row],[Сумма 
Приход]]-Таблица1[[#This Row],[Авто услу ]]</f>
        <v>171852.63157894736</v>
      </c>
      <c r="S302" s="34">
        <v>378947.36842105264</v>
      </c>
      <c r="T302" s="34">
        <f>Таблица1[[#This Row],[Сумма 
Продажа]]-IF(Таблица1[[#This Row],[Расход 
Авто]]="Клиент",N(Таблица1[[#This Row],[Авто услу ]]),0)</f>
        <v>3249852.6315789474</v>
      </c>
      <c r="U3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2" s="265" t="str">
        <f>IFERROR(INDEX(Мижозлар[Агент],MATCH($D302,Мижозлар[Расмий ном],0)),"")</f>
        <v>Шохрух ога</v>
      </c>
    </row>
    <row r="303" spans="1:23" ht="14.25" x14ac:dyDescent="0.2">
      <c r="A303" s="21" t="s">
        <v>44</v>
      </c>
      <c r="B303" s="135" t="s">
        <v>26</v>
      </c>
      <c r="C303" s="141" t="s">
        <v>25</v>
      </c>
      <c r="D303" s="141" t="s">
        <v>114</v>
      </c>
      <c r="E303" s="136">
        <v>46254</v>
      </c>
      <c r="F303" s="135" t="s">
        <v>586</v>
      </c>
      <c r="G303" s="34" t="s">
        <v>355</v>
      </c>
      <c r="H303" s="142">
        <v>32.832000000000001</v>
      </c>
      <c r="I303" s="34">
        <v>593750</v>
      </c>
      <c r="J303" s="34">
        <f>Таблица1[[#This Row],[Блок
 Куб]]*Таблица1[[#This Row],[Цена 
Приход]]</f>
        <v>19494000</v>
      </c>
      <c r="K303" s="34">
        <v>19</v>
      </c>
      <c r="L303" s="34">
        <v>130000</v>
      </c>
      <c r="M303" s="34">
        <f>Таблица1[[#This Row],[Поддон
Шт]]*Таблица1[[#This Row],[Цена
Поддон]]</f>
        <v>2470000</v>
      </c>
      <c r="N303" s="34">
        <f>Таблица1[[#This Row],[Сумма 
Приход]]+Таблица1[[#This Row],[Сумма Поддон]]</f>
        <v>21964000</v>
      </c>
      <c r="O303" s="34">
        <v>720000</v>
      </c>
      <c r="P303" s="34">
        <f>Таблица1[[#This Row],[Блок
 Куб]]*Таблица1[[#This Row],[Цена
 Продажа]]</f>
        <v>23639040</v>
      </c>
      <c r="Q303" s="34" t="s">
        <v>356</v>
      </c>
      <c r="R303" s="34">
        <f>Таблица1[[#This Row],[Сумма 
Продажа]]-Таблица1[[#This Row],[Сумма 
Приход]]-Таблица1[[#This Row],[Авто услу ]]</f>
        <v>1745040</v>
      </c>
      <c r="S303" s="34">
        <v>2400000</v>
      </c>
      <c r="T303" s="34">
        <f>Таблица1[[#This Row],[Сумма 
Продажа]]-IF(Таблица1[[#This Row],[Расход 
Авто]]="Клиент",N(Таблица1[[#This Row],[Авто услу ]]),0)</f>
        <v>23639040</v>
      </c>
      <c r="U3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3" s="265" t="str">
        <f>IFERROR(INDEX(Мижозлар[Агент],MATCH($D303,Мижозлар[Расмий ном],0)),"")</f>
        <v>Жамол 22-22</v>
      </c>
    </row>
    <row r="304" spans="1:23" ht="14.25" x14ac:dyDescent="0.2">
      <c r="A304" s="21" t="s">
        <v>44</v>
      </c>
      <c r="B304" s="135" t="s">
        <v>26</v>
      </c>
      <c r="C304" s="141" t="s">
        <v>25</v>
      </c>
      <c r="D304" s="141" t="s">
        <v>114</v>
      </c>
      <c r="E304" s="136">
        <v>46254</v>
      </c>
      <c r="F304" s="135" t="s">
        <v>586</v>
      </c>
      <c r="G304" s="34" t="s">
        <v>355</v>
      </c>
      <c r="H304" s="142">
        <v>32.832000000000001</v>
      </c>
      <c r="I304" s="34">
        <v>593750</v>
      </c>
      <c r="J304" s="34">
        <f>Таблица1[[#This Row],[Блок
 Куб]]*Таблица1[[#This Row],[Цена 
Приход]]</f>
        <v>19494000</v>
      </c>
      <c r="K304" s="34">
        <v>19</v>
      </c>
      <c r="L304" s="34">
        <v>130000</v>
      </c>
      <c r="M304" s="34">
        <f>Таблица1[[#This Row],[Поддон
Шт]]*Таблица1[[#This Row],[Цена
Поддон]]</f>
        <v>2470000</v>
      </c>
      <c r="N304" s="34">
        <f>Таблица1[[#This Row],[Сумма 
Приход]]+Таблица1[[#This Row],[Сумма Поддон]]</f>
        <v>21964000</v>
      </c>
      <c r="O304" s="34">
        <v>720000</v>
      </c>
      <c r="P304" s="34">
        <f>Таблица1[[#This Row],[Блок
 Куб]]*Таблица1[[#This Row],[Цена
 Продажа]]</f>
        <v>23639040</v>
      </c>
      <c r="Q304" s="34" t="s">
        <v>356</v>
      </c>
      <c r="R304" s="34">
        <f>Таблица1[[#This Row],[Сумма 
Продажа]]-Таблица1[[#This Row],[Сумма 
Приход]]-Таблица1[[#This Row],[Авто услу ]]</f>
        <v>1445040</v>
      </c>
      <c r="S304" s="34">
        <v>2700000</v>
      </c>
      <c r="T304" s="34">
        <f>Таблица1[[#This Row],[Сумма 
Продажа]]-IF(Таблица1[[#This Row],[Расход 
Авто]]="Клиент",N(Таблица1[[#This Row],[Авто услу ]]),0)</f>
        <v>23639040</v>
      </c>
      <c r="U3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4" s="265" t="str">
        <f>IFERROR(INDEX(Мижозлар[Агент],MATCH($D304,Мижозлар[Расмий ном],0)),"")</f>
        <v>Жамол 22-22</v>
      </c>
    </row>
    <row r="305" spans="1:23" ht="14.25" x14ac:dyDescent="0.2">
      <c r="A305" s="21" t="s">
        <v>44</v>
      </c>
      <c r="B305" s="135" t="s">
        <v>26</v>
      </c>
      <c r="C305" s="141" t="s">
        <v>36</v>
      </c>
      <c r="D305" s="141" t="s">
        <v>123</v>
      </c>
      <c r="E305" s="136">
        <v>46254</v>
      </c>
      <c r="F305" s="135" t="s">
        <v>587</v>
      </c>
      <c r="G305" s="34" t="s">
        <v>355</v>
      </c>
      <c r="H305" s="142">
        <v>32.832000000000001</v>
      </c>
      <c r="I305" s="34">
        <v>593750</v>
      </c>
      <c r="J305" s="34">
        <f>Таблица1[[#This Row],[Блок
 Куб]]*Таблица1[[#This Row],[Цена 
Приход]]</f>
        <v>19494000</v>
      </c>
      <c r="K305" s="34">
        <v>19</v>
      </c>
      <c r="L305" s="34">
        <v>130000</v>
      </c>
      <c r="M305" s="34">
        <f>Таблица1[[#This Row],[Поддон
Шт]]*Таблица1[[#This Row],[Цена
Поддон]]</f>
        <v>2470000</v>
      </c>
      <c r="N305" s="34">
        <f>Таблица1[[#This Row],[Сумма 
Приход]]+Таблица1[[#This Row],[Сумма Поддон]]</f>
        <v>21964000</v>
      </c>
      <c r="O305" s="34">
        <v>720000</v>
      </c>
      <c r="P305" s="34">
        <f>Таблица1[[#This Row],[Блок
 Куб]]*Таблица1[[#This Row],[Цена
 Продажа]]</f>
        <v>23639040</v>
      </c>
      <c r="Q305" s="34" t="s">
        <v>240</v>
      </c>
      <c r="R305" s="34">
        <f>Таблица1[[#This Row],[Сумма 
Продажа]]-Таблица1[[#This Row],[Сумма 
Приход]]-Таблица1[[#This Row],[Авто услу ]]</f>
        <v>1745040</v>
      </c>
      <c r="S305" s="34">
        <v>2400000</v>
      </c>
      <c r="T305" s="34">
        <f>Таблица1[[#This Row],[Сумма 
Продажа]]-IF(Таблица1[[#This Row],[Расход 
Авто]]="Клиент",N(Таблица1[[#This Row],[Авто услу ]]),0)</f>
        <v>21239040</v>
      </c>
      <c r="U3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5" s="265" t="str">
        <f>IFERROR(INDEX(Мижозлар[Агент],MATCH($D305,Мижозлар[Расмий ном],0)),"")</f>
        <v>Темур</v>
      </c>
    </row>
    <row r="306" spans="1:23" x14ac:dyDescent="0.2">
      <c r="A306" s="21" t="s">
        <v>44</v>
      </c>
      <c r="B306" s="135" t="s">
        <v>26</v>
      </c>
      <c r="C306" s="141" t="s">
        <v>36</v>
      </c>
      <c r="D306" s="141" t="s">
        <v>82</v>
      </c>
      <c r="E306" s="136">
        <v>46254</v>
      </c>
      <c r="F306" s="135" t="s">
        <v>588</v>
      </c>
      <c r="G306" s="34" t="s">
        <v>355</v>
      </c>
      <c r="H306" s="142">
        <v>32.832000000000001</v>
      </c>
      <c r="I306" s="34">
        <v>593750</v>
      </c>
      <c r="J306" s="34">
        <f>Таблица1[[#This Row],[Блок
 Куб]]*Таблица1[[#This Row],[Цена 
Приход]]</f>
        <v>19494000</v>
      </c>
      <c r="K306" s="34">
        <v>19</v>
      </c>
      <c r="L306" s="34">
        <v>130000</v>
      </c>
      <c r="M306" s="34">
        <f>Таблица1[[#This Row],[Поддон
Шт]]*Таблица1[[#This Row],[Цена
Поддон]]</f>
        <v>2470000</v>
      </c>
      <c r="N306" s="34">
        <f>Таблица1[[#This Row],[Сумма 
Приход]]+Таблица1[[#This Row],[Сумма Поддон]]</f>
        <v>21964000</v>
      </c>
      <c r="O306" s="34">
        <v>720000</v>
      </c>
      <c r="P306" s="34">
        <f>Таблица1[[#This Row],[Блок
 Куб]]*Таблица1[[#This Row],[Цена
 Продажа]]</f>
        <v>23639040</v>
      </c>
      <c r="Q306" s="34" t="s">
        <v>240</v>
      </c>
      <c r="R306" s="34">
        <f>Таблица1[[#This Row],[Сумма 
Продажа]]-Таблица1[[#This Row],[Сумма 
Приход]]-Таблица1[[#This Row],[Авто услу ]]</f>
        <v>1745040</v>
      </c>
      <c r="S306" s="34">
        <v>2400000</v>
      </c>
      <c r="T306" s="320">
        <f>Таблица1[[#This Row],[Сумма 
Продажа]]-IF(Таблица1[[#This Row],[Расход 
Авто]]="Клиент",N(Таблица1[[#This Row],[Авто услу ]]),0)</f>
        <v>21239040</v>
      </c>
      <c r="U3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6" s="265" t="str">
        <f>IFERROR(INDEX(Мижозлар[Агент],MATCH($D306,Мижозлар[Расмий ном],0)),"")</f>
        <v>Темур</v>
      </c>
    </row>
    <row r="307" spans="1:23" ht="14.25" x14ac:dyDescent="0.2">
      <c r="A307" s="21" t="s">
        <v>44</v>
      </c>
      <c r="B307" s="135" t="s">
        <v>26</v>
      </c>
      <c r="C307" s="141" t="s">
        <v>29</v>
      </c>
      <c r="D307" s="141" t="s">
        <v>67</v>
      </c>
      <c r="E307" s="136">
        <v>46254</v>
      </c>
      <c r="F307" s="135" t="s">
        <v>589</v>
      </c>
      <c r="G307" s="34" t="s">
        <v>355</v>
      </c>
      <c r="H307" s="142">
        <v>32.832000000000001</v>
      </c>
      <c r="I307" s="34">
        <v>593750</v>
      </c>
      <c r="J307" s="34">
        <f>Таблица1[[#This Row],[Блок
 Куб]]*Таблица1[[#This Row],[Цена 
Приход]]</f>
        <v>19494000</v>
      </c>
      <c r="K307" s="34">
        <v>19</v>
      </c>
      <c r="L307" s="34">
        <v>130000</v>
      </c>
      <c r="M307" s="34">
        <f>Таблица1[[#This Row],[Поддон
Шт]]*Таблица1[[#This Row],[Цена
Поддон]]</f>
        <v>2470000</v>
      </c>
      <c r="N307" s="34">
        <f>Таблица1[[#This Row],[Сумма 
Приход]]+Таблица1[[#This Row],[Сумма Поддон]]</f>
        <v>21964000</v>
      </c>
      <c r="O307" s="34">
        <v>720000</v>
      </c>
      <c r="P307" s="34">
        <f>Таблица1[[#This Row],[Блок
 Куб]]*Таблица1[[#This Row],[Цена
 Продажа]]</f>
        <v>23639040</v>
      </c>
      <c r="Q307" s="34" t="s">
        <v>240</v>
      </c>
      <c r="R307" s="34">
        <f>Таблица1[[#This Row],[Сумма 
Продажа]]-Таблица1[[#This Row],[Сумма 
Приход]]-Таблица1[[#This Row],[Авто услу ]]</f>
        <v>1745040</v>
      </c>
      <c r="S307" s="34">
        <v>2400000</v>
      </c>
      <c r="T307" s="34">
        <f>Таблица1[[#This Row],[Сумма 
Продажа]]-IF(Таблица1[[#This Row],[Расход 
Авто]]="Клиент",N(Таблица1[[#This Row],[Авто услу ]]),0)</f>
        <v>21239040</v>
      </c>
      <c r="U3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7" s="265" t="str">
        <f>IFERROR(INDEX(Мижозлар[Агент],MATCH($D307,Мижозлар[Расмий ном],0)),"")</f>
        <v>Зафар ога</v>
      </c>
    </row>
    <row r="308" spans="1:23" ht="14.25" x14ac:dyDescent="0.2">
      <c r="A308" s="28" t="s">
        <v>44</v>
      </c>
      <c r="B308" s="191" t="s">
        <v>26</v>
      </c>
      <c r="C308" s="192" t="s">
        <v>40</v>
      </c>
      <c r="D308" s="192" t="s">
        <v>19</v>
      </c>
      <c r="E308" s="193">
        <v>46255</v>
      </c>
      <c r="F308" s="191" t="s">
        <v>637</v>
      </c>
      <c r="G308" s="194" t="s">
        <v>368</v>
      </c>
      <c r="H308" s="195">
        <v>32.832000000000001</v>
      </c>
      <c r="I308" s="188">
        <v>593750</v>
      </c>
      <c r="J308" s="194">
        <f>Таблица1[[#This Row],[Блок
 Куб]]*Таблица1[[#This Row],[Цена 
Приход]]</f>
        <v>19494000</v>
      </c>
      <c r="K308" s="194">
        <v>19</v>
      </c>
      <c r="L308" s="194">
        <v>130000</v>
      </c>
      <c r="M308" s="194">
        <f>Таблица1[[#This Row],[Поддон
Шт]]*Таблица1[[#This Row],[Цена
Поддон]]</f>
        <v>2470000</v>
      </c>
      <c r="N308" s="194">
        <f>Таблица1[[#This Row],[Сумма 
Приход]]+Таблица1[[#This Row],[Сумма Поддон]]</f>
        <v>21964000</v>
      </c>
      <c r="O308" s="194">
        <v>720000</v>
      </c>
      <c r="P308" s="194">
        <f>Таблица1[[#This Row],[Блок
 Куб]]*Таблица1[[#This Row],[Цена
 Продажа]]</f>
        <v>23639040</v>
      </c>
      <c r="Q308" s="194" t="s">
        <v>356</v>
      </c>
      <c r="R308" s="194">
        <f>Таблица1[[#This Row],[Сумма 
Продажа]]-Таблица1[[#This Row],[Сумма 
Приход]]-Таблица1[[#This Row],[Авто услу ]]</f>
        <v>1745040</v>
      </c>
      <c r="S308" s="194">
        <v>2400000</v>
      </c>
      <c r="T308" s="194">
        <f>Таблица1[[#This Row],[Сумма 
Продажа]]-IF(Таблица1[[#This Row],[Расход 
Авто]]="Клиент",N(Таблица1[[#This Row],[Авто услу ]]),0)</f>
        <v>23639040</v>
      </c>
      <c r="U30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8" s="265" t="str">
        <f>IFERROR(INDEX(Мижозлар[Агент],MATCH($D308,Мижозлар[Расмий ном],0)),"")</f>
        <v>Шохрух ога</v>
      </c>
    </row>
    <row r="309" spans="1:23" ht="14.25" x14ac:dyDescent="0.2">
      <c r="A309" s="28" t="s">
        <v>44</v>
      </c>
      <c r="B309" s="191" t="s">
        <v>26</v>
      </c>
      <c r="C309" s="192" t="s">
        <v>32</v>
      </c>
      <c r="D309" s="192" t="s">
        <v>85</v>
      </c>
      <c r="E309" s="193">
        <v>46255</v>
      </c>
      <c r="F309" s="191" t="s">
        <v>382</v>
      </c>
      <c r="G309" s="194" t="s">
        <v>355</v>
      </c>
      <c r="H309" s="195">
        <v>32.832000000000001</v>
      </c>
      <c r="I309" s="194">
        <v>593750</v>
      </c>
      <c r="J309" s="194">
        <f>Таблица1[[#This Row],[Блок
 Куб]]*Таблица1[[#This Row],[Цена 
Приход]]</f>
        <v>19494000</v>
      </c>
      <c r="K309" s="194">
        <v>19</v>
      </c>
      <c r="L309" s="194">
        <v>130000</v>
      </c>
      <c r="M309" s="194">
        <f>Таблица1[[#This Row],[Поддон
Шт]]*Таблица1[[#This Row],[Цена
Поддон]]</f>
        <v>2470000</v>
      </c>
      <c r="N309" s="194">
        <f>Таблица1[[#This Row],[Сумма 
Приход]]+Таблица1[[#This Row],[Сумма Поддон]]</f>
        <v>21964000</v>
      </c>
      <c r="O309" s="194">
        <v>720000</v>
      </c>
      <c r="P309" s="194">
        <f>Таблица1[[#This Row],[Блок
 Куб]]*Таблица1[[#This Row],[Цена
 Продажа]]</f>
        <v>23639040</v>
      </c>
      <c r="Q309" s="194" t="s">
        <v>240</v>
      </c>
      <c r="R309" s="194">
        <f>Таблица1[[#This Row],[Сумма 
Продажа]]-Таблица1[[#This Row],[Сумма 
Приход]]-Таблица1[[#This Row],[Авто услу ]]</f>
        <v>1745040</v>
      </c>
      <c r="S309" s="194">
        <v>2400000</v>
      </c>
      <c r="T309" s="194">
        <f>Таблица1[[#This Row],[Сумма 
Продажа]]-IF(Таблица1[[#This Row],[Расход 
Авто]]="Клиент",N(Таблица1[[#This Row],[Авто услу ]]),0)</f>
        <v>21239040</v>
      </c>
      <c r="U309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09" s="265" t="str">
        <f>IFERROR(INDEX(Мижозлар[Агент],MATCH($D309,Мижозлар[Расмий ном],0)),"")</f>
        <v>Сардор ога</v>
      </c>
    </row>
    <row r="310" spans="1:23" ht="14.25" x14ac:dyDescent="0.2">
      <c r="A310" s="28" t="s">
        <v>44</v>
      </c>
      <c r="B310" s="191" t="s">
        <v>26</v>
      </c>
      <c r="C310" s="192" t="s">
        <v>36</v>
      </c>
      <c r="D310" s="192" t="s">
        <v>592</v>
      </c>
      <c r="E310" s="193">
        <v>46255</v>
      </c>
      <c r="F310" s="191" t="s">
        <v>632</v>
      </c>
      <c r="G310" s="194" t="s">
        <v>368</v>
      </c>
      <c r="H310" s="195">
        <v>32.832000000000001</v>
      </c>
      <c r="I310" s="194">
        <v>593750</v>
      </c>
      <c r="J310" s="194">
        <f>Таблица1[[#This Row],[Блок
 Куб]]*Таблица1[[#This Row],[Цена 
Приход]]</f>
        <v>19494000</v>
      </c>
      <c r="K310" s="194">
        <v>19</v>
      </c>
      <c r="L310" s="194">
        <v>130000</v>
      </c>
      <c r="M310" s="194">
        <f>Таблица1[[#This Row],[Поддон
Шт]]*Таблица1[[#This Row],[Цена
Поддон]]</f>
        <v>2470000</v>
      </c>
      <c r="N310" s="194">
        <f>Таблица1[[#This Row],[Сумма 
Приход]]+Таблица1[[#This Row],[Сумма Поддон]]</f>
        <v>21964000</v>
      </c>
      <c r="O310" s="194">
        <v>720000</v>
      </c>
      <c r="P310" s="194">
        <f>Таблица1[[#This Row],[Блок
 Куб]]*Таблица1[[#This Row],[Цена
 Продажа]]</f>
        <v>23639040</v>
      </c>
      <c r="Q310" s="194" t="s">
        <v>240</v>
      </c>
      <c r="R310" s="194">
        <f>Таблица1[[#This Row],[Сумма 
Продажа]]-Таблица1[[#This Row],[Сумма 
Приход]]-Таблица1[[#This Row],[Авто услу ]]</f>
        <v>1745040</v>
      </c>
      <c r="S310" s="194">
        <v>2400000</v>
      </c>
      <c r="T310" s="194">
        <f>Таблица1[[#This Row],[Сумма 
Продажа]]-IF(Таблица1[[#This Row],[Расход 
Авто]]="Клиент",N(Таблица1[[#This Row],[Авто услу ]]),0)</f>
        <v>21239040</v>
      </c>
      <c r="U310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0" s="265" t="str">
        <f>IFERROR(INDEX(Мижозлар[Агент],MATCH($D310,Мижозлар[Расмий ном],0)),"")</f>
        <v>Темур</v>
      </c>
    </row>
    <row r="311" spans="1:23" ht="14.25" x14ac:dyDescent="0.2">
      <c r="A311" s="28" t="s">
        <v>44</v>
      </c>
      <c r="B311" s="191" t="s">
        <v>26</v>
      </c>
      <c r="C311" s="192" t="s">
        <v>36</v>
      </c>
      <c r="D311" s="192" t="s">
        <v>592</v>
      </c>
      <c r="E311" s="193">
        <v>46255</v>
      </c>
      <c r="F311" s="191" t="s">
        <v>633</v>
      </c>
      <c r="G311" s="194" t="s">
        <v>355</v>
      </c>
      <c r="H311" s="195">
        <v>32.832000000000001</v>
      </c>
      <c r="I311" s="194">
        <v>593750</v>
      </c>
      <c r="J311" s="194">
        <f>Таблица1[[#This Row],[Блок
 Куб]]*Таблица1[[#This Row],[Цена 
Приход]]</f>
        <v>19494000</v>
      </c>
      <c r="K311" s="194">
        <v>19</v>
      </c>
      <c r="L311" s="194">
        <v>130000</v>
      </c>
      <c r="M311" s="194">
        <f>Таблица1[[#This Row],[Поддон
Шт]]*Таблица1[[#This Row],[Цена
Поддон]]</f>
        <v>2470000</v>
      </c>
      <c r="N311" s="194">
        <f>Таблица1[[#This Row],[Сумма 
Приход]]+Таблица1[[#This Row],[Сумма Поддон]]</f>
        <v>21964000</v>
      </c>
      <c r="O311" s="194">
        <v>720000</v>
      </c>
      <c r="P311" s="194">
        <f>Таблица1[[#This Row],[Блок
 Куб]]*Таблица1[[#This Row],[Цена
 Продажа]]</f>
        <v>23639040</v>
      </c>
      <c r="Q311" s="194" t="s">
        <v>240</v>
      </c>
      <c r="R311" s="194">
        <f>Таблица1[[#This Row],[Сумма 
Продажа]]-Таблица1[[#This Row],[Сумма 
Приход]]-Таблица1[[#This Row],[Авто услу ]]</f>
        <v>1745040</v>
      </c>
      <c r="S311" s="194">
        <v>2400000</v>
      </c>
      <c r="T311" s="194">
        <f>Таблица1[[#This Row],[Сумма 
Продажа]]-IF(Таблица1[[#This Row],[Расход 
Авто]]="Клиент",N(Таблица1[[#This Row],[Авто услу ]]),0)</f>
        <v>21239040</v>
      </c>
      <c r="U31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1" s="265" t="str">
        <f>IFERROR(INDEX(Мижозлар[Агент],MATCH($D311,Мижозлар[Расмий ном],0)),"")</f>
        <v>Темур</v>
      </c>
    </row>
    <row r="312" spans="1:23" ht="14.25" x14ac:dyDescent="0.2">
      <c r="A312" s="28" t="s">
        <v>44</v>
      </c>
      <c r="B312" s="191" t="s">
        <v>26</v>
      </c>
      <c r="C312" s="192" t="s">
        <v>36</v>
      </c>
      <c r="D312" s="192" t="s">
        <v>82</v>
      </c>
      <c r="E312" s="193">
        <v>46255</v>
      </c>
      <c r="F312" s="191" t="s">
        <v>432</v>
      </c>
      <c r="G312" s="194" t="s">
        <v>355</v>
      </c>
      <c r="H312" s="195">
        <v>32.832000000000001</v>
      </c>
      <c r="I312" s="194">
        <v>593750</v>
      </c>
      <c r="J312" s="194">
        <f>Таблица1[[#This Row],[Блок
 Куб]]*Таблица1[[#This Row],[Цена 
Приход]]</f>
        <v>19494000</v>
      </c>
      <c r="K312" s="194">
        <v>19</v>
      </c>
      <c r="L312" s="194">
        <v>130000</v>
      </c>
      <c r="M312" s="194">
        <f>Таблица1[[#This Row],[Поддон
Шт]]*Таблица1[[#This Row],[Цена
Поддон]]</f>
        <v>2470000</v>
      </c>
      <c r="N312" s="194">
        <f>Таблица1[[#This Row],[Сумма 
Приход]]+Таблица1[[#This Row],[Сумма Поддон]]</f>
        <v>21964000</v>
      </c>
      <c r="O312" s="194">
        <v>720000</v>
      </c>
      <c r="P312" s="194">
        <f>Таблица1[[#This Row],[Блок
 Куб]]*Таблица1[[#This Row],[Цена
 Продажа]]</f>
        <v>23639040</v>
      </c>
      <c r="Q312" s="194" t="s">
        <v>240</v>
      </c>
      <c r="R312" s="194">
        <f>Таблица1[[#This Row],[Сумма 
Продажа]]-Таблица1[[#This Row],[Сумма 
Приход]]-Таблица1[[#This Row],[Авто услу ]]</f>
        <v>1745040</v>
      </c>
      <c r="S312" s="194">
        <v>2400000</v>
      </c>
      <c r="T312" s="194">
        <f>Таблица1[[#This Row],[Сумма 
Продажа]]-IF(Таблица1[[#This Row],[Расход 
Авто]]="Клиент",N(Таблица1[[#This Row],[Авто услу ]]),0)</f>
        <v>21239040</v>
      </c>
      <c r="U31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2" s="265" t="str">
        <f>IFERROR(INDEX(Мижозлар[Агент],MATCH($D312,Мижозлар[Расмий ном],0)),"")</f>
        <v>Темур</v>
      </c>
    </row>
    <row r="313" spans="1:23" ht="14.25" x14ac:dyDescent="0.2">
      <c r="A313" s="28" t="s">
        <v>44</v>
      </c>
      <c r="B313" s="191" t="s">
        <v>26</v>
      </c>
      <c r="C313" s="192" t="s">
        <v>29</v>
      </c>
      <c r="D313" s="192" t="s">
        <v>67</v>
      </c>
      <c r="E313" s="193">
        <v>46255</v>
      </c>
      <c r="F313" s="191" t="s">
        <v>367</v>
      </c>
      <c r="G313" s="194" t="s">
        <v>355</v>
      </c>
      <c r="H313" s="195">
        <v>32.832000000000001</v>
      </c>
      <c r="I313" s="194">
        <v>593750</v>
      </c>
      <c r="J313" s="194">
        <f>Таблица1[[#This Row],[Блок
 Куб]]*Таблица1[[#This Row],[Цена 
Приход]]</f>
        <v>19494000</v>
      </c>
      <c r="K313" s="194">
        <v>19</v>
      </c>
      <c r="L313" s="194">
        <v>130000</v>
      </c>
      <c r="M313" s="194">
        <f>Таблица1[[#This Row],[Поддон
Шт]]*Таблица1[[#This Row],[Цена
Поддон]]</f>
        <v>2470000</v>
      </c>
      <c r="N313" s="194">
        <f>Таблица1[[#This Row],[Сумма 
Приход]]+Таблица1[[#This Row],[Сумма Поддон]]</f>
        <v>21964000</v>
      </c>
      <c r="O313" s="194">
        <v>720000</v>
      </c>
      <c r="P313" s="194">
        <f>Таблица1[[#This Row],[Блок
 Куб]]*Таблица1[[#This Row],[Цена
 Продажа]]</f>
        <v>23639040</v>
      </c>
      <c r="Q313" s="194" t="s">
        <v>240</v>
      </c>
      <c r="R313" s="194">
        <f>Таблица1[[#This Row],[Сумма 
Продажа]]-Таблица1[[#This Row],[Сумма 
Приход]]-Таблица1[[#This Row],[Авто услу ]]</f>
        <v>1745040</v>
      </c>
      <c r="S313" s="194">
        <v>2400000</v>
      </c>
      <c r="T313" s="194">
        <f>Таблица1[[#This Row],[Сумма 
Продажа]]-IF(Таблица1[[#This Row],[Расход 
Авто]]="Клиент",N(Таблица1[[#This Row],[Авто услу ]]),0)</f>
        <v>21239040</v>
      </c>
      <c r="U31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3" s="265" t="str">
        <f>IFERROR(INDEX(Мижозлар[Агент],MATCH($D313,Мижозлар[Расмий ном],0)),"")</f>
        <v>Зафар ога</v>
      </c>
    </row>
    <row r="314" spans="1:23" ht="14.25" x14ac:dyDescent="0.2">
      <c r="A314" s="28" t="s">
        <v>44</v>
      </c>
      <c r="B314" s="191" t="s">
        <v>26</v>
      </c>
      <c r="C314" s="192" t="s">
        <v>32</v>
      </c>
      <c r="D314" s="192" t="s">
        <v>85</v>
      </c>
      <c r="E314" s="193">
        <v>46255</v>
      </c>
      <c r="F314" s="191" t="s">
        <v>634</v>
      </c>
      <c r="G314" s="194" t="s">
        <v>368</v>
      </c>
      <c r="H314" s="195">
        <v>32.832000000000001</v>
      </c>
      <c r="I314" s="194">
        <v>593750</v>
      </c>
      <c r="J314" s="194">
        <f>Таблица1[[#This Row],[Блок
 Куб]]*Таблица1[[#This Row],[Цена 
Приход]]</f>
        <v>19494000</v>
      </c>
      <c r="K314" s="194">
        <v>19</v>
      </c>
      <c r="L314" s="194">
        <v>130000</v>
      </c>
      <c r="M314" s="194">
        <f>Таблица1[[#This Row],[Поддон
Шт]]*Таблица1[[#This Row],[Цена
Поддон]]</f>
        <v>2470000</v>
      </c>
      <c r="N314" s="194">
        <f>Таблица1[[#This Row],[Сумма 
Приход]]+Таблица1[[#This Row],[Сумма Поддон]]</f>
        <v>21964000</v>
      </c>
      <c r="O314" s="194">
        <v>720000</v>
      </c>
      <c r="P314" s="194">
        <f>Таблица1[[#This Row],[Блок
 Куб]]*Таблица1[[#This Row],[Цена
 Продажа]]</f>
        <v>23639040</v>
      </c>
      <c r="Q314" s="194" t="s">
        <v>240</v>
      </c>
      <c r="R314" s="194">
        <f>Таблица1[[#This Row],[Сумма 
Продажа]]-Таблица1[[#This Row],[Сумма 
Приход]]-Таблица1[[#This Row],[Авто услу ]]</f>
        <v>1745040</v>
      </c>
      <c r="S314" s="194">
        <v>2400000</v>
      </c>
      <c r="T314" s="194">
        <f>Таблица1[[#This Row],[Сумма 
Продажа]]-IF(Таблица1[[#This Row],[Расход 
Авто]]="Клиент",N(Таблица1[[#This Row],[Авто услу ]]),0)</f>
        <v>21239040</v>
      </c>
      <c r="U31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4" s="265" t="str">
        <f>IFERROR(INDEX(Мижозлар[Агент],MATCH($D314,Мижозлар[Расмий ном],0)),"")</f>
        <v>Сардор ога</v>
      </c>
    </row>
    <row r="315" spans="1:23" ht="14.25" x14ac:dyDescent="0.2">
      <c r="A315" s="28" t="s">
        <v>44</v>
      </c>
      <c r="B315" s="191" t="s">
        <v>26</v>
      </c>
      <c r="C315" s="192" t="s">
        <v>32</v>
      </c>
      <c r="D315" s="192" t="s">
        <v>85</v>
      </c>
      <c r="E315" s="193">
        <v>46255</v>
      </c>
      <c r="F315" s="191" t="s">
        <v>635</v>
      </c>
      <c r="G315" s="194" t="s">
        <v>368</v>
      </c>
      <c r="H315" s="195">
        <v>32.832000000000001</v>
      </c>
      <c r="I315" s="194">
        <v>593750</v>
      </c>
      <c r="J315" s="194">
        <f>Таблица1[[#This Row],[Блок
 Куб]]*Таблица1[[#This Row],[Цена 
Приход]]</f>
        <v>19494000</v>
      </c>
      <c r="K315" s="194">
        <v>19</v>
      </c>
      <c r="L315" s="194">
        <v>130000</v>
      </c>
      <c r="M315" s="194">
        <f>Таблица1[[#This Row],[Поддон
Шт]]*Таблица1[[#This Row],[Цена
Поддон]]</f>
        <v>2470000</v>
      </c>
      <c r="N315" s="194">
        <f>Таблица1[[#This Row],[Сумма 
Приход]]+Таблица1[[#This Row],[Сумма Поддон]]</f>
        <v>21964000</v>
      </c>
      <c r="O315" s="194">
        <v>720000</v>
      </c>
      <c r="P315" s="194">
        <f>Таблица1[[#This Row],[Блок
 Куб]]*Таблица1[[#This Row],[Цена
 Продажа]]</f>
        <v>23639040</v>
      </c>
      <c r="Q315" s="194" t="s">
        <v>240</v>
      </c>
      <c r="R315" s="194">
        <f>Таблица1[[#This Row],[Сумма 
Продажа]]-Таблица1[[#This Row],[Сумма 
Приход]]-Таблица1[[#This Row],[Авто услу ]]</f>
        <v>1745040</v>
      </c>
      <c r="S315" s="194">
        <v>2400000</v>
      </c>
      <c r="T315" s="194">
        <f>Таблица1[[#This Row],[Сумма 
Продажа]]-IF(Таблица1[[#This Row],[Расход 
Авто]]="Клиент",N(Таблица1[[#This Row],[Авто услу ]]),0)</f>
        <v>21239040</v>
      </c>
      <c r="U31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5" s="265" t="str">
        <f>IFERROR(INDEX(Мижозлар[Агент],MATCH($D315,Мижозлар[Расмий ном],0)),"")</f>
        <v>Сардор ога</v>
      </c>
    </row>
    <row r="316" spans="1:23" ht="14.25" x14ac:dyDescent="0.2">
      <c r="A316" s="28" t="s">
        <v>44</v>
      </c>
      <c r="B316" s="191" t="s">
        <v>26</v>
      </c>
      <c r="C316" s="192" t="s">
        <v>32</v>
      </c>
      <c r="D316" s="192" t="s">
        <v>85</v>
      </c>
      <c r="E316" s="193">
        <v>46255</v>
      </c>
      <c r="F316" s="191" t="s">
        <v>636</v>
      </c>
      <c r="G316" s="194" t="s">
        <v>368</v>
      </c>
      <c r="H316" s="195">
        <v>32.832000000000001</v>
      </c>
      <c r="I316" s="194">
        <v>593750</v>
      </c>
      <c r="J316" s="194">
        <f>Таблица1[[#This Row],[Блок
 Куб]]*Таблица1[[#This Row],[Цена 
Приход]]</f>
        <v>19494000</v>
      </c>
      <c r="K316" s="194">
        <v>19</v>
      </c>
      <c r="L316" s="194">
        <v>130000</v>
      </c>
      <c r="M316" s="194">
        <f>Таблица1[[#This Row],[Поддон
Шт]]*Таблица1[[#This Row],[Цена
Поддон]]</f>
        <v>2470000</v>
      </c>
      <c r="N316" s="194">
        <f>Таблица1[[#This Row],[Сумма 
Приход]]+Таблица1[[#This Row],[Сумма Поддон]]</f>
        <v>21964000</v>
      </c>
      <c r="O316" s="194">
        <v>720000</v>
      </c>
      <c r="P316" s="194">
        <f>Таблица1[[#This Row],[Блок
 Куб]]*Таблица1[[#This Row],[Цена
 Продажа]]</f>
        <v>23639040</v>
      </c>
      <c r="Q316" s="194" t="s">
        <v>240</v>
      </c>
      <c r="R316" s="194">
        <f>Таблица1[[#This Row],[Сумма 
Продажа]]-Таблица1[[#This Row],[Сумма 
Приход]]-Таблица1[[#This Row],[Авто услу ]]</f>
        <v>1745040</v>
      </c>
      <c r="S316" s="194">
        <v>2400000</v>
      </c>
      <c r="T316" s="194">
        <f>Таблица1[[#This Row],[Сумма 
Продажа]]-IF(Таблица1[[#This Row],[Расход 
Авто]]="Клиент",N(Таблица1[[#This Row],[Авто услу ]]),0)</f>
        <v>21239040</v>
      </c>
      <c r="U31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6" s="265" t="str">
        <f>IFERROR(INDEX(Мижозлар[Агент],MATCH($D316,Мижозлар[Расмий ном],0)),"")</f>
        <v>Сардор ога</v>
      </c>
    </row>
    <row r="317" spans="1:23" ht="14.25" x14ac:dyDescent="0.2">
      <c r="A317" s="28" t="s">
        <v>44</v>
      </c>
      <c r="B317" s="191" t="s">
        <v>26</v>
      </c>
      <c r="C317" s="192" t="s">
        <v>29</v>
      </c>
      <c r="D317" s="192" t="s">
        <v>95</v>
      </c>
      <c r="E317" s="193">
        <v>46255</v>
      </c>
      <c r="F317" s="191" t="s">
        <v>641</v>
      </c>
      <c r="G317" s="194" t="s">
        <v>355</v>
      </c>
      <c r="H317" s="195">
        <v>32.832000000000001</v>
      </c>
      <c r="I317" s="194">
        <v>593750</v>
      </c>
      <c r="J317" s="194">
        <f>Таблица1[[#This Row],[Блок
 Куб]]*Таблица1[[#This Row],[Цена 
Приход]]</f>
        <v>19494000</v>
      </c>
      <c r="K317" s="194">
        <v>19</v>
      </c>
      <c r="L317" s="194">
        <v>130000</v>
      </c>
      <c r="M317" s="194">
        <f>Таблица1[[#This Row],[Поддон
Шт]]*Таблица1[[#This Row],[Цена
Поддон]]</f>
        <v>2470000</v>
      </c>
      <c r="N317" s="194">
        <f>Таблица1[[#This Row],[Сумма 
Приход]]+Таблица1[[#This Row],[Сумма Поддон]]</f>
        <v>21964000</v>
      </c>
      <c r="O317" s="194">
        <v>720000</v>
      </c>
      <c r="P317" s="194">
        <f>Таблица1[[#This Row],[Блок
 Куб]]*Таблица1[[#This Row],[Цена
 Продажа]]</f>
        <v>23639040</v>
      </c>
      <c r="Q317" s="194" t="s">
        <v>240</v>
      </c>
      <c r="R317" s="194">
        <f>Таблица1[[#This Row],[Сумма 
Продажа]]-Таблица1[[#This Row],[Сумма 
Приход]]-Таблица1[[#This Row],[Авто услу ]]</f>
        <v>1645040</v>
      </c>
      <c r="S317" s="194">
        <v>2500000</v>
      </c>
      <c r="T317" s="194">
        <f>Таблица1[[#This Row],[Сумма 
Продажа]]-IF(Таблица1[[#This Row],[Расход 
Авто]]="Клиент",N(Таблица1[[#This Row],[Авто услу ]]),0)</f>
        <v>21139040</v>
      </c>
      <c r="U31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7" s="265" t="str">
        <f>IFERROR(INDEX(Мижозлар[Агент],MATCH($D317,Мижозлар[Расмий ном],0)),"")</f>
        <v>Зафар ога</v>
      </c>
    </row>
    <row r="318" spans="1:23" ht="14.25" x14ac:dyDescent="0.2">
      <c r="A318" s="21" t="s">
        <v>44</v>
      </c>
      <c r="B318" s="135" t="s">
        <v>26</v>
      </c>
      <c r="C318" s="141" t="s">
        <v>29</v>
      </c>
      <c r="D318" s="141" t="s">
        <v>95</v>
      </c>
      <c r="E318" s="136">
        <v>46256</v>
      </c>
      <c r="F318" s="135" t="s">
        <v>663</v>
      </c>
      <c r="G318" s="34" t="s">
        <v>355</v>
      </c>
      <c r="H318" s="142">
        <v>32.832000000000001</v>
      </c>
      <c r="I318" s="34">
        <v>593750</v>
      </c>
      <c r="J318" s="34">
        <f>Таблица1[[#This Row],[Блок
 Куб]]*Таблица1[[#This Row],[Цена 
Приход]]</f>
        <v>19494000</v>
      </c>
      <c r="K318" s="34">
        <v>19</v>
      </c>
      <c r="L318" s="34">
        <v>130000</v>
      </c>
      <c r="M318" s="34">
        <f>Таблица1[[#This Row],[Поддон
Шт]]*Таблица1[[#This Row],[Цена
Поддон]]</f>
        <v>2470000</v>
      </c>
      <c r="N318" s="34">
        <f>Таблица1[[#This Row],[Сумма 
Приход]]+Таблица1[[#This Row],[Сумма Поддон]]</f>
        <v>21964000</v>
      </c>
      <c r="O318" s="34">
        <v>720000</v>
      </c>
      <c r="P318" s="34">
        <f>Таблица1[[#This Row],[Блок
 Куб]]*Таблица1[[#This Row],[Цена
 Продажа]]</f>
        <v>23639040</v>
      </c>
      <c r="Q318" s="34" t="s">
        <v>240</v>
      </c>
      <c r="R318" s="34">
        <f>Таблица1[[#This Row],[Сумма 
Продажа]]-Таблица1[[#This Row],[Сумма 
Приход]]-Таблица1[[#This Row],[Авто услу ]]</f>
        <v>1645040</v>
      </c>
      <c r="S318" s="34">
        <v>2500000</v>
      </c>
      <c r="T318" s="34">
        <f>Таблица1[[#This Row],[Сумма 
Продажа]]-IF(Таблица1[[#This Row],[Расход 
Авто]]="Клиент",N(Таблица1[[#This Row],[Авто услу ]]),0)</f>
        <v>21139040</v>
      </c>
      <c r="U3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8" s="265" t="str">
        <f>IFERROR(INDEX(Мижозлар[Агент],MATCH($D318,Мижозлар[Расмий ном],0)),"")</f>
        <v>Зафар ога</v>
      </c>
    </row>
    <row r="319" spans="1:23" ht="14.25" x14ac:dyDescent="0.2">
      <c r="A319" s="21" t="s">
        <v>44</v>
      </c>
      <c r="B319" s="135" t="s">
        <v>26</v>
      </c>
      <c r="C319" s="141" t="s">
        <v>29</v>
      </c>
      <c r="D319" s="141" t="s">
        <v>95</v>
      </c>
      <c r="E319" s="136">
        <v>46256</v>
      </c>
      <c r="F319" s="135" t="s">
        <v>664</v>
      </c>
      <c r="G319" s="34" t="s">
        <v>368</v>
      </c>
      <c r="H319" s="142">
        <v>32.832000000000001</v>
      </c>
      <c r="I319" s="34">
        <v>593750</v>
      </c>
      <c r="J319" s="34">
        <f>Таблица1[[#This Row],[Блок
 Куб]]*Таблица1[[#This Row],[Цена 
Приход]]</f>
        <v>19494000</v>
      </c>
      <c r="K319" s="34">
        <v>19</v>
      </c>
      <c r="L319" s="34">
        <v>130000</v>
      </c>
      <c r="M319" s="34">
        <f>Таблица1[[#This Row],[Поддон
Шт]]*Таблица1[[#This Row],[Цена
Поддон]]</f>
        <v>2470000</v>
      </c>
      <c r="N319" s="34">
        <f>Таблица1[[#This Row],[Сумма 
Приход]]+Таблица1[[#This Row],[Сумма Поддон]]</f>
        <v>21964000</v>
      </c>
      <c r="O319" s="34">
        <v>720000</v>
      </c>
      <c r="P319" s="34">
        <f>Таблица1[[#This Row],[Блок
 Куб]]*Таблица1[[#This Row],[Цена
 Продажа]]</f>
        <v>23639040</v>
      </c>
      <c r="Q319" s="34" t="s">
        <v>240</v>
      </c>
      <c r="R319" s="34">
        <f>Таблица1[[#This Row],[Сумма 
Продажа]]-Таблица1[[#This Row],[Сумма 
Приход]]-Таблица1[[#This Row],[Авто услу ]]</f>
        <v>1645040</v>
      </c>
      <c r="S319" s="34">
        <v>2500000</v>
      </c>
      <c r="T319" s="34">
        <f>Таблица1[[#This Row],[Сумма 
Продажа]]-IF(Таблица1[[#This Row],[Расход 
Авто]]="Клиент",N(Таблица1[[#This Row],[Авто услу ]]),0)</f>
        <v>21139040</v>
      </c>
      <c r="U3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19" s="265" t="str">
        <f>IFERROR(INDEX(Мижозлар[Агент],MATCH($D319,Мижозлар[Расмий ном],0)),"")</f>
        <v>Зафар ога</v>
      </c>
    </row>
    <row r="320" spans="1:23" ht="14.25" x14ac:dyDescent="0.2">
      <c r="A320" s="21" t="s">
        <v>44</v>
      </c>
      <c r="B320" s="135" t="s">
        <v>26</v>
      </c>
      <c r="C320" s="141" t="s">
        <v>32</v>
      </c>
      <c r="D320" s="141" t="s">
        <v>107</v>
      </c>
      <c r="E320" s="136">
        <v>46256</v>
      </c>
      <c r="F320" s="135" t="s">
        <v>432</v>
      </c>
      <c r="G320" s="34" t="s">
        <v>368</v>
      </c>
      <c r="H320" s="142">
        <v>32.832000000000001</v>
      </c>
      <c r="I320" s="34">
        <v>593750</v>
      </c>
      <c r="J320" s="34">
        <f>Таблица1[[#This Row],[Блок
 Куб]]*Таблица1[[#This Row],[Цена 
Приход]]</f>
        <v>19494000</v>
      </c>
      <c r="K320" s="34">
        <v>19</v>
      </c>
      <c r="L320" s="34">
        <v>130000</v>
      </c>
      <c r="M320" s="34">
        <f>Таблица1[[#This Row],[Поддон
Шт]]*Таблица1[[#This Row],[Цена
Поддон]]</f>
        <v>2470000</v>
      </c>
      <c r="N320" s="34">
        <f>Таблица1[[#This Row],[Сумма 
Приход]]+Таблица1[[#This Row],[Сумма Поддон]]</f>
        <v>21964000</v>
      </c>
      <c r="O320" s="34">
        <v>720000</v>
      </c>
      <c r="P320" s="34">
        <f>Таблица1[[#This Row],[Блок
 Куб]]*Таблица1[[#This Row],[Цена
 Продажа]]</f>
        <v>23639040</v>
      </c>
      <c r="Q320" s="34" t="s">
        <v>240</v>
      </c>
      <c r="R320" s="34">
        <f>Таблица1[[#This Row],[Сумма 
Продажа]]-Таблица1[[#This Row],[Сумма 
Приход]]-Таблица1[[#This Row],[Авто услу ]]</f>
        <v>1745040</v>
      </c>
      <c r="S320" s="34">
        <v>2400000</v>
      </c>
      <c r="T320" s="34">
        <f>Таблица1[[#This Row],[Сумма 
Продажа]]-IF(Таблица1[[#This Row],[Расход 
Авто]]="Клиент",N(Таблица1[[#This Row],[Авто услу ]]),0)</f>
        <v>21239040</v>
      </c>
      <c r="U3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0" s="265" t="str">
        <f>IFERROR(INDEX(Мижозлар[Агент],MATCH($D320,Мижозлар[Расмий ном],0)),"")</f>
        <v>Сардор ога</v>
      </c>
    </row>
    <row r="321" spans="1:23" ht="14.25" x14ac:dyDescent="0.2">
      <c r="A321" s="28" t="s">
        <v>44</v>
      </c>
      <c r="B321" s="191" t="s">
        <v>26</v>
      </c>
      <c r="C321" s="192" t="s">
        <v>29</v>
      </c>
      <c r="D321" s="192" t="s">
        <v>95</v>
      </c>
      <c r="E321" s="193">
        <v>46257</v>
      </c>
      <c r="F321" s="191" t="s">
        <v>672</v>
      </c>
      <c r="G321" s="194" t="s">
        <v>355</v>
      </c>
      <c r="H321" s="195">
        <v>32.832000000000001</v>
      </c>
      <c r="I321" s="194">
        <v>593750</v>
      </c>
      <c r="J321" s="194">
        <f>Таблица1[[#This Row],[Блок
 Куб]]*Таблица1[[#This Row],[Цена 
Приход]]</f>
        <v>19494000</v>
      </c>
      <c r="K321" s="194">
        <v>19</v>
      </c>
      <c r="L321" s="194">
        <v>130000</v>
      </c>
      <c r="M321" s="194">
        <f>Таблица1[[#This Row],[Поддон
Шт]]*Таблица1[[#This Row],[Цена
Поддон]]</f>
        <v>2470000</v>
      </c>
      <c r="N321" s="194">
        <f>Таблица1[[#This Row],[Сумма 
Приход]]+Таблица1[[#This Row],[Сумма Поддон]]</f>
        <v>21964000</v>
      </c>
      <c r="O321" s="194">
        <v>720000</v>
      </c>
      <c r="P321" s="194">
        <f>Таблица1[[#This Row],[Блок
 Куб]]*Таблица1[[#This Row],[Цена
 Продажа]]</f>
        <v>23639040</v>
      </c>
      <c r="Q321" s="194" t="s">
        <v>240</v>
      </c>
      <c r="R321" s="194">
        <f>Таблица1[[#This Row],[Сумма 
Продажа]]-Таблица1[[#This Row],[Сумма 
Приход]]-Таблица1[[#This Row],[Авто услу ]]</f>
        <v>1645040</v>
      </c>
      <c r="S321" s="194">
        <v>2500000</v>
      </c>
      <c r="T321" s="194">
        <f>Таблица1[[#This Row],[Сумма 
Продажа]]-IF(Таблица1[[#This Row],[Расход 
Авто]]="Клиент",N(Таблица1[[#This Row],[Авто услу ]]),0)</f>
        <v>21139040</v>
      </c>
      <c r="U32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21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1" s="287" t="str">
        <f>IFERROR(INDEX(Мижозлар[Агент],MATCH($D321,Мижозлар[Расмий ном],0)),"")</f>
        <v>Зафар ога</v>
      </c>
    </row>
    <row r="322" spans="1:23" ht="14.25" x14ac:dyDescent="0.2">
      <c r="A322" s="28" t="s">
        <v>44</v>
      </c>
      <c r="B322" s="191" t="s">
        <v>26</v>
      </c>
      <c r="C322" s="192" t="s">
        <v>29</v>
      </c>
      <c r="D322" s="192" t="s">
        <v>95</v>
      </c>
      <c r="E322" s="193">
        <v>46257</v>
      </c>
      <c r="F322" s="191" t="s">
        <v>673</v>
      </c>
      <c r="G322" s="194" t="s">
        <v>355</v>
      </c>
      <c r="H322" s="195">
        <v>32.832000000000001</v>
      </c>
      <c r="I322" s="194">
        <v>593750</v>
      </c>
      <c r="J322" s="194">
        <f>Таблица1[[#This Row],[Блок
 Куб]]*Таблица1[[#This Row],[Цена 
Приход]]</f>
        <v>19494000</v>
      </c>
      <c r="K322" s="194">
        <v>19</v>
      </c>
      <c r="L322" s="194">
        <v>130000</v>
      </c>
      <c r="M322" s="194">
        <f>Таблица1[[#This Row],[Поддон
Шт]]*Таблица1[[#This Row],[Цена
Поддон]]</f>
        <v>2470000</v>
      </c>
      <c r="N322" s="194">
        <f>Таблица1[[#This Row],[Сумма 
Приход]]+Таблица1[[#This Row],[Сумма Поддон]]</f>
        <v>21964000</v>
      </c>
      <c r="O322" s="194">
        <v>720000</v>
      </c>
      <c r="P322" s="194">
        <f>Таблица1[[#This Row],[Блок
 Куб]]*Таблица1[[#This Row],[Цена
 Продажа]]</f>
        <v>23639040</v>
      </c>
      <c r="Q322" s="194" t="s">
        <v>240</v>
      </c>
      <c r="R322" s="194">
        <f>Таблица1[[#This Row],[Сумма 
Продажа]]-Таблица1[[#This Row],[Сумма 
Приход]]-Таблица1[[#This Row],[Авто услу ]]</f>
        <v>1745040</v>
      </c>
      <c r="S322" s="194">
        <v>2400000</v>
      </c>
      <c r="T322" s="194">
        <f>Таблица1[[#This Row],[Сумма 
Продажа]]-IF(Таблица1[[#This Row],[Расход 
Авто]]="Клиент",N(Таблица1[[#This Row],[Авто услу ]]),0)</f>
        <v>21239040</v>
      </c>
      <c r="U32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2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2" s="287" t="str">
        <f>IFERROR(INDEX(Мижозлар[Агент],MATCH($D322,Мижозлар[Расмий ном],0)),"")</f>
        <v>Зафар ога</v>
      </c>
    </row>
    <row r="323" spans="1:23" ht="14.25" x14ac:dyDescent="0.2">
      <c r="A323" s="28" t="s">
        <v>44</v>
      </c>
      <c r="B323" s="191" t="s">
        <v>26</v>
      </c>
      <c r="C323" s="192" t="s">
        <v>29</v>
      </c>
      <c r="D323" s="192" t="s">
        <v>95</v>
      </c>
      <c r="E323" s="193">
        <v>46257</v>
      </c>
      <c r="F323" s="191" t="s">
        <v>474</v>
      </c>
      <c r="G323" s="194" t="s">
        <v>368</v>
      </c>
      <c r="H323" s="195">
        <v>10.368</v>
      </c>
      <c r="I323" s="194">
        <v>593750</v>
      </c>
      <c r="J323" s="194">
        <f>Таблица1[[#This Row],[Блок
 Куб]]*Таблица1[[#This Row],[Цена 
Приход]]</f>
        <v>6156000</v>
      </c>
      <c r="K323" s="194">
        <v>6</v>
      </c>
      <c r="L323" s="194">
        <v>130000</v>
      </c>
      <c r="M323" s="194">
        <f>Таблица1[[#This Row],[Поддон
Шт]]*Таблица1[[#This Row],[Цена
Поддон]]</f>
        <v>780000</v>
      </c>
      <c r="N323" s="194">
        <f>Таблица1[[#This Row],[Сумма 
Приход]]+Таблица1[[#This Row],[Сумма Поддон]]</f>
        <v>6936000</v>
      </c>
      <c r="O323" s="194">
        <v>720000</v>
      </c>
      <c r="P323" s="194">
        <f>Таблица1[[#This Row],[Блок
 Куб]]*Таблица1[[#This Row],[Цена
 Продажа]]</f>
        <v>7464960</v>
      </c>
      <c r="Q323" s="194" t="s">
        <v>240</v>
      </c>
      <c r="R323" s="194">
        <f>Таблица1[[#This Row],[Сумма 
Продажа]]-Таблица1[[#This Row],[Сумма 
Приход]]-Таблица1[[#This Row],[Авто услу ]]</f>
        <v>519486.31578947371</v>
      </c>
      <c r="S323" s="194">
        <v>789473.68421052629</v>
      </c>
      <c r="T323" s="194">
        <f>Таблица1[[#This Row],[Сумма 
Продажа]]-IF(Таблица1[[#This Row],[Расход 
Авто]]="Клиент",N(Таблица1[[#This Row],[Авто услу ]]),0)</f>
        <v>6675486.3157894742</v>
      </c>
      <c r="U32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2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3" s="287" t="str">
        <f>IFERROR(INDEX(Мижозлар[Агент],MATCH($D323,Мижозлар[Расмий ном],0)),"")</f>
        <v>Зафар ога</v>
      </c>
    </row>
    <row r="324" spans="1:23" ht="14.25" x14ac:dyDescent="0.2">
      <c r="A324" s="28" t="s">
        <v>44</v>
      </c>
      <c r="B324" s="191" t="s">
        <v>26</v>
      </c>
      <c r="C324" s="192" t="s">
        <v>29</v>
      </c>
      <c r="D324" s="192" t="s">
        <v>95</v>
      </c>
      <c r="E324" s="193">
        <v>46257</v>
      </c>
      <c r="F324" s="191" t="s">
        <v>474</v>
      </c>
      <c r="G324" s="194" t="s">
        <v>355</v>
      </c>
      <c r="H324" s="195">
        <v>22.463999999999999</v>
      </c>
      <c r="I324" s="194">
        <v>593750</v>
      </c>
      <c r="J324" s="194">
        <f>Таблица1[[#This Row],[Блок
 Куб]]*Таблица1[[#This Row],[Цена 
Приход]]</f>
        <v>13338000</v>
      </c>
      <c r="K324" s="194">
        <v>13</v>
      </c>
      <c r="L324" s="194">
        <v>130000</v>
      </c>
      <c r="M324" s="194">
        <f>Таблица1[[#This Row],[Поддон
Шт]]*Таблица1[[#This Row],[Цена
Поддон]]</f>
        <v>1690000</v>
      </c>
      <c r="N324" s="194">
        <f>Таблица1[[#This Row],[Сумма 
Приход]]+Таблица1[[#This Row],[Сумма Поддон]]</f>
        <v>15028000</v>
      </c>
      <c r="O324" s="194">
        <v>720000</v>
      </c>
      <c r="P324" s="194">
        <f>Таблица1[[#This Row],[Блок
 Куб]]*Таблица1[[#This Row],[Цена
 Продажа]]</f>
        <v>16174079.999999998</v>
      </c>
      <c r="Q324" s="194" t="s">
        <v>240</v>
      </c>
      <c r="R324" s="194">
        <f>Таблица1[[#This Row],[Сумма 
Продажа]]-Таблица1[[#This Row],[Сумма 
Приход]]-Таблица1[[#This Row],[Авто услу ]]</f>
        <v>1125553.6842105247</v>
      </c>
      <c r="S324" s="194">
        <v>1710526.3157894735</v>
      </c>
      <c r="T324" s="194">
        <f>Таблица1[[#This Row],[Сумма 
Продажа]]-IF(Таблица1[[#This Row],[Расход 
Авто]]="Клиент",N(Таблица1[[#This Row],[Авто услу ]]),0)</f>
        <v>14463553.684210524</v>
      </c>
      <c r="U32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2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4" s="287" t="str">
        <f>IFERROR(INDEX(Мижозлар[Агент],MATCH($D324,Мижозлар[Расмий ном],0)),"")</f>
        <v>Зафар ога</v>
      </c>
    </row>
    <row r="325" spans="1:23" ht="14.25" x14ac:dyDescent="0.2">
      <c r="A325" s="28" t="s">
        <v>44</v>
      </c>
      <c r="B325" s="191" t="s">
        <v>26</v>
      </c>
      <c r="C325" s="192" t="s">
        <v>36</v>
      </c>
      <c r="D325" s="192" t="s">
        <v>82</v>
      </c>
      <c r="E325" s="193">
        <v>46257</v>
      </c>
      <c r="F325" s="191" t="s">
        <v>674</v>
      </c>
      <c r="G325" s="194" t="s">
        <v>355</v>
      </c>
      <c r="H325" s="195">
        <v>32.832000000000001</v>
      </c>
      <c r="I325" s="194">
        <v>593750</v>
      </c>
      <c r="J325" s="194">
        <f>Таблица1[[#This Row],[Блок
 Куб]]*Таблица1[[#This Row],[Цена 
Приход]]</f>
        <v>19494000</v>
      </c>
      <c r="K325" s="194">
        <v>19</v>
      </c>
      <c r="L325" s="194">
        <v>130000</v>
      </c>
      <c r="M325" s="194">
        <f>Таблица1[[#This Row],[Поддон
Шт]]*Таблица1[[#This Row],[Цена
Поддон]]</f>
        <v>2470000</v>
      </c>
      <c r="N325" s="194">
        <f>Таблица1[[#This Row],[Сумма 
Приход]]+Таблица1[[#This Row],[Сумма Поддон]]</f>
        <v>21964000</v>
      </c>
      <c r="O325" s="194">
        <v>720000</v>
      </c>
      <c r="P325" s="194">
        <f>Таблица1[[#This Row],[Блок
 Куб]]*Таблица1[[#This Row],[Цена
 Продажа]]</f>
        <v>23639040</v>
      </c>
      <c r="Q325" s="194" t="s">
        <v>240</v>
      </c>
      <c r="R325" s="194">
        <f>Таблица1[[#This Row],[Сумма 
Продажа]]-Таблица1[[#This Row],[Сумма 
Приход]]-Таблица1[[#This Row],[Авто услу ]]</f>
        <v>1745040</v>
      </c>
      <c r="S325" s="194">
        <v>2400000</v>
      </c>
      <c r="T325" s="194">
        <f>Таблица1[[#This Row],[Сумма 
Продажа]]-IF(Таблица1[[#This Row],[Расход 
Авто]]="Клиент",N(Таблица1[[#This Row],[Авто услу ]]),0)</f>
        <v>21239040</v>
      </c>
      <c r="U32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25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5" s="287" t="str">
        <f>IFERROR(INDEX(Мижозлар[Агент],MATCH($D325,Мижозлар[Расмий ном],0)),"")</f>
        <v>Темур</v>
      </c>
    </row>
    <row r="326" spans="1:23" x14ac:dyDescent="0.2">
      <c r="A326" s="28" t="s">
        <v>44</v>
      </c>
      <c r="B326" s="191" t="s">
        <v>26</v>
      </c>
      <c r="C326" s="192" t="s">
        <v>36</v>
      </c>
      <c r="D326" s="192" t="s">
        <v>82</v>
      </c>
      <c r="E326" s="193">
        <v>46257</v>
      </c>
      <c r="F326" s="191" t="s">
        <v>675</v>
      </c>
      <c r="G326" s="194" t="s">
        <v>355</v>
      </c>
      <c r="H326" s="195">
        <v>32.832000000000001</v>
      </c>
      <c r="I326" s="194">
        <v>593750</v>
      </c>
      <c r="J326" s="194">
        <f>Таблица1[[#This Row],[Блок
 Куб]]*Таблица1[[#This Row],[Цена 
Приход]]</f>
        <v>19494000</v>
      </c>
      <c r="K326" s="194">
        <v>19</v>
      </c>
      <c r="L326" s="194">
        <v>130000</v>
      </c>
      <c r="M326" s="194">
        <f>Таблица1[[#This Row],[Поддон
Шт]]*Таблица1[[#This Row],[Цена
Поддон]]</f>
        <v>2470000</v>
      </c>
      <c r="N326" s="194">
        <f>Таблица1[[#This Row],[Сумма 
Приход]]+Таблица1[[#This Row],[Сумма Поддон]]</f>
        <v>21964000</v>
      </c>
      <c r="O326" s="194">
        <v>720000</v>
      </c>
      <c r="P326" s="194">
        <f>Таблица1[[#This Row],[Блок
 Куб]]*Таблица1[[#This Row],[Цена
 Продажа]]</f>
        <v>23639040</v>
      </c>
      <c r="Q326" s="194" t="s">
        <v>240</v>
      </c>
      <c r="R326" s="194">
        <f>Таблица1[[#This Row],[Сумма 
Продажа]]-Таблица1[[#This Row],[Сумма 
Приход]]-Таблица1[[#This Row],[Авто услу ]]</f>
        <v>1745040</v>
      </c>
      <c r="S326" s="194">
        <v>2400000</v>
      </c>
      <c r="T326" s="321">
        <f>Таблица1[[#This Row],[Сумма 
Продажа]]-IF(Таблица1[[#This Row],[Расход 
Авто]]="Клиент",N(Таблица1[[#This Row],[Авто услу ]]),0)</f>
        <v>21239040</v>
      </c>
      <c r="U32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2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6" s="287" t="str">
        <f>IFERROR(INDEX(Мижозлар[Агент],MATCH($D326,Мижозлар[Расмий ном],0)),"")</f>
        <v>Темур</v>
      </c>
    </row>
    <row r="327" spans="1:23" ht="14.25" x14ac:dyDescent="0.2">
      <c r="A327" s="28" t="s">
        <v>44</v>
      </c>
      <c r="B327" s="191" t="s">
        <v>26</v>
      </c>
      <c r="C327" s="192" t="s">
        <v>40</v>
      </c>
      <c r="D327" s="192" t="s">
        <v>19</v>
      </c>
      <c r="E327" s="193">
        <v>46257</v>
      </c>
      <c r="F327" s="191" t="s">
        <v>432</v>
      </c>
      <c r="G327" s="194" t="s">
        <v>355</v>
      </c>
      <c r="H327" s="195">
        <v>32.832000000000001</v>
      </c>
      <c r="I327" s="194">
        <v>593750</v>
      </c>
      <c r="J327" s="194">
        <f>Таблица1[[#This Row],[Блок
 Куб]]*Таблица1[[#This Row],[Цена 
Приход]]</f>
        <v>19494000</v>
      </c>
      <c r="K327" s="194">
        <v>19</v>
      </c>
      <c r="L327" s="194">
        <v>130000</v>
      </c>
      <c r="M327" s="194">
        <f>Таблица1[[#This Row],[Поддон
Шт]]*Таблица1[[#This Row],[Цена
Поддон]]</f>
        <v>2470000</v>
      </c>
      <c r="N327" s="194">
        <f>Таблица1[[#This Row],[Сумма 
Приход]]+Таблица1[[#This Row],[Сумма Поддон]]</f>
        <v>21964000</v>
      </c>
      <c r="O327" s="194">
        <v>720000</v>
      </c>
      <c r="P327" s="194">
        <f>Таблица1[[#This Row],[Блок
 Куб]]*Таблица1[[#This Row],[Цена
 Продажа]]</f>
        <v>23639040</v>
      </c>
      <c r="Q327" s="194" t="s">
        <v>356</v>
      </c>
      <c r="R327" s="194">
        <f>Таблица1[[#This Row],[Сумма 
Продажа]]-Таблица1[[#This Row],[Сумма 
Приход]]-Таблица1[[#This Row],[Авто услу ]]</f>
        <v>1745040</v>
      </c>
      <c r="S327" s="194">
        <v>2400000</v>
      </c>
      <c r="T327" s="194">
        <f>Таблица1[[#This Row],[Сумма 
Продажа]]-IF(Таблица1[[#This Row],[Расход 
Авто]]="Клиент",N(Таблица1[[#This Row],[Авто услу ]]),0)</f>
        <v>23639040</v>
      </c>
      <c r="U32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27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7" s="287" t="str">
        <f>IFERROR(INDEX(Мижозлар[Агент],MATCH($D327,Мижозлар[Расмий ном],0)),"")</f>
        <v>Шохрух ога</v>
      </c>
    </row>
    <row r="328" spans="1:23" ht="14.25" x14ac:dyDescent="0.2">
      <c r="A328" s="28" t="s">
        <v>44</v>
      </c>
      <c r="B328" s="191" t="s">
        <v>26</v>
      </c>
      <c r="C328" s="192" t="s">
        <v>32</v>
      </c>
      <c r="D328" s="192" t="s">
        <v>85</v>
      </c>
      <c r="E328" s="193">
        <v>46257</v>
      </c>
      <c r="F328" s="191" t="s">
        <v>676</v>
      </c>
      <c r="G328" s="194" t="s">
        <v>355</v>
      </c>
      <c r="H328" s="195">
        <v>32.832000000000001</v>
      </c>
      <c r="I328" s="194">
        <v>593750</v>
      </c>
      <c r="J328" s="194">
        <f>Таблица1[[#This Row],[Блок
 Куб]]*Таблица1[[#This Row],[Цена 
Приход]]</f>
        <v>19494000</v>
      </c>
      <c r="K328" s="194">
        <v>19</v>
      </c>
      <c r="L328" s="194">
        <v>130000</v>
      </c>
      <c r="M328" s="194">
        <f>Таблица1[[#This Row],[Поддон
Шт]]*Таблица1[[#This Row],[Цена
Поддон]]</f>
        <v>2470000</v>
      </c>
      <c r="N328" s="194">
        <f>Таблица1[[#This Row],[Сумма 
Приход]]+Таблица1[[#This Row],[Сумма Поддон]]</f>
        <v>21964000</v>
      </c>
      <c r="O328" s="194">
        <v>720000</v>
      </c>
      <c r="P328" s="194">
        <f>Таблица1[[#This Row],[Блок
 Куб]]*Таблица1[[#This Row],[Цена
 Продажа]]</f>
        <v>23639040</v>
      </c>
      <c r="Q328" s="194" t="s">
        <v>240</v>
      </c>
      <c r="R328" s="194">
        <f>Таблица1[[#This Row],[Сумма 
Продажа]]-Таблица1[[#This Row],[Сумма 
Приход]]-Таблица1[[#This Row],[Авто услу ]]</f>
        <v>1745040</v>
      </c>
      <c r="S328" s="194">
        <v>2400000</v>
      </c>
      <c r="T328" s="194">
        <f>Таблица1[[#This Row],[Сумма 
Продажа]]-IF(Таблица1[[#This Row],[Расход 
Авто]]="Клиент",N(Таблица1[[#This Row],[Авто услу ]]),0)</f>
        <v>21239040</v>
      </c>
      <c r="U32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28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8" s="287" t="str">
        <f>IFERROR(INDEX(Мижозлар[Агент],MATCH($D328,Мижозлар[Расмий ном],0)),"")</f>
        <v>Сардор ога</v>
      </c>
    </row>
    <row r="329" spans="1:23" ht="14.25" x14ac:dyDescent="0.2">
      <c r="A329" s="21" t="s">
        <v>44</v>
      </c>
      <c r="B329" s="135" t="s">
        <v>26</v>
      </c>
      <c r="C329" s="141" t="s">
        <v>32</v>
      </c>
      <c r="D329" s="141" t="s">
        <v>85</v>
      </c>
      <c r="E329" s="136">
        <v>46258</v>
      </c>
      <c r="F329" s="135" t="s">
        <v>540</v>
      </c>
      <c r="G329" s="34" t="s">
        <v>355</v>
      </c>
      <c r="H329" s="142">
        <v>32.832000000000001</v>
      </c>
      <c r="I329" s="34">
        <v>593750</v>
      </c>
      <c r="J329" s="34">
        <f>Таблица1[[#This Row],[Блок
 Куб]]*Таблица1[[#This Row],[Цена 
Приход]]</f>
        <v>19494000</v>
      </c>
      <c r="K329" s="34">
        <v>19</v>
      </c>
      <c r="L329" s="34">
        <v>130000</v>
      </c>
      <c r="M329" s="34">
        <f>Таблица1[[#This Row],[Поддон
Шт]]*Таблица1[[#This Row],[Цена
Поддон]]</f>
        <v>2470000</v>
      </c>
      <c r="N329" s="34">
        <f>Таблица1[[#This Row],[Сумма 
Приход]]+Таблица1[[#This Row],[Сумма Поддон]]</f>
        <v>21964000</v>
      </c>
      <c r="O329" s="34">
        <v>720000</v>
      </c>
      <c r="P329" s="34">
        <f>Таблица1[[#This Row],[Блок
 Куб]]*Таблица1[[#This Row],[Цена
 Продажа]]</f>
        <v>23639040</v>
      </c>
      <c r="Q329" s="34" t="s">
        <v>240</v>
      </c>
      <c r="R329" s="34">
        <f>Таблица1[[#This Row],[Сумма 
Продажа]]-Таблица1[[#This Row],[Сумма 
Приход]]-Таблица1[[#This Row],[Авто услу ]]</f>
        <v>1745040</v>
      </c>
      <c r="S329" s="34">
        <v>2400000</v>
      </c>
      <c r="T329" s="34">
        <f>Таблица1[[#This Row],[Сумма 
Продажа]]-IF(Таблица1[[#This Row],[Расход 
Авто]]="Клиент",N(Таблица1[[#This Row],[Авто услу ]]),0)</f>
        <v>21239040</v>
      </c>
      <c r="U3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29" s="265" t="str">
        <f>IFERROR(INDEX(Мижозлар[Агент],MATCH($D329,Мижозлар[Расмий ном],0)),"")</f>
        <v>Сардор ога</v>
      </c>
    </row>
    <row r="330" spans="1:23" ht="14.25" x14ac:dyDescent="0.2">
      <c r="A330" s="21" t="s">
        <v>44</v>
      </c>
      <c r="B330" s="135" t="s">
        <v>26</v>
      </c>
      <c r="C330" s="141" t="s">
        <v>21</v>
      </c>
      <c r="D330" s="141" t="s">
        <v>116</v>
      </c>
      <c r="E330" s="136">
        <v>46258</v>
      </c>
      <c r="F330" s="135" t="s">
        <v>359</v>
      </c>
      <c r="G330" s="34" t="s">
        <v>395</v>
      </c>
      <c r="H330" s="142">
        <v>27</v>
      </c>
      <c r="I330" s="34">
        <v>593750</v>
      </c>
      <c r="J330" s="34">
        <f>Таблица1[[#This Row],[Блок
 Куб]]*Таблица1[[#This Row],[Цена 
Приход]]</f>
        <v>16031250</v>
      </c>
      <c r="K330" s="34">
        <v>15</v>
      </c>
      <c r="L330" s="34">
        <v>130000</v>
      </c>
      <c r="M330" s="34">
        <f>Таблица1[[#This Row],[Поддон
Шт]]*Таблица1[[#This Row],[Цена
Поддон]]</f>
        <v>1950000</v>
      </c>
      <c r="N330" s="34">
        <f>Таблица1[[#This Row],[Сумма 
Приход]]+Таблица1[[#This Row],[Сумма Поддон]]</f>
        <v>17981250</v>
      </c>
      <c r="O330" s="34">
        <v>720000</v>
      </c>
      <c r="P330" s="34">
        <f>Таблица1[[#This Row],[Блок
 Куб]]*Таблица1[[#This Row],[Цена
 Продажа]]</f>
        <v>19440000</v>
      </c>
      <c r="Q330" s="34" t="s">
        <v>240</v>
      </c>
      <c r="R330" s="34">
        <f>Таблица1[[#This Row],[Сумма 
Продажа]]-Таблица1[[#This Row],[Сумма 
Приход]]-Таблица1[[#This Row],[Авто услу ]]</f>
        <v>1514013.1578947369</v>
      </c>
      <c r="S330" s="34">
        <v>1894736.8421052631</v>
      </c>
      <c r="T330" s="34">
        <f>Таблица1[[#This Row],[Сумма 
Продажа]]-IF(Таблица1[[#This Row],[Расход 
Авто]]="Клиент",N(Таблица1[[#This Row],[Авто услу ]]),0)</f>
        <v>17545263.157894738</v>
      </c>
      <c r="U3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0" s="265" t="str">
        <f>IFERROR(INDEX(Мижозлар[Агент],MATCH($D330,Мижозлар[Расмий ном],0)),"")</f>
        <v>Арслон ога</v>
      </c>
    </row>
    <row r="331" spans="1:23" ht="14.25" x14ac:dyDescent="0.2">
      <c r="A331" s="21" t="s">
        <v>44</v>
      </c>
      <c r="B331" s="135" t="s">
        <v>26</v>
      </c>
      <c r="C331" s="141" t="s">
        <v>21</v>
      </c>
      <c r="D331" s="141" t="s">
        <v>116</v>
      </c>
      <c r="E331" s="136">
        <v>46258</v>
      </c>
      <c r="F331" s="135" t="s">
        <v>359</v>
      </c>
      <c r="G331" s="34" t="s">
        <v>355</v>
      </c>
      <c r="H331" s="142">
        <v>6.9119999999999999</v>
      </c>
      <c r="I331" s="34">
        <v>593750</v>
      </c>
      <c r="J331" s="34">
        <f>Таблица1[[#This Row],[Блок
 Куб]]*Таблица1[[#This Row],[Цена 
Приход]]</f>
        <v>4104000</v>
      </c>
      <c r="K331" s="34">
        <v>4</v>
      </c>
      <c r="L331" s="34">
        <v>130000</v>
      </c>
      <c r="M331" s="34">
        <f>Таблица1[[#This Row],[Поддон
Шт]]*Таблица1[[#This Row],[Цена
Поддон]]</f>
        <v>520000</v>
      </c>
      <c r="N331" s="34">
        <f>Таблица1[[#This Row],[Сумма 
Приход]]+Таблица1[[#This Row],[Сумма Поддон]]</f>
        <v>4624000</v>
      </c>
      <c r="O331" s="34">
        <v>720000</v>
      </c>
      <c r="P331" s="34">
        <f>Таблица1[[#This Row],[Блок
 Куб]]*Таблица1[[#This Row],[Цена
 Продажа]]</f>
        <v>4976640</v>
      </c>
      <c r="Q331" s="34" t="s">
        <v>240</v>
      </c>
      <c r="R331" s="34">
        <f>Таблица1[[#This Row],[Сумма 
Продажа]]-Таблица1[[#This Row],[Сумма 
Приход]]-Таблица1[[#This Row],[Авто услу ]]</f>
        <v>367376.84210526315</v>
      </c>
      <c r="S331" s="34">
        <v>505263.15789473685</v>
      </c>
      <c r="T331" s="34">
        <f>Таблица1[[#This Row],[Сумма 
Продажа]]-IF(Таблица1[[#This Row],[Расход 
Авто]]="Клиент",N(Таблица1[[#This Row],[Авто услу ]]),0)</f>
        <v>4471376.8421052629</v>
      </c>
      <c r="U3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1" s="265" t="str">
        <f>IFERROR(INDEX(Мижозлар[Агент],MATCH($D331,Мижозлар[Расмий ном],0)),"")</f>
        <v>Арслон ога</v>
      </c>
    </row>
    <row r="332" spans="1:23" ht="14.25" x14ac:dyDescent="0.2">
      <c r="A332" s="21" t="s">
        <v>44</v>
      </c>
      <c r="B332" s="135" t="s">
        <v>26</v>
      </c>
      <c r="C332" s="141" t="s">
        <v>25</v>
      </c>
      <c r="D332" s="141" t="s">
        <v>114</v>
      </c>
      <c r="E332" s="136">
        <v>46258</v>
      </c>
      <c r="F332" s="135" t="s">
        <v>370</v>
      </c>
      <c r="G332" s="34" t="s">
        <v>355</v>
      </c>
      <c r="H332" s="142">
        <v>32.832000000000001</v>
      </c>
      <c r="I332" s="34">
        <v>593750</v>
      </c>
      <c r="J332" s="34">
        <f>Таблица1[[#This Row],[Блок
 Куб]]*Таблица1[[#This Row],[Цена 
Приход]]</f>
        <v>19494000</v>
      </c>
      <c r="K332" s="34">
        <v>19</v>
      </c>
      <c r="L332" s="34">
        <v>130000</v>
      </c>
      <c r="M332" s="34">
        <f>Таблица1[[#This Row],[Поддон
Шт]]*Таблица1[[#This Row],[Цена
Поддон]]</f>
        <v>2470000</v>
      </c>
      <c r="N332" s="34">
        <f>Таблица1[[#This Row],[Сумма 
Приход]]+Таблица1[[#This Row],[Сумма Поддон]]</f>
        <v>21964000</v>
      </c>
      <c r="O332" s="34">
        <v>720000</v>
      </c>
      <c r="P332" s="34">
        <f>Таблица1[[#This Row],[Блок
 Куб]]*Таблица1[[#This Row],[Цена
 Продажа]]</f>
        <v>23639040</v>
      </c>
      <c r="Q332" s="34" t="s">
        <v>356</v>
      </c>
      <c r="R332" s="34">
        <f>Таблица1[[#This Row],[Сумма 
Продажа]]-Таблица1[[#This Row],[Сумма 
Приход]]-Таблица1[[#This Row],[Авто услу ]]</f>
        <v>1495040</v>
      </c>
      <c r="S332" s="34">
        <v>2650000</v>
      </c>
      <c r="T332" s="34">
        <f>Таблица1[[#This Row],[Сумма 
Продажа]]-IF(Таблица1[[#This Row],[Расход 
Авто]]="Клиент",N(Таблица1[[#This Row],[Авто услу ]]),0)</f>
        <v>23639040</v>
      </c>
      <c r="U3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2" s="265" t="str">
        <f>IFERROR(INDEX(Мижозлар[Агент],MATCH($D332,Мижозлар[Расмий ном],0)),"")</f>
        <v>Жамол 22-22</v>
      </c>
    </row>
    <row r="333" spans="1:23" ht="14.25" x14ac:dyDescent="0.2">
      <c r="A333" s="21" t="s">
        <v>44</v>
      </c>
      <c r="B333" s="135" t="s">
        <v>26</v>
      </c>
      <c r="C333" s="141" t="s">
        <v>25</v>
      </c>
      <c r="D333" s="141" t="s">
        <v>114</v>
      </c>
      <c r="E333" s="136">
        <v>46258</v>
      </c>
      <c r="F333" s="135" t="s">
        <v>453</v>
      </c>
      <c r="G333" s="34" t="s">
        <v>355</v>
      </c>
      <c r="H333" s="142">
        <v>32.832000000000001</v>
      </c>
      <c r="I333" s="34">
        <v>593750</v>
      </c>
      <c r="J333" s="34">
        <f>Таблица1[[#This Row],[Блок
 Куб]]*Таблица1[[#This Row],[Цена 
Приход]]</f>
        <v>19494000</v>
      </c>
      <c r="K333" s="34">
        <v>19</v>
      </c>
      <c r="L333" s="34">
        <v>130000</v>
      </c>
      <c r="M333" s="34">
        <f>Таблица1[[#This Row],[Поддон
Шт]]*Таблица1[[#This Row],[Цена
Поддон]]</f>
        <v>2470000</v>
      </c>
      <c r="N333" s="34">
        <f>Таблица1[[#This Row],[Сумма 
Приход]]+Таблица1[[#This Row],[Сумма Поддон]]</f>
        <v>21964000</v>
      </c>
      <c r="O333" s="34">
        <v>720000</v>
      </c>
      <c r="P333" s="34">
        <f>Таблица1[[#This Row],[Блок
 Куб]]*Таблица1[[#This Row],[Цена
 Продажа]]</f>
        <v>23639040</v>
      </c>
      <c r="Q333" s="34" t="s">
        <v>356</v>
      </c>
      <c r="R333" s="34">
        <f>Таблица1[[#This Row],[Сумма 
Продажа]]-Таблица1[[#This Row],[Сумма 
Приход]]-Таблица1[[#This Row],[Авто услу ]]</f>
        <v>1545040</v>
      </c>
      <c r="S333" s="34">
        <v>2600000</v>
      </c>
      <c r="T333" s="34">
        <f>Таблица1[[#This Row],[Сумма 
Продажа]]-IF(Таблица1[[#This Row],[Расход 
Авто]]="Клиент",N(Таблица1[[#This Row],[Авто услу ]]),0)</f>
        <v>23639040</v>
      </c>
      <c r="U3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3" s="265" t="str">
        <f>IFERROR(INDEX(Мижозлар[Агент],MATCH($D333,Мижозлар[Расмий ном],0)),"")</f>
        <v>Жамол 22-22</v>
      </c>
    </row>
    <row r="334" spans="1:23" ht="14.25" x14ac:dyDescent="0.2">
      <c r="A334" s="21" t="s">
        <v>44</v>
      </c>
      <c r="B334" s="135" t="s">
        <v>26</v>
      </c>
      <c r="C334" s="141" t="s">
        <v>32</v>
      </c>
      <c r="D334" s="141" t="s">
        <v>107</v>
      </c>
      <c r="E334" s="136">
        <v>46258</v>
      </c>
      <c r="F334" s="135" t="s">
        <v>432</v>
      </c>
      <c r="G334" s="34" t="s">
        <v>355</v>
      </c>
      <c r="H334" s="142">
        <v>32.832000000000001</v>
      </c>
      <c r="I334" s="34">
        <v>593750</v>
      </c>
      <c r="J334" s="34">
        <f>Таблица1[[#This Row],[Блок
 Куб]]*Таблица1[[#This Row],[Цена 
Приход]]</f>
        <v>19494000</v>
      </c>
      <c r="K334" s="34">
        <v>19</v>
      </c>
      <c r="L334" s="34">
        <v>130000</v>
      </c>
      <c r="M334" s="34">
        <f>Таблица1[[#This Row],[Поддон
Шт]]*Таблица1[[#This Row],[Цена
Поддон]]</f>
        <v>2470000</v>
      </c>
      <c r="N334" s="34">
        <f>Таблица1[[#This Row],[Сумма 
Приход]]+Таблица1[[#This Row],[Сумма Поддон]]</f>
        <v>21964000</v>
      </c>
      <c r="O334" s="34">
        <v>720000</v>
      </c>
      <c r="P334" s="34">
        <f>Таблица1[[#This Row],[Блок
 Куб]]*Таблица1[[#This Row],[Цена
 Продажа]]</f>
        <v>23639040</v>
      </c>
      <c r="Q334" s="34" t="s">
        <v>240</v>
      </c>
      <c r="R334" s="34">
        <f>Таблица1[[#This Row],[Сумма 
Продажа]]-Таблица1[[#This Row],[Сумма 
Приход]]-Таблица1[[#This Row],[Авто услу ]]</f>
        <v>1745040</v>
      </c>
      <c r="S334" s="34">
        <v>2400000</v>
      </c>
      <c r="T334" s="34">
        <f>Таблица1[[#This Row],[Сумма 
Продажа]]-IF(Таблица1[[#This Row],[Расход 
Авто]]="Клиент",N(Таблица1[[#This Row],[Авто услу ]]),0)</f>
        <v>21239040</v>
      </c>
      <c r="U3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4" s="265" t="str">
        <f>IFERROR(INDEX(Мижозлар[Агент],MATCH($D334,Мижозлар[Расмий ном],0)),"")</f>
        <v>Сардор ога</v>
      </c>
    </row>
    <row r="335" spans="1:23" ht="14.25" x14ac:dyDescent="0.2">
      <c r="A335" s="21" t="s">
        <v>44</v>
      </c>
      <c r="B335" s="135" t="s">
        <v>26</v>
      </c>
      <c r="C335" s="141" t="s">
        <v>36</v>
      </c>
      <c r="D335" s="141" t="s">
        <v>48</v>
      </c>
      <c r="E335" s="136">
        <v>46258</v>
      </c>
      <c r="F335" s="135" t="s">
        <v>678</v>
      </c>
      <c r="G335" s="34" t="s">
        <v>355</v>
      </c>
      <c r="H335" s="142">
        <v>32.832000000000001</v>
      </c>
      <c r="I335" s="34">
        <v>593750</v>
      </c>
      <c r="J335" s="34">
        <f>Таблица1[[#This Row],[Блок
 Куб]]*Таблица1[[#This Row],[Цена 
Приход]]</f>
        <v>19494000</v>
      </c>
      <c r="K335" s="34">
        <v>19</v>
      </c>
      <c r="L335" s="34">
        <v>130000</v>
      </c>
      <c r="M335" s="34">
        <f>Таблица1[[#This Row],[Поддон
Шт]]*Таблица1[[#This Row],[Цена
Поддон]]</f>
        <v>2470000</v>
      </c>
      <c r="N335" s="34">
        <f>Таблица1[[#This Row],[Сумма 
Приход]]+Таблица1[[#This Row],[Сумма Поддон]]</f>
        <v>21964000</v>
      </c>
      <c r="O335" s="34">
        <v>720000</v>
      </c>
      <c r="P335" s="34">
        <f>Таблица1[[#This Row],[Блок
 Куб]]*Таблица1[[#This Row],[Цена
 Продажа]]</f>
        <v>23639040</v>
      </c>
      <c r="Q335" s="34" t="s">
        <v>240</v>
      </c>
      <c r="R335" s="34">
        <f>Таблица1[[#This Row],[Сумма 
Продажа]]-Таблица1[[#This Row],[Сумма 
Приход]]-Таблица1[[#This Row],[Авто услу ]]</f>
        <v>1745040</v>
      </c>
      <c r="S335" s="34">
        <v>2400000</v>
      </c>
      <c r="T335" s="34">
        <f>Таблица1[[#This Row],[Сумма 
Продажа]]-IF(Таблица1[[#This Row],[Расход 
Авто]]="Клиент",N(Таблица1[[#This Row],[Авто услу ]]),0)</f>
        <v>21239040</v>
      </c>
      <c r="U3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5" s="265" t="str">
        <f>IFERROR(INDEX(Мижозлар[Агент],MATCH($D335,Мижозлар[Расмий ном],0)),"")</f>
        <v>Темур</v>
      </c>
    </row>
    <row r="336" spans="1:23" ht="14.25" x14ac:dyDescent="0.2">
      <c r="A336" s="28" t="s">
        <v>44</v>
      </c>
      <c r="B336" s="191" t="s">
        <v>26</v>
      </c>
      <c r="C336" s="192" t="s">
        <v>25</v>
      </c>
      <c r="D336" s="192" t="s">
        <v>53</v>
      </c>
      <c r="E336" s="193">
        <v>46259</v>
      </c>
      <c r="F336" s="191" t="s">
        <v>679</v>
      </c>
      <c r="G336" s="194" t="s">
        <v>355</v>
      </c>
      <c r="H336" s="195">
        <v>32.832000000000001</v>
      </c>
      <c r="I336" s="194">
        <v>593750</v>
      </c>
      <c r="J336" s="194">
        <f>Таблица1[[#This Row],[Блок
 Куб]]*Таблица1[[#This Row],[Цена 
Приход]]</f>
        <v>19494000</v>
      </c>
      <c r="K336" s="194">
        <v>19</v>
      </c>
      <c r="L336" s="194">
        <v>130000</v>
      </c>
      <c r="M336" s="194">
        <f>Таблица1[[#This Row],[Поддон
Шт]]*Таблица1[[#This Row],[Цена
Поддон]]</f>
        <v>2470000</v>
      </c>
      <c r="N336" s="194">
        <f>Таблица1[[#This Row],[Сумма 
Приход]]+Таблица1[[#This Row],[Сумма Поддон]]</f>
        <v>21964000</v>
      </c>
      <c r="O336" s="194">
        <v>720000</v>
      </c>
      <c r="P336" s="194">
        <f>Таблица1[[#This Row],[Блок
 Куб]]*Таблица1[[#This Row],[Цена
 Продажа]]</f>
        <v>23639040</v>
      </c>
      <c r="Q336" s="194" t="s">
        <v>356</v>
      </c>
      <c r="R336" s="194">
        <f>Таблица1[[#This Row],[Сумма 
Продажа]]-Таблица1[[#This Row],[Сумма 
Приход]]-Таблица1[[#This Row],[Авто услу ]]</f>
        <v>1745040</v>
      </c>
      <c r="S336" s="194">
        <v>2400000</v>
      </c>
      <c r="T336" s="194">
        <f>Таблица1[[#This Row],[Сумма 
Продажа]]-IF(Таблица1[[#This Row],[Расход 
Авто]]="Клиент",N(Таблица1[[#This Row],[Авто услу ]]),0)</f>
        <v>23639040</v>
      </c>
      <c r="U33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3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6" s="287" t="str">
        <f>IFERROR(INDEX(Мижозлар[Агент],MATCH($D336,Мижозлар[Расмий ном],0)),"")</f>
        <v>Жамол 22-22</v>
      </c>
    </row>
    <row r="337" spans="1:23" ht="14.25" x14ac:dyDescent="0.2">
      <c r="A337" s="28" t="s">
        <v>44</v>
      </c>
      <c r="B337" s="191" t="s">
        <v>26</v>
      </c>
      <c r="C337" s="192" t="s">
        <v>32</v>
      </c>
      <c r="D337" s="192" t="s">
        <v>107</v>
      </c>
      <c r="E337" s="193">
        <v>46259</v>
      </c>
      <c r="F337" s="191" t="s">
        <v>680</v>
      </c>
      <c r="G337" s="194" t="s">
        <v>355</v>
      </c>
      <c r="H337" s="195">
        <v>32.832000000000001</v>
      </c>
      <c r="I337" s="194">
        <v>593750</v>
      </c>
      <c r="J337" s="194">
        <f>Таблица1[[#This Row],[Блок
 Куб]]*Таблица1[[#This Row],[Цена 
Приход]]</f>
        <v>19494000</v>
      </c>
      <c r="K337" s="194">
        <v>19</v>
      </c>
      <c r="L337" s="194">
        <v>130000</v>
      </c>
      <c r="M337" s="194">
        <f>Таблица1[[#This Row],[Поддон
Шт]]*Таблица1[[#This Row],[Цена
Поддон]]</f>
        <v>2470000</v>
      </c>
      <c r="N337" s="194">
        <f>Таблица1[[#This Row],[Сумма 
Приход]]+Таблица1[[#This Row],[Сумма Поддон]]</f>
        <v>21964000</v>
      </c>
      <c r="O337" s="194">
        <v>720000</v>
      </c>
      <c r="P337" s="194">
        <f>Таблица1[[#This Row],[Блок
 Куб]]*Таблица1[[#This Row],[Цена
 Продажа]]</f>
        <v>23639040</v>
      </c>
      <c r="Q337" s="194" t="s">
        <v>240</v>
      </c>
      <c r="R337" s="194">
        <f>Таблица1[[#This Row],[Сумма 
Продажа]]-Таблица1[[#This Row],[Сумма 
Приход]]-Таблица1[[#This Row],[Авто услу ]]</f>
        <v>1745040</v>
      </c>
      <c r="S337" s="194">
        <v>2400000</v>
      </c>
      <c r="T337" s="194">
        <f>Таблица1[[#This Row],[Сумма 
Продажа]]-IF(Таблица1[[#This Row],[Расход 
Авто]]="Клиент",N(Таблица1[[#This Row],[Авто услу ]]),0)</f>
        <v>21239040</v>
      </c>
      <c r="U33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37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7" s="287" t="str">
        <f>IFERROR(INDEX(Мижозлар[Агент],MATCH($D337,Мижозлар[Расмий ном],0)),"")</f>
        <v>Сардор ога</v>
      </c>
    </row>
    <row r="338" spans="1:23" ht="14.25" x14ac:dyDescent="0.2">
      <c r="A338" s="28" t="s">
        <v>44</v>
      </c>
      <c r="B338" s="191" t="s">
        <v>26</v>
      </c>
      <c r="C338" s="192" t="s">
        <v>32</v>
      </c>
      <c r="D338" s="192" t="s">
        <v>107</v>
      </c>
      <c r="E338" s="193">
        <v>46259</v>
      </c>
      <c r="F338" s="191" t="s">
        <v>681</v>
      </c>
      <c r="G338" s="194" t="s">
        <v>355</v>
      </c>
      <c r="H338" s="195">
        <v>32.832000000000001</v>
      </c>
      <c r="I338" s="194">
        <v>593750</v>
      </c>
      <c r="J338" s="194">
        <f>Таблица1[[#This Row],[Блок
 Куб]]*Таблица1[[#This Row],[Цена 
Приход]]</f>
        <v>19494000</v>
      </c>
      <c r="K338" s="194">
        <v>19</v>
      </c>
      <c r="L338" s="194">
        <v>130000</v>
      </c>
      <c r="M338" s="194">
        <f>Таблица1[[#This Row],[Поддон
Шт]]*Таблица1[[#This Row],[Цена
Поддон]]</f>
        <v>2470000</v>
      </c>
      <c r="N338" s="194">
        <f>Таблица1[[#This Row],[Сумма 
Приход]]+Таблица1[[#This Row],[Сумма Поддон]]</f>
        <v>21964000</v>
      </c>
      <c r="O338" s="194">
        <v>720000</v>
      </c>
      <c r="P338" s="194">
        <f>Таблица1[[#This Row],[Блок
 Куб]]*Таблица1[[#This Row],[Цена
 Продажа]]</f>
        <v>23639040</v>
      </c>
      <c r="Q338" s="194" t="s">
        <v>240</v>
      </c>
      <c r="R338" s="194">
        <f>Таблица1[[#This Row],[Сумма 
Продажа]]-Таблица1[[#This Row],[Сумма 
Приход]]-Таблица1[[#This Row],[Авто услу ]]</f>
        <v>1745040</v>
      </c>
      <c r="S338" s="194">
        <v>2400000</v>
      </c>
      <c r="T338" s="194">
        <f>Таблица1[[#This Row],[Сумма 
Продажа]]-IF(Таблица1[[#This Row],[Расход 
Авто]]="Клиент",N(Таблица1[[#This Row],[Авто услу ]]),0)</f>
        <v>21239040</v>
      </c>
      <c r="U33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38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8" s="287" t="str">
        <f>IFERROR(INDEX(Мижозлар[Агент],MATCH($D338,Мижозлар[Расмий ном],0)),"")</f>
        <v>Сардор ога</v>
      </c>
    </row>
    <row r="339" spans="1:23" ht="14.25" x14ac:dyDescent="0.2">
      <c r="A339" s="28" t="s">
        <v>44</v>
      </c>
      <c r="B339" s="191" t="s">
        <v>26</v>
      </c>
      <c r="C339" s="192" t="s">
        <v>40</v>
      </c>
      <c r="D339" s="192" t="s">
        <v>19</v>
      </c>
      <c r="E339" s="193">
        <v>46259</v>
      </c>
      <c r="F339" s="191" t="s">
        <v>682</v>
      </c>
      <c r="G339" s="194" t="s">
        <v>355</v>
      </c>
      <c r="H339" s="195">
        <v>32.832000000000001</v>
      </c>
      <c r="I339" s="188">
        <v>593750</v>
      </c>
      <c r="J339" s="194">
        <f>Таблица1[[#This Row],[Блок
 Куб]]*Таблица1[[#This Row],[Цена 
Приход]]</f>
        <v>19494000</v>
      </c>
      <c r="K339" s="194">
        <v>19</v>
      </c>
      <c r="L339" s="194">
        <v>130000</v>
      </c>
      <c r="M339" s="194">
        <f>Таблица1[[#This Row],[Поддон
Шт]]*Таблица1[[#This Row],[Цена
Поддон]]</f>
        <v>2470000</v>
      </c>
      <c r="N339" s="194">
        <f>Таблица1[[#This Row],[Сумма 
Приход]]+Таблица1[[#This Row],[Сумма Поддон]]</f>
        <v>21964000</v>
      </c>
      <c r="O339" s="194">
        <v>720000</v>
      </c>
      <c r="P339" s="194">
        <f>Таблица1[[#This Row],[Блок
 Куб]]*Таблица1[[#This Row],[Цена
 Продажа]]</f>
        <v>23639040</v>
      </c>
      <c r="Q339" s="194" t="s">
        <v>356</v>
      </c>
      <c r="R339" s="194">
        <f>Таблица1[[#This Row],[Сумма 
Продажа]]-Таблица1[[#This Row],[Сумма 
Приход]]-Таблица1[[#This Row],[Авто услу ]]</f>
        <v>1745040</v>
      </c>
      <c r="S339" s="194">
        <v>2400000</v>
      </c>
      <c r="T339" s="194">
        <f>Таблица1[[#This Row],[Сумма 
Продажа]]-IF(Таблица1[[#This Row],[Расход 
Авто]]="Клиент",N(Таблица1[[#This Row],[Авто услу ]]),0)</f>
        <v>23639040</v>
      </c>
      <c r="U339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39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39" s="287" t="str">
        <f>IFERROR(INDEX(Мижозлар[Агент],MATCH($D339,Мижозлар[Расмий ном],0)),"")</f>
        <v>Шохрух ога</v>
      </c>
    </row>
    <row r="340" spans="1:23" ht="14.25" x14ac:dyDescent="0.2">
      <c r="A340" s="28" t="s">
        <v>44</v>
      </c>
      <c r="B340" s="191" t="s">
        <v>26</v>
      </c>
      <c r="C340" s="192" t="s">
        <v>25</v>
      </c>
      <c r="D340" s="192" t="s">
        <v>53</v>
      </c>
      <c r="E340" s="193">
        <v>46259</v>
      </c>
      <c r="F340" s="191" t="s">
        <v>683</v>
      </c>
      <c r="G340" s="194" t="s">
        <v>355</v>
      </c>
      <c r="H340" s="195">
        <v>32.832000000000001</v>
      </c>
      <c r="I340" s="194">
        <v>593750</v>
      </c>
      <c r="J340" s="194">
        <f>Таблица1[[#This Row],[Блок
 Куб]]*Таблица1[[#This Row],[Цена 
Приход]]</f>
        <v>19494000</v>
      </c>
      <c r="K340" s="194">
        <v>19</v>
      </c>
      <c r="L340" s="194">
        <v>130000</v>
      </c>
      <c r="M340" s="194">
        <f>Таблица1[[#This Row],[Поддон
Шт]]*Таблица1[[#This Row],[Цена
Поддон]]</f>
        <v>2470000</v>
      </c>
      <c r="N340" s="194">
        <f>Таблица1[[#This Row],[Сумма 
Приход]]+Таблица1[[#This Row],[Сумма Поддон]]</f>
        <v>21964000</v>
      </c>
      <c r="O340" s="194">
        <v>720000</v>
      </c>
      <c r="P340" s="194">
        <f>Таблица1[[#This Row],[Блок
 Куб]]*Таблица1[[#This Row],[Цена
 Продажа]]</f>
        <v>23639040</v>
      </c>
      <c r="Q340" s="194" t="s">
        <v>356</v>
      </c>
      <c r="R340" s="194">
        <f>Таблица1[[#This Row],[Сумма 
Продажа]]-Таблица1[[#This Row],[Сумма 
Приход]]-Таблица1[[#This Row],[Авто услу ]]</f>
        <v>1745040</v>
      </c>
      <c r="S340" s="194">
        <v>2400000</v>
      </c>
      <c r="T340" s="194">
        <f>Таблица1[[#This Row],[Сумма 
Продажа]]-IF(Таблица1[[#This Row],[Расход 
Авто]]="Клиент",N(Таблица1[[#This Row],[Авто услу ]]),0)</f>
        <v>23639040</v>
      </c>
      <c r="U340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40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0" s="287" t="str">
        <f>IFERROR(INDEX(Мижозлар[Агент],MATCH($D340,Мижозлар[Расмий ном],0)),"")</f>
        <v>Жамол 22-22</v>
      </c>
    </row>
    <row r="341" spans="1:23" ht="14.25" x14ac:dyDescent="0.2">
      <c r="A341" s="28" t="s">
        <v>44</v>
      </c>
      <c r="B341" s="191" t="s">
        <v>26</v>
      </c>
      <c r="C341" s="192" t="s">
        <v>25</v>
      </c>
      <c r="D341" s="192" t="s">
        <v>53</v>
      </c>
      <c r="E341" s="193">
        <v>46259</v>
      </c>
      <c r="F341" s="191" t="s">
        <v>432</v>
      </c>
      <c r="G341" s="194" t="s">
        <v>355</v>
      </c>
      <c r="H341" s="195">
        <v>32.832000000000001</v>
      </c>
      <c r="I341" s="194">
        <v>593750</v>
      </c>
      <c r="J341" s="194">
        <f>Таблица1[[#This Row],[Блок
 Куб]]*Таблица1[[#This Row],[Цена 
Приход]]</f>
        <v>19494000</v>
      </c>
      <c r="K341" s="194">
        <v>19</v>
      </c>
      <c r="L341" s="194">
        <v>130000</v>
      </c>
      <c r="M341" s="194">
        <f>Таблица1[[#This Row],[Поддон
Шт]]*Таблица1[[#This Row],[Цена
Поддон]]</f>
        <v>2470000</v>
      </c>
      <c r="N341" s="194">
        <f>Таблица1[[#This Row],[Сумма 
Приход]]+Таблица1[[#This Row],[Сумма Поддон]]</f>
        <v>21964000</v>
      </c>
      <c r="O341" s="194">
        <v>720000</v>
      </c>
      <c r="P341" s="194">
        <f>Таблица1[[#This Row],[Блок
 Куб]]*Таблица1[[#This Row],[Цена
 Продажа]]</f>
        <v>23639040</v>
      </c>
      <c r="Q341" s="194" t="s">
        <v>356</v>
      </c>
      <c r="R341" s="194">
        <f>Таблица1[[#This Row],[Сумма 
Продажа]]-Таблица1[[#This Row],[Сумма 
Приход]]-Таблица1[[#This Row],[Авто услу ]]</f>
        <v>1745040</v>
      </c>
      <c r="S341" s="194">
        <v>2400000</v>
      </c>
      <c r="T341" s="194">
        <f>Таблица1[[#This Row],[Сумма 
Продажа]]-IF(Таблица1[[#This Row],[Расход 
Авто]]="Клиент",N(Таблица1[[#This Row],[Авто услу ]]),0)</f>
        <v>23639040</v>
      </c>
      <c r="U34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41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1" s="287" t="str">
        <f>IFERROR(INDEX(Мижозлар[Агент],MATCH($D341,Мижозлар[Расмий ном],0)),"")</f>
        <v>Жамол 22-22</v>
      </c>
    </row>
    <row r="342" spans="1:23" ht="14.25" x14ac:dyDescent="0.2">
      <c r="A342" s="28" t="s">
        <v>44</v>
      </c>
      <c r="B342" s="191" t="s">
        <v>26</v>
      </c>
      <c r="C342" s="192" t="s">
        <v>29</v>
      </c>
      <c r="D342" s="192" t="s">
        <v>67</v>
      </c>
      <c r="E342" s="193">
        <v>46259</v>
      </c>
      <c r="F342" s="191" t="s">
        <v>685</v>
      </c>
      <c r="G342" s="194" t="s">
        <v>355</v>
      </c>
      <c r="H342" s="195">
        <v>32.832000000000001</v>
      </c>
      <c r="I342" s="194">
        <v>593750</v>
      </c>
      <c r="J342" s="194">
        <f>Таблица1[[#This Row],[Блок
 Куб]]*Таблица1[[#This Row],[Цена 
Приход]]</f>
        <v>19494000</v>
      </c>
      <c r="K342" s="194">
        <v>19</v>
      </c>
      <c r="L342" s="194">
        <v>130000</v>
      </c>
      <c r="M342" s="194">
        <f>Таблица1[[#This Row],[Поддон
Шт]]*Таблица1[[#This Row],[Цена
Поддон]]</f>
        <v>2470000</v>
      </c>
      <c r="N342" s="194">
        <f>Таблица1[[#This Row],[Сумма 
Приход]]+Таблица1[[#This Row],[Сумма Поддон]]</f>
        <v>21964000</v>
      </c>
      <c r="O342" s="194">
        <v>720000</v>
      </c>
      <c r="P342" s="194">
        <f>Таблица1[[#This Row],[Блок
 Куб]]*Таблица1[[#This Row],[Цена
 Продажа]]</f>
        <v>23639040</v>
      </c>
      <c r="Q342" s="194" t="s">
        <v>240</v>
      </c>
      <c r="R342" s="194">
        <f>Таблица1[[#This Row],[Сумма 
Продажа]]-Таблица1[[#This Row],[Сумма 
Приход]]-Таблица1[[#This Row],[Авто услу ]]</f>
        <v>1745040</v>
      </c>
      <c r="S342" s="194">
        <v>2400000</v>
      </c>
      <c r="T342" s="194">
        <f>Таблица1[[#This Row],[Сумма 
Продажа]]-IF(Таблица1[[#This Row],[Расход 
Авто]]="Клиент",N(Таблица1[[#This Row],[Авто услу ]]),0)</f>
        <v>21239040</v>
      </c>
      <c r="U34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4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2" s="287" t="str">
        <f>IFERROR(INDEX(Мижозлар[Агент],MATCH($D342,Мижозлар[Расмий ном],0)),"")</f>
        <v>Зафар ога</v>
      </c>
    </row>
    <row r="343" spans="1:23" ht="14.25" x14ac:dyDescent="0.2">
      <c r="A343" s="21" t="s">
        <v>44</v>
      </c>
      <c r="B343" s="135" t="s">
        <v>26</v>
      </c>
      <c r="C343" s="141" t="s">
        <v>36</v>
      </c>
      <c r="D343" s="141" t="s">
        <v>48</v>
      </c>
      <c r="E343" s="136">
        <v>46260</v>
      </c>
      <c r="F343" s="135" t="s">
        <v>382</v>
      </c>
      <c r="G343" s="34" t="s">
        <v>368</v>
      </c>
      <c r="H343" s="142">
        <v>32.832000000000001</v>
      </c>
      <c r="I343" s="34">
        <v>593750</v>
      </c>
      <c r="J343" s="34">
        <f>Таблица1[[#This Row],[Блок
 Куб]]*Таблица1[[#This Row],[Цена 
Приход]]</f>
        <v>19494000</v>
      </c>
      <c r="K343" s="34">
        <v>19</v>
      </c>
      <c r="L343" s="34">
        <v>130000</v>
      </c>
      <c r="M343" s="34">
        <f>Таблица1[[#This Row],[Поддон
Шт]]*Таблица1[[#This Row],[Цена
Поддон]]</f>
        <v>2470000</v>
      </c>
      <c r="N343" s="34">
        <f>Таблица1[[#This Row],[Сумма 
Приход]]+Таблица1[[#This Row],[Сумма Поддон]]</f>
        <v>21964000</v>
      </c>
      <c r="O343" s="34">
        <v>720000</v>
      </c>
      <c r="P343" s="34">
        <f>Таблица1[[#This Row],[Блок
 Куб]]*Таблица1[[#This Row],[Цена
 Продажа]]</f>
        <v>23639040</v>
      </c>
      <c r="Q343" s="34" t="s">
        <v>240</v>
      </c>
      <c r="R343" s="34">
        <f>Таблица1[[#This Row],[Сумма 
Продажа]]-Таблица1[[#This Row],[Сумма 
Приход]]-Таблица1[[#This Row],[Авто услу ]]</f>
        <v>1745040</v>
      </c>
      <c r="S343" s="34">
        <v>2400000</v>
      </c>
      <c r="T343" s="34">
        <f>Таблица1[[#This Row],[Сумма 
Продажа]]-IF(Таблица1[[#This Row],[Расход 
Авто]]="Клиент",N(Таблица1[[#This Row],[Авто услу ]]),0)</f>
        <v>21239040</v>
      </c>
      <c r="U3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3" s="265" t="str">
        <f>IFERROR(INDEX(Мижозлар[Агент],MATCH($D343,Мижозлар[Расмий ном],0)),"")</f>
        <v>Темур</v>
      </c>
    </row>
    <row r="344" spans="1:23" ht="14.25" x14ac:dyDescent="0.2">
      <c r="A344" s="21" t="s">
        <v>44</v>
      </c>
      <c r="B344" s="135" t="s">
        <v>26</v>
      </c>
      <c r="C344" s="141" t="s">
        <v>32</v>
      </c>
      <c r="D344" s="141" t="s">
        <v>65</v>
      </c>
      <c r="E344" s="136">
        <v>46260</v>
      </c>
      <c r="F344" s="135" t="s">
        <v>686</v>
      </c>
      <c r="G344" s="34" t="s">
        <v>355</v>
      </c>
      <c r="H344" s="142">
        <v>32.832000000000001</v>
      </c>
      <c r="I344" s="34">
        <v>593750</v>
      </c>
      <c r="J344" s="34">
        <f>Таблица1[[#This Row],[Блок
 Куб]]*Таблица1[[#This Row],[Цена 
Приход]]</f>
        <v>19494000</v>
      </c>
      <c r="K344" s="34">
        <v>19</v>
      </c>
      <c r="L344" s="34">
        <v>130000</v>
      </c>
      <c r="M344" s="34">
        <f>Таблица1[[#This Row],[Поддон
Шт]]*Таблица1[[#This Row],[Цена
Поддон]]</f>
        <v>2470000</v>
      </c>
      <c r="N344" s="34">
        <f>Таблица1[[#This Row],[Сумма 
Приход]]+Таблица1[[#This Row],[Сумма Поддон]]</f>
        <v>21964000</v>
      </c>
      <c r="O344" s="34">
        <v>720000</v>
      </c>
      <c r="P344" s="34">
        <f>Таблица1[[#This Row],[Блок
 Куб]]*Таблица1[[#This Row],[Цена
 Продажа]]</f>
        <v>23639040</v>
      </c>
      <c r="Q344" s="34" t="s">
        <v>240</v>
      </c>
      <c r="R344" s="34">
        <f>Таблица1[[#This Row],[Сумма 
Продажа]]-Таблица1[[#This Row],[Сумма 
Приход]]-Таблица1[[#This Row],[Авто услу ]]</f>
        <v>1745040</v>
      </c>
      <c r="S344" s="34">
        <v>2400000</v>
      </c>
      <c r="T344" s="34">
        <f>Таблица1[[#This Row],[Сумма 
Продажа]]-IF(Таблица1[[#This Row],[Расход 
Авто]]="Клиент",N(Таблица1[[#This Row],[Авто услу ]]),0)</f>
        <v>21239040</v>
      </c>
      <c r="U3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4" s="265" t="str">
        <f>IFERROR(INDEX(Мижозлар[Агент],MATCH($D344,Мижозлар[Расмий ном],0)),"")</f>
        <v>Сардор ога</v>
      </c>
    </row>
    <row r="345" spans="1:23" ht="14.25" x14ac:dyDescent="0.2">
      <c r="A345" s="21" t="s">
        <v>44</v>
      </c>
      <c r="B345" s="135" t="s">
        <v>26</v>
      </c>
      <c r="C345" s="141" t="s">
        <v>32</v>
      </c>
      <c r="D345" s="141" t="s">
        <v>65</v>
      </c>
      <c r="E345" s="136">
        <v>46260</v>
      </c>
      <c r="F345" s="135" t="s">
        <v>687</v>
      </c>
      <c r="G345" s="34" t="s">
        <v>355</v>
      </c>
      <c r="H345" s="142">
        <v>32.832000000000001</v>
      </c>
      <c r="I345" s="34">
        <v>593750</v>
      </c>
      <c r="J345" s="34">
        <f>Таблица1[[#This Row],[Блок
 Куб]]*Таблица1[[#This Row],[Цена 
Приход]]</f>
        <v>19494000</v>
      </c>
      <c r="K345" s="34">
        <v>19</v>
      </c>
      <c r="L345" s="34">
        <v>130000</v>
      </c>
      <c r="M345" s="34">
        <f>Таблица1[[#This Row],[Поддон
Шт]]*Таблица1[[#This Row],[Цена
Поддон]]</f>
        <v>2470000</v>
      </c>
      <c r="N345" s="34">
        <f>Таблица1[[#This Row],[Сумма 
Приход]]+Таблица1[[#This Row],[Сумма Поддон]]</f>
        <v>21964000</v>
      </c>
      <c r="O345" s="34">
        <v>720000</v>
      </c>
      <c r="P345" s="34">
        <f>Таблица1[[#This Row],[Блок
 Куб]]*Таблица1[[#This Row],[Цена
 Продажа]]</f>
        <v>23639040</v>
      </c>
      <c r="Q345" s="34" t="s">
        <v>240</v>
      </c>
      <c r="R345" s="34">
        <f>Таблица1[[#This Row],[Сумма 
Продажа]]-Таблица1[[#This Row],[Сумма 
Приход]]-Таблица1[[#This Row],[Авто услу ]]</f>
        <v>1745040</v>
      </c>
      <c r="S345" s="34">
        <v>2400000</v>
      </c>
      <c r="T345" s="34">
        <f>Таблица1[[#This Row],[Сумма 
Продажа]]-IF(Таблица1[[#This Row],[Расход 
Авто]]="Клиент",N(Таблица1[[#This Row],[Авто услу ]]),0)</f>
        <v>21239040</v>
      </c>
      <c r="U3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5" s="265" t="str">
        <f>IFERROR(INDEX(Мижозлар[Агент],MATCH($D345,Мижозлар[Расмий ном],0)),"")</f>
        <v>Сардор ога</v>
      </c>
    </row>
    <row r="346" spans="1:23" ht="14.25" x14ac:dyDescent="0.2">
      <c r="A346" s="21" t="s">
        <v>44</v>
      </c>
      <c r="B346" s="135" t="s">
        <v>26</v>
      </c>
      <c r="C346" s="141" t="s">
        <v>29</v>
      </c>
      <c r="D346" s="141" t="s">
        <v>57</v>
      </c>
      <c r="E346" s="136">
        <v>46260</v>
      </c>
      <c r="F346" s="135" t="s">
        <v>370</v>
      </c>
      <c r="G346" s="34" t="s">
        <v>355</v>
      </c>
      <c r="H346" s="142">
        <v>32.832000000000001</v>
      </c>
      <c r="I346" s="34">
        <v>593750</v>
      </c>
      <c r="J346" s="34">
        <f>Таблица1[[#This Row],[Блок
 Куб]]*Таблица1[[#This Row],[Цена 
Приход]]</f>
        <v>19494000</v>
      </c>
      <c r="K346" s="34">
        <v>19</v>
      </c>
      <c r="L346" s="34">
        <v>130000</v>
      </c>
      <c r="M346" s="34">
        <f>Таблица1[[#This Row],[Поддон
Шт]]*Таблица1[[#This Row],[Цена
Поддон]]</f>
        <v>2470000</v>
      </c>
      <c r="N346" s="34">
        <f>Таблица1[[#This Row],[Сумма 
Приход]]+Таблица1[[#This Row],[Сумма Поддон]]</f>
        <v>21964000</v>
      </c>
      <c r="O346" s="34">
        <v>700000</v>
      </c>
      <c r="P346" s="34">
        <f>Таблица1[[#This Row],[Блок
 Куб]]*Таблица1[[#This Row],[Цена
 Продажа]]</f>
        <v>22982400</v>
      </c>
      <c r="Q346" s="34" t="s">
        <v>240</v>
      </c>
      <c r="R346" s="34">
        <f>Таблица1[[#This Row],[Сумма 
Продажа]]-Таблица1[[#This Row],[Сумма 
Приход]]-Таблица1[[#This Row],[Авто услу ]]</f>
        <v>1088400</v>
      </c>
      <c r="S346" s="34">
        <v>2400000</v>
      </c>
      <c r="T346" s="34">
        <f>Таблица1[[#This Row],[Сумма 
Продажа]]-IF(Таблица1[[#This Row],[Расход 
Авто]]="Клиент",N(Таблица1[[#This Row],[Авто услу ]]),0)</f>
        <v>20582400</v>
      </c>
      <c r="U3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6" s="265" t="str">
        <f>IFERROR(INDEX(Мижозлар[Агент],MATCH($D346,Мижозлар[Расмий ном],0)),"")</f>
        <v>Зафар ога</v>
      </c>
    </row>
    <row r="347" spans="1:23" ht="14.25" x14ac:dyDescent="0.2">
      <c r="A347" s="21" t="s">
        <v>44</v>
      </c>
      <c r="B347" s="135" t="s">
        <v>26</v>
      </c>
      <c r="C347" s="141" t="s">
        <v>29</v>
      </c>
      <c r="D347" s="141" t="s">
        <v>67</v>
      </c>
      <c r="E347" s="136">
        <v>46260</v>
      </c>
      <c r="F347" s="135" t="s">
        <v>432</v>
      </c>
      <c r="G347" s="34" t="s">
        <v>355</v>
      </c>
      <c r="H347" s="142">
        <v>32.832000000000001</v>
      </c>
      <c r="I347" s="34">
        <v>593750</v>
      </c>
      <c r="J347" s="34">
        <f>Таблица1[[#This Row],[Блок
 Куб]]*Таблица1[[#This Row],[Цена 
Приход]]</f>
        <v>19494000</v>
      </c>
      <c r="K347" s="34">
        <v>19</v>
      </c>
      <c r="L347" s="34">
        <v>130000</v>
      </c>
      <c r="M347" s="34">
        <f>Таблица1[[#This Row],[Поддон
Шт]]*Таблица1[[#This Row],[Цена
Поддон]]</f>
        <v>2470000</v>
      </c>
      <c r="N347" s="34">
        <f>Таблица1[[#This Row],[Сумма 
Приход]]+Таблица1[[#This Row],[Сумма Поддон]]</f>
        <v>21964000</v>
      </c>
      <c r="O347" s="34">
        <v>720000</v>
      </c>
      <c r="P347" s="34">
        <f>Таблица1[[#This Row],[Блок
 Куб]]*Таблица1[[#This Row],[Цена
 Продажа]]</f>
        <v>23639040</v>
      </c>
      <c r="Q347" s="34" t="s">
        <v>240</v>
      </c>
      <c r="R347" s="34">
        <f>Таблица1[[#This Row],[Сумма 
Продажа]]-Таблица1[[#This Row],[Сумма 
Приход]]-Таблица1[[#This Row],[Авто услу ]]</f>
        <v>1745040</v>
      </c>
      <c r="S347" s="34">
        <v>2400000</v>
      </c>
      <c r="T347" s="34">
        <f>Таблица1[[#This Row],[Сумма 
Продажа]]-IF(Таблица1[[#This Row],[Расход 
Авто]]="Клиент",N(Таблица1[[#This Row],[Авто услу ]]),0)</f>
        <v>21239040</v>
      </c>
      <c r="U3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7" s="265" t="str">
        <f>IFERROR(INDEX(Мижозлар[Агент],MATCH($D347,Мижозлар[Расмий ном],0)),"")</f>
        <v>Зафар ога</v>
      </c>
    </row>
    <row r="348" spans="1:23" ht="14.25" x14ac:dyDescent="0.2">
      <c r="A348" s="21" t="s">
        <v>44</v>
      </c>
      <c r="B348" s="135" t="s">
        <v>26</v>
      </c>
      <c r="C348" s="141" t="s">
        <v>29</v>
      </c>
      <c r="D348" s="141" t="s">
        <v>57</v>
      </c>
      <c r="E348" s="136">
        <v>46260</v>
      </c>
      <c r="F348" s="135" t="s">
        <v>503</v>
      </c>
      <c r="G348" s="34" t="s">
        <v>355</v>
      </c>
      <c r="H348" s="142">
        <v>32.832000000000001</v>
      </c>
      <c r="I348" s="34">
        <v>593750</v>
      </c>
      <c r="J348" s="34">
        <f>Таблица1[[#This Row],[Блок
 Куб]]*Таблица1[[#This Row],[Цена 
Приход]]</f>
        <v>19494000</v>
      </c>
      <c r="K348" s="34">
        <v>19</v>
      </c>
      <c r="L348" s="34">
        <v>130000</v>
      </c>
      <c r="M348" s="34">
        <f>Таблица1[[#This Row],[Поддон
Шт]]*Таблица1[[#This Row],[Цена
Поддон]]</f>
        <v>2470000</v>
      </c>
      <c r="N348" s="34">
        <f>Таблица1[[#This Row],[Сумма 
Приход]]+Таблица1[[#This Row],[Сумма Поддон]]</f>
        <v>21964000</v>
      </c>
      <c r="O348" s="34">
        <v>700000</v>
      </c>
      <c r="P348" s="34">
        <f>Таблица1[[#This Row],[Блок
 Куб]]*Таблица1[[#This Row],[Цена
 Продажа]]</f>
        <v>22982400</v>
      </c>
      <c r="Q348" s="34" t="s">
        <v>240</v>
      </c>
      <c r="R348" s="34">
        <f>Таблица1[[#This Row],[Сумма 
Продажа]]-Таблица1[[#This Row],[Сумма 
Приход]]-Таблица1[[#This Row],[Авто услу ]]</f>
        <v>1088400</v>
      </c>
      <c r="S348" s="34">
        <v>2400000</v>
      </c>
      <c r="T348" s="34">
        <f>Таблица1[[#This Row],[Сумма 
Продажа]]-IF(Таблица1[[#This Row],[Расход 
Авто]]="Клиент",N(Таблица1[[#This Row],[Авто услу ]]),0)</f>
        <v>20582400</v>
      </c>
      <c r="U3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8" s="265" t="str">
        <f>IFERROR(INDEX(Мижозлар[Агент],MATCH($D348,Мижозлар[Расмий ном],0)),"")</f>
        <v>Зафар ога</v>
      </c>
    </row>
    <row r="349" spans="1:23" ht="14.25" x14ac:dyDescent="0.2">
      <c r="A349" s="21" t="s">
        <v>44</v>
      </c>
      <c r="B349" s="135" t="s">
        <v>26</v>
      </c>
      <c r="C349" s="141" t="s">
        <v>29</v>
      </c>
      <c r="D349" s="141" t="s">
        <v>67</v>
      </c>
      <c r="E349" s="136">
        <v>46260</v>
      </c>
      <c r="F349" s="135" t="s">
        <v>688</v>
      </c>
      <c r="G349" s="34" t="s">
        <v>355</v>
      </c>
      <c r="H349" s="142">
        <v>32.832000000000001</v>
      </c>
      <c r="I349" s="34">
        <v>593750</v>
      </c>
      <c r="J349" s="34">
        <f>Таблица1[[#This Row],[Блок
 Куб]]*Таблица1[[#This Row],[Цена 
Приход]]</f>
        <v>19494000</v>
      </c>
      <c r="K349" s="34">
        <v>19</v>
      </c>
      <c r="L349" s="34">
        <v>130000</v>
      </c>
      <c r="M349" s="34">
        <f>Таблица1[[#This Row],[Поддон
Шт]]*Таблица1[[#This Row],[Цена
Поддон]]</f>
        <v>2470000</v>
      </c>
      <c r="N349" s="34">
        <f>Таблица1[[#This Row],[Сумма 
Приход]]+Таблица1[[#This Row],[Сумма Поддон]]</f>
        <v>21964000</v>
      </c>
      <c r="O349" s="34">
        <v>720000</v>
      </c>
      <c r="P349" s="34">
        <f>Таблица1[[#This Row],[Блок
 Куб]]*Таблица1[[#This Row],[Цена
 Продажа]]</f>
        <v>23639040</v>
      </c>
      <c r="Q349" s="34" t="s">
        <v>240</v>
      </c>
      <c r="R349" s="34">
        <f>Таблица1[[#This Row],[Сумма 
Продажа]]-Таблица1[[#This Row],[Сумма 
Приход]]-Таблица1[[#This Row],[Авто услу ]]</f>
        <v>1745040</v>
      </c>
      <c r="S349" s="34">
        <v>2400000</v>
      </c>
      <c r="T349" s="34">
        <f>Таблица1[[#This Row],[Сумма 
Продажа]]-IF(Таблица1[[#This Row],[Расход 
Авто]]="Клиент",N(Таблица1[[#This Row],[Авто услу ]]),0)</f>
        <v>21239040</v>
      </c>
      <c r="U3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49" s="265" t="str">
        <f>IFERROR(INDEX(Мижозлар[Агент],MATCH($D349,Мижозлар[Расмий ном],0)),"")</f>
        <v>Зафар ога</v>
      </c>
    </row>
    <row r="350" spans="1:23" s="291" customFormat="1" x14ac:dyDescent="0.2">
      <c r="A350" s="135" t="s">
        <v>44</v>
      </c>
      <c r="B350" s="135" t="s">
        <v>26</v>
      </c>
      <c r="C350" s="141" t="s">
        <v>36</v>
      </c>
      <c r="D350" s="141" t="s">
        <v>82</v>
      </c>
      <c r="E350" s="136">
        <v>46260</v>
      </c>
      <c r="F350" s="135" t="s">
        <v>426</v>
      </c>
      <c r="G350" s="34" t="s">
        <v>355</v>
      </c>
      <c r="H350" s="142">
        <v>32.832000000000001</v>
      </c>
      <c r="I350" s="34">
        <v>593750</v>
      </c>
      <c r="J350" s="34">
        <f>Таблица1[[#This Row],[Блок
 Куб]]*Таблица1[[#This Row],[Цена 
Приход]]</f>
        <v>19494000</v>
      </c>
      <c r="K350" s="34">
        <v>19</v>
      </c>
      <c r="L350" s="34">
        <v>130000</v>
      </c>
      <c r="M350" s="34">
        <f>Таблица1[[#This Row],[Поддон
Шт]]*Таблица1[[#This Row],[Цена
Поддон]]</f>
        <v>2470000</v>
      </c>
      <c r="N350" s="34">
        <f>Таблица1[[#This Row],[Сумма 
Приход]]+Таблица1[[#This Row],[Сумма Поддон]]</f>
        <v>21964000</v>
      </c>
      <c r="O350" s="34">
        <v>720000</v>
      </c>
      <c r="P350" s="34">
        <f>Таблица1[[#This Row],[Блок
 Куб]]*Таблица1[[#This Row],[Цена
 Продажа]]</f>
        <v>23639040</v>
      </c>
      <c r="Q350" s="34" t="s">
        <v>240</v>
      </c>
      <c r="R350" s="34">
        <f>Таблица1[[#This Row],[Сумма 
Продажа]]-Таблица1[[#This Row],[Сумма 
Приход]]-Таблица1[[#This Row],[Авто услу ]]</f>
        <v>1745040</v>
      </c>
      <c r="S350" s="34">
        <v>2400000</v>
      </c>
      <c r="T350" s="320">
        <f>Таблица1[[#This Row],[Сумма 
Продажа]]-IF(Таблица1[[#This Row],[Расход 
Авто]]="Клиент",N(Таблица1[[#This Row],[Авто услу ]]),0)</f>
        <v>21239040</v>
      </c>
      <c r="U3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0" s="143" t="str">
        <f>IFERROR(INDEX(Мижозлар[Агент],MATCH($D350,Мижозлар[Расмий ном],0)),"")</f>
        <v>Темур</v>
      </c>
    </row>
    <row r="351" spans="1:23" ht="14.25" x14ac:dyDescent="0.2">
      <c r="A351" s="21" t="s">
        <v>44</v>
      </c>
      <c r="B351" s="135" t="s">
        <v>26</v>
      </c>
      <c r="C351" s="141" t="s">
        <v>40</v>
      </c>
      <c r="D351" s="141" t="s">
        <v>19</v>
      </c>
      <c r="E351" s="136">
        <v>46260</v>
      </c>
      <c r="F351" s="135" t="s">
        <v>689</v>
      </c>
      <c r="G351" s="34" t="s">
        <v>355</v>
      </c>
      <c r="H351" s="142">
        <v>32.832000000000001</v>
      </c>
      <c r="I351" s="34">
        <v>593750</v>
      </c>
      <c r="J351" s="34">
        <f>Таблица1[[#This Row],[Блок
 Куб]]*Таблица1[[#This Row],[Цена 
Приход]]</f>
        <v>19494000</v>
      </c>
      <c r="K351" s="34">
        <v>19</v>
      </c>
      <c r="L351" s="34">
        <v>130000</v>
      </c>
      <c r="M351" s="34">
        <f>Таблица1[[#This Row],[Поддон
Шт]]*Таблица1[[#This Row],[Цена
Поддон]]</f>
        <v>2470000</v>
      </c>
      <c r="N351" s="34">
        <f>Таблица1[[#This Row],[Сумма 
Приход]]+Таблица1[[#This Row],[Сумма Поддон]]</f>
        <v>21964000</v>
      </c>
      <c r="O351" s="34">
        <v>720000</v>
      </c>
      <c r="P351" s="34">
        <f>Таблица1[[#This Row],[Блок
 Куб]]*Таблица1[[#This Row],[Цена
 Продажа]]</f>
        <v>23639040</v>
      </c>
      <c r="Q351" s="34" t="s">
        <v>356</v>
      </c>
      <c r="R351" s="34">
        <f>Таблица1[[#This Row],[Сумма 
Продажа]]-Таблица1[[#This Row],[Сумма 
Приход]]-Таблица1[[#This Row],[Авто услу ]]</f>
        <v>1745040</v>
      </c>
      <c r="S351" s="34">
        <v>2400000</v>
      </c>
      <c r="T351" s="34">
        <f>Таблица1[[#This Row],[Сумма 
Продажа]]-IF(Таблица1[[#This Row],[Расход 
Авто]]="Клиент",N(Таблица1[[#This Row],[Авто услу ]]),0)</f>
        <v>23639040</v>
      </c>
      <c r="U3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1" s="265" t="str">
        <f>IFERROR(INDEX(Мижозлар[Агент],MATCH($D351,Мижозлар[Расмий ном],0)),"")</f>
        <v>Шохрух ога</v>
      </c>
    </row>
    <row r="352" spans="1:23" ht="14.25" x14ac:dyDescent="0.2">
      <c r="A352" s="28" t="s">
        <v>44</v>
      </c>
      <c r="B352" s="191" t="s">
        <v>26</v>
      </c>
      <c r="C352" s="192" t="s">
        <v>25</v>
      </c>
      <c r="D352" s="192" t="s">
        <v>53</v>
      </c>
      <c r="E352" s="193">
        <v>46261</v>
      </c>
      <c r="F352" s="191" t="s">
        <v>486</v>
      </c>
      <c r="G352" s="194" t="s">
        <v>355</v>
      </c>
      <c r="H352" s="195">
        <v>32.832000000000001</v>
      </c>
      <c r="I352" s="194">
        <v>593750</v>
      </c>
      <c r="J352" s="194">
        <f>Таблица1[[#This Row],[Блок
 Куб]]*Таблица1[[#This Row],[Цена 
Приход]]</f>
        <v>19494000</v>
      </c>
      <c r="K352" s="194">
        <v>19</v>
      </c>
      <c r="L352" s="194">
        <v>130000</v>
      </c>
      <c r="M352" s="194">
        <f>Таблица1[[#This Row],[Поддон
Шт]]*Таблица1[[#This Row],[Цена
Поддон]]</f>
        <v>2470000</v>
      </c>
      <c r="N352" s="194">
        <f>Таблица1[[#This Row],[Сумма 
Приход]]+Таблица1[[#This Row],[Сумма Поддон]]</f>
        <v>21964000</v>
      </c>
      <c r="O352" s="194">
        <v>720000</v>
      </c>
      <c r="P352" s="194">
        <f>Таблица1[[#This Row],[Блок
 Куб]]*Таблица1[[#This Row],[Цена
 Продажа]]</f>
        <v>23639040</v>
      </c>
      <c r="Q352" s="194" t="s">
        <v>356</v>
      </c>
      <c r="R352" s="194">
        <f>Таблица1[[#This Row],[Сумма 
Продажа]]-Таблица1[[#This Row],[Сумма 
Приход]]-Таблица1[[#This Row],[Авто услу ]]</f>
        <v>1745040</v>
      </c>
      <c r="S352" s="194">
        <v>2400000</v>
      </c>
      <c r="T352" s="194">
        <f>Таблица1[[#This Row],[Сумма 
Продажа]]-IF(Таблица1[[#This Row],[Расход 
Авто]]="Клиент",N(Таблица1[[#This Row],[Авто услу ]]),0)</f>
        <v>23639040</v>
      </c>
      <c r="U35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5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2" s="287" t="str">
        <f>IFERROR(INDEX(Мижозлар[Агент],MATCH($D352,Мижозлар[Расмий ном],0)),"")</f>
        <v>Жамол 22-22</v>
      </c>
    </row>
    <row r="353" spans="1:23" ht="14.25" x14ac:dyDescent="0.2">
      <c r="A353" s="28" t="s">
        <v>44</v>
      </c>
      <c r="B353" s="191" t="s">
        <v>26</v>
      </c>
      <c r="C353" s="192" t="s">
        <v>29</v>
      </c>
      <c r="D353" s="192" t="s">
        <v>57</v>
      </c>
      <c r="E353" s="193">
        <v>46261</v>
      </c>
      <c r="F353" s="191" t="s">
        <v>537</v>
      </c>
      <c r="G353" s="194" t="s">
        <v>355</v>
      </c>
      <c r="H353" s="195">
        <v>32.832000000000001</v>
      </c>
      <c r="I353" s="194">
        <v>593750</v>
      </c>
      <c r="J353" s="194">
        <f>Таблица1[[#This Row],[Блок
 Куб]]*Таблица1[[#This Row],[Цена 
Приход]]</f>
        <v>19494000</v>
      </c>
      <c r="K353" s="194">
        <v>19</v>
      </c>
      <c r="L353" s="194">
        <v>130000</v>
      </c>
      <c r="M353" s="194">
        <f>Таблица1[[#This Row],[Поддон
Шт]]*Таблица1[[#This Row],[Цена
Поддон]]</f>
        <v>2470000</v>
      </c>
      <c r="N353" s="194">
        <f>Таблица1[[#This Row],[Сумма 
Приход]]+Таблица1[[#This Row],[Сумма Поддон]]</f>
        <v>21964000</v>
      </c>
      <c r="O353" s="194">
        <v>700000</v>
      </c>
      <c r="P353" s="194">
        <f>Таблица1[[#This Row],[Блок
 Куб]]*Таблица1[[#This Row],[Цена
 Продажа]]</f>
        <v>22982400</v>
      </c>
      <c r="Q353" s="194" t="s">
        <v>240</v>
      </c>
      <c r="R353" s="194">
        <f>Таблица1[[#This Row],[Сумма 
Продажа]]-Таблица1[[#This Row],[Сумма 
Приход]]-Таблица1[[#This Row],[Авто услу ]]</f>
        <v>1088400</v>
      </c>
      <c r="S353" s="194">
        <v>2400000</v>
      </c>
      <c r="T353" s="194">
        <f>Таблица1[[#This Row],[Сумма 
Продажа]]-IF(Таблица1[[#This Row],[Расход 
Авто]]="Клиент",N(Таблица1[[#This Row],[Авто услу ]]),0)</f>
        <v>20582400</v>
      </c>
      <c r="U35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5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3" s="287" t="str">
        <f>IFERROR(INDEX(Мижозлар[Агент],MATCH($D353,Мижозлар[Расмий ном],0)),"")</f>
        <v>Зафар ога</v>
      </c>
    </row>
    <row r="354" spans="1:23" ht="14.25" x14ac:dyDescent="0.2">
      <c r="A354" s="28" t="s">
        <v>44</v>
      </c>
      <c r="B354" s="191" t="s">
        <v>26</v>
      </c>
      <c r="C354" s="192" t="s">
        <v>32</v>
      </c>
      <c r="D354" s="192" t="s">
        <v>65</v>
      </c>
      <c r="E354" s="193">
        <v>46261</v>
      </c>
      <c r="F354" s="191" t="s">
        <v>432</v>
      </c>
      <c r="G354" s="194" t="s">
        <v>368</v>
      </c>
      <c r="H354" s="195">
        <v>32.832000000000001</v>
      </c>
      <c r="I354" s="194">
        <v>593750</v>
      </c>
      <c r="J354" s="194">
        <f>Таблица1[[#This Row],[Блок
 Куб]]*Таблица1[[#This Row],[Цена 
Приход]]</f>
        <v>19494000</v>
      </c>
      <c r="K354" s="194">
        <v>19</v>
      </c>
      <c r="L354" s="194">
        <v>130000</v>
      </c>
      <c r="M354" s="194">
        <f>Таблица1[[#This Row],[Поддон
Шт]]*Таблица1[[#This Row],[Цена
Поддон]]</f>
        <v>2470000</v>
      </c>
      <c r="N354" s="194">
        <f>Таблица1[[#This Row],[Сумма 
Приход]]+Таблица1[[#This Row],[Сумма Поддон]]</f>
        <v>21964000</v>
      </c>
      <c r="O354" s="194">
        <v>720000</v>
      </c>
      <c r="P354" s="194">
        <f>Таблица1[[#This Row],[Блок
 Куб]]*Таблица1[[#This Row],[Цена
 Продажа]]</f>
        <v>23639040</v>
      </c>
      <c r="Q354" s="194" t="s">
        <v>240</v>
      </c>
      <c r="R354" s="194">
        <f>Таблица1[[#This Row],[Сумма 
Продажа]]-Таблица1[[#This Row],[Сумма 
Приход]]-Таблица1[[#This Row],[Авто услу ]]</f>
        <v>1745040</v>
      </c>
      <c r="S354" s="194">
        <v>2400000</v>
      </c>
      <c r="T354" s="194">
        <f>Таблица1[[#This Row],[Сумма 
Продажа]]-IF(Таблица1[[#This Row],[Расход 
Авто]]="Клиент",N(Таблица1[[#This Row],[Авто услу ]]),0)</f>
        <v>21239040</v>
      </c>
      <c r="U35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5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4" s="287" t="str">
        <f>IFERROR(INDEX(Мижозлар[Агент],MATCH($D354,Мижозлар[Расмий ном],0)),"")</f>
        <v>Сардор ога</v>
      </c>
    </row>
    <row r="355" spans="1:23" ht="14.25" x14ac:dyDescent="0.2">
      <c r="A355" s="28" t="s">
        <v>44</v>
      </c>
      <c r="B355" s="191" t="s">
        <v>26</v>
      </c>
      <c r="C355" s="192" t="s">
        <v>32</v>
      </c>
      <c r="D355" s="192" t="s">
        <v>85</v>
      </c>
      <c r="E355" s="193">
        <v>46261</v>
      </c>
      <c r="F355" s="191" t="s">
        <v>426</v>
      </c>
      <c r="G355" s="194" t="s">
        <v>355</v>
      </c>
      <c r="H355" s="195">
        <v>32.832000000000001</v>
      </c>
      <c r="I355" s="194">
        <v>593750</v>
      </c>
      <c r="J355" s="194">
        <f>Таблица1[[#This Row],[Блок
 Куб]]*Таблица1[[#This Row],[Цена 
Приход]]</f>
        <v>19494000</v>
      </c>
      <c r="K355" s="194">
        <v>19</v>
      </c>
      <c r="L355" s="194">
        <v>130000</v>
      </c>
      <c r="M355" s="194">
        <f>Таблица1[[#This Row],[Поддон
Шт]]*Таблица1[[#This Row],[Цена
Поддон]]</f>
        <v>2470000</v>
      </c>
      <c r="N355" s="194">
        <f>Таблица1[[#This Row],[Сумма 
Приход]]+Таблица1[[#This Row],[Сумма Поддон]]</f>
        <v>21964000</v>
      </c>
      <c r="O355" s="194">
        <v>720000</v>
      </c>
      <c r="P355" s="194">
        <f>Таблица1[[#This Row],[Блок
 Куб]]*Таблица1[[#This Row],[Цена
 Продажа]]</f>
        <v>23639040</v>
      </c>
      <c r="Q355" s="194" t="s">
        <v>240</v>
      </c>
      <c r="R355" s="194">
        <f>Таблица1[[#This Row],[Сумма 
Продажа]]-Таблица1[[#This Row],[Сумма 
Приход]]-Таблица1[[#This Row],[Авто услу ]]</f>
        <v>1745040</v>
      </c>
      <c r="S355" s="194">
        <v>2400000</v>
      </c>
      <c r="T355" s="194">
        <f>Таблица1[[#This Row],[Сумма 
Продажа]]-IF(Таблица1[[#This Row],[Расход 
Авто]]="Клиент",N(Таблица1[[#This Row],[Авто услу ]]),0)</f>
        <v>21239040</v>
      </c>
      <c r="U35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55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5" s="287" t="str">
        <f>IFERROR(INDEX(Мижозлар[Агент],MATCH($D355,Мижозлар[Расмий ном],0)),"")</f>
        <v>Сардор ога</v>
      </c>
    </row>
    <row r="356" spans="1:23" ht="14.25" x14ac:dyDescent="0.2">
      <c r="A356" s="28" t="s">
        <v>44</v>
      </c>
      <c r="B356" s="191" t="s">
        <v>26</v>
      </c>
      <c r="C356" s="192" t="s">
        <v>29</v>
      </c>
      <c r="D356" s="192" t="s">
        <v>67</v>
      </c>
      <c r="E356" s="193">
        <v>46261</v>
      </c>
      <c r="F356" s="191" t="s">
        <v>695</v>
      </c>
      <c r="G356" s="194" t="s">
        <v>355</v>
      </c>
      <c r="H356" s="195">
        <v>32.832000000000001</v>
      </c>
      <c r="I356" s="194">
        <v>593750</v>
      </c>
      <c r="J356" s="194">
        <f>Таблица1[[#This Row],[Блок
 Куб]]*Таблица1[[#This Row],[Цена 
Приход]]</f>
        <v>19494000</v>
      </c>
      <c r="K356" s="194">
        <v>19</v>
      </c>
      <c r="L356" s="194">
        <v>130000</v>
      </c>
      <c r="M356" s="194">
        <f>Таблица1[[#This Row],[Поддон
Шт]]*Таблица1[[#This Row],[Цена
Поддон]]</f>
        <v>2470000</v>
      </c>
      <c r="N356" s="194">
        <f>Таблица1[[#This Row],[Сумма 
Приход]]+Таблица1[[#This Row],[Сумма Поддон]]</f>
        <v>21964000</v>
      </c>
      <c r="O356" s="194">
        <v>720000</v>
      </c>
      <c r="P356" s="194">
        <f>Таблица1[[#This Row],[Блок
 Куб]]*Таблица1[[#This Row],[Цена
 Продажа]]</f>
        <v>23639040</v>
      </c>
      <c r="Q356" s="194" t="s">
        <v>240</v>
      </c>
      <c r="R356" s="194">
        <f>Таблица1[[#This Row],[Сумма 
Продажа]]-Таблица1[[#This Row],[Сумма 
Приход]]-Таблица1[[#This Row],[Авто услу ]]</f>
        <v>1745040</v>
      </c>
      <c r="S356" s="194">
        <v>2400000</v>
      </c>
      <c r="T356" s="194">
        <f>Таблица1[[#This Row],[Сумма 
Продажа]]-IF(Таблица1[[#This Row],[Расход 
Авто]]="Клиент",N(Таблица1[[#This Row],[Авто услу ]]),0)</f>
        <v>21239040</v>
      </c>
      <c r="U35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5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6" s="287" t="str">
        <f>IFERROR(INDEX(Мижозлар[Агент],MATCH($D356,Мижозлар[Расмий ном],0)),"")</f>
        <v>Зафар ога</v>
      </c>
    </row>
    <row r="357" spans="1:23" ht="14.25" x14ac:dyDescent="0.2">
      <c r="A357" s="21" t="s">
        <v>44</v>
      </c>
      <c r="B357" s="135" t="s">
        <v>26</v>
      </c>
      <c r="C357" s="141" t="s">
        <v>29</v>
      </c>
      <c r="D357" s="141" t="s">
        <v>57</v>
      </c>
      <c r="E357" s="136">
        <v>46262</v>
      </c>
      <c r="F357" s="135" t="s">
        <v>371</v>
      </c>
      <c r="G357" s="34" t="s">
        <v>355</v>
      </c>
      <c r="H357" s="142">
        <v>32.832000000000001</v>
      </c>
      <c r="I357" s="34">
        <v>593750</v>
      </c>
      <c r="J357" s="34">
        <f>Таблица1[[#This Row],[Блок
 Куб]]*Таблица1[[#This Row],[Цена 
Приход]]</f>
        <v>19494000</v>
      </c>
      <c r="K357" s="34">
        <v>19</v>
      </c>
      <c r="L357" s="34">
        <v>130000</v>
      </c>
      <c r="M357" s="34">
        <f>Таблица1[[#This Row],[Поддон
Шт]]*Таблица1[[#This Row],[Цена
Поддон]]</f>
        <v>2470000</v>
      </c>
      <c r="N357" s="34">
        <f>Таблица1[[#This Row],[Сумма 
Приход]]+Таблица1[[#This Row],[Сумма Поддон]]</f>
        <v>21964000</v>
      </c>
      <c r="O357" s="34">
        <v>700000</v>
      </c>
      <c r="P357" s="34">
        <f>Таблица1[[#This Row],[Блок
 Куб]]*Таблица1[[#This Row],[Цена
 Продажа]]</f>
        <v>22982400</v>
      </c>
      <c r="Q357" s="34" t="s">
        <v>240</v>
      </c>
      <c r="R357" s="34">
        <f>Таблица1[[#This Row],[Сумма 
Продажа]]-Таблица1[[#This Row],[Сумма 
Приход]]-Таблица1[[#This Row],[Авто услу ]]</f>
        <v>1088400</v>
      </c>
      <c r="S357" s="34">
        <v>2400000</v>
      </c>
      <c r="T357" s="34">
        <f>Таблица1[[#This Row],[Сумма 
Продажа]]-IF(Таблица1[[#This Row],[Расход 
Авто]]="Клиент",N(Таблица1[[#This Row],[Авто услу ]]),0)</f>
        <v>20582400</v>
      </c>
      <c r="U3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7" s="265" t="str">
        <f>IFERROR(INDEX(Мижозлар[Агент],MATCH($D357,Мижозлар[Расмий ном],0)),"")</f>
        <v>Зафар ога</v>
      </c>
    </row>
    <row r="358" spans="1:23" ht="14.25" x14ac:dyDescent="0.2">
      <c r="A358" s="21" t="s">
        <v>44</v>
      </c>
      <c r="B358" s="135" t="s">
        <v>26</v>
      </c>
      <c r="C358" s="141" t="s">
        <v>29</v>
      </c>
      <c r="D358" s="141" t="s">
        <v>691</v>
      </c>
      <c r="E358" s="136">
        <v>46262</v>
      </c>
      <c r="F358" s="135" t="s">
        <v>697</v>
      </c>
      <c r="G358" s="34" t="s">
        <v>355</v>
      </c>
      <c r="H358" s="142">
        <v>32.832000000000001</v>
      </c>
      <c r="I358" s="34">
        <v>593750</v>
      </c>
      <c r="J358" s="34">
        <f>Таблица1[[#This Row],[Блок
 Куб]]*Таблица1[[#This Row],[Цена 
Приход]]</f>
        <v>19494000</v>
      </c>
      <c r="K358" s="34">
        <v>19</v>
      </c>
      <c r="L358" s="34">
        <v>130000</v>
      </c>
      <c r="M358" s="34">
        <f>Таблица1[[#This Row],[Поддон
Шт]]*Таблица1[[#This Row],[Цена
Поддон]]</f>
        <v>2470000</v>
      </c>
      <c r="N358" s="34">
        <f>Таблица1[[#This Row],[Сумма 
Приход]]+Таблица1[[#This Row],[Сумма Поддон]]</f>
        <v>21964000</v>
      </c>
      <c r="O358" s="34">
        <v>720000</v>
      </c>
      <c r="P358" s="34">
        <f>Таблица1[[#This Row],[Блок
 Куб]]*Таблица1[[#This Row],[Цена
 Продажа]]</f>
        <v>23639040</v>
      </c>
      <c r="Q358" s="34" t="s">
        <v>240</v>
      </c>
      <c r="R358" s="34">
        <f>Таблица1[[#This Row],[Сумма 
Продажа]]-Таблица1[[#This Row],[Сумма 
Приход]]-Таблица1[[#This Row],[Авто услу ]]</f>
        <v>1445040</v>
      </c>
      <c r="S358" s="34">
        <v>2700000</v>
      </c>
      <c r="T358" s="34">
        <f>Таблица1[[#This Row],[Сумма 
Продажа]]-IF(Таблица1[[#This Row],[Расход 
Авто]]="Клиент",N(Таблица1[[#This Row],[Авто услу ]]),0)</f>
        <v>20939040</v>
      </c>
      <c r="U3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8" s="265" t="str">
        <f>IFERROR(INDEX(Мижозлар[Агент],MATCH($D358,Мижозлар[Расмий ном],0)),"")</f>
        <v>Зафар ога</v>
      </c>
    </row>
    <row r="359" spans="1:23" ht="14.25" x14ac:dyDescent="0.2">
      <c r="A359" s="21" t="s">
        <v>44</v>
      </c>
      <c r="B359" s="135" t="s">
        <v>26</v>
      </c>
      <c r="C359" s="141" t="s">
        <v>36</v>
      </c>
      <c r="D359" s="141" t="s">
        <v>592</v>
      </c>
      <c r="E359" s="136">
        <v>46262</v>
      </c>
      <c r="F359" s="135" t="s">
        <v>698</v>
      </c>
      <c r="G359" s="34" t="s">
        <v>355</v>
      </c>
      <c r="H359" s="142">
        <v>32.832000000000001</v>
      </c>
      <c r="I359" s="34">
        <v>593750</v>
      </c>
      <c r="J359" s="34">
        <f>Таблица1[[#This Row],[Блок
 Куб]]*Таблица1[[#This Row],[Цена 
Приход]]</f>
        <v>19494000</v>
      </c>
      <c r="K359" s="34">
        <v>19</v>
      </c>
      <c r="L359" s="34">
        <v>130000</v>
      </c>
      <c r="M359" s="34">
        <f>Таблица1[[#This Row],[Поддон
Шт]]*Таблица1[[#This Row],[Цена
Поддон]]</f>
        <v>2470000</v>
      </c>
      <c r="N359" s="34">
        <f>Таблица1[[#This Row],[Сумма 
Приход]]+Таблица1[[#This Row],[Сумма Поддон]]</f>
        <v>21964000</v>
      </c>
      <c r="O359" s="34">
        <v>720000</v>
      </c>
      <c r="P359" s="34">
        <f>Таблица1[[#This Row],[Блок
 Куб]]*Таблица1[[#This Row],[Цена
 Продажа]]</f>
        <v>23639040</v>
      </c>
      <c r="Q359" s="34" t="s">
        <v>240</v>
      </c>
      <c r="R359" s="34">
        <f>Таблица1[[#This Row],[Сумма 
Продажа]]-Таблица1[[#This Row],[Сумма 
Приход]]-Таблица1[[#This Row],[Авто услу ]]</f>
        <v>1745040</v>
      </c>
      <c r="S359" s="34">
        <v>2400000</v>
      </c>
      <c r="T359" s="34">
        <f>Таблица1[[#This Row],[Сумма 
Продажа]]-IF(Таблица1[[#This Row],[Расход 
Авто]]="Клиент",N(Таблица1[[#This Row],[Авто услу ]]),0)</f>
        <v>21239040</v>
      </c>
      <c r="U3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59" s="265" t="str">
        <f>IFERROR(INDEX(Мижозлар[Агент],MATCH($D359,Мижозлар[Расмий ном],0)),"")</f>
        <v>Темур</v>
      </c>
    </row>
    <row r="360" spans="1:23" ht="14.25" x14ac:dyDescent="0.2">
      <c r="A360" s="21" t="s">
        <v>44</v>
      </c>
      <c r="B360" s="135" t="s">
        <v>26</v>
      </c>
      <c r="C360" s="141" t="s">
        <v>36</v>
      </c>
      <c r="D360" s="141" t="s">
        <v>694</v>
      </c>
      <c r="E360" s="136">
        <v>46262</v>
      </c>
      <c r="F360" s="135" t="s">
        <v>699</v>
      </c>
      <c r="G360" s="34" t="s">
        <v>355</v>
      </c>
      <c r="H360" s="142">
        <v>32.832000000000001</v>
      </c>
      <c r="I360" s="34">
        <v>593750</v>
      </c>
      <c r="J360" s="34">
        <f>Таблица1[[#This Row],[Блок
 Куб]]*Таблица1[[#This Row],[Цена 
Приход]]</f>
        <v>19494000</v>
      </c>
      <c r="K360" s="34">
        <v>19</v>
      </c>
      <c r="L360" s="34">
        <v>130000</v>
      </c>
      <c r="M360" s="34">
        <f>Таблица1[[#This Row],[Поддон
Шт]]*Таблица1[[#This Row],[Цена
Поддон]]</f>
        <v>2470000</v>
      </c>
      <c r="N360" s="34">
        <f>Таблица1[[#This Row],[Сумма 
Приход]]+Таблица1[[#This Row],[Сумма Поддон]]</f>
        <v>21964000</v>
      </c>
      <c r="O360" s="34">
        <v>720000</v>
      </c>
      <c r="P360" s="34">
        <f>Таблица1[[#This Row],[Блок
 Куб]]*Таблица1[[#This Row],[Цена
 Продажа]]</f>
        <v>23639040</v>
      </c>
      <c r="Q360" s="34" t="s">
        <v>240</v>
      </c>
      <c r="R360" s="34">
        <f>Таблица1[[#This Row],[Сумма 
Продажа]]-Таблица1[[#This Row],[Сумма 
Приход]]-Таблица1[[#This Row],[Авто услу ]]</f>
        <v>1745040</v>
      </c>
      <c r="S360" s="34">
        <v>2400000</v>
      </c>
      <c r="T360" s="34">
        <f>Таблица1[[#This Row],[Сумма 
Продажа]]-IF(Таблица1[[#This Row],[Расход 
Авто]]="Клиент",N(Таблица1[[#This Row],[Авто услу ]]),0)</f>
        <v>21239040</v>
      </c>
      <c r="U3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0" s="265" t="str">
        <f>IFERROR(INDEX(Мижозлар[Агент],MATCH($D360,Мижозлар[Расмий ном],0)),"")</f>
        <v>Темур</v>
      </c>
    </row>
    <row r="361" spans="1:23" ht="14.25" x14ac:dyDescent="0.2">
      <c r="A361" s="21" t="s">
        <v>44</v>
      </c>
      <c r="B361" s="135" t="s">
        <v>26</v>
      </c>
      <c r="C361" s="141" t="s">
        <v>36</v>
      </c>
      <c r="D361" s="141" t="s">
        <v>48</v>
      </c>
      <c r="E361" s="136">
        <v>46262</v>
      </c>
      <c r="F361" s="135" t="s">
        <v>432</v>
      </c>
      <c r="G361" s="34" t="s">
        <v>368</v>
      </c>
      <c r="H361" s="142">
        <v>32.832000000000001</v>
      </c>
      <c r="I361" s="34">
        <v>593750</v>
      </c>
      <c r="J361" s="34">
        <f>Таблица1[[#This Row],[Блок
 Куб]]*Таблица1[[#This Row],[Цена 
Приход]]</f>
        <v>19494000</v>
      </c>
      <c r="K361" s="34">
        <v>19</v>
      </c>
      <c r="L361" s="34">
        <v>130000</v>
      </c>
      <c r="M361" s="34">
        <f>Таблица1[[#This Row],[Поддон
Шт]]*Таблица1[[#This Row],[Цена
Поддон]]</f>
        <v>2470000</v>
      </c>
      <c r="N361" s="34">
        <f>Таблица1[[#This Row],[Сумма 
Приход]]+Таблица1[[#This Row],[Сумма Поддон]]</f>
        <v>21964000</v>
      </c>
      <c r="O361" s="34">
        <v>720000</v>
      </c>
      <c r="P361" s="34">
        <f>Таблица1[[#This Row],[Блок
 Куб]]*Таблица1[[#This Row],[Цена
 Продажа]]</f>
        <v>23639040</v>
      </c>
      <c r="Q361" s="34" t="s">
        <v>240</v>
      </c>
      <c r="R361" s="34">
        <f>Таблица1[[#This Row],[Сумма 
Продажа]]-Таблица1[[#This Row],[Сумма 
Приход]]-Таблица1[[#This Row],[Авто услу ]]</f>
        <v>1745040</v>
      </c>
      <c r="S361" s="34">
        <v>2400000</v>
      </c>
      <c r="T361" s="34">
        <f>Таблица1[[#This Row],[Сумма 
Продажа]]-IF(Таблица1[[#This Row],[Расход 
Авто]]="Клиент",N(Таблица1[[#This Row],[Авто услу ]]),0)</f>
        <v>21239040</v>
      </c>
      <c r="U3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1" s="265" t="str">
        <f>IFERROR(INDEX(Мижозлар[Агент],MATCH($D361,Мижозлар[Расмий ном],0)),"")</f>
        <v>Темур</v>
      </c>
    </row>
    <row r="362" spans="1:23" ht="14.25" x14ac:dyDescent="0.2">
      <c r="A362" s="21" t="s">
        <v>44</v>
      </c>
      <c r="B362" s="135" t="s">
        <v>26</v>
      </c>
      <c r="C362" s="141" t="s">
        <v>32</v>
      </c>
      <c r="D362" s="141" t="s">
        <v>85</v>
      </c>
      <c r="E362" s="136">
        <v>46262</v>
      </c>
      <c r="F362" s="135" t="s">
        <v>701</v>
      </c>
      <c r="G362" s="34" t="s">
        <v>355</v>
      </c>
      <c r="H362" s="142">
        <v>32.832000000000001</v>
      </c>
      <c r="I362" s="34">
        <v>593750</v>
      </c>
      <c r="J362" s="34">
        <f>Таблица1[[#This Row],[Блок
 Куб]]*Таблица1[[#This Row],[Цена 
Приход]]</f>
        <v>19494000</v>
      </c>
      <c r="K362" s="34">
        <v>19</v>
      </c>
      <c r="L362" s="34">
        <v>130000</v>
      </c>
      <c r="M362" s="34">
        <f>Таблица1[[#This Row],[Поддон
Шт]]*Таблица1[[#This Row],[Цена
Поддон]]</f>
        <v>2470000</v>
      </c>
      <c r="N362" s="34">
        <f>Таблица1[[#This Row],[Сумма 
Приход]]+Таблица1[[#This Row],[Сумма Поддон]]</f>
        <v>21964000</v>
      </c>
      <c r="O362" s="34">
        <v>720000</v>
      </c>
      <c r="P362" s="34">
        <f>Таблица1[[#This Row],[Блок
 Куб]]*Таблица1[[#This Row],[Цена
 Продажа]]</f>
        <v>23639040</v>
      </c>
      <c r="Q362" s="34" t="s">
        <v>240</v>
      </c>
      <c r="R362" s="34">
        <f>Таблица1[[#This Row],[Сумма 
Продажа]]-Таблица1[[#This Row],[Сумма 
Приход]]-Таблица1[[#This Row],[Авто услу ]]</f>
        <v>1745040</v>
      </c>
      <c r="S362" s="34">
        <v>2400000</v>
      </c>
      <c r="T362" s="34">
        <f>Таблица1[[#This Row],[Сумма 
Продажа]]-IF(Таблица1[[#This Row],[Расход 
Авто]]="Клиент",N(Таблица1[[#This Row],[Авто услу ]]),0)</f>
        <v>21239040</v>
      </c>
      <c r="U3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2" s="265" t="str">
        <f>IFERROR(INDEX(Мижозлар[Агент],MATCH($D362,Мижозлар[Расмий ном],0)),"")</f>
        <v>Сардор ога</v>
      </c>
    </row>
    <row r="363" spans="1:23" ht="14.25" x14ac:dyDescent="0.2">
      <c r="A363" s="21" t="s">
        <v>44</v>
      </c>
      <c r="B363" s="135" t="s">
        <v>26</v>
      </c>
      <c r="C363" s="141" t="s">
        <v>36</v>
      </c>
      <c r="D363" s="141" t="s">
        <v>74</v>
      </c>
      <c r="E363" s="136">
        <v>46262</v>
      </c>
      <c r="F363" s="135" t="s">
        <v>503</v>
      </c>
      <c r="G363" s="34" t="s">
        <v>355</v>
      </c>
      <c r="H363" s="142">
        <v>32.832000000000001</v>
      </c>
      <c r="I363" s="34">
        <v>593750</v>
      </c>
      <c r="J363" s="34">
        <f>Таблица1[[#This Row],[Блок
 Куб]]*Таблица1[[#This Row],[Цена 
Приход]]</f>
        <v>19494000</v>
      </c>
      <c r="K363" s="34">
        <v>19</v>
      </c>
      <c r="L363" s="34">
        <v>130000</v>
      </c>
      <c r="M363" s="34">
        <f>Таблица1[[#This Row],[Поддон
Шт]]*Таблица1[[#This Row],[Цена
Поддон]]</f>
        <v>2470000</v>
      </c>
      <c r="N363" s="34">
        <f>Таблица1[[#This Row],[Сумма 
Приход]]+Таблица1[[#This Row],[Сумма Поддон]]</f>
        <v>21964000</v>
      </c>
      <c r="O363" s="34">
        <v>720000</v>
      </c>
      <c r="P363" s="34">
        <f>Таблица1[[#This Row],[Блок
 Куб]]*Таблица1[[#This Row],[Цена
 Продажа]]</f>
        <v>23639040</v>
      </c>
      <c r="Q363" s="34" t="s">
        <v>240</v>
      </c>
      <c r="R363" s="34">
        <f>Таблица1[[#This Row],[Сумма 
Продажа]]-Таблица1[[#This Row],[Сумма 
Приход]]-Таблица1[[#This Row],[Авто услу ]]</f>
        <v>1745040</v>
      </c>
      <c r="S363" s="34">
        <v>2400000</v>
      </c>
      <c r="T363" s="34">
        <f>Таблица1[[#This Row],[Сумма 
Продажа]]-IF(Таблица1[[#This Row],[Расход 
Авто]]="Клиент",N(Таблица1[[#This Row],[Авто услу ]]),0)</f>
        <v>21239040</v>
      </c>
      <c r="U3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3" s="265" t="str">
        <f>IFERROR(INDEX(Мижозлар[Агент],MATCH($D363,Мижозлар[Расмий ном],0)),"")</f>
        <v>Темур</v>
      </c>
    </row>
    <row r="364" spans="1:23" ht="14.25" x14ac:dyDescent="0.2">
      <c r="A364" s="21" t="s">
        <v>44</v>
      </c>
      <c r="B364" s="135" t="s">
        <v>26</v>
      </c>
      <c r="C364" s="141" t="s">
        <v>32</v>
      </c>
      <c r="D364" s="141" t="s">
        <v>107</v>
      </c>
      <c r="E364" s="136">
        <v>46262</v>
      </c>
      <c r="F364" s="135" t="s">
        <v>686</v>
      </c>
      <c r="G364" s="34" t="s">
        <v>355</v>
      </c>
      <c r="H364" s="142">
        <v>32.832000000000001</v>
      </c>
      <c r="I364" s="34">
        <v>593750</v>
      </c>
      <c r="J364" s="34">
        <f>Таблица1[[#This Row],[Блок
 Куб]]*Таблица1[[#This Row],[Цена 
Приход]]</f>
        <v>19494000</v>
      </c>
      <c r="K364" s="34">
        <v>19</v>
      </c>
      <c r="L364" s="34">
        <v>130000</v>
      </c>
      <c r="M364" s="34">
        <f>Таблица1[[#This Row],[Поддон
Шт]]*Таблица1[[#This Row],[Цена
Поддон]]</f>
        <v>2470000</v>
      </c>
      <c r="N364" s="34">
        <f>Таблица1[[#This Row],[Сумма 
Приход]]+Таблица1[[#This Row],[Сумма Поддон]]</f>
        <v>21964000</v>
      </c>
      <c r="O364" s="34">
        <v>720000</v>
      </c>
      <c r="P364" s="34">
        <f>Таблица1[[#This Row],[Блок
 Куб]]*Таблица1[[#This Row],[Цена
 Продажа]]</f>
        <v>23639040</v>
      </c>
      <c r="Q364" s="34" t="s">
        <v>240</v>
      </c>
      <c r="R364" s="34">
        <f>Таблица1[[#This Row],[Сумма 
Продажа]]-Таблица1[[#This Row],[Сумма 
Приход]]-Таблица1[[#This Row],[Авто услу ]]</f>
        <v>1745040</v>
      </c>
      <c r="S364" s="34">
        <v>2400000</v>
      </c>
      <c r="T364" s="34">
        <f>Таблица1[[#This Row],[Сумма 
Продажа]]-IF(Таблица1[[#This Row],[Расход 
Авто]]="Клиент",N(Таблица1[[#This Row],[Авто услу ]]),0)</f>
        <v>21239040</v>
      </c>
      <c r="U3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4" s="265" t="str">
        <f>IFERROR(INDEX(Мижозлар[Агент],MATCH($D364,Мижозлар[Расмий ном],0)),"")</f>
        <v>Сардор ога</v>
      </c>
    </row>
    <row r="365" spans="1:23" ht="14.25" x14ac:dyDescent="0.2">
      <c r="A365" s="21" t="s">
        <v>44</v>
      </c>
      <c r="B365" s="135" t="s">
        <v>26</v>
      </c>
      <c r="C365" s="141" t="s">
        <v>36</v>
      </c>
      <c r="D365" s="141" t="s">
        <v>123</v>
      </c>
      <c r="E365" s="136">
        <v>46262</v>
      </c>
      <c r="F365" s="135" t="s">
        <v>548</v>
      </c>
      <c r="G365" s="34" t="s">
        <v>355</v>
      </c>
      <c r="H365" s="142">
        <v>32.832000000000001</v>
      </c>
      <c r="I365" s="34">
        <v>593750</v>
      </c>
      <c r="J365" s="34">
        <f>Таблица1[[#This Row],[Блок
 Куб]]*Таблица1[[#This Row],[Цена 
Приход]]</f>
        <v>19494000</v>
      </c>
      <c r="K365" s="34">
        <v>19</v>
      </c>
      <c r="L365" s="34">
        <v>130000</v>
      </c>
      <c r="M365" s="34">
        <f>Таблица1[[#This Row],[Поддон
Шт]]*Таблица1[[#This Row],[Цена
Поддон]]</f>
        <v>2470000</v>
      </c>
      <c r="N365" s="34">
        <f>Таблица1[[#This Row],[Сумма 
Приход]]+Таблица1[[#This Row],[Сумма Поддон]]</f>
        <v>21964000</v>
      </c>
      <c r="O365" s="34">
        <v>720000</v>
      </c>
      <c r="P365" s="34">
        <f>Таблица1[[#This Row],[Блок
 Куб]]*Таблица1[[#This Row],[Цена
 Продажа]]</f>
        <v>23639040</v>
      </c>
      <c r="Q365" s="34" t="s">
        <v>240</v>
      </c>
      <c r="R365" s="34">
        <f>Таблица1[[#This Row],[Сумма 
Продажа]]-Таблица1[[#This Row],[Сумма 
Приход]]-Таблица1[[#This Row],[Авто услу ]]</f>
        <v>1745040</v>
      </c>
      <c r="S365" s="34">
        <v>2400000</v>
      </c>
      <c r="T365" s="34">
        <f>Таблица1[[#This Row],[Сумма 
Продажа]]-IF(Таблица1[[#This Row],[Расход 
Авто]]="Клиент",N(Таблица1[[#This Row],[Авто услу ]]),0)</f>
        <v>21239040</v>
      </c>
      <c r="U3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5" s="265" t="str">
        <f>IFERROR(INDEX(Мижозлар[Агент],MATCH($D365,Мижозлар[Расмий ном],0)),"")</f>
        <v>Темур</v>
      </c>
    </row>
    <row r="366" spans="1:23" ht="14.25" x14ac:dyDescent="0.2">
      <c r="A366" s="21" t="s">
        <v>44</v>
      </c>
      <c r="B366" s="135" t="s">
        <v>26</v>
      </c>
      <c r="C366" s="141" t="s">
        <v>36</v>
      </c>
      <c r="D366" s="141" t="s">
        <v>123</v>
      </c>
      <c r="E366" s="136">
        <v>46262</v>
      </c>
      <c r="F366" s="135" t="s">
        <v>702</v>
      </c>
      <c r="G366" s="34" t="s">
        <v>355</v>
      </c>
      <c r="H366" s="142">
        <v>32.832000000000001</v>
      </c>
      <c r="I366" s="34">
        <v>593750</v>
      </c>
      <c r="J366" s="34">
        <f>Таблица1[[#This Row],[Блок
 Куб]]*Таблица1[[#This Row],[Цена 
Приход]]</f>
        <v>19494000</v>
      </c>
      <c r="K366" s="34">
        <v>19</v>
      </c>
      <c r="L366" s="34">
        <v>130000</v>
      </c>
      <c r="M366" s="34">
        <f>Таблица1[[#This Row],[Поддон
Шт]]*Таблица1[[#This Row],[Цена
Поддон]]</f>
        <v>2470000</v>
      </c>
      <c r="N366" s="34">
        <f>Таблица1[[#This Row],[Сумма 
Приход]]+Таблица1[[#This Row],[Сумма Поддон]]</f>
        <v>21964000</v>
      </c>
      <c r="O366" s="34">
        <v>720000</v>
      </c>
      <c r="P366" s="34">
        <f>Таблица1[[#This Row],[Блок
 Куб]]*Таблица1[[#This Row],[Цена
 Продажа]]</f>
        <v>23639040</v>
      </c>
      <c r="Q366" s="34" t="s">
        <v>240</v>
      </c>
      <c r="R366" s="34">
        <f>Таблица1[[#This Row],[Сумма 
Продажа]]-Таблица1[[#This Row],[Сумма 
Приход]]-Таблица1[[#This Row],[Авто услу ]]</f>
        <v>1745040</v>
      </c>
      <c r="S366" s="34">
        <v>2400000</v>
      </c>
      <c r="T366" s="34">
        <f>Таблица1[[#This Row],[Сумма 
Продажа]]-IF(Таблица1[[#This Row],[Расход 
Авто]]="Клиент",N(Таблица1[[#This Row],[Авто услу ]]),0)</f>
        <v>21239040</v>
      </c>
      <c r="U3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6" s="265" t="str">
        <f>IFERROR(INDEX(Мижозлар[Агент],MATCH($D366,Мижозлар[Расмий ном],0)),"")</f>
        <v>Темур</v>
      </c>
    </row>
    <row r="367" spans="1:23" ht="14.25" x14ac:dyDescent="0.2">
      <c r="A367" s="21" t="s">
        <v>44</v>
      </c>
      <c r="B367" s="135" t="s">
        <v>26</v>
      </c>
      <c r="C367" s="141" t="s">
        <v>36</v>
      </c>
      <c r="D367" s="141" t="s">
        <v>82</v>
      </c>
      <c r="E367" s="136">
        <v>46262</v>
      </c>
      <c r="F367" s="135" t="s">
        <v>527</v>
      </c>
      <c r="G367" s="34" t="s">
        <v>355</v>
      </c>
      <c r="H367" s="142">
        <v>32.832000000000001</v>
      </c>
      <c r="I367" s="34">
        <v>593750</v>
      </c>
      <c r="J367" s="34">
        <f>Таблица1[[#This Row],[Блок
 Куб]]*Таблица1[[#This Row],[Цена 
Приход]]</f>
        <v>19494000</v>
      </c>
      <c r="K367" s="34">
        <v>19</v>
      </c>
      <c r="L367" s="34">
        <v>130000</v>
      </c>
      <c r="M367" s="34">
        <f>Таблица1[[#This Row],[Поддон
Шт]]*Таблица1[[#This Row],[Цена
Поддон]]</f>
        <v>2470000</v>
      </c>
      <c r="N367" s="34">
        <f>Таблица1[[#This Row],[Сумма 
Приход]]+Таблица1[[#This Row],[Сумма Поддон]]</f>
        <v>21964000</v>
      </c>
      <c r="O367" s="34">
        <v>720000</v>
      </c>
      <c r="P367" s="34">
        <f>Таблица1[[#This Row],[Блок
 Куб]]*Таблица1[[#This Row],[Цена
 Продажа]]</f>
        <v>23639040</v>
      </c>
      <c r="Q367" s="34" t="s">
        <v>240</v>
      </c>
      <c r="R367" s="34">
        <f>Таблица1[[#This Row],[Сумма 
Продажа]]-Таблица1[[#This Row],[Сумма 
Приход]]-Таблица1[[#This Row],[Авто услу ]]</f>
        <v>1745040</v>
      </c>
      <c r="S367" s="34">
        <v>2400000</v>
      </c>
      <c r="T367" s="34">
        <f>Таблица1[[#This Row],[Сумма 
Продажа]]-IF(Таблица1[[#This Row],[Расход 
Авто]]="Клиент",N(Таблица1[[#This Row],[Авто услу ]]),0)</f>
        <v>21239040</v>
      </c>
      <c r="U3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7" s="265" t="str">
        <f>IFERROR(INDEX(Мижозлар[Агент],MATCH($D367,Мижозлар[Расмий ном],0)),"")</f>
        <v>Темур</v>
      </c>
    </row>
    <row r="368" spans="1:23" ht="14.25" x14ac:dyDescent="0.2">
      <c r="A368" s="21" t="s">
        <v>44</v>
      </c>
      <c r="B368" s="135" t="s">
        <v>26</v>
      </c>
      <c r="C368" s="141" t="s">
        <v>36</v>
      </c>
      <c r="D368" s="141" t="s">
        <v>74</v>
      </c>
      <c r="E368" s="136">
        <v>46262</v>
      </c>
      <c r="F368" s="135" t="s">
        <v>704</v>
      </c>
      <c r="G368" s="34" t="s">
        <v>355</v>
      </c>
      <c r="H368" s="142">
        <v>32.832000000000001</v>
      </c>
      <c r="I368" s="34">
        <v>593750</v>
      </c>
      <c r="J368" s="34">
        <f>Таблица1[[#This Row],[Блок
 Куб]]*Таблица1[[#This Row],[Цена 
Приход]]</f>
        <v>19494000</v>
      </c>
      <c r="K368" s="34">
        <v>19</v>
      </c>
      <c r="L368" s="34">
        <v>130000</v>
      </c>
      <c r="M368" s="34">
        <f>Таблица1[[#This Row],[Поддон
Шт]]*Таблица1[[#This Row],[Цена
Поддон]]</f>
        <v>2470000</v>
      </c>
      <c r="N368" s="34">
        <f>Таблица1[[#This Row],[Сумма 
Приход]]+Таблица1[[#This Row],[Сумма Поддон]]</f>
        <v>21964000</v>
      </c>
      <c r="O368" s="34">
        <v>720000</v>
      </c>
      <c r="P368" s="34">
        <f>Таблица1[[#This Row],[Блок
 Куб]]*Таблица1[[#This Row],[Цена
 Продажа]]</f>
        <v>23639040</v>
      </c>
      <c r="Q368" s="34" t="s">
        <v>240</v>
      </c>
      <c r="R368" s="34">
        <f>Таблица1[[#This Row],[Сумма 
Продажа]]-Таблица1[[#This Row],[Сумма 
Приход]]-Таблица1[[#This Row],[Авто услу ]]</f>
        <v>1745040</v>
      </c>
      <c r="S368" s="34">
        <v>2400000</v>
      </c>
      <c r="T368" s="34">
        <f>Таблица1[[#This Row],[Сумма 
Продажа]]-IF(Таблица1[[#This Row],[Расход 
Авто]]="Клиент",N(Таблица1[[#This Row],[Авто услу ]]),0)</f>
        <v>21239040</v>
      </c>
      <c r="U3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8" s="265" t="str">
        <f>IFERROR(INDEX(Мижозлар[Агент],MATCH($D368,Мижозлар[Расмий ном],0)),"")</f>
        <v>Темур</v>
      </c>
    </row>
    <row r="369" spans="1:23" ht="14.25" x14ac:dyDescent="0.2">
      <c r="A369" s="21" t="s">
        <v>44</v>
      </c>
      <c r="B369" s="135" t="s">
        <v>26</v>
      </c>
      <c r="C369" s="141" t="s">
        <v>40</v>
      </c>
      <c r="D369" s="141" t="s">
        <v>19</v>
      </c>
      <c r="E369" s="136">
        <v>46262</v>
      </c>
      <c r="F369" s="135" t="s">
        <v>370</v>
      </c>
      <c r="G369" s="34" t="s">
        <v>355</v>
      </c>
      <c r="H369" s="142">
        <v>32.832000000000001</v>
      </c>
      <c r="I369" s="34">
        <v>593750</v>
      </c>
      <c r="J369" s="34">
        <f>Таблица1[[#This Row],[Блок
 Куб]]*Таблица1[[#This Row],[Цена 
Приход]]</f>
        <v>19494000</v>
      </c>
      <c r="K369" s="34">
        <v>19</v>
      </c>
      <c r="L369" s="34">
        <v>130000</v>
      </c>
      <c r="M369" s="34">
        <f>Таблица1[[#This Row],[Поддон
Шт]]*Таблица1[[#This Row],[Цена
Поддон]]</f>
        <v>2470000</v>
      </c>
      <c r="N369" s="34">
        <f>Таблица1[[#This Row],[Сумма 
Приход]]+Таблица1[[#This Row],[Сумма Поддон]]</f>
        <v>21964000</v>
      </c>
      <c r="O369" s="34">
        <v>720000</v>
      </c>
      <c r="P369" s="34">
        <f>Таблица1[[#This Row],[Блок
 Куб]]*Таблица1[[#This Row],[Цена
 Продажа]]</f>
        <v>23639040</v>
      </c>
      <c r="Q369" s="34" t="s">
        <v>240</v>
      </c>
      <c r="R369" s="34">
        <f>Таблица1[[#This Row],[Сумма 
Продажа]]-Таблица1[[#This Row],[Сумма 
Приход]]-Таблица1[[#This Row],[Авто услу ]]</f>
        <v>1745040</v>
      </c>
      <c r="S369" s="34">
        <v>2400000</v>
      </c>
      <c r="T369" s="34">
        <f>Таблица1[[#This Row],[Сумма 
Продажа]]-IF(Таблица1[[#This Row],[Расход 
Авто]]="Клиент",N(Таблица1[[#This Row],[Авто услу ]]),0)</f>
        <v>21239040</v>
      </c>
      <c r="U3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69" s="265" t="str">
        <f>IFERROR(INDEX(Мижозлар[Агент],MATCH($D369,Мижозлар[Расмий ном],0)),"")</f>
        <v>Шохрух ога</v>
      </c>
    </row>
    <row r="370" spans="1:23" ht="14.25" x14ac:dyDescent="0.2">
      <c r="A370" s="21" t="s">
        <v>44</v>
      </c>
      <c r="B370" s="135" t="s">
        <v>26</v>
      </c>
      <c r="C370" s="141" t="s">
        <v>32</v>
      </c>
      <c r="D370" s="141" t="s">
        <v>85</v>
      </c>
      <c r="E370" s="136">
        <v>46262</v>
      </c>
      <c r="F370" s="135" t="s">
        <v>705</v>
      </c>
      <c r="G370" s="34" t="s">
        <v>355</v>
      </c>
      <c r="H370" s="142">
        <v>32.832000000000001</v>
      </c>
      <c r="I370" s="34">
        <v>593750</v>
      </c>
      <c r="J370" s="34">
        <f>Таблица1[[#This Row],[Блок
 Куб]]*Таблица1[[#This Row],[Цена 
Приход]]</f>
        <v>19494000</v>
      </c>
      <c r="K370" s="34">
        <v>19</v>
      </c>
      <c r="L370" s="34">
        <v>130000</v>
      </c>
      <c r="M370" s="34">
        <f>Таблица1[[#This Row],[Поддон
Шт]]*Таблица1[[#This Row],[Цена
Поддон]]</f>
        <v>2470000</v>
      </c>
      <c r="N370" s="34">
        <f>Таблица1[[#This Row],[Сумма 
Приход]]+Таблица1[[#This Row],[Сумма Поддон]]</f>
        <v>21964000</v>
      </c>
      <c r="O370" s="34">
        <v>720000</v>
      </c>
      <c r="P370" s="34">
        <f>Таблица1[[#This Row],[Блок
 Куб]]*Таблица1[[#This Row],[Цена
 Продажа]]</f>
        <v>23639040</v>
      </c>
      <c r="Q370" s="34" t="s">
        <v>240</v>
      </c>
      <c r="R370" s="34">
        <f>Таблица1[[#This Row],[Сумма 
Продажа]]-Таблица1[[#This Row],[Сумма 
Приход]]-Таблица1[[#This Row],[Авто услу ]]</f>
        <v>1745040</v>
      </c>
      <c r="S370" s="34">
        <v>2400000</v>
      </c>
      <c r="T370" s="34">
        <f>Таблица1[[#This Row],[Сумма 
Продажа]]-IF(Таблица1[[#This Row],[Расход 
Авто]]="Клиент",N(Таблица1[[#This Row],[Авто услу ]]),0)</f>
        <v>21239040</v>
      </c>
      <c r="U3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0" s="265" t="str">
        <f>IFERROR(INDEX(Мижозлар[Агент],MATCH($D370,Мижозлар[Расмий ном],0)),"")</f>
        <v>Сардор ога</v>
      </c>
    </row>
    <row r="371" spans="1:23" ht="14.25" x14ac:dyDescent="0.2">
      <c r="A371" s="21" t="s">
        <v>44</v>
      </c>
      <c r="B371" s="135" t="s">
        <v>26</v>
      </c>
      <c r="C371" s="141" t="s">
        <v>36</v>
      </c>
      <c r="D371" s="141" t="s">
        <v>694</v>
      </c>
      <c r="E371" s="136">
        <v>46262</v>
      </c>
      <c r="F371" s="135" t="s">
        <v>432</v>
      </c>
      <c r="G371" s="34" t="s">
        <v>355</v>
      </c>
      <c r="H371" s="142">
        <v>32.832000000000001</v>
      </c>
      <c r="I371" s="34">
        <v>593750</v>
      </c>
      <c r="J371" s="34">
        <f>Таблица1[[#This Row],[Блок
 Куб]]*Таблица1[[#This Row],[Цена 
Приход]]</f>
        <v>19494000</v>
      </c>
      <c r="K371" s="34">
        <v>19</v>
      </c>
      <c r="L371" s="34">
        <v>130000</v>
      </c>
      <c r="M371" s="34">
        <f>Таблица1[[#This Row],[Поддон
Шт]]*Таблица1[[#This Row],[Цена
Поддон]]</f>
        <v>2470000</v>
      </c>
      <c r="N371" s="34">
        <f>Таблица1[[#This Row],[Сумма 
Приход]]+Таблица1[[#This Row],[Сумма Поддон]]</f>
        <v>21964000</v>
      </c>
      <c r="O371" s="34">
        <v>720000</v>
      </c>
      <c r="P371" s="34">
        <f>Таблица1[[#This Row],[Блок
 Куб]]*Таблица1[[#This Row],[Цена
 Продажа]]</f>
        <v>23639040</v>
      </c>
      <c r="Q371" s="34" t="s">
        <v>240</v>
      </c>
      <c r="R371" s="34">
        <f>Таблица1[[#This Row],[Сумма 
Продажа]]-Таблица1[[#This Row],[Сумма 
Приход]]-Таблица1[[#This Row],[Авто услу ]]</f>
        <v>1745040</v>
      </c>
      <c r="S371" s="34">
        <v>2400000</v>
      </c>
      <c r="T371" s="34">
        <f>Таблица1[[#This Row],[Сумма 
Продажа]]-IF(Таблица1[[#This Row],[Расход 
Авто]]="Клиент",N(Таблица1[[#This Row],[Авто услу ]]),0)</f>
        <v>21239040</v>
      </c>
      <c r="U3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1" s="265" t="str">
        <f>IFERROR(INDEX(Мижозлар[Агент],MATCH($D371,Мижозлар[Расмий ном],0)),"")</f>
        <v>Темур</v>
      </c>
    </row>
    <row r="372" spans="1:23" ht="14.25" x14ac:dyDescent="0.2">
      <c r="A372" s="294" t="s">
        <v>44</v>
      </c>
      <c r="B372" s="295" t="s">
        <v>26</v>
      </c>
      <c r="C372" s="296" t="s">
        <v>21</v>
      </c>
      <c r="D372" s="296" t="s">
        <v>116</v>
      </c>
      <c r="E372" s="297">
        <v>46263</v>
      </c>
      <c r="F372" s="295" t="s">
        <v>700</v>
      </c>
      <c r="G372" s="298" t="s">
        <v>395</v>
      </c>
      <c r="H372" s="299">
        <v>9</v>
      </c>
      <c r="I372" s="298">
        <v>593750</v>
      </c>
      <c r="J372" s="298">
        <f>Таблица1[[#This Row],[Блок
 Куб]]*Таблица1[[#This Row],[Цена 
Приход]]</f>
        <v>5343750</v>
      </c>
      <c r="K372" s="298">
        <v>5</v>
      </c>
      <c r="L372" s="298">
        <v>130000</v>
      </c>
      <c r="M372" s="298">
        <f>Таблица1[[#This Row],[Поддон
Шт]]*Таблица1[[#This Row],[Цена
Поддон]]</f>
        <v>650000</v>
      </c>
      <c r="N372" s="298">
        <f>Таблица1[[#This Row],[Сумма 
Приход]]+Таблица1[[#This Row],[Сумма Поддон]]</f>
        <v>5993750</v>
      </c>
      <c r="O372" s="298">
        <v>720000</v>
      </c>
      <c r="P372" s="298">
        <f>Таблица1[[#This Row],[Блок
 Куб]]*Таблица1[[#This Row],[Цена
 Продажа]]</f>
        <v>6480000</v>
      </c>
      <c r="Q372" s="298" t="s">
        <v>240</v>
      </c>
      <c r="R372" s="298">
        <f>Таблица1[[#This Row],[Сумма 
Продажа]]-Таблица1[[#This Row],[Сумма 
Приход]]-Таблица1[[#This Row],[Авто услу ]]</f>
        <v>504671.05263157899</v>
      </c>
      <c r="S372" s="298">
        <v>631578.94736842101</v>
      </c>
      <c r="T372" s="298">
        <f>Таблица1[[#This Row],[Сумма 
Продажа]]-IF(Таблица1[[#This Row],[Расход 
Авто]]="Клиент",N(Таблица1[[#This Row],[Авто услу ]]),0)</f>
        <v>5848421.0526315793</v>
      </c>
      <c r="U372" s="300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72" s="300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2" s="301" t="str">
        <f>IFERROR(INDEX(Мижозлар[Агент],MATCH($D372,Мижозлар[Расмий ном],0)),"")</f>
        <v>Арслон ога</v>
      </c>
    </row>
    <row r="373" spans="1:23" ht="14.25" x14ac:dyDescent="0.2">
      <c r="A373" s="294" t="s">
        <v>44</v>
      </c>
      <c r="B373" s="295" t="s">
        <v>26</v>
      </c>
      <c r="C373" s="296" t="s">
        <v>21</v>
      </c>
      <c r="D373" s="296" t="s">
        <v>116</v>
      </c>
      <c r="E373" s="297">
        <v>46263</v>
      </c>
      <c r="F373" s="295" t="s">
        <v>700</v>
      </c>
      <c r="G373" s="298" t="s">
        <v>355</v>
      </c>
      <c r="H373" s="299">
        <v>24.192</v>
      </c>
      <c r="I373" s="298">
        <v>593750</v>
      </c>
      <c r="J373" s="298">
        <f>Таблица1[[#This Row],[Блок
 Куб]]*Таблица1[[#This Row],[Цена 
Приход]]</f>
        <v>14364000</v>
      </c>
      <c r="K373" s="298">
        <v>14</v>
      </c>
      <c r="L373" s="298">
        <v>130000</v>
      </c>
      <c r="M373" s="298">
        <f>Таблица1[[#This Row],[Поддон
Шт]]*Таблица1[[#This Row],[Цена
Поддон]]</f>
        <v>1820000</v>
      </c>
      <c r="N373" s="298">
        <f>Таблица1[[#This Row],[Сумма 
Приход]]+Таблица1[[#This Row],[Сумма Поддон]]</f>
        <v>16184000</v>
      </c>
      <c r="O373" s="298">
        <v>720000</v>
      </c>
      <c r="P373" s="298">
        <f>Таблица1[[#This Row],[Блок
 Куб]]*Таблица1[[#This Row],[Цена
 Продажа]]</f>
        <v>17418240</v>
      </c>
      <c r="Q373" s="298" t="s">
        <v>240</v>
      </c>
      <c r="R373" s="298">
        <f>Таблица1[[#This Row],[Сумма 
Продажа]]-Таблица1[[#This Row],[Сумма 
Приход]]-Таблица1[[#This Row],[Авто услу ]]</f>
        <v>1285818.9473684211</v>
      </c>
      <c r="S373" s="298">
        <v>1768421.0526315789</v>
      </c>
      <c r="T373" s="298">
        <f>Таблица1[[#This Row],[Сумма 
Продажа]]-IF(Таблица1[[#This Row],[Расход 
Авто]]="Клиент",N(Таблица1[[#This Row],[Авто услу ]]),0)</f>
        <v>15649818.947368421</v>
      </c>
      <c r="U373" s="300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73" s="300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3" s="301" t="str">
        <f>IFERROR(INDEX(Мижозлар[Агент],MATCH($D373,Мижозлар[Расмий ном],0)),"")</f>
        <v>Арслон ога</v>
      </c>
    </row>
    <row r="374" spans="1:23" ht="14.25" x14ac:dyDescent="0.2">
      <c r="A374" s="28" t="s">
        <v>44</v>
      </c>
      <c r="B374" s="191" t="s">
        <v>26</v>
      </c>
      <c r="C374" s="192" t="s">
        <v>32</v>
      </c>
      <c r="D374" s="192" t="s">
        <v>107</v>
      </c>
      <c r="E374" s="193">
        <v>46263</v>
      </c>
      <c r="F374" s="191" t="s">
        <v>687</v>
      </c>
      <c r="G374" s="194" t="s">
        <v>355</v>
      </c>
      <c r="H374" s="195">
        <v>32.832000000000001</v>
      </c>
      <c r="I374" s="194">
        <v>574750</v>
      </c>
      <c r="J374" s="194">
        <f>Таблица1[[#This Row],[Блок
 Куб]]*Таблица1[[#This Row],[Цена 
Приход]]</f>
        <v>18870192</v>
      </c>
      <c r="K374" s="194">
        <v>19</v>
      </c>
      <c r="L374" s="194">
        <v>130000</v>
      </c>
      <c r="M374" s="194">
        <f>Таблица1[[#This Row],[Поддон
Шт]]*Таблица1[[#This Row],[Цена
Поддон]]</f>
        <v>2470000</v>
      </c>
      <c r="N374" s="194">
        <f>Таблица1[[#This Row],[Сумма 
Приход]]+Таблица1[[#This Row],[Сумма Поддон]]</f>
        <v>21340192</v>
      </c>
      <c r="O374" s="194">
        <v>720000</v>
      </c>
      <c r="P374" s="194">
        <f>Таблица1[[#This Row],[Блок
 Куб]]*Таблица1[[#This Row],[Цена
 Продажа]]</f>
        <v>23639040</v>
      </c>
      <c r="Q374" s="194" t="s">
        <v>240</v>
      </c>
      <c r="R374" s="194">
        <f>Таблица1[[#This Row],[Сумма 
Продажа]]-Таблица1[[#This Row],[Сумма 
Приход]]-Таблица1[[#This Row],[Авто услу ]]</f>
        <v>1968848</v>
      </c>
      <c r="S374" s="194">
        <v>2800000</v>
      </c>
      <c r="T374" s="194">
        <f>Таблица1[[#This Row],[Сумма 
Продажа]]-IF(Таблица1[[#This Row],[Расход 
Авто]]="Клиент",N(Таблица1[[#This Row],[Авто услу ]]),0)</f>
        <v>20839040</v>
      </c>
      <c r="U37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Сардор ога</v>
      </c>
      <c r="V37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4" s="287" t="str">
        <f>IFERROR(INDEX(Мижозлар[Агент],MATCH($D374,Мижозлар[Расмий ном],0)),"")</f>
        <v>Сардор ога</v>
      </c>
    </row>
    <row r="375" spans="1:23" ht="14.25" x14ac:dyDescent="0.2">
      <c r="A375" s="28" t="s">
        <v>44</v>
      </c>
      <c r="B375" s="191" t="s">
        <v>26</v>
      </c>
      <c r="C375" s="192" t="s">
        <v>40</v>
      </c>
      <c r="D375" s="192" t="s">
        <v>87</v>
      </c>
      <c r="E375" s="193">
        <v>46263</v>
      </c>
      <c r="F375" s="191" t="s">
        <v>706</v>
      </c>
      <c r="G375" s="194" t="s">
        <v>355</v>
      </c>
      <c r="H375" s="195">
        <v>32.832000000000001</v>
      </c>
      <c r="I375" s="194">
        <v>574750</v>
      </c>
      <c r="J375" s="194">
        <f>Таблица1[[#This Row],[Блок
 Куб]]*Таблица1[[#This Row],[Цена 
Приход]]</f>
        <v>18870192</v>
      </c>
      <c r="K375" s="194">
        <v>19</v>
      </c>
      <c r="L375" s="194">
        <v>130000</v>
      </c>
      <c r="M375" s="194">
        <f>Таблица1[[#This Row],[Поддон
Шт]]*Таблица1[[#This Row],[Цена
Поддон]]</f>
        <v>2470000</v>
      </c>
      <c r="N375" s="194">
        <f>Таблица1[[#This Row],[Сумма 
Приход]]+Таблица1[[#This Row],[Сумма Поддон]]</f>
        <v>21340192</v>
      </c>
      <c r="O375" s="194">
        <v>720000</v>
      </c>
      <c r="P375" s="194">
        <f>Таблица1[[#This Row],[Блок
 Куб]]*Таблица1[[#This Row],[Цена
 Продажа]]</f>
        <v>23639040</v>
      </c>
      <c r="Q375" s="194" t="s">
        <v>240</v>
      </c>
      <c r="R375" s="194">
        <f>Таблица1[[#This Row],[Сумма 
Продажа]]-Таблица1[[#This Row],[Сумма 
Приход]]-Таблица1[[#This Row],[Авто услу ]]</f>
        <v>1968848</v>
      </c>
      <c r="S375" s="194">
        <v>2800000</v>
      </c>
      <c r="T375" s="194">
        <f>Таблица1[[#This Row],[Сумма 
Продажа]]-IF(Таблица1[[#This Row],[Расход 
Авто]]="Клиент",N(Таблица1[[#This Row],[Авто услу ]]),0)</f>
        <v>20839040</v>
      </c>
      <c r="U37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75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5" s="287" t="str">
        <f>IFERROR(INDEX(Мижозлар[Агент],MATCH($D375,Мижозлар[Расмий ном],0)),"")</f>
        <v>Шохрух ога</v>
      </c>
    </row>
    <row r="376" spans="1:23" ht="14.25" x14ac:dyDescent="0.2">
      <c r="A376" s="28" t="s">
        <v>44</v>
      </c>
      <c r="B376" s="191" t="s">
        <v>26</v>
      </c>
      <c r="C376" s="192" t="s">
        <v>40</v>
      </c>
      <c r="D376" s="192" t="s">
        <v>87</v>
      </c>
      <c r="E376" s="193">
        <v>46263</v>
      </c>
      <c r="F376" s="191" t="s">
        <v>354</v>
      </c>
      <c r="G376" s="194" t="s">
        <v>355</v>
      </c>
      <c r="H376" s="195">
        <v>32.832000000000001</v>
      </c>
      <c r="I376" s="194">
        <v>574750</v>
      </c>
      <c r="J376" s="194">
        <f>Таблица1[[#This Row],[Блок
 Куб]]*Таблица1[[#This Row],[Цена 
Приход]]</f>
        <v>18870192</v>
      </c>
      <c r="K376" s="194">
        <v>19</v>
      </c>
      <c r="L376" s="194">
        <v>130000</v>
      </c>
      <c r="M376" s="194">
        <f>Таблица1[[#This Row],[Поддон
Шт]]*Таблица1[[#This Row],[Цена
Поддон]]</f>
        <v>2470000</v>
      </c>
      <c r="N376" s="194">
        <f>Таблица1[[#This Row],[Сумма 
Приход]]+Таблица1[[#This Row],[Сумма Поддон]]</f>
        <v>21340192</v>
      </c>
      <c r="O376" s="194">
        <v>720000</v>
      </c>
      <c r="P376" s="194">
        <f>Таблица1[[#This Row],[Блок
 Куб]]*Таблица1[[#This Row],[Цена
 Продажа]]</f>
        <v>23639040</v>
      </c>
      <c r="Q376" s="194" t="s">
        <v>240</v>
      </c>
      <c r="R376" s="194">
        <f>Таблица1[[#This Row],[Сумма 
Продажа]]-Таблица1[[#This Row],[Сумма 
Приход]]-Таблица1[[#This Row],[Авто услу ]]</f>
        <v>1968848</v>
      </c>
      <c r="S376" s="194">
        <v>2800000</v>
      </c>
      <c r="T376" s="194">
        <f>Таблица1[[#This Row],[Сумма 
Продажа]]-IF(Таблица1[[#This Row],[Расход 
Авто]]="Клиент",N(Таблица1[[#This Row],[Авто услу ]]),0)</f>
        <v>20839040</v>
      </c>
      <c r="U37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7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6" s="287" t="str">
        <f>IFERROR(INDEX(Мижозлар[Агент],MATCH($D376,Мижозлар[Расмий ном],0)),"")</f>
        <v>Шохрух ога</v>
      </c>
    </row>
    <row r="377" spans="1:23" ht="14.25" x14ac:dyDescent="0.2">
      <c r="A377" s="28" t="s">
        <v>44</v>
      </c>
      <c r="B377" s="191" t="s">
        <v>26</v>
      </c>
      <c r="C377" s="192" t="s">
        <v>36</v>
      </c>
      <c r="D377" s="192" t="s">
        <v>82</v>
      </c>
      <c r="E377" s="193">
        <v>46263</v>
      </c>
      <c r="F377" s="191" t="s">
        <v>707</v>
      </c>
      <c r="G377" s="194" t="s">
        <v>355</v>
      </c>
      <c r="H377" s="195">
        <v>32.832000000000001</v>
      </c>
      <c r="I377" s="194">
        <v>574750</v>
      </c>
      <c r="J377" s="194">
        <f>Таблица1[[#This Row],[Блок
 Куб]]*Таблица1[[#This Row],[Цена 
Приход]]</f>
        <v>18870192</v>
      </c>
      <c r="K377" s="194">
        <v>19</v>
      </c>
      <c r="L377" s="194">
        <v>130000</v>
      </c>
      <c r="M377" s="194">
        <f>Таблица1[[#This Row],[Поддон
Шт]]*Таблица1[[#This Row],[Цена
Поддон]]</f>
        <v>2470000</v>
      </c>
      <c r="N377" s="194">
        <f>Таблица1[[#This Row],[Сумма 
Приход]]+Таблица1[[#This Row],[Сумма Поддон]]</f>
        <v>21340192</v>
      </c>
      <c r="O377" s="194">
        <v>720000</v>
      </c>
      <c r="P377" s="194">
        <f>Таблица1[[#This Row],[Блок
 Куб]]*Таблица1[[#This Row],[Цена
 Продажа]]</f>
        <v>23639040</v>
      </c>
      <c r="Q377" s="194" t="s">
        <v>240</v>
      </c>
      <c r="R377" s="194">
        <f>Таблица1[[#This Row],[Сумма 
Продажа]]-Таблица1[[#This Row],[Сумма 
Приход]]-Таблица1[[#This Row],[Авто услу ]]</f>
        <v>1968848</v>
      </c>
      <c r="S377" s="194">
        <v>2800000</v>
      </c>
      <c r="T377" s="194">
        <f>Таблица1[[#This Row],[Сумма 
Продажа]]-IF(Таблица1[[#This Row],[Расход 
Авто]]="Клиент",N(Таблица1[[#This Row],[Авто услу ]]),0)</f>
        <v>20839040</v>
      </c>
      <c r="U37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77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7" s="287" t="str">
        <f>IFERROR(INDEX(Мижозлар[Агент],MATCH($D377,Мижозлар[Расмий ном],0)),"")</f>
        <v>Темур</v>
      </c>
    </row>
    <row r="378" spans="1:23" ht="14.25" x14ac:dyDescent="0.2">
      <c r="A378" s="28" t="s">
        <v>44</v>
      </c>
      <c r="B378" s="191" t="s">
        <v>26</v>
      </c>
      <c r="C378" s="192" t="s">
        <v>36</v>
      </c>
      <c r="D378" s="192" t="s">
        <v>694</v>
      </c>
      <c r="E378" s="193">
        <v>46263</v>
      </c>
      <c r="F378" s="191" t="s">
        <v>708</v>
      </c>
      <c r="G378" s="194" t="s">
        <v>355</v>
      </c>
      <c r="H378" s="195">
        <v>32.832000000000001</v>
      </c>
      <c r="I378" s="194">
        <v>574750</v>
      </c>
      <c r="J378" s="194">
        <f>Таблица1[[#This Row],[Блок
 Куб]]*Таблица1[[#This Row],[Цена 
Приход]]</f>
        <v>18870192</v>
      </c>
      <c r="K378" s="194">
        <v>19</v>
      </c>
      <c r="L378" s="194">
        <v>130000</v>
      </c>
      <c r="M378" s="194">
        <f>Таблица1[[#This Row],[Поддон
Шт]]*Таблица1[[#This Row],[Цена
Поддон]]</f>
        <v>2470000</v>
      </c>
      <c r="N378" s="194">
        <f>Таблица1[[#This Row],[Сумма 
Приход]]+Таблица1[[#This Row],[Сумма Поддон]]</f>
        <v>21340192</v>
      </c>
      <c r="O378" s="194">
        <v>720000</v>
      </c>
      <c r="P378" s="194">
        <f>Таблица1[[#This Row],[Блок
 Куб]]*Таблица1[[#This Row],[Цена
 Продажа]]</f>
        <v>23639040</v>
      </c>
      <c r="Q378" s="194" t="s">
        <v>240</v>
      </c>
      <c r="R378" s="194">
        <f>Таблица1[[#This Row],[Сумма 
Продажа]]-Таблица1[[#This Row],[Сумма 
Приход]]-Таблица1[[#This Row],[Авто услу ]]</f>
        <v>2368848</v>
      </c>
      <c r="S378" s="194">
        <v>2400000</v>
      </c>
      <c r="T378" s="194">
        <f>Таблица1[[#This Row],[Сумма 
Продажа]]-IF(Таблица1[[#This Row],[Расход 
Авто]]="Клиент",N(Таблица1[[#This Row],[Авто услу ]]),0)</f>
        <v>21239040</v>
      </c>
      <c r="U37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78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8" s="287" t="str">
        <f>IFERROR(INDEX(Мижозлар[Агент],MATCH($D378,Мижозлар[Расмий ном],0)),"")</f>
        <v>Темур</v>
      </c>
    </row>
    <row r="379" spans="1:23" x14ac:dyDescent="0.2">
      <c r="A379" s="28" t="s">
        <v>44</v>
      </c>
      <c r="B379" s="191" t="s">
        <v>26</v>
      </c>
      <c r="C379" s="192" t="s">
        <v>36</v>
      </c>
      <c r="D379" s="192" t="s">
        <v>82</v>
      </c>
      <c r="E379" s="193">
        <v>46263</v>
      </c>
      <c r="F379" s="191" t="s">
        <v>547</v>
      </c>
      <c r="G379" s="194" t="s">
        <v>355</v>
      </c>
      <c r="H379" s="195">
        <v>32.832000000000001</v>
      </c>
      <c r="I379" s="194">
        <v>574750</v>
      </c>
      <c r="J379" s="194">
        <f>Таблица1[[#This Row],[Блок
 Куб]]*Таблица1[[#This Row],[Цена 
Приход]]</f>
        <v>18870192</v>
      </c>
      <c r="K379" s="194">
        <v>19</v>
      </c>
      <c r="L379" s="194">
        <v>130000</v>
      </c>
      <c r="M379" s="194">
        <f>Таблица1[[#This Row],[Поддон
Шт]]*Таблица1[[#This Row],[Цена
Поддон]]</f>
        <v>2470000</v>
      </c>
      <c r="N379" s="194">
        <f>Таблица1[[#This Row],[Сумма 
Приход]]+Таблица1[[#This Row],[Сумма Поддон]]</f>
        <v>21340192</v>
      </c>
      <c r="O379" s="194">
        <v>720000</v>
      </c>
      <c r="P379" s="194">
        <f>Таблица1[[#This Row],[Блок
 Куб]]*Таблица1[[#This Row],[Цена
 Продажа]]</f>
        <v>23639040</v>
      </c>
      <c r="Q379" s="194" t="s">
        <v>240</v>
      </c>
      <c r="R379" s="194">
        <f>Таблица1[[#This Row],[Сумма 
Продажа]]-Таблица1[[#This Row],[Сумма 
Приход]]-Таблица1[[#This Row],[Авто услу ]]</f>
        <v>1968848</v>
      </c>
      <c r="S379" s="194">
        <v>2800000</v>
      </c>
      <c r="T379" s="321">
        <f>Таблица1[[#This Row],[Сумма 
Продажа]]-IF(Таблица1[[#This Row],[Расход 
Авто]]="Клиент",N(Таблица1[[#This Row],[Авто услу ]]),0)</f>
        <v>20839040</v>
      </c>
      <c r="U379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79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79" s="287" t="str">
        <f>IFERROR(INDEX(Мижозлар[Агент],MATCH($D379,Мижозлар[Расмий ном],0)),"")</f>
        <v>Темур</v>
      </c>
    </row>
    <row r="380" spans="1:23" ht="14.25" x14ac:dyDescent="0.2">
      <c r="A380" s="28" t="s">
        <v>44</v>
      </c>
      <c r="B380" s="191" t="s">
        <v>26</v>
      </c>
      <c r="C380" s="192" t="s">
        <v>29</v>
      </c>
      <c r="D380" s="192" t="s">
        <v>95</v>
      </c>
      <c r="E380" s="193">
        <v>46263</v>
      </c>
      <c r="F380" s="191" t="s">
        <v>371</v>
      </c>
      <c r="G380" s="194" t="s">
        <v>355</v>
      </c>
      <c r="H380" s="195">
        <v>32.832000000000001</v>
      </c>
      <c r="I380" s="194">
        <v>574750</v>
      </c>
      <c r="J380" s="194">
        <f>Таблица1[[#This Row],[Блок
 Куб]]*Таблица1[[#This Row],[Цена 
Приход]]</f>
        <v>18870192</v>
      </c>
      <c r="K380" s="194">
        <v>19</v>
      </c>
      <c r="L380" s="194">
        <v>130000</v>
      </c>
      <c r="M380" s="194">
        <f>Таблица1[[#This Row],[Поддон
Шт]]*Таблица1[[#This Row],[Цена
Поддон]]</f>
        <v>2470000</v>
      </c>
      <c r="N380" s="194">
        <f>Таблица1[[#This Row],[Сумма 
Приход]]+Таблица1[[#This Row],[Сумма Поддон]]</f>
        <v>21340192</v>
      </c>
      <c r="O380" s="194">
        <v>720000</v>
      </c>
      <c r="P380" s="194">
        <f>Таблица1[[#This Row],[Блок
 Куб]]*Таблица1[[#This Row],[Цена
 Продажа]]</f>
        <v>23639040</v>
      </c>
      <c r="Q380" s="194" t="s">
        <v>240</v>
      </c>
      <c r="R380" s="194">
        <f>Таблица1[[#This Row],[Сумма 
Продажа]]-Таблица1[[#This Row],[Сумма 
Приход]]-Таблица1[[#This Row],[Авто услу ]]</f>
        <v>1968848</v>
      </c>
      <c r="S380" s="194">
        <v>2800000</v>
      </c>
      <c r="T380" s="194">
        <f>Таблица1[[#This Row],[Сумма 
Продажа]]-IF(Таблица1[[#This Row],[Расход 
Авто]]="Клиент",N(Таблица1[[#This Row],[Авто услу ]]),0)</f>
        <v>20839040</v>
      </c>
      <c r="U380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0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0" s="287" t="str">
        <f>IFERROR(INDEX(Мижозлар[Агент],MATCH($D380,Мижозлар[Расмий ном],0)),"")</f>
        <v>Зафар ога</v>
      </c>
    </row>
    <row r="381" spans="1:23" ht="14.25" x14ac:dyDescent="0.2">
      <c r="A381" s="28" t="s">
        <v>44</v>
      </c>
      <c r="B381" s="191" t="s">
        <v>26</v>
      </c>
      <c r="C381" s="192" t="s">
        <v>40</v>
      </c>
      <c r="D381" s="192" t="s">
        <v>19</v>
      </c>
      <c r="E381" s="193">
        <v>46263</v>
      </c>
      <c r="F381" s="191" t="s">
        <v>709</v>
      </c>
      <c r="G381" s="194" t="s">
        <v>355</v>
      </c>
      <c r="H381" s="195">
        <v>32.832000000000001</v>
      </c>
      <c r="I381" s="194">
        <v>574750</v>
      </c>
      <c r="J381" s="194">
        <f>Таблица1[[#This Row],[Блок
 Куб]]*Таблица1[[#This Row],[Цена 
Приход]]</f>
        <v>18870192</v>
      </c>
      <c r="K381" s="194">
        <v>19</v>
      </c>
      <c r="L381" s="194">
        <v>130000</v>
      </c>
      <c r="M381" s="194">
        <f>Таблица1[[#This Row],[Поддон
Шт]]*Таблица1[[#This Row],[Цена
Поддон]]</f>
        <v>2470000</v>
      </c>
      <c r="N381" s="194">
        <f>Таблица1[[#This Row],[Сумма 
Приход]]+Таблица1[[#This Row],[Сумма Поддон]]</f>
        <v>21340192</v>
      </c>
      <c r="O381" s="194">
        <v>720000</v>
      </c>
      <c r="P381" s="194">
        <f>Таблица1[[#This Row],[Блок
 Куб]]*Таблица1[[#This Row],[Цена
 Продажа]]</f>
        <v>23639040</v>
      </c>
      <c r="Q381" s="194" t="s">
        <v>356</v>
      </c>
      <c r="R381" s="194">
        <f>Таблица1[[#This Row],[Сумма 
Продажа]]-Таблица1[[#This Row],[Сумма 
Приход]]-Таблица1[[#This Row],[Авто услу ]]</f>
        <v>1968848</v>
      </c>
      <c r="S381" s="194">
        <v>2800000</v>
      </c>
      <c r="T381" s="194">
        <f>Таблица1[[#This Row],[Сумма 
Продажа]]-IF(Таблица1[[#This Row],[Расход 
Авто]]="Клиент",N(Таблица1[[#This Row],[Авто услу ]]),0)</f>
        <v>23639040</v>
      </c>
      <c r="U38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81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1" s="287" t="str">
        <f>IFERROR(INDEX(Мижозлар[Агент],MATCH($D381,Мижозлар[Расмий ном],0)),"")</f>
        <v>Шохрух ога</v>
      </c>
    </row>
    <row r="382" spans="1:23" ht="14.25" x14ac:dyDescent="0.2">
      <c r="A382" s="28" t="s">
        <v>44</v>
      </c>
      <c r="B382" s="191" t="s">
        <v>26</v>
      </c>
      <c r="C382" s="192" t="s">
        <v>29</v>
      </c>
      <c r="D382" s="192" t="s">
        <v>691</v>
      </c>
      <c r="E382" s="193">
        <v>46263</v>
      </c>
      <c r="F382" s="191" t="s">
        <v>710</v>
      </c>
      <c r="G382" s="194" t="s">
        <v>368</v>
      </c>
      <c r="H382" s="195">
        <v>5.1840000000000002</v>
      </c>
      <c r="I382" s="194">
        <v>574750</v>
      </c>
      <c r="J382" s="194">
        <f>Таблица1[[#This Row],[Блок
 Куб]]*Таблица1[[#This Row],[Цена 
Приход]]</f>
        <v>2979504</v>
      </c>
      <c r="K382" s="194">
        <v>3</v>
      </c>
      <c r="L382" s="194">
        <v>130000</v>
      </c>
      <c r="M382" s="194">
        <f>Таблица1[[#This Row],[Поддон
Шт]]*Таблица1[[#This Row],[Цена
Поддон]]</f>
        <v>390000</v>
      </c>
      <c r="N382" s="194">
        <f>Таблица1[[#This Row],[Сумма 
Приход]]+Таблица1[[#This Row],[Сумма Поддон]]</f>
        <v>3369504</v>
      </c>
      <c r="O382" s="194">
        <v>720000</v>
      </c>
      <c r="P382" s="194">
        <f>Таблица1[[#This Row],[Блок
 Куб]]*Таблица1[[#This Row],[Цена
 Продажа]]</f>
        <v>3732480</v>
      </c>
      <c r="Q382" s="194" t="s">
        <v>240</v>
      </c>
      <c r="R382" s="194">
        <f>Таблица1[[#This Row],[Сумма 
Продажа]]-Таблица1[[#This Row],[Сумма 
Приход]]-Таблица1[[#This Row],[Авто услу ]]</f>
        <v>310870.73684210528</v>
      </c>
      <c r="S382" s="194">
        <f>2800000/19*Таблица1[[#This Row],[Поддон
Шт]]</f>
        <v>442105.26315789472</v>
      </c>
      <c r="T382" s="194">
        <f>Таблица1[[#This Row],[Сумма 
Продажа]]-IF(Таблица1[[#This Row],[Расход 
Авто]]="Клиент",N(Таблица1[[#This Row],[Авто услу ]]),0)</f>
        <v>3290374.7368421052</v>
      </c>
      <c r="U38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2" s="287" t="str">
        <f>IFERROR(INDEX(Мижозлар[Агент],MATCH($D382,Мижозлар[Расмий ном],0)),"")</f>
        <v>Зафар ога</v>
      </c>
    </row>
    <row r="383" spans="1:23" ht="14.25" x14ac:dyDescent="0.2">
      <c r="A383" s="28" t="s">
        <v>44</v>
      </c>
      <c r="B383" s="191" t="s">
        <v>26</v>
      </c>
      <c r="C383" s="192" t="s">
        <v>29</v>
      </c>
      <c r="D383" s="192" t="s">
        <v>691</v>
      </c>
      <c r="E383" s="193">
        <v>46263</v>
      </c>
      <c r="F383" s="191" t="s">
        <v>710</v>
      </c>
      <c r="G383" s="194" t="s">
        <v>355</v>
      </c>
      <c r="H383" s="195">
        <v>27.648</v>
      </c>
      <c r="I383" s="194">
        <v>574750</v>
      </c>
      <c r="J383" s="194">
        <f>Таблица1[[#This Row],[Блок
 Куб]]*Таблица1[[#This Row],[Цена 
Приход]]</f>
        <v>15890688</v>
      </c>
      <c r="K383" s="194">
        <v>16</v>
      </c>
      <c r="L383" s="194">
        <v>130000</v>
      </c>
      <c r="M383" s="194">
        <f>Таблица1[[#This Row],[Поддон
Шт]]*Таблица1[[#This Row],[Цена
Поддон]]</f>
        <v>2080000</v>
      </c>
      <c r="N383" s="194">
        <f>Таблица1[[#This Row],[Сумма 
Приход]]+Таблица1[[#This Row],[Сумма Поддон]]</f>
        <v>17970688</v>
      </c>
      <c r="O383" s="194">
        <v>720000</v>
      </c>
      <c r="P383" s="194">
        <f>Таблица1[[#This Row],[Блок
 Куб]]*Таблица1[[#This Row],[Цена
 Продажа]]</f>
        <v>19906560</v>
      </c>
      <c r="Q383" s="194" t="s">
        <v>240</v>
      </c>
      <c r="R383" s="194">
        <f>Таблица1[[#This Row],[Сумма 
Продажа]]-Таблица1[[#This Row],[Сумма 
Приход]]-Таблица1[[#This Row],[Авто услу ]]</f>
        <v>1657977.2631578948</v>
      </c>
      <c r="S383" s="194">
        <f>2800000/19*Таблица1[[#This Row],[Поддон
Шт]]</f>
        <v>2357894.7368421052</v>
      </c>
      <c r="T383" s="194">
        <f>Таблица1[[#This Row],[Сумма 
Продажа]]-IF(Таблица1[[#This Row],[Расход 
Авто]]="Клиент",N(Таблица1[[#This Row],[Авто услу ]]),0)</f>
        <v>17548665.263157897</v>
      </c>
      <c r="U38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3" s="287" t="str">
        <f>IFERROR(INDEX(Мижозлар[Агент],MATCH($D383,Мижозлар[Расмий ном],0)),"")</f>
        <v>Зафар ога</v>
      </c>
    </row>
    <row r="384" spans="1:23" ht="14.25" x14ac:dyDescent="0.2">
      <c r="A384" s="28" t="s">
        <v>44</v>
      </c>
      <c r="B384" s="191" t="s">
        <v>26</v>
      </c>
      <c r="C384" s="192" t="s">
        <v>29</v>
      </c>
      <c r="D384" s="192" t="s">
        <v>67</v>
      </c>
      <c r="E384" s="193">
        <v>46263</v>
      </c>
      <c r="F384" s="191" t="s">
        <v>711</v>
      </c>
      <c r="G384" s="194" t="s">
        <v>355</v>
      </c>
      <c r="H384" s="195">
        <v>32.832000000000001</v>
      </c>
      <c r="I384" s="194">
        <v>574750</v>
      </c>
      <c r="J384" s="194">
        <f>Таблица1[[#This Row],[Блок
 Куб]]*Таблица1[[#This Row],[Цена 
Приход]]</f>
        <v>18870192</v>
      </c>
      <c r="K384" s="194">
        <v>19</v>
      </c>
      <c r="L384" s="194">
        <v>130000</v>
      </c>
      <c r="M384" s="194">
        <f>Таблица1[[#This Row],[Поддон
Шт]]*Таблица1[[#This Row],[Цена
Поддон]]</f>
        <v>2470000</v>
      </c>
      <c r="N384" s="194">
        <f>Таблица1[[#This Row],[Сумма 
Приход]]+Таблица1[[#This Row],[Сумма Поддон]]</f>
        <v>21340192</v>
      </c>
      <c r="O384" s="194">
        <v>720000</v>
      </c>
      <c r="P384" s="194">
        <f>Таблица1[[#This Row],[Блок
 Куб]]*Таблица1[[#This Row],[Цена
 Продажа]]</f>
        <v>23639040</v>
      </c>
      <c r="Q384" s="194" t="s">
        <v>240</v>
      </c>
      <c r="R384" s="194">
        <f>Таблица1[[#This Row],[Сумма 
Продажа]]-Таблица1[[#This Row],[Сумма 
Приход]]-Таблица1[[#This Row],[Авто услу ]]</f>
        <v>1968848</v>
      </c>
      <c r="S384" s="194">
        <f>2800000/19*Таблица1[[#This Row],[Поддон
Шт]]</f>
        <v>2800000</v>
      </c>
      <c r="T384" s="194">
        <f>Таблица1[[#This Row],[Сумма 
Продажа]]-IF(Таблица1[[#This Row],[Расход 
Авто]]="Клиент",N(Таблица1[[#This Row],[Авто услу ]]),0)</f>
        <v>20839040</v>
      </c>
      <c r="U38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4" s="287" t="str">
        <f>IFERROR(INDEX(Мижозлар[Агент],MATCH($D384,Мижозлар[Расмий ном],0)),"")</f>
        <v>Зафар ога</v>
      </c>
    </row>
    <row r="385" spans="1:23" ht="14.25" x14ac:dyDescent="0.2">
      <c r="A385" s="21" t="s">
        <v>44</v>
      </c>
      <c r="B385" s="135" t="s">
        <v>26</v>
      </c>
      <c r="C385" s="141" t="s">
        <v>29</v>
      </c>
      <c r="D385" s="141" t="s">
        <v>67</v>
      </c>
      <c r="E385" s="305">
        <v>46264</v>
      </c>
      <c r="F385" s="135" t="s">
        <v>540</v>
      </c>
      <c r="G385" s="306" t="s">
        <v>355</v>
      </c>
      <c r="H385" s="142">
        <v>32.832000000000001</v>
      </c>
      <c r="I385" s="306">
        <v>574750</v>
      </c>
      <c r="J385" s="34">
        <f>Таблица1[[#This Row],[Блок
 Куб]]*Таблица1[[#This Row],[Цена 
Приход]]</f>
        <v>18870192</v>
      </c>
      <c r="K385" s="34">
        <v>19</v>
      </c>
      <c r="L385" s="34">
        <v>130000</v>
      </c>
      <c r="M385" s="34">
        <f>Таблица1[[#This Row],[Поддон
Шт]]*Таблица1[[#This Row],[Цена
Поддон]]</f>
        <v>2470000</v>
      </c>
      <c r="N385" s="34">
        <f>Таблица1[[#This Row],[Сумма 
Приход]]+Таблица1[[#This Row],[Сумма Поддон]]</f>
        <v>21340192</v>
      </c>
      <c r="O385" s="34">
        <v>720000</v>
      </c>
      <c r="P385" s="34">
        <f>Таблица1[[#This Row],[Блок
 Куб]]*Таблица1[[#This Row],[Цена
 Продажа]]</f>
        <v>23639040</v>
      </c>
      <c r="Q385" s="34" t="s">
        <v>240</v>
      </c>
      <c r="R385" s="34">
        <f>Таблица1[[#This Row],[Сумма 
Продажа]]-Таблица1[[#This Row],[Сумма 
Приход]]-Таблица1[[#This Row],[Авто услу ]]</f>
        <v>1968848</v>
      </c>
      <c r="S385" s="34">
        <v>2800000</v>
      </c>
      <c r="T385" s="34">
        <f>Таблица1[[#This Row],[Сумма 
Продажа]]-IF(Таблица1[[#This Row],[Расход 
Авто]]="Клиент",N(Таблица1[[#This Row],[Авто услу ]]),0)</f>
        <v>20839040</v>
      </c>
      <c r="U3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5" s="265" t="str">
        <f>IFERROR(INDEX(Мижозлар[Агент],MATCH($D385,Мижозлар[Расмий ном],0)),"")</f>
        <v>Зафар ога</v>
      </c>
    </row>
    <row r="386" spans="1:23" ht="14.25" x14ac:dyDescent="0.2">
      <c r="A386" s="21" t="s">
        <v>44</v>
      </c>
      <c r="B386" s="135" t="s">
        <v>26</v>
      </c>
      <c r="C386" s="141" t="s">
        <v>29</v>
      </c>
      <c r="D386" s="141" t="s">
        <v>67</v>
      </c>
      <c r="E386" s="305">
        <v>46264</v>
      </c>
      <c r="F386" s="135" t="s">
        <v>713</v>
      </c>
      <c r="G386" s="306" t="s">
        <v>355</v>
      </c>
      <c r="H386" s="142">
        <v>32.832000000000001</v>
      </c>
      <c r="I386" s="306">
        <v>574750</v>
      </c>
      <c r="J386" s="34">
        <f>Таблица1[[#This Row],[Блок
 Куб]]*Таблица1[[#This Row],[Цена 
Приход]]</f>
        <v>18870192</v>
      </c>
      <c r="K386" s="34">
        <v>19</v>
      </c>
      <c r="L386" s="34">
        <v>130000</v>
      </c>
      <c r="M386" s="34">
        <f>Таблица1[[#This Row],[Поддон
Шт]]*Таблица1[[#This Row],[Цена
Поддон]]</f>
        <v>2470000</v>
      </c>
      <c r="N386" s="34">
        <f>Таблица1[[#This Row],[Сумма 
Приход]]+Таблица1[[#This Row],[Сумма Поддон]]</f>
        <v>21340192</v>
      </c>
      <c r="O386" s="34">
        <v>720000</v>
      </c>
      <c r="P386" s="34">
        <f>Таблица1[[#This Row],[Блок
 Куб]]*Таблица1[[#This Row],[Цена
 Продажа]]</f>
        <v>23639040</v>
      </c>
      <c r="Q386" s="34" t="s">
        <v>240</v>
      </c>
      <c r="R386" s="34">
        <f>Таблица1[[#This Row],[Сумма 
Продажа]]-Таблица1[[#This Row],[Сумма 
Приход]]-Таблица1[[#This Row],[Авто услу ]]</f>
        <v>1968848</v>
      </c>
      <c r="S386" s="34">
        <v>2800000</v>
      </c>
      <c r="T386" s="34">
        <f>Таблица1[[#This Row],[Сумма 
Продажа]]-IF(Таблица1[[#This Row],[Расход 
Авто]]="Клиент",N(Таблица1[[#This Row],[Авто услу ]]),0)</f>
        <v>20839040</v>
      </c>
      <c r="U3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6" s="265" t="str">
        <f>IFERROR(INDEX(Мижозлар[Агент],MATCH($D386,Мижозлар[Расмий ном],0)),"")</f>
        <v>Зафар ога</v>
      </c>
    </row>
    <row r="387" spans="1:23" ht="14.25" x14ac:dyDescent="0.2">
      <c r="A387" s="21" t="s">
        <v>44</v>
      </c>
      <c r="B387" s="135" t="s">
        <v>26</v>
      </c>
      <c r="C387" s="141" t="s">
        <v>40</v>
      </c>
      <c r="D387" s="141" t="s">
        <v>715</v>
      </c>
      <c r="E387" s="305">
        <v>46264</v>
      </c>
      <c r="F387" s="135" t="s">
        <v>686</v>
      </c>
      <c r="G387" s="306" t="s">
        <v>355</v>
      </c>
      <c r="H387" s="142">
        <v>32.832000000000001</v>
      </c>
      <c r="I387" s="306">
        <v>574750</v>
      </c>
      <c r="J387" s="34">
        <f>Таблица1[[#This Row],[Блок
 Куб]]*Таблица1[[#This Row],[Цена 
Приход]]</f>
        <v>18870192</v>
      </c>
      <c r="K387" s="34">
        <v>19</v>
      </c>
      <c r="L387" s="34">
        <v>130000</v>
      </c>
      <c r="M387" s="34">
        <f>Таблица1[[#This Row],[Поддон
Шт]]*Таблица1[[#This Row],[Цена
Поддон]]</f>
        <v>2470000</v>
      </c>
      <c r="N387" s="34">
        <f>Таблица1[[#This Row],[Сумма 
Приход]]+Таблица1[[#This Row],[Сумма Поддон]]</f>
        <v>21340192</v>
      </c>
      <c r="O387" s="34">
        <v>720000</v>
      </c>
      <c r="P387" s="34">
        <f>Таблица1[[#This Row],[Блок
 Куб]]*Таблица1[[#This Row],[Цена
 Продажа]]</f>
        <v>23639040</v>
      </c>
      <c r="Q387" s="34" t="s">
        <v>240</v>
      </c>
      <c r="R387" s="34">
        <f>Таблица1[[#This Row],[Сумма 
Продажа]]-Таблица1[[#This Row],[Сумма 
Приход]]-Таблица1[[#This Row],[Авто услу ]]</f>
        <v>1968848</v>
      </c>
      <c r="S387" s="34">
        <v>2800000</v>
      </c>
      <c r="T387" s="34">
        <f>Таблица1[[#This Row],[Сумма 
Продажа]]-IF(Таблица1[[#This Row],[Расход 
Авто]]="Клиент",N(Таблица1[[#This Row],[Авто услу ]]),0)</f>
        <v>20839040</v>
      </c>
      <c r="U3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7" s="265" t="str">
        <f>IFERROR(INDEX(Мижозлар[Агент],MATCH($D387,Мижозлар[Расмий ном],0)),"")</f>
        <v>Шохрух ога</v>
      </c>
    </row>
    <row r="388" spans="1:23" ht="14.25" x14ac:dyDescent="0.2">
      <c r="A388" s="21" t="s">
        <v>44</v>
      </c>
      <c r="B388" s="135" t="s">
        <v>26</v>
      </c>
      <c r="C388" s="141" t="s">
        <v>40</v>
      </c>
      <c r="D388" s="141" t="s">
        <v>715</v>
      </c>
      <c r="E388" s="305">
        <v>46264</v>
      </c>
      <c r="F388" s="135" t="s">
        <v>687</v>
      </c>
      <c r="G388" s="306" t="s">
        <v>355</v>
      </c>
      <c r="H388" s="142">
        <v>32.832000000000001</v>
      </c>
      <c r="I388" s="306">
        <v>574750</v>
      </c>
      <c r="J388" s="34">
        <f>Таблица1[[#This Row],[Блок
 Куб]]*Таблица1[[#This Row],[Цена 
Приход]]</f>
        <v>18870192</v>
      </c>
      <c r="K388" s="34">
        <v>19</v>
      </c>
      <c r="L388" s="34">
        <v>130000</v>
      </c>
      <c r="M388" s="34">
        <f>Таблица1[[#This Row],[Поддон
Шт]]*Таблица1[[#This Row],[Цена
Поддон]]</f>
        <v>2470000</v>
      </c>
      <c r="N388" s="34">
        <f>Таблица1[[#This Row],[Сумма 
Приход]]+Таблица1[[#This Row],[Сумма Поддон]]</f>
        <v>21340192</v>
      </c>
      <c r="O388" s="34">
        <v>720000</v>
      </c>
      <c r="P388" s="34">
        <f>Таблица1[[#This Row],[Блок
 Куб]]*Таблица1[[#This Row],[Цена
 Продажа]]</f>
        <v>23639040</v>
      </c>
      <c r="Q388" s="34" t="s">
        <v>240</v>
      </c>
      <c r="R388" s="34">
        <f>Таблица1[[#This Row],[Сумма 
Продажа]]-Таблица1[[#This Row],[Сумма 
Приход]]-Таблица1[[#This Row],[Авто услу ]]</f>
        <v>1968848</v>
      </c>
      <c r="S388" s="34">
        <v>2800000</v>
      </c>
      <c r="T388" s="34">
        <f>Таблица1[[#This Row],[Сумма 
Продажа]]-IF(Таблица1[[#This Row],[Расход 
Авто]]="Клиент",N(Таблица1[[#This Row],[Авто услу ]]),0)</f>
        <v>20839040</v>
      </c>
      <c r="U3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8" s="265" t="str">
        <f>IFERROR(INDEX(Мижозлар[Агент],MATCH($D388,Мижозлар[Расмий ном],0)),"")</f>
        <v>Шохрух ога</v>
      </c>
    </row>
    <row r="389" spans="1:23" ht="14.25" x14ac:dyDescent="0.2">
      <c r="A389" s="21" t="s">
        <v>44</v>
      </c>
      <c r="B389" s="135" t="s">
        <v>26</v>
      </c>
      <c r="C389" s="141" t="s">
        <v>25</v>
      </c>
      <c r="D389" s="141" t="s">
        <v>53</v>
      </c>
      <c r="E389" s="305">
        <v>46264</v>
      </c>
      <c r="F389" s="135" t="s">
        <v>432</v>
      </c>
      <c r="G389" s="306" t="s">
        <v>355</v>
      </c>
      <c r="H389" s="142">
        <v>32.832000000000001</v>
      </c>
      <c r="I389" s="306">
        <v>574750</v>
      </c>
      <c r="J389" s="34">
        <f>Таблица1[[#This Row],[Блок
 Куб]]*Таблица1[[#This Row],[Цена 
Приход]]</f>
        <v>18870192</v>
      </c>
      <c r="K389" s="34">
        <v>19</v>
      </c>
      <c r="L389" s="34">
        <v>130000</v>
      </c>
      <c r="M389" s="34">
        <f>Таблица1[[#This Row],[Поддон
Шт]]*Таблица1[[#This Row],[Цена
Поддон]]</f>
        <v>2470000</v>
      </c>
      <c r="N389" s="34">
        <f>Таблица1[[#This Row],[Сумма 
Приход]]+Таблица1[[#This Row],[Сумма Поддон]]</f>
        <v>21340192</v>
      </c>
      <c r="O389" s="34">
        <v>720000</v>
      </c>
      <c r="P389" s="34">
        <f>Таблица1[[#This Row],[Блок
 Куб]]*Таблица1[[#This Row],[Цена
 Продажа]]</f>
        <v>23639040</v>
      </c>
      <c r="Q389" s="34" t="s">
        <v>356</v>
      </c>
      <c r="R389" s="34">
        <f>Таблица1[[#This Row],[Сумма 
Продажа]]-Таблица1[[#This Row],[Сумма 
Приход]]-Таблица1[[#This Row],[Авто услу ]]</f>
        <v>1968848</v>
      </c>
      <c r="S389" s="34">
        <v>2800000</v>
      </c>
      <c r="T389" s="34">
        <f>Таблица1[[#This Row],[Сумма 
Продажа]]-IF(Таблица1[[#This Row],[Расход 
Авто]]="Клиент",N(Таблица1[[#This Row],[Авто услу ]]),0)</f>
        <v>23639040</v>
      </c>
      <c r="U3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89" s="265" t="str">
        <f>IFERROR(INDEX(Мижозлар[Агент],MATCH($D389,Мижозлар[Расмий ном],0)),"")</f>
        <v>Жамол 22-22</v>
      </c>
    </row>
    <row r="390" spans="1:23" ht="14.25" x14ac:dyDescent="0.2">
      <c r="A390" s="21" t="s">
        <v>44</v>
      </c>
      <c r="B390" s="135" t="s">
        <v>26</v>
      </c>
      <c r="C390" s="141" t="s">
        <v>21</v>
      </c>
      <c r="D390" s="141" t="s">
        <v>116</v>
      </c>
      <c r="E390" s="305">
        <v>46264</v>
      </c>
      <c r="F390" s="135" t="s">
        <v>714</v>
      </c>
      <c r="G390" s="306" t="s">
        <v>355</v>
      </c>
      <c r="H390" s="142">
        <v>24.192</v>
      </c>
      <c r="I390" s="306">
        <v>574750</v>
      </c>
      <c r="J390" s="34">
        <f>Таблица1[[#This Row],[Блок
 Куб]]*Таблица1[[#This Row],[Цена 
Приход]]</f>
        <v>13904352</v>
      </c>
      <c r="K390" s="34">
        <v>14</v>
      </c>
      <c r="L390" s="34">
        <v>130000</v>
      </c>
      <c r="M390" s="34">
        <f>Таблица1[[#This Row],[Поддон
Шт]]*Таблица1[[#This Row],[Цена
Поддон]]</f>
        <v>1820000</v>
      </c>
      <c r="N390" s="34">
        <f>Таблица1[[#This Row],[Сумма 
Приход]]+Таблица1[[#This Row],[Сумма Поддон]]</f>
        <v>15724352</v>
      </c>
      <c r="O390" s="34">
        <v>720000</v>
      </c>
      <c r="P390" s="34">
        <f>Таблица1[[#This Row],[Блок
 Куб]]*Таблица1[[#This Row],[Цена
 Продажа]]</f>
        <v>17418240</v>
      </c>
      <c r="Q390" s="34" t="s">
        <v>240</v>
      </c>
      <c r="R390" s="34">
        <f>Таблица1[[#This Row],[Сумма 
Продажа]]-Таблица1[[#This Row],[Сумма 
Приход]]-Таблица1[[#This Row],[Авто услу ]]</f>
        <v>1450730.105263158</v>
      </c>
      <c r="S390" s="34">
        <v>2063157.894736842</v>
      </c>
      <c r="T390" s="34">
        <f>Таблица1[[#This Row],[Сумма 
Продажа]]-IF(Таблица1[[#This Row],[Расход 
Авто]]="Клиент",N(Таблица1[[#This Row],[Авто услу ]]),0)</f>
        <v>15355082.105263159</v>
      </c>
      <c r="U3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0" s="265" t="str">
        <f>IFERROR(INDEX(Мижозлар[Агент],MATCH($D390,Мижозлар[Расмий ном],0)),"")</f>
        <v>Арслон ога</v>
      </c>
    </row>
    <row r="391" spans="1:23" ht="14.25" x14ac:dyDescent="0.2">
      <c r="A391" s="21" t="s">
        <v>44</v>
      </c>
      <c r="B391" s="135" t="s">
        <v>26</v>
      </c>
      <c r="C391" s="141" t="s">
        <v>21</v>
      </c>
      <c r="D391" s="141" t="s">
        <v>116</v>
      </c>
      <c r="E391" s="305">
        <v>46264</v>
      </c>
      <c r="F391" s="135" t="s">
        <v>714</v>
      </c>
      <c r="G391" s="306" t="s">
        <v>395</v>
      </c>
      <c r="H391" s="142">
        <v>9</v>
      </c>
      <c r="I391" s="306">
        <v>574750</v>
      </c>
      <c r="J391" s="34">
        <f>Таблица1[[#This Row],[Блок
 Куб]]*Таблица1[[#This Row],[Цена 
Приход]]</f>
        <v>5172750</v>
      </c>
      <c r="K391" s="34">
        <v>5</v>
      </c>
      <c r="L391" s="34">
        <v>130000</v>
      </c>
      <c r="M391" s="34">
        <f>Таблица1[[#This Row],[Поддон
Шт]]*Таблица1[[#This Row],[Цена
Поддон]]</f>
        <v>650000</v>
      </c>
      <c r="N391" s="34">
        <f>Таблица1[[#This Row],[Сумма 
Приход]]+Таблица1[[#This Row],[Сумма Поддон]]</f>
        <v>5822750</v>
      </c>
      <c r="O391" s="34">
        <v>720000</v>
      </c>
      <c r="P391" s="34">
        <f>Таблица1[[#This Row],[Блок
 Куб]]*Таблица1[[#This Row],[Цена
 Продажа]]</f>
        <v>6480000</v>
      </c>
      <c r="Q391" s="34" t="s">
        <v>240</v>
      </c>
      <c r="R391" s="34">
        <f>Таблица1[[#This Row],[Сумма 
Продажа]]-Таблица1[[#This Row],[Сумма 
Приход]]-Таблица1[[#This Row],[Авто услу ]]</f>
        <v>570407.89473684214</v>
      </c>
      <c r="S391" s="34">
        <v>736842.10526315786</v>
      </c>
      <c r="T391" s="34">
        <f>Таблица1[[#This Row],[Сумма 
Продажа]]-IF(Таблица1[[#This Row],[Расход 
Авто]]="Клиент",N(Таблица1[[#This Row],[Авто услу ]]),0)</f>
        <v>5743157.8947368423</v>
      </c>
      <c r="U3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3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1" s="265" t="str">
        <f>IFERROR(INDEX(Мижозлар[Агент],MATCH($D391,Мижозлар[Расмий ном],0)),"")</f>
        <v>Арслон ога</v>
      </c>
    </row>
    <row r="392" spans="1:23" ht="14.25" x14ac:dyDescent="0.2">
      <c r="A392" s="21" t="s">
        <v>44</v>
      </c>
      <c r="B392" s="135" t="s">
        <v>26</v>
      </c>
      <c r="C392" s="141" t="s">
        <v>40</v>
      </c>
      <c r="D392" s="141" t="s">
        <v>717</v>
      </c>
      <c r="E392" s="305">
        <v>46264</v>
      </c>
      <c r="F392" s="135" t="s">
        <v>716</v>
      </c>
      <c r="G392" s="306" t="s">
        <v>355</v>
      </c>
      <c r="H392" s="142">
        <v>32.832000000000001</v>
      </c>
      <c r="I392" s="306">
        <v>574750</v>
      </c>
      <c r="J392" s="34">
        <f>Таблица1[[#This Row],[Блок
 Куб]]*Таблица1[[#This Row],[Цена 
Приход]]</f>
        <v>18870192</v>
      </c>
      <c r="K392" s="34">
        <v>19</v>
      </c>
      <c r="L392" s="34">
        <v>130000</v>
      </c>
      <c r="M392" s="34">
        <f>Таблица1[[#This Row],[Поддон
Шт]]*Таблица1[[#This Row],[Цена
Поддон]]</f>
        <v>2470000</v>
      </c>
      <c r="N392" s="34">
        <f>Таблица1[[#This Row],[Сумма 
Приход]]+Таблица1[[#This Row],[Сумма Поддон]]</f>
        <v>21340192</v>
      </c>
      <c r="O392" s="34">
        <v>720000</v>
      </c>
      <c r="P392" s="34">
        <f>Таблица1[[#This Row],[Блок
 Куб]]*Таблица1[[#This Row],[Цена
 Продажа]]</f>
        <v>23639040</v>
      </c>
      <c r="Q392" s="34" t="s">
        <v>240</v>
      </c>
      <c r="R392" s="34">
        <f>Таблица1[[#This Row],[Сумма 
Продажа]]-Таблица1[[#This Row],[Сумма 
Приход]]-Таблица1[[#This Row],[Авто услу ]]</f>
        <v>1968848</v>
      </c>
      <c r="S392" s="34">
        <v>2800000</v>
      </c>
      <c r="T392" s="34">
        <f>Таблица1[[#This Row],[Сумма 
Продажа]]-IF(Таблица1[[#This Row],[Расход 
Авто]]="Клиент",N(Таблица1[[#This Row],[Авто услу ]]),0)</f>
        <v>20839040</v>
      </c>
      <c r="U3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3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2" s="265" t="str">
        <f>IFERROR(INDEX(Мижозлар[Агент],MATCH($D392,Мижозлар[Расмий ном],0)),"")</f>
        <v>Шохрух ога</v>
      </c>
    </row>
    <row r="393" spans="1:23" ht="14.25" x14ac:dyDescent="0.2">
      <c r="A393" s="28" t="s">
        <v>44</v>
      </c>
      <c r="B393" s="191" t="s">
        <v>26</v>
      </c>
      <c r="C393" s="192" t="s">
        <v>29</v>
      </c>
      <c r="D393" s="192" t="s">
        <v>57</v>
      </c>
      <c r="E393" s="193">
        <v>46265</v>
      </c>
      <c r="F393" s="191" t="s">
        <v>540</v>
      </c>
      <c r="G393" s="194" t="s">
        <v>355</v>
      </c>
      <c r="H393" s="195">
        <v>32.832000000000001</v>
      </c>
      <c r="I393" s="194">
        <v>574750</v>
      </c>
      <c r="J393" s="194">
        <f>Таблица1[[#This Row],[Блок
 Куб]]*Таблица1[[#This Row],[Цена 
Приход]]</f>
        <v>18870192</v>
      </c>
      <c r="K393" s="194">
        <v>19</v>
      </c>
      <c r="L393" s="194">
        <v>130000</v>
      </c>
      <c r="M393" s="194">
        <f>Таблица1[[#This Row],[Поддон
Шт]]*Таблица1[[#This Row],[Цена
Поддон]]</f>
        <v>2470000</v>
      </c>
      <c r="N393" s="194">
        <f>Таблица1[[#This Row],[Сумма 
Приход]]+Таблица1[[#This Row],[Сумма Поддон]]</f>
        <v>21340192</v>
      </c>
      <c r="O393" s="194">
        <v>700000</v>
      </c>
      <c r="P393" s="194">
        <f>Таблица1[[#This Row],[Блок
 Куб]]*Таблица1[[#This Row],[Цена
 Продажа]]</f>
        <v>22982400</v>
      </c>
      <c r="Q393" s="194" t="s">
        <v>240</v>
      </c>
      <c r="R393" s="194">
        <f>Таблица1[[#This Row],[Сумма 
Продажа]]-Таблица1[[#This Row],[Сумма 
Приход]]-Таблица1[[#This Row],[Авто услу ]]</f>
        <v>1312208</v>
      </c>
      <c r="S393" s="194">
        <v>2800000</v>
      </c>
      <c r="T393" s="194">
        <f>Таблица1[[#This Row],[Сумма 
Продажа]]-IF(Таблица1[[#This Row],[Расход 
Авто]]="Клиент",N(Таблица1[[#This Row],[Авто услу ]]),0)</f>
        <v>20182400</v>
      </c>
      <c r="U39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39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3" s="287" t="str">
        <f>IFERROR(INDEX(Мижозлар[Агент],MATCH($D393,Мижозлар[Расмий ном],0)),"")</f>
        <v>Зафар ога</v>
      </c>
    </row>
    <row r="394" spans="1:23" ht="14.25" x14ac:dyDescent="0.2">
      <c r="A394" s="28" t="s">
        <v>44</v>
      </c>
      <c r="B394" s="191" t="s">
        <v>26</v>
      </c>
      <c r="C394" s="192" t="s">
        <v>25</v>
      </c>
      <c r="D394" s="192" t="s">
        <v>53</v>
      </c>
      <c r="E394" s="193">
        <v>46265</v>
      </c>
      <c r="F394" s="191" t="s">
        <v>432</v>
      </c>
      <c r="G394" s="194" t="s">
        <v>355</v>
      </c>
      <c r="H394" s="195">
        <v>32.832000000000001</v>
      </c>
      <c r="I394" s="194">
        <v>574750</v>
      </c>
      <c r="J394" s="194">
        <f>Таблица1[[#This Row],[Блок
 Куб]]*Таблица1[[#This Row],[Цена 
Приход]]</f>
        <v>18870192</v>
      </c>
      <c r="K394" s="194">
        <v>19</v>
      </c>
      <c r="L394" s="194">
        <v>130000</v>
      </c>
      <c r="M394" s="194">
        <f>Таблица1[[#This Row],[Поддон
Шт]]*Таблица1[[#This Row],[Цена
Поддон]]</f>
        <v>2470000</v>
      </c>
      <c r="N394" s="194">
        <f>Таблица1[[#This Row],[Сумма 
Приход]]+Таблица1[[#This Row],[Сумма Поддон]]</f>
        <v>21340192</v>
      </c>
      <c r="O394" s="194">
        <v>720000</v>
      </c>
      <c r="P394" s="194">
        <f>Таблица1[[#This Row],[Блок
 Куб]]*Таблица1[[#This Row],[Цена
 Продажа]]</f>
        <v>23639040</v>
      </c>
      <c r="Q394" s="194" t="s">
        <v>356</v>
      </c>
      <c r="R394" s="194">
        <f>Таблица1[[#This Row],[Сумма 
Продажа]]-Таблица1[[#This Row],[Сумма 
Приход]]-Таблица1[[#This Row],[Авто услу ]]</f>
        <v>1968848</v>
      </c>
      <c r="S394" s="194">
        <v>2800000</v>
      </c>
      <c r="T394" s="194">
        <f>Таблица1[[#This Row],[Сумма 
Продажа]]-IF(Таблица1[[#This Row],[Расход 
Авто]]="Клиент",N(Таблица1[[#This Row],[Авто услу ]]),0)</f>
        <v>23639040</v>
      </c>
      <c r="U39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Жамол 22-22</v>
      </c>
      <c r="V39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4" s="287" t="str">
        <f>IFERROR(INDEX(Мижозлар[Агент],MATCH($D394,Мижозлар[Расмий ном],0)),"")</f>
        <v>Жамол 22-22</v>
      </c>
    </row>
    <row r="395" spans="1:23" ht="14.25" x14ac:dyDescent="0.2">
      <c r="A395" s="28" t="s">
        <v>44</v>
      </c>
      <c r="B395" s="191" t="s">
        <v>26</v>
      </c>
      <c r="C395" s="192" t="s">
        <v>36</v>
      </c>
      <c r="D395" s="192" t="s">
        <v>74</v>
      </c>
      <c r="E395" s="193">
        <v>46265</v>
      </c>
      <c r="F395" s="191" t="s">
        <v>718</v>
      </c>
      <c r="G395" s="194" t="s">
        <v>355</v>
      </c>
      <c r="H395" s="195">
        <v>32.832000000000001</v>
      </c>
      <c r="I395" s="194">
        <v>574750</v>
      </c>
      <c r="J395" s="194">
        <f>Таблица1[[#This Row],[Блок
 Куб]]*Таблица1[[#This Row],[Цена 
Приход]]</f>
        <v>18870192</v>
      </c>
      <c r="K395" s="194">
        <v>19</v>
      </c>
      <c r="L395" s="194">
        <v>130000</v>
      </c>
      <c r="M395" s="194">
        <f>Таблица1[[#This Row],[Поддон
Шт]]*Таблица1[[#This Row],[Цена
Поддон]]</f>
        <v>2470000</v>
      </c>
      <c r="N395" s="194">
        <f>Таблица1[[#This Row],[Сумма 
Приход]]+Таблица1[[#This Row],[Сумма Поддон]]</f>
        <v>21340192</v>
      </c>
      <c r="O395" s="194">
        <v>720000</v>
      </c>
      <c r="P395" s="194">
        <f>Таблица1[[#This Row],[Блок
 Куб]]*Таблица1[[#This Row],[Цена
 Продажа]]</f>
        <v>23639040</v>
      </c>
      <c r="Q395" s="194" t="s">
        <v>240</v>
      </c>
      <c r="R395" s="194">
        <f>Таблица1[[#This Row],[Сумма 
Продажа]]-Таблица1[[#This Row],[Сумма 
Приход]]-Таблица1[[#This Row],[Авто услу ]]</f>
        <v>1968848</v>
      </c>
      <c r="S395" s="194">
        <v>2800000</v>
      </c>
      <c r="T395" s="194">
        <f>Таблица1[[#This Row],[Сумма 
Продажа]]-IF(Таблица1[[#This Row],[Расход 
Авто]]="Клиент",N(Таблица1[[#This Row],[Авто услу ]]),0)</f>
        <v>20839040</v>
      </c>
      <c r="U39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95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5" s="287" t="str">
        <f>IFERROR(INDEX(Мижозлар[Агент],MATCH($D395,Мижозлар[Расмий ном],0)),"")</f>
        <v>Темур</v>
      </c>
    </row>
    <row r="396" spans="1:23" ht="14.25" x14ac:dyDescent="0.2">
      <c r="A396" s="28" t="s">
        <v>44</v>
      </c>
      <c r="B396" s="191" t="s">
        <v>26</v>
      </c>
      <c r="C396" s="192" t="s">
        <v>36</v>
      </c>
      <c r="D396" s="192" t="s">
        <v>74</v>
      </c>
      <c r="E396" s="193">
        <v>46265</v>
      </c>
      <c r="F396" s="191" t="s">
        <v>709</v>
      </c>
      <c r="G396" s="194" t="s">
        <v>355</v>
      </c>
      <c r="H396" s="195">
        <v>32.832000000000001</v>
      </c>
      <c r="I396" s="194">
        <v>574750</v>
      </c>
      <c r="J396" s="194">
        <f>Таблица1[[#This Row],[Блок
 Куб]]*Таблица1[[#This Row],[Цена 
Приход]]</f>
        <v>18870192</v>
      </c>
      <c r="K396" s="194">
        <v>19</v>
      </c>
      <c r="L396" s="194">
        <v>130000</v>
      </c>
      <c r="M396" s="194">
        <f>Таблица1[[#This Row],[Поддон
Шт]]*Таблица1[[#This Row],[Цена
Поддон]]</f>
        <v>2470000</v>
      </c>
      <c r="N396" s="194">
        <f>Таблица1[[#This Row],[Сумма 
Приход]]+Таблица1[[#This Row],[Сумма Поддон]]</f>
        <v>21340192</v>
      </c>
      <c r="O396" s="194">
        <v>720000</v>
      </c>
      <c r="P396" s="194">
        <f>Таблица1[[#This Row],[Блок
 Куб]]*Таблица1[[#This Row],[Цена
 Продажа]]</f>
        <v>23639040</v>
      </c>
      <c r="Q396" s="194" t="s">
        <v>240</v>
      </c>
      <c r="R396" s="194">
        <f>Таблица1[[#This Row],[Сумма 
Продажа]]-Таблица1[[#This Row],[Сумма 
Приход]]-Таблица1[[#This Row],[Авто услу ]]</f>
        <v>1968848</v>
      </c>
      <c r="S396" s="194">
        <v>2800000</v>
      </c>
      <c r="T396" s="194">
        <f>Таблица1[[#This Row],[Сумма 
Продажа]]-IF(Таблица1[[#This Row],[Расход 
Авто]]="Клиент",N(Таблица1[[#This Row],[Авто услу ]]),0)</f>
        <v>20839040</v>
      </c>
      <c r="U39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9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6" s="287" t="str">
        <f>IFERROR(INDEX(Мижозлар[Агент],MATCH($D396,Мижозлар[Расмий ном],0)),"")</f>
        <v>Темур</v>
      </c>
    </row>
    <row r="397" spans="1:23" ht="14.25" x14ac:dyDescent="0.2">
      <c r="A397" s="28" t="s">
        <v>44</v>
      </c>
      <c r="B397" s="191" t="s">
        <v>26</v>
      </c>
      <c r="C397" s="192" t="s">
        <v>36</v>
      </c>
      <c r="D397" s="192" t="s">
        <v>82</v>
      </c>
      <c r="E397" s="193">
        <v>46265</v>
      </c>
      <c r="F397" s="191" t="s">
        <v>687</v>
      </c>
      <c r="G397" s="194" t="s">
        <v>355</v>
      </c>
      <c r="H397" s="195">
        <v>32.832000000000001</v>
      </c>
      <c r="I397" s="194">
        <v>574750</v>
      </c>
      <c r="J397" s="194">
        <f>Таблица1[[#This Row],[Блок
 Куб]]*Таблица1[[#This Row],[Цена 
Приход]]</f>
        <v>18870192</v>
      </c>
      <c r="K397" s="194">
        <v>19</v>
      </c>
      <c r="L397" s="194">
        <v>130000</v>
      </c>
      <c r="M397" s="194">
        <f>Таблица1[[#This Row],[Поддон
Шт]]*Таблица1[[#This Row],[Цена
Поддон]]</f>
        <v>2470000</v>
      </c>
      <c r="N397" s="194">
        <f>Таблица1[[#This Row],[Сумма 
Приход]]+Таблица1[[#This Row],[Сумма Поддон]]</f>
        <v>21340192</v>
      </c>
      <c r="O397" s="194">
        <v>720000</v>
      </c>
      <c r="P397" s="194">
        <f>Таблица1[[#This Row],[Блок
 Куб]]*Таблица1[[#This Row],[Цена
 Продажа]]</f>
        <v>23639040</v>
      </c>
      <c r="Q397" s="194" t="s">
        <v>240</v>
      </c>
      <c r="R397" s="194">
        <f>Таблица1[[#This Row],[Сумма 
Продажа]]-Таблица1[[#This Row],[Сумма 
Приход]]-Таблица1[[#This Row],[Авто услу ]]</f>
        <v>1968848</v>
      </c>
      <c r="S397" s="194">
        <v>2800000</v>
      </c>
      <c r="T397" s="194">
        <f>Таблица1[[#This Row],[Сумма 
Продажа]]-IF(Таблица1[[#This Row],[Расход 
Авто]]="Клиент",N(Таблица1[[#This Row],[Авто услу ]]),0)</f>
        <v>20839040</v>
      </c>
      <c r="U39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97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7" s="287" t="str">
        <f>IFERROR(INDEX(Мижозлар[Агент],MATCH($D397,Мижозлар[Расмий ном],0)),"")</f>
        <v>Темур</v>
      </c>
    </row>
    <row r="398" spans="1:23" ht="14.25" x14ac:dyDescent="0.2">
      <c r="A398" s="28" t="s">
        <v>44</v>
      </c>
      <c r="B398" s="191" t="s">
        <v>26</v>
      </c>
      <c r="C398" s="192" t="s">
        <v>36</v>
      </c>
      <c r="D398" s="192" t="s">
        <v>48</v>
      </c>
      <c r="E398" s="193">
        <v>46265</v>
      </c>
      <c r="F398" s="191" t="s">
        <v>686</v>
      </c>
      <c r="G398" s="194" t="s">
        <v>355</v>
      </c>
      <c r="H398" s="195">
        <v>32.832000000000001</v>
      </c>
      <c r="I398" s="194">
        <v>574750</v>
      </c>
      <c r="J398" s="194">
        <f>Таблица1[[#This Row],[Блок
 Куб]]*Таблица1[[#This Row],[Цена 
Приход]]</f>
        <v>18870192</v>
      </c>
      <c r="K398" s="194">
        <v>19</v>
      </c>
      <c r="L398" s="194">
        <v>130000</v>
      </c>
      <c r="M398" s="194">
        <f>Таблица1[[#This Row],[Поддон
Шт]]*Таблица1[[#This Row],[Цена
Поддон]]</f>
        <v>2470000</v>
      </c>
      <c r="N398" s="194">
        <f>Таблица1[[#This Row],[Сумма 
Приход]]+Таблица1[[#This Row],[Сумма Поддон]]</f>
        <v>21340192</v>
      </c>
      <c r="O398" s="194">
        <v>720000</v>
      </c>
      <c r="P398" s="194">
        <f>Таблица1[[#This Row],[Блок
 Куб]]*Таблица1[[#This Row],[Цена
 Продажа]]</f>
        <v>23639040</v>
      </c>
      <c r="Q398" s="194" t="s">
        <v>240</v>
      </c>
      <c r="R398" s="194">
        <f>Таблица1[[#This Row],[Сумма 
Продажа]]-Таблица1[[#This Row],[Сумма 
Приход]]-Таблица1[[#This Row],[Авто услу ]]</f>
        <v>1968848</v>
      </c>
      <c r="S398" s="194">
        <v>2800000</v>
      </c>
      <c r="T398" s="194">
        <f>Таблица1[[#This Row],[Сумма 
Продажа]]-IF(Таблица1[[#This Row],[Расход 
Авто]]="Клиент",N(Таблица1[[#This Row],[Авто услу ]]),0)</f>
        <v>20839040</v>
      </c>
      <c r="U39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98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8" s="287" t="str">
        <f>IFERROR(INDEX(Мижозлар[Агент],MATCH($D398,Мижозлар[Расмий ном],0)),"")</f>
        <v>Темур</v>
      </c>
    </row>
    <row r="399" spans="1:23" ht="14.25" x14ac:dyDescent="0.2">
      <c r="A399" s="28" t="s">
        <v>44</v>
      </c>
      <c r="B399" s="191" t="s">
        <v>26</v>
      </c>
      <c r="C399" s="192" t="s">
        <v>36</v>
      </c>
      <c r="D399" s="192" t="s">
        <v>82</v>
      </c>
      <c r="E399" s="193">
        <v>46265</v>
      </c>
      <c r="F399" s="191" t="s">
        <v>701</v>
      </c>
      <c r="G399" s="194" t="s">
        <v>355</v>
      </c>
      <c r="H399" s="195">
        <v>32.832000000000001</v>
      </c>
      <c r="I399" s="194">
        <v>574750</v>
      </c>
      <c r="J399" s="194">
        <f>Таблица1[[#This Row],[Блок
 Куб]]*Таблица1[[#This Row],[Цена 
Приход]]</f>
        <v>18870192</v>
      </c>
      <c r="K399" s="194">
        <v>19</v>
      </c>
      <c r="L399" s="194">
        <v>130000</v>
      </c>
      <c r="M399" s="194">
        <f>Таблица1[[#This Row],[Поддон
Шт]]*Таблица1[[#This Row],[Цена
Поддон]]</f>
        <v>2470000</v>
      </c>
      <c r="N399" s="194">
        <f>Таблица1[[#This Row],[Сумма 
Приход]]+Таблица1[[#This Row],[Сумма Поддон]]</f>
        <v>21340192</v>
      </c>
      <c r="O399" s="194">
        <v>720000</v>
      </c>
      <c r="P399" s="194">
        <f>Таблица1[[#This Row],[Блок
 Куб]]*Таблица1[[#This Row],[Цена
 Продажа]]</f>
        <v>23639040</v>
      </c>
      <c r="Q399" s="194" t="s">
        <v>240</v>
      </c>
      <c r="R399" s="194">
        <f>Таблица1[[#This Row],[Сумма 
Продажа]]-Таблица1[[#This Row],[Сумма 
Приход]]-Таблица1[[#This Row],[Авто услу ]]</f>
        <v>1968848</v>
      </c>
      <c r="S399" s="194">
        <v>2800000</v>
      </c>
      <c r="T399" s="194">
        <f>Таблица1[[#This Row],[Сумма 
Продажа]]-IF(Таблица1[[#This Row],[Расход 
Авто]]="Клиент",N(Таблица1[[#This Row],[Авто услу ]]),0)</f>
        <v>20839040</v>
      </c>
      <c r="U399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399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399" s="287" t="str">
        <f>IFERROR(INDEX(Мижозлар[Агент],MATCH($D399,Мижозлар[Расмий ном],0)),"")</f>
        <v>Темур</v>
      </c>
    </row>
    <row r="400" spans="1:23" ht="14.25" x14ac:dyDescent="0.2">
      <c r="A400" s="28" t="s">
        <v>44</v>
      </c>
      <c r="B400" s="191" t="s">
        <v>26</v>
      </c>
      <c r="C400" s="192" t="s">
        <v>29</v>
      </c>
      <c r="D400" s="192" t="s">
        <v>57</v>
      </c>
      <c r="E400" s="193">
        <v>46265</v>
      </c>
      <c r="F400" s="191" t="s">
        <v>719</v>
      </c>
      <c r="G400" s="194" t="s">
        <v>355</v>
      </c>
      <c r="H400" s="195">
        <v>32.832000000000001</v>
      </c>
      <c r="I400" s="194">
        <v>574750</v>
      </c>
      <c r="J400" s="194">
        <f>Таблица1[[#This Row],[Блок
 Куб]]*Таблица1[[#This Row],[Цена 
Приход]]</f>
        <v>18870192</v>
      </c>
      <c r="K400" s="194">
        <v>19</v>
      </c>
      <c r="L400" s="194">
        <v>130000</v>
      </c>
      <c r="M400" s="194">
        <f>Таблица1[[#This Row],[Поддон
Шт]]*Таблица1[[#This Row],[Цена
Поддон]]</f>
        <v>2470000</v>
      </c>
      <c r="N400" s="194">
        <f>Таблица1[[#This Row],[Сумма 
Приход]]+Таблица1[[#This Row],[Сумма Поддон]]</f>
        <v>21340192</v>
      </c>
      <c r="O400" s="194">
        <v>700000</v>
      </c>
      <c r="P400" s="194">
        <f>Таблица1[[#This Row],[Блок
 Куб]]*Таблица1[[#This Row],[Цена
 Продажа]]</f>
        <v>22982400</v>
      </c>
      <c r="Q400" s="194" t="s">
        <v>240</v>
      </c>
      <c r="R400" s="194">
        <f>Таблица1[[#This Row],[Сумма 
Продажа]]-Таблица1[[#This Row],[Сумма 
Приход]]-Таблица1[[#This Row],[Авто услу ]]</f>
        <v>1312208</v>
      </c>
      <c r="S400" s="194">
        <v>2800000</v>
      </c>
      <c r="T400" s="194">
        <f>Таблица1[[#This Row],[Сумма 
Продажа]]-IF(Таблица1[[#This Row],[Расход 
Авто]]="Клиент",N(Таблица1[[#This Row],[Авто услу ]]),0)</f>
        <v>20182400</v>
      </c>
      <c r="U400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00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0" s="287" t="str">
        <f>IFERROR(INDEX(Мижозлар[Агент],MATCH($D400,Мижозлар[Расмий ном],0)),"")</f>
        <v>Зафар ога</v>
      </c>
    </row>
    <row r="401" spans="1:23" ht="14.25" x14ac:dyDescent="0.2">
      <c r="A401" s="28" t="s">
        <v>44</v>
      </c>
      <c r="B401" s="191" t="s">
        <v>26</v>
      </c>
      <c r="C401" s="192" t="s">
        <v>29</v>
      </c>
      <c r="D401" s="192" t="s">
        <v>57</v>
      </c>
      <c r="E401" s="193">
        <v>46265</v>
      </c>
      <c r="F401" s="191" t="s">
        <v>720</v>
      </c>
      <c r="G401" s="194" t="s">
        <v>355</v>
      </c>
      <c r="H401" s="195">
        <v>32.832000000000001</v>
      </c>
      <c r="I401" s="194">
        <v>574750</v>
      </c>
      <c r="J401" s="194">
        <f>Таблица1[[#This Row],[Блок
 Куб]]*Таблица1[[#This Row],[Цена 
Приход]]</f>
        <v>18870192</v>
      </c>
      <c r="K401" s="194">
        <v>19</v>
      </c>
      <c r="L401" s="194">
        <v>130000</v>
      </c>
      <c r="M401" s="194">
        <f>Таблица1[[#This Row],[Поддон
Шт]]*Таблица1[[#This Row],[Цена
Поддон]]</f>
        <v>2470000</v>
      </c>
      <c r="N401" s="194">
        <f>Таблица1[[#This Row],[Сумма 
Приход]]+Таблица1[[#This Row],[Сумма Поддон]]</f>
        <v>21340192</v>
      </c>
      <c r="O401" s="194">
        <v>700000</v>
      </c>
      <c r="P401" s="194">
        <f>Таблица1[[#This Row],[Блок
 Куб]]*Таблица1[[#This Row],[Цена
 Продажа]]</f>
        <v>22982400</v>
      </c>
      <c r="Q401" s="194" t="s">
        <v>240</v>
      </c>
      <c r="R401" s="194">
        <f>Таблица1[[#This Row],[Сумма 
Продажа]]-Таблица1[[#This Row],[Сумма 
Приход]]-Таблица1[[#This Row],[Авто услу ]]</f>
        <v>1312208</v>
      </c>
      <c r="S401" s="194">
        <v>2800000</v>
      </c>
      <c r="T401" s="194">
        <f>Таблица1[[#This Row],[Сумма 
Продажа]]-IF(Таблица1[[#This Row],[Расход 
Авто]]="Клиент",N(Таблица1[[#This Row],[Авто услу ]]),0)</f>
        <v>20182400</v>
      </c>
      <c r="U40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01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1" s="287" t="str">
        <f>IFERROR(INDEX(Мижозлар[Агент],MATCH($D401,Мижозлар[Расмий ном],0)),"")</f>
        <v>Зафар ога</v>
      </c>
    </row>
    <row r="402" spans="1:23" ht="14.25" x14ac:dyDescent="0.2">
      <c r="A402" s="28" t="s">
        <v>44</v>
      </c>
      <c r="B402" s="191" t="s">
        <v>26</v>
      </c>
      <c r="C402" s="192" t="s">
        <v>40</v>
      </c>
      <c r="D402" s="192" t="s">
        <v>19</v>
      </c>
      <c r="E402" s="193">
        <v>46265</v>
      </c>
      <c r="F402" s="191" t="s">
        <v>721</v>
      </c>
      <c r="G402" s="194" t="s">
        <v>355</v>
      </c>
      <c r="H402" s="195">
        <v>32.832000000000001</v>
      </c>
      <c r="I402" s="194">
        <v>574750</v>
      </c>
      <c r="J402" s="194">
        <f>Таблица1[[#This Row],[Блок
 Куб]]*Таблица1[[#This Row],[Цена 
Приход]]</f>
        <v>18870192</v>
      </c>
      <c r="K402" s="194">
        <v>19</v>
      </c>
      <c r="L402" s="194">
        <v>130000</v>
      </c>
      <c r="M402" s="194">
        <f>Таблица1[[#This Row],[Поддон
Шт]]*Таблица1[[#This Row],[Цена
Поддон]]</f>
        <v>2470000</v>
      </c>
      <c r="N402" s="194">
        <f>Таблица1[[#This Row],[Сумма 
Приход]]+Таблица1[[#This Row],[Сумма Поддон]]</f>
        <v>21340192</v>
      </c>
      <c r="O402" s="194">
        <v>720000</v>
      </c>
      <c r="P402" s="194">
        <f>Таблица1[[#This Row],[Блок
 Куб]]*Таблица1[[#This Row],[Цена
 Продажа]]</f>
        <v>23639040</v>
      </c>
      <c r="Q402" s="194" t="s">
        <v>356</v>
      </c>
      <c r="R402" s="194">
        <f>Таблица1[[#This Row],[Сумма 
Продажа]]-Таблица1[[#This Row],[Сумма 
Приход]]-Таблица1[[#This Row],[Авто услу ]]</f>
        <v>1968848</v>
      </c>
      <c r="S402" s="194">
        <v>2800000</v>
      </c>
      <c r="T402" s="194">
        <f>Таблица1[[#This Row],[Сумма 
Продажа]]-IF(Таблица1[[#This Row],[Расход 
Авто]]="Клиент",N(Таблица1[[#This Row],[Авто услу ]]),0)</f>
        <v>23639040</v>
      </c>
      <c r="U40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40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2" s="287" t="str">
        <f>IFERROR(INDEX(Мижозлар[Агент],MATCH($D402,Мижозлар[Расмий ном],0)),"")</f>
        <v>Шохрух ога</v>
      </c>
    </row>
    <row r="403" spans="1:23" ht="14.25" x14ac:dyDescent="0.2">
      <c r="A403" s="28" t="s">
        <v>44</v>
      </c>
      <c r="B403" s="191" t="s">
        <v>26</v>
      </c>
      <c r="C403" s="192" t="s">
        <v>40</v>
      </c>
      <c r="D403" s="192" t="s">
        <v>19</v>
      </c>
      <c r="E403" s="193">
        <v>46265</v>
      </c>
      <c r="F403" s="191" t="s">
        <v>399</v>
      </c>
      <c r="G403" s="194" t="s">
        <v>368</v>
      </c>
      <c r="H403" s="195">
        <v>32.832000000000001</v>
      </c>
      <c r="I403" s="194">
        <v>574750</v>
      </c>
      <c r="J403" s="194">
        <f>Таблица1[[#This Row],[Блок
 Куб]]*Таблица1[[#This Row],[Цена 
Приход]]</f>
        <v>18870192</v>
      </c>
      <c r="K403" s="194">
        <v>19</v>
      </c>
      <c r="L403" s="194">
        <v>130000</v>
      </c>
      <c r="M403" s="194">
        <f>Таблица1[[#This Row],[Поддон
Шт]]*Таблица1[[#This Row],[Цена
Поддон]]</f>
        <v>2470000</v>
      </c>
      <c r="N403" s="194">
        <f>Таблица1[[#This Row],[Сумма 
Приход]]+Таблица1[[#This Row],[Сумма Поддон]]</f>
        <v>21340192</v>
      </c>
      <c r="O403" s="194">
        <v>720000</v>
      </c>
      <c r="P403" s="194">
        <f>Таблица1[[#This Row],[Блок
 Куб]]*Таблица1[[#This Row],[Цена
 Продажа]]</f>
        <v>23639040</v>
      </c>
      <c r="Q403" s="194" t="s">
        <v>356</v>
      </c>
      <c r="R403" s="194">
        <f>Таблица1[[#This Row],[Сумма 
Продажа]]-Таблица1[[#This Row],[Сумма 
Приход]]-Таблица1[[#This Row],[Авто услу ]]</f>
        <v>1968848</v>
      </c>
      <c r="S403" s="194">
        <v>2800000</v>
      </c>
      <c r="T403" s="194">
        <f>Таблица1[[#This Row],[Сумма 
Продажа]]-IF(Таблица1[[#This Row],[Расход 
Авто]]="Клиент",N(Таблица1[[#This Row],[Авто услу ]]),0)</f>
        <v>23639040</v>
      </c>
      <c r="U40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40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3" s="287" t="str">
        <f>IFERROR(INDEX(Мижозлар[Агент],MATCH($D403,Мижозлар[Расмий ном],0)),"")</f>
        <v>Шохрух ога</v>
      </c>
    </row>
    <row r="404" spans="1:23" ht="14.25" x14ac:dyDescent="0.2">
      <c r="A404" s="28" t="s">
        <v>44</v>
      </c>
      <c r="B404" s="191" t="s">
        <v>26</v>
      </c>
      <c r="C404" s="192" t="s">
        <v>36</v>
      </c>
      <c r="D404" s="192" t="s">
        <v>82</v>
      </c>
      <c r="E404" s="193">
        <v>46265</v>
      </c>
      <c r="F404" s="191" t="s">
        <v>722</v>
      </c>
      <c r="G404" s="194" t="s">
        <v>368</v>
      </c>
      <c r="H404" s="195">
        <v>32.832000000000001</v>
      </c>
      <c r="I404" s="194">
        <v>574750</v>
      </c>
      <c r="J404" s="194">
        <f>Таблица1[[#This Row],[Блок
 Куб]]*Таблица1[[#This Row],[Цена 
Приход]]</f>
        <v>18870192</v>
      </c>
      <c r="K404" s="194">
        <v>19</v>
      </c>
      <c r="L404" s="194">
        <v>130000</v>
      </c>
      <c r="M404" s="194">
        <f>Таблица1[[#This Row],[Поддон
Шт]]*Таблица1[[#This Row],[Цена
Поддон]]</f>
        <v>2470000</v>
      </c>
      <c r="N404" s="194">
        <f>Таблица1[[#This Row],[Сумма 
Приход]]+Таблица1[[#This Row],[Сумма Поддон]]</f>
        <v>21340192</v>
      </c>
      <c r="O404" s="194">
        <v>720000</v>
      </c>
      <c r="P404" s="194">
        <f>Таблица1[[#This Row],[Блок
 Куб]]*Таблица1[[#This Row],[Цена
 Продажа]]</f>
        <v>23639040</v>
      </c>
      <c r="Q404" s="194" t="s">
        <v>240</v>
      </c>
      <c r="R404" s="194">
        <f>Таблица1[[#This Row],[Сумма 
Продажа]]-Таблица1[[#This Row],[Сумма 
Приход]]-Таблица1[[#This Row],[Авто услу ]]</f>
        <v>1968848</v>
      </c>
      <c r="S404" s="194">
        <v>2800000</v>
      </c>
      <c r="T404" s="194">
        <f>Таблица1[[#This Row],[Сумма 
Продажа]]-IF(Таблица1[[#This Row],[Расход 
Авто]]="Клиент",N(Таблица1[[#This Row],[Авто услу ]]),0)</f>
        <v>20839040</v>
      </c>
      <c r="U40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0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4" s="287" t="str">
        <f>IFERROR(INDEX(Мижозлар[Агент],MATCH($D404,Мижозлар[Расмий ном],0)),"")</f>
        <v>Темур</v>
      </c>
    </row>
    <row r="405" spans="1:23" ht="14.25" x14ac:dyDescent="0.2">
      <c r="A405" s="311" t="s">
        <v>44</v>
      </c>
      <c r="B405" s="312" t="s">
        <v>26</v>
      </c>
      <c r="C405" s="313" t="s">
        <v>40</v>
      </c>
      <c r="D405" s="313" t="s">
        <v>715</v>
      </c>
      <c r="E405" s="305">
        <v>46266</v>
      </c>
      <c r="F405" s="312" t="s">
        <v>548</v>
      </c>
      <c r="G405" s="306" t="s">
        <v>355</v>
      </c>
      <c r="H405" s="314">
        <v>32.832000000000001</v>
      </c>
      <c r="I405" s="306">
        <v>574750</v>
      </c>
      <c r="J405" s="306">
        <f>Таблица1[[#This Row],[Блок
 Куб]]*Таблица1[[#This Row],[Цена 
Приход]]</f>
        <v>18870192</v>
      </c>
      <c r="K405" s="306">
        <v>19</v>
      </c>
      <c r="L405" s="306">
        <v>130000</v>
      </c>
      <c r="M405" s="306">
        <f>Таблица1[[#This Row],[Поддон
Шт]]*Таблица1[[#This Row],[Цена
Поддон]]</f>
        <v>2470000</v>
      </c>
      <c r="N405" s="306">
        <f>Таблица1[[#This Row],[Сумма 
Приход]]+Таблица1[[#This Row],[Сумма Поддон]]</f>
        <v>21340192</v>
      </c>
      <c r="O405" s="306">
        <v>720000</v>
      </c>
      <c r="P405" s="306">
        <f>Таблица1[[#This Row],[Блок
 Куб]]*Таблица1[[#This Row],[Цена
 Продажа]]</f>
        <v>23639040</v>
      </c>
      <c r="Q405" s="306" t="s">
        <v>240</v>
      </c>
      <c r="R405" s="306">
        <f>Таблица1[[#This Row],[Сумма 
Продажа]]-Таблица1[[#This Row],[Сумма 
Приход]]-Таблица1[[#This Row],[Авто услу ]]</f>
        <v>1968848</v>
      </c>
      <c r="S405" s="306">
        <v>2800000</v>
      </c>
      <c r="T405" s="306">
        <f>Таблица1[[#This Row],[Сумма 
Продажа]]-IF(Таблица1[[#This Row],[Расход 
Авто]]="Клиент",N(Таблица1[[#This Row],[Авто услу ]]),0)</f>
        <v>20839040</v>
      </c>
      <c r="U405" s="315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Шохрух ога</v>
      </c>
      <c r="V405" s="315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5" s="316" t="str">
        <f>IFERROR(INDEX(Мижозлар[Агент],MATCH($D405,Мижозлар[Расмий ном],0)),"")</f>
        <v>Шохрух ога</v>
      </c>
    </row>
    <row r="406" spans="1:23" ht="14.25" x14ac:dyDescent="0.2">
      <c r="A406" s="311" t="s">
        <v>44</v>
      </c>
      <c r="B406" s="312" t="s">
        <v>26</v>
      </c>
      <c r="C406" s="313" t="s">
        <v>21</v>
      </c>
      <c r="D406" s="313" t="s">
        <v>116</v>
      </c>
      <c r="E406" s="305">
        <v>46266</v>
      </c>
      <c r="F406" s="312" t="s">
        <v>432</v>
      </c>
      <c r="G406" s="306" t="s">
        <v>355</v>
      </c>
      <c r="H406" s="314">
        <v>32.832000000000001</v>
      </c>
      <c r="I406" s="306">
        <v>574750</v>
      </c>
      <c r="J406" s="306">
        <f>Таблица1[[#This Row],[Блок
 Куб]]*Таблица1[[#This Row],[Цена 
Приход]]</f>
        <v>18870192</v>
      </c>
      <c r="K406" s="306">
        <v>19</v>
      </c>
      <c r="L406" s="306">
        <v>130000</v>
      </c>
      <c r="M406" s="306">
        <f>Таблица1[[#This Row],[Поддон
Шт]]*Таблица1[[#This Row],[Цена
Поддон]]</f>
        <v>2470000</v>
      </c>
      <c r="N406" s="306">
        <f>Таблица1[[#This Row],[Сумма 
Приход]]+Таблица1[[#This Row],[Сумма Поддон]]</f>
        <v>21340192</v>
      </c>
      <c r="O406" s="306">
        <v>720000</v>
      </c>
      <c r="P406" s="306">
        <f>Таблица1[[#This Row],[Блок
 Куб]]*Таблица1[[#This Row],[Цена
 Продажа]]</f>
        <v>23639040</v>
      </c>
      <c r="Q406" s="306" t="s">
        <v>240</v>
      </c>
      <c r="R406" s="306">
        <f>Таблица1[[#This Row],[Сумма 
Продажа]]-Таблица1[[#This Row],[Сумма 
Приход]]-Таблица1[[#This Row],[Авто услу ]]</f>
        <v>1968848</v>
      </c>
      <c r="S406" s="306">
        <v>2800000</v>
      </c>
      <c r="T406" s="306">
        <f>Таблица1[[#This Row],[Сумма 
Продажа]]-IF(Таблица1[[#This Row],[Расход 
Авто]]="Клиент",N(Таблица1[[#This Row],[Авто услу ]]),0)</f>
        <v>20839040</v>
      </c>
      <c r="U406" s="315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406" s="315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6" s="316" t="str">
        <f>IFERROR(INDEX(Мижозлар[Агент],MATCH($D406,Мижозлар[Расмий ном],0)),"")</f>
        <v>Арслон ога</v>
      </c>
    </row>
    <row r="407" spans="1:23" ht="14.25" x14ac:dyDescent="0.2">
      <c r="A407" s="28" t="s">
        <v>44</v>
      </c>
      <c r="B407" s="191" t="s">
        <v>26</v>
      </c>
      <c r="C407" s="192" t="s">
        <v>36</v>
      </c>
      <c r="D407" s="192" t="s">
        <v>74</v>
      </c>
      <c r="E407" s="193">
        <v>46267</v>
      </c>
      <c r="F407" s="191" t="s">
        <v>723</v>
      </c>
      <c r="G407" s="194" t="s">
        <v>368</v>
      </c>
      <c r="H407" s="195">
        <v>32.832000000000001</v>
      </c>
      <c r="I407" s="194">
        <v>574750</v>
      </c>
      <c r="J407" s="194">
        <f>Таблица1[[#This Row],[Блок
 Куб]]*Таблица1[[#This Row],[Цена 
Приход]]</f>
        <v>18870192</v>
      </c>
      <c r="K407" s="194">
        <v>19</v>
      </c>
      <c r="L407" s="194">
        <v>130000</v>
      </c>
      <c r="M407" s="194">
        <f>Таблица1[[#This Row],[Поддон
Шт]]*Таблица1[[#This Row],[Цена
Поддон]]</f>
        <v>2470000</v>
      </c>
      <c r="N407" s="194">
        <f>Таблица1[[#This Row],[Сумма 
Приход]]+Таблица1[[#This Row],[Сумма Поддон]]</f>
        <v>21340192</v>
      </c>
      <c r="O407" s="194">
        <v>720000</v>
      </c>
      <c r="P407" s="194">
        <f>Таблица1[[#This Row],[Блок
 Куб]]*Таблица1[[#This Row],[Цена
 Продажа]]</f>
        <v>23639040</v>
      </c>
      <c r="Q407" s="194" t="s">
        <v>240</v>
      </c>
      <c r="R407" s="194">
        <f>Таблица1[[#This Row],[Сумма 
Продажа]]-Таблица1[[#This Row],[Сумма 
Приход]]-Таблица1[[#This Row],[Авто услу ]]</f>
        <v>1968848</v>
      </c>
      <c r="S407" s="194">
        <v>2800000</v>
      </c>
      <c r="T407" s="194">
        <f>Таблица1[[#This Row],[Сумма 
Продажа]]-IF(Таблица1[[#This Row],[Расход 
Авто]]="Клиент",N(Таблица1[[#This Row],[Авто услу ]]),0)</f>
        <v>20839040</v>
      </c>
      <c r="U407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07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7" s="287" t="str">
        <f>IFERROR(INDEX(Мижозлар[Агент],MATCH($D407,Мижозлар[Расмий ном],0)),"")</f>
        <v>Темур</v>
      </c>
    </row>
    <row r="408" spans="1:23" ht="14.25" x14ac:dyDescent="0.2">
      <c r="A408" s="28" t="s">
        <v>44</v>
      </c>
      <c r="B408" s="191" t="s">
        <v>26</v>
      </c>
      <c r="C408" s="192" t="s">
        <v>36</v>
      </c>
      <c r="D408" s="192" t="s">
        <v>82</v>
      </c>
      <c r="E408" s="193">
        <v>46267</v>
      </c>
      <c r="F408" s="191" t="s">
        <v>724</v>
      </c>
      <c r="G408" s="194" t="s">
        <v>368</v>
      </c>
      <c r="H408" s="195">
        <v>32.832000000000001</v>
      </c>
      <c r="I408" s="194">
        <v>574750</v>
      </c>
      <c r="J408" s="194">
        <f>Таблица1[[#This Row],[Блок
 Куб]]*Таблица1[[#This Row],[Цена 
Приход]]</f>
        <v>18870192</v>
      </c>
      <c r="K408" s="194">
        <v>19</v>
      </c>
      <c r="L408" s="194">
        <v>130000</v>
      </c>
      <c r="M408" s="194">
        <f>Таблица1[[#This Row],[Поддон
Шт]]*Таблица1[[#This Row],[Цена
Поддон]]</f>
        <v>2470000</v>
      </c>
      <c r="N408" s="194">
        <f>Таблица1[[#This Row],[Сумма 
Приход]]+Таблица1[[#This Row],[Сумма Поддон]]</f>
        <v>21340192</v>
      </c>
      <c r="O408" s="194">
        <v>720000</v>
      </c>
      <c r="P408" s="194">
        <f>Таблица1[[#This Row],[Блок
 Куб]]*Таблица1[[#This Row],[Цена
 Продажа]]</f>
        <v>23639040</v>
      </c>
      <c r="Q408" s="194" t="s">
        <v>240</v>
      </c>
      <c r="R408" s="194">
        <f>Таблица1[[#This Row],[Сумма 
Продажа]]-Таблица1[[#This Row],[Сумма 
Приход]]-Таблица1[[#This Row],[Авто услу ]]</f>
        <v>1968848</v>
      </c>
      <c r="S408" s="194">
        <v>2800000</v>
      </c>
      <c r="T408" s="194">
        <f>Таблица1[[#This Row],[Сумма 
Продажа]]-IF(Таблица1[[#This Row],[Расход 
Авто]]="Клиент",N(Таблица1[[#This Row],[Авто услу ]]),0)</f>
        <v>20839040</v>
      </c>
      <c r="U408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08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8" s="287" t="str">
        <f>IFERROR(INDEX(Мижозлар[Агент],MATCH($D408,Мижозлар[Расмий ном],0)),"")</f>
        <v>Темур</v>
      </c>
    </row>
    <row r="409" spans="1:23" ht="14.25" x14ac:dyDescent="0.2">
      <c r="A409" s="28" t="s">
        <v>44</v>
      </c>
      <c r="B409" s="191" t="s">
        <v>26</v>
      </c>
      <c r="C409" s="192" t="s">
        <v>29</v>
      </c>
      <c r="D409" s="192" t="s">
        <v>89</v>
      </c>
      <c r="E409" s="193">
        <v>46267</v>
      </c>
      <c r="F409" s="191" t="s">
        <v>725</v>
      </c>
      <c r="G409" s="194" t="s">
        <v>355</v>
      </c>
      <c r="H409" s="195">
        <v>32.832000000000001</v>
      </c>
      <c r="I409" s="194">
        <v>574750</v>
      </c>
      <c r="J409" s="194">
        <f>Таблица1[[#This Row],[Блок
 Куб]]*Таблица1[[#This Row],[Цена 
Приход]]</f>
        <v>18870192</v>
      </c>
      <c r="K409" s="194">
        <v>19</v>
      </c>
      <c r="L409" s="194">
        <v>130000</v>
      </c>
      <c r="M409" s="194">
        <f>Таблица1[[#This Row],[Поддон
Шт]]*Таблица1[[#This Row],[Цена
Поддон]]</f>
        <v>2470000</v>
      </c>
      <c r="N409" s="194">
        <f>Таблица1[[#This Row],[Сумма 
Приход]]+Таблица1[[#This Row],[Сумма Поддон]]</f>
        <v>21340192</v>
      </c>
      <c r="O409" s="194">
        <v>720000</v>
      </c>
      <c r="P409" s="194">
        <f>Таблица1[[#This Row],[Блок
 Куб]]*Таблица1[[#This Row],[Цена
 Продажа]]</f>
        <v>23639040</v>
      </c>
      <c r="Q409" s="194" t="s">
        <v>240</v>
      </c>
      <c r="R409" s="194">
        <f>Таблица1[[#This Row],[Сумма 
Продажа]]-Таблица1[[#This Row],[Сумма 
Приход]]-Таблица1[[#This Row],[Авто услу ]]</f>
        <v>1968848</v>
      </c>
      <c r="S409" s="194">
        <v>2800000</v>
      </c>
      <c r="T409" s="194">
        <f>Таблица1[[#This Row],[Сумма 
Продажа]]-IF(Таблица1[[#This Row],[Расход 
Авто]]="Клиент",N(Таблица1[[#This Row],[Авто услу ]]),0)</f>
        <v>20839040</v>
      </c>
      <c r="U409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09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09" s="287" t="str">
        <f>IFERROR(INDEX(Мижозлар[Агент],MATCH($D409,Мижозлар[Расмий ном],0)),"")</f>
        <v>Зафар ога</v>
      </c>
    </row>
    <row r="410" spans="1:23" ht="14.25" x14ac:dyDescent="0.2">
      <c r="A410" s="28" t="s">
        <v>44</v>
      </c>
      <c r="B410" s="191" t="s">
        <v>26</v>
      </c>
      <c r="C410" s="192" t="s">
        <v>21</v>
      </c>
      <c r="D410" s="192" t="s">
        <v>116</v>
      </c>
      <c r="E410" s="193">
        <v>46267</v>
      </c>
      <c r="F410" s="191" t="s">
        <v>726</v>
      </c>
      <c r="G410" s="194" t="s">
        <v>368</v>
      </c>
      <c r="H410" s="195">
        <v>17.28</v>
      </c>
      <c r="I410" s="194">
        <v>574750</v>
      </c>
      <c r="J410" s="194">
        <f>Таблица1[[#This Row],[Блок
 Куб]]*Таблица1[[#This Row],[Цена 
Приход]]</f>
        <v>9931680</v>
      </c>
      <c r="K410" s="194">
        <v>10</v>
      </c>
      <c r="L410" s="194">
        <v>130000</v>
      </c>
      <c r="M410" s="194">
        <f>Таблица1[[#This Row],[Поддон
Шт]]*Таблица1[[#This Row],[Цена
Поддон]]</f>
        <v>1300000</v>
      </c>
      <c r="N410" s="194">
        <f>Таблица1[[#This Row],[Сумма 
Приход]]+Таблица1[[#This Row],[Сумма Поддон]]</f>
        <v>11231680</v>
      </c>
      <c r="O410" s="194">
        <v>720000</v>
      </c>
      <c r="P410" s="194">
        <f>Таблица1[[#This Row],[Блок
 Куб]]*Таблица1[[#This Row],[Цена
 Продажа]]</f>
        <v>12441600</v>
      </c>
      <c r="Q410" s="194" t="s">
        <v>240</v>
      </c>
      <c r="R410" s="194">
        <f>Таблица1[[#This Row],[Сумма 
Продажа]]-Таблица1[[#This Row],[Сумма 
Приход]]-Таблица1[[#This Row],[Авто услу ]]</f>
        <v>1036235.7894736843</v>
      </c>
      <c r="S410" s="194">
        <v>1473684.2105263157</v>
      </c>
      <c r="T410" s="194">
        <f>Таблица1[[#This Row],[Сумма 
Продажа]]-IF(Таблица1[[#This Row],[Расход 
Авто]]="Клиент",N(Таблица1[[#This Row],[Авто услу ]]),0)</f>
        <v>10967915.789473685</v>
      </c>
      <c r="U410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410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0" s="287" t="str">
        <f>IFERROR(INDEX(Мижозлар[Агент],MATCH($D410,Мижозлар[Расмий ном],0)),"")</f>
        <v>Арслон ога</v>
      </c>
    </row>
    <row r="411" spans="1:23" ht="14.25" x14ac:dyDescent="0.2">
      <c r="A411" s="28" t="s">
        <v>44</v>
      </c>
      <c r="B411" s="191" t="s">
        <v>26</v>
      </c>
      <c r="C411" s="192" t="s">
        <v>21</v>
      </c>
      <c r="D411" s="192" t="s">
        <v>116</v>
      </c>
      <c r="E411" s="193">
        <v>46267</v>
      </c>
      <c r="F411" s="191" t="s">
        <v>726</v>
      </c>
      <c r="G411" s="194" t="s">
        <v>395</v>
      </c>
      <c r="H411" s="195">
        <v>16.2</v>
      </c>
      <c r="I411" s="194">
        <v>574750</v>
      </c>
      <c r="J411" s="194">
        <f>Таблица1[[#This Row],[Блок
 Куб]]*Таблица1[[#This Row],[Цена 
Приход]]</f>
        <v>9310950</v>
      </c>
      <c r="K411" s="194">
        <v>9</v>
      </c>
      <c r="L411" s="194">
        <v>130000</v>
      </c>
      <c r="M411" s="194">
        <f>Таблица1[[#This Row],[Поддон
Шт]]*Таблица1[[#This Row],[Цена
Поддон]]</f>
        <v>1170000</v>
      </c>
      <c r="N411" s="194">
        <f>Таблица1[[#This Row],[Сумма 
Приход]]+Таблица1[[#This Row],[Сумма Поддон]]</f>
        <v>10480950</v>
      </c>
      <c r="O411" s="194">
        <v>720000</v>
      </c>
      <c r="P411" s="194">
        <f>Таблица1[[#This Row],[Блок
 Куб]]*Таблица1[[#This Row],[Цена
 Продажа]]</f>
        <v>11664000</v>
      </c>
      <c r="Q411" s="194" t="s">
        <v>240</v>
      </c>
      <c r="R411" s="194">
        <f>Таблица1[[#This Row],[Сумма 
Продажа]]-Таблица1[[#This Row],[Сумма 
Приход]]-Таблица1[[#This Row],[Авто услу ]]</f>
        <v>1026734.210526316</v>
      </c>
      <c r="S411" s="194">
        <v>1326315.789473684</v>
      </c>
      <c r="T411" s="194">
        <f>Таблица1[[#This Row],[Сумма 
Продажа]]-IF(Таблица1[[#This Row],[Расход 
Авто]]="Клиент",N(Таблица1[[#This Row],[Авто услу ]]),0)</f>
        <v>10337684.210526315</v>
      </c>
      <c r="U411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Арслон ога</v>
      </c>
      <c r="V411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1" s="287" t="str">
        <f>IFERROR(INDEX(Мижозлар[Агент],MATCH($D411,Мижозлар[Расмий ном],0)),"")</f>
        <v>Арслон ога</v>
      </c>
    </row>
    <row r="412" spans="1:23" ht="14.25" x14ac:dyDescent="0.2">
      <c r="A412" s="28" t="s">
        <v>44</v>
      </c>
      <c r="B412" s="191" t="s">
        <v>26</v>
      </c>
      <c r="C412" s="192" t="s">
        <v>29</v>
      </c>
      <c r="D412" s="192" t="s">
        <v>89</v>
      </c>
      <c r="E412" s="193">
        <v>46267</v>
      </c>
      <c r="F412" s="191" t="s">
        <v>727</v>
      </c>
      <c r="G412" s="194" t="s">
        <v>355</v>
      </c>
      <c r="H412" s="195">
        <v>32.832000000000001</v>
      </c>
      <c r="I412" s="194">
        <v>574750</v>
      </c>
      <c r="J412" s="194">
        <f>Таблица1[[#This Row],[Блок
 Куб]]*Таблица1[[#This Row],[Цена 
Приход]]</f>
        <v>18870192</v>
      </c>
      <c r="K412" s="194">
        <v>19</v>
      </c>
      <c r="L412" s="194">
        <v>130000</v>
      </c>
      <c r="M412" s="194">
        <f>Таблица1[[#This Row],[Поддон
Шт]]*Таблица1[[#This Row],[Цена
Поддон]]</f>
        <v>2470000</v>
      </c>
      <c r="N412" s="194">
        <f>Таблица1[[#This Row],[Сумма 
Приход]]+Таблица1[[#This Row],[Сумма Поддон]]</f>
        <v>21340192</v>
      </c>
      <c r="O412" s="194">
        <v>720000</v>
      </c>
      <c r="P412" s="194">
        <f>Таблица1[[#This Row],[Блок
 Куб]]*Таблица1[[#This Row],[Цена
 Продажа]]</f>
        <v>23639040</v>
      </c>
      <c r="Q412" s="194" t="s">
        <v>240</v>
      </c>
      <c r="R412" s="194">
        <f>Таблица1[[#This Row],[Сумма 
Продажа]]-Таблица1[[#This Row],[Сумма 
Приход]]-Таблица1[[#This Row],[Авто услу ]]</f>
        <v>1968848</v>
      </c>
      <c r="S412" s="194">
        <v>2800000</v>
      </c>
      <c r="T412" s="194">
        <f>Таблица1[[#This Row],[Сумма 
Продажа]]-IF(Таблица1[[#This Row],[Расход 
Авто]]="Клиент",N(Таблица1[[#This Row],[Авто услу ]]),0)</f>
        <v>20839040</v>
      </c>
      <c r="U412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12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2" s="287" t="str">
        <f>IFERROR(INDEX(Мижозлар[Агент],MATCH($D412,Мижозлар[Расмий ном],0)),"")</f>
        <v>Зафар ога</v>
      </c>
    </row>
    <row r="413" spans="1:23" ht="14.25" x14ac:dyDescent="0.2">
      <c r="A413" s="28" t="s">
        <v>44</v>
      </c>
      <c r="B413" s="191" t="s">
        <v>26</v>
      </c>
      <c r="C413" s="192" t="s">
        <v>36</v>
      </c>
      <c r="D413" s="192" t="s">
        <v>123</v>
      </c>
      <c r="E413" s="193">
        <v>46267</v>
      </c>
      <c r="F413" s="191" t="s">
        <v>498</v>
      </c>
      <c r="G413" s="194" t="s">
        <v>368</v>
      </c>
      <c r="H413" s="195">
        <v>32.832000000000001</v>
      </c>
      <c r="I413" s="194">
        <v>574750</v>
      </c>
      <c r="J413" s="194">
        <f>Таблица1[[#This Row],[Блок
 Куб]]*Таблица1[[#This Row],[Цена 
Приход]]</f>
        <v>18870192</v>
      </c>
      <c r="K413" s="194">
        <v>19</v>
      </c>
      <c r="L413" s="194">
        <v>130000</v>
      </c>
      <c r="M413" s="194">
        <f>Таблица1[[#This Row],[Поддон
Шт]]*Таблица1[[#This Row],[Цена
Поддон]]</f>
        <v>2470000</v>
      </c>
      <c r="N413" s="194">
        <f>Таблица1[[#This Row],[Сумма 
Приход]]+Таблица1[[#This Row],[Сумма Поддон]]</f>
        <v>21340192</v>
      </c>
      <c r="O413" s="194">
        <v>720000</v>
      </c>
      <c r="P413" s="194">
        <f>Таблица1[[#This Row],[Блок
 Куб]]*Таблица1[[#This Row],[Цена
 Продажа]]</f>
        <v>23639040</v>
      </c>
      <c r="Q413" s="194" t="s">
        <v>240</v>
      </c>
      <c r="R413" s="194">
        <f>Таблица1[[#This Row],[Сумма 
Продажа]]-Таблица1[[#This Row],[Сумма 
Приход]]-Таблица1[[#This Row],[Авто услу ]]</f>
        <v>1968848</v>
      </c>
      <c r="S413" s="194">
        <v>2800000</v>
      </c>
      <c r="T413" s="194">
        <f>Таблица1[[#This Row],[Сумма 
Продажа]]-IF(Таблица1[[#This Row],[Расход 
Авто]]="Клиент",N(Таблица1[[#This Row],[Авто услу ]]),0)</f>
        <v>20839040</v>
      </c>
      <c r="U413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13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3" s="287" t="str">
        <f>IFERROR(INDEX(Мижозлар[Агент],MATCH($D413,Мижозлар[Расмий ном],0)),"")</f>
        <v>Темур</v>
      </c>
    </row>
    <row r="414" spans="1:23" ht="14.25" x14ac:dyDescent="0.2">
      <c r="A414" s="28" t="s">
        <v>44</v>
      </c>
      <c r="B414" s="191" t="s">
        <v>26</v>
      </c>
      <c r="C414" s="192" t="s">
        <v>36</v>
      </c>
      <c r="D414" s="192" t="s">
        <v>48</v>
      </c>
      <c r="E414" s="193">
        <v>46267</v>
      </c>
      <c r="F414" s="191" t="s">
        <v>724</v>
      </c>
      <c r="G414" s="194" t="s">
        <v>368</v>
      </c>
      <c r="H414" s="195">
        <v>32.832000000000001</v>
      </c>
      <c r="I414" s="194">
        <v>574750</v>
      </c>
      <c r="J414" s="194">
        <f>Таблица1[[#This Row],[Блок
 Куб]]*Таблица1[[#This Row],[Цена 
Приход]]</f>
        <v>18870192</v>
      </c>
      <c r="K414" s="194">
        <v>19</v>
      </c>
      <c r="L414" s="194">
        <v>130000</v>
      </c>
      <c r="M414" s="194">
        <f>Таблица1[[#This Row],[Поддон
Шт]]*Таблица1[[#This Row],[Цена
Поддон]]</f>
        <v>2470000</v>
      </c>
      <c r="N414" s="194">
        <f>Таблица1[[#This Row],[Сумма 
Приход]]+Таблица1[[#This Row],[Сумма Поддон]]</f>
        <v>21340192</v>
      </c>
      <c r="O414" s="194">
        <v>720000</v>
      </c>
      <c r="P414" s="194">
        <f>Таблица1[[#This Row],[Блок
 Куб]]*Таблица1[[#This Row],[Цена
 Продажа]]</f>
        <v>23639040</v>
      </c>
      <c r="Q414" s="194" t="s">
        <v>240</v>
      </c>
      <c r="R414" s="194">
        <f>Таблица1[[#This Row],[Сумма 
Продажа]]-Таблица1[[#This Row],[Сумма 
Приход]]-Таблица1[[#This Row],[Авто услу ]]</f>
        <v>1968848</v>
      </c>
      <c r="S414" s="194">
        <v>2800000</v>
      </c>
      <c r="T414" s="194">
        <f>Таблица1[[#This Row],[Сумма 
Продажа]]-IF(Таблица1[[#This Row],[Расход 
Авто]]="Клиент",N(Таблица1[[#This Row],[Авто услу ]]),0)</f>
        <v>20839040</v>
      </c>
      <c r="U414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Темур</v>
      </c>
      <c r="V414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4" s="287" t="str">
        <f>IFERROR(INDEX(Мижозлар[Агент],MATCH($D414,Мижозлар[Расмий ном],0)),"")</f>
        <v>Темур</v>
      </c>
    </row>
    <row r="415" spans="1:23" ht="14.25" x14ac:dyDescent="0.2">
      <c r="A415" s="28" t="s">
        <v>44</v>
      </c>
      <c r="B415" s="191" t="s">
        <v>26</v>
      </c>
      <c r="C415" s="192"/>
      <c r="D415" s="192"/>
      <c r="E415" s="193">
        <v>46268</v>
      </c>
      <c r="F415" s="191" t="s">
        <v>432</v>
      </c>
      <c r="G415" s="194" t="s">
        <v>368</v>
      </c>
      <c r="H415" s="195"/>
      <c r="I415" s="194">
        <v>574750</v>
      </c>
      <c r="J415" s="194">
        <f>Таблица1[[#This Row],[Блок
 Куб]]*Таблица1[[#This Row],[Цена 
Приход]]</f>
        <v>0</v>
      </c>
      <c r="K415" s="194"/>
      <c r="L415" s="194">
        <v>130000</v>
      </c>
      <c r="M415" s="194">
        <f>Таблица1[[#This Row],[Поддон
Шт]]*Таблица1[[#This Row],[Цена
Поддон]]</f>
        <v>0</v>
      </c>
      <c r="N415" s="194">
        <f>Таблица1[[#This Row],[Сумма 
Приход]]+Таблица1[[#This Row],[Сумма Поддон]]</f>
        <v>0</v>
      </c>
      <c r="O415" s="194"/>
      <c r="P415" s="194">
        <f>Таблица1[[#This Row],[Блок
 Куб]]*Таблица1[[#This Row],[Цена
 Продажа]]</f>
        <v>0</v>
      </c>
      <c r="Q415" s="194"/>
      <c r="R415" s="194">
        <f>Таблица1[[#This Row],[Сумма 
Продажа]]-Таблица1[[#This Row],[Сумма 
Приход]]-Таблица1[[#This Row],[Авто услу ]]</f>
        <v>0</v>
      </c>
      <c r="S415" s="194"/>
      <c r="T415" s="194">
        <f>Таблица1[[#This Row],[Сумма 
Продажа]]-IF(Таблица1[[#This Row],[Расход 
Авто]]="Клиент",N(Таблица1[[#This Row],[Авто услу ]]),0)</f>
        <v>0</v>
      </c>
      <c r="U415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15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5" s="287" t="str">
        <f>IFERROR(INDEX(Мижозлар[Агент],MATCH($D415,Мижозлар[Расмий ном],0)),"")</f>
        <v/>
      </c>
    </row>
    <row r="416" spans="1:23" ht="14.25" x14ac:dyDescent="0.2">
      <c r="A416" s="28" t="s">
        <v>44</v>
      </c>
      <c r="B416" s="191" t="s">
        <v>26</v>
      </c>
      <c r="C416" s="192" t="s">
        <v>29</v>
      </c>
      <c r="D416" s="192" t="s">
        <v>89</v>
      </c>
      <c r="E416" s="193">
        <v>46267</v>
      </c>
      <c r="F416" s="191" t="s">
        <v>709</v>
      </c>
      <c r="G416" s="194" t="s">
        <v>355</v>
      </c>
      <c r="H416" s="195">
        <v>32.832000000000001</v>
      </c>
      <c r="I416" s="194">
        <v>574750</v>
      </c>
      <c r="J416" s="194">
        <f>Таблица1[[#This Row],[Блок
 Куб]]*Таблица1[[#This Row],[Цена 
Приход]]</f>
        <v>18870192</v>
      </c>
      <c r="K416" s="194">
        <v>19</v>
      </c>
      <c r="L416" s="194">
        <v>130000</v>
      </c>
      <c r="M416" s="194">
        <f>Таблица1[[#This Row],[Поддон
Шт]]*Таблица1[[#This Row],[Цена
Поддон]]</f>
        <v>2470000</v>
      </c>
      <c r="N416" s="194">
        <f>Таблица1[[#This Row],[Сумма 
Приход]]+Таблица1[[#This Row],[Сумма Поддон]]</f>
        <v>21340192</v>
      </c>
      <c r="O416" s="194">
        <v>720000</v>
      </c>
      <c r="P416" s="194">
        <f>Таблица1[[#This Row],[Блок
 Куб]]*Таблица1[[#This Row],[Цена
 Продажа]]</f>
        <v>23639040</v>
      </c>
      <c r="Q416" s="194" t="s">
        <v>240</v>
      </c>
      <c r="R416" s="194">
        <f>Таблица1[[#This Row],[Сумма 
Продажа]]-Таблица1[[#This Row],[Сумма 
Приход]]-Таблица1[[#This Row],[Авто услу ]]</f>
        <v>1968848</v>
      </c>
      <c r="S416" s="194">
        <v>2800000</v>
      </c>
      <c r="T416" s="194">
        <f>Таблица1[[#This Row],[Сумма 
Продажа]]-IF(Таблица1[[#This Row],[Расход 
Авто]]="Клиент",N(Таблица1[[#This Row],[Авто услу ]]),0)</f>
        <v>20839040</v>
      </c>
      <c r="U416" s="232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16" s="232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6" s="287" t="str">
        <f>IFERROR(INDEX(Мижозлар[Агент],MATCH($D416,Мижозлар[Расмий ном],0)),"")</f>
        <v>Зафар ога</v>
      </c>
    </row>
    <row r="417" spans="1:23" ht="14.25" x14ac:dyDescent="0.2">
      <c r="A417" s="21" t="s">
        <v>44</v>
      </c>
      <c r="B417" s="135" t="s">
        <v>26</v>
      </c>
      <c r="C417" s="141" t="s">
        <v>29</v>
      </c>
      <c r="D417" s="141" t="s">
        <v>67</v>
      </c>
      <c r="E417" s="136">
        <v>46268</v>
      </c>
      <c r="F417" s="135" t="s">
        <v>714</v>
      </c>
      <c r="G417" s="34" t="s">
        <v>368</v>
      </c>
      <c r="H417" s="142">
        <v>32.832000000000001</v>
      </c>
      <c r="I417" s="306">
        <v>574750</v>
      </c>
      <c r="J417" s="34">
        <f>Таблица1[[#This Row],[Блок
 Куб]]*Таблица1[[#This Row],[Цена 
Приход]]</f>
        <v>18870192</v>
      </c>
      <c r="K417" s="34">
        <v>19</v>
      </c>
      <c r="L417" s="34">
        <v>130000</v>
      </c>
      <c r="M417" s="34">
        <f>Таблица1[[#This Row],[Поддон
Шт]]*Таблица1[[#This Row],[Цена
Поддон]]</f>
        <v>2470000</v>
      </c>
      <c r="N417" s="34">
        <f>Таблица1[[#This Row],[Сумма 
Приход]]+Таблица1[[#This Row],[Сумма Поддон]]</f>
        <v>21340192</v>
      </c>
      <c r="O417" s="34">
        <v>720000</v>
      </c>
      <c r="P417" s="34">
        <f>Таблица1[[#This Row],[Блок
 Куб]]*Таблица1[[#This Row],[Цена
 Продажа]]</f>
        <v>23639040</v>
      </c>
      <c r="Q417" s="34" t="s">
        <v>240</v>
      </c>
      <c r="R417" s="34">
        <f>Таблица1[[#This Row],[Сумма 
Продажа]]-Таблица1[[#This Row],[Сумма 
Приход]]-Таблица1[[#This Row],[Авто услу ]]</f>
        <v>1968848</v>
      </c>
      <c r="S417" s="34">
        <v>2800000</v>
      </c>
      <c r="T417" s="34">
        <f>Таблица1[[#This Row],[Сумма 
Продажа]]-IF(Таблица1[[#This Row],[Расход 
Авто]]="Клиент",N(Таблица1[[#This Row],[Авто услу ]]),0)</f>
        <v>20839040</v>
      </c>
      <c r="U4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7" s="265" t="str">
        <f>IFERROR(INDEX(Мижозлар[Агент],MATCH($D417,Мижозлар[Расмий ном],0)),"")</f>
        <v>Зафар ога</v>
      </c>
    </row>
    <row r="418" spans="1:23" ht="14.25" x14ac:dyDescent="0.2">
      <c r="A418" s="21"/>
      <c r="B418" s="135"/>
      <c r="C418" s="141"/>
      <c r="D418" s="141"/>
      <c r="E418" s="136">
        <v>46268</v>
      </c>
      <c r="F418" s="135" t="s">
        <v>730</v>
      </c>
      <c r="G418" s="34" t="s">
        <v>355</v>
      </c>
      <c r="H418" s="142"/>
      <c r="I418" s="34">
        <v>574750</v>
      </c>
      <c r="J418" s="34">
        <f>Таблица1[[#This Row],[Блок
 Куб]]*Таблица1[[#This Row],[Цена 
Приход]]</f>
        <v>0</v>
      </c>
      <c r="K418" s="34"/>
      <c r="L418" s="34">
        <v>130000</v>
      </c>
      <c r="M418" s="34">
        <f>Таблица1[[#This Row],[Поддон
Шт]]*Таблица1[[#This Row],[Цена
Поддон]]</f>
        <v>0</v>
      </c>
      <c r="N418" s="34">
        <f>Таблица1[[#This Row],[Сумма 
Приход]]+Таблица1[[#This Row],[Сумма Поддон]]</f>
        <v>0</v>
      </c>
      <c r="O418" s="34"/>
      <c r="P418" s="34">
        <f>Таблица1[[#This Row],[Блок
 Куб]]*Таблица1[[#This Row],[Цена
 Продажа]]</f>
        <v>0</v>
      </c>
      <c r="Q418" s="34"/>
      <c r="R418" s="34">
        <f>Таблица1[[#This Row],[Сумма 
Продажа]]-Таблица1[[#This Row],[Сумма 
Приход]]-Таблица1[[#This Row],[Авто услу ]]</f>
        <v>0</v>
      </c>
      <c r="S418" s="34"/>
      <c r="T418" s="34">
        <f>Таблица1[[#This Row],[Сумма 
Продажа]]-IF(Таблица1[[#This Row],[Расход 
Авто]]="Клиент",N(Таблица1[[#This Row],[Авто услу ]]),0)</f>
        <v>0</v>
      </c>
      <c r="U4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8" s="265" t="str">
        <f>IFERROR(INDEX(Мижозлар[Агент],MATCH($D418,Мижозлар[Расмий ном],0)),"")</f>
        <v/>
      </c>
    </row>
    <row r="419" spans="1:23" ht="14.25" x14ac:dyDescent="0.2">
      <c r="A419" s="21" t="s">
        <v>44</v>
      </c>
      <c r="B419" s="135" t="s">
        <v>26</v>
      </c>
      <c r="C419" s="141" t="s">
        <v>29</v>
      </c>
      <c r="D419" s="141" t="s">
        <v>67</v>
      </c>
      <c r="E419" s="136">
        <v>46268</v>
      </c>
      <c r="F419" s="135" t="s">
        <v>731</v>
      </c>
      <c r="G419" s="34" t="s">
        <v>368</v>
      </c>
      <c r="H419" s="142">
        <v>32.832000000000001</v>
      </c>
      <c r="I419" s="34">
        <v>574750</v>
      </c>
      <c r="J419" s="34">
        <f>Таблица1[[#This Row],[Блок
 Куб]]*Таблица1[[#This Row],[Цена 
Приход]]</f>
        <v>18870192</v>
      </c>
      <c r="K419" s="34">
        <v>19</v>
      </c>
      <c r="L419" s="34">
        <v>130000</v>
      </c>
      <c r="M419" s="34">
        <f>Таблица1[[#This Row],[Поддон
Шт]]*Таблица1[[#This Row],[Цена
Поддон]]</f>
        <v>2470000</v>
      </c>
      <c r="N419" s="34">
        <f>Таблица1[[#This Row],[Сумма 
Приход]]+Таблица1[[#This Row],[Сумма Поддон]]</f>
        <v>21340192</v>
      </c>
      <c r="O419" s="34">
        <v>720000</v>
      </c>
      <c r="P419" s="34">
        <f>Таблица1[[#This Row],[Блок
 Куб]]*Таблица1[[#This Row],[Цена
 Продажа]]</f>
        <v>23639040</v>
      </c>
      <c r="Q419" s="34" t="s">
        <v>240</v>
      </c>
      <c r="R419" s="34">
        <f>Таблица1[[#This Row],[Сумма 
Продажа]]-Таблица1[[#This Row],[Сумма 
Приход]]-Таблица1[[#This Row],[Авто услу ]]</f>
        <v>1968848</v>
      </c>
      <c r="S419" s="34">
        <v>2800000</v>
      </c>
      <c r="T419" s="34">
        <f>Таблица1[[#This Row],[Сумма 
Продажа]]-IF(Таблица1[[#This Row],[Расход 
Авто]]="Клиент",N(Таблица1[[#This Row],[Авто услу ]]),0)</f>
        <v>20839040</v>
      </c>
      <c r="U4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19" s="265" t="str">
        <f>IFERROR(INDEX(Мижозлар[Агент],MATCH($D419,Мижозлар[Расмий ном],0)),"")</f>
        <v>Зафар ога</v>
      </c>
    </row>
    <row r="420" spans="1:23" ht="14.25" x14ac:dyDescent="0.2">
      <c r="A420" s="21" t="s">
        <v>44</v>
      </c>
      <c r="B420" s="135" t="s">
        <v>26</v>
      </c>
      <c r="C420" s="141" t="s">
        <v>29</v>
      </c>
      <c r="D420" s="141" t="s">
        <v>89</v>
      </c>
      <c r="E420" s="136">
        <v>46268</v>
      </c>
      <c r="F420" s="135" t="s">
        <v>732</v>
      </c>
      <c r="G420" s="34" t="s">
        <v>355</v>
      </c>
      <c r="H420" s="142">
        <v>32.832000000000001</v>
      </c>
      <c r="I420" s="34">
        <v>574750</v>
      </c>
      <c r="J420" s="34">
        <f>Таблица1[[#This Row],[Блок
 Куб]]*Таблица1[[#This Row],[Цена 
Приход]]</f>
        <v>18870192</v>
      </c>
      <c r="K420" s="34">
        <v>19</v>
      </c>
      <c r="L420" s="34">
        <v>130000</v>
      </c>
      <c r="M420" s="34">
        <f>Таблица1[[#This Row],[Поддон
Шт]]*Таблица1[[#This Row],[Цена
Поддон]]</f>
        <v>2470000</v>
      </c>
      <c r="N420" s="34">
        <f>Таблица1[[#This Row],[Сумма 
Приход]]+Таблица1[[#This Row],[Сумма Поддон]]</f>
        <v>21340192</v>
      </c>
      <c r="O420" s="34">
        <v>720000</v>
      </c>
      <c r="P420" s="34">
        <f>Таблица1[[#This Row],[Блок
 Куб]]*Таблица1[[#This Row],[Цена
 Продажа]]</f>
        <v>23639040</v>
      </c>
      <c r="Q420" s="34" t="s">
        <v>240</v>
      </c>
      <c r="R420" s="34">
        <f>Таблица1[[#This Row],[Сумма 
Продажа]]-Таблица1[[#This Row],[Сумма 
Приход]]-Таблица1[[#This Row],[Авто услу ]]</f>
        <v>1968848</v>
      </c>
      <c r="S420" s="34">
        <v>2800000</v>
      </c>
      <c r="T420" s="34">
        <f>Таблица1[[#This Row],[Сумма 
Продажа]]-IF(Таблица1[[#This Row],[Расход 
Авто]]="Клиент",N(Таблица1[[#This Row],[Авто услу ]]),0)</f>
        <v>20839040</v>
      </c>
      <c r="U4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>Зафар ога</v>
      </c>
      <c r="V4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0" s="265" t="str">
        <f>IFERROR(INDEX(Мижозлар[Агент],MATCH($D420,Мижозлар[Расмий ном],0)),"")</f>
        <v>Зафар ога</v>
      </c>
    </row>
    <row r="421" spans="1:23" ht="14.25" x14ac:dyDescent="0.2">
      <c r="A421" s="21" t="s">
        <v>44</v>
      </c>
      <c r="B421" s="135" t="s">
        <v>26</v>
      </c>
      <c r="C421" s="141"/>
      <c r="D421" s="141"/>
      <c r="E421" s="136">
        <v>46268</v>
      </c>
      <c r="F421" s="135" t="s">
        <v>701</v>
      </c>
      <c r="G421" s="34" t="s">
        <v>355</v>
      </c>
      <c r="H421" s="142"/>
      <c r="I421" s="34">
        <v>574750</v>
      </c>
      <c r="J421" s="34">
        <f>Таблица1[[#This Row],[Блок
 Куб]]*Таблица1[[#This Row],[Цена 
Приход]]</f>
        <v>0</v>
      </c>
      <c r="K421" s="34"/>
      <c r="L421" s="34">
        <v>130000</v>
      </c>
      <c r="M421" s="34">
        <f>Таблица1[[#This Row],[Поддон
Шт]]*Таблица1[[#This Row],[Цена
Поддон]]</f>
        <v>0</v>
      </c>
      <c r="N421" s="34">
        <f>Таблица1[[#This Row],[Сумма 
Приход]]+Таблица1[[#This Row],[Сумма Поддон]]</f>
        <v>0</v>
      </c>
      <c r="O421" s="34"/>
      <c r="P421" s="34">
        <f>Таблица1[[#This Row],[Блок
 Куб]]*Таблица1[[#This Row],[Цена
 Продажа]]</f>
        <v>0</v>
      </c>
      <c r="Q421" s="34"/>
      <c r="R421" s="34">
        <f>Таблица1[[#This Row],[Сумма 
Продажа]]-Таблица1[[#This Row],[Сумма 
Приход]]-Таблица1[[#This Row],[Авто услу ]]</f>
        <v>0</v>
      </c>
      <c r="S421" s="34"/>
      <c r="T421" s="34">
        <f>Таблица1[[#This Row],[Сумма 
Продажа]]-IF(Таблица1[[#This Row],[Расход 
Авто]]="Клиент",N(Таблица1[[#This Row],[Авто услу ]]),0)</f>
        <v>0</v>
      </c>
      <c r="U4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1" s="265" t="str">
        <f>IFERROR(INDEX(Мижозлар[Агент],MATCH($D421,Мижозлар[Расмий ном],0)),"")</f>
        <v/>
      </c>
    </row>
    <row r="422" spans="1:23" ht="14.25" x14ac:dyDescent="0.2">
      <c r="A422" s="21"/>
      <c r="B422" s="135"/>
      <c r="C422" s="141"/>
      <c r="D422" s="141"/>
      <c r="E422" s="136">
        <v>46268</v>
      </c>
      <c r="F422" s="135" t="s">
        <v>498</v>
      </c>
      <c r="G422" s="34" t="s">
        <v>355</v>
      </c>
      <c r="H422" s="142"/>
      <c r="I422" s="34"/>
      <c r="J422" s="34">
        <f>Таблица1[[#This Row],[Блок
 Куб]]*Таблица1[[#This Row],[Цена 
Приход]]</f>
        <v>0</v>
      </c>
      <c r="K422" s="34"/>
      <c r="L422" s="34"/>
      <c r="M422" s="34">
        <f>Таблица1[[#This Row],[Поддон
Шт]]*Таблица1[[#This Row],[Цена
Поддон]]</f>
        <v>0</v>
      </c>
      <c r="N422" s="34">
        <f>Таблица1[[#This Row],[Сумма 
Приход]]+Таблица1[[#This Row],[Сумма Поддон]]</f>
        <v>0</v>
      </c>
      <c r="O422" s="34"/>
      <c r="P422" s="34">
        <f>Таблица1[[#This Row],[Блок
 Куб]]*Таблица1[[#This Row],[Цена
 Продажа]]</f>
        <v>0</v>
      </c>
      <c r="Q422" s="34"/>
      <c r="R422" s="34">
        <f>Таблица1[[#This Row],[Сумма 
Продажа]]-Таблица1[[#This Row],[Сумма 
Приход]]-Таблица1[[#This Row],[Авто услу ]]</f>
        <v>0</v>
      </c>
      <c r="S422" s="34"/>
      <c r="T422" s="34">
        <f>Таблица1[[#This Row],[Сумма 
Продажа]]-IF(Таблица1[[#This Row],[Расход 
Авто]]="Клиент",N(Таблица1[[#This Row],[Авто услу ]]),0)</f>
        <v>0</v>
      </c>
      <c r="U4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2" s="265" t="str">
        <f>IFERROR(INDEX(Мижозлар[Агент],MATCH($D422,Мижозлар[Расмий ном],0)),"")</f>
        <v/>
      </c>
    </row>
    <row r="423" spans="1:23" ht="14.25" x14ac:dyDescent="0.2">
      <c r="A423" s="21"/>
      <c r="B423" s="135"/>
      <c r="C423" s="141"/>
      <c r="D423" s="141"/>
      <c r="E423" s="136">
        <v>46268</v>
      </c>
      <c r="F423" s="135" t="s">
        <v>586</v>
      </c>
      <c r="G423" s="34" t="s">
        <v>355</v>
      </c>
      <c r="H423" s="142"/>
      <c r="I423" s="34"/>
      <c r="J423" s="34">
        <f>Таблица1[[#This Row],[Блок
 Куб]]*Таблица1[[#This Row],[Цена 
Приход]]</f>
        <v>0</v>
      </c>
      <c r="K423" s="34"/>
      <c r="L423" s="34"/>
      <c r="M423" s="34">
        <f>Таблица1[[#This Row],[Поддон
Шт]]*Таблица1[[#This Row],[Цена
Поддон]]</f>
        <v>0</v>
      </c>
      <c r="N423" s="34">
        <f>Таблица1[[#This Row],[Сумма 
Приход]]+Таблица1[[#This Row],[Сумма Поддон]]</f>
        <v>0</v>
      </c>
      <c r="O423" s="34"/>
      <c r="P423" s="34">
        <f>Таблица1[[#This Row],[Блок
 Куб]]*Таблица1[[#This Row],[Цена
 Продажа]]</f>
        <v>0</v>
      </c>
      <c r="Q423" s="34"/>
      <c r="R423" s="34">
        <f>Таблица1[[#This Row],[Сумма 
Продажа]]-Таблица1[[#This Row],[Сумма 
Приход]]-Таблица1[[#This Row],[Авто услу ]]</f>
        <v>0</v>
      </c>
      <c r="S423" s="34"/>
      <c r="T423" s="34">
        <f>Таблица1[[#This Row],[Сумма 
Продажа]]-IF(Таблица1[[#This Row],[Расход 
Авто]]="Клиент",N(Таблица1[[#This Row],[Авто услу ]]),0)</f>
        <v>0</v>
      </c>
      <c r="U4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3" s="265" t="str">
        <f>IFERROR(INDEX(Мижозлар[Агент],MATCH($D423,Мижозлар[Расмий ном],0)),"")</f>
        <v/>
      </c>
    </row>
    <row r="424" spans="1:23" ht="14.25" x14ac:dyDescent="0.2">
      <c r="A424" s="21"/>
      <c r="B424" s="135"/>
      <c r="C424" s="141"/>
      <c r="D424" s="141"/>
      <c r="E424" s="136">
        <v>46268</v>
      </c>
      <c r="F424" s="135" t="s">
        <v>724</v>
      </c>
      <c r="G424" s="34" t="s">
        <v>355</v>
      </c>
      <c r="H424" s="142"/>
      <c r="I424" s="34"/>
      <c r="J424" s="34">
        <f>Таблица1[[#This Row],[Блок
 Куб]]*Таблица1[[#This Row],[Цена 
Приход]]</f>
        <v>0</v>
      </c>
      <c r="K424" s="34"/>
      <c r="L424" s="34"/>
      <c r="M424" s="34">
        <f>Таблица1[[#This Row],[Поддон
Шт]]*Таблица1[[#This Row],[Цена
Поддон]]</f>
        <v>0</v>
      </c>
      <c r="N424" s="34">
        <f>Таблица1[[#This Row],[Сумма 
Приход]]+Таблица1[[#This Row],[Сумма Поддон]]</f>
        <v>0</v>
      </c>
      <c r="O424" s="34"/>
      <c r="P424" s="34">
        <f>Таблица1[[#This Row],[Блок
 Куб]]*Таблица1[[#This Row],[Цена
 Продажа]]</f>
        <v>0</v>
      </c>
      <c r="Q424" s="34"/>
      <c r="R424" s="34">
        <f>Таблица1[[#This Row],[Сумма 
Продажа]]-Таблица1[[#This Row],[Сумма 
Приход]]-Таблица1[[#This Row],[Авто услу ]]</f>
        <v>0</v>
      </c>
      <c r="S424" s="34"/>
      <c r="T424" s="34">
        <f>Таблица1[[#This Row],[Сумма 
Продажа]]-IF(Таблица1[[#This Row],[Расход 
Авто]]="Клиент",N(Таблица1[[#This Row],[Авто услу ]]),0)</f>
        <v>0</v>
      </c>
      <c r="U4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4" s="265" t="str">
        <f>IFERROR(INDEX(Мижозлар[Агент],MATCH($D424,Мижозлар[Расмий ном],0)),"")</f>
        <v/>
      </c>
    </row>
    <row r="425" spans="1:23" ht="14.25" x14ac:dyDescent="0.2">
      <c r="A425" s="21"/>
      <c r="B425" s="135"/>
      <c r="C425" s="141"/>
      <c r="D425" s="141"/>
      <c r="E425" s="136"/>
      <c r="F425" s="135"/>
      <c r="G425" s="34"/>
      <c r="H425" s="142"/>
      <c r="I425" s="34"/>
      <c r="J425" s="34">
        <f>Таблица1[[#This Row],[Блок
 Куб]]*Таблица1[[#This Row],[Цена 
Приход]]</f>
        <v>0</v>
      </c>
      <c r="K425" s="34"/>
      <c r="L425" s="34"/>
      <c r="M425" s="34">
        <f>Таблица1[[#This Row],[Поддон
Шт]]*Таблица1[[#This Row],[Цена
Поддон]]</f>
        <v>0</v>
      </c>
      <c r="N425" s="34">
        <f>Таблица1[[#This Row],[Сумма 
Приход]]+Таблица1[[#This Row],[Сумма Поддон]]</f>
        <v>0</v>
      </c>
      <c r="O425" s="34"/>
      <c r="P425" s="34">
        <f>Таблица1[[#This Row],[Блок
 Куб]]*Таблица1[[#This Row],[Цена
 Продажа]]</f>
        <v>0</v>
      </c>
      <c r="Q425" s="34"/>
      <c r="R425" s="34">
        <f>Таблица1[[#This Row],[Сумма 
Продажа]]-Таблица1[[#This Row],[Сумма 
Приход]]-Таблица1[[#This Row],[Авто услу ]]</f>
        <v>0</v>
      </c>
      <c r="S425" s="34"/>
      <c r="T425" s="34">
        <f>Таблица1[[#This Row],[Сумма 
Продажа]]-IF(Таблица1[[#This Row],[Расход 
Авто]]="Клиент",N(Таблица1[[#This Row],[Авто услу ]]),0)</f>
        <v>0</v>
      </c>
      <c r="U4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5" s="265" t="str">
        <f>IFERROR(INDEX(Мижозлар[Агент],MATCH($D425,Мижозлар[Расмий ном],0)),"")</f>
        <v/>
      </c>
    </row>
    <row r="426" spans="1:23" ht="14.25" x14ac:dyDescent="0.2">
      <c r="A426" s="21"/>
      <c r="B426" s="135"/>
      <c r="C426" s="141"/>
      <c r="D426" s="141"/>
      <c r="E426" s="136"/>
      <c r="F426" s="135"/>
      <c r="G426" s="34"/>
      <c r="H426" s="142"/>
      <c r="I426" s="34"/>
      <c r="J426" s="34">
        <f>Таблица1[[#This Row],[Блок
 Куб]]*Таблица1[[#This Row],[Цена 
Приход]]</f>
        <v>0</v>
      </c>
      <c r="K426" s="34"/>
      <c r="L426" s="34"/>
      <c r="M426" s="34">
        <f>Таблица1[[#This Row],[Поддон
Шт]]*Таблица1[[#This Row],[Цена
Поддон]]</f>
        <v>0</v>
      </c>
      <c r="N426" s="34">
        <f>Таблица1[[#This Row],[Сумма 
Приход]]+Таблица1[[#This Row],[Сумма Поддон]]</f>
        <v>0</v>
      </c>
      <c r="O426" s="34"/>
      <c r="P426" s="34">
        <f>Таблица1[[#This Row],[Блок
 Куб]]*Таблица1[[#This Row],[Цена
 Продажа]]</f>
        <v>0</v>
      </c>
      <c r="Q426" s="34"/>
      <c r="R426" s="34">
        <f>Таблица1[[#This Row],[Сумма 
Продажа]]-Таблица1[[#This Row],[Сумма 
Приход]]-Таблица1[[#This Row],[Авто услу ]]</f>
        <v>0</v>
      </c>
      <c r="S426" s="34"/>
      <c r="T426" s="34">
        <f>Таблица1[[#This Row],[Сумма 
Продажа]]-IF(Таблица1[[#This Row],[Расход 
Авто]]="Клиент",N(Таблица1[[#This Row],[Авто услу ]]),0)</f>
        <v>0</v>
      </c>
      <c r="U4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6" s="265" t="str">
        <f>IFERROR(INDEX(Мижозлар[Агент],MATCH($D426,Мижозлар[Расмий ном],0)),"")</f>
        <v/>
      </c>
    </row>
    <row r="427" spans="1:23" ht="14.25" x14ac:dyDescent="0.2">
      <c r="A427" s="21"/>
      <c r="B427" s="135"/>
      <c r="C427" s="141"/>
      <c r="D427" s="141"/>
      <c r="E427" s="136"/>
      <c r="F427" s="135"/>
      <c r="G427" s="34"/>
      <c r="H427" s="142"/>
      <c r="I427" s="34"/>
      <c r="J427" s="34">
        <f>Таблица1[[#This Row],[Блок
 Куб]]*Таблица1[[#This Row],[Цена 
Приход]]</f>
        <v>0</v>
      </c>
      <c r="K427" s="34"/>
      <c r="L427" s="34"/>
      <c r="M427" s="34">
        <f>Таблица1[[#This Row],[Поддон
Шт]]*Таблица1[[#This Row],[Цена
Поддон]]</f>
        <v>0</v>
      </c>
      <c r="N427" s="34">
        <f>Таблица1[[#This Row],[Сумма 
Приход]]+Таблица1[[#This Row],[Сумма Поддон]]</f>
        <v>0</v>
      </c>
      <c r="O427" s="34"/>
      <c r="P427" s="34">
        <f>Таблица1[[#This Row],[Блок
 Куб]]*Таблица1[[#This Row],[Цена
 Продажа]]</f>
        <v>0</v>
      </c>
      <c r="Q427" s="34"/>
      <c r="R427" s="34">
        <f>Таблица1[[#This Row],[Сумма 
Продажа]]-Таблица1[[#This Row],[Сумма 
Приход]]-Таблица1[[#This Row],[Авто услу ]]</f>
        <v>0</v>
      </c>
      <c r="S427" s="34"/>
      <c r="T427" s="34">
        <f>Таблица1[[#This Row],[Сумма 
Продажа]]-IF(Таблица1[[#This Row],[Расход 
Авто]]="Клиент",N(Таблица1[[#This Row],[Авто услу ]]),0)</f>
        <v>0</v>
      </c>
      <c r="U4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7" s="265" t="str">
        <f>IFERROR(INDEX(Мижозлар[Агент],MATCH($D427,Мижозлар[Расмий ном],0)),"")</f>
        <v/>
      </c>
    </row>
    <row r="428" spans="1:23" ht="14.25" x14ac:dyDescent="0.2">
      <c r="A428" s="21"/>
      <c r="B428" s="135"/>
      <c r="C428" s="141"/>
      <c r="D428" s="141"/>
      <c r="E428" s="136"/>
      <c r="F428" s="135"/>
      <c r="G428" s="34"/>
      <c r="H428" s="142"/>
      <c r="I428" s="34"/>
      <c r="J428" s="34">
        <f>Таблица1[[#This Row],[Блок
 Куб]]*Таблица1[[#This Row],[Цена 
Приход]]</f>
        <v>0</v>
      </c>
      <c r="K428" s="34"/>
      <c r="L428" s="34"/>
      <c r="M428" s="34">
        <f>Таблица1[[#This Row],[Поддон
Шт]]*Таблица1[[#This Row],[Цена
Поддон]]</f>
        <v>0</v>
      </c>
      <c r="N428" s="34">
        <f>Таблица1[[#This Row],[Сумма 
Приход]]+Таблица1[[#This Row],[Сумма Поддон]]</f>
        <v>0</v>
      </c>
      <c r="O428" s="34"/>
      <c r="P428" s="34">
        <f>Таблица1[[#This Row],[Блок
 Куб]]*Таблица1[[#This Row],[Цена
 Продажа]]</f>
        <v>0</v>
      </c>
      <c r="Q428" s="34"/>
      <c r="R428" s="34">
        <f>Таблица1[[#This Row],[Сумма 
Продажа]]-Таблица1[[#This Row],[Сумма 
Приход]]-Таблица1[[#This Row],[Авто услу ]]</f>
        <v>0</v>
      </c>
      <c r="S428" s="34"/>
      <c r="T428" s="34">
        <f>Таблица1[[#This Row],[Сумма 
Продажа]]-IF(Таблица1[[#This Row],[Расход 
Авто]]="Клиент",N(Таблица1[[#This Row],[Авто услу ]]),0)</f>
        <v>0</v>
      </c>
      <c r="U4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8" s="265" t="str">
        <f>IFERROR(INDEX(Мижозлар[Агент],MATCH($D428,Мижозлар[Расмий ном],0)),"")</f>
        <v/>
      </c>
    </row>
    <row r="429" spans="1:23" ht="14.25" x14ac:dyDescent="0.2">
      <c r="A429" s="21"/>
      <c r="B429" s="135"/>
      <c r="C429" s="141"/>
      <c r="D429" s="141"/>
      <c r="E429" s="136"/>
      <c r="F429" s="135"/>
      <c r="G429" s="34"/>
      <c r="H429" s="142"/>
      <c r="I429" s="34"/>
      <c r="J429" s="34">
        <f>Таблица1[[#This Row],[Блок
 Куб]]*Таблица1[[#This Row],[Цена 
Приход]]</f>
        <v>0</v>
      </c>
      <c r="K429" s="34"/>
      <c r="L429" s="34"/>
      <c r="M429" s="34">
        <f>Таблица1[[#This Row],[Поддон
Шт]]*Таблица1[[#This Row],[Цена
Поддон]]</f>
        <v>0</v>
      </c>
      <c r="N429" s="34">
        <f>Таблица1[[#This Row],[Сумма 
Приход]]+Таблица1[[#This Row],[Сумма Поддон]]</f>
        <v>0</v>
      </c>
      <c r="O429" s="34"/>
      <c r="P429" s="34">
        <f>Таблица1[[#This Row],[Блок
 Куб]]*Таблица1[[#This Row],[Цена
 Продажа]]</f>
        <v>0</v>
      </c>
      <c r="Q429" s="34"/>
      <c r="R429" s="34">
        <f>Таблица1[[#This Row],[Сумма 
Продажа]]-Таблица1[[#This Row],[Сумма 
Приход]]-Таблица1[[#This Row],[Авто услу ]]</f>
        <v>0</v>
      </c>
      <c r="S429" s="34"/>
      <c r="T429" s="34">
        <f>Таблица1[[#This Row],[Сумма 
Продажа]]-IF(Таблица1[[#This Row],[Расход 
Авто]]="Клиент",N(Таблица1[[#This Row],[Авто услу ]]),0)</f>
        <v>0</v>
      </c>
      <c r="U4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29" s="265" t="str">
        <f>IFERROR(INDEX(Мижозлар[Агент],MATCH($D429,Мижозлар[Расмий ном],0)),"")</f>
        <v/>
      </c>
    </row>
    <row r="430" spans="1:23" ht="14.25" x14ac:dyDescent="0.2">
      <c r="A430" s="21"/>
      <c r="B430" s="135"/>
      <c r="C430" s="141"/>
      <c r="D430" s="141"/>
      <c r="E430" s="136"/>
      <c r="F430" s="135"/>
      <c r="G430" s="34"/>
      <c r="H430" s="142"/>
      <c r="I430" s="34"/>
      <c r="J430" s="34">
        <f>Таблица1[[#This Row],[Блок
 Куб]]*Таблица1[[#This Row],[Цена 
Приход]]</f>
        <v>0</v>
      </c>
      <c r="K430" s="34"/>
      <c r="L430" s="34"/>
      <c r="M430" s="34">
        <f>Таблица1[[#This Row],[Поддон
Шт]]*Таблица1[[#This Row],[Цена
Поддон]]</f>
        <v>0</v>
      </c>
      <c r="N430" s="34">
        <f>Таблица1[[#This Row],[Сумма 
Приход]]+Таблица1[[#This Row],[Сумма Поддон]]</f>
        <v>0</v>
      </c>
      <c r="O430" s="34"/>
      <c r="P430" s="34">
        <f>Таблица1[[#This Row],[Блок
 Куб]]*Таблица1[[#This Row],[Цена
 Продажа]]</f>
        <v>0</v>
      </c>
      <c r="Q430" s="34"/>
      <c r="R430" s="34">
        <f>Таблица1[[#This Row],[Сумма 
Продажа]]-Таблица1[[#This Row],[Сумма 
Приход]]-Таблица1[[#This Row],[Авто услу ]]</f>
        <v>0</v>
      </c>
      <c r="S430" s="34"/>
      <c r="T430" s="34">
        <f>Таблица1[[#This Row],[Сумма 
Продажа]]-IF(Таблица1[[#This Row],[Расход 
Авто]]="Клиент",N(Таблица1[[#This Row],[Авто услу ]]),0)</f>
        <v>0</v>
      </c>
      <c r="U4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0" s="265" t="str">
        <f>IFERROR(INDEX(Мижозлар[Агент],MATCH($D430,Мижозлар[Расмий ном],0)),"")</f>
        <v/>
      </c>
    </row>
    <row r="431" spans="1:23" ht="14.25" x14ac:dyDescent="0.2">
      <c r="A431" s="21"/>
      <c r="B431" s="135"/>
      <c r="C431" s="141"/>
      <c r="D431" s="141"/>
      <c r="E431" s="136"/>
      <c r="F431" s="135"/>
      <c r="G431" s="34"/>
      <c r="H431" s="142"/>
      <c r="I431" s="34"/>
      <c r="J431" s="34">
        <f>Таблица1[[#This Row],[Блок
 Куб]]*Таблица1[[#This Row],[Цена 
Приход]]</f>
        <v>0</v>
      </c>
      <c r="K431" s="34"/>
      <c r="L431" s="34"/>
      <c r="M431" s="34">
        <f>Таблица1[[#This Row],[Поддон
Шт]]*Таблица1[[#This Row],[Цена
Поддон]]</f>
        <v>0</v>
      </c>
      <c r="N431" s="34">
        <f>Таблица1[[#This Row],[Сумма 
Приход]]+Таблица1[[#This Row],[Сумма Поддон]]</f>
        <v>0</v>
      </c>
      <c r="O431" s="34"/>
      <c r="P431" s="34">
        <f>Таблица1[[#This Row],[Блок
 Куб]]*Таблица1[[#This Row],[Цена
 Продажа]]</f>
        <v>0</v>
      </c>
      <c r="Q431" s="34"/>
      <c r="R431" s="34">
        <f>Таблица1[[#This Row],[Сумма 
Продажа]]-Таблица1[[#This Row],[Сумма 
Приход]]-Таблица1[[#This Row],[Авто услу ]]</f>
        <v>0</v>
      </c>
      <c r="S431" s="34"/>
      <c r="T431" s="34">
        <f>Таблица1[[#This Row],[Сумма 
Продажа]]-IF(Таблица1[[#This Row],[Расход 
Авто]]="Клиент",N(Таблица1[[#This Row],[Авто услу ]]),0)</f>
        <v>0</v>
      </c>
      <c r="U4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1" s="265" t="str">
        <f>IFERROR(INDEX(Мижозлар[Агент],MATCH($D431,Мижозлар[Расмий ном],0)),"")</f>
        <v/>
      </c>
    </row>
    <row r="432" spans="1:23" ht="14.25" x14ac:dyDescent="0.2">
      <c r="A432" s="21"/>
      <c r="B432" s="135"/>
      <c r="C432" s="141"/>
      <c r="D432" s="141"/>
      <c r="E432" s="136"/>
      <c r="F432" s="135"/>
      <c r="G432" s="34"/>
      <c r="H432" s="142"/>
      <c r="I432" s="34"/>
      <c r="J432" s="34">
        <f>Таблица1[[#This Row],[Блок
 Куб]]*Таблица1[[#This Row],[Цена 
Приход]]</f>
        <v>0</v>
      </c>
      <c r="K432" s="34"/>
      <c r="L432" s="34"/>
      <c r="M432" s="34">
        <f>Таблица1[[#This Row],[Поддон
Шт]]*Таблица1[[#This Row],[Цена
Поддон]]</f>
        <v>0</v>
      </c>
      <c r="N432" s="34">
        <f>Таблица1[[#This Row],[Сумма 
Приход]]+Таблица1[[#This Row],[Сумма Поддон]]</f>
        <v>0</v>
      </c>
      <c r="O432" s="34"/>
      <c r="P432" s="34">
        <f>Таблица1[[#This Row],[Блок
 Куб]]*Таблица1[[#This Row],[Цена
 Продажа]]</f>
        <v>0</v>
      </c>
      <c r="Q432" s="34"/>
      <c r="R432" s="34">
        <f>Таблица1[[#This Row],[Сумма 
Продажа]]-Таблица1[[#This Row],[Сумма 
Приход]]-Таблица1[[#This Row],[Авто услу ]]</f>
        <v>0</v>
      </c>
      <c r="S432" s="34"/>
      <c r="T432" s="34">
        <f>Таблица1[[#This Row],[Сумма 
Продажа]]-IF(Таблица1[[#This Row],[Расход 
Авто]]="Клиент",N(Таблица1[[#This Row],[Авто услу ]]),0)</f>
        <v>0</v>
      </c>
      <c r="U4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2" s="265" t="str">
        <f>IFERROR(INDEX(Мижозлар[Агент],MATCH($D432,Мижозлар[Расмий ном],0)),"")</f>
        <v/>
      </c>
    </row>
    <row r="433" spans="1:23" ht="14.25" x14ac:dyDescent="0.2">
      <c r="A433" s="21"/>
      <c r="B433" s="135"/>
      <c r="C433" s="141"/>
      <c r="D433" s="141"/>
      <c r="E433" s="136"/>
      <c r="F433" s="135"/>
      <c r="G433" s="34"/>
      <c r="H433" s="142"/>
      <c r="I433" s="34"/>
      <c r="J433" s="34">
        <f>Таблица1[[#This Row],[Блок
 Куб]]*Таблица1[[#This Row],[Цена 
Приход]]</f>
        <v>0</v>
      </c>
      <c r="K433" s="34"/>
      <c r="L433" s="34"/>
      <c r="M433" s="34">
        <f>Таблица1[[#This Row],[Поддон
Шт]]*Таблица1[[#This Row],[Цена
Поддон]]</f>
        <v>0</v>
      </c>
      <c r="N433" s="34">
        <f>Таблица1[[#This Row],[Сумма 
Приход]]+Таблица1[[#This Row],[Сумма Поддон]]</f>
        <v>0</v>
      </c>
      <c r="O433" s="34"/>
      <c r="P433" s="34">
        <f>Таблица1[[#This Row],[Блок
 Куб]]*Таблица1[[#This Row],[Цена
 Продажа]]</f>
        <v>0</v>
      </c>
      <c r="Q433" s="34"/>
      <c r="R433" s="34">
        <f>Таблица1[[#This Row],[Сумма 
Продажа]]-Таблица1[[#This Row],[Сумма 
Приход]]-Таблица1[[#This Row],[Авто услу ]]</f>
        <v>0</v>
      </c>
      <c r="S433" s="34"/>
      <c r="T433" s="34">
        <f>Таблица1[[#This Row],[Сумма 
Продажа]]-IF(Таблица1[[#This Row],[Расход 
Авто]]="Клиент",N(Таблица1[[#This Row],[Авто услу ]]),0)</f>
        <v>0</v>
      </c>
      <c r="U4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3" s="265" t="str">
        <f>IFERROR(INDEX(Мижозлар[Агент],MATCH($D433,Мижозлар[Расмий ном],0)),"")</f>
        <v/>
      </c>
    </row>
    <row r="434" spans="1:23" ht="14.25" x14ac:dyDescent="0.2">
      <c r="A434" s="21"/>
      <c r="B434" s="135"/>
      <c r="C434" s="141"/>
      <c r="D434" s="141"/>
      <c r="E434" s="136"/>
      <c r="F434" s="135"/>
      <c r="G434" s="34"/>
      <c r="H434" s="142"/>
      <c r="I434" s="34"/>
      <c r="J434" s="34">
        <f>Таблица1[[#This Row],[Блок
 Куб]]*Таблица1[[#This Row],[Цена 
Приход]]</f>
        <v>0</v>
      </c>
      <c r="K434" s="34"/>
      <c r="L434" s="34"/>
      <c r="M434" s="34">
        <f>Таблица1[[#This Row],[Поддон
Шт]]*Таблица1[[#This Row],[Цена
Поддон]]</f>
        <v>0</v>
      </c>
      <c r="N434" s="34">
        <f>Таблица1[[#This Row],[Сумма 
Приход]]+Таблица1[[#This Row],[Сумма Поддон]]</f>
        <v>0</v>
      </c>
      <c r="O434" s="34"/>
      <c r="P434" s="34">
        <f>Таблица1[[#This Row],[Блок
 Куб]]*Таблица1[[#This Row],[Цена
 Продажа]]</f>
        <v>0</v>
      </c>
      <c r="Q434" s="34"/>
      <c r="R434" s="34">
        <f>Таблица1[[#This Row],[Сумма 
Продажа]]-Таблица1[[#This Row],[Сумма 
Приход]]-Таблица1[[#This Row],[Авто услу ]]</f>
        <v>0</v>
      </c>
      <c r="S434" s="34"/>
      <c r="T434" s="34">
        <f>Таблица1[[#This Row],[Сумма 
Продажа]]-IF(Таблица1[[#This Row],[Расход 
Авто]]="Клиент",N(Таблица1[[#This Row],[Авто услу ]]),0)</f>
        <v>0</v>
      </c>
      <c r="U4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4" s="265" t="str">
        <f>IFERROR(INDEX(Мижозлар[Агент],MATCH($D434,Мижозлар[Расмий ном],0)),"")</f>
        <v/>
      </c>
    </row>
    <row r="435" spans="1:23" ht="14.25" x14ac:dyDescent="0.2">
      <c r="A435" s="21"/>
      <c r="B435" s="135"/>
      <c r="C435" s="141"/>
      <c r="D435" s="141"/>
      <c r="E435" s="136"/>
      <c r="F435" s="135"/>
      <c r="G435" s="34"/>
      <c r="H435" s="142"/>
      <c r="I435" s="34"/>
      <c r="J435" s="34">
        <f>Таблица1[[#This Row],[Блок
 Куб]]*Таблица1[[#This Row],[Цена 
Приход]]</f>
        <v>0</v>
      </c>
      <c r="K435" s="34"/>
      <c r="L435" s="34"/>
      <c r="M435" s="34">
        <f>Таблица1[[#This Row],[Поддон
Шт]]*Таблица1[[#This Row],[Цена
Поддон]]</f>
        <v>0</v>
      </c>
      <c r="N435" s="34">
        <f>Таблица1[[#This Row],[Сумма 
Приход]]+Таблица1[[#This Row],[Сумма Поддон]]</f>
        <v>0</v>
      </c>
      <c r="O435" s="34"/>
      <c r="P435" s="34">
        <f>Таблица1[[#This Row],[Блок
 Куб]]*Таблица1[[#This Row],[Цена
 Продажа]]</f>
        <v>0</v>
      </c>
      <c r="Q435" s="34"/>
      <c r="R435" s="34">
        <f>Таблица1[[#This Row],[Сумма 
Продажа]]-Таблица1[[#This Row],[Сумма 
Приход]]-Таблица1[[#This Row],[Авто услу ]]</f>
        <v>0</v>
      </c>
      <c r="S435" s="34"/>
      <c r="T435" s="34">
        <f>Таблица1[[#This Row],[Сумма 
Продажа]]-IF(Таблица1[[#This Row],[Расход 
Авто]]="Клиент",N(Таблица1[[#This Row],[Авто услу ]]),0)</f>
        <v>0</v>
      </c>
      <c r="U4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5" s="265" t="str">
        <f>IFERROR(INDEX(Мижозлар[Агент],MATCH($D435,Мижозлар[Расмий ном],0)),"")</f>
        <v/>
      </c>
    </row>
    <row r="436" spans="1:23" ht="14.25" x14ac:dyDescent="0.2">
      <c r="A436" s="21"/>
      <c r="B436" s="135"/>
      <c r="C436" s="141"/>
      <c r="D436" s="141"/>
      <c r="E436" s="136"/>
      <c r="F436" s="135"/>
      <c r="G436" s="34"/>
      <c r="H436" s="142"/>
      <c r="I436" s="34"/>
      <c r="J436" s="34">
        <f>Таблица1[[#This Row],[Блок
 Куб]]*Таблица1[[#This Row],[Цена 
Приход]]</f>
        <v>0</v>
      </c>
      <c r="K436" s="34"/>
      <c r="L436" s="34"/>
      <c r="M436" s="34">
        <f>Таблица1[[#This Row],[Поддон
Шт]]*Таблица1[[#This Row],[Цена
Поддон]]</f>
        <v>0</v>
      </c>
      <c r="N436" s="34">
        <f>Таблица1[[#This Row],[Сумма 
Приход]]+Таблица1[[#This Row],[Сумма Поддон]]</f>
        <v>0</v>
      </c>
      <c r="O436" s="34"/>
      <c r="P436" s="34">
        <f>Таблица1[[#This Row],[Блок
 Куб]]*Таблица1[[#This Row],[Цена
 Продажа]]</f>
        <v>0</v>
      </c>
      <c r="Q436" s="34"/>
      <c r="R436" s="34">
        <f>Таблица1[[#This Row],[Сумма 
Продажа]]-Таблица1[[#This Row],[Сумма 
Приход]]-Таблица1[[#This Row],[Авто услу ]]</f>
        <v>0</v>
      </c>
      <c r="S436" s="34"/>
      <c r="T436" s="34">
        <f>Таблица1[[#This Row],[Сумма 
Продажа]]-IF(Таблица1[[#This Row],[Расход 
Авто]]="Клиент",N(Таблица1[[#This Row],[Авто услу ]]),0)</f>
        <v>0</v>
      </c>
      <c r="U4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6" s="265" t="str">
        <f>IFERROR(INDEX(Мижозлар[Агент],MATCH($D436,Мижозлар[Расмий ном],0)),"")</f>
        <v/>
      </c>
    </row>
    <row r="437" spans="1:23" ht="14.25" x14ac:dyDescent="0.2">
      <c r="A437" s="21"/>
      <c r="B437" s="135"/>
      <c r="C437" s="141"/>
      <c r="D437" s="141"/>
      <c r="E437" s="136"/>
      <c r="F437" s="135"/>
      <c r="G437" s="34"/>
      <c r="H437" s="142"/>
      <c r="I437" s="34"/>
      <c r="J437" s="34">
        <f>Таблица1[[#This Row],[Блок
 Куб]]*Таблица1[[#This Row],[Цена 
Приход]]</f>
        <v>0</v>
      </c>
      <c r="K437" s="34"/>
      <c r="L437" s="34"/>
      <c r="M437" s="34">
        <f>Таблица1[[#This Row],[Поддон
Шт]]*Таблица1[[#This Row],[Цена
Поддон]]</f>
        <v>0</v>
      </c>
      <c r="N437" s="34">
        <f>Таблица1[[#This Row],[Сумма 
Приход]]+Таблица1[[#This Row],[Сумма Поддон]]</f>
        <v>0</v>
      </c>
      <c r="O437" s="34"/>
      <c r="P437" s="34">
        <f>Таблица1[[#This Row],[Блок
 Куб]]*Таблица1[[#This Row],[Цена
 Продажа]]</f>
        <v>0</v>
      </c>
      <c r="Q437" s="34"/>
      <c r="R437" s="34">
        <f>Таблица1[[#This Row],[Сумма 
Продажа]]-Таблица1[[#This Row],[Сумма 
Приход]]-Таблица1[[#This Row],[Авто услу ]]</f>
        <v>0</v>
      </c>
      <c r="S437" s="34"/>
      <c r="T437" s="34">
        <f>Таблица1[[#This Row],[Сумма 
Продажа]]-IF(Таблица1[[#This Row],[Расход 
Авто]]="Клиент",N(Таблица1[[#This Row],[Авто услу ]]),0)</f>
        <v>0</v>
      </c>
      <c r="U4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7" s="265" t="str">
        <f>IFERROR(INDEX(Мижозлар[Агент],MATCH($D437,Мижозлар[Расмий ном],0)),"")</f>
        <v/>
      </c>
    </row>
    <row r="438" spans="1:23" ht="14.25" x14ac:dyDescent="0.2">
      <c r="A438" s="21"/>
      <c r="B438" s="135"/>
      <c r="C438" s="141"/>
      <c r="D438" s="141"/>
      <c r="E438" s="136"/>
      <c r="F438" s="135"/>
      <c r="G438" s="34"/>
      <c r="H438" s="142"/>
      <c r="I438" s="34"/>
      <c r="J438" s="34">
        <f>Таблица1[[#This Row],[Блок
 Куб]]*Таблица1[[#This Row],[Цена 
Приход]]</f>
        <v>0</v>
      </c>
      <c r="K438" s="34"/>
      <c r="L438" s="34"/>
      <c r="M438" s="34">
        <f>Таблица1[[#This Row],[Поддон
Шт]]*Таблица1[[#This Row],[Цена
Поддон]]</f>
        <v>0</v>
      </c>
      <c r="N438" s="34">
        <f>Таблица1[[#This Row],[Сумма 
Приход]]+Таблица1[[#This Row],[Сумма Поддон]]</f>
        <v>0</v>
      </c>
      <c r="O438" s="34"/>
      <c r="P438" s="34">
        <f>Таблица1[[#This Row],[Блок
 Куб]]*Таблица1[[#This Row],[Цена
 Продажа]]</f>
        <v>0</v>
      </c>
      <c r="Q438" s="34"/>
      <c r="R438" s="34">
        <f>Таблица1[[#This Row],[Сумма 
Продажа]]-Таблица1[[#This Row],[Сумма 
Приход]]-Таблица1[[#This Row],[Авто услу ]]</f>
        <v>0</v>
      </c>
      <c r="S438" s="34"/>
      <c r="T438" s="34">
        <f>Таблица1[[#This Row],[Сумма 
Продажа]]-IF(Таблица1[[#This Row],[Расход 
Авто]]="Клиент",N(Таблица1[[#This Row],[Авто услу ]]),0)</f>
        <v>0</v>
      </c>
      <c r="U4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8" s="265" t="str">
        <f>IFERROR(INDEX(Мижозлар[Агент],MATCH($D438,Мижозлар[Расмий ном],0)),"")</f>
        <v/>
      </c>
    </row>
    <row r="439" spans="1:23" ht="14.25" x14ac:dyDescent="0.2">
      <c r="A439" s="21"/>
      <c r="B439" s="135"/>
      <c r="C439" s="141"/>
      <c r="D439" s="141"/>
      <c r="E439" s="136"/>
      <c r="F439" s="135"/>
      <c r="G439" s="34"/>
      <c r="H439" s="142"/>
      <c r="I439" s="34"/>
      <c r="J439" s="34">
        <f>Таблица1[[#This Row],[Блок
 Куб]]*Таблица1[[#This Row],[Цена 
Приход]]</f>
        <v>0</v>
      </c>
      <c r="K439" s="34"/>
      <c r="L439" s="34"/>
      <c r="M439" s="34">
        <f>Таблица1[[#This Row],[Поддон
Шт]]*Таблица1[[#This Row],[Цена
Поддон]]</f>
        <v>0</v>
      </c>
      <c r="N439" s="34">
        <f>Таблица1[[#This Row],[Сумма 
Приход]]+Таблица1[[#This Row],[Сумма Поддон]]</f>
        <v>0</v>
      </c>
      <c r="O439" s="34"/>
      <c r="P439" s="34">
        <f>Таблица1[[#This Row],[Блок
 Куб]]*Таблица1[[#This Row],[Цена
 Продажа]]</f>
        <v>0</v>
      </c>
      <c r="Q439" s="34"/>
      <c r="R439" s="34">
        <f>Таблица1[[#This Row],[Сумма 
Продажа]]-Таблица1[[#This Row],[Сумма 
Приход]]-Таблица1[[#This Row],[Авто услу ]]</f>
        <v>0</v>
      </c>
      <c r="S439" s="34"/>
      <c r="T439" s="34">
        <f>Таблица1[[#This Row],[Сумма 
Продажа]]-IF(Таблица1[[#This Row],[Расход 
Авто]]="Клиент",N(Таблица1[[#This Row],[Авто услу ]]),0)</f>
        <v>0</v>
      </c>
      <c r="U4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39" s="265" t="str">
        <f>IFERROR(INDEX(Мижозлар[Агент],MATCH($D439,Мижозлар[Расмий ном],0)),"")</f>
        <v/>
      </c>
    </row>
    <row r="440" spans="1:23" ht="14.25" x14ac:dyDescent="0.2">
      <c r="A440" s="21"/>
      <c r="B440" s="135"/>
      <c r="C440" s="141"/>
      <c r="D440" s="141"/>
      <c r="E440" s="136"/>
      <c r="F440" s="135"/>
      <c r="G440" s="34"/>
      <c r="H440" s="142"/>
      <c r="I440" s="34"/>
      <c r="J440" s="34">
        <f>Таблица1[[#This Row],[Блок
 Куб]]*Таблица1[[#This Row],[Цена 
Приход]]</f>
        <v>0</v>
      </c>
      <c r="K440" s="34"/>
      <c r="L440" s="34"/>
      <c r="M440" s="34">
        <f>Таблица1[[#This Row],[Поддон
Шт]]*Таблица1[[#This Row],[Цена
Поддон]]</f>
        <v>0</v>
      </c>
      <c r="N440" s="34">
        <f>Таблица1[[#This Row],[Сумма 
Приход]]+Таблица1[[#This Row],[Сумма Поддон]]</f>
        <v>0</v>
      </c>
      <c r="O440" s="34"/>
      <c r="P440" s="34">
        <f>Таблица1[[#This Row],[Блок
 Куб]]*Таблица1[[#This Row],[Цена
 Продажа]]</f>
        <v>0</v>
      </c>
      <c r="Q440" s="34"/>
      <c r="R440" s="34">
        <f>Таблица1[[#This Row],[Сумма 
Продажа]]-Таблица1[[#This Row],[Сумма 
Приход]]-Таблица1[[#This Row],[Авто услу ]]</f>
        <v>0</v>
      </c>
      <c r="S440" s="34"/>
      <c r="T440" s="34">
        <f>Таблица1[[#This Row],[Сумма 
Продажа]]-IF(Таблица1[[#This Row],[Расход 
Авто]]="Клиент",N(Таблица1[[#This Row],[Авто услу ]]),0)</f>
        <v>0</v>
      </c>
      <c r="U4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0" s="265" t="str">
        <f>IFERROR(INDEX(Мижозлар[Агент],MATCH($D440,Мижозлар[Расмий ном],0)),"")</f>
        <v/>
      </c>
    </row>
    <row r="441" spans="1:23" ht="14.25" x14ac:dyDescent="0.2">
      <c r="A441" s="21"/>
      <c r="B441" s="135"/>
      <c r="C441" s="141"/>
      <c r="D441" s="141"/>
      <c r="E441" s="136"/>
      <c r="F441" s="135"/>
      <c r="G441" s="34"/>
      <c r="H441" s="142"/>
      <c r="I441" s="34"/>
      <c r="J441" s="34">
        <f>Таблица1[[#This Row],[Блок
 Куб]]*Таблица1[[#This Row],[Цена 
Приход]]</f>
        <v>0</v>
      </c>
      <c r="K441" s="34"/>
      <c r="L441" s="34"/>
      <c r="M441" s="34">
        <f>Таблица1[[#This Row],[Поддон
Шт]]*Таблица1[[#This Row],[Цена
Поддон]]</f>
        <v>0</v>
      </c>
      <c r="N441" s="34">
        <f>Таблица1[[#This Row],[Сумма 
Приход]]+Таблица1[[#This Row],[Сумма Поддон]]</f>
        <v>0</v>
      </c>
      <c r="O441" s="34"/>
      <c r="P441" s="34">
        <f>Таблица1[[#This Row],[Блок
 Куб]]*Таблица1[[#This Row],[Цена
 Продажа]]</f>
        <v>0</v>
      </c>
      <c r="Q441" s="34"/>
      <c r="R441" s="34">
        <f>Таблица1[[#This Row],[Сумма 
Продажа]]-Таблица1[[#This Row],[Сумма 
Приход]]-Таблица1[[#This Row],[Авто услу ]]</f>
        <v>0</v>
      </c>
      <c r="S441" s="34"/>
      <c r="T441" s="34">
        <f>Таблица1[[#This Row],[Сумма 
Продажа]]-IF(Таблица1[[#This Row],[Расход 
Авто]]="Клиент",N(Таблица1[[#This Row],[Авто услу ]]),0)</f>
        <v>0</v>
      </c>
      <c r="U4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1" s="265" t="str">
        <f>IFERROR(INDEX(Мижозлар[Агент],MATCH($D441,Мижозлар[Расмий ном],0)),"")</f>
        <v/>
      </c>
    </row>
    <row r="442" spans="1:23" ht="14.25" x14ac:dyDescent="0.2">
      <c r="A442" s="21"/>
      <c r="B442" s="135"/>
      <c r="C442" s="141"/>
      <c r="D442" s="141"/>
      <c r="E442" s="136"/>
      <c r="F442" s="135"/>
      <c r="G442" s="34"/>
      <c r="H442" s="142"/>
      <c r="I442" s="34"/>
      <c r="J442" s="34">
        <f>Таблица1[[#This Row],[Блок
 Куб]]*Таблица1[[#This Row],[Цена 
Приход]]</f>
        <v>0</v>
      </c>
      <c r="K442" s="34"/>
      <c r="L442" s="34"/>
      <c r="M442" s="34">
        <f>Таблица1[[#This Row],[Поддон
Шт]]*Таблица1[[#This Row],[Цена
Поддон]]</f>
        <v>0</v>
      </c>
      <c r="N442" s="34">
        <f>Таблица1[[#This Row],[Сумма 
Приход]]+Таблица1[[#This Row],[Сумма Поддон]]</f>
        <v>0</v>
      </c>
      <c r="O442" s="34"/>
      <c r="P442" s="34">
        <f>Таблица1[[#This Row],[Блок
 Куб]]*Таблица1[[#This Row],[Цена
 Продажа]]</f>
        <v>0</v>
      </c>
      <c r="Q442" s="34"/>
      <c r="R442" s="34">
        <f>Таблица1[[#This Row],[Сумма 
Продажа]]-Таблица1[[#This Row],[Сумма 
Приход]]-Таблица1[[#This Row],[Авто услу ]]</f>
        <v>0</v>
      </c>
      <c r="S442" s="34"/>
      <c r="T442" s="34">
        <f>Таблица1[[#This Row],[Сумма 
Продажа]]-IF(Таблица1[[#This Row],[Расход 
Авто]]="Клиент",N(Таблица1[[#This Row],[Авто услу ]]),0)</f>
        <v>0</v>
      </c>
      <c r="U4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2" s="265" t="str">
        <f>IFERROR(INDEX(Мижозлар[Агент],MATCH($D442,Мижозлар[Расмий ном],0)),"")</f>
        <v/>
      </c>
    </row>
    <row r="443" spans="1:23" ht="14.25" x14ac:dyDescent="0.2">
      <c r="A443" s="21"/>
      <c r="B443" s="135"/>
      <c r="C443" s="141"/>
      <c r="D443" s="141"/>
      <c r="E443" s="136"/>
      <c r="F443" s="135"/>
      <c r="G443" s="34"/>
      <c r="H443" s="142"/>
      <c r="I443" s="34"/>
      <c r="J443" s="34">
        <f>Таблица1[[#This Row],[Блок
 Куб]]*Таблица1[[#This Row],[Цена 
Приход]]</f>
        <v>0</v>
      </c>
      <c r="K443" s="34"/>
      <c r="L443" s="34"/>
      <c r="M443" s="34">
        <f>Таблица1[[#This Row],[Поддон
Шт]]*Таблица1[[#This Row],[Цена
Поддон]]</f>
        <v>0</v>
      </c>
      <c r="N443" s="34">
        <f>Таблица1[[#This Row],[Сумма 
Приход]]+Таблица1[[#This Row],[Сумма Поддон]]</f>
        <v>0</v>
      </c>
      <c r="O443" s="34"/>
      <c r="P443" s="34">
        <f>Таблица1[[#This Row],[Блок
 Куб]]*Таблица1[[#This Row],[Цена
 Продажа]]</f>
        <v>0</v>
      </c>
      <c r="Q443" s="34"/>
      <c r="R443" s="34">
        <f>Таблица1[[#This Row],[Сумма 
Продажа]]-Таблица1[[#This Row],[Сумма 
Приход]]-Таблица1[[#This Row],[Авто услу ]]</f>
        <v>0</v>
      </c>
      <c r="S443" s="34"/>
      <c r="T443" s="34">
        <f>Таблица1[[#This Row],[Сумма 
Продажа]]-IF(Таблица1[[#This Row],[Расход 
Авто]]="Клиент",N(Таблица1[[#This Row],[Авто услу ]]),0)</f>
        <v>0</v>
      </c>
      <c r="U4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3" s="265" t="str">
        <f>IFERROR(INDEX(Мижозлар[Агент],MATCH($D443,Мижозлар[Расмий ном],0)),"")</f>
        <v/>
      </c>
    </row>
    <row r="444" spans="1:23" ht="14.25" x14ac:dyDescent="0.2">
      <c r="A444" s="21"/>
      <c r="B444" s="135"/>
      <c r="C444" s="141"/>
      <c r="D444" s="141"/>
      <c r="E444" s="136"/>
      <c r="F444" s="135"/>
      <c r="G444" s="34"/>
      <c r="H444" s="142"/>
      <c r="I444" s="34"/>
      <c r="J444" s="34">
        <f>Таблица1[[#This Row],[Блок
 Куб]]*Таблица1[[#This Row],[Цена 
Приход]]</f>
        <v>0</v>
      </c>
      <c r="K444" s="34"/>
      <c r="L444" s="34"/>
      <c r="M444" s="34">
        <f>Таблица1[[#This Row],[Поддон
Шт]]*Таблица1[[#This Row],[Цена
Поддон]]</f>
        <v>0</v>
      </c>
      <c r="N444" s="34">
        <f>Таблица1[[#This Row],[Сумма 
Приход]]+Таблица1[[#This Row],[Сумма Поддон]]</f>
        <v>0</v>
      </c>
      <c r="O444" s="34"/>
      <c r="P444" s="34">
        <f>Таблица1[[#This Row],[Блок
 Куб]]*Таблица1[[#This Row],[Цена
 Продажа]]</f>
        <v>0</v>
      </c>
      <c r="Q444" s="34"/>
      <c r="R444" s="34">
        <f>Таблица1[[#This Row],[Сумма 
Продажа]]-Таблица1[[#This Row],[Сумма 
Приход]]-Таблица1[[#This Row],[Авто услу ]]</f>
        <v>0</v>
      </c>
      <c r="S444" s="34"/>
      <c r="T444" s="34">
        <f>Таблица1[[#This Row],[Сумма 
Продажа]]-IF(Таблица1[[#This Row],[Расход 
Авто]]="Клиент",N(Таблица1[[#This Row],[Авто услу ]]),0)</f>
        <v>0</v>
      </c>
      <c r="U4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4" s="265" t="str">
        <f>IFERROR(INDEX(Мижозлар[Агент],MATCH($D444,Мижозлар[Расмий ном],0)),"")</f>
        <v/>
      </c>
    </row>
    <row r="445" spans="1:23" ht="14.25" x14ac:dyDescent="0.2">
      <c r="A445" s="21"/>
      <c r="B445" s="135"/>
      <c r="C445" s="141"/>
      <c r="D445" s="141"/>
      <c r="E445" s="136"/>
      <c r="F445" s="135"/>
      <c r="G445" s="34"/>
      <c r="H445" s="142"/>
      <c r="I445" s="34"/>
      <c r="J445" s="34">
        <f>Таблица1[[#This Row],[Блок
 Куб]]*Таблица1[[#This Row],[Цена 
Приход]]</f>
        <v>0</v>
      </c>
      <c r="K445" s="34"/>
      <c r="L445" s="34"/>
      <c r="M445" s="34">
        <f>Таблица1[[#This Row],[Поддон
Шт]]*Таблица1[[#This Row],[Цена
Поддон]]</f>
        <v>0</v>
      </c>
      <c r="N445" s="34">
        <f>Таблица1[[#This Row],[Сумма 
Приход]]+Таблица1[[#This Row],[Сумма Поддон]]</f>
        <v>0</v>
      </c>
      <c r="O445" s="34"/>
      <c r="P445" s="34">
        <f>Таблица1[[#This Row],[Блок
 Куб]]*Таблица1[[#This Row],[Цена
 Продажа]]</f>
        <v>0</v>
      </c>
      <c r="Q445" s="34"/>
      <c r="R445" s="34">
        <f>Таблица1[[#This Row],[Сумма 
Продажа]]-Таблица1[[#This Row],[Сумма 
Приход]]-Таблица1[[#This Row],[Авто услу ]]</f>
        <v>0</v>
      </c>
      <c r="S445" s="34"/>
      <c r="T445" s="34">
        <f>Таблица1[[#This Row],[Сумма 
Продажа]]-IF(Таблица1[[#This Row],[Расход 
Авто]]="Клиент",N(Таблица1[[#This Row],[Авто услу ]]),0)</f>
        <v>0</v>
      </c>
      <c r="U4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5" s="265" t="str">
        <f>IFERROR(INDEX(Мижозлар[Агент],MATCH($D445,Мижозлар[Расмий ном],0)),"")</f>
        <v/>
      </c>
    </row>
    <row r="446" spans="1:23" ht="14.25" x14ac:dyDescent="0.2">
      <c r="A446" s="21"/>
      <c r="B446" s="135"/>
      <c r="C446" s="141"/>
      <c r="D446" s="141"/>
      <c r="E446" s="136"/>
      <c r="F446" s="135"/>
      <c r="G446" s="34"/>
      <c r="H446" s="142"/>
      <c r="I446" s="34"/>
      <c r="J446" s="34">
        <f>Таблица1[[#This Row],[Блок
 Куб]]*Таблица1[[#This Row],[Цена 
Приход]]</f>
        <v>0</v>
      </c>
      <c r="K446" s="34"/>
      <c r="L446" s="34"/>
      <c r="M446" s="34">
        <f>Таблица1[[#This Row],[Поддон
Шт]]*Таблица1[[#This Row],[Цена
Поддон]]</f>
        <v>0</v>
      </c>
      <c r="N446" s="34">
        <f>Таблица1[[#This Row],[Сумма 
Приход]]+Таблица1[[#This Row],[Сумма Поддон]]</f>
        <v>0</v>
      </c>
      <c r="O446" s="34"/>
      <c r="P446" s="34">
        <f>Таблица1[[#This Row],[Блок
 Куб]]*Таблица1[[#This Row],[Цена
 Продажа]]</f>
        <v>0</v>
      </c>
      <c r="Q446" s="34"/>
      <c r="R446" s="34">
        <f>Таблица1[[#This Row],[Сумма 
Продажа]]-Таблица1[[#This Row],[Сумма 
Приход]]-Таблица1[[#This Row],[Авто услу ]]</f>
        <v>0</v>
      </c>
      <c r="S446" s="34"/>
      <c r="T446" s="34">
        <f>Таблица1[[#This Row],[Сумма 
Продажа]]-IF(Таблица1[[#This Row],[Расход 
Авто]]="Клиент",N(Таблица1[[#This Row],[Авто услу ]]),0)</f>
        <v>0</v>
      </c>
      <c r="U4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6" s="265" t="str">
        <f>IFERROR(INDEX(Мижозлар[Агент],MATCH($D446,Мижозлар[Расмий ном],0)),"")</f>
        <v/>
      </c>
    </row>
    <row r="447" spans="1:23" ht="14.25" x14ac:dyDescent="0.2">
      <c r="A447" s="21"/>
      <c r="B447" s="135"/>
      <c r="C447" s="141"/>
      <c r="D447" s="141"/>
      <c r="E447" s="136"/>
      <c r="F447" s="135"/>
      <c r="G447" s="34"/>
      <c r="H447" s="142"/>
      <c r="I447" s="34"/>
      <c r="J447" s="34">
        <f>Таблица1[[#This Row],[Блок
 Куб]]*Таблица1[[#This Row],[Цена 
Приход]]</f>
        <v>0</v>
      </c>
      <c r="K447" s="34"/>
      <c r="L447" s="34"/>
      <c r="M447" s="34">
        <f>Таблица1[[#This Row],[Поддон
Шт]]*Таблица1[[#This Row],[Цена
Поддон]]</f>
        <v>0</v>
      </c>
      <c r="N447" s="34">
        <f>Таблица1[[#This Row],[Сумма 
Приход]]+Таблица1[[#This Row],[Сумма Поддон]]</f>
        <v>0</v>
      </c>
      <c r="O447" s="34"/>
      <c r="P447" s="34">
        <f>Таблица1[[#This Row],[Блок
 Куб]]*Таблица1[[#This Row],[Цена
 Продажа]]</f>
        <v>0</v>
      </c>
      <c r="Q447" s="34"/>
      <c r="R447" s="34">
        <f>Таблица1[[#This Row],[Сумма 
Продажа]]-Таблица1[[#This Row],[Сумма 
Приход]]-Таблица1[[#This Row],[Авто услу ]]</f>
        <v>0</v>
      </c>
      <c r="S447" s="34"/>
      <c r="T447" s="34">
        <f>Таблица1[[#This Row],[Сумма 
Продажа]]-IF(Таблица1[[#This Row],[Расход 
Авто]]="Клиент",N(Таблица1[[#This Row],[Авто услу ]]),0)</f>
        <v>0</v>
      </c>
      <c r="U4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7" s="265" t="str">
        <f>IFERROR(INDEX(Мижозлар[Агент],MATCH($D447,Мижозлар[Расмий ном],0)),"")</f>
        <v/>
      </c>
    </row>
    <row r="448" spans="1:23" ht="14.25" x14ac:dyDescent="0.2">
      <c r="A448" s="21"/>
      <c r="B448" s="135"/>
      <c r="C448" s="141"/>
      <c r="D448" s="141"/>
      <c r="E448" s="136"/>
      <c r="F448" s="135"/>
      <c r="G448" s="34"/>
      <c r="H448" s="142"/>
      <c r="I448" s="34"/>
      <c r="J448" s="34">
        <f>Таблица1[[#This Row],[Блок
 Куб]]*Таблица1[[#This Row],[Цена 
Приход]]</f>
        <v>0</v>
      </c>
      <c r="K448" s="34"/>
      <c r="L448" s="34"/>
      <c r="M448" s="34">
        <f>Таблица1[[#This Row],[Поддон
Шт]]*Таблица1[[#This Row],[Цена
Поддон]]</f>
        <v>0</v>
      </c>
      <c r="N448" s="34">
        <f>Таблица1[[#This Row],[Сумма 
Приход]]+Таблица1[[#This Row],[Сумма Поддон]]</f>
        <v>0</v>
      </c>
      <c r="O448" s="34"/>
      <c r="P448" s="34">
        <f>Таблица1[[#This Row],[Блок
 Куб]]*Таблица1[[#This Row],[Цена
 Продажа]]</f>
        <v>0</v>
      </c>
      <c r="Q448" s="34"/>
      <c r="R448" s="34">
        <f>Таблица1[[#This Row],[Сумма 
Продажа]]-Таблица1[[#This Row],[Сумма 
Приход]]-Таблица1[[#This Row],[Авто услу ]]</f>
        <v>0</v>
      </c>
      <c r="S448" s="34"/>
      <c r="T448" s="34">
        <f>Таблица1[[#This Row],[Сумма 
Продажа]]-IF(Таблица1[[#This Row],[Расход 
Авто]]="Клиент",N(Таблица1[[#This Row],[Авто услу ]]),0)</f>
        <v>0</v>
      </c>
      <c r="U4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8" s="265" t="str">
        <f>IFERROR(INDEX(Мижозлар[Агент],MATCH($D448,Мижозлар[Расмий ном],0)),"")</f>
        <v/>
      </c>
    </row>
    <row r="449" spans="1:23" ht="14.25" x14ac:dyDescent="0.2">
      <c r="A449" s="21"/>
      <c r="B449" s="135"/>
      <c r="C449" s="141"/>
      <c r="D449" s="141"/>
      <c r="E449" s="136"/>
      <c r="F449" s="135"/>
      <c r="G449" s="34"/>
      <c r="H449" s="142"/>
      <c r="I449" s="34"/>
      <c r="J449" s="34">
        <f>Таблица1[[#This Row],[Блок
 Куб]]*Таблица1[[#This Row],[Цена 
Приход]]</f>
        <v>0</v>
      </c>
      <c r="K449" s="34"/>
      <c r="L449" s="34"/>
      <c r="M449" s="34">
        <f>Таблица1[[#This Row],[Поддон
Шт]]*Таблица1[[#This Row],[Цена
Поддон]]</f>
        <v>0</v>
      </c>
      <c r="N449" s="34">
        <f>Таблица1[[#This Row],[Сумма 
Приход]]+Таблица1[[#This Row],[Сумма Поддон]]</f>
        <v>0</v>
      </c>
      <c r="O449" s="34"/>
      <c r="P449" s="34">
        <f>Таблица1[[#This Row],[Блок
 Куб]]*Таблица1[[#This Row],[Цена
 Продажа]]</f>
        <v>0</v>
      </c>
      <c r="Q449" s="34"/>
      <c r="R449" s="34">
        <f>Таблица1[[#This Row],[Сумма 
Продажа]]-Таблица1[[#This Row],[Сумма 
Приход]]-Таблица1[[#This Row],[Авто услу ]]</f>
        <v>0</v>
      </c>
      <c r="S449" s="34"/>
      <c r="T449" s="34">
        <f>Таблица1[[#This Row],[Сумма 
Продажа]]-IF(Таблица1[[#This Row],[Расход 
Авто]]="Клиент",N(Таблица1[[#This Row],[Авто услу ]]),0)</f>
        <v>0</v>
      </c>
      <c r="U4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49" s="265" t="str">
        <f>IFERROR(INDEX(Мижозлар[Агент],MATCH($D449,Мижозлар[Расмий ном],0)),"")</f>
        <v/>
      </c>
    </row>
    <row r="450" spans="1:23" ht="14.25" x14ac:dyDescent="0.2">
      <c r="A450" s="21"/>
      <c r="B450" s="135"/>
      <c r="C450" s="141"/>
      <c r="D450" s="141"/>
      <c r="E450" s="136"/>
      <c r="F450" s="135"/>
      <c r="G450" s="34"/>
      <c r="H450" s="142"/>
      <c r="I450" s="34"/>
      <c r="J450" s="34">
        <f>Таблица1[[#This Row],[Блок
 Куб]]*Таблица1[[#This Row],[Цена 
Приход]]</f>
        <v>0</v>
      </c>
      <c r="K450" s="34"/>
      <c r="L450" s="34"/>
      <c r="M450" s="34">
        <f>Таблица1[[#This Row],[Поддон
Шт]]*Таблица1[[#This Row],[Цена
Поддон]]</f>
        <v>0</v>
      </c>
      <c r="N450" s="34">
        <f>Таблица1[[#This Row],[Сумма 
Приход]]+Таблица1[[#This Row],[Сумма Поддон]]</f>
        <v>0</v>
      </c>
      <c r="O450" s="34"/>
      <c r="P450" s="34">
        <f>Таблица1[[#This Row],[Блок
 Куб]]*Таблица1[[#This Row],[Цена
 Продажа]]</f>
        <v>0</v>
      </c>
      <c r="Q450" s="34"/>
      <c r="R450" s="34">
        <f>Таблица1[[#This Row],[Сумма 
Продажа]]-Таблица1[[#This Row],[Сумма 
Приход]]-Таблица1[[#This Row],[Авто услу ]]</f>
        <v>0</v>
      </c>
      <c r="S450" s="34"/>
      <c r="T450" s="34">
        <f>Таблица1[[#This Row],[Сумма 
Продажа]]-IF(Таблица1[[#This Row],[Расход 
Авто]]="Клиент",N(Таблица1[[#This Row],[Авто услу ]]),0)</f>
        <v>0</v>
      </c>
      <c r="U4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0" s="265" t="str">
        <f>IFERROR(INDEX(Мижозлар[Агент],MATCH($D450,Мижозлар[Расмий ном],0)),"")</f>
        <v/>
      </c>
    </row>
    <row r="451" spans="1:23" ht="14.25" x14ac:dyDescent="0.2">
      <c r="A451" s="21"/>
      <c r="B451" s="135"/>
      <c r="C451" s="141"/>
      <c r="D451" s="141"/>
      <c r="E451" s="136"/>
      <c r="F451" s="135"/>
      <c r="G451" s="34"/>
      <c r="H451" s="142"/>
      <c r="I451" s="34"/>
      <c r="J451" s="34">
        <f>Таблица1[[#This Row],[Блок
 Куб]]*Таблица1[[#This Row],[Цена 
Приход]]</f>
        <v>0</v>
      </c>
      <c r="K451" s="34"/>
      <c r="L451" s="34"/>
      <c r="M451" s="34">
        <f>Таблица1[[#This Row],[Поддон
Шт]]*Таблица1[[#This Row],[Цена
Поддон]]</f>
        <v>0</v>
      </c>
      <c r="N451" s="34">
        <f>Таблица1[[#This Row],[Сумма 
Приход]]+Таблица1[[#This Row],[Сумма Поддон]]</f>
        <v>0</v>
      </c>
      <c r="O451" s="34"/>
      <c r="P451" s="34">
        <f>Таблица1[[#This Row],[Блок
 Куб]]*Таблица1[[#This Row],[Цена
 Продажа]]</f>
        <v>0</v>
      </c>
      <c r="Q451" s="34"/>
      <c r="R451" s="34">
        <f>Таблица1[[#This Row],[Сумма 
Продажа]]-Таблица1[[#This Row],[Сумма 
Приход]]-Таблица1[[#This Row],[Авто услу ]]</f>
        <v>0</v>
      </c>
      <c r="S451" s="34"/>
      <c r="T451" s="34">
        <f>Таблица1[[#This Row],[Сумма 
Продажа]]-IF(Таблица1[[#This Row],[Расход 
Авто]]="Клиент",N(Таблица1[[#This Row],[Авто услу ]]),0)</f>
        <v>0</v>
      </c>
      <c r="U4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1" s="265" t="str">
        <f>IFERROR(INDEX(Мижозлар[Агент],MATCH($D451,Мижозлар[Расмий ном],0)),"")</f>
        <v/>
      </c>
    </row>
    <row r="452" spans="1:23" ht="14.25" x14ac:dyDescent="0.2">
      <c r="A452" s="21"/>
      <c r="B452" s="135"/>
      <c r="C452" s="141"/>
      <c r="D452" s="141"/>
      <c r="E452" s="136"/>
      <c r="F452" s="135"/>
      <c r="G452" s="34"/>
      <c r="H452" s="142"/>
      <c r="I452" s="34"/>
      <c r="J452" s="34">
        <f>Таблица1[[#This Row],[Блок
 Куб]]*Таблица1[[#This Row],[Цена 
Приход]]</f>
        <v>0</v>
      </c>
      <c r="K452" s="34"/>
      <c r="L452" s="34"/>
      <c r="M452" s="34">
        <f>Таблица1[[#This Row],[Поддон
Шт]]*Таблица1[[#This Row],[Цена
Поддон]]</f>
        <v>0</v>
      </c>
      <c r="N452" s="34">
        <f>Таблица1[[#This Row],[Сумма 
Приход]]+Таблица1[[#This Row],[Сумма Поддон]]</f>
        <v>0</v>
      </c>
      <c r="O452" s="34"/>
      <c r="P452" s="34">
        <f>Таблица1[[#This Row],[Блок
 Куб]]*Таблица1[[#This Row],[Цена
 Продажа]]</f>
        <v>0</v>
      </c>
      <c r="Q452" s="34"/>
      <c r="R452" s="34">
        <f>Таблица1[[#This Row],[Сумма 
Продажа]]-Таблица1[[#This Row],[Сумма 
Приход]]-Таблица1[[#This Row],[Авто услу ]]</f>
        <v>0</v>
      </c>
      <c r="S452" s="34"/>
      <c r="T452" s="34">
        <f>Таблица1[[#This Row],[Сумма 
Продажа]]-IF(Таблица1[[#This Row],[Расход 
Авто]]="Клиент",N(Таблица1[[#This Row],[Авто услу ]]),0)</f>
        <v>0</v>
      </c>
      <c r="U4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2" s="265" t="str">
        <f>IFERROR(INDEX(Мижозлар[Агент],MATCH($D452,Мижозлар[Расмий ном],0)),"")</f>
        <v/>
      </c>
    </row>
    <row r="453" spans="1:23" ht="14.25" x14ac:dyDescent="0.2">
      <c r="A453" s="21"/>
      <c r="B453" s="135"/>
      <c r="C453" s="141"/>
      <c r="D453" s="141"/>
      <c r="E453" s="136"/>
      <c r="F453" s="135"/>
      <c r="G453" s="34"/>
      <c r="H453" s="142"/>
      <c r="I453" s="34"/>
      <c r="J453" s="34">
        <f>Таблица1[[#This Row],[Блок
 Куб]]*Таблица1[[#This Row],[Цена 
Приход]]</f>
        <v>0</v>
      </c>
      <c r="K453" s="34"/>
      <c r="L453" s="34"/>
      <c r="M453" s="34">
        <f>Таблица1[[#This Row],[Поддон
Шт]]*Таблица1[[#This Row],[Цена
Поддон]]</f>
        <v>0</v>
      </c>
      <c r="N453" s="34">
        <f>Таблица1[[#This Row],[Сумма 
Приход]]+Таблица1[[#This Row],[Сумма Поддон]]</f>
        <v>0</v>
      </c>
      <c r="O453" s="34"/>
      <c r="P453" s="34">
        <f>Таблица1[[#This Row],[Блок
 Куб]]*Таблица1[[#This Row],[Цена
 Продажа]]</f>
        <v>0</v>
      </c>
      <c r="Q453" s="34"/>
      <c r="R453" s="34">
        <f>Таблица1[[#This Row],[Сумма 
Продажа]]-Таблица1[[#This Row],[Сумма 
Приход]]-Таблица1[[#This Row],[Авто услу ]]</f>
        <v>0</v>
      </c>
      <c r="S453" s="34"/>
      <c r="T453" s="34">
        <f>Таблица1[[#This Row],[Сумма 
Продажа]]-IF(Таблица1[[#This Row],[Расход 
Авто]]="Клиент",N(Таблица1[[#This Row],[Авто услу ]]),0)</f>
        <v>0</v>
      </c>
      <c r="U4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3" s="265" t="str">
        <f>IFERROR(INDEX(Мижозлар[Агент],MATCH($D453,Мижозлар[Расмий ном],0)),"")</f>
        <v/>
      </c>
    </row>
    <row r="454" spans="1:23" ht="14.25" x14ac:dyDescent="0.2">
      <c r="A454" s="21"/>
      <c r="B454" s="135"/>
      <c r="C454" s="141"/>
      <c r="D454" s="141"/>
      <c r="E454" s="136"/>
      <c r="F454" s="135"/>
      <c r="G454" s="34"/>
      <c r="H454" s="142"/>
      <c r="I454" s="34"/>
      <c r="J454" s="34">
        <f>Таблица1[[#This Row],[Блок
 Куб]]*Таблица1[[#This Row],[Цена 
Приход]]</f>
        <v>0</v>
      </c>
      <c r="K454" s="34"/>
      <c r="L454" s="34"/>
      <c r="M454" s="34">
        <f>Таблица1[[#This Row],[Поддон
Шт]]*Таблица1[[#This Row],[Цена
Поддон]]</f>
        <v>0</v>
      </c>
      <c r="N454" s="34">
        <f>Таблица1[[#This Row],[Сумма 
Приход]]+Таблица1[[#This Row],[Сумма Поддон]]</f>
        <v>0</v>
      </c>
      <c r="O454" s="34"/>
      <c r="P454" s="34">
        <f>Таблица1[[#This Row],[Блок
 Куб]]*Таблица1[[#This Row],[Цена
 Продажа]]</f>
        <v>0</v>
      </c>
      <c r="Q454" s="34"/>
      <c r="R454" s="34">
        <f>Таблица1[[#This Row],[Сумма 
Продажа]]-Таблица1[[#This Row],[Сумма 
Приход]]-Таблица1[[#This Row],[Авто услу ]]</f>
        <v>0</v>
      </c>
      <c r="S454" s="34"/>
      <c r="T454" s="34">
        <f>Таблица1[[#This Row],[Сумма 
Продажа]]-IF(Таблица1[[#This Row],[Расход 
Авто]]="Клиент",N(Таблица1[[#This Row],[Авто услу ]]),0)</f>
        <v>0</v>
      </c>
      <c r="U4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4" s="265" t="str">
        <f>IFERROR(INDEX(Мижозлар[Агент],MATCH($D454,Мижозлар[Расмий ном],0)),"")</f>
        <v/>
      </c>
    </row>
    <row r="455" spans="1:23" ht="14.25" x14ac:dyDescent="0.2">
      <c r="A455" s="21"/>
      <c r="B455" s="135"/>
      <c r="C455" s="141"/>
      <c r="D455" s="141"/>
      <c r="E455" s="136"/>
      <c r="F455" s="135"/>
      <c r="G455" s="34"/>
      <c r="H455" s="142"/>
      <c r="I455" s="34"/>
      <c r="J455" s="34">
        <f>Таблица1[[#This Row],[Блок
 Куб]]*Таблица1[[#This Row],[Цена 
Приход]]</f>
        <v>0</v>
      </c>
      <c r="K455" s="34"/>
      <c r="L455" s="34"/>
      <c r="M455" s="34">
        <f>Таблица1[[#This Row],[Поддон
Шт]]*Таблица1[[#This Row],[Цена
Поддон]]</f>
        <v>0</v>
      </c>
      <c r="N455" s="34">
        <f>Таблица1[[#This Row],[Сумма 
Приход]]+Таблица1[[#This Row],[Сумма Поддон]]</f>
        <v>0</v>
      </c>
      <c r="O455" s="34"/>
      <c r="P455" s="34">
        <f>Таблица1[[#This Row],[Блок
 Куб]]*Таблица1[[#This Row],[Цена
 Продажа]]</f>
        <v>0</v>
      </c>
      <c r="Q455" s="34"/>
      <c r="R455" s="34">
        <f>Таблица1[[#This Row],[Сумма 
Продажа]]-Таблица1[[#This Row],[Сумма 
Приход]]-Таблица1[[#This Row],[Авто услу ]]</f>
        <v>0</v>
      </c>
      <c r="S455" s="34"/>
      <c r="T455" s="34">
        <f>Таблица1[[#This Row],[Сумма 
Продажа]]-IF(Таблица1[[#This Row],[Расход 
Авто]]="Клиент",N(Таблица1[[#This Row],[Авто услу ]]),0)</f>
        <v>0</v>
      </c>
      <c r="U4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5" s="265" t="str">
        <f>IFERROR(INDEX(Мижозлар[Агент],MATCH($D455,Мижозлар[Расмий ном],0)),"")</f>
        <v/>
      </c>
    </row>
    <row r="456" spans="1:23" ht="14.25" x14ac:dyDescent="0.2">
      <c r="A456" s="21"/>
      <c r="B456" s="135"/>
      <c r="C456" s="141"/>
      <c r="D456" s="141"/>
      <c r="E456" s="136"/>
      <c r="F456" s="135"/>
      <c r="G456" s="34"/>
      <c r="H456" s="142"/>
      <c r="I456" s="34"/>
      <c r="J456" s="34">
        <f>Таблица1[[#This Row],[Блок
 Куб]]*Таблица1[[#This Row],[Цена 
Приход]]</f>
        <v>0</v>
      </c>
      <c r="K456" s="34"/>
      <c r="L456" s="34"/>
      <c r="M456" s="34">
        <f>Таблица1[[#This Row],[Поддон
Шт]]*Таблица1[[#This Row],[Цена
Поддон]]</f>
        <v>0</v>
      </c>
      <c r="N456" s="34">
        <f>Таблица1[[#This Row],[Сумма 
Приход]]+Таблица1[[#This Row],[Сумма Поддон]]</f>
        <v>0</v>
      </c>
      <c r="O456" s="34"/>
      <c r="P456" s="34">
        <f>Таблица1[[#This Row],[Блок
 Куб]]*Таблица1[[#This Row],[Цена
 Продажа]]</f>
        <v>0</v>
      </c>
      <c r="Q456" s="34"/>
      <c r="R456" s="34">
        <f>Таблица1[[#This Row],[Сумма 
Продажа]]-Таблица1[[#This Row],[Сумма 
Приход]]-Таблица1[[#This Row],[Авто услу ]]</f>
        <v>0</v>
      </c>
      <c r="S456" s="34"/>
      <c r="T456" s="34">
        <f>Таблица1[[#This Row],[Сумма 
Продажа]]-IF(Таблица1[[#This Row],[Расход 
Авто]]="Клиент",N(Таблица1[[#This Row],[Авто услу ]]),0)</f>
        <v>0</v>
      </c>
      <c r="U4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6" s="265" t="str">
        <f>IFERROR(INDEX(Мижозлар[Агент],MATCH($D456,Мижозлар[Расмий ном],0)),"")</f>
        <v/>
      </c>
    </row>
    <row r="457" spans="1:23" ht="14.25" x14ac:dyDescent="0.2">
      <c r="A457" s="21"/>
      <c r="B457" s="135"/>
      <c r="C457" s="141"/>
      <c r="D457" s="141"/>
      <c r="E457" s="136"/>
      <c r="F457" s="135"/>
      <c r="G457" s="34"/>
      <c r="H457" s="142"/>
      <c r="I457" s="34"/>
      <c r="J457" s="34">
        <f>Таблица1[[#This Row],[Блок
 Куб]]*Таблица1[[#This Row],[Цена 
Приход]]</f>
        <v>0</v>
      </c>
      <c r="K457" s="34"/>
      <c r="L457" s="34"/>
      <c r="M457" s="34">
        <f>Таблица1[[#This Row],[Поддон
Шт]]*Таблица1[[#This Row],[Цена
Поддон]]</f>
        <v>0</v>
      </c>
      <c r="N457" s="34">
        <f>Таблица1[[#This Row],[Сумма 
Приход]]+Таблица1[[#This Row],[Сумма Поддон]]</f>
        <v>0</v>
      </c>
      <c r="O457" s="34"/>
      <c r="P457" s="34">
        <f>Таблица1[[#This Row],[Блок
 Куб]]*Таблица1[[#This Row],[Цена
 Продажа]]</f>
        <v>0</v>
      </c>
      <c r="Q457" s="34"/>
      <c r="R457" s="34">
        <f>Таблица1[[#This Row],[Сумма 
Продажа]]-Таблица1[[#This Row],[Сумма 
Приход]]-Таблица1[[#This Row],[Авто услу ]]</f>
        <v>0</v>
      </c>
      <c r="S457" s="34"/>
      <c r="T457" s="34">
        <f>Таблица1[[#This Row],[Сумма 
Продажа]]-IF(Таблица1[[#This Row],[Расход 
Авто]]="Клиент",N(Таблица1[[#This Row],[Авто услу ]]),0)</f>
        <v>0</v>
      </c>
      <c r="U4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7" s="265" t="str">
        <f>IFERROR(INDEX(Мижозлар[Агент],MATCH($D457,Мижозлар[Расмий ном],0)),"")</f>
        <v/>
      </c>
    </row>
    <row r="458" spans="1:23" ht="14.25" x14ac:dyDescent="0.2">
      <c r="A458" s="21"/>
      <c r="B458" s="135"/>
      <c r="C458" s="141"/>
      <c r="D458" s="141"/>
      <c r="E458" s="136"/>
      <c r="F458" s="135"/>
      <c r="G458" s="34"/>
      <c r="H458" s="142"/>
      <c r="I458" s="34"/>
      <c r="J458" s="34">
        <f>Таблица1[[#This Row],[Блок
 Куб]]*Таблица1[[#This Row],[Цена 
Приход]]</f>
        <v>0</v>
      </c>
      <c r="K458" s="34"/>
      <c r="L458" s="34"/>
      <c r="M458" s="34">
        <f>Таблица1[[#This Row],[Поддон
Шт]]*Таблица1[[#This Row],[Цена
Поддон]]</f>
        <v>0</v>
      </c>
      <c r="N458" s="34">
        <f>Таблица1[[#This Row],[Сумма 
Приход]]+Таблица1[[#This Row],[Сумма Поддон]]</f>
        <v>0</v>
      </c>
      <c r="O458" s="34"/>
      <c r="P458" s="34">
        <f>Таблица1[[#This Row],[Блок
 Куб]]*Таблица1[[#This Row],[Цена
 Продажа]]</f>
        <v>0</v>
      </c>
      <c r="Q458" s="34"/>
      <c r="R458" s="34">
        <f>Таблица1[[#This Row],[Сумма 
Продажа]]-Таблица1[[#This Row],[Сумма 
Приход]]-Таблица1[[#This Row],[Авто услу ]]</f>
        <v>0</v>
      </c>
      <c r="S458" s="34"/>
      <c r="T458" s="34">
        <f>Таблица1[[#This Row],[Сумма 
Продажа]]-IF(Таблица1[[#This Row],[Расход 
Авто]]="Клиент",N(Таблица1[[#This Row],[Авто услу ]]),0)</f>
        <v>0</v>
      </c>
      <c r="U4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8" s="265" t="str">
        <f>IFERROR(INDEX(Мижозлар[Агент],MATCH($D458,Мижозлар[Расмий ном],0)),"")</f>
        <v/>
      </c>
    </row>
    <row r="459" spans="1:23" ht="14.25" x14ac:dyDescent="0.2">
      <c r="A459" s="21"/>
      <c r="B459" s="135"/>
      <c r="C459" s="141"/>
      <c r="D459" s="141"/>
      <c r="E459" s="136"/>
      <c r="F459" s="135"/>
      <c r="G459" s="34"/>
      <c r="H459" s="142"/>
      <c r="I459" s="34"/>
      <c r="J459" s="34">
        <f>Таблица1[[#This Row],[Блок
 Куб]]*Таблица1[[#This Row],[Цена 
Приход]]</f>
        <v>0</v>
      </c>
      <c r="K459" s="34"/>
      <c r="L459" s="34"/>
      <c r="M459" s="34">
        <f>Таблица1[[#This Row],[Поддон
Шт]]*Таблица1[[#This Row],[Цена
Поддон]]</f>
        <v>0</v>
      </c>
      <c r="N459" s="34">
        <f>Таблица1[[#This Row],[Сумма 
Приход]]+Таблица1[[#This Row],[Сумма Поддон]]</f>
        <v>0</v>
      </c>
      <c r="O459" s="34"/>
      <c r="P459" s="34">
        <f>Таблица1[[#This Row],[Блок
 Куб]]*Таблица1[[#This Row],[Цена
 Продажа]]</f>
        <v>0</v>
      </c>
      <c r="Q459" s="34"/>
      <c r="R459" s="34">
        <f>Таблица1[[#This Row],[Сумма 
Продажа]]-Таблица1[[#This Row],[Сумма 
Приход]]-Таблица1[[#This Row],[Авто услу ]]</f>
        <v>0</v>
      </c>
      <c r="S459" s="34"/>
      <c r="T459" s="34">
        <f>Таблица1[[#This Row],[Сумма 
Продажа]]-IF(Таблица1[[#This Row],[Расход 
Авто]]="Клиент",N(Таблица1[[#This Row],[Авто услу ]]),0)</f>
        <v>0</v>
      </c>
      <c r="U4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59" s="265" t="str">
        <f>IFERROR(INDEX(Мижозлар[Агент],MATCH($D459,Мижозлар[Расмий ном],0)),"")</f>
        <v/>
      </c>
    </row>
    <row r="460" spans="1:23" ht="14.25" x14ac:dyDescent="0.2">
      <c r="A460" s="21"/>
      <c r="B460" s="135"/>
      <c r="C460" s="141"/>
      <c r="D460" s="141"/>
      <c r="E460" s="136"/>
      <c r="F460" s="135"/>
      <c r="G460" s="34"/>
      <c r="H460" s="142"/>
      <c r="I460" s="34"/>
      <c r="J460" s="34">
        <f>Таблица1[[#This Row],[Блок
 Куб]]*Таблица1[[#This Row],[Цена 
Приход]]</f>
        <v>0</v>
      </c>
      <c r="K460" s="34"/>
      <c r="L460" s="34"/>
      <c r="M460" s="34">
        <f>Таблица1[[#This Row],[Поддон
Шт]]*Таблица1[[#This Row],[Цена
Поддон]]</f>
        <v>0</v>
      </c>
      <c r="N460" s="34">
        <f>Таблица1[[#This Row],[Сумма 
Приход]]+Таблица1[[#This Row],[Сумма Поддон]]</f>
        <v>0</v>
      </c>
      <c r="O460" s="34"/>
      <c r="P460" s="34">
        <f>Таблица1[[#This Row],[Блок
 Куб]]*Таблица1[[#This Row],[Цена
 Продажа]]</f>
        <v>0</v>
      </c>
      <c r="Q460" s="34"/>
      <c r="R460" s="34">
        <f>Таблица1[[#This Row],[Сумма 
Продажа]]-Таблица1[[#This Row],[Сумма 
Приход]]-Таблица1[[#This Row],[Авто услу ]]</f>
        <v>0</v>
      </c>
      <c r="S460" s="34"/>
      <c r="T460" s="34">
        <f>Таблица1[[#This Row],[Сумма 
Продажа]]-IF(Таблица1[[#This Row],[Расход 
Авто]]="Клиент",N(Таблица1[[#This Row],[Авто услу ]]),0)</f>
        <v>0</v>
      </c>
      <c r="U4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0" s="265" t="str">
        <f>IFERROR(INDEX(Мижозлар[Агент],MATCH($D460,Мижозлар[Расмий ном],0)),"")</f>
        <v/>
      </c>
    </row>
    <row r="461" spans="1:23" ht="14.25" x14ac:dyDescent="0.2">
      <c r="A461" s="21"/>
      <c r="B461" s="135"/>
      <c r="C461" s="141"/>
      <c r="D461" s="141"/>
      <c r="E461" s="136"/>
      <c r="F461" s="135"/>
      <c r="G461" s="34"/>
      <c r="H461" s="142"/>
      <c r="I461" s="34"/>
      <c r="J461" s="34">
        <f>Таблица1[[#This Row],[Блок
 Куб]]*Таблица1[[#This Row],[Цена 
Приход]]</f>
        <v>0</v>
      </c>
      <c r="K461" s="34"/>
      <c r="L461" s="34"/>
      <c r="M461" s="34">
        <f>Таблица1[[#This Row],[Поддон
Шт]]*Таблица1[[#This Row],[Цена
Поддон]]</f>
        <v>0</v>
      </c>
      <c r="N461" s="34">
        <f>Таблица1[[#This Row],[Сумма 
Приход]]+Таблица1[[#This Row],[Сумма Поддон]]</f>
        <v>0</v>
      </c>
      <c r="O461" s="34"/>
      <c r="P461" s="34">
        <f>Таблица1[[#This Row],[Блок
 Куб]]*Таблица1[[#This Row],[Цена
 Продажа]]</f>
        <v>0</v>
      </c>
      <c r="Q461" s="34"/>
      <c r="R461" s="34">
        <f>Таблица1[[#This Row],[Сумма 
Продажа]]-Таблица1[[#This Row],[Сумма 
Приход]]-Таблица1[[#This Row],[Авто услу ]]</f>
        <v>0</v>
      </c>
      <c r="S461" s="34"/>
      <c r="T461" s="34">
        <f>Таблица1[[#This Row],[Сумма 
Продажа]]-IF(Таблица1[[#This Row],[Расход 
Авто]]="Клиент",N(Таблица1[[#This Row],[Авто услу ]]),0)</f>
        <v>0</v>
      </c>
      <c r="U4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1" s="265" t="str">
        <f>IFERROR(INDEX(Мижозлар[Агент],MATCH($D461,Мижозлар[Расмий ном],0)),"")</f>
        <v/>
      </c>
    </row>
    <row r="462" spans="1:23" ht="14.25" x14ac:dyDescent="0.2">
      <c r="A462" s="21"/>
      <c r="B462" s="135"/>
      <c r="C462" s="141"/>
      <c r="D462" s="141"/>
      <c r="E462" s="136"/>
      <c r="F462" s="135"/>
      <c r="G462" s="34"/>
      <c r="H462" s="142"/>
      <c r="I462" s="34"/>
      <c r="J462" s="34">
        <f>Таблица1[[#This Row],[Блок
 Куб]]*Таблица1[[#This Row],[Цена 
Приход]]</f>
        <v>0</v>
      </c>
      <c r="K462" s="34"/>
      <c r="L462" s="34"/>
      <c r="M462" s="34">
        <f>Таблица1[[#This Row],[Поддон
Шт]]*Таблица1[[#This Row],[Цена
Поддон]]</f>
        <v>0</v>
      </c>
      <c r="N462" s="34">
        <f>Таблица1[[#This Row],[Сумма 
Приход]]+Таблица1[[#This Row],[Сумма Поддон]]</f>
        <v>0</v>
      </c>
      <c r="O462" s="34"/>
      <c r="P462" s="34">
        <f>Таблица1[[#This Row],[Блок
 Куб]]*Таблица1[[#This Row],[Цена
 Продажа]]</f>
        <v>0</v>
      </c>
      <c r="Q462" s="34"/>
      <c r="R462" s="34">
        <f>Таблица1[[#This Row],[Сумма 
Продажа]]-Таблица1[[#This Row],[Сумма 
Приход]]-Таблица1[[#This Row],[Авто услу ]]</f>
        <v>0</v>
      </c>
      <c r="S462" s="34"/>
      <c r="T462" s="34">
        <f>Таблица1[[#This Row],[Сумма 
Продажа]]-IF(Таблица1[[#This Row],[Расход 
Авто]]="Клиент",N(Таблица1[[#This Row],[Авто услу ]]),0)</f>
        <v>0</v>
      </c>
      <c r="U4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2" s="265" t="str">
        <f>IFERROR(INDEX(Мижозлар[Агент],MATCH($D462,Мижозлар[Расмий ном],0)),"")</f>
        <v/>
      </c>
    </row>
    <row r="463" spans="1:23" ht="14.25" x14ac:dyDescent="0.2">
      <c r="A463" s="21"/>
      <c r="B463" s="135"/>
      <c r="C463" s="141"/>
      <c r="D463" s="141"/>
      <c r="E463" s="136"/>
      <c r="F463" s="135"/>
      <c r="G463" s="34"/>
      <c r="H463" s="142"/>
      <c r="I463" s="34"/>
      <c r="J463" s="34">
        <f>Таблица1[[#This Row],[Блок
 Куб]]*Таблица1[[#This Row],[Цена 
Приход]]</f>
        <v>0</v>
      </c>
      <c r="K463" s="34"/>
      <c r="L463" s="34"/>
      <c r="M463" s="34">
        <f>Таблица1[[#This Row],[Поддон
Шт]]*Таблица1[[#This Row],[Цена
Поддон]]</f>
        <v>0</v>
      </c>
      <c r="N463" s="34">
        <f>Таблица1[[#This Row],[Сумма 
Приход]]+Таблица1[[#This Row],[Сумма Поддон]]</f>
        <v>0</v>
      </c>
      <c r="O463" s="34"/>
      <c r="P463" s="34">
        <f>Таблица1[[#This Row],[Блок
 Куб]]*Таблица1[[#This Row],[Цена
 Продажа]]</f>
        <v>0</v>
      </c>
      <c r="Q463" s="34"/>
      <c r="R463" s="34">
        <f>Таблица1[[#This Row],[Сумма 
Продажа]]-Таблица1[[#This Row],[Сумма 
Приход]]-Таблица1[[#This Row],[Авто услу ]]</f>
        <v>0</v>
      </c>
      <c r="S463" s="34"/>
      <c r="T463" s="34">
        <f>Таблица1[[#This Row],[Сумма 
Продажа]]-IF(Таблица1[[#This Row],[Расход 
Авто]]="Клиент",N(Таблица1[[#This Row],[Авто услу ]]),0)</f>
        <v>0</v>
      </c>
      <c r="U4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3" s="265" t="str">
        <f>IFERROR(INDEX(Мижозлар[Агент],MATCH($D463,Мижозлар[Расмий ном],0)),"")</f>
        <v/>
      </c>
    </row>
    <row r="464" spans="1:23" ht="14.25" x14ac:dyDescent="0.2">
      <c r="A464" s="21"/>
      <c r="B464" s="135"/>
      <c r="C464" s="141"/>
      <c r="D464" s="141"/>
      <c r="E464" s="136"/>
      <c r="F464" s="135"/>
      <c r="G464" s="34"/>
      <c r="H464" s="142"/>
      <c r="I464" s="34"/>
      <c r="J464" s="34">
        <f>Таблица1[[#This Row],[Блок
 Куб]]*Таблица1[[#This Row],[Цена 
Приход]]</f>
        <v>0</v>
      </c>
      <c r="K464" s="34"/>
      <c r="L464" s="34"/>
      <c r="M464" s="34">
        <f>Таблица1[[#This Row],[Поддон
Шт]]*Таблица1[[#This Row],[Цена
Поддон]]</f>
        <v>0</v>
      </c>
      <c r="N464" s="34">
        <f>Таблица1[[#This Row],[Сумма 
Приход]]+Таблица1[[#This Row],[Сумма Поддон]]</f>
        <v>0</v>
      </c>
      <c r="O464" s="34"/>
      <c r="P464" s="34">
        <f>Таблица1[[#This Row],[Блок
 Куб]]*Таблица1[[#This Row],[Цена
 Продажа]]</f>
        <v>0</v>
      </c>
      <c r="Q464" s="34"/>
      <c r="R464" s="34">
        <f>Таблица1[[#This Row],[Сумма 
Продажа]]-Таблица1[[#This Row],[Сумма 
Приход]]-Таблица1[[#This Row],[Авто услу ]]</f>
        <v>0</v>
      </c>
      <c r="S464" s="34"/>
      <c r="T464" s="34">
        <f>Таблица1[[#This Row],[Сумма 
Продажа]]-IF(Таблица1[[#This Row],[Расход 
Авто]]="Клиент",N(Таблица1[[#This Row],[Авто услу ]]),0)</f>
        <v>0</v>
      </c>
      <c r="U4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4" s="265" t="str">
        <f>IFERROR(INDEX(Мижозлар[Агент],MATCH($D464,Мижозлар[Расмий ном],0)),"")</f>
        <v/>
      </c>
    </row>
    <row r="465" spans="1:23" ht="14.25" x14ac:dyDescent="0.2">
      <c r="A465" s="21"/>
      <c r="B465" s="135"/>
      <c r="C465" s="141"/>
      <c r="D465" s="141"/>
      <c r="E465" s="136"/>
      <c r="F465" s="135"/>
      <c r="G465" s="34"/>
      <c r="H465" s="142"/>
      <c r="I465" s="34"/>
      <c r="J465" s="34">
        <f>Таблица1[[#This Row],[Блок
 Куб]]*Таблица1[[#This Row],[Цена 
Приход]]</f>
        <v>0</v>
      </c>
      <c r="K465" s="34"/>
      <c r="L465" s="34"/>
      <c r="M465" s="34">
        <f>Таблица1[[#This Row],[Поддон
Шт]]*Таблица1[[#This Row],[Цена
Поддон]]</f>
        <v>0</v>
      </c>
      <c r="N465" s="34">
        <f>Таблица1[[#This Row],[Сумма 
Приход]]+Таблица1[[#This Row],[Сумма Поддон]]</f>
        <v>0</v>
      </c>
      <c r="O465" s="34"/>
      <c r="P465" s="34">
        <f>Таблица1[[#This Row],[Блок
 Куб]]*Таблица1[[#This Row],[Цена
 Продажа]]</f>
        <v>0</v>
      </c>
      <c r="Q465" s="34"/>
      <c r="R465" s="34">
        <f>Таблица1[[#This Row],[Сумма 
Продажа]]-Таблица1[[#This Row],[Сумма 
Приход]]-Таблица1[[#This Row],[Авто услу ]]</f>
        <v>0</v>
      </c>
      <c r="S465" s="34"/>
      <c r="T465" s="34">
        <f>Таблица1[[#This Row],[Сумма 
Продажа]]-IF(Таблица1[[#This Row],[Расход 
Авто]]="Клиент",N(Таблица1[[#This Row],[Авто услу ]]),0)</f>
        <v>0</v>
      </c>
      <c r="U4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5" s="265" t="str">
        <f>IFERROR(INDEX(Мижозлар[Агент],MATCH($D465,Мижозлар[Расмий ном],0)),"")</f>
        <v/>
      </c>
    </row>
    <row r="466" spans="1:23" ht="14.25" x14ac:dyDescent="0.2">
      <c r="A466" s="21"/>
      <c r="B466" s="135"/>
      <c r="C466" s="141"/>
      <c r="D466" s="141"/>
      <c r="E466" s="136"/>
      <c r="F466" s="135"/>
      <c r="G466" s="34"/>
      <c r="H466" s="142"/>
      <c r="I466" s="34"/>
      <c r="J466" s="34">
        <f>Таблица1[[#This Row],[Блок
 Куб]]*Таблица1[[#This Row],[Цена 
Приход]]</f>
        <v>0</v>
      </c>
      <c r="K466" s="34"/>
      <c r="L466" s="34"/>
      <c r="M466" s="34">
        <f>Таблица1[[#This Row],[Поддон
Шт]]*Таблица1[[#This Row],[Цена
Поддон]]</f>
        <v>0</v>
      </c>
      <c r="N466" s="34">
        <f>Таблица1[[#This Row],[Сумма 
Приход]]+Таблица1[[#This Row],[Сумма Поддон]]</f>
        <v>0</v>
      </c>
      <c r="O466" s="34"/>
      <c r="P466" s="34">
        <f>Таблица1[[#This Row],[Блок
 Куб]]*Таблица1[[#This Row],[Цена
 Продажа]]</f>
        <v>0</v>
      </c>
      <c r="Q466" s="34"/>
      <c r="R466" s="34">
        <f>Таблица1[[#This Row],[Сумма 
Продажа]]-Таблица1[[#This Row],[Сумма 
Приход]]-Таблица1[[#This Row],[Авто услу ]]</f>
        <v>0</v>
      </c>
      <c r="S466" s="34"/>
      <c r="T466" s="34">
        <f>Таблица1[[#This Row],[Сумма 
Продажа]]-IF(Таблица1[[#This Row],[Расход 
Авто]]="Клиент",N(Таблица1[[#This Row],[Авто услу ]]),0)</f>
        <v>0</v>
      </c>
      <c r="U4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6" s="265" t="str">
        <f>IFERROR(INDEX(Мижозлар[Агент],MATCH($D466,Мижозлар[Расмий ном],0)),"")</f>
        <v/>
      </c>
    </row>
    <row r="467" spans="1:23" ht="14.25" x14ac:dyDescent="0.2">
      <c r="A467" s="21"/>
      <c r="B467" s="135"/>
      <c r="C467" s="141"/>
      <c r="D467" s="141"/>
      <c r="E467" s="136"/>
      <c r="F467" s="135"/>
      <c r="G467" s="34"/>
      <c r="H467" s="142"/>
      <c r="I467" s="34"/>
      <c r="J467" s="34">
        <f>Таблица1[[#This Row],[Блок
 Куб]]*Таблица1[[#This Row],[Цена 
Приход]]</f>
        <v>0</v>
      </c>
      <c r="K467" s="34"/>
      <c r="L467" s="34"/>
      <c r="M467" s="34">
        <f>Таблица1[[#This Row],[Поддон
Шт]]*Таблица1[[#This Row],[Цена
Поддон]]</f>
        <v>0</v>
      </c>
      <c r="N467" s="34">
        <f>Таблица1[[#This Row],[Сумма 
Приход]]+Таблица1[[#This Row],[Сумма Поддон]]</f>
        <v>0</v>
      </c>
      <c r="O467" s="34"/>
      <c r="P467" s="34">
        <f>Таблица1[[#This Row],[Блок
 Куб]]*Таблица1[[#This Row],[Цена
 Продажа]]</f>
        <v>0</v>
      </c>
      <c r="Q467" s="34"/>
      <c r="R467" s="34">
        <f>Таблица1[[#This Row],[Сумма 
Продажа]]-Таблица1[[#This Row],[Сумма 
Приход]]-Таблица1[[#This Row],[Авто услу ]]</f>
        <v>0</v>
      </c>
      <c r="S467" s="34"/>
      <c r="T467" s="34">
        <f>Таблица1[[#This Row],[Сумма 
Продажа]]-IF(Таблица1[[#This Row],[Расход 
Авто]]="Клиент",N(Таблица1[[#This Row],[Авто услу ]]),0)</f>
        <v>0</v>
      </c>
      <c r="U4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7" s="265" t="str">
        <f>IFERROR(INDEX(Мижозлар[Агент],MATCH($D467,Мижозлар[Расмий ном],0)),"")</f>
        <v/>
      </c>
    </row>
    <row r="468" spans="1:23" ht="14.25" x14ac:dyDescent="0.2">
      <c r="A468" s="21"/>
      <c r="B468" s="135"/>
      <c r="C468" s="141"/>
      <c r="D468" s="141"/>
      <c r="E468" s="136"/>
      <c r="F468" s="135"/>
      <c r="G468" s="34"/>
      <c r="H468" s="142"/>
      <c r="I468" s="34"/>
      <c r="J468" s="34">
        <f>Таблица1[[#This Row],[Блок
 Куб]]*Таблица1[[#This Row],[Цена 
Приход]]</f>
        <v>0</v>
      </c>
      <c r="K468" s="34"/>
      <c r="L468" s="34"/>
      <c r="M468" s="34">
        <f>Таблица1[[#This Row],[Поддон
Шт]]*Таблица1[[#This Row],[Цена
Поддон]]</f>
        <v>0</v>
      </c>
      <c r="N468" s="34">
        <f>Таблица1[[#This Row],[Сумма 
Приход]]+Таблица1[[#This Row],[Сумма Поддон]]</f>
        <v>0</v>
      </c>
      <c r="O468" s="34"/>
      <c r="P468" s="34">
        <f>Таблица1[[#This Row],[Блок
 Куб]]*Таблица1[[#This Row],[Цена
 Продажа]]</f>
        <v>0</v>
      </c>
      <c r="Q468" s="34"/>
      <c r="R468" s="34">
        <f>Таблица1[[#This Row],[Сумма 
Продажа]]-Таблица1[[#This Row],[Сумма 
Приход]]-Таблица1[[#This Row],[Авто услу ]]</f>
        <v>0</v>
      </c>
      <c r="S468" s="34"/>
      <c r="T468" s="34">
        <f>Таблица1[[#This Row],[Сумма 
Продажа]]-IF(Таблица1[[#This Row],[Расход 
Авто]]="Клиент",N(Таблица1[[#This Row],[Авто услу ]]),0)</f>
        <v>0</v>
      </c>
      <c r="U4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8" s="265" t="str">
        <f>IFERROR(INDEX(Мижозлар[Агент],MATCH($D468,Мижозлар[Расмий ном],0)),"")</f>
        <v/>
      </c>
    </row>
    <row r="469" spans="1:23" ht="14.25" x14ac:dyDescent="0.2">
      <c r="A469" s="21"/>
      <c r="B469" s="135"/>
      <c r="C469" s="141"/>
      <c r="D469" s="141"/>
      <c r="E469" s="136"/>
      <c r="F469" s="135"/>
      <c r="G469" s="34"/>
      <c r="H469" s="142"/>
      <c r="I469" s="34"/>
      <c r="J469" s="34">
        <f>Таблица1[[#This Row],[Блок
 Куб]]*Таблица1[[#This Row],[Цена 
Приход]]</f>
        <v>0</v>
      </c>
      <c r="K469" s="34"/>
      <c r="L469" s="34"/>
      <c r="M469" s="34">
        <f>Таблица1[[#This Row],[Поддон
Шт]]*Таблица1[[#This Row],[Цена
Поддон]]</f>
        <v>0</v>
      </c>
      <c r="N469" s="34">
        <f>Таблица1[[#This Row],[Сумма 
Приход]]+Таблица1[[#This Row],[Сумма Поддон]]</f>
        <v>0</v>
      </c>
      <c r="O469" s="34"/>
      <c r="P469" s="34">
        <f>Таблица1[[#This Row],[Блок
 Куб]]*Таблица1[[#This Row],[Цена
 Продажа]]</f>
        <v>0</v>
      </c>
      <c r="Q469" s="34"/>
      <c r="R469" s="34">
        <f>Таблица1[[#This Row],[Сумма 
Продажа]]-Таблица1[[#This Row],[Сумма 
Приход]]-Таблица1[[#This Row],[Авто услу ]]</f>
        <v>0</v>
      </c>
      <c r="S469" s="34"/>
      <c r="T469" s="34">
        <f>Таблица1[[#This Row],[Сумма 
Продажа]]-IF(Таблица1[[#This Row],[Расход 
Авто]]="Клиент",N(Таблица1[[#This Row],[Авто услу ]]),0)</f>
        <v>0</v>
      </c>
      <c r="U4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69" s="265" t="str">
        <f>IFERROR(INDEX(Мижозлар[Агент],MATCH($D469,Мижозлар[Расмий ном],0)),"")</f>
        <v/>
      </c>
    </row>
    <row r="470" spans="1:23" ht="14.25" x14ac:dyDescent="0.2">
      <c r="A470" s="21"/>
      <c r="B470" s="135"/>
      <c r="C470" s="141"/>
      <c r="D470" s="141"/>
      <c r="E470" s="136"/>
      <c r="F470" s="135"/>
      <c r="G470" s="34"/>
      <c r="H470" s="142"/>
      <c r="I470" s="34"/>
      <c r="J470" s="34">
        <f>Таблица1[[#This Row],[Блок
 Куб]]*Таблица1[[#This Row],[Цена 
Приход]]</f>
        <v>0</v>
      </c>
      <c r="K470" s="34"/>
      <c r="L470" s="34"/>
      <c r="M470" s="34">
        <f>Таблица1[[#This Row],[Поддон
Шт]]*Таблица1[[#This Row],[Цена
Поддон]]</f>
        <v>0</v>
      </c>
      <c r="N470" s="34">
        <f>Таблица1[[#This Row],[Сумма 
Приход]]+Таблица1[[#This Row],[Сумма Поддон]]</f>
        <v>0</v>
      </c>
      <c r="O470" s="34"/>
      <c r="P470" s="34">
        <f>Таблица1[[#This Row],[Блок
 Куб]]*Таблица1[[#This Row],[Цена
 Продажа]]</f>
        <v>0</v>
      </c>
      <c r="Q470" s="34"/>
      <c r="R470" s="34">
        <f>Таблица1[[#This Row],[Сумма 
Продажа]]-Таблица1[[#This Row],[Сумма 
Приход]]-Таблица1[[#This Row],[Авто услу ]]</f>
        <v>0</v>
      </c>
      <c r="S470" s="34"/>
      <c r="T470" s="34">
        <f>Таблица1[[#This Row],[Сумма 
Продажа]]-IF(Таблица1[[#This Row],[Расход 
Авто]]="Клиент",N(Таблица1[[#This Row],[Авто услу ]]),0)</f>
        <v>0</v>
      </c>
      <c r="U4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0" s="265" t="str">
        <f>IFERROR(INDEX(Мижозлар[Агент],MATCH($D470,Мижозлар[Расмий ном],0)),"")</f>
        <v/>
      </c>
    </row>
    <row r="471" spans="1:23" ht="14.25" x14ac:dyDescent="0.2">
      <c r="A471" s="21"/>
      <c r="B471" s="135"/>
      <c r="C471" s="141"/>
      <c r="D471" s="141"/>
      <c r="E471" s="136"/>
      <c r="F471" s="135"/>
      <c r="G471" s="34"/>
      <c r="H471" s="142"/>
      <c r="I471" s="34"/>
      <c r="J471" s="34">
        <f>Таблица1[[#This Row],[Блок
 Куб]]*Таблица1[[#This Row],[Цена 
Приход]]</f>
        <v>0</v>
      </c>
      <c r="K471" s="34"/>
      <c r="L471" s="34"/>
      <c r="M471" s="34">
        <f>Таблица1[[#This Row],[Поддон
Шт]]*Таблица1[[#This Row],[Цена
Поддон]]</f>
        <v>0</v>
      </c>
      <c r="N471" s="34">
        <f>Таблица1[[#This Row],[Сумма 
Приход]]+Таблица1[[#This Row],[Сумма Поддон]]</f>
        <v>0</v>
      </c>
      <c r="O471" s="34"/>
      <c r="P471" s="34">
        <f>Таблица1[[#This Row],[Блок
 Куб]]*Таблица1[[#This Row],[Цена
 Продажа]]</f>
        <v>0</v>
      </c>
      <c r="Q471" s="34"/>
      <c r="R471" s="34">
        <f>Таблица1[[#This Row],[Сумма 
Продажа]]-Таблица1[[#This Row],[Сумма 
Приход]]-Таблица1[[#This Row],[Авто услу ]]</f>
        <v>0</v>
      </c>
      <c r="S471" s="34"/>
      <c r="T471" s="34">
        <f>Таблица1[[#This Row],[Сумма 
Продажа]]-IF(Таблица1[[#This Row],[Расход 
Авто]]="Клиент",N(Таблица1[[#This Row],[Авто услу ]]),0)</f>
        <v>0</v>
      </c>
      <c r="U4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1" s="265" t="str">
        <f>IFERROR(INDEX(Мижозлар[Агент],MATCH($D471,Мижозлар[Расмий ном],0)),"")</f>
        <v/>
      </c>
    </row>
    <row r="472" spans="1:23" ht="14.25" x14ac:dyDescent="0.2">
      <c r="A472" s="21"/>
      <c r="B472" s="135"/>
      <c r="C472" s="141"/>
      <c r="D472" s="141"/>
      <c r="E472" s="136"/>
      <c r="F472" s="135"/>
      <c r="G472" s="34"/>
      <c r="H472" s="142"/>
      <c r="I472" s="34"/>
      <c r="J472" s="34">
        <f>Таблица1[[#This Row],[Блок
 Куб]]*Таблица1[[#This Row],[Цена 
Приход]]</f>
        <v>0</v>
      </c>
      <c r="K472" s="34"/>
      <c r="L472" s="34"/>
      <c r="M472" s="34">
        <f>Таблица1[[#This Row],[Поддон
Шт]]*Таблица1[[#This Row],[Цена
Поддон]]</f>
        <v>0</v>
      </c>
      <c r="N472" s="34">
        <f>Таблица1[[#This Row],[Сумма 
Приход]]+Таблица1[[#This Row],[Сумма Поддон]]</f>
        <v>0</v>
      </c>
      <c r="O472" s="34"/>
      <c r="P472" s="34">
        <f>Таблица1[[#This Row],[Блок
 Куб]]*Таблица1[[#This Row],[Цена
 Продажа]]</f>
        <v>0</v>
      </c>
      <c r="Q472" s="34"/>
      <c r="R472" s="34">
        <f>Таблица1[[#This Row],[Сумма 
Продажа]]-Таблица1[[#This Row],[Сумма 
Приход]]-Таблица1[[#This Row],[Авто услу ]]</f>
        <v>0</v>
      </c>
      <c r="S472" s="34"/>
      <c r="T472" s="34">
        <f>Таблица1[[#This Row],[Сумма 
Продажа]]-IF(Таблица1[[#This Row],[Расход 
Авто]]="Клиент",N(Таблица1[[#This Row],[Авто услу ]]),0)</f>
        <v>0</v>
      </c>
      <c r="U4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2" s="265" t="str">
        <f>IFERROR(INDEX(Мижозлар[Агент],MATCH($D472,Мижозлар[Расмий ном],0)),"")</f>
        <v/>
      </c>
    </row>
    <row r="473" spans="1:23" ht="14.25" x14ac:dyDescent="0.2">
      <c r="A473" s="21"/>
      <c r="B473" s="135"/>
      <c r="C473" s="141"/>
      <c r="D473" s="141"/>
      <c r="E473" s="136"/>
      <c r="F473" s="135"/>
      <c r="G473" s="34"/>
      <c r="H473" s="142"/>
      <c r="I473" s="34"/>
      <c r="J473" s="34">
        <f>Таблица1[[#This Row],[Блок
 Куб]]*Таблица1[[#This Row],[Цена 
Приход]]</f>
        <v>0</v>
      </c>
      <c r="K473" s="34"/>
      <c r="L473" s="34"/>
      <c r="M473" s="34">
        <f>Таблица1[[#This Row],[Поддон
Шт]]*Таблица1[[#This Row],[Цена
Поддон]]</f>
        <v>0</v>
      </c>
      <c r="N473" s="34">
        <f>Таблица1[[#This Row],[Сумма 
Приход]]+Таблица1[[#This Row],[Сумма Поддон]]</f>
        <v>0</v>
      </c>
      <c r="O473" s="34"/>
      <c r="P473" s="34">
        <f>Таблица1[[#This Row],[Блок
 Куб]]*Таблица1[[#This Row],[Цена
 Продажа]]</f>
        <v>0</v>
      </c>
      <c r="Q473" s="34"/>
      <c r="R473" s="34">
        <f>Таблица1[[#This Row],[Сумма 
Продажа]]-Таблица1[[#This Row],[Сумма 
Приход]]-Таблица1[[#This Row],[Авто услу ]]</f>
        <v>0</v>
      </c>
      <c r="S473" s="34"/>
      <c r="T473" s="34">
        <f>Таблица1[[#This Row],[Сумма 
Продажа]]-IF(Таблица1[[#This Row],[Расход 
Авто]]="Клиент",N(Таблица1[[#This Row],[Авто услу ]]),0)</f>
        <v>0</v>
      </c>
      <c r="U4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3" s="265" t="str">
        <f>IFERROR(INDEX(Мижозлар[Агент],MATCH($D473,Мижозлар[Расмий ном],0)),"")</f>
        <v/>
      </c>
    </row>
    <row r="474" spans="1:23" ht="14.25" x14ac:dyDescent="0.2">
      <c r="A474" s="21"/>
      <c r="B474" s="135"/>
      <c r="C474" s="141"/>
      <c r="D474" s="141"/>
      <c r="E474" s="136"/>
      <c r="F474" s="135"/>
      <c r="G474" s="34"/>
      <c r="H474" s="142"/>
      <c r="I474" s="34"/>
      <c r="J474" s="34">
        <f>Таблица1[[#This Row],[Блок
 Куб]]*Таблица1[[#This Row],[Цена 
Приход]]</f>
        <v>0</v>
      </c>
      <c r="K474" s="34"/>
      <c r="L474" s="34"/>
      <c r="M474" s="34">
        <f>Таблица1[[#This Row],[Поддон
Шт]]*Таблица1[[#This Row],[Цена
Поддон]]</f>
        <v>0</v>
      </c>
      <c r="N474" s="34">
        <f>Таблица1[[#This Row],[Сумма 
Приход]]+Таблица1[[#This Row],[Сумма Поддон]]</f>
        <v>0</v>
      </c>
      <c r="O474" s="34"/>
      <c r="P474" s="34">
        <f>Таблица1[[#This Row],[Блок
 Куб]]*Таблица1[[#This Row],[Цена
 Продажа]]</f>
        <v>0</v>
      </c>
      <c r="Q474" s="34"/>
      <c r="R474" s="34">
        <f>Таблица1[[#This Row],[Сумма 
Продажа]]-Таблица1[[#This Row],[Сумма 
Приход]]-Таблица1[[#This Row],[Авто услу ]]</f>
        <v>0</v>
      </c>
      <c r="S474" s="34"/>
      <c r="T474" s="34">
        <f>Таблица1[[#This Row],[Сумма 
Продажа]]-IF(Таблица1[[#This Row],[Расход 
Авто]]="Клиент",N(Таблица1[[#This Row],[Авто услу ]]),0)</f>
        <v>0</v>
      </c>
      <c r="U4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4" s="265" t="str">
        <f>IFERROR(INDEX(Мижозлар[Агент],MATCH($D474,Мижозлар[Расмий ном],0)),"")</f>
        <v/>
      </c>
    </row>
    <row r="475" spans="1:23" ht="14.25" x14ac:dyDescent="0.2">
      <c r="A475" s="21"/>
      <c r="B475" s="135"/>
      <c r="C475" s="141"/>
      <c r="D475" s="141"/>
      <c r="E475" s="136"/>
      <c r="F475" s="135"/>
      <c r="G475" s="34"/>
      <c r="H475" s="142"/>
      <c r="I475" s="34"/>
      <c r="J475" s="34">
        <f>Таблица1[[#This Row],[Блок
 Куб]]*Таблица1[[#This Row],[Цена 
Приход]]</f>
        <v>0</v>
      </c>
      <c r="K475" s="34"/>
      <c r="L475" s="34"/>
      <c r="M475" s="34">
        <f>Таблица1[[#This Row],[Поддон
Шт]]*Таблица1[[#This Row],[Цена
Поддон]]</f>
        <v>0</v>
      </c>
      <c r="N475" s="34">
        <f>Таблица1[[#This Row],[Сумма 
Приход]]+Таблица1[[#This Row],[Сумма Поддон]]</f>
        <v>0</v>
      </c>
      <c r="O475" s="34"/>
      <c r="P475" s="34">
        <f>Таблица1[[#This Row],[Блок
 Куб]]*Таблица1[[#This Row],[Цена
 Продажа]]</f>
        <v>0</v>
      </c>
      <c r="Q475" s="34"/>
      <c r="R475" s="34">
        <f>Таблица1[[#This Row],[Сумма 
Продажа]]-Таблица1[[#This Row],[Сумма 
Приход]]-Таблица1[[#This Row],[Авто услу ]]</f>
        <v>0</v>
      </c>
      <c r="S475" s="34"/>
      <c r="T475" s="34">
        <f>Таблица1[[#This Row],[Сумма 
Продажа]]-IF(Таблица1[[#This Row],[Расход 
Авто]]="Клиент",N(Таблица1[[#This Row],[Авто услу ]]),0)</f>
        <v>0</v>
      </c>
      <c r="U4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5" s="265" t="str">
        <f>IFERROR(INDEX(Мижозлар[Агент],MATCH($D475,Мижозлар[Расмий ном],0)),"")</f>
        <v/>
      </c>
    </row>
    <row r="476" spans="1:23" ht="14.25" x14ac:dyDescent="0.2">
      <c r="A476" s="21"/>
      <c r="B476" s="135"/>
      <c r="C476" s="141"/>
      <c r="D476" s="141"/>
      <c r="E476" s="136"/>
      <c r="F476" s="135"/>
      <c r="G476" s="34"/>
      <c r="H476" s="142"/>
      <c r="I476" s="34"/>
      <c r="J476" s="34">
        <f>Таблица1[[#This Row],[Блок
 Куб]]*Таблица1[[#This Row],[Цена 
Приход]]</f>
        <v>0</v>
      </c>
      <c r="K476" s="34"/>
      <c r="L476" s="34"/>
      <c r="M476" s="34">
        <f>Таблица1[[#This Row],[Поддон
Шт]]*Таблица1[[#This Row],[Цена
Поддон]]</f>
        <v>0</v>
      </c>
      <c r="N476" s="34">
        <f>Таблица1[[#This Row],[Сумма 
Приход]]+Таблица1[[#This Row],[Сумма Поддон]]</f>
        <v>0</v>
      </c>
      <c r="O476" s="34"/>
      <c r="P476" s="34">
        <f>Таблица1[[#This Row],[Блок
 Куб]]*Таблица1[[#This Row],[Цена
 Продажа]]</f>
        <v>0</v>
      </c>
      <c r="Q476" s="34"/>
      <c r="R476" s="34">
        <f>Таблица1[[#This Row],[Сумма 
Продажа]]-Таблица1[[#This Row],[Сумма 
Приход]]-Таблица1[[#This Row],[Авто услу ]]</f>
        <v>0</v>
      </c>
      <c r="S476" s="34"/>
      <c r="T476" s="34">
        <f>Таблица1[[#This Row],[Сумма 
Продажа]]-IF(Таблица1[[#This Row],[Расход 
Авто]]="Клиент",N(Таблица1[[#This Row],[Авто услу ]]),0)</f>
        <v>0</v>
      </c>
      <c r="U4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6" s="265" t="str">
        <f>IFERROR(INDEX(Мижозлар[Агент],MATCH($D476,Мижозлар[Расмий ном],0)),"")</f>
        <v/>
      </c>
    </row>
    <row r="477" spans="1:23" ht="14.25" x14ac:dyDescent="0.2">
      <c r="A477" s="21"/>
      <c r="B477" s="135"/>
      <c r="C477" s="141"/>
      <c r="D477" s="141"/>
      <c r="E477" s="136"/>
      <c r="F477" s="135"/>
      <c r="G477" s="34"/>
      <c r="H477" s="142"/>
      <c r="I477" s="34"/>
      <c r="J477" s="34">
        <f>Таблица1[[#This Row],[Блок
 Куб]]*Таблица1[[#This Row],[Цена 
Приход]]</f>
        <v>0</v>
      </c>
      <c r="K477" s="34"/>
      <c r="L477" s="34"/>
      <c r="M477" s="34">
        <f>Таблица1[[#This Row],[Поддон
Шт]]*Таблица1[[#This Row],[Цена
Поддон]]</f>
        <v>0</v>
      </c>
      <c r="N477" s="34">
        <f>Таблица1[[#This Row],[Сумма 
Приход]]+Таблица1[[#This Row],[Сумма Поддон]]</f>
        <v>0</v>
      </c>
      <c r="O477" s="34"/>
      <c r="P477" s="34">
        <f>Таблица1[[#This Row],[Блок
 Куб]]*Таблица1[[#This Row],[Цена
 Продажа]]</f>
        <v>0</v>
      </c>
      <c r="Q477" s="34"/>
      <c r="R477" s="34">
        <f>Таблица1[[#This Row],[Сумма 
Продажа]]-Таблица1[[#This Row],[Сумма 
Приход]]-Таблица1[[#This Row],[Авто услу ]]</f>
        <v>0</v>
      </c>
      <c r="S477" s="34"/>
      <c r="T477" s="34">
        <f>Таблица1[[#This Row],[Сумма 
Продажа]]-IF(Таблица1[[#This Row],[Расход 
Авто]]="Клиент",N(Таблица1[[#This Row],[Авто услу ]]),0)</f>
        <v>0</v>
      </c>
      <c r="U4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7" s="265" t="str">
        <f>IFERROR(INDEX(Мижозлар[Агент],MATCH($D477,Мижозлар[Расмий ном],0)),"")</f>
        <v/>
      </c>
    </row>
    <row r="478" spans="1:23" ht="14.25" x14ac:dyDescent="0.2">
      <c r="A478" s="21"/>
      <c r="B478" s="135"/>
      <c r="C478" s="141"/>
      <c r="D478" s="141"/>
      <c r="E478" s="136"/>
      <c r="F478" s="135"/>
      <c r="G478" s="34"/>
      <c r="H478" s="142"/>
      <c r="I478" s="34"/>
      <c r="J478" s="34">
        <f>Таблица1[[#This Row],[Блок
 Куб]]*Таблица1[[#This Row],[Цена 
Приход]]</f>
        <v>0</v>
      </c>
      <c r="K478" s="34"/>
      <c r="L478" s="34"/>
      <c r="M478" s="34">
        <f>Таблица1[[#This Row],[Поддон
Шт]]*Таблица1[[#This Row],[Цена
Поддон]]</f>
        <v>0</v>
      </c>
      <c r="N478" s="34">
        <f>Таблица1[[#This Row],[Сумма 
Приход]]+Таблица1[[#This Row],[Сумма Поддон]]</f>
        <v>0</v>
      </c>
      <c r="O478" s="34"/>
      <c r="P478" s="34">
        <f>Таблица1[[#This Row],[Блок
 Куб]]*Таблица1[[#This Row],[Цена
 Продажа]]</f>
        <v>0</v>
      </c>
      <c r="Q478" s="34"/>
      <c r="R478" s="34">
        <f>Таблица1[[#This Row],[Сумма 
Продажа]]-Таблица1[[#This Row],[Сумма 
Приход]]-Таблица1[[#This Row],[Авто услу ]]</f>
        <v>0</v>
      </c>
      <c r="S478" s="34"/>
      <c r="T478" s="34">
        <f>Таблица1[[#This Row],[Сумма 
Продажа]]-IF(Таблица1[[#This Row],[Расход 
Авто]]="Клиент",N(Таблица1[[#This Row],[Авто услу ]]),0)</f>
        <v>0</v>
      </c>
      <c r="U4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8" s="265" t="str">
        <f>IFERROR(INDEX(Мижозлар[Агент],MATCH($D478,Мижозлар[Расмий ном],0)),"")</f>
        <v/>
      </c>
    </row>
    <row r="479" spans="1:23" ht="14.25" x14ac:dyDescent="0.2">
      <c r="A479" s="21"/>
      <c r="B479" s="135"/>
      <c r="C479" s="141"/>
      <c r="D479" s="141"/>
      <c r="E479" s="136"/>
      <c r="F479" s="135"/>
      <c r="G479" s="34"/>
      <c r="H479" s="142"/>
      <c r="I479" s="34"/>
      <c r="J479" s="34">
        <f>Таблица1[[#This Row],[Блок
 Куб]]*Таблица1[[#This Row],[Цена 
Приход]]</f>
        <v>0</v>
      </c>
      <c r="K479" s="34"/>
      <c r="L479" s="34"/>
      <c r="M479" s="34">
        <f>Таблица1[[#This Row],[Поддон
Шт]]*Таблица1[[#This Row],[Цена
Поддон]]</f>
        <v>0</v>
      </c>
      <c r="N479" s="34">
        <f>Таблица1[[#This Row],[Сумма 
Приход]]+Таблица1[[#This Row],[Сумма Поддон]]</f>
        <v>0</v>
      </c>
      <c r="O479" s="34"/>
      <c r="P479" s="34">
        <f>Таблица1[[#This Row],[Блок
 Куб]]*Таблица1[[#This Row],[Цена
 Продажа]]</f>
        <v>0</v>
      </c>
      <c r="Q479" s="34"/>
      <c r="R479" s="34">
        <f>Таблица1[[#This Row],[Сумма 
Продажа]]-Таблица1[[#This Row],[Сумма 
Приход]]-Таблица1[[#This Row],[Авто услу ]]</f>
        <v>0</v>
      </c>
      <c r="S479" s="34"/>
      <c r="T479" s="34">
        <f>Таблица1[[#This Row],[Сумма 
Продажа]]-IF(Таблица1[[#This Row],[Расход 
Авто]]="Клиент",N(Таблица1[[#This Row],[Авто услу ]]),0)</f>
        <v>0</v>
      </c>
      <c r="U4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79" s="265" t="str">
        <f>IFERROR(INDEX(Мижозлар[Агент],MATCH($D479,Мижозлар[Расмий ном],0)),"")</f>
        <v/>
      </c>
    </row>
    <row r="480" spans="1:23" ht="14.25" x14ac:dyDescent="0.2">
      <c r="A480" s="21"/>
      <c r="B480" s="135"/>
      <c r="C480" s="141"/>
      <c r="D480" s="141"/>
      <c r="E480" s="136"/>
      <c r="F480" s="135"/>
      <c r="G480" s="34"/>
      <c r="H480" s="142"/>
      <c r="I480" s="34"/>
      <c r="J480" s="34">
        <f>Таблица1[[#This Row],[Блок
 Куб]]*Таблица1[[#This Row],[Цена 
Приход]]</f>
        <v>0</v>
      </c>
      <c r="K480" s="34"/>
      <c r="L480" s="34"/>
      <c r="M480" s="34">
        <f>Таблица1[[#This Row],[Поддон
Шт]]*Таблица1[[#This Row],[Цена
Поддон]]</f>
        <v>0</v>
      </c>
      <c r="N480" s="34">
        <f>Таблица1[[#This Row],[Сумма 
Приход]]+Таблица1[[#This Row],[Сумма Поддон]]</f>
        <v>0</v>
      </c>
      <c r="O480" s="34"/>
      <c r="P480" s="34">
        <f>Таблица1[[#This Row],[Блок
 Куб]]*Таблица1[[#This Row],[Цена
 Продажа]]</f>
        <v>0</v>
      </c>
      <c r="Q480" s="34"/>
      <c r="R480" s="34">
        <f>Таблица1[[#This Row],[Сумма 
Продажа]]-Таблица1[[#This Row],[Сумма 
Приход]]-Таблица1[[#This Row],[Авто услу ]]</f>
        <v>0</v>
      </c>
      <c r="S480" s="34"/>
      <c r="T480" s="34">
        <f>Таблица1[[#This Row],[Сумма 
Продажа]]-IF(Таблица1[[#This Row],[Расход 
Авто]]="Клиент",N(Таблица1[[#This Row],[Авто услу ]]),0)</f>
        <v>0</v>
      </c>
      <c r="U4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0" s="265" t="str">
        <f>IFERROR(INDEX(Мижозлар[Агент],MATCH($D480,Мижозлар[Расмий ном],0)),"")</f>
        <v/>
      </c>
    </row>
    <row r="481" spans="1:23" ht="14.25" x14ac:dyDescent="0.2">
      <c r="A481" s="21"/>
      <c r="B481" s="135"/>
      <c r="C481" s="141"/>
      <c r="D481" s="141"/>
      <c r="E481" s="136"/>
      <c r="F481" s="135"/>
      <c r="G481" s="34"/>
      <c r="H481" s="142"/>
      <c r="I481" s="34"/>
      <c r="J481" s="34">
        <f>Таблица1[[#This Row],[Блок
 Куб]]*Таблица1[[#This Row],[Цена 
Приход]]</f>
        <v>0</v>
      </c>
      <c r="K481" s="34"/>
      <c r="L481" s="34"/>
      <c r="M481" s="34">
        <f>Таблица1[[#This Row],[Поддон
Шт]]*Таблица1[[#This Row],[Цена
Поддон]]</f>
        <v>0</v>
      </c>
      <c r="N481" s="34">
        <f>Таблица1[[#This Row],[Сумма 
Приход]]+Таблица1[[#This Row],[Сумма Поддон]]</f>
        <v>0</v>
      </c>
      <c r="O481" s="34"/>
      <c r="P481" s="34">
        <f>Таблица1[[#This Row],[Блок
 Куб]]*Таблица1[[#This Row],[Цена
 Продажа]]</f>
        <v>0</v>
      </c>
      <c r="Q481" s="34"/>
      <c r="R481" s="34">
        <f>Таблица1[[#This Row],[Сумма 
Продажа]]-Таблица1[[#This Row],[Сумма 
Приход]]-Таблица1[[#This Row],[Авто услу ]]</f>
        <v>0</v>
      </c>
      <c r="S481" s="34"/>
      <c r="T481" s="34">
        <f>Таблица1[[#This Row],[Сумма 
Продажа]]-IF(Таблица1[[#This Row],[Расход 
Авто]]="Клиент",N(Таблица1[[#This Row],[Авто услу ]]),0)</f>
        <v>0</v>
      </c>
      <c r="U4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1" s="265" t="str">
        <f>IFERROR(INDEX(Мижозлар[Агент],MATCH($D481,Мижозлар[Расмий ном],0)),"")</f>
        <v/>
      </c>
    </row>
    <row r="482" spans="1:23" ht="14.25" x14ac:dyDescent="0.2">
      <c r="A482" s="21"/>
      <c r="B482" s="135"/>
      <c r="C482" s="141"/>
      <c r="D482" s="141"/>
      <c r="E482" s="136"/>
      <c r="F482" s="135"/>
      <c r="G482" s="34"/>
      <c r="H482" s="142"/>
      <c r="I482" s="34"/>
      <c r="J482" s="34">
        <f>Таблица1[[#This Row],[Блок
 Куб]]*Таблица1[[#This Row],[Цена 
Приход]]</f>
        <v>0</v>
      </c>
      <c r="K482" s="34"/>
      <c r="L482" s="34"/>
      <c r="M482" s="34">
        <f>Таблица1[[#This Row],[Поддон
Шт]]*Таблица1[[#This Row],[Цена
Поддон]]</f>
        <v>0</v>
      </c>
      <c r="N482" s="34">
        <f>Таблица1[[#This Row],[Сумма 
Приход]]+Таблица1[[#This Row],[Сумма Поддон]]</f>
        <v>0</v>
      </c>
      <c r="O482" s="34"/>
      <c r="P482" s="34">
        <f>Таблица1[[#This Row],[Блок
 Куб]]*Таблица1[[#This Row],[Цена
 Продажа]]</f>
        <v>0</v>
      </c>
      <c r="Q482" s="34"/>
      <c r="R482" s="34">
        <f>Таблица1[[#This Row],[Сумма 
Продажа]]-Таблица1[[#This Row],[Сумма 
Приход]]-Таблица1[[#This Row],[Авто услу ]]</f>
        <v>0</v>
      </c>
      <c r="S482" s="34"/>
      <c r="T482" s="34">
        <f>Таблица1[[#This Row],[Сумма 
Продажа]]-IF(Таблица1[[#This Row],[Расход 
Авто]]="Клиент",N(Таблица1[[#This Row],[Авто услу ]]),0)</f>
        <v>0</v>
      </c>
      <c r="U4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2" s="265" t="str">
        <f>IFERROR(INDEX(Мижозлар[Агент],MATCH($D482,Мижозлар[Расмий ном],0)),"")</f>
        <v/>
      </c>
    </row>
    <row r="483" spans="1:23" ht="14.25" x14ac:dyDescent="0.2">
      <c r="A483" s="21"/>
      <c r="B483" s="135"/>
      <c r="C483" s="141"/>
      <c r="D483" s="141"/>
      <c r="E483" s="136"/>
      <c r="F483" s="135"/>
      <c r="G483" s="34"/>
      <c r="H483" s="142"/>
      <c r="I483" s="34"/>
      <c r="J483" s="34">
        <f>Таблица1[[#This Row],[Блок
 Куб]]*Таблица1[[#This Row],[Цена 
Приход]]</f>
        <v>0</v>
      </c>
      <c r="K483" s="34"/>
      <c r="L483" s="34"/>
      <c r="M483" s="34">
        <f>Таблица1[[#This Row],[Поддон
Шт]]*Таблица1[[#This Row],[Цена
Поддон]]</f>
        <v>0</v>
      </c>
      <c r="N483" s="34">
        <f>Таблица1[[#This Row],[Сумма 
Приход]]+Таблица1[[#This Row],[Сумма Поддон]]</f>
        <v>0</v>
      </c>
      <c r="O483" s="34"/>
      <c r="P483" s="34">
        <f>Таблица1[[#This Row],[Блок
 Куб]]*Таблица1[[#This Row],[Цена
 Продажа]]</f>
        <v>0</v>
      </c>
      <c r="Q483" s="34"/>
      <c r="R483" s="34">
        <f>Таблица1[[#This Row],[Сумма 
Продажа]]-Таблица1[[#This Row],[Сумма 
Приход]]-Таблица1[[#This Row],[Авто услу ]]</f>
        <v>0</v>
      </c>
      <c r="S483" s="34"/>
      <c r="T483" s="34">
        <f>Таблица1[[#This Row],[Сумма 
Продажа]]-IF(Таблица1[[#This Row],[Расход 
Авто]]="Клиент",N(Таблица1[[#This Row],[Авто услу ]]),0)</f>
        <v>0</v>
      </c>
      <c r="U4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3" s="265" t="str">
        <f>IFERROR(INDEX(Мижозлар[Агент],MATCH($D483,Мижозлар[Расмий ном],0)),"")</f>
        <v/>
      </c>
    </row>
    <row r="484" spans="1:23" ht="14.25" x14ac:dyDescent="0.2">
      <c r="A484" s="21"/>
      <c r="B484" s="135"/>
      <c r="C484" s="141"/>
      <c r="D484" s="141"/>
      <c r="E484" s="136"/>
      <c r="F484" s="135"/>
      <c r="G484" s="34"/>
      <c r="H484" s="142"/>
      <c r="I484" s="34"/>
      <c r="J484" s="34">
        <f>Таблица1[[#This Row],[Блок
 Куб]]*Таблица1[[#This Row],[Цена 
Приход]]</f>
        <v>0</v>
      </c>
      <c r="K484" s="34"/>
      <c r="L484" s="34"/>
      <c r="M484" s="34">
        <f>Таблица1[[#This Row],[Поддон
Шт]]*Таблица1[[#This Row],[Цена
Поддон]]</f>
        <v>0</v>
      </c>
      <c r="N484" s="34">
        <f>Таблица1[[#This Row],[Сумма 
Приход]]+Таблица1[[#This Row],[Сумма Поддон]]</f>
        <v>0</v>
      </c>
      <c r="O484" s="34"/>
      <c r="P484" s="34">
        <f>Таблица1[[#This Row],[Блок
 Куб]]*Таблица1[[#This Row],[Цена
 Продажа]]</f>
        <v>0</v>
      </c>
      <c r="Q484" s="34"/>
      <c r="R484" s="34">
        <f>Таблица1[[#This Row],[Сумма 
Продажа]]-Таблица1[[#This Row],[Сумма 
Приход]]-Таблица1[[#This Row],[Авто услу ]]</f>
        <v>0</v>
      </c>
      <c r="S484" s="34"/>
      <c r="T484" s="34">
        <f>Таблица1[[#This Row],[Сумма 
Продажа]]-IF(Таблица1[[#This Row],[Расход 
Авто]]="Клиент",N(Таблица1[[#This Row],[Авто услу ]]),0)</f>
        <v>0</v>
      </c>
      <c r="U4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4" s="265" t="str">
        <f>IFERROR(INDEX(Мижозлар[Агент],MATCH($D484,Мижозлар[Расмий ном],0)),"")</f>
        <v/>
      </c>
    </row>
    <row r="485" spans="1:23" ht="14.25" x14ac:dyDescent="0.2">
      <c r="A485" s="21"/>
      <c r="B485" s="135"/>
      <c r="C485" s="141"/>
      <c r="D485" s="141"/>
      <c r="E485" s="136"/>
      <c r="F485" s="135"/>
      <c r="G485" s="34"/>
      <c r="H485" s="142"/>
      <c r="I485" s="34"/>
      <c r="J485" s="34">
        <f>Таблица1[[#This Row],[Блок
 Куб]]*Таблица1[[#This Row],[Цена 
Приход]]</f>
        <v>0</v>
      </c>
      <c r="K485" s="34"/>
      <c r="L485" s="34"/>
      <c r="M485" s="34">
        <f>Таблица1[[#This Row],[Поддон
Шт]]*Таблица1[[#This Row],[Цена
Поддон]]</f>
        <v>0</v>
      </c>
      <c r="N485" s="34">
        <f>Таблица1[[#This Row],[Сумма 
Приход]]+Таблица1[[#This Row],[Сумма Поддон]]</f>
        <v>0</v>
      </c>
      <c r="O485" s="34"/>
      <c r="P485" s="34">
        <f>Таблица1[[#This Row],[Блок
 Куб]]*Таблица1[[#This Row],[Цена
 Продажа]]</f>
        <v>0</v>
      </c>
      <c r="Q485" s="34"/>
      <c r="R485" s="34">
        <f>Таблица1[[#This Row],[Сумма 
Продажа]]-Таблица1[[#This Row],[Сумма 
Приход]]-Таблица1[[#This Row],[Авто услу ]]</f>
        <v>0</v>
      </c>
      <c r="S485" s="34"/>
      <c r="T485" s="34">
        <f>Таблица1[[#This Row],[Сумма 
Продажа]]-IF(Таблица1[[#This Row],[Расход 
Авто]]="Клиент",N(Таблица1[[#This Row],[Авто услу ]]),0)</f>
        <v>0</v>
      </c>
      <c r="U4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5" s="265" t="str">
        <f>IFERROR(INDEX(Мижозлар[Агент],MATCH($D485,Мижозлар[Расмий ном],0)),"")</f>
        <v/>
      </c>
    </row>
    <row r="486" spans="1:23" ht="14.25" x14ac:dyDescent="0.2">
      <c r="A486" s="21"/>
      <c r="B486" s="135"/>
      <c r="C486" s="141"/>
      <c r="D486" s="141"/>
      <c r="E486" s="136"/>
      <c r="F486" s="135"/>
      <c r="G486" s="34"/>
      <c r="H486" s="142"/>
      <c r="I486" s="34"/>
      <c r="J486" s="34">
        <f>Таблица1[[#This Row],[Блок
 Куб]]*Таблица1[[#This Row],[Цена 
Приход]]</f>
        <v>0</v>
      </c>
      <c r="K486" s="34"/>
      <c r="L486" s="34"/>
      <c r="M486" s="34">
        <f>Таблица1[[#This Row],[Поддон
Шт]]*Таблица1[[#This Row],[Цена
Поддон]]</f>
        <v>0</v>
      </c>
      <c r="N486" s="34">
        <f>Таблица1[[#This Row],[Сумма 
Приход]]+Таблица1[[#This Row],[Сумма Поддон]]</f>
        <v>0</v>
      </c>
      <c r="O486" s="34"/>
      <c r="P486" s="34">
        <f>Таблица1[[#This Row],[Блок
 Куб]]*Таблица1[[#This Row],[Цена
 Продажа]]</f>
        <v>0</v>
      </c>
      <c r="Q486" s="34"/>
      <c r="R486" s="34">
        <f>Таблица1[[#This Row],[Сумма 
Продажа]]-Таблица1[[#This Row],[Сумма 
Приход]]-Таблица1[[#This Row],[Авто услу ]]</f>
        <v>0</v>
      </c>
      <c r="S486" s="34"/>
      <c r="T486" s="34">
        <f>Таблица1[[#This Row],[Сумма 
Продажа]]-IF(Таблица1[[#This Row],[Расход 
Авто]]="Клиент",N(Таблица1[[#This Row],[Авто услу ]]),0)</f>
        <v>0</v>
      </c>
      <c r="U4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6" s="265" t="str">
        <f>IFERROR(INDEX(Мижозлар[Агент],MATCH($D486,Мижозлар[Расмий ном],0)),"")</f>
        <v/>
      </c>
    </row>
    <row r="487" spans="1:23" ht="14.25" x14ac:dyDescent="0.2">
      <c r="A487" s="21"/>
      <c r="B487" s="135"/>
      <c r="C487" s="141"/>
      <c r="D487" s="141"/>
      <c r="E487" s="136"/>
      <c r="F487" s="135"/>
      <c r="G487" s="34"/>
      <c r="H487" s="142"/>
      <c r="I487" s="34"/>
      <c r="J487" s="34">
        <f>Таблица1[[#This Row],[Блок
 Куб]]*Таблица1[[#This Row],[Цена 
Приход]]</f>
        <v>0</v>
      </c>
      <c r="K487" s="34"/>
      <c r="L487" s="34"/>
      <c r="M487" s="34">
        <f>Таблица1[[#This Row],[Поддон
Шт]]*Таблица1[[#This Row],[Цена
Поддон]]</f>
        <v>0</v>
      </c>
      <c r="N487" s="34">
        <f>Таблица1[[#This Row],[Сумма 
Приход]]+Таблица1[[#This Row],[Сумма Поддон]]</f>
        <v>0</v>
      </c>
      <c r="O487" s="34"/>
      <c r="P487" s="34">
        <f>Таблица1[[#This Row],[Блок
 Куб]]*Таблица1[[#This Row],[Цена
 Продажа]]</f>
        <v>0</v>
      </c>
      <c r="Q487" s="34"/>
      <c r="R487" s="34">
        <f>Таблица1[[#This Row],[Сумма 
Продажа]]-Таблица1[[#This Row],[Сумма 
Приход]]-Таблица1[[#This Row],[Авто услу ]]</f>
        <v>0</v>
      </c>
      <c r="S487" s="34"/>
      <c r="T487" s="34">
        <f>Таблица1[[#This Row],[Сумма 
Продажа]]-IF(Таблица1[[#This Row],[Расход 
Авто]]="Клиент",N(Таблица1[[#This Row],[Авто услу ]]),0)</f>
        <v>0</v>
      </c>
      <c r="U4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7" s="265" t="str">
        <f>IFERROR(INDEX(Мижозлар[Агент],MATCH($D487,Мижозлар[Расмий ном],0)),"")</f>
        <v/>
      </c>
    </row>
    <row r="488" spans="1:23" ht="14.25" x14ac:dyDescent="0.2">
      <c r="A488" s="21"/>
      <c r="B488" s="135"/>
      <c r="C488" s="141"/>
      <c r="D488" s="141"/>
      <c r="E488" s="136"/>
      <c r="F488" s="135"/>
      <c r="G488" s="34"/>
      <c r="H488" s="142"/>
      <c r="I488" s="34"/>
      <c r="J488" s="34">
        <f>Таблица1[[#This Row],[Блок
 Куб]]*Таблица1[[#This Row],[Цена 
Приход]]</f>
        <v>0</v>
      </c>
      <c r="K488" s="34"/>
      <c r="L488" s="34"/>
      <c r="M488" s="34">
        <f>Таблица1[[#This Row],[Поддон
Шт]]*Таблица1[[#This Row],[Цена
Поддон]]</f>
        <v>0</v>
      </c>
      <c r="N488" s="34">
        <f>Таблица1[[#This Row],[Сумма 
Приход]]+Таблица1[[#This Row],[Сумма Поддон]]</f>
        <v>0</v>
      </c>
      <c r="O488" s="34"/>
      <c r="P488" s="34">
        <f>Таблица1[[#This Row],[Блок
 Куб]]*Таблица1[[#This Row],[Цена
 Продажа]]</f>
        <v>0</v>
      </c>
      <c r="Q488" s="34"/>
      <c r="R488" s="34">
        <f>Таблица1[[#This Row],[Сумма 
Продажа]]-Таблица1[[#This Row],[Сумма 
Приход]]-Таблица1[[#This Row],[Авто услу ]]</f>
        <v>0</v>
      </c>
      <c r="S488" s="34"/>
      <c r="T488" s="34">
        <f>Таблица1[[#This Row],[Сумма 
Продажа]]-IF(Таблица1[[#This Row],[Расход 
Авто]]="Клиент",N(Таблица1[[#This Row],[Авто услу ]]),0)</f>
        <v>0</v>
      </c>
      <c r="U4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8" s="265" t="str">
        <f>IFERROR(INDEX(Мижозлар[Агент],MATCH($D488,Мижозлар[Расмий ном],0)),"")</f>
        <v/>
      </c>
    </row>
    <row r="489" spans="1:23" ht="14.25" x14ac:dyDescent="0.2">
      <c r="A489" s="21"/>
      <c r="B489" s="135"/>
      <c r="C489" s="141"/>
      <c r="D489" s="141"/>
      <c r="E489" s="136"/>
      <c r="F489" s="135"/>
      <c r="G489" s="34"/>
      <c r="H489" s="142"/>
      <c r="I489" s="34"/>
      <c r="J489" s="34">
        <f>Таблица1[[#This Row],[Блок
 Куб]]*Таблица1[[#This Row],[Цена 
Приход]]</f>
        <v>0</v>
      </c>
      <c r="K489" s="34"/>
      <c r="L489" s="34"/>
      <c r="M489" s="34">
        <f>Таблица1[[#This Row],[Поддон
Шт]]*Таблица1[[#This Row],[Цена
Поддон]]</f>
        <v>0</v>
      </c>
      <c r="N489" s="34">
        <f>Таблица1[[#This Row],[Сумма 
Приход]]+Таблица1[[#This Row],[Сумма Поддон]]</f>
        <v>0</v>
      </c>
      <c r="O489" s="34"/>
      <c r="P489" s="34">
        <f>Таблица1[[#This Row],[Блок
 Куб]]*Таблица1[[#This Row],[Цена
 Продажа]]</f>
        <v>0</v>
      </c>
      <c r="Q489" s="34"/>
      <c r="R489" s="34">
        <f>Таблица1[[#This Row],[Сумма 
Продажа]]-Таблица1[[#This Row],[Сумма 
Приход]]-Таблица1[[#This Row],[Авто услу ]]</f>
        <v>0</v>
      </c>
      <c r="S489" s="34"/>
      <c r="T489" s="34">
        <f>Таблица1[[#This Row],[Сумма 
Продажа]]-IF(Таблица1[[#This Row],[Расход 
Авто]]="Клиент",N(Таблица1[[#This Row],[Авто услу ]]),0)</f>
        <v>0</v>
      </c>
      <c r="U4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89" s="265" t="str">
        <f>IFERROR(INDEX(Мижозлар[Агент],MATCH($D489,Мижозлар[Расмий ном],0)),"")</f>
        <v/>
      </c>
    </row>
    <row r="490" spans="1:23" ht="14.25" x14ac:dyDescent="0.2">
      <c r="A490" s="21"/>
      <c r="B490" s="135"/>
      <c r="C490" s="141"/>
      <c r="D490" s="141"/>
      <c r="E490" s="136"/>
      <c r="F490" s="135"/>
      <c r="G490" s="34"/>
      <c r="H490" s="142"/>
      <c r="I490" s="34"/>
      <c r="J490" s="34">
        <f>Таблица1[[#This Row],[Блок
 Куб]]*Таблица1[[#This Row],[Цена 
Приход]]</f>
        <v>0</v>
      </c>
      <c r="K490" s="34"/>
      <c r="L490" s="34"/>
      <c r="M490" s="34">
        <f>Таблица1[[#This Row],[Поддон
Шт]]*Таблица1[[#This Row],[Цена
Поддон]]</f>
        <v>0</v>
      </c>
      <c r="N490" s="34">
        <f>Таблица1[[#This Row],[Сумма 
Приход]]+Таблица1[[#This Row],[Сумма Поддон]]</f>
        <v>0</v>
      </c>
      <c r="O490" s="34"/>
      <c r="P490" s="34">
        <f>Таблица1[[#This Row],[Блок
 Куб]]*Таблица1[[#This Row],[Цена
 Продажа]]</f>
        <v>0</v>
      </c>
      <c r="Q490" s="34"/>
      <c r="R490" s="34">
        <f>Таблица1[[#This Row],[Сумма 
Продажа]]-Таблица1[[#This Row],[Сумма 
Приход]]-Таблица1[[#This Row],[Авто услу ]]</f>
        <v>0</v>
      </c>
      <c r="S490" s="34"/>
      <c r="T490" s="34">
        <f>Таблица1[[#This Row],[Сумма 
Продажа]]-IF(Таблица1[[#This Row],[Расход 
Авто]]="Клиент",N(Таблица1[[#This Row],[Авто услу ]]),0)</f>
        <v>0</v>
      </c>
      <c r="U4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0" s="265" t="str">
        <f>IFERROR(INDEX(Мижозлар[Агент],MATCH($D490,Мижозлар[Расмий ном],0)),"")</f>
        <v/>
      </c>
    </row>
    <row r="491" spans="1:23" ht="14.25" x14ac:dyDescent="0.2">
      <c r="A491" s="21"/>
      <c r="B491" s="135"/>
      <c r="C491" s="141"/>
      <c r="D491" s="141"/>
      <c r="E491" s="136"/>
      <c r="F491" s="135"/>
      <c r="G491" s="34"/>
      <c r="H491" s="142"/>
      <c r="I491" s="34"/>
      <c r="J491" s="34">
        <f>Таблица1[[#This Row],[Блок
 Куб]]*Таблица1[[#This Row],[Цена 
Приход]]</f>
        <v>0</v>
      </c>
      <c r="K491" s="34"/>
      <c r="L491" s="34"/>
      <c r="M491" s="34">
        <f>Таблица1[[#This Row],[Поддон
Шт]]*Таблица1[[#This Row],[Цена
Поддон]]</f>
        <v>0</v>
      </c>
      <c r="N491" s="34">
        <f>Таблица1[[#This Row],[Сумма 
Приход]]+Таблица1[[#This Row],[Сумма Поддон]]</f>
        <v>0</v>
      </c>
      <c r="O491" s="34"/>
      <c r="P491" s="34">
        <f>Таблица1[[#This Row],[Блок
 Куб]]*Таблица1[[#This Row],[Цена
 Продажа]]</f>
        <v>0</v>
      </c>
      <c r="Q491" s="34"/>
      <c r="R491" s="34">
        <f>Таблица1[[#This Row],[Сумма 
Продажа]]-Таблица1[[#This Row],[Сумма 
Приход]]-Таблица1[[#This Row],[Авто услу ]]</f>
        <v>0</v>
      </c>
      <c r="S491" s="34"/>
      <c r="T491" s="34">
        <f>Таблица1[[#This Row],[Сумма 
Продажа]]-IF(Таблица1[[#This Row],[Расход 
Авто]]="Клиент",N(Таблица1[[#This Row],[Авто услу ]]),0)</f>
        <v>0</v>
      </c>
      <c r="U4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1" s="265" t="str">
        <f>IFERROR(INDEX(Мижозлар[Агент],MATCH($D491,Мижозлар[Расмий ном],0)),"")</f>
        <v/>
      </c>
    </row>
    <row r="492" spans="1:23" ht="14.25" x14ac:dyDescent="0.2">
      <c r="A492" s="21"/>
      <c r="B492" s="135"/>
      <c r="C492" s="141"/>
      <c r="D492" s="141"/>
      <c r="E492" s="136"/>
      <c r="F492" s="135"/>
      <c r="G492" s="34"/>
      <c r="H492" s="142"/>
      <c r="I492" s="34"/>
      <c r="J492" s="34">
        <f>Таблица1[[#This Row],[Блок
 Куб]]*Таблица1[[#This Row],[Цена 
Приход]]</f>
        <v>0</v>
      </c>
      <c r="K492" s="34"/>
      <c r="L492" s="34"/>
      <c r="M492" s="34">
        <f>Таблица1[[#This Row],[Поддон
Шт]]*Таблица1[[#This Row],[Цена
Поддон]]</f>
        <v>0</v>
      </c>
      <c r="N492" s="34">
        <f>Таблица1[[#This Row],[Сумма 
Приход]]+Таблица1[[#This Row],[Сумма Поддон]]</f>
        <v>0</v>
      </c>
      <c r="O492" s="34"/>
      <c r="P492" s="34">
        <f>Таблица1[[#This Row],[Блок
 Куб]]*Таблица1[[#This Row],[Цена
 Продажа]]</f>
        <v>0</v>
      </c>
      <c r="Q492" s="34"/>
      <c r="R492" s="34">
        <f>Таблица1[[#This Row],[Сумма 
Продажа]]-Таблица1[[#This Row],[Сумма 
Приход]]-Таблица1[[#This Row],[Авто услу ]]</f>
        <v>0</v>
      </c>
      <c r="S492" s="34"/>
      <c r="T492" s="34">
        <f>Таблица1[[#This Row],[Сумма 
Продажа]]-IF(Таблица1[[#This Row],[Расход 
Авто]]="Клиент",N(Таблица1[[#This Row],[Авто услу ]]),0)</f>
        <v>0</v>
      </c>
      <c r="U4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2" s="265" t="str">
        <f>IFERROR(INDEX(Мижозлар[Агент],MATCH($D492,Мижозлар[Расмий ном],0)),"")</f>
        <v/>
      </c>
    </row>
    <row r="493" spans="1:23" ht="14.25" x14ac:dyDescent="0.2">
      <c r="A493" s="21"/>
      <c r="B493" s="135"/>
      <c r="C493" s="141"/>
      <c r="D493" s="141"/>
      <c r="E493" s="136"/>
      <c r="F493" s="135"/>
      <c r="G493" s="34"/>
      <c r="H493" s="142"/>
      <c r="I493" s="34"/>
      <c r="J493" s="34">
        <f>Таблица1[[#This Row],[Блок
 Куб]]*Таблица1[[#This Row],[Цена 
Приход]]</f>
        <v>0</v>
      </c>
      <c r="K493" s="34"/>
      <c r="L493" s="34"/>
      <c r="M493" s="34">
        <f>Таблица1[[#This Row],[Поддон
Шт]]*Таблица1[[#This Row],[Цена
Поддон]]</f>
        <v>0</v>
      </c>
      <c r="N493" s="34">
        <f>Таблица1[[#This Row],[Сумма 
Приход]]+Таблица1[[#This Row],[Сумма Поддон]]</f>
        <v>0</v>
      </c>
      <c r="O493" s="34"/>
      <c r="P493" s="34">
        <f>Таблица1[[#This Row],[Блок
 Куб]]*Таблица1[[#This Row],[Цена
 Продажа]]</f>
        <v>0</v>
      </c>
      <c r="Q493" s="34"/>
      <c r="R493" s="34">
        <f>Таблица1[[#This Row],[Сумма 
Продажа]]-Таблица1[[#This Row],[Сумма 
Приход]]-Таблица1[[#This Row],[Авто услу ]]</f>
        <v>0</v>
      </c>
      <c r="S493" s="34"/>
      <c r="T493" s="34">
        <f>Таблица1[[#This Row],[Сумма 
Продажа]]-IF(Таблица1[[#This Row],[Расход 
Авто]]="Клиент",N(Таблица1[[#This Row],[Авто услу ]]),0)</f>
        <v>0</v>
      </c>
      <c r="U4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3" s="265" t="str">
        <f>IFERROR(INDEX(Мижозлар[Агент],MATCH($D493,Мижозлар[Расмий ном],0)),"")</f>
        <v/>
      </c>
    </row>
    <row r="494" spans="1:23" ht="14.25" x14ac:dyDescent="0.2">
      <c r="A494" s="21"/>
      <c r="B494" s="135"/>
      <c r="C494" s="141"/>
      <c r="D494" s="141"/>
      <c r="E494" s="136"/>
      <c r="F494" s="135"/>
      <c r="G494" s="34"/>
      <c r="H494" s="142"/>
      <c r="I494" s="34"/>
      <c r="J494" s="34">
        <f>Таблица1[[#This Row],[Блок
 Куб]]*Таблица1[[#This Row],[Цена 
Приход]]</f>
        <v>0</v>
      </c>
      <c r="K494" s="34"/>
      <c r="L494" s="34"/>
      <c r="M494" s="34">
        <f>Таблица1[[#This Row],[Поддон
Шт]]*Таблица1[[#This Row],[Цена
Поддон]]</f>
        <v>0</v>
      </c>
      <c r="N494" s="34">
        <f>Таблица1[[#This Row],[Сумма 
Приход]]+Таблица1[[#This Row],[Сумма Поддон]]</f>
        <v>0</v>
      </c>
      <c r="O494" s="34"/>
      <c r="P494" s="34">
        <f>Таблица1[[#This Row],[Блок
 Куб]]*Таблица1[[#This Row],[Цена
 Продажа]]</f>
        <v>0</v>
      </c>
      <c r="Q494" s="34"/>
      <c r="R494" s="34">
        <f>Таблица1[[#This Row],[Сумма 
Продажа]]-Таблица1[[#This Row],[Сумма 
Приход]]-Таблица1[[#This Row],[Авто услу ]]</f>
        <v>0</v>
      </c>
      <c r="S494" s="34"/>
      <c r="T494" s="34">
        <f>Таблица1[[#This Row],[Сумма 
Продажа]]-IF(Таблица1[[#This Row],[Расход 
Авто]]="Клиент",N(Таблица1[[#This Row],[Авто услу ]]),0)</f>
        <v>0</v>
      </c>
      <c r="U4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4" s="265" t="str">
        <f>IFERROR(INDEX(Мижозлар[Агент],MATCH($D494,Мижозлар[Расмий ном],0)),"")</f>
        <v/>
      </c>
    </row>
    <row r="495" spans="1:23" ht="14.25" x14ac:dyDescent="0.2">
      <c r="A495" s="21"/>
      <c r="B495" s="135"/>
      <c r="C495" s="141"/>
      <c r="D495" s="141"/>
      <c r="E495" s="136"/>
      <c r="F495" s="135"/>
      <c r="G495" s="34"/>
      <c r="H495" s="142"/>
      <c r="I495" s="34"/>
      <c r="J495" s="34">
        <f>Таблица1[[#This Row],[Блок
 Куб]]*Таблица1[[#This Row],[Цена 
Приход]]</f>
        <v>0</v>
      </c>
      <c r="K495" s="34"/>
      <c r="L495" s="34"/>
      <c r="M495" s="34">
        <f>Таблица1[[#This Row],[Поддон
Шт]]*Таблица1[[#This Row],[Цена
Поддон]]</f>
        <v>0</v>
      </c>
      <c r="N495" s="34">
        <f>Таблица1[[#This Row],[Сумма 
Приход]]+Таблица1[[#This Row],[Сумма Поддон]]</f>
        <v>0</v>
      </c>
      <c r="O495" s="34"/>
      <c r="P495" s="34">
        <f>Таблица1[[#This Row],[Блок
 Куб]]*Таблица1[[#This Row],[Цена
 Продажа]]</f>
        <v>0</v>
      </c>
      <c r="Q495" s="34"/>
      <c r="R495" s="34">
        <f>Таблица1[[#This Row],[Сумма 
Продажа]]-Таблица1[[#This Row],[Сумма 
Приход]]-Таблица1[[#This Row],[Авто услу ]]</f>
        <v>0</v>
      </c>
      <c r="S495" s="34"/>
      <c r="T495" s="34">
        <f>Таблица1[[#This Row],[Сумма 
Продажа]]-IF(Таблица1[[#This Row],[Расход 
Авто]]="Клиент",N(Таблица1[[#This Row],[Авто услу ]]),0)</f>
        <v>0</v>
      </c>
      <c r="U4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5" s="265" t="str">
        <f>IFERROR(INDEX(Мижозлар[Агент],MATCH($D495,Мижозлар[Расмий ном],0)),"")</f>
        <v/>
      </c>
    </row>
    <row r="496" spans="1:23" ht="14.25" x14ac:dyDescent="0.2">
      <c r="A496" s="21"/>
      <c r="B496" s="135"/>
      <c r="C496" s="141"/>
      <c r="D496" s="141"/>
      <c r="E496" s="136"/>
      <c r="F496" s="135"/>
      <c r="G496" s="34"/>
      <c r="H496" s="142"/>
      <c r="I496" s="34"/>
      <c r="J496" s="34">
        <f>Таблица1[[#This Row],[Блок
 Куб]]*Таблица1[[#This Row],[Цена 
Приход]]</f>
        <v>0</v>
      </c>
      <c r="K496" s="34"/>
      <c r="L496" s="34"/>
      <c r="M496" s="34">
        <f>Таблица1[[#This Row],[Поддон
Шт]]*Таблица1[[#This Row],[Цена
Поддон]]</f>
        <v>0</v>
      </c>
      <c r="N496" s="34">
        <f>Таблица1[[#This Row],[Сумма 
Приход]]+Таблица1[[#This Row],[Сумма Поддон]]</f>
        <v>0</v>
      </c>
      <c r="O496" s="34"/>
      <c r="P496" s="34">
        <f>Таблица1[[#This Row],[Блок
 Куб]]*Таблица1[[#This Row],[Цена
 Продажа]]</f>
        <v>0</v>
      </c>
      <c r="Q496" s="34"/>
      <c r="R496" s="34">
        <f>Таблица1[[#This Row],[Сумма 
Продажа]]-Таблица1[[#This Row],[Сумма 
Приход]]-Таблица1[[#This Row],[Авто услу ]]</f>
        <v>0</v>
      </c>
      <c r="S496" s="34"/>
      <c r="T496" s="34">
        <f>Таблица1[[#This Row],[Сумма 
Продажа]]-IF(Таблица1[[#This Row],[Расход 
Авто]]="Клиент",N(Таблица1[[#This Row],[Авто услу ]]),0)</f>
        <v>0</v>
      </c>
      <c r="U4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6" s="265" t="str">
        <f>IFERROR(INDEX(Мижозлар[Агент],MATCH($D496,Мижозлар[Расмий ном],0)),"")</f>
        <v/>
      </c>
    </row>
    <row r="497" spans="1:23" ht="14.25" x14ac:dyDescent="0.2">
      <c r="A497" s="21"/>
      <c r="B497" s="135"/>
      <c r="C497" s="141"/>
      <c r="D497" s="141"/>
      <c r="E497" s="136"/>
      <c r="F497" s="135"/>
      <c r="G497" s="34"/>
      <c r="H497" s="142"/>
      <c r="I497" s="34"/>
      <c r="J497" s="34">
        <f>Таблица1[[#This Row],[Блок
 Куб]]*Таблица1[[#This Row],[Цена 
Приход]]</f>
        <v>0</v>
      </c>
      <c r="K497" s="34"/>
      <c r="L497" s="34"/>
      <c r="M497" s="34">
        <f>Таблица1[[#This Row],[Поддон
Шт]]*Таблица1[[#This Row],[Цена
Поддон]]</f>
        <v>0</v>
      </c>
      <c r="N497" s="34">
        <f>Таблица1[[#This Row],[Сумма 
Приход]]+Таблица1[[#This Row],[Сумма Поддон]]</f>
        <v>0</v>
      </c>
      <c r="O497" s="34"/>
      <c r="P497" s="34">
        <f>Таблица1[[#This Row],[Блок
 Куб]]*Таблица1[[#This Row],[Цена
 Продажа]]</f>
        <v>0</v>
      </c>
      <c r="Q497" s="34"/>
      <c r="R497" s="34">
        <f>Таблица1[[#This Row],[Сумма 
Продажа]]-Таблица1[[#This Row],[Сумма 
Приход]]-Таблица1[[#This Row],[Авто услу ]]</f>
        <v>0</v>
      </c>
      <c r="S497" s="34"/>
      <c r="T497" s="34">
        <f>Таблица1[[#This Row],[Сумма 
Продажа]]-IF(Таблица1[[#This Row],[Расход 
Авто]]="Клиент",N(Таблица1[[#This Row],[Авто услу ]]),0)</f>
        <v>0</v>
      </c>
      <c r="U4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7" s="265" t="str">
        <f>IFERROR(INDEX(Мижозлар[Агент],MATCH($D497,Мижозлар[Расмий ном],0)),"")</f>
        <v/>
      </c>
    </row>
    <row r="498" spans="1:23" ht="14.25" x14ac:dyDescent="0.2">
      <c r="A498" s="21"/>
      <c r="B498" s="135"/>
      <c r="C498" s="141"/>
      <c r="D498" s="141"/>
      <c r="E498" s="136"/>
      <c r="F498" s="135"/>
      <c r="G498" s="34"/>
      <c r="H498" s="142"/>
      <c r="I498" s="34"/>
      <c r="J498" s="34">
        <f>Таблица1[[#This Row],[Блок
 Куб]]*Таблица1[[#This Row],[Цена 
Приход]]</f>
        <v>0</v>
      </c>
      <c r="K498" s="34"/>
      <c r="L498" s="34"/>
      <c r="M498" s="34">
        <f>Таблица1[[#This Row],[Поддон
Шт]]*Таблица1[[#This Row],[Цена
Поддон]]</f>
        <v>0</v>
      </c>
      <c r="N498" s="34">
        <f>Таблица1[[#This Row],[Сумма 
Приход]]+Таблица1[[#This Row],[Сумма Поддон]]</f>
        <v>0</v>
      </c>
      <c r="O498" s="34"/>
      <c r="P498" s="34">
        <f>Таблица1[[#This Row],[Блок
 Куб]]*Таблица1[[#This Row],[Цена
 Продажа]]</f>
        <v>0</v>
      </c>
      <c r="Q498" s="34"/>
      <c r="R498" s="34">
        <f>Таблица1[[#This Row],[Сумма 
Продажа]]-Таблица1[[#This Row],[Сумма 
Приход]]-Таблица1[[#This Row],[Авто услу ]]</f>
        <v>0</v>
      </c>
      <c r="S498" s="34"/>
      <c r="T498" s="34">
        <f>Таблица1[[#This Row],[Сумма 
Продажа]]-IF(Таблица1[[#This Row],[Расход 
Авто]]="Клиент",N(Таблица1[[#This Row],[Авто услу ]]),0)</f>
        <v>0</v>
      </c>
      <c r="U4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8" s="265" t="str">
        <f>IFERROR(INDEX(Мижозлар[Агент],MATCH($D498,Мижозлар[Расмий ном],0)),"")</f>
        <v/>
      </c>
    </row>
    <row r="499" spans="1:23" ht="14.25" x14ac:dyDescent="0.2">
      <c r="A499" s="21"/>
      <c r="B499" s="135"/>
      <c r="C499" s="141"/>
      <c r="D499" s="141"/>
      <c r="E499" s="136"/>
      <c r="F499" s="135"/>
      <c r="G499" s="34"/>
      <c r="H499" s="142"/>
      <c r="I499" s="34"/>
      <c r="J499" s="34">
        <f>Таблица1[[#This Row],[Блок
 Куб]]*Таблица1[[#This Row],[Цена 
Приход]]</f>
        <v>0</v>
      </c>
      <c r="K499" s="34"/>
      <c r="L499" s="34"/>
      <c r="M499" s="34">
        <f>Таблица1[[#This Row],[Поддон
Шт]]*Таблица1[[#This Row],[Цена
Поддон]]</f>
        <v>0</v>
      </c>
      <c r="N499" s="34">
        <f>Таблица1[[#This Row],[Сумма 
Приход]]+Таблица1[[#This Row],[Сумма Поддон]]</f>
        <v>0</v>
      </c>
      <c r="O499" s="34"/>
      <c r="P499" s="34">
        <f>Таблица1[[#This Row],[Блок
 Куб]]*Таблица1[[#This Row],[Цена
 Продажа]]</f>
        <v>0</v>
      </c>
      <c r="Q499" s="34"/>
      <c r="R499" s="34">
        <f>Таблица1[[#This Row],[Сумма 
Продажа]]-Таблица1[[#This Row],[Сумма 
Приход]]-Таблица1[[#This Row],[Авто услу ]]</f>
        <v>0</v>
      </c>
      <c r="S499" s="34"/>
      <c r="T499" s="34">
        <f>Таблица1[[#This Row],[Сумма 
Продажа]]-IF(Таблица1[[#This Row],[Расход 
Авто]]="Клиент",N(Таблица1[[#This Row],[Авто услу ]]),0)</f>
        <v>0</v>
      </c>
      <c r="U4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4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499" s="265" t="str">
        <f>IFERROR(INDEX(Мижозлар[Агент],MATCH($D499,Мижозлар[Расмий ном],0)),"")</f>
        <v/>
      </c>
    </row>
    <row r="500" spans="1:23" ht="14.25" x14ac:dyDescent="0.2">
      <c r="A500" s="21"/>
      <c r="B500" s="135"/>
      <c r="C500" s="141"/>
      <c r="D500" s="141"/>
      <c r="E500" s="136"/>
      <c r="F500" s="135"/>
      <c r="G500" s="34"/>
      <c r="H500" s="142"/>
      <c r="I500" s="34"/>
      <c r="J500" s="34">
        <f>Таблица1[[#This Row],[Блок
 Куб]]*Таблица1[[#This Row],[Цена 
Приход]]</f>
        <v>0</v>
      </c>
      <c r="K500" s="34"/>
      <c r="L500" s="34"/>
      <c r="M500" s="34">
        <f>Таблица1[[#This Row],[Поддон
Шт]]*Таблица1[[#This Row],[Цена
Поддон]]</f>
        <v>0</v>
      </c>
      <c r="N500" s="34">
        <f>Таблица1[[#This Row],[Сумма 
Приход]]+Таблица1[[#This Row],[Сумма Поддон]]</f>
        <v>0</v>
      </c>
      <c r="O500" s="34"/>
      <c r="P500" s="34">
        <f>Таблица1[[#This Row],[Блок
 Куб]]*Таблица1[[#This Row],[Цена
 Продажа]]</f>
        <v>0</v>
      </c>
      <c r="Q500" s="34"/>
      <c r="R500" s="34">
        <f>Таблица1[[#This Row],[Сумма 
Продажа]]-Таблица1[[#This Row],[Сумма 
Приход]]-Таблица1[[#This Row],[Авто услу ]]</f>
        <v>0</v>
      </c>
      <c r="S500" s="34"/>
      <c r="T500" s="34">
        <f>Таблица1[[#This Row],[Сумма 
Продажа]]-IF(Таблица1[[#This Row],[Расход 
Авто]]="Клиент",N(Таблица1[[#This Row],[Авто услу ]]),0)</f>
        <v>0</v>
      </c>
      <c r="U5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0" s="265" t="str">
        <f>IFERROR(INDEX(Мижозлар[Агент],MATCH($D500,Мижозлар[Расмий ном],0)),"")</f>
        <v/>
      </c>
    </row>
    <row r="501" spans="1:23" ht="14.25" x14ac:dyDescent="0.2">
      <c r="A501" s="21"/>
      <c r="B501" s="135"/>
      <c r="C501" s="141"/>
      <c r="D501" s="141"/>
      <c r="E501" s="136"/>
      <c r="F501" s="135"/>
      <c r="G501" s="34"/>
      <c r="H501" s="142"/>
      <c r="I501" s="34"/>
      <c r="J501" s="34">
        <f>Таблица1[[#This Row],[Блок
 Куб]]*Таблица1[[#This Row],[Цена 
Приход]]</f>
        <v>0</v>
      </c>
      <c r="K501" s="34"/>
      <c r="L501" s="34"/>
      <c r="M501" s="34">
        <f>Таблица1[[#This Row],[Поддон
Шт]]*Таблица1[[#This Row],[Цена
Поддон]]</f>
        <v>0</v>
      </c>
      <c r="N501" s="34">
        <f>Таблица1[[#This Row],[Сумма 
Приход]]+Таблица1[[#This Row],[Сумма Поддон]]</f>
        <v>0</v>
      </c>
      <c r="O501" s="34"/>
      <c r="P501" s="34">
        <f>Таблица1[[#This Row],[Блок
 Куб]]*Таблица1[[#This Row],[Цена
 Продажа]]</f>
        <v>0</v>
      </c>
      <c r="Q501" s="34"/>
      <c r="R501" s="34">
        <f>Таблица1[[#This Row],[Сумма 
Продажа]]-Таблица1[[#This Row],[Сумма 
Приход]]-Таблица1[[#This Row],[Авто услу ]]</f>
        <v>0</v>
      </c>
      <c r="S501" s="34"/>
      <c r="T501" s="34">
        <f>Таблица1[[#This Row],[Сумма 
Продажа]]-IF(Таблица1[[#This Row],[Расход 
Авто]]="Клиент",N(Таблица1[[#This Row],[Авто услу ]]),0)</f>
        <v>0</v>
      </c>
      <c r="U5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1" s="265" t="str">
        <f>IFERROR(INDEX(Мижозлар[Агент],MATCH($D501,Мижозлар[Расмий ном],0)),"")</f>
        <v/>
      </c>
    </row>
    <row r="502" spans="1:23" ht="14.25" x14ac:dyDescent="0.2">
      <c r="A502" s="21"/>
      <c r="B502" s="135"/>
      <c r="C502" s="141"/>
      <c r="D502" s="141"/>
      <c r="E502" s="136"/>
      <c r="F502" s="135"/>
      <c r="G502" s="34"/>
      <c r="H502" s="142"/>
      <c r="I502" s="34"/>
      <c r="J502" s="34">
        <f>Таблица1[[#This Row],[Блок
 Куб]]*Таблица1[[#This Row],[Цена 
Приход]]</f>
        <v>0</v>
      </c>
      <c r="K502" s="34"/>
      <c r="L502" s="34"/>
      <c r="M502" s="34">
        <f>Таблица1[[#This Row],[Поддон
Шт]]*Таблица1[[#This Row],[Цена
Поддон]]</f>
        <v>0</v>
      </c>
      <c r="N502" s="34">
        <f>Таблица1[[#This Row],[Сумма 
Приход]]+Таблица1[[#This Row],[Сумма Поддон]]</f>
        <v>0</v>
      </c>
      <c r="O502" s="34"/>
      <c r="P502" s="34">
        <f>Таблица1[[#This Row],[Блок
 Куб]]*Таблица1[[#This Row],[Цена
 Продажа]]</f>
        <v>0</v>
      </c>
      <c r="Q502" s="34"/>
      <c r="R502" s="34">
        <f>Таблица1[[#This Row],[Сумма 
Продажа]]-Таблица1[[#This Row],[Сумма 
Приход]]-Таблица1[[#This Row],[Авто услу ]]</f>
        <v>0</v>
      </c>
      <c r="S502" s="34"/>
      <c r="T502" s="34">
        <f>Таблица1[[#This Row],[Сумма 
Продажа]]-IF(Таблица1[[#This Row],[Расход 
Авто]]="Клиент",N(Таблица1[[#This Row],[Авто услу ]]),0)</f>
        <v>0</v>
      </c>
      <c r="U5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2" s="265" t="str">
        <f>IFERROR(INDEX(Мижозлар[Агент],MATCH($D502,Мижозлар[Расмий ном],0)),"")</f>
        <v/>
      </c>
    </row>
    <row r="503" spans="1:23" ht="14.25" x14ac:dyDescent="0.2">
      <c r="A503" s="21"/>
      <c r="B503" s="135"/>
      <c r="C503" s="141"/>
      <c r="D503" s="141"/>
      <c r="E503" s="136"/>
      <c r="F503" s="135"/>
      <c r="G503" s="34"/>
      <c r="H503" s="142"/>
      <c r="I503" s="34"/>
      <c r="J503" s="34">
        <f>Таблица1[[#This Row],[Блок
 Куб]]*Таблица1[[#This Row],[Цена 
Приход]]</f>
        <v>0</v>
      </c>
      <c r="K503" s="34"/>
      <c r="L503" s="34"/>
      <c r="M503" s="34">
        <f>Таблица1[[#This Row],[Поддон
Шт]]*Таблица1[[#This Row],[Цена
Поддон]]</f>
        <v>0</v>
      </c>
      <c r="N503" s="34">
        <f>Таблица1[[#This Row],[Сумма 
Приход]]+Таблица1[[#This Row],[Сумма Поддон]]</f>
        <v>0</v>
      </c>
      <c r="O503" s="34"/>
      <c r="P503" s="34">
        <f>Таблица1[[#This Row],[Блок
 Куб]]*Таблица1[[#This Row],[Цена
 Продажа]]</f>
        <v>0</v>
      </c>
      <c r="Q503" s="34"/>
      <c r="R503" s="34">
        <f>Таблица1[[#This Row],[Сумма 
Продажа]]-Таблица1[[#This Row],[Сумма 
Приход]]-Таблица1[[#This Row],[Авто услу ]]</f>
        <v>0</v>
      </c>
      <c r="S503" s="34"/>
      <c r="T503" s="34">
        <f>Таблица1[[#This Row],[Сумма 
Продажа]]-IF(Таблица1[[#This Row],[Расход 
Авто]]="Клиент",N(Таблица1[[#This Row],[Авто услу ]]),0)</f>
        <v>0</v>
      </c>
      <c r="U5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3" s="265" t="str">
        <f>IFERROR(INDEX(Мижозлар[Агент],MATCH($D503,Мижозлар[Расмий ном],0)),"")</f>
        <v/>
      </c>
    </row>
    <row r="504" spans="1:23" ht="14.25" x14ac:dyDescent="0.2">
      <c r="A504" s="21"/>
      <c r="B504" s="135"/>
      <c r="C504" s="141"/>
      <c r="D504" s="141"/>
      <c r="E504" s="136"/>
      <c r="F504" s="135"/>
      <c r="G504" s="34"/>
      <c r="H504" s="142"/>
      <c r="I504" s="34"/>
      <c r="J504" s="34">
        <f>Таблица1[[#This Row],[Блок
 Куб]]*Таблица1[[#This Row],[Цена 
Приход]]</f>
        <v>0</v>
      </c>
      <c r="K504" s="34"/>
      <c r="L504" s="34"/>
      <c r="M504" s="34">
        <f>Таблица1[[#This Row],[Поддон
Шт]]*Таблица1[[#This Row],[Цена
Поддон]]</f>
        <v>0</v>
      </c>
      <c r="N504" s="34">
        <f>Таблица1[[#This Row],[Сумма 
Приход]]+Таблица1[[#This Row],[Сумма Поддон]]</f>
        <v>0</v>
      </c>
      <c r="O504" s="34"/>
      <c r="P504" s="34">
        <f>Таблица1[[#This Row],[Блок
 Куб]]*Таблица1[[#This Row],[Цена
 Продажа]]</f>
        <v>0</v>
      </c>
      <c r="Q504" s="34"/>
      <c r="R504" s="34">
        <f>Таблица1[[#This Row],[Сумма 
Продажа]]-Таблица1[[#This Row],[Сумма 
Приход]]-Таблица1[[#This Row],[Авто услу ]]</f>
        <v>0</v>
      </c>
      <c r="S504" s="34"/>
      <c r="T504" s="34">
        <f>Таблица1[[#This Row],[Сумма 
Продажа]]-IF(Таблица1[[#This Row],[Расход 
Авто]]="Клиент",N(Таблица1[[#This Row],[Авто услу ]]),0)</f>
        <v>0</v>
      </c>
      <c r="U5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4" s="265" t="str">
        <f>IFERROR(INDEX(Мижозлар[Агент],MATCH($D504,Мижозлар[Расмий ном],0)),"")</f>
        <v/>
      </c>
    </row>
    <row r="505" spans="1:23" ht="14.25" x14ac:dyDescent="0.2">
      <c r="A505" s="21"/>
      <c r="B505" s="135"/>
      <c r="C505" s="141"/>
      <c r="D505" s="141"/>
      <c r="E505" s="136"/>
      <c r="F505" s="135"/>
      <c r="G505" s="34"/>
      <c r="H505" s="142"/>
      <c r="I505" s="34"/>
      <c r="J505" s="34">
        <f>Таблица1[[#This Row],[Блок
 Куб]]*Таблица1[[#This Row],[Цена 
Приход]]</f>
        <v>0</v>
      </c>
      <c r="K505" s="34"/>
      <c r="L505" s="34"/>
      <c r="M505" s="34">
        <f>Таблица1[[#This Row],[Поддон
Шт]]*Таблица1[[#This Row],[Цена
Поддон]]</f>
        <v>0</v>
      </c>
      <c r="N505" s="34">
        <f>Таблица1[[#This Row],[Сумма 
Приход]]+Таблица1[[#This Row],[Сумма Поддон]]</f>
        <v>0</v>
      </c>
      <c r="O505" s="34"/>
      <c r="P505" s="34">
        <f>Таблица1[[#This Row],[Блок
 Куб]]*Таблица1[[#This Row],[Цена
 Продажа]]</f>
        <v>0</v>
      </c>
      <c r="Q505" s="34"/>
      <c r="R505" s="34">
        <f>Таблица1[[#This Row],[Сумма 
Продажа]]-Таблица1[[#This Row],[Сумма 
Приход]]-Таблица1[[#This Row],[Авто услу ]]</f>
        <v>0</v>
      </c>
      <c r="S505" s="34"/>
      <c r="T505" s="34">
        <f>Таблица1[[#This Row],[Сумма 
Продажа]]-IF(Таблица1[[#This Row],[Расход 
Авто]]="Клиент",N(Таблица1[[#This Row],[Авто услу ]]),0)</f>
        <v>0</v>
      </c>
      <c r="U5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5" s="265" t="str">
        <f>IFERROR(INDEX(Мижозлар[Агент],MATCH($D505,Мижозлар[Расмий ном],0)),"")</f>
        <v/>
      </c>
    </row>
    <row r="506" spans="1:23" ht="14.25" x14ac:dyDescent="0.2">
      <c r="A506" s="21"/>
      <c r="B506" s="135"/>
      <c r="C506" s="141"/>
      <c r="D506" s="141"/>
      <c r="E506" s="136"/>
      <c r="F506" s="135"/>
      <c r="G506" s="34"/>
      <c r="H506" s="142"/>
      <c r="I506" s="34"/>
      <c r="J506" s="34">
        <f>Таблица1[[#This Row],[Блок
 Куб]]*Таблица1[[#This Row],[Цена 
Приход]]</f>
        <v>0</v>
      </c>
      <c r="K506" s="34"/>
      <c r="L506" s="34"/>
      <c r="M506" s="34">
        <f>Таблица1[[#This Row],[Поддон
Шт]]*Таблица1[[#This Row],[Цена
Поддон]]</f>
        <v>0</v>
      </c>
      <c r="N506" s="34">
        <f>Таблица1[[#This Row],[Сумма 
Приход]]+Таблица1[[#This Row],[Сумма Поддон]]</f>
        <v>0</v>
      </c>
      <c r="O506" s="34"/>
      <c r="P506" s="34">
        <f>Таблица1[[#This Row],[Блок
 Куб]]*Таблица1[[#This Row],[Цена
 Продажа]]</f>
        <v>0</v>
      </c>
      <c r="Q506" s="34"/>
      <c r="R506" s="34">
        <f>Таблица1[[#This Row],[Сумма 
Продажа]]-Таблица1[[#This Row],[Сумма 
Приход]]-Таблица1[[#This Row],[Авто услу ]]</f>
        <v>0</v>
      </c>
      <c r="S506" s="34"/>
      <c r="T506" s="34">
        <f>Таблица1[[#This Row],[Сумма 
Продажа]]-IF(Таблица1[[#This Row],[Расход 
Авто]]="Клиент",N(Таблица1[[#This Row],[Авто услу ]]),0)</f>
        <v>0</v>
      </c>
      <c r="U5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6" s="265" t="str">
        <f>IFERROR(INDEX(Мижозлар[Агент],MATCH($D506,Мижозлар[Расмий ном],0)),"")</f>
        <v/>
      </c>
    </row>
    <row r="507" spans="1:23" ht="14.25" x14ac:dyDescent="0.2">
      <c r="A507" s="21"/>
      <c r="B507" s="135"/>
      <c r="C507" s="141"/>
      <c r="D507" s="141"/>
      <c r="E507" s="136"/>
      <c r="F507" s="135"/>
      <c r="G507" s="34"/>
      <c r="H507" s="142"/>
      <c r="I507" s="34"/>
      <c r="J507" s="34">
        <f>Таблица1[[#This Row],[Блок
 Куб]]*Таблица1[[#This Row],[Цена 
Приход]]</f>
        <v>0</v>
      </c>
      <c r="K507" s="34"/>
      <c r="L507" s="34"/>
      <c r="M507" s="34">
        <f>Таблица1[[#This Row],[Поддон
Шт]]*Таблица1[[#This Row],[Цена
Поддон]]</f>
        <v>0</v>
      </c>
      <c r="N507" s="34">
        <f>Таблица1[[#This Row],[Сумма 
Приход]]+Таблица1[[#This Row],[Сумма Поддон]]</f>
        <v>0</v>
      </c>
      <c r="O507" s="34"/>
      <c r="P507" s="34">
        <f>Таблица1[[#This Row],[Блок
 Куб]]*Таблица1[[#This Row],[Цена
 Продажа]]</f>
        <v>0</v>
      </c>
      <c r="Q507" s="34"/>
      <c r="R507" s="34">
        <f>Таблица1[[#This Row],[Сумма 
Продажа]]-Таблица1[[#This Row],[Сумма 
Приход]]-Таблица1[[#This Row],[Авто услу ]]</f>
        <v>0</v>
      </c>
      <c r="S507" s="34"/>
      <c r="T507" s="34">
        <f>Таблица1[[#This Row],[Сумма 
Продажа]]-IF(Таблица1[[#This Row],[Расход 
Авто]]="Клиент",N(Таблица1[[#This Row],[Авто услу ]]),0)</f>
        <v>0</v>
      </c>
      <c r="U5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7" s="265" t="str">
        <f>IFERROR(INDEX(Мижозлар[Агент],MATCH($D507,Мижозлар[Расмий ном],0)),"")</f>
        <v/>
      </c>
    </row>
    <row r="508" spans="1:23" ht="14.25" x14ac:dyDescent="0.2">
      <c r="A508" s="21"/>
      <c r="B508" s="135"/>
      <c r="C508" s="141"/>
      <c r="D508" s="141"/>
      <c r="E508" s="136"/>
      <c r="F508" s="135"/>
      <c r="G508" s="34"/>
      <c r="H508" s="142"/>
      <c r="I508" s="34"/>
      <c r="J508" s="34">
        <f>Таблица1[[#This Row],[Блок
 Куб]]*Таблица1[[#This Row],[Цена 
Приход]]</f>
        <v>0</v>
      </c>
      <c r="K508" s="34"/>
      <c r="L508" s="34"/>
      <c r="M508" s="34">
        <f>Таблица1[[#This Row],[Поддон
Шт]]*Таблица1[[#This Row],[Цена
Поддон]]</f>
        <v>0</v>
      </c>
      <c r="N508" s="34">
        <f>Таблица1[[#This Row],[Сумма 
Приход]]+Таблица1[[#This Row],[Сумма Поддон]]</f>
        <v>0</v>
      </c>
      <c r="O508" s="34"/>
      <c r="P508" s="34">
        <f>Таблица1[[#This Row],[Блок
 Куб]]*Таблица1[[#This Row],[Цена
 Продажа]]</f>
        <v>0</v>
      </c>
      <c r="Q508" s="34"/>
      <c r="R508" s="34">
        <f>Таблица1[[#This Row],[Сумма 
Продажа]]-Таблица1[[#This Row],[Сумма 
Приход]]-Таблица1[[#This Row],[Авто услу ]]</f>
        <v>0</v>
      </c>
      <c r="S508" s="34"/>
      <c r="T508" s="34">
        <f>Таблица1[[#This Row],[Сумма 
Продажа]]-IF(Таблица1[[#This Row],[Расход 
Авто]]="Клиент",N(Таблица1[[#This Row],[Авто услу ]]),0)</f>
        <v>0</v>
      </c>
      <c r="U5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8" s="265" t="str">
        <f>IFERROR(INDEX(Мижозлар[Агент],MATCH($D508,Мижозлар[Расмий ном],0)),"")</f>
        <v/>
      </c>
    </row>
    <row r="509" spans="1:23" ht="14.25" x14ac:dyDescent="0.2">
      <c r="A509" s="21"/>
      <c r="B509" s="135"/>
      <c r="C509" s="141"/>
      <c r="D509" s="141"/>
      <c r="E509" s="136"/>
      <c r="F509" s="135"/>
      <c r="G509" s="34"/>
      <c r="H509" s="142"/>
      <c r="I509" s="34"/>
      <c r="J509" s="34">
        <f>Таблица1[[#This Row],[Блок
 Куб]]*Таблица1[[#This Row],[Цена 
Приход]]</f>
        <v>0</v>
      </c>
      <c r="K509" s="34"/>
      <c r="L509" s="34"/>
      <c r="M509" s="34">
        <f>Таблица1[[#This Row],[Поддон
Шт]]*Таблица1[[#This Row],[Цена
Поддон]]</f>
        <v>0</v>
      </c>
      <c r="N509" s="34">
        <f>Таблица1[[#This Row],[Сумма 
Приход]]+Таблица1[[#This Row],[Сумма Поддон]]</f>
        <v>0</v>
      </c>
      <c r="O509" s="34"/>
      <c r="P509" s="34">
        <f>Таблица1[[#This Row],[Блок
 Куб]]*Таблица1[[#This Row],[Цена
 Продажа]]</f>
        <v>0</v>
      </c>
      <c r="Q509" s="34"/>
      <c r="R509" s="34">
        <f>Таблица1[[#This Row],[Сумма 
Продажа]]-Таблица1[[#This Row],[Сумма 
Приход]]-Таблица1[[#This Row],[Авто услу ]]</f>
        <v>0</v>
      </c>
      <c r="S509" s="34"/>
      <c r="T509" s="34">
        <f>Таблица1[[#This Row],[Сумма 
Продажа]]-IF(Таблица1[[#This Row],[Расход 
Авто]]="Клиент",N(Таблица1[[#This Row],[Авто услу ]]),0)</f>
        <v>0</v>
      </c>
      <c r="U5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09" s="265" t="str">
        <f>IFERROR(INDEX(Мижозлар[Агент],MATCH($D509,Мижозлар[Расмий ном],0)),"")</f>
        <v/>
      </c>
    </row>
    <row r="510" spans="1:23" ht="14.25" x14ac:dyDescent="0.2">
      <c r="A510" s="21"/>
      <c r="B510" s="135"/>
      <c r="C510" s="141"/>
      <c r="D510" s="141"/>
      <c r="E510" s="136"/>
      <c r="F510" s="135"/>
      <c r="G510" s="34"/>
      <c r="H510" s="142"/>
      <c r="I510" s="34"/>
      <c r="J510" s="34">
        <f>Таблица1[[#This Row],[Блок
 Куб]]*Таблица1[[#This Row],[Цена 
Приход]]</f>
        <v>0</v>
      </c>
      <c r="K510" s="34"/>
      <c r="L510" s="34"/>
      <c r="M510" s="34">
        <f>Таблица1[[#This Row],[Поддон
Шт]]*Таблица1[[#This Row],[Цена
Поддон]]</f>
        <v>0</v>
      </c>
      <c r="N510" s="34">
        <f>Таблица1[[#This Row],[Сумма 
Приход]]+Таблица1[[#This Row],[Сумма Поддон]]</f>
        <v>0</v>
      </c>
      <c r="O510" s="34"/>
      <c r="P510" s="34">
        <f>Таблица1[[#This Row],[Блок
 Куб]]*Таблица1[[#This Row],[Цена
 Продажа]]</f>
        <v>0</v>
      </c>
      <c r="Q510" s="34"/>
      <c r="R510" s="34">
        <f>Таблица1[[#This Row],[Сумма 
Продажа]]-Таблица1[[#This Row],[Сумма 
Приход]]-Таблица1[[#This Row],[Авто услу ]]</f>
        <v>0</v>
      </c>
      <c r="S510" s="34"/>
      <c r="T510" s="34">
        <f>Таблица1[[#This Row],[Сумма 
Продажа]]-IF(Таблица1[[#This Row],[Расход 
Авто]]="Клиент",N(Таблица1[[#This Row],[Авто услу ]]),0)</f>
        <v>0</v>
      </c>
      <c r="U5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0" s="265" t="str">
        <f>IFERROR(INDEX(Мижозлар[Агент],MATCH($D510,Мижозлар[Расмий ном],0)),"")</f>
        <v/>
      </c>
    </row>
    <row r="511" spans="1:23" ht="14.25" x14ac:dyDescent="0.2">
      <c r="A511" s="21"/>
      <c r="B511" s="135"/>
      <c r="C511" s="141"/>
      <c r="D511" s="141"/>
      <c r="E511" s="136"/>
      <c r="F511" s="135"/>
      <c r="G511" s="34"/>
      <c r="H511" s="142"/>
      <c r="I511" s="34"/>
      <c r="J511" s="34">
        <f>Таблица1[[#This Row],[Блок
 Куб]]*Таблица1[[#This Row],[Цена 
Приход]]</f>
        <v>0</v>
      </c>
      <c r="K511" s="34"/>
      <c r="L511" s="34"/>
      <c r="M511" s="34">
        <f>Таблица1[[#This Row],[Поддон
Шт]]*Таблица1[[#This Row],[Цена
Поддон]]</f>
        <v>0</v>
      </c>
      <c r="N511" s="34">
        <f>Таблица1[[#This Row],[Сумма 
Приход]]+Таблица1[[#This Row],[Сумма Поддон]]</f>
        <v>0</v>
      </c>
      <c r="O511" s="34"/>
      <c r="P511" s="34">
        <f>Таблица1[[#This Row],[Блок
 Куб]]*Таблица1[[#This Row],[Цена
 Продажа]]</f>
        <v>0</v>
      </c>
      <c r="Q511" s="34"/>
      <c r="R511" s="34">
        <f>Таблица1[[#This Row],[Сумма 
Продажа]]-Таблица1[[#This Row],[Сумма 
Приход]]-Таблица1[[#This Row],[Авто услу ]]</f>
        <v>0</v>
      </c>
      <c r="S511" s="34"/>
      <c r="T511" s="34">
        <f>Таблица1[[#This Row],[Сумма 
Продажа]]-IF(Таблица1[[#This Row],[Расход 
Авто]]="Клиент",N(Таблица1[[#This Row],[Авто услу ]]),0)</f>
        <v>0</v>
      </c>
      <c r="U5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1" s="265" t="str">
        <f>IFERROR(INDEX(Мижозлар[Агент],MATCH($D511,Мижозлар[Расмий ном],0)),"")</f>
        <v/>
      </c>
    </row>
    <row r="512" spans="1:23" ht="14.25" x14ac:dyDescent="0.2">
      <c r="A512" s="21"/>
      <c r="B512" s="135"/>
      <c r="C512" s="141"/>
      <c r="D512" s="141"/>
      <c r="E512" s="136"/>
      <c r="F512" s="135"/>
      <c r="G512" s="34"/>
      <c r="H512" s="142"/>
      <c r="I512" s="34"/>
      <c r="J512" s="34">
        <f>Таблица1[[#This Row],[Блок
 Куб]]*Таблица1[[#This Row],[Цена 
Приход]]</f>
        <v>0</v>
      </c>
      <c r="K512" s="34"/>
      <c r="L512" s="34"/>
      <c r="M512" s="34">
        <f>Таблица1[[#This Row],[Поддон
Шт]]*Таблица1[[#This Row],[Цена
Поддон]]</f>
        <v>0</v>
      </c>
      <c r="N512" s="34">
        <f>Таблица1[[#This Row],[Сумма 
Приход]]+Таблица1[[#This Row],[Сумма Поддон]]</f>
        <v>0</v>
      </c>
      <c r="O512" s="34"/>
      <c r="P512" s="34">
        <f>Таблица1[[#This Row],[Блок
 Куб]]*Таблица1[[#This Row],[Цена
 Продажа]]</f>
        <v>0</v>
      </c>
      <c r="Q512" s="34"/>
      <c r="R512" s="34">
        <f>Таблица1[[#This Row],[Сумма 
Продажа]]-Таблица1[[#This Row],[Сумма 
Приход]]-Таблица1[[#This Row],[Авто услу ]]</f>
        <v>0</v>
      </c>
      <c r="S512" s="34"/>
      <c r="T512" s="34">
        <f>Таблица1[[#This Row],[Сумма 
Продажа]]-IF(Таблица1[[#This Row],[Расход 
Авто]]="Клиент",N(Таблица1[[#This Row],[Авто услу ]]),0)</f>
        <v>0</v>
      </c>
      <c r="U5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2" s="265" t="str">
        <f>IFERROR(INDEX(Мижозлар[Агент],MATCH($D512,Мижозлар[Расмий ном],0)),"")</f>
        <v/>
      </c>
    </row>
    <row r="513" spans="1:23" ht="14.25" x14ac:dyDescent="0.2">
      <c r="A513" s="21"/>
      <c r="B513" s="135"/>
      <c r="C513" s="141"/>
      <c r="D513" s="141"/>
      <c r="E513" s="136"/>
      <c r="F513" s="135"/>
      <c r="G513" s="34"/>
      <c r="H513" s="142"/>
      <c r="I513" s="34"/>
      <c r="J513" s="34">
        <f>Таблица1[[#This Row],[Блок
 Куб]]*Таблица1[[#This Row],[Цена 
Приход]]</f>
        <v>0</v>
      </c>
      <c r="K513" s="34"/>
      <c r="L513" s="34"/>
      <c r="M513" s="34">
        <f>Таблица1[[#This Row],[Поддон
Шт]]*Таблица1[[#This Row],[Цена
Поддон]]</f>
        <v>0</v>
      </c>
      <c r="N513" s="34">
        <f>Таблица1[[#This Row],[Сумма 
Приход]]+Таблица1[[#This Row],[Сумма Поддон]]</f>
        <v>0</v>
      </c>
      <c r="O513" s="34"/>
      <c r="P513" s="34">
        <f>Таблица1[[#This Row],[Блок
 Куб]]*Таблица1[[#This Row],[Цена
 Продажа]]</f>
        <v>0</v>
      </c>
      <c r="Q513" s="34"/>
      <c r="R513" s="34">
        <f>Таблица1[[#This Row],[Сумма 
Продажа]]-Таблица1[[#This Row],[Сумма 
Приход]]-Таблица1[[#This Row],[Авто услу ]]</f>
        <v>0</v>
      </c>
      <c r="S513" s="34"/>
      <c r="T513" s="34">
        <f>Таблица1[[#This Row],[Сумма 
Продажа]]-IF(Таблица1[[#This Row],[Расход 
Авто]]="Клиент",N(Таблица1[[#This Row],[Авто услу ]]),0)</f>
        <v>0</v>
      </c>
      <c r="U5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3" s="265" t="str">
        <f>IFERROR(INDEX(Мижозлар[Агент],MATCH($D513,Мижозлар[Расмий ном],0)),"")</f>
        <v/>
      </c>
    </row>
    <row r="514" spans="1:23" ht="14.25" x14ac:dyDescent="0.2">
      <c r="A514" s="21"/>
      <c r="B514" s="135"/>
      <c r="C514" s="141"/>
      <c r="D514" s="141"/>
      <c r="E514" s="136"/>
      <c r="F514" s="135"/>
      <c r="G514" s="34"/>
      <c r="H514" s="142"/>
      <c r="I514" s="34"/>
      <c r="J514" s="34">
        <f>Таблица1[[#This Row],[Блок
 Куб]]*Таблица1[[#This Row],[Цена 
Приход]]</f>
        <v>0</v>
      </c>
      <c r="K514" s="34"/>
      <c r="L514" s="34"/>
      <c r="M514" s="34">
        <f>Таблица1[[#This Row],[Поддон
Шт]]*Таблица1[[#This Row],[Цена
Поддон]]</f>
        <v>0</v>
      </c>
      <c r="N514" s="34">
        <f>Таблица1[[#This Row],[Сумма 
Приход]]+Таблица1[[#This Row],[Сумма Поддон]]</f>
        <v>0</v>
      </c>
      <c r="O514" s="34"/>
      <c r="P514" s="34">
        <f>Таблица1[[#This Row],[Блок
 Куб]]*Таблица1[[#This Row],[Цена
 Продажа]]</f>
        <v>0</v>
      </c>
      <c r="Q514" s="34"/>
      <c r="R514" s="34">
        <f>Таблица1[[#This Row],[Сумма 
Продажа]]-Таблица1[[#This Row],[Сумма 
Приход]]-Таблица1[[#This Row],[Авто услу ]]</f>
        <v>0</v>
      </c>
      <c r="S514" s="34"/>
      <c r="T514" s="34">
        <f>Таблица1[[#This Row],[Сумма 
Продажа]]-IF(Таблица1[[#This Row],[Расход 
Авто]]="Клиент",N(Таблица1[[#This Row],[Авто услу ]]),0)</f>
        <v>0</v>
      </c>
      <c r="U5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4" s="265" t="str">
        <f>IFERROR(INDEX(Мижозлар[Агент],MATCH($D514,Мижозлар[Расмий ном],0)),"")</f>
        <v/>
      </c>
    </row>
    <row r="515" spans="1:23" ht="14.25" x14ac:dyDescent="0.2">
      <c r="A515" s="21"/>
      <c r="B515" s="135"/>
      <c r="C515" s="141"/>
      <c r="D515" s="141"/>
      <c r="E515" s="136"/>
      <c r="F515" s="135"/>
      <c r="G515" s="34"/>
      <c r="H515" s="142"/>
      <c r="I515" s="34"/>
      <c r="J515" s="34">
        <f>Таблица1[[#This Row],[Блок
 Куб]]*Таблица1[[#This Row],[Цена 
Приход]]</f>
        <v>0</v>
      </c>
      <c r="K515" s="34"/>
      <c r="L515" s="34"/>
      <c r="M515" s="34">
        <f>Таблица1[[#This Row],[Поддон
Шт]]*Таблица1[[#This Row],[Цена
Поддон]]</f>
        <v>0</v>
      </c>
      <c r="N515" s="34">
        <f>Таблица1[[#This Row],[Сумма 
Приход]]+Таблица1[[#This Row],[Сумма Поддон]]</f>
        <v>0</v>
      </c>
      <c r="O515" s="34"/>
      <c r="P515" s="34">
        <f>Таблица1[[#This Row],[Блок
 Куб]]*Таблица1[[#This Row],[Цена
 Продажа]]</f>
        <v>0</v>
      </c>
      <c r="Q515" s="34"/>
      <c r="R515" s="34">
        <f>Таблица1[[#This Row],[Сумма 
Продажа]]-Таблица1[[#This Row],[Сумма 
Приход]]-Таблица1[[#This Row],[Авто услу ]]</f>
        <v>0</v>
      </c>
      <c r="S515" s="34"/>
      <c r="T515" s="34">
        <f>Таблица1[[#This Row],[Сумма 
Продажа]]-IF(Таблица1[[#This Row],[Расход 
Авто]]="Клиент",N(Таблица1[[#This Row],[Авто услу ]]),0)</f>
        <v>0</v>
      </c>
      <c r="U5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5" s="265" t="str">
        <f>IFERROR(INDEX(Мижозлар[Агент],MATCH($D515,Мижозлар[Расмий ном],0)),"")</f>
        <v/>
      </c>
    </row>
    <row r="516" spans="1:23" ht="14.25" x14ac:dyDescent="0.2">
      <c r="A516" s="21"/>
      <c r="B516" s="135"/>
      <c r="C516" s="141"/>
      <c r="D516" s="141"/>
      <c r="E516" s="136"/>
      <c r="F516" s="135"/>
      <c r="G516" s="34"/>
      <c r="H516" s="142"/>
      <c r="I516" s="34"/>
      <c r="J516" s="34">
        <f>Таблица1[[#This Row],[Блок
 Куб]]*Таблица1[[#This Row],[Цена 
Приход]]</f>
        <v>0</v>
      </c>
      <c r="K516" s="34"/>
      <c r="L516" s="34"/>
      <c r="M516" s="34">
        <f>Таблица1[[#This Row],[Поддон
Шт]]*Таблица1[[#This Row],[Цена
Поддон]]</f>
        <v>0</v>
      </c>
      <c r="N516" s="34">
        <f>Таблица1[[#This Row],[Сумма 
Приход]]+Таблица1[[#This Row],[Сумма Поддон]]</f>
        <v>0</v>
      </c>
      <c r="O516" s="34"/>
      <c r="P516" s="34">
        <f>Таблица1[[#This Row],[Блок
 Куб]]*Таблица1[[#This Row],[Цена
 Продажа]]</f>
        <v>0</v>
      </c>
      <c r="Q516" s="34"/>
      <c r="R516" s="34">
        <f>Таблица1[[#This Row],[Сумма 
Продажа]]-Таблица1[[#This Row],[Сумма 
Приход]]-Таблица1[[#This Row],[Авто услу ]]</f>
        <v>0</v>
      </c>
      <c r="S516" s="34"/>
      <c r="T516" s="34">
        <f>Таблица1[[#This Row],[Сумма 
Продажа]]-IF(Таблица1[[#This Row],[Расход 
Авто]]="Клиент",N(Таблица1[[#This Row],[Авто услу ]]),0)</f>
        <v>0</v>
      </c>
      <c r="U5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6" s="265" t="str">
        <f>IFERROR(INDEX(Мижозлар[Агент],MATCH($D516,Мижозлар[Расмий ном],0)),"")</f>
        <v/>
      </c>
    </row>
    <row r="517" spans="1:23" ht="14.25" x14ac:dyDescent="0.2">
      <c r="A517" s="21"/>
      <c r="B517" s="135"/>
      <c r="C517" s="141"/>
      <c r="D517" s="141"/>
      <c r="E517" s="136"/>
      <c r="F517" s="135"/>
      <c r="G517" s="34"/>
      <c r="H517" s="142"/>
      <c r="I517" s="34"/>
      <c r="J517" s="34">
        <f>Таблица1[[#This Row],[Блок
 Куб]]*Таблица1[[#This Row],[Цена 
Приход]]</f>
        <v>0</v>
      </c>
      <c r="K517" s="34"/>
      <c r="L517" s="34"/>
      <c r="M517" s="34">
        <f>Таблица1[[#This Row],[Поддон
Шт]]*Таблица1[[#This Row],[Цена
Поддон]]</f>
        <v>0</v>
      </c>
      <c r="N517" s="34">
        <f>Таблица1[[#This Row],[Сумма 
Приход]]+Таблица1[[#This Row],[Сумма Поддон]]</f>
        <v>0</v>
      </c>
      <c r="O517" s="34"/>
      <c r="P517" s="34">
        <f>Таблица1[[#This Row],[Блок
 Куб]]*Таблица1[[#This Row],[Цена
 Продажа]]</f>
        <v>0</v>
      </c>
      <c r="Q517" s="34"/>
      <c r="R517" s="34">
        <f>Таблица1[[#This Row],[Сумма 
Продажа]]-Таблица1[[#This Row],[Сумма 
Приход]]-Таблица1[[#This Row],[Авто услу ]]</f>
        <v>0</v>
      </c>
      <c r="S517" s="34"/>
      <c r="T517" s="34">
        <f>Таблица1[[#This Row],[Сумма 
Продажа]]-IF(Таблица1[[#This Row],[Расход 
Авто]]="Клиент",N(Таблица1[[#This Row],[Авто услу ]]),0)</f>
        <v>0</v>
      </c>
      <c r="U5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7" s="265" t="str">
        <f>IFERROR(INDEX(Мижозлар[Агент],MATCH($D517,Мижозлар[Расмий ном],0)),"")</f>
        <v/>
      </c>
    </row>
    <row r="518" spans="1:23" ht="14.25" x14ac:dyDescent="0.2">
      <c r="A518" s="21"/>
      <c r="B518" s="135"/>
      <c r="C518" s="141"/>
      <c r="D518" s="141"/>
      <c r="E518" s="136"/>
      <c r="F518" s="135"/>
      <c r="G518" s="34"/>
      <c r="H518" s="142"/>
      <c r="I518" s="34"/>
      <c r="J518" s="34">
        <f>Таблица1[[#This Row],[Блок
 Куб]]*Таблица1[[#This Row],[Цена 
Приход]]</f>
        <v>0</v>
      </c>
      <c r="K518" s="34"/>
      <c r="L518" s="34"/>
      <c r="M518" s="34">
        <f>Таблица1[[#This Row],[Поддон
Шт]]*Таблица1[[#This Row],[Цена
Поддон]]</f>
        <v>0</v>
      </c>
      <c r="N518" s="34">
        <f>Таблица1[[#This Row],[Сумма 
Приход]]+Таблица1[[#This Row],[Сумма Поддон]]</f>
        <v>0</v>
      </c>
      <c r="O518" s="34"/>
      <c r="P518" s="34">
        <f>Таблица1[[#This Row],[Блок
 Куб]]*Таблица1[[#This Row],[Цена
 Продажа]]</f>
        <v>0</v>
      </c>
      <c r="Q518" s="34"/>
      <c r="R518" s="34">
        <f>Таблица1[[#This Row],[Сумма 
Продажа]]-Таблица1[[#This Row],[Сумма 
Приход]]-Таблица1[[#This Row],[Авто услу ]]</f>
        <v>0</v>
      </c>
      <c r="S518" s="34"/>
      <c r="T518" s="34">
        <f>Таблица1[[#This Row],[Сумма 
Продажа]]-IF(Таблица1[[#This Row],[Расход 
Авто]]="Клиент",N(Таблица1[[#This Row],[Авто услу ]]),0)</f>
        <v>0</v>
      </c>
      <c r="U5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8" s="265" t="str">
        <f>IFERROR(INDEX(Мижозлар[Агент],MATCH($D518,Мижозлар[Расмий ном],0)),"")</f>
        <v/>
      </c>
    </row>
    <row r="519" spans="1:23" ht="14.25" x14ac:dyDescent="0.2">
      <c r="A519" s="21"/>
      <c r="B519" s="135"/>
      <c r="C519" s="141"/>
      <c r="D519" s="141"/>
      <c r="E519" s="136"/>
      <c r="F519" s="135"/>
      <c r="G519" s="34"/>
      <c r="H519" s="142"/>
      <c r="I519" s="34"/>
      <c r="J519" s="34">
        <f>Таблица1[[#This Row],[Блок
 Куб]]*Таблица1[[#This Row],[Цена 
Приход]]</f>
        <v>0</v>
      </c>
      <c r="K519" s="34"/>
      <c r="L519" s="34"/>
      <c r="M519" s="34">
        <f>Таблица1[[#This Row],[Поддон
Шт]]*Таблица1[[#This Row],[Цена
Поддон]]</f>
        <v>0</v>
      </c>
      <c r="N519" s="34">
        <f>Таблица1[[#This Row],[Сумма 
Приход]]+Таблица1[[#This Row],[Сумма Поддон]]</f>
        <v>0</v>
      </c>
      <c r="O519" s="34"/>
      <c r="P519" s="34">
        <f>Таблица1[[#This Row],[Блок
 Куб]]*Таблица1[[#This Row],[Цена
 Продажа]]</f>
        <v>0</v>
      </c>
      <c r="Q519" s="34"/>
      <c r="R519" s="34">
        <f>Таблица1[[#This Row],[Сумма 
Продажа]]-Таблица1[[#This Row],[Сумма 
Приход]]-Таблица1[[#This Row],[Авто услу ]]</f>
        <v>0</v>
      </c>
      <c r="S519" s="34"/>
      <c r="T519" s="34">
        <f>Таблица1[[#This Row],[Сумма 
Продажа]]-IF(Таблица1[[#This Row],[Расход 
Авто]]="Клиент",N(Таблица1[[#This Row],[Авто услу ]]),0)</f>
        <v>0</v>
      </c>
      <c r="U5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19" s="265" t="str">
        <f>IFERROR(INDEX(Мижозлар[Агент],MATCH($D519,Мижозлар[Расмий ном],0)),"")</f>
        <v/>
      </c>
    </row>
    <row r="520" spans="1:23" ht="14.25" x14ac:dyDescent="0.2">
      <c r="A520" s="21"/>
      <c r="B520" s="135"/>
      <c r="C520" s="141"/>
      <c r="D520" s="141"/>
      <c r="E520" s="136"/>
      <c r="F520" s="135"/>
      <c r="G520" s="34"/>
      <c r="H520" s="142"/>
      <c r="I520" s="34"/>
      <c r="J520" s="34">
        <f>Таблица1[[#This Row],[Блок
 Куб]]*Таблица1[[#This Row],[Цена 
Приход]]</f>
        <v>0</v>
      </c>
      <c r="K520" s="34"/>
      <c r="L520" s="34"/>
      <c r="M520" s="34">
        <f>Таблица1[[#This Row],[Поддон
Шт]]*Таблица1[[#This Row],[Цена
Поддон]]</f>
        <v>0</v>
      </c>
      <c r="N520" s="34">
        <f>Таблица1[[#This Row],[Сумма 
Приход]]+Таблица1[[#This Row],[Сумма Поддон]]</f>
        <v>0</v>
      </c>
      <c r="O520" s="34"/>
      <c r="P520" s="34">
        <f>Таблица1[[#This Row],[Блок
 Куб]]*Таблица1[[#This Row],[Цена
 Продажа]]</f>
        <v>0</v>
      </c>
      <c r="Q520" s="34"/>
      <c r="R520" s="34">
        <f>Таблица1[[#This Row],[Сумма 
Продажа]]-Таблица1[[#This Row],[Сумма 
Приход]]-Таблица1[[#This Row],[Авто услу ]]</f>
        <v>0</v>
      </c>
      <c r="S520" s="34"/>
      <c r="T520" s="34">
        <f>Таблица1[[#This Row],[Сумма 
Продажа]]-IF(Таблица1[[#This Row],[Расход 
Авто]]="Клиент",N(Таблица1[[#This Row],[Авто услу ]]),0)</f>
        <v>0</v>
      </c>
      <c r="U5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0" s="265" t="str">
        <f>IFERROR(INDEX(Мижозлар[Агент],MATCH($D520,Мижозлар[Расмий ном],0)),"")</f>
        <v/>
      </c>
    </row>
    <row r="521" spans="1:23" ht="14.25" x14ac:dyDescent="0.2">
      <c r="A521" s="21"/>
      <c r="B521" s="135"/>
      <c r="C521" s="141"/>
      <c r="D521" s="141"/>
      <c r="E521" s="136"/>
      <c r="F521" s="135"/>
      <c r="G521" s="34"/>
      <c r="H521" s="142"/>
      <c r="I521" s="34"/>
      <c r="J521" s="34">
        <f>Таблица1[[#This Row],[Блок
 Куб]]*Таблица1[[#This Row],[Цена 
Приход]]</f>
        <v>0</v>
      </c>
      <c r="K521" s="34"/>
      <c r="L521" s="34"/>
      <c r="M521" s="34">
        <f>Таблица1[[#This Row],[Поддон
Шт]]*Таблица1[[#This Row],[Цена
Поддон]]</f>
        <v>0</v>
      </c>
      <c r="N521" s="34">
        <f>Таблица1[[#This Row],[Сумма 
Приход]]+Таблица1[[#This Row],[Сумма Поддон]]</f>
        <v>0</v>
      </c>
      <c r="O521" s="34"/>
      <c r="P521" s="34">
        <f>Таблица1[[#This Row],[Блок
 Куб]]*Таблица1[[#This Row],[Цена
 Продажа]]</f>
        <v>0</v>
      </c>
      <c r="Q521" s="34"/>
      <c r="R521" s="34">
        <f>Таблица1[[#This Row],[Сумма 
Продажа]]-Таблица1[[#This Row],[Сумма 
Приход]]-Таблица1[[#This Row],[Авто услу ]]</f>
        <v>0</v>
      </c>
      <c r="S521" s="34"/>
      <c r="T521" s="34">
        <f>Таблица1[[#This Row],[Сумма 
Продажа]]-IF(Таблица1[[#This Row],[Расход 
Авто]]="Клиент",N(Таблица1[[#This Row],[Авто услу ]]),0)</f>
        <v>0</v>
      </c>
      <c r="U5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1" s="265" t="str">
        <f>IFERROR(INDEX(Мижозлар[Агент],MATCH($D521,Мижозлар[Расмий ном],0)),"")</f>
        <v/>
      </c>
    </row>
    <row r="522" spans="1:23" ht="14.25" x14ac:dyDescent="0.2">
      <c r="A522" s="21"/>
      <c r="B522" s="135"/>
      <c r="C522" s="141"/>
      <c r="D522" s="141"/>
      <c r="E522" s="136"/>
      <c r="F522" s="135"/>
      <c r="G522" s="34"/>
      <c r="H522" s="142"/>
      <c r="I522" s="34"/>
      <c r="J522" s="34">
        <f>Таблица1[[#This Row],[Блок
 Куб]]*Таблица1[[#This Row],[Цена 
Приход]]</f>
        <v>0</v>
      </c>
      <c r="K522" s="34"/>
      <c r="L522" s="34"/>
      <c r="M522" s="34">
        <f>Таблица1[[#This Row],[Поддон
Шт]]*Таблица1[[#This Row],[Цена
Поддон]]</f>
        <v>0</v>
      </c>
      <c r="N522" s="34">
        <f>Таблица1[[#This Row],[Сумма 
Приход]]+Таблица1[[#This Row],[Сумма Поддон]]</f>
        <v>0</v>
      </c>
      <c r="O522" s="34"/>
      <c r="P522" s="34">
        <f>Таблица1[[#This Row],[Блок
 Куб]]*Таблица1[[#This Row],[Цена
 Продажа]]</f>
        <v>0</v>
      </c>
      <c r="Q522" s="34"/>
      <c r="R522" s="34">
        <f>Таблица1[[#This Row],[Сумма 
Продажа]]-Таблица1[[#This Row],[Сумма 
Приход]]-Таблица1[[#This Row],[Авто услу ]]</f>
        <v>0</v>
      </c>
      <c r="S522" s="34"/>
      <c r="T522" s="34">
        <f>Таблица1[[#This Row],[Сумма 
Продажа]]-IF(Таблица1[[#This Row],[Расход 
Авто]]="Клиент",N(Таблица1[[#This Row],[Авто услу ]]),0)</f>
        <v>0</v>
      </c>
      <c r="U5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2" s="265" t="str">
        <f>IFERROR(INDEX(Мижозлар[Агент],MATCH($D522,Мижозлар[Расмий ном],0)),"")</f>
        <v/>
      </c>
    </row>
    <row r="523" spans="1:23" ht="14.25" x14ac:dyDescent="0.2">
      <c r="A523" s="21"/>
      <c r="B523" s="135"/>
      <c r="C523" s="141"/>
      <c r="D523" s="141"/>
      <c r="E523" s="136"/>
      <c r="F523" s="135"/>
      <c r="G523" s="34"/>
      <c r="H523" s="142"/>
      <c r="I523" s="34"/>
      <c r="J523" s="34">
        <f>Таблица1[[#This Row],[Блок
 Куб]]*Таблица1[[#This Row],[Цена 
Приход]]</f>
        <v>0</v>
      </c>
      <c r="K523" s="34"/>
      <c r="L523" s="34"/>
      <c r="M523" s="34">
        <f>Таблица1[[#This Row],[Поддон
Шт]]*Таблица1[[#This Row],[Цена
Поддон]]</f>
        <v>0</v>
      </c>
      <c r="N523" s="34">
        <f>Таблица1[[#This Row],[Сумма 
Приход]]+Таблица1[[#This Row],[Сумма Поддон]]</f>
        <v>0</v>
      </c>
      <c r="O523" s="34"/>
      <c r="P523" s="34">
        <f>Таблица1[[#This Row],[Блок
 Куб]]*Таблица1[[#This Row],[Цена
 Продажа]]</f>
        <v>0</v>
      </c>
      <c r="Q523" s="34"/>
      <c r="R523" s="34">
        <f>Таблица1[[#This Row],[Сумма 
Продажа]]-Таблица1[[#This Row],[Сумма 
Приход]]-Таблица1[[#This Row],[Авто услу ]]</f>
        <v>0</v>
      </c>
      <c r="S523" s="34"/>
      <c r="T523" s="34">
        <f>Таблица1[[#This Row],[Сумма 
Продажа]]-IF(Таблица1[[#This Row],[Расход 
Авто]]="Клиент",N(Таблица1[[#This Row],[Авто услу ]]),0)</f>
        <v>0</v>
      </c>
      <c r="U5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3" s="265" t="str">
        <f>IFERROR(INDEX(Мижозлар[Агент],MATCH($D523,Мижозлар[Расмий ном],0)),"")</f>
        <v/>
      </c>
    </row>
    <row r="524" spans="1:23" ht="14.25" x14ac:dyDescent="0.2">
      <c r="A524" s="21"/>
      <c r="B524" s="135"/>
      <c r="C524" s="141"/>
      <c r="D524" s="141"/>
      <c r="E524" s="136"/>
      <c r="F524" s="135"/>
      <c r="G524" s="34"/>
      <c r="H524" s="142"/>
      <c r="I524" s="34"/>
      <c r="J524" s="34">
        <f>Таблица1[[#This Row],[Блок
 Куб]]*Таблица1[[#This Row],[Цена 
Приход]]</f>
        <v>0</v>
      </c>
      <c r="K524" s="34"/>
      <c r="L524" s="34"/>
      <c r="M524" s="34">
        <f>Таблица1[[#This Row],[Поддон
Шт]]*Таблица1[[#This Row],[Цена
Поддон]]</f>
        <v>0</v>
      </c>
      <c r="N524" s="34">
        <f>Таблица1[[#This Row],[Сумма 
Приход]]+Таблица1[[#This Row],[Сумма Поддон]]</f>
        <v>0</v>
      </c>
      <c r="O524" s="34"/>
      <c r="P524" s="34">
        <f>Таблица1[[#This Row],[Блок
 Куб]]*Таблица1[[#This Row],[Цена
 Продажа]]</f>
        <v>0</v>
      </c>
      <c r="Q524" s="34"/>
      <c r="R524" s="34">
        <f>Таблица1[[#This Row],[Сумма 
Продажа]]-Таблица1[[#This Row],[Сумма 
Приход]]-Таблица1[[#This Row],[Авто услу ]]</f>
        <v>0</v>
      </c>
      <c r="S524" s="34"/>
      <c r="T524" s="34">
        <f>Таблица1[[#This Row],[Сумма 
Продажа]]-IF(Таблица1[[#This Row],[Расход 
Авто]]="Клиент",N(Таблица1[[#This Row],[Авто услу ]]),0)</f>
        <v>0</v>
      </c>
      <c r="U5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4" s="265" t="str">
        <f>IFERROR(INDEX(Мижозлар[Агент],MATCH($D524,Мижозлар[Расмий ном],0)),"")</f>
        <v/>
      </c>
    </row>
    <row r="525" spans="1:23" ht="14.25" x14ac:dyDescent="0.2">
      <c r="A525" s="21"/>
      <c r="B525" s="135"/>
      <c r="C525" s="141"/>
      <c r="D525" s="141"/>
      <c r="E525" s="136"/>
      <c r="F525" s="135"/>
      <c r="G525" s="34"/>
      <c r="H525" s="142"/>
      <c r="I525" s="34"/>
      <c r="J525" s="34">
        <f>Таблица1[[#This Row],[Блок
 Куб]]*Таблица1[[#This Row],[Цена 
Приход]]</f>
        <v>0</v>
      </c>
      <c r="K525" s="34"/>
      <c r="L525" s="34"/>
      <c r="M525" s="34">
        <f>Таблица1[[#This Row],[Поддон
Шт]]*Таблица1[[#This Row],[Цена
Поддон]]</f>
        <v>0</v>
      </c>
      <c r="N525" s="34">
        <f>Таблица1[[#This Row],[Сумма 
Приход]]+Таблица1[[#This Row],[Сумма Поддон]]</f>
        <v>0</v>
      </c>
      <c r="O525" s="34"/>
      <c r="P525" s="34">
        <f>Таблица1[[#This Row],[Блок
 Куб]]*Таблица1[[#This Row],[Цена
 Продажа]]</f>
        <v>0</v>
      </c>
      <c r="Q525" s="34"/>
      <c r="R525" s="34">
        <f>Таблица1[[#This Row],[Сумма 
Продажа]]-Таблица1[[#This Row],[Сумма 
Приход]]-Таблица1[[#This Row],[Авто услу ]]</f>
        <v>0</v>
      </c>
      <c r="S525" s="34"/>
      <c r="T525" s="34">
        <f>Таблица1[[#This Row],[Сумма 
Продажа]]-IF(Таблица1[[#This Row],[Расход 
Авто]]="Клиент",N(Таблица1[[#This Row],[Авто услу ]]),0)</f>
        <v>0</v>
      </c>
      <c r="U5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5" s="265" t="str">
        <f>IFERROR(INDEX(Мижозлар[Агент],MATCH($D525,Мижозлар[Расмий ном],0)),"")</f>
        <v/>
      </c>
    </row>
    <row r="526" spans="1:23" ht="14.25" x14ac:dyDescent="0.2">
      <c r="A526" s="21"/>
      <c r="B526" s="135"/>
      <c r="C526" s="141"/>
      <c r="D526" s="141"/>
      <c r="E526" s="136"/>
      <c r="F526" s="135"/>
      <c r="G526" s="34"/>
      <c r="H526" s="142"/>
      <c r="I526" s="34"/>
      <c r="J526" s="34">
        <f>Таблица1[[#This Row],[Блок
 Куб]]*Таблица1[[#This Row],[Цена 
Приход]]</f>
        <v>0</v>
      </c>
      <c r="K526" s="34"/>
      <c r="L526" s="34"/>
      <c r="M526" s="34">
        <f>Таблица1[[#This Row],[Поддон
Шт]]*Таблица1[[#This Row],[Цена
Поддон]]</f>
        <v>0</v>
      </c>
      <c r="N526" s="34">
        <f>Таблица1[[#This Row],[Сумма 
Приход]]+Таблица1[[#This Row],[Сумма Поддон]]</f>
        <v>0</v>
      </c>
      <c r="O526" s="34"/>
      <c r="P526" s="34">
        <f>Таблица1[[#This Row],[Блок
 Куб]]*Таблица1[[#This Row],[Цена
 Продажа]]</f>
        <v>0</v>
      </c>
      <c r="Q526" s="34"/>
      <c r="R526" s="34">
        <f>Таблица1[[#This Row],[Сумма 
Продажа]]-Таблица1[[#This Row],[Сумма 
Приход]]-Таблица1[[#This Row],[Авто услу ]]</f>
        <v>0</v>
      </c>
      <c r="S526" s="34"/>
      <c r="T526" s="34">
        <f>Таблица1[[#This Row],[Сумма 
Продажа]]-IF(Таблица1[[#This Row],[Расход 
Авто]]="Клиент",N(Таблица1[[#This Row],[Авто услу ]]),0)</f>
        <v>0</v>
      </c>
      <c r="U5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6" s="265" t="str">
        <f>IFERROR(INDEX(Мижозлар[Агент],MATCH($D526,Мижозлар[Расмий ном],0)),"")</f>
        <v/>
      </c>
    </row>
    <row r="527" spans="1:23" ht="14.25" x14ac:dyDescent="0.2">
      <c r="A527" s="21"/>
      <c r="B527" s="135"/>
      <c r="C527" s="141"/>
      <c r="D527" s="141"/>
      <c r="E527" s="136"/>
      <c r="F527" s="135"/>
      <c r="G527" s="34"/>
      <c r="H527" s="142"/>
      <c r="I527" s="34"/>
      <c r="J527" s="34">
        <f>Таблица1[[#This Row],[Блок
 Куб]]*Таблица1[[#This Row],[Цена 
Приход]]</f>
        <v>0</v>
      </c>
      <c r="K527" s="34"/>
      <c r="L527" s="34"/>
      <c r="M527" s="34">
        <f>Таблица1[[#This Row],[Поддон
Шт]]*Таблица1[[#This Row],[Цена
Поддон]]</f>
        <v>0</v>
      </c>
      <c r="N527" s="34">
        <f>Таблица1[[#This Row],[Сумма 
Приход]]+Таблица1[[#This Row],[Сумма Поддон]]</f>
        <v>0</v>
      </c>
      <c r="O527" s="34"/>
      <c r="P527" s="34">
        <f>Таблица1[[#This Row],[Блок
 Куб]]*Таблица1[[#This Row],[Цена
 Продажа]]</f>
        <v>0</v>
      </c>
      <c r="Q527" s="34"/>
      <c r="R527" s="34">
        <f>Таблица1[[#This Row],[Сумма 
Продажа]]-Таблица1[[#This Row],[Сумма 
Приход]]-Таблица1[[#This Row],[Авто услу ]]</f>
        <v>0</v>
      </c>
      <c r="S527" s="34"/>
      <c r="T527" s="34">
        <f>Таблица1[[#This Row],[Сумма 
Продажа]]-IF(Таблица1[[#This Row],[Расход 
Авто]]="Клиент",N(Таблица1[[#This Row],[Авто услу ]]),0)</f>
        <v>0</v>
      </c>
      <c r="U5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7" s="265" t="str">
        <f>IFERROR(INDEX(Мижозлар[Агент],MATCH($D527,Мижозлар[Расмий ном],0)),"")</f>
        <v/>
      </c>
    </row>
    <row r="528" spans="1:23" ht="14.25" x14ac:dyDescent="0.2">
      <c r="A528" s="21"/>
      <c r="B528" s="135"/>
      <c r="C528" s="141"/>
      <c r="D528" s="141"/>
      <c r="E528" s="136"/>
      <c r="F528" s="135"/>
      <c r="G528" s="34"/>
      <c r="H528" s="142"/>
      <c r="I528" s="34"/>
      <c r="J528" s="34">
        <f>Таблица1[[#This Row],[Блок
 Куб]]*Таблица1[[#This Row],[Цена 
Приход]]</f>
        <v>0</v>
      </c>
      <c r="K528" s="34"/>
      <c r="L528" s="34"/>
      <c r="M528" s="34">
        <f>Таблица1[[#This Row],[Поддон
Шт]]*Таблица1[[#This Row],[Цена
Поддон]]</f>
        <v>0</v>
      </c>
      <c r="N528" s="34">
        <f>Таблица1[[#This Row],[Сумма 
Приход]]+Таблица1[[#This Row],[Сумма Поддон]]</f>
        <v>0</v>
      </c>
      <c r="O528" s="34"/>
      <c r="P528" s="34">
        <f>Таблица1[[#This Row],[Блок
 Куб]]*Таблица1[[#This Row],[Цена
 Продажа]]</f>
        <v>0</v>
      </c>
      <c r="Q528" s="34"/>
      <c r="R528" s="34">
        <f>Таблица1[[#This Row],[Сумма 
Продажа]]-Таблица1[[#This Row],[Сумма 
Приход]]-Таблица1[[#This Row],[Авто услу ]]</f>
        <v>0</v>
      </c>
      <c r="S528" s="34"/>
      <c r="T528" s="34">
        <f>Таблица1[[#This Row],[Сумма 
Продажа]]-IF(Таблица1[[#This Row],[Расход 
Авто]]="Клиент",N(Таблица1[[#This Row],[Авто услу ]]),0)</f>
        <v>0</v>
      </c>
      <c r="U5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8" s="265" t="str">
        <f>IFERROR(INDEX(Мижозлар[Агент],MATCH($D528,Мижозлар[Расмий ном],0)),"")</f>
        <v/>
      </c>
    </row>
    <row r="529" spans="1:23" ht="14.25" x14ac:dyDescent="0.2">
      <c r="A529" s="21"/>
      <c r="B529" s="135"/>
      <c r="C529" s="141"/>
      <c r="D529" s="141"/>
      <c r="E529" s="136"/>
      <c r="F529" s="135"/>
      <c r="G529" s="34"/>
      <c r="H529" s="142"/>
      <c r="I529" s="34"/>
      <c r="J529" s="34">
        <f>Таблица1[[#This Row],[Блок
 Куб]]*Таблица1[[#This Row],[Цена 
Приход]]</f>
        <v>0</v>
      </c>
      <c r="K529" s="34"/>
      <c r="L529" s="34"/>
      <c r="M529" s="34">
        <f>Таблица1[[#This Row],[Поддон
Шт]]*Таблица1[[#This Row],[Цена
Поддон]]</f>
        <v>0</v>
      </c>
      <c r="N529" s="34">
        <f>Таблица1[[#This Row],[Сумма 
Приход]]+Таблица1[[#This Row],[Сумма Поддон]]</f>
        <v>0</v>
      </c>
      <c r="O529" s="34"/>
      <c r="P529" s="34">
        <f>Таблица1[[#This Row],[Блок
 Куб]]*Таблица1[[#This Row],[Цена
 Продажа]]</f>
        <v>0</v>
      </c>
      <c r="Q529" s="34"/>
      <c r="R529" s="34">
        <f>Таблица1[[#This Row],[Сумма 
Продажа]]-Таблица1[[#This Row],[Сумма 
Приход]]-Таблица1[[#This Row],[Авто услу ]]</f>
        <v>0</v>
      </c>
      <c r="S529" s="34"/>
      <c r="T529" s="34">
        <f>Таблица1[[#This Row],[Сумма 
Продажа]]-IF(Таблица1[[#This Row],[Расход 
Авто]]="Клиент",N(Таблица1[[#This Row],[Авто услу ]]),0)</f>
        <v>0</v>
      </c>
      <c r="U5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29" s="265" t="str">
        <f>IFERROR(INDEX(Мижозлар[Агент],MATCH($D529,Мижозлар[Расмий ном],0)),"")</f>
        <v/>
      </c>
    </row>
    <row r="530" spans="1:23" ht="14.25" x14ac:dyDescent="0.2">
      <c r="A530" s="21"/>
      <c r="B530" s="135"/>
      <c r="C530" s="141"/>
      <c r="D530" s="141"/>
      <c r="E530" s="136"/>
      <c r="F530" s="135"/>
      <c r="G530" s="34"/>
      <c r="H530" s="142"/>
      <c r="I530" s="34"/>
      <c r="J530" s="34">
        <f>Таблица1[[#This Row],[Блок
 Куб]]*Таблица1[[#This Row],[Цена 
Приход]]</f>
        <v>0</v>
      </c>
      <c r="K530" s="34"/>
      <c r="L530" s="34"/>
      <c r="M530" s="34">
        <f>Таблица1[[#This Row],[Поддон
Шт]]*Таблица1[[#This Row],[Цена
Поддон]]</f>
        <v>0</v>
      </c>
      <c r="N530" s="34">
        <f>Таблица1[[#This Row],[Сумма 
Приход]]+Таблица1[[#This Row],[Сумма Поддон]]</f>
        <v>0</v>
      </c>
      <c r="O530" s="34"/>
      <c r="P530" s="34">
        <f>Таблица1[[#This Row],[Блок
 Куб]]*Таблица1[[#This Row],[Цена
 Продажа]]</f>
        <v>0</v>
      </c>
      <c r="Q530" s="34"/>
      <c r="R530" s="34">
        <f>Таблица1[[#This Row],[Сумма 
Продажа]]-Таблица1[[#This Row],[Сумма 
Приход]]-Таблица1[[#This Row],[Авто услу ]]</f>
        <v>0</v>
      </c>
      <c r="S530" s="34"/>
      <c r="T530" s="34">
        <f>Таблица1[[#This Row],[Сумма 
Продажа]]-IF(Таблица1[[#This Row],[Расход 
Авто]]="Клиент",N(Таблица1[[#This Row],[Авто услу ]]),0)</f>
        <v>0</v>
      </c>
      <c r="U5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0" s="265" t="str">
        <f>IFERROR(INDEX(Мижозлар[Агент],MATCH($D530,Мижозлар[Расмий ном],0)),"")</f>
        <v/>
      </c>
    </row>
    <row r="531" spans="1:23" ht="14.25" x14ac:dyDescent="0.2">
      <c r="A531" s="21"/>
      <c r="B531" s="135"/>
      <c r="C531" s="141"/>
      <c r="D531" s="141"/>
      <c r="E531" s="136"/>
      <c r="F531" s="135"/>
      <c r="G531" s="34"/>
      <c r="H531" s="142"/>
      <c r="I531" s="34"/>
      <c r="J531" s="34">
        <f>Таблица1[[#This Row],[Блок
 Куб]]*Таблица1[[#This Row],[Цена 
Приход]]</f>
        <v>0</v>
      </c>
      <c r="K531" s="34"/>
      <c r="L531" s="34"/>
      <c r="M531" s="34">
        <f>Таблица1[[#This Row],[Поддон
Шт]]*Таблица1[[#This Row],[Цена
Поддон]]</f>
        <v>0</v>
      </c>
      <c r="N531" s="34">
        <f>Таблица1[[#This Row],[Сумма 
Приход]]+Таблица1[[#This Row],[Сумма Поддон]]</f>
        <v>0</v>
      </c>
      <c r="O531" s="34"/>
      <c r="P531" s="34">
        <f>Таблица1[[#This Row],[Блок
 Куб]]*Таблица1[[#This Row],[Цена
 Продажа]]</f>
        <v>0</v>
      </c>
      <c r="Q531" s="34"/>
      <c r="R531" s="34">
        <f>Таблица1[[#This Row],[Сумма 
Продажа]]-Таблица1[[#This Row],[Сумма 
Приход]]-Таблица1[[#This Row],[Авто услу ]]</f>
        <v>0</v>
      </c>
      <c r="S531" s="34"/>
      <c r="T531" s="34">
        <f>Таблица1[[#This Row],[Сумма 
Продажа]]-IF(Таблица1[[#This Row],[Расход 
Авто]]="Клиент",N(Таблица1[[#This Row],[Авто услу ]]),0)</f>
        <v>0</v>
      </c>
      <c r="U5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1" s="265" t="str">
        <f>IFERROR(INDEX(Мижозлар[Агент],MATCH($D531,Мижозлар[Расмий ном],0)),"")</f>
        <v/>
      </c>
    </row>
    <row r="532" spans="1:23" ht="14.25" x14ac:dyDescent="0.2">
      <c r="A532" s="21"/>
      <c r="B532" s="135"/>
      <c r="C532" s="141"/>
      <c r="D532" s="141"/>
      <c r="E532" s="136"/>
      <c r="F532" s="135"/>
      <c r="G532" s="34"/>
      <c r="H532" s="142"/>
      <c r="I532" s="34"/>
      <c r="J532" s="34">
        <f>Таблица1[[#This Row],[Блок
 Куб]]*Таблица1[[#This Row],[Цена 
Приход]]</f>
        <v>0</v>
      </c>
      <c r="K532" s="34"/>
      <c r="L532" s="34"/>
      <c r="M532" s="34">
        <f>Таблица1[[#This Row],[Поддон
Шт]]*Таблица1[[#This Row],[Цена
Поддон]]</f>
        <v>0</v>
      </c>
      <c r="N532" s="34">
        <f>Таблица1[[#This Row],[Сумма 
Приход]]+Таблица1[[#This Row],[Сумма Поддон]]</f>
        <v>0</v>
      </c>
      <c r="O532" s="34"/>
      <c r="P532" s="34">
        <f>Таблица1[[#This Row],[Блок
 Куб]]*Таблица1[[#This Row],[Цена
 Продажа]]</f>
        <v>0</v>
      </c>
      <c r="Q532" s="34"/>
      <c r="R532" s="34">
        <f>Таблица1[[#This Row],[Сумма 
Продажа]]-Таблица1[[#This Row],[Сумма 
Приход]]-Таблица1[[#This Row],[Авто услу ]]</f>
        <v>0</v>
      </c>
      <c r="S532" s="34"/>
      <c r="T532" s="34">
        <f>Таблица1[[#This Row],[Сумма 
Продажа]]-IF(Таблица1[[#This Row],[Расход 
Авто]]="Клиент",N(Таблица1[[#This Row],[Авто услу ]]),0)</f>
        <v>0</v>
      </c>
      <c r="U5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2" s="265" t="str">
        <f>IFERROR(INDEX(Мижозлар[Агент],MATCH($D532,Мижозлар[Расмий ном],0)),"")</f>
        <v/>
      </c>
    </row>
    <row r="533" spans="1:23" ht="14.25" x14ac:dyDescent="0.2">
      <c r="A533" s="21"/>
      <c r="B533" s="135"/>
      <c r="C533" s="141"/>
      <c r="D533" s="141"/>
      <c r="E533" s="136"/>
      <c r="F533" s="135"/>
      <c r="G533" s="34"/>
      <c r="H533" s="142"/>
      <c r="I533" s="34"/>
      <c r="J533" s="34">
        <f>Таблица1[[#This Row],[Блок
 Куб]]*Таблица1[[#This Row],[Цена 
Приход]]</f>
        <v>0</v>
      </c>
      <c r="K533" s="34"/>
      <c r="L533" s="34"/>
      <c r="M533" s="34">
        <f>Таблица1[[#This Row],[Поддон
Шт]]*Таблица1[[#This Row],[Цена
Поддон]]</f>
        <v>0</v>
      </c>
      <c r="N533" s="34">
        <f>Таблица1[[#This Row],[Сумма 
Приход]]+Таблица1[[#This Row],[Сумма Поддон]]</f>
        <v>0</v>
      </c>
      <c r="O533" s="34"/>
      <c r="P533" s="34">
        <f>Таблица1[[#This Row],[Блок
 Куб]]*Таблица1[[#This Row],[Цена
 Продажа]]</f>
        <v>0</v>
      </c>
      <c r="Q533" s="34"/>
      <c r="R533" s="34">
        <f>Таблица1[[#This Row],[Сумма 
Продажа]]-Таблица1[[#This Row],[Сумма 
Приход]]-Таблица1[[#This Row],[Авто услу ]]</f>
        <v>0</v>
      </c>
      <c r="S533" s="34"/>
      <c r="T533" s="34">
        <f>Таблица1[[#This Row],[Сумма 
Продажа]]-IF(Таблица1[[#This Row],[Расход 
Авто]]="Клиент",N(Таблица1[[#This Row],[Авто услу ]]),0)</f>
        <v>0</v>
      </c>
      <c r="U5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3" s="265" t="str">
        <f>IFERROR(INDEX(Мижозлар[Агент],MATCH($D533,Мижозлар[Расмий ном],0)),"")</f>
        <v/>
      </c>
    </row>
    <row r="534" spans="1:23" ht="14.25" x14ac:dyDescent="0.2">
      <c r="A534" s="21"/>
      <c r="B534" s="135"/>
      <c r="C534" s="141"/>
      <c r="D534" s="141"/>
      <c r="E534" s="136"/>
      <c r="F534" s="135"/>
      <c r="G534" s="34"/>
      <c r="H534" s="142"/>
      <c r="I534" s="34"/>
      <c r="J534" s="34">
        <f>Таблица1[[#This Row],[Блок
 Куб]]*Таблица1[[#This Row],[Цена 
Приход]]</f>
        <v>0</v>
      </c>
      <c r="K534" s="34"/>
      <c r="L534" s="34"/>
      <c r="M534" s="34">
        <f>Таблица1[[#This Row],[Поддон
Шт]]*Таблица1[[#This Row],[Цена
Поддон]]</f>
        <v>0</v>
      </c>
      <c r="N534" s="34">
        <f>Таблица1[[#This Row],[Сумма 
Приход]]+Таблица1[[#This Row],[Сумма Поддон]]</f>
        <v>0</v>
      </c>
      <c r="O534" s="34"/>
      <c r="P534" s="34">
        <f>Таблица1[[#This Row],[Блок
 Куб]]*Таблица1[[#This Row],[Цена
 Продажа]]</f>
        <v>0</v>
      </c>
      <c r="Q534" s="34"/>
      <c r="R534" s="34">
        <f>Таблица1[[#This Row],[Сумма 
Продажа]]-Таблица1[[#This Row],[Сумма 
Приход]]-Таблица1[[#This Row],[Авто услу ]]</f>
        <v>0</v>
      </c>
      <c r="S534" s="34"/>
      <c r="T534" s="34">
        <f>Таблица1[[#This Row],[Сумма 
Продажа]]-IF(Таблица1[[#This Row],[Расход 
Авто]]="Клиент",N(Таблица1[[#This Row],[Авто услу ]]),0)</f>
        <v>0</v>
      </c>
      <c r="U5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4" s="265" t="str">
        <f>IFERROR(INDEX(Мижозлар[Агент],MATCH($D534,Мижозлар[Расмий ном],0)),"")</f>
        <v/>
      </c>
    </row>
    <row r="535" spans="1:23" ht="14.25" x14ac:dyDescent="0.2">
      <c r="A535" s="21"/>
      <c r="B535" s="135"/>
      <c r="C535" s="141"/>
      <c r="D535" s="141"/>
      <c r="E535" s="136"/>
      <c r="F535" s="135"/>
      <c r="G535" s="34"/>
      <c r="H535" s="142"/>
      <c r="I535" s="34"/>
      <c r="J535" s="34">
        <f>Таблица1[[#This Row],[Блок
 Куб]]*Таблица1[[#This Row],[Цена 
Приход]]</f>
        <v>0</v>
      </c>
      <c r="K535" s="34"/>
      <c r="L535" s="34"/>
      <c r="M535" s="34">
        <f>Таблица1[[#This Row],[Поддон
Шт]]*Таблица1[[#This Row],[Цена
Поддон]]</f>
        <v>0</v>
      </c>
      <c r="N535" s="34">
        <f>Таблица1[[#This Row],[Сумма 
Приход]]+Таблица1[[#This Row],[Сумма Поддон]]</f>
        <v>0</v>
      </c>
      <c r="O535" s="34"/>
      <c r="P535" s="34">
        <f>Таблица1[[#This Row],[Блок
 Куб]]*Таблица1[[#This Row],[Цена
 Продажа]]</f>
        <v>0</v>
      </c>
      <c r="Q535" s="34"/>
      <c r="R535" s="34">
        <f>Таблица1[[#This Row],[Сумма 
Продажа]]-Таблица1[[#This Row],[Сумма 
Приход]]-Таблица1[[#This Row],[Авто услу ]]</f>
        <v>0</v>
      </c>
      <c r="S535" s="34"/>
      <c r="T535" s="34">
        <f>Таблица1[[#This Row],[Сумма 
Продажа]]-IF(Таблица1[[#This Row],[Расход 
Авто]]="Клиент",N(Таблица1[[#This Row],[Авто услу ]]),0)</f>
        <v>0</v>
      </c>
      <c r="U5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5" s="265" t="str">
        <f>IFERROR(INDEX(Мижозлар[Агент],MATCH($D535,Мижозлар[Расмий ном],0)),"")</f>
        <v/>
      </c>
    </row>
    <row r="536" spans="1:23" ht="14.25" x14ac:dyDescent="0.2">
      <c r="A536" s="21"/>
      <c r="B536" s="135"/>
      <c r="C536" s="141"/>
      <c r="D536" s="141"/>
      <c r="E536" s="136"/>
      <c r="F536" s="135"/>
      <c r="G536" s="34"/>
      <c r="H536" s="142"/>
      <c r="I536" s="34"/>
      <c r="J536" s="34">
        <f>Таблица1[[#This Row],[Блок
 Куб]]*Таблица1[[#This Row],[Цена 
Приход]]</f>
        <v>0</v>
      </c>
      <c r="K536" s="34"/>
      <c r="L536" s="34"/>
      <c r="M536" s="34">
        <f>Таблица1[[#This Row],[Поддон
Шт]]*Таблица1[[#This Row],[Цена
Поддон]]</f>
        <v>0</v>
      </c>
      <c r="N536" s="34">
        <f>Таблица1[[#This Row],[Сумма 
Приход]]+Таблица1[[#This Row],[Сумма Поддон]]</f>
        <v>0</v>
      </c>
      <c r="O536" s="34"/>
      <c r="P536" s="34">
        <f>Таблица1[[#This Row],[Блок
 Куб]]*Таблица1[[#This Row],[Цена
 Продажа]]</f>
        <v>0</v>
      </c>
      <c r="Q536" s="34"/>
      <c r="R536" s="34">
        <f>Таблица1[[#This Row],[Сумма 
Продажа]]-Таблица1[[#This Row],[Сумма 
Приход]]-Таблица1[[#This Row],[Авто услу ]]</f>
        <v>0</v>
      </c>
      <c r="S536" s="34"/>
      <c r="T536" s="34">
        <f>Таблица1[[#This Row],[Сумма 
Продажа]]-IF(Таблица1[[#This Row],[Расход 
Авто]]="Клиент",N(Таблица1[[#This Row],[Авто услу ]]),0)</f>
        <v>0</v>
      </c>
      <c r="U5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6" s="265" t="str">
        <f>IFERROR(INDEX(Мижозлар[Агент],MATCH($D536,Мижозлар[Расмий ном],0)),"")</f>
        <v/>
      </c>
    </row>
    <row r="537" spans="1:23" ht="14.25" x14ac:dyDescent="0.2">
      <c r="A537" s="21"/>
      <c r="B537" s="135"/>
      <c r="C537" s="141"/>
      <c r="D537" s="141"/>
      <c r="E537" s="136"/>
      <c r="F537" s="135"/>
      <c r="G537" s="34"/>
      <c r="H537" s="142"/>
      <c r="I537" s="34"/>
      <c r="J537" s="34">
        <f>Таблица1[[#This Row],[Блок
 Куб]]*Таблица1[[#This Row],[Цена 
Приход]]</f>
        <v>0</v>
      </c>
      <c r="K537" s="34"/>
      <c r="L537" s="34"/>
      <c r="M537" s="34">
        <f>Таблица1[[#This Row],[Поддон
Шт]]*Таблица1[[#This Row],[Цена
Поддон]]</f>
        <v>0</v>
      </c>
      <c r="N537" s="34">
        <f>Таблица1[[#This Row],[Сумма 
Приход]]+Таблица1[[#This Row],[Сумма Поддон]]</f>
        <v>0</v>
      </c>
      <c r="O537" s="34"/>
      <c r="P537" s="34">
        <f>Таблица1[[#This Row],[Блок
 Куб]]*Таблица1[[#This Row],[Цена
 Продажа]]</f>
        <v>0</v>
      </c>
      <c r="Q537" s="34"/>
      <c r="R537" s="34">
        <f>Таблица1[[#This Row],[Сумма 
Продажа]]-Таблица1[[#This Row],[Сумма 
Приход]]-Таблица1[[#This Row],[Авто услу ]]</f>
        <v>0</v>
      </c>
      <c r="S537" s="34"/>
      <c r="T537" s="34">
        <f>Таблица1[[#This Row],[Сумма 
Продажа]]-IF(Таблица1[[#This Row],[Расход 
Авто]]="Клиент",N(Таблица1[[#This Row],[Авто услу ]]),0)</f>
        <v>0</v>
      </c>
      <c r="U5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7" s="265" t="str">
        <f>IFERROR(INDEX(Мижозлар[Агент],MATCH($D537,Мижозлар[Расмий ном],0)),"")</f>
        <v/>
      </c>
    </row>
    <row r="538" spans="1:23" ht="14.25" x14ac:dyDescent="0.2">
      <c r="A538" s="21"/>
      <c r="B538" s="135"/>
      <c r="C538" s="141"/>
      <c r="D538" s="141"/>
      <c r="E538" s="136"/>
      <c r="F538" s="135"/>
      <c r="G538" s="34"/>
      <c r="H538" s="142"/>
      <c r="I538" s="34"/>
      <c r="J538" s="34">
        <f>Таблица1[[#This Row],[Блок
 Куб]]*Таблица1[[#This Row],[Цена 
Приход]]</f>
        <v>0</v>
      </c>
      <c r="K538" s="34"/>
      <c r="L538" s="34"/>
      <c r="M538" s="34">
        <f>Таблица1[[#This Row],[Поддон
Шт]]*Таблица1[[#This Row],[Цена
Поддон]]</f>
        <v>0</v>
      </c>
      <c r="N538" s="34">
        <f>Таблица1[[#This Row],[Сумма 
Приход]]+Таблица1[[#This Row],[Сумма Поддон]]</f>
        <v>0</v>
      </c>
      <c r="O538" s="34"/>
      <c r="P538" s="34">
        <f>Таблица1[[#This Row],[Блок
 Куб]]*Таблица1[[#This Row],[Цена
 Продажа]]</f>
        <v>0</v>
      </c>
      <c r="Q538" s="34"/>
      <c r="R538" s="34">
        <f>Таблица1[[#This Row],[Сумма 
Продажа]]-Таблица1[[#This Row],[Сумма 
Приход]]-Таблица1[[#This Row],[Авто услу ]]</f>
        <v>0</v>
      </c>
      <c r="S538" s="34"/>
      <c r="T538" s="34">
        <f>Таблица1[[#This Row],[Сумма 
Продажа]]-IF(Таблица1[[#This Row],[Расход 
Авто]]="Клиент",N(Таблица1[[#This Row],[Авто услу ]]),0)</f>
        <v>0</v>
      </c>
      <c r="U5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8" s="265" t="str">
        <f>IFERROR(INDEX(Мижозлар[Агент],MATCH($D538,Мижозлар[Расмий ном],0)),"")</f>
        <v/>
      </c>
    </row>
    <row r="539" spans="1:23" ht="14.25" x14ac:dyDescent="0.2">
      <c r="A539" s="21"/>
      <c r="B539" s="135"/>
      <c r="C539" s="141"/>
      <c r="D539" s="141"/>
      <c r="E539" s="136"/>
      <c r="F539" s="135"/>
      <c r="G539" s="34"/>
      <c r="H539" s="142"/>
      <c r="I539" s="34"/>
      <c r="J539" s="34">
        <f>Таблица1[[#This Row],[Блок
 Куб]]*Таблица1[[#This Row],[Цена 
Приход]]</f>
        <v>0</v>
      </c>
      <c r="K539" s="34"/>
      <c r="L539" s="34"/>
      <c r="M539" s="34">
        <f>Таблица1[[#This Row],[Поддон
Шт]]*Таблица1[[#This Row],[Цена
Поддон]]</f>
        <v>0</v>
      </c>
      <c r="N539" s="34">
        <f>Таблица1[[#This Row],[Сумма 
Приход]]+Таблица1[[#This Row],[Сумма Поддон]]</f>
        <v>0</v>
      </c>
      <c r="O539" s="34"/>
      <c r="P539" s="34">
        <f>Таблица1[[#This Row],[Блок
 Куб]]*Таблица1[[#This Row],[Цена
 Продажа]]</f>
        <v>0</v>
      </c>
      <c r="Q539" s="34"/>
      <c r="R539" s="34">
        <f>Таблица1[[#This Row],[Сумма 
Продажа]]-Таблица1[[#This Row],[Сумма 
Приход]]-Таблица1[[#This Row],[Авто услу ]]</f>
        <v>0</v>
      </c>
      <c r="S539" s="34"/>
      <c r="T539" s="34">
        <f>Таблица1[[#This Row],[Сумма 
Продажа]]-IF(Таблица1[[#This Row],[Расход 
Авто]]="Клиент",N(Таблица1[[#This Row],[Авто услу ]]),0)</f>
        <v>0</v>
      </c>
      <c r="U5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39" s="265" t="str">
        <f>IFERROR(INDEX(Мижозлар[Агент],MATCH($D539,Мижозлар[Расмий ном],0)),"")</f>
        <v/>
      </c>
    </row>
    <row r="540" spans="1:23" ht="14.25" x14ac:dyDescent="0.2">
      <c r="A540" s="21"/>
      <c r="B540" s="135"/>
      <c r="C540" s="141"/>
      <c r="D540" s="141"/>
      <c r="E540" s="136"/>
      <c r="F540" s="135"/>
      <c r="G540" s="34"/>
      <c r="H540" s="142"/>
      <c r="I540" s="34"/>
      <c r="J540" s="34">
        <f>Таблица1[[#This Row],[Блок
 Куб]]*Таблица1[[#This Row],[Цена 
Приход]]</f>
        <v>0</v>
      </c>
      <c r="K540" s="34"/>
      <c r="L540" s="34"/>
      <c r="M540" s="34">
        <f>Таблица1[[#This Row],[Поддон
Шт]]*Таблица1[[#This Row],[Цена
Поддон]]</f>
        <v>0</v>
      </c>
      <c r="N540" s="34">
        <f>Таблица1[[#This Row],[Сумма 
Приход]]+Таблица1[[#This Row],[Сумма Поддон]]</f>
        <v>0</v>
      </c>
      <c r="O540" s="34"/>
      <c r="P540" s="34">
        <f>Таблица1[[#This Row],[Блок
 Куб]]*Таблица1[[#This Row],[Цена
 Продажа]]</f>
        <v>0</v>
      </c>
      <c r="Q540" s="34"/>
      <c r="R540" s="34">
        <f>Таблица1[[#This Row],[Сумма 
Продажа]]-Таблица1[[#This Row],[Сумма 
Приход]]-Таблица1[[#This Row],[Авто услу ]]</f>
        <v>0</v>
      </c>
      <c r="S540" s="34"/>
      <c r="T540" s="34">
        <f>Таблица1[[#This Row],[Сумма 
Продажа]]-IF(Таблица1[[#This Row],[Расход 
Авто]]="Клиент",N(Таблица1[[#This Row],[Авто услу ]]),0)</f>
        <v>0</v>
      </c>
      <c r="U5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0" s="265" t="str">
        <f>IFERROR(INDEX(Мижозлар[Агент],MATCH($D540,Мижозлар[Расмий ном],0)),"")</f>
        <v/>
      </c>
    </row>
    <row r="541" spans="1:23" ht="14.25" x14ac:dyDescent="0.2">
      <c r="A541" s="21"/>
      <c r="B541" s="135"/>
      <c r="C541" s="141"/>
      <c r="D541" s="141"/>
      <c r="E541" s="136"/>
      <c r="F541" s="135"/>
      <c r="G541" s="34"/>
      <c r="H541" s="142"/>
      <c r="I541" s="34"/>
      <c r="J541" s="34">
        <f>Таблица1[[#This Row],[Блок
 Куб]]*Таблица1[[#This Row],[Цена 
Приход]]</f>
        <v>0</v>
      </c>
      <c r="K541" s="34"/>
      <c r="L541" s="34"/>
      <c r="M541" s="34">
        <f>Таблица1[[#This Row],[Поддон
Шт]]*Таблица1[[#This Row],[Цена
Поддон]]</f>
        <v>0</v>
      </c>
      <c r="N541" s="34">
        <f>Таблица1[[#This Row],[Сумма 
Приход]]+Таблица1[[#This Row],[Сумма Поддон]]</f>
        <v>0</v>
      </c>
      <c r="O541" s="34"/>
      <c r="P541" s="34">
        <f>Таблица1[[#This Row],[Блок
 Куб]]*Таблица1[[#This Row],[Цена
 Продажа]]</f>
        <v>0</v>
      </c>
      <c r="Q541" s="34"/>
      <c r="R541" s="34">
        <f>Таблица1[[#This Row],[Сумма 
Продажа]]-Таблица1[[#This Row],[Сумма 
Приход]]-Таблица1[[#This Row],[Авто услу ]]</f>
        <v>0</v>
      </c>
      <c r="S541" s="34"/>
      <c r="T541" s="34">
        <f>Таблица1[[#This Row],[Сумма 
Продажа]]-IF(Таблица1[[#This Row],[Расход 
Авто]]="Клиент",N(Таблица1[[#This Row],[Авто услу ]]),0)</f>
        <v>0</v>
      </c>
      <c r="U5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1" s="265" t="str">
        <f>IFERROR(INDEX(Мижозлар[Агент],MATCH($D541,Мижозлар[Расмий ном],0)),"")</f>
        <v/>
      </c>
    </row>
    <row r="542" spans="1:23" ht="14.25" x14ac:dyDescent="0.2">
      <c r="A542" s="21"/>
      <c r="B542" s="135"/>
      <c r="C542" s="141"/>
      <c r="D542" s="141"/>
      <c r="E542" s="136"/>
      <c r="F542" s="135"/>
      <c r="G542" s="34"/>
      <c r="H542" s="142"/>
      <c r="I542" s="34"/>
      <c r="J542" s="34">
        <f>Таблица1[[#This Row],[Блок
 Куб]]*Таблица1[[#This Row],[Цена 
Приход]]</f>
        <v>0</v>
      </c>
      <c r="K542" s="34"/>
      <c r="L542" s="34"/>
      <c r="M542" s="34">
        <f>Таблица1[[#This Row],[Поддон
Шт]]*Таблица1[[#This Row],[Цена
Поддон]]</f>
        <v>0</v>
      </c>
      <c r="N542" s="34">
        <f>Таблица1[[#This Row],[Сумма 
Приход]]+Таблица1[[#This Row],[Сумма Поддон]]</f>
        <v>0</v>
      </c>
      <c r="O542" s="34"/>
      <c r="P542" s="34">
        <f>Таблица1[[#This Row],[Блок
 Куб]]*Таблица1[[#This Row],[Цена
 Продажа]]</f>
        <v>0</v>
      </c>
      <c r="Q542" s="34"/>
      <c r="R542" s="34">
        <f>Таблица1[[#This Row],[Сумма 
Продажа]]-Таблица1[[#This Row],[Сумма 
Приход]]-Таблица1[[#This Row],[Авто услу ]]</f>
        <v>0</v>
      </c>
      <c r="S542" s="34"/>
      <c r="T542" s="34">
        <f>Таблица1[[#This Row],[Сумма 
Продажа]]-IF(Таблица1[[#This Row],[Расход 
Авто]]="Клиент",N(Таблица1[[#This Row],[Авто услу ]]),0)</f>
        <v>0</v>
      </c>
      <c r="U5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2" s="265" t="str">
        <f>IFERROR(INDEX(Мижозлар[Агент],MATCH($D542,Мижозлар[Расмий ном],0)),"")</f>
        <v/>
      </c>
    </row>
    <row r="543" spans="1:23" ht="14.25" x14ac:dyDescent="0.2">
      <c r="A543" s="21"/>
      <c r="B543" s="135"/>
      <c r="C543" s="141"/>
      <c r="D543" s="141"/>
      <c r="E543" s="136"/>
      <c r="F543" s="135"/>
      <c r="G543" s="34"/>
      <c r="H543" s="142"/>
      <c r="I543" s="34"/>
      <c r="J543" s="34">
        <f>Таблица1[[#This Row],[Блок
 Куб]]*Таблица1[[#This Row],[Цена 
Приход]]</f>
        <v>0</v>
      </c>
      <c r="K543" s="34"/>
      <c r="L543" s="34"/>
      <c r="M543" s="34">
        <f>Таблица1[[#This Row],[Поддон
Шт]]*Таблица1[[#This Row],[Цена
Поддон]]</f>
        <v>0</v>
      </c>
      <c r="N543" s="34">
        <f>Таблица1[[#This Row],[Сумма 
Приход]]+Таблица1[[#This Row],[Сумма Поддон]]</f>
        <v>0</v>
      </c>
      <c r="O543" s="34"/>
      <c r="P543" s="34">
        <f>Таблица1[[#This Row],[Блок
 Куб]]*Таблица1[[#This Row],[Цена
 Продажа]]</f>
        <v>0</v>
      </c>
      <c r="Q543" s="34"/>
      <c r="R543" s="34">
        <f>Таблица1[[#This Row],[Сумма 
Продажа]]-Таблица1[[#This Row],[Сумма 
Приход]]-Таблица1[[#This Row],[Авто услу ]]</f>
        <v>0</v>
      </c>
      <c r="S543" s="34"/>
      <c r="T543" s="34">
        <f>Таблица1[[#This Row],[Сумма 
Продажа]]-IF(Таблица1[[#This Row],[Расход 
Авто]]="Клиент",N(Таблица1[[#This Row],[Авто услу ]]),0)</f>
        <v>0</v>
      </c>
      <c r="U5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3" s="265" t="str">
        <f>IFERROR(INDEX(Мижозлар[Агент],MATCH($D543,Мижозлар[Расмий ном],0)),"")</f>
        <v/>
      </c>
    </row>
    <row r="544" spans="1:23" ht="14.25" x14ac:dyDescent="0.2">
      <c r="A544" s="21"/>
      <c r="B544" s="135"/>
      <c r="C544" s="141"/>
      <c r="D544" s="141"/>
      <c r="E544" s="136"/>
      <c r="F544" s="135"/>
      <c r="G544" s="34"/>
      <c r="H544" s="142"/>
      <c r="I544" s="34"/>
      <c r="J544" s="34">
        <f>Таблица1[[#This Row],[Блок
 Куб]]*Таблица1[[#This Row],[Цена 
Приход]]</f>
        <v>0</v>
      </c>
      <c r="K544" s="34"/>
      <c r="L544" s="34"/>
      <c r="M544" s="34">
        <f>Таблица1[[#This Row],[Поддон
Шт]]*Таблица1[[#This Row],[Цена
Поддон]]</f>
        <v>0</v>
      </c>
      <c r="N544" s="34">
        <f>Таблица1[[#This Row],[Сумма 
Приход]]+Таблица1[[#This Row],[Сумма Поддон]]</f>
        <v>0</v>
      </c>
      <c r="O544" s="34"/>
      <c r="P544" s="34">
        <f>Таблица1[[#This Row],[Блок
 Куб]]*Таблица1[[#This Row],[Цена
 Продажа]]</f>
        <v>0</v>
      </c>
      <c r="Q544" s="34"/>
      <c r="R544" s="34">
        <f>Таблица1[[#This Row],[Сумма 
Продажа]]-Таблица1[[#This Row],[Сумма 
Приход]]-Таблица1[[#This Row],[Авто услу ]]</f>
        <v>0</v>
      </c>
      <c r="S544" s="34"/>
      <c r="T544" s="34">
        <f>Таблица1[[#This Row],[Сумма 
Продажа]]-IF(Таблица1[[#This Row],[Расход 
Авто]]="Клиент",N(Таблица1[[#This Row],[Авто услу ]]),0)</f>
        <v>0</v>
      </c>
      <c r="U5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4" s="265" t="str">
        <f>IFERROR(INDEX(Мижозлар[Агент],MATCH($D544,Мижозлар[Расмий ном],0)),"")</f>
        <v/>
      </c>
    </row>
    <row r="545" spans="1:23" ht="14.25" x14ac:dyDescent="0.2">
      <c r="A545" s="21"/>
      <c r="B545" s="135"/>
      <c r="C545" s="141"/>
      <c r="D545" s="141"/>
      <c r="E545" s="136"/>
      <c r="F545" s="135"/>
      <c r="G545" s="34"/>
      <c r="H545" s="142"/>
      <c r="I545" s="34"/>
      <c r="J545" s="34">
        <f>Таблица1[[#This Row],[Блок
 Куб]]*Таблица1[[#This Row],[Цена 
Приход]]</f>
        <v>0</v>
      </c>
      <c r="K545" s="34"/>
      <c r="L545" s="34"/>
      <c r="M545" s="34">
        <f>Таблица1[[#This Row],[Поддон
Шт]]*Таблица1[[#This Row],[Цена
Поддон]]</f>
        <v>0</v>
      </c>
      <c r="N545" s="34">
        <f>Таблица1[[#This Row],[Сумма 
Приход]]+Таблица1[[#This Row],[Сумма Поддон]]</f>
        <v>0</v>
      </c>
      <c r="O545" s="34"/>
      <c r="P545" s="34">
        <f>Таблица1[[#This Row],[Блок
 Куб]]*Таблица1[[#This Row],[Цена
 Продажа]]</f>
        <v>0</v>
      </c>
      <c r="Q545" s="34"/>
      <c r="R545" s="34">
        <f>Таблица1[[#This Row],[Сумма 
Продажа]]-Таблица1[[#This Row],[Сумма 
Приход]]-Таблица1[[#This Row],[Авто услу ]]</f>
        <v>0</v>
      </c>
      <c r="S545" s="34"/>
      <c r="T545" s="34">
        <f>Таблица1[[#This Row],[Сумма 
Продажа]]-IF(Таблица1[[#This Row],[Расход 
Авто]]="Клиент",N(Таблица1[[#This Row],[Авто услу ]]),0)</f>
        <v>0</v>
      </c>
      <c r="U5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5" s="265" t="str">
        <f>IFERROR(INDEX(Мижозлар[Агент],MATCH($D545,Мижозлар[Расмий ном],0)),"")</f>
        <v/>
      </c>
    </row>
    <row r="546" spans="1:23" ht="14.25" x14ac:dyDescent="0.2">
      <c r="A546" s="21"/>
      <c r="B546" s="135"/>
      <c r="C546" s="141"/>
      <c r="D546" s="141"/>
      <c r="E546" s="136"/>
      <c r="F546" s="135"/>
      <c r="G546" s="34"/>
      <c r="H546" s="142"/>
      <c r="I546" s="34"/>
      <c r="J546" s="34">
        <f>Таблица1[[#This Row],[Блок
 Куб]]*Таблица1[[#This Row],[Цена 
Приход]]</f>
        <v>0</v>
      </c>
      <c r="K546" s="34"/>
      <c r="L546" s="34"/>
      <c r="M546" s="34">
        <f>Таблица1[[#This Row],[Поддон
Шт]]*Таблица1[[#This Row],[Цена
Поддон]]</f>
        <v>0</v>
      </c>
      <c r="N546" s="34">
        <f>Таблица1[[#This Row],[Сумма 
Приход]]+Таблица1[[#This Row],[Сумма Поддон]]</f>
        <v>0</v>
      </c>
      <c r="O546" s="34"/>
      <c r="P546" s="34">
        <f>Таблица1[[#This Row],[Блок
 Куб]]*Таблица1[[#This Row],[Цена
 Продажа]]</f>
        <v>0</v>
      </c>
      <c r="Q546" s="34"/>
      <c r="R546" s="34">
        <f>Таблица1[[#This Row],[Сумма 
Продажа]]-Таблица1[[#This Row],[Сумма 
Приход]]-Таблица1[[#This Row],[Авто услу ]]</f>
        <v>0</v>
      </c>
      <c r="S546" s="34"/>
      <c r="T546" s="34">
        <f>Таблица1[[#This Row],[Сумма 
Продажа]]-IF(Таблица1[[#This Row],[Расход 
Авто]]="Клиент",N(Таблица1[[#This Row],[Авто услу ]]),0)</f>
        <v>0</v>
      </c>
      <c r="U5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6" s="265" t="str">
        <f>IFERROR(INDEX(Мижозлар[Агент],MATCH($D546,Мижозлар[Расмий ном],0)),"")</f>
        <v/>
      </c>
    </row>
    <row r="547" spans="1:23" ht="14.25" x14ac:dyDescent="0.2">
      <c r="A547" s="21"/>
      <c r="B547" s="135"/>
      <c r="C547" s="141"/>
      <c r="D547" s="141"/>
      <c r="E547" s="136"/>
      <c r="F547" s="135"/>
      <c r="G547" s="34"/>
      <c r="H547" s="142"/>
      <c r="I547" s="34"/>
      <c r="J547" s="34">
        <f>Таблица1[[#This Row],[Блок
 Куб]]*Таблица1[[#This Row],[Цена 
Приход]]</f>
        <v>0</v>
      </c>
      <c r="K547" s="34"/>
      <c r="L547" s="34"/>
      <c r="M547" s="34">
        <f>Таблица1[[#This Row],[Поддон
Шт]]*Таблица1[[#This Row],[Цена
Поддон]]</f>
        <v>0</v>
      </c>
      <c r="N547" s="34">
        <f>Таблица1[[#This Row],[Сумма 
Приход]]+Таблица1[[#This Row],[Сумма Поддон]]</f>
        <v>0</v>
      </c>
      <c r="O547" s="34"/>
      <c r="P547" s="34">
        <f>Таблица1[[#This Row],[Блок
 Куб]]*Таблица1[[#This Row],[Цена
 Продажа]]</f>
        <v>0</v>
      </c>
      <c r="Q547" s="34"/>
      <c r="R547" s="34">
        <f>Таблица1[[#This Row],[Сумма 
Продажа]]-Таблица1[[#This Row],[Сумма 
Приход]]-Таблица1[[#This Row],[Авто услу ]]</f>
        <v>0</v>
      </c>
      <c r="S547" s="34"/>
      <c r="T547" s="34">
        <f>Таблица1[[#This Row],[Сумма 
Продажа]]-IF(Таблица1[[#This Row],[Расход 
Авто]]="Клиент",N(Таблица1[[#This Row],[Авто услу ]]),0)</f>
        <v>0</v>
      </c>
      <c r="U5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7" s="265" t="str">
        <f>IFERROR(INDEX(Мижозлар[Агент],MATCH($D547,Мижозлар[Расмий ном],0)),"")</f>
        <v/>
      </c>
    </row>
    <row r="548" spans="1:23" ht="14.25" x14ac:dyDescent="0.2">
      <c r="A548" s="21"/>
      <c r="B548" s="135"/>
      <c r="C548" s="141"/>
      <c r="D548" s="141"/>
      <c r="E548" s="136"/>
      <c r="F548" s="135"/>
      <c r="G548" s="34"/>
      <c r="H548" s="142"/>
      <c r="I548" s="34"/>
      <c r="J548" s="34">
        <f>Таблица1[[#This Row],[Блок
 Куб]]*Таблица1[[#This Row],[Цена 
Приход]]</f>
        <v>0</v>
      </c>
      <c r="K548" s="34"/>
      <c r="L548" s="34"/>
      <c r="M548" s="34">
        <f>Таблица1[[#This Row],[Поддон
Шт]]*Таблица1[[#This Row],[Цена
Поддон]]</f>
        <v>0</v>
      </c>
      <c r="N548" s="34">
        <f>Таблица1[[#This Row],[Сумма 
Приход]]+Таблица1[[#This Row],[Сумма Поддон]]</f>
        <v>0</v>
      </c>
      <c r="O548" s="34"/>
      <c r="P548" s="34">
        <f>Таблица1[[#This Row],[Блок
 Куб]]*Таблица1[[#This Row],[Цена
 Продажа]]</f>
        <v>0</v>
      </c>
      <c r="Q548" s="34"/>
      <c r="R548" s="34">
        <f>Таблица1[[#This Row],[Сумма 
Продажа]]-Таблица1[[#This Row],[Сумма 
Приход]]-Таблица1[[#This Row],[Авто услу ]]</f>
        <v>0</v>
      </c>
      <c r="S548" s="34"/>
      <c r="T548" s="34">
        <f>Таблица1[[#This Row],[Сумма 
Продажа]]-IF(Таблица1[[#This Row],[Расход 
Авто]]="Клиент",N(Таблица1[[#This Row],[Авто услу ]]),0)</f>
        <v>0</v>
      </c>
      <c r="U5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8" s="265" t="str">
        <f>IFERROR(INDEX(Мижозлар[Агент],MATCH($D548,Мижозлар[Расмий ном],0)),"")</f>
        <v/>
      </c>
    </row>
    <row r="549" spans="1:23" ht="14.25" x14ac:dyDescent="0.2">
      <c r="A549" s="21"/>
      <c r="B549" s="135"/>
      <c r="C549" s="141"/>
      <c r="D549" s="141"/>
      <c r="E549" s="136"/>
      <c r="F549" s="135"/>
      <c r="G549" s="34"/>
      <c r="H549" s="142"/>
      <c r="I549" s="34"/>
      <c r="J549" s="34">
        <f>Таблица1[[#This Row],[Блок
 Куб]]*Таблица1[[#This Row],[Цена 
Приход]]</f>
        <v>0</v>
      </c>
      <c r="K549" s="34"/>
      <c r="L549" s="34"/>
      <c r="M549" s="34">
        <f>Таблица1[[#This Row],[Поддон
Шт]]*Таблица1[[#This Row],[Цена
Поддон]]</f>
        <v>0</v>
      </c>
      <c r="N549" s="34">
        <f>Таблица1[[#This Row],[Сумма 
Приход]]+Таблица1[[#This Row],[Сумма Поддон]]</f>
        <v>0</v>
      </c>
      <c r="O549" s="34"/>
      <c r="P549" s="34">
        <f>Таблица1[[#This Row],[Блок
 Куб]]*Таблица1[[#This Row],[Цена
 Продажа]]</f>
        <v>0</v>
      </c>
      <c r="Q549" s="34"/>
      <c r="R549" s="34">
        <f>Таблица1[[#This Row],[Сумма 
Продажа]]-Таблица1[[#This Row],[Сумма 
Приход]]-Таблица1[[#This Row],[Авто услу ]]</f>
        <v>0</v>
      </c>
      <c r="S549" s="34"/>
      <c r="T549" s="34">
        <f>Таблица1[[#This Row],[Сумма 
Продажа]]-IF(Таблица1[[#This Row],[Расход 
Авто]]="Клиент",N(Таблица1[[#This Row],[Авто услу ]]),0)</f>
        <v>0</v>
      </c>
      <c r="U5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49" s="265" t="str">
        <f>IFERROR(INDEX(Мижозлар[Агент],MATCH($D549,Мижозлар[Расмий ном],0)),"")</f>
        <v/>
      </c>
    </row>
    <row r="550" spans="1:23" ht="14.25" x14ac:dyDescent="0.2">
      <c r="A550" s="21"/>
      <c r="B550" s="135"/>
      <c r="C550" s="141"/>
      <c r="D550" s="141"/>
      <c r="E550" s="136"/>
      <c r="F550" s="135"/>
      <c r="G550" s="34"/>
      <c r="H550" s="142"/>
      <c r="I550" s="34"/>
      <c r="J550" s="34">
        <f>Таблица1[[#This Row],[Блок
 Куб]]*Таблица1[[#This Row],[Цена 
Приход]]</f>
        <v>0</v>
      </c>
      <c r="K550" s="34"/>
      <c r="L550" s="34"/>
      <c r="M550" s="34">
        <f>Таблица1[[#This Row],[Поддон
Шт]]*Таблица1[[#This Row],[Цена
Поддон]]</f>
        <v>0</v>
      </c>
      <c r="N550" s="34">
        <f>Таблица1[[#This Row],[Сумма 
Приход]]+Таблица1[[#This Row],[Сумма Поддон]]</f>
        <v>0</v>
      </c>
      <c r="O550" s="34"/>
      <c r="P550" s="34">
        <f>Таблица1[[#This Row],[Блок
 Куб]]*Таблица1[[#This Row],[Цена
 Продажа]]</f>
        <v>0</v>
      </c>
      <c r="Q550" s="34"/>
      <c r="R550" s="34">
        <f>Таблица1[[#This Row],[Сумма 
Продажа]]-Таблица1[[#This Row],[Сумма 
Приход]]-Таблица1[[#This Row],[Авто услу ]]</f>
        <v>0</v>
      </c>
      <c r="S550" s="34"/>
      <c r="T550" s="34">
        <f>Таблица1[[#This Row],[Сумма 
Продажа]]-IF(Таблица1[[#This Row],[Расход 
Авто]]="Клиент",N(Таблица1[[#This Row],[Авто услу ]]),0)</f>
        <v>0</v>
      </c>
      <c r="U5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0" s="265" t="str">
        <f>IFERROR(INDEX(Мижозлар[Агент],MATCH($D550,Мижозлар[Расмий ном],0)),"")</f>
        <v/>
      </c>
    </row>
    <row r="551" spans="1:23" ht="14.25" x14ac:dyDescent="0.2">
      <c r="A551" s="21"/>
      <c r="B551" s="135"/>
      <c r="C551" s="141"/>
      <c r="D551" s="141"/>
      <c r="E551" s="136"/>
      <c r="F551" s="135"/>
      <c r="G551" s="34"/>
      <c r="H551" s="142"/>
      <c r="I551" s="34"/>
      <c r="J551" s="34">
        <f>Таблица1[[#This Row],[Блок
 Куб]]*Таблица1[[#This Row],[Цена 
Приход]]</f>
        <v>0</v>
      </c>
      <c r="K551" s="34"/>
      <c r="L551" s="34"/>
      <c r="M551" s="34">
        <f>Таблица1[[#This Row],[Поддон
Шт]]*Таблица1[[#This Row],[Цена
Поддон]]</f>
        <v>0</v>
      </c>
      <c r="N551" s="34">
        <f>Таблица1[[#This Row],[Сумма 
Приход]]+Таблица1[[#This Row],[Сумма Поддон]]</f>
        <v>0</v>
      </c>
      <c r="O551" s="34"/>
      <c r="P551" s="34">
        <f>Таблица1[[#This Row],[Блок
 Куб]]*Таблица1[[#This Row],[Цена
 Продажа]]</f>
        <v>0</v>
      </c>
      <c r="Q551" s="34"/>
      <c r="R551" s="34">
        <f>Таблица1[[#This Row],[Сумма 
Продажа]]-Таблица1[[#This Row],[Сумма 
Приход]]-Таблица1[[#This Row],[Авто услу ]]</f>
        <v>0</v>
      </c>
      <c r="S551" s="34"/>
      <c r="T551" s="34">
        <f>Таблица1[[#This Row],[Сумма 
Продажа]]-IF(Таблица1[[#This Row],[Расход 
Авто]]="Клиент",N(Таблица1[[#This Row],[Авто услу ]]),0)</f>
        <v>0</v>
      </c>
      <c r="U5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1" s="265" t="str">
        <f>IFERROR(INDEX(Мижозлар[Агент],MATCH($D551,Мижозлар[Расмий ном],0)),"")</f>
        <v/>
      </c>
    </row>
    <row r="552" spans="1:23" ht="14.25" x14ac:dyDescent="0.2">
      <c r="A552" s="21"/>
      <c r="B552" s="135"/>
      <c r="C552" s="141"/>
      <c r="D552" s="141"/>
      <c r="E552" s="136"/>
      <c r="F552" s="135"/>
      <c r="G552" s="34"/>
      <c r="H552" s="142"/>
      <c r="I552" s="34"/>
      <c r="J552" s="34">
        <f>Таблица1[[#This Row],[Блок
 Куб]]*Таблица1[[#This Row],[Цена 
Приход]]</f>
        <v>0</v>
      </c>
      <c r="K552" s="34"/>
      <c r="L552" s="34"/>
      <c r="M552" s="34">
        <f>Таблица1[[#This Row],[Поддон
Шт]]*Таблица1[[#This Row],[Цена
Поддон]]</f>
        <v>0</v>
      </c>
      <c r="N552" s="34">
        <f>Таблица1[[#This Row],[Сумма 
Приход]]+Таблица1[[#This Row],[Сумма Поддон]]</f>
        <v>0</v>
      </c>
      <c r="O552" s="34"/>
      <c r="P552" s="34">
        <f>Таблица1[[#This Row],[Блок
 Куб]]*Таблица1[[#This Row],[Цена
 Продажа]]</f>
        <v>0</v>
      </c>
      <c r="Q552" s="34"/>
      <c r="R552" s="34">
        <f>Таблица1[[#This Row],[Сумма 
Продажа]]-Таблица1[[#This Row],[Сумма 
Приход]]-Таблица1[[#This Row],[Авто услу ]]</f>
        <v>0</v>
      </c>
      <c r="S552" s="34"/>
      <c r="T552" s="34">
        <f>Таблица1[[#This Row],[Сумма 
Продажа]]-IF(Таблица1[[#This Row],[Расход 
Авто]]="Клиент",N(Таблица1[[#This Row],[Авто услу ]]),0)</f>
        <v>0</v>
      </c>
      <c r="U5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2" s="265" t="str">
        <f>IFERROR(INDEX(Мижозлар[Агент],MATCH($D552,Мижозлар[Расмий ном],0)),"")</f>
        <v/>
      </c>
    </row>
    <row r="553" spans="1:23" ht="14.25" x14ac:dyDescent="0.2">
      <c r="A553" s="21"/>
      <c r="B553" s="135"/>
      <c r="C553" s="141"/>
      <c r="D553" s="141"/>
      <c r="E553" s="136"/>
      <c r="F553" s="135"/>
      <c r="G553" s="34"/>
      <c r="H553" s="142"/>
      <c r="I553" s="34"/>
      <c r="J553" s="34">
        <f>Таблица1[[#This Row],[Блок
 Куб]]*Таблица1[[#This Row],[Цена 
Приход]]</f>
        <v>0</v>
      </c>
      <c r="K553" s="34"/>
      <c r="L553" s="34"/>
      <c r="M553" s="34">
        <f>Таблица1[[#This Row],[Поддон
Шт]]*Таблица1[[#This Row],[Цена
Поддон]]</f>
        <v>0</v>
      </c>
      <c r="N553" s="34">
        <f>Таблица1[[#This Row],[Сумма 
Приход]]+Таблица1[[#This Row],[Сумма Поддон]]</f>
        <v>0</v>
      </c>
      <c r="O553" s="34"/>
      <c r="P553" s="34">
        <f>Таблица1[[#This Row],[Блок
 Куб]]*Таблица1[[#This Row],[Цена
 Продажа]]</f>
        <v>0</v>
      </c>
      <c r="Q553" s="34"/>
      <c r="R553" s="34">
        <f>Таблица1[[#This Row],[Сумма 
Продажа]]-Таблица1[[#This Row],[Сумма 
Приход]]-Таблица1[[#This Row],[Авто услу ]]</f>
        <v>0</v>
      </c>
      <c r="S553" s="34"/>
      <c r="T553" s="34">
        <f>Таблица1[[#This Row],[Сумма 
Продажа]]-IF(Таблица1[[#This Row],[Расход 
Авто]]="Клиент",N(Таблица1[[#This Row],[Авто услу ]]),0)</f>
        <v>0</v>
      </c>
      <c r="U5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3" s="265" t="str">
        <f>IFERROR(INDEX(Мижозлар[Агент],MATCH($D553,Мижозлар[Расмий ном],0)),"")</f>
        <v/>
      </c>
    </row>
    <row r="554" spans="1:23" ht="14.25" x14ac:dyDescent="0.2">
      <c r="A554" s="21"/>
      <c r="B554" s="135"/>
      <c r="C554" s="141"/>
      <c r="D554" s="141"/>
      <c r="E554" s="136"/>
      <c r="F554" s="135"/>
      <c r="G554" s="34"/>
      <c r="H554" s="142"/>
      <c r="I554" s="34"/>
      <c r="J554" s="34">
        <f>Таблица1[[#This Row],[Блок
 Куб]]*Таблица1[[#This Row],[Цена 
Приход]]</f>
        <v>0</v>
      </c>
      <c r="K554" s="34"/>
      <c r="L554" s="34"/>
      <c r="M554" s="34">
        <f>Таблица1[[#This Row],[Поддон
Шт]]*Таблица1[[#This Row],[Цена
Поддон]]</f>
        <v>0</v>
      </c>
      <c r="N554" s="34">
        <f>Таблица1[[#This Row],[Сумма 
Приход]]+Таблица1[[#This Row],[Сумма Поддон]]</f>
        <v>0</v>
      </c>
      <c r="O554" s="34"/>
      <c r="P554" s="34">
        <f>Таблица1[[#This Row],[Блок
 Куб]]*Таблица1[[#This Row],[Цена
 Продажа]]</f>
        <v>0</v>
      </c>
      <c r="Q554" s="34"/>
      <c r="R554" s="34">
        <f>Таблица1[[#This Row],[Сумма 
Продажа]]-Таблица1[[#This Row],[Сумма 
Приход]]-Таблица1[[#This Row],[Авто услу ]]</f>
        <v>0</v>
      </c>
      <c r="S554" s="34"/>
      <c r="T554" s="34">
        <f>Таблица1[[#This Row],[Сумма 
Продажа]]-IF(Таблица1[[#This Row],[Расход 
Авто]]="Клиент",N(Таблица1[[#This Row],[Авто услу ]]),0)</f>
        <v>0</v>
      </c>
      <c r="U5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4" s="265" t="str">
        <f>IFERROR(INDEX(Мижозлар[Агент],MATCH($D554,Мижозлар[Расмий ном],0)),"")</f>
        <v/>
      </c>
    </row>
    <row r="555" spans="1:23" ht="14.25" x14ac:dyDescent="0.2">
      <c r="A555" s="21"/>
      <c r="B555" s="135"/>
      <c r="C555" s="141"/>
      <c r="D555" s="141"/>
      <c r="E555" s="136"/>
      <c r="F555" s="135"/>
      <c r="G555" s="34"/>
      <c r="H555" s="142"/>
      <c r="I555" s="34"/>
      <c r="J555" s="34">
        <f>Таблица1[[#This Row],[Блок
 Куб]]*Таблица1[[#This Row],[Цена 
Приход]]</f>
        <v>0</v>
      </c>
      <c r="K555" s="34"/>
      <c r="L555" s="34"/>
      <c r="M555" s="34">
        <f>Таблица1[[#This Row],[Поддон
Шт]]*Таблица1[[#This Row],[Цена
Поддон]]</f>
        <v>0</v>
      </c>
      <c r="N555" s="34">
        <f>Таблица1[[#This Row],[Сумма 
Приход]]+Таблица1[[#This Row],[Сумма Поддон]]</f>
        <v>0</v>
      </c>
      <c r="O555" s="34"/>
      <c r="P555" s="34">
        <f>Таблица1[[#This Row],[Блок
 Куб]]*Таблица1[[#This Row],[Цена
 Продажа]]</f>
        <v>0</v>
      </c>
      <c r="Q555" s="34"/>
      <c r="R555" s="34">
        <f>Таблица1[[#This Row],[Сумма 
Продажа]]-Таблица1[[#This Row],[Сумма 
Приход]]-Таблица1[[#This Row],[Авто услу ]]</f>
        <v>0</v>
      </c>
      <c r="S555" s="34"/>
      <c r="T555" s="34">
        <f>Таблица1[[#This Row],[Сумма 
Продажа]]-IF(Таблица1[[#This Row],[Расход 
Авто]]="Клиент",N(Таблица1[[#This Row],[Авто услу ]]),0)</f>
        <v>0</v>
      </c>
      <c r="U5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5" s="265" t="str">
        <f>IFERROR(INDEX(Мижозлар[Агент],MATCH($D555,Мижозлар[Расмий ном],0)),"")</f>
        <v/>
      </c>
    </row>
    <row r="556" spans="1:23" ht="14.25" x14ac:dyDescent="0.2">
      <c r="A556" s="21"/>
      <c r="B556" s="135"/>
      <c r="C556" s="141"/>
      <c r="D556" s="141"/>
      <c r="E556" s="136"/>
      <c r="F556" s="135"/>
      <c r="G556" s="34"/>
      <c r="H556" s="142"/>
      <c r="I556" s="34"/>
      <c r="J556" s="34">
        <f>Таблица1[[#This Row],[Блок
 Куб]]*Таблица1[[#This Row],[Цена 
Приход]]</f>
        <v>0</v>
      </c>
      <c r="K556" s="34"/>
      <c r="L556" s="34"/>
      <c r="M556" s="34">
        <f>Таблица1[[#This Row],[Поддон
Шт]]*Таблица1[[#This Row],[Цена
Поддон]]</f>
        <v>0</v>
      </c>
      <c r="N556" s="34">
        <f>Таблица1[[#This Row],[Сумма 
Приход]]+Таблица1[[#This Row],[Сумма Поддон]]</f>
        <v>0</v>
      </c>
      <c r="O556" s="34"/>
      <c r="P556" s="34">
        <f>Таблица1[[#This Row],[Блок
 Куб]]*Таблица1[[#This Row],[Цена
 Продажа]]</f>
        <v>0</v>
      </c>
      <c r="Q556" s="34"/>
      <c r="R556" s="34">
        <f>Таблица1[[#This Row],[Сумма 
Продажа]]-Таблица1[[#This Row],[Сумма 
Приход]]-Таблица1[[#This Row],[Авто услу ]]</f>
        <v>0</v>
      </c>
      <c r="S556" s="34"/>
      <c r="T556" s="34">
        <f>Таблица1[[#This Row],[Сумма 
Продажа]]-IF(Таблица1[[#This Row],[Расход 
Авто]]="Клиент",N(Таблица1[[#This Row],[Авто услу ]]),0)</f>
        <v>0</v>
      </c>
      <c r="U5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6" s="265" t="str">
        <f>IFERROR(INDEX(Мижозлар[Агент],MATCH($D556,Мижозлар[Расмий ном],0)),"")</f>
        <v/>
      </c>
    </row>
    <row r="557" spans="1:23" ht="14.25" x14ac:dyDescent="0.2">
      <c r="A557" s="21"/>
      <c r="B557" s="135"/>
      <c r="C557" s="141"/>
      <c r="D557" s="141"/>
      <c r="E557" s="136"/>
      <c r="F557" s="135"/>
      <c r="G557" s="34"/>
      <c r="H557" s="142"/>
      <c r="I557" s="34"/>
      <c r="J557" s="34">
        <f>Таблица1[[#This Row],[Блок
 Куб]]*Таблица1[[#This Row],[Цена 
Приход]]</f>
        <v>0</v>
      </c>
      <c r="K557" s="34"/>
      <c r="L557" s="34"/>
      <c r="M557" s="34">
        <f>Таблица1[[#This Row],[Поддон
Шт]]*Таблица1[[#This Row],[Цена
Поддон]]</f>
        <v>0</v>
      </c>
      <c r="N557" s="34">
        <f>Таблица1[[#This Row],[Сумма 
Приход]]+Таблица1[[#This Row],[Сумма Поддон]]</f>
        <v>0</v>
      </c>
      <c r="O557" s="34"/>
      <c r="P557" s="34">
        <f>Таблица1[[#This Row],[Блок
 Куб]]*Таблица1[[#This Row],[Цена
 Продажа]]</f>
        <v>0</v>
      </c>
      <c r="Q557" s="34"/>
      <c r="R557" s="34">
        <f>Таблица1[[#This Row],[Сумма 
Продажа]]-Таблица1[[#This Row],[Сумма 
Приход]]-Таблица1[[#This Row],[Авто услу ]]</f>
        <v>0</v>
      </c>
      <c r="S557" s="34"/>
      <c r="T557" s="34">
        <f>Таблица1[[#This Row],[Сумма 
Продажа]]-IF(Таблица1[[#This Row],[Расход 
Авто]]="Клиент",N(Таблица1[[#This Row],[Авто услу ]]),0)</f>
        <v>0</v>
      </c>
      <c r="U5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7" s="265" t="str">
        <f>IFERROR(INDEX(Мижозлар[Агент],MATCH($D557,Мижозлар[Расмий ном],0)),"")</f>
        <v/>
      </c>
    </row>
    <row r="558" spans="1:23" ht="14.25" x14ac:dyDescent="0.2">
      <c r="A558" s="21"/>
      <c r="B558" s="135"/>
      <c r="C558" s="141"/>
      <c r="D558" s="141"/>
      <c r="E558" s="136"/>
      <c r="F558" s="135"/>
      <c r="G558" s="34"/>
      <c r="H558" s="142"/>
      <c r="I558" s="34"/>
      <c r="J558" s="34">
        <f>Таблица1[[#This Row],[Блок
 Куб]]*Таблица1[[#This Row],[Цена 
Приход]]</f>
        <v>0</v>
      </c>
      <c r="K558" s="34"/>
      <c r="L558" s="34"/>
      <c r="M558" s="34">
        <f>Таблица1[[#This Row],[Поддон
Шт]]*Таблица1[[#This Row],[Цена
Поддон]]</f>
        <v>0</v>
      </c>
      <c r="N558" s="34">
        <f>Таблица1[[#This Row],[Сумма 
Приход]]+Таблица1[[#This Row],[Сумма Поддон]]</f>
        <v>0</v>
      </c>
      <c r="O558" s="34"/>
      <c r="P558" s="34">
        <f>Таблица1[[#This Row],[Блок
 Куб]]*Таблица1[[#This Row],[Цена
 Продажа]]</f>
        <v>0</v>
      </c>
      <c r="Q558" s="34"/>
      <c r="R558" s="34">
        <f>Таблица1[[#This Row],[Сумма 
Продажа]]-Таблица1[[#This Row],[Сумма 
Приход]]-Таблица1[[#This Row],[Авто услу ]]</f>
        <v>0</v>
      </c>
      <c r="S558" s="34"/>
      <c r="T558" s="34">
        <f>Таблица1[[#This Row],[Сумма 
Продажа]]-IF(Таблица1[[#This Row],[Расход 
Авто]]="Клиент",N(Таблица1[[#This Row],[Авто услу ]]),0)</f>
        <v>0</v>
      </c>
      <c r="U5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8" s="265" t="str">
        <f>IFERROR(INDEX(Мижозлар[Агент],MATCH($D558,Мижозлар[Расмий ном],0)),"")</f>
        <v/>
      </c>
    </row>
    <row r="559" spans="1:23" ht="14.25" x14ac:dyDescent="0.2">
      <c r="A559" s="21"/>
      <c r="B559" s="135"/>
      <c r="C559" s="141"/>
      <c r="D559" s="141"/>
      <c r="E559" s="136"/>
      <c r="F559" s="135"/>
      <c r="G559" s="34"/>
      <c r="H559" s="142"/>
      <c r="I559" s="34"/>
      <c r="J559" s="34">
        <f>Таблица1[[#This Row],[Блок
 Куб]]*Таблица1[[#This Row],[Цена 
Приход]]</f>
        <v>0</v>
      </c>
      <c r="K559" s="34"/>
      <c r="L559" s="34"/>
      <c r="M559" s="34">
        <f>Таблица1[[#This Row],[Поддон
Шт]]*Таблица1[[#This Row],[Цена
Поддон]]</f>
        <v>0</v>
      </c>
      <c r="N559" s="34">
        <f>Таблица1[[#This Row],[Сумма 
Приход]]+Таблица1[[#This Row],[Сумма Поддон]]</f>
        <v>0</v>
      </c>
      <c r="O559" s="34"/>
      <c r="P559" s="34">
        <f>Таблица1[[#This Row],[Блок
 Куб]]*Таблица1[[#This Row],[Цена
 Продажа]]</f>
        <v>0</v>
      </c>
      <c r="Q559" s="34"/>
      <c r="R559" s="34">
        <f>Таблица1[[#This Row],[Сумма 
Продажа]]-Таблица1[[#This Row],[Сумма 
Приход]]-Таблица1[[#This Row],[Авто услу ]]</f>
        <v>0</v>
      </c>
      <c r="S559" s="34"/>
      <c r="T559" s="34">
        <f>Таблица1[[#This Row],[Сумма 
Продажа]]-IF(Таблица1[[#This Row],[Расход 
Авто]]="Клиент",N(Таблица1[[#This Row],[Авто услу ]]),0)</f>
        <v>0</v>
      </c>
      <c r="U5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59" s="265" t="str">
        <f>IFERROR(INDEX(Мижозлар[Агент],MATCH($D559,Мижозлар[Расмий ном],0)),"")</f>
        <v/>
      </c>
    </row>
    <row r="560" spans="1:23" ht="14.25" x14ac:dyDescent="0.2">
      <c r="A560" s="21"/>
      <c r="B560" s="135"/>
      <c r="C560" s="141"/>
      <c r="D560" s="141"/>
      <c r="E560" s="136"/>
      <c r="F560" s="135"/>
      <c r="G560" s="34"/>
      <c r="H560" s="142"/>
      <c r="I560" s="34"/>
      <c r="J560" s="34">
        <f>Таблица1[[#This Row],[Блок
 Куб]]*Таблица1[[#This Row],[Цена 
Приход]]</f>
        <v>0</v>
      </c>
      <c r="K560" s="34"/>
      <c r="L560" s="34"/>
      <c r="M560" s="34">
        <f>Таблица1[[#This Row],[Поддон
Шт]]*Таблица1[[#This Row],[Цена
Поддон]]</f>
        <v>0</v>
      </c>
      <c r="N560" s="34">
        <f>Таблица1[[#This Row],[Сумма 
Приход]]+Таблица1[[#This Row],[Сумма Поддон]]</f>
        <v>0</v>
      </c>
      <c r="O560" s="34"/>
      <c r="P560" s="34">
        <f>Таблица1[[#This Row],[Блок
 Куб]]*Таблица1[[#This Row],[Цена
 Продажа]]</f>
        <v>0</v>
      </c>
      <c r="Q560" s="34"/>
      <c r="R560" s="34">
        <f>Таблица1[[#This Row],[Сумма 
Продажа]]-Таблица1[[#This Row],[Сумма 
Приход]]-Таблица1[[#This Row],[Авто услу ]]</f>
        <v>0</v>
      </c>
      <c r="S560" s="34"/>
      <c r="T560" s="34">
        <f>Таблица1[[#This Row],[Сумма 
Продажа]]-IF(Таблица1[[#This Row],[Расход 
Авто]]="Клиент",N(Таблица1[[#This Row],[Авто услу ]]),0)</f>
        <v>0</v>
      </c>
      <c r="U5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0" s="265" t="str">
        <f>IFERROR(INDEX(Мижозлар[Агент],MATCH($D560,Мижозлар[Расмий ном],0)),"")</f>
        <v/>
      </c>
    </row>
    <row r="561" spans="1:23" ht="14.25" x14ac:dyDescent="0.2">
      <c r="A561" s="21"/>
      <c r="B561" s="135"/>
      <c r="C561" s="141"/>
      <c r="D561" s="141"/>
      <c r="E561" s="136"/>
      <c r="F561" s="135"/>
      <c r="G561" s="34"/>
      <c r="H561" s="142"/>
      <c r="I561" s="34"/>
      <c r="J561" s="34">
        <f>Таблица1[[#This Row],[Блок
 Куб]]*Таблица1[[#This Row],[Цена 
Приход]]</f>
        <v>0</v>
      </c>
      <c r="K561" s="34"/>
      <c r="L561" s="34"/>
      <c r="M561" s="34">
        <f>Таблица1[[#This Row],[Поддон
Шт]]*Таблица1[[#This Row],[Цена
Поддон]]</f>
        <v>0</v>
      </c>
      <c r="N561" s="34">
        <f>Таблица1[[#This Row],[Сумма 
Приход]]+Таблица1[[#This Row],[Сумма Поддон]]</f>
        <v>0</v>
      </c>
      <c r="O561" s="34"/>
      <c r="P561" s="34">
        <f>Таблица1[[#This Row],[Блок
 Куб]]*Таблица1[[#This Row],[Цена
 Продажа]]</f>
        <v>0</v>
      </c>
      <c r="Q561" s="34"/>
      <c r="R561" s="34">
        <f>Таблица1[[#This Row],[Сумма 
Продажа]]-Таблица1[[#This Row],[Сумма 
Приход]]-Таблица1[[#This Row],[Авто услу ]]</f>
        <v>0</v>
      </c>
      <c r="S561" s="34"/>
      <c r="T561" s="34">
        <f>Таблица1[[#This Row],[Сумма 
Продажа]]-IF(Таблица1[[#This Row],[Расход 
Авто]]="Клиент",N(Таблица1[[#This Row],[Авто услу ]]),0)</f>
        <v>0</v>
      </c>
      <c r="U5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1" s="265" t="str">
        <f>IFERROR(INDEX(Мижозлар[Агент],MATCH($D561,Мижозлар[Расмий ном],0)),"")</f>
        <v/>
      </c>
    </row>
    <row r="562" spans="1:23" ht="14.25" x14ac:dyDescent="0.2">
      <c r="A562" s="21"/>
      <c r="B562" s="135"/>
      <c r="C562" s="141"/>
      <c r="D562" s="141"/>
      <c r="E562" s="136"/>
      <c r="F562" s="135"/>
      <c r="G562" s="34"/>
      <c r="H562" s="142"/>
      <c r="I562" s="34"/>
      <c r="J562" s="34">
        <f>Таблица1[[#This Row],[Блок
 Куб]]*Таблица1[[#This Row],[Цена 
Приход]]</f>
        <v>0</v>
      </c>
      <c r="K562" s="34"/>
      <c r="L562" s="34"/>
      <c r="M562" s="34">
        <f>Таблица1[[#This Row],[Поддон
Шт]]*Таблица1[[#This Row],[Цена
Поддон]]</f>
        <v>0</v>
      </c>
      <c r="N562" s="34">
        <f>Таблица1[[#This Row],[Сумма 
Приход]]+Таблица1[[#This Row],[Сумма Поддон]]</f>
        <v>0</v>
      </c>
      <c r="O562" s="34"/>
      <c r="P562" s="34">
        <f>Таблица1[[#This Row],[Блок
 Куб]]*Таблица1[[#This Row],[Цена
 Продажа]]</f>
        <v>0</v>
      </c>
      <c r="Q562" s="34"/>
      <c r="R562" s="34">
        <f>Таблица1[[#This Row],[Сумма 
Продажа]]-Таблица1[[#This Row],[Сумма 
Приход]]-Таблица1[[#This Row],[Авто услу ]]</f>
        <v>0</v>
      </c>
      <c r="S562" s="34"/>
      <c r="T562" s="34">
        <f>Таблица1[[#This Row],[Сумма 
Продажа]]-IF(Таблица1[[#This Row],[Расход 
Авто]]="Клиент",N(Таблица1[[#This Row],[Авто услу ]]),0)</f>
        <v>0</v>
      </c>
      <c r="U5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2" s="265" t="str">
        <f>IFERROR(INDEX(Мижозлар[Агент],MATCH($D562,Мижозлар[Расмий ном],0)),"")</f>
        <v/>
      </c>
    </row>
    <row r="563" spans="1:23" ht="14.25" x14ac:dyDescent="0.2">
      <c r="A563" s="21"/>
      <c r="B563" s="135"/>
      <c r="C563" s="141"/>
      <c r="D563" s="141"/>
      <c r="E563" s="136"/>
      <c r="F563" s="135"/>
      <c r="G563" s="34"/>
      <c r="H563" s="142"/>
      <c r="I563" s="34"/>
      <c r="J563" s="34">
        <f>Таблица1[[#This Row],[Блок
 Куб]]*Таблица1[[#This Row],[Цена 
Приход]]</f>
        <v>0</v>
      </c>
      <c r="K563" s="34"/>
      <c r="L563" s="34"/>
      <c r="M563" s="34">
        <f>Таблица1[[#This Row],[Поддон
Шт]]*Таблица1[[#This Row],[Цена
Поддон]]</f>
        <v>0</v>
      </c>
      <c r="N563" s="34">
        <f>Таблица1[[#This Row],[Сумма 
Приход]]+Таблица1[[#This Row],[Сумма Поддон]]</f>
        <v>0</v>
      </c>
      <c r="O563" s="34"/>
      <c r="P563" s="34">
        <f>Таблица1[[#This Row],[Блок
 Куб]]*Таблица1[[#This Row],[Цена
 Продажа]]</f>
        <v>0</v>
      </c>
      <c r="Q563" s="34"/>
      <c r="R563" s="34">
        <f>Таблица1[[#This Row],[Сумма 
Продажа]]-Таблица1[[#This Row],[Сумма 
Приход]]-Таблица1[[#This Row],[Авто услу ]]</f>
        <v>0</v>
      </c>
      <c r="S563" s="34"/>
      <c r="T563" s="34">
        <f>Таблица1[[#This Row],[Сумма 
Продажа]]-IF(Таблица1[[#This Row],[Расход 
Авто]]="Клиент",N(Таблица1[[#This Row],[Авто услу ]]),0)</f>
        <v>0</v>
      </c>
      <c r="U5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3" s="265" t="str">
        <f>IFERROR(INDEX(Мижозлар[Агент],MATCH($D563,Мижозлар[Расмий ном],0)),"")</f>
        <v/>
      </c>
    </row>
    <row r="564" spans="1:23" ht="14.25" x14ac:dyDescent="0.2">
      <c r="A564" s="21"/>
      <c r="B564" s="135"/>
      <c r="C564" s="141"/>
      <c r="D564" s="141"/>
      <c r="E564" s="136"/>
      <c r="F564" s="135"/>
      <c r="G564" s="34"/>
      <c r="H564" s="142"/>
      <c r="I564" s="34"/>
      <c r="J564" s="34">
        <f>Таблица1[[#This Row],[Блок
 Куб]]*Таблица1[[#This Row],[Цена 
Приход]]</f>
        <v>0</v>
      </c>
      <c r="K564" s="34"/>
      <c r="L564" s="34"/>
      <c r="M564" s="34">
        <f>Таблица1[[#This Row],[Поддон
Шт]]*Таблица1[[#This Row],[Цена
Поддон]]</f>
        <v>0</v>
      </c>
      <c r="N564" s="34">
        <f>Таблица1[[#This Row],[Сумма 
Приход]]+Таблица1[[#This Row],[Сумма Поддон]]</f>
        <v>0</v>
      </c>
      <c r="O564" s="34"/>
      <c r="P564" s="34">
        <f>Таблица1[[#This Row],[Блок
 Куб]]*Таблица1[[#This Row],[Цена
 Продажа]]</f>
        <v>0</v>
      </c>
      <c r="Q564" s="34"/>
      <c r="R564" s="34">
        <f>Таблица1[[#This Row],[Сумма 
Продажа]]-Таблица1[[#This Row],[Сумма 
Приход]]-Таблица1[[#This Row],[Авто услу ]]</f>
        <v>0</v>
      </c>
      <c r="S564" s="34"/>
      <c r="T564" s="34">
        <f>Таблица1[[#This Row],[Сумма 
Продажа]]-IF(Таблица1[[#This Row],[Расход 
Авто]]="Клиент",N(Таблица1[[#This Row],[Авто услу ]]),0)</f>
        <v>0</v>
      </c>
      <c r="U5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4" s="265" t="str">
        <f>IFERROR(INDEX(Мижозлар[Агент],MATCH($D564,Мижозлар[Расмий ном],0)),"")</f>
        <v/>
      </c>
    </row>
    <row r="565" spans="1:23" ht="14.25" x14ac:dyDescent="0.2">
      <c r="A565" s="21"/>
      <c r="B565" s="135"/>
      <c r="C565" s="141"/>
      <c r="D565" s="141"/>
      <c r="E565" s="136"/>
      <c r="F565" s="135"/>
      <c r="G565" s="34"/>
      <c r="H565" s="142"/>
      <c r="I565" s="34"/>
      <c r="J565" s="34">
        <f>Таблица1[[#This Row],[Блок
 Куб]]*Таблица1[[#This Row],[Цена 
Приход]]</f>
        <v>0</v>
      </c>
      <c r="K565" s="34"/>
      <c r="L565" s="34"/>
      <c r="M565" s="34">
        <f>Таблица1[[#This Row],[Поддон
Шт]]*Таблица1[[#This Row],[Цена
Поддон]]</f>
        <v>0</v>
      </c>
      <c r="N565" s="34">
        <f>Таблица1[[#This Row],[Сумма 
Приход]]+Таблица1[[#This Row],[Сумма Поддон]]</f>
        <v>0</v>
      </c>
      <c r="O565" s="34"/>
      <c r="P565" s="34">
        <f>Таблица1[[#This Row],[Блок
 Куб]]*Таблица1[[#This Row],[Цена
 Продажа]]</f>
        <v>0</v>
      </c>
      <c r="Q565" s="34"/>
      <c r="R565" s="34">
        <f>Таблица1[[#This Row],[Сумма 
Продажа]]-Таблица1[[#This Row],[Сумма 
Приход]]-Таблица1[[#This Row],[Авто услу ]]</f>
        <v>0</v>
      </c>
      <c r="S565" s="34"/>
      <c r="T565" s="34">
        <f>Таблица1[[#This Row],[Сумма 
Продажа]]-IF(Таблица1[[#This Row],[Расход 
Авто]]="Клиент",N(Таблица1[[#This Row],[Авто услу ]]),0)</f>
        <v>0</v>
      </c>
      <c r="U5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5" s="265" t="str">
        <f>IFERROR(INDEX(Мижозлар[Агент],MATCH($D565,Мижозлар[Расмий ном],0)),"")</f>
        <v/>
      </c>
    </row>
    <row r="566" spans="1:23" ht="14.25" x14ac:dyDescent="0.2">
      <c r="A566" s="21"/>
      <c r="B566" s="135"/>
      <c r="C566" s="141"/>
      <c r="D566" s="141"/>
      <c r="E566" s="136"/>
      <c r="F566" s="135"/>
      <c r="G566" s="34"/>
      <c r="H566" s="142"/>
      <c r="I566" s="34"/>
      <c r="J566" s="34">
        <f>Таблица1[[#This Row],[Блок
 Куб]]*Таблица1[[#This Row],[Цена 
Приход]]</f>
        <v>0</v>
      </c>
      <c r="K566" s="34"/>
      <c r="L566" s="34"/>
      <c r="M566" s="34">
        <f>Таблица1[[#This Row],[Поддон
Шт]]*Таблица1[[#This Row],[Цена
Поддон]]</f>
        <v>0</v>
      </c>
      <c r="N566" s="34">
        <f>Таблица1[[#This Row],[Сумма 
Приход]]+Таблица1[[#This Row],[Сумма Поддон]]</f>
        <v>0</v>
      </c>
      <c r="O566" s="34"/>
      <c r="P566" s="34">
        <f>Таблица1[[#This Row],[Блок
 Куб]]*Таблица1[[#This Row],[Цена
 Продажа]]</f>
        <v>0</v>
      </c>
      <c r="Q566" s="34"/>
      <c r="R566" s="34">
        <f>Таблица1[[#This Row],[Сумма 
Продажа]]-Таблица1[[#This Row],[Сумма 
Приход]]-Таблица1[[#This Row],[Авто услу ]]</f>
        <v>0</v>
      </c>
      <c r="S566" s="34"/>
      <c r="T566" s="34">
        <f>Таблица1[[#This Row],[Сумма 
Продажа]]-IF(Таблица1[[#This Row],[Расход 
Авто]]="Клиент",N(Таблица1[[#This Row],[Авто услу ]]),0)</f>
        <v>0</v>
      </c>
      <c r="U5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6" s="265" t="str">
        <f>IFERROR(INDEX(Мижозлар[Агент],MATCH($D566,Мижозлар[Расмий ном],0)),"")</f>
        <v/>
      </c>
    </row>
    <row r="567" spans="1:23" ht="14.25" x14ac:dyDescent="0.2">
      <c r="A567" s="21"/>
      <c r="B567" s="135"/>
      <c r="C567" s="141"/>
      <c r="D567" s="141"/>
      <c r="E567" s="136"/>
      <c r="F567" s="135"/>
      <c r="G567" s="34"/>
      <c r="H567" s="142"/>
      <c r="I567" s="34"/>
      <c r="J567" s="34">
        <f>Таблица1[[#This Row],[Блок
 Куб]]*Таблица1[[#This Row],[Цена 
Приход]]</f>
        <v>0</v>
      </c>
      <c r="K567" s="34"/>
      <c r="L567" s="34"/>
      <c r="M567" s="34">
        <f>Таблица1[[#This Row],[Поддон
Шт]]*Таблица1[[#This Row],[Цена
Поддон]]</f>
        <v>0</v>
      </c>
      <c r="N567" s="34">
        <f>Таблица1[[#This Row],[Сумма 
Приход]]+Таблица1[[#This Row],[Сумма Поддон]]</f>
        <v>0</v>
      </c>
      <c r="O567" s="34"/>
      <c r="P567" s="34">
        <f>Таблица1[[#This Row],[Блок
 Куб]]*Таблица1[[#This Row],[Цена
 Продажа]]</f>
        <v>0</v>
      </c>
      <c r="Q567" s="34"/>
      <c r="R567" s="34">
        <f>Таблица1[[#This Row],[Сумма 
Продажа]]-Таблица1[[#This Row],[Сумма 
Приход]]-Таблица1[[#This Row],[Авто услу ]]</f>
        <v>0</v>
      </c>
      <c r="S567" s="34"/>
      <c r="T567" s="34">
        <f>Таблица1[[#This Row],[Сумма 
Продажа]]-IF(Таблица1[[#This Row],[Расход 
Авто]]="Клиент",N(Таблица1[[#This Row],[Авто услу ]]),0)</f>
        <v>0</v>
      </c>
      <c r="U5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7" s="265" t="str">
        <f>IFERROR(INDEX(Мижозлар[Агент],MATCH($D567,Мижозлар[Расмий ном],0)),"")</f>
        <v/>
      </c>
    </row>
    <row r="568" spans="1:23" ht="14.25" x14ac:dyDescent="0.2">
      <c r="A568" s="21"/>
      <c r="B568" s="135"/>
      <c r="C568" s="141"/>
      <c r="D568" s="141"/>
      <c r="E568" s="136"/>
      <c r="F568" s="135"/>
      <c r="G568" s="34"/>
      <c r="H568" s="142"/>
      <c r="I568" s="34"/>
      <c r="J568" s="34">
        <f>Таблица1[[#This Row],[Блок
 Куб]]*Таблица1[[#This Row],[Цена 
Приход]]</f>
        <v>0</v>
      </c>
      <c r="K568" s="34"/>
      <c r="L568" s="34"/>
      <c r="M568" s="34">
        <f>Таблица1[[#This Row],[Поддон
Шт]]*Таблица1[[#This Row],[Цена
Поддон]]</f>
        <v>0</v>
      </c>
      <c r="N568" s="34">
        <f>Таблица1[[#This Row],[Сумма 
Приход]]+Таблица1[[#This Row],[Сумма Поддон]]</f>
        <v>0</v>
      </c>
      <c r="O568" s="34"/>
      <c r="P568" s="34">
        <f>Таблица1[[#This Row],[Блок
 Куб]]*Таблица1[[#This Row],[Цена
 Продажа]]</f>
        <v>0</v>
      </c>
      <c r="Q568" s="34"/>
      <c r="R568" s="34">
        <f>Таблица1[[#This Row],[Сумма 
Продажа]]-Таблица1[[#This Row],[Сумма 
Приход]]-Таблица1[[#This Row],[Авто услу ]]</f>
        <v>0</v>
      </c>
      <c r="S568" s="34"/>
      <c r="T568" s="34">
        <f>Таблица1[[#This Row],[Сумма 
Продажа]]-IF(Таблица1[[#This Row],[Расход 
Авто]]="Клиент",N(Таблица1[[#This Row],[Авто услу ]]),0)</f>
        <v>0</v>
      </c>
      <c r="U5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8" s="265" t="str">
        <f>IFERROR(INDEX(Мижозлар[Агент],MATCH($D568,Мижозлар[Расмий ном],0)),"")</f>
        <v/>
      </c>
    </row>
    <row r="569" spans="1:23" ht="14.25" x14ac:dyDescent="0.2">
      <c r="A569" s="21"/>
      <c r="B569" s="135"/>
      <c r="C569" s="141"/>
      <c r="D569" s="141"/>
      <c r="E569" s="136"/>
      <c r="F569" s="135"/>
      <c r="G569" s="34"/>
      <c r="H569" s="142"/>
      <c r="I569" s="34"/>
      <c r="J569" s="34">
        <f>Таблица1[[#This Row],[Блок
 Куб]]*Таблица1[[#This Row],[Цена 
Приход]]</f>
        <v>0</v>
      </c>
      <c r="K569" s="34"/>
      <c r="L569" s="34"/>
      <c r="M569" s="34">
        <f>Таблица1[[#This Row],[Поддон
Шт]]*Таблица1[[#This Row],[Цена
Поддон]]</f>
        <v>0</v>
      </c>
      <c r="N569" s="34">
        <f>Таблица1[[#This Row],[Сумма 
Приход]]+Таблица1[[#This Row],[Сумма Поддон]]</f>
        <v>0</v>
      </c>
      <c r="O569" s="34"/>
      <c r="P569" s="34">
        <f>Таблица1[[#This Row],[Блок
 Куб]]*Таблица1[[#This Row],[Цена
 Продажа]]</f>
        <v>0</v>
      </c>
      <c r="Q569" s="34"/>
      <c r="R569" s="34">
        <f>Таблица1[[#This Row],[Сумма 
Продажа]]-Таблица1[[#This Row],[Сумма 
Приход]]-Таблица1[[#This Row],[Авто услу ]]</f>
        <v>0</v>
      </c>
      <c r="S569" s="34"/>
      <c r="T569" s="34">
        <f>Таблица1[[#This Row],[Сумма 
Продажа]]-IF(Таблица1[[#This Row],[Расход 
Авто]]="Клиент",N(Таблица1[[#This Row],[Авто услу ]]),0)</f>
        <v>0</v>
      </c>
      <c r="U5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69" s="265" t="str">
        <f>IFERROR(INDEX(Мижозлар[Агент],MATCH($D569,Мижозлар[Расмий ном],0)),"")</f>
        <v/>
      </c>
    </row>
    <row r="570" spans="1:23" ht="14.25" x14ac:dyDescent="0.2">
      <c r="A570" s="21"/>
      <c r="B570" s="135"/>
      <c r="C570" s="141"/>
      <c r="D570" s="141"/>
      <c r="E570" s="136"/>
      <c r="F570" s="135"/>
      <c r="G570" s="34"/>
      <c r="H570" s="142"/>
      <c r="I570" s="34"/>
      <c r="J570" s="34">
        <f>Таблица1[[#This Row],[Блок
 Куб]]*Таблица1[[#This Row],[Цена 
Приход]]</f>
        <v>0</v>
      </c>
      <c r="K570" s="34"/>
      <c r="L570" s="34"/>
      <c r="M570" s="34">
        <f>Таблица1[[#This Row],[Поддон
Шт]]*Таблица1[[#This Row],[Цена
Поддон]]</f>
        <v>0</v>
      </c>
      <c r="N570" s="34">
        <f>Таблица1[[#This Row],[Сумма 
Приход]]+Таблица1[[#This Row],[Сумма Поддон]]</f>
        <v>0</v>
      </c>
      <c r="O570" s="34"/>
      <c r="P570" s="34">
        <f>Таблица1[[#This Row],[Блок
 Куб]]*Таблица1[[#This Row],[Цена
 Продажа]]</f>
        <v>0</v>
      </c>
      <c r="Q570" s="34"/>
      <c r="R570" s="34">
        <f>Таблица1[[#This Row],[Сумма 
Продажа]]-Таблица1[[#This Row],[Сумма 
Приход]]-Таблица1[[#This Row],[Авто услу ]]</f>
        <v>0</v>
      </c>
      <c r="S570" s="34"/>
      <c r="T570" s="34">
        <f>Таблица1[[#This Row],[Сумма 
Продажа]]-IF(Таблица1[[#This Row],[Расход 
Авто]]="Клиент",N(Таблица1[[#This Row],[Авто услу ]]),0)</f>
        <v>0</v>
      </c>
      <c r="U5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0" s="265" t="str">
        <f>IFERROR(INDEX(Мижозлар[Агент],MATCH($D570,Мижозлар[Расмий ном],0)),"")</f>
        <v/>
      </c>
    </row>
    <row r="571" spans="1:23" ht="14.25" x14ac:dyDescent="0.2">
      <c r="A571" s="21"/>
      <c r="B571" s="135"/>
      <c r="C571" s="141"/>
      <c r="D571" s="141"/>
      <c r="E571" s="136"/>
      <c r="F571" s="135"/>
      <c r="G571" s="34"/>
      <c r="H571" s="142"/>
      <c r="I571" s="34"/>
      <c r="J571" s="34">
        <f>Таблица1[[#This Row],[Блок
 Куб]]*Таблица1[[#This Row],[Цена 
Приход]]</f>
        <v>0</v>
      </c>
      <c r="K571" s="34"/>
      <c r="L571" s="34"/>
      <c r="M571" s="34">
        <f>Таблица1[[#This Row],[Поддон
Шт]]*Таблица1[[#This Row],[Цена
Поддон]]</f>
        <v>0</v>
      </c>
      <c r="N571" s="34">
        <f>Таблица1[[#This Row],[Сумма 
Приход]]+Таблица1[[#This Row],[Сумма Поддон]]</f>
        <v>0</v>
      </c>
      <c r="O571" s="34"/>
      <c r="P571" s="34">
        <f>Таблица1[[#This Row],[Блок
 Куб]]*Таблица1[[#This Row],[Цена
 Продажа]]</f>
        <v>0</v>
      </c>
      <c r="Q571" s="34"/>
      <c r="R571" s="34">
        <f>Таблица1[[#This Row],[Сумма 
Продажа]]-Таблица1[[#This Row],[Сумма 
Приход]]-Таблица1[[#This Row],[Авто услу ]]</f>
        <v>0</v>
      </c>
      <c r="S571" s="34"/>
      <c r="T571" s="34">
        <f>Таблица1[[#This Row],[Сумма 
Продажа]]-IF(Таблица1[[#This Row],[Расход 
Авто]]="Клиент",N(Таблица1[[#This Row],[Авто услу ]]),0)</f>
        <v>0</v>
      </c>
      <c r="U5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1" s="265" t="str">
        <f>IFERROR(INDEX(Мижозлар[Агент],MATCH($D571,Мижозлар[Расмий ном],0)),"")</f>
        <v/>
      </c>
    </row>
    <row r="572" spans="1:23" ht="14.25" x14ac:dyDescent="0.2">
      <c r="A572" s="21"/>
      <c r="B572" s="135"/>
      <c r="C572" s="141"/>
      <c r="D572" s="141"/>
      <c r="E572" s="136"/>
      <c r="F572" s="135"/>
      <c r="G572" s="34"/>
      <c r="H572" s="142"/>
      <c r="I572" s="34"/>
      <c r="J572" s="34">
        <f>Таблица1[[#This Row],[Блок
 Куб]]*Таблица1[[#This Row],[Цена 
Приход]]</f>
        <v>0</v>
      </c>
      <c r="K572" s="34"/>
      <c r="L572" s="34"/>
      <c r="M572" s="34">
        <f>Таблица1[[#This Row],[Поддон
Шт]]*Таблица1[[#This Row],[Цена
Поддон]]</f>
        <v>0</v>
      </c>
      <c r="N572" s="34">
        <f>Таблица1[[#This Row],[Сумма 
Приход]]+Таблица1[[#This Row],[Сумма Поддон]]</f>
        <v>0</v>
      </c>
      <c r="O572" s="34"/>
      <c r="P572" s="34">
        <f>Таблица1[[#This Row],[Блок
 Куб]]*Таблица1[[#This Row],[Цена
 Продажа]]</f>
        <v>0</v>
      </c>
      <c r="Q572" s="34"/>
      <c r="R572" s="34">
        <f>Таблица1[[#This Row],[Сумма 
Продажа]]-Таблица1[[#This Row],[Сумма 
Приход]]-Таблица1[[#This Row],[Авто услу ]]</f>
        <v>0</v>
      </c>
      <c r="S572" s="34"/>
      <c r="T572" s="34">
        <f>Таблица1[[#This Row],[Сумма 
Продажа]]-IF(Таблица1[[#This Row],[Расход 
Авто]]="Клиент",N(Таблица1[[#This Row],[Авто услу ]]),0)</f>
        <v>0</v>
      </c>
      <c r="U5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2" s="265" t="str">
        <f>IFERROR(INDEX(Мижозлар[Агент],MATCH($D572,Мижозлар[Расмий ном],0)),"")</f>
        <v/>
      </c>
    </row>
    <row r="573" spans="1:23" ht="14.25" x14ac:dyDescent="0.2">
      <c r="A573" s="21"/>
      <c r="B573" s="135"/>
      <c r="C573" s="141"/>
      <c r="D573" s="141"/>
      <c r="E573" s="136"/>
      <c r="F573" s="135"/>
      <c r="G573" s="34"/>
      <c r="H573" s="142"/>
      <c r="I573" s="34"/>
      <c r="J573" s="34">
        <f>Таблица1[[#This Row],[Блок
 Куб]]*Таблица1[[#This Row],[Цена 
Приход]]</f>
        <v>0</v>
      </c>
      <c r="K573" s="34"/>
      <c r="L573" s="34"/>
      <c r="M573" s="34">
        <f>Таблица1[[#This Row],[Поддон
Шт]]*Таблица1[[#This Row],[Цена
Поддон]]</f>
        <v>0</v>
      </c>
      <c r="N573" s="34">
        <f>Таблица1[[#This Row],[Сумма 
Приход]]+Таблица1[[#This Row],[Сумма Поддон]]</f>
        <v>0</v>
      </c>
      <c r="O573" s="34"/>
      <c r="P573" s="34">
        <f>Таблица1[[#This Row],[Блок
 Куб]]*Таблица1[[#This Row],[Цена
 Продажа]]</f>
        <v>0</v>
      </c>
      <c r="Q573" s="34"/>
      <c r="R573" s="34">
        <f>Таблица1[[#This Row],[Сумма 
Продажа]]-Таблица1[[#This Row],[Сумма 
Приход]]-Таблица1[[#This Row],[Авто услу ]]</f>
        <v>0</v>
      </c>
      <c r="S573" s="34"/>
      <c r="T573" s="34">
        <f>Таблица1[[#This Row],[Сумма 
Продажа]]-IF(Таблица1[[#This Row],[Расход 
Авто]]="Клиент",N(Таблица1[[#This Row],[Авто услу ]]),0)</f>
        <v>0</v>
      </c>
      <c r="U5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3" s="265" t="str">
        <f>IFERROR(INDEX(Мижозлар[Агент],MATCH($D573,Мижозлар[Расмий ном],0)),"")</f>
        <v/>
      </c>
    </row>
    <row r="574" spans="1:23" ht="14.25" x14ac:dyDescent="0.2">
      <c r="A574" s="21"/>
      <c r="B574" s="135"/>
      <c r="C574" s="141"/>
      <c r="D574" s="141"/>
      <c r="E574" s="136"/>
      <c r="F574" s="135"/>
      <c r="G574" s="34"/>
      <c r="H574" s="142"/>
      <c r="I574" s="34"/>
      <c r="J574" s="34">
        <f>Таблица1[[#This Row],[Блок
 Куб]]*Таблица1[[#This Row],[Цена 
Приход]]</f>
        <v>0</v>
      </c>
      <c r="K574" s="34"/>
      <c r="L574" s="34"/>
      <c r="M574" s="34">
        <f>Таблица1[[#This Row],[Поддон
Шт]]*Таблица1[[#This Row],[Цена
Поддон]]</f>
        <v>0</v>
      </c>
      <c r="N574" s="34">
        <f>Таблица1[[#This Row],[Сумма 
Приход]]+Таблица1[[#This Row],[Сумма Поддон]]</f>
        <v>0</v>
      </c>
      <c r="O574" s="34"/>
      <c r="P574" s="34">
        <f>Таблица1[[#This Row],[Блок
 Куб]]*Таблица1[[#This Row],[Цена
 Продажа]]</f>
        <v>0</v>
      </c>
      <c r="Q574" s="34"/>
      <c r="R574" s="34">
        <f>Таблица1[[#This Row],[Сумма 
Продажа]]-Таблица1[[#This Row],[Сумма 
Приход]]-Таблица1[[#This Row],[Авто услу ]]</f>
        <v>0</v>
      </c>
      <c r="S574" s="34"/>
      <c r="T574" s="34">
        <f>Таблица1[[#This Row],[Сумма 
Продажа]]-IF(Таблица1[[#This Row],[Расход 
Авто]]="Клиент",N(Таблица1[[#This Row],[Авто услу ]]),0)</f>
        <v>0</v>
      </c>
      <c r="U5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4" s="265" t="str">
        <f>IFERROR(INDEX(Мижозлар[Агент],MATCH($D574,Мижозлар[Расмий ном],0)),"")</f>
        <v/>
      </c>
    </row>
    <row r="575" spans="1:23" ht="14.25" x14ac:dyDescent="0.2">
      <c r="A575" s="21"/>
      <c r="B575" s="135"/>
      <c r="C575" s="141"/>
      <c r="D575" s="141"/>
      <c r="E575" s="136"/>
      <c r="F575" s="135"/>
      <c r="G575" s="34"/>
      <c r="H575" s="142"/>
      <c r="I575" s="34"/>
      <c r="J575" s="34">
        <f>Таблица1[[#This Row],[Блок
 Куб]]*Таблица1[[#This Row],[Цена 
Приход]]</f>
        <v>0</v>
      </c>
      <c r="K575" s="34"/>
      <c r="L575" s="34"/>
      <c r="M575" s="34">
        <f>Таблица1[[#This Row],[Поддон
Шт]]*Таблица1[[#This Row],[Цена
Поддон]]</f>
        <v>0</v>
      </c>
      <c r="N575" s="34">
        <f>Таблица1[[#This Row],[Сумма 
Приход]]+Таблица1[[#This Row],[Сумма Поддон]]</f>
        <v>0</v>
      </c>
      <c r="O575" s="34"/>
      <c r="P575" s="34">
        <f>Таблица1[[#This Row],[Блок
 Куб]]*Таблица1[[#This Row],[Цена
 Продажа]]</f>
        <v>0</v>
      </c>
      <c r="Q575" s="34"/>
      <c r="R575" s="34">
        <f>Таблица1[[#This Row],[Сумма 
Продажа]]-Таблица1[[#This Row],[Сумма 
Приход]]-Таблица1[[#This Row],[Авто услу ]]</f>
        <v>0</v>
      </c>
      <c r="S575" s="34"/>
      <c r="T575" s="34">
        <f>Таблица1[[#This Row],[Сумма 
Продажа]]-IF(Таблица1[[#This Row],[Расход 
Авто]]="Клиент",N(Таблица1[[#This Row],[Авто услу ]]),0)</f>
        <v>0</v>
      </c>
      <c r="U5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5" s="265" t="str">
        <f>IFERROR(INDEX(Мижозлар[Агент],MATCH($D575,Мижозлар[Расмий ном],0)),"")</f>
        <v/>
      </c>
    </row>
    <row r="576" spans="1:23" ht="14.25" x14ac:dyDescent="0.2">
      <c r="A576" s="21"/>
      <c r="B576" s="135"/>
      <c r="C576" s="141"/>
      <c r="D576" s="141"/>
      <c r="E576" s="136"/>
      <c r="F576" s="135"/>
      <c r="G576" s="34"/>
      <c r="H576" s="142"/>
      <c r="I576" s="34"/>
      <c r="J576" s="34">
        <f>Таблица1[[#This Row],[Блок
 Куб]]*Таблица1[[#This Row],[Цена 
Приход]]</f>
        <v>0</v>
      </c>
      <c r="K576" s="34"/>
      <c r="L576" s="34"/>
      <c r="M576" s="34">
        <f>Таблица1[[#This Row],[Поддон
Шт]]*Таблица1[[#This Row],[Цена
Поддон]]</f>
        <v>0</v>
      </c>
      <c r="N576" s="34">
        <f>Таблица1[[#This Row],[Сумма 
Приход]]+Таблица1[[#This Row],[Сумма Поддон]]</f>
        <v>0</v>
      </c>
      <c r="O576" s="34"/>
      <c r="P576" s="34">
        <f>Таблица1[[#This Row],[Блок
 Куб]]*Таблица1[[#This Row],[Цена
 Продажа]]</f>
        <v>0</v>
      </c>
      <c r="Q576" s="34"/>
      <c r="R576" s="34">
        <f>Таблица1[[#This Row],[Сумма 
Продажа]]-Таблица1[[#This Row],[Сумма 
Приход]]-Таблица1[[#This Row],[Авто услу ]]</f>
        <v>0</v>
      </c>
      <c r="S576" s="34"/>
      <c r="T576" s="34">
        <f>Таблица1[[#This Row],[Сумма 
Продажа]]-IF(Таблица1[[#This Row],[Расход 
Авто]]="Клиент",N(Таблица1[[#This Row],[Авто услу ]]),0)</f>
        <v>0</v>
      </c>
      <c r="U5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6" s="265" t="str">
        <f>IFERROR(INDEX(Мижозлар[Агент],MATCH($D576,Мижозлар[Расмий ном],0)),"")</f>
        <v/>
      </c>
    </row>
    <row r="577" spans="1:23" ht="14.25" x14ac:dyDescent="0.2">
      <c r="A577" s="21"/>
      <c r="B577" s="135"/>
      <c r="C577" s="141"/>
      <c r="D577" s="141"/>
      <c r="E577" s="136"/>
      <c r="F577" s="135"/>
      <c r="G577" s="34"/>
      <c r="H577" s="142"/>
      <c r="I577" s="34"/>
      <c r="J577" s="34">
        <f>Таблица1[[#This Row],[Блок
 Куб]]*Таблица1[[#This Row],[Цена 
Приход]]</f>
        <v>0</v>
      </c>
      <c r="K577" s="34"/>
      <c r="L577" s="34"/>
      <c r="M577" s="34">
        <f>Таблица1[[#This Row],[Поддон
Шт]]*Таблица1[[#This Row],[Цена
Поддон]]</f>
        <v>0</v>
      </c>
      <c r="N577" s="34">
        <f>Таблица1[[#This Row],[Сумма 
Приход]]+Таблица1[[#This Row],[Сумма Поддон]]</f>
        <v>0</v>
      </c>
      <c r="O577" s="34"/>
      <c r="P577" s="34">
        <f>Таблица1[[#This Row],[Блок
 Куб]]*Таблица1[[#This Row],[Цена
 Продажа]]</f>
        <v>0</v>
      </c>
      <c r="Q577" s="34"/>
      <c r="R577" s="34">
        <f>Таблица1[[#This Row],[Сумма 
Продажа]]-Таблица1[[#This Row],[Сумма 
Приход]]-Таблица1[[#This Row],[Авто услу ]]</f>
        <v>0</v>
      </c>
      <c r="S577" s="34"/>
      <c r="T577" s="34">
        <f>Таблица1[[#This Row],[Сумма 
Продажа]]-IF(Таблица1[[#This Row],[Расход 
Авто]]="Клиент",N(Таблица1[[#This Row],[Авто услу ]]),0)</f>
        <v>0</v>
      </c>
      <c r="U5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7" s="265" t="str">
        <f>IFERROR(INDEX(Мижозлар[Агент],MATCH($D577,Мижозлар[Расмий ном],0)),"")</f>
        <v/>
      </c>
    </row>
    <row r="578" spans="1:23" ht="14.25" x14ac:dyDescent="0.2">
      <c r="A578" s="21"/>
      <c r="B578" s="135"/>
      <c r="C578" s="141"/>
      <c r="D578" s="141"/>
      <c r="E578" s="136"/>
      <c r="F578" s="135"/>
      <c r="G578" s="34"/>
      <c r="H578" s="142"/>
      <c r="I578" s="34"/>
      <c r="J578" s="34">
        <f>Таблица1[[#This Row],[Блок
 Куб]]*Таблица1[[#This Row],[Цена 
Приход]]</f>
        <v>0</v>
      </c>
      <c r="K578" s="34"/>
      <c r="L578" s="34"/>
      <c r="M578" s="34">
        <f>Таблица1[[#This Row],[Поддон
Шт]]*Таблица1[[#This Row],[Цена
Поддон]]</f>
        <v>0</v>
      </c>
      <c r="N578" s="34">
        <f>Таблица1[[#This Row],[Сумма 
Приход]]+Таблица1[[#This Row],[Сумма Поддон]]</f>
        <v>0</v>
      </c>
      <c r="O578" s="34"/>
      <c r="P578" s="34">
        <f>Таблица1[[#This Row],[Блок
 Куб]]*Таблица1[[#This Row],[Цена
 Продажа]]</f>
        <v>0</v>
      </c>
      <c r="Q578" s="34"/>
      <c r="R578" s="34">
        <f>Таблица1[[#This Row],[Сумма 
Продажа]]-Таблица1[[#This Row],[Сумма 
Приход]]-Таблица1[[#This Row],[Авто услу ]]</f>
        <v>0</v>
      </c>
      <c r="S578" s="34"/>
      <c r="T578" s="34">
        <f>Таблица1[[#This Row],[Сумма 
Продажа]]-IF(Таблица1[[#This Row],[Расход 
Авто]]="Клиент",N(Таблица1[[#This Row],[Авто услу ]]),0)</f>
        <v>0</v>
      </c>
      <c r="U5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8" s="265" t="str">
        <f>IFERROR(INDEX(Мижозлар[Агент],MATCH($D578,Мижозлар[Расмий ном],0)),"")</f>
        <v/>
      </c>
    </row>
    <row r="579" spans="1:23" ht="14.25" x14ac:dyDescent="0.2">
      <c r="A579" s="21"/>
      <c r="B579" s="135"/>
      <c r="C579" s="141"/>
      <c r="D579" s="141"/>
      <c r="E579" s="136"/>
      <c r="F579" s="135"/>
      <c r="G579" s="34"/>
      <c r="H579" s="142"/>
      <c r="I579" s="34"/>
      <c r="J579" s="34">
        <f>Таблица1[[#This Row],[Блок
 Куб]]*Таблица1[[#This Row],[Цена 
Приход]]</f>
        <v>0</v>
      </c>
      <c r="K579" s="34"/>
      <c r="L579" s="34"/>
      <c r="M579" s="34">
        <f>Таблица1[[#This Row],[Поддон
Шт]]*Таблица1[[#This Row],[Цена
Поддон]]</f>
        <v>0</v>
      </c>
      <c r="N579" s="34">
        <f>Таблица1[[#This Row],[Сумма 
Приход]]+Таблица1[[#This Row],[Сумма Поддон]]</f>
        <v>0</v>
      </c>
      <c r="O579" s="34"/>
      <c r="P579" s="34">
        <f>Таблица1[[#This Row],[Блок
 Куб]]*Таблица1[[#This Row],[Цена
 Продажа]]</f>
        <v>0</v>
      </c>
      <c r="Q579" s="34"/>
      <c r="R579" s="34">
        <f>Таблица1[[#This Row],[Сумма 
Продажа]]-Таблица1[[#This Row],[Сумма 
Приход]]-Таблица1[[#This Row],[Авто услу ]]</f>
        <v>0</v>
      </c>
      <c r="S579" s="34"/>
      <c r="T579" s="34">
        <f>Таблица1[[#This Row],[Сумма 
Продажа]]-IF(Таблица1[[#This Row],[Расход 
Авто]]="Клиент",N(Таблица1[[#This Row],[Авто услу ]]),0)</f>
        <v>0</v>
      </c>
      <c r="U5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79" s="265" t="str">
        <f>IFERROR(INDEX(Мижозлар[Агент],MATCH($D579,Мижозлар[Расмий ном],0)),"")</f>
        <v/>
      </c>
    </row>
    <row r="580" spans="1:23" ht="14.25" x14ac:dyDescent="0.2">
      <c r="A580" s="21"/>
      <c r="B580" s="135"/>
      <c r="C580" s="141"/>
      <c r="D580" s="141"/>
      <c r="E580" s="136"/>
      <c r="F580" s="135"/>
      <c r="G580" s="34"/>
      <c r="H580" s="142"/>
      <c r="I580" s="34"/>
      <c r="J580" s="34">
        <f>Таблица1[[#This Row],[Блок
 Куб]]*Таблица1[[#This Row],[Цена 
Приход]]</f>
        <v>0</v>
      </c>
      <c r="K580" s="34"/>
      <c r="L580" s="34"/>
      <c r="M580" s="34">
        <f>Таблица1[[#This Row],[Поддон
Шт]]*Таблица1[[#This Row],[Цена
Поддон]]</f>
        <v>0</v>
      </c>
      <c r="N580" s="34">
        <f>Таблица1[[#This Row],[Сумма 
Приход]]+Таблица1[[#This Row],[Сумма Поддон]]</f>
        <v>0</v>
      </c>
      <c r="O580" s="34"/>
      <c r="P580" s="34">
        <f>Таблица1[[#This Row],[Блок
 Куб]]*Таблица1[[#This Row],[Цена
 Продажа]]</f>
        <v>0</v>
      </c>
      <c r="Q580" s="34"/>
      <c r="R580" s="34">
        <f>Таблица1[[#This Row],[Сумма 
Продажа]]-Таблица1[[#This Row],[Сумма 
Приход]]-Таблица1[[#This Row],[Авто услу ]]</f>
        <v>0</v>
      </c>
      <c r="S580" s="34"/>
      <c r="T580" s="34">
        <f>Таблица1[[#This Row],[Сумма 
Продажа]]-IF(Таблица1[[#This Row],[Расход 
Авто]]="Клиент",N(Таблица1[[#This Row],[Авто услу ]]),0)</f>
        <v>0</v>
      </c>
      <c r="U5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0" s="265" t="str">
        <f>IFERROR(INDEX(Мижозлар[Агент],MATCH($D580,Мижозлар[Расмий ном],0)),"")</f>
        <v/>
      </c>
    </row>
    <row r="581" spans="1:23" ht="14.25" x14ac:dyDescent="0.2">
      <c r="A581" s="21"/>
      <c r="B581" s="135"/>
      <c r="C581" s="141"/>
      <c r="D581" s="141"/>
      <c r="E581" s="136"/>
      <c r="F581" s="135"/>
      <c r="G581" s="34"/>
      <c r="H581" s="142"/>
      <c r="I581" s="34"/>
      <c r="J581" s="34">
        <f>Таблица1[[#This Row],[Блок
 Куб]]*Таблица1[[#This Row],[Цена 
Приход]]</f>
        <v>0</v>
      </c>
      <c r="K581" s="34"/>
      <c r="L581" s="34"/>
      <c r="M581" s="34">
        <f>Таблица1[[#This Row],[Поддон
Шт]]*Таблица1[[#This Row],[Цена
Поддон]]</f>
        <v>0</v>
      </c>
      <c r="N581" s="34">
        <f>Таблица1[[#This Row],[Сумма 
Приход]]+Таблица1[[#This Row],[Сумма Поддон]]</f>
        <v>0</v>
      </c>
      <c r="O581" s="34"/>
      <c r="P581" s="34">
        <f>Таблица1[[#This Row],[Блок
 Куб]]*Таблица1[[#This Row],[Цена
 Продажа]]</f>
        <v>0</v>
      </c>
      <c r="Q581" s="34"/>
      <c r="R581" s="34">
        <f>Таблица1[[#This Row],[Сумма 
Продажа]]-Таблица1[[#This Row],[Сумма 
Приход]]-Таблица1[[#This Row],[Авто услу ]]</f>
        <v>0</v>
      </c>
      <c r="S581" s="34"/>
      <c r="T581" s="34">
        <f>Таблица1[[#This Row],[Сумма 
Продажа]]-IF(Таблица1[[#This Row],[Расход 
Авто]]="Клиент",N(Таблица1[[#This Row],[Авто услу ]]),0)</f>
        <v>0</v>
      </c>
      <c r="U5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1" s="265" t="str">
        <f>IFERROR(INDEX(Мижозлар[Агент],MATCH($D581,Мижозлар[Расмий ном],0)),"")</f>
        <v/>
      </c>
    </row>
    <row r="582" spans="1:23" ht="14.25" x14ac:dyDescent="0.2">
      <c r="A582" s="21"/>
      <c r="B582" s="135"/>
      <c r="C582" s="141"/>
      <c r="D582" s="141"/>
      <c r="E582" s="136"/>
      <c r="F582" s="135"/>
      <c r="G582" s="34"/>
      <c r="H582" s="142"/>
      <c r="I582" s="34"/>
      <c r="J582" s="34">
        <f>Таблица1[[#This Row],[Блок
 Куб]]*Таблица1[[#This Row],[Цена 
Приход]]</f>
        <v>0</v>
      </c>
      <c r="K582" s="34"/>
      <c r="L582" s="34"/>
      <c r="M582" s="34">
        <f>Таблица1[[#This Row],[Поддон
Шт]]*Таблица1[[#This Row],[Цена
Поддон]]</f>
        <v>0</v>
      </c>
      <c r="N582" s="34">
        <f>Таблица1[[#This Row],[Сумма 
Приход]]+Таблица1[[#This Row],[Сумма Поддон]]</f>
        <v>0</v>
      </c>
      <c r="O582" s="34"/>
      <c r="P582" s="34">
        <f>Таблица1[[#This Row],[Блок
 Куб]]*Таблица1[[#This Row],[Цена
 Продажа]]</f>
        <v>0</v>
      </c>
      <c r="Q582" s="34"/>
      <c r="R582" s="34">
        <f>Таблица1[[#This Row],[Сумма 
Продажа]]-Таблица1[[#This Row],[Сумма 
Приход]]-Таблица1[[#This Row],[Авто услу ]]</f>
        <v>0</v>
      </c>
      <c r="S582" s="34"/>
      <c r="T582" s="34">
        <f>Таблица1[[#This Row],[Сумма 
Продажа]]-IF(Таблица1[[#This Row],[Расход 
Авто]]="Клиент",N(Таблица1[[#This Row],[Авто услу ]]),0)</f>
        <v>0</v>
      </c>
      <c r="U5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2" s="265" t="str">
        <f>IFERROR(INDEX(Мижозлар[Агент],MATCH($D582,Мижозлар[Расмий ном],0)),"")</f>
        <v/>
      </c>
    </row>
    <row r="583" spans="1:23" ht="14.25" x14ac:dyDescent="0.2">
      <c r="A583" s="21"/>
      <c r="B583" s="135"/>
      <c r="C583" s="141"/>
      <c r="D583" s="141"/>
      <c r="E583" s="136"/>
      <c r="F583" s="135"/>
      <c r="G583" s="34"/>
      <c r="H583" s="142"/>
      <c r="I583" s="34"/>
      <c r="J583" s="34">
        <f>Таблица1[[#This Row],[Блок
 Куб]]*Таблица1[[#This Row],[Цена 
Приход]]</f>
        <v>0</v>
      </c>
      <c r="K583" s="34"/>
      <c r="L583" s="34"/>
      <c r="M583" s="34">
        <f>Таблица1[[#This Row],[Поддон
Шт]]*Таблица1[[#This Row],[Цена
Поддон]]</f>
        <v>0</v>
      </c>
      <c r="N583" s="34">
        <f>Таблица1[[#This Row],[Сумма 
Приход]]+Таблица1[[#This Row],[Сумма Поддон]]</f>
        <v>0</v>
      </c>
      <c r="O583" s="34"/>
      <c r="P583" s="34">
        <f>Таблица1[[#This Row],[Блок
 Куб]]*Таблица1[[#This Row],[Цена
 Продажа]]</f>
        <v>0</v>
      </c>
      <c r="Q583" s="34"/>
      <c r="R583" s="34">
        <f>Таблица1[[#This Row],[Сумма 
Продажа]]-Таблица1[[#This Row],[Сумма 
Приход]]-Таблица1[[#This Row],[Авто услу ]]</f>
        <v>0</v>
      </c>
      <c r="S583" s="34"/>
      <c r="T583" s="34">
        <f>Таблица1[[#This Row],[Сумма 
Продажа]]-IF(Таблица1[[#This Row],[Расход 
Авто]]="Клиент",N(Таблица1[[#This Row],[Авто услу ]]),0)</f>
        <v>0</v>
      </c>
      <c r="U5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3" s="265" t="str">
        <f>IFERROR(INDEX(Мижозлар[Агент],MATCH($D583,Мижозлар[Расмий ном],0)),"")</f>
        <v/>
      </c>
    </row>
    <row r="584" spans="1:23" ht="14.25" x14ac:dyDescent="0.2">
      <c r="A584" s="21"/>
      <c r="B584" s="135"/>
      <c r="C584" s="141"/>
      <c r="D584" s="141"/>
      <c r="E584" s="136"/>
      <c r="F584" s="135"/>
      <c r="G584" s="34"/>
      <c r="H584" s="142"/>
      <c r="I584" s="34"/>
      <c r="J584" s="34">
        <f>Таблица1[[#This Row],[Блок
 Куб]]*Таблица1[[#This Row],[Цена 
Приход]]</f>
        <v>0</v>
      </c>
      <c r="K584" s="34"/>
      <c r="L584" s="34"/>
      <c r="M584" s="34">
        <f>Таблица1[[#This Row],[Поддон
Шт]]*Таблица1[[#This Row],[Цена
Поддон]]</f>
        <v>0</v>
      </c>
      <c r="N584" s="34">
        <f>Таблица1[[#This Row],[Сумма 
Приход]]+Таблица1[[#This Row],[Сумма Поддон]]</f>
        <v>0</v>
      </c>
      <c r="O584" s="34"/>
      <c r="P584" s="34">
        <f>Таблица1[[#This Row],[Блок
 Куб]]*Таблица1[[#This Row],[Цена
 Продажа]]</f>
        <v>0</v>
      </c>
      <c r="Q584" s="34"/>
      <c r="R584" s="34">
        <f>Таблица1[[#This Row],[Сумма 
Продажа]]-Таблица1[[#This Row],[Сумма 
Приход]]-Таблица1[[#This Row],[Авто услу ]]</f>
        <v>0</v>
      </c>
      <c r="S584" s="34"/>
      <c r="T584" s="34">
        <f>Таблица1[[#This Row],[Сумма 
Продажа]]-IF(Таблица1[[#This Row],[Расход 
Авто]]="Клиент",N(Таблица1[[#This Row],[Авто услу ]]),0)</f>
        <v>0</v>
      </c>
      <c r="U5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4" s="265" t="str">
        <f>IFERROR(INDEX(Мижозлар[Агент],MATCH($D584,Мижозлар[Расмий ном],0)),"")</f>
        <v/>
      </c>
    </row>
    <row r="585" spans="1:23" ht="14.25" x14ac:dyDescent="0.2">
      <c r="A585" s="21"/>
      <c r="B585" s="135"/>
      <c r="C585" s="141"/>
      <c r="D585" s="141"/>
      <c r="E585" s="136"/>
      <c r="F585" s="135"/>
      <c r="G585" s="34"/>
      <c r="H585" s="142"/>
      <c r="I585" s="34"/>
      <c r="J585" s="34">
        <f>Таблица1[[#This Row],[Блок
 Куб]]*Таблица1[[#This Row],[Цена 
Приход]]</f>
        <v>0</v>
      </c>
      <c r="K585" s="34"/>
      <c r="L585" s="34"/>
      <c r="M585" s="34">
        <f>Таблица1[[#This Row],[Поддон
Шт]]*Таблица1[[#This Row],[Цена
Поддон]]</f>
        <v>0</v>
      </c>
      <c r="N585" s="34">
        <f>Таблица1[[#This Row],[Сумма 
Приход]]+Таблица1[[#This Row],[Сумма Поддон]]</f>
        <v>0</v>
      </c>
      <c r="O585" s="34"/>
      <c r="P585" s="34">
        <f>Таблица1[[#This Row],[Блок
 Куб]]*Таблица1[[#This Row],[Цена
 Продажа]]</f>
        <v>0</v>
      </c>
      <c r="Q585" s="34"/>
      <c r="R585" s="34">
        <f>Таблица1[[#This Row],[Сумма 
Продажа]]-Таблица1[[#This Row],[Сумма 
Приход]]-Таблица1[[#This Row],[Авто услу ]]</f>
        <v>0</v>
      </c>
      <c r="S585" s="34"/>
      <c r="T585" s="34">
        <f>Таблица1[[#This Row],[Сумма 
Продажа]]-IF(Таблица1[[#This Row],[Расход 
Авто]]="Клиент",N(Таблица1[[#This Row],[Авто услу ]]),0)</f>
        <v>0</v>
      </c>
      <c r="U5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5" s="265" t="str">
        <f>IFERROR(INDEX(Мижозлар[Агент],MATCH($D585,Мижозлар[Расмий ном],0)),"")</f>
        <v/>
      </c>
    </row>
    <row r="586" spans="1:23" ht="14.25" x14ac:dyDescent="0.2">
      <c r="A586" s="21"/>
      <c r="B586" s="135"/>
      <c r="C586" s="141"/>
      <c r="D586" s="141"/>
      <c r="E586" s="136"/>
      <c r="F586" s="135"/>
      <c r="G586" s="34"/>
      <c r="H586" s="142"/>
      <c r="I586" s="34"/>
      <c r="J586" s="34">
        <f>Таблица1[[#This Row],[Блок
 Куб]]*Таблица1[[#This Row],[Цена 
Приход]]</f>
        <v>0</v>
      </c>
      <c r="K586" s="34"/>
      <c r="L586" s="34"/>
      <c r="M586" s="34">
        <f>Таблица1[[#This Row],[Поддон
Шт]]*Таблица1[[#This Row],[Цена
Поддон]]</f>
        <v>0</v>
      </c>
      <c r="N586" s="34">
        <f>Таблица1[[#This Row],[Сумма 
Приход]]+Таблица1[[#This Row],[Сумма Поддон]]</f>
        <v>0</v>
      </c>
      <c r="O586" s="34"/>
      <c r="P586" s="34">
        <f>Таблица1[[#This Row],[Блок
 Куб]]*Таблица1[[#This Row],[Цена
 Продажа]]</f>
        <v>0</v>
      </c>
      <c r="Q586" s="34"/>
      <c r="R586" s="34">
        <f>Таблица1[[#This Row],[Сумма 
Продажа]]-Таблица1[[#This Row],[Сумма 
Приход]]-Таблица1[[#This Row],[Авто услу ]]</f>
        <v>0</v>
      </c>
      <c r="S586" s="34"/>
      <c r="T586" s="34">
        <f>Таблица1[[#This Row],[Сумма 
Продажа]]-IF(Таблица1[[#This Row],[Расход 
Авто]]="Клиент",N(Таблица1[[#This Row],[Авто услу ]]),0)</f>
        <v>0</v>
      </c>
      <c r="U5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6" s="265" t="str">
        <f>IFERROR(INDEX(Мижозлар[Агент],MATCH($D586,Мижозлар[Расмий ном],0)),"")</f>
        <v/>
      </c>
    </row>
    <row r="587" spans="1:23" ht="14.25" x14ac:dyDescent="0.2">
      <c r="A587" s="21"/>
      <c r="B587" s="135"/>
      <c r="C587" s="141"/>
      <c r="D587" s="141"/>
      <c r="E587" s="136"/>
      <c r="F587" s="135"/>
      <c r="G587" s="34"/>
      <c r="H587" s="142"/>
      <c r="I587" s="34"/>
      <c r="J587" s="34">
        <f>Таблица1[[#This Row],[Блок
 Куб]]*Таблица1[[#This Row],[Цена 
Приход]]</f>
        <v>0</v>
      </c>
      <c r="K587" s="34"/>
      <c r="L587" s="34"/>
      <c r="M587" s="34">
        <f>Таблица1[[#This Row],[Поддон
Шт]]*Таблица1[[#This Row],[Цена
Поддон]]</f>
        <v>0</v>
      </c>
      <c r="N587" s="34">
        <f>Таблица1[[#This Row],[Сумма 
Приход]]+Таблица1[[#This Row],[Сумма Поддон]]</f>
        <v>0</v>
      </c>
      <c r="O587" s="34"/>
      <c r="P587" s="34">
        <f>Таблица1[[#This Row],[Блок
 Куб]]*Таблица1[[#This Row],[Цена
 Продажа]]</f>
        <v>0</v>
      </c>
      <c r="Q587" s="34"/>
      <c r="R587" s="34">
        <f>Таблица1[[#This Row],[Сумма 
Продажа]]-Таблица1[[#This Row],[Сумма 
Приход]]-Таблица1[[#This Row],[Авто услу ]]</f>
        <v>0</v>
      </c>
      <c r="S587" s="34"/>
      <c r="T587" s="34">
        <f>Таблица1[[#This Row],[Сумма 
Продажа]]-IF(Таблица1[[#This Row],[Расход 
Авто]]="Клиент",N(Таблица1[[#This Row],[Авто услу ]]),0)</f>
        <v>0</v>
      </c>
      <c r="U5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7" s="265" t="str">
        <f>IFERROR(INDEX(Мижозлар[Агент],MATCH($D587,Мижозлар[Расмий ном],0)),"")</f>
        <v/>
      </c>
    </row>
    <row r="588" spans="1:23" ht="14.25" x14ac:dyDescent="0.2">
      <c r="A588" s="21"/>
      <c r="B588" s="135"/>
      <c r="C588" s="141"/>
      <c r="D588" s="141"/>
      <c r="E588" s="136"/>
      <c r="F588" s="135"/>
      <c r="G588" s="34"/>
      <c r="H588" s="142"/>
      <c r="I588" s="34"/>
      <c r="J588" s="34">
        <f>Таблица1[[#This Row],[Блок
 Куб]]*Таблица1[[#This Row],[Цена 
Приход]]</f>
        <v>0</v>
      </c>
      <c r="K588" s="34"/>
      <c r="L588" s="34"/>
      <c r="M588" s="34">
        <f>Таблица1[[#This Row],[Поддон
Шт]]*Таблица1[[#This Row],[Цена
Поддон]]</f>
        <v>0</v>
      </c>
      <c r="N588" s="34">
        <f>Таблица1[[#This Row],[Сумма 
Приход]]+Таблица1[[#This Row],[Сумма Поддон]]</f>
        <v>0</v>
      </c>
      <c r="O588" s="34"/>
      <c r="P588" s="34">
        <f>Таблица1[[#This Row],[Блок
 Куб]]*Таблица1[[#This Row],[Цена
 Продажа]]</f>
        <v>0</v>
      </c>
      <c r="Q588" s="34"/>
      <c r="R588" s="34">
        <f>Таблица1[[#This Row],[Сумма 
Продажа]]-Таблица1[[#This Row],[Сумма 
Приход]]-Таблица1[[#This Row],[Авто услу ]]</f>
        <v>0</v>
      </c>
      <c r="S588" s="34"/>
      <c r="T588" s="34">
        <f>Таблица1[[#This Row],[Сумма 
Продажа]]-IF(Таблица1[[#This Row],[Расход 
Авто]]="Клиент",N(Таблица1[[#This Row],[Авто услу ]]),0)</f>
        <v>0</v>
      </c>
      <c r="U5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8" s="265" t="str">
        <f>IFERROR(INDEX(Мижозлар[Агент],MATCH($D588,Мижозлар[Расмий ном],0)),"")</f>
        <v/>
      </c>
    </row>
    <row r="589" spans="1:23" ht="14.25" x14ac:dyDescent="0.2">
      <c r="A589" s="21"/>
      <c r="B589" s="135"/>
      <c r="C589" s="141"/>
      <c r="D589" s="141"/>
      <c r="E589" s="136"/>
      <c r="F589" s="135"/>
      <c r="G589" s="34"/>
      <c r="H589" s="142"/>
      <c r="I589" s="34"/>
      <c r="J589" s="34">
        <f>Таблица1[[#This Row],[Блок
 Куб]]*Таблица1[[#This Row],[Цена 
Приход]]</f>
        <v>0</v>
      </c>
      <c r="K589" s="34"/>
      <c r="L589" s="34"/>
      <c r="M589" s="34">
        <f>Таблица1[[#This Row],[Поддон
Шт]]*Таблица1[[#This Row],[Цена
Поддон]]</f>
        <v>0</v>
      </c>
      <c r="N589" s="34">
        <f>Таблица1[[#This Row],[Сумма 
Приход]]+Таблица1[[#This Row],[Сумма Поддон]]</f>
        <v>0</v>
      </c>
      <c r="O589" s="34"/>
      <c r="P589" s="34">
        <f>Таблица1[[#This Row],[Блок
 Куб]]*Таблица1[[#This Row],[Цена
 Продажа]]</f>
        <v>0</v>
      </c>
      <c r="Q589" s="34"/>
      <c r="R589" s="34">
        <f>Таблица1[[#This Row],[Сумма 
Продажа]]-Таблица1[[#This Row],[Сумма 
Приход]]-Таблица1[[#This Row],[Авто услу ]]</f>
        <v>0</v>
      </c>
      <c r="S589" s="34"/>
      <c r="T589" s="34">
        <f>Таблица1[[#This Row],[Сумма 
Продажа]]-IF(Таблица1[[#This Row],[Расход 
Авто]]="Клиент",N(Таблица1[[#This Row],[Авто услу ]]),0)</f>
        <v>0</v>
      </c>
      <c r="U5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89" s="265" t="str">
        <f>IFERROR(INDEX(Мижозлар[Агент],MATCH($D589,Мижозлар[Расмий ном],0)),"")</f>
        <v/>
      </c>
    </row>
    <row r="590" spans="1:23" ht="14.25" x14ac:dyDescent="0.2">
      <c r="A590" s="21"/>
      <c r="B590" s="135"/>
      <c r="C590" s="141"/>
      <c r="D590" s="141"/>
      <c r="E590" s="136"/>
      <c r="F590" s="135"/>
      <c r="G590" s="34"/>
      <c r="H590" s="142"/>
      <c r="I590" s="34"/>
      <c r="J590" s="34">
        <f>Таблица1[[#This Row],[Блок
 Куб]]*Таблица1[[#This Row],[Цена 
Приход]]</f>
        <v>0</v>
      </c>
      <c r="K590" s="34"/>
      <c r="L590" s="34"/>
      <c r="M590" s="34">
        <f>Таблица1[[#This Row],[Поддон
Шт]]*Таблица1[[#This Row],[Цена
Поддон]]</f>
        <v>0</v>
      </c>
      <c r="N590" s="34">
        <f>Таблица1[[#This Row],[Сумма 
Приход]]+Таблица1[[#This Row],[Сумма Поддон]]</f>
        <v>0</v>
      </c>
      <c r="O590" s="34"/>
      <c r="P590" s="34">
        <f>Таблица1[[#This Row],[Блок
 Куб]]*Таблица1[[#This Row],[Цена
 Продажа]]</f>
        <v>0</v>
      </c>
      <c r="Q590" s="34"/>
      <c r="R590" s="34">
        <f>Таблица1[[#This Row],[Сумма 
Продажа]]-Таблица1[[#This Row],[Сумма 
Приход]]-Таблица1[[#This Row],[Авто услу ]]</f>
        <v>0</v>
      </c>
      <c r="S590" s="34"/>
      <c r="T590" s="34">
        <f>Таблица1[[#This Row],[Сумма 
Продажа]]-IF(Таблица1[[#This Row],[Расход 
Авто]]="Клиент",N(Таблица1[[#This Row],[Авто услу ]]),0)</f>
        <v>0</v>
      </c>
      <c r="U5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0" s="265" t="str">
        <f>IFERROR(INDEX(Мижозлар[Агент],MATCH($D590,Мижозлар[Расмий ном],0)),"")</f>
        <v/>
      </c>
    </row>
    <row r="591" spans="1:23" ht="14.25" x14ac:dyDescent="0.2">
      <c r="A591" s="21"/>
      <c r="B591" s="135"/>
      <c r="C591" s="141"/>
      <c r="D591" s="141"/>
      <c r="E591" s="136"/>
      <c r="F591" s="135"/>
      <c r="G591" s="34"/>
      <c r="H591" s="142"/>
      <c r="I591" s="34"/>
      <c r="J591" s="34">
        <f>Таблица1[[#This Row],[Блок
 Куб]]*Таблица1[[#This Row],[Цена 
Приход]]</f>
        <v>0</v>
      </c>
      <c r="K591" s="34"/>
      <c r="L591" s="34"/>
      <c r="M591" s="34">
        <f>Таблица1[[#This Row],[Поддон
Шт]]*Таблица1[[#This Row],[Цена
Поддон]]</f>
        <v>0</v>
      </c>
      <c r="N591" s="34">
        <f>Таблица1[[#This Row],[Сумма 
Приход]]+Таблица1[[#This Row],[Сумма Поддон]]</f>
        <v>0</v>
      </c>
      <c r="O591" s="34"/>
      <c r="P591" s="34">
        <f>Таблица1[[#This Row],[Блок
 Куб]]*Таблица1[[#This Row],[Цена
 Продажа]]</f>
        <v>0</v>
      </c>
      <c r="Q591" s="34"/>
      <c r="R591" s="34">
        <f>Таблица1[[#This Row],[Сумма 
Продажа]]-Таблица1[[#This Row],[Сумма 
Приход]]-Таблица1[[#This Row],[Авто услу ]]</f>
        <v>0</v>
      </c>
      <c r="S591" s="34"/>
      <c r="T591" s="34">
        <f>Таблица1[[#This Row],[Сумма 
Продажа]]-IF(Таблица1[[#This Row],[Расход 
Авто]]="Клиент",N(Таблица1[[#This Row],[Авто услу ]]),0)</f>
        <v>0</v>
      </c>
      <c r="U5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1" s="265" t="str">
        <f>IFERROR(INDEX(Мижозлар[Агент],MATCH($D591,Мижозлар[Расмий ном],0)),"")</f>
        <v/>
      </c>
    </row>
    <row r="592" spans="1:23" ht="14.25" x14ac:dyDescent="0.2">
      <c r="A592" s="21"/>
      <c r="B592" s="135"/>
      <c r="C592" s="141"/>
      <c r="D592" s="141"/>
      <c r="E592" s="136"/>
      <c r="F592" s="135"/>
      <c r="G592" s="34"/>
      <c r="H592" s="142"/>
      <c r="I592" s="34"/>
      <c r="J592" s="34">
        <f>Таблица1[[#This Row],[Блок
 Куб]]*Таблица1[[#This Row],[Цена 
Приход]]</f>
        <v>0</v>
      </c>
      <c r="K592" s="34"/>
      <c r="L592" s="34"/>
      <c r="M592" s="34">
        <f>Таблица1[[#This Row],[Поддон
Шт]]*Таблица1[[#This Row],[Цена
Поддон]]</f>
        <v>0</v>
      </c>
      <c r="N592" s="34">
        <f>Таблица1[[#This Row],[Сумма 
Приход]]+Таблица1[[#This Row],[Сумма Поддон]]</f>
        <v>0</v>
      </c>
      <c r="O592" s="34"/>
      <c r="P592" s="34">
        <f>Таблица1[[#This Row],[Блок
 Куб]]*Таблица1[[#This Row],[Цена
 Продажа]]</f>
        <v>0</v>
      </c>
      <c r="Q592" s="34"/>
      <c r="R592" s="34">
        <f>Таблица1[[#This Row],[Сумма 
Продажа]]-Таблица1[[#This Row],[Сумма 
Приход]]-Таблица1[[#This Row],[Авто услу ]]</f>
        <v>0</v>
      </c>
      <c r="S592" s="34"/>
      <c r="T592" s="34">
        <f>Таблица1[[#This Row],[Сумма 
Продажа]]-IF(Таблица1[[#This Row],[Расход 
Авто]]="Клиент",N(Таблица1[[#This Row],[Авто услу ]]),0)</f>
        <v>0</v>
      </c>
      <c r="U5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2" s="265" t="str">
        <f>IFERROR(INDEX(Мижозлар[Агент],MATCH($D592,Мижозлар[Расмий ном],0)),"")</f>
        <v/>
      </c>
    </row>
    <row r="593" spans="1:23" ht="14.25" x14ac:dyDescent="0.2">
      <c r="A593" s="21"/>
      <c r="B593" s="135"/>
      <c r="C593" s="141"/>
      <c r="D593" s="141"/>
      <c r="E593" s="136"/>
      <c r="F593" s="135"/>
      <c r="G593" s="34"/>
      <c r="H593" s="142"/>
      <c r="I593" s="34"/>
      <c r="J593" s="34">
        <f>Таблица1[[#This Row],[Блок
 Куб]]*Таблица1[[#This Row],[Цена 
Приход]]</f>
        <v>0</v>
      </c>
      <c r="K593" s="34"/>
      <c r="L593" s="34"/>
      <c r="M593" s="34">
        <f>Таблица1[[#This Row],[Поддон
Шт]]*Таблица1[[#This Row],[Цена
Поддон]]</f>
        <v>0</v>
      </c>
      <c r="N593" s="34">
        <f>Таблица1[[#This Row],[Сумма 
Приход]]+Таблица1[[#This Row],[Сумма Поддон]]</f>
        <v>0</v>
      </c>
      <c r="O593" s="34"/>
      <c r="P593" s="34">
        <f>Таблица1[[#This Row],[Блок
 Куб]]*Таблица1[[#This Row],[Цена
 Продажа]]</f>
        <v>0</v>
      </c>
      <c r="Q593" s="34"/>
      <c r="R593" s="34">
        <f>Таблица1[[#This Row],[Сумма 
Продажа]]-Таблица1[[#This Row],[Сумма 
Приход]]-Таблица1[[#This Row],[Авто услу ]]</f>
        <v>0</v>
      </c>
      <c r="S593" s="34"/>
      <c r="T593" s="34">
        <f>Таблица1[[#This Row],[Сумма 
Продажа]]-IF(Таблица1[[#This Row],[Расход 
Авто]]="Клиент",N(Таблица1[[#This Row],[Авто услу ]]),0)</f>
        <v>0</v>
      </c>
      <c r="U5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3" s="265" t="str">
        <f>IFERROR(INDEX(Мижозлар[Агент],MATCH($D593,Мижозлар[Расмий ном],0)),"")</f>
        <v/>
      </c>
    </row>
    <row r="594" spans="1:23" ht="14.25" x14ac:dyDescent="0.2">
      <c r="A594" s="21"/>
      <c r="B594" s="135"/>
      <c r="C594" s="141"/>
      <c r="D594" s="141"/>
      <c r="E594" s="136"/>
      <c r="F594" s="135"/>
      <c r="G594" s="34"/>
      <c r="H594" s="142"/>
      <c r="I594" s="34"/>
      <c r="J594" s="34">
        <f>Таблица1[[#This Row],[Блок
 Куб]]*Таблица1[[#This Row],[Цена 
Приход]]</f>
        <v>0</v>
      </c>
      <c r="K594" s="34"/>
      <c r="L594" s="34"/>
      <c r="M594" s="34">
        <f>Таблица1[[#This Row],[Поддон
Шт]]*Таблица1[[#This Row],[Цена
Поддон]]</f>
        <v>0</v>
      </c>
      <c r="N594" s="34">
        <f>Таблица1[[#This Row],[Сумма 
Приход]]+Таблица1[[#This Row],[Сумма Поддон]]</f>
        <v>0</v>
      </c>
      <c r="O594" s="34"/>
      <c r="P594" s="34">
        <f>Таблица1[[#This Row],[Блок
 Куб]]*Таблица1[[#This Row],[Цена
 Продажа]]</f>
        <v>0</v>
      </c>
      <c r="Q594" s="34"/>
      <c r="R594" s="34">
        <f>Таблица1[[#This Row],[Сумма 
Продажа]]-Таблица1[[#This Row],[Сумма 
Приход]]-Таблица1[[#This Row],[Авто услу ]]</f>
        <v>0</v>
      </c>
      <c r="S594" s="34"/>
      <c r="T594" s="34">
        <f>Таблица1[[#This Row],[Сумма 
Продажа]]-IF(Таблица1[[#This Row],[Расход 
Авто]]="Клиент",N(Таблица1[[#This Row],[Авто услу ]]),0)</f>
        <v>0</v>
      </c>
      <c r="U5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4" s="265" t="str">
        <f>IFERROR(INDEX(Мижозлар[Агент],MATCH($D594,Мижозлар[Расмий ном],0)),"")</f>
        <v/>
      </c>
    </row>
    <row r="595" spans="1:23" ht="14.25" x14ac:dyDescent="0.2">
      <c r="A595" s="21"/>
      <c r="B595" s="135"/>
      <c r="C595" s="141"/>
      <c r="D595" s="141"/>
      <c r="E595" s="136"/>
      <c r="F595" s="135"/>
      <c r="G595" s="34"/>
      <c r="H595" s="142"/>
      <c r="I595" s="34"/>
      <c r="J595" s="34">
        <f>Таблица1[[#This Row],[Блок
 Куб]]*Таблица1[[#This Row],[Цена 
Приход]]</f>
        <v>0</v>
      </c>
      <c r="K595" s="34"/>
      <c r="L595" s="34"/>
      <c r="M595" s="34">
        <f>Таблица1[[#This Row],[Поддон
Шт]]*Таблица1[[#This Row],[Цена
Поддон]]</f>
        <v>0</v>
      </c>
      <c r="N595" s="34">
        <f>Таблица1[[#This Row],[Сумма 
Приход]]+Таблица1[[#This Row],[Сумма Поддон]]</f>
        <v>0</v>
      </c>
      <c r="O595" s="34"/>
      <c r="P595" s="34">
        <f>Таблица1[[#This Row],[Блок
 Куб]]*Таблица1[[#This Row],[Цена
 Продажа]]</f>
        <v>0</v>
      </c>
      <c r="Q595" s="34"/>
      <c r="R595" s="34">
        <f>Таблица1[[#This Row],[Сумма 
Продажа]]-Таблица1[[#This Row],[Сумма 
Приход]]-Таблица1[[#This Row],[Авто услу ]]</f>
        <v>0</v>
      </c>
      <c r="S595" s="34"/>
      <c r="T595" s="34">
        <f>Таблица1[[#This Row],[Сумма 
Продажа]]-IF(Таблица1[[#This Row],[Расход 
Авто]]="Клиент",N(Таблица1[[#This Row],[Авто услу ]]),0)</f>
        <v>0</v>
      </c>
      <c r="U5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5" s="265" t="str">
        <f>IFERROR(INDEX(Мижозлар[Агент],MATCH($D595,Мижозлар[Расмий ном],0)),"")</f>
        <v/>
      </c>
    </row>
    <row r="596" spans="1:23" ht="14.25" x14ac:dyDescent="0.2">
      <c r="A596" s="21"/>
      <c r="B596" s="135"/>
      <c r="C596" s="141"/>
      <c r="D596" s="141"/>
      <c r="E596" s="136"/>
      <c r="F596" s="135"/>
      <c r="G596" s="34"/>
      <c r="H596" s="142"/>
      <c r="I596" s="34"/>
      <c r="J596" s="34">
        <f>Таблица1[[#This Row],[Блок
 Куб]]*Таблица1[[#This Row],[Цена 
Приход]]</f>
        <v>0</v>
      </c>
      <c r="K596" s="34"/>
      <c r="L596" s="34"/>
      <c r="M596" s="34">
        <f>Таблица1[[#This Row],[Поддон
Шт]]*Таблица1[[#This Row],[Цена
Поддон]]</f>
        <v>0</v>
      </c>
      <c r="N596" s="34">
        <f>Таблица1[[#This Row],[Сумма 
Приход]]+Таблица1[[#This Row],[Сумма Поддон]]</f>
        <v>0</v>
      </c>
      <c r="O596" s="34"/>
      <c r="P596" s="34">
        <f>Таблица1[[#This Row],[Блок
 Куб]]*Таблица1[[#This Row],[Цена
 Продажа]]</f>
        <v>0</v>
      </c>
      <c r="Q596" s="34"/>
      <c r="R596" s="34">
        <f>Таблица1[[#This Row],[Сумма 
Продажа]]-Таблица1[[#This Row],[Сумма 
Приход]]-Таблица1[[#This Row],[Авто услу ]]</f>
        <v>0</v>
      </c>
      <c r="S596" s="34"/>
      <c r="T596" s="34">
        <f>Таблица1[[#This Row],[Сумма 
Продажа]]-IF(Таблица1[[#This Row],[Расход 
Авто]]="Клиент",N(Таблица1[[#This Row],[Авто услу ]]),0)</f>
        <v>0</v>
      </c>
      <c r="U5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6" s="265" t="str">
        <f>IFERROR(INDEX(Мижозлар[Агент],MATCH($D596,Мижозлар[Расмий ном],0)),"")</f>
        <v/>
      </c>
    </row>
    <row r="597" spans="1:23" ht="14.25" x14ac:dyDescent="0.2">
      <c r="A597" s="21"/>
      <c r="B597" s="135"/>
      <c r="C597" s="141"/>
      <c r="D597" s="141"/>
      <c r="E597" s="136"/>
      <c r="F597" s="135"/>
      <c r="G597" s="34"/>
      <c r="H597" s="142"/>
      <c r="I597" s="34"/>
      <c r="J597" s="34">
        <f>Таблица1[[#This Row],[Блок
 Куб]]*Таблица1[[#This Row],[Цена 
Приход]]</f>
        <v>0</v>
      </c>
      <c r="K597" s="34"/>
      <c r="L597" s="34"/>
      <c r="M597" s="34">
        <f>Таблица1[[#This Row],[Поддон
Шт]]*Таблица1[[#This Row],[Цена
Поддон]]</f>
        <v>0</v>
      </c>
      <c r="N597" s="34">
        <f>Таблица1[[#This Row],[Сумма 
Приход]]+Таблица1[[#This Row],[Сумма Поддон]]</f>
        <v>0</v>
      </c>
      <c r="O597" s="34"/>
      <c r="P597" s="34">
        <f>Таблица1[[#This Row],[Блок
 Куб]]*Таблица1[[#This Row],[Цена
 Продажа]]</f>
        <v>0</v>
      </c>
      <c r="Q597" s="34"/>
      <c r="R597" s="34">
        <f>Таблица1[[#This Row],[Сумма 
Продажа]]-Таблица1[[#This Row],[Сумма 
Приход]]-Таблица1[[#This Row],[Авто услу ]]</f>
        <v>0</v>
      </c>
      <c r="S597" s="34"/>
      <c r="T597" s="34">
        <f>Таблица1[[#This Row],[Сумма 
Продажа]]-IF(Таблица1[[#This Row],[Расход 
Авто]]="Клиент",N(Таблица1[[#This Row],[Авто услу ]]),0)</f>
        <v>0</v>
      </c>
      <c r="U5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7" s="265" t="str">
        <f>IFERROR(INDEX(Мижозлар[Агент],MATCH($D597,Мижозлар[Расмий ном],0)),"")</f>
        <v/>
      </c>
    </row>
    <row r="598" spans="1:23" ht="14.25" x14ac:dyDescent="0.2">
      <c r="A598" s="21"/>
      <c r="B598" s="135"/>
      <c r="C598" s="141"/>
      <c r="D598" s="141"/>
      <c r="E598" s="136"/>
      <c r="F598" s="135"/>
      <c r="G598" s="34"/>
      <c r="H598" s="142"/>
      <c r="I598" s="34"/>
      <c r="J598" s="34">
        <f>Таблица1[[#This Row],[Блок
 Куб]]*Таблица1[[#This Row],[Цена 
Приход]]</f>
        <v>0</v>
      </c>
      <c r="K598" s="34"/>
      <c r="L598" s="34"/>
      <c r="M598" s="34">
        <f>Таблица1[[#This Row],[Поддон
Шт]]*Таблица1[[#This Row],[Цена
Поддон]]</f>
        <v>0</v>
      </c>
      <c r="N598" s="34">
        <f>Таблица1[[#This Row],[Сумма 
Приход]]+Таблица1[[#This Row],[Сумма Поддон]]</f>
        <v>0</v>
      </c>
      <c r="O598" s="34"/>
      <c r="P598" s="34">
        <f>Таблица1[[#This Row],[Блок
 Куб]]*Таблица1[[#This Row],[Цена
 Продажа]]</f>
        <v>0</v>
      </c>
      <c r="Q598" s="34"/>
      <c r="R598" s="34">
        <f>Таблица1[[#This Row],[Сумма 
Продажа]]-Таблица1[[#This Row],[Сумма 
Приход]]-Таблица1[[#This Row],[Авто услу ]]</f>
        <v>0</v>
      </c>
      <c r="S598" s="34"/>
      <c r="T598" s="34">
        <f>Таблица1[[#This Row],[Сумма 
Продажа]]-IF(Таблица1[[#This Row],[Расход 
Авто]]="Клиент",N(Таблица1[[#This Row],[Авто услу ]]),0)</f>
        <v>0</v>
      </c>
      <c r="U5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8" s="265" t="str">
        <f>IFERROR(INDEX(Мижозлар[Агент],MATCH($D598,Мижозлар[Расмий ном],0)),"")</f>
        <v/>
      </c>
    </row>
    <row r="599" spans="1:23" ht="14.25" x14ac:dyDescent="0.2">
      <c r="A599" s="21"/>
      <c r="B599" s="135"/>
      <c r="C599" s="141"/>
      <c r="D599" s="141"/>
      <c r="E599" s="136"/>
      <c r="F599" s="135"/>
      <c r="G599" s="34"/>
      <c r="H599" s="142"/>
      <c r="I599" s="34"/>
      <c r="J599" s="34">
        <f>Таблица1[[#This Row],[Блок
 Куб]]*Таблица1[[#This Row],[Цена 
Приход]]</f>
        <v>0</v>
      </c>
      <c r="K599" s="34"/>
      <c r="L599" s="34"/>
      <c r="M599" s="34">
        <f>Таблица1[[#This Row],[Поддон
Шт]]*Таблица1[[#This Row],[Цена
Поддон]]</f>
        <v>0</v>
      </c>
      <c r="N599" s="34">
        <f>Таблица1[[#This Row],[Сумма 
Приход]]+Таблица1[[#This Row],[Сумма Поддон]]</f>
        <v>0</v>
      </c>
      <c r="O599" s="34"/>
      <c r="P599" s="34">
        <f>Таблица1[[#This Row],[Блок
 Куб]]*Таблица1[[#This Row],[Цена
 Продажа]]</f>
        <v>0</v>
      </c>
      <c r="Q599" s="34"/>
      <c r="R599" s="34">
        <f>Таблица1[[#This Row],[Сумма 
Продажа]]-Таблица1[[#This Row],[Сумма 
Приход]]-Таблица1[[#This Row],[Авто услу ]]</f>
        <v>0</v>
      </c>
      <c r="S599" s="34"/>
      <c r="T599" s="34">
        <f>Таблица1[[#This Row],[Сумма 
Продажа]]-IF(Таблица1[[#This Row],[Расход 
Авто]]="Клиент",N(Таблица1[[#This Row],[Авто услу ]]),0)</f>
        <v>0</v>
      </c>
      <c r="U5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5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599" s="265" t="str">
        <f>IFERROR(INDEX(Мижозлар[Агент],MATCH($D599,Мижозлар[Расмий ном],0)),"")</f>
        <v/>
      </c>
    </row>
    <row r="600" spans="1:23" ht="14.25" x14ac:dyDescent="0.2">
      <c r="A600" s="21"/>
      <c r="B600" s="135"/>
      <c r="C600" s="141"/>
      <c r="D600" s="141"/>
      <c r="E600" s="136"/>
      <c r="F600" s="135"/>
      <c r="G600" s="34"/>
      <c r="H600" s="142"/>
      <c r="I600" s="34"/>
      <c r="J600" s="34">
        <f>Таблица1[[#This Row],[Блок
 Куб]]*Таблица1[[#This Row],[Цена 
Приход]]</f>
        <v>0</v>
      </c>
      <c r="K600" s="34"/>
      <c r="L600" s="34"/>
      <c r="M600" s="34">
        <f>Таблица1[[#This Row],[Поддон
Шт]]*Таблица1[[#This Row],[Цена
Поддон]]</f>
        <v>0</v>
      </c>
      <c r="N600" s="34">
        <f>Таблица1[[#This Row],[Сумма 
Приход]]+Таблица1[[#This Row],[Сумма Поддон]]</f>
        <v>0</v>
      </c>
      <c r="O600" s="34"/>
      <c r="P600" s="34">
        <f>Таблица1[[#This Row],[Блок
 Куб]]*Таблица1[[#This Row],[Цена
 Продажа]]</f>
        <v>0</v>
      </c>
      <c r="Q600" s="34"/>
      <c r="R600" s="34">
        <f>Таблица1[[#This Row],[Сумма 
Продажа]]-Таблица1[[#This Row],[Сумма 
Приход]]-Таблица1[[#This Row],[Авто услу ]]</f>
        <v>0</v>
      </c>
      <c r="S600" s="34"/>
      <c r="T600" s="34">
        <f>Таблица1[[#This Row],[Сумма 
Продажа]]-IF(Таблица1[[#This Row],[Расход 
Авто]]="Клиент",N(Таблица1[[#This Row],[Авто услу ]]),0)</f>
        <v>0</v>
      </c>
      <c r="U6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0" s="265" t="str">
        <f>IFERROR(INDEX(Мижозлар[Агент],MATCH($D600,Мижозлар[Расмий ном],0)),"")</f>
        <v/>
      </c>
    </row>
    <row r="601" spans="1:23" ht="14.25" x14ac:dyDescent="0.2">
      <c r="A601" s="21"/>
      <c r="B601" s="135"/>
      <c r="C601" s="141"/>
      <c r="D601" s="141"/>
      <c r="E601" s="136"/>
      <c r="F601" s="135"/>
      <c r="G601" s="34"/>
      <c r="H601" s="142"/>
      <c r="I601" s="34"/>
      <c r="J601" s="34">
        <f>Таблица1[[#This Row],[Блок
 Куб]]*Таблица1[[#This Row],[Цена 
Приход]]</f>
        <v>0</v>
      </c>
      <c r="K601" s="34"/>
      <c r="L601" s="34"/>
      <c r="M601" s="34">
        <f>Таблица1[[#This Row],[Поддон
Шт]]*Таблица1[[#This Row],[Цена
Поддон]]</f>
        <v>0</v>
      </c>
      <c r="N601" s="34">
        <f>Таблица1[[#This Row],[Сумма 
Приход]]+Таблица1[[#This Row],[Сумма Поддон]]</f>
        <v>0</v>
      </c>
      <c r="O601" s="34"/>
      <c r="P601" s="34">
        <f>Таблица1[[#This Row],[Блок
 Куб]]*Таблица1[[#This Row],[Цена
 Продажа]]</f>
        <v>0</v>
      </c>
      <c r="Q601" s="34"/>
      <c r="R601" s="34">
        <f>Таблица1[[#This Row],[Сумма 
Продажа]]-Таблица1[[#This Row],[Сумма 
Приход]]-Таблица1[[#This Row],[Авто услу ]]</f>
        <v>0</v>
      </c>
      <c r="S601" s="34"/>
      <c r="T601" s="34">
        <f>Таблица1[[#This Row],[Сумма 
Продажа]]-IF(Таблица1[[#This Row],[Расход 
Авто]]="Клиент",N(Таблица1[[#This Row],[Авто услу ]]),0)</f>
        <v>0</v>
      </c>
      <c r="U6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1" s="265" t="str">
        <f>IFERROR(INDEX(Мижозлар[Агент],MATCH($D601,Мижозлар[Расмий ном],0)),"")</f>
        <v/>
      </c>
    </row>
    <row r="602" spans="1:23" ht="14.25" x14ac:dyDescent="0.2">
      <c r="A602" s="21"/>
      <c r="B602" s="135"/>
      <c r="C602" s="141"/>
      <c r="D602" s="141"/>
      <c r="E602" s="136"/>
      <c r="F602" s="135"/>
      <c r="G602" s="34"/>
      <c r="H602" s="142"/>
      <c r="I602" s="34"/>
      <c r="J602" s="34">
        <f>Таблица1[[#This Row],[Блок
 Куб]]*Таблица1[[#This Row],[Цена 
Приход]]</f>
        <v>0</v>
      </c>
      <c r="K602" s="34"/>
      <c r="L602" s="34"/>
      <c r="M602" s="34">
        <f>Таблица1[[#This Row],[Поддон
Шт]]*Таблица1[[#This Row],[Цена
Поддон]]</f>
        <v>0</v>
      </c>
      <c r="N602" s="34">
        <f>Таблица1[[#This Row],[Сумма 
Приход]]+Таблица1[[#This Row],[Сумма Поддон]]</f>
        <v>0</v>
      </c>
      <c r="O602" s="34"/>
      <c r="P602" s="34">
        <f>Таблица1[[#This Row],[Блок
 Куб]]*Таблица1[[#This Row],[Цена
 Продажа]]</f>
        <v>0</v>
      </c>
      <c r="Q602" s="34"/>
      <c r="R602" s="34">
        <f>Таблица1[[#This Row],[Сумма 
Продажа]]-Таблица1[[#This Row],[Сумма 
Приход]]-Таблица1[[#This Row],[Авто услу ]]</f>
        <v>0</v>
      </c>
      <c r="S602" s="34"/>
      <c r="T602" s="34">
        <f>Таблица1[[#This Row],[Сумма 
Продажа]]-IF(Таблица1[[#This Row],[Расход 
Авто]]="Клиент",N(Таблица1[[#This Row],[Авто услу ]]),0)</f>
        <v>0</v>
      </c>
      <c r="U6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2" s="265" t="str">
        <f>IFERROR(INDEX(Мижозлар[Агент],MATCH($D602,Мижозлар[Расмий ном],0)),"")</f>
        <v/>
      </c>
    </row>
    <row r="603" spans="1:23" ht="14.25" x14ac:dyDescent="0.2">
      <c r="A603" s="21"/>
      <c r="B603" s="135"/>
      <c r="C603" s="141"/>
      <c r="D603" s="141"/>
      <c r="E603" s="136"/>
      <c r="F603" s="135"/>
      <c r="G603" s="34"/>
      <c r="H603" s="142"/>
      <c r="I603" s="34"/>
      <c r="J603" s="34">
        <f>Таблица1[[#This Row],[Блок
 Куб]]*Таблица1[[#This Row],[Цена 
Приход]]</f>
        <v>0</v>
      </c>
      <c r="K603" s="34"/>
      <c r="L603" s="34"/>
      <c r="M603" s="34">
        <f>Таблица1[[#This Row],[Поддон
Шт]]*Таблица1[[#This Row],[Цена
Поддон]]</f>
        <v>0</v>
      </c>
      <c r="N603" s="34">
        <f>Таблица1[[#This Row],[Сумма 
Приход]]+Таблица1[[#This Row],[Сумма Поддон]]</f>
        <v>0</v>
      </c>
      <c r="O603" s="34"/>
      <c r="P603" s="34">
        <f>Таблица1[[#This Row],[Блок
 Куб]]*Таблица1[[#This Row],[Цена
 Продажа]]</f>
        <v>0</v>
      </c>
      <c r="Q603" s="34"/>
      <c r="R603" s="34">
        <f>Таблица1[[#This Row],[Сумма 
Продажа]]-Таблица1[[#This Row],[Сумма 
Приход]]-Таблица1[[#This Row],[Авто услу ]]</f>
        <v>0</v>
      </c>
      <c r="S603" s="34"/>
      <c r="T603" s="34">
        <f>Таблица1[[#This Row],[Сумма 
Продажа]]-IF(Таблица1[[#This Row],[Расход 
Авто]]="Клиент",N(Таблица1[[#This Row],[Авто услу ]]),0)</f>
        <v>0</v>
      </c>
      <c r="U6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3" s="265" t="str">
        <f>IFERROR(INDEX(Мижозлар[Агент],MATCH($D603,Мижозлар[Расмий ном],0)),"")</f>
        <v/>
      </c>
    </row>
    <row r="604" spans="1:23" ht="14.25" x14ac:dyDescent="0.2">
      <c r="A604" s="21"/>
      <c r="B604" s="135"/>
      <c r="C604" s="141"/>
      <c r="D604" s="141"/>
      <c r="E604" s="136"/>
      <c r="F604" s="135"/>
      <c r="G604" s="34"/>
      <c r="H604" s="142"/>
      <c r="I604" s="34"/>
      <c r="J604" s="34">
        <f>Таблица1[[#This Row],[Блок
 Куб]]*Таблица1[[#This Row],[Цена 
Приход]]</f>
        <v>0</v>
      </c>
      <c r="K604" s="34"/>
      <c r="L604" s="34"/>
      <c r="M604" s="34">
        <f>Таблица1[[#This Row],[Поддон
Шт]]*Таблица1[[#This Row],[Цена
Поддон]]</f>
        <v>0</v>
      </c>
      <c r="N604" s="34">
        <f>Таблица1[[#This Row],[Сумма 
Приход]]+Таблица1[[#This Row],[Сумма Поддон]]</f>
        <v>0</v>
      </c>
      <c r="O604" s="34"/>
      <c r="P604" s="34">
        <f>Таблица1[[#This Row],[Блок
 Куб]]*Таблица1[[#This Row],[Цена
 Продажа]]</f>
        <v>0</v>
      </c>
      <c r="Q604" s="34"/>
      <c r="R604" s="34">
        <f>Таблица1[[#This Row],[Сумма 
Продажа]]-Таблица1[[#This Row],[Сумма 
Приход]]-Таблица1[[#This Row],[Авто услу ]]</f>
        <v>0</v>
      </c>
      <c r="S604" s="34"/>
      <c r="T604" s="34">
        <f>Таблица1[[#This Row],[Сумма 
Продажа]]-IF(Таблица1[[#This Row],[Расход 
Авто]]="Клиент",N(Таблица1[[#This Row],[Авто услу ]]),0)</f>
        <v>0</v>
      </c>
      <c r="U6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4" s="265" t="str">
        <f>IFERROR(INDEX(Мижозлар[Агент],MATCH($D604,Мижозлар[Расмий ном],0)),"")</f>
        <v/>
      </c>
    </row>
    <row r="605" spans="1:23" ht="14.25" x14ac:dyDescent="0.2">
      <c r="A605" s="21"/>
      <c r="B605" s="135"/>
      <c r="C605" s="141"/>
      <c r="D605" s="141"/>
      <c r="E605" s="136"/>
      <c r="F605" s="135"/>
      <c r="G605" s="34"/>
      <c r="H605" s="142"/>
      <c r="I605" s="34"/>
      <c r="J605" s="34">
        <f>Таблица1[[#This Row],[Блок
 Куб]]*Таблица1[[#This Row],[Цена 
Приход]]</f>
        <v>0</v>
      </c>
      <c r="K605" s="34"/>
      <c r="L605" s="34"/>
      <c r="M605" s="34">
        <f>Таблица1[[#This Row],[Поддон
Шт]]*Таблица1[[#This Row],[Цена
Поддон]]</f>
        <v>0</v>
      </c>
      <c r="N605" s="34">
        <f>Таблица1[[#This Row],[Сумма 
Приход]]+Таблица1[[#This Row],[Сумма Поддон]]</f>
        <v>0</v>
      </c>
      <c r="O605" s="34"/>
      <c r="P605" s="34">
        <f>Таблица1[[#This Row],[Блок
 Куб]]*Таблица1[[#This Row],[Цена
 Продажа]]</f>
        <v>0</v>
      </c>
      <c r="Q605" s="34"/>
      <c r="R605" s="34">
        <f>Таблица1[[#This Row],[Сумма 
Продажа]]-Таблица1[[#This Row],[Сумма 
Приход]]-Таблица1[[#This Row],[Авто услу ]]</f>
        <v>0</v>
      </c>
      <c r="S605" s="34"/>
      <c r="T605" s="34">
        <f>Таблица1[[#This Row],[Сумма 
Продажа]]-IF(Таблица1[[#This Row],[Расход 
Авто]]="Клиент",N(Таблица1[[#This Row],[Авто услу ]]),0)</f>
        <v>0</v>
      </c>
      <c r="U6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5" s="265" t="str">
        <f>IFERROR(INDEX(Мижозлар[Агент],MATCH($D605,Мижозлар[Расмий ном],0)),"")</f>
        <v/>
      </c>
    </row>
    <row r="606" spans="1:23" ht="14.25" x14ac:dyDescent="0.2">
      <c r="A606" s="21"/>
      <c r="B606" s="135"/>
      <c r="C606" s="141"/>
      <c r="D606" s="141"/>
      <c r="E606" s="136"/>
      <c r="F606" s="135"/>
      <c r="G606" s="34"/>
      <c r="H606" s="142"/>
      <c r="I606" s="34"/>
      <c r="J606" s="34">
        <f>Таблица1[[#This Row],[Блок
 Куб]]*Таблица1[[#This Row],[Цена 
Приход]]</f>
        <v>0</v>
      </c>
      <c r="K606" s="34"/>
      <c r="L606" s="34"/>
      <c r="M606" s="34">
        <f>Таблица1[[#This Row],[Поддон
Шт]]*Таблица1[[#This Row],[Цена
Поддон]]</f>
        <v>0</v>
      </c>
      <c r="N606" s="34">
        <f>Таблица1[[#This Row],[Сумма 
Приход]]+Таблица1[[#This Row],[Сумма Поддон]]</f>
        <v>0</v>
      </c>
      <c r="O606" s="34"/>
      <c r="P606" s="34">
        <f>Таблица1[[#This Row],[Блок
 Куб]]*Таблица1[[#This Row],[Цена
 Продажа]]</f>
        <v>0</v>
      </c>
      <c r="Q606" s="34"/>
      <c r="R606" s="34">
        <f>Таблица1[[#This Row],[Сумма 
Продажа]]-Таблица1[[#This Row],[Сумма 
Приход]]-Таблица1[[#This Row],[Авто услу ]]</f>
        <v>0</v>
      </c>
      <c r="S606" s="34"/>
      <c r="T606" s="34">
        <f>Таблица1[[#This Row],[Сумма 
Продажа]]-IF(Таблица1[[#This Row],[Расход 
Авто]]="Клиент",N(Таблица1[[#This Row],[Авто услу ]]),0)</f>
        <v>0</v>
      </c>
      <c r="U6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6" s="265" t="str">
        <f>IFERROR(INDEX(Мижозлар[Агент],MATCH($D606,Мижозлар[Расмий ном],0)),"")</f>
        <v/>
      </c>
    </row>
    <row r="607" spans="1:23" ht="14.25" x14ac:dyDescent="0.2">
      <c r="A607" s="21"/>
      <c r="B607" s="135"/>
      <c r="C607" s="141"/>
      <c r="D607" s="141"/>
      <c r="E607" s="136"/>
      <c r="F607" s="135"/>
      <c r="G607" s="34"/>
      <c r="H607" s="142"/>
      <c r="I607" s="34"/>
      <c r="J607" s="34">
        <f>Таблица1[[#This Row],[Блок
 Куб]]*Таблица1[[#This Row],[Цена 
Приход]]</f>
        <v>0</v>
      </c>
      <c r="K607" s="34"/>
      <c r="L607" s="34"/>
      <c r="M607" s="34">
        <f>Таблица1[[#This Row],[Поддон
Шт]]*Таблица1[[#This Row],[Цена
Поддон]]</f>
        <v>0</v>
      </c>
      <c r="N607" s="34">
        <f>Таблица1[[#This Row],[Сумма 
Приход]]+Таблица1[[#This Row],[Сумма Поддон]]</f>
        <v>0</v>
      </c>
      <c r="O607" s="34"/>
      <c r="P607" s="34">
        <f>Таблица1[[#This Row],[Блок
 Куб]]*Таблица1[[#This Row],[Цена
 Продажа]]</f>
        <v>0</v>
      </c>
      <c r="Q607" s="34"/>
      <c r="R607" s="34">
        <f>Таблица1[[#This Row],[Сумма 
Продажа]]-Таблица1[[#This Row],[Сумма 
Приход]]-Таблица1[[#This Row],[Авто услу ]]</f>
        <v>0</v>
      </c>
      <c r="S607" s="34"/>
      <c r="T607" s="34">
        <f>Таблица1[[#This Row],[Сумма 
Продажа]]-IF(Таблица1[[#This Row],[Расход 
Авто]]="Клиент",N(Таблица1[[#This Row],[Авто услу ]]),0)</f>
        <v>0</v>
      </c>
      <c r="U6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7" s="265" t="str">
        <f>IFERROR(INDEX(Мижозлар[Агент],MATCH($D607,Мижозлар[Расмий ном],0)),"")</f>
        <v/>
      </c>
    </row>
    <row r="608" spans="1:23" ht="14.25" x14ac:dyDescent="0.2">
      <c r="A608" s="21"/>
      <c r="B608" s="135"/>
      <c r="C608" s="141"/>
      <c r="D608" s="141"/>
      <c r="E608" s="136"/>
      <c r="F608" s="135"/>
      <c r="G608" s="34"/>
      <c r="H608" s="142"/>
      <c r="I608" s="34"/>
      <c r="J608" s="34">
        <f>Таблица1[[#This Row],[Блок
 Куб]]*Таблица1[[#This Row],[Цена 
Приход]]</f>
        <v>0</v>
      </c>
      <c r="K608" s="34"/>
      <c r="L608" s="34"/>
      <c r="M608" s="34">
        <f>Таблица1[[#This Row],[Поддон
Шт]]*Таблица1[[#This Row],[Цена
Поддон]]</f>
        <v>0</v>
      </c>
      <c r="N608" s="34">
        <f>Таблица1[[#This Row],[Сумма 
Приход]]+Таблица1[[#This Row],[Сумма Поддон]]</f>
        <v>0</v>
      </c>
      <c r="O608" s="34"/>
      <c r="P608" s="34">
        <f>Таблица1[[#This Row],[Блок
 Куб]]*Таблица1[[#This Row],[Цена
 Продажа]]</f>
        <v>0</v>
      </c>
      <c r="Q608" s="34"/>
      <c r="R608" s="34">
        <f>Таблица1[[#This Row],[Сумма 
Продажа]]-Таблица1[[#This Row],[Сумма 
Приход]]-Таблица1[[#This Row],[Авто услу ]]</f>
        <v>0</v>
      </c>
      <c r="S608" s="34"/>
      <c r="T608" s="34">
        <f>Таблица1[[#This Row],[Сумма 
Продажа]]-IF(Таблица1[[#This Row],[Расход 
Авто]]="Клиент",N(Таблица1[[#This Row],[Авто услу ]]),0)</f>
        <v>0</v>
      </c>
      <c r="U6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8" s="265" t="str">
        <f>IFERROR(INDEX(Мижозлар[Агент],MATCH($D608,Мижозлар[Расмий ном],0)),"")</f>
        <v/>
      </c>
    </row>
    <row r="609" spans="1:23" ht="14.25" x14ac:dyDescent="0.2">
      <c r="A609" s="21"/>
      <c r="B609" s="135"/>
      <c r="C609" s="141"/>
      <c r="D609" s="141"/>
      <c r="E609" s="136"/>
      <c r="F609" s="135"/>
      <c r="G609" s="34"/>
      <c r="H609" s="142"/>
      <c r="I609" s="34"/>
      <c r="J609" s="34">
        <f>Таблица1[[#This Row],[Блок
 Куб]]*Таблица1[[#This Row],[Цена 
Приход]]</f>
        <v>0</v>
      </c>
      <c r="K609" s="34"/>
      <c r="L609" s="34"/>
      <c r="M609" s="34">
        <f>Таблица1[[#This Row],[Поддон
Шт]]*Таблица1[[#This Row],[Цена
Поддон]]</f>
        <v>0</v>
      </c>
      <c r="N609" s="34">
        <f>Таблица1[[#This Row],[Сумма 
Приход]]+Таблица1[[#This Row],[Сумма Поддон]]</f>
        <v>0</v>
      </c>
      <c r="O609" s="34"/>
      <c r="P609" s="34">
        <f>Таблица1[[#This Row],[Блок
 Куб]]*Таблица1[[#This Row],[Цена
 Продажа]]</f>
        <v>0</v>
      </c>
      <c r="Q609" s="34"/>
      <c r="R609" s="34">
        <f>Таблица1[[#This Row],[Сумма 
Продажа]]-Таблица1[[#This Row],[Сумма 
Приход]]-Таблица1[[#This Row],[Авто услу ]]</f>
        <v>0</v>
      </c>
      <c r="S609" s="34"/>
      <c r="T609" s="34">
        <f>Таблица1[[#This Row],[Сумма 
Продажа]]-IF(Таблица1[[#This Row],[Расход 
Авто]]="Клиент",N(Таблица1[[#This Row],[Авто услу ]]),0)</f>
        <v>0</v>
      </c>
      <c r="U6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09" s="265" t="str">
        <f>IFERROR(INDEX(Мижозлар[Агент],MATCH($D609,Мижозлар[Расмий ном],0)),"")</f>
        <v/>
      </c>
    </row>
    <row r="610" spans="1:23" ht="14.25" x14ac:dyDescent="0.2">
      <c r="A610" s="21"/>
      <c r="B610" s="135"/>
      <c r="C610" s="141"/>
      <c r="D610" s="141"/>
      <c r="E610" s="136"/>
      <c r="F610" s="135"/>
      <c r="G610" s="34"/>
      <c r="H610" s="142"/>
      <c r="I610" s="34"/>
      <c r="J610" s="34">
        <f>Таблица1[[#This Row],[Блок
 Куб]]*Таблица1[[#This Row],[Цена 
Приход]]</f>
        <v>0</v>
      </c>
      <c r="K610" s="34"/>
      <c r="L610" s="34"/>
      <c r="M610" s="34">
        <f>Таблица1[[#This Row],[Поддон
Шт]]*Таблица1[[#This Row],[Цена
Поддон]]</f>
        <v>0</v>
      </c>
      <c r="N610" s="34">
        <f>Таблица1[[#This Row],[Сумма 
Приход]]+Таблица1[[#This Row],[Сумма Поддон]]</f>
        <v>0</v>
      </c>
      <c r="O610" s="34"/>
      <c r="P610" s="34">
        <f>Таблица1[[#This Row],[Блок
 Куб]]*Таблица1[[#This Row],[Цена
 Продажа]]</f>
        <v>0</v>
      </c>
      <c r="Q610" s="34"/>
      <c r="R610" s="34">
        <f>Таблица1[[#This Row],[Сумма 
Продажа]]-Таблица1[[#This Row],[Сумма 
Приход]]-Таблица1[[#This Row],[Авто услу ]]</f>
        <v>0</v>
      </c>
      <c r="S610" s="34"/>
      <c r="T610" s="34">
        <f>Таблица1[[#This Row],[Сумма 
Продажа]]-IF(Таблица1[[#This Row],[Расход 
Авто]]="Клиент",N(Таблица1[[#This Row],[Авто услу ]]),0)</f>
        <v>0</v>
      </c>
      <c r="U6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0" s="265" t="str">
        <f>IFERROR(INDEX(Мижозлар[Агент],MATCH($D610,Мижозлар[Расмий ном],0)),"")</f>
        <v/>
      </c>
    </row>
    <row r="611" spans="1:23" ht="14.25" x14ac:dyDescent="0.2">
      <c r="A611" s="21"/>
      <c r="B611" s="135"/>
      <c r="C611" s="141"/>
      <c r="D611" s="141"/>
      <c r="E611" s="136"/>
      <c r="F611" s="135"/>
      <c r="G611" s="34"/>
      <c r="H611" s="142"/>
      <c r="I611" s="34"/>
      <c r="J611" s="34">
        <f>Таблица1[[#This Row],[Блок
 Куб]]*Таблица1[[#This Row],[Цена 
Приход]]</f>
        <v>0</v>
      </c>
      <c r="K611" s="34"/>
      <c r="L611" s="34"/>
      <c r="M611" s="34">
        <f>Таблица1[[#This Row],[Поддон
Шт]]*Таблица1[[#This Row],[Цена
Поддон]]</f>
        <v>0</v>
      </c>
      <c r="N611" s="34">
        <f>Таблица1[[#This Row],[Сумма 
Приход]]+Таблица1[[#This Row],[Сумма Поддон]]</f>
        <v>0</v>
      </c>
      <c r="O611" s="34"/>
      <c r="P611" s="34">
        <f>Таблица1[[#This Row],[Блок
 Куб]]*Таблица1[[#This Row],[Цена
 Продажа]]</f>
        <v>0</v>
      </c>
      <c r="Q611" s="34"/>
      <c r="R611" s="34">
        <f>Таблица1[[#This Row],[Сумма 
Продажа]]-Таблица1[[#This Row],[Сумма 
Приход]]-Таблица1[[#This Row],[Авто услу ]]</f>
        <v>0</v>
      </c>
      <c r="S611" s="34"/>
      <c r="T611" s="34">
        <f>Таблица1[[#This Row],[Сумма 
Продажа]]-IF(Таблица1[[#This Row],[Расход 
Авто]]="Клиент",N(Таблица1[[#This Row],[Авто услу ]]),0)</f>
        <v>0</v>
      </c>
      <c r="U6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1" s="265" t="str">
        <f>IFERROR(INDEX(Мижозлар[Агент],MATCH($D611,Мижозлар[Расмий ном],0)),"")</f>
        <v/>
      </c>
    </row>
    <row r="612" spans="1:23" ht="14.25" x14ac:dyDescent="0.2">
      <c r="A612" s="21"/>
      <c r="B612" s="135"/>
      <c r="C612" s="141"/>
      <c r="D612" s="141"/>
      <c r="E612" s="136"/>
      <c r="F612" s="135"/>
      <c r="G612" s="34"/>
      <c r="H612" s="142"/>
      <c r="I612" s="34"/>
      <c r="J612" s="34">
        <f>Таблица1[[#This Row],[Блок
 Куб]]*Таблица1[[#This Row],[Цена 
Приход]]</f>
        <v>0</v>
      </c>
      <c r="K612" s="34"/>
      <c r="L612" s="34"/>
      <c r="M612" s="34">
        <f>Таблица1[[#This Row],[Поддон
Шт]]*Таблица1[[#This Row],[Цена
Поддон]]</f>
        <v>0</v>
      </c>
      <c r="N612" s="34">
        <f>Таблица1[[#This Row],[Сумма 
Приход]]+Таблица1[[#This Row],[Сумма Поддон]]</f>
        <v>0</v>
      </c>
      <c r="O612" s="34"/>
      <c r="P612" s="34">
        <f>Таблица1[[#This Row],[Блок
 Куб]]*Таблица1[[#This Row],[Цена
 Продажа]]</f>
        <v>0</v>
      </c>
      <c r="Q612" s="34"/>
      <c r="R612" s="34">
        <f>Таблица1[[#This Row],[Сумма 
Продажа]]-Таблица1[[#This Row],[Сумма 
Приход]]-Таблица1[[#This Row],[Авто услу ]]</f>
        <v>0</v>
      </c>
      <c r="S612" s="34"/>
      <c r="T612" s="34">
        <f>Таблица1[[#This Row],[Сумма 
Продажа]]-IF(Таблица1[[#This Row],[Расход 
Авто]]="Клиент",N(Таблица1[[#This Row],[Авто услу ]]),0)</f>
        <v>0</v>
      </c>
      <c r="U6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2" s="265" t="str">
        <f>IFERROR(INDEX(Мижозлар[Агент],MATCH($D612,Мижозлар[Расмий ном],0)),"")</f>
        <v/>
      </c>
    </row>
    <row r="613" spans="1:23" ht="14.25" x14ac:dyDescent="0.2">
      <c r="A613" s="21"/>
      <c r="B613" s="135"/>
      <c r="C613" s="141"/>
      <c r="D613" s="141"/>
      <c r="E613" s="136"/>
      <c r="F613" s="135"/>
      <c r="G613" s="34"/>
      <c r="H613" s="142"/>
      <c r="I613" s="34"/>
      <c r="J613" s="34">
        <f>Таблица1[[#This Row],[Блок
 Куб]]*Таблица1[[#This Row],[Цена 
Приход]]</f>
        <v>0</v>
      </c>
      <c r="K613" s="34"/>
      <c r="L613" s="34"/>
      <c r="M613" s="34">
        <f>Таблица1[[#This Row],[Поддон
Шт]]*Таблица1[[#This Row],[Цена
Поддон]]</f>
        <v>0</v>
      </c>
      <c r="N613" s="34">
        <f>Таблица1[[#This Row],[Сумма 
Приход]]+Таблица1[[#This Row],[Сумма Поддон]]</f>
        <v>0</v>
      </c>
      <c r="O613" s="34"/>
      <c r="P613" s="34">
        <f>Таблица1[[#This Row],[Блок
 Куб]]*Таблица1[[#This Row],[Цена
 Продажа]]</f>
        <v>0</v>
      </c>
      <c r="Q613" s="34"/>
      <c r="R613" s="34">
        <f>Таблица1[[#This Row],[Сумма 
Продажа]]-Таблица1[[#This Row],[Сумма 
Приход]]-Таблица1[[#This Row],[Авто услу ]]</f>
        <v>0</v>
      </c>
      <c r="S613" s="34"/>
      <c r="T613" s="34">
        <f>Таблица1[[#This Row],[Сумма 
Продажа]]-IF(Таблица1[[#This Row],[Расход 
Авто]]="Клиент",N(Таблица1[[#This Row],[Авто услу ]]),0)</f>
        <v>0</v>
      </c>
      <c r="U6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3" s="265" t="str">
        <f>IFERROR(INDEX(Мижозлар[Агент],MATCH($D613,Мижозлар[Расмий ном],0)),"")</f>
        <v/>
      </c>
    </row>
    <row r="614" spans="1:23" ht="14.25" x14ac:dyDescent="0.2">
      <c r="A614" s="21"/>
      <c r="B614" s="135"/>
      <c r="C614" s="141"/>
      <c r="D614" s="141"/>
      <c r="E614" s="136"/>
      <c r="F614" s="135"/>
      <c r="G614" s="34"/>
      <c r="H614" s="142"/>
      <c r="I614" s="34"/>
      <c r="J614" s="34">
        <f>Таблица1[[#This Row],[Блок
 Куб]]*Таблица1[[#This Row],[Цена 
Приход]]</f>
        <v>0</v>
      </c>
      <c r="K614" s="34"/>
      <c r="L614" s="34"/>
      <c r="M614" s="34">
        <f>Таблица1[[#This Row],[Поддон
Шт]]*Таблица1[[#This Row],[Цена
Поддон]]</f>
        <v>0</v>
      </c>
      <c r="N614" s="34">
        <f>Таблица1[[#This Row],[Сумма 
Приход]]+Таблица1[[#This Row],[Сумма Поддон]]</f>
        <v>0</v>
      </c>
      <c r="O614" s="34"/>
      <c r="P614" s="34">
        <f>Таблица1[[#This Row],[Блок
 Куб]]*Таблица1[[#This Row],[Цена
 Продажа]]</f>
        <v>0</v>
      </c>
      <c r="Q614" s="34"/>
      <c r="R614" s="34">
        <f>Таблица1[[#This Row],[Сумма 
Продажа]]-Таблица1[[#This Row],[Сумма 
Приход]]-Таблица1[[#This Row],[Авто услу ]]</f>
        <v>0</v>
      </c>
      <c r="S614" s="34"/>
      <c r="T614" s="34">
        <f>Таблица1[[#This Row],[Сумма 
Продажа]]-IF(Таблица1[[#This Row],[Расход 
Авто]]="Клиент",N(Таблица1[[#This Row],[Авто услу ]]),0)</f>
        <v>0</v>
      </c>
      <c r="U6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4" s="265" t="str">
        <f>IFERROR(INDEX(Мижозлар[Агент],MATCH($D614,Мижозлар[Расмий ном],0)),"")</f>
        <v/>
      </c>
    </row>
    <row r="615" spans="1:23" ht="14.25" x14ac:dyDescent="0.2">
      <c r="A615" s="21"/>
      <c r="B615" s="135"/>
      <c r="C615" s="141"/>
      <c r="D615" s="141"/>
      <c r="E615" s="136"/>
      <c r="F615" s="135"/>
      <c r="G615" s="34"/>
      <c r="H615" s="142"/>
      <c r="I615" s="34"/>
      <c r="J615" s="34">
        <f>Таблица1[[#This Row],[Блок
 Куб]]*Таблица1[[#This Row],[Цена 
Приход]]</f>
        <v>0</v>
      </c>
      <c r="K615" s="34"/>
      <c r="L615" s="34"/>
      <c r="M615" s="34">
        <f>Таблица1[[#This Row],[Поддон
Шт]]*Таблица1[[#This Row],[Цена
Поддон]]</f>
        <v>0</v>
      </c>
      <c r="N615" s="34">
        <f>Таблица1[[#This Row],[Сумма 
Приход]]+Таблица1[[#This Row],[Сумма Поддон]]</f>
        <v>0</v>
      </c>
      <c r="O615" s="34"/>
      <c r="P615" s="34">
        <f>Таблица1[[#This Row],[Блок
 Куб]]*Таблица1[[#This Row],[Цена
 Продажа]]</f>
        <v>0</v>
      </c>
      <c r="Q615" s="34"/>
      <c r="R615" s="34">
        <f>Таблица1[[#This Row],[Сумма 
Продажа]]-Таблица1[[#This Row],[Сумма 
Приход]]-Таблица1[[#This Row],[Авто услу ]]</f>
        <v>0</v>
      </c>
      <c r="S615" s="34"/>
      <c r="T615" s="34">
        <f>Таблица1[[#This Row],[Сумма 
Продажа]]-IF(Таблица1[[#This Row],[Расход 
Авто]]="Клиент",N(Таблица1[[#This Row],[Авто услу ]]),0)</f>
        <v>0</v>
      </c>
      <c r="U6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5" s="265" t="str">
        <f>IFERROR(INDEX(Мижозлар[Агент],MATCH($D615,Мижозлар[Расмий ном],0)),"")</f>
        <v/>
      </c>
    </row>
    <row r="616" spans="1:23" ht="14.25" x14ac:dyDescent="0.2">
      <c r="A616" s="21"/>
      <c r="B616" s="135"/>
      <c r="C616" s="141"/>
      <c r="D616" s="141"/>
      <c r="E616" s="136"/>
      <c r="F616" s="135"/>
      <c r="G616" s="34"/>
      <c r="H616" s="142"/>
      <c r="I616" s="34"/>
      <c r="J616" s="34">
        <f>Таблица1[[#This Row],[Блок
 Куб]]*Таблица1[[#This Row],[Цена 
Приход]]</f>
        <v>0</v>
      </c>
      <c r="K616" s="34"/>
      <c r="L616" s="34"/>
      <c r="M616" s="34">
        <f>Таблица1[[#This Row],[Поддон
Шт]]*Таблица1[[#This Row],[Цена
Поддон]]</f>
        <v>0</v>
      </c>
      <c r="N616" s="34">
        <f>Таблица1[[#This Row],[Сумма 
Приход]]+Таблица1[[#This Row],[Сумма Поддон]]</f>
        <v>0</v>
      </c>
      <c r="O616" s="34"/>
      <c r="P616" s="34">
        <f>Таблица1[[#This Row],[Блок
 Куб]]*Таблица1[[#This Row],[Цена
 Продажа]]</f>
        <v>0</v>
      </c>
      <c r="Q616" s="34"/>
      <c r="R616" s="34">
        <f>Таблица1[[#This Row],[Сумма 
Продажа]]-Таблица1[[#This Row],[Сумма 
Приход]]-Таблица1[[#This Row],[Авто услу ]]</f>
        <v>0</v>
      </c>
      <c r="S616" s="34"/>
      <c r="T616" s="34">
        <f>Таблица1[[#This Row],[Сумма 
Продажа]]-IF(Таблица1[[#This Row],[Расход 
Авто]]="Клиент",N(Таблица1[[#This Row],[Авто услу ]]),0)</f>
        <v>0</v>
      </c>
      <c r="U6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6" s="265" t="str">
        <f>IFERROR(INDEX(Мижозлар[Агент],MATCH($D616,Мижозлар[Расмий ном],0)),"")</f>
        <v/>
      </c>
    </row>
    <row r="617" spans="1:23" ht="14.25" x14ac:dyDescent="0.2">
      <c r="A617" s="21"/>
      <c r="B617" s="135"/>
      <c r="C617" s="141"/>
      <c r="D617" s="141"/>
      <c r="E617" s="136"/>
      <c r="F617" s="135"/>
      <c r="G617" s="34"/>
      <c r="H617" s="142"/>
      <c r="I617" s="34"/>
      <c r="J617" s="34">
        <f>Таблица1[[#This Row],[Блок
 Куб]]*Таблица1[[#This Row],[Цена 
Приход]]</f>
        <v>0</v>
      </c>
      <c r="K617" s="34"/>
      <c r="L617" s="34"/>
      <c r="M617" s="34">
        <f>Таблица1[[#This Row],[Поддон
Шт]]*Таблица1[[#This Row],[Цена
Поддон]]</f>
        <v>0</v>
      </c>
      <c r="N617" s="34">
        <f>Таблица1[[#This Row],[Сумма 
Приход]]+Таблица1[[#This Row],[Сумма Поддон]]</f>
        <v>0</v>
      </c>
      <c r="O617" s="34"/>
      <c r="P617" s="34">
        <f>Таблица1[[#This Row],[Блок
 Куб]]*Таблица1[[#This Row],[Цена
 Продажа]]</f>
        <v>0</v>
      </c>
      <c r="Q617" s="34"/>
      <c r="R617" s="34">
        <f>Таблица1[[#This Row],[Сумма 
Продажа]]-Таблица1[[#This Row],[Сумма 
Приход]]-Таблица1[[#This Row],[Авто услу ]]</f>
        <v>0</v>
      </c>
      <c r="S617" s="34"/>
      <c r="T617" s="34">
        <f>Таблица1[[#This Row],[Сумма 
Продажа]]-IF(Таблица1[[#This Row],[Расход 
Авто]]="Клиент",N(Таблица1[[#This Row],[Авто услу ]]),0)</f>
        <v>0</v>
      </c>
      <c r="U6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7" s="265" t="str">
        <f>IFERROR(INDEX(Мижозлар[Агент],MATCH($D617,Мижозлар[Расмий ном],0)),"")</f>
        <v/>
      </c>
    </row>
    <row r="618" spans="1:23" ht="14.25" x14ac:dyDescent="0.2">
      <c r="A618" s="21"/>
      <c r="B618" s="135"/>
      <c r="C618" s="141"/>
      <c r="D618" s="141"/>
      <c r="E618" s="136"/>
      <c r="F618" s="135"/>
      <c r="G618" s="34"/>
      <c r="H618" s="142"/>
      <c r="I618" s="34"/>
      <c r="J618" s="34">
        <f>Таблица1[[#This Row],[Блок
 Куб]]*Таблица1[[#This Row],[Цена 
Приход]]</f>
        <v>0</v>
      </c>
      <c r="K618" s="34"/>
      <c r="L618" s="34"/>
      <c r="M618" s="34">
        <f>Таблица1[[#This Row],[Поддон
Шт]]*Таблица1[[#This Row],[Цена
Поддон]]</f>
        <v>0</v>
      </c>
      <c r="N618" s="34">
        <f>Таблица1[[#This Row],[Сумма 
Приход]]+Таблица1[[#This Row],[Сумма Поддон]]</f>
        <v>0</v>
      </c>
      <c r="O618" s="34"/>
      <c r="P618" s="34">
        <f>Таблица1[[#This Row],[Блок
 Куб]]*Таблица1[[#This Row],[Цена
 Продажа]]</f>
        <v>0</v>
      </c>
      <c r="Q618" s="34"/>
      <c r="R618" s="34">
        <f>Таблица1[[#This Row],[Сумма 
Продажа]]-Таблица1[[#This Row],[Сумма 
Приход]]-Таблица1[[#This Row],[Авто услу ]]</f>
        <v>0</v>
      </c>
      <c r="S618" s="34"/>
      <c r="T618" s="34">
        <f>Таблица1[[#This Row],[Сумма 
Продажа]]-IF(Таблица1[[#This Row],[Расход 
Авто]]="Клиент",N(Таблица1[[#This Row],[Авто услу ]]),0)</f>
        <v>0</v>
      </c>
      <c r="U6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8" s="265" t="str">
        <f>IFERROR(INDEX(Мижозлар[Агент],MATCH($D618,Мижозлар[Расмий ном],0)),"")</f>
        <v/>
      </c>
    </row>
    <row r="619" spans="1:23" ht="14.25" x14ac:dyDescent="0.2">
      <c r="A619" s="21"/>
      <c r="B619" s="135"/>
      <c r="C619" s="141"/>
      <c r="D619" s="141"/>
      <c r="E619" s="136"/>
      <c r="F619" s="135"/>
      <c r="G619" s="34"/>
      <c r="H619" s="142"/>
      <c r="I619" s="34"/>
      <c r="J619" s="34">
        <f>Таблица1[[#This Row],[Блок
 Куб]]*Таблица1[[#This Row],[Цена 
Приход]]</f>
        <v>0</v>
      </c>
      <c r="K619" s="34"/>
      <c r="L619" s="34"/>
      <c r="M619" s="34">
        <f>Таблица1[[#This Row],[Поддон
Шт]]*Таблица1[[#This Row],[Цена
Поддон]]</f>
        <v>0</v>
      </c>
      <c r="N619" s="34">
        <f>Таблица1[[#This Row],[Сумма 
Приход]]+Таблица1[[#This Row],[Сумма Поддон]]</f>
        <v>0</v>
      </c>
      <c r="O619" s="34"/>
      <c r="P619" s="34">
        <f>Таблица1[[#This Row],[Блок
 Куб]]*Таблица1[[#This Row],[Цена
 Продажа]]</f>
        <v>0</v>
      </c>
      <c r="Q619" s="34"/>
      <c r="R619" s="34">
        <f>Таблица1[[#This Row],[Сумма 
Продажа]]-Таблица1[[#This Row],[Сумма 
Приход]]-Таблица1[[#This Row],[Авто услу ]]</f>
        <v>0</v>
      </c>
      <c r="S619" s="34"/>
      <c r="T619" s="34">
        <f>Таблица1[[#This Row],[Сумма 
Продажа]]-IF(Таблица1[[#This Row],[Расход 
Авто]]="Клиент",N(Таблица1[[#This Row],[Авто услу ]]),0)</f>
        <v>0</v>
      </c>
      <c r="U6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19" s="265" t="str">
        <f>IFERROR(INDEX(Мижозлар[Агент],MATCH($D619,Мижозлар[Расмий ном],0)),"")</f>
        <v/>
      </c>
    </row>
    <row r="620" spans="1:23" ht="14.25" x14ac:dyDescent="0.2">
      <c r="A620" s="21"/>
      <c r="B620" s="135"/>
      <c r="C620" s="141"/>
      <c r="D620" s="141"/>
      <c r="E620" s="136"/>
      <c r="F620" s="135"/>
      <c r="G620" s="34"/>
      <c r="H620" s="142"/>
      <c r="I620" s="34"/>
      <c r="J620" s="34">
        <f>Таблица1[[#This Row],[Блок
 Куб]]*Таблица1[[#This Row],[Цена 
Приход]]</f>
        <v>0</v>
      </c>
      <c r="K620" s="34"/>
      <c r="L620" s="34"/>
      <c r="M620" s="34">
        <f>Таблица1[[#This Row],[Поддон
Шт]]*Таблица1[[#This Row],[Цена
Поддон]]</f>
        <v>0</v>
      </c>
      <c r="N620" s="34">
        <f>Таблица1[[#This Row],[Сумма 
Приход]]+Таблица1[[#This Row],[Сумма Поддон]]</f>
        <v>0</v>
      </c>
      <c r="O620" s="34"/>
      <c r="P620" s="34">
        <f>Таблица1[[#This Row],[Блок
 Куб]]*Таблица1[[#This Row],[Цена
 Продажа]]</f>
        <v>0</v>
      </c>
      <c r="Q620" s="34"/>
      <c r="R620" s="34">
        <f>Таблица1[[#This Row],[Сумма 
Продажа]]-Таблица1[[#This Row],[Сумма 
Приход]]-Таблица1[[#This Row],[Авто услу ]]</f>
        <v>0</v>
      </c>
      <c r="S620" s="34"/>
      <c r="T620" s="34">
        <f>Таблица1[[#This Row],[Сумма 
Продажа]]-IF(Таблица1[[#This Row],[Расход 
Авто]]="Клиент",N(Таблица1[[#This Row],[Авто услу ]]),0)</f>
        <v>0</v>
      </c>
      <c r="U6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0" s="265" t="str">
        <f>IFERROR(INDEX(Мижозлар[Агент],MATCH($D620,Мижозлар[Расмий ном],0)),"")</f>
        <v/>
      </c>
    </row>
    <row r="621" spans="1:23" ht="14.25" x14ac:dyDescent="0.2">
      <c r="A621" s="21"/>
      <c r="B621" s="135"/>
      <c r="C621" s="141"/>
      <c r="D621" s="141"/>
      <c r="E621" s="136"/>
      <c r="F621" s="135"/>
      <c r="G621" s="34"/>
      <c r="H621" s="142"/>
      <c r="I621" s="34"/>
      <c r="J621" s="34">
        <f>Таблица1[[#This Row],[Блок
 Куб]]*Таблица1[[#This Row],[Цена 
Приход]]</f>
        <v>0</v>
      </c>
      <c r="K621" s="34"/>
      <c r="L621" s="34"/>
      <c r="M621" s="34">
        <f>Таблица1[[#This Row],[Поддон
Шт]]*Таблица1[[#This Row],[Цена
Поддон]]</f>
        <v>0</v>
      </c>
      <c r="N621" s="34">
        <f>Таблица1[[#This Row],[Сумма 
Приход]]+Таблица1[[#This Row],[Сумма Поддон]]</f>
        <v>0</v>
      </c>
      <c r="O621" s="34"/>
      <c r="P621" s="34">
        <f>Таблица1[[#This Row],[Блок
 Куб]]*Таблица1[[#This Row],[Цена
 Продажа]]</f>
        <v>0</v>
      </c>
      <c r="Q621" s="34"/>
      <c r="R621" s="34">
        <f>Таблица1[[#This Row],[Сумма 
Продажа]]-Таблица1[[#This Row],[Сумма 
Приход]]-Таблица1[[#This Row],[Авто услу ]]</f>
        <v>0</v>
      </c>
      <c r="S621" s="34"/>
      <c r="T621" s="34">
        <f>Таблица1[[#This Row],[Сумма 
Продажа]]-IF(Таблица1[[#This Row],[Расход 
Авто]]="Клиент",N(Таблица1[[#This Row],[Авто услу ]]),0)</f>
        <v>0</v>
      </c>
      <c r="U6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1" s="265" t="str">
        <f>IFERROR(INDEX(Мижозлар[Агент],MATCH($D621,Мижозлар[Расмий ном],0)),"")</f>
        <v/>
      </c>
    </row>
    <row r="622" spans="1:23" ht="14.25" x14ac:dyDescent="0.2">
      <c r="A622" s="21"/>
      <c r="B622" s="135"/>
      <c r="C622" s="141"/>
      <c r="D622" s="141"/>
      <c r="E622" s="136"/>
      <c r="F622" s="135"/>
      <c r="G622" s="34"/>
      <c r="H622" s="142"/>
      <c r="I622" s="34"/>
      <c r="J622" s="34">
        <f>Таблица1[[#This Row],[Блок
 Куб]]*Таблица1[[#This Row],[Цена 
Приход]]</f>
        <v>0</v>
      </c>
      <c r="K622" s="34"/>
      <c r="L622" s="34"/>
      <c r="M622" s="34">
        <f>Таблица1[[#This Row],[Поддон
Шт]]*Таблица1[[#This Row],[Цена
Поддон]]</f>
        <v>0</v>
      </c>
      <c r="N622" s="34">
        <f>Таблица1[[#This Row],[Сумма 
Приход]]+Таблица1[[#This Row],[Сумма Поддон]]</f>
        <v>0</v>
      </c>
      <c r="O622" s="34"/>
      <c r="P622" s="34">
        <f>Таблица1[[#This Row],[Блок
 Куб]]*Таблица1[[#This Row],[Цена
 Продажа]]</f>
        <v>0</v>
      </c>
      <c r="Q622" s="34"/>
      <c r="R622" s="34">
        <f>Таблица1[[#This Row],[Сумма 
Продажа]]-Таблица1[[#This Row],[Сумма 
Приход]]-Таблица1[[#This Row],[Авто услу ]]</f>
        <v>0</v>
      </c>
      <c r="S622" s="34"/>
      <c r="T622" s="34">
        <f>Таблица1[[#This Row],[Сумма 
Продажа]]-IF(Таблица1[[#This Row],[Расход 
Авто]]="Клиент",N(Таблица1[[#This Row],[Авто услу ]]),0)</f>
        <v>0</v>
      </c>
      <c r="U6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2" s="265" t="str">
        <f>IFERROR(INDEX(Мижозлар[Агент],MATCH($D622,Мижозлар[Расмий ном],0)),"")</f>
        <v/>
      </c>
    </row>
    <row r="623" spans="1:23" ht="14.25" x14ac:dyDescent="0.2">
      <c r="A623" s="21"/>
      <c r="B623" s="135"/>
      <c r="C623" s="141"/>
      <c r="D623" s="141"/>
      <c r="E623" s="136"/>
      <c r="F623" s="135"/>
      <c r="G623" s="34"/>
      <c r="H623" s="142"/>
      <c r="I623" s="34"/>
      <c r="J623" s="34">
        <f>Таблица1[[#This Row],[Блок
 Куб]]*Таблица1[[#This Row],[Цена 
Приход]]</f>
        <v>0</v>
      </c>
      <c r="K623" s="34"/>
      <c r="L623" s="34"/>
      <c r="M623" s="34">
        <f>Таблица1[[#This Row],[Поддон
Шт]]*Таблица1[[#This Row],[Цена
Поддон]]</f>
        <v>0</v>
      </c>
      <c r="N623" s="34">
        <f>Таблица1[[#This Row],[Сумма 
Приход]]+Таблица1[[#This Row],[Сумма Поддон]]</f>
        <v>0</v>
      </c>
      <c r="O623" s="34"/>
      <c r="P623" s="34">
        <f>Таблица1[[#This Row],[Блок
 Куб]]*Таблица1[[#This Row],[Цена
 Продажа]]</f>
        <v>0</v>
      </c>
      <c r="Q623" s="34"/>
      <c r="R623" s="34">
        <f>Таблица1[[#This Row],[Сумма 
Продажа]]-Таблица1[[#This Row],[Сумма 
Приход]]-Таблица1[[#This Row],[Авто услу ]]</f>
        <v>0</v>
      </c>
      <c r="S623" s="34"/>
      <c r="T623" s="34">
        <f>Таблица1[[#This Row],[Сумма 
Продажа]]-IF(Таблица1[[#This Row],[Расход 
Авто]]="Клиент",N(Таблица1[[#This Row],[Авто услу ]]),0)</f>
        <v>0</v>
      </c>
      <c r="U6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3" s="265" t="str">
        <f>IFERROR(INDEX(Мижозлар[Агент],MATCH($D623,Мижозлар[Расмий ном],0)),"")</f>
        <v/>
      </c>
    </row>
    <row r="624" spans="1:23" ht="14.25" x14ac:dyDescent="0.2">
      <c r="A624" s="21"/>
      <c r="B624" s="135"/>
      <c r="C624" s="141"/>
      <c r="D624" s="141"/>
      <c r="E624" s="136"/>
      <c r="F624" s="135"/>
      <c r="G624" s="34"/>
      <c r="H624" s="142"/>
      <c r="I624" s="34"/>
      <c r="J624" s="34">
        <f>Таблица1[[#This Row],[Блок
 Куб]]*Таблица1[[#This Row],[Цена 
Приход]]</f>
        <v>0</v>
      </c>
      <c r="K624" s="34"/>
      <c r="L624" s="34"/>
      <c r="M624" s="34">
        <f>Таблица1[[#This Row],[Поддон
Шт]]*Таблица1[[#This Row],[Цена
Поддон]]</f>
        <v>0</v>
      </c>
      <c r="N624" s="34">
        <f>Таблица1[[#This Row],[Сумма 
Приход]]+Таблица1[[#This Row],[Сумма Поддон]]</f>
        <v>0</v>
      </c>
      <c r="O624" s="34"/>
      <c r="P624" s="34">
        <f>Таблица1[[#This Row],[Блок
 Куб]]*Таблица1[[#This Row],[Цена
 Продажа]]</f>
        <v>0</v>
      </c>
      <c r="Q624" s="34"/>
      <c r="R624" s="34">
        <f>Таблица1[[#This Row],[Сумма 
Продажа]]-Таблица1[[#This Row],[Сумма 
Приход]]-Таблица1[[#This Row],[Авто услу ]]</f>
        <v>0</v>
      </c>
      <c r="S624" s="34"/>
      <c r="T624" s="34">
        <f>Таблица1[[#This Row],[Сумма 
Продажа]]-IF(Таблица1[[#This Row],[Расход 
Авто]]="Клиент",N(Таблица1[[#This Row],[Авто услу ]]),0)</f>
        <v>0</v>
      </c>
      <c r="U6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4" s="265" t="str">
        <f>IFERROR(INDEX(Мижозлар[Агент],MATCH($D624,Мижозлар[Расмий ном],0)),"")</f>
        <v/>
      </c>
    </row>
    <row r="625" spans="1:23" ht="14.25" x14ac:dyDescent="0.2">
      <c r="A625" s="21"/>
      <c r="B625" s="135"/>
      <c r="C625" s="141"/>
      <c r="D625" s="141"/>
      <c r="E625" s="136"/>
      <c r="F625" s="135"/>
      <c r="G625" s="34"/>
      <c r="H625" s="142"/>
      <c r="I625" s="34"/>
      <c r="J625" s="34">
        <f>Таблица1[[#This Row],[Блок
 Куб]]*Таблица1[[#This Row],[Цена 
Приход]]</f>
        <v>0</v>
      </c>
      <c r="K625" s="34"/>
      <c r="L625" s="34"/>
      <c r="M625" s="34">
        <f>Таблица1[[#This Row],[Поддон
Шт]]*Таблица1[[#This Row],[Цена
Поддон]]</f>
        <v>0</v>
      </c>
      <c r="N625" s="34">
        <f>Таблица1[[#This Row],[Сумма 
Приход]]+Таблица1[[#This Row],[Сумма Поддон]]</f>
        <v>0</v>
      </c>
      <c r="O625" s="34"/>
      <c r="P625" s="34">
        <f>Таблица1[[#This Row],[Блок
 Куб]]*Таблица1[[#This Row],[Цена
 Продажа]]</f>
        <v>0</v>
      </c>
      <c r="Q625" s="34"/>
      <c r="R625" s="34">
        <f>Таблица1[[#This Row],[Сумма 
Продажа]]-Таблица1[[#This Row],[Сумма 
Приход]]-Таблица1[[#This Row],[Авто услу ]]</f>
        <v>0</v>
      </c>
      <c r="S625" s="34"/>
      <c r="T625" s="34">
        <f>Таблица1[[#This Row],[Сумма 
Продажа]]-IF(Таблица1[[#This Row],[Расход 
Авто]]="Клиент",N(Таблица1[[#This Row],[Авто услу ]]),0)</f>
        <v>0</v>
      </c>
      <c r="U6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5" s="265" t="str">
        <f>IFERROR(INDEX(Мижозлар[Агент],MATCH($D625,Мижозлар[Расмий ном],0)),"")</f>
        <v/>
      </c>
    </row>
    <row r="626" spans="1:23" ht="14.25" x14ac:dyDescent="0.2">
      <c r="A626" s="21"/>
      <c r="B626" s="135"/>
      <c r="C626" s="141"/>
      <c r="D626" s="141"/>
      <c r="E626" s="136"/>
      <c r="F626" s="135"/>
      <c r="G626" s="34"/>
      <c r="H626" s="142"/>
      <c r="I626" s="34"/>
      <c r="J626" s="34">
        <f>Таблица1[[#This Row],[Блок
 Куб]]*Таблица1[[#This Row],[Цена 
Приход]]</f>
        <v>0</v>
      </c>
      <c r="K626" s="34"/>
      <c r="L626" s="34"/>
      <c r="M626" s="34">
        <f>Таблица1[[#This Row],[Поддон
Шт]]*Таблица1[[#This Row],[Цена
Поддон]]</f>
        <v>0</v>
      </c>
      <c r="N626" s="34">
        <f>Таблица1[[#This Row],[Сумма 
Приход]]+Таблица1[[#This Row],[Сумма Поддон]]</f>
        <v>0</v>
      </c>
      <c r="O626" s="34"/>
      <c r="P626" s="34">
        <f>Таблица1[[#This Row],[Блок
 Куб]]*Таблица1[[#This Row],[Цена
 Продажа]]</f>
        <v>0</v>
      </c>
      <c r="Q626" s="34"/>
      <c r="R626" s="34">
        <f>Таблица1[[#This Row],[Сумма 
Продажа]]-Таблица1[[#This Row],[Сумма 
Приход]]-Таблица1[[#This Row],[Авто услу ]]</f>
        <v>0</v>
      </c>
      <c r="S626" s="34"/>
      <c r="T626" s="34">
        <f>Таблица1[[#This Row],[Сумма 
Продажа]]-IF(Таблица1[[#This Row],[Расход 
Авто]]="Клиент",N(Таблица1[[#This Row],[Авто услу ]]),0)</f>
        <v>0</v>
      </c>
      <c r="U6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6" s="265" t="str">
        <f>IFERROR(INDEX(Мижозлар[Агент],MATCH($D626,Мижозлар[Расмий ном],0)),"")</f>
        <v/>
      </c>
    </row>
    <row r="627" spans="1:23" ht="14.25" x14ac:dyDescent="0.2">
      <c r="A627" s="21"/>
      <c r="B627" s="135"/>
      <c r="C627" s="141"/>
      <c r="D627" s="141"/>
      <c r="E627" s="136"/>
      <c r="F627" s="135"/>
      <c r="G627" s="34"/>
      <c r="H627" s="142"/>
      <c r="I627" s="34"/>
      <c r="J627" s="34">
        <f>Таблица1[[#This Row],[Блок
 Куб]]*Таблица1[[#This Row],[Цена 
Приход]]</f>
        <v>0</v>
      </c>
      <c r="K627" s="34"/>
      <c r="L627" s="34"/>
      <c r="M627" s="34">
        <f>Таблица1[[#This Row],[Поддон
Шт]]*Таблица1[[#This Row],[Цена
Поддон]]</f>
        <v>0</v>
      </c>
      <c r="N627" s="34">
        <f>Таблица1[[#This Row],[Сумма 
Приход]]+Таблица1[[#This Row],[Сумма Поддон]]</f>
        <v>0</v>
      </c>
      <c r="O627" s="34"/>
      <c r="P627" s="34">
        <f>Таблица1[[#This Row],[Блок
 Куб]]*Таблица1[[#This Row],[Цена
 Продажа]]</f>
        <v>0</v>
      </c>
      <c r="Q627" s="34"/>
      <c r="R627" s="34">
        <f>Таблица1[[#This Row],[Сумма 
Продажа]]-Таблица1[[#This Row],[Сумма 
Приход]]-Таблица1[[#This Row],[Авто услу ]]</f>
        <v>0</v>
      </c>
      <c r="S627" s="34"/>
      <c r="T627" s="34">
        <f>Таблица1[[#This Row],[Сумма 
Продажа]]-IF(Таблица1[[#This Row],[Расход 
Авто]]="Клиент",N(Таблица1[[#This Row],[Авто услу ]]),0)</f>
        <v>0</v>
      </c>
      <c r="U6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7" s="265" t="str">
        <f>IFERROR(INDEX(Мижозлар[Агент],MATCH($D627,Мижозлар[Расмий ном],0)),"")</f>
        <v/>
      </c>
    </row>
    <row r="628" spans="1:23" ht="14.25" x14ac:dyDescent="0.2">
      <c r="A628" s="21"/>
      <c r="B628" s="135"/>
      <c r="C628" s="141"/>
      <c r="D628" s="141"/>
      <c r="E628" s="136"/>
      <c r="F628" s="135"/>
      <c r="G628" s="34"/>
      <c r="H628" s="142"/>
      <c r="I628" s="34"/>
      <c r="J628" s="34">
        <f>Таблица1[[#This Row],[Блок
 Куб]]*Таблица1[[#This Row],[Цена 
Приход]]</f>
        <v>0</v>
      </c>
      <c r="K628" s="34"/>
      <c r="L628" s="34"/>
      <c r="M628" s="34">
        <f>Таблица1[[#This Row],[Поддон
Шт]]*Таблица1[[#This Row],[Цена
Поддон]]</f>
        <v>0</v>
      </c>
      <c r="N628" s="34">
        <f>Таблица1[[#This Row],[Сумма 
Приход]]+Таблица1[[#This Row],[Сумма Поддон]]</f>
        <v>0</v>
      </c>
      <c r="O628" s="34"/>
      <c r="P628" s="34">
        <f>Таблица1[[#This Row],[Блок
 Куб]]*Таблица1[[#This Row],[Цена
 Продажа]]</f>
        <v>0</v>
      </c>
      <c r="Q628" s="34"/>
      <c r="R628" s="34">
        <f>Таблица1[[#This Row],[Сумма 
Продажа]]-Таблица1[[#This Row],[Сумма 
Приход]]-Таблица1[[#This Row],[Авто услу ]]</f>
        <v>0</v>
      </c>
      <c r="S628" s="34"/>
      <c r="T628" s="34">
        <f>Таблица1[[#This Row],[Сумма 
Продажа]]-IF(Таблица1[[#This Row],[Расход 
Авто]]="Клиент",N(Таблица1[[#This Row],[Авто услу ]]),0)</f>
        <v>0</v>
      </c>
      <c r="U6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8" s="265" t="str">
        <f>IFERROR(INDEX(Мижозлар[Агент],MATCH($D628,Мижозлар[Расмий ном],0)),"")</f>
        <v/>
      </c>
    </row>
    <row r="629" spans="1:23" ht="14.25" x14ac:dyDescent="0.2">
      <c r="A629" s="21"/>
      <c r="B629" s="135"/>
      <c r="C629" s="141"/>
      <c r="D629" s="141"/>
      <c r="E629" s="136"/>
      <c r="F629" s="135"/>
      <c r="G629" s="34"/>
      <c r="H629" s="142"/>
      <c r="I629" s="34"/>
      <c r="J629" s="34">
        <f>Таблица1[[#This Row],[Блок
 Куб]]*Таблица1[[#This Row],[Цена 
Приход]]</f>
        <v>0</v>
      </c>
      <c r="K629" s="34"/>
      <c r="L629" s="34"/>
      <c r="M629" s="34">
        <f>Таблица1[[#This Row],[Поддон
Шт]]*Таблица1[[#This Row],[Цена
Поддон]]</f>
        <v>0</v>
      </c>
      <c r="N629" s="34">
        <f>Таблица1[[#This Row],[Сумма 
Приход]]+Таблица1[[#This Row],[Сумма Поддон]]</f>
        <v>0</v>
      </c>
      <c r="O629" s="34"/>
      <c r="P629" s="34">
        <f>Таблица1[[#This Row],[Блок
 Куб]]*Таблица1[[#This Row],[Цена
 Продажа]]</f>
        <v>0</v>
      </c>
      <c r="Q629" s="34"/>
      <c r="R629" s="34">
        <f>Таблица1[[#This Row],[Сумма 
Продажа]]-Таблица1[[#This Row],[Сумма 
Приход]]-Таблица1[[#This Row],[Авто услу ]]</f>
        <v>0</v>
      </c>
      <c r="S629" s="34"/>
      <c r="T629" s="34">
        <f>Таблица1[[#This Row],[Сумма 
Продажа]]-IF(Таблица1[[#This Row],[Расход 
Авто]]="Клиент",N(Таблица1[[#This Row],[Авто услу ]]),0)</f>
        <v>0</v>
      </c>
      <c r="U6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29" s="265" t="str">
        <f>IFERROR(INDEX(Мижозлар[Агент],MATCH($D629,Мижозлар[Расмий ном],0)),"")</f>
        <v/>
      </c>
    </row>
    <row r="630" spans="1:23" ht="14.25" x14ac:dyDescent="0.2">
      <c r="A630" s="21"/>
      <c r="B630" s="135"/>
      <c r="C630" s="141"/>
      <c r="D630" s="141"/>
      <c r="E630" s="136"/>
      <c r="F630" s="135"/>
      <c r="G630" s="34"/>
      <c r="H630" s="142"/>
      <c r="I630" s="34"/>
      <c r="J630" s="34">
        <f>Таблица1[[#This Row],[Блок
 Куб]]*Таблица1[[#This Row],[Цена 
Приход]]</f>
        <v>0</v>
      </c>
      <c r="K630" s="34"/>
      <c r="L630" s="34"/>
      <c r="M630" s="34">
        <f>Таблица1[[#This Row],[Поддон
Шт]]*Таблица1[[#This Row],[Цена
Поддон]]</f>
        <v>0</v>
      </c>
      <c r="N630" s="34">
        <f>Таблица1[[#This Row],[Сумма 
Приход]]+Таблица1[[#This Row],[Сумма Поддон]]</f>
        <v>0</v>
      </c>
      <c r="O630" s="34"/>
      <c r="P630" s="34">
        <f>Таблица1[[#This Row],[Блок
 Куб]]*Таблица1[[#This Row],[Цена
 Продажа]]</f>
        <v>0</v>
      </c>
      <c r="Q630" s="34"/>
      <c r="R630" s="34">
        <f>Таблица1[[#This Row],[Сумма 
Продажа]]-Таблица1[[#This Row],[Сумма 
Приход]]-Таблица1[[#This Row],[Авто услу ]]</f>
        <v>0</v>
      </c>
      <c r="S630" s="34"/>
      <c r="T630" s="34">
        <f>Таблица1[[#This Row],[Сумма 
Продажа]]-IF(Таблица1[[#This Row],[Расход 
Авто]]="Клиент",N(Таблица1[[#This Row],[Авто услу ]]),0)</f>
        <v>0</v>
      </c>
      <c r="U6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0" s="265" t="str">
        <f>IFERROR(INDEX(Мижозлар[Агент],MATCH($D630,Мижозлар[Расмий ном],0)),"")</f>
        <v/>
      </c>
    </row>
    <row r="631" spans="1:23" ht="14.25" x14ac:dyDescent="0.2">
      <c r="A631" s="21"/>
      <c r="B631" s="135"/>
      <c r="C631" s="141"/>
      <c r="D631" s="141"/>
      <c r="E631" s="136"/>
      <c r="F631" s="135"/>
      <c r="G631" s="34"/>
      <c r="H631" s="142"/>
      <c r="I631" s="34"/>
      <c r="J631" s="34">
        <f>Таблица1[[#This Row],[Блок
 Куб]]*Таблица1[[#This Row],[Цена 
Приход]]</f>
        <v>0</v>
      </c>
      <c r="K631" s="34"/>
      <c r="L631" s="34"/>
      <c r="M631" s="34">
        <f>Таблица1[[#This Row],[Поддон
Шт]]*Таблица1[[#This Row],[Цена
Поддон]]</f>
        <v>0</v>
      </c>
      <c r="N631" s="34">
        <f>Таблица1[[#This Row],[Сумма 
Приход]]+Таблица1[[#This Row],[Сумма Поддон]]</f>
        <v>0</v>
      </c>
      <c r="O631" s="34"/>
      <c r="P631" s="34">
        <f>Таблица1[[#This Row],[Блок
 Куб]]*Таблица1[[#This Row],[Цена
 Продажа]]</f>
        <v>0</v>
      </c>
      <c r="Q631" s="34"/>
      <c r="R631" s="34">
        <f>Таблица1[[#This Row],[Сумма 
Продажа]]-Таблица1[[#This Row],[Сумма 
Приход]]-Таблица1[[#This Row],[Авто услу ]]</f>
        <v>0</v>
      </c>
      <c r="S631" s="34"/>
      <c r="T631" s="34">
        <f>Таблица1[[#This Row],[Сумма 
Продажа]]-IF(Таблица1[[#This Row],[Расход 
Авто]]="Клиент",N(Таблица1[[#This Row],[Авто услу ]]),0)</f>
        <v>0</v>
      </c>
      <c r="U6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1" s="265" t="str">
        <f>IFERROR(INDEX(Мижозлар[Агент],MATCH($D631,Мижозлар[Расмий ном],0)),"")</f>
        <v/>
      </c>
    </row>
    <row r="632" spans="1:23" ht="14.25" x14ac:dyDescent="0.2">
      <c r="A632" s="21"/>
      <c r="B632" s="135"/>
      <c r="C632" s="141"/>
      <c r="D632" s="141"/>
      <c r="E632" s="136"/>
      <c r="F632" s="135"/>
      <c r="G632" s="34"/>
      <c r="H632" s="142"/>
      <c r="I632" s="34"/>
      <c r="J632" s="34">
        <f>Таблица1[[#This Row],[Блок
 Куб]]*Таблица1[[#This Row],[Цена 
Приход]]</f>
        <v>0</v>
      </c>
      <c r="K632" s="34"/>
      <c r="L632" s="34"/>
      <c r="M632" s="34">
        <f>Таблица1[[#This Row],[Поддон
Шт]]*Таблица1[[#This Row],[Цена
Поддон]]</f>
        <v>0</v>
      </c>
      <c r="N632" s="34">
        <f>Таблица1[[#This Row],[Сумма 
Приход]]+Таблица1[[#This Row],[Сумма Поддон]]</f>
        <v>0</v>
      </c>
      <c r="O632" s="34"/>
      <c r="P632" s="34">
        <f>Таблица1[[#This Row],[Блок
 Куб]]*Таблица1[[#This Row],[Цена
 Продажа]]</f>
        <v>0</v>
      </c>
      <c r="Q632" s="34"/>
      <c r="R632" s="34">
        <f>Таблица1[[#This Row],[Сумма 
Продажа]]-Таблица1[[#This Row],[Сумма 
Приход]]-Таблица1[[#This Row],[Авто услу ]]</f>
        <v>0</v>
      </c>
      <c r="S632" s="34"/>
      <c r="T632" s="34">
        <f>Таблица1[[#This Row],[Сумма 
Продажа]]-IF(Таблица1[[#This Row],[Расход 
Авто]]="Клиент",N(Таблица1[[#This Row],[Авто услу ]]),0)</f>
        <v>0</v>
      </c>
      <c r="U6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2" s="265" t="str">
        <f>IFERROR(INDEX(Мижозлар[Агент],MATCH($D632,Мижозлар[Расмий ном],0)),"")</f>
        <v/>
      </c>
    </row>
    <row r="633" spans="1:23" ht="14.25" x14ac:dyDescent="0.2">
      <c r="A633" s="21"/>
      <c r="B633" s="135"/>
      <c r="C633" s="141"/>
      <c r="D633" s="141"/>
      <c r="E633" s="136"/>
      <c r="F633" s="135"/>
      <c r="G633" s="34"/>
      <c r="H633" s="142"/>
      <c r="I633" s="34"/>
      <c r="J633" s="34">
        <f>Таблица1[[#This Row],[Блок
 Куб]]*Таблица1[[#This Row],[Цена 
Приход]]</f>
        <v>0</v>
      </c>
      <c r="K633" s="34"/>
      <c r="L633" s="34"/>
      <c r="M633" s="34">
        <f>Таблица1[[#This Row],[Поддон
Шт]]*Таблица1[[#This Row],[Цена
Поддон]]</f>
        <v>0</v>
      </c>
      <c r="N633" s="34">
        <f>Таблица1[[#This Row],[Сумма 
Приход]]+Таблица1[[#This Row],[Сумма Поддон]]</f>
        <v>0</v>
      </c>
      <c r="O633" s="34"/>
      <c r="P633" s="34">
        <f>Таблица1[[#This Row],[Блок
 Куб]]*Таблица1[[#This Row],[Цена
 Продажа]]</f>
        <v>0</v>
      </c>
      <c r="Q633" s="34"/>
      <c r="R633" s="34">
        <f>Таблица1[[#This Row],[Сумма 
Продажа]]-Таблица1[[#This Row],[Сумма 
Приход]]-Таблица1[[#This Row],[Авто услу ]]</f>
        <v>0</v>
      </c>
      <c r="S633" s="34"/>
      <c r="T633" s="34">
        <f>Таблица1[[#This Row],[Сумма 
Продажа]]-IF(Таблица1[[#This Row],[Расход 
Авто]]="Клиент",N(Таблица1[[#This Row],[Авто услу ]]),0)</f>
        <v>0</v>
      </c>
      <c r="U6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3" s="265" t="str">
        <f>IFERROR(INDEX(Мижозлар[Агент],MATCH($D633,Мижозлар[Расмий ном],0)),"")</f>
        <v/>
      </c>
    </row>
    <row r="634" spans="1:23" ht="14.25" x14ac:dyDescent="0.2">
      <c r="A634" s="21"/>
      <c r="B634" s="135"/>
      <c r="C634" s="141"/>
      <c r="D634" s="141"/>
      <c r="E634" s="136"/>
      <c r="F634" s="135"/>
      <c r="G634" s="34"/>
      <c r="H634" s="142"/>
      <c r="I634" s="34"/>
      <c r="J634" s="34">
        <f>Таблица1[[#This Row],[Блок
 Куб]]*Таблица1[[#This Row],[Цена 
Приход]]</f>
        <v>0</v>
      </c>
      <c r="K634" s="34"/>
      <c r="L634" s="34"/>
      <c r="M634" s="34">
        <f>Таблица1[[#This Row],[Поддон
Шт]]*Таблица1[[#This Row],[Цена
Поддон]]</f>
        <v>0</v>
      </c>
      <c r="N634" s="34">
        <f>Таблица1[[#This Row],[Сумма 
Приход]]+Таблица1[[#This Row],[Сумма Поддон]]</f>
        <v>0</v>
      </c>
      <c r="O634" s="34"/>
      <c r="P634" s="34">
        <f>Таблица1[[#This Row],[Блок
 Куб]]*Таблица1[[#This Row],[Цена
 Продажа]]</f>
        <v>0</v>
      </c>
      <c r="Q634" s="34"/>
      <c r="R634" s="34">
        <f>Таблица1[[#This Row],[Сумма 
Продажа]]-Таблица1[[#This Row],[Сумма 
Приход]]-Таблица1[[#This Row],[Авто услу ]]</f>
        <v>0</v>
      </c>
      <c r="S634" s="34"/>
      <c r="T634" s="34">
        <f>Таблица1[[#This Row],[Сумма 
Продажа]]-IF(Таблица1[[#This Row],[Расход 
Авто]]="Клиент",N(Таблица1[[#This Row],[Авто услу ]]),0)</f>
        <v>0</v>
      </c>
      <c r="U6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4" s="265" t="str">
        <f>IFERROR(INDEX(Мижозлар[Агент],MATCH($D634,Мижозлар[Расмий ном],0)),"")</f>
        <v/>
      </c>
    </row>
    <row r="635" spans="1:23" ht="14.25" x14ac:dyDescent="0.2">
      <c r="A635" s="21"/>
      <c r="B635" s="135"/>
      <c r="C635" s="141"/>
      <c r="D635" s="141"/>
      <c r="E635" s="136"/>
      <c r="F635" s="135"/>
      <c r="G635" s="34"/>
      <c r="H635" s="142"/>
      <c r="I635" s="34"/>
      <c r="J635" s="34">
        <f>Таблица1[[#This Row],[Блок
 Куб]]*Таблица1[[#This Row],[Цена 
Приход]]</f>
        <v>0</v>
      </c>
      <c r="K635" s="34"/>
      <c r="L635" s="34"/>
      <c r="M635" s="34">
        <f>Таблица1[[#This Row],[Поддон
Шт]]*Таблица1[[#This Row],[Цена
Поддон]]</f>
        <v>0</v>
      </c>
      <c r="N635" s="34">
        <f>Таблица1[[#This Row],[Сумма 
Приход]]+Таблица1[[#This Row],[Сумма Поддон]]</f>
        <v>0</v>
      </c>
      <c r="O635" s="34"/>
      <c r="P635" s="34">
        <f>Таблица1[[#This Row],[Блок
 Куб]]*Таблица1[[#This Row],[Цена
 Продажа]]</f>
        <v>0</v>
      </c>
      <c r="Q635" s="34"/>
      <c r="R635" s="34">
        <f>Таблица1[[#This Row],[Сумма 
Продажа]]-Таблица1[[#This Row],[Сумма 
Приход]]-Таблица1[[#This Row],[Авто услу ]]</f>
        <v>0</v>
      </c>
      <c r="S635" s="34"/>
      <c r="T635" s="34">
        <f>Таблица1[[#This Row],[Сумма 
Продажа]]-IF(Таблица1[[#This Row],[Расход 
Авто]]="Клиент",N(Таблица1[[#This Row],[Авто услу ]]),0)</f>
        <v>0</v>
      </c>
      <c r="U6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5" s="265" t="str">
        <f>IFERROR(INDEX(Мижозлар[Агент],MATCH($D635,Мижозлар[Расмий ном],0)),"")</f>
        <v/>
      </c>
    </row>
    <row r="636" spans="1:23" ht="14.25" x14ac:dyDescent="0.2">
      <c r="A636" s="21"/>
      <c r="B636" s="135"/>
      <c r="C636" s="141"/>
      <c r="D636" s="141"/>
      <c r="E636" s="136"/>
      <c r="F636" s="135"/>
      <c r="G636" s="34"/>
      <c r="H636" s="142"/>
      <c r="I636" s="34"/>
      <c r="J636" s="34">
        <f>Таблица1[[#This Row],[Блок
 Куб]]*Таблица1[[#This Row],[Цена 
Приход]]</f>
        <v>0</v>
      </c>
      <c r="K636" s="34"/>
      <c r="L636" s="34"/>
      <c r="M636" s="34">
        <f>Таблица1[[#This Row],[Поддон
Шт]]*Таблица1[[#This Row],[Цена
Поддон]]</f>
        <v>0</v>
      </c>
      <c r="N636" s="34">
        <f>Таблица1[[#This Row],[Сумма 
Приход]]+Таблица1[[#This Row],[Сумма Поддон]]</f>
        <v>0</v>
      </c>
      <c r="O636" s="34"/>
      <c r="P636" s="34">
        <f>Таблица1[[#This Row],[Блок
 Куб]]*Таблица1[[#This Row],[Цена
 Продажа]]</f>
        <v>0</v>
      </c>
      <c r="Q636" s="34"/>
      <c r="R636" s="34">
        <f>Таблица1[[#This Row],[Сумма 
Продажа]]-Таблица1[[#This Row],[Сумма 
Приход]]-Таблица1[[#This Row],[Авто услу ]]</f>
        <v>0</v>
      </c>
      <c r="S636" s="34"/>
      <c r="T636" s="34">
        <f>Таблица1[[#This Row],[Сумма 
Продажа]]-IF(Таблица1[[#This Row],[Расход 
Авто]]="Клиент",N(Таблица1[[#This Row],[Авто услу ]]),0)</f>
        <v>0</v>
      </c>
      <c r="U6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6" s="265" t="str">
        <f>IFERROR(INDEX(Мижозлар[Агент],MATCH($D636,Мижозлар[Расмий ном],0)),"")</f>
        <v/>
      </c>
    </row>
    <row r="637" spans="1:23" ht="14.25" x14ac:dyDescent="0.2">
      <c r="A637" s="21"/>
      <c r="B637" s="135"/>
      <c r="C637" s="141"/>
      <c r="D637" s="141"/>
      <c r="E637" s="136"/>
      <c r="F637" s="135"/>
      <c r="G637" s="34"/>
      <c r="H637" s="142"/>
      <c r="I637" s="34"/>
      <c r="J637" s="34">
        <f>Таблица1[[#This Row],[Блок
 Куб]]*Таблица1[[#This Row],[Цена 
Приход]]</f>
        <v>0</v>
      </c>
      <c r="K637" s="34"/>
      <c r="L637" s="34"/>
      <c r="M637" s="34">
        <f>Таблица1[[#This Row],[Поддон
Шт]]*Таблица1[[#This Row],[Цена
Поддон]]</f>
        <v>0</v>
      </c>
      <c r="N637" s="34">
        <f>Таблица1[[#This Row],[Сумма 
Приход]]+Таблица1[[#This Row],[Сумма Поддон]]</f>
        <v>0</v>
      </c>
      <c r="O637" s="34"/>
      <c r="P637" s="34">
        <f>Таблица1[[#This Row],[Блок
 Куб]]*Таблица1[[#This Row],[Цена
 Продажа]]</f>
        <v>0</v>
      </c>
      <c r="Q637" s="34"/>
      <c r="R637" s="34">
        <f>Таблица1[[#This Row],[Сумма 
Продажа]]-Таблица1[[#This Row],[Сумма 
Приход]]-Таблица1[[#This Row],[Авто услу ]]</f>
        <v>0</v>
      </c>
      <c r="S637" s="34"/>
      <c r="T637" s="34">
        <f>Таблица1[[#This Row],[Сумма 
Продажа]]-IF(Таблица1[[#This Row],[Расход 
Авто]]="Клиент",N(Таблица1[[#This Row],[Авто услу ]]),0)</f>
        <v>0</v>
      </c>
      <c r="U6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7" s="265" t="str">
        <f>IFERROR(INDEX(Мижозлар[Агент],MATCH($D637,Мижозлар[Расмий ном],0)),"")</f>
        <v/>
      </c>
    </row>
    <row r="638" spans="1:23" ht="14.25" x14ac:dyDescent="0.2">
      <c r="A638" s="21"/>
      <c r="B638" s="135"/>
      <c r="C638" s="141"/>
      <c r="D638" s="141"/>
      <c r="E638" s="136"/>
      <c r="F638" s="135"/>
      <c r="G638" s="34"/>
      <c r="H638" s="142"/>
      <c r="I638" s="34"/>
      <c r="J638" s="34">
        <f>Таблица1[[#This Row],[Блок
 Куб]]*Таблица1[[#This Row],[Цена 
Приход]]</f>
        <v>0</v>
      </c>
      <c r="K638" s="34"/>
      <c r="L638" s="34"/>
      <c r="M638" s="34">
        <f>Таблица1[[#This Row],[Поддон
Шт]]*Таблица1[[#This Row],[Цена
Поддон]]</f>
        <v>0</v>
      </c>
      <c r="N638" s="34">
        <f>Таблица1[[#This Row],[Сумма 
Приход]]+Таблица1[[#This Row],[Сумма Поддон]]</f>
        <v>0</v>
      </c>
      <c r="O638" s="34"/>
      <c r="P638" s="34">
        <f>Таблица1[[#This Row],[Блок
 Куб]]*Таблица1[[#This Row],[Цена
 Продажа]]</f>
        <v>0</v>
      </c>
      <c r="Q638" s="34"/>
      <c r="R638" s="34">
        <f>Таблица1[[#This Row],[Сумма 
Продажа]]-Таблица1[[#This Row],[Сумма 
Приход]]-Таблица1[[#This Row],[Авто услу ]]</f>
        <v>0</v>
      </c>
      <c r="S638" s="34"/>
      <c r="T638" s="34">
        <f>Таблица1[[#This Row],[Сумма 
Продажа]]-IF(Таблица1[[#This Row],[Расход 
Авто]]="Клиент",N(Таблица1[[#This Row],[Авто услу ]]),0)</f>
        <v>0</v>
      </c>
      <c r="U6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8" s="265" t="str">
        <f>IFERROR(INDEX(Мижозлар[Агент],MATCH($D638,Мижозлар[Расмий ном],0)),"")</f>
        <v/>
      </c>
    </row>
    <row r="639" spans="1:23" ht="14.25" x14ac:dyDescent="0.2">
      <c r="A639" s="21"/>
      <c r="B639" s="135"/>
      <c r="C639" s="141"/>
      <c r="D639" s="141"/>
      <c r="E639" s="136"/>
      <c r="F639" s="135"/>
      <c r="G639" s="34"/>
      <c r="H639" s="142"/>
      <c r="I639" s="34"/>
      <c r="J639" s="34">
        <f>Таблица1[[#This Row],[Блок
 Куб]]*Таблица1[[#This Row],[Цена 
Приход]]</f>
        <v>0</v>
      </c>
      <c r="K639" s="34"/>
      <c r="L639" s="34"/>
      <c r="M639" s="34">
        <f>Таблица1[[#This Row],[Поддон
Шт]]*Таблица1[[#This Row],[Цена
Поддон]]</f>
        <v>0</v>
      </c>
      <c r="N639" s="34">
        <f>Таблица1[[#This Row],[Сумма 
Приход]]+Таблица1[[#This Row],[Сумма Поддон]]</f>
        <v>0</v>
      </c>
      <c r="O639" s="34"/>
      <c r="P639" s="34">
        <f>Таблица1[[#This Row],[Блок
 Куб]]*Таблица1[[#This Row],[Цена
 Продажа]]</f>
        <v>0</v>
      </c>
      <c r="Q639" s="34"/>
      <c r="R639" s="34">
        <f>Таблица1[[#This Row],[Сумма 
Продажа]]-Таблица1[[#This Row],[Сумма 
Приход]]-Таблица1[[#This Row],[Авто услу ]]</f>
        <v>0</v>
      </c>
      <c r="S639" s="34"/>
      <c r="T639" s="34">
        <f>Таблица1[[#This Row],[Сумма 
Продажа]]-IF(Таблица1[[#This Row],[Расход 
Авто]]="Клиент",N(Таблица1[[#This Row],[Авто услу ]]),0)</f>
        <v>0</v>
      </c>
      <c r="U6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39" s="265" t="str">
        <f>IFERROR(INDEX(Мижозлар[Агент],MATCH($D639,Мижозлар[Расмий ном],0)),"")</f>
        <v/>
      </c>
    </row>
    <row r="640" spans="1:23" ht="14.25" x14ac:dyDescent="0.2">
      <c r="A640" s="21"/>
      <c r="B640" s="135"/>
      <c r="C640" s="141"/>
      <c r="D640" s="141"/>
      <c r="E640" s="136"/>
      <c r="F640" s="135"/>
      <c r="G640" s="34"/>
      <c r="H640" s="142"/>
      <c r="I640" s="34"/>
      <c r="J640" s="34">
        <f>Таблица1[[#This Row],[Блок
 Куб]]*Таблица1[[#This Row],[Цена 
Приход]]</f>
        <v>0</v>
      </c>
      <c r="K640" s="34"/>
      <c r="L640" s="34"/>
      <c r="M640" s="34">
        <f>Таблица1[[#This Row],[Поддон
Шт]]*Таблица1[[#This Row],[Цена
Поддон]]</f>
        <v>0</v>
      </c>
      <c r="N640" s="34">
        <f>Таблица1[[#This Row],[Сумма 
Приход]]+Таблица1[[#This Row],[Сумма Поддон]]</f>
        <v>0</v>
      </c>
      <c r="O640" s="34"/>
      <c r="P640" s="34">
        <f>Таблица1[[#This Row],[Блок
 Куб]]*Таблица1[[#This Row],[Цена
 Продажа]]</f>
        <v>0</v>
      </c>
      <c r="Q640" s="34"/>
      <c r="R640" s="34">
        <f>Таблица1[[#This Row],[Сумма 
Продажа]]-Таблица1[[#This Row],[Сумма 
Приход]]-Таблица1[[#This Row],[Авто услу ]]</f>
        <v>0</v>
      </c>
      <c r="S640" s="34"/>
      <c r="T640" s="34">
        <f>Таблица1[[#This Row],[Сумма 
Продажа]]-IF(Таблица1[[#This Row],[Расход 
Авто]]="Клиент",N(Таблица1[[#This Row],[Авто услу ]]),0)</f>
        <v>0</v>
      </c>
      <c r="U6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0" s="265" t="str">
        <f>IFERROR(INDEX(Мижозлар[Агент],MATCH($D640,Мижозлар[Расмий ном],0)),"")</f>
        <v/>
      </c>
    </row>
    <row r="641" spans="1:23" ht="14.25" x14ac:dyDescent="0.2">
      <c r="A641" s="21"/>
      <c r="B641" s="135"/>
      <c r="C641" s="141"/>
      <c r="D641" s="141"/>
      <c r="E641" s="136"/>
      <c r="F641" s="135"/>
      <c r="G641" s="34"/>
      <c r="H641" s="142"/>
      <c r="I641" s="34"/>
      <c r="J641" s="34">
        <f>Таблица1[[#This Row],[Блок
 Куб]]*Таблица1[[#This Row],[Цена 
Приход]]</f>
        <v>0</v>
      </c>
      <c r="K641" s="34"/>
      <c r="L641" s="34"/>
      <c r="M641" s="34">
        <f>Таблица1[[#This Row],[Поддон
Шт]]*Таблица1[[#This Row],[Цена
Поддон]]</f>
        <v>0</v>
      </c>
      <c r="N641" s="34">
        <f>Таблица1[[#This Row],[Сумма 
Приход]]+Таблица1[[#This Row],[Сумма Поддон]]</f>
        <v>0</v>
      </c>
      <c r="O641" s="34"/>
      <c r="P641" s="34">
        <f>Таблица1[[#This Row],[Блок
 Куб]]*Таблица1[[#This Row],[Цена
 Продажа]]</f>
        <v>0</v>
      </c>
      <c r="Q641" s="34"/>
      <c r="R641" s="34">
        <f>Таблица1[[#This Row],[Сумма 
Продажа]]-Таблица1[[#This Row],[Сумма 
Приход]]-Таблица1[[#This Row],[Авто услу ]]</f>
        <v>0</v>
      </c>
      <c r="S641" s="34"/>
      <c r="T641" s="34">
        <f>Таблица1[[#This Row],[Сумма 
Продажа]]-IF(Таблица1[[#This Row],[Расход 
Авто]]="Клиент",N(Таблица1[[#This Row],[Авто услу ]]),0)</f>
        <v>0</v>
      </c>
      <c r="U6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1" s="265" t="str">
        <f>IFERROR(INDEX(Мижозлар[Агент],MATCH($D641,Мижозлар[Расмий ном],0)),"")</f>
        <v/>
      </c>
    </row>
    <row r="642" spans="1:23" ht="14.25" x14ac:dyDescent="0.2">
      <c r="A642" s="21"/>
      <c r="B642" s="135"/>
      <c r="C642" s="141"/>
      <c r="D642" s="141"/>
      <c r="E642" s="136"/>
      <c r="F642" s="135"/>
      <c r="G642" s="34"/>
      <c r="H642" s="142"/>
      <c r="I642" s="34"/>
      <c r="J642" s="34">
        <f>Таблица1[[#This Row],[Блок
 Куб]]*Таблица1[[#This Row],[Цена 
Приход]]</f>
        <v>0</v>
      </c>
      <c r="K642" s="34"/>
      <c r="L642" s="34"/>
      <c r="M642" s="34">
        <f>Таблица1[[#This Row],[Поддон
Шт]]*Таблица1[[#This Row],[Цена
Поддон]]</f>
        <v>0</v>
      </c>
      <c r="N642" s="34">
        <f>Таблица1[[#This Row],[Сумма 
Приход]]+Таблица1[[#This Row],[Сумма Поддон]]</f>
        <v>0</v>
      </c>
      <c r="O642" s="34"/>
      <c r="P642" s="34">
        <f>Таблица1[[#This Row],[Блок
 Куб]]*Таблица1[[#This Row],[Цена
 Продажа]]</f>
        <v>0</v>
      </c>
      <c r="Q642" s="34"/>
      <c r="R642" s="34">
        <f>Таблица1[[#This Row],[Сумма 
Продажа]]-Таблица1[[#This Row],[Сумма 
Приход]]-Таблица1[[#This Row],[Авто услу ]]</f>
        <v>0</v>
      </c>
      <c r="S642" s="34"/>
      <c r="T642" s="34">
        <f>Таблица1[[#This Row],[Сумма 
Продажа]]-IF(Таблица1[[#This Row],[Расход 
Авто]]="Клиент",N(Таблица1[[#This Row],[Авто услу ]]),0)</f>
        <v>0</v>
      </c>
      <c r="U6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2" s="265" t="str">
        <f>IFERROR(INDEX(Мижозлар[Агент],MATCH($D642,Мижозлар[Расмий ном],0)),"")</f>
        <v/>
      </c>
    </row>
    <row r="643" spans="1:23" ht="14.25" x14ac:dyDescent="0.2">
      <c r="A643" s="21"/>
      <c r="B643" s="135"/>
      <c r="C643" s="141"/>
      <c r="D643" s="141"/>
      <c r="E643" s="136"/>
      <c r="F643" s="135"/>
      <c r="G643" s="34"/>
      <c r="H643" s="142"/>
      <c r="I643" s="34"/>
      <c r="J643" s="34">
        <f>Таблица1[[#This Row],[Блок
 Куб]]*Таблица1[[#This Row],[Цена 
Приход]]</f>
        <v>0</v>
      </c>
      <c r="K643" s="34"/>
      <c r="L643" s="34"/>
      <c r="M643" s="34">
        <f>Таблица1[[#This Row],[Поддон
Шт]]*Таблица1[[#This Row],[Цена
Поддон]]</f>
        <v>0</v>
      </c>
      <c r="N643" s="34">
        <f>Таблица1[[#This Row],[Сумма 
Приход]]+Таблица1[[#This Row],[Сумма Поддон]]</f>
        <v>0</v>
      </c>
      <c r="O643" s="34"/>
      <c r="P643" s="34">
        <f>Таблица1[[#This Row],[Блок
 Куб]]*Таблица1[[#This Row],[Цена
 Продажа]]</f>
        <v>0</v>
      </c>
      <c r="Q643" s="34"/>
      <c r="R643" s="34">
        <f>Таблица1[[#This Row],[Сумма 
Продажа]]-Таблица1[[#This Row],[Сумма 
Приход]]-Таблица1[[#This Row],[Авто услу ]]</f>
        <v>0</v>
      </c>
      <c r="S643" s="34"/>
      <c r="T643" s="34">
        <f>Таблица1[[#This Row],[Сумма 
Продажа]]-IF(Таблица1[[#This Row],[Расход 
Авто]]="Клиент",N(Таблица1[[#This Row],[Авто услу ]]),0)</f>
        <v>0</v>
      </c>
      <c r="U6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3" s="265" t="str">
        <f>IFERROR(INDEX(Мижозлар[Агент],MATCH($D643,Мижозлар[Расмий ном],0)),"")</f>
        <v/>
      </c>
    </row>
    <row r="644" spans="1:23" ht="14.25" x14ac:dyDescent="0.2">
      <c r="A644" s="21"/>
      <c r="B644" s="135"/>
      <c r="C644" s="141"/>
      <c r="D644" s="141"/>
      <c r="E644" s="136"/>
      <c r="F644" s="135"/>
      <c r="G644" s="34"/>
      <c r="H644" s="142"/>
      <c r="I644" s="34"/>
      <c r="J644" s="34">
        <f>Таблица1[[#This Row],[Блок
 Куб]]*Таблица1[[#This Row],[Цена 
Приход]]</f>
        <v>0</v>
      </c>
      <c r="K644" s="34"/>
      <c r="L644" s="34"/>
      <c r="M644" s="34">
        <f>Таблица1[[#This Row],[Поддон
Шт]]*Таблица1[[#This Row],[Цена
Поддон]]</f>
        <v>0</v>
      </c>
      <c r="N644" s="34">
        <f>Таблица1[[#This Row],[Сумма 
Приход]]+Таблица1[[#This Row],[Сумма Поддон]]</f>
        <v>0</v>
      </c>
      <c r="O644" s="34"/>
      <c r="P644" s="34">
        <f>Таблица1[[#This Row],[Блок
 Куб]]*Таблица1[[#This Row],[Цена
 Продажа]]</f>
        <v>0</v>
      </c>
      <c r="Q644" s="34"/>
      <c r="R644" s="34">
        <f>Таблица1[[#This Row],[Сумма 
Продажа]]-Таблица1[[#This Row],[Сумма 
Приход]]-Таблица1[[#This Row],[Авто услу ]]</f>
        <v>0</v>
      </c>
      <c r="S644" s="34"/>
      <c r="T644" s="34">
        <f>Таблица1[[#This Row],[Сумма 
Продажа]]-IF(Таблица1[[#This Row],[Расход 
Авто]]="Клиент",N(Таблица1[[#This Row],[Авто услу ]]),0)</f>
        <v>0</v>
      </c>
      <c r="U6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4" s="265" t="str">
        <f>IFERROR(INDEX(Мижозлар[Агент],MATCH($D644,Мижозлар[Расмий ном],0)),"")</f>
        <v/>
      </c>
    </row>
    <row r="645" spans="1:23" ht="14.25" x14ac:dyDescent="0.2">
      <c r="A645" s="21"/>
      <c r="B645" s="135"/>
      <c r="C645" s="141"/>
      <c r="D645" s="141"/>
      <c r="E645" s="136"/>
      <c r="F645" s="135"/>
      <c r="G645" s="34"/>
      <c r="H645" s="142"/>
      <c r="I645" s="34"/>
      <c r="J645" s="34">
        <f>Таблица1[[#This Row],[Блок
 Куб]]*Таблица1[[#This Row],[Цена 
Приход]]</f>
        <v>0</v>
      </c>
      <c r="K645" s="34"/>
      <c r="L645" s="34"/>
      <c r="M645" s="34">
        <f>Таблица1[[#This Row],[Поддон
Шт]]*Таблица1[[#This Row],[Цена
Поддон]]</f>
        <v>0</v>
      </c>
      <c r="N645" s="34">
        <f>Таблица1[[#This Row],[Сумма 
Приход]]+Таблица1[[#This Row],[Сумма Поддон]]</f>
        <v>0</v>
      </c>
      <c r="O645" s="34"/>
      <c r="P645" s="34">
        <f>Таблица1[[#This Row],[Блок
 Куб]]*Таблица1[[#This Row],[Цена
 Продажа]]</f>
        <v>0</v>
      </c>
      <c r="Q645" s="34"/>
      <c r="R645" s="34">
        <f>Таблица1[[#This Row],[Сумма 
Продажа]]-Таблица1[[#This Row],[Сумма 
Приход]]-Таблица1[[#This Row],[Авто услу ]]</f>
        <v>0</v>
      </c>
      <c r="S645" s="34"/>
      <c r="T645" s="34">
        <f>Таблица1[[#This Row],[Сумма 
Продажа]]-IF(Таблица1[[#This Row],[Расход 
Авто]]="Клиент",N(Таблица1[[#This Row],[Авто услу ]]),0)</f>
        <v>0</v>
      </c>
      <c r="U6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5" s="265" t="str">
        <f>IFERROR(INDEX(Мижозлар[Агент],MATCH($D645,Мижозлар[Расмий ном],0)),"")</f>
        <v/>
      </c>
    </row>
    <row r="646" spans="1:23" ht="14.25" x14ac:dyDescent="0.2">
      <c r="A646" s="21"/>
      <c r="B646" s="135"/>
      <c r="C646" s="141"/>
      <c r="D646" s="141"/>
      <c r="E646" s="136"/>
      <c r="F646" s="135"/>
      <c r="G646" s="34"/>
      <c r="H646" s="142"/>
      <c r="I646" s="34"/>
      <c r="J646" s="34">
        <f>Таблица1[[#This Row],[Блок
 Куб]]*Таблица1[[#This Row],[Цена 
Приход]]</f>
        <v>0</v>
      </c>
      <c r="K646" s="34"/>
      <c r="L646" s="34"/>
      <c r="M646" s="34">
        <f>Таблица1[[#This Row],[Поддон
Шт]]*Таблица1[[#This Row],[Цена
Поддон]]</f>
        <v>0</v>
      </c>
      <c r="N646" s="34">
        <f>Таблица1[[#This Row],[Сумма 
Приход]]+Таблица1[[#This Row],[Сумма Поддон]]</f>
        <v>0</v>
      </c>
      <c r="O646" s="34"/>
      <c r="P646" s="34">
        <f>Таблица1[[#This Row],[Блок
 Куб]]*Таблица1[[#This Row],[Цена
 Продажа]]</f>
        <v>0</v>
      </c>
      <c r="Q646" s="34"/>
      <c r="R646" s="34">
        <f>Таблица1[[#This Row],[Сумма 
Продажа]]-Таблица1[[#This Row],[Сумма 
Приход]]-Таблица1[[#This Row],[Авто услу ]]</f>
        <v>0</v>
      </c>
      <c r="S646" s="34"/>
      <c r="T646" s="34">
        <f>Таблица1[[#This Row],[Сумма 
Продажа]]-IF(Таблица1[[#This Row],[Расход 
Авто]]="Клиент",N(Таблица1[[#This Row],[Авто услу ]]),0)</f>
        <v>0</v>
      </c>
      <c r="U6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6" s="265" t="str">
        <f>IFERROR(INDEX(Мижозлар[Агент],MATCH($D646,Мижозлар[Расмий ном],0)),"")</f>
        <v/>
      </c>
    </row>
    <row r="647" spans="1:23" ht="14.25" x14ac:dyDescent="0.2">
      <c r="A647" s="21"/>
      <c r="B647" s="135"/>
      <c r="C647" s="141"/>
      <c r="D647" s="141"/>
      <c r="E647" s="136"/>
      <c r="F647" s="135"/>
      <c r="G647" s="34"/>
      <c r="H647" s="142"/>
      <c r="I647" s="34"/>
      <c r="J647" s="34">
        <f>Таблица1[[#This Row],[Блок
 Куб]]*Таблица1[[#This Row],[Цена 
Приход]]</f>
        <v>0</v>
      </c>
      <c r="K647" s="34"/>
      <c r="L647" s="34"/>
      <c r="M647" s="34">
        <f>Таблица1[[#This Row],[Поддон
Шт]]*Таблица1[[#This Row],[Цена
Поддон]]</f>
        <v>0</v>
      </c>
      <c r="N647" s="34">
        <f>Таблица1[[#This Row],[Сумма 
Приход]]+Таблица1[[#This Row],[Сумма Поддон]]</f>
        <v>0</v>
      </c>
      <c r="O647" s="34"/>
      <c r="P647" s="34">
        <f>Таблица1[[#This Row],[Блок
 Куб]]*Таблица1[[#This Row],[Цена
 Продажа]]</f>
        <v>0</v>
      </c>
      <c r="Q647" s="34"/>
      <c r="R647" s="34">
        <f>Таблица1[[#This Row],[Сумма 
Продажа]]-Таблица1[[#This Row],[Сумма 
Приход]]-Таблица1[[#This Row],[Авто услу ]]</f>
        <v>0</v>
      </c>
      <c r="S647" s="34"/>
      <c r="T647" s="34">
        <f>Таблица1[[#This Row],[Сумма 
Продажа]]-IF(Таблица1[[#This Row],[Расход 
Авто]]="Клиент",N(Таблица1[[#This Row],[Авто услу ]]),0)</f>
        <v>0</v>
      </c>
      <c r="U6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7" s="265" t="str">
        <f>IFERROR(INDEX(Мижозлар[Агент],MATCH($D647,Мижозлар[Расмий ном],0)),"")</f>
        <v/>
      </c>
    </row>
    <row r="648" spans="1:23" ht="14.25" x14ac:dyDescent="0.2">
      <c r="A648" s="21"/>
      <c r="B648" s="135"/>
      <c r="C648" s="141"/>
      <c r="D648" s="141"/>
      <c r="E648" s="136"/>
      <c r="F648" s="135"/>
      <c r="G648" s="34"/>
      <c r="H648" s="142"/>
      <c r="I648" s="34"/>
      <c r="J648" s="34">
        <f>Таблица1[[#This Row],[Блок
 Куб]]*Таблица1[[#This Row],[Цена 
Приход]]</f>
        <v>0</v>
      </c>
      <c r="K648" s="34"/>
      <c r="L648" s="34"/>
      <c r="M648" s="34">
        <f>Таблица1[[#This Row],[Поддон
Шт]]*Таблица1[[#This Row],[Цена
Поддон]]</f>
        <v>0</v>
      </c>
      <c r="N648" s="34">
        <f>Таблица1[[#This Row],[Сумма 
Приход]]+Таблица1[[#This Row],[Сумма Поддон]]</f>
        <v>0</v>
      </c>
      <c r="O648" s="34"/>
      <c r="P648" s="34">
        <f>Таблица1[[#This Row],[Блок
 Куб]]*Таблица1[[#This Row],[Цена
 Продажа]]</f>
        <v>0</v>
      </c>
      <c r="Q648" s="34"/>
      <c r="R648" s="34">
        <f>Таблица1[[#This Row],[Сумма 
Продажа]]-Таблица1[[#This Row],[Сумма 
Приход]]-Таблица1[[#This Row],[Авто услу ]]</f>
        <v>0</v>
      </c>
      <c r="S648" s="34"/>
      <c r="T648" s="34">
        <f>Таблица1[[#This Row],[Сумма 
Продажа]]-IF(Таблица1[[#This Row],[Расход 
Авто]]="Клиент",N(Таблица1[[#This Row],[Авто услу ]]),0)</f>
        <v>0</v>
      </c>
      <c r="U6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8" s="265" t="str">
        <f>IFERROR(INDEX(Мижозлар[Агент],MATCH($D648,Мижозлар[Расмий ном],0)),"")</f>
        <v/>
      </c>
    </row>
    <row r="649" spans="1:23" ht="14.25" x14ac:dyDescent="0.2">
      <c r="A649" s="21"/>
      <c r="B649" s="135"/>
      <c r="C649" s="141"/>
      <c r="D649" s="141"/>
      <c r="E649" s="136"/>
      <c r="F649" s="135"/>
      <c r="G649" s="34"/>
      <c r="H649" s="142"/>
      <c r="I649" s="34"/>
      <c r="J649" s="34">
        <f>Таблица1[[#This Row],[Блок
 Куб]]*Таблица1[[#This Row],[Цена 
Приход]]</f>
        <v>0</v>
      </c>
      <c r="K649" s="34"/>
      <c r="L649" s="34"/>
      <c r="M649" s="34">
        <f>Таблица1[[#This Row],[Поддон
Шт]]*Таблица1[[#This Row],[Цена
Поддон]]</f>
        <v>0</v>
      </c>
      <c r="N649" s="34">
        <f>Таблица1[[#This Row],[Сумма 
Приход]]+Таблица1[[#This Row],[Сумма Поддон]]</f>
        <v>0</v>
      </c>
      <c r="O649" s="34"/>
      <c r="P649" s="34">
        <f>Таблица1[[#This Row],[Блок
 Куб]]*Таблица1[[#This Row],[Цена
 Продажа]]</f>
        <v>0</v>
      </c>
      <c r="Q649" s="34"/>
      <c r="R649" s="34">
        <f>Таблица1[[#This Row],[Сумма 
Продажа]]-Таблица1[[#This Row],[Сумма 
Приход]]-Таблица1[[#This Row],[Авто услу ]]</f>
        <v>0</v>
      </c>
      <c r="S649" s="34"/>
      <c r="T649" s="34">
        <f>Таблица1[[#This Row],[Сумма 
Продажа]]-IF(Таблица1[[#This Row],[Расход 
Авто]]="Клиент",N(Таблица1[[#This Row],[Авто услу ]]),0)</f>
        <v>0</v>
      </c>
      <c r="U6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49" s="265" t="str">
        <f>IFERROR(INDEX(Мижозлар[Агент],MATCH($D649,Мижозлар[Расмий ном],0)),"")</f>
        <v/>
      </c>
    </row>
    <row r="650" spans="1:23" ht="14.25" x14ac:dyDescent="0.2">
      <c r="A650" s="21"/>
      <c r="B650" s="135"/>
      <c r="C650" s="141"/>
      <c r="D650" s="141"/>
      <c r="E650" s="136"/>
      <c r="F650" s="135"/>
      <c r="G650" s="34"/>
      <c r="H650" s="142"/>
      <c r="I650" s="34"/>
      <c r="J650" s="34">
        <f>Таблица1[[#This Row],[Блок
 Куб]]*Таблица1[[#This Row],[Цена 
Приход]]</f>
        <v>0</v>
      </c>
      <c r="K650" s="34"/>
      <c r="L650" s="34"/>
      <c r="M650" s="34">
        <f>Таблица1[[#This Row],[Поддон
Шт]]*Таблица1[[#This Row],[Цена
Поддон]]</f>
        <v>0</v>
      </c>
      <c r="N650" s="34">
        <f>Таблица1[[#This Row],[Сумма 
Приход]]+Таблица1[[#This Row],[Сумма Поддон]]</f>
        <v>0</v>
      </c>
      <c r="O650" s="34"/>
      <c r="P650" s="34">
        <f>Таблица1[[#This Row],[Блок
 Куб]]*Таблица1[[#This Row],[Цена
 Продажа]]</f>
        <v>0</v>
      </c>
      <c r="Q650" s="34"/>
      <c r="R650" s="34">
        <f>Таблица1[[#This Row],[Сумма 
Продажа]]-Таблица1[[#This Row],[Сумма 
Приход]]-Таблица1[[#This Row],[Авто услу ]]</f>
        <v>0</v>
      </c>
      <c r="S650" s="34"/>
      <c r="T650" s="34">
        <f>Таблица1[[#This Row],[Сумма 
Продажа]]-IF(Таблица1[[#This Row],[Расход 
Авто]]="Клиент",N(Таблица1[[#This Row],[Авто услу ]]),0)</f>
        <v>0</v>
      </c>
      <c r="U6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0" s="265" t="str">
        <f>IFERROR(INDEX(Мижозлар[Агент],MATCH($D650,Мижозлар[Расмий ном],0)),"")</f>
        <v/>
      </c>
    </row>
    <row r="651" spans="1:23" ht="14.25" x14ac:dyDescent="0.2">
      <c r="A651" s="21"/>
      <c r="B651" s="135"/>
      <c r="C651" s="141"/>
      <c r="D651" s="141"/>
      <c r="E651" s="136"/>
      <c r="F651" s="135"/>
      <c r="G651" s="34"/>
      <c r="H651" s="142"/>
      <c r="I651" s="34"/>
      <c r="J651" s="34">
        <f>Таблица1[[#This Row],[Блок
 Куб]]*Таблица1[[#This Row],[Цена 
Приход]]</f>
        <v>0</v>
      </c>
      <c r="K651" s="34"/>
      <c r="L651" s="34"/>
      <c r="M651" s="34">
        <f>Таблица1[[#This Row],[Поддон
Шт]]*Таблица1[[#This Row],[Цена
Поддон]]</f>
        <v>0</v>
      </c>
      <c r="N651" s="34">
        <f>Таблица1[[#This Row],[Сумма 
Приход]]+Таблица1[[#This Row],[Сумма Поддон]]</f>
        <v>0</v>
      </c>
      <c r="O651" s="34"/>
      <c r="P651" s="34">
        <f>Таблица1[[#This Row],[Блок
 Куб]]*Таблица1[[#This Row],[Цена
 Продажа]]</f>
        <v>0</v>
      </c>
      <c r="Q651" s="34"/>
      <c r="R651" s="34">
        <f>Таблица1[[#This Row],[Сумма 
Продажа]]-Таблица1[[#This Row],[Сумма 
Приход]]-Таблица1[[#This Row],[Авто услу ]]</f>
        <v>0</v>
      </c>
      <c r="S651" s="34"/>
      <c r="T651" s="34">
        <f>Таблица1[[#This Row],[Сумма 
Продажа]]-IF(Таблица1[[#This Row],[Расход 
Авто]]="Клиент",N(Таблица1[[#This Row],[Авто услу ]]),0)</f>
        <v>0</v>
      </c>
      <c r="U6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1" s="265" t="str">
        <f>IFERROR(INDEX(Мижозлар[Агент],MATCH($D651,Мижозлар[Расмий ном],0)),"")</f>
        <v/>
      </c>
    </row>
    <row r="652" spans="1:23" ht="14.25" x14ac:dyDescent="0.2">
      <c r="A652" s="21"/>
      <c r="B652" s="135"/>
      <c r="C652" s="141"/>
      <c r="D652" s="141"/>
      <c r="E652" s="136"/>
      <c r="F652" s="135"/>
      <c r="G652" s="34"/>
      <c r="H652" s="142"/>
      <c r="I652" s="34"/>
      <c r="J652" s="34">
        <f>Таблица1[[#This Row],[Блок
 Куб]]*Таблица1[[#This Row],[Цена 
Приход]]</f>
        <v>0</v>
      </c>
      <c r="K652" s="34"/>
      <c r="L652" s="34"/>
      <c r="M652" s="34">
        <f>Таблица1[[#This Row],[Поддон
Шт]]*Таблица1[[#This Row],[Цена
Поддон]]</f>
        <v>0</v>
      </c>
      <c r="N652" s="34">
        <f>Таблица1[[#This Row],[Сумма 
Приход]]+Таблица1[[#This Row],[Сумма Поддон]]</f>
        <v>0</v>
      </c>
      <c r="O652" s="34"/>
      <c r="P652" s="34">
        <f>Таблица1[[#This Row],[Блок
 Куб]]*Таблица1[[#This Row],[Цена
 Продажа]]</f>
        <v>0</v>
      </c>
      <c r="Q652" s="34"/>
      <c r="R652" s="34">
        <f>Таблица1[[#This Row],[Сумма 
Продажа]]-Таблица1[[#This Row],[Сумма 
Приход]]-Таблица1[[#This Row],[Авто услу ]]</f>
        <v>0</v>
      </c>
      <c r="S652" s="34"/>
      <c r="T652" s="34">
        <f>Таблица1[[#This Row],[Сумма 
Продажа]]-IF(Таблица1[[#This Row],[Расход 
Авто]]="Клиент",N(Таблица1[[#This Row],[Авто услу ]]),0)</f>
        <v>0</v>
      </c>
      <c r="U6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2" s="265" t="str">
        <f>IFERROR(INDEX(Мижозлар[Агент],MATCH($D652,Мижозлар[Расмий ном],0)),"")</f>
        <v/>
      </c>
    </row>
    <row r="653" spans="1:23" ht="14.25" x14ac:dyDescent="0.2">
      <c r="A653" s="21"/>
      <c r="B653" s="135"/>
      <c r="C653" s="141"/>
      <c r="D653" s="141"/>
      <c r="E653" s="136"/>
      <c r="F653" s="135"/>
      <c r="G653" s="34"/>
      <c r="H653" s="142"/>
      <c r="I653" s="34"/>
      <c r="J653" s="34">
        <f>Таблица1[[#This Row],[Блок
 Куб]]*Таблица1[[#This Row],[Цена 
Приход]]</f>
        <v>0</v>
      </c>
      <c r="K653" s="34"/>
      <c r="L653" s="34"/>
      <c r="M653" s="34">
        <f>Таблица1[[#This Row],[Поддон
Шт]]*Таблица1[[#This Row],[Цена
Поддон]]</f>
        <v>0</v>
      </c>
      <c r="N653" s="34">
        <f>Таблица1[[#This Row],[Сумма 
Приход]]+Таблица1[[#This Row],[Сумма Поддон]]</f>
        <v>0</v>
      </c>
      <c r="O653" s="34"/>
      <c r="P653" s="34">
        <f>Таблица1[[#This Row],[Блок
 Куб]]*Таблица1[[#This Row],[Цена
 Продажа]]</f>
        <v>0</v>
      </c>
      <c r="Q653" s="34"/>
      <c r="R653" s="34">
        <f>Таблица1[[#This Row],[Сумма 
Продажа]]-Таблица1[[#This Row],[Сумма 
Приход]]-Таблица1[[#This Row],[Авто услу ]]</f>
        <v>0</v>
      </c>
      <c r="S653" s="34"/>
      <c r="T653" s="34">
        <f>Таблица1[[#This Row],[Сумма 
Продажа]]-IF(Таблица1[[#This Row],[Расход 
Авто]]="Клиент",N(Таблица1[[#This Row],[Авто услу ]]),0)</f>
        <v>0</v>
      </c>
      <c r="U6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3" s="265" t="str">
        <f>IFERROR(INDEX(Мижозлар[Агент],MATCH($D653,Мижозлар[Расмий ном],0)),"")</f>
        <v/>
      </c>
    </row>
    <row r="654" spans="1:23" ht="14.25" x14ac:dyDescent="0.2">
      <c r="A654" s="21"/>
      <c r="B654" s="135"/>
      <c r="C654" s="141"/>
      <c r="D654" s="141"/>
      <c r="E654" s="136"/>
      <c r="F654" s="135"/>
      <c r="G654" s="34"/>
      <c r="H654" s="142"/>
      <c r="I654" s="34"/>
      <c r="J654" s="34">
        <f>Таблица1[[#This Row],[Блок
 Куб]]*Таблица1[[#This Row],[Цена 
Приход]]</f>
        <v>0</v>
      </c>
      <c r="K654" s="34"/>
      <c r="L654" s="34"/>
      <c r="M654" s="34">
        <f>Таблица1[[#This Row],[Поддон
Шт]]*Таблица1[[#This Row],[Цена
Поддон]]</f>
        <v>0</v>
      </c>
      <c r="N654" s="34">
        <f>Таблица1[[#This Row],[Сумма 
Приход]]+Таблица1[[#This Row],[Сумма Поддон]]</f>
        <v>0</v>
      </c>
      <c r="O654" s="34"/>
      <c r="P654" s="34">
        <f>Таблица1[[#This Row],[Блок
 Куб]]*Таблица1[[#This Row],[Цена
 Продажа]]</f>
        <v>0</v>
      </c>
      <c r="Q654" s="34"/>
      <c r="R654" s="34">
        <f>Таблица1[[#This Row],[Сумма 
Продажа]]-Таблица1[[#This Row],[Сумма 
Приход]]-Таблица1[[#This Row],[Авто услу ]]</f>
        <v>0</v>
      </c>
      <c r="S654" s="34"/>
      <c r="T654" s="34">
        <f>Таблица1[[#This Row],[Сумма 
Продажа]]-IF(Таблица1[[#This Row],[Расход 
Авто]]="Клиент",N(Таблица1[[#This Row],[Авто услу ]]),0)</f>
        <v>0</v>
      </c>
      <c r="U6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4" s="265" t="str">
        <f>IFERROR(INDEX(Мижозлар[Агент],MATCH($D654,Мижозлар[Расмий ном],0)),"")</f>
        <v/>
      </c>
    </row>
    <row r="655" spans="1:23" ht="14.25" x14ac:dyDescent="0.2">
      <c r="A655" s="21"/>
      <c r="B655" s="135"/>
      <c r="C655" s="141"/>
      <c r="D655" s="141"/>
      <c r="E655" s="136"/>
      <c r="F655" s="135"/>
      <c r="G655" s="34"/>
      <c r="H655" s="142"/>
      <c r="I655" s="34"/>
      <c r="J655" s="34">
        <f>Таблица1[[#This Row],[Блок
 Куб]]*Таблица1[[#This Row],[Цена 
Приход]]</f>
        <v>0</v>
      </c>
      <c r="K655" s="34"/>
      <c r="L655" s="34"/>
      <c r="M655" s="34">
        <f>Таблица1[[#This Row],[Поддон
Шт]]*Таблица1[[#This Row],[Цена
Поддон]]</f>
        <v>0</v>
      </c>
      <c r="N655" s="34">
        <f>Таблица1[[#This Row],[Сумма 
Приход]]+Таблица1[[#This Row],[Сумма Поддон]]</f>
        <v>0</v>
      </c>
      <c r="O655" s="34"/>
      <c r="P655" s="34">
        <f>Таблица1[[#This Row],[Блок
 Куб]]*Таблица1[[#This Row],[Цена
 Продажа]]</f>
        <v>0</v>
      </c>
      <c r="Q655" s="34"/>
      <c r="R655" s="34">
        <f>Таблица1[[#This Row],[Сумма 
Продажа]]-Таблица1[[#This Row],[Сумма 
Приход]]-Таблица1[[#This Row],[Авто услу ]]</f>
        <v>0</v>
      </c>
      <c r="S655" s="34"/>
      <c r="T655" s="34">
        <f>Таблица1[[#This Row],[Сумма 
Продажа]]-IF(Таблица1[[#This Row],[Расход 
Авто]]="Клиент",N(Таблица1[[#This Row],[Авто услу ]]),0)</f>
        <v>0</v>
      </c>
      <c r="U6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5" s="265" t="str">
        <f>IFERROR(INDEX(Мижозлар[Агент],MATCH($D655,Мижозлар[Расмий ном],0)),"")</f>
        <v/>
      </c>
    </row>
    <row r="656" spans="1:23" ht="14.25" x14ac:dyDescent="0.2">
      <c r="A656" s="21"/>
      <c r="B656" s="135"/>
      <c r="C656" s="141"/>
      <c r="D656" s="141"/>
      <c r="E656" s="136"/>
      <c r="F656" s="135"/>
      <c r="G656" s="34"/>
      <c r="H656" s="142"/>
      <c r="I656" s="34"/>
      <c r="J656" s="34">
        <f>Таблица1[[#This Row],[Блок
 Куб]]*Таблица1[[#This Row],[Цена 
Приход]]</f>
        <v>0</v>
      </c>
      <c r="K656" s="34"/>
      <c r="L656" s="34"/>
      <c r="M656" s="34">
        <f>Таблица1[[#This Row],[Поддон
Шт]]*Таблица1[[#This Row],[Цена
Поддон]]</f>
        <v>0</v>
      </c>
      <c r="N656" s="34">
        <f>Таблица1[[#This Row],[Сумма 
Приход]]+Таблица1[[#This Row],[Сумма Поддон]]</f>
        <v>0</v>
      </c>
      <c r="O656" s="34"/>
      <c r="P656" s="34">
        <f>Таблица1[[#This Row],[Блок
 Куб]]*Таблица1[[#This Row],[Цена
 Продажа]]</f>
        <v>0</v>
      </c>
      <c r="Q656" s="34"/>
      <c r="R656" s="34">
        <f>Таблица1[[#This Row],[Сумма 
Продажа]]-Таблица1[[#This Row],[Сумма 
Приход]]-Таблица1[[#This Row],[Авто услу ]]</f>
        <v>0</v>
      </c>
      <c r="S656" s="34"/>
      <c r="T656" s="34">
        <f>Таблица1[[#This Row],[Сумма 
Продажа]]-IF(Таблица1[[#This Row],[Расход 
Авто]]="Клиент",N(Таблица1[[#This Row],[Авто услу ]]),0)</f>
        <v>0</v>
      </c>
      <c r="U6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6" s="265" t="str">
        <f>IFERROR(INDEX(Мижозлар[Агент],MATCH($D656,Мижозлар[Расмий ном],0)),"")</f>
        <v/>
      </c>
    </row>
    <row r="657" spans="1:23" ht="14.25" x14ac:dyDescent="0.2">
      <c r="A657" s="21"/>
      <c r="B657" s="135"/>
      <c r="C657" s="141"/>
      <c r="D657" s="141"/>
      <c r="E657" s="136"/>
      <c r="F657" s="135"/>
      <c r="G657" s="34"/>
      <c r="H657" s="142"/>
      <c r="I657" s="34"/>
      <c r="J657" s="34">
        <f>Таблица1[[#This Row],[Блок
 Куб]]*Таблица1[[#This Row],[Цена 
Приход]]</f>
        <v>0</v>
      </c>
      <c r="K657" s="34"/>
      <c r="L657" s="34"/>
      <c r="M657" s="34">
        <f>Таблица1[[#This Row],[Поддон
Шт]]*Таблица1[[#This Row],[Цена
Поддон]]</f>
        <v>0</v>
      </c>
      <c r="N657" s="34">
        <f>Таблица1[[#This Row],[Сумма 
Приход]]+Таблица1[[#This Row],[Сумма Поддон]]</f>
        <v>0</v>
      </c>
      <c r="O657" s="34"/>
      <c r="P657" s="34">
        <f>Таблица1[[#This Row],[Блок
 Куб]]*Таблица1[[#This Row],[Цена
 Продажа]]</f>
        <v>0</v>
      </c>
      <c r="Q657" s="34"/>
      <c r="R657" s="34">
        <f>Таблица1[[#This Row],[Сумма 
Продажа]]-Таблица1[[#This Row],[Сумма 
Приход]]-Таблица1[[#This Row],[Авто услу ]]</f>
        <v>0</v>
      </c>
      <c r="S657" s="34"/>
      <c r="T657" s="34">
        <f>Таблица1[[#This Row],[Сумма 
Продажа]]-IF(Таблица1[[#This Row],[Расход 
Авто]]="Клиент",N(Таблица1[[#This Row],[Авто услу ]]),0)</f>
        <v>0</v>
      </c>
      <c r="U6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7" s="265" t="str">
        <f>IFERROR(INDEX(Мижозлар[Агент],MATCH($D657,Мижозлар[Расмий ном],0)),"")</f>
        <v/>
      </c>
    </row>
    <row r="658" spans="1:23" ht="14.25" x14ac:dyDescent="0.2">
      <c r="A658" s="21"/>
      <c r="B658" s="135"/>
      <c r="C658" s="141"/>
      <c r="D658" s="141"/>
      <c r="E658" s="136"/>
      <c r="F658" s="135"/>
      <c r="G658" s="34"/>
      <c r="H658" s="142"/>
      <c r="I658" s="34"/>
      <c r="J658" s="34">
        <f>Таблица1[[#This Row],[Блок
 Куб]]*Таблица1[[#This Row],[Цена 
Приход]]</f>
        <v>0</v>
      </c>
      <c r="K658" s="34"/>
      <c r="L658" s="34"/>
      <c r="M658" s="34">
        <f>Таблица1[[#This Row],[Поддон
Шт]]*Таблица1[[#This Row],[Цена
Поддон]]</f>
        <v>0</v>
      </c>
      <c r="N658" s="34">
        <f>Таблица1[[#This Row],[Сумма 
Приход]]+Таблица1[[#This Row],[Сумма Поддон]]</f>
        <v>0</v>
      </c>
      <c r="O658" s="34"/>
      <c r="P658" s="34">
        <f>Таблица1[[#This Row],[Блок
 Куб]]*Таблица1[[#This Row],[Цена
 Продажа]]</f>
        <v>0</v>
      </c>
      <c r="Q658" s="34"/>
      <c r="R658" s="34">
        <f>Таблица1[[#This Row],[Сумма 
Продажа]]-Таблица1[[#This Row],[Сумма 
Приход]]-Таблица1[[#This Row],[Авто услу ]]</f>
        <v>0</v>
      </c>
      <c r="S658" s="34"/>
      <c r="T658" s="34">
        <f>Таблица1[[#This Row],[Сумма 
Продажа]]-IF(Таблица1[[#This Row],[Расход 
Авто]]="Клиент",N(Таблица1[[#This Row],[Авто услу ]]),0)</f>
        <v>0</v>
      </c>
      <c r="U6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8" s="265" t="str">
        <f>IFERROR(INDEX(Мижозлар[Агент],MATCH($D658,Мижозлар[Расмий ном],0)),"")</f>
        <v/>
      </c>
    </row>
    <row r="659" spans="1:23" ht="14.25" x14ac:dyDescent="0.2">
      <c r="A659" s="21"/>
      <c r="B659" s="135"/>
      <c r="C659" s="141"/>
      <c r="D659" s="141"/>
      <c r="E659" s="136"/>
      <c r="F659" s="135"/>
      <c r="G659" s="34"/>
      <c r="H659" s="142"/>
      <c r="I659" s="34"/>
      <c r="J659" s="34">
        <f>Таблица1[[#This Row],[Блок
 Куб]]*Таблица1[[#This Row],[Цена 
Приход]]</f>
        <v>0</v>
      </c>
      <c r="K659" s="34"/>
      <c r="L659" s="34"/>
      <c r="M659" s="34">
        <f>Таблица1[[#This Row],[Поддон
Шт]]*Таблица1[[#This Row],[Цена
Поддон]]</f>
        <v>0</v>
      </c>
      <c r="N659" s="34">
        <f>Таблица1[[#This Row],[Сумма 
Приход]]+Таблица1[[#This Row],[Сумма Поддон]]</f>
        <v>0</v>
      </c>
      <c r="O659" s="34"/>
      <c r="P659" s="34">
        <f>Таблица1[[#This Row],[Блок
 Куб]]*Таблица1[[#This Row],[Цена
 Продажа]]</f>
        <v>0</v>
      </c>
      <c r="Q659" s="34"/>
      <c r="R659" s="34">
        <f>Таблица1[[#This Row],[Сумма 
Продажа]]-Таблица1[[#This Row],[Сумма 
Приход]]-Таблица1[[#This Row],[Авто услу ]]</f>
        <v>0</v>
      </c>
      <c r="S659" s="34"/>
      <c r="T659" s="34">
        <f>Таблица1[[#This Row],[Сумма 
Продажа]]-IF(Таблица1[[#This Row],[Расход 
Авто]]="Клиент",N(Таблица1[[#This Row],[Авто услу ]]),0)</f>
        <v>0</v>
      </c>
      <c r="U6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59" s="265" t="str">
        <f>IFERROR(INDEX(Мижозлар[Агент],MATCH($D659,Мижозлар[Расмий ном],0)),"")</f>
        <v/>
      </c>
    </row>
    <row r="660" spans="1:23" ht="14.25" x14ac:dyDescent="0.2">
      <c r="A660" s="21"/>
      <c r="B660" s="135"/>
      <c r="C660" s="141"/>
      <c r="D660" s="141"/>
      <c r="E660" s="136"/>
      <c r="F660" s="135"/>
      <c r="G660" s="34"/>
      <c r="H660" s="142"/>
      <c r="I660" s="34"/>
      <c r="J660" s="34">
        <f>Таблица1[[#This Row],[Блок
 Куб]]*Таблица1[[#This Row],[Цена 
Приход]]</f>
        <v>0</v>
      </c>
      <c r="K660" s="34"/>
      <c r="L660" s="34"/>
      <c r="M660" s="34">
        <f>Таблица1[[#This Row],[Поддон
Шт]]*Таблица1[[#This Row],[Цена
Поддон]]</f>
        <v>0</v>
      </c>
      <c r="N660" s="34">
        <f>Таблица1[[#This Row],[Сумма 
Приход]]+Таблица1[[#This Row],[Сумма Поддон]]</f>
        <v>0</v>
      </c>
      <c r="O660" s="34"/>
      <c r="P660" s="34">
        <f>Таблица1[[#This Row],[Блок
 Куб]]*Таблица1[[#This Row],[Цена
 Продажа]]</f>
        <v>0</v>
      </c>
      <c r="Q660" s="34"/>
      <c r="R660" s="34">
        <f>Таблица1[[#This Row],[Сумма 
Продажа]]-Таблица1[[#This Row],[Сумма 
Приход]]-Таблица1[[#This Row],[Авто услу ]]</f>
        <v>0</v>
      </c>
      <c r="S660" s="34"/>
      <c r="T660" s="34">
        <f>Таблица1[[#This Row],[Сумма 
Продажа]]-IF(Таблица1[[#This Row],[Расход 
Авто]]="Клиент",N(Таблица1[[#This Row],[Авто услу ]]),0)</f>
        <v>0</v>
      </c>
      <c r="U6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0" s="265" t="str">
        <f>IFERROR(INDEX(Мижозлар[Агент],MATCH($D660,Мижозлар[Расмий ном],0)),"")</f>
        <v/>
      </c>
    </row>
    <row r="661" spans="1:23" ht="14.25" x14ac:dyDescent="0.2">
      <c r="A661" s="21"/>
      <c r="B661" s="135"/>
      <c r="C661" s="141"/>
      <c r="D661" s="141"/>
      <c r="E661" s="136"/>
      <c r="F661" s="135"/>
      <c r="G661" s="34"/>
      <c r="H661" s="142"/>
      <c r="I661" s="34"/>
      <c r="J661" s="34">
        <f>Таблица1[[#This Row],[Блок
 Куб]]*Таблица1[[#This Row],[Цена 
Приход]]</f>
        <v>0</v>
      </c>
      <c r="K661" s="34"/>
      <c r="L661" s="34"/>
      <c r="M661" s="34">
        <f>Таблица1[[#This Row],[Поддон
Шт]]*Таблица1[[#This Row],[Цена
Поддон]]</f>
        <v>0</v>
      </c>
      <c r="N661" s="34">
        <f>Таблица1[[#This Row],[Сумма 
Приход]]+Таблица1[[#This Row],[Сумма Поддон]]</f>
        <v>0</v>
      </c>
      <c r="O661" s="34"/>
      <c r="P661" s="34">
        <f>Таблица1[[#This Row],[Блок
 Куб]]*Таблица1[[#This Row],[Цена
 Продажа]]</f>
        <v>0</v>
      </c>
      <c r="Q661" s="34"/>
      <c r="R661" s="34">
        <f>Таблица1[[#This Row],[Сумма 
Продажа]]-Таблица1[[#This Row],[Сумма 
Приход]]-Таблица1[[#This Row],[Авто услу ]]</f>
        <v>0</v>
      </c>
      <c r="S661" s="34"/>
      <c r="T661" s="34">
        <f>Таблица1[[#This Row],[Сумма 
Продажа]]-IF(Таблица1[[#This Row],[Расход 
Авто]]="Клиент",N(Таблица1[[#This Row],[Авто услу ]]),0)</f>
        <v>0</v>
      </c>
      <c r="U6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1" s="265" t="str">
        <f>IFERROR(INDEX(Мижозлар[Агент],MATCH($D661,Мижозлар[Расмий ном],0)),"")</f>
        <v/>
      </c>
    </row>
    <row r="662" spans="1:23" ht="14.25" x14ac:dyDescent="0.2">
      <c r="A662" s="21"/>
      <c r="B662" s="135"/>
      <c r="C662" s="141"/>
      <c r="D662" s="141"/>
      <c r="E662" s="136"/>
      <c r="F662" s="135"/>
      <c r="G662" s="34"/>
      <c r="H662" s="142"/>
      <c r="I662" s="34"/>
      <c r="J662" s="34">
        <f>Таблица1[[#This Row],[Блок
 Куб]]*Таблица1[[#This Row],[Цена 
Приход]]</f>
        <v>0</v>
      </c>
      <c r="K662" s="34"/>
      <c r="L662" s="34"/>
      <c r="M662" s="34">
        <f>Таблица1[[#This Row],[Поддон
Шт]]*Таблица1[[#This Row],[Цена
Поддон]]</f>
        <v>0</v>
      </c>
      <c r="N662" s="34">
        <f>Таблица1[[#This Row],[Сумма 
Приход]]+Таблица1[[#This Row],[Сумма Поддон]]</f>
        <v>0</v>
      </c>
      <c r="O662" s="34"/>
      <c r="P662" s="34">
        <f>Таблица1[[#This Row],[Блок
 Куб]]*Таблица1[[#This Row],[Цена
 Продажа]]</f>
        <v>0</v>
      </c>
      <c r="Q662" s="34"/>
      <c r="R662" s="34">
        <f>Таблица1[[#This Row],[Сумма 
Продажа]]-Таблица1[[#This Row],[Сумма 
Приход]]-Таблица1[[#This Row],[Авто услу ]]</f>
        <v>0</v>
      </c>
      <c r="S662" s="34"/>
      <c r="T662" s="34">
        <f>Таблица1[[#This Row],[Сумма 
Продажа]]-IF(Таблица1[[#This Row],[Расход 
Авто]]="Клиент",N(Таблица1[[#This Row],[Авто услу ]]),0)</f>
        <v>0</v>
      </c>
      <c r="U6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2" s="265" t="str">
        <f>IFERROR(INDEX(Мижозлар[Агент],MATCH($D662,Мижозлар[Расмий ном],0)),"")</f>
        <v/>
      </c>
    </row>
    <row r="663" spans="1:23" ht="14.25" x14ac:dyDescent="0.2">
      <c r="A663" s="21"/>
      <c r="B663" s="135"/>
      <c r="C663" s="141"/>
      <c r="D663" s="141"/>
      <c r="E663" s="136"/>
      <c r="F663" s="135"/>
      <c r="G663" s="34"/>
      <c r="H663" s="142"/>
      <c r="I663" s="34"/>
      <c r="J663" s="34">
        <f>Таблица1[[#This Row],[Блок
 Куб]]*Таблица1[[#This Row],[Цена 
Приход]]</f>
        <v>0</v>
      </c>
      <c r="K663" s="34"/>
      <c r="L663" s="34"/>
      <c r="M663" s="34">
        <f>Таблица1[[#This Row],[Поддон
Шт]]*Таблица1[[#This Row],[Цена
Поддон]]</f>
        <v>0</v>
      </c>
      <c r="N663" s="34">
        <f>Таблица1[[#This Row],[Сумма 
Приход]]+Таблица1[[#This Row],[Сумма Поддон]]</f>
        <v>0</v>
      </c>
      <c r="O663" s="34"/>
      <c r="P663" s="34">
        <f>Таблица1[[#This Row],[Блок
 Куб]]*Таблица1[[#This Row],[Цена
 Продажа]]</f>
        <v>0</v>
      </c>
      <c r="Q663" s="34"/>
      <c r="R663" s="34">
        <f>Таблица1[[#This Row],[Сумма 
Продажа]]-Таблица1[[#This Row],[Сумма 
Приход]]-Таблица1[[#This Row],[Авто услу ]]</f>
        <v>0</v>
      </c>
      <c r="S663" s="34"/>
      <c r="T663" s="34">
        <f>Таблица1[[#This Row],[Сумма 
Продажа]]-IF(Таблица1[[#This Row],[Расход 
Авто]]="Клиент",N(Таблица1[[#This Row],[Авто услу ]]),0)</f>
        <v>0</v>
      </c>
      <c r="U6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3" s="265" t="str">
        <f>IFERROR(INDEX(Мижозлар[Агент],MATCH($D663,Мижозлар[Расмий ном],0)),"")</f>
        <v/>
      </c>
    </row>
    <row r="664" spans="1:23" ht="14.25" x14ac:dyDescent="0.2">
      <c r="A664" s="21"/>
      <c r="B664" s="135"/>
      <c r="C664" s="141"/>
      <c r="D664" s="141"/>
      <c r="E664" s="136"/>
      <c r="F664" s="135"/>
      <c r="G664" s="34"/>
      <c r="H664" s="142"/>
      <c r="I664" s="34"/>
      <c r="J664" s="34">
        <f>Таблица1[[#This Row],[Блок
 Куб]]*Таблица1[[#This Row],[Цена 
Приход]]</f>
        <v>0</v>
      </c>
      <c r="K664" s="34"/>
      <c r="L664" s="34"/>
      <c r="M664" s="34">
        <f>Таблица1[[#This Row],[Поддон
Шт]]*Таблица1[[#This Row],[Цена
Поддон]]</f>
        <v>0</v>
      </c>
      <c r="N664" s="34">
        <f>Таблица1[[#This Row],[Сумма 
Приход]]+Таблица1[[#This Row],[Сумма Поддон]]</f>
        <v>0</v>
      </c>
      <c r="O664" s="34"/>
      <c r="P664" s="34">
        <f>Таблица1[[#This Row],[Блок
 Куб]]*Таблица1[[#This Row],[Цена
 Продажа]]</f>
        <v>0</v>
      </c>
      <c r="Q664" s="34"/>
      <c r="R664" s="34">
        <f>Таблица1[[#This Row],[Сумма 
Продажа]]-Таблица1[[#This Row],[Сумма 
Приход]]-Таблица1[[#This Row],[Авто услу ]]</f>
        <v>0</v>
      </c>
      <c r="S664" s="34"/>
      <c r="T664" s="34">
        <f>Таблица1[[#This Row],[Сумма 
Продажа]]-IF(Таблица1[[#This Row],[Расход 
Авто]]="Клиент",N(Таблица1[[#This Row],[Авто услу ]]),0)</f>
        <v>0</v>
      </c>
      <c r="U6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4" s="265" t="str">
        <f>IFERROR(INDEX(Мижозлар[Агент],MATCH($D664,Мижозлар[Расмий ном],0)),"")</f>
        <v/>
      </c>
    </row>
    <row r="665" spans="1:23" ht="14.25" x14ac:dyDescent="0.2">
      <c r="A665" s="21"/>
      <c r="B665" s="135"/>
      <c r="C665" s="141"/>
      <c r="D665" s="141"/>
      <c r="E665" s="136"/>
      <c r="F665" s="135"/>
      <c r="G665" s="34"/>
      <c r="H665" s="142"/>
      <c r="I665" s="34"/>
      <c r="J665" s="34">
        <f>Таблица1[[#This Row],[Блок
 Куб]]*Таблица1[[#This Row],[Цена 
Приход]]</f>
        <v>0</v>
      </c>
      <c r="K665" s="34"/>
      <c r="L665" s="34"/>
      <c r="M665" s="34">
        <f>Таблица1[[#This Row],[Поддон
Шт]]*Таблица1[[#This Row],[Цена
Поддон]]</f>
        <v>0</v>
      </c>
      <c r="N665" s="34">
        <f>Таблица1[[#This Row],[Сумма 
Приход]]+Таблица1[[#This Row],[Сумма Поддон]]</f>
        <v>0</v>
      </c>
      <c r="O665" s="34"/>
      <c r="P665" s="34">
        <f>Таблица1[[#This Row],[Блок
 Куб]]*Таблица1[[#This Row],[Цена
 Продажа]]</f>
        <v>0</v>
      </c>
      <c r="Q665" s="34"/>
      <c r="R665" s="34">
        <f>Таблица1[[#This Row],[Сумма 
Продажа]]-Таблица1[[#This Row],[Сумма 
Приход]]-Таблица1[[#This Row],[Авто услу ]]</f>
        <v>0</v>
      </c>
      <c r="S665" s="34"/>
      <c r="T665" s="34">
        <f>Таблица1[[#This Row],[Сумма 
Продажа]]-IF(Таблица1[[#This Row],[Расход 
Авто]]="Клиент",N(Таблица1[[#This Row],[Авто услу ]]),0)</f>
        <v>0</v>
      </c>
      <c r="U6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5" s="265" t="str">
        <f>IFERROR(INDEX(Мижозлар[Агент],MATCH($D665,Мижозлар[Расмий ном],0)),"")</f>
        <v/>
      </c>
    </row>
    <row r="666" spans="1:23" ht="14.25" x14ac:dyDescent="0.2">
      <c r="A666" s="21"/>
      <c r="B666" s="135"/>
      <c r="C666" s="141"/>
      <c r="D666" s="141"/>
      <c r="E666" s="136"/>
      <c r="F666" s="135"/>
      <c r="G666" s="34"/>
      <c r="H666" s="142"/>
      <c r="I666" s="34"/>
      <c r="J666" s="34">
        <f>Таблица1[[#This Row],[Блок
 Куб]]*Таблица1[[#This Row],[Цена 
Приход]]</f>
        <v>0</v>
      </c>
      <c r="K666" s="34"/>
      <c r="L666" s="34"/>
      <c r="M666" s="34">
        <f>Таблица1[[#This Row],[Поддон
Шт]]*Таблица1[[#This Row],[Цена
Поддон]]</f>
        <v>0</v>
      </c>
      <c r="N666" s="34">
        <f>Таблица1[[#This Row],[Сумма 
Приход]]+Таблица1[[#This Row],[Сумма Поддон]]</f>
        <v>0</v>
      </c>
      <c r="O666" s="34"/>
      <c r="P666" s="34">
        <f>Таблица1[[#This Row],[Блок
 Куб]]*Таблица1[[#This Row],[Цена
 Продажа]]</f>
        <v>0</v>
      </c>
      <c r="Q666" s="34"/>
      <c r="R666" s="34">
        <f>Таблица1[[#This Row],[Сумма 
Продажа]]-Таблица1[[#This Row],[Сумма 
Приход]]-Таблица1[[#This Row],[Авто услу ]]</f>
        <v>0</v>
      </c>
      <c r="S666" s="34"/>
      <c r="T666" s="34">
        <f>Таблица1[[#This Row],[Сумма 
Продажа]]-IF(Таблица1[[#This Row],[Расход 
Авто]]="Клиент",N(Таблица1[[#This Row],[Авто услу ]]),0)</f>
        <v>0</v>
      </c>
      <c r="U6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6" s="265" t="str">
        <f>IFERROR(INDEX(Мижозлар[Агент],MATCH($D666,Мижозлар[Расмий ном],0)),"")</f>
        <v/>
      </c>
    </row>
    <row r="667" spans="1:23" ht="14.25" x14ac:dyDescent="0.2">
      <c r="A667" s="21"/>
      <c r="B667" s="135"/>
      <c r="C667" s="141"/>
      <c r="D667" s="141"/>
      <c r="E667" s="136"/>
      <c r="F667" s="135"/>
      <c r="G667" s="34"/>
      <c r="H667" s="142"/>
      <c r="I667" s="34"/>
      <c r="J667" s="34">
        <f>Таблица1[[#This Row],[Блок
 Куб]]*Таблица1[[#This Row],[Цена 
Приход]]</f>
        <v>0</v>
      </c>
      <c r="K667" s="34"/>
      <c r="L667" s="34"/>
      <c r="M667" s="34">
        <f>Таблица1[[#This Row],[Поддон
Шт]]*Таблица1[[#This Row],[Цена
Поддон]]</f>
        <v>0</v>
      </c>
      <c r="N667" s="34">
        <f>Таблица1[[#This Row],[Сумма 
Приход]]+Таблица1[[#This Row],[Сумма Поддон]]</f>
        <v>0</v>
      </c>
      <c r="O667" s="34"/>
      <c r="P667" s="34">
        <f>Таблица1[[#This Row],[Блок
 Куб]]*Таблица1[[#This Row],[Цена
 Продажа]]</f>
        <v>0</v>
      </c>
      <c r="Q667" s="34"/>
      <c r="R667" s="34">
        <f>Таблица1[[#This Row],[Сумма 
Продажа]]-Таблица1[[#This Row],[Сумма 
Приход]]-Таблица1[[#This Row],[Авто услу ]]</f>
        <v>0</v>
      </c>
      <c r="S667" s="34"/>
      <c r="T667" s="34">
        <f>Таблица1[[#This Row],[Сумма 
Продажа]]-IF(Таблица1[[#This Row],[Расход 
Авто]]="Клиент",N(Таблица1[[#This Row],[Авто услу ]]),0)</f>
        <v>0</v>
      </c>
      <c r="U6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7" s="265" t="str">
        <f>IFERROR(INDEX(Мижозлар[Агент],MATCH($D667,Мижозлар[Расмий ном],0)),"")</f>
        <v/>
      </c>
    </row>
    <row r="668" spans="1:23" ht="14.25" x14ac:dyDescent="0.2">
      <c r="A668" s="21"/>
      <c r="B668" s="135"/>
      <c r="C668" s="141"/>
      <c r="D668" s="141"/>
      <c r="E668" s="136"/>
      <c r="F668" s="135"/>
      <c r="G668" s="34"/>
      <c r="H668" s="142"/>
      <c r="I668" s="34"/>
      <c r="J668" s="34">
        <f>Таблица1[[#This Row],[Блок
 Куб]]*Таблица1[[#This Row],[Цена 
Приход]]</f>
        <v>0</v>
      </c>
      <c r="K668" s="34"/>
      <c r="L668" s="34"/>
      <c r="M668" s="34">
        <f>Таблица1[[#This Row],[Поддон
Шт]]*Таблица1[[#This Row],[Цена
Поддон]]</f>
        <v>0</v>
      </c>
      <c r="N668" s="34">
        <f>Таблица1[[#This Row],[Сумма 
Приход]]+Таблица1[[#This Row],[Сумма Поддон]]</f>
        <v>0</v>
      </c>
      <c r="O668" s="34"/>
      <c r="P668" s="34">
        <f>Таблица1[[#This Row],[Блок
 Куб]]*Таблица1[[#This Row],[Цена
 Продажа]]</f>
        <v>0</v>
      </c>
      <c r="Q668" s="34"/>
      <c r="R668" s="34">
        <f>Таблица1[[#This Row],[Сумма 
Продажа]]-Таблица1[[#This Row],[Сумма 
Приход]]-Таблица1[[#This Row],[Авто услу ]]</f>
        <v>0</v>
      </c>
      <c r="S668" s="34"/>
      <c r="T668" s="34">
        <f>Таблица1[[#This Row],[Сумма 
Продажа]]-IF(Таблица1[[#This Row],[Расход 
Авто]]="Клиент",N(Таблица1[[#This Row],[Авто услу ]]),0)</f>
        <v>0</v>
      </c>
      <c r="U6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8" s="265" t="str">
        <f>IFERROR(INDEX(Мижозлар[Агент],MATCH($D668,Мижозлар[Расмий ном],0)),"")</f>
        <v/>
      </c>
    </row>
    <row r="669" spans="1:23" ht="14.25" x14ac:dyDescent="0.2">
      <c r="A669" s="21"/>
      <c r="B669" s="135"/>
      <c r="C669" s="141"/>
      <c r="D669" s="141"/>
      <c r="E669" s="136"/>
      <c r="F669" s="135"/>
      <c r="G669" s="34"/>
      <c r="H669" s="142"/>
      <c r="I669" s="34"/>
      <c r="J669" s="34">
        <f>Таблица1[[#This Row],[Блок
 Куб]]*Таблица1[[#This Row],[Цена 
Приход]]</f>
        <v>0</v>
      </c>
      <c r="K669" s="34"/>
      <c r="L669" s="34"/>
      <c r="M669" s="34">
        <f>Таблица1[[#This Row],[Поддон
Шт]]*Таблица1[[#This Row],[Цена
Поддон]]</f>
        <v>0</v>
      </c>
      <c r="N669" s="34">
        <f>Таблица1[[#This Row],[Сумма 
Приход]]+Таблица1[[#This Row],[Сумма Поддон]]</f>
        <v>0</v>
      </c>
      <c r="O669" s="34"/>
      <c r="P669" s="34">
        <f>Таблица1[[#This Row],[Блок
 Куб]]*Таблица1[[#This Row],[Цена
 Продажа]]</f>
        <v>0</v>
      </c>
      <c r="Q669" s="34"/>
      <c r="R669" s="34">
        <f>Таблица1[[#This Row],[Сумма 
Продажа]]-Таблица1[[#This Row],[Сумма 
Приход]]-Таблица1[[#This Row],[Авто услу ]]</f>
        <v>0</v>
      </c>
      <c r="S669" s="34"/>
      <c r="T669" s="34">
        <f>Таблица1[[#This Row],[Сумма 
Продажа]]-IF(Таблица1[[#This Row],[Расход 
Авто]]="Клиент",N(Таблица1[[#This Row],[Авто услу ]]),0)</f>
        <v>0</v>
      </c>
      <c r="U6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69" s="265" t="str">
        <f>IFERROR(INDEX(Мижозлар[Агент],MATCH($D669,Мижозлар[Расмий ном],0)),"")</f>
        <v/>
      </c>
    </row>
    <row r="670" spans="1:23" ht="14.25" x14ac:dyDescent="0.2">
      <c r="A670" s="21"/>
      <c r="B670" s="135"/>
      <c r="C670" s="141"/>
      <c r="D670" s="141"/>
      <c r="E670" s="136"/>
      <c r="F670" s="135"/>
      <c r="G670" s="34"/>
      <c r="H670" s="142"/>
      <c r="I670" s="34"/>
      <c r="J670" s="34">
        <f>Таблица1[[#This Row],[Блок
 Куб]]*Таблица1[[#This Row],[Цена 
Приход]]</f>
        <v>0</v>
      </c>
      <c r="K670" s="34"/>
      <c r="L670" s="34"/>
      <c r="M670" s="34">
        <f>Таблица1[[#This Row],[Поддон
Шт]]*Таблица1[[#This Row],[Цена
Поддон]]</f>
        <v>0</v>
      </c>
      <c r="N670" s="34">
        <f>Таблица1[[#This Row],[Сумма 
Приход]]+Таблица1[[#This Row],[Сумма Поддон]]</f>
        <v>0</v>
      </c>
      <c r="O670" s="34"/>
      <c r="P670" s="34">
        <f>Таблица1[[#This Row],[Блок
 Куб]]*Таблица1[[#This Row],[Цена
 Продажа]]</f>
        <v>0</v>
      </c>
      <c r="Q670" s="34"/>
      <c r="R670" s="34">
        <f>Таблица1[[#This Row],[Сумма 
Продажа]]-Таблица1[[#This Row],[Сумма 
Приход]]-Таблица1[[#This Row],[Авто услу ]]</f>
        <v>0</v>
      </c>
      <c r="S670" s="34"/>
      <c r="T670" s="34">
        <f>Таблица1[[#This Row],[Сумма 
Продажа]]-IF(Таблица1[[#This Row],[Расход 
Авто]]="Клиент",N(Таблица1[[#This Row],[Авто услу ]]),0)</f>
        <v>0</v>
      </c>
      <c r="U6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0" s="265" t="str">
        <f>IFERROR(INDEX(Мижозлар[Агент],MATCH($D670,Мижозлар[Расмий ном],0)),"")</f>
        <v/>
      </c>
    </row>
    <row r="671" spans="1:23" ht="14.25" x14ac:dyDescent="0.2">
      <c r="A671" s="21"/>
      <c r="B671" s="135"/>
      <c r="C671" s="141"/>
      <c r="D671" s="141"/>
      <c r="E671" s="136"/>
      <c r="F671" s="135"/>
      <c r="G671" s="34"/>
      <c r="H671" s="142"/>
      <c r="I671" s="34"/>
      <c r="J671" s="34">
        <f>Таблица1[[#This Row],[Блок
 Куб]]*Таблица1[[#This Row],[Цена 
Приход]]</f>
        <v>0</v>
      </c>
      <c r="K671" s="34"/>
      <c r="L671" s="34"/>
      <c r="M671" s="34">
        <f>Таблица1[[#This Row],[Поддон
Шт]]*Таблица1[[#This Row],[Цена
Поддон]]</f>
        <v>0</v>
      </c>
      <c r="N671" s="34">
        <f>Таблица1[[#This Row],[Сумма 
Приход]]+Таблица1[[#This Row],[Сумма Поддон]]</f>
        <v>0</v>
      </c>
      <c r="O671" s="34"/>
      <c r="P671" s="34">
        <f>Таблица1[[#This Row],[Блок
 Куб]]*Таблица1[[#This Row],[Цена
 Продажа]]</f>
        <v>0</v>
      </c>
      <c r="Q671" s="34"/>
      <c r="R671" s="34">
        <f>Таблица1[[#This Row],[Сумма 
Продажа]]-Таблица1[[#This Row],[Сумма 
Приход]]-Таблица1[[#This Row],[Авто услу ]]</f>
        <v>0</v>
      </c>
      <c r="S671" s="34"/>
      <c r="T671" s="34">
        <f>Таблица1[[#This Row],[Сумма 
Продажа]]-IF(Таблица1[[#This Row],[Расход 
Авто]]="Клиент",N(Таблица1[[#This Row],[Авто услу ]]),0)</f>
        <v>0</v>
      </c>
      <c r="U6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1" s="265" t="str">
        <f>IFERROR(INDEX(Мижозлар[Агент],MATCH($D671,Мижозлар[Расмий ном],0)),"")</f>
        <v/>
      </c>
    </row>
    <row r="672" spans="1:23" ht="14.25" x14ac:dyDescent="0.2">
      <c r="A672" s="21"/>
      <c r="B672" s="135"/>
      <c r="C672" s="141"/>
      <c r="D672" s="141"/>
      <c r="E672" s="136"/>
      <c r="F672" s="135"/>
      <c r="G672" s="34"/>
      <c r="H672" s="142"/>
      <c r="I672" s="34"/>
      <c r="J672" s="34">
        <f>Таблица1[[#This Row],[Блок
 Куб]]*Таблица1[[#This Row],[Цена 
Приход]]</f>
        <v>0</v>
      </c>
      <c r="K672" s="34"/>
      <c r="L672" s="34"/>
      <c r="M672" s="34">
        <f>Таблица1[[#This Row],[Поддон
Шт]]*Таблица1[[#This Row],[Цена
Поддон]]</f>
        <v>0</v>
      </c>
      <c r="N672" s="34">
        <f>Таблица1[[#This Row],[Сумма 
Приход]]+Таблица1[[#This Row],[Сумма Поддон]]</f>
        <v>0</v>
      </c>
      <c r="O672" s="34"/>
      <c r="P672" s="34">
        <f>Таблица1[[#This Row],[Блок
 Куб]]*Таблица1[[#This Row],[Цена
 Продажа]]</f>
        <v>0</v>
      </c>
      <c r="Q672" s="34"/>
      <c r="R672" s="34">
        <f>Таблица1[[#This Row],[Сумма 
Продажа]]-Таблица1[[#This Row],[Сумма 
Приход]]-Таблица1[[#This Row],[Авто услу ]]</f>
        <v>0</v>
      </c>
      <c r="S672" s="34"/>
      <c r="T672" s="34">
        <f>Таблица1[[#This Row],[Сумма 
Продажа]]-IF(Таблица1[[#This Row],[Расход 
Авто]]="Клиент",N(Таблица1[[#This Row],[Авто услу ]]),0)</f>
        <v>0</v>
      </c>
      <c r="U6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2" s="265" t="str">
        <f>IFERROR(INDEX(Мижозлар[Агент],MATCH($D672,Мижозлар[Расмий ном],0)),"")</f>
        <v/>
      </c>
    </row>
    <row r="673" spans="1:23" ht="14.25" x14ac:dyDescent="0.2">
      <c r="A673" s="21"/>
      <c r="B673" s="135"/>
      <c r="C673" s="141"/>
      <c r="D673" s="141"/>
      <c r="E673" s="136"/>
      <c r="F673" s="135"/>
      <c r="G673" s="34"/>
      <c r="H673" s="142"/>
      <c r="I673" s="34"/>
      <c r="J673" s="34">
        <f>Таблица1[[#This Row],[Блок
 Куб]]*Таблица1[[#This Row],[Цена 
Приход]]</f>
        <v>0</v>
      </c>
      <c r="K673" s="34"/>
      <c r="L673" s="34"/>
      <c r="M673" s="34">
        <f>Таблица1[[#This Row],[Поддон
Шт]]*Таблица1[[#This Row],[Цена
Поддон]]</f>
        <v>0</v>
      </c>
      <c r="N673" s="34">
        <f>Таблица1[[#This Row],[Сумма 
Приход]]+Таблица1[[#This Row],[Сумма Поддон]]</f>
        <v>0</v>
      </c>
      <c r="O673" s="34"/>
      <c r="P673" s="34">
        <f>Таблица1[[#This Row],[Блок
 Куб]]*Таблица1[[#This Row],[Цена
 Продажа]]</f>
        <v>0</v>
      </c>
      <c r="Q673" s="34"/>
      <c r="R673" s="34">
        <f>Таблица1[[#This Row],[Сумма 
Продажа]]-Таблица1[[#This Row],[Сумма 
Приход]]-Таблица1[[#This Row],[Авто услу ]]</f>
        <v>0</v>
      </c>
      <c r="S673" s="34"/>
      <c r="T673" s="34">
        <f>Таблица1[[#This Row],[Сумма 
Продажа]]-IF(Таблица1[[#This Row],[Расход 
Авто]]="Клиент",N(Таблица1[[#This Row],[Авто услу ]]),0)</f>
        <v>0</v>
      </c>
      <c r="U6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3" s="265" t="str">
        <f>IFERROR(INDEX(Мижозлар[Агент],MATCH($D673,Мижозлар[Расмий ном],0)),"")</f>
        <v/>
      </c>
    </row>
    <row r="674" spans="1:23" ht="14.25" x14ac:dyDescent="0.2">
      <c r="A674" s="21"/>
      <c r="B674" s="135"/>
      <c r="C674" s="141"/>
      <c r="D674" s="141"/>
      <c r="E674" s="136"/>
      <c r="F674" s="135"/>
      <c r="G674" s="34"/>
      <c r="H674" s="142"/>
      <c r="I674" s="34"/>
      <c r="J674" s="34">
        <f>Таблица1[[#This Row],[Блок
 Куб]]*Таблица1[[#This Row],[Цена 
Приход]]</f>
        <v>0</v>
      </c>
      <c r="K674" s="34"/>
      <c r="L674" s="34"/>
      <c r="M674" s="34">
        <f>Таблица1[[#This Row],[Поддон
Шт]]*Таблица1[[#This Row],[Цена
Поддон]]</f>
        <v>0</v>
      </c>
      <c r="N674" s="34">
        <f>Таблица1[[#This Row],[Сумма 
Приход]]+Таблица1[[#This Row],[Сумма Поддон]]</f>
        <v>0</v>
      </c>
      <c r="O674" s="34"/>
      <c r="P674" s="34">
        <f>Таблица1[[#This Row],[Блок
 Куб]]*Таблица1[[#This Row],[Цена
 Продажа]]</f>
        <v>0</v>
      </c>
      <c r="Q674" s="34"/>
      <c r="R674" s="34">
        <f>Таблица1[[#This Row],[Сумма 
Продажа]]-Таблица1[[#This Row],[Сумма 
Приход]]-Таблица1[[#This Row],[Авто услу ]]</f>
        <v>0</v>
      </c>
      <c r="S674" s="34"/>
      <c r="T674" s="34">
        <f>Таблица1[[#This Row],[Сумма 
Продажа]]-IF(Таблица1[[#This Row],[Расход 
Авто]]="Клиент",N(Таблица1[[#This Row],[Авто услу ]]),0)</f>
        <v>0</v>
      </c>
      <c r="U6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4" s="265" t="str">
        <f>IFERROR(INDEX(Мижозлар[Агент],MATCH($D674,Мижозлар[Расмий ном],0)),"")</f>
        <v/>
      </c>
    </row>
    <row r="675" spans="1:23" ht="14.25" x14ac:dyDescent="0.2">
      <c r="A675" s="21"/>
      <c r="B675" s="135"/>
      <c r="C675" s="141"/>
      <c r="D675" s="141"/>
      <c r="E675" s="136"/>
      <c r="F675" s="135"/>
      <c r="G675" s="34"/>
      <c r="H675" s="142"/>
      <c r="I675" s="34"/>
      <c r="J675" s="34">
        <f>Таблица1[[#This Row],[Блок
 Куб]]*Таблица1[[#This Row],[Цена 
Приход]]</f>
        <v>0</v>
      </c>
      <c r="K675" s="34"/>
      <c r="L675" s="34"/>
      <c r="M675" s="34">
        <f>Таблица1[[#This Row],[Поддон
Шт]]*Таблица1[[#This Row],[Цена
Поддон]]</f>
        <v>0</v>
      </c>
      <c r="N675" s="34">
        <f>Таблица1[[#This Row],[Сумма 
Приход]]+Таблица1[[#This Row],[Сумма Поддон]]</f>
        <v>0</v>
      </c>
      <c r="O675" s="34"/>
      <c r="P675" s="34">
        <f>Таблица1[[#This Row],[Блок
 Куб]]*Таблица1[[#This Row],[Цена
 Продажа]]</f>
        <v>0</v>
      </c>
      <c r="Q675" s="34"/>
      <c r="R675" s="34">
        <f>Таблица1[[#This Row],[Сумма 
Продажа]]-Таблица1[[#This Row],[Сумма 
Приход]]-Таблица1[[#This Row],[Авто услу ]]</f>
        <v>0</v>
      </c>
      <c r="S675" s="34"/>
      <c r="T675" s="34">
        <f>Таблица1[[#This Row],[Сумма 
Продажа]]-IF(Таблица1[[#This Row],[Расход 
Авто]]="Клиент",N(Таблица1[[#This Row],[Авто услу ]]),0)</f>
        <v>0</v>
      </c>
      <c r="U6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5" s="265" t="str">
        <f>IFERROR(INDEX(Мижозлар[Агент],MATCH($D675,Мижозлар[Расмий ном],0)),"")</f>
        <v/>
      </c>
    </row>
    <row r="676" spans="1:23" ht="14.25" x14ac:dyDescent="0.2">
      <c r="A676" s="21"/>
      <c r="B676" s="135"/>
      <c r="C676" s="141"/>
      <c r="D676" s="141"/>
      <c r="E676" s="136"/>
      <c r="F676" s="135"/>
      <c r="G676" s="34"/>
      <c r="H676" s="142"/>
      <c r="I676" s="34"/>
      <c r="J676" s="34">
        <f>Таблица1[[#This Row],[Блок
 Куб]]*Таблица1[[#This Row],[Цена 
Приход]]</f>
        <v>0</v>
      </c>
      <c r="K676" s="34"/>
      <c r="L676" s="34"/>
      <c r="M676" s="34">
        <f>Таблица1[[#This Row],[Поддон
Шт]]*Таблица1[[#This Row],[Цена
Поддон]]</f>
        <v>0</v>
      </c>
      <c r="N676" s="34">
        <f>Таблица1[[#This Row],[Сумма 
Приход]]+Таблица1[[#This Row],[Сумма Поддон]]</f>
        <v>0</v>
      </c>
      <c r="O676" s="34"/>
      <c r="P676" s="34">
        <f>Таблица1[[#This Row],[Блок
 Куб]]*Таблица1[[#This Row],[Цена
 Продажа]]</f>
        <v>0</v>
      </c>
      <c r="Q676" s="34"/>
      <c r="R676" s="34">
        <f>Таблица1[[#This Row],[Сумма 
Продажа]]-Таблица1[[#This Row],[Сумма 
Приход]]-Таблица1[[#This Row],[Авто услу ]]</f>
        <v>0</v>
      </c>
      <c r="S676" s="34"/>
      <c r="T676" s="34">
        <f>Таблица1[[#This Row],[Сумма 
Продажа]]-IF(Таблица1[[#This Row],[Расход 
Авто]]="Клиент",N(Таблица1[[#This Row],[Авто услу ]]),0)</f>
        <v>0</v>
      </c>
      <c r="U6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6" s="265" t="str">
        <f>IFERROR(INDEX(Мижозлар[Агент],MATCH($D676,Мижозлар[Расмий ном],0)),"")</f>
        <v/>
      </c>
    </row>
    <row r="677" spans="1:23" ht="14.25" x14ac:dyDescent="0.2">
      <c r="A677" s="21"/>
      <c r="B677" s="135"/>
      <c r="C677" s="141"/>
      <c r="D677" s="141"/>
      <c r="E677" s="136"/>
      <c r="F677" s="135"/>
      <c r="G677" s="34"/>
      <c r="H677" s="142"/>
      <c r="I677" s="34"/>
      <c r="J677" s="34">
        <f>Таблица1[[#This Row],[Блок
 Куб]]*Таблица1[[#This Row],[Цена 
Приход]]</f>
        <v>0</v>
      </c>
      <c r="K677" s="34"/>
      <c r="L677" s="34"/>
      <c r="M677" s="34">
        <f>Таблица1[[#This Row],[Поддон
Шт]]*Таблица1[[#This Row],[Цена
Поддон]]</f>
        <v>0</v>
      </c>
      <c r="N677" s="34">
        <f>Таблица1[[#This Row],[Сумма 
Приход]]+Таблица1[[#This Row],[Сумма Поддон]]</f>
        <v>0</v>
      </c>
      <c r="O677" s="34"/>
      <c r="P677" s="34">
        <f>Таблица1[[#This Row],[Блок
 Куб]]*Таблица1[[#This Row],[Цена
 Продажа]]</f>
        <v>0</v>
      </c>
      <c r="Q677" s="34"/>
      <c r="R677" s="34">
        <f>Таблица1[[#This Row],[Сумма 
Продажа]]-Таблица1[[#This Row],[Сумма 
Приход]]-Таблица1[[#This Row],[Авто услу ]]</f>
        <v>0</v>
      </c>
      <c r="S677" s="34"/>
      <c r="T677" s="34">
        <f>Таблица1[[#This Row],[Сумма 
Продажа]]-IF(Таблица1[[#This Row],[Расход 
Авто]]="Клиент",N(Таблица1[[#This Row],[Авто услу ]]),0)</f>
        <v>0</v>
      </c>
      <c r="U6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7" s="265" t="str">
        <f>IFERROR(INDEX(Мижозлар[Агент],MATCH($D677,Мижозлар[Расмий ном],0)),"")</f>
        <v/>
      </c>
    </row>
    <row r="678" spans="1:23" ht="14.25" x14ac:dyDescent="0.2">
      <c r="A678" s="21"/>
      <c r="B678" s="135"/>
      <c r="C678" s="141"/>
      <c r="D678" s="141"/>
      <c r="E678" s="136"/>
      <c r="F678" s="135"/>
      <c r="G678" s="34"/>
      <c r="H678" s="142"/>
      <c r="I678" s="34"/>
      <c r="J678" s="34">
        <f>Таблица1[[#This Row],[Блок
 Куб]]*Таблица1[[#This Row],[Цена 
Приход]]</f>
        <v>0</v>
      </c>
      <c r="K678" s="34"/>
      <c r="L678" s="34"/>
      <c r="M678" s="34">
        <f>Таблица1[[#This Row],[Поддон
Шт]]*Таблица1[[#This Row],[Цена
Поддон]]</f>
        <v>0</v>
      </c>
      <c r="N678" s="34">
        <f>Таблица1[[#This Row],[Сумма 
Приход]]+Таблица1[[#This Row],[Сумма Поддон]]</f>
        <v>0</v>
      </c>
      <c r="O678" s="34"/>
      <c r="P678" s="34">
        <f>Таблица1[[#This Row],[Блок
 Куб]]*Таблица1[[#This Row],[Цена
 Продажа]]</f>
        <v>0</v>
      </c>
      <c r="Q678" s="34"/>
      <c r="R678" s="34">
        <f>Таблица1[[#This Row],[Сумма 
Продажа]]-Таблица1[[#This Row],[Сумма 
Приход]]-Таблица1[[#This Row],[Авто услу ]]</f>
        <v>0</v>
      </c>
      <c r="S678" s="34"/>
      <c r="T678" s="34">
        <f>Таблица1[[#This Row],[Сумма 
Продажа]]-IF(Таблица1[[#This Row],[Расход 
Авто]]="Клиент",N(Таблица1[[#This Row],[Авто услу ]]),0)</f>
        <v>0</v>
      </c>
      <c r="U6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8" s="265" t="str">
        <f>IFERROR(INDEX(Мижозлар[Агент],MATCH($D678,Мижозлар[Расмий ном],0)),"")</f>
        <v/>
      </c>
    </row>
    <row r="679" spans="1:23" ht="14.25" x14ac:dyDescent="0.2">
      <c r="A679" s="21"/>
      <c r="B679" s="135"/>
      <c r="C679" s="141"/>
      <c r="D679" s="141"/>
      <c r="E679" s="136"/>
      <c r="F679" s="135"/>
      <c r="G679" s="34"/>
      <c r="H679" s="142"/>
      <c r="I679" s="34"/>
      <c r="J679" s="34">
        <f>Таблица1[[#This Row],[Блок
 Куб]]*Таблица1[[#This Row],[Цена 
Приход]]</f>
        <v>0</v>
      </c>
      <c r="K679" s="34"/>
      <c r="L679" s="34"/>
      <c r="M679" s="34">
        <f>Таблица1[[#This Row],[Поддон
Шт]]*Таблица1[[#This Row],[Цена
Поддон]]</f>
        <v>0</v>
      </c>
      <c r="N679" s="34">
        <f>Таблица1[[#This Row],[Сумма 
Приход]]+Таблица1[[#This Row],[Сумма Поддон]]</f>
        <v>0</v>
      </c>
      <c r="O679" s="34"/>
      <c r="P679" s="34">
        <f>Таблица1[[#This Row],[Блок
 Куб]]*Таблица1[[#This Row],[Цена
 Продажа]]</f>
        <v>0</v>
      </c>
      <c r="Q679" s="34"/>
      <c r="R679" s="34">
        <f>Таблица1[[#This Row],[Сумма 
Продажа]]-Таблица1[[#This Row],[Сумма 
Приход]]-Таблица1[[#This Row],[Авто услу ]]</f>
        <v>0</v>
      </c>
      <c r="S679" s="34"/>
      <c r="T679" s="34">
        <f>Таблица1[[#This Row],[Сумма 
Продажа]]-IF(Таблица1[[#This Row],[Расход 
Авто]]="Клиент",N(Таблица1[[#This Row],[Авто услу ]]),0)</f>
        <v>0</v>
      </c>
      <c r="U6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79" s="265" t="str">
        <f>IFERROR(INDEX(Мижозлар[Агент],MATCH($D679,Мижозлар[Расмий ном],0)),"")</f>
        <v/>
      </c>
    </row>
    <row r="680" spans="1:23" ht="14.25" x14ac:dyDescent="0.2">
      <c r="A680" s="21"/>
      <c r="B680" s="135"/>
      <c r="C680" s="141"/>
      <c r="D680" s="141"/>
      <c r="E680" s="136"/>
      <c r="F680" s="135"/>
      <c r="G680" s="34"/>
      <c r="H680" s="142"/>
      <c r="I680" s="34"/>
      <c r="J680" s="34">
        <f>Таблица1[[#This Row],[Блок
 Куб]]*Таблица1[[#This Row],[Цена 
Приход]]</f>
        <v>0</v>
      </c>
      <c r="K680" s="34"/>
      <c r="L680" s="34"/>
      <c r="M680" s="34">
        <f>Таблица1[[#This Row],[Поддон
Шт]]*Таблица1[[#This Row],[Цена
Поддон]]</f>
        <v>0</v>
      </c>
      <c r="N680" s="34">
        <f>Таблица1[[#This Row],[Сумма 
Приход]]+Таблица1[[#This Row],[Сумма Поддон]]</f>
        <v>0</v>
      </c>
      <c r="O680" s="34"/>
      <c r="P680" s="34">
        <f>Таблица1[[#This Row],[Блок
 Куб]]*Таблица1[[#This Row],[Цена
 Продажа]]</f>
        <v>0</v>
      </c>
      <c r="Q680" s="34"/>
      <c r="R680" s="34">
        <f>Таблица1[[#This Row],[Сумма 
Продажа]]-Таблица1[[#This Row],[Сумма 
Приход]]-Таблица1[[#This Row],[Авто услу ]]</f>
        <v>0</v>
      </c>
      <c r="S680" s="34"/>
      <c r="T680" s="34">
        <f>Таблица1[[#This Row],[Сумма 
Продажа]]-IF(Таблица1[[#This Row],[Расход 
Авто]]="Клиент",N(Таблица1[[#This Row],[Авто услу ]]),0)</f>
        <v>0</v>
      </c>
      <c r="U6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0" s="265" t="str">
        <f>IFERROR(INDEX(Мижозлар[Агент],MATCH($D680,Мижозлар[Расмий ном],0)),"")</f>
        <v/>
      </c>
    </row>
    <row r="681" spans="1:23" ht="14.25" x14ac:dyDescent="0.2">
      <c r="A681" s="21"/>
      <c r="B681" s="135"/>
      <c r="C681" s="141"/>
      <c r="D681" s="141"/>
      <c r="E681" s="136"/>
      <c r="F681" s="135"/>
      <c r="G681" s="34"/>
      <c r="H681" s="142"/>
      <c r="I681" s="34"/>
      <c r="J681" s="34">
        <f>Таблица1[[#This Row],[Блок
 Куб]]*Таблица1[[#This Row],[Цена 
Приход]]</f>
        <v>0</v>
      </c>
      <c r="K681" s="34"/>
      <c r="L681" s="34"/>
      <c r="M681" s="34">
        <f>Таблица1[[#This Row],[Поддон
Шт]]*Таблица1[[#This Row],[Цена
Поддон]]</f>
        <v>0</v>
      </c>
      <c r="N681" s="34">
        <f>Таблица1[[#This Row],[Сумма 
Приход]]+Таблица1[[#This Row],[Сумма Поддон]]</f>
        <v>0</v>
      </c>
      <c r="O681" s="34"/>
      <c r="P681" s="34">
        <f>Таблица1[[#This Row],[Блок
 Куб]]*Таблица1[[#This Row],[Цена
 Продажа]]</f>
        <v>0</v>
      </c>
      <c r="Q681" s="34"/>
      <c r="R681" s="34">
        <f>Таблица1[[#This Row],[Сумма 
Продажа]]-Таблица1[[#This Row],[Сумма 
Приход]]-Таблица1[[#This Row],[Авто услу ]]</f>
        <v>0</v>
      </c>
      <c r="S681" s="34"/>
      <c r="T681" s="34">
        <f>Таблица1[[#This Row],[Сумма 
Продажа]]-IF(Таблица1[[#This Row],[Расход 
Авто]]="Клиент",N(Таблица1[[#This Row],[Авто услу ]]),0)</f>
        <v>0</v>
      </c>
      <c r="U6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1" s="265" t="str">
        <f>IFERROR(INDEX(Мижозлар[Агент],MATCH($D681,Мижозлар[Расмий ном],0)),"")</f>
        <v/>
      </c>
    </row>
    <row r="682" spans="1:23" ht="14.25" x14ac:dyDescent="0.2">
      <c r="A682" s="21"/>
      <c r="B682" s="135"/>
      <c r="C682" s="141"/>
      <c r="D682" s="141"/>
      <c r="E682" s="136"/>
      <c r="F682" s="135"/>
      <c r="G682" s="34"/>
      <c r="H682" s="142"/>
      <c r="I682" s="34"/>
      <c r="J682" s="34">
        <f>Таблица1[[#This Row],[Блок
 Куб]]*Таблица1[[#This Row],[Цена 
Приход]]</f>
        <v>0</v>
      </c>
      <c r="K682" s="34"/>
      <c r="L682" s="34"/>
      <c r="M682" s="34">
        <f>Таблица1[[#This Row],[Поддон
Шт]]*Таблица1[[#This Row],[Цена
Поддон]]</f>
        <v>0</v>
      </c>
      <c r="N682" s="34">
        <f>Таблица1[[#This Row],[Сумма 
Приход]]+Таблица1[[#This Row],[Сумма Поддон]]</f>
        <v>0</v>
      </c>
      <c r="O682" s="34"/>
      <c r="P682" s="34">
        <f>Таблица1[[#This Row],[Блок
 Куб]]*Таблица1[[#This Row],[Цена
 Продажа]]</f>
        <v>0</v>
      </c>
      <c r="Q682" s="34"/>
      <c r="R682" s="34">
        <f>Таблица1[[#This Row],[Сумма 
Продажа]]-Таблица1[[#This Row],[Сумма 
Приход]]-Таблица1[[#This Row],[Авто услу ]]</f>
        <v>0</v>
      </c>
      <c r="S682" s="34"/>
      <c r="T682" s="34">
        <f>Таблица1[[#This Row],[Сумма 
Продажа]]-IF(Таблица1[[#This Row],[Расход 
Авто]]="Клиент",N(Таблица1[[#This Row],[Авто услу ]]),0)</f>
        <v>0</v>
      </c>
      <c r="U6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2" s="265" t="str">
        <f>IFERROR(INDEX(Мижозлар[Агент],MATCH($D682,Мижозлар[Расмий ном],0)),"")</f>
        <v/>
      </c>
    </row>
    <row r="683" spans="1:23" ht="14.25" x14ac:dyDescent="0.2">
      <c r="A683" s="21"/>
      <c r="B683" s="135"/>
      <c r="C683" s="141"/>
      <c r="D683" s="141"/>
      <c r="E683" s="136"/>
      <c r="F683" s="135"/>
      <c r="G683" s="34"/>
      <c r="H683" s="142"/>
      <c r="I683" s="34"/>
      <c r="J683" s="34">
        <f>Таблица1[[#This Row],[Блок
 Куб]]*Таблица1[[#This Row],[Цена 
Приход]]</f>
        <v>0</v>
      </c>
      <c r="K683" s="34"/>
      <c r="L683" s="34"/>
      <c r="M683" s="34">
        <f>Таблица1[[#This Row],[Поддон
Шт]]*Таблица1[[#This Row],[Цена
Поддон]]</f>
        <v>0</v>
      </c>
      <c r="N683" s="34">
        <f>Таблица1[[#This Row],[Сумма 
Приход]]+Таблица1[[#This Row],[Сумма Поддон]]</f>
        <v>0</v>
      </c>
      <c r="O683" s="34"/>
      <c r="P683" s="34">
        <f>Таблица1[[#This Row],[Блок
 Куб]]*Таблица1[[#This Row],[Цена
 Продажа]]</f>
        <v>0</v>
      </c>
      <c r="Q683" s="34"/>
      <c r="R683" s="34">
        <f>Таблица1[[#This Row],[Сумма 
Продажа]]-Таблица1[[#This Row],[Сумма 
Приход]]-Таблица1[[#This Row],[Авто услу ]]</f>
        <v>0</v>
      </c>
      <c r="S683" s="34"/>
      <c r="T683" s="34">
        <f>Таблица1[[#This Row],[Сумма 
Продажа]]-IF(Таблица1[[#This Row],[Расход 
Авто]]="Клиент",N(Таблица1[[#This Row],[Авто услу ]]),0)</f>
        <v>0</v>
      </c>
      <c r="U6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3" s="265" t="str">
        <f>IFERROR(INDEX(Мижозлар[Агент],MATCH($D683,Мижозлар[Расмий ном],0)),"")</f>
        <v/>
      </c>
    </row>
    <row r="684" spans="1:23" ht="14.25" x14ac:dyDescent="0.2">
      <c r="A684" s="21"/>
      <c r="B684" s="135"/>
      <c r="C684" s="141"/>
      <c r="D684" s="141"/>
      <c r="E684" s="136"/>
      <c r="F684" s="135"/>
      <c r="G684" s="34"/>
      <c r="H684" s="142"/>
      <c r="I684" s="34"/>
      <c r="J684" s="34">
        <f>Таблица1[[#This Row],[Блок
 Куб]]*Таблица1[[#This Row],[Цена 
Приход]]</f>
        <v>0</v>
      </c>
      <c r="K684" s="34"/>
      <c r="L684" s="34"/>
      <c r="M684" s="34">
        <f>Таблица1[[#This Row],[Поддон
Шт]]*Таблица1[[#This Row],[Цена
Поддон]]</f>
        <v>0</v>
      </c>
      <c r="N684" s="34">
        <f>Таблица1[[#This Row],[Сумма 
Приход]]+Таблица1[[#This Row],[Сумма Поддон]]</f>
        <v>0</v>
      </c>
      <c r="O684" s="34"/>
      <c r="P684" s="34">
        <f>Таблица1[[#This Row],[Блок
 Куб]]*Таблица1[[#This Row],[Цена
 Продажа]]</f>
        <v>0</v>
      </c>
      <c r="Q684" s="34"/>
      <c r="R684" s="34">
        <f>Таблица1[[#This Row],[Сумма 
Продажа]]-Таблица1[[#This Row],[Сумма 
Приход]]-Таблица1[[#This Row],[Авто услу ]]</f>
        <v>0</v>
      </c>
      <c r="S684" s="34"/>
      <c r="T684" s="34">
        <f>Таблица1[[#This Row],[Сумма 
Продажа]]-IF(Таблица1[[#This Row],[Расход 
Авто]]="Клиент",N(Таблица1[[#This Row],[Авто услу ]]),0)</f>
        <v>0</v>
      </c>
      <c r="U6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4" s="265" t="str">
        <f>IFERROR(INDEX(Мижозлар[Агент],MATCH($D684,Мижозлар[Расмий ном],0)),"")</f>
        <v/>
      </c>
    </row>
    <row r="685" spans="1:23" ht="14.25" x14ac:dyDescent="0.2">
      <c r="A685" s="21"/>
      <c r="B685" s="135"/>
      <c r="C685" s="141"/>
      <c r="D685" s="141"/>
      <c r="E685" s="136"/>
      <c r="F685" s="135"/>
      <c r="G685" s="34"/>
      <c r="H685" s="142"/>
      <c r="I685" s="34"/>
      <c r="J685" s="34">
        <f>Таблица1[[#This Row],[Блок
 Куб]]*Таблица1[[#This Row],[Цена 
Приход]]</f>
        <v>0</v>
      </c>
      <c r="K685" s="34"/>
      <c r="L685" s="34"/>
      <c r="M685" s="34">
        <f>Таблица1[[#This Row],[Поддон
Шт]]*Таблица1[[#This Row],[Цена
Поддон]]</f>
        <v>0</v>
      </c>
      <c r="N685" s="34">
        <f>Таблица1[[#This Row],[Сумма 
Приход]]+Таблица1[[#This Row],[Сумма Поддон]]</f>
        <v>0</v>
      </c>
      <c r="O685" s="34"/>
      <c r="P685" s="34">
        <f>Таблица1[[#This Row],[Блок
 Куб]]*Таблица1[[#This Row],[Цена
 Продажа]]</f>
        <v>0</v>
      </c>
      <c r="Q685" s="34"/>
      <c r="R685" s="34">
        <f>Таблица1[[#This Row],[Сумма 
Продажа]]-Таблица1[[#This Row],[Сумма 
Приход]]-Таблица1[[#This Row],[Авто услу ]]</f>
        <v>0</v>
      </c>
      <c r="S685" s="34"/>
      <c r="T685" s="34">
        <f>Таблица1[[#This Row],[Сумма 
Продажа]]-IF(Таблица1[[#This Row],[Расход 
Авто]]="Клиент",N(Таблица1[[#This Row],[Авто услу ]]),0)</f>
        <v>0</v>
      </c>
      <c r="U6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5" s="265" t="str">
        <f>IFERROR(INDEX(Мижозлар[Агент],MATCH($D685,Мижозлар[Расмий ном],0)),"")</f>
        <v/>
      </c>
    </row>
    <row r="686" spans="1:23" ht="14.25" x14ac:dyDescent="0.2">
      <c r="A686" s="21"/>
      <c r="B686" s="135"/>
      <c r="C686" s="141"/>
      <c r="D686" s="141"/>
      <c r="E686" s="136"/>
      <c r="F686" s="135"/>
      <c r="G686" s="34"/>
      <c r="H686" s="142"/>
      <c r="I686" s="34"/>
      <c r="J686" s="34">
        <f>Таблица1[[#This Row],[Блок
 Куб]]*Таблица1[[#This Row],[Цена 
Приход]]</f>
        <v>0</v>
      </c>
      <c r="K686" s="34"/>
      <c r="L686" s="34"/>
      <c r="M686" s="34">
        <f>Таблица1[[#This Row],[Поддон
Шт]]*Таблица1[[#This Row],[Цена
Поддон]]</f>
        <v>0</v>
      </c>
      <c r="N686" s="34">
        <f>Таблица1[[#This Row],[Сумма 
Приход]]+Таблица1[[#This Row],[Сумма Поддон]]</f>
        <v>0</v>
      </c>
      <c r="O686" s="34"/>
      <c r="P686" s="34">
        <f>Таблица1[[#This Row],[Блок
 Куб]]*Таблица1[[#This Row],[Цена
 Продажа]]</f>
        <v>0</v>
      </c>
      <c r="Q686" s="34"/>
      <c r="R686" s="34">
        <f>Таблица1[[#This Row],[Сумма 
Продажа]]-Таблица1[[#This Row],[Сумма 
Приход]]-Таблица1[[#This Row],[Авто услу ]]</f>
        <v>0</v>
      </c>
      <c r="S686" s="34"/>
      <c r="T686" s="34">
        <f>Таблица1[[#This Row],[Сумма 
Продажа]]-IF(Таблица1[[#This Row],[Расход 
Авто]]="Клиент",N(Таблица1[[#This Row],[Авто услу ]]),0)</f>
        <v>0</v>
      </c>
      <c r="U6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6" s="265" t="str">
        <f>IFERROR(INDEX(Мижозлар[Агент],MATCH($D686,Мижозлар[Расмий ном],0)),"")</f>
        <v/>
      </c>
    </row>
    <row r="687" spans="1:23" ht="14.25" x14ac:dyDescent="0.2">
      <c r="A687" s="21"/>
      <c r="B687" s="135"/>
      <c r="C687" s="141"/>
      <c r="D687" s="141"/>
      <c r="E687" s="136"/>
      <c r="F687" s="135"/>
      <c r="G687" s="34"/>
      <c r="H687" s="142"/>
      <c r="I687" s="34"/>
      <c r="J687" s="34">
        <f>Таблица1[[#This Row],[Блок
 Куб]]*Таблица1[[#This Row],[Цена 
Приход]]</f>
        <v>0</v>
      </c>
      <c r="K687" s="34"/>
      <c r="L687" s="34"/>
      <c r="M687" s="34">
        <f>Таблица1[[#This Row],[Поддон
Шт]]*Таблица1[[#This Row],[Цена
Поддон]]</f>
        <v>0</v>
      </c>
      <c r="N687" s="34">
        <f>Таблица1[[#This Row],[Сумма 
Приход]]+Таблица1[[#This Row],[Сумма Поддон]]</f>
        <v>0</v>
      </c>
      <c r="O687" s="34"/>
      <c r="P687" s="34">
        <f>Таблица1[[#This Row],[Блок
 Куб]]*Таблица1[[#This Row],[Цена
 Продажа]]</f>
        <v>0</v>
      </c>
      <c r="Q687" s="34"/>
      <c r="R687" s="34">
        <f>Таблица1[[#This Row],[Сумма 
Продажа]]-Таблица1[[#This Row],[Сумма 
Приход]]-Таблица1[[#This Row],[Авто услу ]]</f>
        <v>0</v>
      </c>
      <c r="S687" s="34"/>
      <c r="T687" s="34">
        <f>Таблица1[[#This Row],[Сумма 
Продажа]]-IF(Таблица1[[#This Row],[Расход 
Авто]]="Клиент",N(Таблица1[[#This Row],[Авто услу ]]),0)</f>
        <v>0</v>
      </c>
      <c r="U6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7" s="265" t="str">
        <f>IFERROR(INDEX(Мижозлар[Агент],MATCH($D687,Мижозлар[Расмий ном],0)),"")</f>
        <v/>
      </c>
    </row>
    <row r="688" spans="1:23" ht="14.25" x14ac:dyDescent="0.2">
      <c r="A688" s="21"/>
      <c r="B688" s="135"/>
      <c r="C688" s="141"/>
      <c r="D688" s="141"/>
      <c r="E688" s="136"/>
      <c r="F688" s="135"/>
      <c r="G688" s="34"/>
      <c r="H688" s="142"/>
      <c r="I688" s="34"/>
      <c r="J688" s="34">
        <f>Таблица1[[#This Row],[Блок
 Куб]]*Таблица1[[#This Row],[Цена 
Приход]]</f>
        <v>0</v>
      </c>
      <c r="K688" s="34"/>
      <c r="L688" s="34"/>
      <c r="M688" s="34">
        <f>Таблица1[[#This Row],[Поддон
Шт]]*Таблица1[[#This Row],[Цена
Поддон]]</f>
        <v>0</v>
      </c>
      <c r="N688" s="34">
        <f>Таблица1[[#This Row],[Сумма 
Приход]]+Таблица1[[#This Row],[Сумма Поддон]]</f>
        <v>0</v>
      </c>
      <c r="O688" s="34"/>
      <c r="P688" s="34">
        <f>Таблица1[[#This Row],[Блок
 Куб]]*Таблица1[[#This Row],[Цена
 Продажа]]</f>
        <v>0</v>
      </c>
      <c r="Q688" s="34"/>
      <c r="R688" s="34">
        <f>Таблица1[[#This Row],[Сумма 
Продажа]]-Таблица1[[#This Row],[Сумма 
Приход]]-Таблица1[[#This Row],[Авто услу ]]</f>
        <v>0</v>
      </c>
      <c r="S688" s="34"/>
      <c r="T688" s="34">
        <f>Таблица1[[#This Row],[Сумма 
Продажа]]-IF(Таблица1[[#This Row],[Расход 
Авто]]="Клиент",N(Таблица1[[#This Row],[Авто услу ]]),0)</f>
        <v>0</v>
      </c>
      <c r="U6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8" s="265" t="str">
        <f>IFERROR(INDEX(Мижозлар[Агент],MATCH($D688,Мижозлар[Расмий ном],0)),"")</f>
        <v/>
      </c>
    </row>
    <row r="689" spans="1:23" ht="14.25" x14ac:dyDescent="0.2">
      <c r="A689" s="21"/>
      <c r="B689" s="135"/>
      <c r="C689" s="141"/>
      <c r="D689" s="141"/>
      <c r="E689" s="136"/>
      <c r="F689" s="135"/>
      <c r="G689" s="34"/>
      <c r="H689" s="142"/>
      <c r="I689" s="34"/>
      <c r="J689" s="34">
        <f>Таблица1[[#This Row],[Блок
 Куб]]*Таблица1[[#This Row],[Цена 
Приход]]</f>
        <v>0</v>
      </c>
      <c r="K689" s="34"/>
      <c r="L689" s="34"/>
      <c r="M689" s="34">
        <f>Таблица1[[#This Row],[Поддон
Шт]]*Таблица1[[#This Row],[Цена
Поддон]]</f>
        <v>0</v>
      </c>
      <c r="N689" s="34">
        <f>Таблица1[[#This Row],[Сумма 
Приход]]+Таблица1[[#This Row],[Сумма Поддон]]</f>
        <v>0</v>
      </c>
      <c r="O689" s="34"/>
      <c r="P689" s="34">
        <f>Таблица1[[#This Row],[Блок
 Куб]]*Таблица1[[#This Row],[Цена
 Продажа]]</f>
        <v>0</v>
      </c>
      <c r="Q689" s="34"/>
      <c r="R689" s="34">
        <f>Таблица1[[#This Row],[Сумма 
Продажа]]-Таблица1[[#This Row],[Сумма 
Приход]]-Таблица1[[#This Row],[Авто услу ]]</f>
        <v>0</v>
      </c>
      <c r="S689" s="34"/>
      <c r="T689" s="34">
        <f>Таблица1[[#This Row],[Сумма 
Продажа]]-IF(Таблица1[[#This Row],[Расход 
Авто]]="Клиент",N(Таблица1[[#This Row],[Авто услу ]]),0)</f>
        <v>0</v>
      </c>
      <c r="U6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89" s="265" t="str">
        <f>IFERROR(INDEX(Мижозлар[Агент],MATCH($D689,Мижозлар[Расмий ном],0)),"")</f>
        <v/>
      </c>
    </row>
    <row r="690" spans="1:23" ht="14.25" x14ac:dyDescent="0.2">
      <c r="A690" s="21"/>
      <c r="B690" s="135"/>
      <c r="C690" s="141"/>
      <c r="D690" s="141"/>
      <c r="E690" s="136"/>
      <c r="F690" s="135"/>
      <c r="G690" s="34"/>
      <c r="H690" s="142"/>
      <c r="I690" s="34"/>
      <c r="J690" s="34">
        <f>Таблица1[[#This Row],[Блок
 Куб]]*Таблица1[[#This Row],[Цена 
Приход]]</f>
        <v>0</v>
      </c>
      <c r="K690" s="34"/>
      <c r="L690" s="34"/>
      <c r="M690" s="34">
        <f>Таблица1[[#This Row],[Поддон
Шт]]*Таблица1[[#This Row],[Цена
Поддон]]</f>
        <v>0</v>
      </c>
      <c r="N690" s="34">
        <f>Таблица1[[#This Row],[Сумма 
Приход]]+Таблица1[[#This Row],[Сумма Поддон]]</f>
        <v>0</v>
      </c>
      <c r="O690" s="34"/>
      <c r="P690" s="34">
        <f>Таблица1[[#This Row],[Блок
 Куб]]*Таблица1[[#This Row],[Цена
 Продажа]]</f>
        <v>0</v>
      </c>
      <c r="Q690" s="34"/>
      <c r="R690" s="34">
        <f>Таблица1[[#This Row],[Сумма 
Продажа]]-Таблица1[[#This Row],[Сумма 
Приход]]-Таблица1[[#This Row],[Авто услу ]]</f>
        <v>0</v>
      </c>
      <c r="S690" s="34"/>
      <c r="T690" s="34">
        <f>Таблица1[[#This Row],[Сумма 
Продажа]]-IF(Таблица1[[#This Row],[Расход 
Авто]]="Клиент",N(Таблица1[[#This Row],[Авто услу ]]),0)</f>
        <v>0</v>
      </c>
      <c r="U6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0" s="265" t="str">
        <f>IFERROR(INDEX(Мижозлар[Агент],MATCH($D690,Мижозлар[Расмий ном],0)),"")</f>
        <v/>
      </c>
    </row>
    <row r="691" spans="1:23" ht="14.25" x14ac:dyDescent="0.2">
      <c r="A691" s="21"/>
      <c r="B691" s="135"/>
      <c r="C691" s="141"/>
      <c r="D691" s="141"/>
      <c r="E691" s="136"/>
      <c r="F691" s="135"/>
      <c r="G691" s="34"/>
      <c r="H691" s="142"/>
      <c r="I691" s="34"/>
      <c r="J691" s="34">
        <f>Таблица1[[#This Row],[Блок
 Куб]]*Таблица1[[#This Row],[Цена 
Приход]]</f>
        <v>0</v>
      </c>
      <c r="K691" s="34"/>
      <c r="L691" s="34"/>
      <c r="M691" s="34">
        <f>Таблица1[[#This Row],[Поддон
Шт]]*Таблица1[[#This Row],[Цена
Поддон]]</f>
        <v>0</v>
      </c>
      <c r="N691" s="34">
        <f>Таблица1[[#This Row],[Сумма 
Приход]]+Таблица1[[#This Row],[Сумма Поддон]]</f>
        <v>0</v>
      </c>
      <c r="O691" s="34"/>
      <c r="P691" s="34">
        <f>Таблица1[[#This Row],[Блок
 Куб]]*Таблица1[[#This Row],[Цена
 Продажа]]</f>
        <v>0</v>
      </c>
      <c r="Q691" s="34"/>
      <c r="R691" s="34">
        <f>Таблица1[[#This Row],[Сумма 
Продажа]]-Таблица1[[#This Row],[Сумма 
Приход]]-Таблица1[[#This Row],[Авто услу ]]</f>
        <v>0</v>
      </c>
      <c r="S691" s="34"/>
      <c r="T691" s="34">
        <f>Таблица1[[#This Row],[Сумма 
Продажа]]-IF(Таблица1[[#This Row],[Расход 
Авто]]="Клиент",N(Таблица1[[#This Row],[Авто услу ]]),0)</f>
        <v>0</v>
      </c>
      <c r="U6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1" s="265" t="str">
        <f>IFERROR(INDEX(Мижозлар[Агент],MATCH($D691,Мижозлар[Расмий ном],0)),"")</f>
        <v/>
      </c>
    </row>
    <row r="692" spans="1:23" ht="14.25" x14ac:dyDescent="0.2">
      <c r="A692" s="21"/>
      <c r="B692" s="135"/>
      <c r="C692" s="141"/>
      <c r="D692" s="141"/>
      <c r="E692" s="136"/>
      <c r="F692" s="135"/>
      <c r="G692" s="34"/>
      <c r="H692" s="142"/>
      <c r="I692" s="34"/>
      <c r="J692" s="34">
        <f>Таблица1[[#This Row],[Блок
 Куб]]*Таблица1[[#This Row],[Цена 
Приход]]</f>
        <v>0</v>
      </c>
      <c r="K692" s="34"/>
      <c r="L692" s="34"/>
      <c r="M692" s="34">
        <f>Таблица1[[#This Row],[Поддон
Шт]]*Таблица1[[#This Row],[Цена
Поддон]]</f>
        <v>0</v>
      </c>
      <c r="N692" s="34">
        <f>Таблица1[[#This Row],[Сумма 
Приход]]+Таблица1[[#This Row],[Сумма Поддон]]</f>
        <v>0</v>
      </c>
      <c r="O692" s="34"/>
      <c r="P692" s="34">
        <f>Таблица1[[#This Row],[Блок
 Куб]]*Таблица1[[#This Row],[Цена
 Продажа]]</f>
        <v>0</v>
      </c>
      <c r="Q692" s="34"/>
      <c r="R692" s="34">
        <f>Таблица1[[#This Row],[Сумма 
Продажа]]-Таблица1[[#This Row],[Сумма 
Приход]]-Таблица1[[#This Row],[Авто услу ]]</f>
        <v>0</v>
      </c>
      <c r="S692" s="34"/>
      <c r="T692" s="34">
        <f>Таблица1[[#This Row],[Сумма 
Продажа]]-IF(Таблица1[[#This Row],[Расход 
Авто]]="Клиент",N(Таблица1[[#This Row],[Авто услу ]]),0)</f>
        <v>0</v>
      </c>
      <c r="U6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2" s="265" t="str">
        <f>IFERROR(INDEX(Мижозлар[Агент],MATCH($D692,Мижозлар[Расмий ном],0)),"")</f>
        <v/>
      </c>
    </row>
    <row r="693" spans="1:23" ht="14.25" x14ac:dyDescent="0.2">
      <c r="A693" s="21"/>
      <c r="B693" s="135"/>
      <c r="C693" s="141"/>
      <c r="D693" s="141"/>
      <c r="E693" s="136"/>
      <c r="F693" s="135"/>
      <c r="G693" s="34"/>
      <c r="H693" s="142"/>
      <c r="I693" s="34"/>
      <c r="J693" s="34">
        <f>Таблица1[[#This Row],[Блок
 Куб]]*Таблица1[[#This Row],[Цена 
Приход]]</f>
        <v>0</v>
      </c>
      <c r="K693" s="34"/>
      <c r="L693" s="34"/>
      <c r="M693" s="34">
        <f>Таблица1[[#This Row],[Поддон
Шт]]*Таблица1[[#This Row],[Цена
Поддон]]</f>
        <v>0</v>
      </c>
      <c r="N693" s="34">
        <f>Таблица1[[#This Row],[Сумма 
Приход]]+Таблица1[[#This Row],[Сумма Поддон]]</f>
        <v>0</v>
      </c>
      <c r="O693" s="34"/>
      <c r="P693" s="34">
        <f>Таблица1[[#This Row],[Блок
 Куб]]*Таблица1[[#This Row],[Цена
 Продажа]]</f>
        <v>0</v>
      </c>
      <c r="Q693" s="34"/>
      <c r="R693" s="34">
        <f>Таблица1[[#This Row],[Сумма 
Продажа]]-Таблица1[[#This Row],[Сумма 
Приход]]-Таблица1[[#This Row],[Авто услу ]]</f>
        <v>0</v>
      </c>
      <c r="S693" s="34"/>
      <c r="T693" s="34">
        <f>Таблица1[[#This Row],[Сумма 
Продажа]]-IF(Таблица1[[#This Row],[Расход 
Авто]]="Клиент",N(Таблица1[[#This Row],[Авто услу ]]),0)</f>
        <v>0</v>
      </c>
      <c r="U6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3" s="265" t="str">
        <f>IFERROR(INDEX(Мижозлар[Агент],MATCH($D693,Мижозлар[Расмий ном],0)),"")</f>
        <v/>
      </c>
    </row>
    <row r="694" spans="1:23" ht="14.25" x14ac:dyDescent="0.2">
      <c r="A694" s="21"/>
      <c r="B694" s="135"/>
      <c r="C694" s="141"/>
      <c r="D694" s="141"/>
      <c r="E694" s="136"/>
      <c r="F694" s="135"/>
      <c r="G694" s="34"/>
      <c r="H694" s="142"/>
      <c r="I694" s="34"/>
      <c r="J694" s="34">
        <f>Таблица1[[#This Row],[Блок
 Куб]]*Таблица1[[#This Row],[Цена 
Приход]]</f>
        <v>0</v>
      </c>
      <c r="K694" s="34"/>
      <c r="L694" s="34"/>
      <c r="M694" s="34">
        <f>Таблица1[[#This Row],[Поддон
Шт]]*Таблица1[[#This Row],[Цена
Поддон]]</f>
        <v>0</v>
      </c>
      <c r="N694" s="34">
        <f>Таблица1[[#This Row],[Сумма 
Приход]]+Таблица1[[#This Row],[Сумма Поддон]]</f>
        <v>0</v>
      </c>
      <c r="O694" s="34"/>
      <c r="P694" s="34">
        <f>Таблица1[[#This Row],[Блок
 Куб]]*Таблица1[[#This Row],[Цена
 Продажа]]</f>
        <v>0</v>
      </c>
      <c r="Q694" s="34"/>
      <c r="R694" s="34">
        <f>Таблица1[[#This Row],[Сумма 
Продажа]]-Таблица1[[#This Row],[Сумма 
Приход]]-Таблица1[[#This Row],[Авто услу ]]</f>
        <v>0</v>
      </c>
      <c r="S694" s="34"/>
      <c r="T694" s="34">
        <f>Таблица1[[#This Row],[Сумма 
Продажа]]-IF(Таблица1[[#This Row],[Расход 
Авто]]="Клиент",N(Таблица1[[#This Row],[Авто услу ]]),0)</f>
        <v>0</v>
      </c>
      <c r="U6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4" s="265" t="str">
        <f>IFERROR(INDEX(Мижозлар[Агент],MATCH($D694,Мижозлар[Расмий ном],0)),"")</f>
        <v/>
      </c>
    </row>
    <row r="695" spans="1:23" ht="14.25" x14ac:dyDescent="0.2">
      <c r="A695" s="21"/>
      <c r="B695" s="135"/>
      <c r="C695" s="141"/>
      <c r="D695" s="141"/>
      <c r="E695" s="136"/>
      <c r="F695" s="135"/>
      <c r="G695" s="34"/>
      <c r="H695" s="142"/>
      <c r="I695" s="34"/>
      <c r="J695" s="34">
        <f>Таблица1[[#This Row],[Блок
 Куб]]*Таблица1[[#This Row],[Цена 
Приход]]</f>
        <v>0</v>
      </c>
      <c r="K695" s="34"/>
      <c r="L695" s="34"/>
      <c r="M695" s="34">
        <f>Таблица1[[#This Row],[Поддон
Шт]]*Таблица1[[#This Row],[Цена
Поддон]]</f>
        <v>0</v>
      </c>
      <c r="N695" s="34">
        <f>Таблица1[[#This Row],[Сумма 
Приход]]+Таблица1[[#This Row],[Сумма Поддон]]</f>
        <v>0</v>
      </c>
      <c r="O695" s="34"/>
      <c r="P695" s="34">
        <f>Таблица1[[#This Row],[Блок
 Куб]]*Таблица1[[#This Row],[Цена
 Продажа]]</f>
        <v>0</v>
      </c>
      <c r="Q695" s="34"/>
      <c r="R695" s="34">
        <f>Таблица1[[#This Row],[Сумма 
Продажа]]-Таблица1[[#This Row],[Сумма 
Приход]]-Таблица1[[#This Row],[Авто услу ]]</f>
        <v>0</v>
      </c>
      <c r="S695" s="34"/>
      <c r="T695" s="34">
        <f>Таблица1[[#This Row],[Сумма 
Продажа]]-IF(Таблица1[[#This Row],[Расход 
Авто]]="Клиент",N(Таблица1[[#This Row],[Авто услу ]]),0)</f>
        <v>0</v>
      </c>
      <c r="U6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5" s="265" t="str">
        <f>IFERROR(INDEX(Мижозлар[Агент],MATCH($D695,Мижозлар[Расмий ном],0)),"")</f>
        <v/>
      </c>
    </row>
    <row r="696" spans="1:23" ht="14.25" x14ac:dyDescent="0.2">
      <c r="A696" s="21"/>
      <c r="B696" s="135"/>
      <c r="C696" s="141"/>
      <c r="D696" s="141"/>
      <c r="E696" s="136"/>
      <c r="F696" s="135"/>
      <c r="G696" s="34"/>
      <c r="H696" s="142"/>
      <c r="I696" s="34"/>
      <c r="J696" s="34">
        <f>Таблица1[[#This Row],[Блок
 Куб]]*Таблица1[[#This Row],[Цена 
Приход]]</f>
        <v>0</v>
      </c>
      <c r="K696" s="34"/>
      <c r="L696" s="34"/>
      <c r="M696" s="34">
        <f>Таблица1[[#This Row],[Поддон
Шт]]*Таблица1[[#This Row],[Цена
Поддон]]</f>
        <v>0</v>
      </c>
      <c r="N696" s="34">
        <f>Таблица1[[#This Row],[Сумма 
Приход]]+Таблица1[[#This Row],[Сумма Поддон]]</f>
        <v>0</v>
      </c>
      <c r="O696" s="34"/>
      <c r="P696" s="34">
        <f>Таблица1[[#This Row],[Блок
 Куб]]*Таблица1[[#This Row],[Цена
 Продажа]]</f>
        <v>0</v>
      </c>
      <c r="Q696" s="34"/>
      <c r="R696" s="34">
        <f>Таблица1[[#This Row],[Сумма 
Продажа]]-Таблица1[[#This Row],[Сумма 
Приход]]-Таблица1[[#This Row],[Авто услу ]]</f>
        <v>0</v>
      </c>
      <c r="S696" s="34"/>
      <c r="T696" s="34">
        <f>Таблица1[[#This Row],[Сумма 
Продажа]]-IF(Таблица1[[#This Row],[Расход 
Авто]]="Клиент",N(Таблица1[[#This Row],[Авто услу ]]),0)</f>
        <v>0</v>
      </c>
      <c r="U6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6" s="265" t="str">
        <f>IFERROR(INDEX(Мижозлар[Агент],MATCH($D696,Мижозлар[Расмий ном],0)),"")</f>
        <v/>
      </c>
    </row>
    <row r="697" spans="1:23" ht="14.25" x14ac:dyDescent="0.2">
      <c r="A697" s="21"/>
      <c r="B697" s="135"/>
      <c r="C697" s="141"/>
      <c r="D697" s="141"/>
      <c r="E697" s="136"/>
      <c r="F697" s="135"/>
      <c r="G697" s="34"/>
      <c r="H697" s="142"/>
      <c r="I697" s="34"/>
      <c r="J697" s="34">
        <f>Таблица1[[#This Row],[Блок
 Куб]]*Таблица1[[#This Row],[Цена 
Приход]]</f>
        <v>0</v>
      </c>
      <c r="K697" s="34"/>
      <c r="L697" s="34"/>
      <c r="M697" s="34">
        <f>Таблица1[[#This Row],[Поддон
Шт]]*Таблица1[[#This Row],[Цена
Поддон]]</f>
        <v>0</v>
      </c>
      <c r="N697" s="34">
        <f>Таблица1[[#This Row],[Сумма 
Приход]]+Таблица1[[#This Row],[Сумма Поддон]]</f>
        <v>0</v>
      </c>
      <c r="O697" s="34"/>
      <c r="P697" s="34">
        <f>Таблица1[[#This Row],[Блок
 Куб]]*Таблица1[[#This Row],[Цена
 Продажа]]</f>
        <v>0</v>
      </c>
      <c r="Q697" s="34"/>
      <c r="R697" s="34">
        <f>Таблица1[[#This Row],[Сумма 
Продажа]]-Таблица1[[#This Row],[Сумма 
Приход]]-Таблица1[[#This Row],[Авто услу ]]</f>
        <v>0</v>
      </c>
      <c r="S697" s="34"/>
      <c r="T697" s="34">
        <f>Таблица1[[#This Row],[Сумма 
Продажа]]-IF(Таблица1[[#This Row],[Расход 
Авто]]="Клиент",N(Таблица1[[#This Row],[Авто услу ]]),0)</f>
        <v>0</v>
      </c>
      <c r="U6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7" s="265" t="str">
        <f>IFERROR(INDEX(Мижозлар[Агент],MATCH($D697,Мижозлар[Расмий ном],0)),"")</f>
        <v/>
      </c>
    </row>
    <row r="698" spans="1:23" ht="14.25" x14ac:dyDescent="0.2">
      <c r="A698" s="21"/>
      <c r="B698" s="135"/>
      <c r="C698" s="141"/>
      <c r="D698" s="141"/>
      <c r="E698" s="136"/>
      <c r="F698" s="135"/>
      <c r="G698" s="34"/>
      <c r="H698" s="142"/>
      <c r="I698" s="34"/>
      <c r="J698" s="34">
        <f>Таблица1[[#This Row],[Блок
 Куб]]*Таблица1[[#This Row],[Цена 
Приход]]</f>
        <v>0</v>
      </c>
      <c r="K698" s="34"/>
      <c r="L698" s="34"/>
      <c r="M698" s="34">
        <f>Таблица1[[#This Row],[Поддон
Шт]]*Таблица1[[#This Row],[Цена
Поддон]]</f>
        <v>0</v>
      </c>
      <c r="N698" s="34">
        <f>Таблица1[[#This Row],[Сумма 
Приход]]+Таблица1[[#This Row],[Сумма Поддон]]</f>
        <v>0</v>
      </c>
      <c r="O698" s="34"/>
      <c r="P698" s="34">
        <f>Таблица1[[#This Row],[Блок
 Куб]]*Таблица1[[#This Row],[Цена
 Продажа]]</f>
        <v>0</v>
      </c>
      <c r="Q698" s="34"/>
      <c r="R698" s="34">
        <f>Таблица1[[#This Row],[Сумма 
Продажа]]-Таблица1[[#This Row],[Сумма 
Приход]]-Таблица1[[#This Row],[Авто услу ]]</f>
        <v>0</v>
      </c>
      <c r="S698" s="34"/>
      <c r="T698" s="34">
        <f>Таблица1[[#This Row],[Сумма 
Продажа]]-IF(Таблица1[[#This Row],[Расход 
Авто]]="Клиент",N(Таблица1[[#This Row],[Авто услу ]]),0)</f>
        <v>0</v>
      </c>
      <c r="U6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8" s="265" t="str">
        <f>IFERROR(INDEX(Мижозлар[Агент],MATCH($D698,Мижозлар[Расмий ном],0)),"")</f>
        <v/>
      </c>
    </row>
    <row r="699" spans="1:23" ht="14.25" x14ac:dyDescent="0.2">
      <c r="A699" s="21"/>
      <c r="B699" s="135"/>
      <c r="C699" s="141"/>
      <c r="D699" s="141"/>
      <c r="E699" s="136"/>
      <c r="F699" s="135"/>
      <c r="G699" s="34"/>
      <c r="H699" s="142"/>
      <c r="I699" s="34"/>
      <c r="J699" s="34">
        <f>Таблица1[[#This Row],[Блок
 Куб]]*Таблица1[[#This Row],[Цена 
Приход]]</f>
        <v>0</v>
      </c>
      <c r="K699" s="34"/>
      <c r="L699" s="34"/>
      <c r="M699" s="34">
        <f>Таблица1[[#This Row],[Поддон
Шт]]*Таблица1[[#This Row],[Цена
Поддон]]</f>
        <v>0</v>
      </c>
      <c r="N699" s="34">
        <f>Таблица1[[#This Row],[Сумма 
Приход]]+Таблица1[[#This Row],[Сумма Поддон]]</f>
        <v>0</v>
      </c>
      <c r="O699" s="34"/>
      <c r="P699" s="34">
        <f>Таблица1[[#This Row],[Блок
 Куб]]*Таблица1[[#This Row],[Цена
 Продажа]]</f>
        <v>0</v>
      </c>
      <c r="Q699" s="34"/>
      <c r="R699" s="34">
        <f>Таблица1[[#This Row],[Сумма 
Продажа]]-Таблица1[[#This Row],[Сумма 
Приход]]-Таблица1[[#This Row],[Авто услу ]]</f>
        <v>0</v>
      </c>
      <c r="S699" s="34"/>
      <c r="T699" s="34">
        <f>Таблица1[[#This Row],[Сумма 
Продажа]]-IF(Таблица1[[#This Row],[Расход 
Авто]]="Клиент",N(Таблица1[[#This Row],[Авто услу ]]),0)</f>
        <v>0</v>
      </c>
      <c r="U6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6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699" s="265" t="str">
        <f>IFERROR(INDEX(Мижозлар[Агент],MATCH($D699,Мижозлар[Расмий ном],0)),"")</f>
        <v/>
      </c>
    </row>
    <row r="700" spans="1:23" ht="14.25" x14ac:dyDescent="0.2">
      <c r="A700" s="21"/>
      <c r="B700" s="135"/>
      <c r="C700" s="141"/>
      <c r="D700" s="141"/>
      <c r="E700" s="136"/>
      <c r="F700" s="135"/>
      <c r="G700" s="34"/>
      <c r="H700" s="142"/>
      <c r="I700" s="34"/>
      <c r="J700" s="34">
        <f>Таблица1[[#This Row],[Блок
 Куб]]*Таблица1[[#This Row],[Цена 
Приход]]</f>
        <v>0</v>
      </c>
      <c r="K700" s="34"/>
      <c r="L700" s="34"/>
      <c r="M700" s="34">
        <f>Таблица1[[#This Row],[Поддон
Шт]]*Таблица1[[#This Row],[Цена
Поддон]]</f>
        <v>0</v>
      </c>
      <c r="N700" s="34">
        <f>Таблица1[[#This Row],[Сумма 
Приход]]+Таблица1[[#This Row],[Сумма Поддон]]</f>
        <v>0</v>
      </c>
      <c r="O700" s="34"/>
      <c r="P700" s="34">
        <f>Таблица1[[#This Row],[Блок
 Куб]]*Таблица1[[#This Row],[Цена
 Продажа]]</f>
        <v>0</v>
      </c>
      <c r="Q700" s="34"/>
      <c r="R700" s="34">
        <f>Таблица1[[#This Row],[Сумма 
Продажа]]-Таблица1[[#This Row],[Сумма 
Приход]]-Таблица1[[#This Row],[Авто услу ]]</f>
        <v>0</v>
      </c>
      <c r="S700" s="34"/>
      <c r="T700" s="34">
        <f>Таблица1[[#This Row],[Сумма 
Продажа]]-IF(Таблица1[[#This Row],[Расход 
Авто]]="Клиент",N(Таблица1[[#This Row],[Авто услу ]]),0)</f>
        <v>0</v>
      </c>
      <c r="U7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0" s="265" t="str">
        <f>IFERROR(INDEX(Мижозлар[Агент],MATCH($D700,Мижозлар[Расмий ном],0)),"")</f>
        <v/>
      </c>
    </row>
    <row r="701" spans="1:23" ht="14.25" x14ac:dyDescent="0.2">
      <c r="A701" s="21"/>
      <c r="B701" s="135"/>
      <c r="C701" s="141"/>
      <c r="D701" s="141"/>
      <c r="E701" s="136"/>
      <c r="F701" s="135"/>
      <c r="G701" s="34"/>
      <c r="H701" s="142"/>
      <c r="I701" s="34"/>
      <c r="J701" s="34">
        <f>Таблица1[[#This Row],[Блок
 Куб]]*Таблица1[[#This Row],[Цена 
Приход]]</f>
        <v>0</v>
      </c>
      <c r="K701" s="34"/>
      <c r="L701" s="34"/>
      <c r="M701" s="34">
        <f>Таблица1[[#This Row],[Поддон
Шт]]*Таблица1[[#This Row],[Цена
Поддон]]</f>
        <v>0</v>
      </c>
      <c r="N701" s="34">
        <f>Таблица1[[#This Row],[Сумма 
Приход]]+Таблица1[[#This Row],[Сумма Поддон]]</f>
        <v>0</v>
      </c>
      <c r="O701" s="34"/>
      <c r="P701" s="34">
        <f>Таблица1[[#This Row],[Блок
 Куб]]*Таблица1[[#This Row],[Цена
 Продажа]]</f>
        <v>0</v>
      </c>
      <c r="Q701" s="34"/>
      <c r="R701" s="34">
        <f>Таблица1[[#This Row],[Сумма 
Продажа]]-Таблица1[[#This Row],[Сумма 
Приход]]-Таблица1[[#This Row],[Авто услу ]]</f>
        <v>0</v>
      </c>
      <c r="S701" s="34"/>
      <c r="T701" s="34">
        <f>Таблица1[[#This Row],[Сумма 
Продажа]]-IF(Таблица1[[#This Row],[Расход 
Авто]]="Клиент",N(Таблица1[[#This Row],[Авто услу ]]),0)</f>
        <v>0</v>
      </c>
      <c r="U7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1" s="265" t="str">
        <f>IFERROR(INDEX(Мижозлар[Агент],MATCH($D701,Мижозлар[Расмий ном],0)),"")</f>
        <v/>
      </c>
    </row>
    <row r="702" spans="1:23" ht="14.25" x14ac:dyDescent="0.2">
      <c r="A702" s="21"/>
      <c r="B702" s="135"/>
      <c r="C702" s="141"/>
      <c r="D702" s="141"/>
      <c r="E702" s="136"/>
      <c r="F702" s="135"/>
      <c r="G702" s="34"/>
      <c r="H702" s="142"/>
      <c r="I702" s="34"/>
      <c r="J702" s="34">
        <f>Таблица1[[#This Row],[Блок
 Куб]]*Таблица1[[#This Row],[Цена 
Приход]]</f>
        <v>0</v>
      </c>
      <c r="K702" s="34"/>
      <c r="L702" s="34"/>
      <c r="M702" s="34">
        <f>Таблица1[[#This Row],[Поддон
Шт]]*Таблица1[[#This Row],[Цена
Поддон]]</f>
        <v>0</v>
      </c>
      <c r="N702" s="34">
        <f>Таблица1[[#This Row],[Сумма 
Приход]]+Таблица1[[#This Row],[Сумма Поддон]]</f>
        <v>0</v>
      </c>
      <c r="O702" s="34"/>
      <c r="P702" s="34">
        <f>Таблица1[[#This Row],[Блок
 Куб]]*Таблица1[[#This Row],[Цена
 Продажа]]</f>
        <v>0</v>
      </c>
      <c r="Q702" s="34"/>
      <c r="R702" s="34">
        <f>Таблица1[[#This Row],[Сумма 
Продажа]]-Таблица1[[#This Row],[Сумма 
Приход]]-Таблица1[[#This Row],[Авто услу ]]</f>
        <v>0</v>
      </c>
      <c r="S702" s="34"/>
      <c r="T702" s="34">
        <f>Таблица1[[#This Row],[Сумма 
Продажа]]-IF(Таблица1[[#This Row],[Расход 
Авто]]="Клиент",N(Таблица1[[#This Row],[Авто услу ]]),0)</f>
        <v>0</v>
      </c>
      <c r="U7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2" s="265" t="str">
        <f>IFERROR(INDEX(Мижозлар[Агент],MATCH($D702,Мижозлар[Расмий ном],0)),"")</f>
        <v/>
      </c>
    </row>
    <row r="703" spans="1:23" ht="14.25" x14ac:dyDescent="0.2">
      <c r="A703" s="21"/>
      <c r="B703" s="135"/>
      <c r="C703" s="141"/>
      <c r="D703" s="141"/>
      <c r="E703" s="136"/>
      <c r="F703" s="135"/>
      <c r="G703" s="34"/>
      <c r="H703" s="142"/>
      <c r="I703" s="34"/>
      <c r="J703" s="34">
        <f>Таблица1[[#This Row],[Блок
 Куб]]*Таблица1[[#This Row],[Цена 
Приход]]</f>
        <v>0</v>
      </c>
      <c r="K703" s="34"/>
      <c r="L703" s="34"/>
      <c r="M703" s="34">
        <f>Таблица1[[#This Row],[Поддон
Шт]]*Таблица1[[#This Row],[Цена
Поддон]]</f>
        <v>0</v>
      </c>
      <c r="N703" s="34">
        <f>Таблица1[[#This Row],[Сумма 
Приход]]+Таблица1[[#This Row],[Сумма Поддон]]</f>
        <v>0</v>
      </c>
      <c r="O703" s="34"/>
      <c r="P703" s="34">
        <f>Таблица1[[#This Row],[Блок
 Куб]]*Таблица1[[#This Row],[Цена
 Продажа]]</f>
        <v>0</v>
      </c>
      <c r="Q703" s="34"/>
      <c r="R703" s="34">
        <f>Таблица1[[#This Row],[Сумма 
Продажа]]-Таблица1[[#This Row],[Сумма 
Приход]]-Таблица1[[#This Row],[Авто услу ]]</f>
        <v>0</v>
      </c>
      <c r="S703" s="34"/>
      <c r="T703" s="34">
        <f>Таблица1[[#This Row],[Сумма 
Продажа]]-IF(Таблица1[[#This Row],[Расход 
Авто]]="Клиент",N(Таблица1[[#This Row],[Авто услу ]]),0)</f>
        <v>0</v>
      </c>
      <c r="U7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3" s="265" t="str">
        <f>IFERROR(INDEX(Мижозлар[Агент],MATCH($D703,Мижозлар[Расмий ном],0)),"")</f>
        <v/>
      </c>
    </row>
    <row r="704" spans="1:23" ht="14.25" x14ac:dyDescent="0.2">
      <c r="A704" s="21"/>
      <c r="B704" s="135"/>
      <c r="C704" s="141"/>
      <c r="D704" s="141"/>
      <c r="E704" s="136"/>
      <c r="F704" s="135"/>
      <c r="G704" s="34"/>
      <c r="H704" s="142"/>
      <c r="I704" s="34"/>
      <c r="J704" s="34">
        <f>Таблица1[[#This Row],[Блок
 Куб]]*Таблица1[[#This Row],[Цена 
Приход]]</f>
        <v>0</v>
      </c>
      <c r="K704" s="34"/>
      <c r="L704" s="34"/>
      <c r="M704" s="34">
        <f>Таблица1[[#This Row],[Поддон
Шт]]*Таблица1[[#This Row],[Цена
Поддон]]</f>
        <v>0</v>
      </c>
      <c r="N704" s="34">
        <f>Таблица1[[#This Row],[Сумма 
Приход]]+Таблица1[[#This Row],[Сумма Поддон]]</f>
        <v>0</v>
      </c>
      <c r="O704" s="34"/>
      <c r="P704" s="34">
        <f>Таблица1[[#This Row],[Блок
 Куб]]*Таблица1[[#This Row],[Цена
 Продажа]]</f>
        <v>0</v>
      </c>
      <c r="Q704" s="34"/>
      <c r="R704" s="34">
        <f>Таблица1[[#This Row],[Сумма 
Продажа]]-Таблица1[[#This Row],[Сумма 
Приход]]-Таблица1[[#This Row],[Авто услу ]]</f>
        <v>0</v>
      </c>
      <c r="S704" s="34"/>
      <c r="T704" s="34">
        <f>Таблица1[[#This Row],[Сумма 
Продажа]]-IF(Таблица1[[#This Row],[Расход 
Авто]]="Клиент",N(Таблица1[[#This Row],[Авто услу ]]),0)</f>
        <v>0</v>
      </c>
      <c r="U7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4" s="265" t="str">
        <f>IFERROR(INDEX(Мижозлар[Агент],MATCH($D704,Мижозлар[Расмий ном],0)),"")</f>
        <v/>
      </c>
    </row>
    <row r="705" spans="1:23" ht="14.25" x14ac:dyDescent="0.2">
      <c r="A705" s="21"/>
      <c r="B705" s="135"/>
      <c r="C705" s="141"/>
      <c r="D705" s="141"/>
      <c r="E705" s="136"/>
      <c r="F705" s="135"/>
      <c r="G705" s="34"/>
      <c r="H705" s="142"/>
      <c r="I705" s="34"/>
      <c r="J705" s="34">
        <f>Таблица1[[#This Row],[Блок
 Куб]]*Таблица1[[#This Row],[Цена 
Приход]]</f>
        <v>0</v>
      </c>
      <c r="K705" s="34"/>
      <c r="L705" s="34"/>
      <c r="M705" s="34">
        <f>Таблица1[[#This Row],[Поддон
Шт]]*Таблица1[[#This Row],[Цена
Поддон]]</f>
        <v>0</v>
      </c>
      <c r="N705" s="34">
        <f>Таблица1[[#This Row],[Сумма 
Приход]]+Таблица1[[#This Row],[Сумма Поддон]]</f>
        <v>0</v>
      </c>
      <c r="O705" s="34"/>
      <c r="P705" s="34">
        <f>Таблица1[[#This Row],[Блок
 Куб]]*Таблица1[[#This Row],[Цена
 Продажа]]</f>
        <v>0</v>
      </c>
      <c r="Q705" s="34"/>
      <c r="R705" s="34">
        <f>Таблица1[[#This Row],[Сумма 
Продажа]]-Таблица1[[#This Row],[Сумма 
Приход]]-Таблица1[[#This Row],[Авто услу ]]</f>
        <v>0</v>
      </c>
      <c r="S705" s="34"/>
      <c r="T705" s="34">
        <f>Таблица1[[#This Row],[Сумма 
Продажа]]-IF(Таблица1[[#This Row],[Расход 
Авто]]="Клиент",N(Таблица1[[#This Row],[Авто услу ]]),0)</f>
        <v>0</v>
      </c>
      <c r="U7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5" s="265" t="str">
        <f>IFERROR(INDEX(Мижозлар[Агент],MATCH($D705,Мижозлар[Расмий ном],0)),"")</f>
        <v/>
      </c>
    </row>
    <row r="706" spans="1:23" ht="14.25" x14ac:dyDescent="0.2">
      <c r="A706" s="21"/>
      <c r="B706" s="135"/>
      <c r="C706" s="141"/>
      <c r="D706" s="141"/>
      <c r="E706" s="136"/>
      <c r="F706" s="135"/>
      <c r="G706" s="34"/>
      <c r="H706" s="142"/>
      <c r="I706" s="34"/>
      <c r="J706" s="34">
        <f>Таблица1[[#This Row],[Блок
 Куб]]*Таблица1[[#This Row],[Цена 
Приход]]</f>
        <v>0</v>
      </c>
      <c r="K706" s="34"/>
      <c r="L706" s="34"/>
      <c r="M706" s="34">
        <f>Таблица1[[#This Row],[Поддон
Шт]]*Таблица1[[#This Row],[Цена
Поддон]]</f>
        <v>0</v>
      </c>
      <c r="N706" s="34">
        <f>Таблица1[[#This Row],[Сумма 
Приход]]+Таблица1[[#This Row],[Сумма Поддон]]</f>
        <v>0</v>
      </c>
      <c r="O706" s="34"/>
      <c r="P706" s="34">
        <f>Таблица1[[#This Row],[Блок
 Куб]]*Таблица1[[#This Row],[Цена
 Продажа]]</f>
        <v>0</v>
      </c>
      <c r="Q706" s="34"/>
      <c r="R706" s="34">
        <f>Таблица1[[#This Row],[Сумма 
Продажа]]-Таблица1[[#This Row],[Сумма 
Приход]]-Таблица1[[#This Row],[Авто услу ]]</f>
        <v>0</v>
      </c>
      <c r="S706" s="34"/>
      <c r="T706" s="34">
        <f>Таблица1[[#This Row],[Сумма 
Продажа]]-IF(Таблица1[[#This Row],[Расход 
Авто]]="Клиент",N(Таблица1[[#This Row],[Авто услу ]]),0)</f>
        <v>0</v>
      </c>
      <c r="U7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6" s="265" t="str">
        <f>IFERROR(INDEX(Мижозлар[Агент],MATCH($D706,Мижозлар[Расмий ном],0)),"")</f>
        <v/>
      </c>
    </row>
    <row r="707" spans="1:23" ht="14.25" x14ac:dyDescent="0.2">
      <c r="A707" s="21"/>
      <c r="B707" s="135"/>
      <c r="C707" s="141"/>
      <c r="D707" s="141"/>
      <c r="E707" s="136"/>
      <c r="F707" s="135"/>
      <c r="G707" s="34"/>
      <c r="H707" s="142"/>
      <c r="I707" s="34"/>
      <c r="J707" s="34">
        <f>Таблица1[[#This Row],[Блок
 Куб]]*Таблица1[[#This Row],[Цена 
Приход]]</f>
        <v>0</v>
      </c>
      <c r="K707" s="34"/>
      <c r="L707" s="34"/>
      <c r="M707" s="34">
        <f>Таблица1[[#This Row],[Поддон
Шт]]*Таблица1[[#This Row],[Цена
Поддон]]</f>
        <v>0</v>
      </c>
      <c r="N707" s="34">
        <f>Таблица1[[#This Row],[Сумма 
Приход]]+Таблица1[[#This Row],[Сумма Поддон]]</f>
        <v>0</v>
      </c>
      <c r="O707" s="34"/>
      <c r="P707" s="34">
        <f>Таблица1[[#This Row],[Блок
 Куб]]*Таблица1[[#This Row],[Цена
 Продажа]]</f>
        <v>0</v>
      </c>
      <c r="Q707" s="34"/>
      <c r="R707" s="34">
        <f>Таблица1[[#This Row],[Сумма 
Продажа]]-Таблица1[[#This Row],[Сумма 
Приход]]-Таблица1[[#This Row],[Авто услу ]]</f>
        <v>0</v>
      </c>
      <c r="S707" s="34"/>
      <c r="T707" s="34">
        <f>Таблица1[[#This Row],[Сумма 
Продажа]]-IF(Таблица1[[#This Row],[Расход 
Авто]]="Клиент",N(Таблица1[[#This Row],[Авто услу ]]),0)</f>
        <v>0</v>
      </c>
      <c r="U7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7" s="265" t="str">
        <f>IFERROR(INDEX(Мижозлар[Агент],MATCH($D707,Мижозлар[Расмий ном],0)),"")</f>
        <v/>
      </c>
    </row>
    <row r="708" spans="1:23" ht="14.25" x14ac:dyDescent="0.2">
      <c r="A708" s="21"/>
      <c r="B708" s="135"/>
      <c r="C708" s="141"/>
      <c r="D708" s="141"/>
      <c r="E708" s="136"/>
      <c r="F708" s="135"/>
      <c r="G708" s="34"/>
      <c r="H708" s="142"/>
      <c r="I708" s="34"/>
      <c r="J708" s="34">
        <f>Таблица1[[#This Row],[Блок
 Куб]]*Таблица1[[#This Row],[Цена 
Приход]]</f>
        <v>0</v>
      </c>
      <c r="K708" s="34"/>
      <c r="L708" s="34"/>
      <c r="M708" s="34">
        <f>Таблица1[[#This Row],[Поддон
Шт]]*Таблица1[[#This Row],[Цена
Поддон]]</f>
        <v>0</v>
      </c>
      <c r="N708" s="34">
        <f>Таблица1[[#This Row],[Сумма 
Приход]]+Таблица1[[#This Row],[Сумма Поддон]]</f>
        <v>0</v>
      </c>
      <c r="O708" s="34"/>
      <c r="P708" s="34">
        <f>Таблица1[[#This Row],[Блок
 Куб]]*Таблица1[[#This Row],[Цена
 Продажа]]</f>
        <v>0</v>
      </c>
      <c r="Q708" s="34"/>
      <c r="R708" s="34">
        <f>Таблица1[[#This Row],[Сумма 
Продажа]]-Таблица1[[#This Row],[Сумма 
Приход]]-Таблица1[[#This Row],[Авто услу ]]</f>
        <v>0</v>
      </c>
      <c r="S708" s="34"/>
      <c r="T708" s="34">
        <f>Таблица1[[#This Row],[Сумма 
Продажа]]-IF(Таблица1[[#This Row],[Расход 
Авто]]="Клиент",N(Таблица1[[#This Row],[Авто услу ]]),0)</f>
        <v>0</v>
      </c>
      <c r="U7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8" s="265" t="str">
        <f>IFERROR(INDEX(Мижозлар[Агент],MATCH($D708,Мижозлар[Расмий ном],0)),"")</f>
        <v/>
      </c>
    </row>
    <row r="709" spans="1:23" ht="14.25" x14ac:dyDescent="0.2">
      <c r="A709" s="21"/>
      <c r="B709" s="135"/>
      <c r="C709" s="141"/>
      <c r="D709" s="141"/>
      <c r="E709" s="136"/>
      <c r="F709" s="135"/>
      <c r="G709" s="34"/>
      <c r="H709" s="142"/>
      <c r="I709" s="34"/>
      <c r="J709" s="34">
        <f>Таблица1[[#This Row],[Блок
 Куб]]*Таблица1[[#This Row],[Цена 
Приход]]</f>
        <v>0</v>
      </c>
      <c r="K709" s="34"/>
      <c r="L709" s="34"/>
      <c r="M709" s="34">
        <f>Таблица1[[#This Row],[Поддон
Шт]]*Таблица1[[#This Row],[Цена
Поддон]]</f>
        <v>0</v>
      </c>
      <c r="N709" s="34">
        <f>Таблица1[[#This Row],[Сумма 
Приход]]+Таблица1[[#This Row],[Сумма Поддон]]</f>
        <v>0</v>
      </c>
      <c r="O709" s="34"/>
      <c r="P709" s="34">
        <f>Таблица1[[#This Row],[Блок
 Куб]]*Таблица1[[#This Row],[Цена
 Продажа]]</f>
        <v>0</v>
      </c>
      <c r="Q709" s="34"/>
      <c r="R709" s="34">
        <f>Таблица1[[#This Row],[Сумма 
Продажа]]-Таблица1[[#This Row],[Сумма 
Приход]]-Таблица1[[#This Row],[Авто услу ]]</f>
        <v>0</v>
      </c>
      <c r="S709" s="34"/>
      <c r="T709" s="34">
        <f>Таблица1[[#This Row],[Сумма 
Продажа]]-IF(Таблица1[[#This Row],[Расход 
Авто]]="Клиент",N(Таблица1[[#This Row],[Авто услу ]]),0)</f>
        <v>0</v>
      </c>
      <c r="U7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09" s="265" t="str">
        <f>IFERROR(INDEX(Мижозлар[Агент],MATCH($D709,Мижозлар[Расмий ном],0)),"")</f>
        <v/>
      </c>
    </row>
    <row r="710" spans="1:23" ht="14.25" x14ac:dyDescent="0.2">
      <c r="A710" s="21"/>
      <c r="B710" s="135"/>
      <c r="C710" s="141"/>
      <c r="D710" s="141"/>
      <c r="E710" s="136"/>
      <c r="F710" s="135"/>
      <c r="G710" s="34"/>
      <c r="H710" s="142"/>
      <c r="I710" s="34"/>
      <c r="J710" s="34">
        <f>Таблица1[[#This Row],[Блок
 Куб]]*Таблица1[[#This Row],[Цена 
Приход]]</f>
        <v>0</v>
      </c>
      <c r="K710" s="34"/>
      <c r="L710" s="34"/>
      <c r="M710" s="34">
        <f>Таблица1[[#This Row],[Поддон
Шт]]*Таблица1[[#This Row],[Цена
Поддон]]</f>
        <v>0</v>
      </c>
      <c r="N710" s="34">
        <f>Таблица1[[#This Row],[Сумма 
Приход]]+Таблица1[[#This Row],[Сумма Поддон]]</f>
        <v>0</v>
      </c>
      <c r="O710" s="34"/>
      <c r="P710" s="34">
        <f>Таблица1[[#This Row],[Блок
 Куб]]*Таблица1[[#This Row],[Цена
 Продажа]]</f>
        <v>0</v>
      </c>
      <c r="Q710" s="34"/>
      <c r="R710" s="34">
        <f>Таблица1[[#This Row],[Сумма 
Продажа]]-Таблица1[[#This Row],[Сумма 
Приход]]-Таблица1[[#This Row],[Авто услу ]]</f>
        <v>0</v>
      </c>
      <c r="S710" s="34"/>
      <c r="T710" s="34">
        <f>Таблица1[[#This Row],[Сумма 
Продажа]]-IF(Таблица1[[#This Row],[Расход 
Авто]]="Клиент",N(Таблица1[[#This Row],[Авто услу ]]),0)</f>
        <v>0</v>
      </c>
      <c r="U7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0" s="265" t="str">
        <f>IFERROR(INDEX(Мижозлар[Агент],MATCH($D710,Мижозлар[Расмий ном],0)),"")</f>
        <v/>
      </c>
    </row>
    <row r="711" spans="1:23" ht="14.25" x14ac:dyDescent="0.2">
      <c r="A711" s="21"/>
      <c r="B711" s="135"/>
      <c r="C711" s="141"/>
      <c r="D711" s="141"/>
      <c r="E711" s="136"/>
      <c r="F711" s="135"/>
      <c r="G711" s="34"/>
      <c r="H711" s="142"/>
      <c r="I711" s="34"/>
      <c r="J711" s="34">
        <f>Таблица1[[#This Row],[Блок
 Куб]]*Таблица1[[#This Row],[Цена 
Приход]]</f>
        <v>0</v>
      </c>
      <c r="K711" s="34"/>
      <c r="L711" s="34"/>
      <c r="M711" s="34">
        <f>Таблица1[[#This Row],[Поддон
Шт]]*Таблица1[[#This Row],[Цена
Поддон]]</f>
        <v>0</v>
      </c>
      <c r="N711" s="34">
        <f>Таблица1[[#This Row],[Сумма 
Приход]]+Таблица1[[#This Row],[Сумма Поддон]]</f>
        <v>0</v>
      </c>
      <c r="O711" s="34"/>
      <c r="P711" s="34">
        <f>Таблица1[[#This Row],[Блок
 Куб]]*Таблица1[[#This Row],[Цена
 Продажа]]</f>
        <v>0</v>
      </c>
      <c r="Q711" s="34"/>
      <c r="R711" s="34">
        <f>Таблица1[[#This Row],[Сумма 
Продажа]]-Таблица1[[#This Row],[Сумма 
Приход]]-Таблица1[[#This Row],[Авто услу ]]</f>
        <v>0</v>
      </c>
      <c r="S711" s="34"/>
      <c r="T711" s="34">
        <f>Таблица1[[#This Row],[Сумма 
Продажа]]-IF(Таблица1[[#This Row],[Расход 
Авто]]="Клиент",N(Таблица1[[#This Row],[Авто услу ]]),0)</f>
        <v>0</v>
      </c>
      <c r="U7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1" s="265" t="str">
        <f>IFERROR(INDEX(Мижозлар[Агент],MATCH($D711,Мижозлар[Расмий ном],0)),"")</f>
        <v/>
      </c>
    </row>
    <row r="712" spans="1:23" ht="14.25" x14ac:dyDescent="0.2">
      <c r="A712" s="21"/>
      <c r="B712" s="135"/>
      <c r="C712" s="141"/>
      <c r="D712" s="141"/>
      <c r="E712" s="136"/>
      <c r="F712" s="135"/>
      <c r="G712" s="34"/>
      <c r="H712" s="142"/>
      <c r="I712" s="34"/>
      <c r="J712" s="34">
        <f>Таблица1[[#This Row],[Блок
 Куб]]*Таблица1[[#This Row],[Цена 
Приход]]</f>
        <v>0</v>
      </c>
      <c r="K712" s="34"/>
      <c r="L712" s="34"/>
      <c r="M712" s="34">
        <f>Таблица1[[#This Row],[Поддон
Шт]]*Таблица1[[#This Row],[Цена
Поддон]]</f>
        <v>0</v>
      </c>
      <c r="N712" s="34">
        <f>Таблица1[[#This Row],[Сумма 
Приход]]+Таблица1[[#This Row],[Сумма Поддон]]</f>
        <v>0</v>
      </c>
      <c r="O712" s="34"/>
      <c r="P712" s="34">
        <f>Таблица1[[#This Row],[Блок
 Куб]]*Таблица1[[#This Row],[Цена
 Продажа]]</f>
        <v>0</v>
      </c>
      <c r="Q712" s="34"/>
      <c r="R712" s="34">
        <f>Таблица1[[#This Row],[Сумма 
Продажа]]-Таблица1[[#This Row],[Сумма 
Приход]]-Таблица1[[#This Row],[Авто услу ]]</f>
        <v>0</v>
      </c>
      <c r="S712" s="34"/>
      <c r="T712" s="34">
        <f>Таблица1[[#This Row],[Сумма 
Продажа]]-IF(Таблица1[[#This Row],[Расход 
Авто]]="Клиент",N(Таблица1[[#This Row],[Авто услу ]]),0)</f>
        <v>0</v>
      </c>
      <c r="U7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2" s="265" t="str">
        <f>IFERROR(INDEX(Мижозлар[Агент],MATCH($D712,Мижозлар[Расмий ном],0)),"")</f>
        <v/>
      </c>
    </row>
    <row r="713" spans="1:23" ht="14.25" x14ac:dyDescent="0.2">
      <c r="A713" s="21"/>
      <c r="B713" s="135"/>
      <c r="C713" s="141"/>
      <c r="D713" s="141"/>
      <c r="E713" s="136"/>
      <c r="F713" s="135"/>
      <c r="G713" s="34"/>
      <c r="H713" s="142"/>
      <c r="I713" s="34"/>
      <c r="J713" s="34">
        <f>Таблица1[[#This Row],[Блок
 Куб]]*Таблица1[[#This Row],[Цена 
Приход]]</f>
        <v>0</v>
      </c>
      <c r="K713" s="34"/>
      <c r="L713" s="34"/>
      <c r="M713" s="34">
        <f>Таблица1[[#This Row],[Поддон
Шт]]*Таблица1[[#This Row],[Цена
Поддон]]</f>
        <v>0</v>
      </c>
      <c r="N713" s="34">
        <f>Таблица1[[#This Row],[Сумма 
Приход]]+Таблица1[[#This Row],[Сумма Поддон]]</f>
        <v>0</v>
      </c>
      <c r="O713" s="34"/>
      <c r="P713" s="34">
        <f>Таблица1[[#This Row],[Блок
 Куб]]*Таблица1[[#This Row],[Цена
 Продажа]]</f>
        <v>0</v>
      </c>
      <c r="Q713" s="34"/>
      <c r="R713" s="34">
        <f>Таблица1[[#This Row],[Сумма 
Продажа]]-Таблица1[[#This Row],[Сумма 
Приход]]-Таблица1[[#This Row],[Авто услу ]]</f>
        <v>0</v>
      </c>
      <c r="S713" s="34"/>
      <c r="T713" s="34">
        <f>Таблица1[[#This Row],[Сумма 
Продажа]]-IF(Таблица1[[#This Row],[Расход 
Авто]]="Клиент",N(Таблица1[[#This Row],[Авто услу ]]),0)</f>
        <v>0</v>
      </c>
      <c r="U7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3" s="265" t="str">
        <f>IFERROR(INDEX(Мижозлар[Агент],MATCH($D713,Мижозлар[Расмий ном],0)),"")</f>
        <v/>
      </c>
    </row>
    <row r="714" spans="1:23" ht="14.25" x14ac:dyDescent="0.2">
      <c r="A714" s="21"/>
      <c r="B714" s="135"/>
      <c r="C714" s="141"/>
      <c r="D714" s="141"/>
      <c r="E714" s="136"/>
      <c r="F714" s="135"/>
      <c r="G714" s="34"/>
      <c r="H714" s="142"/>
      <c r="I714" s="34"/>
      <c r="J714" s="34">
        <f>Таблица1[[#This Row],[Блок
 Куб]]*Таблица1[[#This Row],[Цена 
Приход]]</f>
        <v>0</v>
      </c>
      <c r="K714" s="34"/>
      <c r="L714" s="34"/>
      <c r="M714" s="34">
        <f>Таблица1[[#This Row],[Поддон
Шт]]*Таблица1[[#This Row],[Цена
Поддон]]</f>
        <v>0</v>
      </c>
      <c r="N714" s="34">
        <f>Таблица1[[#This Row],[Сумма 
Приход]]+Таблица1[[#This Row],[Сумма Поддон]]</f>
        <v>0</v>
      </c>
      <c r="O714" s="34"/>
      <c r="P714" s="34">
        <f>Таблица1[[#This Row],[Блок
 Куб]]*Таблица1[[#This Row],[Цена
 Продажа]]</f>
        <v>0</v>
      </c>
      <c r="Q714" s="34"/>
      <c r="R714" s="34">
        <f>Таблица1[[#This Row],[Сумма 
Продажа]]-Таблица1[[#This Row],[Сумма 
Приход]]-Таблица1[[#This Row],[Авто услу ]]</f>
        <v>0</v>
      </c>
      <c r="S714" s="34"/>
      <c r="T714" s="34">
        <f>Таблица1[[#This Row],[Сумма 
Продажа]]-IF(Таблица1[[#This Row],[Расход 
Авто]]="Клиент",N(Таблица1[[#This Row],[Авто услу ]]),0)</f>
        <v>0</v>
      </c>
      <c r="U7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4" s="265" t="str">
        <f>IFERROR(INDEX(Мижозлар[Агент],MATCH($D714,Мижозлар[Расмий ном],0)),"")</f>
        <v/>
      </c>
    </row>
    <row r="715" spans="1:23" ht="14.25" x14ac:dyDescent="0.2">
      <c r="A715" s="21"/>
      <c r="B715" s="135"/>
      <c r="C715" s="141"/>
      <c r="D715" s="141"/>
      <c r="E715" s="136"/>
      <c r="F715" s="135"/>
      <c r="G715" s="34"/>
      <c r="H715" s="142"/>
      <c r="I715" s="34"/>
      <c r="J715" s="34">
        <f>Таблица1[[#This Row],[Блок
 Куб]]*Таблица1[[#This Row],[Цена 
Приход]]</f>
        <v>0</v>
      </c>
      <c r="K715" s="34"/>
      <c r="L715" s="34"/>
      <c r="M715" s="34">
        <f>Таблица1[[#This Row],[Поддон
Шт]]*Таблица1[[#This Row],[Цена
Поддон]]</f>
        <v>0</v>
      </c>
      <c r="N715" s="34">
        <f>Таблица1[[#This Row],[Сумма 
Приход]]+Таблица1[[#This Row],[Сумма Поддон]]</f>
        <v>0</v>
      </c>
      <c r="O715" s="34"/>
      <c r="P715" s="34">
        <f>Таблица1[[#This Row],[Блок
 Куб]]*Таблица1[[#This Row],[Цена
 Продажа]]</f>
        <v>0</v>
      </c>
      <c r="Q715" s="34"/>
      <c r="R715" s="34">
        <f>Таблица1[[#This Row],[Сумма 
Продажа]]-Таблица1[[#This Row],[Сумма 
Приход]]-Таблица1[[#This Row],[Авто услу ]]</f>
        <v>0</v>
      </c>
      <c r="S715" s="34"/>
      <c r="T715" s="34">
        <f>Таблица1[[#This Row],[Сумма 
Продажа]]-IF(Таблица1[[#This Row],[Расход 
Авто]]="Клиент",N(Таблица1[[#This Row],[Авто услу ]]),0)</f>
        <v>0</v>
      </c>
      <c r="U7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5" s="265" t="str">
        <f>IFERROR(INDEX(Мижозлар[Агент],MATCH($D715,Мижозлар[Расмий ном],0)),"")</f>
        <v/>
      </c>
    </row>
    <row r="716" spans="1:23" ht="14.25" x14ac:dyDescent="0.2">
      <c r="A716" s="21"/>
      <c r="B716" s="135"/>
      <c r="C716" s="141"/>
      <c r="D716" s="141"/>
      <c r="E716" s="136"/>
      <c r="F716" s="135"/>
      <c r="G716" s="34"/>
      <c r="H716" s="142"/>
      <c r="I716" s="34"/>
      <c r="J716" s="34">
        <f>Таблица1[[#This Row],[Блок
 Куб]]*Таблица1[[#This Row],[Цена 
Приход]]</f>
        <v>0</v>
      </c>
      <c r="K716" s="34"/>
      <c r="L716" s="34"/>
      <c r="M716" s="34">
        <f>Таблица1[[#This Row],[Поддон
Шт]]*Таблица1[[#This Row],[Цена
Поддон]]</f>
        <v>0</v>
      </c>
      <c r="N716" s="34">
        <f>Таблица1[[#This Row],[Сумма 
Приход]]+Таблица1[[#This Row],[Сумма Поддон]]</f>
        <v>0</v>
      </c>
      <c r="O716" s="34"/>
      <c r="P716" s="34">
        <f>Таблица1[[#This Row],[Блок
 Куб]]*Таблица1[[#This Row],[Цена
 Продажа]]</f>
        <v>0</v>
      </c>
      <c r="Q716" s="34"/>
      <c r="R716" s="34">
        <f>Таблица1[[#This Row],[Сумма 
Продажа]]-Таблица1[[#This Row],[Сумма 
Приход]]-Таблица1[[#This Row],[Авто услу ]]</f>
        <v>0</v>
      </c>
      <c r="S716" s="34"/>
      <c r="T716" s="34">
        <f>Таблица1[[#This Row],[Сумма 
Продажа]]-IF(Таблица1[[#This Row],[Расход 
Авто]]="Клиент",N(Таблица1[[#This Row],[Авто услу ]]),0)</f>
        <v>0</v>
      </c>
      <c r="U7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6" s="265" t="str">
        <f>IFERROR(INDEX(Мижозлар[Агент],MATCH($D716,Мижозлар[Расмий ном],0)),"")</f>
        <v/>
      </c>
    </row>
    <row r="717" spans="1:23" ht="14.25" x14ac:dyDescent="0.2">
      <c r="A717" s="21"/>
      <c r="B717" s="135"/>
      <c r="C717" s="141"/>
      <c r="D717" s="141"/>
      <c r="E717" s="136"/>
      <c r="F717" s="135"/>
      <c r="G717" s="34"/>
      <c r="H717" s="142"/>
      <c r="I717" s="34"/>
      <c r="J717" s="34">
        <f>Таблица1[[#This Row],[Блок
 Куб]]*Таблица1[[#This Row],[Цена 
Приход]]</f>
        <v>0</v>
      </c>
      <c r="K717" s="34"/>
      <c r="L717" s="34"/>
      <c r="M717" s="34">
        <f>Таблица1[[#This Row],[Поддон
Шт]]*Таблица1[[#This Row],[Цена
Поддон]]</f>
        <v>0</v>
      </c>
      <c r="N717" s="34">
        <f>Таблица1[[#This Row],[Сумма 
Приход]]+Таблица1[[#This Row],[Сумма Поддон]]</f>
        <v>0</v>
      </c>
      <c r="O717" s="34"/>
      <c r="P717" s="34">
        <f>Таблица1[[#This Row],[Блок
 Куб]]*Таблица1[[#This Row],[Цена
 Продажа]]</f>
        <v>0</v>
      </c>
      <c r="Q717" s="34"/>
      <c r="R717" s="34">
        <f>Таблица1[[#This Row],[Сумма 
Продажа]]-Таблица1[[#This Row],[Сумма 
Приход]]-Таблица1[[#This Row],[Авто услу ]]</f>
        <v>0</v>
      </c>
      <c r="S717" s="34"/>
      <c r="T717" s="34">
        <f>Таблица1[[#This Row],[Сумма 
Продажа]]-IF(Таблица1[[#This Row],[Расход 
Авто]]="Клиент",N(Таблица1[[#This Row],[Авто услу ]]),0)</f>
        <v>0</v>
      </c>
      <c r="U7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7" s="265" t="str">
        <f>IFERROR(INDEX(Мижозлар[Агент],MATCH($D717,Мижозлар[Расмий ном],0)),"")</f>
        <v/>
      </c>
    </row>
    <row r="718" spans="1:23" ht="14.25" x14ac:dyDescent="0.2">
      <c r="A718" s="21"/>
      <c r="B718" s="135"/>
      <c r="C718" s="141"/>
      <c r="D718" s="141"/>
      <c r="E718" s="136"/>
      <c r="F718" s="135"/>
      <c r="G718" s="34"/>
      <c r="H718" s="142"/>
      <c r="I718" s="34"/>
      <c r="J718" s="34">
        <f>Таблица1[[#This Row],[Блок
 Куб]]*Таблица1[[#This Row],[Цена 
Приход]]</f>
        <v>0</v>
      </c>
      <c r="K718" s="34"/>
      <c r="L718" s="34"/>
      <c r="M718" s="34">
        <f>Таблица1[[#This Row],[Поддон
Шт]]*Таблица1[[#This Row],[Цена
Поддон]]</f>
        <v>0</v>
      </c>
      <c r="N718" s="34">
        <f>Таблица1[[#This Row],[Сумма 
Приход]]+Таблица1[[#This Row],[Сумма Поддон]]</f>
        <v>0</v>
      </c>
      <c r="O718" s="34"/>
      <c r="P718" s="34">
        <f>Таблица1[[#This Row],[Блок
 Куб]]*Таблица1[[#This Row],[Цена
 Продажа]]</f>
        <v>0</v>
      </c>
      <c r="Q718" s="34"/>
      <c r="R718" s="34">
        <f>Таблица1[[#This Row],[Сумма 
Продажа]]-Таблица1[[#This Row],[Сумма 
Приход]]-Таблица1[[#This Row],[Авто услу ]]</f>
        <v>0</v>
      </c>
      <c r="S718" s="34"/>
      <c r="T718" s="34">
        <f>Таблица1[[#This Row],[Сумма 
Продажа]]-IF(Таблица1[[#This Row],[Расход 
Авто]]="Клиент",N(Таблица1[[#This Row],[Авто услу ]]),0)</f>
        <v>0</v>
      </c>
      <c r="U7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8" s="265" t="str">
        <f>IFERROR(INDEX(Мижозлар[Агент],MATCH($D718,Мижозлар[Расмий ном],0)),"")</f>
        <v/>
      </c>
    </row>
    <row r="719" spans="1:23" ht="14.25" x14ac:dyDescent="0.2">
      <c r="A719" s="21"/>
      <c r="B719" s="135"/>
      <c r="C719" s="141"/>
      <c r="D719" s="141"/>
      <c r="E719" s="136"/>
      <c r="F719" s="135"/>
      <c r="G719" s="34"/>
      <c r="H719" s="142"/>
      <c r="I719" s="34"/>
      <c r="J719" s="34">
        <f>Таблица1[[#This Row],[Блок
 Куб]]*Таблица1[[#This Row],[Цена 
Приход]]</f>
        <v>0</v>
      </c>
      <c r="K719" s="34"/>
      <c r="L719" s="34"/>
      <c r="M719" s="34">
        <f>Таблица1[[#This Row],[Поддон
Шт]]*Таблица1[[#This Row],[Цена
Поддон]]</f>
        <v>0</v>
      </c>
      <c r="N719" s="34">
        <f>Таблица1[[#This Row],[Сумма 
Приход]]+Таблица1[[#This Row],[Сумма Поддон]]</f>
        <v>0</v>
      </c>
      <c r="O719" s="34"/>
      <c r="P719" s="34">
        <f>Таблица1[[#This Row],[Блок
 Куб]]*Таблица1[[#This Row],[Цена
 Продажа]]</f>
        <v>0</v>
      </c>
      <c r="Q719" s="34"/>
      <c r="R719" s="34">
        <f>Таблица1[[#This Row],[Сумма 
Продажа]]-Таблица1[[#This Row],[Сумма 
Приход]]-Таблица1[[#This Row],[Авто услу ]]</f>
        <v>0</v>
      </c>
      <c r="S719" s="34"/>
      <c r="T719" s="34">
        <f>Таблица1[[#This Row],[Сумма 
Продажа]]-IF(Таблица1[[#This Row],[Расход 
Авто]]="Клиент",N(Таблица1[[#This Row],[Авто услу ]]),0)</f>
        <v>0</v>
      </c>
      <c r="U7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19" s="265" t="str">
        <f>IFERROR(INDEX(Мижозлар[Агент],MATCH($D719,Мижозлар[Расмий ном],0)),"")</f>
        <v/>
      </c>
    </row>
    <row r="720" spans="1:23" ht="14.25" x14ac:dyDescent="0.2">
      <c r="A720" s="21"/>
      <c r="B720" s="135"/>
      <c r="C720" s="141"/>
      <c r="D720" s="141"/>
      <c r="E720" s="136"/>
      <c r="F720" s="135"/>
      <c r="G720" s="34"/>
      <c r="H720" s="142"/>
      <c r="I720" s="34"/>
      <c r="J720" s="34">
        <f>Таблица1[[#This Row],[Блок
 Куб]]*Таблица1[[#This Row],[Цена 
Приход]]</f>
        <v>0</v>
      </c>
      <c r="K720" s="34"/>
      <c r="L720" s="34"/>
      <c r="M720" s="34">
        <f>Таблица1[[#This Row],[Поддон
Шт]]*Таблица1[[#This Row],[Цена
Поддон]]</f>
        <v>0</v>
      </c>
      <c r="N720" s="34">
        <f>Таблица1[[#This Row],[Сумма 
Приход]]+Таблица1[[#This Row],[Сумма Поддон]]</f>
        <v>0</v>
      </c>
      <c r="O720" s="34"/>
      <c r="P720" s="34">
        <f>Таблица1[[#This Row],[Блок
 Куб]]*Таблица1[[#This Row],[Цена
 Продажа]]</f>
        <v>0</v>
      </c>
      <c r="Q720" s="34"/>
      <c r="R720" s="34">
        <f>Таблица1[[#This Row],[Сумма 
Продажа]]-Таблица1[[#This Row],[Сумма 
Приход]]-Таблица1[[#This Row],[Авто услу ]]</f>
        <v>0</v>
      </c>
      <c r="S720" s="34"/>
      <c r="T720" s="34">
        <f>Таблица1[[#This Row],[Сумма 
Продажа]]-IF(Таблица1[[#This Row],[Расход 
Авто]]="Клиент",N(Таблица1[[#This Row],[Авто услу ]]),0)</f>
        <v>0</v>
      </c>
      <c r="U7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0" s="265" t="str">
        <f>IFERROR(INDEX(Мижозлар[Агент],MATCH($D720,Мижозлар[Расмий ном],0)),"")</f>
        <v/>
      </c>
    </row>
    <row r="721" spans="1:23" ht="14.25" x14ac:dyDescent="0.2">
      <c r="A721" s="21"/>
      <c r="B721" s="135"/>
      <c r="C721" s="141"/>
      <c r="D721" s="141"/>
      <c r="E721" s="136"/>
      <c r="F721" s="135"/>
      <c r="G721" s="34"/>
      <c r="H721" s="142"/>
      <c r="I721" s="34"/>
      <c r="J721" s="34">
        <f>Таблица1[[#This Row],[Блок
 Куб]]*Таблица1[[#This Row],[Цена 
Приход]]</f>
        <v>0</v>
      </c>
      <c r="K721" s="34"/>
      <c r="L721" s="34"/>
      <c r="M721" s="34">
        <f>Таблица1[[#This Row],[Поддон
Шт]]*Таблица1[[#This Row],[Цена
Поддон]]</f>
        <v>0</v>
      </c>
      <c r="N721" s="34">
        <f>Таблица1[[#This Row],[Сумма 
Приход]]+Таблица1[[#This Row],[Сумма Поддон]]</f>
        <v>0</v>
      </c>
      <c r="O721" s="34"/>
      <c r="P721" s="34">
        <f>Таблица1[[#This Row],[Блок
 Куб]]*Таблица1[[#This Row],[Цена
 Продажа]]</f>
        <v>0</v>
      </c>
      <c r="Q721" s="34"/>
      <c r="R721" s="34">
        <f>Таблица1[[#This Row],[Сумма 
Продажа]]-Таблица1[[#This Row],[Сумма 
Приход]]-Таблица1[[#This Row],[Авто услу ]]</f>
        <v>0</v>
      </c>
      <c r="S721" s="34"/>
      <c r="T721" s="34">
        <f>Таблица1[[#This Row],[Сумма 
Продажа]]-IF(Таблица1[[#This Row],[Расход 
Авто]]="Клиент",N(Таблица1[[#This Row],[Авто услу ]]),0)</f>
        <v>0</v>
      </c>
      <c r="U7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1" s="265" t="str">
        <f>IFERROR(INDEX(Мижозлар[Агент],MATCH($D721,Мижозлар[Расмий ном],0)),"")</f>
        <v/>
      </c>
    </row>
    <row r="722" spans="1:23" ht="14.25" x14ac:dyDescent="0.2">
      <c r="A722" s="21"/>
      <c r="B722" s="135"/>
      <c r="C722" s="141"/>
      <c r="D722" s="141"/>
      <c r="E722" s="136"/>
      <c r="F722" s="135"/>
      <c r="G722" s="34"/>
      <c r="H722" s="142"/>
      <c r="I722" s="34"/>
      <c r="J722" s="34">
        <f>Таблица1[[#This Row],[Блок
 Куб]]*Таблица1[[#This Row],[Цена 
Приход]]</f>
        <v>0</v>
      </c>
      <c r="K722" s="34"/>
      <c r="L722" s="34"/>
      <c r="M722" s="34">
        <f>Таблица1[[#This Row],[Поддон
Шт]]*Таблица1[[#This Row],[Цена
Поддон]]</f>
        <v>0</v>
      </c>
      <c r="N722" s="34">
        <f>Таблица1[[#This Row],[Сумма 
Приход]]+Таблица1[[#This Row],[Сумма Поддон]]</f>
        <v>0</v>
      </c>
      <c r="O722" s="34"/>
      <c r="P722" s="34">
        <f>Таблица1[[#This Row],[Блок
 Куб]]*Таблица1[[#This Row],[Цена
 Продажа]]</f>
        <v>0</v>
      </c>
      <c r="Q722" s="34"/>
      <c r="R722" s="34">
        <f>Таблица1[[#This Row],[Сумма 
Продажа]]-Таблица1[[#This Row],[Сумма 
Приход]]-Таблица1[[#This Row],[Авто услу ]]</f>
        <v>0</v>
      </c>
      <c r="S722" s="34"/>
      <c r="T722" s="34">
        <f>Таблица1[[#This Row],[Сумма 
Продажа]]-IF(Таблица1[[#This Row],[Расход 
Авто]]="Клиент",N(Таблица1[[#This Row],[Авто услу ]]),0)</f>
        <v>0</v>
      </c>
      <c r="U7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2" s="265" t="str">
        <f>IFERROR(INDEX(Мижозлар[Агент],MATCH($D722,Мижозлар[Расмий ном],0)),"")</f>
        <v/>
      </c>
    </row>
    <row r="723" spans="1:23" ht="14.25" x14ac:dyDescent="0.2">
      <c r="A723" s="21"/>
      <c r="B723" s="135"/>
      <c r="C723" s="141"/>
      <c r="D723" s="141"/>
      <c r="E723" s="136"/>
      <c r="F723" s="135"/>
      <c r="G723" s="34"/>
      <c r="H723" s="142"/>
      <c r="I723" s="34"/>
      <c r="J723" s="34">
        <f>Таблица1[[#This Row],[Блок
 Куб]]*Таблица1[[#This Row],[Цена 
Приход]]</f>
        <v>0</v>
      </c>
      <c r="K723" s="34"/>
      <c r="L723" s="34"/>
      <c r="M723" s="34">
        <f>Таблица1[[#This Row],[Поддон
Шт]]*Таблица1[[#This Row],[Цена
Поддон]]</f>
        <v>0</v>
      </c>
      <c r="N723" s="34">
        <f>Таблица1[[#This Row],[Сумма 
Приход]]+Таблица1[[#This Row],[Сумма Поддон]]</f>
        <v>0</v>
      </c>
      <c r="O723" s="34"/>
      <c r="P723" s="34">
        <f>Таблица1[[#This Row],[Блок
 Куб]]*Таблица1[[#This Row],[Цена
 Продажа]]</f>
        <v>0</v>
      </c>
      <c r="Q723" s="34"/>
      <c r="R723" s="34">
        <f>Таблица1[[#This Row],[Сумма 
Продажа]]-Таблица1[[#This Row],[Сумма 
Приход]]-Таблица1[[#This Row],[Авто услу ]]</f>
        <v>0</v>
      </c>
      <c r="S723" s="34"/>
      <c r="T723" s="34">
        <f>Таблица1[[#This Row],[Сумма 
Продажа]]-IF(Таблица1[[#This Row],[Расход 
Авто]]="Клиент",N(Таблица1[[#This Row],[Авто услу ]]),0)</f>
        <v>0</v>
      </c>
      <c r="U7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3" s="265" t="str">
        <f>IFERROR(INDEX(Мижозлар[Агент],MATCH($D723,Мижозлар[Расмий ном],0)),"")</f>
        <v/>
      </c>
    </row>
    <row r="724" spans="1:23" ht="14.25" x14ac:dyDescent="0.2">
      <c r="A724" s="21"/>
      <c r="B724" s="135"/>
      <c r="C724" s="141"/>
      <c r="D724" s="141"/>
      <c r="E724" s="136"/>
      <c r="F724" s="135"/>
      <c r="G724" s="34"/>
      <c r="H724" s="142"/>
      <c r="I724" s="34"/>
      <c r="J724" s="34">
        <f>Таблица1[[#This Row],[Блок
 Куб]]*Таблица1[[#This Row],[Цена 
Приход]]</f>
        <v>0</v>
      </c>
      <c r="K724" s="34"/>
      <c r="L724" s="34"/>
      <c r="M724" s="34">
        <f>Таблица1[[#This Row],[Поддон
Шт]]*Таблица1[[#This Row],[Цена
Поддон]]</f>
        <v>0</v>
      </c>
      <c r="N724" s="34">
        <f>Таблица1[[#This Row],[Сумма 
Приход]]+Таблица1[[#This Row],[Сумма Поддон]]</f>
        <v>0</v>
      </c>
      <c r="O724" s="34"/>
      <c r="P724" s="34">
        <f>Таблица1[[#This Row],[Блок
 Куб]]*Таблица1[[#This Row],[Цена
 Продажа]]</f>
        <v>0</v>
      </c>
      <c r="Q724" s="34"/>
      <c r="R724" s="34">
        <f>Таблица1[[#This Row],[Сумма 
Продажа]]-Таблица1[[#This Row],[Сумма 
Приход]]-Таблица1[[#This Row],[Авто услу ]]</f>
        <v>0</v>
      </c>
      <c r="S724" s="34"/>
      <c r="T724" s="34">
        <f>Таблица1[[#This Row],[Сумма 
Продажа]]-IF(Таблица1[[#This Row],[Расход 
Авто]]="Клиент",N(Таблица1[[#This Row],[Авто услу ]]),0)</f>
        <v>0</v>
      </c>
      <c r="U7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4" s="265" t="str">
        <f>IFERROR(INDEX(Мижозлар[Агент],MATCH($D724,Мижозлар[Расмий ном],0)),"")</f>
        <v/>
      </c>
    </row>
    <row r="725" spans="1:23" ht="14.25" x14ac:dyDescent="0.2">
      <c r="A725" s="21"/>
      <c r="B725" s="135"/>
      <c r="C725" s="141"/>
      <c r="D725" s="141"/>
      <c r="E725" s="136"/>
      <c r="F725" s="135"/>
      <c r="G725" s="34"/>
      <c r="H725" s="142"/>
      <c r="I725" s="34"/>
      <c r="J725" s="34">
        <f>Таблица1[[#This Row],[Блок
 Куб]]*Таблица1[[#This Row],[Цена 
Приход]]</f>
        <v>0</v>
      </c>
      <c r="K725" s="34"/>
      <c r="L725" s="34"/>
      <c r="M725" s="34">
        <f>Таблица1[[#This Row],[Поддон
Шт]]*Таблица1[[#This Row],[Цена
Поддон]]</f>
        <v>0</v>
      </c>
      <c r="N725" s="34">
        <f>Таблица1[[#This Row],[Сумма 
Приход]]+Таблица1[[#This Row],[Сумма Поддон]]</f>
        <v>0</v>
      </c>
      <c r="O725" s="34"/>
      <c r="P725" s="34">
        <f>Таблица1[[#This Row],[Блок
 Куб]]*Таблица1[[#This Row],[Цена
 Продажа]]</f>
        <v>0</v>
      </c>
      <c r="Q725" s="34"/>
      <c r="R725" s="34">
        <f>Таблица1[[#This Row],[Сумма 
Продажа]]-Таблица1[[#This Row],[Сумма 
Приход]]-Таблица1[[#This Row],[Авто услу ]]</f>
        <v>0</v>
      </c>
      <c r="S725" s="34"/>
      <c r="T725" s="34">
        <f>Таблица1[[#This Row],[Сумма 
Продажа]]-IF(Таблица1[[#This Row],[Расход 
Авто]]="Клиент",N(Таблица1[[#This Row],[Авто услу ]]),0)</f>
        <v>0</v>
      </c>
      <c r="U7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5" s="265" t="str">
        <f>IFERROR(INDEX(Мижозлар[Агент],MATCH($D725,Мижозлар[Расмий ном],0)),"")</f>
        <v/>
      </c>
    </row>
    <row r="726" spans="1:23" ht="14.25" x14ac:dyDescent="0.2">
      <c r="A726" s="21"/>
      <c r="B726" s="135"/>
      <c r="C726" s="141"/>
      <c r="D726" s="141"/>
      <c r="E726" s="136"/>
      <c r="F726" s="135"/>
      <c r="G726" s="34"/>
      <c r="H726" s="142"/>
      <c r="I726" s="34"/>
      <c r="J726" s="34">
        <f>Таблица1[[#This Row],[Блок
 Куб]]*Таблица1[[#This Row],[Цена 
Приход]]</f>
        <v>0</v>
      </c>
      <c r="K726" s="34"/>
      <c r="L726" s="34"/>
      <c r="M726" s="34">
        <f>Таблица1[[#This Row],[Поддон
Шт]]*Таблица1[[#This Row],[Цена
Поддон]]</f>
        <v>0</v>
      </c>
      <c r="N726" s="34">
        <f>Таблица1[[#This Row],[Сумма 
Приход]]+Таблица1[[#This Row],[Сумма Поддон]]</f>
        <v>0</v>
      </c>
      <c r="O726" s="34"/>
      <c r="P726" s="34">
        <f>Таблица1[[#This Row],[Блок
 Куб]]*Таблица1[[#This Row],[Цена
 Продажа]]</f>
        <v>0</v>
      </c>
      <c r="Q726" s="34"/>
      <c r="R726" s="34">
        <f>Таблица1[[#This Row],[Сумма 
Продажа]]-Таблица1[[#This Row],[Сумма 
Приход]]-Таблица1[[#This Row],[Авто услу ]]</f>
        <v>0</v>
      </c>
      <c r="S726" s="34"/>
      <c r="T726" s="34">
        <f>Таблица1[[#This Row],[Сумма 
Продажа]]-IF(Таблица1[[#This Row],[Расход 
Авто]]="Клиент",N(Таблица1[[#This Row],[Авто услу ]]),0)</f>
        <v>0</v>
      </c>
      <c r="U7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6" s="265" t="str">
        <f>IFERROR(INDEX(Мижозлар[Агент],MATCH($D726,Мижозлар[Расмий ном],0)),"")</f>
        <v/>
      </c>
    </row>
    <row r="727" spans="1:23" ht="14.25" x14ac:dyDescent="0.2">
      <c r="A727" s="21"/>
      <c r="B727" s="135"/>
      <c r="C727" s="141"/>
      <c r="D727" s="141"/>
      <c r="E727" s="136"/>
      <c r="F727" s="135"/>
      <c r="G727" s="34"/>
      <c r="H727" s="142"/>
      <c r="I727" s="34"/>
      <c r="J727" s="34">
        <f>Таблица1[[#This Row],[Блок
 Куб]]*Таблица1[[#This Row],[Цена 
Приход]]</f>
        <v>0</v>
      </c>
      <c r="K727" s="34"/>
      <c r="L727" s="34"/>
      <c r="M727" s="34">
        <f>Таблица1[[#This Row],[Поддон
Шт]]*Таблица1[[#This Row],[Цена
Поддон]]</f>
        <v>0</v>
      </c>
      <c r="N727" s="34">
        <f>Таблица1[[#This Row],[Сумма 
Приход]]+Таблица1[[#This Row],[Сумма Поддон]]</f>
        <v>0</v>
      </c>
      <c r="O727" s="34"/>
      <c r="P727" s="34">
        <f>Таблица1[[#This Row],[Блок
 Куб]]*Таблица1[[#This Row],[Цена
 Продажа]]</f>
        <v>0</v>
      </c>
      <c r="Q727" s="34"/>
      <c r="R727" s="34">
        <f>Таблица1[[#This Row],[Сумма 
Продажа]]-Таблица1[[#This Row],[Сумма 
Приход]]-Таблица1[[#This Row],[Авто услу ]]</f>
        <v>0</v>
      </c>
      <c r="S727" s="34"/>
      <c r="T727" s="34">
        <f>Таблица1[[#This Row],[Сумма 
Продажа]]-IF(Таблица1[[#This Row],[Расход 
Авто]]="Клиент",N(Таблица1[[#This Row],[Авто услу ]]),0)</f>
        <v>0</v>
      </c>
      <c r="U7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7" s="265" t="str">
        <f>IFERROR(INDEX(Мижозлар[Агент],MATCH($D727,Мижозлар[Расмий ном],0)),"")</f>
        <v/>
      </c>
    </row>
    <row r="728" spans="1:23" ht="14.25" x14ac:dyDescent="0.2">
      <c r="A728" s="21"/>
      <c r="B728" s="135"/>
      <c r="C728" s="141"/>
      <c r="D728" s="141"/>
      <c r="E728" s="136"/>
      <c r="F728" s="135"/>
      <c r="G728" s="34"/>
      <c r="H728" s="142"/>
      <c r="I728" s="34"/>
      <c r="J728" s="34">
        <f>Таблица1[[#This Row],[Блок
 Куб]]*Таблица1[[#This Row],[Цена 
Приход]]</f>
        <v>0</v>
      </c>
      <c r="K728" s="34"/>
      <c r="L728" s="34"/>
      <c r="M728" s="34">
        <f>Таблица1[[#This Row],[Поддон
Шт]]*Таблица1[[#This Row],[Цена
Поддон]]</f>
        <v>0</v>
      </c>
      <c r="N728" s="34">
        <f>Таблица1[[#This Row],[Сумма 
Приход]]+Таблица1[[#This Row],[Сумма Поддон]]</f>
        <v>0</v>
      </c>
      <c r="O728" s="34"/>
      <c r="P728" s="34">
        <f>Таблица1[[#This Row],[Блок
 Куб]]*Таблица1[[#This Row],[Цена
 Продажа]]</f>
        <v>0</v>
      </c>
      <c r="Q728" s="34"/>
      <c r="R728" s="34">
        <f>Таблица1[[#This Row],[Сумма 
Продажа]]-Таблица1[[#This Row],[Сумма 
Приход]]-Таблица1[[#This Row],[Авто услу ]]</f>
        <v>0</v>
      </c>
      <c r="S728" s="34"/>
      <c r="T728" s="34">
        <f>Таблица1[[#This Row],[Сумма 
Продажа]]-IF(Таблица1[[#This Row],[Расход 
Авто]]="Клиент",N(Таблица1[[#This Row],[Авто услу ]]),0)</f>
        <v>0</v>
      </c>
      <c r="U7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8" s="265" t="str">
        <f>IFERROR(INDEX(Мижозлар[Агент],MATCH($D728,Мижозлар[Расмий ном],0)),"")</f>
        <v/>
      </c>
    </row>
    <row r="729" spans="1:23" ht="14.25" x14ac:dyDescent="0.2">
      <c r="A729" s="21"/>
      <c r="B729" s="135"/>
      <c r="C729" s="141"/>
      <c r="D729" s="141"/>
      <c r="E729" s="136"/>
      <c r="F729" s="135"/>
      <c r="G729" s="34"/>
      <c r="H729" s="142"/>
      <c r="I729" s="34"/>
      <c r="J729" s="34">
        <f>Таблица1[[#This Row],[Блок
 Куб]]*Таблица1[[#This Row],[Цена 
Приход]]</f>
        <v>0</v>
      </c>
      <c r="K729" s="34"/>
      <c r="L729" s="34"/>
      <c r="M729" s="34">
        <f>Таблица1[[#This Row],[Поддон
Шт]]*Таблица1[[#This Row],[Цена
Поддон]]</f>
        <v>0</v>
      </c>
      <c r="N729" s="34">
        <f>Таблица1[[#This Row],[Сумма 
Приход]]+Таблица1[[#This Row],[Сумма Поддон]]</f>
        <v>0</v>
      </c>
      <c r="O729" s="34"/>
      <c r="P729" s="34">
        <f>Таблица1[[#This Row],[Блок
 Куб]]*Таблица1[[#This Row],[Цена
 Продажа]]</f>
        <v>0</v>
      </c>
      <c r="Q729" s="34"/>
      <c r="R729" s="34">
        <f>Таблица1[[#This Row],[Сумма 
Продажа]]-Таблица1[[#This Row],[Сумма 
Приход]]-Таблица1[[#This Row],[Авто услу ]]</f>
        <v>0</v>
      </c>
      <c r="S729" s="34"/>
      <c r="T729" s="34">
        <f>Таблица1[[#This Row],[Сумма 
Продажа]]-IF(Таблица1[[#This Row],[Расход 
Авто]]="Клиент",N(Таблица1[[#This Row],[Авто услу ]]),0)</f>
        <v>0</v>
      </c>
      <c r="U7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29" s="265" t="str">
        <f>IFERROR(INDEX(Мижозлар[Агент],MATCH($D729,Мижозлар[Расмий ном],0)),"")</f>
        <v/>
      </c>
    </row>
    <row r="730" spans="1:23" ht="14.25" x14ac:dyDescent="0.2">
      <c r="A730" s="21"/>
      <c r="B730" s="135"/>
      <c r="C730" s="141"/>
      <c r="D730" s="141"/>
      <c r="E730" s="136"/>
      <c r="F730" s="135"/>
      <c r="G730" s="34"/>
      <c r="H730" s="142"/>
      <c r="I730" s="34"/>
      <c r="J730" s="34">
        <f>Таблица1[[#This Row],[Блок
 Куб]]*Таблица1[[#This Row],[Цена 
Приход]]</f>
        <v>0</v>
      </c>
      <c r="K730" s="34"/>
      <c r="L730" s="34"/>
      <c r="M730" s="34">
        <f>Таблица1[[#This Row],[Поддон
Шт]]*Таблица1[[#This Row],[Цена
Поддон]]</f>
        <v>0</v>
      </c>
      <c r="N730" s="34">
        <f>Таблица1[[#This Row],[Сумма 
Приход]]+Таблица1[[#This Row],[Сумма Поддон]]</f>
        <v>0</v>
      </c>
      <c r="O730" s="34"/>
      <c r="P730" s="34">
        <f>Таблица1[[#This Row],[Блок
 Куб]]*Таблица1[[#This Row],[Цена
 Продажа]]</f>
        <v>0</v>
      </c>
      <c r="Q730" s="34"/>
      <c r="R730" s="34">
        <f>Таблица1[[#This Row],[Сумма 
Продажа]]-Таблица1[[#This Row],[Сумма 
Приход]]-Таблица1[[#This Row],[Авто услу ]]</f>
        <v>0</v>
      </c>
      <c r="S730" s="34"/>
      <c r="T730" s="34">
        <f>Таблица1[[#This Row],[Сумма 
Продажа]]-IF(Таблица1[[#This Row],[Расход 
Авто]]="Клиент",N(Таблица1[[#This Row],[Авто услу ]]),0)</f>
        <v>0</v>
      </c>
      <c r="U7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0" s="265" t="str">
        <f>IFERROR(INDEX(Мижозлар[Агент],MATCH($D730,Мижозлар[Расмий ном],0)),"")</f>
        <v/>
      </c>
    </row>
    <row r="731" spans="1:23" ht="14.25" x14ac:dyDescent="0.2">
      <c r="A731" s="21"/>
      <c r="B731" s="135"/>
      <c r="C731" s="141"/>
      <c r="D731" s="141"/>
      <c r="E731" s="136"/>
      <c r="F731" s="135"/>
      <c r="G731" s="34"/>
      <c r="H731" s="142"/>
      <c r="I731" s="34"/>
      <c r="J731" s="34">
        <f>Таблица1[[#This Row],[Блок
 Куб]]*Таблица1[[#This Row],[Цена 
Приход]]</f>
        <v>0</v>
      </c>
      <c r="K731" s="34"/>
      <c r="L731" s="34"/>
      <c r="M731" s="34">
        <f>Таблица1[[#This Row],[Поддон
Шт]]*Таблица1[[#This Row],[Цена
Поддон]]</f>
        <v>0</v>
      </c>
      <c r="N731" s="34">
        <f>Таблица1[[#This Row],[Сумма 
Приход]]+Таблица1[[#This Row],[Сумма Поддон]]</f>
        <v>0</v>
      </c>
      <c r="O731" s="34"/>
      <c r="P731" s="34">
        <f>Таблица1[[#This Row],[Блок
 Куб]]*Таблица1[[#This Row],[Цена
 Продажа]]</f>
        <v>0</v>
      </c>
      <c r="Q731" s="34"/>
      <c r="R731" s="34">
        <f>Таблица1[[#This Row],[Сумма 
Продажа]]-Таблица1[[#This Row],[Сумма 
Приход]]-Таблица1[[#This Row],[Авто услу ]]</f>
        <v>0</v>
      </c>
      <c r="S731" s="34"/>
      <c r="T731" s="34">
        <f>Таблица1[[#This Row],[Сумма 
Продажа]]-IF(Таблица1[[#This Row],[Расход 
Авто]]="Клиент",N(Таблица1[[#This Row],[Авто услу ]]),0)</f>
        <v>0</v>
      </c>
      <c r="U7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1" s="265" t="str">
        <f>IFERROR(INDEX(Мижозлар[Агент],MATCH($D731,Мижозлар[Расмий ном],0)),"")</f>
        <v/>
      </c>
    </row>
    <row r="732" spans="1:23" ht="14.25" x14ac:dyDescent="0.2">
      <c r="A732" s="21"/>
      <c r="B732" s="135"/>
      <c r="C732" s="141"/>
      <c r="D732" s="141"/>
      <c r="E732" s="136"/>
      <c r="F732" s="135"/>
      <c r="G732" s="34"/>
      <c r="H732" s="142"/>
      <c r="I732" s="34"/>
      <c r="J732" s="34">
        <f>Таблица1[[#This Row],[Блок
 Куб]]*Таблица1[[#This Row],[Цена 
Приход]]</f>
        <v>0</v>
      </c>
      <c r="K732" s="34"/>
      <c r="L732" s="34"/>
      <c r="M732" s="34">
        <f>Таблица1[[#This Row],[Поддон
Шт]]*Таблица1[[#This Row],[Цена
Поддон]]</f>
        <v>0</v>
      </c>
      <c r="N732" s="34">
        <f>Таблица1[[#This Row],[Сумма 
Приход]]+Таблица1[[#This Row],[Сумма Поддон]]</f>
        <v>0</v>
      </c>
      <c r="O732" s="34"/>
      <c r="P732" s="34">
        <f>Таблица1[[#This Row],[Блок
 Куб]]*Таблица1[[#This Row],[Цена
 Продажа]]</f>
        <v>0</v>
      </c>
      <c r="Q732" s="34"/>
      <c r="R732" s="34">
        <f>Таблица1[[#This Row],[Сумма 
Продажа]]-Таблица1[[#This Row],[Сумма 
Приход]]-Таблица1[[#This Row],[Авто услу ]]</f>
        <v>0</v>
      </c>
      <c r="S732" s="34"/>
      <c r="T732" s="34">
        <f>Таблица1[[#This Row],[Сумма 
Продажа]]-IF(Таблица1[[#This Row],[Расход 
Авто]]="Клиент",N(Таблица1[[#This Row],[Авто услу ]]),0)</f>
        <v>0</v>
      </c>
      <c r="U7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2" s="265" t="str">
        <f>IFERROR(INDEX(Мижозлар[Агент],MATCH($D732,Мижозлар[Расмий ном],0)),"")</f>
        <v/>
      </c>
    </row>
    <row r="733" spans="1:23" ht="14.25" x14ac:dyDescent="0.2">
      <c r="A733" s="21"/>
      <c r="B733" s="135"/>
      <c r="C733" s="141"/>
      <c r="D733" s="141"/>
      <c r="E733" s="136"/>
      <c r="F733" s="135"/>
      <c r="G733" s="34"/>
      <c r="H733" s="142"/>
      <c r="I733" s="34"/>
      <c r="J733" s="34">
        <f>Таблица1[[#This Row],[Блок
 Куб]]*Таблица1[[#This Row],[Цена 
Приход]]</f>
        <v>0</v>
      </c>
      <c r="K733" s="34"/>
      <c r="L733" s="34"/>
      <c r="M733" s="34">
        <f>Таблица1[[#This Row],[Поддон
Шт]]*Таблица1[[#This Row],[Цена
Поддон]]</f>
        <v>0</v>
      </c>
      <c r="N733" s="34">
        <f>Таблица1[[#This Row],[Сумма 
Приход]]+Таблица1[[#This Row],[Сумма Поддон]]</f>
        <v>0</v>
      </c>
      <c r="O733" s="34"/>
      <c r="P733" s="34">
        <f>Таблица1[[#This Row],[Блок
 Куб]]*Таблица1[[#This Row],[Цена
 Продажа]]</f>
        <v>0</v>
      </c>
      <c r="Q733" s="34"/>
      <c r="R733" s="34">
        <f>Таблица1[[#This Row],[Сумма 
Продажа]]-Таблица1[[#This Row],[Сумма 
Приход]]-Таблица1[[#This Row],[Авто услу ]]</f>
        <v>0</v>
      </c>
      <c r="S733" s="34"/>
      <c r="T733" s="34">
        <f>Таблица1[[#This Row],[Сумма 
Продажа]]-IF(Таблица1[[#This Row],[Расход 
Авто]]="Клиент",N(Таблица1[[#This Row],[Авто услу ]]),0)</f>
        <v>0</v>
      </c>
      <c r="U7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3" s="265" t="str">
        <f>IFERROR(INDEX(Мижозлар[Агент],MATCH($D733,Мижозлар[Расмий ном],0)),"")</f>
        <v/>
      </c>
    </row>
    <row r="734" spans="1:23" ht="14.25" x14ac:dyDescent="0.2">
      <c r="A734" s="21"/>
      <c r="B734" s="135"/>
      <c r="C734" s="141"/>
      <c r="D734" s="141"/>
      <c r="E734" s="136"/>
      <c r="F734" s="135"/>
      <c r="G734" s="34"/>
      <c r="H734" s="142"/>
      <c r="I734" s="34"/>
      <c r="J734" s="34">
        <f>Таблица1[[#This Row],[Блок
 Куб]]*Таблица1[[#This Row],[Цена 
Приход]]</f>
        <v>0</v>
      </c>
      <c r="K734" s="34"/>
      <c r="L734" s="34"/>
      <c r="M734" s="34">
        <f>Таблица1[[#This Row],[Поддон
Шт]]*Таблица1[[#This Row],[Цена
Поддон]]</f>
        <v>0</v>
      </c>
      <c r="N734" s="34">
        <f>Таблица1[[#This Row],[Сумма 
Приход]]+Таблица1[[#This Row],[Сумма Поддон]]</f>
        <v>0</v>
      </c>
      <c r="O734" s="34"/>
      <c r="P734" s="34">
        <f>Таблица1[[#This Row],[Блок
 Куб]]*Таблица1[[#This Row],[Цена
 Продажа]]</f>
        <v>0</v>
      </c>
      <c r="Q734" s="34"/>
      <c r="R734" s="34">
        <f>Таблица1[[#This Row],[Сумма 
Продажа]]-Таблица1[[#This Row],[Сумма 
Приход]]-Таблица1[[#This Row],[Авто услу ]]</f>
        <v>0</v>
      </c>
      <c r="S734" s="34"/>
      <c r="T734" s="34">
        <f>Таблица1[[#This Row],[Сумма 
Продажа]]-IF(Таблица1[[#This Row],[Расход 
Авто]]="Клиент",N(Таблица1[[#This Row],[Авто услу ]]),0)</f>
        <v>0</v>
      </c>
      <c r="U7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4" s="265" t="str">
        <f>IFERROR(INDEX(Мижозлар[Агент],MATCH($D734,Мижозлар[Расмий ном],0)),"")</f>
        <v/>
      </c>
    </row>
    <row r="735" spans="1:23" ht="14.25" x14ac:dyDescent="0.2">
      <c r="A735" s="21"/>
      <c r="B735" s="135"/>
      <c r="C735" s="141"/>
      <c r="D735" s="141"/>
      <c r="E735" s="136"/>
      <c r="F735" s="135"/>
      <c r="G735" s="34"/>
      <c r="H735" s="142"/>
      <c r="I735" s="34"/>
      <c r="J735" s="34">
        <f>Таблица1[[#This Row],[Блок
 Куб]]*Таблица1[[#This Row],[Цена 
Приход]]</f>
        <v>0</v>
      </c>
      <c r="K735" s="34"/>
      <c r="L735" s="34"/>
      <c r="M735" s="34">
        <f>Таблица1[[#This Row],[Поддон
Шт]]*Таблица1[[#This Row],[Цена
Поддон]]</f>
        <v>0</v>
      </c>
      <c r="N735" s="34">
        <f>Таблица1[[#This Row],[Сумма 
Приход]]+Таблица1[[#This Row],[Сумма Поддон]]</f>
        <v>0</v>
      </c>
      <c r="O735" s="34"/>
      <c r="P735" s="34">
        <f>Таблица1[[#This Row],[Блок
 Куб]]*Таблица1[[#This Row],[Цена
 Продажа]]</f>
        <v>0</v>
      </c>
      <c r="Q735" s="34"/>
      <c r="R735" s="34">
        <f>Таблица1[[#This Row],[Сумма 
Продажа]]-Таблица1[[#This Row],[Сумма 
Приход]]-Таблица1[[#This Row],[Авто услу ]]</f>
        <v>0</v>
      </c>
      <c r="S735" s="34"/>
      <c r="T735" s="34">
        <f>Таблица1[[#This Row],[Сумма 
Продажа]]-IF(Таблица1[[#This Row],[Расход 
Авто]]="Клиент",N(Таблица1[[#This Row],[Авто услу ]]),0)</f>
        <v>0</v>
      </c>
      <c r="U7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5" s="265" t="str">
        <f>IFERROR(INDEX(Мижозлар[Агент],MATCH($D735,Мижозлар[Расмий ном],0)),"")</f>
        <v/>
      </c>
    </row>
    <row r="736" spans="1:23" ht="14.25" x14ac:dyDescent="0.2">
      <c r="A736" s="21"/>
      <c r="B736" s="135"/>
      <c r="C736" s="141"/>
      <c r="D736" s="141"/>
      <c r="E736" s="136"/>
      <c r="F736" s="135"/>
      <c r="G736" s="34"/>
      <c r="H736" s="142"/>
      <c r="I736" s="34"/>
      <c r="J736" s="34">
        <f>Таблица1[[#This Row],[Блок
 Куб]]*Таблица1[[#This Row],[Цена 
Приход]]</f>
        <v>0</v>
      </c>
      <c r="K736" s="34"/>
      <c r="L736" s="34"/>
      <c r="M736" s="34">
        <f>Таблица1[[#This Row],[Поддон
Шт]]*Таблица1[[#This Row],[Цена
Поддон]]</f>
        <v>0</v>
      </c>
      <c r="N736" s="34">
        <f>Таблица1[[#This Row],[Сумма 
Приход]]+Таблица1[[#This Row],[Сумма Поддон]]</f>
        <v>0</v>
      </c>
      <c r="O736" s="34"/>
      <c r="P736" s="34">
        <f>Таблица1[[#This Row],[Блок
 Куб]]*Таблица1[[#This Row],[Цена
 Продажа]]</f>
        <v>0</v>
      </c>
      <c r="Q736" s="34"/>
      <c r="R736" s="34">
        <f>Таблица1[[#This Row],[Сумма 
Продажа]]-Таблица1[[#This Row],[Сумма 
Приход]]-Таблица1[[#This Row],[Авто услу ]]</f>
        <v>0</v>
      </c>
      <c r="S736" s="34"/>
      <c r="T736" s="34">
        <f>Таблица1[[#This Row],[Сумма 
Продажа]]-IF(Таблица1[[#This Row],[Расход 
Авто]]="Клиент",N(Таблица1[[#This Row],[Авто услу ]]),0)</f>
        <v>0</v>
      </c>
      <c r="U7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6" s="265" t="str">
        <f>IFERROR(INDEX(Мижозлар[Агент],MATCH($D736,Мижозлар[Расмий ном],0)),"")</f>
        <v/>
      </c>
    </row>
    <row r="737" spans="1:23" ht="14.25" x14ac:dyDescent="0.2">
      <c r="A737" s="21"/>
      <c r="B737" s="135"/>
      <c r="C737" s="141"/>
      <c r="D737" s="141"/>
      <c r="E737" s="136"/>
      <c r="F737" s="135"/>
      <c r="G737" s="34"/>
      <c r="H737" s="142"/>
      <c r="I737" s="34"/>
      <c r="J737" s="34">
        <f>Таблица1[[#This Row],[Блок
 Куб]]*Таблица1[[#This Row],[Цена 
Приход]]</f>
        <v>0</v>
      </c>
      <c r="K737" s="34"/>
      <c r="L737" s="34"/>
      <c r="M737" s="34">
        <f>Таблица1[[#This Row],[Поддон
Шт]]*Таблица1[[#This Row],[Цена
Поддон]]</f>
        <v>0</v>
      </c>
      <c r="N737" s="34">
        <f>Таблица1[[#This Row],[Сумма 
Приход]]+Таблица1[[#This Row],[Сумма Поддон]]</f>
        <v>0</v>
      </c>
      <c r="O737" s="34"/>
      <c r="P737" s="34">
        <f>Таблица1[[#This Row],[Блок
 Куб]]*Таблица1[[#This Row],[Цена
 Продажа]]</f>
        <v>0</v>
      </c>
      <c r="Q737" s="34"/>
      <c r="R737" s="34">
        <f>Таблица1[[#This Row],[Сумма 
Продажа]]-Таблица1[[#This Row],[Сумма 
Приход]]-Таблица1[[#This Row],[Авто услу ]]</f>
        <v>0</v>
      </c>
      <c r="S737" s="34"/>
      <c r="T737" s="34">
        <f>Таблица1[[#This Row],[Сумма 
Продажа]]-IF(Таблица1[[#This Row],[Расход 
Авто]]="Клиент",N(Таблица1[[#This Row],[Авто услу ]]),0)</f>
        <v>0</v>
      </c>
      <c r="U7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7" s="265" t="str">
        <f>IFERROR(INDEX(Мижозлар[Агент],MATCH($D737,Мижозлар[Расмий ном],0)),"")</f>
        <v/>
      </c>
    </row>
    <row r="738" spans="1:23" ht="14.25" x14ac:dyDescent="0.2">
      <c r="A738" s="21"/>
      <c r="B738" s="135"/>
      <c r="C738" s="141"/>
      <c r="D738" s="141"/>
      <c r="E738" s="136"/>
      <c r="F738" s="135"/>
      <c r="G738" s="34"/>
      <c r="H738" s="142"/>
      <c r="I738" s="34"/>
      <c r="J738" s="34">
        <f>Таблица1[[#This Row],[Блок
 Куб]]*Таблица1[[#This Row],[Цена 
Приход]]</f>
        <v>0</v>
      </c>
      <c r="K738" s="34"/>
      <c r="L738" s="34"/>
      <c r="M738" s="34">
        <f>Таблица1[[#This Row],[Поддон
Шт]]*Таблица1[[#This Row],[Цена
Поддон]]</f>
        <v>0</v>
      </c>
      <c r="N738" s="34">
        <f>Таблица1[[#This Row],[Сумма 
Приход]]+Таблица1[[#This Row],[Сумма Поддон]]</f>
        <v>0</v>
      </c>
      <c r="O738" s="34"/>
      <c r="P738" s="34">
        <f>Таблица1[[#This Row],[Блок
 Куб]]*Таблица1[[#This Row],[Цена
 Продажа]]</f>
        <v>0</v>
      </c>
      <c r="Q738" s="34"/>
      <c r="R738" s="34">
        <f>Таблица1[[#This Row],[Сумма 
Продажа]]-Таблица1[[#This Row],[Сумма 
Приход]]-Таблица1[[#This Row],[Авто услу ]]</f>
        <v>0</v>
      </c>
      <c r="S738" s="34"/>
      <c r="T738" s="34">
        <f>Таблица1[[#This Row],[Сумма 
Продажа]]-IF(Таблица1[[#This Row],[Расход 
Авто]]="Клиент",N(Таблица1[[#This Row],[Авто услу ]]),0)</f>
        <v>0</v>
      </c>
      <c r="U7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8" s="265" t="str">
        <f>IFERROR(INDEX(Мижозлар[Агент],MATCH($D738,Мижозлар[Расмий ном],0)),"")</f>
        <v/>
      </c>
    </row>
    <row r="739" spans="1:23" ht="14.25" x14ac:dyDescent="0.2">
      <c r="A739" s="21"/>
      <c r="B739" s="135"/>
      <c r="C739" s="141"/>
      <c r="D739" s="141"/>
      <c r="E739" s="136"/>
      <c r="F739" s="135"/>
      <c r="G739" s="34"/>
      <c r="H739" s="142"/>
      <c r="I739" s="34"/>
      <c r="J739" s="34">
        <f>Таблица1[[#This Row],[Блок
 Куб]]*Таблица1[[#This Row],[Цена 
Приход]]</f>
        <v>0</v>
      </c>
      <c r="K739" s="34"/>
      <c r="L739" s="34"/>
      <c r="M739" s="34">
        <f>Таблица1[[#This Row],[Поддон
Шт]]*Таблица1[[#This Row],[Цена
Поддон]]</f>
        <v>0</v>
      </c>
      <c r="N739" s="34">
        <f>Таблица1[[#This Row],[Сумма 
Приход]]+Таблица1[[#This Row],[Сумма Поддон]]</f>
        <v>0</v>
      </c>
      <c r="O739" s="34"/>
      <c r="P739" s="34">
        <f>Таблица1[[#This Row],[Блок
 Куб]]*Таблица1[[#This Row],[Цена
 Продажа]]</f>
        <v>0</v>
      </c>
      <c r="Q739" s="34"/>
      <c r="R739" s="34">
        <f>Таблица1[[#This Row],[Сумма 
Продажа]]-Таблица1[[#This Row],[Сумма 
Приход]]-Таблица1[[#This Row],[Авто услу ]]</f>
        <v>0</v>
      </c>
      <c r="S739" s="34"/>
      <c r="T739" s="34">
        <f>Таблица1[[#This Row],[Сумма 
Продажа]]-IF(Таблица1[[#This Row],[Расход 
Авто]]="Клиент",N(Таблица1[[#This Row],[Авто услу ]]),0)</f>
        <v>0</v>
      </c>
      <c r="U7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39" s="265" t="str">
        <f>IFERROR(INDEX(Мижозлар[Агент],MATCH($D739,Мижозлар[Расмий ном],0)),"")</f>
        <v/>
      </c>
    </row>
    <row r="740" spans="1:23" ht="14.25" x14ac:dyDescent="0.2">
      <c r="A740" s="21"/>
      <c r="B740" s="135"/>
      <c r="C740" s="141"/>
      <c r="D740" s="141"/>
      <c r="E740" s="136"/>
      <c r="F740" s="135"/>
      <c r="G740" s="34"/>
      <c r="H740" s="142"/>
      <c r="I740" s="34"/>
      <c r="J740" s="34">
        <f>Таблица1[[#This Row],[Блок
 Куб]]*Таблица1[[#This Row],[Цена 
Приход]]</f>
        <v>0</v>
      </c>
      <c r="K740" s="34"/>
      <c r="L740" s="34"/>
      <c r="M740" s="34">
        <f>Таблица1[[#This Row],[Поддон
Шт]]*Таблица1[[#This Row],[Цена
Поддон]]</f>
        <v>0</v>
      </c>
      <c r="N740" s="34">
        <f>Таблица1[[#This Row],[Сумма 
Приход]]+Таблица1[[#This Row],[Сумма Поддон]]</f>
        <v>0</v>
      </c>
      <c r="O740" s="34"/>
      <c r="P740" s="34">
        <f>Таблица1[[#This Row],[Блок
 Куб]]*Таблица1[[#This Row],[Цена
 Продажа]]</f>
        <v>0</v>
      </c>
      <c r="Q740" s="34"/>
      <c r="R740" s="34">
        <f>Таблица1[[#This Row],[Сумма 
Продажа]]-Таблица1[[#This Row],[Сумма 
Приход]]-Таблица1[[#This Row],[Авто услу ]]</f>
        <v>0</v>
      </c>
      <c r="S740" s="34"/>
      <c r="T740" s="34">
        <f>Таблица1[[#This Row],[Сумма 
Продажа]]-IF(Таблица1[[#This Row],[Расход 
Авто]]="Клиент",N(Таблица1[[#This Row],[Авто услу ]]),0)</f>
        <v>0</v>
      </c>
      <c r="U7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0" s="265" t="str">
        <f>IFERROR(INDEX(Мижозлар[Агент],MATCH($D740,Мижозлар[Расмий ном],0)),"")</f>
        <v/>
      </c>
    </row>
    <row r="741" spans="1:23" ht="14.25" x14ac:dyDescent="0.2">
      <c r="A741" s="21"/>
      <c r="B741" s="135"/>
      <c r="C741" s="141"/>
      <c r="D741" s="141"/>
      <c r="E741" s="136"/>
      <c r="F741" s="135"/>
      <c r="G741" s="34"/>
      <c r="H741" s="142"/>
      <c r="I741" s="34"/>
      <c r="J741" s="34">
        <f>Таблица1[[#This Row],[Блок
 Куб]]*Таблица1[[#This Row],[Цена 
Приход]]</f>
        <v>0</v>
      </c>
      <c r="K741" s="34"/>
      <c r="L741" s="34"/>
      <c r="M741" s="34">
        <f>Таблица1[[#This Row],[Поддон
Шт]]*Таблица1[[#This Row],[Цена
Поддон]]</f>
        <v>0</v>
      </c>
      <c r="N741" s="34">
        <f>Таблица1[[#This Row],[Сумма 
Приход]]+Таблица1[[#This Row],[Сумма Поддон]]</f>
        <v>0</v>
      </c>
      <c r="O741" s="34"/>
      <c r="P741" s="34">
        <f>Таблица1[[#This Row],[Блок
 Куб]]*Таблица1[[#This Row],[Цена
 Продажа]]</f>
        <v>0</v>
      </c>
      <c r="Q741" s="34"/>
      <c r="R741" s="34">
        <f>Таблица1[[#This Row],[Сумма 
Продажа]]-Таблица1[[#This Row],[Сумма 
Приход]]-Таблица1[[#This Row],[Авто услу ]]</f>
        <v>0</v>
      </c>
      <c r="S741" s="34"/>
      <c r="T741" s="34">
        <f>Таблица1[[#This Row],[Сумма 
Продажа]]-IF(Таблица1[[#This Row],[Расход 
Авто]]="Клиент",N(Таблица1[[#This Row],[Авто услу ]]),0)</f>
        <v>0</v>
      </c>
      <c r="U7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1" s="265" t="str">
        <f>IFERROR(INDEX(Мижозлар[Агент],MATCH($D741,Мижозлар[Расмий ном],0)),"")</f>
        <v/>
      </c>
    </row>
    <row r="742" spans="1:23" ht="14.25" x14ac:dyDescent="0.2">
      <c r="A742" s="21"/>
      <c r="B742" s="135"/>
      <c r="C742" s="141"/>
      <c r="D742" s="141"/>
      <c r="E742" s="136"/>
      <c r="F742" s="135"/>
      <c r="G742" s="34"/>
      <c r="H742" s="142"/>
      <c r="I742" s="34"/>
      <c r="J742" s="34">
        <f>Таблица1[[#This Row],[Блок
 Куб]]*Таблица1[[#This Row],[Цена 
Приход]]</f>
        <v>0</v>
      </c>
      <c r="K742" s="34"/>
      <c r="L742" s="34"/>
      <c r="M742" s="34">
        <f>Таблица1[[#This Row],[Поддон
Шт]]*Таблица1[[#This Row],[Цена
Поддон]]</f>
        <v>0</v>
      </c>
      <c r="N742" s="34">
        <f>Таблица1[[#This Row],[Сумма 
Приход]]+Таблица1[[#This Row],[Сумма Поддон]]</f>
        <v>0</v>
      </c>
      <c r="O742" s="34"/>
      <c r="P742" s="34">
        <f>Таблица1[[#This Row],[Блок
 Куб]]*Таблица1[[#This Row],[Цена
 Продажа]]</f>
        <v>0</v>
      </c>
      <c r="Q742" s="34"/>
      <c r="R742" s="34">
        <f>Таблица1[[#This Row],[Сумма 
Продажа]]-Таблица1[[#This Row],[Сумма 
Приход]]-Таблица1[[#This Row],[Авто услу ]]</f>
        <v>0</v>
      </c>
      <c r="S742" s="34"/>
      <c r="T742" s="34">
        <f>Таблица1[[#This Row],[Сумма 
Продажа]]-IF(Таблица1[[#This Row],[Расход 
Авто]]="Клиент",N(Таблица1[[#This Row],[Авто услу ]]),0)</f>
        <v>0</v>
      </c>
      <c r="U7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2" s="265" t="str">
        <f>IFERROR(INDEX(Мижозлар[Агент],MATCH($D742,Мижозлар[Расмий ном],0)),"")</f>
        <v/>
      </c>
    </row>
    <row r="743" spans="1:23" ht="14.25" x14ac:dyDescent="0.2">
      <c r="A743" s="21"/>
      <c r="B743" s="135"/>
      <c r="C743" s="141"/>
      <c r="D743" s="141"/>
      <c r="E743" s="136"/>
      <c r="F743" s="135"/>
      <c r="G743" s="34"/>
      <c r="H743" s="142"/>
      <c r="I743" s="34"/>
      <c r="J743" s="34">
        <f>Таблица1[[#This Row],[Блок
 Куб]]*Таблица1[[#This Row],[Цена 
Приход]]</f>
        <v>0</v>
      </c>
      <c r="K743" s="34"/>
      <c r="L743" s="34"/>
      <c r="M743" s="34">
        <f>Таблица1[[#This Row],[Поддон
Шт]]*Таблица1[[#This Row],[Цена
Поддон]]</f>
        <v>0</v>
      </c>
      <c r="N743" s="34">
        <f>Таблица1[[#This Row],[Сумма 
Приход]]+Таблица1[[#This Row],[Сумма Поддон]]</f>
        <v>0</v>
      </c>
      <c r="O743" s="34"/>
      <c r="P743" s="34">
        <f>Таблица1[[#This Row],[Блок
 Куб]]*Таблица1[[#This Row],[Цена
 Продажа]]</f>
        <v>0</v>
      </c>
      <c r="Q743" s="34"/>
      <c r="R743" s="34">
        <f>Таблица1[[#This Row],[Сумма 
Продажа]]-Таблица1[[#This Row],[Сумма 
Приход]]-Таблица1[[#This Row],[Авто услу ]]</f>
        <v>0</v>
      </c>
      <c r="S743" s="34"/>
      <c r="T743" s="34">
        <f>Таблица1[[#This Row],[Сумма 
Продажа]]-IF(Таблица1[[#This Row],[Расход 
Авто]]="Клиент",N(Таблица1[[#This Row],[Авто услу ]]),0)</f>
        <v>0</v>
      </c>
      <c r="U7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3" s="265" t="str">
        <f>IFERROR(INDEX(Мижозлар[Агент],MATCH($D743,Мижозлар[Расмий ном],0)),"")</f>
        <v/>
      </c>
    </row>
    <row r="744" spans="1:23" ht="14.25" x14ac:dyDescent="0.2">
      <c r="A744" s="21"/>
      <c r="B744" s="135"/>
      <c r="C744" s="141"/>
      <c r="D744" s="141"/>
      <c r="E744" s="136"/>
      <c r="F744" s="135"/>
      <c r="G744" s="34"/>
      <c r="H744" s="142"/>
      <c r="I744" s="34"/>
      <c r="J744" s="34">
        <f>Таблица1[[#This Row],[Блок
 Куб]]*Таблица1[[#This Row],[Цена 
Приход]]</f>
        <v>0</v>
      </c>
      <c r="K744" s="34"/>
      <c r="L744" s="34"/>
      <c r="M744" s="34">
        <f>Таблица1[[#This Row],[Поддон
Шт]]*Таблица1[[#This Row],[Цена
Поддон]]</f>
        <v>0</v>
      </c>
      <c r="N744" s="34">
        <f>Таблица1[[#This Row],[Сумма 
Приход]]+Таблица1[[#This Row],[Сумма Поддон]]</f>
        <v>0</v>
      </c>
      <c r="O744" s="34"/>
      <c r="P744" s="34">
        <f>Таблица1[[#This Row],[Блок
 Куб]]*Таблица1[[#This Row],[Цена
 Продажа]]</f>
        <v>0</v>
      </c>
      <c r="Q744" s="34"/>
      <c r="R744" s="34">
        <f>Таблица1[[#This Row],[Сумма 
Продажа]]-Таблица1[[#This Row],[Сумма 
Приход]]-Таблица1[[#This Row],[Авто услу ]]</f>
        <v>0</v>
      </c>
      <c r="S744" s="34"/>
      <c r="T744" s="34">
        <f>Таблица1[[#This Row],[Сумма 
Продажа]]-IF(Таблица1[[#This Row],[Расход 
Авто]]="Клиент",N(Таблица1[[#This Row],[Авто услу ]]),0)</f>
        <v>0</v>
      </c>
      <c r="U7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4" s="265" t="str">
        <f>IFERROR(INDEX(Мижозлар[Агент],MATCH($D744,Мижозлар[Расмий ном],0)),"")</f>
        <v/>
      </c>
    </row>
    <row r="745" spans="1:23" ht="14.25" x14ac:dyDescent="0.2">
      <c r="A745" s="21"/>
      <c r="B745" s="135"/>
      <c r="C745" s="141"/>
      <c r="D745" s="141"/>
      <c r="E745" s="136"/>
      <c r="F745" s="135"/>
      <c r="G745" s="34"/>
      <c r="H745" s="142"/>
      <c r="I745" s="34"/>
      <c r="J745" s="34">
        <f>Таблица1[[#This Row],[Блок
 Куб]]*Таблица1[[#This Row],[Цена 
Приход]]</f>
        <v>0</v>
      </c>
      <c r="K745" s="34"/>
      <c r="L745" s="34"/>
      <c r="M745" s="34">
        <f>Таблица1[[#This Row],[Поддон
Шт]]*Таблица1[[#This Row],[Цена
Поддон]]</f>
        <v>0</v>
      </c>
      <c r="N745" s="34">
        <f>Таблица1[[#This Row],[Сумма 
Приход]]+Таблица1[[#This Row],[Сумма Поддон]]</f>
        <v>0</v>
      </c>
      <c r="O745" s="34"/>
      <c r="P745" s="34">
        <f>Таблица1[[#This Row],[Блок
 Куб]]*Таблица1[[#This Row],[Цена
 Продажа]]</f>
        <v>0</v>
      </c>
      <c r="Q745" s="34"/>
      <c r="R745" s="34">
        <f>Таблица1[[#This Row],[Сумма 
Продажа]]-Таблица1[[#This Row],[Сумма 
Приход]]-Таблица1[[#This Row],[Авто услу ]]</f>
        <v>0</v>
      </c>
      <c r="S745" s="34"/>
      <c r="T745" s="34">
        <f>Таблица1[[#This Row],[Сумма 
Продажа]]-IF(Таблица1[[#This Row],[Расход 
Авто]]="Клиент",N(Таблица1[[#This Row],[Авто услу ]]),0)</f>
        <v>0</v>
      </c>
      <c r="U7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5" s="265" t="str">
        <f>IFERROR(INDEX(Мижозлар[Агент],MATCH($D745,Мижозлар[Расмий ном],0)),"")</f>
        <v/>
      </c>
    </row>
    <row r="746" spans="1:23" ht="14.25" x14ac:dyDescent="0.2">
      <c r="A746" s="21"/>
      <c r="B746" s="135"/>
      <c r="C746" s="141"/>
      <c r="D746" s="141"/>
      <c r="E746" s="136"/>
      <c r="F746" s="135"/>
      <c r="G746" s="34"/>
      <c r="H746" s="142"/>
      <c r="I746" s="34"/>
      <c r="J746" s="34">
        <f>Таблица1[[#This Row],[Блок
 Куб]]*Таблица1[[#This Row],[Цена 
Приход]]</f>
        <v>0</v>
      </c>
      <c r="K746" s="34"/>
      <c r="L746" s="34"/>
      <c r="M746" s="34">
        <f>Таблица1[[#This Row],[Поддон
Шт]]*Таблица1[[#This Row],[Цена
Поддон]]</f>
        <v>0</v>
      </c>
      <c r="N746" s="34">
        <f>Таблица1[[#This Row],[Сумма 
Приход]]+Таблица1[[#This Row],[Сумма Поддон]]</f>
        <v>0</v>
      </c>
      <c r="O746" s="34"/>
      <c r="P746" s="34">
        <f>Таблица1[[#This Row],[Блок
 Куб]]*Таблица1[[#This Row],[Цена
 Продажа]]</f>
        <v>0</v>
      </c>
      <c r="Q746" s="34"/>
      <c r="R746" s="34">
        <f>Таблица1[[#This Row],[Сумма 
Продажа]]-Таблица1[[#This Row],[Сумма 
Приход]]-Таблица1[[#This Row],[Авто услу ]]</f>
        <v>0</v>
      </c>
      <c r="S746" s="34"/>
      <c r="T746" s="34">
        <f>Таблица1[[#This Row],[Сумма 
Продажа]]-IF(Таблица1[[#This Row],[Расход 
Авто]]="Клиент",N(Таблица1[[#This Row],[Авто услу ]]),0)</f>
        <v>0</v>
      </c>
      <c r="U7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6" s="265" t="str">
        <f>IFERROR(INDEX(Мижозлар[Агент],MATCH($D746,Мижозлар[Расмий ном],0)),"")</f>
        <v/>
      </c>
    </row>
    <row r="747" spans="1:23" ht="14.25" x14ac:dyDescent="0.2">
      <c r="A747" s="21"/>
      <c r="B747" s="135"/>
      <c r="C747" s="141"/>
      <c r="D747" s="141"/>
      <c r="E747" s="136"/>
      <c r="F747" s="135"/>
      <c r="G747" s="34"/>
      <c r="H747" s="142"/>
      <c r="I747" s="34"/>
      <c r="J747" s="34">
        <f>Таблица1[[#This Row],[Блок
 Куб]]*Таблица1[[#This Row],[Цена 
Приход]]</f>
        <v>0</v>
      </c>
      <c r="K747" s="34"/>
      <c r="L747" s="34"/>
      <c r="M747" s="34">
        <f>Таблица1[[#This Row],[Поддон
Шт]]*Таблица1[[#This Row],[Цена
Поддон]]</f>
        <v>0</v>
      </c>
      <c r="N747" s="34">
        <f>Таблица1[[#This Row],[Сумма 
Приход]]+Таблица1[[#This Row],[Сумма Поддон]]</f>
        <v>0</v>
      </c>
      <c r="O747" s="34"/>
      <c r="P747" s="34">
        <f>Таблица1[[#This Row],[Блок
 Куб]]*Таблица1[[#This Row],[Цена
 Продажа]]</f>
        <v>0</v>
      </c>
      <c r="Q747" s="34"/>
      <c r="R747" s="34">
        <f>Таблица1[[#This Row],[Сумма 
Продажа]]-Таблица1[[#This Row],[Сумма 
Приход]]-Таблица1[[#This Row],[Авто услу ]]</f>
        <v>0</v>
      </c>
      <c r="S747" s="34"/>
      <c r="T747" s="34">
        <f>Таблица1[[#This Row],[Сумма 
Продажа]]-IF(Таблица1[[#This Row],[Расход 
Авто]]="Клиент",N(Таблица1[[#This Row],[Авто услу ]]),0)</f>
        <v>0</v>
      </c>
      <c r="U7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7" s="265" t="str">
        <f>IFERROR(INDEX(Мижозлар[Агент],MATCH($D747,Мижозлар[Расмий ном],0)),"")</f>
        <v/>
      </c>
    </row>
    <row r="748" spans="1:23" ht="14.25" x14ac:dyDescent="0.2">
      <c r="A748" s="21"/>
      <c r="B748" s="135"/>
      <c r="C748" s="141"/>
      <c r="D748" s="141"/>
      <c r="E748" s="136"/>
      <c r="F748" s="135"/>
      <c r="G748" s="34"/>
      <c r="H748" s="142"/>
      <c r="I748" s="34"/>
      <c r="J748" s="34">
        <f>Таблица1[[#This Row],[Блок
 Куб]]*Таблица1[[#This Row],[Цена 
Приход]]</f>
        <v>0</v>
      </c>
      <c r="K748" s="34"/>
      <c r="L748" s="34"/>
      <c r="M748" s="34">
        <f>Таблица1[[#This Row],[Поддон
Шт]]*Таблица1[[#This Row],[Цена
Поддон]]</f>
        <v>0</v>
      </c>
      <c r="N748" s="34">
        <f>Таблица1[[#This Row],[Сумма 
Приход]]+Таблица1[[#This Row],[Сумма Поддон]]</f>
        <v>0</v>
      </c>
      <c r="O748" s="34"/>
      <c r="P748" s="34">
        <f>Таблица1[[#This Row],[Блок
 Куб]]*Таблица1[[#This Row],[Цена
 Продажа]]</f>
        <v>0</v>
      </c>
      <c r="Q748" s="34"/>
      <c r="R748" s="34">
        <f>Таблица1[[#This Row],[Сумма 
Продажа]]-Таблица1[[#This Row],[Сумма 
Приход]]-Таблица1[[#This Row],[Авто услу ]]</f>
        <v>0</v>
      </c>
      <c r="S748" s="34"/>
      <c r="T748" s="34">
        <f>Таблица1[[#This Row],[Сумма 
Продажа]]-IF(Таблица1[[#This Row],[Расход 
Авто]]="Клиент",N(Таблица1[[#This Row],[Авто услу ]]),0)</f>
        <v>0</v>
      </c>
      <c r="U7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8" s="265" t="str">
        <f>IFERROR(INDEX(Мижозлар[Агент],MATCH($D748,Мижозлар[Расмий ном],0)),"")</f>
        <v/>
      </c>
    </row>
    <row r="749" spans="1:23" ht="14.25" x14ac:dyDescent="0.2">
      <c r="A749" s="21"/>
      <c r="B749" s="135"/>
      <c r="C749" s="141"/>
      <c r="D749" s="141"/>
      <c r="E749" s="136"/>
      <c r="F749" s="135"/>
      <c r="G749" s="34"/>
      <c r="H749" s="142"/>
      <c r="I749" s="34"/>
      <c r="J749" s="34">
        <f>Таблица1[[#This Row],[Блок
 Куб]]*Таблица1[[#This Row],[Цена 
Приход]]</f>
        <v>0</v>
      </c>
      <c r="K749" s="34"/>
      <c r="L749" s="34"/>
      <c r="M749" s="34">
        <f>Таблица1[[#This Row],[Поддон
Шт]]*Таблица1[[#This Row],[Цена
Поддон]]</f>
        <v>0</v>
      </c>
      <c r="N749" s="34">
        <f>Таблица1[[#This Row],[Сумма 
Приход]]+Таблица1[[#This Row],[Сумма Поддон]]</f>
        <v>0</v>
      </c>
      <c r="O749" s="34"/>
      <c r="P749" s="34">
        <f>Таблица1[[#This Row],[Блок
 Куб]]*Таблица1[[#This Row],[Цена
 Продажа]]</f>
        <v>0</v>
      </c>
      <c r="Q749" s="34"/>
      <c r="R749" s="34">
        <f>Таблица1[[#This Row],[Сумма 
Продажа]]-Таблица1[[#This Row],[Сумма 
Приход]]-Таблица1[[#This Row],[Авто услу ]]</f>
        <v>0</v>
      </c>
      <c r="S749" s="34"/>
      <c r="T749" s="34">
        <f>Таблица1[[#This Row],[Сумма 
Продажа]]-IF(Таблица1[[#This Row],[Расход 
Авто]]="Клиент",N(Таблица1[[#This Row],[Авто услу ]]),0)</f>
        <v>0</v>
      </c>
      <c r="U7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49" s="265" t="str">
        <f>IFERROR(INDEX(Мижозлар[Агент],MATCH($D749,Мижозлар[Расмий ном],0)),"")</f>
        <v/>
      </c>
    </row>
    <row r="750" spans="1:23" ht="14.25" x14ac:dyDescent="0.2">
      <c r="A750" s="21"/>
      <c r="B750" s="135"/>
      <c r="C750" s="141"/>
      <c r="D750" s="141"/>
      <c r="E750" s="136"/>
      <c r="F750" s="135"/>
      <c r="G750" s="34"/>
      <c r="H750" s="142"/>
      <c r="I750" s="34"/>
      <c r="J750" s="34">
        <f>Таблица1[[#This Row],[Блок
 Куб]]*Таблица1[[#This Row],[Цена 
Приход]]</f>
        <v>0</v>
      </c>
      <c r="K750" s="34"/>
      <c r="L750" s="34"/>
      <c r="M750" s="34">
        <f>Таблица1[[#This Row],[Поддон
Шт]]*Таблица1[[#This Row],[Цена
Поддон]]</f>
        <v>0</v>
      </c>
      <c r="N750" s="34">
        <f>Таблица1[[#This Row],[Сумма 
Приход]]+Таблица1[[#This Row],[Сумма Поддон]]</f>
        <v>0</v>
      </c>
      <c r="O750" s="34"/>
      <c r="P750" s="34">
        <f>Таблица1[[#This Row],[Блок
 Куб]]*Таблица1[[#This Row],[Цена
 Продажа]]</f>
        <v>0</v>
      </c>
      <c r="Q750" s="34"/>
      <c r="R750" s="34">
        <f>Таблица1[[#This Row],[Сумма 
Продажа]]-Таблица1[[#This Row],[Сумма 
Приход]]-Таблица1[[#This Row],[Авто услу ]]</f>
        <v>0</v>
      </c>
      <c r="S750" s="34"/>
      <c r="T750" s="34">
        <f>Таблица1[[#This Row],[Сумма 
Продажа]]-IF(Таблица1[[#This Row],[Расход 
Авто]]="Клиент",N(Таблица1[[#This Row],[Авто услу ]]),0)</f>
        <v>0</v>
      </c>
      <c r="U7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0" s="265" t="str">
        <f>IFERROR(INDEX(Мижозлар[Агент],MATCH($D750,Мижозлар[Расмий ном],0)),"")</f>
        <v/>
      </c>
    </row>
    <row r="751" spans="1:23" ht="14.25" x14ac:dyDescent="0.2">
      <c r="A751" s="21"/>
      <c r="B751" s="135"/>
      <c r="C751" s="141"/>
      <c r="D751" s="141"/>
      <c r="E751" s="136"/>
      <c r="F751" s="135"/>
      <c r="G751" s="34"/>
      <c r="H751" s="142"/>
      <c r="I751" s="34"/>
      <c r="J751" s="34">
        <f>Таблица1[[#This Row],[Блок
 Куб]]*Таблица1[[#This Row],[Цена 
Приход]]</f>
        <v>0</v>
      </c>
      <c r="K751" s="34"/>
      <c r="L751" s="34"/>
      <c r="M751" s="34">
        <f>Таблица1[[#This Row],[Поддон
Шт]]*Таблица1[[#This Row],[Цена
Поддон]]</f>
        <v>0</v>
      </c>
      <c r="N751" s="34">
        <f>Таблица1[[#This Row],[Сумма 
Приход]]+Таблица1[[#This Row],[Сумма Поддон]]</f>
        <v>0</v>
      </c>
      <c r="O751" s="34"/>
      <c r="P751" s="34">
        <f>Таблица1[[#This Row],[Блок
 Куб]]*Таблица1[[#This Row],[Цена
 Продажа]]</f>
        <v>0</v>
      </c>
      <c r="Q751" s="34"/>
      <c r="R751" s="34">
        <f>Таблица1[[#This Row],[Сумма 
Продажа]]-Таблица1[[#This Row],[Сумма 
Приход]]-Таблица1[[#This Row],[Авто услу ]]</f>
        <v>0</v>
      </c>
      <c r="S751" s="34"/>
      <c r="T751" s="34">
        <f>Таблица1[[#This Row],[Сумма 
Продажа]]-IF(Таблица1[[#This Row],[Расход 
Авто]]="Клиент",N(Таблица1[[#This Row],[Авто услу ]]),0)</f>
        <v>0</v>
      </c>
      <c r="U7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1" s="265" t="str">
        <f>IFERROR(INDEX(Мижозлар[Агент],MATCH($D751,Мижозлар[Расмий ном],0)),"")</f>
        <v/>
      </c>
    </row>
    <row r="752" spans="1:23" ht="14.25" x14ac:dyDescent="0.2">
      <c r="A752" s="21"/>
      <c r="B752" s="135"/>
      <c r="C752" s="141"/>
      <c r="D752" s="141"/>
      <c r="E752" s="136"/>
      <c r="F752" s="135"/>
      <c r="G752" s="34"/>
      <c r="H752" s="142"/>
      <c r="I752" s="34"/>
      <c r="J752" s="34">
        <f>Таблица1[[#This Row],[Блок
 Куб]]*Таблица1[[#This Row],[Цена 
Приход]]</f>
        <v>0</v>
      </c>
      <c r="K752" s="34"/>
      <c r="L752" s="34"/>
      <c r="M752" s="34">
        <f>Таблица1[[#This Row],[Поддон
Шт]]*Таблица1[[#This Row],[Цена
Поддон]]</f>
        <v>0</v>
      </c>
      <c r="N752" s="34">
        <f>Таблица1[[#This Row],[Сумма 
Приход]]+Таблица1[[#This Row],[Сумма Поддон]]</f>
        <v>0</v>
      </c>
      <c r="O752" s="34"/>
      <c r="P752" s="34">
        <f>Таблица1[[#This Row],[Блок
 Куб]]*Таблица1[[#This Row],[Цена
 Продажа]]</f>
        <v>0</v>
      </c>
      <c r="Q752" s="34"/>
      <c r="R752" s="34">
        <f>Таблица1[[#This Row],[Сумма 
Продажа]]-Таблица1[[#This Row],[Сумма 
Приход]]-Таблица1[[#This Row],[Авто услу ]]</f>
        <v>0</v>
      </c>
      <c r="S752" s="34"/>
      <c r="T752" s="34">
        <f>Таблица1[[#This Row],[Сумма 
Продажа]]-IF(Таблица1[[#This Row],[Расход 
Авто]]="Клиент",N(Таблица1[[#This Row],[Авто услу ]]),0)</f>
        <v>0</v>
      </c>
      <c r="U7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2" s="265" t="str">
        <f>IFERROR(INDEX(Мижозлар[Агент],MATCH($D752,Мижозлар[Расмий ном],0)),"")</f>
        <v/>
      </c>
    </row>
    <row r="753" spans="1:23" ht="14.25" x14ac:dyDescent="0.2">
      <c r="A753" s="21"/>
      <c r="B753" s="135"/>
      <c r="C753" s="141"/>
      <c r="D753" s="141"/>
      <c r="E753" s="136"/>
      <c r="F753" s="135"/>
      <c r="G753" s="34"/>
      <c r="H753" s="142"/>
      <c r="I753" s="34"/>
      <c r="J753" s="34">
        <f>Таблица1[[#This Row],[Блок
 Куб]]*Таблица1[[#This Row],[Цена 
Приход]]</f>
        <v>0</v>
      </c>
      <c r="K753" s="34"/>
      <c r="L753" s="34"/>
      <c r="M753" s="34">
        <f>Таблица1[[#This Row],[Поддон
Шт]]*Таблица1[[#This Row],[Цена
Поддон]]</f>
        <v>0</v>
      </c>
      <c r="N753" s="34">
        <f>Таблица1[[#This Row],[Сумма 
Приход]]+Таблица1[[#This Row],[Сумма Поддон]]</f>
        <v>0</v>
      </c>
      <c r="O753" s="34"/>
      <c r="P753" s="34">
        <f>Таблица1[[#This Row],[Блок
 Куб]]*Таблица1[[#This Row],[Цена
 Продажа]]</f>
        <v>0</v>
      </c>
      <c r="Q753" s="34"/>
      <c r="R753" s="34">
        <f>Таблица1[[#This Row],[Сумма 
Продажа]]-Таблица1[[#This Row],[Сумма 
Приход]]-Таблица1[[#This Row],[Авто услу ]]</f>
        <v>0</v>
      </c>
      <c r="S753" s="34"/>
      <c r="T753" s="34">
        <f>Таблица1[[#This Row],[Сумма 
Продажа]]-IF(Таблица1[[#This Row],[Расход 
Авто]]="Клиент",N(Таблица1[[#This Row],[Авто услу ]]),0)</f>
        <v>0</v>
      </c>
      <c r="U7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3" s="265" t="str">
        <f>IFERROR(INDEX(Мижозлар[Агент],MATCH($D753,Мижозлар[Расмий ном],0)),"")</f>
        <v/>
      </c>
    </row>
    <row r="754" spans="1:23" ht="14.25" x14ac:dyDescent="0.2">
      <c r="A754" s="21"/>
      <c r="B754" s="135"/>
      <c r="C754" s="141"/>
      <c r="D754" s="141"/>
      <c r="E754" s="136"/>
      <c r="F754" s="135"/>
      <c r="G754" s="34"/>
      <c r="H754" s="142"/>
      <c r="I754" s="34"/>
      <c r="J754" s="34">
        <f>Таблица1[[#This Row],[Блок
 Куб]]*Таблица1[[#This Row],[Цена 
Приход]]</f>
        <v>0</v>
      </c>
      <c r="K754" s="34"/>
      <c r="L754" s="34"/>
      <c r="M754" s="34">
        <f>Таблица1[[#This Row],[Поддон
Шт]]*Таблица1[[#This Row],[Цена
Поддон]]</f>
        <v>0</v>
      </c>
      <c r="N754" s="34">
        <f>Таблица1[[#This Row],[Сумма 
Приход]]+Таблица1[[#This Row],[Сумма Поддон]]</f>
        <v>0</v>
      </c>
      <c r="O754" s="34"/>
      <c r="P754" s="34">
        <f>Таблица1[[#This Row],[Блок
 Куб]]*Таблица1[[#This Row],[Цена
 Продажа]]</f>
        <v>0</v>
      </c>
      <c r="Q754" s="34"/>
      <c r="R754" s="34">
        <f>Таблица1[[#This Row],[Сумма 
Продажа]]-Таблица1[[#This Row],[Сумма 
Приход]]-Таблица1[[#This Row],[Авто услу ]]</f>
        <v>0</v>
      </c>
      <c r="S754" s="34"/>
      <c r="T754" s="34">
        <f>Таблица1[[#This Row],[Сумма 
Продажа]]-IF(Таблица1[[#This Row],[Расход 
Авто]]="Клиент",N(Таблица1[[#This Row],[Авто услу ]]),0)</f>
        <v>0</v>
      </c>
      <c r="U7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4" s="265" t="str">
        <f>IFERROR(INDEX(Мижозлар[Агент],MATCH($D754,Мижозлар[Расмий ном],0)),"")</f>
        <v/>
      </c>
    </row>
    <row r="755" spans="1:23" ht="14.25" x14ac:dyDescent="0.2">
      <c r="A755" s="21"/>
      <c r="B755" s="135"/>
      <c r="C755" s="141"/>
      <c r="D755" s="141"/>
      <c r="E755" s="136"/>
      <c r="F755" s="135"/>
      <c r="G755" s="34"/>
      <c r="H755" s="142"/>
      <c r="I755" s="34"/>
      <c r="J755" s="34">
        <f>Таблица1[[#This Row],[Блок
 Куб]]*Таблица1[[#This Row],[Цена 
Приход]]</f>
        <v>0</v>
      </c>
      <c r="K755" s="34"/>
      <c r="L755" s="34"/>
      <c r="M755" s="34">
        <f>Таблица1[[#This Row],[Поддон
Шт]]*Таблица1[[#This Row],[Цена
Поддон]]</f>
        <v>0</v>
      </c>
      <c r="N755" s="34">
        <f>Таблица1[[#This Row],[Сумма 
Приход]]+Таблица1[[#This Row],[Сумма Поддон]]</f>
        <v>0</v>
      </c>
      <c r="O755" s="34"/>
      <c r="P755" s="34">
        <f>Таблица1[[#This Row],[Блок
 Куб]]*Таблица1[[#This Row],[Цена
 Продажа]]</f>
        <v>0</v>
      </c>
      <c r="Q755" s="34"/>
      <c r="R755" s="34">
        <f>Таблица1[[#This Row],[Сумма 
Продажа]]-Таблица1[[#This Row],[Сумма 
Приход]]-Таблица1[[#This Row],[Авто услу ]]</f>
        <v>0</v>
      </c>
      <c r="S755" s="34"/>
      <c r="T755" s="34">
        <f>Таблица1[[#This Row],[Сумма 
Продажа]]-IF(Таблица1[[#This Row],[Расход 
Авто]]="Клиент",N(Таблица1[[#This Row],[Авто услу ]]),0)</f>
        <v>0</v>
      </c>
      <c r="U7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5" s="265" t="str">
        <f>IFERROR(INDEX(Мижозлар[Агент],MATCH($D755,Мижозлар[Расмий ном],0)),"")</f>
        <v/>
      </c>
    </row>
    <row r="756" spans="1:23" ht="14.25" x14ac:dyDescent="0.2">
      <c r="A756" s="21"/>
      <c r="B756" s="135"/>
      <c r="C756" s="141"/>
      <c r="D756" s="141"/>
      <c r="E756" s="136"/>
      <c r="F756" s="135"/>
      <c r="G756" s="34"/>
      <c r="H756" s="142"/>
      <c r="I756" s="34"/>
      <c r="J756" s="34">
        <f>Таблица1[[#This Row],[Блок
 Куб]]*Таблица1[[#This Row],[Цена 
Приход]]</f>
        <v>0</v>
      </c>
      <c r="K756" s="34"/>
      <c r="L756" s="34"/>
      <c r="M756" s="34">
        <f>Таблица1[[#This Row],[Поддон
Шт]]*Таблица1[[#This Row],[Цена
Поддон]]</f>
        <v>0</v>
      </c>
      <c r="N756" s="34">
        <f>Таблица1[[#This Row],[Сумма 
Приход]]+Таблица1[[#This Row],[Сумма Поддон]]</f>
        <v>0</v>
      </c>
      <c r="O756" s="34"/>
      <c r="P756" s="34">
        <f>Таблица1[[#This Row],[Блок
 Куб]]*Таблица1[[#This Row],[Цена
 Продажа]]</f>
        <v>0</v>
      </c>
      <c r="Q756" s="34"/>
      <c r="R756" s="34">
        <f>Таблица1[[#This Row],[Сумма 
Продажа]]-Таблица1[[#This Row],[Сумма 
Приход]]-Таблица1[[#This Row],[Авто услу ]]</f>
        <v>0</v>
      </c>
      <c r="S756" s="34"/>
      <c r="T756" s="34">
        <f>Таблица1[[#This Row],[Сумма 
Продажа]]-IF(Таблица1[[#This Row],[Расход 
Авто]]="Клиент",N(Таблица1[[#This Row],[Авто услу ]]),0)</f>
        <v>0</v>
      </c>
      <c r="U7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6" s="265" t="str">
        <f>IFERROR(INDEX(Мижозлар[Агент],MATCH($D756,Мижозлар[Расмий ном],0)),"")</f>
        <v/>
      </c>
    </row>
    <row r="757" spans="1:23" ht="14.25" x14ac:dyDescent="0.2">
      <c r="A757" s="21"/>
      <c r="B757" s="135"/>
      <c r="C757" s="141"/>
      <c r="D757" s="141"/>
      <c r="E757" s="136"/>
      <c r="F757" s="135"/>
      <c r="G757" s="34"/>
      <c r="H757" s="142"/>
      <c r="I757" s="34"/>
      <c r="J757" s="34">
        <f>Таблица1[[#This Row],[Блок
 Куб]]*Таблица1[[#This Row],[Цена 
Приход]]</f>
        <v>0</v>
      </c>
      <c r="K757" s="34"/>
      <c r="L757" s="34"/>
      <c r="M757" s="34">
        <f>Таблица1[[#This Row],[Поддон
Шт]]*Таблица1[[#This Row],[Цена
Поддон]]</f>
        <v>0</v>
      </c>
      <c r="N757" s="34">
        <f>Таблица1[[#This Row],[Сумма 
Приход]]+Таблица1[[#This Row],[Сумма Поддон]]</f>
        <v>0</v>
      </c>
      <c r="O757" s="34"/>
      <c r="P757" s="34">
        <f>Таблица1[[#This Row],[Блок
 Куб]]*Таблица1[[#This Row],[Цена
 Продажа]]</f>
        <v>0</v>
      </c>
      <c r="Q757" s="34"/>
      <c r="R757" s="34">
        <f>Таблица1[[#This Row],[Сумма 
Продажа]]-Таблица1[[#This Row],[Сумма 
Приход]]-Таблица1[[#This Row],[Авто услу ]]</f>
        <v>0</v>
      </c>
      <c r="S757" s="34"/>
      <c r="T757" s="34">
        <f>Таблица1[[#This Row],[Сумма 
Продажа]]-IF(Таблица1[[#This Row],[Расход 
Авто]]="Клиент",N(Таблица1[[#This Row],[Авто услу ]]),0)</f>
        <v>0</v>
      </c>
      <c r="U7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7" s="265" t="str">
        <f>IFERROR(INDEX(Мижозлар[Агент],MATCH($D757,Мижозлар[Расмий ном],0)),"")</f>
        <v/>
      </c>
    </row>
    <row r="758" spans="1:23" ht="14.25" x14ac:dyDescent="0.2">
      <c r="A758" s="21"/>
      <c r="B758" s="135"/>
      <c r="C758" s="141"/>
      <c r="D758" s="141"/>
      <c r="E758" s="136"/>
      <c r="F758" s="135"/>
      <c r="G758" s="34"/>
      <c r="H758" s="142"/>
      <c r="I758" s="34"/>
      <c r="J758" s="34">
        <f>Таблица1[[#This Row],[Блок
 Куб]]*Таблица1[[#This Row],[Цена 
Приход]]</f>
        <v>0</v>
      </c>
      <c r="K758" s="34"/>
      <c r="L758" s="34"/>
      <c r="M758" s="34">
        <f>Таблица1[[#This Row],[Поддон
Шт]]*Таблица1[[#This Row],[Цена
Поддон]]</f>
        <v>0</v>
      </c>
      <c r="N758" s="34">
        <f>Таблица1[[#This Row],[Сумма 
Приход]]+Таблица1[[#This Row],[Сумма Поддон]]</f>
        <v>0</v>
      </c>
      <c r="O758" s="34"/>
      <c r="P758" s="34">
        <f>Таблица1[[#This Row],[Блок
 Куб]]*Таблица1[[#This Row],[Цена
 Продажа]]</f>
        <v>0</v>
      </c>
      <c r="Q758" s="34"/>
      <c r="R758" s="34">
        <f>Таблица1[[#This Row],[Сумма 
Продажа]]-Таблица1[[#This Row],[Сумма 
Приход]]-Таблица1[[#This Row],[Авто услу ]]</f>
        <v>0</v>
      </c>
      <c r="S758" s="34"/>
      <c r="T758" s="34">
        <f>Таблица1[[#This Row],[Сумма 
Продажа]]-IF(Таблица1[[#This Row],[Расход 
Авто]]="Клиент",N(Таблица1[[#This Row],[Авто услу ]]),0)</f>
        <v>0</v>
      </c>
      <c r="U7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8" s="265" t="str">
        <f>IFERROR(INDEX(Мижозлар[Агент],MATCH($D758,Мижозлар[Расмий ном],0)),"")</f>
        <v/>
      </c>
    </row>
    <row r="759" spans="1:23" ht="14.25" x14ac:dyDescent="0.2">
      <c r="A759" s="21"/>
      <c r="B759" s="135"/>
      <c r="C759" s="141"/>
      <c r="D759" s="141"/>
      <c r="E759" s="136"/>
      <c r="F759" s="135"/>
      <c r="G759" s="34"/>
      <c r="H759" s="142"/>
      <c r="I759" s="34"/>
      <c r="J759" s="34">
        <f>Таблица1[[#This Row],[Блок
 Куб]]*Таблица1[[#This Row],[Цена 
Приход]]</f>
        <v>0</v>
      </c>
      <c r="K759" s="34"/>
      <c r="L759" s="34"/>
      <c r="M759" s="34">
        <f>Таблица1[[#This Row],[Поддон
Шт]]*Таблица1[[#This Row],[Цена
Поддон]]</f>
        <v>0</v>
      </c>
      <c r="N759" s="34">
        <f>Таблица1[[#This Row],[Сумма 
Приход]]+Таблица1[[#This Row],[Сумма Поддон]]</f>
        <v>0</v>
      </c>
      <c r="O759" s="34"/>
      <c r="P759" s="34">
        <f>Таблица1[[#This Row],[Блок
 Куб]]*Таблица1[[#This Row],[Цена
 Продажа]]</f>
        <v>0</v>
      </c>
      <c r="Q759" s="34"/>
      <c r="R759" s="34">
        <f>Таблица1[[#This Row],[Сумма 
Продажа]]-Таблица1[[#This Row],[Сумма 
Приход]]-Таблица1[[#This Row],[Авто услу ]]</f>
        <v>0</v>
      </c>
      <c r="S759" s="34"/>
      <c r="T759" s="34">
        <f>Таблица1[[#This Row],[Сумма 
Продажа]]-IF(Таблица1[[#This Row],[Расход 
Авто]]="Клиент",N(Таблица1[[#This Row],[Авто услу ]]),0)</f>
        <v>0</v>
      </c>
      <c r="U7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59" s="265" t="str">
        <f>IFERROR(INDEX(Мижозлар[Агент],MATCH($D759,Мижозлар[Расмий ном],0)),"")</f>
        <v/>
      </c>
    </row>
    <row r="760" spans="1:23" ht="14.25" x14ac:dyDescent="0.2">
      <c r="A760" s="21"/>
      <c r="B760" s="135"/>
      <c r="C760" s="141"/>
      <c r="D760" s="141"/>
      <c r="E760" s="136"/>
      <c r="F760" s="135"/>
      <c r="G760" s="34"/>
      <c r="H760" s="142"/>
      <c r="I760" s="34"/>
      <c r="J760" s="34">
        <f>Таблица1[[#This Row],[Блок
 Куб]]*Таблица1[[#This Row],[Цена 
Приход]]</f>
        <v>0</v>
      </c>
      <c r="K760" s="34"/>
      <c r="L760" s="34"/>
      <c r="M760" s="34">
        <f>Таблица1[[#This Row],[Поддон
Шт]]*Таблица1[[#This Row],[Цена
Поддон]]</f>
        <v>0</v>
      </c>
      <c r="N760" s="34">
        <f>Таблица1[[#This Row],[Сумма 
Приход]]+Таблица1[[#This Row],[Сумма Поддон]]</f>
        <v>0</v>
      </c>
      <c r="O760" s="34"/>
      <c r="P760" s="34">
        <f>Таблица1[[#This Row],[Блок
 Куб]]*Таблица1[[#This Row],[Цена
 Продажа]]</f>
        <v>0</v>
      </c>
      <c r="Q760" s="34"/>
      <c r="R760" s="34">
        <f>Таблица1[[#This Row],[Сумма 
Продажа]]-Таблица1[[#This Row],[Сумма 
Приход]]-Таблица1[[#This Row],[Авто услу ]]</f>
        <v>0</v>
      </c>
      <c r="S760" s="34"/>
      <c r="T760" s="34">
        <f>Таблица1[[#This Row],[Сумма 
Продажа]]-IF(Таблица1[[#This Row],[Расход 
Авто]]="Клиент",N(Таблица1[[#This Row],[Авто услу ]]),0)</f>
        <v>0</v>
      </c>
      <c r="U7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0" s="265" t="str">
        <f>IFERROR(INDEX(Мижозлар[Агент],MATCH($D760,Мижозлар[Расмий ном],0)),"")</f>
        <v/>
      </c>
    </row>
    <row r="761" spans="1:23" ht="14.25" x14ac:dyDescent="0.2">
      <c r="A761" s="21"/>
      <c r="B761" s="135"/>
      <c r="C761" s="141"/>
      <c r="D761" s="141"/>
      <c r="E761" s="136"/>
      <c r="F761" s="135"/>
      <c r="G761" s="34"/>
      <c r="H761" s="142"/>
      <c r="I761" s="34"/>
      <c r="J761" s="34">
        <f>Таблица1[[#This Row],[Блок
 Куб]]*Таблица1[[#This Row],[Цена 
Приход]]</f>
        <v>0</v>
      </c>
      <c r="K761" s="34"/>
      <c r="L761" s="34"/>
      <c r="M761" s="34">
        <f>Таблица1[[#This Row],[Поддон
Шт]]*Таблица1[[#This Row],[Цена
Поддон]]</f>
        <v>0</v>
      </c>
      <c r="N761" s="34">
        <f>Таблица1[[#This Row],[Сумма 
Приход]]+Таблица1[[#This Row],[Сумма Поддон]]</f>
        <v>0</v>
      </c>
      <c r="O761" s="34"/>
      <c r="P761" s="34">
        <f>Таблица1[[#This Row],[Блок
 Куб]]*Таблица1[[#This Row],[Цена
 Продажа]]</f>
        <v>0</v>
      </c>
      <c r="Q761" s="34"/>
      <c r="R761" s="34">
        <f>Таблица1[[#This Row],[Сумма 
Продажа]]-Таблица1[[#This Row],[Сумма 
Приход]]-Таблица1[[#This Row],[Авто услу ]]</f>
        <v>0</v>
      </c>
      <c r="S761" s="34"/>
      <c r="T761" s="34">
        <f>Таблица1[[#This Row],[Сумма 
Продажа]]-IF(Таблица1[[#This Row],[Расход 
Авто]]="Клиент",N(Таблица1[[#This Row],[Авто услу ]]),0)</f>
        <v>0</v>
      </c>
      <c r="U7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1" s="265" t="str">
        <f>IFERROR(INDEX(Мижозлар[Агент],MATCH($D761,Мижозлар[Расмий ном],0)),"")</f>
        <v/>
      </c>
    </row>
    <row r="762" spans="1:23" ht="14.25" x14ac:dyDescent="0.2">
      <c r="A762" s="21"/>
      <c r="B762" s="135"/>
      <c r="C762" s="141"/>
      <c r="D762" s="141"/>
      <c r="E762" s="136"/>
      <c r="F762" s="135"/>
      <c r="G762" s="34"/>
      <c r="H762" s="142"/>
      <c r="I762" s="34"/>
      <c r="J762" s="34">
        <f>Таблица1[[#This Row],[Блок
 Куб]]*Таблица1[[#This Row],[Цена 
Приход]]</f>
        <v>0</v>
      </c>
      <c r="K762" s="34"/>
      <c r="L762" s="34"/>
      <c r="M762" s="34">
        <f>Таблица1[[#This Row],[Поддон
Шт]]*Таблица1[[#This Row],[Цена
Поддон]]</f>
        <v>0</v>
      </c>
      <c r="N762" s="34">
        <f>Таблица1[[#This Row],[Сумма 
Приход]]+Таблица1[[#This Row],[Сумма Поддон]]</f>
        <v>0</v>
      </c>
      <c r="O762" s="34"/>
      <c r="P762" s="34">
        <f>Таблица1[[#This Row],[Блок
 Куб]]*Таблица1[[#This Row],[Цена
 Продажа]]</f>
        <v>0</v>
      </c>
      <c r="Q762" s="34"/>
      <c r="R762" s="34">
        <f>Таблица1[[#This Row],[Сумма 
Продажа]]-Таблица1[[#This Row],[Сумма 
Приход]]-Таблица1[[#This Row],[Авто услу ]]</f>
        <v>0</v>
      </c>
      <c r="S762" s="34"/>
      <c r="T762" s="34">
        <f>Таблица1[[#This Row],[Сумма 
Продажа]]-IF(Таблица1[[#This Row],[Расход 
Авто]]="Клиент",N(Таблица1[[#This Row],[Авто услу ]]),0)</f>
        <v>0</v>
      </c>
      <c r="U7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2" s="265" t="str">
        <f>IFERROR(INDEX(Мижозлар[Агент],MATCH($D762,Мижозлар[Расмий ном],0)),"")</f>
        <v/>
      </c>
    </row>
    <row r="763" spans="1:23" ht="14.25" x14ac:dyDescent="0.2">
      <c r="A763" s="21"/>
      <c r="B763" s="135"/>
      <c r="C763" s="141"/>
      <c r="D763" s="141"/>
      <c r="E763" s="136"/>
      <c r="F763" s="135"/>
      <c r="G763" s="34"/>
      <c r="H763" s="142"/>
      <c r="I763" s="34"/>
      <c r="J763" s="34">
        <f>Таблица1[[#This Row],[Блок
 Куб]]*Таблица1[[#This Row],[Цена 
Приход]]</f>
        <v>0</v>
      </c>
      <c r="K763" s="34"/>
      <c r="L763" s="34"/>
      <c r="M763" s="34">
        <f>Таблица1[[#This Row],[Поддон
Шт]]*Таблица1[[#This Row],[Цена
Поддон]]</f>
        <v>0</v>
      </c>
      <c r="N763" s="34">
        <f>Таблица1[[#This Row],[Сумма 
Приход]]+Таблица1[[#This Row],[Сумма Поддон]]</f>
        <v>0</v>
      </c>
      <c r="O763" s="34"/>
      <c r="P763" s="34">
        <f>Таблица1[[#This Row],[Блок
 Куб]]*Таблица1[[#This Row],[Цена
 Продажа]]</f>
        <v>0</v>
      </c>
      <c r="Q763" s="34"/>
      <c r="R763" s="34">
        <f>Таблица1[[#This Row],[Сумма 
Продажа]]-Таблица1[[#This Row],[Сумма 
Приход]]-Таблица1[[#This Row],[Авто услу ]]</f>
        <v>0</v>
      </c>
      <c r="S763" s="34"/>
      <c r="T763" s="34">
        <f>Таблица1[[#This Row],[Сумма 
Продажа]]-IF(Таблица1[[#This Row],[Расход 
Авто]]="Клиент",N(Таблица1[[#This Row],[Авто услу ]]),0)</f>
        <v>0</v>
      </c>
      <c r="U7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3" s="265" t="str">
        <f>IFERROR(INDEX(Мижозлар[Агент],MATCH($D763,Мижозлар[Расмий ном],0)),"")</f>
        <v/>
      </c>
    </row>
    <row r="764" spans="1:23" ht="14.25" x14ac:dyDescent="0.2">
      <c r="A764" s="21"/>
      <c r="B764" s="135"/>
      <c r="C764" s="141"/>
      <c r="D764" s="141"/>
      <c r="E764" s="136"/>
      <c r="F764" s="135"/>
      <c r="G764" s="34"/>
      <c r="H764" s="142"/>
      <c r="I764" s="34"/>
      <c r="J764" s="34">
        <f>Таблица1[[#This Row],[Блок
 Куб]]*Таблица1[[#This Row],[Цена 
Приход]]</f>
        <v>0</v>
      </c>
      <c r="K764" s="34"/>
      <c r="L764" s="34"/>
      <c r="M764" s="34">
        <f>Таблица1[[#This Row],[Поддон
Шт]]*Таблица1[[#This Row],[Цена
Поддон]]</f>
        <v>0</v>
      </c>
      <c r="N764" s="34">
        <f>Таблица1[[#This Row],[Сумма 
Приход]]+Таблица1[[#This Row],[Сумма Поддон]]</f>
        <v>0</v>
      </c>
      <c r="O764" s="34"/>
      <c r="P764" s="34">
        <f>Таблица1[[#This Row],[Блок
 Куб]]*Таблица1[[#This Row],[Цена
 Продажа]]</f>
        <v>0</v>
      </c>
      <c r="Q764" s="34"/>
      <c r="R764" s="34">
        <f>Таблица1[[#This Row],[Сумма 
Продажа]]-Таблица1[[#This Row],[Сумма 
Приход]]-Таблица1[[#This Row],[Авто услу ]]</f>
        <v>0</v>
      </c>
      <c r="S764" s="34"/>
      <c r="T764" s="34">
        <f>Таблица1[[#This Row],[Сумма 
Продажа]]-IF(Таблица1[[#This Row],[Расход 
Авто]]="Клиент",N(Таблица1[[#This Row],[Авто услу ]]),0)</f>
        <v>0</v>
      </c>
      <c r="U7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4" s="265" t="str">
        <f>IFERROR(INDEX(Мижозлар[Агент],MATCH($D764,Мижозлар[Расмий ном],0)),"")</f>
        <v/>
      </c>
    </row>
    <row r="765" spans="1:23" ht="14.25" x14ac:dyDescent="0.2">
      <c r="A765" s="21"/>
      <c r="B765" s="135"/>
      <c r="C765" s="141"/>
      <c r="D765" s="141"/>
      <c r="E765" s="136"/>
      <c r="F765" s="135"/>
      <c r="G765" s="34"/>
      <c r="H765" s="142"/>
      <c r="I765" s="34"/>
      <c r="J765" s="34">
        <f>Таблица1[[#This Row],[Блок
 Куб]]*Таблица1[[#This Row],[Цена 
Приход]]</f>
        <v>0</v>
      </c>
      <c r="K765" s="34"/>
      <c r="L765" s="34"/>
      <c r="M765" s="34">
        <f>Таблица1[[#This Row],[Поддон
Шт]]*Таблица1[[#This Row],[Цена
Поддон]]</f>
        <v>0</v>
      </c>
      <c r="N765" s="34">
        <f>Таблица1[[#This Row],[Сумма 
Приход]]+Таблица1[[#This Row],[Сумма Поддон]]</f>
        <v>0</v>
      </c>
      <c r="O765" s="34"/>
      <c r="P765" s="34">
        <f>Таблица1[[#This Row],[Блок
 Куб]]*Таблица1[[#This Row],[Цена
 Продажа]]</f>
        <v>0</v>
      </c>
      <c r="Q765" s="34"/>
      <c r="R765" s="34">
        <f>Таблица1[[#This Row],[Сумма 
Продажа]]-Таблица1[[#This Row],[Сумма 
Приход]]-Таблица1[[#This Row],[Авто услу ]]</f>
        <v>0</v>
      </c>
      <c r="S765" s="34"/>
      <c r="T765" s="34">
        <f>Таблица1[[#This Row],[Сумма 
Продажа]]-IF(Таблица1[[#This Row],[Расход 
Авто]]="Клиент",N(Таблица1[[#This Row],[Авто услу ]]),0)</f>
        <v>0</v>
      </c>
      <c r="U7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5" s="265" t="str">
        <f>IFERROR(INDEX(Мижозлар[Агент],MATCH($D765,Мижозлар[Расмий ном],0)),"")</f>
        <v/>
      </c>
    </row>
    <row r="766" spans="1:23" ht="14.25" x14ac:dyDescent="0.2">
      <c r="A766" s="21"/>
      <c r="B766" s="135"/>
      <c r="C766" s="141"/>
      <c r="D766" s="141"/>
      <c r="E766" s="136"/>
      <c r="F766" s="135"/>
      <c r="G766" s="34"/>
      <c r="H766" s="142"/>
      <c r="I766" s="34"/>
      <c r="J766" s="34">
        <f>Таблица1[[#This Row],[Блок
 Куб]]*Таблица1[[#This Row],[Цена 
Приход]]</f>
        <v>0</v>
      </c>
      <c r="K766" s="34"/>
      <c r="L766" s="34"/>
      <c r="M766" s="34">
        <f>Таблица1[[#This Row],[Поддон
Шт]]*Таблица1[[#This Row],[Цена
Поддон]]</f>
        <v>0</v>
      </c>
      <c r="N766" s="34">
        <f>Таблица1[[#This Row],[Сумма 
Приход]]+Таблица1[[#This Row],[Сумма Поддон]]</f>
        <v>0</v>
      </c>
      <c r="O766" s="34"/>
      <c r="P766" s="34">
        <f>Таблица1[[#This Row],[Блок
 Куб]]*Таблица1[[#This Row],[Цена
 Продажа]]</f>
        <v>0</v>
      </c>
      <c r="Q766" s="34"/>
      <c r="R766" s="34">
        <f>Таблица1[[#This Row],[Сумма 
Продажа]]-Таблица1[[#This Row],[Сумма 
Приход]]-Таблица1[[#This Row],[Авто услу ]]</f>
        <v>0</v>
      </c>
      <c r="S766" s="34"/>
      <c r="T766" s="34">
        <f>Таблица1[[#This Row],[Сумма 
Продажа]]-IF(Таблица1[[#This Row],[Расход 
Авто]]="Клиент",N(Таблица1[[#This Row],[Авто услу ]]),0)</f>
        <v>0</v>
      </c>
      <c r="U7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6" s="265" t="str">
        <f>IFERROR(INDEX(Мижозлар[Агент],MATCH($D766,Мижозлар[Расмий ном],0)),"")</f>
        <v/>
      </c>
    </row>
    <row r="767" spans="1:23" ht="14.25" x14ac:dyDescent="0.2">
      <c r="A767" s="21"/>
      <c r="B767" s="135"/>
      <c r="C767" s="141"/>
      <c r="D767" s="141"/>
      <c r="E767" s="136"/>
      <c r="F767" s="135"/>
      <c r="G767" s="34"/>
      <c r="H767" s="142"/>
      <c r="I767" s="34"/>
      <c r="J767" s="34">
        <f>Таблица1[[#This Row],[Блок
 Куб]]*Таблица1[[#This Row],[Цена 
Приход]]</f>
        <v>0</v>
      </c>
      <c r="K767" s="34"/>
      <c r="L767" s="34"/>
      <c r="M767" s="34">
        <f>Таблица1[[#This Row],[Поддон
Шт]]*Таблица1[[#This Row],[Цена
Поддон]]</f>
        <v>0</v>
      </c>
      <c r="N767" s="34">
        <f>Таблица1[[#This Row],[Сумма 
Приход]]+Таблица1[[#This Row],[Сумма Поддон]]</f>
        <v>0</v>
      </c>
      <c r="O767" s="34"/>
      <c r="P767" s="34">
        <f>Таблица1[[#This Row],[Блок
 Куб]]*Таблица1[[#This Row],[Цена
 Продажа]]</f>
        <v>0</v>
      </c>
      <c r="Q767" s="34"/>
      <c r="R767" s="34">
        <f>Таблица1[[#This Row],[Сумма 
Продажа]]-Таблица1[[#This Row],[Сумма 
Приход]]-Таблица1[[#This Row],[Авто услу ]]</f>
        <v>0</v>
      </c>
      <c r="S767" s="34"/>
      <c r="T767" s="34">
        <f>Таблица1[[#This Row],[Сумма 
Продажа]]-IF(Таблица1[[#This Row],[Расход 
Авто]]="Клиент",N(Таблица1[[#This Row],[Авто услу ]]),0)</f>
        <v>0</v>
      </c>
      <c r="U7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7" s="265" t="str">
        <f>IFERROR(INDEX(Мижозлар[Агент],MATCH($D767,Мижозлар[Расмий ном],0)),"")</f>
        <v/>
      </c>
    </row>
    <row r="768" spans="1:23" ht="14.25" x14ac:dyDescent="0.2">
      <c r="A768" s="21"/>
      <c r="B768" s="135"/>
      <c r="C768" s="141"/>
      <c r="D768" s="141"/>
      <c r="E768" s="136"/>
      <c r="F768" s="135"/>
      <c r="G768" s="34"/>
      <c r="H768" s="142"/>
      <c r="I768" s="34"/>
      <c r="J768" s="34">
        <f>Таблица1[[#This Row],[Блок
 Куб]]*Таблица1[[#This Row],[Цена 
Приход]]</f>
        <v>0</v>
      </c>
      <c r="K768" s="34"/>
      <c r="L768" s="34"/>
      <c r="M768" s="34">
        <f>Таблица1[[#This Row],[Поддон
Шт]]*Таблица1[[#This Row],[Цена
Поддон]]</f>
        <v>0</v>
      </c>
      <c r="N768" s="34">
        <f>Таблица1[[#This Row],[Сумма 
Приход]]+Таблица1[[#This Row],[Сумма Поддон]]</f>
        <v>0</v>
      </c>
      <c r="O768" s="34"/>
      <c r="P768" s="34">
        <f>Таблица1[[#This Row],[Блок
 Куб]]*Таблица1[[#This Row],[Цена
 Продажа]]</f>
        <v>0</v>
      </c>
      <c r="Q768" s="34"/>
      <c r="R768" s="34">
        <f>Таблица1[[#This Row],[Сумма 
Продажа]]-Таблица1[[#This Row],[Сумма 
Приход]]-Таблица1[[#This Row],[Авто услу ]]</f>
        <v>0</v>
      </c>
      <c r="S768" s="34"/>
      <c r="T768" s="34">
        <f>Таблица1[[#This Row],[Сумма 
Продажа]]-IF(Таблица1[[#This Row],[Расход 
Авто]]="Клиент",N(Таблица1[[#This Row],[Авто услу ]]),0)</f>
        <v>0</v>
      </c>
      <c r="U7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8" s="265" t="str">
        <f>IFERROR(INDEX(Мижозлар[Агент],MATCH($D768,Мижозлар[Расмий ном],0)),"")</f>
        <v/>
      </c>
    </row>
    <row r="769" spans="1:23" ht="14.25" x14ac:dyDescent="0.2">
      <c r="A769" s="21"/>
      <c r="B769" s="135"/>
      <c r="C769" s="141"/>
      <c r="D769" s="141"/>
      <c r="E769" s="136"/>
      <c r="F769" s="135"/>
      <c r="G769" s="34"/>
      <c r="H769" s="142"/>
      <c r="I769" s="34"/>
      <c r="J769" s="34">
        <f>Таблица1[[#This Row],[Блок
 Куб]]*Таблица1[[#This Row],[Цена 
Приход]]</f>
        <v>0</v>
      </c>
      <c r="K769" s="34"/>
      <c r="L769" s="34"/>
      <c r="M769" s="34">
        <f>Таблица1[[#This Row],[Поддон
Шт]]*Таблица1[[#This Row],[Цена
Поддон]]</f>
        <v>0</v>
      </c>
      <c r="N769" s="34">
        <f>Таблица1[[#This Row],[Сумма 
Приход]]+Таблица1[[#This Row],[Сумма Поддон]]</f>
        <v>0</v>
      </c>
      <c r="O769" s="34"/>
      <c r="P769" s="34">
        <f>Таблица1[[#This Row],[Блок
 Куб]]*Таблица1[[#This Row],[Цена
 Продажа]]</f>
        <v>0</v>
      </c>
      <c r="Q769" s="34"/>
      <c r="R769" s="34">
        <f>Таблица1[[#This Row],[Сумма 
Продажа]]-Таблица1[[#This Row],[Сумма 
Приход]]-Таблица1[[#This Row],[Авто услу ]]</f>
        <v>0</v>
      </c>
      <c r="S769" s="34"/>
      <c r="T769" s="34">
        <f>Таблица1[[#This Row],[Сумма 
Продажа]]-IF(Таблица1[[#This Row],[Расход 
Авто]]="Клиент",N(Таблица1[[#This Row],[Авто услу ]]),0)</f>
        <v>0</v>
      </c>
      <c r="U7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69" s="265" t="str">
        <f>IFERROR(INDEX(Мижозлар[Агент],MATCH($D769,Мижозлар[Расмий ном],0)),"")</f>
        <v/>
      </c>
    </row>
    <row r="770" spans="1:23" ht="14.25" x14ac:dyDescent="0.2">
      <c r="A770" s="21"/>
      <c r="B770" s="135"/>
      <c r="C770" s="141"/>
      <c r="D770" s="141"/>
      <c r="E770" s="136"/>
      <c r="F770" s="135"/>
      <c r="G770" s="34"/>
      <c r="H770" s="142"/>
      <c r="I770" s="34"/>
      <c r="J770" s="34">
        <f>Таблица1[[#This Row],[Блок
 Куб]]*Таблица1[[#This Row],[Цена 
Приход]]</f>
        <v>0</v>
      </c>
      <c r="K770" s="34"/>
      <c r="L770" s="34"/>
      <c r="M770" s="34">
        <f>Таблица1[[#This Row],[Поддон
Шт]]*Таблица1[[#This Row],[Цена
Поддон]]</f>
        <v>0</v>
      </c>
      <c r="N770" s="34">
        <f>Таблица1[[#This Row],[Сумма 
Приход]]+Таблица1[[#This Row],[Сумма Поддон]]</f>
        <v>0</v>
      </c>
      <c r="O770" s="34"/>
      <c r="P770" s="34">
        <f>Таблица1[[#This Row],[Блок
 Куб]]*Таблица1[[#This Row],[Цена
 Продажа]]</f>
        <v>0</v>
      </c>
      <c r="Q770" s="34"/>
      <c r="R770" s="34">
        <f>Таблица1[[#This Row],[Сумма 
Продажа]]-Таблица1[[#This Row],[Сумма 
Приход]]-Таблица1[[#This Row],[Авто услу ]]</f>
        <v>0</v>
      </c>
      <c r="S770" s="34"/>
      <c r="T770" s="34">
        <f>Таблица1[[#This Row],[Сумма 
Продажа]]-IF(Таблица1[[#This Row],[Расход 
Авто]]="Клиент",N(Таблица1[[#This Row],[Авто услу ]]),0)</f>
        <v>0</v>
      </c>
      <c r="U7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0" s="265" t="str">
        <f>IFERROR(INDEX(Мижозлар[Агент],MATCH($D770,Мижозлар[Расмий ном],0)),"")</f>
        <v/>
      </c>
    </row>
    <row r="771" spans="1:23" ht="14.25" x14ac:dyDescent="0.2">
      <c r="A771" s="21"/>
      <c r="B771" s="135"/>
      <c r="C771" s="141"/>
      <c r="D771" s="141"/>
      <c r="E771" s="136"/>
      <c r="F771" s="135"/>
      <c r="G771" s="34"/>
      <c r="H771" s="142"/>
      <c r="I771" s="34"/>
      <c r="J771" s="34">
        <f>Таблица1[[#This Row],[Блок
 Куб]]*Таблица1[[#This Row],[Цена 
Приход]]</f>
        <v>0</v>
      </c>
      <c r="K771" s="34"/>
      <c r="L771" s="34"/>
      <c r="M771" s="34">
        <f>Таблица1[[#This Row],[Поддон
Шт]]*Таблица1[[#This Row],[Цена
Поддон]]</f>
        <v>0</v>
      </c>
      <c r="N771" s="34">
        <f>Таблица1[[#This Row],[Сумма 
Приход]]+Таблица1[[#This Row],[Сумма Поддон]]</f>
        <v>0</v>
      </c>
      <c r="O771" s="34"/>
      <c r="P771" s="34">
        <f>Таблица1[[#This Row],[Блок
 Куб]]*Таблица1[[#This Row],[Цена
 Продажа]]</f>
        <v>0</v>
      </c>
      <c r="Q771" s="34"/>
      <c r="R771" s="34">
        <f>Таблица1[[#This Row],[Сумма 
Продажа]]-Таблица1[[#This Row],[Сумма 
Приход]]-Таблица1[[#This Row],[Авто услу ]]</f>
        <v>0</v>
      </c>
      <c r="S771" s="34"/>
      <c r="T771" s="34">
        <f>Таблица1[[#This Row],[Сумма 
Продажа]]-IF(Таблица1[[#This Row],[Расход 
Авто]]="Клиент",N(Таблица1[[#This Row],[Авто услу ]]),0)</f>
        <v>0</v>
      </c>
      <c r="U7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1" s="265" t="str">
        <f>IFERROR(INDEX(Мижозлар[Агент],MATCH($D771,Мижозлар[Расмий ном],0)),"")</f>
        <v/>
      </c>
    </row>
    <row r="772" spans="1:23" ht="14.25" x14ac:dyDescent="0.2">
      <c r="A772" s="21"/>
      <c r="B772" s="135"/>
      <c r="C772" s="141"/>
      <c r="D772" s="141"/>
      <c r="E772" s="136"/>
      <c r="F772" s="135"/>
      <c r="G772" s="34"/>
      <c r="H772" s="142"/>
      <c r="I772" s="34"/>
      <c r="J772" s="34">
        <f>Таблица1[[#This Row],[Блок
 Куб]]*Таблица1[[#This Row],[Цена 
Приход]]</f>
        <v>0</v>
      </c>
      <c r="K772" s="34"/>
      <c r="L772" s="34"/>
      <c r="M772" s="34">
        <f>Таблица1[[#This Row],[Поддон
Шт]]*Таблица1[[#This Row],[Цена
Поддон]]</f>
        <v>0</v>
      </c>
      <c r="N772" s="34">
        <f>Таблица1[[#This Row],[Сумма 
Приход]]+Таблица1[[#This Row],[Сумма Поддон]]</f>
        <v>0</v>
      </c>
      <c r="O772" s="34"/>
      <c r="P772" s="34">
        <f>Таблица1[[#This Row],[Блок
 Куб]]*Таблица1[[#This Row],[Цена
 Продажа]]</f>
        <v>0</v>
      </c>
      <c r="Q772" s="34"/>
      <c r="R772" s="34">
        <f>Таблица1[[#This Row],[Сумма 
Продажа]]-Таблица1[[#This Row],[Сумма 
Приход]]-Таблица1[[#This Row],[Авто услу ]]</f>
        <v>0</v>
      </c>
      <c r="S772" s="34"/>
      <c r="T772" s="34">
        <f>Таблица1[[#This Row],[Сумма 
Продажа]]-IF(Таблица1[[#This Row],[Расход 
Авто]]="Клиент",N(Таблица1[[#This Row],[Авто услу ]]),0)</f>
        <v>0</v>
      </c>
      <c r="U7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2" s="265" t="str">
        <f>IFERROR(INDEX(Мижозлар[Агент],MATCH($D772,Мижозлар[Расмий ном],0)),"")</f>
        <v/>
      </c>
    </row>
    <row r="773" spans="1:23" ht="14.25" x14ac:dyDescent="0.2">
      <c r="A773" s="21"/>
      <c r="B773" s="135"/>
      <c r="C773" s="141"/>
      <c r="D773" s="141"/>
      <c r="E773" s="136"/>
      <c r="F773" s="135"/>
      <c r="G773" s="34"/>
      <c r="H773" s="142"/>
      <c r="I773" s="34"/>
      <c r="J773" s="34">
        <f>Таблица1[[#This Row],[Блок
 Куб]]*Таблица1[[#This Row],[Цена 
Приход]]</f>
        <v>0</v>
      </c>
      <c r="K773" s="34"/>
      <c r="L773" s="34"/>
      <c r="M773" s="34">
        <f>Таблица1[[#This Row],[Поддон
Шт]]*Таблица1[[#This Row],[Цена
Поддон]]</f>
        <v>0</v>
      </c>
      <c r="N773" s="34">
        <f>Таблица1[[#This Row],[Сумма 
Приход]]+Таблица1[[#This Row],[Сумма Поддон]]</f>
        <v>0</v>
      </c>
      <c r="O773" s="34"/>
      <c r="P773" s="34">
        <f>Таблица1[[#This Row],[Блок
 Куб]]*Таблица1[[#This Row],[Цена
 Продажа]]</f>
        <v>0</v>
      </c>
      <c r="Q773" s="34"/>
      <c r="R773" s="34">
        <f>Таблица1[[#This Row],[Сумма 
Продажа]]-Таблица1[[#This Row],[Сумма 
Приход]]-Таблица1[[#This Row],[Авто услу ]]</f>
        <v>0</v>
      </c>
      <c r="S773" s="34"/>
      <c r="T773" s="34">
        <f>Таблица1[[#This Row],[Сумма 
Продажа]]-IF(Таблица1[[#This Row],[Расход 
Авто]]="Клиент",N(Таблица1[[#This Row],[Авто услу ]]),0)</f>
        <v>0</v>
      </c>
      <c r="U7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3" s="265" t="str">
        <f>IFERROR(INDEX(Мижозлар[Агент],MATCH($D773,Мижозлар[Расмий ном],0)),"")</f>
        <v/>
      </c>
    </row>
    <row r="774" spans="1:23" ht="14.25" x14ac:dyDescent="0.2">
      <c r="A774" s="21"/>
      <c r="B774" s="135"/>
      <c r="C774" s="141"/>
      <c r="D774" s="141"/>
      <c r="E774" s="136"/>
      <c r="F774" s="135"/>
      <c r="G774" s="34"/>
      <c r="H774" s="142"/>
      <c r="I774" s="34"/>
      <c r="J774" s="34">
        <f>Таблица1[[#This Row],[Блок
 Куб]]*Таблица1[[#This Row],[Цена 
Приход]]</f>
        <v>0</v>
      </c>
      <c r="K774" s="34"/>
      <c r="L774" s="34"/>
      <c r="M774" s="34">
        <f>Таблица1[[#This Row],[Поддон
Шт]]*Таблица1[[#This Row],[Цена
Поддон]]</f>
        <v>0</v>
      </c>
      <c r="N774" s="34">
        <f>Таблица1[[#This Row],[Сумма 
Приход]]+Таблица1[[#This Row],[Сумма Поддон]]</f>
        <v>0</v>
      </c>
      <c r="O774" s="34"/>
      <c r="P774" s="34">
        <f>Таблица1[[#This Row],[Блок
 Куб]]*Таблица1[[#This Row],[Цена
 Продажа]]</f>
        <v>0</v>
      </c>
      <c r="Q774" s="34"/>
      <c r="R774" s="34">
        <f>Таблица1[[#This Row],[Сумма 
Продажа]]-Таблица1[[#This Row],[Сумма 
Приход]]-Таблица1[[#This Row],[Авто услу ]]</f>
        <v>0</v>
      </c>
      <c r="S774" s="34"/>
      <c r="T774" s="34">
        <f>Таблица1[[#This Row],[Сумма 
Продажа]]-IF(Таблица1[[#This Row],[Расход 
Авто]]="Клиент",N(Таблица1[[#This Row],[Авто услу ]]),0)</f>
        <v>0</v>
      </c>
      <c r="U7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4" s="265" t="str">
        <f>IFERROR(INDEX(Мижозлар[Агент],MATCH($D774,Мижозлар[Расмий ном],0)),"")</f>
        <v/>
      </c>
    </row>
    <row r="775" spans="1:23" ht="14.25" x14ac:dyDescent="0.2">
      <c r="A775" s="21"/>
      <c r="B775" s="135"/>
      <c r="C775" s="141"/>
      <c r="D775" s="141"/>
      <c r="E775" s="136"/>
      <c r="F775" s="135"/>
      <c r="G775" s="34"/>
      <c r="H775" s="142"/>
      <c r="I775" s="34"/>
      <c r="J775" s="34">
        <f>Таблица1[[#This Row],[Блок
 Куб]]*Таблица1[[#This Row],[Цена 
Приход]]</f>
        <v>0</v>
      </c>
      <c r="K775" s="34"/>
      <c r="L775" s="34"/>
      <c r="M775" s="34">
        <f>Таблица1[[#This Row],[Поддон
Шт]]*Таблица1[[#This Row],[Цена
Поддон]]</f>
        <v>0</v>
      </c>
      <c r="N775" s="34">
        <f>Таблица1[[#This Row],[Сумма 
Приход]]+Таблица1[[#This Row],[Сумма Поддон]]</f>
        <v>0</v>
      </c>
      <c r="O775" s="34"/>
      <c r="P775" s="34">
        <f>Таблица1[[#This Row],[Блок
 Куб]]*Таблица1[[#This Row],[Цена
 Продажа]]</f>
        <v>0</v>
      </c>
      <c r="Q775" s="34"/>
      <c r="R775" s="34">
        <f>Таблица1[[#This Row],[Сумма 
Продажа]]-Таблица1[[#This Row],[Сумма 
Приход]]-Таблица1[[#This Row],[Авто услу ]]</f>
        <v>0</v>
      </c>
      <c r="S775" s="34"/>
      <c r="T775" s="34">
        <f>Таблица1[[#This Row],[Сумма 
Продажа]]-IF(Таблица1[[#This Row],[Расход 
Авто]]="Клиент",N(Таблица1[[#This Row],[Авто услу ]]),0)</f>
        <v>0</v>
      </c>
      <c r="U7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5" s="265" t="str">
        <f>IFERROR(INDEX(Мижозлар[Агент],MATCH($D775,Мижозлар[Расмий ном],0)),"")</f>
        <v/>
      </c>
    </row>
    <row r="776" spans="1:23" ht="14.25" x14ac:dyDescent="0.2">
      <c r="A776" s="21"/>
      <c r="B776" s="135"/>
      <c r="C776" s="141"/>
      <c r="D776" s="141"/>
      <c r="E776" s="136"/>
      <c r="F776" s="135"/>
      <c r="G776" s="34"/>
      <c r="H776" s="142"/>
      <c r="I776" s="34"/>
      <c r="J776" s="34">
        <f>Таблица1[[#This Row],[Блок
 Куб]]*Таблица1[[#This Row],[Цена 
Приход]]</f>
        <v>0</v>
      </c>
      <c r="K776" s="34"/>
      <c r="L776" s="34"/>
      <c r="M776" s="34">
        <f>Таблица1[[#This Row],[Поддон
Шт]]*Таблица1[[#This Row],[Цена
Поддон]]</f>
        <v>0</v>
      </c>
      <c r="N776" s="34">
        <f>Таблица1[[#This Row],[Сумма 
Приход]]+Таблица1[[#This Row],[Сумма Поддон]]</f>
        <v>0</v>
      </c>
      <c r="O776" s="34"/>
      <c r="P776" s="34">
        <f>Таблица1[[#This Row],[Блок
 Куб]]*Таблица1[[#This Row],[Цена
 Продажа]]</f>
        <v>0</v>
      </c>
      <c r="Q776" s="34"/>
      <c r="R776" s="34">
        <f>Таблица1[[#This Row],[Сумма 
Продажа]]-Таблица1[[#This Row],[Сумма 
Приход]]-Таблица1[[#This Row],[Авто услу ]]</f>
        <v>0</v>
      </c>
      <c r="S776" s="34"/>
      <c r="T776" s="34">
        <f>Таблица1[[#This Row],[Сумма 
Продажа]]-IF(Таблица1[[#This Row],[Расход 
Авто]]="Клиент",N(Таблица1[[#This Row],[Авто услу ]]),0)</f>
        <v>0</v>
      </c>
      <c r="U7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6" s="265" t="str">
        <f>IFERROR(INDEX(Мижозлар[Агент],MATCH($D776,Мижозлар[Расмий ном],0)),"")</f>
        <v/>
      </c>
    </row>
    <row r="777" spans="1:23" ht="14.25" x14ac:dyDescent="0.2">
      <c r="A777" s="21"/>
      <c r="B777" s="135"/>
      <c r="C777" s="141"/>
      <c r="D777" s="141"/>
      <c r="E777" s="136"/>
      <c r="F777" s="135"/>
      <c r="G777" s="34"/>
      <c r="H777" s="142"/>
      <c r="I777" s="34"/>
      <c r="J777" s="34">
        <f>Таблица1[[#This Row],[Блок
 Куб]]*Таблица1[[#This Row],[Цена 
Приход]]</f>
        <v>0</v>
      </c>
      <c r="K777" s="34"/>
      <c r="L777" s="34"/>
      <c r="M777" s="34">
        <f>Таблица1[[#This Row],[Поддон
Шт]]*Таблица1[[#This Row],[Цена
Поддон]]</f>
        <v>0</v>
      </c>
      <c r="N777" s="34">
        <f>Таблица1[[#This Row],[Сумма 
Приход]]+Таблица1[[#This Row],[Сумма Поддон]]</f>
        <v>0</v>
      </c>
      <c r="O777" s="34"/>
      <c r="P777" s="34">
        <f>Таблица1[[#This Row],[Блок
 Куб]]*Таблица1[[#This Row],[Цена
 Продажа]]</f>
        <v>0</v>
      </c>
      <c r="Q777" s="34"/>
      <c r="R777" s="34">
        <f>Таблица1[[#This Row],[Сумма 
Продажа]]-Таблица1[[#This Row],[Сумма 
Приход]]-Таблица1[[#This Row],[Авто услу ]]</f>
        <v>0</v>
      </c>
      <c r="S777" s="34"/>
      <c r="T777" s="34">
        <f>Таблица1[[#This Row],[Сумма 
Продажа]]-IF(Таблица1[[#This Row],[Расход 
Авто]]="Клиент",N(Таблица1[[#This Row],[Авто услу ]]),0)</f>
        <v>0</v>
      </c>
      <c r="U7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7" s="265" t="str">
        <f>IFERROR(INDEX(Мижозлар[Агент],MATCH($D777,Мижозлар[Расмий ном],0)),"")</f>
        <v/>
      </c>
    </row>
    <row r="778" spans="1:23" ht="14.25" x14ac:dyDescent="0.2">
      <c r="A778" s="21"/>
      <c r="B778" s="135"/>
      <c r="C778" s="141"/>
      <c r="D778" s="141"/>
      <c r="E778" s="136"/>
      <c r="F778" s="135"/>
      <c r="G778" s="34"/>
      <c r="H778" s="142"/>
      <c r="I778" s="34"/>
      <c r="J778" s="34">
        <f>Таблица1[[#This Row],[Блок
 Куб]]*Таблица1[[#This Row],[Цена 
Приход]]</f>
        <v>0</v>
      </c>
      <c r="K778" s="34"/>
      <c r="L778" s="34"/>
      <c r="M778" s="34">
        <f>Таблица1[[#This Row],[Поддон
Шт]]*Таблица1[[#This Row],[Цена
Поддон]]</f>
        <v>0</v>
      </c>
      <c r="N778" s="34">
        <f>Таблица1[[#This Row],[Сумма 
Приход]]+Таблица1[[#This Row],[Сумма Поддон]]</f>
        <v>0</v>
      </c>
      <c r="O778" s="34"/>
      <c r="P778" s="34">
        <f>Таблица1[[#This Row],[Блок
 Куб]]*Таблица1[[#This Row],[Цена
 Продажа]]</f>
        <v>0</v>
      </c>
      <c r="Q778" s="34"/>
      <c r="R778" s="34">
        <f>Таблица1[[#This Row],[Сумма 
Продажа]]-Таблица1[[#This Row],[Сумма 
Приход]]-Таблица1[[#This Row],[Авто услу ]]</f>
        <v>0</v>
      </c>
      <c r="S778" s="34"/>
      <c r="T778" s="34">
        <f>Таблица1[[#This Row],[Сумма 
Продажа]]-IF(Таблица1[[#This Row],[Расход 
Авто]]="Клиент",N(Таблица1[[#This Row],[Авто услу ]]),0)</f>
        <v>0</v>
      </c>
      <c r="U7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8" s="265" t="str">
        <f>IFERROR(INDEX(Мижозлар[Агент],MATCH($D778,Мижозлар[Расмий ном],0)),"")</f>
        <v/>
      </c>
    </row>
    <row r="779" spans="1:23" ht="14.25" x14ac:dyDescent="0.2">
      <c r="A779" s="21"/>
      <c r="B779" s="135"/>
      <c r="C779" s="141"/>
      <c r="D779" s="141"/>
      <c r="E779" s="136"/>
      <c r="F779" s="135"/>
      <c r="G779" s="34"/>
      <c r="H779" s="142"/>
      <c r="I779" s="34"/>
      <c r="J779" s="34">
        <f>Таблица1[[#This Row],[Блок
 Куб]]*Таблица1[[#This Row],[Цена 
Приход]]</f>
        <v>0</v>
      </c>
      <c r="K779" s="34"/>
      <c r="L779" s="34"/>
      <c r="M779" s="34">
        <f>Таблица1[[#This Row],[Поддон
Шт]]*Таблица1[[#This Row],[Цена
Поддон]]</f>
        <v>0</v>
      </c>
      <c r="N779" s="34">
        <f>Таблица1[[#This Row],[Сумма 
Приход]]+Таблица1[[#This Row],[Сумма Поддон]]</f>
        <v>0</v>
      </c>
      <c r="O779" s="34"/>
      <c r="P779" s="34">
        <f>Таблица1[[#This Row],[Блок
 Куб]]*Таблица1[[#This Row],[Цена
 Продажа]]</f>
        <v>0</v>
      </c>
      <c r="Q779" s="34"/>
      <c r="R779" s="34">
        <f>Таблица1[[#This Row],[Сумма 
Продажа]]-Таблица1[[#This Row],[Сумма 
Приход]]-Таблица1[[#This Row],[Авто услу ]]</f>
        <v>0</v>
      </c>
      <c r="S779" s="34"/>
      <c r="T779" s="34">
        <f>Таблица1[[#This Row],[Сумма 
Продажа]]-IF(Таблица1[[#This Row],[Расход 
Авто]]="Клиент",N(Таблица1[[#This Row],[Авто услу ]]),0)</f>
        <v>0</v>
      </c>
      <c r="U7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79" s="265" t="str">
        <f>IFERROR(INDEX(Мижозлар[Агент],MATCH($D779,Мижозлар[Расмий ном],0)),"")</f>
        <v/>
      </c>
    </row>
    <row r="780" spans="1:23" ht="14.25" x14ac:dyDescent="0.2">
      <c r="A780" s="21"/>
      <c r="B780" s="135"/>
      <c r="C780" s="141"/>
      <c r="D780" s="141"/>
      <c r="E780" s="136"/>
      <c r="F780" s="135"/>
      <c r="G780" s="34"/>
      <c r="H780" s="142"/>
      <c r="I780" s="34"/>
      <c r="J780" s="34">
        <f>Таблица1[[#This Row],[Блок
 Куб]]*Таблица1[[#This Row],[Цена 
Приход]]</f>
        <v>0</v>
      </c>
      <c r="K780" s="34"/>
      <c r="L780" s="34"/>
      <c r="M780" s="34">
        <f>Таблица1[[#This Row],[Поддон
Шт]]*Таблица1[[#This Row],[Цена
Поддон]]</f>
        <v>0</v>
      </c>
      <c r="N780" s="34">
        <f>Таблица1[[#This Row],[Сумма 
Приход]]+Таблица1[[#This Row],[Сумма Поддон]]</f>
        <v>0</v>
      </c>
      <c r="O780" s="34"/>
      <c r="P780" s="34">
        <f>Таблица1[[#This Row],[Блок
 Куб]]*Таблица1[[#This Row],[Цена
 Продажа]]</f>
        <v>0</v>
      </c>
      <c r="Q780" s="34"/>
      <c r="R780" s="34">
        <f>Таблица1[[#This Row],[Сумма 
Продажа]]-Таблица1[[#This Row],[Сумма 
Приход]]-Таблица1[[#This Row],[Авто услу ]]</f>
        <v>0</v>
      </c>
      <c r="S780" s="34"/>
      <c r="T780" s="34">
        <f>Таблица1[[#This Row],[Сумма 
Продажа]]-IF(Таблица1[[#This Row],[Расход 
Авто]]="Клиент",N(Таблица1[[#This Row],[Авто услу ]]),0)</f>
        <v>0</v>
      </c>
      <c r="U7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0" s="265" t="str">
        <f>IFERROR(INDEX(Мижозлар[Агент],MATCH($D780,Мижозлар[Расмий ном],0)),"")</f>
        <v/>
      </c>
    </row>
    <row r="781" spans="1:23" ht="14.25" x14ac:dyDescent="0.2">
      <c r="A781" s="21"/>
      <c r="B781" s="135"/>
      <c r="C781" s="141"/>
      <c r="D781" s="141"/>
      <c r="E781" s="136"/>
      <c r="F781" s="135"/>
      <c r="G781" s="34"/>
      <c r="H781" s="142"/>
      <c r="I781" s="34"/>
      <c r="J781" s="34">
        <f>Таблица1[[#This Row],[Блок
 Куб]]*Таблица1[[#This Row],[Цена 
Приход]]</f>
        <v>0</v>
      </c>
      <c r="K781" s="34"/>
      <c r="L781" s="34"/>
      <c r="M781" s="34">
        <f>Таблица1[[#This Row],[Поддон
Шт]]*Таблица1[[#This Row],[Цена
Поддон]]</f>
        <v>0</v>
      </c>
      <c r="N781" s="34">
        <f>Таблица1[[#This Row],[Сумма 
Приход]]+Таблица1[[#This Row],[Сумма Поддон]]</f>
        <v>0</v>
      </c>
      <c r="O781" s="34"/>
      <c r="P781" s="34">
        <f>Таблица1[[#This Row],[Блок
 Куб]]*Таблица1[[#This Row],[Цена
 Продажа]]</f>
        <v>0</v>
      </c>
      <c r="Q781" s="34"/>
      <c r="R781" s="34">
        <f>Таблица1[[#This Row],[Сумма 
Продажа]]-Таблица1[[#This Row],[Сумма 
Приход]]-Таблица1[[#This Row],[Авто услу ]]</f>
        <v>0</v>
      </c>
      <c r="S781" s="34"/>
      <c r="T781" s="34">
        <f>Таблица1[[#This Row],[Сумма 
Продажа]]-IF(Таблица1[[#This Row],[Расход 
Авто]]="Клиент",N(Таблица1[[#This Row],[Авто услу ]]),0)</f>
        <v>0</v>
      </c>
      <c r="U7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1" s="265" t="str">
        <f>IFERROR(INDEX(Мижозлар[Агент],MATCH($D781,Мижозлар[Расмий ном],0)),"")</f>
        <v/>
      </c>
    </row>
    <row r="782" spans="1:23" ht="14.25" x14ac:dyDescent="0.2">
      <c r="A782" s="21"/>
      <c r="B782" s="135"/>
      <c r="C782" s="141"/>
      <c r="D782" s="141"/>
      <c r="E782" s="136"/>
      <c r="F782" s="135"/>
      <c r="G782" s="34"/>
      <c r="H782" s="142"/>
      <c r="I782" s="34"/>
      <c r="J782" s="34">
        <f>Таблица1[[#This Row],[Блок
 Куб]]*Таблица1[[#This Row],[Цена 
Приход]]</f>
        <v>0</v>
      </c>
      <c r="K782" s="34"/>
      <c r="L782" s="34"/>
      <c r="M782" s="34">
        <f>Таблица1[[#This Row],[Поддон
Шт]]*Таблица1[[#This Row],[Цена
Поддон]]</f>
        <v>0</v>
      </c>
      <c r="N782" s="34">
        <f>Таблица1[[#This Row],[Сумма 
Приход]]+Таблица1[[#This Row],[Сумма Поддон]]</f>
        <v>0</v>
      </c>
      <c r="O782" s="34"/>
      <c r="P782" s="34">
        <f>Таблица1[[#This Row],[Блок
 Куб]]*Таблица1[[#This Row],[Цена
 Продажа]]</f>
        <v>0</v>
      </c>
      <c r="Q782" s="34"/>
      <c r="R782" s="34">
        <f>Таблица1[[#This Row],[Сумма 
Продажа]]-Таблица1[[#This Row],[Сумма 
Приход]]-Таблица1[[#This Row],[Авто услу ]]</f>
        <v>0</v>
      </c>
      <c r="S782" s="34"/>
      <c r="T782" s="34">
        <f>Таблица1[[#This Row],[Сумма 
Продажа]]-IF(Таблица1[[#This Row],[Расход 
Авто]]="Клиент",N(Таблица1[[#This Row],[Авто услу ]]),0)</f>
        <v>0</v>
      </c>
      <c r="U7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2" s="265" t="str">
        <f>IFERROR(INDEX(Мижозлар[Агент],MATCH($D782,Мижозлар[Расмий ном],0)),"")</f>
        <v/>
      </c>
    </row>
    <row r="783" spans="1:23" ht="14.25" x14ac:dyDescent="0.2">
      <c r="A783" s="21"/>
      <c r="B783" s="135"/>
      <c r="C783" s="141"/>
      <c r="D783" s="141"/>
      <c r="E783" s="136"/>
      <c r="F783" s="135"/>
      <c r="G783" s="34"/>
      <c r="H783" s="142"/>
      <c r="I783" s="34"/>
      <c r="J783" s="34">
        <f>Таблица1[[#This Row],[Блок
 Куб]]*Таблица1[[#This Row],[Цена 
Приход]]</f>
        <v>0</v>
      </c>
      <c r="K783" s="34"/>
      <c r="L783" s="34"/>
      <c r="M783" s="34">
        <f>Таблица1[[#This Row],[Поддон
Шт]]*Таблица1[[#This Row],[Цена
Поддон]]</f>
        <v>0</v>
      </c>
      <c r="N783" s="34">
        <f>Таблица1[[#This Row],[Сумма 
Приход]]+Таблица1[[#This Row],[Сумма Поддон]]</f>
        <v>0</v>
      </c>
      <c r="O783" s="34"/>
      <c r="P783" s="34">
        <f>Таблица1[[#This Row],[Блок
 Куб]]*Таблица1[[#This Row],[Цена
 Продажа]]</f>
        <v>0</v>
      </c>
      <c r="Q783" s="34"/>
      <c r="R783" s="34">
        <f>Таблица1[[#This Row],[Сумма 
Продажа]]-Таблица1[[#This Row],[Сумма 
Приход]]-Таблица1[[#This Row],[Авто услу ]]</f>
        <v>0</v>
      </c>
      <c r="S783" s="34"/>
      <c r="T783" s="34">
        <f>Таблица1[[#This Row],[Сумма 
Продажа]]-IF(Таблица1[[#This Row],[Расход 
Авто]]="Клиент",N(Таблица1[[#This Row],[Авто услу ]]),0)</f>
        <v>0</v>
      </c>
      <c r="U7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3" s="265" t="str">
        <f>IFERROR(INDEX(Мижозлар[Агент],MATCH($D783,Мижозлар[Расмий ном],0)),"")</f>
        <v/>
      </c>
    </row>
    <row r="784" spans="1:23" ht="14.25" x14ac:dyDescent="0.2">
      <c r="A784" s="21"/>
      <c r="B784" s="135"/>
      <c r="C784" s="141"/>
      <c r="D784" s="141"/>
      <c r="E784" s="136"/>
      <c r="F784" s="135"/>
      <c r="G784" s="34"/>
      <c r="H784" s="142"/>
      <c r="I784" s="34"/>
      <c r="J784" s="34">
        <f>Таблица1[[#This Row],[Блок
 Куб]]*Таблица1[[#This Row],[Цена 
Приход]]</f>
        <v>0</v>
      </c>
      <c r="K784" s="34"/>
      <c r="L784" s="34"/>
      <c r="M784" s="34">
        <f>Таблица1[[#This Row],[Поддон
Шт]]*Таблица1[[#This Row],[Цена
Поддон]]</f>
        <v>0</v>
      </c>
      <c r="N784" s="34">
        <f>Таблица1[[#This Row],[Сумма 
Приход]]+Таблица1[[#This Row],[Сумма Поддон]]</f>
        <v>0</v>
      </c>
      <c r="O784" s="34"/>
      <c r="P784" s="34">
        <f>Таблица1[[#This Row],[Блок
 Куб]]*Таблица1[[#This Row],[Цена
 Продажа]]</f>
        <v>0</v>
      </c>
      <c r="Q784" s="34"/>
      <c r="R784" s="34">
        <f>Таблица1[[#This Row],[Сумма 
Продажа]]-Таблица1[[#This Row],[Сумма 
Приход]]-Таблица1[[#This Row],[Авто услу ]]</f>
        <v>0</v>
      </c>
      <c r="S784" s="34"/>
      <c r="T784" s="34">
        <f>Таблица1[[#This Row],[Сумма 
Продажа]]-IF(Таблица1[[#This Row],[Расход 
Авто]]="Клиент",N(Таблица1[[#This Row],[Авто услу ]]),0)</f>
        <v>0</v>
      </c>
      <c r="U7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4" s="265" t="str">
        <f>IFERROR(INDEX(Мижозлар[Агент],MATCH($D784,Мижозлар[Расмий ном],0)),"")</f>
        <v/>
      </c>
    </row>
    <row r="785" spans="1:23" ht="14.25" x14ac:dyDescent="0.2">
      <c r="A785" s="21"/>
      <c r="B785" s="135"/>
      <c r="C785" s="141"/>
      <c r="D785" s="141"/>
      <c r="E785" s="136"/>
      <c r="F785" s="135"/>
      <c r="G785" s="34"/>
      <c r="H785" s="142"/>
      <c r="I785" s="34"/>
      <c r="J785" s="34">
        <f>Таблица1[[#This Row],[Блок
 Куб]]*Таблица1[[#This Row],[Цена 
Приход]]</f>
        <v>0</v>
      </c>
      <c r="K785" s="34"/>
      <c r="L785" s="34"/>
      <c r="M785" s="34">
        <f>Таблица1[[#This Row],[Поддон
Шт]]*Таблица1[[#This Row],[Цена
Поддон]]</f>
        <v>0</v>
      </c>
      <c r="N785" s="34">
        <f>Таблица1[[#This Row],[Сумма 
Приход]]+Таблица1[[#This Row],[Сумма Поддон]]</f>
        <v>0</v>
      </c>
      <c r="O785" s="34"/>
      <c r="P785" s="34">
        <f>Таблица1[[#This Row],[Блок
 Куб]]*Таблица1[[#This Row],[Цена
 Продажа]]</f>
        <v>0</v>
      </c>
      <c r="Q785" s="34"/>
      <c r="R785" s="34">
        <f>Таблица1[[#This Row],[Сумма 
Продажа]]-Таблица1[[#This Row],[Сумма 
Приход]]-Таблица1[[#This Row],[Авто услу ]]</f>
        <v>0</v>
      </c>
      <c r="S785" s="34"/>
      <c r="T785" s="34">
        <f>Таблица1[[#This Row],[Сумма 
Продажа]]-IF(Таблица1[[#This Row],[Расход 
Авто]]="Клиент",N(Таблица1[[#This Row],[Авто услу ]]),0)</f>
        <v>0</v>
      </c>
      <c r="U7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5" s="265" t="str">
        <f>IFERROR(INDEX(Мижозлар[Агент],MATCH($D785,Мижозлар[Расмий ном],0)),"")</f>
        <v/>
      </c>
    </row>
    <row r="786" spans="1:23" ht="14.25" x14ac:dyDescent="0.2">
      <c r="A786" s="21"/>
      <c r="B786" s="135"/>
      <c r="C786" s="141"/>
      <c r="D786" s="141"/>
      <c r="E786" s="136"/>
      <c r="F786" s="135"/>
      <c r="G786" s="34"/>
      <c r="H786" s="142"/>
      <c r="I786" s="34"/>
      <c r="J786" s="34">
        <f>Таблица1[[#This Row],[Блок
 Куб]]*Таблица1[[#This Row],[Цена 
Приход]]</f>
        <v>0</v>
      </c>
      <c r="K786" s="34"/>
      <c r="L786" s="34"/>
      <c r="M786" s="34">
        <f>Таблица1[[#This Row],[Поддон
Шт]]*Таблица1[[#This Row],[Цена
Поддон]]</f>
        <v>0</v>
      </c>
      <c r="N786" s="34">
        <f>Таблица1[[#This Row],[Сумма 
Приход]]+Таблица1[[#This Row],[Сумма Поддон]]</f>
        <v>0</v>
      </c>
      <c r="O786" s="34"/>
      <c r="P786" s="34">
        <f>Таблица1[[#This Row],[Блок
 Куб]]*Таблица1[[#This Row],[Цена
 Продажа]]</f>
        <v>0</v>
      </c>
      <c r="Q786" s="34"/>
      <c r="R786" s="34">
        <f>Таблица1[[#This Row],[Сумма 
Продажа]]-Таблица1[[#This Row],[Сумма 
Приход]]-Таблица1[[#This Row],[Авто услу ]]</f>
        <v>0</v>
      </c>
      <c r="S786" s="34"/>
      <c r="T786" s="34">
        <f>Таблица1[[#This Row],[Сумма 
Продажа]]-IF(Таблица1[[#This Row],[Расход 
Авто]]="Клиент",N(Таблица1[[#This Row],[Авто услу ]]),0)</f>
        <v>0</v>
      </c>
      <c r="U7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6" s="265" t="str">
        <f>IFERROR(INDEX(Мижозлар[Агент],MATCH($D786,Мижозлар[Расмий ном],0)),"")</f>
        <v/>
      </c>
    </row>
    <row r="787" spans="1:23" ht="14.25" x14ac:dyDescent="0.2">
      <c r="A787" s="21"/>
      <c r="B787" s="135"/>
      <c r="C787" s="141"/>
      <c r="D787" s="141"/>
      <c r="E787" s="136"/>
      <c r="F787" s="135"/>
      <c r="G787" s="34"/>
      <c r="H787" s="142"/>
      <c r="I787" s="34"/>
      <c r="J787" s="34">
        <f>Таблица1[[#This Row],[Блок
 Куб]]*Таблица1[[#This Row],[Цена 
Приход]]</f>
        <v>0</v>
      </c>
      <c r="K787" s="34"/>
      <c r="L787" s="34"/>
      <c r="M787" s="34">
        <f>Таблица1[[#This Row],[Поддон
Шт]]*Таблица1[[#This Row],[Цена
Поддон]]</f>
        <v>0</v>
      </c>
      <c r="N787" s="34">
        <f>Таблица1[[#This Row],[Сумма 
Приход]]+Таблица1[[#This Row],[Сумма Поддон]]</f>
        <v>0</v>
      </c>
      <c r="O787" s="34"/>
      <c r="P787" s="34">
        <f>Таблица1[[#This Row],[Блок
 Куб]]*Таблица1[[#This Row],[Цена
 Продажа]]</f>
        <v>0</v>
      </c>
      <c r="Q787" s="34"/>
      <c r="R787" s="34">
        <f>Таблица1[[#This Row],[Сумма 
Продажа]]-Таблица1[[#This Row],[Сумма 
Приход]]-Таблица1[[#This Row],[Авто услу ]]</f>
        <v>0</v>
      </c>
      <c r="S787" s="34"/>
      <c r="T787" s="34">
        <f>Таблица1[[#This Row],[Сумма 
Продажа]]-IF(Таблица1[[#This Row],[Расход 
Авто]]="Клиент",N(Таблица1[[#This Row],[Авто услу ]]),0)</f>
        <v>0</v>
      </c>
      <c r="U7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7" s="265" t="str">
        <f>IFERROR(INDEX(Мижозлар[Агент],MATCH($D787,Мижозлар[Расмий ном],0)),"")</f>
        <v/>
      </c>
    </row>
    <row r="788" spans="1:23" ht="14.25" x14ac:dyDescent="0.2">
      <c r="A788" s="21"/>
      <c r="B788" s="135"/>
      <c r="C788" s="141"/>
      <c r="D788" s="141"/>
      <c r="E788" s="136"/>
      <c r="F788" s="135"/>
      <c r="G788" s="34"/>
      <c r="H788" s="142"/>
      <c r="I788" s="34"/>
      <c r="J788" s="34">
        <f>Таблица1[[#This Row],[Блок
 Куб]]*Таблица1[[#This Row],[Цена 
Приход]]</f>
        <v>0</v>
      </c>
      <c r="K788" s="34"/>
      <c r="L788" s="34"/>
      <c r="M788" s="34">
        <f>Таблица1[[#This Row],[Поддон
Шт]]*Таблица1[[#This Row],[Цена
Поддон]]</f>
        <v>0</v>
      </c>
      <c r="N788" s="34">
        <f>Таблица1[[#This Row],[Сумма 
Приход]]+Таблица1[[#This Row],[Сумма Поддон]]</f>
        <v>0</v>
      </c>
      <c r="O788" s="34"/>
      <c r="P788" s="34">
        <f>Таблица1[[#This Row],[Блок
 Куб]]*Таблица1[[#This Row],[Цена
 Продажа]]</f>
        <v>0</v>
      </c>
      <c r="Q788" s="34"/>
      <c r="R788" s="34">
        <f>Таблица1[[#This Row],[Сумма 
Продажа]]-Таблица1[[#This Row],[Сумма 
Приход]]-Таблица1[[#This Row],[Авто услу ]]</f>
        <v>0</v>
      </c>
      <c r="S788" s="34"/>
      <c r="T788" s="34">
        <f>Таблица1[[#This Row],[Сумма 
Продажа]]-IF(Таблица1[[#This Row],[Расход 
Авто]]="Клиент",N(Таблица1[[#This Row],[Авто услу ]]),0)</f>
        <v>0</v>
      </c>
      <c r="U7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8" s="265" t="str">
        <f>IFERROR(INDEX(Мижозлар[Агент],MATCH($D788,Мижозлар[Расмий ном],0)),"")</f>
        <v/>
      </c>
    </row>
    <row r="789" spans="1:23" ht="14.25" x14ac:dyDescent="0.2">
      <c r="A789" s="21"/>
      <c r="B789" s="135"/>
      <c r="C789" s="141"/>
      <c r="D789" s="141"/>
      <c r="E789" s="136"/>
      <c r="F789" s="135"/>
      <c r="G789" s="34"/>
      <c r="H789" s="142"/>
      <c r="I789" s="34"/>
      <c r="J789" s="34">
        <f>Таблица1[[#This Row],[Блок
 Куб]]*Таблица1[[#This Row],[Цена 
Приход]]</f>
        <v>0</v>
      </c>
      <c r="K789" s="34"/>
      <c r="L789" s="34"/>
      <c r="M789" s="34">
        <f>Таблица1[[#This Row],[Поддон
Шт]]*Таблица1[[#This Row],[Цена
Поддон]]</f>
        <v>0</v>
      </c>
      <c r="N789" s="34">
        <f>Таблица1[[#This Row],[Сумма 
Приход]]+Таблица1[[#This Row],[Сумма Поддон]]</f>
        <v>0</v>
      </c>
      <c r="O789" s="34"/>
      <c r="P789" s="34">
        <f>Таблица1[[#This Row],[Блок
 Куб]]*Таблица1[[#This Row],[Цена
 Продажа]]</f>
        <v>0</v>
      </c>
      <c r="Q789" s="34"/>
      <c r="R789" s="34">
        <f>Таблица1[[#This Row],[Сумма 
Продажа]]-Таблица1[[#This Row],[Сумма 
Приход]]-Таблица1[[#This Row],[Авто услу ]]</f>
        <v>0</v>
      </c>
      <c r="S789" s="34"/>
      <c r="T789" s="34">
        <f>Таблица1[[#This Row],[Сумма 
Продажа]]-IF(Таблица1[[#This Row],[Расход 
Авто]]="Клиент",N(Таблица1[[#This Row],[Авто услу ]]),0)</f>
        <v>0</v>
      </c>
      <c r="U7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89" s="265" t="str">
        <f>IFERROR(INDEX(Мижозлар[Агент],MATCH($D789,Мижозлар[Расмий ном],0)),"")</f>
        <v/>
      </c>
    </row>
    <row r="790" spans="1:23" ht="14.25" x14ac:dyDescent="0.2">
      <c r="A790" s="21"/>
      <c r="B790" s="135"/>
      <c r="C790" s="141"/>
      <c r="D790" s="141"/>
      <c r="E790" s="136"/>
      <c r="F790" s="135"/>
      <c r="G790" s="34"/>
      <c r="H790" s="142"/>
      <c r="I790" s="34"/>
      <c r="J790" s="34">
        <f>Таблица1[[#This Row],[Блок
 Куб]]*Таблица1[[#This Row],[Цена 
Приход]]</f>
        <v>0</v>
      </c>
      <c r="K790" s="34"/>
      <c r="L790" s="34"/>
      <c r="M790" s="34">
        <f>Таблица1[[#This Row],[Поддон
Шт]]*Таблица1[[#This Row],[Цена
Поддон]]</f>
        <v>0</v>
      </c>
      <c r="N790" s="34">
        <f>Таблица1[[#This Row],[Сумма 
Приход]]+Таблица1[[#This Row],[Сумма Поддон]]</f>
        <v>0</v>
      </c>
      <c r="O790" s="34"/>
      <c r="P790" s="34">
        <f>Таблица1[[#This Row],[Блок
 Куб]]*Таблица1[[#This Row],[Цена
 Продажа]]</f>
        <v>0</v>
      </c>
      <c r="Q790" s="34"/>
      <c r="R790" s="34">
        <f>Таблица1[[#This Row],[Сумма 
Продажа]]-Таблица1[[#This Row],[Сумма 
Приход]]-Таблица1[[#This Row],[Авто услу ]]</f>
        <v>0</v>
      </c>
      <c r="S790" s="34"/>
      <c r="T790" s="34">
        <f>Таблица1[[#This Row],[Сумма 
Продажа]]-IF(Таблица1[[#This Row],[Расход 
Авто]]="Клиент",N(Таблица1[[#This Row],[Авто услу ]]),0)</f>
        <v>0</v>
      </c>
      <c r="U7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0" s="265" t="str">
        <f>IFERROR(INDEX(Мижозлар[Агент],MATCH($D790,Мижозлар[Расмий ном],0)),"")</f>
        <v/>
      </c>
    </row>
    <row r="791" spans="1:23" ht="14.25" x14ac:dyDescent="0.2">
      <c r="A791" s="21"/>
      <c r="B791" s="135"/>
      <c r="C791" s="141"/>
      <c r="D791" s="141"/>
      <c r="E791" s="136"/>
      <c r="F791" s="135"/>
      <c r="G791" s="34"/>
      <c r="H791" s="142"/>
      <c r="I791" s="34"/>
      <c r="J791" s="34">
        <f>Таблица1[[#This Row],[Блок
 Куб]]*Таблица1[[#This Row],[Цена 
Приход]]</f>
        <v>0</v>
      </c>
      <c r="K791" s="34"/>
      <c r="L791" s="34"/>
      <c r="M791" s="34">
        <f>Таблица1[[#This Row],[Поддон
Шт]]*Таблица1[[#This Row],[Цена
Поддон]]</f>
        <v>0</v>
      </c>
      <c r="N791" s="34">
        <f>Таблица1[[#This Row],[Сумма 
Приход]]+Таблица1[[#This Row],[Сумма Поддон]]</f>
        <v>0</v>
      </c>
      <c r="O791" s="34"/>
      <c r="P791" s="34">
        <f>Таблица1[[#This Row],[Блок
 Куб]]*Таблица1[[#This Row],[Цена
 Продажа]]</f>
        <v>0</v>
      </c>
      <c r="Q791" s="34"/>
      <c r="R791" s="34">
        <f>Таблица1[[#This Row],[Сумма 
Продажа]]-Таблица1[[#This Row],[Сумма 
Приход]]-Таблица1[[#This Row],[Авто услу ]]</f>
        <v>0</v>
      </c>
      <c r="S791" s="34"/>
      <c r="T791" s="34">
        <f>Таблица1[[#This Row],[Сумма 
Продажа]]-IF(Таблица1[[#This Row],[Расход 
Авто]]="Клиент",N(Таблица1[[#This Row],[Авто услу ]]),0)</f>
        <v>0</v>
      </c>
      <c r="U7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1" s="265" t="str">
        <f>IFERROR(INDEX(Мижозлар[Агент],MATCH($D791,Мижозлар[Расмий ном],0)),"")</f>
        <v/>
      </c>
    </row>
    <row r="792" spans="1:23" ht="14.25" x14ac:dyDescent="0.2">
      <c r="A792" s="21"/>
      <c r="B792" s="135"/>
      <c r="C792" s="141"/>
      <c r="D792" s="141"/>
      <c r="E792" s="136"/>
      <c r="F792" s="135"/>
      <c r="G792" s="34"/>
      <c r="H792" s="142"/>
      <c r="I792" s="34"/>
      <c r="J792" s="34">
        <f>Таблица1[[#This Row],[Блок
 Куб]]*Таблица1[[#This Row],[Цена 
Приход]]</f>
        <v>0</v>
      </c>
      <c r="K792" s="34"/>
      <c r="L792" s="34"/>
      <c r="M792" s="34">
        <f>Таблица1[[#This Row],[Поддон
Шт]]*Таблица1[[#This Row],[Цена
Поддон]]</f>
        <v>0</v>
      </c>
      <c r="N792" s="34">
        <f>Таблица1[[#This Row],[Сумма 
Приход]]+Таблица1[[#This Row],[Сумма Поддон]]</f>
        <v>0</v>
      </c>
      <c r="O792" s="34"/>
      <c r="P792" s="34">
        <f>Таблица1[[#This Row],[Блок
 Куб]]*Таблица1[[#This Row],[Цена
 Продажа]]</f>
        <v>0</v>
      </c>
      <c r="Q792" s="34"/>
      <c r="R792" s="34">
        <f>Таблица1[[#This Row],[Сумма 
Продажа]]-Таблица1[[#This Row],[Сумма 
Приход]]-Таблица1[[#This Row],[Авто услу ]]</f>
        <v>0</v>
      </c>
      <c r="S792" s="34"/>
      <c r="T792" s="34">
        <f>Таблица1[[#This Row],[Сумма 
Продажа]]-IF(Таблица1[[#This Row],[Расход 
Авто]]="Клиент",N(Таблица1[[#This Row],[Авто услу ]]),0)</f>
        <v>0</v>
      </c>
      <c r="U7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2" s="265" t="str">
        <f>IFERROR(INDEX(Мижозлар[Агент],MATCH($D792,Мижозлар[Расмий ном],0)),"")</f>
        <v/>
      </c>
    </row>
    <row r="793" spans="1:23" ht="14.25" x14ac:dyDescent="0.2">
      <c r="A793" s="21"/>
      <c r="B793" s="135"/>
      <c r="C793" s="141"/>
      <c r="D793" s="141"/>
      <c r="E793" s="136"/>
      <c r="F793" s="135"/>
      <c r="G793" s="34"/>
      <c r="H793" s="142"/>
      <c r="I793" s="34"/>
      <c r="J793" s="34">
        <f>Таблица1[[#This Row],[Блок
 Куб]]*Таблица1[[#This Row],[Цена 
Приход]]</f>
        <v>0</v>
      </c>
      <c r="K793" s="34"/>
      <c r="L793" s="34"/>
      <c r="M793" s="34">
        <f>Таблица1[[#This Row],[Поддон
Шт]]*Таблица1[[#This Row],[Цена
Поддон]]</f>
        <v>0</v>
      </c>
      <c r="N793" s="34">
        <f>Таблица1[[#This Row],[Сумма 
Приход]]+Таблица1[[#This Row],[Сумма Поддон]]</f>
        <v>0</v>
      </c>
      <c r="O793" s="34"/>
      <c r="P793" s="34">
        <f>Таблица1[[#This Row],[Блок
 Куб]]*Таблица1[[#This Row],[Цена
 Продажа]]</f>
        <v>0</v>
      </c>
      <c r="Q793" s="34"/>
      <c r="R793" s="34">
        <f>Таблица1[[#This Row],[Сумма 
Продажа]]-Таблица1[[#This Row],[Сумма 
Приход]]-Таблица1[[#This Row],[Авто услу ]]</f>
        <v>0</v>
      </c>
      <c r="S793" s="34"/>
      <c r="T793" s="34">
        <f>Таблица1[[#This Row],[Сумма 
Продажа]]-IF(Таблица1[[#This Row],[Расход 
Авто]]="Клиент",N(Таблица1[[#This Row],[Авто услу ]]),0)</f>
        <v>0</v>
      </c>
      <c r="U7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3" s="265" t="str">
        <f>IFERROR(INDEX(Мижозлар[Агент],MATCH($D793,Мижозлар[Расмий ном],0)),"")</f>
        <v/>
      </c>
    </row>
    <row r="794" spans="1:23" ht="14.25" x14ac:dyDescent="0.2">
      <c r="A794" s="21"/>
      <c r="B794" s="135"/>
      <c r="C794" s="141"/>
      <c r="D794" s="141"/>
      <c r="E794" s="136"/>
      <c r="F794" s="135"/>
      <c r="G794" s="34"/>
      <c r="H794" s="142"/>
      <c r="I794" s="34"/>
      <c r="J794" s="34">
        <f>Таблица1[[#This Row],[Блок
 Куб]]*Таблица1[[#This Row],[Цена 
Приход]]</f>
        <v>0</v>
      </c>
      <c r="K794" s="34"/>
      <c r="L794" s="34"/>
      <c r="M794" s="34">
        <f>Таблица1[[#This Row],[Поддон
Шт]]*Таблица1[[#This Row],[Цена
Поддон]]</f>
        <v>0</v>
      </c>
      <c r="N794" s="34">
        <f>Таблица1[[#This Row],[Сумма 
Приход]]+Таблица1[[#This Row],[Сумма Поддон]]</f>
        <v>0</v>
      </c>
      <c r="O794" s="34"/>
      <c r="P794" s="34">
        <f>Таблица1[[#This Row],[Блок
 Куб]]*Таблица1[[#This Row],[Цена
 Продажа]]</f>
        <v>0</v>
      </c>
      <c r="Q794" s="34"/>
      <c r="R794" s="34">
        <f>Таблица1[[#This Row],[Сумма 
Продажа]]-Таблица1[[#This Row],[Сумма 
Приход]]-Таблица1[[#This Row],[Авто услу ]]</f>
        <v>0</v>
      </c>
      <c r="S794" s="34"/>
      <c r="T794" s="34">
        <f>Таблица1[[#This Row],[Сумма 
Продажа]]-IF(Таблица1[[#This Row],[Расход 
Авто]]="Клиент",N(Таблица1[[#This Row],[Авто услу ]]),0)</f>
        <v>0</v>
      </c>
      <c r="U7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4" s="265" t="str">
        <f>IFERROR(INDEX(Мижозлар[Агент],MATCH($D794,Мижозлар[Расмий ном],0)),"")</f>
        <v/>
      </c>
    </row>
    <row r="795" spans="1:23" ht="14.25" x14ac:dyDescent="0.2">
      <c r="A795" s="21"/>
      <c r="B795" s="135"/>
      <c r="C795" s="141"/>
      <c r="D795" s="141"/>
      <c r="E795" s="136"/>
      <c r="F795" s="135"/>
      <c r="G795" s="34"/>
      <c r="H795" s="142"/>
      <c r="I795" s="34"/>
      <c r="J795" s="34">
        <f>Таблица1[[#This Row],[Блок
 Куб]]*Таблица1[[#This Row],[Цена 
Приход]]</f>
        <v>0</v>
      </c>
      <c r="K795" s="34"/>
      <c r="L795" s="34"/>
      <c r="M795" s="34">
        <f>Таблица1[[#This Row],[Поддон
Шт]]*Таблица1[[#This Row],[Цена
Поддон]]</f>
        <v>0</v>
      </c>
      <c r="N795" s="34">
        <f>Таблица1[[#This Row],[Сумма 
Приход]]+Таблица1[[#This Row],[Сумма Поддон]]</f>
        <v>0</v>
      </c>
      <c r="O795" s="34"/>
      <c r="P795" s="34">
        <f>Таблица1[[#This Row],[Блок
 Куб]]*Таблица1[[#This Row],[Цена
 Продажа]]</f>
        <v>0</v>
      </c>
      <c r="Q795" s="34"/>
      <c r="R795" s="34">
        <f>Таблица1[[#This Row],[Сумма 
Продажа]]-Таблица1[[#This Row],[Сумма 
Приход]]-Таблица1[[#This Row],[Авто услу ]]</f>
        <v>0</v>
      </c>
      <c r="S795" s="34"/>
      <c r="T795" s="34">
        <f>Таблица1[[#This Row],[Сумма 
Продажа]]-IF(Таблица1[[#This Row],[Расход 
Авто]]="Клиент",N(Таблица1[[#This Row],[Авто услу ]]),0)</f>
        <v>0</v>
      </c>
      <c r="U7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5" s="265" t="str">
        <f>IFERROR(INDEX(Мижозлар[Агент],MATCH($D795,Мижозлар[Расмий ном],0)),"")</f>
        <v/>
      </c>
    </row>
    <row r="796" spans="1:23" ht="14.25" x14ac:dyDescent="0.2">
      <c r="A796" s="21"/>
      <c r="B796" s="135"/>
      <c r="C796" s="141"/>
      <c r="D796" s="141"/>
      <c r="E796" s="136"/>
      <c r="F796" s="135"/>
      <c r="G796" s="34"/>
      <c r="H796" s="142"/>
      <c r="I796" s="34"/>
      <c r="J796" s="34">
        <f>Таблица1[[#This Row],[Блок
 Куб]]*Таблица1[[#This Row],[Цена 
Приход]]</f>
        <v>0</v>
      </c>
      <c r="K796" s="34"/>
      <c r="L796" s="34"/>
      <c r="M796" s="34">
        <f>Таблица1[[#This Row],[Поддон
Шт]]*Таблица1[[#This Row],[Цена
Поддон]]</f>
        <v>0</v>
      </c>
      <c r="N796" s="34">
        <f>Таблица1[[#This Row],[Сумма 
Приход]]+Таблица1[[#This Row],[Сумма Поддон]]</f>
        <v>0</v>
      </c>
      <c r="O796" s="34"/>
      <c r="P796" s="34">
        <f>Таблица1[[#This Row],[Блок
 Куб]]*Таблица1[[#This Row],[Цена
 Продажа]]</f>
        <v>0</v>
      </c>
      <c r="Q796" s="34"/>
      <c r="R796" s="34">
        <f>Таблица1[[#This Row],[Сумма 
Продажа]]-Таблица1[[#This Row],[Сумма 
Приход]]-Таблица1[[#This Row],[Авто услу ]]</f>
        <v>0</v>
      </c>
      <c r="S796" s="34"/>
      <c r="T796" s="34">
        <f>Таблица1[[#This Row],[Сумма 
Продажа]]-IF(Таблица1[[#This Row],[Расход 
Авто]]="Клиент",N(Таблица1[[#This Row],[Авто услу ]]),0)</f>
        <v>0</v>
      </c>
      <c r="U7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6" s="265" t="str">
        <f>IFERROR(INDEX(Мижозлар[Агент],MATCH($D796,Мижозлар[Расмий ном],0)),"")</f>
        <v/>
      </c>
    </row>
    <row r="797" spans="1:23" ht="14.25" x14ac:dyDescent="0.2">
      <c r="A797" s="21"/>
      <c r="B797" s="135"/>
      <c r="C797" s="141"/>
      <c r="D797" s="141"/>
      <c r="E797" s="136"/>
      <c r="F797" s="135"/>
      <c r="G797" s="34"/>
      <c r="H797" s="142"/>
      <c r="I797" s="34"/>
      <c r="J797" s="34">
        <f>Таблица1[[#This Row],[Блок
 Куб]]*Таблица1[[#This Row],[Цена 
Приход]]</f>
        <v>0</v>
      </c>
      <c r="K797" s="34"/>
      <c r="L797" s="34"/>
      <c r="M797" s="34">
        <f>Таблица1[[#This Row],[Поддон
Шт]]*Таблица1[[#This Row],[Цена
Поддон]]</f>
        <v>0</v>
      </c>
      <c r="N797" s="34">
        <f>Таблица1[[#This Row],[Сумма 
Приход]]+Таблица1[[#This Row],[Сумма Поддон]]</f>
        <v>0</v>
      </c>
      <c r="O797" s="34"/>
      <c r="P797" s="34">
        <f>Таблица1[[#This Row],[Блок
 Куб]]*Таблица1[[#This Row],[Цена
 Продажа]]</f>
        <v>0</v>
      </c>
      <c r="Q797" s="34"/>
      <c r="R797" s="34">
        <f>Таблица1[[#This Row],[Сумма 
Продажа]]-Таблица1[[#This Row],[Сумма 
Приход]]-Таблица1[[#This Row],[Авто услу ]]</f>
        <v>0</v>
      </c>
      <c r="S797" s="34"/>
      <c r="T797" s="34">
        <f>Таблица1[[#This Row],[Сумма 
Продажа]]-IF(Таблица1[[#This Row],[Расход 
Авто]]="Клиент",N(Таблица1[[#This Row],[Авто услу ]]),0)</f>
        <v>0</v>
      </c>
      <c r="U7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7" s="265" t="str">
        <f>IFERROR(INDEX(Мижозлар[Агент],MATCH($D797,Мижозлар[Расмий ном],0)),"")</f>
        <v/>
      </c>
    </row>
    <row r="798" spans="1:23" ht="14.25" x14ac:dyDescent="0.2">
      <c r="A798" s="21"/>
      <c r="B798" s="135"/>
      <c r="C798" s="141"/>
      <c r="D798" s="141"/>
      <c r="E798" s="136"/>
      <c r="F798" s="135"/>
      <c r="G798" s="34"/>
      <c r="H798" s="142"/>
      <c r="I798" s="34"/>
      <c r="J798" s="34">
        <f>Таблица1[[#This Row],[Блок
 Куб]]*Таблица1[[#This Row],[Цена 
Приход]]</f>
        <v>0</v>
      </c>
      <c r="K798" s="34"/>
      <c r="L798" s="34"/>
      <c r="M798" s="34">
        <f>Таблица1[[#This Row],[Поддон
Шт]]*Таблица1[[#This Row],[Цена
Поддон]]</f>
        <v>0</v>
      </c>
      <c r="N798" s="34">
        <f>Таблица1[[#This Row],[Сумма 
Приход]]+Таблица1[[#This Row],[Сумма Поддон]]</f>
        <v>0</v>
      </c>
      <c r="O798" s="34"/>
      <c r="P798" s="34">
        <f>Таблица1[[#This Row],[Блок
 Куб]]*Таблица1[[#This Row],[Цена
 Продажа]]</f>
        <v>0</v>
      </c>
      <c r="Q798" s="34"/>
      <c r="R798" s="34">
        <f>Таблица1[[#This Row],[Сумма 
Продажа]]-Таблица1[[#This Row],[Сумма 
Приход]]-Таблица1[[#This Row],[Авто услу ]]</f>
        <v>0</v>
      </c>
      <c r="S798" s="34"/>
      <c r="T798" s="34">
        <f>Таблица1[[#This Row],[Сумма 
Продажа]]-IF(Таблица1[[#This Row],[Расход 
Авто]]="Клиент",N(Таблица1[[#This Row],[Авто услу ]]),0)</f>
        <v>0</v>
      </c>
      <c r="U7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8" s="265" t="str">
        <f>IFERROR(INDEX(Мижозлар[Агент],MATCH($D798,Мижозлар[Расмий ном],0)),"")</f>
        <v/>
      </c>
    </row>
    <row r="799" spans="1:23" ht="14.25" x14ac:dyDescent="0.2">
      <c r="A799" s="21"/>
      <c r="B799" s="135"/>
      <c r="C799" s="141"/>
      <c r="D799" s="141"/>
      <c r="E799" s="136"/>
      <c r="F799" s="135"/>
      <c r="G799" s="34"/>
      <c r="H799" s="142"/>
      <c r="I799" s="34"/>
      <c r="J799" s="34">
        <f>Таблица1[[#This Row],[Блок
 Куб]]*Таблица1[[#This Row],[Цена 
Приход]]</f>
        <v>0</v>
      </c>
      <c r="K799" s="34"/>
      <c r="L799" s="34"/>
      <c r="M799" s="34">
        <f>Таблица1[[#This Row],[Поддон
Шт]]*Таблица1[[#This Row],[Цена
Поддон]]</f>
        <v>0</v>
      </c>
      <c r="N799" s="34">
        <f>Таблица1[[#This Row],[Сумма 
Приход]]+Таблица1[[#This Row],[Сумма Поддон]]</f>
        <v>0</v>
      </c>
      <c r="O799" s="34"/>
      <c r="P799" s="34">
        <f>Таблица1[[#This Row],[Блок
 Куб]]*Таблица1[[#This Row],[Цена
 Продажа]]</f>
        <v>0</v>
      </c>
      <c r="Q799" s="34"/>
      <c r="R799" s="34">
        <f>Таблица1[[#This Row],[Сумма 
Продажа]]-Таблица1[[#This Row],[Сумма 
Приход]]-Таблица1[[#This Row],[Авто услу ]]</f>
        <v>0</v>
      </c>
      <c r="S799" s="34"/>
      <c r="T799" s="34">
        <f>Таблица1[[#This Row],[Сумма 
Продажа]]-IF(Таблица1[[#This Row],[Расход 
Авто]]="Клиент",N(Таблица1[[#This Row],[Авто услу ]]),0)</f>
        <v>0</v>
      </c>
      <c r="U7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7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799" s="265" t="str">
        <f>IFERROR(INDEX(Мижозлар[Агент],MATCH($D799,Мижозлар[Расмий ном],0)),"")</f>
        <v/>
      </c>
    </row>
    <row r="800" spans="1:23" ht="14.25" x14ac:dyDescent="0.2">
      <c r="A800" s="21"/>
      <c r="B800" s="135"/>
      <c r="C800" s="141"/>
      <c r="D800" s="141"/>
      <c r="E800" s="136"/>
      <c r="F800" s="135"/>
      <c r="G800" s="34"/>
      <c r="H800" s="142"/>
      <c r="I800" s="34"/>
      <c r="J800" s="34">
        <f>Таблица1[[#This Row],[Блок
 Куб]]*Таблица1[[#This Row],[Цена 
Приход]]</f>
        <v>0</v>
      </c>
      <c r="K800" s="34"/>
      <c r="L800" s="34"/>
      <c r="M800" s="34">
        <f>Таблица1[[#This Row],[Поддон
Шт]]*Таблица1[[#This Row],[Цена
Поддон]]</f>
        <v>0</v>
      </c>
      <c r="N800" s="34">
        <f>Таблица1[[#This Row],[Сумма 
Приход]]+Таблица1[[#This Row],[Сумма Поддон]]</f>
        <v>0</v>
      </c>
      <c r="O800" s="34"/>
      <c r="P800" s="34">
        <f>Таблица1[[#This Row],[Блок
 Куб]]*Таблица1[[#This Row],[Цена
 Продажа]]</f>
        <v>0</v>
      </c>
      <c r="Q800" s="34"/>
      <c r="R800" s="34">
        <f>Таблица1[[#This Row],[Сумма 
Продажа]]-Таблица1[[#This Row],[Сумма 
Приход]]-Таблица1[[#This Row],[Авто услу ]]</f>
        <v>0</v>
      </c>
      <c r="S800" s="34"/>
      <c r="T800" s="34">
        <f>Таблица1[[#This Row],[Сумма 
Продажа]]-IF(Таблица1[[#This Row],[Расход 
Авто]]="Клиент",N(Таблица1[[#This Row],[Авто услу ]]),0)</f>
        <v>0</v>
      </c>
      <c r="U8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0" s="265" t="str">
        <f>IFERROR(INDEX(Мижозлар[Агент],MATCH($D800,Мижозлар[Расмий ном],0)),"")</f>
        <v/>
      </c>
    </row>
    <row r="801" spans="1:23" ht="14.25" x14ac:dyDescent="0.2">
      <c r="A801" s="21"/>
      <c r="B801" s="135"/>
      <c r="C801" s="141"/>
      <c r="D801" s="141"/>
      <c r="E801" s="136"/>
      <c r="F801" s="135"/>
      <c r="G801" s="34"/>
      <c r="H801" s="142"/>
      <c r="I801" s="34"/>
      <c r="J801" s="34">
        <f>Таблица1[[#This Row],[Блок
 Куб]]*Таблица1[[#This Row],[Цена 
Приход]]</f>
        <v>0</v>
      </c>
      <c r="K801" s="34"/>
      <c r="L801" s="34"/>
      <c r="M801" s="34">
        <f>Таблица1[[#This Row],[Поддон
Шт]]*Таблица1[[#This Row],[Цена
Поддон]]</f>
        <v>0</v>
      </c>
      <c r="N801" s="34">
        <f>Таблица1[[#This Row],[Сумма 
Приход]]+Таблица1[[#This Row],[Сумма Поддон]]</f>
        <v>0</v>
      </c>
      <c r="O801" s="34"/>
      <c r="P801" s="34">
        <f>Таблица1[[#This Row],[Блок
 Куб]]*Таблица1[[#This Row],[Цена
 Продажа]]</f>
        <v>0</v>
      </c>
      <c r="Q801" s="34"/>
      <c r="R801" s="34">
        <f>Таблица1[[#This Row],[Сумма 
Продажа]]-Таблица1[[#This Row],[Сумма 
Приход]]-Таблица1[[#This Row],[Авто услу ]]</f>
        <v>0</v>
      </c>
      <c r="S801" s="34"/>
      <c r="T801" s="34">
        <f>Таблица1[[#This Row],[Сумма 
Продажа]]-IF(Таблица1[[#This Row],[Расход 
Авто]]="Клиент",N(Таблица1[[#This Row],[Авто услу ]]),0)</f>
        <v>0</v>
      </c>
      <c r="U8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1" s="265" t="str">
        <f>IFERROR(INDEX(Мижозлар[Агент],MATCH($D801,Мижозлар[Расмий ном],0)),"")</f>
        <v/>
      </c>
    </row>
    <row r="802" spans="1:23" ht="14.25" x14ac:dyDescent="0.2">
      <c r="A802" s="21"/>
      <c r="B802" s="135"/>
      <c r="C802" s="141"/>
      <c r="D802" s="141"/>
      <c r="E802" s="136"/>
      <c r="F802" s="135"/>
      <c r="G802" s="34"/>
      <c r="H802" s="142"/>
      <c r="I802" s="34"/>
      <c r="J802" s="34">
        <f>Таблица1[[#This Row],[Блок
 Куб]]*Таблица1[[#This Row],[Цена 
Приход]]</f>
        <v>0</v>
      </c>
      <c r="K802" s="34"/>
      <c r="L802" s="34"/>
      <c r="M802" s="34">
        <f>Таблица1[[#This Row],[Поддон
Шт]]*Таблица1[[#This Row],[Цена
Поддон]]</f>
        <v>0</v>
      </c>
      <c r="N802" s="34">
        <f>Таблица1[[#This Row],[Сумма 
Приход]]+Таблица1[[#This Row],[Сумма Поддон]]</f>
        <v>0</v>
      </c>
      <c r="O802" s="34"/>
      <c r="P802" s="34">
        <f>Таблица1[[#This Row],[Блок
 Куб]]*Таблица1[[#This Row],[Цена
 Продажа]]</f>
        <v>0</v>
      </c>
      <c r="Q802" s="34"/>
      <c r="R802" s="34">
        <f>Таблица1[[#This Row],[Сумма 
Продажа]]-Таблица1[[#This Row],[Сумма 
Приход]]-Таблица1[[#This Row],[Авто услу ]]</f>
        <v>0</v>
      </c>
      <c r="S802" s="34"/>
      <c r="T802" s="34">
        <f>Таблица1[[#This Row],[Сумма 
Продажа]]-IF(Таблица1[[#This Row],[Расход 
Авто]]="Клиент",N(Таблица1[[#This Row],[Авто услу ]]),0)</f>
        <v>0</v>
      </c>
      <c r="U8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2" s="265" t="str">
        <f>IFERROR(INDEX(Мижозлар[Агент],MATCH($D802,Мижозлар[Расмий ном],0)),"")</f>
        <v/>
      </c>
    </row>
    <row r="803" spans="1:23" ht="14.25" x14ac:dyDescent="0.2">
      <c r="A803" s="21"/>
      <c r="B803" s="135"/>
      <c r="C803" s="141"/>
      <c r="D803" s="141"/>
      <c r="E803" s="136"/>
      <c r="F803" s="135"/>
      <c r="G803" s="34"/>
      <c r="H803" s="142"/>
      <c r="I803" s="34"/>
      <c r="J803" s="34">
        <f>Таблица1[[#This Row],[Блок
 Куб]]*Таблица1[[#This Row],[Цена 
Приход]]</f>
        <v>0</v>
      </c>
      <c r="K803" s="34"/>
      <c r="L803" s="34"/>
      <c r="M803" s="34">
        <f>Таблица1[[#This Row],[Поддон
Шт]]*Таблица1[[#This Row],[Цена
Поддон]]</f>
        <v>0</v>
      </c>
      <c r="N803" s="34">
        <f>Таблица1[[#This Row],[Сумма 
Приход]]+Таблица1[[#This Row],[Сумма Поддон]]</f>
        <v>0</v>
      </c>
      <c r="O803" s="34"/>
      <c r="P803" s="34">
        <f>Таблица1[[#This Row],[Блок
 Куб]]*Таблица1[[#This Row],[Цена
 Продажа]]</f>
        <v>0</v>
      </c>
      <c r="Q803" s="34"/>
      <c r="R803" s="34">
        <f>Таблица1[[#This Row],[Сумма 
Продажа]]-Таблица1[[#This Row],[Сумма 
Приход]]-Таблица1[[#This Row],[Авто услу ]]</f>
        <v>0</v>
      </c>
      <c r="S803" s="34"/>
      <c r="T803" s="34">
        <f>Таблица1[[#This Row],[Сумма 
Продажа]]-IF(Таблица1[[#This Row],[Расход 
Авто]]="Клиент",N(Таблица1[[#This Row],[Авто услу ]]),0)</f>
        <v>0</v>
      </c>
      <c r="U8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3" s="265" t="str">
        <f>IFERROR(INDEX(Мижозлар[Агент],MATCH($D803,Мижозлар[Расмий ном],0)),"")</f>
        <v/>
      </c>
    </row>
    <row r="804" spans="1:23" ht="14.25" x14ac:dyDescent="0.2">
      <c r="A804" s="21"/>
      <c r="B804" s="135"/>
      <c r="C804" s="141"/>
      <c r="D804" s="141"/>
      <c r="E804" s="136"/>
      <c r="F804" s="135"/>
      <c r="G804" s="34"/>
      <c r="H804" s="142"/>
      <c r="I804" s="34"/>
      <c r="J804" s="34">
        <f>Таблица1[[#This Row],[Блок
 Куб]]*Таблица1[[#This Row],[Цена 
Приход]]</f>
        <v>0</v>
      </c>
      <c r="K804" s="34"/>
      <c r="L804" s="34"/>
      <c r="M804" s="34">
        <f>Таблица1[[#This Row],[Поддон
Шт]]*Таблица1[[#This Row],[Цена
Поддон]]</f>
        <v>0</v>
      </c>
      <c r="N804" s="34">
        <f>Таблица1[[#This Row],[Сумма 
Приход]]+Таблица1[[#This Row],[Сумма Поддон]]</f>
        <v>0</v>
      </c>
      <c r="O804" s="34"/>
      <c r="P804" s="34">
        <f>Таблица1[[#This Row],[Блок
 Куб]]*Таблица1[[#This Row],[Цена
 Продажа]]</f>
        <v>0</v>
      </c>
      <c r="Q804" s="34"/>
      <c r="R804" s="34">
        <f>Таблица1[[#This Row],[Сумма 
Продажа]]-Таблица1[[#This Row],[Сумма 
Приход]]-Таблица1[[#This Row],[Авто услу ]]</f>
        <v>0</v>
      </c>
      <c r="S804" s="34"/>
      <c r="T804" s="34">
        <f>Таблица1[[#This Row],[Сумма 
Продажа]]-IF(Таблица1[[#This Row],[Расход 
Авто]]="Клиент",N(Таблица1[[#This Row],[Авто услу ]]),0)</f>
        <v>0</v>
      </c>
      <c r="U8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4" s="265" t="str">
        <f>IFERROR(INDEX(Мижозлар[Агент],MATCH($D804,Мижозлар[Расмий ном],0)),"")</f>
        <v/>
      </c>
    </row>
    <row r="805" spans="1:23" ht="14.25" x14ac:dyDescent="0.2">
      <c r="A805" s="21"/>
      <c r="B805" s="135"/>
      <c r="C805" s="141"/>
      <c r="D805" s="141"/>
      <c r="E805" s="136"/>
      <c r="F805" s="135"/>
      <c r="G805" s="34"/>
      <c r="H805" s="142"/>
      <c r="I805" s="34"/>
      <c r="J805" s="34">
        <f>Таблица1[[#This Row],[Блок
 Куб]]*Таблица1[[#This Row],[Цена 
Приход]]</f>
        <v>0</v>
      </c>
      <c r="K805" s="34"/>
      <c r="L805" s="34"/>
      <c r="M805" s="34">
        <f>Таблица1[[#This Row],[Поддон
Шт]]*Таблица1[[#This Row],[Цена
Поддон]]</f>
        <v>0</v>
      </c>
      <c r="N805" s="34">
        <f>Таблица1[[#This Row],[Сумма 
Приход]]+Таблица1[[#This Row],[Сумма Поддон]]</f>
        <v>0</v>
      </c>
      <c r="O805" s="34"/>
      <c r="P805" s="34">
        <f>Таблица1[[#This Row],[Блок
 Куб]]*Таблица1[[#This Row],[Цена
 Продажа]]</f>
        <v>0</v>
      </c>
      <c r="Q805" s="34"/>
      <c r="R805" s="34">
        <f>Таблица1[[#This Row],[Сумма 
Продажа]]-Таблица1[[#This Row],[Сумма 
Приход]]-Таблица1[[#This Row],[Авто услу ]]</f>
        <v>0</v>
      </c>
      <c r="S805" s="34"/>
      <c r="T805" s="34">
        <f>Таблица1[[#This Row],[Сумма 
Продажа]]-IF(Таблица1[[#This Row],[Расход 
Авто]]="Клиент",N(Таблица1[[#This Row],[Авто услу ]]),0)</f>
        <v>0</v>
      </c>
      <c r="U8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5" s="265" t="str">
        <f>IFERROR(INDEX(Мижозлар[Агент],MATCH($D805,Мижозлар[Расмий ном],0)),"")</f>
        <v/>
      </c>
    </row>
    <row r="806" spans="1:23" ht="14.25" x14ac:dyDescent="0.2">
      <c r="A806" s="21"/>
      <c r="B806" s="135"/>
      <c r="C806" s="141"/>
      <c r="D806" s="141"/>
      <c r="E806" s="136"/>
      <c r="F806" s="135"/>
      <c r="G806" s="34"/>
      <c r="H806" s="142"/>
      <c r="I806" s="34"/>
      <c r="J806" s="34">
        <f>Таблица1[[#This Row],[Блок
 Куб]]*Таблица1[[#This Row],[Цена 
Приход]]</f>
        <v>0</v>
      </c>
      <c r="K806" s="34"/>
      <c r="L806" s="34"/>
      <c r="M806" s="34">
        <f>Таблица1[[#This Row],[Поддон
Шт]]*Таблица1[[#This Row],[Цена
Поддон]]</f>
        <v>0</v>
      </c>
      <c r="N806" s="34">
        <f>Таблица1[[#This Row],[Сумма 
Приход]]+Таблица1[[#This Row],[Сумма Поддон]]</f>
        <v>0</v>
      </c>
      <c r="O806" s="34"/>
      <c r="P806" s="34">
        <f>Таблица1[[#This Row],[Блок
 Куб]]*Таблица1[[#This Row],[Цена
 Продажа]]</f>
        <v>0</v>
      </c>
      <c r="Q806" s="34"/>
      <c r="R806" s="34">
        <f>Таблица1[[#This Row],[Сумма 
Продажа]]-Таблица1[[#This Row],[Сумма 
Приход]]-Таблица1[[#This Row],[Авто услу ]]</f>
        <v>0</v>
      </c>
      <c r="S806" s="34"/>
      <c r="T806" s="34">
        <f>Таблица1[[#This Row],[Сумма 
Продажа]]-IF(Таблица1[[#This Row],[Расход 
Авто]]="Клиент",N(Таблица1[[#This Row],[Авто услу ]]),0)</f>
        <v>0</v>
      </c>
      <c r="U8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6" s="265" t="str">
        <f>IFERROR(INDEX(Мижозлар[Агент],MATCH($D806,Мижозлар[Расмий ном],0)),"")</f>
        <v/>
      </c>
    </row>
    <row r="807" spans="1:23" ht="14.25" x14ac:dyDescent="0.2">
      <c r="A807" s="21"/>
      <c r="B807" s="135"/>
      <c r="C807" s="141"/>
      <c r="D807" s="141"/>
      <c r="E807" s="136"/>
      <c r="F807" s="135"/>
      <c r="G807" s="34"/>
      <c r="H807" s="142"/>
      <c r="I807" s="34"/>
      <c r="J807" s="34">
        <f>Таблица1[[#This Row],[Блок
 Куб]]*Таблица1[[#This Row],[Цена 
Приход]]</f>
        <v>0</v>
      </c>
      <c r="K807" s="34"/>
      <c r="L807" s="34"/>
      <c r="M807" s="34">
        <f>Таблица1[[#This Row],[Поддон
Шт]]*Таблица1[[#This Row],[Цена
Поддон]]</f>
        <v>0</v>
      </c>
      <c r="N807" s="34">
        <f>Таблица1[[#This Row],[Сумма 
Приход]]+Таблица1[[#This Row],[Сумма Поддон]]</f>
        <v>0</v>
      </c>
      <c r="O807" s="34"/>
      <c r="P807" s="34">
        <f>Таблица1[[#This Row],[Блок
 Куб]]*Таблица1[[#This Row],[Цена
 Продажа]]</f>
        <v>0</v>
      </c>
      <c r="Q807" s="34"/>
      <c r="R807" s="34">
        <f>Таблица1[[#This Row],[Сумма 
Продажа]]-Таблица1[[#This Row],[Сумма 
Приход]]-Таблица1[[#This Row],[Авто услу ]]</f>
        <v>0</v>
      </c>
      <c r="S807" s="34"/>
      <c r="T807" s="34">
        <f>Таблица1[[#This Row],[Сумма 
Продажа]]-IF(Таблица1[[#This Row],[Расход 
Авто]]="Клиент",N(Таблица1[[#This Row],[Авто услу ]]),0)</f>
        <v>0</v>
      </c>
      <c r="U8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7" s="265" t="str">
        <f>IFERROR(INDEX(Мижозлар[Агент],MATCH($D807,Мижозлар[Расмий ном],0)),"")</f>
        <v/>
      </c>
    </row>
    <row r="808" spans="1:23" ht="14.25" x14ac:dyDescent="0.2">
      <c r="A808" s="21"/>
      <c r="B808" s="135"/>
      <c r="C808" s="141"/>
      <c r="D808" s="141"/>
      <c r="E808" s="136"/>
      <c r="F808" s="135"/>
      <c r="G808" s="34"/>
      <c r="H808" s="142"/>
      <c r="I808" s="34"/>
      <c r="J808" s="34">
        <f>Таблица1[[#This Row],[Блок
 Куб]]*Таблица1[[#This Row],[Цена 
Приход]]</f>
        <v>0</v>
      </c>
      <c r="K808" s="34"/>
      <c r="L808" s="34"/>
      <c r="M808" s="34">
        <f>Таблица1[[#This Row],[Поддон
Шт]]*Таблица1[[#This Row],[Цена
Поддон]]</f>
        <v>0</v>
      </c>
      <c r="N808" s="34">
        <f>Таблица1[[#This Row],[Сумма 
Приход]]+Таблица1[[#This Row],[Сумма Поддон]]</f>
        <v>0</v>
      </c>
      <c r="O808" s="34"/>
      <c r="P808" s="34">
        <f>Таблица1[[#This Row],[Блок
 Куб]]*Таблица1[[#This Row],[Цена
 Продажа]]</f>
        <v>0</v>
      </c>
      <c r="Q808" s="34"/>
      <c r="R808" s="34">
        <f>Таблица1[[#This Row],[Сумма 
Продажа]]-Таблица1[[#This Row],[Сумма 
Приход]]-Таблица1[[#This Row],[Авто услу ]]</f>
        <v>0</v>
      </c>
      <c r="S808" s="34"/>
      <c r="T808" s="34">
        <f>Таблица1[[#This Row],[Сумма 
Продажа]]-IF(Таблица1[[#This Row],[Расход 
Авто]]="Клиент",N(Таблица1[[#This Row],[Авто услу ]]),0)</f>
        <v>0</v>
      </c>
      <c r="U8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8" s="265" t="str">
        <f>IFERROR(INDEX(Мижозлар[Агент],MATCH($D808,Мижозлар[Расмий ном],0)),"")</f>
        <v/>
      </c>
    </row>
    <row r="809" spans="1:23" ht="14.25" x14ac:dyDescent="0.2">
      <c r="A809" s="21"/>
      <c r="B809" s="135"/>
      <c r="C809" s="141"/>
      <c r="D809" s="141"/>
      <c r="E809" s="136"/>
      <c r="F809" s="135"/>
      <c r="G809" s="34"/>
      <c r="H809" s="142"/>
      <c r="I809" s="34"/>
      <c r="J809" s="34">
        <f>Таблица1[[#This Row],[Блок
 Куб]]*Таблица1[[#This Row],[Цена 
Приход]]</f>
        <v>0</v>
      </c>
      <c r="K809" s="34"/>
      <c r="L809" s="34"/>
      <c r="M809" s="34">
        <f>Таблица1[[#This Row],[Поддон
Шт]]*Таблица1[[#This Row],[Цена
Поддон]]</f>
        <v>0</v>
      </c>
      <c r="N809" s="34">
        <f>Таблица1[[#This Row],[Сумма 
Приход]]+Таблица1[[#This Row],[Сумма Поддон]]</f>
        <v>0</v>
      </c>
      <c r="O809" s="34"/>
      <c r="P809" s="34">
        <f>Таблица1[[#This Row],[Блок
 Куб]]*Таблица1[[#This Row],[Цена
 Продажа]]</f>
        <v>0</v>
      </c>
      <c r="Q809" s="34"/>
      <c r="R809" s="34">
        <f>Таблица1[[#This Row],[Сумма 
Продажа]]-Таблица1[[#This Row],[Сумма 
Приход]]-Таблица1[[#This Row],[Авто услу ]]</f>
        <v>0</v>
      </c>
      <c r="S809" s="34"/>
      <c r="T809" s="34">
        <f>Таблица1[[#This Row],[Сумма 
Продажа]]-IF(Таблица1[[#This Row],[Расход 
Авто]]="Клиент",N(Таблица1[[#This Row],[Авто услу ]]),0)</f>
        <v>0</v>
      </c>
      <c r="U8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09" s="265" t="str">
        <f>IFERROR(INDEX(Мижозлар[Агент],MATCH($D809,Мижозлар[Расмий ном],0)),"")</f>
        <v/>
      </c>
    </row>
    <row r="810" spans="1:23" ht="14.25" x14ac:dyDescent="0.2">
      <c r="A810" s="21"/>
      <c r="B810" s="135"/>
      <c r="C810" s="141"/>
      <c r="D810" s="141"/>
      <c r="E810" s="136"/>
      <c r="F810" s="135"/>
      <c r="G810" s="34"/>
      <c r="H810" s="142"/>
      <c r="I810" s="34"/>
      <c r="J810" s="34">
        <f>Таблица1[[#This Row],[Блок
 Куб]]*Таблица1[[#This Row],[Цена 
Приход]]</f>
        <v>0</v>
      </c>
      <c r="K810" s="34"/>
      <c r="L810" s="34"/>
      <c r="M810" s="34">
        <f>Таблица1[[#This Row],[Поддон
Шт]]*Таблица1[[#This Row],[Цена
Поддон]]</f>
        <v>0</v>
      </c>
      <c r="N810" s="34">
        <f>Таблица1[[#This Row],[Сумма 
Приход]]+Таблица1[[#This Row],[Сумма Поддон]]</f>
        <v>0</v>
      </c>
      <c r="O810" s="34"/>
      <c r="P810" s="34">
        <f>Таблица1[[#This Row],[Блок
 Куб]]*Таблица1[[#This Row],[Цена
 Продажа]]</f>
        <v>0</v>
      </c>
      <c r="Q810" s="34"/>
      <c r="R810" s="34">
        <f>Таблица1[[#This Row],[Сумма 
Продажа]]-Таблица1[[#This Row],[Сумма 
Приход]]-Таблица1[[#This Row],[Авто услу ]]</f>
        <v>0</v>
      </c>
      <c r="S810" s="34"/>
      <c r="T810" s="34">
        <f>Таблица1[[#This Row],[Сумма 
Продажа]]-IF(Таблица1[[#This Row],[Расход 
Авто]]="Клиент",N(Таблица1[[#This Row],[Авто услу ]]),0)</f>
        <v>0</v>
      </c>
      <c r="U8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0" s="265" t="str">
        <f>IFERROR(INDEX(Мижозлар[Агент],MATCH($D810,Мижозлар[Расмий ном],0)),"")</f>
        <v/>
      </c>
    </row>
    <row r="811" spans="1:23" ht="14.25" x14ac:dyDescent="0.2">
      <c r="A811" s="21"/>
      <c r="B811" s="135"/>
      <c r="C811" s="141"/>
      <c r="D811" s="141"/>
      <c r="E811" s="136"/>
      <c r="F811" s="135"/>
      <c r="G811" s="34"/>
      <c r="H811" s="142"/>
      <c r="I811" s="34"/>
      <c r="J811" s="34">
        <f>Таблица1[[#This Row],[Блок
 Куб]]*Таблица1[[#This Row],[Цена 
Приход]]</f>
        <v>0</v>
      </c>
      <c r="K811" s="34"/>
      <c r="L811" s="34"/>
      <c r="M811" s="34">
        <f>Таблица1[[#This Row],[Поддон
Шт]]*Таблица1[[#This Row],[Цена
Поддон]]</f>
        <v>0</v>
      </c>
      <c r="N811" s="34">
        <f>Таблица1[[#This Row],[Сумма 
Приход]]+Таблица1[[#This Row],[Сумма Поддон]]</f>
        <v>0</v>
      </c>
      <c r="O811" s="34"/>
      <c r="P811" s="34">
        <f>Таблица1[[#This Row],[Блок
 Куб]]*Таблица1[[#This Row],[Цена
 Продажа]]</f>
        <v>0</v>
      </c>
      <c r="Q811" s="34"/>
      <c r="R811" s="34">
        <f>Таблица1[[#This Row],[Сумма 
Продажа]]-Таблица1[[#This Row],[Сумма 
Приход]]-Таблица1[[#This Row],[Авто услу ]]</f>
        <v>0</v>
      </c>
      <c r="S811" s="34"/>
      <c r="T811" s="34">
        <f>Таблица1[[#This Row],[Сумма 
Продажа]]-IF(Таблица1[[#This Row],[Расход 
Авто]]="Клиент",N(Таблица1[[#This Row],[Авто услу ]]),0)</f>
        <v>0</v>
      </c>
      <c r="U8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1" s="265" t="str">
        <f>IFERROR(INDEX(Мижозлар[Агент],MATCH($D811,Мижозлар[Расмий ном],0)),"")</f>
        <v/>
      </c>
    </row>
    <row r="812" spans="1:23" ht="14.25" x14ac:dyDescent="0.2">
      <c r="A812" s="21"/>
      <c r="B812" s="135"/>
      <c r="C812" s="141"/>
      <c r="D812" s="141"/>
      <c r="E812" s="136"/>
      <c r="F812" s="135"/>
      <c r="G812" s="34"/>
      <c r="H812" s="142"/>
      <c r="I812" s="34"/>
      <c r="J812" s="34">
        <f>Таблица1[[#This Row],[Блок
 Куб]]*Таблица1[[#This Row],[Цена 
Приход]]</f>
        <v>0</v>
      </c>
      <c r="K812" s="34"/>
      <c r="L812" s="34"/>
      <c r="M812" s="34">
        <f>Таблица1[[#This Row],[Поддон
Шт]]*Таблица1[[#This Row],[Цена
Поддон]]</f>
        <v>0</v>
      </c>
      <c r="N812" s="34">
        <f>Таблица1[[#This Row],[Сумма 
Приход]]+Таблица1[[#This Row],[Сумма Поддон]]</f>
        <v>0</v>
      </c>
      <c r="O812" s="34"/>
      <c r="P812" s="34">
        <f>Таблица1[[#This Row],[Блок
 Куб]]*Таблица1[[#This Row],[Цена
 Продажа]]</f>
        <v>0</v>
      </c>
      <c r="Q812" s="34"/>
      <c r="R812" s="34">
        <f>Таблица1[[#This Row],[Сумма 
Продажа]]-Таблица1[[#This Row],[Сумма 
Приход]]-Таблица1[[#This Row],[Авто услу ]]</f>
        <v>0</v>
      </c>
      <c r="S812" s="34"/>
      <c r="T812" s="34">
        <f>Таблица1[[#This Row],[Сумма 
Продажа]]-IF(Таблица1[[#This Row],[Расход 
Авто]]="Клиент",N(Таблица1[[#This Row],[Авто услу ]]),0)</f>
        <v>0</v>
      </c>
      <c r="U8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2" s="265" t="str">
        <f>IFERROR(INDEX(Мижозлар[Агент],MATCH($D812,Мижозлар[Расмий ном],0)),"")</f>
        <v/>
      </c>
    </row>
    <row r="813" spans="1:23" ht="14.25" x14ac:dyDescent="0.2">
      <c r="A813" s="21"/>
      <c r="B813" s="135"/>
      <c r="C813" s="141"/>
      <c r="D813" s="141"/>
      <c r="E813" s="136"/>
      <c r="F813" s="135"/>
      <c r="G813" s="34"/>
      <c r="H813" s="142"/>
      <c r="I813" s="34"/>
      <c r="J813" s="34">
        <f>Таблица1[[#This Row],[Блок
 Куб]]*Таблица1[[#This Row],[Цена 
Приход]]</f>
        <v>0</v>
      </c>
      <c r="K813" s="34"/>
      <c r="L813" s="34"/>
      <c r="M813" s="34">
        <f>Таблица1[[#This Row],[Поддон
Шт]]*Таблица1[[#This Row],[Цена
Поддон]]</f>
        <v>0</v>
      </c>
      <c r="N813" s="34">
        <f>Таблица1[[#This Row],[Сумма 
Приход]]+Таблица1[[#This Row],[Сумма Поддон]]</f>
        <v>0</v>
      </c>
      <c r="O813" s="34"/>
      <c r="P813" s="34">
        <f>Таблица1[[#This Row],[Блок
 Куб]]*Таблица1[[#This Row],[Цена
 Продажа]]</f>
        <v>0</v>
      </c>
      <c r="Q813" s="34"/>
      <c r="R813" s="34">
        <f>Таблица1[[#This Row],[Сумма 
Продажа]]-Таблица1[[#This Row],[Сумма 
Приход]]-Таблица1[[#This Row],[Авто услу ]]</f>
        <v>0</v>
      </c>
      <c r="S813" s="34"/>
      <c r="T813" s="34">
        <f>Таблица1[[#This Row],[Сумма 
Продажа]]-IF(Таблица1[[#This Row],[Расход 
Авто]]="Клиент",N(Таблица1[[#This Row],[Авто услу ]]),0)</f>
        <v>0</v>
      </c>
      <c r="U8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3" s="265" t="str">
        <f>IFERROR(INDEX(Мижозлар[Агент],MATCH($D813,Мижозлар[Расмий ном],0)),"")</f>
        <v/>
      </c>
    </row>
    <row r="814" spans="1:23" ht="14.25" x14ac:dyDescent="0.2">
      <c r="A814" s="21"/>
      <c r="B814" s="135"/>
      <c r="C814" s="141"/>
      <c r="D814" s="141"/>
      <c r="E814" s="136"/>
      <c r="F814" s="135"/>
      <c r="G814" s="34"/>
      <c r="H814" s="142"/>
      <c r="I814" s="34"/>
      <c r="J814" s="34">
        <f>Таблица1[[#This Row],[Блок
 Куб]]*Таблица1[[#This Row],[Цена 
Приход]]</f>
        <v>0</v>
      </c>
      <c r="K814" s="34"/>
      <c r="L814" s="34"/>
      <c r="M814" s="34">
        <f>Таблица1[[#This Row],[Поддон
Шт]]*Таблица1[[#This Row],[Цена
Поддон]]</f>
        <v>0</v>
      </c>
      <c r="N814" s="34">
        <f>Таблица1[[#This Row],[Сумма 
Приход]]+Таблица1[[#This Row],[Сумма Поддон]]</f>
        <v>0</v>
      </c>
      <c r="O814" s="34"/>
      <c r="P814" s="34">
        <f>Таблица1[[#This Row],[Блок
 Куб]]*Таблица1[[#This Row],[Цена
 Продажа]]</f>
        <v>0</v>
      </c>
      <c r="Q814" s="34"/>
      <c r="R814" s="34">
        <f>Таблица1[[#This Row],[Сумма 
Продажа]]-Таблица1[[#This Row],[Сумма 
Приход]]-Таблица1[[#This Row],[Авто услу ]]</f>
        <v>0</v>
      </c>
      <c r="S814" s="34"/>
      <c r="T814" s="34">
        <f>Таблица1[[#This Row],[Сумма 
Продажа]]-IF(Таблица1[[#This Row],[Расход 
Авто]]="Клиент",N(Таблица1[[#This Row],[Авто услу ]]),0)</f>
        <v>0</v>
      </c>
      <c r="U8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4" s="265" t="str">
        <f>IFERROR(INDEX(Мижозлар[Агент],MATCH($D814,Мижозлар[Расмий ном],0)),"")</f>
        <v/>
      </c>
    </row>
    <row r="815" spans="1:23" ht="14.25" x14ac:dyDescent="0.2">
      <c r="A815" s="21"/>
      <c r="B815" s="135"/>
      <c r="C815" s="141"/>
      <c r="D815" s="141"/>
      <c r="E815" s="136"/>
      <c r="F815" s="135"/>
      <c r="G815" s="34"/>
      <c r="H815" s="142"/>
      <c r="I815" s="34"/>
      <c r="J815" s="34">
        <f>Таблица1[[#This Row],[Блок
 Куб]]*Таблица1[[#This Row],[Цена 
Приход]]</f>
        <v>0</v>
      </c>
      <c r="K815" s="34"/>
      <c r="L815" s="34"/>
      <c r="M815" s="34">
        <f>Таблица1[[#This Row],[Поддон
Шт]]*Таблица1[[#This Row],[Цена
Поддон]]</f>
        <v>0</v>
      </c>
      <c r="N815" s="34">
        <f>Таблица1[[#This Row],[Сумма 
Приход]]+Таблица1[[#This Row],[Сумма Поддон]]</f>
        <v>0</v>
      </c>
      <c r="O815" s="34"/>
      <c r="P815" s="34">
        <f>Таблица1[[#This Row],[Блок
 Куб]]*Таблица1[[#This Row],[Цена
 Продажа]]</f>
        <v>0</v>
      </c>
      <c r="Q815" s="34"/>
      <c r="R815" s="34">
        <f>Таблица1[[#This Row],[Сумма 
Продажа]]-Таблица1[[#This Row],[Сумма 
Приход]]-Таблица1[[#This Row],[Авто услу ]]</f>
        <v>0</v>
      </c>
      <c r="S815" s="34"/>
      <c r="T815" s="34">
        <f>Таблица1[[#This Row],[Сумма 
Продажа]]-IF(Таблица1[[#This Row],[Расход 
Авто]]="Клиент",N(Таблица1[[#This Row],[Авто услу ]]),0)</f>
        <v>0</v>
      </c>
      <c r="U8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5" s="265" t="str">
        <f>IFERROR(INDEX(Мижозлар[Агент],MATCH($D815,Мижозлар[Расмий ном],0)),"")</f>
        <v/>
      </c>
    </row>
    <row r="816" spans="1:23" ht="14.25" x14ac:dyDescent="0.2">
      <c r="A816" s="21"/>
      <c r="B816" s="135"/>
      <c r="C816" s="141"/>
      <c r="D816" s="141"/>
      <c r="E816" s="136"/>
      <c r="F816" s="135"/>
      <c r="G816" s="34"/>
      <c r="H816" s="142"/>
      <c r="I816" s="34"/>
      <c r="J816" s="34">
        <f>Таблица1[[#This Row],[Блок
 Куб]]*Таблица1[[#This Row],[Цена 
Приход]]</f>
        <v>0</v>
      </c>
      <c r="K816" s="34"/>
      <c r="L816" s="34"/>
      <c r="M816" s="34">
        <f>Таблица1[[#This Row],[Поддон
Шт]]*Таблица1[[#This Row],[Цена
Поддон]]</f>
        <v>0</v>
      </c>
      <c r="N816" s="34">
        <f>Таблица1[[#This Row],[Сумма 
Приход]]+Таблица1[[#This Row],[Сумма Поддон]]</f>
        <v>0</v>
      </c>
      <c r="O816" s="34"/>
      <c r="P816" s="34">
        <f>Таблица1[[#This Row],[Блок
 Куб]]*Таблица1[[#This Row],[Цена
 Продажа]]</f>
        <v>0</v>
      </c>
      <c r="Q816" s="34"/>
      <c r="R816" s="34">
        <f>Таблица1[[#This Row],[Сумма 
Продажа]]-Таблица1[[#This Row],[Сумма 
Приход]]-Таблица1[[#This Row],[Авто услу ]]</f>
        <v>0</v>
      </c>
      <c r="S816" s="34"/>
      <c r="T816" s="34">
        <f>Таблица1[[#This Row],[Сумма 
Продажа]]-IF(Таблица1[[#This Row],[Расход 
Авто]]="Клиент",N(Таблица1[[#This Row],[Авто услу ]]),0)</f>
        <v>0</v>
      </c>
      <c r="U8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6" s="265" t="str">
        <f>IFERROR(INDEX(Мижозлар[Агент],MATCH($D816,Мижозлар[Расмий ном],0)),"")</f>
        <v/>
      </c>
    </row>
    <row r="817" spans="1:23" ht="14.25" x14ac:dyDescent="0.2">
      <c r="A817" s="21"/>
      <c r="B817" s="135"/>
      <c r="C817" s="141"/>
      <c r="D817" s="141"/>
      <c r="E817" s="136"/>
      <c r="F817" s="135"/>
      <c r="G817" s="34"/>
      <c r="H817" s="142"/>
      <c r="I817" s="34"/>
      <c r="J817" s="34">
        <f>Таблица1[[#This Row],[Блок
 Куб]]*Таблица1[[#This Row],[Цена 
Приход]]</f>
        <v>0</v>
      </c>
      <c r="K817" s="34"/>
      <c r="L817" s="34"/>
      <c r="M817" s="34">
        <f>Таблица1[[#This Row],[Поддон
Шт]]*Таблица1[[#This Row],[Цена
Поддон]]</f>
        <v>0</v>
      </c>
      <c r="N817" s="34">
        <f>Таблица1[[#This Row],[Сумма 
Приход]]+Таблица1[[#This Row],[Сумма Поддон]]</f>
        <v>0</v>
      </c>
      <c r="O817" s="34"/>
      <c r="P817" s="34">
        <f>Таблица1[[#This Row],[Блок
 Куб]]*Таблица1[[#This Row],[Цена
 Продажа]]</f>
        <v>0</v>
      </c>
      <c r="Q817" s="34"/>
      <c r="R817" s="34">
        <f>Таблица1[[#This Row],[Сумма 
Продажа]]-Таблица1[[#This Row],[Сумма 
Приход]]-Таблица1[[#This Row],[Авто услу ]]</f>
        <v>0</v>
      </c>
      <c r="S817" s="34"/>
      <c r="T817" s="34">
        <f>Таблица1[[#This Row],[Сумма 
Продажа]]-IF(Таблица1[[#This Row],[Расход 
Авто]]="Клиент",N(Таблица1[[#This Row],[Авто услу ]]),0)</f>
        <v>0</v>
      </c>
      <c r="U8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7" s="265" t="str">
        <f>IFERROR(INDEX(Мижозлар[Агент],MATCH($D817,Мижозлар[Расмий ном],0)),"")</f>
        <v/>
      </c>
    </row>
    <row r="818" spans="1:23" ht="14.25" x14ac:dyDescent="0.2">
      <c r="A818" s="21"/>
      <c r="B818" s="135"/>
      <c r="C818" s="141"/>
      <c r="D818" s="141"/>
      <c r="E818" s="136"/>
      <c r="F818" s="135"/>
      <c r="G818" s="34"/>
      <c r="H818" s="142"/>
      <c r="I818" s="34"/>
      <c r="J818" s="34">
        <f>Таблица1[[#This Row],[Блок
 Куб]]*Таблица1[[#This Row],[Цена 
Приход]]</f>
        <v>0</v>
      </c>
      <c r="K818" s="34"/>
      <c r="L818" s="34"/>
      <c r="M818" s="34">
        <f>Таблица1[[#This Row],[Поддон
Шт]]*Таблица1[[#This Row],[Цена
Поддон]]</f>
        <v>0</v>
      </c>
      <c r="N818" s="34">
        <f>Таблица1[[#This Row],[Сумма 
Приход]]+Таблица1[[#This Row],[Сумма Поддон]]</f>
        <v>0</v>
      </c>
      <c r="O818" s="34"/>
      <c r="P818" s="34">
        <f>Таблица1[[#This Row],[Блок
 Куб]]*Таблица1[[#This Row],[Цена
 Продажа]]</f>
        <v>0</v>
      </c>
      <c r="Q818" s="34"/>
      <c r="R818" s="34">
        <f>Таблица1[[#This Row],[Сумма 
Продажа]]-Таблица1[[#This Row],[Сумма 
Приход]]-Таблица1[[#This Row],[Авто услу ]]</f>
        <v>0</v>
      </c>
      <c r="S818" s="34"/>
      <c r="T818" s="34">
        <f>Таблица1[[#This Row],[Сумма 
Продажа]]-IF(Таблица1[[#This Row],[Расход 
Авто]]="Клиент",N(Таблица1[[#This Row],[Авто услу ]]),0)</f>
        <v>0</v>
      </c>
      <c r="U8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8" s="265" t="str">
        <f>IFERROR(INDEX(Мижозлар[Агент],MATCH($D818,Мижозлар[Расмий ном],0)),"")</f>
        <v/>
      </c>
    </row>
    <row r="819" spans="1:23" ht="14.25" x14ac:dyDescent="0.2">
      <c r="A819" s="21"/>
      <c r="B819" s="135"/>
      <c r="C819" s="141"/>
      <c r="D819" s="141"/>
      <c r="E819" s="136"/>
      <c r="F819" s="135"/>
      <c r="G819" s="34"/>
      <c r="H819" s="142"/>
      <c r="I819" s="34"/>
      <c r="J819" s="34">
        <f>Таблица1[[#This Row],[Блок
 Куб]]*Таблица1[[#This Row],[Цена 
Приход]]</f>
        <v>0</v>
      </c>
      <c r="K819" s="34"/>
      <c r="L819" s="34"/>
      <c r="M819" s="34">
        <f>Таблица1[[#This Row],[Поддон
Шт]]*Таблица1[[#This Row],[Цена
Поддон]]</f>
        <v>0</v>
      </c>
      <c r="N819" s="34">
        <f>Таблица1[[#This Row],[Сумма 
Приход]]+Таблица1[[#This Row],[Сумма Поддон]]</f>
        <v>0</v>
      </c>
      <c r="O819" s="34"/>
      <c r="P819" s="34">
        <f>Таблица1[[#This Row],[Блок
 Куб]]*Таблица1[[#This Row],[Цена
 Продажа]]</f>
        <v>0</v>
      </c>
      <c r="Q819" s="34"/>
      <c r="R819" s="34">
        <f>Таблица1[[#This Row],[Сумма 
Продажа]]-Таблица1[[#This Row],[Сумма 
Приход]]-Таблица1[[#This Row],[Авто услу ]]</f>
        <v>0</v>
      </c>
      <c r="S819" s="34"/>
      <c r="T819" s="34">
        <f>Таблица1[[#This Row],[Сумма 
Продажа]]-IF(Таблица1[[#This Row],[Расход 
Авто]]="Клиент",N(Таблица1[[#This Row],[Авто услу ]]),0)</f>
        <v>0</v>
      </c>
      <c r="U8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19" s="265" t="str">
        <f>IFERROR(INDEX(Мижозлар[Агент],MATCH($D819,Мижозлар[Расмий ном],0)),"")</f>
        <v/>
      </c>
    </row>
    <row r="820" spans="1:23" ht="14.25" x14ac:dyDescent="0.2">
      <c r="A820" s="21"/>
      <c r="B820" s="135"/>
      <c r="C820" s="141"/>
      <c r="D820" s="141"/>
      <c r="E820" s="136"/>
      <c r="F820" s="135"/>
      <c r="G820" s="34"/>
      <c r="H820" s="142"/>
      <c r="I820" s="34"/>
      <c r="J820" s="34">
        <f>Таблица1[[#This Row],[Блок
 Куб]]*Таблица1[[#This Row],[Цена 
Приход]]</f>
        <v>0</v>
      </c>
      <c r="K820" s="34"/>
      <c r="L820" s="34"/>
      <c r="M820" s="34">
        <f>Таблица1[[#This Row],[Поддон
Шт]]*Таблица1[[#This Row],[Цена
Поддон]]</f>
        <v>0</v>
      </c>
      <c r="N820" s="34">
        <f>Таблица1[[#This Row],[Сумма 
Приход]]+Таблица1[[#This Row],[Сумма Поддон]]</f>
        <v>0</v>
      </c>
      <c r="O820" s="34"/>
      <c r="P820" s="34">
        <f>Таблица1[[#This Row],[Блок
 Куб]]*Таблица1[[#This Row],[Цена
 Продажа]]</f>
        <v>0</v>
      </c>
      <c r="Q820" s="34"/>
      <c r="R820" s="34">
        <f>Таблица1[[#This Row],[Сумма 
Продажа]]-Таблица1[[#This Row],[Сумма 
Приход]]-Таблица1[[#This Row],[Авто услу ]]</f>
        <v>0</v>
      </c>
      <c r="S820" s="34"/>
      <c r="T820" s="34">
        <f>Таблица1[[#This Row],[Сумма 
Продажа]]-IF(Таблица1[[#This Row],[Расход 
Авто]]="Клиент",N(Таблица1[[#This Row],[Авто услу ]]),0)</f>
        <v>0</v>
      </c>
      <c r="U8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0" s="265" t="str">
        <f>IFERROR(INDEX(Мижозлар[Агент],MATCH($D820,Мижозлар[Расмий ном],0)),"")</f>
        <v/>
      </c>
    </row>
    <row r="821" spans="1:23" ht="14.25" x14ac:dyDescent="0.2">
      <c r="A821" s="21"/>
      <c r="B821" s="135"/>
      <c r="C821" s="141"/>
      <c r="D821" s="141"/>
      <c r="E821" s="136"/>
      <c r="F821" s="135"/>
      <c r="G821" s="34"/>
      <c r="H821" s="142"/>
      <c r="I821" s="34"/>
      <c r="J821" s="34">
        <f>Таблица1[[#This Row],[Блок
 Куб]]*Таблица1[[#This Row],[Цена 
Приход]]</f>
        <v>0</v>
      </c>
      <c r="K821" s="34"/>
      <c r="L821" s="34"/>
      <c r="M821" s="34">
        <f>Таблица1[[#This Row],[Поддон
Шт]]*Таблица1[[#This Row],[Цена
Поддон]]</f>
        <v>0</v>
      </c>
      <c r="N821" s="34">
        <f>Таблица1[[#This Row],[Сумма 
Приход]]+Таблица1[[#This Row],[Сумма Поддон]]</f>
        <v>0</v>
      </c>
      <c r="O821" s="34"/>
      <c r="P821" s="34">
        <f>Таблица1[[#This Row],[Блок
 Куб]]*Таблица1[[#This Row],[Цена
 Продажа]]</f>
        <v>0</v>
      </c>
      <c r="Q821" s="34"/>
      <c r="R821" s="34">
        <f>Таблица1[[#This Row],[Сумма 
Продажа]]-Таблица1[[#This Row],[Сумма 
Приход]]-Таблица1[[#This Row],[Авто услу ]]</f>
        <v>0</v>
      </c>
      <c r="S821" s="34"/>
      <c r="T821" s="34">
        <f>Таблица1[[#This Row],[Сумма 
Продажа]]-IF(Таблица1[[#This Row],[Расход 
Авто]]="Клиент",N(Таблица1[[#This Row],[Авто услу ]]),0)</f>
        <v>0</v>
      </c>
      <c r="U8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1" s="265" t="str">
        <f>IFERROR(INDEX(Мижозлар[Агент],MATCH($D821,Мижозлар[Расмий ном],0)),"")</f>
        <v/>
      </c>
    </row>
    <row r="822" spans="1:23" ht="14.25" x14ac:dyDescent="0.2">
      <c r="A822" s="21"/>
      <c r="B822" s="135"/>
      <c r="C822" s="141"/>
      <c r="D822" s="141"/>
      <c r="E822" s="136"/>
      <c r="F822" s="135"/>
      <c r="G822" s="34"/>
      <c r="H822" s="142"/>
      <c r="I822" s="34"/>
      <c r="J822" s="34">
        <f>Таблица1[[#This Row],[Блок
 Куб]]*Таблица1[[#This Row],[Цена 
Приход]]</f>
        <v>0</v>
      </c>
      <c r="K822" s="34"/>
      <c r="L822" s="34"/>
      <c r="M822" s="34">
        <f>Таблица1[[#This Row],[Поддон
Шт]]*Таблица1[[#This Row],[Цена
Поддон]]</f>
        <v>0</v>
      </c>
      <c r="N822" s="34">
        <f>Таблица1[[#This Row],[Сумма 
Приход]]+Таблица1[[#This Row],[Сумма Поддон]]</f>
        <v>0</v>
      </c>
      <c r="O822" s="34"/>
      <c r="P822" s="34">
        <f>Таблица1[[#This Row],[Блок
 Куб]]*Таблица1[[#This Row],[Цена
 Продажа]]</f>
        <v>0</v>
      </c>
      <c r="Q822" s="34"/>
      <c r="R822" s="34">
        <f>Таблица1[[#This Row],[Сумма 
Продажа]]-Таблица1[[#This Row],[Сумма 
Приход]]-Таблица1[[#This Row],[Авто услу ]]</f>
        <v>0</v>
      </c>
      <c r="S822" s="34"/>
      <c r="T822" s="34">
        <f>Таблица1[[#This Row],[Сумма 
Продажа]]-IF(Таблица1[[#This Row],[Расход 
Авто]]="Клиент",N(Таблица1[[#This Row],[Авто услу ]]),0)</f>
        <v>0</v>
      </c>
      <c r="U8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2" s="265" t="str">
        <f>IFERROR(INDEX(Мижозлар[Агент],MATCH($D822,Мижозлар[Расмий ном],0)),"")</f>
        <v/>
      </c>
    </row>
    <row r="823" spans="1:23" ht="14.25" x14ac:dyDescent="0.2">
      <c r="A823" s="21"/>
      <c r="B823" s="135"/>
      <c r="C823" s="141"/>
      <c r="D823" s="141"/>
      <c r="E823" s="136"/>
      <c r="F823" s="135"/>
      <c r="G823" s="34"/>
      <c r="H823" s="142"/>
      <c r="I823" s="34"/>
      <c r="J823" s="34">
        <f>Таблица1[[#This Row],[Блок
 Куб]]*Таблица1[[#This Row],[Цена 
Приход]]</f>
        <v>0</v>
      </c>
      <c r="K823" s="34"/>
      <c r="L823" s="34"/>
      <c r="M823" s="34">
        <f>Таблица1[[#This Row],[Поддон
Шт]]*Таблица1[[#This Row],[Цена
Поддон]]</f>
        <v>0</v>
      </c>
      <c r="N823" s="34">
        <f>Таблица1[[#This Row],[Сумма 
Приход]]+Таблица1[[#This Row],[Сумма Поддон]]</f>
        <v>0</v>
      </c>
      <c r="O823" s="34"/>
      <c r="P823" s="34">
        <f>Таблица1[[#This Row],[Блок
 Куб]]*Таблица1[[#This Row],[Цена
 Продажа]]</f>
        <v>0</v>
      </c>
      <c r="Q823" s="34"/>
      <c r="R823" s="34">
        <f>Таблица1[[#This Row],[Сумма 
Продажа]]-Таблица1[[#This Row],[Сумма 
Приход]]-Таблица1[[#This Row],[Авто услу ]]</f>
        <v>0</v>
      </c>
      <c r="S823" s="34"/>
      <c r="T823" s="34">
        <f>Таблица1[[#This Row],[Сумма 
Продажа]]-IF(Таблица1[[#This Row],[Расход 
Авто]]="Клиент",N(Таблица1[[#This Row],[Авто услу ]]),0)</f>
        <v>0</v>
      </c>
      <c r="U8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3" s="265" t="str">
        <f>IFERROR(INDEX(Мижозлар[Агент],MATCH($D823,Мижозлар[Расмий ном],0)),"")</f>
        <v/>
      </c>
    </row>
    <row r="824" spans="1:23" ht="14.25" x14ac:dyDescent="0.2">
      <c r="A824" s="21"/>
      <c r="B824" s="135"/>
      <c r="C824" s="141"/>
      <c r="D824" s="141"/>
      <c r="E824" s="136"/>
      <c r="F824" s="135"/>
      <c r="G824" s="34"/>
      <c r="H824" s="142"/>
      <c r="I824" s="34"/>
      <c r="J824" s="34">
        <f>Таблица1[[#This Row],[Блок
 Куб]]*Таблица1[[#This Row],[Цена 
Приход]]</f>
        <v>0</v>
      </c>
      <c r="K824" s="34"/>
      <c r="L824" s="34"/>
      <c r="M824" s="34">
        <f>Таблица1[[#This Row],[Поддон
Шт]]*Таблица1[[#This Row],[Цена
Поддон]]</f>
        <v>0</v>
      </c>
      <c r="N824" s="34">
        <f>Таблица1[[#This Row],[Сумма 
Приход]]+Таблица1[[#This Row],[Сумма Поддон]]</f>
        <v>0</v>
      </c>
      <c r="O824" s="34"/>
      <c r="P824" s="34">
        <f>Таблица1[[#This Row],[Блок
 Куб]]*Таблица1[[#This Row],[Цена
 Продажа]]</f>
        <v>0</v>
      </c>
      <c r="Q824" s="34"/>
      <c r="R824" s="34">
        <f>Таблица1[[#This Row],[Сумма 
Продажа]]-Таблица1[[#This Row],[Сумма 
Приход]]-Таблица1[[#This Row],[Авто услу ]]</f>
        <v>0</v>
      </c>
      <c r="S824" s="34"/>
      <c r="T824" s="34">
        <f>Таблица1[[#This Row],[Сумма 
Продажа]]-IF(Таблица1[[#This Row],[Расход 
Авто]]="Клиент",N(Таблица1[[#This Row],[Авто услу ]]),0)</f>
        <v>0</v>
      </c>
      <c r="U8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4" s="265" t="str">
        <f>IFERROR(INDEX(Мижозлар[Агент],MATCH($D824,Мижозлар[Расмий ном],0)),"")</f>
        <v/>
      </c>
    </row>
    <row r="825" spans="1:23" ht="14.25" x14ac:dyDescent="0.2">
      <c r="A825" s="21"/>
      <c r="B825" s="135"/>
      <c r="C825" s="141"/>
      <c r="D825" s="141"/>
      <c r="E825" s="136"/>
      <c r="F825" s="135"/>
      <c r="G825" s="34"/>
      <c r="H825" s="142"/>
      <c r="I825" s="34"/>
      <c r="J825" s="34">
        <f>Таблица1[[#This Row],[Блок
 Куб]]*Таблица1[[#This Row],[Цена 
Приход]]</f>
        <v>0</v>
      </c>
      <c r="K825" s="34"/>
      <c r="L825" s="34"/>
      <c r="M825" s="34">
        <f>Таблица1[[#This Row],[Поддон
Шт]]*Таблица1[[#This Row],[Цена
Поддон]]</f>
        <v>0</v>
      </c>
      <c r="N825" s="34">
        <f>Таблица1[[#This Row],[Сумма 
Приход]]+Таблица1[[#This Row],[Сумма Поддон]]</f>
        <v>0</v>
      </c>
      <c r="O825" s="34"/>
      <c r="P825" s="34">
        <f>Таблица1[[#This Row],[Блок
 Куб]]*Таблица1[[#This Row],[Цена
 Продажа]]</f>
        <v>0</v>
      </c>
      <c r="Q825" s="34"/>
      <c r="R825" s="34">
        <f>Таблица1[[#This Row],[Сумма 
Продажа]]-Таблица1[[#This Row],[Сумма 
Приход]]-Таблица1[[#This Row],[Авто услу ]]</f>
        <v>0</v>
      </c>
      <c r="S825" s="34"/>
      <c r="T825" s="34">
        <f>Таблица1[[#This Row],[Сумма 
Продажа]]-IF(Таблица1[[#This Row],[Расход 
Авто]]="Клиент",N(Таблица1[[#This Row],[Авто услу ]]),0)</f>
        <v>0</v>
      </c>
      <c r="U8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5" s="265" t="str">
        <f>IFERROR(INDEX(Мижозлар[Агент],MATCH($D825,Мижозлар[Расмий ном],0)),"")</f>
        <v/>
      </c>
    </row>
    <row r="826" spans="1:23" ht="14.25" x14ac:dyDescent="0.2">
      <c r="A826" s="21"/>
      <c r="B826" s="135"/>
      <c r="C826" s="141"/>
      <c r="D826" s="141"/>
      <c r="E826" s="136"/>
      <c r="F826" s="135"/>
      <c r="G826" s="34"/>
      <c r="H826" s="142"/>
      <c r="I826" s="34"/>
      <c r="J826" s="34">
        <f>Таблица1[[#This Row],[Блок
 Куб]]*Таблица1[[#This Row],[Цена 
Приход]]</f>
        <v>0</v>
      </c>
      <c r="K826" s="34"/>
      <c r="L826" s="34"/>
      <c r="M826" s="34">
        <f>Таблица1[[#This Row],[Поддон
Шт]]*Таблица1[[#This Row],[Цена
Поддон]]</f>
        <v>0</v>
      </c>
      <c r="N826" s="34">
        <f>Таблица1[[#This Row],[Сумма 
Приход]]+Таблица1[[#This Row],[Сумма Поддон]]</f>
        <v>0</v>
      </c>
      <c r="O826" s="34"/>
      <c r="P826" s="34">
        <f>Таблица1[[#This Row],[Блок
 Куб]]*Таблица1[[#This Row],[Цена
 Продажа]]</f>
        <v>0</v>
      </c>
      <c r="Q826" s="34"/>
      <c r="R826" s="34">
        <f>Таблица1[[#This Row],[Сумма 
Продажа]]-Таблица1[[#This Row],[Сумма 
Приход]]-Таблица1[[#This Row],[Авто услу ]]</f>
        <v>0</v>
      </c>
      <c r="S826" s="34"/>
      <c r="T826" s="34">
        <f>Таблица1[[#This Row],[Сумма 
Продажа]]-IF(Таблица1[[#This Row],[Расход 
Авто]]="Клиент",N(Таблица1[[#This Row],[Авто услу ]]),0)</f>
        <v>0</v>
      </c>
      <c r="U8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6" s="265" t="str">
        <f>IFERROR(INDEX(Мижозлар[Агент],MATCH($D826,Мижозлар[Расмий ном],0)),"")</f>
        <v/>
      </c>
    </row>
    <row r="827" spans="1:23" ht="14.25" x14ac:dyDescent="0.2">
      <c r="A827" s="21"/>
      <c r="B827" s="135"/>
      <c r="C827" s="141"/>
      <c r="D827" s="141"/>
      <c r="E827" s="136"/>
      <c r="F827" s="135"/>
      <c r="G827" s="34"/>
      <c r="H827" s="142"/>
      <c r="I827" s="34"/>
      <c r="J827" s="34">
        <f>Таблица1[[#This Row],[Блок
 Куб]]*Таблица1[[#This Row],[Цена 
Приход]]</f>
        <v>0</v>
      </c>
      <c r="K827" s="34"/>
      <c r="L827" s="34"/>
      <c r="M827" s="34">
        <f>Таблица1[[#This Row],[Поддон
Шт]]*Таблица1[[#This Row],[Цена
Поддон]]</f>
        <v>0</v>
      </c>
      <c r="N827" s="34">
        <f>Таблица1[[#This Row],[Сумма 
Приход]]+Таблица1[[#This Row],[Сумма Поддон]]</f>
        <v>0</v>
      </c>
      <c r="O827" s="34"/>
      <c r="P827" s="34">
        <f>Таблица1[[#This Row],[Блок
 Куб]]*Таблица1[[#This Row],[Цена
 Продажа]]</f>
        <v>0</v>
      </c>
      <c r="Q827" s="34"/>
      <c r="R827" s="34">
        <f>Таблица1[[#This Row],[Сумма 
Продажа]]-Таблица1[[#This Row],[Сумма 
Приход]]-Таблица1[[#This Row],[Авто услу ]]</f>
        <v>0</v>
      </c>
      <c r="S827" s="34"/>
      <c r="T827" s="34">
        <f>Таблица1[[#This Row],[Сумма 
Продажа]]-IF(Таблица1[[#This Row],[Расход 
Авто]]="Клиент",N(Таблица1[[#This Row],[Авто услу ]]),0)</f>
        <v>0</v>
      </c>
      <c r="U8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7" s="265" t="str">
        <f>IFERROR(INDEX(Мижозлар[Агент],MATCH($D827,Мижозлар[Расмий ном],0)),"")</f>
        <v/>
      </c>
    </row>
    <row r="828" spans="1:23" ht="14.25" x14ac:dyDescent="0.2">
      <c r="A828" s="21"/>
      <c r="B828" s="135"/>
      <c r="C828" s="141"/>
      <c r="D828" s="141"/>
      <c r="E828" s="136"/>
      <c r="F828" s="135"/>
      <c r="G828" s="34"/>
      <c r="H828" s="142"/>
      <c r="I828" s="34"/>
      <c r="J828" s="34">
        <f>Таблица1[[#This Row],[Блок
 Куб]]*Таблица1[[#This Row],[Цена 
Приход]]</f>
        <v>0</v>
      </c>
      <c r="K828" s="34"/>
      <c r="L828" s="34"/>
      <c r="M828" s="34">
        <f>Таблица1[[#This Row],[Поддон
Шт]]*Таблица1[[#This Row],[Цена
Поддон]]</f>
        <v>0</v>
      </c>
      <c r="N828" s="34">
        <f>Таблица1[[#This Row],[Сумма 
Приход]]+Таблица1[[#This Row],[Сумма Поддон]]</f>
        <v>0</v>
      </c>
      <c r="O828" s="34"/>
      <c r="P828" s="34">
        <f>Таблица1[[#This Row],[Блок
 Куб]]*Таблица1[[#This Row],[Цена
 Продажа]]</f>
        <v>0</v>
      </c>
      <c r="Q828" s="34"/>
      <c r="R828" s="34">
        <f>Таблица1[[#This Row],[Сумма 
Продажа]]-Таблица1[[#This Row],[Сумма 
Приход]]-Таблица1[[#This Row],[Авто услу ]]</f>
        <v>0</v>
      </c>
      <c r="S828" s="34"/>
      <c r="T828" s="34">
        <f>Таблица1[[#This Row],[Сумма 
Продажа]]-IF(Таблица1[[#This Row],[Расход 
Авто]]="Клиент",N(Таблица1[[#This Row],[Авто услу ]]),0)</f>
        <v>0</v>
      </c>
      <c r="U8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8" s="265" t="str">
        <f>IFERROR(INDEX(Мижозлар[Агент],MATCH($D828,Мижозлар[Расмий ном],0)),"")</f>
        <v/>
      </c>
    </row>
    <row r="829" spans="1:23" ht="14.25" x14ac:dyDescent="0.2">
      <c r="A829" s="21"/>
      <c r="B829" s="135"/>
      <c r="C829" s="141"/>
      <c r="D829" s="141"/>
      <c r="E829" s="136"/>
      <c r="F829" s="135"/>
      <c r="G829" s="34"/>
      <c r="H829" s="142"/>
      <c r="I829" s="34"/>
      <c r="J829" s="34">
        <f>Таблица1[[#This Row],[Блок
 Куб]]*Таблица1[[#This Row],[Цена 
Приход]]</f>
        <v>0</v>
      </c>
      <c r="K829" s="34"/>
      <c r="L829" s="34"/>
      <c r="M829" s="34">
        <f>Таблица1[[#This Row],[Поддон
Шт]]*Таблица1[[#This Row],[Цена
Поддон]]</f>
        <v>0</v>
      </c>
      <c r="N829" s="34">
        <f>Таблица1[[#This Row],[Сумма 
Приход]]+Таблица1[[#This Row],[Сумма Поддон]]</f>
        <v>0</v>
      </c>
      <c r="O829" s="34"/>
      <c r="P829" s="34">
        <f>Таблица1[[#This Row],[Блок
 Куб]]*Таблица1[[#This Row],[Цена
 Продажа]]</f>
        <v>0</v>
      </c>
      <c r="Q829" s="34"/>
      <c r="R829" s="34">
        <f>Таблица1[[#This Row],[Сумма 
Продажа]]-Таблица1[[#This Row],[Сумма 
Приход]]-Таблица1[[#This Row],[Авто услу ]]</f>
        <v>0</v>
      </c>
      <c r="S829" s="34"/>
      <c r="T829" s="34">
        <f>Таблица1[[#This Row],[Сумма 
Продажа]]-IF(Таблица1[[#This Row],[Расход 
Авто]]="Клиент",N(Таблица1[[#This Row],[Авто услу ]]),0)</f>
        <v>0</v>
      </c>
      <c r="U8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29" s="265" t="str">
        <f>IFERROR(INDEX(Мижозлар[Агент],MATCH($D829,Мижозлар[Расмий ном],0)),"")</f>
        <v/>
      </c>
    </row>
    <row r="830" spans="1:23" ht="14.25" x14ac:dyDescent="0.2">
      <c r="A830" s="21"/>
      <c r="B830" s="135"/>
      <c r="C830" s="141"/>
      <c r="D830" s="141"/>
      <c r="E830" s="136"/>
      <c r="F830" s="135"/>
      <c r="G830" s="34"/>
      <c r="H830" s="142"/>
      <c r="I830" s="34"/>
      <c r="J830" s="34">
        <f>Таблица1[[#This Row],[Блок
 Куб]]*Таблица1[[#This Row],[Цена 
Приход]]</f>
        <v>0</v>
      </c>
      <c r="K830" s="34"/>
      <c r="L830" s="34"/>
      <c r="M830" s="34">
        <f>Таблица1[[#This Row],[Поддон
Шт]]*Таблица1[[#This Row],[Цена
Поддон]]</f>
        <v>0</v>
      </c>
      <c r="N830" s="34">
        <f>Таблица1[[#This Row],[Сумма 
Приход]]+Таблица1[[#This Row],[Сумма Поддон]]</f>
        <v>0</v>
      </c>
      <c r="O830" s="34"/>
      <c r="P830" s="34">
        <f>Таблица1[[#This Row],[Блок
 Куб]]*Таблица1[[#This Row],[Цена
 Продажа]]</f>
        <v>0</v>
      </c>
      <c r="Q830" s="34"/>
      <c r="R830" s="34">
        <f>Таблица1[[#This Row],[Сумма 
Продажа]]-Таблица1[[#This Row],[Сумма 
Приход]]-Таблица1[[#This Row],[Авто услу ]]</f>
        <v>0</v>
      </c>
      <c r="S830" s="34"/>
      <c r="T830" s="34">
        <f>Таблица1[[#This Row],[Сумма 
Продажа]]-IF(Таблица1[[#This Row],[Расход 
Авто]]="Клиент",N(Таблица1[[#This Row],[Авто услу ]]),0)</f>
        <v>0</v>
      </c>
      <c r="U8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0" s="265" t="str">
        <f>IFERROR(INDEX(Мижозлар[Агент],MATCH($D830,Мижозлар[Расмий ном],0)),"")</f>
        <v/>
      </c>
    </row>
    <row r="831" spans="1:23" ht="14.25" x14ac:dyDescent="0.2">
      <c r="A831" s="21"/>
      <c r="B831" s="135"/>
      <c r="C831" s="141"/>
      <c r="D831" s="141"/>
      <c r="E831" s="136"/>
      <c r="F831" s="135"/>
      <c r="G831" s="34"/>
      <c r="H831" s="142"/>
      <c r="I831" s="34"/>
      <c r="J831" s="34">
        <f>Таблица1[[#This Row],[Блок
 Куб]]*Таблица1[[#This Row],[Цена 
Приход]]</f>
        <v>0</v>
      </c>
      <c r="K831" s="34"/>
      <c r="L831" s="34"/>
      <c r="M831" s="34">
        <f>Таблица1[[#This Row],[Поддон
Шт]]*Таблица1[[#This Row],[Цена
Поддон]]</f>
        <v>0</v>
      </c>
      <c r="N831" s="34">
        <f>Таблица1[[#This Row],[Сумма 
Приход]]+Таблица1[[#This Row],[Сумма Поддон]]</f>
        <v>0</v>
      </c>
      <c r="O831" s="34"/>
      <c r="P831" s="34">
        <f>Таблица1[[#This Row],[Блок
 Куб]]*Таблица1[[#This Row],[Цена
 Продажа]]</f>
        <v>0</v>
      </c>
      <c r="Q831" s="34"/>
      <c r="R831" s="34">
        <f>Таблица1[[#This Row],[Сумма 
Продажа]]-Таблица1[[#This Row],[Сумма 
Приход]]-Таблица1[[#This Row],[Авто услу ]]</f>
        <v>0</v>
      </c>
      <c r="S831" s="34"/>
      <c r="T831" s="34">
        <f>Таблица1[[#This Row],[Сумма 
Продажа]]-IF(Таблица1[[#This Row],[Расход 
Авто]]="Клиент",N(Таблица1[[#This Row],[Авто услу ]]),0)</f>
        <v>0</v>
      </c>
      <c r="U8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1" s="265" t="str">
        <f>IFERROR(INDEX(Мижозлар[Агент],MATCH($D831,Мижозлар[Расмий ном],0)),"")</f>
        <v/>
      </c>
    </row>
    <row r="832" spans="1:23" ht="14.25" x14ac:dyDescent="0.2">
      <c r="A832" s="21"/>
      <c r="B832" s="135"/>
      <c r="C832" s="141"/>
      <c r="D832" s="141"/>
      <c r="E832" s="136"/>
      <c r="F832" s="135"/>
      <c r="G832" s="34"/>
      <c r="H832" s="142"/>
      <c r="I832" s="34"/>
      <c r="J832" s="34">
        <f>Таблица1[[#This Row],[Блок
 Куб]]*Таблица1[[#This Row],[Цена 
Приход]]</f>
        <v>0</v>
      </c>
      <c r="K832" s="34"/>
      <c r="L832" s="34"/>
      <c r="M832" s="34">
        <f>Таблица1[[#This Row],[Поддон
Шт]]*Таблица1[[#This Row],[Цена
Поддон]]</f>
        <v>0</v>
      </c>
      <c r="N832" s="34">
        <f>Таблица1[[#This Row],[Сумма 
Приход]]+Таблица1[[#This Row],[Сумма Поддон]]</f>
        <v>0</v>
      </c>
      <c r="O832" s="34"/>
      <c r="P832" s="34">
        <f>Таблица1[[#This Row],[Блок
 Куб]]*Таблица1[[#This Row],[Цена
 Продажа]]</f>
        <v>0</v>
      </c>
      <c r="Q832" s="34"/>
      <c r="R832" s="34">
        <f>Таблица1[[#This Row],[Сумма 
Продажа]]-Таблица1[[#This Row],[Сумма 
Приход]]-Таблица1[[#This Row],[Авто услу ]]</f>
        <v>0</v>
      </c>
      <c r="S832" s="34"/>
      <c r="T832" s="34">
        <f>Таблица1[[#This Row],[Сумма 
Продажа]]-IF(Таблица1[[#This Row],[Расход 
Авто]]="Клиент",N(Таблица1[[#This Row],[Авто услу ]]),0)</f>
        <v>0</v>
      </c>
      <c r="U8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2" s="265" t="str">
        <f>IFERROR(INDEX(Мижозлар[Агент],MATCH($D832,Мижозлар[Расмий ном],0)),"")</f>
        <v/>
      </c>
    </row>
    <row r="833" spans="1:23" ht="14.25" x14ac:dyDescent="0.2">
      <c r="A833" s="21"/>
      <c r="B833" s="135"/>
      <c r="C833" s="141"/>
      <c r="D833" s="141"/>
      <c r="E833" s="136"/>
      <c r="F833" s="135"/>
      <c r="G833" s="34"/>
      <c r="H833" s="142"/>
      <c r="I833" s="34"/>
      <c r="J833" s="34">
        <f>Таблица1[[#This Row],[Блок
 Куб]]*Таблица1[[#This Row],[Цена 
Приход]]</f>
        <v>0</v>
      </c>
      <c r="K833" s="34"/>
      <c r="L833" s="34"/>
      <c r="M833" s="34">
        <f>Таблица1[[#This Row],[Поддон
Шт]]*Таблица1[[#This Row],[Цена
Поддон]]</f>
        <v>0</v>
      </c>
      <c r="N833" s="34">
        <f>Таблица1[[#This Row],[Сумма 
Приход]]+Таблица1[[#This Row],[Сумма Поддон]]</f>
        <v>0</v>
      </c>
      <c r="O833" s="34"/>
      <c r="P833" s="34">
        <f>Таблица1[[#This Row],[Блок
 Куб]]*Таблица1[[#This Row],[Цена
 Продажа]]</f>
        <v>0</v>
      </c>
      <c r="Q833" s="34"/>
      <c r="R833" s="34">
        <f>Таблица1[[#This Row],[Сумма 
Продажа]]-Таблица1[[#This Row],[Сумма 
Приход]]-Таблица1[[#This Row],[Авто услу ]]</f>
        <v>0</v>
      </c>
      <c r="S833" s="34"/>
      <c r="T833" s="34">
        <f>Таблица1[[#This Row],[Сумма 
Продажа]]-IF(Таблица1[[#This Row],[Расход 
Авто]]="Клиент",N(Таблица1[[#This Row],[Авто услу ]]),0)</f>
        <v>0</v>
      </c>
      <c r="U8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3" s="265" t="str">
        <f>IFERROR(INDEX(Мижозлар[Агент],MATCH($D833,Мижозлар[Расмий ном],0)),"")</f>
        <v/>
      </c>
    </row>
    <row r="834" spans="1:23" ht="14.25" x14ac:dyDescent="0.2">
      <c r="A834" s="21"/>
      <c r="B834" s="135"/>
      <c r="C834" s="141"/>
      <c r="D834" s="141"/>
      <c r="E834" s="136"/>
      <c r="F834" s="135"/>
      <c r="G834" s="34"/>
      <c r="H834" s="142"/>
      <c r="I834" s="34"/>
      <c r="J834" s="34">
        <f>Таблица1[[#This Row],[Блок
 Куб]]*Таблица1[[#This Row],[Цена 
Приход]]</f>
        <v>0</v>
      </c>
      <c r="K834" s="34"/>
      <c r="L834" s="34"/>
      <c r="M834" s="34">
        <f>Таблица1[[#This Row],[Поддон
Шт]]*Таблица1[[#This Row],[Цена
Поддон]]</f>
        <v>0</v>
      </c>
      <c r="N834" s="34">
        <f>Таблица1[[#This Row],[Сумма 
Приход]]+Таблица1[[#This Row],[Сумма Поддон]]</f>
        <v>0</v>
      </c>
      <c r="O834" s="34"/>
      <c r="P834" s="34">
        <f>Таблица1[[#This Row],[Блок
 Куб]]*Таблица1[[#This Row],[Цена
 Продажа]]</f>
        <v>0</v>
      </c>
      <c r="Q834" s="34"/>
      <c r="R834" s="34">
        <f>Таблица1[[#This Row],[Сумма 
Продажа]]-Таблица1[[#This Row],[Сумма 
Приход]]-Таблица1[[#This Row],[Авто услу ]]</f>
        <v>0</v>
      </c>
      <c r="S834" s="34"/>
      <c r="T834" s="34">
        <f>Таблица1[[#This Row],[Сумма 
Продажа]]-IF(Таблица1[[#This Row],[Расход 
Авто]]="Клиент",N(Таблица1[[#This Row],[Авто услу ]]),0)</f>
        <v>0</v>
      </c>
      <c r="U8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4" s="265" t="str">
        <f>IFERROR(INDEX(Мижозлар[Агент],MATCH($D834,Мижозлар[Расмий ном],0)),"")</f>
        <v/>
      </c>
    </row>
    <row r="835" spans="1:23" ht="14.25" x14ac:dyDescent="0.2">
      <c r="A835" s="21"/>
      <c r="B835" s="135"/>
      <c r="C835" s="141"/>
      <c r="D835" s="141"/>
      <c r="E835" s="136"/>
      <c r="F835" s="135"/>
      <c r="G835" s="34"/>
      <c r="H835" s="142"/>
      <c r="I835" s="34"/>
      <c r="J835" s="34">
        <f>Таблица1[[#This Row],[Блок
 Куб]]*Таблица1[[#This Row],[Цена 
Приход]]</f>
        <v>0</v>
      </c>
      <c r="K835" s="34"/>
      <c r="L835" s="34"/>
      <c r="M835" s="34">
        <f>Таблица1[[#This Row],[Поддон
Шт]]*Таблица1[[#This Row],[Цена
Поддон]]</f>
        <v>0</v>
      </c>
      <c r="N835" s="34">
        <f>Таблица1[[#This Row],[Сумма 
Приход]]+Таблица1[[#This Row],[Сумма Поддон]]</f>
        <v>0</v>
      </c>
      <c r="O835" s="34"/>
      <c r="P835" s="34">
        <f>Таблица1[[#This Row],[Блок
 Куб]]*Таблица1[[#This Row],[Цена
 Продажа]]</f>
        <v>0</v>
      </c>
      <c r="Q835" s="34"/>
      <c r="R835" s="34">
        <f>Таблица1[[#This Row],[Сумма 
Продажа]]-Таблица1[[#This Row],[Сумма 
Приход]]-Таблица1[[#This Row],[Авто услу ]]</f>
        <v>0</v>
      </c>
      <c r="S835" s="34"/>
      <c r="T835" s="34">
        <f>Таблица1[[#This Row],[Сумма 
Продажа]]-IF(Таблица1[[#This Row],[Расход 
Авто]]="Клиент",N(Таблица1[[#This Row],[Авто услу ]]),0)</f>
        <v>0</v>
      </c>
      <c r="U8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5" s="265" t="str">
        <f>IFERROR(INDEX(Мижозлар[Агент],MATCH($D835,Мижозлар[Расмий ном],0)),"")</f>
        <v/>
      </c>
    </row>
    <row r="836" spans="1:23" ht="14.25" x14ac:dyDescent="0.2">
      <c r="A836" s="21"/>
      <c r="B836" s="135"/>
      <c r="C836" s="141"/>
      <c r="D836" s="141"/>
      <c r="E836" s="136"/>
      <c r="F836" s="135"/>
      <c r="G836" s="34"/>
      <c r="H836" s="142"/>
      <c r="I836" s="34"/>
      <c r="J836" s="34">
        <f>Таблица1[[#This Row],[Блок
 Куб]]*Таблица1[[#This Row],[Цена 
Приход]]</f>
        <v>0</v>
      </c>
      <c r="K836" s="34"/>
      <c r="L836" s="34"/>
      <c r="M836" s="34">
        <f>Таблица1[[#This Row],[Поддон
Шт]]*Таблица1[[#This Row],[Цена
Поддон]]</f>
        <v>0</v>
      </c>
      <c r="N836" s="34">
        <f>Таблица1[[#This Row],[Сумма 
Приход]]+Таблица1[[#This Row],[Сумма Поддон]]</f>
        <v>0</v>
      </c>
      <c r="O836" s="34"/>
      <c r="P836" s="34">
        <f>Таблица1[[#This Row],[Блок
 Куб]]*Таблица1[[#This Row],[Цена
 Продажа]]</f>
        <v>0</v>
      </c>
      <c r="Q836" s="34"/>
      <c r="R836" s="34">
        <f>Таблица1[[#This Row],[Сумма 
Продажа]]-Таблица1[[#This Row],[Сумма 
Приход]]-Таблица1[[#This Row],[Авто услу ]]</f>
        <v>0</v>
      </c>
      <c r="S836" s="34"/>
      <c r="T836" s="34">
        <f>Таблица1[[#This Row],[Сумма 
Продажа]]-IF(Таблица1[[#This Row],[Расход 
Авто]]="Клиент",N(Таблица1[[#This Row],[Авто услу ]]),0)</f>
        <v>0</v>
      </c>
      <c r="U8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6" s="265" t="str">
        <f>IFERROR(INDEX(Мижозлар[Агент],MATCH($D836,Мижозлар[Расмий ном],0)),"")</f>
        <v/>
      </c>
    </row>
    <row r="837" spans="1:23" ht="14.25" x14ac:dyDescent="0.2">
      <c r="A837" s="21"/>
      <c r="B837" s="135"/>
      <c r="C837" s="141"/>
      <c r="D837" s="141"/>
      <c r="E837" s="136"/>
      <c r="F837" s="135"/>
      <c r="G837" s="34"/>
      <c r="H837" s="142"/>
      <c r="I837" s="34"/>
      <c r="J837" s="34">
        <f>Таблица1[[#This Row],[Блок
 Куб]]*Таблица1[[#This Row],[Цена 
Приход]]</f>
        <v>0</v>
      </c>
      <c r="K837" s="34"/>
      <c r="L837" s="34"/>
      <c r="M837" s="34">
        <f>Таблица1[[#This Row],[Поддон
Шт]]*Таблица1[[#This Row],[Цена
Поддон]]</f>
        <v>0</v>
      </c>
      <c r="N837" s="34">
        <f>Таблица1[[#This Row],[Сумма 
Приход]]+Таблица1[[#This Row],[Сумма Поддон]]</f>
        <v>0</v>
      </c>
      <c r="O837" s="34"/>
      <c r="P837" s="34">
        <f>Таблица1[[#This Row],[Блок
 Куб]]*Таблица1[[#This Row],[Цена
 Продажа]]</f>
        <v>0</v>
      </c>
      <c r="Q837" s="34"/>
      <c r="R837" s="34">
        <f>Таблица1[[#This Row],[Сумма 
Продажа]]-Таблица1[[#This Row],[Сумма 
Приход]]-Таблица1[[#This Row],[Авто услу ]]</f>
        <v>0</v>
      </c>
      <c r="S837" s="34"/>
      <c r="T837" s="34">
        <f>Таблица1[[#This Row],[Сумма 
Продажа]]-IF(Таблица1[[#This Row],[Расход 
Авто]]="Клиент",N(Таблица1[[#This Row],[Авто услу ]]),0)</f>
        <v>0</v>
      </c>
      <c r="U8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7" s="265" t="str">
        <f>IFERROR(INDEX(Мижозлар[Агент],MATCH($D837,Мижозлар[Расмий ном],0)),"")</f>
        <v/>
      </c>
    </row>
    <row r="838" spans="1:23" ht="14.25" x14ac:dyDescent="0.2">
      <c r="A838" s="21"/>
      <c r="B838" s="135"/>
      <c r="C838" s="141"/>
      <c r="D838" s="141"/>
      <c r="E838" s="136"/>
      <c r="F838" s="135"/>
      <c r="G838" s="34"/>
      <c r="H838" s="142"/>
      <c r="I838" s="34"/>
      <c r="J838" s="34">
        <f>Таблица1[[#This Row],[Блок
 Куб]]*Таблица1[[#This Row],[Цена 
Приход]]</f>
        <v>0</v>
      </c>
      <c r="K838" s="34"/>
      <c r="L838" s="34"/>
      <c r="M838" s="34">
        <f>Таблица1[[#This Row],[Поддон
Шт]]*Таблица1[[#This Row],[Цена
Поддон]]</f>
        <v>0</v>
      </c>
      <c r="N838" s="34">
        <f>Таблица1[[#This Row],[Сумма 
Приход]]+Таблица1[[#This Row],[Сумма Поддон]]</f>
        <v>0</v>
      </c>
      <c r="O838" s="34"/>
      <c r="P838" s="34">
        <f>Таблица1[[#This Row],[Блок
 Куб]]*Таблица1[[#This Row],[Цена
 Продажа]]</f>
        <v>0</v>
      </c>
      <c r="Q838" s="34"/>
      <c r="R838" s="34">
        <f>Таблица1[[#This Row],[Сумма 
Продажа]]-Таблица1[[#This Row],[Сумма 
Приход]]-Таблица1[[#This Row],[Авто услу ]]</f>
        <v>0</v>
      </c>
      <c r="S838" s="34"/>
      <c r="T838" s="34">
        <f>Таблица1[[#This Row],[Сумма 
Продажа]]-IF(Таблица1[[#This Row],[Расход 
Авто]]="Клиент",N(Таблица1[[#This Row],[Авто услу ]]),0)</f>
        <v>0</v>
      </c>
      <c r="U8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8" s="265" t="str">
        <f>IFERROR(INDEX(Мижозлар[Агент],MATCH($D838,Мижозлар[Расмий ном],0)),"")</f>
        <v/>
      </c>
    </row>
    <row r="839" spans="1:23" ht="14.25" x14ac:dyDescent="0.2">
      <c r="A839" s="21"/>
      <c r="B839" s="135"/>
      <c r="C839" s="141"/>
      <c r="D839" s="141"/>
      <c r="E839" s="136"/>
      <c r="F839" s="135"/>
      <c r="G839" s="34"/>
      <c r="H839" s="142"/>
      <c r="I839" s="34"/>
      <c r="J839" s="34">
        <f>Таблица1[[#This Row],[Блок
 Куб]]*Таблица1[[#This Row],[Цена 
Приход]]</f>
        <v>0</v>
      </c>
      <c r="K839" s="34"/>
      <c r="L839" s="34"/>
      <c r="M839" s="34">
        <f>Таблица1[[#This Row],[Поддон
Шт]]*Таблица1[[#This Row],[Цена
Поддон]]</f>
        <v>0</v>
      </c>
      <c r="N839" s="34">
        <f>Таблица1[[#This Row],[Сумма 
Приход]]+Таблица1[[#This Row],[Сумма Поддон]]</f>
        <v>0</v>
      </c>
      <c r="O839" s="34"/>
      <c r="P839" s="34">
        <f>Таблица1[[#This Row],[Блок
 Куб]]*Таблица1[[#This Row],[Цена
 Продажа]]</f>
        <v>0</v>
      </c>
      <c r="Q839" s="34"/>
      <c r="R839" s="34">
        <f>Таблица1[[#This Row],[Сумма 
Продажа]]-Таблица1[[#This Row],[Сумма 
Приход]]-Таблица1[[#This Row],[Авто услу ]]</f>
        <v>0</v>
      </c>
      <c r="S839" s="34"/>
      <c r="T839" s="34">
        <f>Таблица1[[#This Row],[Сумма 
Продажа]]-IF(Таблица1[[#This Row],[Расход 
Авто]]="Клиент",N(Таблица1[[#This Row],[Авто услу ]]),0)</f>
        <v>0</v>
      </c>
      <c r="U8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39" s="265" t="str">
        <f>IFERROR(INDEX(Мижозлар[Агент],MATCH($D839,Мижозлар[Расмий ном],0)),"")</f>
        <v/>
      </c>
    </row>
    <row r="840" spans="1:23" ht="14.25" x14ac:dyDescent="0.2">
      <c r="A840" s="21"/>
      <c r="B840" s="135"/>
      <c r="C840" s="141"/>
      <c r="D840" s="141"/>
      <c r="E840" s="136"/>
      <c r="F840" s="135"/>
      <c r="G840" s="34"/>
      <c r="H840" s="142"/>
      <c r="I840" s="34"/>
      <c r="J840" s="34">
        <f>Таблица1[[#This Row],[Блок
 Куб]]*Таблица1[[#This Row],[Цена 
Приход]]</f>
        <v>0</v>
      </c>
      <c r="K840" s="34"/>
      <c r="L840" s="34"/>
      <c r="M840" s="34">
        <f>Таблица1[[#This Row],[Поддон
Шт]]*Таблица1[[#This Row],[Цена
Поддон]]</f>
        <v>0</v>
      </c>
      <c r="N840" s="34">
        <f>Таблица1[[#This Row],[Сумма 
Приход]]+Таблица1[[#This Row],[Сумма Поддон]]</f>
        <v>0</v>
      </c>
      <c r="O840" s="34"/>
      <c r="P840" s="34">
        <f>Таблица1[[#This Row],[Блок
 Куб]]*Таблица1[[#This Row],[Цена
 Продажа]]</f>
        <v>0</v>
      </c>
      <c r="Q840" s="34"/>
      <c r="R840" s="34">
        <f>Таблица1[[#This Row],[Сумма 
Продажа]]-Таблица1[[#This Row],[Сумма 
Приход]]-Таблица1[[#This Row],[Авто услу ]]</f>
        <v>0</v>
      </c>
      <c r="S840" s="34"/>
      <c r="T840" s="34">
        <f>Таблица1[[#This Row],[Сумма 
Продажа]]-IF(Таблица1[[#This Row],[Расход 
Авто]]="Клиент",N(Таблица1[[#This Row],[Авто услу ]]),0)</f>
        <v>0</v>
      </c>
      <c r="U8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0" s="265" t="str">
        <f>IFERROR(INDEX(Мижозлар[Агент],MATCH($D840,Мижозлар[Расмий ном],0)),"")</f>
        <v/>
      </c>
    </row>
    <row r="841" spans="1:23" ht="14.25" x14ac:dyDescent="0.2">
      <c r="A841" s="21"/>
      <c r="B841" s="135"/>
      <c r="C841" s="141"/>
      <c r="D841" s="141"/>
      <c r="E841" s="136"/>
      <c r="F841" s="135"/>
      <c r="G841" s="34"/>
      <c r="H841" s="142"/>
      <c r="I841" s="34"/>
      <c r="J841" s="34">
        <f>Таблица1[[#This Row],[Блок
 Куб]]*Таблица1[[#This Row],[Цена 
Приход]]</f>
        <v>0</v>
      </c>
      <c r="K841" s="34"/>
      <c r="L841" s="34"/>
      <c r="M841" s="34">
        <f>Таблица1[[#This Row],[Поддон
Шт]]*Таблица1[[#This Row],[Цена
Поддон]]</f>
        <v>0</v>
      </c>
      <c r="N841" s="34">
        <f>Таблица1[[#This Row],[Сумма 
Приход]]+Таблица1[[#This Row],[Сумма Поддон]]</f>
        <v>0</v>
      </c>
      <c r="O841" s="34"/>
      <c r="P841" s="34">
        <f>Таблица1[[#This Row],[Блок
 Куб]]*Таблица1[[#This Row],[Цена
 Продажа]]</f>
        <v>0</v>
      </c>
      <c r="Q841" s="34"/>
      <c r="R841" s="34">
        <f>Таблица1[[#This Row],[Сумма 
Продажа]]-Таблица1[[#This Row],[Сумма 
Приход]]-Таблица1[[#This Row],[Авто услу ]]</f>
        <v>0</v>
      </c>
      <c r="S841" s="34"/>
      <c r="T841" s="34">
        <f>Таблица1[[#This Row],[Сумма 
Продажа]]-IF(Таблица1[[#This Row],[Расход 
Авто]]="Клиент",N(Таблица1[[#This Row],[Авто услу ]]),0)</f>
        <v>0</v>
      </c>
      <c r="U8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1" s="265" t="str">
        <f>IFERROR(INDEX(Мижозлар[Агент],MATCH($D841,Мижозлар[Расмий ном],0)),"")</f>
        <v/>
      </c>
    </row>
    <row r="842" spans="1:23" ht="14.25" x14ac:dyDescent="0.2">
      <c r="A842" s="21"/>
      <c r="B842" s="135"/>
      <c r="C842" s="141"/>
      <c r="D842" s="141"/>
      <c r="E842" s="136"/>
      <c r="F842" s="135"/>
      <c r="G842" s="34"/>
      <c r="H842" s="142"/>
      <c r="I842" s="34"/>
      <c r="J842" s="34">
        <f>Таблица1[[#This Row],[Блок
 Куб]]*Таблица1[[#This Row],[Цена 
Приход]]</f>
        <v>0</v>
      </c>
      <c r="K842" s="34"/>
      <c r="L842" s="34"/>
      <c r="M842" s="34">
        <f>Таблица1[[#This Row],[Поддон
Шт]]*Таблица1[[#This Row],[Цена
Поддон]]</f>
        <v>0</v>
      </c>
      <c r="N842" s="34">
        <f>Таблица1[[#This Row],[Сумма 
Приход]]+Таблица1[[#This Row],[Сумма Поддон]]</f>
        <v>0</v>
      </c>
      <c r="O842" s="34"/>
      <c r="P842" s="34">
        <f>Таблица1[[#This Row],[Блок
 Куб]]*Таблица1[[#This Row],[Цена
 Продажа]]</f>
        <v>0</v>
      </c>
      <c r="Q842" s="34"/>
      <c r="R842" s="34">
        <f>Таблица1[[#This Row],[Сумма 
Продажа]]-Таблица1[[#This Row],[Сумма 
Приход]]-Таблица1[[#This Row],[Авто услу ]]</f>
        <v>0</v>
      </c>
      <c r="S842" s="34"/>
      <c r="T842" s="34">
        <f>Таблица1[[#This Row],[Сумма 
Продажа]]-IF(Таблица1[[#This Row],[Расход 
Авто]]="Клиент",N(Таблица1[[#This Row],[Авто услу ]]),0)</f>
        <v>0</v>
      </c>
      <c r="U8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2" s="265" t="str">
        <f>IFERROR(INDEX(Мижозлар[Агент],MATCH($D842,Мижозлар[Расмий ном],0)),"")</f>
        <v/>
      </c>
    </row>
    <row r="843" spans="1:23" ht="14.25" x14ac:dyDescent="0.2">
      <c r="A843" s="21"/>
      <c r="B843" s="135"/>
      <c r="C843" s="141"/>
      <c r="D843" s="141"/>
      <c r="E843" s="136"/>
      <c r="F843" s="135"/>
      <c r="G843" s="34"/>
      <c r="H843" s="142"/>
      <c r="I843" s="34"/>
      <c r="J843" s="34">
        <f>Таблица1[[#This Row],[Блок
 Куб]]*Таблица1[[#This Row],[Цена 
Приход]]</f>
        <v>0</v>
      </c>
      <c r="K843" s="34"/>
      <c r="L843" s="34"/>
      <c r="M843" s="34">
        <f>Таблица1[[#This Row],[Поддон
Шт]]*Таблица1[[#This Row],[Цена
Поддон]]</f>
        <v>0</v>
      </c>
      <c r="N843" s="34">
        <f>Таблица1[[#This Row],[Сумма 
Приход]]+Таблица1[[#This Row],[Сумма Поддон]]</f>
        <v>0</v>
      </c>
      <c r="O843" s="34"/>
      <c r="P843" s="34">
        <f>Таблица1[[#This Row],[Блок
 Куб]]*Таблица1[[#This Row],[Цена
 Продажа]]</f>
        <v>0</v>
      </c>
      <c r="Q843" s="34"/>
      <c r="R843" s="34">
        <f>Таблица1[[#This Row],[Сумма 
Продажа]]-Таблица1[[#This Row],[Сумма 
Приход]]-Таблица1[[#This Row],[Авто услу ]]</f>
        <v>0</v>
      </c>
      <c r="S843" s="34"/>
      <c r="T843" s="34">
        <f>Таблица1[[#This Row],[Сумма 
Продажа]]-IF(Таблица1[[#This Row],[Расход 
Авто]]="Клиент",N(Таблица1[[#This Row],[Авто услу ]]),0)</f>
        <v>0</v>
      </c>
      <c r="U8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3" s="265" t="str">
        <f>IFERROR(INDEX(Мижозлар[Агент],MATCH($D843,Мижозлар[Расмий ном],0)),"")</f>
        <v/>
      </c>
    </row>
    <row r="844" spans="1:23" ht="14.25" x14ac:dyDescent="0.2">
      <c r="A844" s="21"/>
      <c r="B844" s="135"/>
      <c r="C844" s="141"/>
      <c r="D844" s="141"/>
      <c r="E844" s="136"/>
      <c r="F844" s="135"/>
      <c r="G844" s="34"/>
      <c r="H844" s="142"/>
      <c r="I844" s="34"/>
      <c r="J844" s="34">
        <f>Таблица1[[#This Row],[Блок
 Куб]]*Таблица1[[#This Row],[Цена 
Приход]]</f>
        <v>0</v>
      </c>
      <c r="K844" s="34"/>
      <c r="L844" s="34"/>
      <c r="M844" s="34">
        <f>Таблица1[[#This Row],[Поддон
Шт]]*Таблица1[[#This Row],[Цена
Поддон]]</f>
        <v>0</v>
      </c>
      <c r="N844" s="34">
        <f>Таблица1[[#This Row],[Сумма 
Приход]]+Таблица1[[#This Row],[Сумма Поддон]]</f>
        <v>0</v>
      </c>
      <c r="O844" s="34"/>
      <c r="P844" s="34">
        <f>Таблица1[[#This Row],[Блок
 Куб]]*Таблица1[[#This Row],[Цена
 Продажа]]</f>
        <v>0</v>
      </c>
      <c r="Q844" s="34"/>
      <c r="R844" s="34">
        <f>Таблица1[[#This Row],[Сумма 
Продажа]]-Таблица1[[#This Row],[Сумма 
Приход]]-Таблица1[[#This Row],[Авто услу ]]</f>
        <v>0</v>
      </c>
      <c r="S844" s="34"/>
      <c r="T844" s="34">
        <f>Таблица1[[#This Row],[Сумма 
Продажа]]-IF(Таблица1[[#This Row],[Расход 
Авто]]="Клиент",N(Таблица1[[#This Row],[Авто услу ]]),0)</f>
        <v>0</v>
      </c>
      <c r="U8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4" s="265" t="str">
        <f>IFERROR(INDEX(Мижозлар[Агент],MATCH($D844,Мижозлар[Расмий ном],0)),"")</f>
        <v/>
      </c>
    </row>
    <row r="845" spans="1:23" ht="14.25" x14ac:dyDescent="0.2">
      <c r="A845" s="21"/>
      <c r="B845" s="135"/>
      <c r="C845" s="141"/>
      <c r="D845" s="141"/>
      <c r="E845" s="136"/>
      <c r="F845" s="135"/>
      <c r="G845" s="34"/>
      <c r="H845" s="142"/>
      <c r="I845" s="34"/>
      <c r="J845" s="34">
        <f>Таблица1[[#This Row],[Блок
 Куб]]*Таблица1[[#This Row],[Цена 
Приход]]</f>
        <v>0</v>
      </c>
      <c r="K845" s="34"/>
      <c r="L845" s="34"/>
      <c r="M845" s="34">
        <f>Таблица1[[#This Row],[Поддон
Шт]]*Таблица1[[#This Row],[Цена
Поддон]]</f>
        <v>0</v>
      </c>
      <c r="N845" s="34">
        <f>Таблица1[[#This Row],[Сумма 
Приход]]+Таблица1[[#This Row],[Сумма Поддон]]</f>
        <v>0</v>
      </c>
      <c r="O845" s="34"/>
      <c r="P845" s="34">
        <f>Таблица1[[#This Row],[Блок
 Куб]]*Таблица1[[#This Row],[Цена
 Продажа]]</f>
        <v>0</v>
      </c>
      <c r="Q845" s="34"/>
      <c r="R845" s="34">
        <f>Таблица1[[#This Row],[Сумма 
Продажа]]-Таблица1[[#This Row],[Сумма 
Приход]]-Таблица1[[#This Row],[Авто услу ]]</f>
        <v>0</v>
      </c>
      <c r="S845" s="34"/>
      <c r="T845" s="34">
        <f>Таблица1[[#This Row],[Сумма 
Продажа]]-IF(Таблица1[[#This Row],[Расход 
Авто]]="Клиент",N(Таблица1[[#This Row],[Авто услу ]]),0)</f>
        <v>0</v>
      </c>
      <c r="U8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5" s="265" t="str">
        <f>IFERROR(INDEX(Мижозлар[Агент],MATCH($D845,Мижозлар[Расмий ном],0)),"")</f>
        <v/>
      </c>
    </row>
    <row r="846" spans="1:23" ht="14.25" x14ac:dyDescent="0.2">
      <c r="A846" s="21"/>
      <c r="B846" s="135"/>
      <c r="C846" s="141"/>
      <c r="D846" s="141"/>
      <c r="E846" s="136"/>
      <c r="F846" s="135"/>
      <c r="G846" s="34"/>
      <c r="H846" s="142"/>
      <c r="I846" s="34"/>
      <c r="J846" s="34">
        <f>Таблица1[[#This Row],[Блок
 Куб]]*Таблица1[[#This Row],[Цена 
Приход]]</f>
        <v>0</v>
      </c>
      <c r="K846" s="34"/>
      <c r="L846" s="34"/>
      <c r="M846" s="34">
        <f>Таблица1[[#This Row],[Поддон
Шт]]*Таблица1[[#This Row],[Цена
Поддон]]</f>
        <v>0</v>
      </c>
      <c r="N846" s="34">
        <f>Таблица1[[#This Row],[Сумма 
Приход]]+Таблица1[[#This Row],[Сумма Поддон]]</f>
        <v>0</v>
      </c>
      <c r="O846" s="34"/>
      <c r="P846" s="34">
        <f>Таблица1[[#This Row],[Блок
 Куб]]*Таблица1[[#This Row],[Цена
 Продажа]]</f>
        <v>0</v>
      </c>
      <c r="Q846" s="34"/>
      <c r="R846" s="34">
        <f>Таблица1[[#This Row],[Сумма 
Продажа]]-Таблица1[[#This Row],[Сумма 
Приход]]-Таблица1[[#This Row],[Авто услу ]]</f>
        <v>0</v>
      </c>
      <c r="S846" s="34"/>
      <c r="T846" s="34">
        <f>Таблица1[[#This Row],[Сумма 
Продажа]]-IF(Таблица1[[#This Row],[Расход 
Авто]]="Клиент",N(Таблица1[[#This Row],[Авто услу ]]),0)</f>
        <v>0</v>
      </c>
      <c r="U8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6" s="265" t="str">
        <f>IFERROR(INDEX(Мижозлар[Агент],MATCH($D846,Мижозлар[Расмий ном],0)),"")</f>
        <v/>
      </c>
    </row>
    <row r="847" spans="1:23" ht="14.25" x14ac:dyDescent="0.2">
      <c r="A847" s="21"/>
      <c r="B847" s="135"/>
      <c r="C847" s="141"/>
      <c r="D847" s="141"/>
      <c r="E847" s="136"/>
      <c r="F847" s="135"/>
      <c r="G847" s="34"/>
      <c r="H847" s="142"/>
      <c r="I847" s="34"/>
      <c r="J847" s="34">
        <f>Таблица1[[#This Row],[Блок
 Куб]]*Таблица1[[#This Row],[Цена 
Приход]]</f>
        <v>0</v>
      </c>
      <c r="K847" s="34"/>
      <c r="L847" s="34"/>
      <c r="M847" s="34">
        <f>Таблица1[[#This Row],[Поддон
Шт]]*Таблица1[[#This Row],[Цена
Поддон]]</f>
        <v>0</v>
      </c>
      <c r="N847" s="34">
        <f>Таблица1[[#This Row],[Сумма 
Приход]]+Таблица1[[#This Row],[Сумма Поддон]]</f>
        <v>0</v>
      </c>
      <c r="O847" s="34"/>
      <c r="P847" s="34">
        <f>Таблица1[[#This Row],[Блок
 Куб]]*Таблица1[[#This Row],[Цена
 Продажа]]</f>
        <v>0</v>
      </c>
      <c r="Q847" s="34"/>
      <c r="R847" s="34">
        <f>Таблица1[[#This Row],[Сумма 
Продажа]]-Таблица1[[#This Row],[Сумма 
Приход]]-Таблица1[[#This Row],[Авто услу ]]</f>
        <v>0</v>
      </c>
      <c r="S847" s="34"/>
      <c r="T847" s="34">
        <f>Таблица1[[#This Row],[Сумма 
Продажа]]-IF(Таблица1[[#This Row],[Расход 
Авто]]="Клиент",N(Таблица1[[#This Row],[Авто услу ]]),0)</f>
        <v>0</v>
      </c>
      <c r="U8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7" s="265" t="str">
        <f>IFERROR(INDEX(Мижозлар[Агент],MATCH($D847,Мижозлар[Расмий ном],0)),"")</f>
        <v/>
      </c>
    </row>
    <row r="848" spans="1:23" ht="14.25" x14ac:dyDescent="0.2">
      <c r="A848" s="21"/>
      <c r="B848" s="135"/>
      <c r="C848" s="141"/>
      <c r="D848" s="141"/>
      <c r="E848" s="136"/>
      <c r="F848" s="135"/>
      <c r="G848" s="34"/>
      <c r="H848" s="142"/>
      <c r="I848" s="34"/>
      <c r="J848" s="34">
        <f>Таблица1[[#This Row],[Блок
 Куб]]*Таблица1[[#This Row],[Цена 
Приход]]</f>
        <v>0</v>
      </c>
      <c r="K848" s="34"/>
      <c r="L848" s="34"/>
      <c r="M848" s="34">
        <f>Таблица1[[#This Row],[Поддон
Шт]]*Таблица1[[#This Row],[Цена
Поддон]]</f>
        <v>0</v>
      </c>
      <c r="N848" s="34">
        <f>Таблица1[[#This Row],[Сумма 
Приход]]+Таблица1[[#This Row],[Сумма Поддон]]</f>
        <v>0</v>
      </c>
      <c r="O848" s="34"/>
      <c r="P848" s="34">
        <f>Таблица1[[#This Row],[Блок
 Куб]]*Таблица1[[#This Row],[Цена
 Продажа]]</f>
        <v>0</v>
      </c>
      <c r="Q848" s="34"/>
      <c r="R848" s="34">
        <f>Таблица1[[#This Row],[Сумма 
Продажа]]-Таблица1[[#This Row],[Сумма 
Приход]]-Таблица1[[#This Row],[Авто услу ]]</f>
        <v>0</v>
      </c>
      <c r="S848" s="34"/>
      <c r="T848" s="34">
        <f>Таблица1[[#This Row],[Сумма 
Продажа]]-IF(Таблица1[[#This Row],[Расход 
Авто]]="Клиент",N(Таблица1[[#This Row],[Авто услу ]]),0)</f>
        <v>0</v>
      </c>
      <c r="U8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8" s="265" t="str">
        <f>IFERROR(INDEX(Мижозлар[Агент],MATCH($D848,Мижозлар[Расмий ном],0)),"")</f>
        <v/>
      </c>
    </row>
    <row r="849" spans="1:23" ht="14.25" x14ac:dyDescent="0.2">
      <c r="A849" s="21"/>
      <c r="B849" s="135"/>
      <c r="C849" s="141"/>
      <c r="D849" s="141"/>
      <c r="E849" s="136"/>
      <c r="F849" s="135"/>
      <c r="G849" s="34"/>
      <c r="H849" s="142"/>
      <c r="I849" s="34"/>
      <c r="J849" s="34">
        <f>Таблица1[[#This Row],[Блок
 Куб]]*Таблица1[[#This Row],[Цена 
Приход]]</f>
        <v>0</v>
      </c>
      <c r="K849" s="34"/>
      <c r="L849" s="34"/>
      <c r="M849" s="34">
        <f>Таблица1[[#This Row],[Поддон
Шт]]*Таблица1[[#This Row],[Цена
Поддон]]</f>
        <v>0</v>
      </c>
      <c r="N849" s="34">
        <f>Таблица1[[#This Row],[Сумма 
Приход]]+Таблица1[[#This Row],[Сумма Поддон]]</f>
        <v>0</v>
      </c>
      <c r="O849" s="34"/>
      <c r="P849" s="34">
        <f>Таблица1[[#This Row],[Блок
 Куб]]*Таблица1[[#This Row],[Цена
 Продажа]]</f>
        <v>0</v>
      </c>
      <c r="Q849" s="34"/>
      <c r="R849" s="34">
        <f>Таблица1[[#This Row],[Сумма 
Продажа]]-Таблица1[[#This Row],[Сумма 
Приход]]-Таблица1[[#This Row],[Авто услу ]]</f>
        <v>0</v>
      </c>
      <c r="S849" s="34"/>
      <c r="T849" s="34">
        <f>Таблица1[[#This Row],[Сумма 
Продажа]]-IF(Таблица1[[#This Row],[Расход 
Авто]]="Клиент",N(Таблица1[[#This Row],[Авто услу ]]),0)</f>
        <v>0</v>
      </c>
      <c r="U8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49" s="265" t="str">
        <f>IFERROR(INDEX(Мижозлар[Агент],MATCH($D849,Мижозлар[Расмий ном],0)),"")</f>
        <v/>
      </c>
    </row>
    <row r="850" spans="1:23" ht="14.25" x14ac:dyDescent="0.2">
      <c r="A850" s="21"/>
      <c r="B850" s="135"/>
      <c r="C850" s="141"/>
      <c r="D850" s="141"/>
      <c r="E850" s="136"/>
      <c r="F850" s="135"/>
      <c r="G850" s="34"/>
      <c r="H850" s="142"/>
      <c r="I850" s="34"/>
      <c r="J850" s="34">
        <f>Таблица1[[#This Row],[Блок
 Куб]]*Таблица1[[#This Row],[Цена 
Приход]]</f>
        <v>0</v>
      </c>
      <c r="K850" s="34"/>
      <c r="L850" s="34"/>
      <c r="M850" s="34">
        <f>Таблица1[[#This Row],[Поддон
Шт]]*Таблица1[[#This Row],[Цена
Поддон]]</f>
        <v>0</v>
      </c>
      <c r="N850" s="34">
        <f>Таблица1[[#This Row],[Сумма 
Приход]]+Таблица1[[#This Row],[Сумма Поддон]]</f>
        <v>0</v>
      </c>
      <c r="O850" s="34"/>
      <c r="P850" s="34">
        <f>Таблица1[[#This Row],[Блок
 Куб]]*Таблица1[[#This Row],[Цена
 Продажа]]</f>
        <v>0</v>
      </c>
      <c r="Q850" s="34"/>
      <c r="R850" s="34">
        <f>Таблица1[[#This Row],[Сумма 
Продажа]]-Таблица1[[#This Row],[Сумма 
Приход]]-Таблица1[[#This Row],[Авто услу ]]</f>
        <v>0</v>
      </c>
      <c r="S850" s="34"/>
      <c r="T850" s="34">
        <f>Таблица1[[#This Row],[Сумма 
Продажа]]-IF(Таблица1[[#This Row],[Расход 
Авто]]="Клиент",N(Таблица1[[#This Row],[Авто услу ]]),0)</f>
        <v>0</v>
      </c>
      <c r="U8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0" s="265" t="str">
        <f>IFERROR(INDEX(Мижозлар[Агент],MATCH($D850,Мижозлар[Расмий ном],0)),"")</f>
        <v/>
      </c>
    </row>
    <row r="851" spans="1:23" ht="14.25" x14ac:dyDescent="0.2">
      <c r="A851" s="21"/>
      <c r="B851" s="135"/>
      <c r="C851" s="141"/>
      <c r="D851" s="141"/>
      <c r="E851" s="136"/>
      <c r="F851" s="135"/>
      <c r="G851" s="34"/>
      <c r="H851" s="142"/>
      <c r="I851" s="34"/>
      <c r="J851" s="34">
        <f>Таблица1[[#This Row],[Блок
 Куб]]*Таблица1[[#This Row],[Цена 
Приход]]</f>
        <v>0</v>
      </c>
      <c r="K851" s="34"/>
      <c r="L851" s="34"/>
      <c r="M851" s="34">
        <f>Таблица1[[#This Row],[Поддон
Шт]]*Таблица1[[#This Row],[Цена
Поддон]]</f>
        <v>0</v>
      </c>
      <c r="N851" s="34">
        <f>Таблица1[[#This Row],[Сумма 
Приход]]+Таблица1[[#This Row],[Сумма Поддон]]</f>
        <v>0</v>
      </c>
      <c r="O851" s="34"/>
      <c r="P851" s="34">
        <f>Таблица1[[#This Row],[Блок
 Куб]]*Таблица1[[#This Row],[Цена
 Продажа]]</f>
        <v>0</v>
      </c>
      <c r="Q851" s="34"/>
      <c r="R851" s="34">
        <f>Таблица1[[#This Row],[Сумма 
Продажа]]-Таблица1[[#This Row],[Сумма 
Приход]]-Таблица1[[#This Row],[Авто услу ]]</f>
        <v>0</v>
      </c>
      <c r="S851" s="34"/>
      <c r="T851" s="34">
        <f>Таблица1[[#This Row],[Сумма 
Продажа]]-IF(Таблица1[[#This Row],[Расход 
Авто]]="Клиент",N(Таблица1[[#This Row],[Авто услу ]]),0)</f>
        <v>0</v>
      </c>
      <c r="U8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1" s="265" t="str">
        <f>IFERROR(INDEX(Мижозлар[Агент],MATCH($D851,Мижозлар[Расмий ном],0)),"")</f>
        <v/>
      </c>
    </row>
    <row r="852" spans="1:23" ht="14.25" x14ac:dyDescent="0.2">
      <c r="A852" s="21"/>
      <c r="B852" s="135"/>
      <c r="C852" s="141"/>
      <c r="D852" s="141"/>
      <c r="E852" s="136"/>
      <c r="F852" s="135"/>
      <c r="G852" s="34"/>
      <c r="H852" s="142"/>
      <c r="I852" s="34"/>
      <c r="J852" s="34">
        <f>Таблица1[[#This Row],[Блок
 Куб]]*Таблица1[[#This Row],[Цена 
Приход]]</f>
        <v>0</v>
      </c>
      <c r="K852" s="34"/>
      <c r="L852" s="34"/>
      <c r="M852" s="34">
        <f>Таблица1[[#This Row],[Поддон
Шт]]*Таблица1[[#This Row],[Цена
Поддон]]</f>
        <v>0</v>
      </c>
      <c r="N852" s="34">
        <f>Таблица1[[#This Row],[Сумма 
Приход]]+Таблица1[[#This Row],[Сумма Поддон]]</f>
        <v>0</v>
      </c>
      <c r="O852" s="34"/>
      <c r="P852" s="34">
        <f>Таблица1[[#This Row],[Блок
 Куб]]*Таблица1[[#This Row],[Цена
 Продажа]]</f>
        <v>0</v>
      </c>
      <c r="Q852" s="34"/>
      <c r="R852" s="34">
        <f>Таблица1[[#This Row],[Сумма 
Продажа]]-Таблица1[[#This Row],[Сумма 
Приход]]-Таблица1[[#This Row],[Авто услу ]]</f>
        <v>0</v>
      </c>
      <c r="S852" s="34"/>
      <c r="T852" s="34">
        <f>Таблица1[[#This Row],[Сумма 
Продажа]]-IF(Таблица1[[#This Row],[Расход 
Авто]]="Клиент",N(Таблица1[[#This Row],[Авто услу ]]),0)</f>
        <v>0</v>
      </c>
      <c r="U8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2" s="265" t="str">
        <f>IFERROR(INDEX(Мижозлар[Агент],MATCH($D852,Мижозлар[Расмий ном],0)),"")</f>
        <v/>
      </c>
    </row>
    <row r="853" spans="1:23" ht="14.25" x14ac:dyDescent="0.2">
      <c r="A853" s="21"/>
      <c r="B853" s="135"/>
      <c r="C853" s="141"/>
      <c r="D853" s="141"/>
      <c r="E853" s="136"/>
      <c r="F853" s="135"/>
      <c r="G853" s="34"/>
      <c r="H853" s="142"/>
      <c r="I853" s="34"/>
      <c r="J853" s="34">
        <f>Таблица1[[#This Row],[Блок
 Куб]]*Таблица1[[#This Row],[Цена 
Приход]]</f>
        <v>0</v>
      </c>
      <c r="K853" s="34"/>
      <c r="L853" s="34"/>
      <c r="M853" s="34">
        <f>Таблица1[[#This Row],[Поддон
Шт]]*Таблица1[[#This Row],[Цена
Поддон]]</f>
        <v>0</v>
      </c>
      <c r="N853" s="34">
        <f>Таблица1[[#This Row],[Сумма 
Приход]]+Таблица1[[#This Row],[Сумма Поддон]]</f>
        <v>0</v>
      </c>
      <c r="O853" s="34"/>
      <c r="P853" s="34">
        <f>Таблица1[[#This Row],[Блок
 Куб]]*Таблица1[[#This Row],[Цена
 Продажа]]</f>
        <v>0</v>
      </c>
      <c r="Q853" s="34"/>
      <c r="R853" s="34">
        <f>Таблица1[[#This Row],[Сумма 
Продажа]]-Таблица1[[#This Row],[Сумма 
Приход]]-Таблица1[[#This Row],[Авто услу ]]</f>
        <v>0</v>
      </c>
      <c r="S853" s="34"/>
      <c r="T853" s="34">
        <f>Таблица1[[#This Row],[Сумма 
Продажа]]-IF(Таблица1[[#This Row],[Расход 
Авто]]="Клиент",N(Таблица1[[#This Row],[Авто услу ]]),0)</f>
        <v>0</v>
      </c>
      <c r="U8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3" s="265" t="str">
        <f>IFERROR(INDEX(Мижозлар[Агент],MATCH($D853,Мижозлар[Расмий ном],0)),"")</f>
        <v/>
      </c>
    </row>
    <row r="854" spans="1:23" ht="14.25" x14ac:dyDescent="0.2">
      <c r="A854" s="21"/>
      <c r="B854" s="135"/>
      <c r="C854" s="141"/>
      <c r="D854" s="141"/>
      <c r="E854" s="136"/>
      <c r="F854" s="135"/>
      <c r="G854" s="34"/>
      <c r="H854" s="142"/>
      <c r="I854" s="34"/>
      <c r="J854" s="34">
        <f>Таблица1[[#This Row],[Блок
 Куб]]*Таблица1[[#This Row],[Цена 
Приход]]</f>
        <v>0</v>
      </c>
      <c r="K854" s="34"/>
      <c r="L854" s="34"/>
      <c r="M854" s="34">
        <f>Таблица1[[#This Row],[Поддон
Шт]]*Таблица1[[#This Row],[Цена
Поддон]]</f>
        <v>0</v>
      </c>
      <c r="N854" s="34">
        <f>Таблица1[[#This Row],[Сумма 
Приход]]+Таблица1[[#This Row],[Сумма Поддон]]</f>
        <v>0</v>
      </c>
      <c r="O854" s="34"/>
      <c r="P854" s="34">
        <f>Таблица1[[#This Row],[Блок
 Куб]]*Таблица1[[#This Row],[Цена
 Продажа]]</f>
        <v>0</v>
      </c>
      <c r="Q854" s="34"/>
      <c r="R854" s="34">
        <f>Таблица1[[#This Row],[Сумма 
Продажа]]-Таблица1[[#This Row],[Сумма 
Приход]]-Таблица1[[#This Row],[Авто услу ]]</f>
        <v>0</v>
      </c>
      <c r="S854" s="34"/>
      <c r="T854" s="34">
        <f>Таблица1[[#This Row],[Сумма 
Продажа]]-IF(Таблица1[[#This Row],[Расход 
Авто]]="Клиент",N(Таблица1[[#This Row],[Авто услу ]]),0)</f>
        <v>0</v>
      </c>
      <c r="U8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4" s="265" t="str">
        <f>IFERROR(INDEX(Мижозлар[Агент],MATCH($D854,Мижозлар[Расмий ном],0)),"")</f>
        <v/>
      </c>
    </row>
    <row r="855" spans="1:23" ht="14.25" x14ac:dyDescent="0.2">
      <c r="A855" s="21"/>
      <c r="B855" s="135"/>
      <c r="C855" s="141"/>
      <c r="D855" s="141"/>
      <c r="E855" s="136"/>
      <c r="F855" s="135"/>
      <c r="G855" s="34"/>
      <c r="H855" s="142"/>
      <c r="I855" s="34"/>
      <c r="J855" s="34">
        <f>Таблица1[[#This Row],[Блок
 Куб]]*Таблица1[[#This Row],[Цена 
Приход]]</f>
        <v>0</v>
      </c>
      <c r="K855" s="34"/>
      <c r="L855" s="34"/>
      <c r="M855" s="34">
        <f>Таблица1[[#This Row],[Поддон
Шт]]*Таблица1[[#This Row],[Цена
Поддон]]</f>
        <v>0</v>
      </c>
      <c r="N855" s="34">
        <f>Таблица1[[#This Row],[Сумма 
Приход]]+Таблица1[[#This Row],[Сумма Поддон]]</f>
        <v>0</v>
      </c>
      <c r="O855" s="34"/>
      <c r="P855" s="34">
        <f>Таблица1[[#This Row],[Блок
 Куб]]*Таблица1[[#This Row],[Цена
 Продажа]]</f>
        <v>0</v>
      </c>
      <c r="Q855" s="34"/>
      <c r="R855" s="34">
        <f>Таблица1[[#This Row],[Сумма 
Продажа]]-Таблица1[[#This Row],[Сумма 
Приход]]-Таблица1[[#This Row],[Авто услу ]]</f>
        <v>0</v>
      </c>
      <c r="S855" s="34"/>
      <c r="T855" s="34">
        <f>Таблица1[[#This Row],[Сумма 
Продажа]]-IF(Таблица1[[#This Row],[Расход 
Авто]]="Клиент",N(Таблица1[[#This Row],[Авто услу ]]),0)</f>
        <v>0</v>
      </c>
      <c r="U8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5" s="265" t="str">
        <f>IFERROR(INDEX(Мижозлар[Агент],MATCH($D855,Мижозлар[Расмий ном],0)),"")</f>
        <v/>
      </c>
    </row>
    <row r="856" spans="1:23" ht="14.25" x14ac:dyDescent="0.2">
      <c r="A856" s="21"/>
      <c r="B856" s="135"/>
      <c r="C856" s="141"/>
      <c r="D856" s="141"/>
      <c r="E856" s="136"/>
      <c r="F856" s="135"/>
      <c r="G856" s="34"/>
      <c r="H856" s="142"/>
      <c r="I856" s="34"/>
      <c r="J856" s="34">
        <f>Таблица1[[#This Row],[Блок
 Куб]]*Таблица1[[#This Row],[Цена 
Приход]]</f>
        <v>0</v>
      </c>
      <c r="K856" s="34"/>
      <c r="L856" s="34"/>
      <c r="M856" s="34">
        <f>Таблица1[[#This Row],[Поддон
Шт]]*Таблица1[[#This Row],[Цена
Поддон]]</f>
        <v>0</v>
      </c>
      <c r="N856" s="34">
        <f>Таблица1[[#This Row],[Сумма 
Приход]]+Таблица1[[#This Row],[Сумма Поддон]]</f>
        <v>0</v>
      </c>
      <c r="O856" s="34"/>
      <c r="P856" s="34">
        <f>Таблица1[[#This Row],[Блок
 Куб]]*Таблица1[[#This Row],[Цена
 Продажа]]</f>
        <v>0</v>
      </c>
      <c r="Q856" s="34"/>
      <c r="R856" s="34">
        <f>Таблица1[[#This Row],[Сумма 
Продажа]]-Таблица1[[#This Row],[Сумма 
Приход]]-Таблица1[[#This Row],[Авто услу ]]</f>
        <v>0</v>
      </c>
      <c r="S856" s="34"/>
      <c r="T856" s="34">
        <f>Таблица1[[#This Row],[Сумма 
Продажа]]-IF(Таблица1[[#This Row],[Расход 
Авто]]="Клиент",N(Таблица1[[#This Row],[Авто услу ]]),0)</f>
        <v>0</v>
      </c>
      <c r="U8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6" s="265" t="str">
        <f>IFERROR(INDEX(Мижозлар[Агент],MATCH($D856,Мижозлар[Расмий ном],0)),"")</f>
        <v/>
      </c>
    </row>
    <row r="857" spans="1:23" ht="14.25" x14ac:dyDescent="0.2">
      <c r="A857" s="21"/>
      <c r="B857" s="135"/>
      <c r="C857" s="141"/>
      <c r="D857" s="141"/>
      <c r="E857" s="136"/>
      <c r="F857" s="135"/>
      <c r="G857" s="34"/>
      <c r="H857" s="142"/>
      <c r="I857" s="34"/>
      <c r="J857" s="34">
        <f>Таблица1[[#This Row],[Блок
 Куб]]*Таблица1[[#This Row],[Цена 
Приход]]</f>
        <v>0</v>
      </c>
      <c r="K857" s="34"/>
      <c r="L857" s="34"/>
      <c r="M857" s="34">
        <f>Таблица1[[#This Row],[Поддон
Шт]]*Таблица1[[#This Row],[Цена
Поддон]]</f>
        <v>0</v>
      </c>
      <c r="N857" s="34">
        <f>Таблица1[[#This Row],[Сумма 
Приход]]+Таблица1[[#This Row],[Сумма Поддон]]</f>
        <v>0</v>
      </c>
      <c r="O857" s="34"/>
      <c r="P857" s="34">
        <f>Таблица1[[#This Row],[Блок
 Куб]]*Таблица1[[#This Row],[Цена
 Продажа]]</f>
        <v>0</v>
      </c>
      <c r="Q857" s="34"/>
      <c r="R857" s="34">
        <f>Таблица1[[#This Row],[Сумма 
Продажа]]-Таблица1[[#This Row],[Сумма 
Приход]]-Таблица1[[#This Row],[Авто услу ]]</f>
        <v>0</v>
      </c>
      <c r="S857" s="34"/>
      <c r="T857" s="34">
        <f>Таблица1[[#This Row],[Сумма 
Продажа]]-IF(Таблица1[[#This Row],[Расход 
Авто]]="Клиент",N(Таблица1[[#This Row],[Авто услу ]]),0)</f>
        <v>0</v>
      </c>
      <c r="U8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7" s="265" t="str">
        <f>IFERROR(INDEX(Мижозлар[Агент],MATCH($D857,Мижозлар[Расмий ном],0)),"")</f>
        <v/>
      </c>
    </row>
    <row r="858" spans="1:23" ht="14.25" x14ac:dyDescent="0.2">
      <c r="A858" s="21"/>
      <c r="B858" s="135"/>
      <c r="C858" s="141"/>
      <c r="D858" s="141"/>
      <c r="E858" s="136"/>
      <c r="F858" s="135"/>
      <c r="G858" s="34"/>
      <c r="H858" s="142"/>
      <c r="I858" s="34"/>
      <c r="J858" s="34">
        <f>Таблица1[[#This Row],[Блок
 Куб]]*Таблица1[[#This Row],[Цена 
Приход]]</f>
        <v>0</v>
      </c>
      <c r="K858" s="34"/>
      <c r="L858" s="34"/>
      <c r="M858" s="34">
        <f>Таблица1[[#This Row],[Поддон
Шт]]*Таблица1[[#This Row],[Цена
Поддон]]</f>
        <v>0</v>
      </c>
      <c r="N858" s="34">
        <f>Таблица1[[#This Row],[Сумма 
Приход]]+Таблица1[[#This Row],[Сумма Поддон]]</f>
        <v>0</v>
      </c>
      <c r="O858" s="34"/>
      <c r="P858" s="34">
        <f>Таблица1[[#This Row],[Блок
 Куб]]*Таблица1[[#This Row],[Цена
 Продажа]]</f>
        <v>0</v>
      </c>
      <c r="Q858" s="34"/>
      <c r="R858" s="34">
        <f>Таблица1[[#This Row],[Сумма 
Продажа]]-Таблица1[[#This Row],[Сумма 
Приход]]-Таблица1[[#This Row],[Авто услу ]]</f>
        <v>0</v>
      </c>
      <c r="S858" s="34"/>
      <c r="T858" s="34">
        <f>Таблица1[[#This Row],[Сумма 
Продажа]]-IF(Таблица1[[#This Row],[Расход 
Авто]]="Клиент",N(Таблица1[[#This Row],[Авто услу ]]),0)</f>
        <v>0</v>
      </c>
      <c r="U8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8" s="265" t="str">
        <f>IFERROR(INDEX(Мижозлар[Агент],MATCH($D858,Мижозлар[Расмий ном],0)),"")</f>
        <v/>
      </c>
    </row>
    <row r="859" spans="1:23" ht="14.25" x14ac:dyDescent="0.2">
      <c r="A859" s="21"/>
      <c r="B859" s="135"/>
      <c r="C859" s="141"/>
      <c r="D859" s="141"/>
      <c r="E859" s="136"/>
      <c r="F859" s="135"/>
      <c r="G859" s="34"/>
      <c r="H859" s="142"/>
      <c r="I859" s="34"/>
      <c r="J859" s="34">
        <f>Таблица1[[#This Row],[Блок
 Куб]]*Таблица1[[#This Row],[Цена 
Приход]]</f>
        <v>0</v>
      </c>
      <c r="K859" s="34"/>
      <c r="L859" s="34"/>
      <c r="M859" s="34">
        <f>Таблица1[[#This Row],[Поддон
Шт]]*Таблица1[[#This Row],[Цена
Поддон]]</f>
        <v>0</v>
      </c>
      <c r="N859" s="34">
        <f>Таблица1[[#This Row],[Сумма 
Приход]]+Таблица1[[#This Row],[Сумма Поддон]]</f>
        <v>0</v>
      </c>
      <c r="O859" s="34"/>
      <c r="P859" s="34">
        <f>Таблица1[[#This Row],[Блок
 Куб]]*Таблица1[[#This Row],[Цена
 Продажа]]</f>
        <v>0</v>
      </c>
      <c r="Q859" s="34"/>
      <c r="R859" s="34">
        <f>Таблица1[[#This Row],[Сумма 
Продажа]]-Таблица1[[#This Row],[Сумма 
Приход]]-Таблица1[[#This Row],[Авто услу ]]</f>
        <v>0</v>
      </c>
      <c r="S859" s="34"/>
      <c r="T859" s="34">
        <f>Таблица1[[#This Row],[Сумма 
Продажа]]-IF(Таблица1[[#This Row],[Расход 
Авто]]="Клиент",N(Таблица1[[#This Row],[Авто услу ]]),0)</f>
        <v>0</v>
      </c>
      <c r="U8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59" s="265" t="str">
        <f>IFERROR(INDEX(Мижозлар[Агент],MATCH($D859,Мижозлар[Расмий ном],0)),"")</f>
        <v/>
      </c>
    </row>
    <row r="860" spans="1:23" ht="14.25" x14ac:dyDescent="0.2">
      <c r="A860" s="21"/>
      <c r="B860" s="135"/>
      <c r="C860" s="141"/>
      <c r="D860" s="141"/>
      <c r="E860" s="136"/>
      <c r="F860" s="135"/>
      <c r="G860" s="34"/>
      <c r="H860" s="142"/>
      <c r="I860" s="34"/>
      <c r="J860" s="34">
        <f>Таблица1[[#This Row],[Блок
 Куб]]*Таблица1[[#This Row],[Цена 
Приход]]</f>
        <v>0</v>
      </c>
      <c r="K860" s="34"/>
      <c r="L860" s="34"/>
      <c r="M860" s="34">
        <f>Таблица1[[#This Row],[Поддон
Шт]]*Таблица1[[#This Row],[Цена
Поддон]]</f>
        <v>0</v>
      </c>
      <c r="N860" s="34">
        <f>Таблица1[[#This Row],[Сумма 
Приход]]+Таблица1[[#This Row],[Сумма Поддон]]</f>
        <v>0</v>
      </c>
      <c r="O860" s="34"/>
      <c r="P860" s="34">
        <f>Таблица1[[#This Row],[Блок
 Куб]]*Таблица1[[#This Row],[Цена
 Продажа]]</f>
        <v>0</v>
      </c>
      <c r="Q860" s="34"/>
      <c r="R860" s="34">
        <f>Таблица1[[#This Row],[Сумма 
Продажа]]-Таблица1[[#This Row],[Сумма 
Приход]]-Таблица1[[#This Row],[Авто услу ]]</f>
        <v>0</v>
      </c>
      <c r="S860" s="34"/>
      <c r="T860" s="34">
        <f>Таблица1[[#This Row],[Сумма 
Продажа]]-IF(Таблица1[[#This Row],[Расход 
Авто]]="Клиент",N(Таблица1[[#This Row],[Авто услу ]]),0)</f>
        <v>0</v>
      </c>
      <c r="U8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0" s="265" t="str">
        <f>IFERROR(INDEX(Мижозлар[Агент],MATCH($D860,Мижозлар[Расмий ном],0)),"")</f>
        <v/>
      </c>
    </row>
    <row r="861" spans="1:23" ht="14.25" x14ac:dyDescent="0.2">
      <c r="A861" s="21"/>
      <c r="B861" s="135"/>
      <c r="C861" s="141"/>
      <c r="D861" s="141"/>
      <c r="E861" s="136"/>
      <c r="F861" s="135"/>
      <c r="G861" s="34"/>
      <c r="H861" s="142"/>
      <c r="I861" s="34"/>
      <c r="J861" s="34">
        <f>Таблица1[[#This Row],[Блок
 Куб]]*Таблица1[[#This Row],[Цена 
Приход]]</f>
        <v>0</v>
      </c>
      <c r="K861" s="34"/>
      <c r="L861" s="34"/>
      <c r="M861" s="34">
        <f>Таблица1[[#This Row],[Поддон
Шт]]*Таблица1[[#This Row],[Цена
Поддон]]</f>
        <v>0</v>
      </c>
      <c r="N861" s="34">
        <f>Таблица1[[#This Row],[Сумма 
Приход]]+Таблица1[[#This Row],[Сумма Поддон]]</f>
        <v>0</v>
      </c>
      <c r="O861" s="34"/>
      <c r="P861" s="34">
        <f>Таблица1[[#This Row],[Блок
 Куб]]*Таблица1[[#This Row],[Цена
 Продажа]]</f>
        <v>0</v>
      </c>
      <c r="Q861" s="34"/>
      <c r="R861" s="34">
        <f>Таблица1[[#This Row],[Сумма 
Продажа]]-Таблица1[[#This Row],[Сумма 
Приход]]-Таблица1[[#This Row],[Авто услу ]]</f>
        <v>0</v>
      </c>
      <c r="S861" s="34"/>
      <c r="T861" s="34">
        <f>Таблица1[[#This Row],[Сумма 
Продажа]]-IF(Таблица1[[#This Row],[Расход 
Авто]]="Клиент",N(Таблица1[[#This Row],[Авто услу ]]),0)</f>
        <v>0</v>
      </c>
      <c r="U8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1" s="265" t="str">
        <f>IFERROR(INDEX(Мижозлар[Агент],MATCH($D861,Мижозлар[Расмий ном],0)),"")</f>
        <v/>
      </c>
    </row>
    <row r="862" spans="1:23" ht="14.25" x14ac:dyDescent="0.2">
      <c r="A862" s="21"/>
      <c r="B862" s="135"/>
      <c r="C862" s="141"/>
      <c r="D862" s="141"/>
      <c r="E862" s="136"/>
      <c r="F862" s="135"/>
      <c r="G862" s="34"/>
      <c r="H862" s="142"/>
      <c r="I862" s="34"/>
      <c r="J862" s="34">
        <f>Таблица1[[#This Row],[Блок
 Куб]]*Таблица1[[#This Row],[Цена 
Приход]]</f>
        <v>0</v>
      </c>
      <c r="K862" s="34"/>
      <c r="L862" s="34"/>
      <c r="M862" s="34">
        <f>Таблица1[[#This Row],[Поддон
Шт]]*Таблица1[[#This Row],[Цена
Поддон]]</f>
        <v>0</v>
      </c>
      <c r="N862" s="34">
        <f>Таблица1[[#This Row],[Сумма 
Приход]]+Таблица1[[#This Row],[Сумма Поддон]]</f>
        <v>0</v>
      </c>
      <c r="O862" s="34"/>
      <c r="P862" s="34">
        <f>Таблица1[[#This Row],[Блок
 Куб]]*Таблица1[[#This Row],[Цена
 Продажа]]</f>
        <v>0</v>
      </c>
      <c r="Q862" s="34"/>
      <c r="R862" s="34">
        <f>Таблица1[[#This Row],[Сумма 
Продажа]]-Таблица1[[#This Row],[Сумма 
Приход]]-Таблица1[[#This Row],[Авто услу ]]</f>
        <v>0</v>
      </c>
      <c r="S862" s="34"/>
      <c r="T862" s="34">
        <f>Таблица1[[#This Row],[Сумма 
Продажа]]-IF(Таблица1[[#This Row],[Расход 
Авто]]="Клиент",N(Таблица1[[#This Row],[Авто услу ]]),0)</f>
        <v>0</v>
      </c>
      <c r="U8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2" s="265" t="str">
        <f>IFERROR(INDEX(Мижозлар[Агент],MATCH($D862,Мижозлар[Расмий ном],0)),"")</f>
        <v/>
      </c>
    </row>
    <row r="863" spans="1:23" ht="14.25" x14ac:dyDescent="0.2">
      <c r="A863" s="21"/>
      <c r="B863" s="135"/>
      <c r="C863" s="141"/>
      <c r="D863" s="141"/>
      <c r="E863" s="136"/>
      <c r="F863" s="135"/>
      <c r="G863" s="34"/>
      <c r="H863" s="142"/>
      <c r="I863" s="34"/>
      <c r="J863" s="34">
        <f>Таблица1[[#This Row],[Блок
 Куб]]*Таблица1[[#This Row],[Цена 
Приход]]</f>
        <v>0</v>
      </c>
      <c r="K863" s="34"/>
      <c r="L863" s="34"/>
      <c r="M863" s="34">
        <f>Таблица1[[#This Row],[Поддон
Шт]]*Таблица1[[#This Row],[Цена
Поддон]]</f>
        <v>0</v>
      </c>
      <c r="N863" s="34">
        <f>Таблица1[[#This Row],[Сумма 
Приход]]+Таблица1[[#This Row],[Сумма Поддон]]</f>
        <v>0</v>
      </c>
      <c r="O863" s="34"/>
      <c r="P863" s="34">
        <f>Таблица1[[#This Row],[Блок
 Куб]]*Таблица1[[#This Row],[Цена
 Продажа]]</f>
        <v>0</v>
      </c>
      <c r="Q863" s="34"/>
      <c r="R863" s="34">
        <f>Таблица1[[#This Row],[Сумма 
Продажа]]-Таблица1[[#This Row],[Сумма 
Приход]]-Таблица1[[#This Row],[Авто услу ]]</f>
        <v>0</v>
      </c>
      <c r="S863" s="34"/>
      <c r="T863" s="34">
        <f>Таблица1[[#This Row],[Сумма 
Продажа]]-IF(Таблица1[[#This Row],[Расход 
Авто]]="Клиент",N(Таблица1[[#This Row],[Авто услу ]]),0)</f>
        <v>0</v>
      </c>
      <c r="U8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3" s="265" t="str">
        <f>IFERROR(INDEX(Мижозлар[Агент],MATCH($D863,Мижозлар[Расмий ном],0)),"")</f>
        <v/>
      </c>
    </row>
    <row r="864" spans="1:23" ht="14.25" x14ac:dyDescent="0.2">
      <c r="A864" s="21"/>
      <c r="B864" s="135"/>
      <c r="C864" s="141"/>
      <c r="D864" s="141"/>
      <c r="E864" s="136"/>
      <c r="F864" s="135"/>
      <c r="G864" s="34"/>
      <c r="H864" s="142"/>
      <c r="I864" s="34"/>
      <c r="J864" s="34">
        <f>Таблица1[[#This Row],[Блок
 Куб]]*Таблица1[[#This Row],[Цена 
Приход]]</f>
        <v>0</v>
      </c>
      <c r="K864" s="34"/>
      <c r="L864" s="34"/>
      <c r="M864" s="34">
        <f>Таблица1[[#This Row],[Поддон
Шт]]*Таблица1[[#This Row],[Цена
Поддон]]</f>
        <v>0</v>
      </c>
      <c r="N864" s="34">
        <f>Таблица1[[#This Row],[Сумма 
Приход]]+Таблица1[[#This Row],[Сумма Поддон]]</f>
        <v>0</v>
      </c>
      <c r="O864" s="34"/>
      <c r="P864" s="34">
        <f>Таблица1[[#This Row],[Блок
 Куб]]*Таблица1[[#This Row],[Цена
 Продажа]]</f>
        <v>0</v>
      </c>
      <c r="Q864" s="34"/>
      <c r="R864" s="34">
        <f>Таблица1[[#This Row],[Сумма 
Продажа]]-Таблица1[[#This Row],[Сумма 
Приход]]-Таблица1[[#This Row],[Авто услу ]]</f>
        <v>0</v>
      </c>
      <c r="S864" s="34"/>
      <c r="T864" s="34">
        <f>Таблица1[[#This Row],[Сумма 
Продажа]]-IF(Таблица1[[#This Row],[Расход 
Авто]]="Клиент",N(Таблица1[[#This Row],[Авто услу ]]),0)</f>
        <v>0</v>
      </c>
      <c r="U8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4" s="265" t="str">
        <f>IFERROR(INDEX(Мижозлар[Агент],MATCH($D864,Мижозлар[Расмий ном],0)),"")</f>
        <v/>
      </c>
    </row>
    <row r="865" spans="1:23" ht="14.25" x14ac:dyDescent="0.2">
      <c r="A865" s="21"/>
      <c r="B865" s="135"/>
      <c r="C865" s="141"/>
      <c r="D865" s="141"/>
      <c r="E865" s="136"/>
      <c r="F865" s="135"/>
      <c r="G865" s="34"/>
      <c r="H865" s="142"/>
      <c r="I865" s="34"/>
      <c r="J865" s="34">
        <f>Таблица1[[#This Row],[Блок
 Куб]]*Таблица1[[#This Row],[Цена 
Приход]]</f>
        <v>0</v>
      </c>
      <c r="K865" s="34"/>
      <c r="L865" s="34"/>
      <c r="M865" s="34">
        <f>Таблица1[[#This Row],[Поддон
Шт]]*Таблица1[[#This Row],[Цена
Поддон]]</f>
        <v>0</v>
      </c>
      <c r="N865" s="34">
        <f>Таблица1[[#This Row],[Сумма 
Приход]]+Таблица1[[#This Row],[Сумма Поддон]]</f>
        <v>0</v>
      </c>
      <c r="O865" s="34"/>
      <c r="P865" s="34">
        <f>Таблица1[[#This Row],[Блок
 Куб]]*Таблица1[[#This Row],[Цена
 Продажа]]</f>
        <v>0</v>
      </c>
      <c r="Q865" s="34"/>
      <c r="R865" s="34">
        <f>Таблица1[[#This Row],[Сумма 
Продажа]]-Таблица1[[#This Row],[Сумма 
Приход]]-Таблица1[[#This Row],[Авто услу ]]</f>
        <v>0</v>
      </c>
      <c r="S865" s="34"/>
      <c r="T865" s="34">
        <f>Таблица1[[#This Row],[Сумма 
Продажа]]-IF(Таблица1[[#This Row],[Расход 
Авто]]="Клиент",N(Таблица1[[#This Row],[Авто услу ]]),0)</f>
        <v>0</v>
      </c>
      <c r="U8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5" s="265" t="str">
        <f>IFERROR(INDEX(Мижозлар[Агент],MATCH($D865,Мижозлар[Расмий ном],0)),"")</f>
        <v/>
      </c>
    </row>
    <row r="866" spans="1:23" ht="14.25" x14ac:dyDescent="0.2">
      <c r="A866" s="21"/>
      <c r="B866" s="135"/>
      <c r="C866" s="141"/>
      <c r="D866" s="141"/>
      <c r="E866" s="136"/>
      <c r="F866" s="135"/>
      <c r="G866" s="34"/>
      <c r="H866" s="142"/>
      <c r="I866" s="34"/>
      <c r="J866" s="34">
        <f>Таблица1[[#This Row],[Блок
 Куб]]*Таблица1[[#This Row],[Цена 
Приход]]</f>
        <v>0</v>
      </c>
      <c r="K866" s="34"/>
      <c r="L866" s="34"/>
      <c r="M866" s="34">
        <f>Таблица1[[#This Row],[Поддон
Шт]]*Таблица1[[#This Row],[Цена
Поддон]]</f>
        <v>0</v>
      </c>
      <c r="N866" s="34">
        <f>Таблица1[[#This Row],[Сумма 
Приход]]+Таблица1[[#This Row],[Сумма Поддон]]</f>
        <v>0</v>
      </c>
      <c r="O866" s="34"/>
      <c r="P866" s="34">
        <f>Таблица1[[#This Row],[Блок
 Куб]]*Таблица1[[#This Row],[Цена
 Продажа]]</f>
        <v>0</v>
      </c>
      <c r="Q866" s="34"/>
      <c r="R866" s="34">
        <f>Таблица1[[#This Row],[Сумма 
Продажа]]-Таблица1[[#This Row],[Сумма 
Приход]]-Таблица1[[#This Row],[Авто услу ]]</f>
        <v>0</v>
      </c>
      <c r="S866" s="34"/>
      <c r="T866" s="34">
        <f>Таблица1[[#This Row],[Сумма 
Продажа]]-IF(Таблица1[[#This Row],[Расход 
Авто]]="Клиент",N(Таблица1[[#This Row],[Авто услу ]]),0)</f>
        <v>0</v>
      </c>
      <c r="U8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6" s="265" t="str">
        <f>IFERROR(INDEX(Мижозлар[Агент],MATCH($D866,Мижозлар[Расмий ном],0)),"")</f>
        <v/>
      </c>
    </row>
    <row r="867" spans="1:23" ht="14.25" x14ac:dyDescent="0.2">
      <c r="A867" s="21"/>
      <c r="B867" s="135"/>
      <c r="C867" s="141"/>
      <c r="D867" s="141"/>
      <c r="E867" s="136"/>
      <c r="F867" s="135"/>
      <c r="G867" s="34"/>
      <c r="H867" s="142"/>
      <c r="I867" s="34"/>
      <c r="J867" s="34">
        <f>Таблица1[[#This Row],[Блок
 Куб]]*Таблица1[[#This Row],[Цена 
Приход]]</f>
        <v>0</v>
      </c>
      <c r="K867" s="34"/>
      <c r="L867" s="34"/>
      <c r="M867" s="34">
        <f>Таблица1[[#This Row],[Поддон
Шт]]*Таблица1[[#This Row],[Цена
Поддон]]</f>
        <v>0</v>
      </c>
      <c r="N867" s="34">
        <f>Таблица1[[#This Row],[Сумма 
Приход]]+Таблица1[[#This Row],[Сумма Поддон]]</f>
        <v>0</v>
      </c>
      <c r="O867" s="34"/>
      <c r="P867" s="34">
        <f>Таблица1[[#This Row],[Блок
 Куб]]*Таблица1[[#This Row],[Цена
 Продажа]]</f>
        <v>0</v>
      </c>
      <c r="Q867" s="34"/>
      <c r="R867" s="34">
        <f>Таблица1[[#This Row],[Сумма 
Продажа]]-Таблица1[[#This Row],[Сумма 
Приход]]-Таблица1[[#This Row],[Авто услу ]]</f>
        <v>0</v>
      </c>
      <c r="S867" s="34"/>
      <c r="T867" s="34">
        <f>Таблица1[[#This Row],[Сумма 
Продажа]]-IF(Таблица1[[#This Row],[Расход 
Авто]]="Клиент",N(Таблица1[[#This Row],[Авто услу ]]),0)</f>
        <v>0</v>
      </c>
      <c r="U8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7" s="265" t="str">
        <f>IFERROR(INDEX(Мижозлар[Агент],MATCH($D867,Мижозлар[Расмий ном],0)),"")</f>
        <v/>
      </c>
    </row>
    <row r="868" spans="1:23" ht="14.25" x14ac:dyDescent="0.2">
      <c r="A868" s="21"/>
      <c r="B868" s="135"/>
      <c r="C868" s="141"/>
      <c r="D868" s="141"/>
      <c r="E868" s="136"/>
      <c r="F868" s="135"/>
      <c r="G868" s="34"/>
      <c r="H868" s="142"/>
      <c r="I868" s="34"/>
      <c r="J868" s="34">
        <f>Таблица1[[#This Row],[Блок
 Куб]]*Таблица1[[#This Row],[Цена 
Приход]]</f>
        <v>0</v>
      </c>
      <c r="K868" s="34"/>
      <c r="L868" s="34"/>
      <c r="M868" s="34">
        <f>Таблица1[[#This Row],[Поддон
Шт]]*Таблица1[[#This Row],[Цена
Поддон]]</f>
        <v>0</v>
      </c>
      <c r="N868" s="34">
        <f>Таблица1[[#This Row],[Сумма 
Приход]]+Таблица1[[#This Row],[Сумма Поддон]]</f>
        <v>0</v>
      </c>
      <c r="O868" s="34"/>
      <c r="P868" s="34">
        <f>Таблица1[[#This Row],[Блок
 Куб]]*Таблица1[[#This Row],[Цена
 Продажа]]</f>
        <v>0</v>
      </c>
      <c r="Q868" s="34"/>
      <c r="R868" s="34">
        <f>Таблица1[[#This Row],[Сумма 
Продажа]]-Таблица1[[#This Row],[Сумма 
Приход]]-Таблица1[[#This Row],[Авто услу ]]</f>
        <v>0</v>
      </c>
      <c r="S868" s="34"/>
      <c r="T868" s="34">
        <f>Таблица1[[#This Row],[Сумма 
Продажа]]-IF(Таблица1[[#This Row],[Расход 
Авто]]="Клиент",N(Таблица1[[#This Row],[Авто услу ]]),0)</f>
        <v>0</v>
      </c>
      <c r="U8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8" s="265" t="str">
        <f>IFERROR(INDEX(Мижозлар[Агент],MATCH($D868,Мижозлар[Расмий ном],0)),"")</f>
        <v/>
      </c>
    </row>
    <row r="869" spans="1:23" ht="14.25" x14ac:dyDescent="0.2">
      <c r="A869" s="21"/>
      <c r="B869" s="135"/>
      <c r="C869" s="141"/>
      <c r="D869" s="141"/>
      <c r="E869" s="136"/>
      <c r="F869" s="135"/>
      <c r="G869" s="34"/>
      <c r="H869" s="142"/>
      <c r="I869" s="34"/>
      <c r="J869" s="34">
        <f>Таблица1[[#This Row],[Блок
 Куб]]*Таблица1[[#This Row],[Цена 
Приход]]</f>
        <v>0</v>
      </c>
      <c r="K869" s="34"/>
      <c r="L869" s="34"/>
      <c r="M869" s="34">
        <f>Таблица1[[#This Row],[Поддон
Шт]]*Таблица1[[#This Row],[Цена
Поддон]]</f>
        <v>0</v>
      </c>
      <c r="N869" s="34">
        <f>Таблица1[[#This Row],[Сумма 
Приход]]+Таблица1[[#This Row],[Сумма Поддон]]</f>
        <v>0</v>
      </c>
      <c r="O869" s="34"/>
      <c r="P869" s="34">
        <f>Таблица1[[#This Row],[Блок
 Куб]]*Таблица1[[#This Row],[Цена
 Продажа]]</f>
        <v>0</v>
      </c>
      <c r="Q869" s="34"/>
      <c r="R869" s="34">
        <f>Таблица1[[#This Row],[Сумма 
Продажа]]-Таблица1[[#This Row],[Сумма 
Приход]]-Таблица1[[#This Row],[Авто услу ]]</f>
        <v>0</v>
      </c>
      <c r="S869" s="34"/>
      <c r="T869" s="34">
        <f>Таблица1[[#This Row],[Сумма 
Продажа]]-IF(Таблица1[[#This Row],[Расход 
Авто]]="Клиент",N(Таблица1[[#This Row],[Авто услу ]]),0)</f>
        <v>0</v>
      </c>
      <c r="U8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69" s="265" t="str">
        <f>IFERROR(INDEX(Мижозлар[Агент],MATCH($D869,Мижозлар[Расмий ном],0)),"")</f>
        <v/>
      </c>
    </row>
    <row r="870" spans="1:23" ht="14.25" x14ac:dyDescent="0.2">
      <c r="A870" s="21"/>
      <c r="B870" s="135"/>
      <c r="C870" s="141"/>
      <c r="D870" s="141"/>
      <c r="E870" s="136"/>
      <c r="F870" s="135"/>
      <c r="G870" s="34"/>
      <c r="H870" s="142"/>
      <c r="I870" s="34"/>
      <c r="J870" s="34">
        <f>Таблица1[[#This Row],[Блок
 Куб]]*Таблица1[[#This Row],[Цена 
Приход]]</f>
        <v>0</v>
      </c>
      <c r="K870" s="34"/>
      <c r="L870" s="34"/>
      <c r="M870" s="34">
        <f>Таблица1[[#This Row],[Поддон
Шт]]*Таблица1[[#This Row],[Цена
Поддон]]</f>
        <v>0</v>
      </c>
      <c r="N870" s="34">
        <f>Таблица1[[#This Row],[Сумма 
Приход]]+Таблица1[[#This Row],[Сумма Поддон]]</f>
        <v>0</v>
      </c>
      <c r="O870" s="34"/>
      <c r="P870" s="34">
        <f>Таблица1[[#This Row],[Блок
 Куб]]*Таблица1[[#This Row],[Цена
 Продажа]]</f>
        <v>0</v>
      </c>
      <c r="Q870" s="34"/>
      <c r="R870" s="34">
        <f>Таблица1[[#This Row],[Сумма 
Продажа]]-Таблица1[[#This Row],[Сумма 
Приход]]-Таблица1[[#This Row],[Авто услу ]]</f>
        <v>0</v>
      </c>
      <c r="S870" s="34"/>
      <c r="T870" s="34">
        <f>Таблица1[[#This Row],[Сумма 
Продажа]]-IF(Таблица1[[#This Row],[Расход 
Авто]]="Клиент",N(Таблица1[[#This Row],[Авто услу ]]),0)</f>
        <v>0</v>
      </c>
      <c r="U8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0" s="265" t="str">
        <f>IFERROR(INDEX(Мижозлар[Агент],MATCH($D870,Мижозлар[Расмий ном],0)),"")</f>
        <v/>
      </c>
    </row>
    <row r="871" spans="1:23" ht="14.25" x14ac:dyDescent="0.2">
      <c r="A871" s="21"/>
      <c r="B871" s="135"/>
      <c r="C871" s="141"/>
      <c r="D871" s="141"/>
      <c r="E871" s="136"/>
      <c r="F871" s="135"/>
      <c r="G871" s="34"/>
      <c r="H871" s="142"/>
      <c r="I871" s="34"/>
      <c r="J871" s="34">
        <f>Таблица1[[#This Row],[Блок
 Куб]]*Таблица1[[#This Row],[Цена 
Приход]]</f>
        <v>0</v>
      </c>
      <c r="K871" s="34"/>
      <c r="L871" s="34"/>
      <c r="M871" s="34">
        <f>Таблица1[[#This Row],[Поддон
Шт]]*Таблица1[[#This Row],[Цена
Поддон]]</f>
        <v>0</v>
      </c>
      <c r="N871" s="34">
        <f>Таблица1[[#This Row],[Сумма 
Приход]]+Таблица1[[#This Row],[Сумма Поддон]]</f>
        <v>0</v>
      </c>
      <c r="O871" s="34"/>
      <c r="P871" s="34">
        <f>Таблица1[[#This Row],[Блок
 Куб]]*Таблица1[[#This Row],[Цена
 Продажа]]</f>
        <v>0</v>
      </c>
      <c r="Q871" s="34"/>
      <c r="R871" s="34">
        <f>Таблица1[[#This Row],[Сумма 
Продажа]]-Таблица1[[#This Row],[Сумма 
Приход]]-Таблица1[[#This Row],[Авто услу ]]</f>
        <v>0</v>
      </c>
      <c r="S871" s="34"/>
      <c r="T871" s="34">
        <f>Таблица1[[#This Row],[Сумма 
Продажа]]-IF(Таблица1[[#This Row],[Расход 
Авто]]="Клиент",N(Таблица1[[#This Row],[Авто услу ]]),0)</f>
        <v>0</v>
      </c>
      <c r="U8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1" s="265" t="str">
        <f>IFERROR(INDEX(Мижозлар[Агент],MATCH($D871,Мижозлар[Расмий ном],0)),"")</f>
        <v/>
      </c>
    </row>
    <row r="872" spans="1:23" ht="14.25" x14ac:dyDescent="0.2">
      <c r="A872" s="21"/>
      <c r="B872" s="135"/>
      <c r="C872" s="141"/>
      <c r="D872" s="141"/>
      <c r="E872" s="136"/>
      <c r="F872" s="135"/>
      <c r="G872" s="34"/>
      <c r="H872" s="142"/>
      <c r="I872" s="34"/>
      <c r="J872" s="34">
        <f>Таблица1[[#This Row],[Блок
 Куб]]*Таблица1[[#This Row],[Цена 
Приход]]</f>
        <v>0</v>
      </c>
      <c r="K872" s="34"/>
      <c r="L872" s="34"/>
      <c r="M872" s="34">
        <f>Таблица1[[#This Row],[Поддон
Шт]]*Таблица1[[#This Row],[Цена
Поддон]]</f>
        <v>0</v>
      </c>
      <c r="N872" s="34">
        <f>Таблица1[[#This Row],[Сумма 
Приход]]+Таблица1[[#This Row],[Сумма Поддон]]</f>
        <v>0</v>
      </c>
      <c r="O872" s="34"/>
      <c r="P872" s="34">
        <f>Таблица1[[#This Row],[Блок
 Куб]]*Таблица1[[#This Row],[Цена
 Продажа]]</f>
        <v>0</v>
      </c>
      <c r="Q872" s="34"/>
      <c r="R872" s="34">
        <f>Таблица1[[#This Row],[Сумма 
Продажа]]-Таблица1[[#This Row],[Сумма 
Приход]]-Таблица1[[#This Row],[Авто услу ]]</f>
        <v>0</v>
      </c>
      <c r="S872" s="34"/>
      <c r="T872" s="34">
        <f>Таблица1[[#This Row],[Сумма 
Продажа]]-IF(Таблица1[[#This Row],[Расход 
Авто]]="Клиент",N(Таблица1[[#This Row],[Авто услу ]]),0)</f>
        <v>0</v>
      </c>
      <c r="U8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2" s="265" t="str">
        <f>IFERROR(INDEX(Мижозлар[Агент],MATCH($D872,Мижозлар[Расмий ном],0)),"")</f>
        <v/>
      </c>
    </row>
    <row r="873" spans="1:23" ht="14.25" x14ac:dyDescent="0.2">
      <c r="A873" s="21"/>
      <c r="B873" s="135"/>
      <c r="C873" s="141"/>
      <c r="D873" s="141"/>
      <c r="E873" s="136"/>
      <c r="F873" s="135"/>
      <c r="G873" s="34"/>
      <c r="H873" s="142"/>
      <c r="I873" s="34"/>
      <c r="J873" s="34">
        <f>Таблица1[[#This Row],[Блок
 Куб]]*Таблица1[[#This Row],[Цена 
Приход]]</f>
        <v>0</v>
      </c>
      <c r="K873" s="34"/>
      <c r="L873" s="34"/>
      <c r="M873" s="34">
        <f>Таблица1[[#This Row],[Поддон
Шт]]*Таблица1[[#This Row],[Цена
Поддон]]</f>
        <v>0</v>
      </c>
      <c r="N873" s="34">
        <f>Таблица1[[#This Row],[Сумма 
Приход]]+Таблица1[[#This Row],[Сумма Поддон]]</f>
        <v>0</v>
      </c>
      <c r="O873" s="34"/>
      <c r="P873" s="34">
        <f>Таблица1[[#This Row],[Блок
 Куб]]*Таблица1[[#This Row],[Цена
 Продажа]]</f>
        <v>0</v>
      </c>
      <c r="Q873" s="34"/>
      <c r="R873" s="34">
        <f>Таблица1[[#This Row],[Сумма 
Продажа]]-Таблица1[[#This Row],[Сумма 
Приход]]-Таблица1[[#This Row],[Авто услу ]]</f>
        <v>0</v>
      </c>
      <c r="S873" s="34"/>
      <c r="T873" s="34">
        <f>Таблица1[[#This Row],[Сумма 
Продажа]]-IF(Таблица1[[#This Row],[Расход 
Авто]]="Клиент",N(Таблица1[[#This Row],[Авто услу ]]),0)</f>
        <v>0</v>
      </c>
      <c r="U8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3" s="265" t="str">
        <f>IFERROR(INDEX(Мижозлар[Агент],MATCH($D873,Мижозлар[Расмий ном],0)),"")</f>
        <v/>
      </c>
    </row>
    <row r="874" spans="1:23" ht="14.25" x14ac:dyDescent="0.2">
      <c r="A874" s="21"/>
      <c r="B874" s="135"/>
      <c r="C874" s="141"/>
      <c r="D874" s="141"/>
      <c r="E874" s="136"/>
      <c r="F874" s="135"/>
      <c r="G874" s="34"/>
      <c r="H874" s="142"/>
      <c r="I874" s="34"/>
      <c r="J874" s="34">
        <f>Таблица1[[#This Row],[Блок
 Куб]]*Таблица1[[#This Row],[Цена 
Приход]]</f>
        <v>0</v>
      </c>
      <c r="K874" s="34"/>
      <c r="L874" s="34"/>
      <c r="M874" s="34">
        <f>Таблица1[[#This Row],[Поддон
Шт]]*Таблица1[[#This Row],[Цена
Поддон]]</f>
        <v>0</v>
      </c>
      <c r="N874" s="34">
        <f>Таблица1[[#This Row],[Сумма 
Приход]]+Таблица1[[#This Row],[Сумма Поддон]]</f>
        <v>0</v>
      </c>
      <c r="O874" s="34"/>
      <c r="P874" s="34">
        <f>Таблица1[[#This Row],[Блок
 Куб]]*Таблица1[[#This Row],[Цена
 Продажа]]</f>
        <v>0</v>
      </c>
      <c r="Q874" s="34"/>
      <c r="R874" s="34">
        <f>Таблица1[[#This Row],[Сумма 
Продажа]]-Таблица1[[#This Row],[Сумма 
Приход]]-Таблица1[[#This Row],[Авто услу ]]</f>
        <v>0</v>
      </c>
      <c r="S874" s="34"/>
      <c r="T874" s="34">
        <f>Таблица1[[#This Row],[Сумма 
Продажа]]-IF(Таблица1[[#This Row],[Расход 
Авто]]="Клиент",N(Таблица1[[#This Row],[Авто услу ]]),0)</f>
        <v>0</v>
      </c>
      <c r="U8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4" s="265" t="str">
        <f>IFERROR(INDEX(Мижозлар[Агент],MATCH($D874,Мижозлар[Расмий ном],0)),"")</f>
        <v/>
      </c>
    </row>
    <row r="875" spans="1:23" ht="14.25" x14ac:dyDescent="0.2">
      <c r="A875" s="21"/>
      <c r="B875" s="135"/>
      <c r="C875" s="141"/>
      <c r="D875" s="141"/>
      <c r="E875" s="136"/>
      <c r="F875" s="135"/>
      <c r="G875" s="34"/>
      <c r="H875" s="142"/>
      <c r="I875" s="34"/>
      <c r="J875" s="34">
        <f>Таблица1[[#This Row],[Блок
 Куб]]*Таблица1[[#This Row],[Цена 
Приход]]</f>
        <v>0</v>
      </c>
      <c r="K875" s="34"/>
      <c r="L875" s="34"/>
      <c r="M875" s="34">
        <f>Таблица1[[#This Row],[Поддон
Шт]]*Таблица1[[#This Row],[Цена
Поддон]]</f>
        <v>0</v>
      </c>
      <c r="N875" s="34">
        <f>Таблица1[[#This Row],[Сумма 
Приход]]+Таблица1[[#This Row],[Сумма Поддон]]</f>
        <v>0</v>
      </c>
      <c r="O875" s="34"/>
      <c r="P875" s="34">
        <f>Таблица1[[#This Row],[Блок
 Куб]]*Таблица1[[#This Row],[Цена
 Продажа]]</f>
        <v>0</v>
      </c>
      <c r="Q875" s="34"/>
      <c r="R875" s="34">
        <f>Таблица1[[#This Row],[Сумма 
Продажа]]-Таблица1[[#This Row],[Сумма 
Приход]]-Таблица1[[#This Row],[Авто услу ]]</f>
        <v>0</v>
      </c>
      <c r="S875" s="34"/>
      <c r="T875" s="34">
        <f>Таблица1[[#This Row],[Сумма 
Продажа]]-IF(Таблица1[[#This Row],[Расход 
Авто]]="Клиент",N(Таблица1[[#This Row],[Авто услу ]]),0)</f>
        <v>0</v>
      </c>
      <c r="U8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5" s="265" t="str">
        <f>IFERROR(INDEX(Мижозлар[Агент],MATCH($D875,Мижозлар[Расмий ном],0)),"")</f>
        <v/>
      </c>
    </row>
    <row r="876" spans="1:23" ht="14.25" x14ac:dyDescent="0.2">
      <c r="A876" s="21"/>
      <c r="B876" s="135"/>
      <c r="C876" s="141"/>
      <c r="D876" s="141"/>
      <c r="E876" s="136"/>
      <c r="F876" s="135"/>
      <c r="G876" s="34"/>
      <c r="H876" s="142"/>
      <c r="I876" s="34"/>
      <c r="J876" s="34">
        <f>Таблица1[[#This Row],[Блок
 Куб]]*Таблица1[[#This Row],[Цена 
Приход]]</f>
        <v>0</v>
      </c>
      <c r="K876" s="34"/>
      <c r="L876" s="34"/>
      <c r="M876" s="34">
        <f>Таблица1[[#This Row],[Поддон
Шт]]*Таблица1[[#This Row],[Цена
Поддон]]</f>
        <v>0</v>
      </c>
      <c r="N876" s="34">
        <f>Таблица1[[#This Row],[Сумма 
Приход]]+Таблица1[[#This Row],[Сумма Поддон]]</f>
        <v>0</v>
      </c>
      <c r="O876" s="34"/>
      <c r="P876" s="34">
        <f>Таблица1[[#This Row],[Блок
 Куб]]*Таблица1[[#This Row],[Цена
 Продажа]]</f>
        <v>0</v>
      </c>
      <c r="Q876" s="34"/>
      <c r="R876" s="34">
        <f>Таблица1[[#This Row],[Сумма 
Продажа]]-Таблица1[[#This Row],[Сумма 
Приход]]-Таблица1[[#This Row],[Авто услу ]]</f>
        <v>0</v>
      </c>
      <c r="S876" s="34"/>
      <c r="T876" s="34">
        <f>Таблица1[[#This Row],[Сумма 
Продажа]]-IF(Таблица1[[#This Row],[Расход 
Авто]]="Клиент",N(Таблица1[[#This Row],[Авто услу ]]),0)</f>
        <v>0</v>
      </c>
      <c r="U8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6" s="265" t="str">
        <f>IFERROR(INDEX(Мижозлар[Агент],MATCH($D876,Мижозлар[Расмий ном],0)),"")</f>
        <v/>
      </c>
    </row>
    <row r="877" spans="1:23" ht="14.25" x14ac:dyDescent="0.2">
      <c r="A877" s="21"/>
      <c r="B877" s="135"/>
      <c r="C877" s="141"/>
      <c r="D877" s="141"/>
      <c r="E877" s="136"/>
      <c r="F877" s="135"/>
      <c r="G877" s="34"/>
      <c r="H877" s="142"/>
      <c r="I877" s="34"/>
      <c r="J877" s="34">
        <f>Таблица1[[#This Row],[Блок
 Куб]]*Таблица1[[#This Row],[Цена 
Приход]]</f>
        <v>0</v>
      </c>
      <c r="K877" s="34"/>
      <c r="L877" s="34"/>
      <c r="M877" s="34">
        <f>Таблица1[[#This Row],[Поддон
Шт]]*Таблица1[[#This Row],[Цена
Поддон]]</f>
        <v>0</v>
      </c>
      <c r="N877" s="34">
        <f>Таблица1[[#This Row],[Сумма 
Приход]]+Таблица1[[#This Row],[Сумма Поддон]]</f>
        <v>0</v>
      </c>
      <c r="O877" s="34"/>
      <c r="P877" s="34">
        <f>Таблица1[[#This Row],[Блок
 Куб]]*Таблица1[[#This Row],[Цена
 Продажа]]</f>
        <v>0</v>
      </c>
      <c r="Q877" s="34"/>
      <c r="R877" s="34">
        <f>Таблица1[[#This Row],[Сумма 
Продажа]]-Таблица1[[#This Row],[Сумма 
Приход]]-Таблица1[[#This Row],[Авто услу ]]</f>
        <v>0</v>
      </c>
      <c r="S877" s="34"/>
      <c r="T877" s="34">
        <f>Таблица1[[#This Row],[Сумма 
Продажа]]-IF(Таблица1[[#This Row],[Расход 
Авто]]="Клиент",N(Таблица1[[#This Row],[Авто услу ]]),0)</f>
        <v>0</v>
      </c>
      <c r="U8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7" s="265" t="str">
        <f>IFERROR(INDEX(Мижозлар[Агент],MATCH($D877,Мижозлар[Расмий ном],0)),"")</f>
        <v/>
      </c>
    </row>
    <row r="878" spans="1:23" ht="14.25" x14ac:dyDescent="0.2">
      <c r="A878" s="21"/>
      <c r="B878" s="135"/>
      <c r="C878" s="141"/>
      <c r="D878" s="141"/>
      <c r="E878" s="136"/>
      <c r="F878" s="135"/>
      <c r="G878" s="34"/>
      <c r="H878" s="142"/>
      <c r="I878" s="34"/>
      <c r="J878" s="34">
        <f>Таблица1[[#This Row],[Блок
 Куб]]*Таблица1[[#This Row],[Цена 
Приход]]</f>
        <v>0</v>
      </c>
      <c r="K878" s="34"/>
      <c r="L878" s="34"/>
      <c r="M878" s="34">
        <f>Таблица1[[#This Row],[Поддон
Шт]]*Таблица1[[#This Row],[Цена
Поддон]]</f>
        <v>0</v>
      </c>
      <c r="N878" s="34">
        <f>Таблица1[[#This Row],[Сумма 
Приход]]+Таблица1[[#This Row],[Сумма Поддон]]</f>
        <v>0</v>
      </c>
      <c r="O878" s="34"/>
      <c r="P878" s="34">
        <f>Таблица1[[#This Row],[Блок
 Куб]]*Таблица1[[#This Row],[Цена
 Продажа]]</f>
        <v>0</v>
      </c>
      <c r="Q878" s="34"/>
      <c r="R878" s="34">
        <f>Таблица1[[#This Row],[Сумма 
Продажа]]-Таблица1[[#This Row],[Сумма 
Приход]]-Таблица1[[#This Row],[Авто услу ]]</f>
        <v>0</v>
      </c>
      <c r="S878" s="34"/>
      <c r="T878" s="34">
        <f>Таблица1[[#This Row],[Сумма 
Продажа]]-IF(Таблица1[[#This Row],[Расход 
Авто]]="Клиент",N(Таблица1[[#This Row],[Авто услу ]]),0)</f>
        <v>0</v>
      </c>
      <c r="U8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8" s="265" t="str">
        <f>IFERROR(INDEX(Мижозлар[Агент],MATCH($D878,Мижозлар[Расмий ном],0)),"")</f>
        <v/>
      </c>
    </row>
    <row r="879" spans="1:23" ht="14.25" x14ac:dyDescent="0.2">
      <c r="A879" s="21"/>
      <c r="B879" s="135"/>
      <c r="C879" s="141"/>
      <c r="D879" s="141"/>
      <c r="E879" s="136"/>
      <c r="F879" s="135"/>
      <c r="G879" s="34"/>
      <c r="H879" s="142"/>
      <c r="I879" s="34"/>
      <c r="J879" s="34">
        <f>Таблица1[[#This Row],[Блок
 Куб]]*Таблица1[[#This Row],[Цена 
Приход]]</f>
        <v>0</v>
      </c>
      <c r="K879" s="34"/>
      <c r="L879" s="34"/>
      <c r="M879" s="34">
        <f>Таблица1[[#This Row],[Поддон
Шт]]*Таблица1[[#This Row],[Цена
Поддон]]</f>
        <v>0</v>
      </c>
      <c r="N879" s="34">
        <f>Таблица1[[#This Row],[Сумма 
Приход]]+Таблица1[[#This Row],[Сумма Поддон]]</f>
        <v>0</v>
      </c>
      <c r="O879" s="34"/>
      <c r="P879" s="34">
        <f>Таблица1[[#This Row],[Блок
 Куб]]*Таблица1[[#This Row],[Цена
 Продажа]]</f>
        <v>0</v>
      </c>
      <c r="Q879" s="34"/>
      <c r="R879" s="34">
        <f>Таблица1[[#This Row],[Сумма 
Продажа]]-Таблица1[[#This Row],[Сумма 
Приход]]-Таблица1[[#This Row],[Авто услу ]]</f>
        <v>0</v>
      </c>
      <c r="S879" s="34"/>
      <c r="T879" s="34">
        <f>Таблица1[[#This Row],[Сумма 
Продажа]]-IF(Таблица1[[#This Row],[Расход 
Авто]]="Клиент",N(Таблица1[[#This Row],[Авто услу ]]),0)</f>
        <v>0</v>
      </c>
      <c r="U8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79" s="265" t="str">
        <f>IFERROR(INDEX(Мижозлар[Агент],MATCH($D879,Мижозлар[Расмий ном],0)),"")</f>
        <v/>
      </c>
    </row>
    <row r="880" spans="1:23" ht="14.25" x14ac:dyDescent="0.2">
      <c r="A880" s="21"/>
      <c r="B880" s="135"/>
      <c r="C880" s="141"/>
      <c r="D880" s="141"/>
      <c r="E880" s="136"/>
      <c r="F880" s="135"/>
      <c r="G880" s="34"/>
      <c r="H880" s="142"/>
      <c r="I880" s="34"/>
      <c r="J880" s="34">
        <f>Таблица1[[#This Row],[Блок
 Куб]]*Таблица1[[#This Row],[Цена 
Приход]]</f>
        <v>0</v>
      </c>
      <c r="K880" s="34"/>
      <c r="L880" s="34"/>
      <c r="M880" s="34">
        <f>Таблица1[[#This Row],[Поддон
Шт]]*Таблица1[[#This Row],[Цена
Поддон]]</f>
        <v>0</v>
      </c>
      <c r="N880" s="34">
        <f>Таблица1[[#This Row],[Сумма 
Приход]]+Таблица1[[#This Row],[Сумма Поддон]]</f>
        <v>0</v>
      </c>
      <c r="O880" s="34"/>
      <c r="P880" s="34">
        <f>Таблица1[[#This Row],[Блок
 Куб]]*Таблица1[[#This Row],[Цена
 Продажа]]</f>
        <v>0</v>
      </c>
      <c r="Q880" s="34"/>
      <c r="R880" s="34">
        <f>Таблица1[[#This Row],[Сумма 
Продажа]]-Таблица1[[#This Row],[Сумма 
Приход]]-Таблица1[[#This Row],[Авто услу ]]</f>
        <v>0</v>
      </c>
      <c r="S880" s="34"/>
      <c r="T880" s="34">
        <f>Таблица1[[#This Row],[Сумма 
Продажа]]-IF(Таблица1[[#This Row],[Расход 
Авто]]="Клиент",N(Таблица1[[#This Row],[Авто услу ]]),0)</f>
        <v>0</v>
      </c>
      <c r="U8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0" s="265" t="str">
        <f>IFERROR(INDEX(Мижозлар[Агент],MATCH($D880,Мижозлар[Расмий ном],0)),"")</f>
        <v/>
      </c>
    </row>
    <row r="881" spans="1:23" ht="14.25" x14ac:dyDescent="0.2">
      <c r="A881" s="21"/>
      <c r="B881" s="135"/>
      <c r="C881" s="141"/>
      <c r="D881" s="141"/>
      <c r="E881" s="136"/>
      <c r="F881" s="135"/>
      <c r="G881" s="34"/>
      <c r="H881" s="142"/>
      <c r="I881" s="34"/>
      <c r="J881" s="34">
        <f>Таблица1[[#This Row],[Блок
 Куб]]*Таблица1[[#This Row],[Цена 
Приход]]</f>
        <v>0</v>
      </c>
      <c r="K881" s="34"/>
      <c r="L881" s="34"/>
      <c r="M881" s="34">
        <f>Таблица1[[#This Row],[Поддон
Шт]]*Таблица1[[#This Row],[Цена
Поддон]]</f>
        <v>0</v>
      </c>
      <c r="N881" s="34">
        <f>Таблица1[[#This Row],[Сумма 
Приход]]+Таблица1[[#This Row],[Сумма Поддон]]</f>
        <v>0</v>
      </c>
      <c r="O881" s="34"/>
      <c r="P881" s="34">
        <f>Таблица1[[#This Row],[Блок
 Куб]]*Таблица1[[#This Row],[Цена
 Продажа]]</f>
        <v>0</v>
      </c>
      <c r="Q881" s="34"/>
      <c r="R881" s="34">
        <f>Таблица1[[#This Row],[Сумма 
Продажа]]-Таблица1[[#This Row],[Сумма 
Приход]]-Таблица1[[#This Row],[Авто услу ]]</f>
        <v>0</v>
      </c>
      <c r="S881" s="34"/>
      <c r="T881" s="34">
        <f>Таблица1[[#This Row],[Сумма 
Продажа]]-IF(Таблица1[[#This Row],[Расход 
Авто]]="Клиент",N(Таблица1[[#This Row],[Авто услу ]]),0)</f>
        <v>0</v>
      </c>
      <c r="U8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1" s="265" t="str">
        <f>IFERROR(INDEX(Мижозлар[Агент],MATCH($D881,Мижозлар[Расмий ном],0)),"")</f>
        <v/>
      </c>
    </row>
    <row r="882" spans="1:23" ht="14.25" x14ac:dyDescent="0.2">
      <c r="A882" s="21"/>
      <c r="B882" s="135"/>
      <c r="C882" s="141"/>
      <c r="D882" s="141"/>
      <c r="E882" s="136"/>
      <c r="F882" s="135"/>
      <c r="G882" s="34"/>
      <c r="H882" s="142"/>
      <c r="I882" s="34"/>
      <c r="J882" s="34">
        <f>Таблица1[[#This Row],[Блок
 Куб]]*Таблица1[[#This Row],[Цена 
Приход]]</f>
        <v>0</v>
      </c>
      <c r="K882" s="34"/>
      <c r="L882" s="34"/>
      <c r="M882" s="34">
        <f>Таблица1[[#This Row],[Поддон
Шт]]*Таблица1[[#This Row],[Цена
Поддон]]</f>
        <v>0</v>
      </c>
      <c r="N882" s="34">
        <f>Таблица1[[#This Row],[Сумма 
Приход]]+Таблица1[[#This Row],[Сумма Поддон]]</f>
        <v>0</v>
      </c>
      <c r="O882" s="34"/>
      <c r="P882" s="34">
        <f>Таблица1[[#This Row],[Блок
 Куб]]*Таблица1[[#This Row],[Цена
 Продажа]]</f>
        <v>0</v>
      </c>
      <c r="Q882" s="34"/>
      <c r="R882" s="34">
        <f>Таблица1[[#This Row],[Сумма 
Продажа]]-Таблица1[[#This Row],[Сумма 
Приход]]-Таблица1[[#This Row],[Авто услу ]]</f>
        <v>0</v>
      </c>
      <c r="S882" s="34"/>
      <c r="T882" s="34">
        <f>Таблица1[[#This Row],[Сумма 
Продажа]]-IF(Таблица1[[#This Row],[Расход 
Авто]]="Клиент",N(Таблица1[[#This Row],[Авто услу ]]),0)</f>
        <v>0</v>
      </c>
      <c r="U8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2" s="265" t="str">
        <f>IFERROR(INDEX(Мижозлар[Агент],MATCH($D882,Мижозлар[Расмий ном],0)),"")</f>
        <v/>
      </c>
    </row>
    <row r="883" spans="1:23" ht="14.25" x14ac:dyDescent="0.2">
      <c r="A883" s="21"/>
      <c r="B883" s="135"/>
      <c r="C883" s="141"/>
      <c r="D883" s="141"/>
      <c r="E883" s="136"/>
      <c r="F883" s="135"/>
      <c r="G883" s="34"/>
      <c r="H883" s="142"/>
      <c r="I883" s="34"/>
      <c r="J883" s="34">
        <f>Таблица1[[#This Row],[Блок
 Куб]]*Таблица1[[#This Row],[Цена 
Приход]]</f>
        <v>0</v>
      </c>
      <c r="K883" s="34"/>
      <c r="L883" s="34"/>
      <c r="M883" s="34">
        <f>Таблица1[[#This Row],[Поддон
Шт]]*Таблица1[[#This Row],[Цена
Поддон]]</f>
        <v>0</v>
      </c>
      <c r="N883" s="34">
        <f>Таблица1[[#This Row],[Сумма 
Приход]]+Таблица1[[#This Row],[Сумма Поддон]]</f>
        <v>0</v>
      </c>
      <c r="O883" s="34"/>
      <c r="P883" s="34">
        <f>Таблица1[[#This Row],[Блок
 Куб]]*Таблица1[[#This Row],[Цена
 Продажа]]</f>
        <v>0</v>
      </c>
      <c r="Q883" s="34"/>
      <c r="R883" s="34">
        <f>Таблица1[[#This Row],[Сумма 
Продажа]]-Таблица1[[#This Row],[Сумма 
Приход]]-Таблица1[[#This Row],[Авто услу ]]</f>
        <v>0</v>
      </c>
      <c r="S883" s="34"/>
      <c r="T883" s="34">
        <f>Таблица1[[#This Row],[Сумма 
Продажа]]-IF(Таблица1[[#This Row],[Расход 
Авто]]="Клиент",N(Таблица1[[#This Row],[Авто услу ]]),0)</f>
        <v>0</v>
      </c>
      <c r="U8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3" s="265" t="str">
        <f>IFERROR(INDEX(Мижозлар[Агент],MATCH($D883,Мижозлар[Расмий ном],0)),"")</f>
        <v/>
      </c>
    </row>
    <row r="884" spans="1:23" ht="14.25" x14ac:dyDescent="0.2">
      <c r="A884" s="21"/>
      <c r="B884" s="135"/>
      <c r="C884" s="141"/>
      <c r="D884" s="141"/>
      <c r="E884" s="136"/>
      <c r="F884" s="135"/>
      <c r="G884" s="34"/>
      <c r="H884" s="142"/>
      <c r="I884" s="34"/>
      <c r="J884" s="34">
        <f>Таблица1[[#This Row],[Блок
 Куб]]*Таблица1[[#This Row],[Цена 
Приход]]</f>
        <v>0</v>
      </c>
      <c r="K884" s="34"/>
      <c r="L884" s="34"/>
      <c r="M884" s="34">
        <f>Таблица1[[#This Row],[Поддон
Шт]]*Таблица1[[#This Row],[Цена
Поддон]]</f>
        <v>0</v>
      </c>
      <c r="N884" s="34">
        <f>Таблица1[[#This Row],[Сумма 
Приход]]+Таблица1[[#This Row],[Сумма Поддон]]</f>
        <v>0</v>
      </c>
      <c r="O884" s="34"/>
      <c r="P884" s="34">
        <f>Таблица1[[#This Row],[Блок
 Куб]]*Таблица1[[#This Row],[Цена
 Продажа]]</f>
        <v>0</v>
      </c>
      <c r="Q884" s="34"/>
      <c r="R884" s="34">
        <f>Таблица1[[#This Row],[Сумма 
Продажа]]-Таблица1[[#This Row],[Сумма 
Приход]]-Таблица1[[#This Row],[Авто услу ]]</f>
        <v>0</v>
      </c>
      <c r="S884" s="34"/>
      <c r="T884" s="34">
        <f>Таблица1[[#This Row],[Сумма 
Продажа]]-IF(Таблица1[[#This Row],[Расход 
Авто]]="Клиент",N(Таблица1[[#This Row],[Авто услу ]]),0)</f>
        <v>0</v>
      </c>
      <c r="U8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4" s="265" t="str">
        <f>IFERROR(INDEX(Мижозлар[Агент],MATCH($D884,Мижозлар[Расмий ном],0)),"")</f>
        <v/>
      </c>
    </row>
    <row r="885" spans="1:23" ht="14.25" x14ac:dyDescent="0.2">
      <c r="A885" s="21"/>
      <c r="B885" s="135"/>
      <c r="C885" s="141"/>
      <c r="D885" s="141"/>
      <c r="E885" s="136"/>
      <c r="F885" s="135"/>
      <c r="G885" s="34"/>
      <c r="H885" s="142"/>
      <c r="I885" s="34"/>
      <c r="J885" s="34">
        <f>Таблица1[[#This Row],[Блок
 Куб]]*Таблица1[[#This Row],[Цена 
Приход]]</f>
        <v>0</v>
      </c>
      <c r="K885" s="34"/>
      <c r="L885" s="34"/>
      <c r="M885" s="34">
        <f>Таблица1[[#This Row],[Поддон
Шт]]*Таблица1[[#This Row],[Цена
Поддон]]</f>
        <v>0</v>
      </c>
      <c r="N885" s="34">
        <f>Таблица1[[#This Row],[Сумма 
Приход]]+Таблица1[[#This Row],[Сумма Поддон]]</f>
        <v>0</v>
      </c>
      <c r="O885" s="34"/>
      <c r="P885" s="34">
        <f>Таблица1[[#This Row],[Блок
 Куб]]*Таблица1[[#This Row],[Цена
 Продажа]]</f>
        <v>0</v>
      </c>
      <c r="Q885" s="34"/>
      <c r="R885" s="34">
        <f>Таблица1[[#This Row],[Сумма 
Продажа]]-Таблица1[[#This Row],[Сумма 
Приход]]-Таблица1[[#This Row],[Авто услу ]]</f>
        <v>0</v>
      </c>
      <c r="S885" s="34"/>
      <c r="T885" s="34">
        <f>Таблица1[[#This Row],[Сумма 
Продажа]]-IF(Таблица1[[#This Row],[Расход 
Авто]]="Клиент",N(Таблица1[[#This Row],[Авто услу ]]),0)</f>
        <v>0</v>
      </c>
      <c r="U8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5" s="265" t="str">
        <f>IFERROR(INDEX(Мижозлар[Агент],MATCH($D885,Мижозлар[Расмий ном],0)),"")</f>
        <v/>
      </c>
    </row>
    <row r="886" spans="1:23" ht="14.25" x14ac:dyDescent="0.2">
      <c r="A886" s="21"/>
      <c r="B886" s="135"/>
      <c r="C886" s="141"/>
      <c r="D886" s="141"/>
      <c r="E886" s="136"/>
      <c r="F886" s="135"/>
      <c r="G886" s="34"/>
      <c r="H886" s="142"/>
      <c r="I886" s="34"/>
      <c r="J886" s="34">
        <f>Таблица1[[#This Row],[Блок
 Куб]]*Таблица1[[#This Row],[Цена 
Приход]]</f>
        <v>0</v>
      </c>
      <c r="K886" s="34"/>
      <c r="L886" s="34"/>
      <c r="M886" s="34">
        <f>Таблица1[[#This Row],[Поддон
Шт]]*Таблица1[[#This Row],[Цена
Поддон]]</f>
        <v>0</v>
      </c>
      <c r="N886" s="34">
        <f>Таблица1[[#This Row],[Сумма 
Приход]]+Таблица1[[#This Row],[Сумма Поддон]]</f>
        <v>0</v>
      </c>
      <c r="O886" s="34"/>
      <c r="P886" s="34">
        <f>Таблица1[[#This Row],[Блок
 Куб]]*Таблица1[[#This Row],[Цена
 Продажа]]</f>
        <v>0</v>
      </c>
      <c r="Q886" s="34"/>
      <c r="R886" s="34">
        <f>Таблица1[[#This Row],[Сумма 
Продажа]]-Таблица1[[#This Row],[Сумма 
Приход]]-Таблица1[[#This Row],[Авто услу ]]</f>
        <v>0</v>
      </c>
      <c r="S886" s="34"/>
      <c r="T886" s="34">
        <f>Таблица1[[#This Row],[Сумма 
Продажа]]-IF(Таблица1[[#This Row],[Расход 
Авто]]="Клиент",N(Таблица1[[#This Row],[Авто услу ]]),0)</f>
        <v>0</v>
      </c>
      <c r="U8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6" s="265" t="str">
        <f>IFERROR(INDEX(Мижозлар[Агент],MATCH($D886,Мижозлар[Расмий ном],0)),"")</f>
        <v/>
      </c>
    </row>
    <row r="887" spans="1:23" ht="14.25" x14ac:dyDescent="0.2">
      <c r="A887" s="21"/>
      <c r="B887" s="135"/>
      <c r="C887" s="141"/>
      <c r="D887" s="141"/>
      <c r="E887" s="136"/>
      <c r="F887" s="135"/>
      <c r="G887" s="34"/>
      <c r="H887" s="142"/>
      <c r="I887" s="34"/>
      <c r="J887" s="34">
        <f>Таблица1[[#This Row],[Блок
 Куб]]*Таблица1[[#This Row],[Цена 
Приход]]</f>
        <v>0</v>
      </c>
      <c r="K887" s="34"/>
      <c r="L887" s="34"/>
      <c r="M887" s="34">
        <f>Таблица1[[#This Row],[Поддон
Шт]]*Таблица1[[#This Row],[Цена
Поддон]]</f>
        <v>0</v>
      </c>
      <c r="N887" s="34">
        <f>Таблица1[[#This Row],[Сумма 
Приход]]+Таблица1[[#This Row],[Сумма Поддон]]</f>
        <v>0</v>
      </c>
      <c r="O887" s="34"/>
      <c r="P887" s="34">
        <f>Таблица1[[#This Row],[Блок
 Куб]]*Таблица1[[#This Row],[Цена
 Продажа]]</f>
        <v>0</v>
      </c>
      <c r="Q887" s="34"/>
      <c r="R887" s="34">
        <f>Таблица1[[#This Row],[Сумма 
Продажа]]-Таблица1[[#This Row],[Сумма 
Приход]]-Таблица1[[#This Row],[Авто услу ]]</f>
        <v>0</v>
      </c>
      <c r="S887" s="34"/>
      <c r="T887" s="34">
        <f>Таблица1[[#This Row],[Сумма 
Продажа]]-IF(Таблица1[[#This Row],[Расход 
Авто]]="Клиент",N(Таблица1[[#This Row],[Авто услу ]]),0)</f>
        <v>0</v>
      </c>
      <c r="U8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7" s="265" t="str">
        <f>IFERROR(INDEX(Мижозлар[Агент],MATCH($D887,Мижозлар[Расмий ном],0)),"")</f>
        <v/>
      </c>
    </row>
    <row r="888" spans="1:23" ht="14.25" x14ac:dyDescent="0.2">
      <c r="A888" s="21"/>
      <c r="B888" s="135"/>
      <c r="C888" s="141"/>
      <c r="D888" s="141"/>
      <c r="E888" s="136"/>
      <c r="F888" s="135"/>
      <c r="G888" s="34"/>
      <c r="H888" s="142"/>
      <c r="I888" s="34"/>
      <c r="J888" s="34">
        <f>Таблица1[[#This Row],[Блок
 Куб]]*Таблица1[[#This Row],[Цена 
Приход]]</f>
        <v>0</v>
      </c>
      <c r="K888" s="34"/>
      <c r="L888" s="34"/>
      <c r="M888" s="34">
        <f>Таблица1[[#This Row],[Поддон
Шт]]*Таблица1[[#This Row],[Цена
Поддон]]</f>
        <v>0</v>
      </c>
      <c r="N888" s="34">
        <f>Таблица1[[#This Row],[Сумма 
Приход]]+Таблица1[[#This Row],[Сумма Поддон]]</f>
        <v>0</v>
      </c>
      <c r="O888" s="34"/>
      <c r="P888" s="34">
        <f>Таблица1[[#This Row],[Блок
 Куб]]*Таблица1[[#This Row],[Цена
 Продажа]]</f>
        <v>0</v>
      </c>
      <c r="Q888" s="34"/>
      <c r="R888" s="34">
        <f>Таблица1[[#This Row],[Сумма 
Продажа]]-Таблица1[[#This Row],[Сумма 
Приход]]-Таблица1[[#This Row],[Авто услу ]]</f>
        <v>0</v>
      </c>
      <c r="S888" s="34"/>
      <c r="T888" s="34">
        <f>Таблица1[[#This Row],[Сумма 
Продажа]]-IF(Таблица1[[#This Row],[Расход 
Авто]]="Клиент",N(Таблица1[[#This Row],[Авто услу ]]),0)</f>
        <v>0</v>
      </c>
      <c r="U8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8" s="265" t="str">
        <f>IFERROR(INDEX(Мижозлар[Агент],MATCH($D888,Мижозлар[Расмий ном],0)),"")</f>
        <v/>
      </c>
    </row>
    <row r="889" spans="1:23" ht="14.25" x14ac:dyDescent="0.2">
      <c r="A889" s="21"/>
      <c r="B889" s="135"/>
      <c r="C889" s="141"/>
      <c r="D889" s="141"/>
      <c r="E889" s="136"/>
      <c r="F889" s="135"/>
      <c r="G889" s="34"/>
      <c r="H889" s="142"/>
      <c r="I889" s="34"/>
      <c r="J889" s="34">
        <f>Таблица1[[#This Row],[Блок
 Куб]]*Таблица1[[#This Row],[Цена 
Приход]]</f>
        <v>0</v>
      </c>
      <c r="K889" s="34"/>
      <c r="L889" s="34"/>
      <c r="M889" s="34">
        <f>Таблица1[[#This Row],[Поддон
Шт]]*Таблица1[[#This Row],[Цена
Поддон]]</f>
        <v>0</v>
      </c>
      <c r="N889" s="34">
        <f>Таблица1[[#This Row],[Сумма 
Приход]]+Таблица1[[#This Row],[Сумма Поддон]]</f>
        <v>0</v>
      </c>
      <c r="O889" s="34"/>
      <c r="P889" s="34">
        <f>Таблица1[[#This Row],[Блок
 Куб]]*Таблица1[[#This Row],[Цена
 Продажа]]</f>
        <v>0</v>
      </c>
      <c r="Q889" s="34"/>
      <c r="R889" s="34">
        <f>Таблица1[[#This Row],[Сумма 
Продажа]]-Таблица1[[#This Row],[Сумма 
Приход]]-Таблица1[[#This Row],[Авто услу ]]</f>
        <v>0</v>
      </c>
      <c r="S889" s="34"/>
      <c r="T889" s="34">
        <f>Таблица1[[#This Row],[Сумма 
Продажа]]-IF(Таблица1[[#This Row],[Расход 
Авто]]="Клиент",N(Таблица1[[#This Row],[Авто услу ]]),0)</f>
        <v>0</v>
      </c>
      <c r="U8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89" s="265" t="str">
        <f>IFERROR(INDEX(Мижозлар[Агент],MATCH($D889,Мижозлар[Расмий ном],0)),"")</f>
        <v/>
      </c>
    </row>
    <row r="890" spans="1:23" ht="14.25" x14ac:dyDescent="0.2">
      <c r="A890" s="21"/>
      <c r="B890" s="135"/>
      <c r="C890" s="141"/>
      <c r="D890" s="141"/>
      <c r="E890" s="136"/>
      <c r="F890" s="135"/>
      <c r="G890" s="34"/>
      <c r="H890" s="142"/>
      <c r="I890" s="34"/>
      <c r="J890" s="34">
        <f>Таблица1[[#This Row],[Блок
 Куб]]*Таблица1[[#This Row],[Цена 
Приход]]</f>
        <v>0</v>
      </c>
      <c r="K890" s="34"/>
      <c r="L890" s="34"/>
      <c r="M890" s="34">
        <f>Таблица1[[#This Row],[Поддон
Шт]]*Таблица1[[#This Row],[Цена
Поддон]]</f>
        <v>0</v>
      </c>
      <c r="N890" s="34">
        <f>Таблица1[[#This Row],[Сумма 
Приход]]+Таблица1[[#This Row],[Сумма Поддон]]</f>
        <v>0</v>
      </c>
      <c r="O890" s="34"/>
      <c r="P890" s="34">
        <f>Таблица1[[#This Row],[Блок
 Куб]]*Таблица1[[#This Row],[Цена
 Продажа]]</f>
        <v>0</v>
      </c>
      <c r="Q890" s="34"/>
      <c r="R890" s="34">
        <f>Таблица1[[#This Row],[Сумма 
Продажа]]-Таблица1[[#This Row],[Сумма 
Приход]]-Таблица1[[#This Row],[Авто услу ]]</f>
        <v>0</v>
      </c>
      <c r="S890" s="34"/>
      <c r="T890" s="34">
        <f>Таблица1[[#This Row],[Сумма 
Продажа]]-IF(Таблица1[[#This Row],[Расход 
Авто]]="Клиент",N(Таблица1[[#This Row],[Авто услу ]]),0)</f>
        <v>0</v>
      </c>
      <c r="U8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0" s="265" t="str">
        <f>IFERROR(INDEX(Мижозлар[Агент],MATCH($D890,Мижозлар[Расмий ном],0)),"")</f>
        <v/>
      </c>
    </row>
    <row r="891" spans="1:23" ht="14.25" x14ac:dyDescent="0.2">
      <c r="A891" s="21"/>
      <c r="B891" s="135"/>
      <c r="C891" s="141"/>
      <c r="D891" s="141"/>
      <c r="E891" s="136"/>
      <c r="F891" s="135"/>
      <c r="G891" s="34"/>
      <c r="H891" s="142"/>
      <c r="I891" s="34"/>
      <c r="J891" s="34">
        <f>Таблица1[[#This Row],[Блок
 Куб]]*Таблица1[[#This Row],[Цена 
Приход]]</f>
        <v>0</v>
      </c>
      <c r="K891" s="34"/>
      <c r="L891" s="34"/>
      <c r="M891" s="34">
        <f>Таблица1[[#This Row],[Поддон
Шт]]*Таблица1[[#This Row],[Цена
Поддон]]</f>
        <v>0</v>
      </c>
      <c r="N891" s="34">
        <f>Таблица1[[#This Row],[Сумма 
Приход]]+Таблица1[[#This Row],[Сумма Поддон]]</f>
        <v>0</v>
      </c>
      <c r="O891" s="34"/>
      <c r="P891" s="34">
        <f>Таблица1[[#This Row],[Блок
 Куб]]*Таблица1[[#This Row],[Цена
 Продажа]]</f>
        <v>0</v>
      </c>
      <c r="Q891" s="34"/>
      <c r="R891" s="34">
        <f>Таблица1[[#This Row],[Сумма 
Продажа]]-Таблица1[[#This Row],[Сумма 
Приход]]-Таблица1[[#This Row],[Авто услу ]]</f>
        <v>0</v>
      </c>
      <c r="S891" s="34"/>
      <c r="T891" s="34">
        <f>Таблица1[[#This Row],[Сумма 
Продажа]]-IF(Таблица1[[#This Row],[Расход 
Авто]]="Клиент",N(Таблица1[[#This Row],[Авто услу ]]),0)</f>
        <v>0</v>
      </c>
      <c r="U8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1" s="265" t="str">
        <f>IFERROR(INDEX(Мижозлар[Агент],MATCH($D891,Мижозлар[Расмий ном],0)),"")</f>
        <v/>
      </c>
    </row>
    <row r="892" spans="1:23" ht="14.25" x14ac:dyDescent="0.2">
      <c r="A892" s="21"/>
      <c r="B892" s="135"/>
      <c r="C892" s="141"/>
      <c r="D892" s="141"/>
      <c r="E892" s="136"/>
      <c r="F892" s="135"/>
      <c r="G892" s="34"/>
      <c r="H892" s="142"/>
      <c r="I892" s="34"/>
      <c r="J892" s="34">
        <f>Таблица1[[#This Row],[Блок
 Куб]]*Таблица1[[#This Row],[Цена 
Приход]]</f>
        <v>0</v>
      </c>
      <c r="K892" s="34"/>
      <c r="L892" s="34"/>
      <c r="M892" s="34">
        <f>Таблица1[[#This Row],[Поддон
Шт]]*Таблица1[[#This Row],[Цена
Поддон]]</f>
        <v>0</v>
      </c>
      <c r="N892" s="34">
        <f>Таблица1[[#This Row],[Сумма 
Приход]]+Таблица1[[#This Row],[Сумма Поддон]]</f>
        <v>0</v>
      </c>
      <c r="O892" s="34"/>
      <c r="P892" s="34">
        <f>Таблица1[[#This Row],[Блок
 Куб]]*Таблица1[[#This Row],[Цена
 Продажа]]</f>
        <v>0</v>
      </c>
      <c r="Q892" s="34"/>
      <c r="R892" s="34">
        <f>Таблица1[[#This Row],[Сумма 
Продажа]]-Таблица1[[#This Row],[Сумма 
Приход]]-Таблица1[[#This Row],[Авто услу ]]</f>
        <v>0</v>
      </c>
      <c r="S892" s="34"/>
      <c r="T892" s="34">
        <f>Таблица1[[#This Row],[Сумма 
Продажа]]-IF(Таблица1[[#This Row],[Расход 
Авто]]="Клиент",N(Таблица1[[#This Row],[Авто услу ]]),0)</f>
        <v>0</v>
      </c>
      <c r="U8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2" s="265" t="str">
        <f>IFERROR(INDEX(Мижозлар[Агент],MATCH($D892,Мижозлар[Расмий ном],0)),"")</f>
        <v/>
      </c>
    </row>
    <row r="893" spans="1:23" ht="14.25" x14ac:dyDescent="0.2">
      <c r="A893" s="21"/>
      <c r="B893" s="135"/>
      <c r="C893" s="141"/>
      <c r="D893" s="141"/>
      <c r="E893" s="136"/>
      <c r="F893" s="135"/>
      <c r="G893" s="34"/>
      <c r="H893" s="142"/>
      <c r="I893" s="34"/>
      <c r="J893" s="34">
        <f>Таблица1[[#This Row],[Блок
 Куб]]*Таблица1[[#This Row],[Цена 
Приход]]</f>
        <v>0</v>
      </c>
      <c r="K893" s="34"/>
      <c r="L893" s="34"/>
      <c r="M893" s="34">
        <f>Таблица1[[#This Row],[Поддон
Шт]]*Таблица1[[#This Row],[Цена
Поддон]]</f>
        <v>0</v>
      </c>
      <c r="N893" s="34">
        <f>Таблица1[[#This Row],[Сумма 
Приход]]+Таблица1[[#This Row],[Сумма Поддон]]</f>
        <v>0</v>
      </c>
      <c r="O893" s="34"/>
      <c r="P893" s="34">
        <f>Таблица1[[#This Row],[Блок
 Куб]]*Таблица1[[#This Row],[Цена
 Продажа]]</f>
        <v>0</v>
      </c>
      <c r="Q893" s="34"/>
      <c r="R893" s="34">
        <f>Таблица1[[#This Row],[Сумма 
Продажа]]-Таблица1[[#This Row],[Сумма 
Приход]]-Таблица1[[#This Row],[Авто услу ]]</f>
        <v>0</v>
      </c>
      <c r="S893" s="34"/>
      <c r="T893" s="34">
        <f>Таблица1[[#This Row],[Сумма 
Продажа]]-IF(Таблица1[[#This Row],[Расход 
Авто]]="Клиент",N(Таблица1[[#This Row],[Авто услу ]]),0)</f>
        <v>0</v>
      </c>
      <c r="U8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3" s="265" t="str">
        <f>IFERROR(INDEX(Мижозлар[Агент],MATCH($D893,Мижозлар[Расмий ном],0)),"")</f>
        <v/>
      </c>
    </row>
    <row r="894" spans="1:23" ht="14.25" x14ac:dyDescent="0.2">
      <c r="A894" s="21"/>
      <c r="B894" s="135"/>
      <c r="C894" s="141"/>
      <c r="D894" s="141"/>
      <c r="E894" s="136"/>
      <c r="F894" s="135"/>
      <c r="G894" s="34"/>
      <c r="H894" s="142"/>
      <c r="I894" s="34"/>
      <c r="J894" s="34">
        <f>Таблица1[[#This Row],[Блок
 Куб]]*Таблица1[[#This Row],[Цена 
Приход]]</f>
        <v>0</v>
      </c>
      <c r="K894" s="34"/>
      <c r="L894" s="34"/>
      <c r="M894" s="34">
        <f>Таблица1[[#This Row],[Поддон
Шт]]*Таблица1[[#This Row],[Цена
Поддон]]</f>
        <v>0</v>
      </c>
      <c r="N894" s="34">
        <f>Таблица1[[#This Row],[Сумма 
Приход]]+Таблица1[[#This Row],[Сумма Поддон]]</f>
        <v>0</v>
      </c>
      <c r="O894" s="34"/>
      <c r="P894" s="34">
        <f>Таблица1[[#This Row],[Блок
 Куб]]*Таблица1[[#This Row],[Цена
 Продажа]]</f>
        <v>0</v>
      </c>
      <c r="Q894" s="34"/>
      <c r="R894" s="34">
        <f>Таблица1[[#This Row],[Сумма 
Продажа]]-Таблица1[[#This Row],[Сумма 
Приход]]-Таблица1[[#This Row],[Авто услу ]]</f>
        <v>0</v>
      </c>
      <c r="S894" s="34"/>
      <c r="T894" s="34">
        <f>Таблица1[[#This Row],[Сумма 
Продажа]]-IF(Таблица1[[#This Row],[Расход 
Авто]]="Клиент",N(Таблица1[[#This Row],[Авто услу ]]),0)</f>
        <v>0</v>
      </c>
      <c r="U8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4" s="265" t="str">
        <f>IFERROR(INDEX(Мижозлар[Агент],MATCH($D894,Мижозлар[Расмий ном],0)),"")</f>
        <v/>
      </c>
    </row>
    <row r="895" spans="1:23" ht="14.25" x14ac:dyDescent="0.2">
      <c r="A895" s="21"/>
      <c r="B895" s="135"/>
      <c r="C895" s="141"/>
      <c r="D895" s="141"/>
      <c r="E895" s="136"/>
      <c r="F895" s="135"/>
      <c r="G895" s="34"/>
      <c r="H895" s="142"/>
      <c r="I895" s="34"/>
      <c r="J895" s="34">
        <f>Таблица1[[#This Row],[Блок
 Куб]]*Таблица1[[#This Row],[Цена 
Приход]]</f>
        <v>0</v>
      </c>
      <c r="K895" s="34"/>
      <c r="L895" s="34"/>
      <c r="M895" s="34">
        <f>Таблица1[[#This Row],[Поддон
Шт]]*Таблица1[[#This Row],[Цена
Поддон]]</f>
        <v>0</v>
      </c>
      <c r="N895" s="34">
        <f>Таблица1[[#This Row],[Сумма 
Приход]]+Таблица1[[#This Row],[Сумма Поддон]]</f>
        <v>0</v>
      </c>
      <c r="O895" s="34"/>
      <c r="P895" s="34">
        <f>Таблица1[[#This Row],[Блок
 Куб]]*Таблица1[[#This Row],[Цена
 Продажа]]</f>
        <v>0</v>
      </c>
      <c r="Q895" s="34"/>
      <c r="R895" s="34">
        <f>Таблица1[[#This Row],[Сумма 
Продажа]]-Таблица1[[#This Row],[Сумма 
Приход]]-Таблица1[[#This Row],[Авто услу ]]</f>
        <v>0</v>
      </c>
      <c r="S895" s="34"/>
      <c r="T895" s="34">
        <f>Таблица1[[#This Row],[Сумма 
Продажа]]-IF(Таблица1[[#This Row],[Расход 
Авто]]="Клиент",N(Таблица1[[#This Row],[Авто услу ]]),0)</f>
        <v>0</v>
      </c>
      <c r="U8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5" s="265" t="str">
        <f>IFERROR(INDEX(Мижозлар[Агент],MATCH($D895,Мижозлар[Расмий ном],0)),"")</f>
        <v/>
      </c>
    </row>
    <row r="896" spans="1:23" ht="14.25" x14ac:dyDescent="0.2">
      <c r="A896" s="21"/>
      <c r="B896" s="135"/>
      <c r="C896" s="141"/>
      <c r="D896" s="141"/>
      <c r="E896" s="136"/>
      <c r="F896" s="135"/>
      <c r="G896" s="34"/>
      <c r="H896" s="142"/>
      <c r="I896" s="34"/>
      <c r="J896" s="34">
        <f>Таблица1[[#This Row],[Блок
 Куб]]*Таблица1[[#This Row],[Цена 
Приход]]</f>
        <v>0</v>
      </c>
      <c r="K896" s="34"/>
      <c r="L896" s="34"/>
      <c r="M896" s="34">
        <f>Таблица1[[#This Row],[Поддон
Шт]]*Таблица1[[#This Row],[Цена
Поддон]]</f>
        <v>0</v>
      </c>
      <c r="N896" s="34">
        <f>Таблица1[[#This Row],[Сумма 
Приход]]+Таблица1[[#This Row],[Сумма Поддон]]</f>
        <v>0</v>
      </c>
      <c r="O896" s="34"/>
      <c r="P896" s="34">
        <f>Таблица1[[#This Row],[Блок
 Куб]]*Таблица1[[#This Row],[Цена
 Продажа]]</f>
        <v>0</v>
      </c>
      <c r="Q896" s="34"/>
      <c r="R896" s="34">
        <f>Таблица1[[#This Row],[Сумма 
Продажа]]-Таблица1[[#This Row],[Сумма 
Приход]]-Таблица1[[#This Row],[Авто услу ]]</f>
        <v>0</v>
      </c>
      <c r="S896" s="34"/>
      <c r="T896" s="34">
        <f>Таблица1[[#This Row],[Сумма 
Продажа]]-IF(Таблица1[[#This Row],[Расход 
Авто]]="Клиент",N(Таблица1[[#This Row],[Авто услу ]]),0)</f>
        <v>0</v>
      </c>
      <c r="U8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6" s="265" t="str">
        <f>IFERROR(INDEX(Мижозлар[Агент],MATCH($D896,Мижозлар[Расмий ном],0)),"")</f>
        <v/>
      </c>
    </row>
    <row r="897" spans="1:23" ht="14.25" x14ac:dyDescent="0.2">
      <c r="A897" s="21"/>
      <c r="B897" s="135"/>
      <c r="C897" s="141"/>
      <c r="D897" s="141"/>
      <c r="E897" s="136"/>
      <c r="F897" s="135"/>
      <c r="G897" s="34"/>
      <c r="H897" s="142"/>
      <c r="I897" s="34"/>
      <c r="J897" s="34">
        <f>Таблица1[[#This Row],[Блок
 Куб]]*Таблица1[[#This Row],[Цена 
Приход]]</f>
        <v>0</v>
      </c>
      <c r="K897" s="34"/>
      <c r="L897" s="34"/>
      <c r="M897" s="34">
        <f>Таблица1[[#This Row],[Поддон
Шт]]*Таблица1[[#This Row],[Цена
Поддон]]</f>
        <v>0</v>
      </c>
      <c r="N897" s="34">
        <f>Таблица1[[#This Row],[Сумма 
Приход]]+Таблица1[[#This Row],[Сумма Поддон]]</f>
        <v>0</v>
      </c>
      <c r="O897" s="34"/>
      <c r="P897" s="34">
        <f>Таблица1[[#This Row],[Блок
 Куб]]*Таблица1[[#This Row],[Цена
 Продажа]]</f>
        <v>0</v>
      </c>
      <c r="Q897" s="34"/>
      <c r="R897" s="34">
        <f>Таблица1[[#This Row],[Сумма 
Продажа]]-Таблица1[[#This Row],[Сумма 
Приход]]-Таблица1[[#This Row],[Авто услу ]]</f>
        <v>0</v>
      </c>
      <c r="S897" s="34"/>
      <c r="T897" s="34">
        <f>Таблица1[[#This Row],[Сумма 
Продажа]]-IF(Таблица1[[#This Row],[Расход 
Авто]]="Клиент",N(Таблица1[[#This Row],[Авто услу ]]),0)</f>
        <v>0</v>
      </c>
      <c r="U8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7" s="265" t="str">
        <f>IFERROR(INDEX(Мижозлар[Агент],MATCH($D897,Мижозлар[Расмий ном],0)),"")</f>
        <v/>
      </c>
    </row>
    <row r="898" spans="1:23" ht="14.25" x14ac:dyDescent="0.2">
      <c r="A898" s="21"/>
      <c r="B898" s="135"/>
      <c r="C898" s="141"/>
      <c r="D898" s="141"/>
      <c r="E898" s="136"/>
      <c r="F898" s="135"/>
      <c r="G898" s="34"/>
      <c r="H898" s="142"/>
      <c r="I898" s="34"/>
      <c r="J898" s="34">
        <f>Таблица1[[#This Row],[Блок
 Куб]]*Таблица1[[#This Row],[Цена 
Приход]]</f>
        <v>0</v>
      </c>
      <c r="K898" s="34"/>
      <c r="L898" s="34"/>
      <c r="M898" s="34">
        <f>Таблица1[[#This Row],[Поддон
Шт]]*Таблица1[[#This Row],[Цена
Поддон]]</f>
        <v>0</v>
      </c>
      <c r="N898" s="34">
        <f>Таблица1[[#This Row],[Сумма 
Приход]]+Таблица1[[#This Row],[Сумма Поддон]]</f>
        <v>0</v>
      </c>
      <c r="O898" s="34"/>
      <c r="P898" s="34">
        <f>Таблица1[[#This Row],[Блок
 Куб]]*Таблица1[[#This Row],[Цена
 Продажа]]</f>
        <v>0</v>
      </c>
      <c r="Q898" s="34"/>
      <c r="R898" s="34">
        <f>Таблица1[[#This Row],[Сумма 
Продажа]]-Таблица1[[#This Row],[Сумма 
Приход]]-Таблица1[[#This Row],[Авто услу ]]</f>
        <v>0</v>
      </c>
      <c r="S898" s="34"/>
      <c r="T898" s="34">
        <f>Таблица1[[#This Row],[Сумма 
Продажа]]-IF(Таблица1[[#This Row],[Расход 
Авто]]="Клиент",N(Таблица1[[#This Row],[Авто услу ]]),0)</f>
        <v>0</v>
      </c>
      <c r="U8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8" s="265" t="str">
        <f>IFERROR(INDEX(Мижозлар[Агент],MATCH($D898,Мижозлар[Расмий ном],0)),"")</f>
        <v/>
      </c>
    </row>
    <row r="899" spans="1:23" ht="14.25" x14ac:dyDescent="0.2">
      <c r="A899" s="21"/>
      <c r="B899" s="135"/>
      <c r="C899" s="141"/>
      <c r="D899" s="141"/>
      <c r="E899" s="136"/>
      <c r="F899" s="135"/>
      <c r="G899" s="34"/>
      <c r="H899" s="142"/>
      <c r="I899" s="34"/>
      <c r="J899" s="34">
        <f>Таблица1[[#This Row],[Блок
 Куб]]*Таблица1[[#This Row],[Цена 
Приход]]</f>
        <v>0</v>
      </c>
      <c r="K899" s="34"/>
      <c r="L899" s="34"/>
      <c r="M899" s="34">
        <f>Таблица1[[#This Row],[Поддон
Шт]]*Таблица1[[#This Row],[Цена
Поддон]]</f>
        <v>0</v>
      </c>
      <c r="N899" s="34">
        <f>Таблица1[[#This Row],[Сумма 
Приход]]+Таблица1[[#This Row],[Сумма Поддон]]</f>
        <v>0</v>
      </c>
      <c r="O899" s="34"/>
      <c r="P899" s="34">
        <f>Таблица1[[#This Row],[Блок
 Куб]]*Таблица1[[#This Row],[Цена
 Продажа]]</f>
        <v>0</v>
      </c>
      <c r="Q899" s="34"/>
      <c r="R899" s="34">
        <f>Таблица1[[#This Row],[Сумма 
Продажа]]-Таблица1[[#This Row],[Сумма 
Приход]]-Таблица1[[#This Row],[Авто услу ]]</f>
        <v>0</v>
      </c>
      <c r="S899" s="34"/>
      <c r="T899" s="34">
        <f>Таблица1[[#This Row],[Сумма 
Продажа]]-IF(Таблица1[[#This Row],[Расход 
Авто]]="Клиент",N(Таблица1[[#This Row],[Авто услу ]]),0)</f>
        <v>0</v>
      </c>
      <c r="U8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8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899" s="265" t="str">
        <f>IFERROR(INDEX(Мижозлар[Агент],MATCH($D899,Мижозлар[Расмий ном],0)),"")</f>
        <v/>
      </c>
    </row>
    <row r="900" spans="1:23" ht="14.25" x14ac:dyDescent="0.2">
      <c r="A900" s="21"/>
      <c r="B900" s="135"/>
      <c r="C900" s="141"/>
      <c r="D900" s="141"/>
      <c r="E900" s="136"/>
      <c r="F900" s="135"/>
      <c r="G900" s="34"/>
      <c r="H900" s="142"/>
      <c r="I900" s="34"/>
      <c r="J900" s="34">
        <f>Таблица1[[#This Row],[Блок
 Куб]]*Таблица1[[#This Row],[Цена 
Приход]]</f>
        <v>0</v>
      </c>
      <c r="K900" s="34"/>
      <c r="L900" s="34"/>
      <c r="M900" s="34">
        <f>Таблица1[[#This Row],[Поддон
Шт]]*Таблица1[[#This Row],[Цена
Поддон]]</f>
        <v>0</v>
      </c>
      <c r="N900" s="34">
        <f>Таблица1[[#This Row],[Сумма 
Приход]]+Таблица1[[#This Row],[Сумма Поддон]]</f>
        <v>0</v>
      </c>
      <c r="O900" s="34"/>
      <c r="P900" s="34">
        <f>Таблица1[[#This Row],[Блок
 Куб]]*Таблица1[[#This Row],[Цена
 Продажа]]</f>
        <v>0</v>
      </c>
      <c r="Q900" s="34"/>
      <c r="R900" s="34">
        <f>Таблица1[[#This Row],[Сумма 
Продажа]]-Таблица1[[#This Row],[Сумма 
Приход]]-Таблица1[[#This Row],[Авто услу ]]</f>
        <v>0</v>
      </c>
      <c r="S900" s="34"/>
      <c r="T900" s="34">
        <f>Таблица1[[#This Row],[Сумма 
Продажа]]-IF(Таблица1[[#This Row],[Расход 
Авто]]="Клиент",N(Таблица1[[#This Row],[Авто услу ]]),0)</f>
        <v>0</v>
      </c>
      <c r="U9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0" s="265" t="str">
        <f>IFERROR(INDEX(Мижозлар[Агент],MATCH($D900,Мижозлар[Расмий ном],0)),"")</f>
        <v/>
      </c>
    </row>
    <row r="901" spans="1:23" ht="14.25" x14ac:dyDescent="0.2">
      <c r="A901" s="21"/>
      <c r="B901" s="135"/>
      <c r="C901" s="141"/>
      <c r="D901" s="141"/>
      <c r="E901" s="136"/>
      <c r="F901" s="135"/>
      <c r="G901" s="34"/>
      <c r="H901" s="142"/>
      <c r="I901" s="34"/>
      <c r="J901" s="34">
        <f>Таблица1[[#This Row],[Блок
 Куб]]*Таблица1[[#This Row],[Цена 
Приход]]</f>
        <v>0</v>
      </c>
      <c r="K901" s="34"/>
      <c r="L901" s="34"/>
      <c r="M901" s="34">
        <f>Таблица1[[#This Row],[Поддон
Шт]]*Таблица1[[#This Row],[Цена
Поддон]]</f>
        <v>0</v>
      </c>
      <c r="N901" s="34">
        <f>Таблица1[[#This Row],[Сумма 
Приход]]+Таблица1[[#This Row],[Сумма Поддон]]</f>
        <v>0</v>
      </c>
      <c r="O901" s="34"/>
      <c r="P901" s="34">
        <f>Таблица1[[#This Row],[Блок
 Куб]]*Таблица1[[#This Row],[Цена
 Продажа]]</f>
        <v>0</v>
      </c>
      <c r="Q901" s="34"/>
      <c r="R901" s="34">
        <f>Таблица1[[#This Row],[Сумма 
Продажа]]-Таблица1[[#This Row],[Сумма 
Приход]]-Таблица1[[#This Row],[Авто услу ]]</f>
        <v>0</v>
      </c>
      <c r="S901" s="34"/>
      <c r="T901" s="34">
        <f>Таблица1[[#This Row],[Сумма 
Продажа]]-IF(Таблица1[[#This Row],[Расход 
Авто]]="Клиент",N(Таблица1[[#This Row],[Авто услу ]]),0)</f>
        <v>0</v>
      </c>
      <c r="U9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1" s="265" t="str">
        <f>IFERROR(INDEX(Мижозлар[Агент],MATCH($D901,Мижозлар[Расмий ном],0)),"")</f>
        <v/>
      </c>
    </row>
    <row r="902" spans="1:23" ht="14.25" x14ac:dyDescent="0.2">
      <c r="A902" s="21"/>
      <c r="B902" s="135"/>
      <c r="C902" s="141"/>
      <c r="D902" s="141"/>
      <c r="E902" s="136"/>
      <c r="F902" s="135"/>
      <c r="G902" s="34"/>
      <c r="H902" s="142"/>
      <c r="I902" s="34"/>
      <c r="J902" s="34">
        <f>Таблица1[[#This Row],[Блок
 Куб]]*Таблица1[[#This Row],[Цена 
Приход]]</f>
        <v>0</v>
      </c>
      <c r="K902" s="34"/>
      <c r="L902" s="34"/>
      <c r="M902" s="34">
        <f>Таблица1[[#This Row],[Поддон
Шт]]*Таблица1[[#This Row],[Цена
Поддон]]</f>
        <v>0</v>
      </c>
      <c r="N902" s="34">
        <f>Таблица1[[#This Row],[Сумма 
Приход]]+Таблица1[[#This Row],[Сумма Поддон]]</f>
        <v>0</v>
      </c>
      <c r="O902" s="34"/>
      <c r="P902" s="34">
        <f>Таблица1[[#This Row],[Блок
 Куб]]*Таблица1[[#This Row],[Цена
 Продажа]]</f>
        <v>0</v>
      </c>
      <c r="Q902" s="34"/>
      <c r="R902" s="34">
        <f>Таблица1[[#This Row],[Сумма 
Продажа]]-Таблица1[[#This Row],[Сумма 
Приход]]-Таблица1[[#This Row],[Авто услу ]]</f>
        <v>0</v>
      </c>
      <c r="S902" s="34"/>
      <c r="T902" s="34">
        <f>Таблица1[[#This Row],[Сумма 
Продажа]]-IF(Таблица1[[#This Row],[Расход 
Авто]]="Клиент",N(Таблица1[[#This Row],[Авто услу ]]),0)</f>
        <v>0</v>
      </c>
      <c r="U9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2" s="265" t="str">
        <f>IFERROR(INDEX(Мижозлар[Агент],MATCH($D902,Мижозлар[Расмий ном],0)),"")</f>
        <v/>
      </c>
    </row>
    <row r="903" spans="1:23" ht="14.25" x14ac:dyDescent="0.2">
      <c r="A903" s="21"/>
      <c r="B903" s="135"/>
      <c r="C903" s="141"/>
      <c r="D903" s="141"/>
      <c r="E903" s="136"/>
      <c r="F903" s="135"/>
      <c r="G903" s="34"/>
      <c r="H903" s="142"/>
      <c r="I903" s="34"/>
      <c r="J903" s="34">
        <f>Таблица1[[#This Row],[Блок
 Куб]]*Таблица1[[#This Row],[Цена 
Приход]]</f>
        <v>0</v>
      </c>
      <c r="K903" s="34"/>
      <c r="L903" s="34"/>
      <c r="M903" s="34">
        <f>Таблица1[[#This Row],[Поддон
Шт]]*Таблица1[[#This Row],[Цена
Поддон]]</f>
        <v>0</v>
      </c>
      <c r="N903" s="34">
        <f>Таблица1[[#This Row],[Сумма 
Приход]]+Таблица1[[#This Row],[Сумма Поддон]]</f>
        <v>0</v>
      </c>
      <c r="O903" s="34"/>
      <c r="P903" s="34">
        <f>Таблица1[[#This Row],[Блок
 Куб]]*Таблица1[[#This Row],[Цена
 Продажа]]</f>
        <v>0</v>
      </c>
      <c r="Q903" s="34"/>
      <c r="R903" s="34">
        <f>Таблица1[[#This Row],[Сумма 
Продажа]]-Таблица1[[#This Row],[Сумма 
Приход]]-Таблица1[[#This Row],[Авто услу ]]</f>
        <v>0</v>
      </c>
      <c r="S903" s="34"/>
      <c r="T903" s="34">
        <f>Таблица1[[#This Row],[Сумма 
Продажа]]-IF(Таблица1[[#This Row],[Расход 
Авто]]="Клиент",N(Таблица1[[#This Row],[Авто услу ]]),0)</f>
        <v>0</v>
      </c>
      <c r="U9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3" s="265" t="str">
        <f>IFERROR(INDEX(Мижозлар[Агент],MATCH($D903,Мижозлар[Расмий ном],0)),"")</f>
        <v/>
      </c>
    </row>
    <row r="904" spans="1:23" ht="14.25" x14ac:dyDescent="0.2">
      <c r="A904" s="21"/>
      <c r="B904" s="135"/>
      <c r="C904" s="141"/>
      <c r="D904" s="141"/>
      <c r="E904" s="136"/>
      <c r="F904" s="135"/>
      <c r="G904" s="34"/>
      <c r="H904" s="142"/>
      <c r="I904" s="34"/>
      <c r="J904" s="34">
        <f>Таблица1[[#This Row],[Блок
 Куб]]*Таблица1[[#This Row],[Цена 
Приход]]</f>
        <v>0</v>
      </c>
      <c r="K904" s="34"/>
      <c r="L904" s="34"/>
      <c r="M904" s="34">
        <f>Таблица1[[#This Row],[Поддон
Шт]]*Таблица1[[#This Row],[Цена
Поддон]]</f>
        <v>0</v>
      </c>
      <c r="N904" s="34">
        <f>Таблица1[[#This Row],[Сумма 
Приход]]+Таблица1[[#This Row],[Сумма Поддон]]</f>
        <v>0</v>
      </c>
      <c r="O904" s="34"/>
      <c r="P904" s="34">
        <f>Таблица1[[#This Row],[Блок
 Куб]]*Таблица1[[#This Row],[Цена
 Продажа]]</f>
        <v>0</v>
      </c>
      <c r="Q904" s="34"/>
      <c r="R904" s="34">
        <f>Таблица1[[#This Row],[Сумма 
Продажа]]-Таблица1[[#This Row],[Сумма 
Приход]]-Таблица1[[#This Row],[Авто услу ]]</f>
        <v>0</v>
      </c>
      <c r="S904" s="34"/>
      <c r="T904" s="34">
        <f>Таблица1[[#This Row],[Сумма 
Продажа]]-IF(Таблица1[[#This Row],[Расход 
Авто]]="Клиент",N(Таблица1[[#This Row],[Авто услу ]]),0)</f>
        <v>0</v>
      </c>
      <c r="U9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4" s="265" t="str">
        <f>IFERROR(INDEX(Мижозлар[Агент],MATCH($D904,Мижозлар[Расмий ном],0)),"")</f>
        <v/>
      </c>
    </row>
    <row r="905" spans="1:23" ht="14.25" x14ac:dyDescent="0.2">
      <c r="A905" s="21"/>
      <c r="B905" s="135"/>
      <c r="C905" s="141"/>
      <c r="D905" s="141"/>
      <c r="E905" s="136"/>
      <c r="F905" s="135"/>
      <c r="G905" s="34"/>
      <c r="H905" s="142"/>
      <c r="I905" s="34"/>
      <c r="J905" s="34">
        <f>Таблица1[[#This Row],[Блок
 Куб]]*Таблица1[[#This Row],[Цена 
Приход]]</f>
        <v>0</v>
      </c>
      <c r="K905" s="34"/>
      <c r="L905" s="34"/>
      <c r="M905" s="34">
        <f>Таблица1[[#This Row],[Поддон
Шт]]*Таблица1[[#This Row],[Цена
Поддон]]</f>
        <v>0</v>
      </c>
      <c r="N905" s="34">
        <f>Таблица1[[#This Row],[Сумма 
Приход]]+Таблица1[[#This Row],[Сумма Поддон]]</f>
        <v>0</v>
      </c>
      <c r="O905" s="34"/>
      <c r="P905" s="34">
        <f>Таблица1[[#This Row],[Блок
 Куб]]*Таблица1[[#This Row],[Цена
 Продажа]]</f>
        <v>0</v>
      </c>
      <c r="Q905" s="34"/>
      <c r="R905" s="34">
        <f>Таблица1[[#This Row],[Сумма 
Продажа]]-Таблица1[[#This Row],[Сумма 
Приход]]-Таблица1[[#This Row],[Авто услу ]]</f>
        <v>0</v>
      </c>
      <c r="S905" s="34"/>
      <c r="T905" s="34">
        <f>Таблица1[[#This Row],[Сумма 
Продажа]]-IF(Таблица1[[#This Row],[Расход 
Авто]]="Клиент",N(Таблица1[[#This Row],[Авто услу ]]),0)</f>
        <v>0</v>
      </c>
      <c r="U9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5" s="265" t="str">
        <f>IFERROR(INDEX(Мижозлар[Агент],MATCH($D905,Мижозлар[Расмий ном],0)),"")</f>
        <v/>
      </c>
    </row>
    <row r="906" spans="1:23" ht="14.25" x14ac:dyDescent="0.2">
      <c r="A906" s="21"/>
      <c r="B906" s="135"/>
      <c r="C906" s="141"/>
      <c r="D906" s="141"/>
      <c r="E906" s="136"/>
      <c r="F906" s="135"/>
      <c r="G906" s="34"/>
      <c r="H906" s="142"/>
      <c r="I906" s="34"/>
      <c r="J906" s="34">
        <f>Таблица1[[#This Row],[Блок
 Куб]]*Таблица1[[#This Row],[Цена 
Приход]]</f>
        <v>0</v>
      </c>
      <c r="K906" s="34"/>
      <c r="L906" s="34"/>
      <c r="M906" s="34">
        <f>Таблица1[[#This Row],[Поддон
Шт]]*Таблица1[[#This Row],[Цена
Поддон]]</f>
        <v>0</v>
      </c>
      <c r="N906" s="34">
        <f>Таблица1[[#This Row],[Сумма 
Приход]]+Таблица1[[#This Row],[Сумма Поддон]]</f>
        <v>0</v>
      </c>
      <c r="O906" s="34"/>
      <c r="P906" s="34">
        <f>Таблица1[[#This Row],[Блок
 Куб]]*Таблица1[[#This Row],[Цена
 Продажа]]</f>
        <v>0</v>
      </c>
      <c r="Q906" s="34"/>
      <c r="R906" s="34">
        <f>Таблица1[[#This Row],[Сумма 
Продажа]]-Таблица1[[#This Row],[Сумма 
Приход]]-Таблица1[[#This Row],[Авто услу ]]</f>
        <v>0</v>
      </c>
      <c r="S906" s="34"/>
      <c r="T906" s="34">
        <f>Таблица1[[#This Row],[Сумма 
Продажа]]-IF(Таблица1[[#This Row],[Расход 
Авто]]="Клиент",N(Таблица1[[#This Row],[Авто услу ]]),0)</f>
        <v>0</v>
      </c>
      <c r="U9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6" s="265" t="str">
        <f>IFERROR(INDEX(Мижозлар[Агент],MATCH($D906,Мижозлар[Расмий ном],0)),"")</f>
        <v/>
      </c>
    </row>
    <row r="907" spans="1:23" ht="14.25" x14ac:dyDescent="0.2">
      <c r="A907" s="21"/>
      <c r="B907" s="135"/>
      <c r="C907" s="141"/>
      <c r="D907" s="141"/>
      <c r="E907" s="136"/>
      <c r="F907" s="135"/>
      <c r="G907" s="34"/>
      <c r="H907" s="142"/>
      <c r="I907" s="34"/>
      <c r="J907" s="34">
        <f>Таблица1[[#This Row],[Блок
 Куб]]*Таблица1[[#This Row],[Цена 
Приход]]</f>
        <v>0</v>
      </c>
      <c r="K907" s="34"/>
      <c r="L907" s="34"/>
      <c r="M907" s="34">
        <f>Таблица1[[#This Row],[Поддон
Шт]]*Таблица1[[#This Row],[Цена
Поддон]]</f>
        <v>0</v>
      </c>
      <c r="N907" s="34">
        <f>Таблица1[[#This Row],[Сумма 
Приход]]+Таблица1[[#This Row],[Сумма Поддон]]</f>
        <v>0</v>
      </c>
      <c r="O907" s="34"/>
      <c r="P907" s="34">
        <f>Таблица1[[#This Row],[Блок
 Куб]]*Таблица1[[#This Row],[Цена
 Продажа]]</f>
        <v>0</v>
      </c>
      <c r="Q907" s="34"/>
      <c r="R907" s="34">
        <f>Таблица1[[#This Row],[Сумма 
Продажа]]-Таблица1[[#This Row],[Сумма 
Приход]]-Таблица1[[#This Row],[Авто услу ]]</f>
        <v>0</v>
      </c>
      <c r="S907" s="34"/>
      <c r="T907" s="34">
        <f>Таблица1[[#This Row],[Сумма 
Продажа]]-IF(Таблица1[[#This Row],[Расход 
Авто]]="Клиент",N(Таблица1[[#This Row],[Авто услу ]]),0)</f>
        <v>0</v>
      </c>
      <c r="U9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7" s="265" t="str">
        <f>IFERROR(INDEX(Мижозлар[Агент],MATCH($D907,Мижозлар[Расмий ном],0)),"")</f>
        <v/>
      </c>
    </row>
    <row r="908" spans="1:23" ht="14.25" x14ac:dyDescent="0.2">
      <c r="A908" s="21"/>
      <c r="B908" s="135"/>
      <c r="C908" s="141"/>
      <c r="D908" s="141"/>
      <c r="E908" s="136"/>
      <c r="F908" s="135"/>
      <c r="G908" s="34"/>
      <c r="H908" s="142"/>
      <c r="I908" s="34"/>
      <c r="J908" s="34">
        <f>Таблица1[[#This Row],[Блок
 Куб]]*Таблица1[[#This Row],[Цена 
Приход]]</f>
        <v>0</v>
      </c>
      <c r="K908" s="34"/>
      <c r="L908" s="34"/>
      <c r="M908" s="34">
        <f>Таблица1[[#This Row],[Поддон
Шт]]*Таблица1[[#This Row],[Цена
Поддон]]</f>
        <v>0</v>
      </c>
      <c r="N908" s="34">
        <f>Таблица1[[#This Row],[Сумма 
Приход]]+Таблица1[[#This Row],[Сумма Поддон]]</f>
        <v>0</v>
      </c>
      <c r="O908" s="34"/>
      <c r="P908" s="34">
        <f>Таблица1[[#This Row],[Блок
 Куб]]*Таблица1[[#This Row],[Цена
 Продажа]]</f>
        <v>0</v>
      </c>
      <c r="Q908" s="34"/>
      <c r="R908" s="34">
        <f>Таблица1[[#This Row],[Сумма 
Продажа]]-Таблица1[[#This Row],[Сумма 
Приход]]-Таблица1[[#This Row],[Авто услу ]]</f>
        <v>0</v>
      </c>
      <c r="S908" s="34"/>
      <c r="T908" s="34">
        <f>Таблица1[[#This Row],[Сумма 
Продажа]]-IF(Таблица1[[#This Row],[Расход 
Авто]]="Клиент",N(Таблица1[[#This Row],[Авто услу ]]),0)</f>
        <v>0</v>
      </c>
      <c r="U9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8" s="265" t="str">
        <f>IFERROR(INDEX(Мижозлар[Агент],MATCH($D908,Мижозлар[Расмий ном],0)),"")</f>
        <v/>
      </c>
    </row>
    <row r="909" spans="1:23" ht="14.25" x14ac:dyDescent="0.2">
      <c r="A909" s="21"/>
      <c r="B909" s="135"/>
      <c r="C909" s="141"/>
      <c r="D909" s="141"/>
      <c r="E909" s="136"/>
      <c r="F909" s="135"/>
      <c r="G909" s="34"/>
      <c r="H909" s="142"/>
      <c r="I909" s="34"/>
      <c r="J909" s="34">
        <f>Таблица1[[#This Row],[Блок
 Куб]]*Таблица1[[#This Row],[Цена 
Приход]]</f>
        <v>0</v>
      </c>
      <c r="K909" s="34"/>
      <c r="L909" s="34"/>
      <c r="M909" s="34">
        <f>Таблица1[[#This Row],[Поддон
Шт]]*Таблица1[[#This Row],[Цена
Поддон]]</f>
        <v>0</v>
      </c>
      <c r="N909" s="34">
        <f>Таблица1[[#This Row],[Сумма 
Приход]]+Таблица1[[#This Row],[Сумма Поддон]]</f>
        <v>0</v>
      </c>
      <c r="O909" s="34"/>
      <c r="P909" s="34">
        <f>Таблица1[[#This Row],[Блок
 Куб]]*Таблица1[[#This Row],[Цена
 Продажа]]</f>
        <v>0</v>
      </c>
      <c r="Q909" s="34"/>
      <c r="R909" s="34">
        <f>Таблица1[[#This Row],[Сумма 
Продажа]]-Таблица1[[#This Row],[Сумма 
Приход]]-Таблица1[[#This Row],[Авто услу ]]</f>
        <v>0</v>
      </c>
      <c r="S909" s="34"/>
      <c r="T909" s="34">
        <f>Таблица1[[#This Row],[Сумма 
Продажа]]-IF(Таблица1[[#This Row],[Расход 
Авто]]="Клиент",N(Таблица1[[#This Row],[Авто услу ]]),0)</f>
        <v>0</v>
      </c>
      <c r="U9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09" s="265" t="str">
        <f>IFERROR(INDEX(Мижозлар[Агент],MATCH($D909,Мижозлар[Расмий ном],0)),"")</f>
        <v/>
      </c>
    </row>
    <row r="910" spans="1:23" ht="14.25" x14ac:dyDescent="0.2">
      <c r="A910" s="21"/>
      <c r="B910" s="135"/>
      <c r="C910" s="141"/>
      <c r="D910" s="141"/>
      <c r="E910" s="136"/>
      <c r="F910" s="135"/>
      <c r="G910" s="34"/>
      <c r="H910" s="142"/>
      <c r="I910" s="34"/>
      <c r="J910" s="34">
        <f>Таблица1[[#This Row],[Блок
 Куб]]*Таблица1[[#This Row],[Цена 
Приход]]</f>
        <v>0</v>
      </c>
      <c r="K910" s="34"/>
      <c r="L910" s="34"/>
      <c r="M910" s="34">
        <f>Таблица1[[#This Row],[Поддон
Шт]]*Таблица1[[#This Row],[Цена
Поддон]]</f>
        <v>0</v>
      </c>
      <c r="N910" s="34">
        <f>Таблица1[[#This Row],[Сумма 
Приход]]+Таблица1[[#This Row],[Сумма Поддон]]</f>
        <v>0</v>
      </c>
      <c r="O910" s="34"/>
      <c r="P910" s="34">
        <f>Таблица1[[#This Row],[Блок
 Куб]]*Таблица1[[#This Row],[Цена
 Продажа]]</f>
        <v>0</v>
      </c>
      <c r="Q910" s="34"/>
      <c r="R910" s="34">
        <f>Таблица1[[#This Row],[Сумма 
Продажа]]-Таблица1[[#This Row],[Сумма 
Приход]]-Таблица1[[#This Row],[Авто услу ]]</f>
        <v>0</v>
      </c>
      <c r="S910" s="34"/>
      <c r="T910" s="34">
        <f>Таблица1[[#This Row],[Сумма 
Продажа]]-IF(Таблица1[[#This Row],[Расход 
Авто]]="Клиент",N(Таблица1[[#This Row],[Авто услу ]]),0)</f>
        <v>0</v>
      </c>
      <c r="U9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0" s="265" t="str">
        <f>IFERROR(INDEX(Мижозлар[Агент],MATCH($D910,Мижозлар[Расмий ном],0)),"")</f>
        <v/>
      </c>
    </row>
    <row r="911" spans="1:23" ht="14.25" x14ac:dyDescent="0.2">
      <c r="A911" s="21"/>
      <c r="B911" s="135"/>
      <c r="C911" s="141"/>
      <c r="D911" s="141"/>
      <c r="E911" s="136"/>
      <c r="F911" s="135"/>
      <c r="G911" s="34"/>
      <c r="H911" s="142"/>
      <c r="I911" s="34"/>
      <c r="J911" s="34">
        <f>Таблица1[[#This Row],[Блок
 Куб]]*Таблица1[[#This Row],[Цена 
Приход]]</f>
        <v>0</v>
      </c>
      <c r="K911" s="34"/>
      <c r="L911" s="34"/>
      <c r="M911" s="34">
        <f>Таблица1[[#This Row],[Поддон
Шт]]*Таблица1[[#This Row],[Цена
Поддон]]</f>
        <v>0</v>
      </c>
      <c r="N911" s="34">
        <f>Таблица1[[#This Row],[Сумма 
Приход]]+Таблица1[[#This Row],[Сумма Поддон]]</f>
        <v>0</v>
      </c>
      <c r="O911" s="34"/>
      <c r="P911" s="34">
        <f>Таблица1[[#This Row],[Блок
 Куб]]*Таблица1[[#This Row],[Цена
 Продажа]]</f>
        <v>0</v>
      </c>
      <c r="Q911" s="34"/>
      <c r="R911" s="34">
        <f>Таблица1[[#This Row],[Сумма 
Продажа]]-Таблица1[[#This Row],[Сумма 
Приход]]-Таблица1[[#This Row],[Авто услу ]]</f>
        <v>0</v>
      </c>
      <c r="S911" s="34"/>
      <c r="T911" s="34">
        <f>Таблица1[[#This Row],[Сумма 
Продажа]]-IF(Таблица1[[#This Row],[Расход 
Авто]]="Клиент",N(Таблица1[[#This Row],[Авто услу ]]),0)</f>
        <v>0</v>
      </c>
      <c r="U9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1" s="265" t="str">
        <f>IFERROR(INDEX(Мижозлар[Агент],MATCH($D911,Мижозлар[Расмий ном],0)),"")</f>
        <v/>
      </c>
    </row>
    <row r="912" spans="1:23" ht="14.25" x14ac:dyDescent="0.2">
      <c r="A912" s="21"/>
      <c r="B912" s="135"/>
      <c r="C912" s="141"/>
      <c r="D912" s="141"/>
      <c r="E912" s="136"/>
      <c r="F912" s="135"/>
      <c r="G912" s="34"/>
      <c r="H912" s="142"/>
      <c r="I912" s="34"/>
      <c r="J912" s="34">
        <f>Таблица1[[#This Row],[Блок
 Куб]]*Таблица1[[#This Row],[Цена 
Приход]]</f>
        <v>0</v>
      </c>
      <c r="K912" s="34"/>
      <c r="L912" s="34"/>
      <c r="M912" s="34">
        <f>Таблица1[[#This Row],[Поддон
Шт]]*Таблица1[[#This Row],[Цена
Поддон]]</f>
        <v>0</v>
      </c>
      <c r="N912" s="34">
        <f>Таблица1[[#This Row],[Сумма 
Приход]]+Таблица1[[#This Row],[Сумма Поддон]]</f>
        <v>0</v>
      </c>
      <c r="O912" s="34"/>
      <c r="P912" s="34">
        <f>Таблица1[[#This Row],[Блок
 Куб]]*Таблица1[[#This Row],[Цена
 Продажа]]</f>
        <v>0</v>
      </c>
      <c r="Q912" s="34"/>
      <c r="R912" s="34">
        <f>Таблица1[[#This Row],[Сумма 
Продажа]]-Таблица1[[#This Row],[Сумма 
Приход]]-Таблица1[[#This Row],[Авто услу ]]</f>
        <v>0</v>
      </c>
      <c r="S912" s="34"/>
      <c r="T912" s="34">
        <f>Таблица1[[#This Row],[Сумма 
Продажа]]-IF(Таблица1[[#This Row],[Расход 
Авто]]="Клиент",N(Таблица1[[#This Row],[Авто услу ]]),0)</f>
        <v>0</v>
      </c>
      <c r="U9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2" s="265" t="str">
        <f>IFERROR(INDEX(Мижозлар[Агент],MATCH($D912,Мижозлар[Расмий ном],0)),"")</f>
        <v/>
      </c>
    </row>
    <row r="913" spans="1:23" ht="14.25" x14ac:dyDescent="0.2">
      <c r="A913" s="21"/>
      <c r="B913" s="135"/>
      <c r="C913" s="141"/>
      <c r="D913" s="141"/>
      <c r="E913" s="136"/>
      <c r="F913" s="135"/>
      <c r="G913" s="34"/>
      <c r="H913" s="142"/>
      <c r="I913" s="34"/>
      <c r="J913" s="34">
        <f>Таблица1[[#This Row],[Блок
 Куб]]*Таблица1[[#This Row],[Цена 
Приход]]</f>
        <v>0</v>
      </c>
      <c r="K913" s="34"/>
      <c r="L913" s="34"/>
      <c r="M913" s="34">
        <f>Таблица1[[#This Row],[Поддон
Шт]]*Таблица1[[#This Row],[Цена
Поддон]]</f>
        <v>0</v>
      </c>
      <c r="N913" s="34">
        <f>Таблица1[[#This Row],[Сумма 
Приход]]+Таблица1[[#This Row],[Сумма Поддон]]</f>
        <v>0</v>
      </c>
      <c r="O913" s="34"/>
      <c r="P913" s="34">
        <f>Таблица1[[#This Row],[Блок
 Куб]]*Таблица1[[#This Row],[Цена
 Продажа]]</f>
        <v>0</v>
      </c>
      <c r="Q913" s="34"/>
      <c r="R913" s="34">
        <f>Таблица1[[#This Row],[Сумма 
Продажа]]-Таблица1[[#This Row],[Сумма 
Приход]]-Таблица1[[#This Row],[Авто услу ]]</f>
        <v>0</v>
      </c>
      <c r="S913" s="34"/>
      <c r="T913" s="34">
        <f>Таблица1[[#This Row],[Сумма 
Продажа]]-IF(Таблица1[[#This Row],[Расход 
Авто]]="Клиент",N(Таблица1[[#This Row],[Авто услу ]]),0)</f>
        <v>0</v>
      </c>
      <c r="U9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3" s="265" t="str">
        <f>IFERROR(INDEX(Мижозлар[Агент],MATCH($D913,Мижозлар[Расмий ном],0)),"")</f>
        <v/>
      </c>
    </row>
    <row r="914" spans="1:23" ht="14.25" x14ac:dyDescent="0.2">
      <c r="A914" s="21"/>
      <c r="B914" s="135"/>
      <c r="C914" s="141"/>
      <c r="D914" s="141"/>
      <c r="E914" s="136"/>
      <c r="F914" s="135"/>
      <c r="G914" s="34"/>
      <c r="H914" s="142"/>
      <c r="I914" s="34"/>
      <c r="J914" s="34">
        <f>Таблица1[[#This Row],[Блок
 Куб]]*Таблица1[[#This Row],[Цена 
Приход]]</f>
        <v>0</v>
      </c>
      <c r="K914" s="34"/>
      <c r="L914" s="34"/>
      <c r="M914" s="34">
        <f>Таблица1[[#This Row],[Поддон
Шт]]*Таблица1[[#This Row],[Цена
Поддон]]</f>
        <v>0</v>
      </c>
      <c r="N914" s="34">
        <f>Таблица1[[#This Row],[Сумма 
Приход]]+Таблица1[[#This Row],[Сумма Поддон]]</f>
        <v>0</v>
      </c>
      <c r="O914" s="34"/>
      <c r="P914" s="34">
        <f>Таблица1[[#This Row],[Блок
 Куб]]*Таблица1[[#This Row],[Цена
 Продажа]]</f>
        <v>0</v>
      </c>
      <c r="Q914" s="34"/>
      <c r="R914" s="34">
        <f>Таблица1[[#This Row],[Сумма 
Продажа]]-Таблица1[[#This Row],[Сумма 
Приход]]-Таблица1[[#This Row],[Авто услу ]]</f>
        <v>0</v>
      </c>
      <c r="S914" s="34"/>
      <c r="T914" s="34">
        <f>Таблица1[[#This Row],[Сумма 
Продажа]]-IF(Таблица1[[#This Row],[Расход 
Авто]]="Клиент",N(Таблица1[[#This Row],[Авто услу ]]),0)</f>
        <v>0</v>
      </c>
      <c r="U9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4" s="265" t="str">
        <f>IFERROR(INDEX(Мижозлар[Агент],MATCH($D914,Мижозлар[Расмий ном],0)),"")</f>
        <v/>
      </c>
    </row>
    <row r="915" spans="1:23" ht="14.25" x14ac:dyDescent="0.2">
      <c r="A915" s="21"/>
      <c r="B915" s="135"/>
      <c r="C915" s="141"/>
      <c r="D915" s="141"/>
      <c r="E915" s="136"/>
      <c r="F915" s="135"/>
      <c r="G915" s="34"/>
      <c r="H915" s="142"/>
      <c r="I915" s="34"/>
      <c r="J915" s="34">
        <f>Таблица1[[#This Row],[Блок
 Куб]]*Таблица1[[#This Row],[Цена 
Приход]]</f>
        <v>0</v>
      </c>
      <c r="K915" s="34"/>
      <c r="L915" s="34"/>
      <c r="M915" s="34">
        <f>Таблица1[[#This Row],[Поддон
Шт]]*Таблица1[[#This Row],[Цена
Поддон]]</f>
        <v>0</v>
      </c>
      <c r="N915" s="34">
        <f>Таблица1[[#This Row],[Сумма 
Приход]]+Таблица1[[#This Row],[Сумма Поддон]]</f>
        <v>0</v>
      </c>
      <c r="O915" s="34"/>
      <c r="P915" s="34">
        <f>Таблица1[[#This Row],[Блок
 Куб]]*Таблица1[[#This Row],[Цена
 Продажа]]</f>
        <v>0</v>
      </c>
      <c r="Q915" s="34"/>
      <c r="R915" s="34">
        <f>Таблица1[[#This Row],[Сумма 
Продажа]]-Таблица1[[#This Row],[Сумма 
Приход]]-Таблица1[[#This Row],[Авто услу ]]</f>
        <v>0</v>
      </c>
      <c r="S915" s="34"/>
      <c r="T915" s="34">
        <f>Таблица1[[#This Row],[Сумма 
Продажа]]-IF(Таблица1[[#This Row],[Расход 
Авто]]="Клиент",N(Таблица1[[#This Row],[Авто услу ]]),0)</f>
        <v>0</v>
      </c>
      <c r="U9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5" s="265" t="str">
        <f>IFERROR(INDEX(Мижозлар[Агент],MATCH($D915,Мижозлар[Расмий ном],0)),"")</f>
        <v/>
      </c>
    </row>
    <row r="916" spans="1:23" ht="14.25" x14ac:dyDescent="0.2">
      <c r="A916" s="21"/>
      <c r="B916" s="135"/>
      <c r="C916" s="141"/>
      <c r="D916" s="141"/>
      <c r="E916" s="136"/>
      <c r="F916" s="135"/>
      <c r="G916" s="34"/>
      <c r="H916" s="142"/>
      <c r="I916" s="34"/>
      <c r="J916" s="34">
        <f>Таблица1[[#This Row],[Блок
 Куб]]*Таблица1[[#This Row],[Цена 
Приход]]</f>
        <v>0</v>
      </c>
      <c r="K916" s="34"/>
      <c r="L916" s="34"/>
      <c r="M916" s="34">
        <f>Таблица1[[#This Row],[Поддон
Шт]]*Таблица1[[#This Row],[Цена
Поддон]]</f>
        <v>0</v>
      </c>
      <c r="N916" s="34">
        <f>Таблица1[[#This Row],[Сумма 
Приход]]+Таблица1[[#This Row],[Сумма Поддон]]</f>
        <v>0</v>
      </c>
      <c r="O916" s="34"/>
      <c r="P916" s="34">
        <f>Таблица1[[#This Row],[Блок
 Куб]]*Таблица1[[#This Row],[Цена
 Продажа]]</f>
        <v>0</v>
      </c>
      <c r="Q916" s="34"/>
      <c r="R916" s="34">
        <f>Таблица1[[#This Row],[Сумма 
Продажа]]-Таблица1[[#This Row],[Сумма 
Приход]]-Таблица1[[#This Row],[Авто услу ]]</f>
        <v>0</v>
      </c>
      <c r="S916" s="34"/>
      <c r="T916" s="34">
        <f>Таблица1[[#This Row],[Сумма 
Продажа]]-IF(Таблица1[[#This Row],[Расход 
Авто]]="Клиент",N(Таблица1[[#This Row],[Авто услу ]]),0)</f>
        <v>0</v>
      </c>
      <c r="U9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6" s="265" t="str">
        <f>IFERROR(INDEX(Мижозлар[Агент],MATCH($D916,Мижозлар[Расмий ном],0)),"")</f>
        <v/>
      </c>
    </row>
    <row r="917" spans="1:23" ht="14.25" x14ac:dyDescent="0.2">
      <c r="A917" s="21"/>
      <c r="B917" s="135"/>
      <c r="C917" s="141"/>
      <c r="D917" s="141"/>
      <c r="E917" s="136"/>
      <c r="F917" s="135"/>
      <c r="G917" s="34"/>
      <c r="H917" s="142"/>
      <c r="I917" s="34"/>
      <c r="J917" s="34">
        <f>Таблица1[[#This Row],[Блок
 Куб]]*Таблица1[[#This Row],[Цена 
Приход]]</f>
        <v>0</v>
      </c>
      <c r="K917" s="34"/>
      <c r="L917" s="34"/>
      <c r="M917" s="34">
        <f>Таблица1[[#This Row],[Поддон
Шт]]*Таблица1[[#This Row],[Цена
Поддон]]</f>
        <v>0</v>
      </c>
      <c r="N917" s="34">
        <f>Таблица1[[#This Row],[Сумма 
Приход]]+Таблица1[[#This Row],[Сумма Поддон]]</f>
        <v>0</v>
      </c>
      <c r="O917" s="34"/>
      <c r="P917" s="34">
        <f>Таблица1[[#This Row],[Блок
 Куб]]*Таблица1[[#This Row],[Цена
 Продажа]]</f>
        <v>0</v>
      </c>
      <c r="Q917" s="34"/>
      <c r="R917" s="34">
        <f>Таблица1[[#This Row],[Сумма 
Продажа]]-Таблица1[[#This Row],[Сумма 
Приход]]-Таблица1[[#This Row],[Авто услу ]]</f>
        <v>0</v>
      </c>
      <c r="S917" s="34"/>
      <c r="T917" s="34">
        <f>Таблица1[[#This Row],[Сумма 
Продажа]]-IF(Таблица1[[#This Row],[Расход 
Авто]]="Клиент",N(Таблица1[[#This Row],[Авто услу ]]),0)</f>
        <v>0</v>
      </c>
      <c r="U9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7" s="265" t="str">
        <f>IFERROR(INDEX(Мижозлар[Агент],MATCH($D917,Мижозлар[Расмий ном],0)),"")</f>
        <v/>
      </c>
    </row>
    <row r="918" spans="1:23" ht="14.25" x14ac:dyDescent="0.2">
      <c r="A918" s="21"/>
      <c r="B918" s="135"/>
      <c r="C918" s="141"/>
      <c r="D918" s="141"/>
      <c r="E918" s="136"/>
      <c r="F918" s="135"/>
      <c r="G918" s="34"/>
      <c r="H918" s="142"/>
      <c r="I918" s="34"/>
      <c r="J918" s="34">
        <f>Таблица1[[#This Row],[Блок
 Куб]]*Таблица1[[#This Row],[Цена 
Приход]]</f>
        <v>0</v>
      </c>
      <c r="K918" s="34"/>
      <c r="L918" s="34"/>
      <c r="M918" s="34">
        <f>Таблица1[[#This Row],[Поддон
Шт]]*Таблица1[[#This Row],[Цена
Поддон]]</f>
        <v>0</v>
      </c>
      <c r="N918" s="34">
        <f>Таблица1[[#This Row],[Сумма 
Приход]]+Таблица1[[#This Row],[Сумма Поддон]]</f>
        <v>0</v>
      </c>
      <c r="O918" s="34"/>
      <c r="P918" s="34">
        <f>Таблица1[[#This Row],[Блок
 Куб]]*Таблица1[[#This Row],[Цена
 Продажа]]</f>
        <v>0</v>
      </c>
      <c r="Q918" s="34"/>
      <c r="R918" s="34">
        <f>Таблица1[[#This Row],[Сумма 
Продажа]]-Таблица1[[#This Row],[Сумма 
Приход]]-Таблица1[[#This Row],[Авто услу ]]</f>
        <v>0</v>
      </c>
      <c r="S918" s="34"/>
      <c r="T918" s="34">
        <f>Таблица1[[#This Row],[Сумма 
Продажа]]-IF(Таблица1[[#This Row],[Расход 
Авто]]="Клиент",N(Таблица1[[#This Row],[Авто услу ]]),0)</f>
        <v>0</v>
      </c>
      <c r="U9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8" s="265" t="str">
        <f>IFERROR(INDEX(Мижозлар[Агент],MATCH($D918,Мижозлар[Расмий ном],0)),"")</f>
        <v/>
      </c>
    </row>
    <row r="919" spans="1:23" ht="14.25" x14ac:dyDescent="0.2">
      <c r="A919" s="21"/>
      <c r="B919" s="135"/>
      <c r="C919" s="141"/>
      <c r="D919" s="141"/>
      <c r="E919" s="136"/>
      <c r="F919" s="135"/>
      <c r="G919" s="34"/>
      <c r="H919" s="142"/>
      <c r="I919" s="34"/>
      <c r="J919" s="34">
        <f>Таблица1[[#This Row],[Блок
 Куб]]*Таблица1[[#This Row],[Цена 
Приход]]</f>
        <v>0</v>
      </c>
      <c r="K919" s="34"/>
      <c r="L919" s="34"/>
      <c r="M919" s="34">
        <f>Таблица1[[#This Row],[Поддон
Шт]]*Таблица1[[#This Row],[Цена
Поддон]]</f>
        <v>0</v>
      </c>
      <c r="N919" s="34">
        <f>Таблица1[[#This Row],[Сумма 
Приход]]+Таблица1[[#This Row],[Сумма Поддон]]</f>
        <v>0</v>
      </c>
      <c r="O919" s="34"/>
      <c r="P919" s="34">
        <f>Таблица1[[#This Row],[Блок
 Куб]]*Таблица1[[#This Row],[Цена
 Продажа]]</f>
        <v>0</v>
      </c>
      <c r="Q919" s="34"/>
      <c r="R919" s="34">
        <f>Таблица1[[#This Row],[Сумма 
Продажа]]-Таблица1[[#This Row],[Сумма 
Приход]]-Таблица1[[#This Row],[Авто услу ]]</f>
        <v>0</v>
      </c>
      <c r="S919" s="34"/>
      <c r="T919" s="34">
        <f>Таблица1[[#This Row],[Сумма 
Продажа]]-IF(Таблица1[[#This Row],[Расход 
Авто]]="Клиент",N(Таблица1[[#This Row],[Авто услу ]]),0)</f>
        <v>0</v>
      </c>
      <c r="U9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19" s="265" t="str">
        <f>IFERROR(INDEX(Мижозлар[Агент],MATCH($D919,Мижозлар[Расмий ном],0)),"")</f>
        <v/>
      </c>
    </row>
    <row r="920" spans="1:23" ht="14.25" x14ac:dyDescent="0.2">
      <c r="A920" s="21"/>
      <c r="B920" s="135"/>
      <c r="C920" s="141"/>
      <c r="D920" s="141"/>
      <c r="E920" s="136"/>
      <c r="F920" s="135"/>
      <c r="G920" s="34"/>
      <c r="H920" s="142"/>
      <c r="I920" s="34"/>
      <c r="J920" s="34">
        <f>Таблица1[[#This Row],[Блок
 Куб]]*Таблица1[[#This Row],[Цена 
Приход]]</f>
        <v>0</v>
      </c>
      <c r="K920" s="34"/>
      <c r="L920" s="34"/>
      <c r="M920" s="34">
        <f>Таблица1[[#This Row],[Поддон
Шт]]*Таблица1[[#This Row],[Цена
Поддон]]</f>
        <v>0</v>
      </c>
      <c r="N920" s="34">
        <f>Таблица1[[#This Row],[Сумма 
Приход]]+Таблица1[[#This Row],[Сумма Поддон]]</f>
        <v>0</v>
      </c>
      <c r="O920" s="34"/>
      <c r="P920" s="34">
        <f>Таблица1[[#This Row],[Блок
 Куб]]*Таблица1[[#This Row],[Цена
 Продажа]]</f>
        <v>0</v>
      </c>
      <c r="Q920" s="34"/>
      <c r="R920" s="34">
        <f>Таблица1[[#This Row],[Сумма 
Продажа]]-Таблица1[[#This Row],[Сумма 
Приход]]-Таблица1[[#This Row],[Авто услу ]]</f>
        <v>0</v>
      </c>
      <c r="S920" s="34"/>
      <c r="T920" s="34">
        <f>Таблица1[[#This Row],[Сумма 
Продажа]]-IF(Таблица1[[#This Row],[Расход 
Авто]]="Клиент",N(Таблица1[[#This Row],[Авто услу ]]),0)</f>
        <v>0</v>
      </c>
      <c r="U9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0" s="265" t="str">
        <f>IFERROR(INDEX(Мижозлар[Агент],MATCH($D920,Мижозлар[Расмий ном],0)),"")</f>
        <v/>
      </c>
    </row>
    <row r="921" spans="1:23" ht="14.25" x14ac:dyDescent="0.2">
      <c r="A921" s="21"/>
      <c r="B921" s="135"/>
      <c r="C921" s="141"/>
      <c r="D921" s="141"/>
      <c r="E921" s="136"/>
      <c r="F921" s="135"/>
      <c r="G921" s="34"/>
      <c r="H921" s="142"/>
      <c r="I921" s="34"/>
      <c r="J921" s="34">
        <f>Таблица1[[#This Row],[Блок
 Куб]]*Таблица1[[#This Row],[Цена 
Приход]]</f>
        <v>0</v>
      </c>
      <c r="K921" s="34"/>
      <c r="L921" s="34"/>
      <c r="M921" s="34">
        <f>Таблица1[[#This Row],[Поддон
Шт]]*Таблица1[[#This Row],[Цена
Поддон]]</f>
        <v>0</v>
      </c>
      <c r="N921" s="34">
        <f>Таблица1[[#This Row],[Сумма 
Приход]]+Таблица1[[#This Row],[Сумма Поддон]]</f>
        <v>0</v>
      </c>
      <c r="O921" s="34"/>
      <c r="P921" s="34">
        <f>Таблица1[[#This Row],[Блок
 Куб]]*Таблица1[[#This Row],[Цена
 Продажа]]</f>
        <v>0</v>
      </c>
      <c r="Q921" s="34"/>
      <c r="R921" s="34">
        <f>Таблица1[[#This Row],[Сумма 
Продажа]]-Таблица1[[#This Row],[Сумма 
Приход]]-Таблица1[[#This Row],[Авто услу ]]</f>
        <v>0</v>
      </c>
      <c r="S921" s="34"/>
      <c r="T921" s="34">
        <f>Таблица1[[#This Row],[Сумма 
Продажа]]-IF(Таблица1[[#This Row],[Расход 
Авто]]="Клиент",N(Таблица1[[#This Row],[Авто услу ]]),0)</f>
        <v>0</v>
      </c>
      <c r="U9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1" s="265" t="str">
        <f>IFERROR(INDEX(Мижозлар[Агент],MATCH($D921,Мижозлар[Расмий ном],0)),"")</f>
        <v/>
      </c>
    </row>
    <row r="922" spans="1:23" ht="14.25" x14ac:dyDescent="0.2">
      <c r="A922" s="21"/>
      <c r="B922" s="135"/>
      <c r="C922" s="141"/>
      <c r="D922" s="141"/>
      <c r="E922" s="136"/>
      <c r="F922" s="135"/>
      <c r="G922" s="34"/>
      <c r="H922" s="142"/>
      <c r="I922" s="34"/>
      <c r="J922" s="34">
        <f>Таблица1[[#This Row],[Блок
 Куб]]*Таблица1[[#This Row],[Цена 
Приход]]</f>
        <v>0</v>
      </c>
      <c r="K922" s="34"/>
      <c r="L922" s="34"/>
      <c r="M922" s="34">
        <f>Таблица1[[#This Row],[Поддон
Шт]]*Таблица1[[#This Row],[Цена
Поддон]]</f>
        <v>0</v>
      </c>
      <c r="N922" s="34">
        <f>Таблица1[[#This Row],[Сумма 
Приход]]+Таблица1[[#This Row],[Сумма Поддон]]</f>
        <v>0</v>
      </c>
      <c r="O922" s="34"/>
      <c r="P922" s="34">
        <f>Таблица1[[#This Row],[Блок
 Куб]]*Таблица1[[#This Row],[Цена
 Продажа]]</f>
        <v>0</v>
      </c>
      <c r="Q922" s="34"/>
      <c r="R922" s="34">
        <f>Таблица1[[#This Row],[Сумма 
Продажа]]-Таблица1[[#This Row],[Сумма 
Приход]]-Таблица1[[#This Row],[Авто услу ]]</f>
        <v>0</v>
      </c>
      <c r="S922" s="34"/>
      <c r="T922" s="34">
        <f>Таблица1[[#This Row],[Сумма 
Продажа]]-IF(Таблица1[[#This Row],[Расход 
Авто]]="Клиент",N(Таблица1[[#This Row],[Авто услу ]]),0)</f>
        <v>0</v>
      </c>
      <c r="U9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2" s="265" t="str">
        <f>IFERROR(INDEX(Мижозлар[Агент],MATCH($D922,Мижозлар[Расмий ном],0)),"")</f>
        <v/>
      </c>
    </row>
    <row r="923" spans="1:23" ht="14.25" x14ac:dyDescent="0.2">
      <c r="A923" s="21"/>
      <c r="B923" s="135"/>
      <c r="C923" s="141"/>
      <c r="D923" s="141"/>
      <c r="E923" s="136"/>
      <c r="F923" s="135"/>
      <c r="G923" s="34"/>
      <c r="H923" s="142"/>
      <c r="I923" s="34"/>
      <c r="J923" s="34">
        <f>Таблица1[[#This Row],[Блок
 Куб]]*Таблица1[[#This Row],[Цена 
Приход]]</f>
        <v>0</v>
      </c>
      <c r="K923" s="34"/>
      <c r="L923" s="34"/>
      <c r="M923" s="34">
        <f>Таблица1[[#This Row],[Поддон
Шт]]*Таблица1[[#This Row],[Цена
Поддон]]</f>
        <v>0</v>
      </c>
      <c r="N923" s="34">
        <f>Таблица1[[#This Row],[Сумма 
Приход]]+Таблица1[[#This Row],[Сумма Поддон]]</f>
        <v>0</v>
      </c>
      <c r="O923" s="34"/>
      <c r="P923" s="34">
        <f>Таблица1[[#This Row],[Блок
 Куб]]*Таблица1[[#This Row],[Цена
 Продажа]]</f>
        <v>0</v>
      </c>
      <c r="Q923" s="34"/>
      <c r="R923" s="34">
        <f>Таблица1[[#This Row],[Сумма 
Продажа]]-Таблица1[[#This Row],[Сумма 
Приход]]-Таблица1[[#This Row],[Авто услу ]]</f>
        <v>0</v>
      </c>
      <c r="S923" s="34"/>
      <c r="T923" s="34">
        <f>Таблица1[[#This Row],[Сумма 
Продажа]]-IF(Таблица1[[#This Row],[Расход 
Авто]]="Клиент",N(Таблица1[[#This Row],[Авто услу ]]),0)</f>
        <v>0</v>
      </c>
      <c r="U9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3" s="265" t="str">
        <f>IFERROR(INDEX(Мижозлар[Агент],MATCH($D923,Мижозлар[Расмий ном],0)),"")</f>
        <v/>
      </c>
    </row>
    <row r="924" spans="1:23" ht="14.25" x14ac:dyDescent="0.2">
      <c r="A924" s="21"/>
      <c r="B924" s="135"/>
      <c r="C924" s="141"/>
      <c r="D924" s="141"/>
      <c r="E924" s="136"/>
      <c r="F924" s="135"/>
      <c r="G924" s="34"/>
      <c r="H924" s="142"/>
      <c r="I924" s="34"/>
      <c r="J924" s="34">
        <f>Таблица1[[#This Row],[Блок
 Куб]]*Таблица1[[#This Row],[Цена 
Приход]]</f>
        <v>0</v>
      </c>
      <c r="K924" s="34"/>
      <c r="L924" s="34"/>
      <c r="M924" s="34">
        <f>Таблица1[[#This Row],[Поддон
Шт]]*Таблица1[[#This Row],[Цена
Поддон]]</f>
        <v>0</v>
      </c>
      <c r="N924" s="34">
        <f>Таблица1[[#This Row],[Сумма 
Приход]]+Таблица1[[#This Row],[Сумма Поддон]]</f>
        <v>0</v>
      </c>
      <c r="O924" s="34"/>
      <c r="P924" s="34">
        <f>Таблица1[[#This Row],[Блок
 Куб]]*Таблица1[[#This Row],[Цена
 Продажа]]</f>
        <v>0</v>
      </c>
      <c r="Q924" s="34"/>
      <c r="R924" s="34">
        <f>Таблица1[[#This Row],[Сумма 
Продажа]]-Таблица1[[#This Row],[Сумма 
Приход]]-Таблица1[[#This Row],[Авто услу ]]</f>
        <v>0</v>
      </c>
      <c r="S924" s="34"/>
      <c r="T924" s="34">
        <f>Таблица1[[#This Row],[Сумма 
Продажа]]-IF(Таблица1[[#This Row],[Расход 
Авто]]="Клиент",N(Таблица1[[#This Row],[Авто услу ]]),0)</f>
        <v>0</v>
      </c>
      <c r="U9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4" s="265" t="str">
        <f>IFERROR(INDEX(Мижозлар[Агент],MATCH($D924,Мижозлар[Расмий ном],0)),"")</f>
        <v/>
      </c>
    </row>
    <row r="925" spans="1:23" ht="14.25" x14ac:dyDescent="0.2">
      <c r="A925" s="21"/>
      <c r="B925" s="135"/>
      <c r="C925" s="141"/>
      <c r="D925" s="141"/>
      <c r="E925" s="136"/>
      <c r="F925" s="135"/>
      <c r="G925" s="34"/>
      <c r="H925" s="142"/>
      <c r="I925" s="34"/>
      <c r="J925" s="34">
        <f>Таблица1[[#This Row],[Блок
 Куб]]*Таблица1[[#This Row],[Цена 
Приход]]</f>
        <v>0</v>
      </c>
      <c r="K925" s="34"/>
      <c r="L925" s="34"/>
      <c r="M925" s="34">
        <f>Таблица1[[#This Row],[Поддон
Шт]]*Таблица1[[#This Row],[Цена
Поддон]]</f>
        <v>0</v>
      </c>
      <c r="N925" s="34">
        <f>Таблица1[[#This Row],[Сумма 
Приход]]+Таблица1[[#This Row],[Сумма Поддон]]</f>
        <v>0</v>
      </c>
      <c r="O925" s="34"/>
      <c r="P925" s="34">
        <f>Таблица1[[#This Row],[Блок
 Куб]]*Таблица1[[#This Row],[Цена
 Продажа]]</f>
        <v>0</v>
      </c>
      <c r="Q925" s="34"/>
      <c r="R925" s="34">
        <f>Таблица1[[#This Row],[Сумма 
Продажа]]-Таблица1[[#This Row],[Сумма 
Приход]]-Таблица1[[#This Row],[Авто услу ]]</f>
        <v>0</v>
      </c>
      <c r="S925" s="34"/>
      <c r="T925" s="34">
        <f>Таблица1[[#This Row],[Сумма 
Продажа]]-IF(Таблица1[[#This Row],[Расход 
Авто]]="Клиент",N(Таблица1[[#This Row],[Авто услу ]]),0)</f>
        <v>0</v>
      </c>
      <c r="U9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5" s="265" t="str">
        <f>IFERROR(INDEX(Мижозлар[Агент],MATCH($D925,Мижозлар[Расмий ном],0)),"")</f>
        <v/>
      </c>
    </row>
    <row r="926" spans="1:23" ht="14.25" x14ac:dyDescent="0.2">
      <c r="A926" s="21"/>
      <c r="B926" s="135"/>
      <c r="C926" s="141"/>
      <c r="D926" s="141"/>
      <c r="E926" s="136"/>
      <c r="F926" s="135"/>
      <c r="G926" s="34"/>
      <c r="H926" s="142"/>
      <c r="I926" s="34"/>
      <c r="J926" s="34">
        <f>Таблица1[[#This Row],[Блок
 Куб]]*Таблица1[[#This Row],[Цена 
Приход]]</f>
        <v>0</v>
      </c>
      <c r="K926" s="34"/>
      <c r="L926" s="34"/>
      <c r="M926" s="34">
        <f>Таблица1[[#This Row],[Поддон
Шт]]*Таблица1[[#This Row],[Цена
Поддон]]</f>
        <v>0</v>
      </c>
      <c r="N926" s="34">
        <f>Таблица1[[#This Row],[Сумма 
Приход]]+Таблица1[[#This Row],[Сумма Поддон]]</f>
        <v>0</v>
      </c>
      <c r="O926" s="34"/>
      <c r="P926" s="34">
        <f>Таблица1[[#This Row],[Блок
 Куб]]*Таблица1[[#This Row],[Цена
 Продажа]]</f>
        <v>0</v>
      </c>
      <c r="Q926" s="34"/>
      <c r="R926" s="34">
        <f>Таблица1[[#This Row],[Сумма 
Продажа]]-Таблица1[[#This Row],[Сумма 
Приход]]-Таблица1[[#This Row],[Авто услу ]]</f>
        <v>0</v>
      </c>
      <c r="S926" s="34"/>
      <c r="T926" s="34">
        <f>Таблица1[[#This Row],[Сумма 
Продажа]]-IF(Таблица1[[#This Row],[Расход 
Авто]]="Клиент",N(Таблица1[[#This Row],[Авто услу ]]),0)</f>
        <v>0</v>
      </c>
      <c r="U9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6" s="265" t="str">
        <f>IFERROR(INDEX(Мижозлар[Агент],MATCH($D926,Мижозлар[Расмий ном],0)),"")</f>
        <v/>
      </c>
    </row>
    <row r="927" spans="1:23" ht="14.25" x14ac:dyDescent="0.2">
      <c r="A927" s="21"/>
      <c r="B927" s="135"/>
      <c r="C927" s="141"/>
      <c r="D927" s="141"/>
      <c r="E927" s="136"/>
      <c r="F927" s="135"/>
      <c r="G927" s="34"/>
      <c r="H927" s="142"/>
      <c r="I927" s="34"/>
      <c r="J927" s="34">
        <f>Таблица1[[#This Row],[Блок
 Куб]]*Таблица1[[#This Row],[Цена 
Приход]]</f>
        <v>0</v>
      </c>
      <c r="K927" s="34"/>
      <c r="L927" s="34"/>
      <c r="M927" s="34">
        <f>Таблица1[[#This Row],[Поддон
Шт]]*Таблица1[[#This Row],[Цена
Поддон]]</f>
        <v>0</v>
      </c>
      <c r="N927" s="34">
        <f>Таблица1[[#This Row],[Сумма 
Приход]]+Таблица1[[#This Row],[Сумма Поддон]]</f>
        <v>0</v>
      </c>
      <c r="O927" s="34"/>
      <c r="P927" s="34">
        <f>Таблица1[[#This Row],[Блок
 Куб]]*Таблица1[[#This Row],[Цена
 Продажа]]</f>
        <v>0</v>
      </c>
      <c r="Q927" s="34"/>
      <c r="R927" s="34">
        <f>Таблица1[[#This Row],[Сумма 
Продажа]]-Таблица1[[#This Row],[Сумма 
Приход]]-Таблица1[[#This Row],[Авто услу ]]</f>
        <v>0</v>
      </c>
      <c r="S927" s="34"/>
      <c r="T927" s="34">
        <f>Таблица1[[#This Row],[Сумма 
Продажа]]-IF(Таблица1[[#This Row],[Расход 
Авто]]="Клиент",N(Таблица1[[#This Row],[Авто услу ]]),0)</f>
        <v>0</v>
      </c>
      <c r="U9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7" s="265" t="str">
        <f>IFERROR(INDEX(Мижозлар[Агент],MATCH($D927,Мижозлар[Расмий ном],0)),"")</f>
        <v/>
      </c>
    </row>
    <row r="928" spans="1:23" ht="14.25" x14ac:dyDescent="0.2">
      <c r="A928" s="21"/>
      <c r="B928" s="135"/>
      <c r="C928" s="141"/>
      <c r="D928" s="141"/>
      <c r="E928" s="136"/>
      <c r="F928" s="135"/>
      <c r="G928" s="34"/>
      <c r="H928" s="142"/>
      <c r="I928" s="34"/>
      <c r="J928" s="34">
        <f>Таблица1[[#This Row],[Блок
 Куб]]*Таблица1[[#This Row],[Цена 
Приход]]</f>
        <v>0</v>
      </c>
      <c r="K928" s="34"/>
      <c r="L928" s="34"/>
      <c r="M928" s="34">
        <f>Таблица1[[#This Row],[Поддон
Шт]]*Таблица1[[#This Row],[Цена
Поддон]]</f>
        <v>0</v>
      </c>
      <c r="N928" s="34">
        <f>Таблица1[[#This Row],[Сумма 
Приход]]+Таблица1[[#This Row],[Сумма Поддон]]</f>
        <v>0</v>
      </c>
      <c r="O928" s="34"/>
      <c r="P928" s="34">
        <f>Таблица1[[#This Row],[Блок
 Куб]]*Таблица1[[#This Row],[Цена
 Продажа]]</f>
        <v>0</v>
      </c>
      <c r="Q928" s="34"/>
      <c r="R928" s="34">
        <f>Таблица1[[#This Row],[Сумма 
Продажа]]-Таблица1[[#This Row],[Сумма 
Приход]]-Таблица1[[#This Row],[Авто услу ]]</f>
        <v>0</v>
      </c>
      <c r="S928" s="34"/>
      <c r="T928" s="34">
        <f>Таблица1[[#This Row],[Сумма 
Продажа]]-IF(Таблица1[[#This Row],[Расход 
Авто]]="Клиент",N(Таблица1[[#This Row],[Авто услу ]]),0)</f>
        <v>0</v>
      </c>
      <c r="U9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8" s="265" t="str">
        <f>IFERROR(INDEX(Мижозлар[Агент],MATCH($D928,Мижозлар[Расмий ном],0)),"")</f>
        <v/>
      </c>
    </row>
    <row r="929" spans="1:23" ht="14.25" x14ac:dyDescent="0.2">
      <c r="A929" s="21"/>
      <c r="B929" s="135"/>
      <c r="C929" s="141"/>
      <c r="D929" s="141"/>
      <c r="E929" s="136"/>
      <c r="F929" s="135"/>
      <c r="G929" s="34"/>
      <c r="H929" s="142"/>
      <c r="I929" s="34"/>
      <c r="J929" s="34">
        <f>Таблица1[[#This Row],[Блок
 Куб]]*Таблица1[[#This Row],[Цена 
Приход]]</f>
        <v>0</v>
      </c>
      <c r="K929" s="34"/>
      <c r="L929" s="34"/>
      <c r="M929" s="34">
        <f>Таблица1[[#This Row],[Поддон
Шт]]*Таблица1[[#This Row],[Цена
Поддон]]</f>
        <v>0</v>
      </c>
      <c r="N929" s="34">
        <f>Таблица1[[#This Row],[Сумма 
Приход]]+Таблица1[[#This Row],[Сумма Поддон]]</f>
        <v>0</v>
      </c>
      <c r="O929" s="34"/>
      <c r="P929" s="34">
        <f>Таблица1[[#This Row],[Блок
 Куб]]*Таблица1[[#This Row],[Цена
 Продажа]]</f>
        <v>0</v>
      </c>
      <c r="Q929" s="34"/>
      <c r="R929" s="34">
        <f>Таблица1[[#This Row],[Сумма 
Продажа]]-Таблица1[[#This Row],[Сумма 
Приход]]-Таблица1[[#This Row],[Авто услу ]]</f>
        <v>0</v>
      </c>
      <c r="S929" s="34"/>
      <c r="T929" s="34">
        <f>Таблица1[[#This Row],[Сумма 
Продажа]]-IF(Таблица1[[#This Row],[Расход 
Авто]]="Клиент",N(Таблица1[[#This Row],[Авто услу ]]),0)</f>
        <v>0</v>
      </c>
      <c r="U9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29" s="265" t="str">
        <f>IFERROR(INDEX(Мижозлар[Агент],MATCH($D929,Мижозлар[Расмий ном],0)),"")</f>
        <v/>
      </c>
    </row>
    <row r="930" spans="1:23" ht="14.25" x14ac:dyDescent="0.2">
      <c r="A930" s="21"/>
      <c r="B930" s="135"/>
      <c r="C930" s="141"/>
      <c r="D930" s="141"/>
      <c r="E930" s="136"/>
      <c r="F930" s="135"/>
      <c r="G930" s="34"/>
      <c r="H930" s="142"/>
      <c r="I930" s="34"/>
      <c r="J930" s="34">
        <f>Таблица1[[#This Row],[Блок
 Куб]]*Таблица1[[#This Row],[Цена 
Приход]]</f>
        <v>0</v>
      </c>
      <c r="K930" s="34"/>
      <c r="L930" s="34"/>
      <c r="M930" s="34">
        <f>Таблица1[[#This Row],[Поддон
Шт]]*Таблица1[[#This Row],[Цена
Поддон]]</f>
        <v>0</v>
      </c>
      <c r="N930" s="34">
        <f>Таблица1[[#This Row],[Сумма 
Приход]]+Таблица1[[#This Row],[Сумма Поддон]]</f>
        <v>0</v>
      </c>
      <c r="O930" s="34"/>
      <c r="P930" s="34">
        <f>Таблица1[[#This Row],[Блок
 Куб]]*Таблица1[[#This Row],[Цена
 Продажа]]</f>
        <v>0</v>
      </c>
      <c r="Q930" s="34"/>
      <c r="R930" s="34">
        <f>Таблица1[[#This Row],[Сумма 
Продажа]]-Таблица1[[#This Row],[Сумма 
Приход]]-Таблица1[[#This Row],[Авто услу ]]</f>
        <v>0</v>
      </c>
      <c r="S930" s="34"/>
      <c r="T930" s="34">
        <f>Таблица1[[#This Row],[Сумма 
Продажа]]-IF(Таблица1[[#This Row],[Расход 
Авто]]="Клиент",N(Таблица1[[#This Row],[Авто услу ]]),0)</f>
        <v>0</v>
      </c>
      <c r="U9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0" s="265" t="str">
        <f>IFERROR(INDEX(Мижозлар[Агент],MATCH($D930,Мижозлар[Расмий ном],0)),"")</f>
        <v/>
      </c>
    </row>
    <row r="931" spans="1:23" ht="14.25" x14ac:dyDescent="0.2">
      <c r="A931" s="21"/>
      <c r="B931" s="135"/>
      <c r="C931" s="141"/>
      <c r="D931" s="141"/>
      <c r="E931" s="136"/>
      <c r="F931" s="135"/>
      <c r="G931" s="34"/>
      <c r="H931" s="142"/>
      <c r="I931" s="34"/>
      <c r="J931" s="34">
        <f>Таблица1[[#This Row],[Блок
 Куб]]*Таблица1[[#This Row],[Цена 
Приход]]</f>
        <v>0</v>
      </c>
      <c r="K931" s="34"/>
      <c r="L931" s="34"/>
      <c r="M931" s="34">
        <f>Таблица1[[#This Row],[Поддон
Шт]]*Таблица1[[#This Row],[Цена
Поддон]]</f>
        <v>0</v>
      </c>
      <c r="N931" s="34">
        <f>Таблица1[[#This Row],[Сумма 
Приход]]+Таблица1[[#This Row],[Сумма Поддон]]</f>
        <v>0</v>
      </c>
      <c r="O931" s="34"/>
      <c r="P931" s="34">
        <f>Таблица1[[#This Row],[Блок
 Куб]]*Таблица1[[#This Row],[Цена
 Продажа]]</f>
        <v>0</v>
      </c>
      <c r="Q931" s="34"/>
      <c r="R931" s="34">
        <f>Таблица1[[#This Row],[Сумма 
Продажа]]-Таблица1[[#This Row],[Сумма 
Приход]]-Таблица1[[#This Row],[Авто услу ]]</f>
        <v>0</v>
      </c>
      <c r="S931" s="34"/>
      <c r="T931" s="34">
        <f>Таблица1[[#This Row],[Сумма 
Продажа]]-IF(Таблица1[[#This Row],[Расход 
Авто]]="Клиент",N(Таблица1[[#This Row],[Авто услу ]]),0)</f>
        <v>0</v>
      </c>
      <c r="U9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1" s="265" t="str">
        <f>IFERROR(INDEX(Мижозлар[Агент],MATCH($D931,Мижозлар[Расмий ном],0)),"")</f>
        <v/>
      </c>
    </row>
    <row r="932" spans="1:23" ht="14.25" x14ac:dyDescent="0.2">
      <c r="A932" s="21"/>
      <c r="B932" s="135"/>
      <c r="C932" s="141"/>
      <c r="D932" s="141"/>
      <c r="E932" s="136"/>
      <c r="F932" s="135"/>
      <c r="G932" s="34"/>
      <c r="H932" s="142"/>
      <c r="I932" s="34"/>
      <c r="J932" s="34">
        <f>Таблица1[[#This Row],[Блок
 Куб]]*Таблица1[[#This Row],[Цена 
Приход]]</f>
        <v>0</v>
      </c>
      <c r="K932" s="34"/>
      <c r="L932" s="34"/>
      <c r="M932" s="34">
        <f>Таблица1[[#This Row],[Поддон
Шт]]*Таблица1[[#This Row],[Цена
Поддон]]</f>
        <v>0</v>
      </c>
      <c r="N932" s="34">
        <f>Таблица1[[#This Row],[Сумма 
Приход]]+Таблица1[[#This Row],[Сумма Поддон]]</f>
        <v>0</v>
      </c>
      <c r="O932" s="34"/>
      <c r="P932" s="34">
        <f>Таблица1[[#This Row],[Блок
 Куб]]*Таблица1[[#This Row],[Цена
 Продажа]]</f>
        <v>0</v>
      </c>
      <c r="Q932" s="34"/>
      <c r="R932" s="34">
        <f>Таблица1[[#This Row],[Сумма 
Продажа]]-Таблица1[[#This Row],[Сумма 
Приход]]-Таблица1[[#This Row],[Авто услу ]]</f>
        <v>0</v>
      </c>
      <c r="S932" s="34"/>
      <c r="T932" s="34">
        <f>Таблица1[[#This Row],[Сумма 
Продажа]]-IF(Таблица1[[#This Row],[Расход 
Авто]]="Клиент",N(Таблица1[[#This Row],[Авто услу ]]),0)</f>
        <v>0</v>
      </c>
      <c r="U9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2" s="265" t="str">
        <f>IFERROR(INDEX(Мижозлар[Агент],MATCH($D932,Мижозлар[Расмий ном],0)),"")</f>
        <v/>
      </c>
    </row>
    <row r="933" spans="1:23" ht="14.25" x14ac:dyDescent="0.2">
      <c r="A933" s="21"/>
      <c r="B933" s="135"/>
      <c r="C933" s="141"/>
      <c r="D933" s="141"/>
      <c r="E933" s="136"/>
      <c r="F933" s="135"/>
      <c r="G933" s="34"/>
      <c r="H933" s="142"/>
      <c r="I933" s="34"/>
      <c r="J933" s="34">
        <f>Таблица1[[#This Row],[Блок
 Куб]]*Таблица1[[#This Row],[Цена 
Приход]]</f>
        <v>0</v>
      </c>
      <c r="K933" s="34"/>
      <c r="L933" s="34"/>
      <c r="M933" s="34">
        <f>Таблица1[[#This Row],[Поддон
Шт]]*Таблица1[[#This Row],[Цена
Поддон]]</f>
        <v>0</v>
      </c>
      <c r="N933" s="34">
        <f>Таблица1[[#This Row],[Сумма 
Приход]]+Таблица1[[#This Row],[Сумма Поддон]]</f>
        <v>0</v>
      </c>
      <c r="O933" s="34"/>
      <c r="P933" s="34">
        <f>Таблица1[[#This Row],[Блок
 Куб]]*Таблица1[[#This Row],[Цена
 Продажа]]</f>
        <v>0</v>
      </c>
      <c r="Q933" s="34"/>
      <c r="R933" s="34">
        <f>Таблица1[[#This Row],[Сумма 
Продажа]]-Таблица1[[#This Row],[Сумма 
Приход]]-Таблица1[[#This Row],[Авто услу ]]</f>
        <v>0</v>
      </c>
      <c r="S933" s="34"/>
      <c r="T933" s="34">
        <f>Таблица1[[#This Row],[Сумма 
Продажа]]-IF(Таблица1[[#This Row],[Расход 
Авто]]="Клиент",N(Таблица1[[#This Row],[Авто услу ]]),0)</f>
        <v>0</v>
      </c>
      <c r="U9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3" s="265" t="str">
        <f>IFERROR(INDEX(Мижозлар[Агент],MATCH($D933,Мижозлар[Расмий ном],0)),"")</f>
        <v/>
      </c>
    </row>
    <row r="934" spans="1:23" ht="14.25" x14ac:dyDescent="0.2">
      <c r="A934" s="21"/>
      <c r="B934" s="135"/>
      <c r="C934" s="141"/>
      <c r="D934" s="141"/>
      <c r="E934" s="136"/>
      <c r="F934" s="135"/>
      <c r="G934" s="34"/>
      <c r="H934" s="142"/>
      <c r="I934" s="34"/>
      <c r="J934" s="34">
        <f>Таблица1[[#This Row],[Блок
 Куб]]*Таблица1[[#This Row],[Цена 
Приход]]</f>
        <v>0</v>
      </c>
      <c r="K934" s="34"/>
      <c r="L934" s="34"/>
      <c r="M934" s="34">
        <f>Таблица1[[#This Row],[Поддон
Шт]]*Таблица1[[#This Row],[Цена
Поддон]]</f>
        <v>0</v>
      </c>
      <c r="N934" s="34">
        <f>Таблица1[[#This Row],[Сумма 
Приход]]+Таблица1[[#This Row],[Сумма Поддон]]</f>
        <v>0</v>
      </c>
      <c r="O934" s="34"/>
      <c r="P934" s="34">
        <f>Таблица1[[#This Row],[Блок
 Куб]]*Таблица1[[#This Row],[Цена
 Продажа]]</f>
        <v>0</v>
      </c>
      <c r="Q934" s="34"/>
      <c r="R934" s="34">
        <f>Таблица1[[#This Row],[Сумма 
Продажа]]-Таблица1[[#This Row],[Сумма 
Приход]]-Таблица1[[#This Row],[Авто услу ]]</f>
        <v>0</v>
      </c>
      <c r="S934" s="34"/>
      <c r="T934" s="34">
        <f>Таблица1[[#This Row],[Сумма 
Продажа]]-IF(Таблица1[[#This Row],[Расход 
Авто]]="Клиент",N(Таблица1[[#This Row],[Авто услу ]]),0)</f>
        <v>0</v>
      </c>
      <c r="U9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4" s="265" t="str">
        <f>IFERROR(INDEX(Мижозлар[Агент],MATCH($D934,Мижозлар[Расмий ном],0)),"")</f>
        <v/>
      </c>
    </row>
    <row r="935" spans="1:23" ht="14.25" x14ac:dyDescent="0.2">
      <c r="A935" s="21"/>
      <c r="B935" s="135"/>
      <c r="C935" s="141"/>
      <c r="D935" s="141"/>
      <c r="E935" s="136"/>
      <c r="F935" s="135"/>
      <c r="G935" s="34"/>
      <c r="H935" s="142"/>
      <c r="I935" s="34"/>
      <c r="J935" s="34">
        <f>Таблица1[[#This Row],[Блок
 Куб]]*Таблица1[[#This Row],[Цена 
Приход]]</f>
        <v>0</v>
      </c>
      <c r="K935" s="34"/>
      <c r="L935" s="34"/>
      <c r="M935" s="34">
        <f>Таблица1[[#This Row],[Поддон
Шт]]*Таблица1[[#This Row],[Цена
Поддон]]</f>
        <v>0</v>
      </c>
      <c r="N935" s="34">
        <f>Таблица1[[#This Row],[Сумма 
Приход]]+Таблица1[[#This Row],[Сумма Поддон]]</f>
        <v>0</v>
      </c>
      <c r="O935" s="34"/>
      <c r="P935" s="34">
        <f>Таблица1[[#This Row],[Блок
 Куб]]*Таблица1[[#This Row],[Цена
 Продажа]]</f>
        <v>0</v>
      </c>
      <c r="Q935" s="34"/>
      <c r="R935" s="34">
        <f>Таблица1[[#This Row],[Сумма 
Продажа]]-Таблица1[[#This Row],[Сумма 
Приход]]-Таблица1[[#This Row],[Авто услу ]]</f>
        <v>0</v>
      </c>
      <c r="S935" s="34"/>
      <c r="T935" s="34">
        <f>Таблица1[[#This Row],[Сумма 
Продажа]]-IF(Таблица1[[#This Row],[Расход 
Авто]]="Клиент",N(Таблица1[[#This Row],[Авто услу ]]),0)</f>
        <v>0</v>
      </c>
      <c r="U9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5" s="265" t="str">
        <f>IFERROR(INDEX(Мижозлар[Агент],MATCH($D935,Мижозлар[Расмий ном],0)),"")</f>
        <v/>
      </c>
    </row>
    <row r="936" spans="1:23" ht="14.25" x14ac:dyDescent="0.2">
      <c r="A936" s="21"/>
      <c r="B936" s="135"/>
      <c r="C936" s="141"/>
      <c r="D936" s="141"/>
      <c r="E936" s="136"/>
      <c r="F936" s="135"/>
      <c r="G936" s="34"/>
      <c r="H936" s="142"/>
      <c r="I936" s="34"/>
      <c r="J936" s="34">
        <f>Таблица1[[#This Row],[Блок
 Куб]]*Таблица1[[#This Row],[Цена 
Приход]]</f>
        <v>0</v>
      </c>
      <c r="K936" s="34"/>
      <c r="L936" s="34"/>
      <c r="M936" s="34">
        <f>Таблица1[[#This Row],[Поддон
Шт]]*Таблица1[[#This Row],[Цена
Поддон]]</f>
        <v>0</v>
      </c>
      <c r="N936" s="34">
        <f>Таблица1[[#This Row],[Сумма 
Приход]]+Таблица1[[#This Row],[Сумма Поддон]]</f>
        <v>0</v>
      </c>
      <c r="O936" s="34"/>
      <c r="P936" s="34">
        <f>Таблица1[[#This Row],[Блок
 Куб]]*Таблица1[[#This Row],[Цена
 Продажа]]</f>
        <v>0</v>
      </c>
      <c r="Q936" s="34"/>
      <c r="R936" s="34">
        <f>Таблица1[[#This Row],[Сумма 
Продажа]]-Таблица1[[#This Row],[Сумма 
Приход]]-Таблица1[[#This Row],[Авто услу ]]</f>
        <v>0</v>
      </c>
      <c r="S936" s="34"/>
      <c r="T936" s="34">
        <f>Таблица1[[#This Row],[Сумма 
Продажа]]-IF(Таблица1[[#This Row],[Расход 
Авто]]="Клиент",N(Таблица1[[#This Row],[Авто услу ]]),0)</f>
        <v>0</v>
      </c>
      <c r="U9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6" s="265" t="str">
        <f>IFERROR(INDEX(Мижозлар[Агент],MATCH($D936,Мижозлар[Расмий ном],0)),"")</f>
        <v/>
      </c>
    </row>
    <row r="937" spans="1:23" ht="14.25" x14ac:dyDescent="0.2">
      <c r="A937" s="21"/>
      <c r="B937" s="135"/>
      <c r="C937" s="141"/>
      <c r="D937" s="141"/>
      <c r="E937" s="136"/>
      <c r="F937" s="135"/>
      <c r="G937" s="34"/>
      <c r="H937" s="142"/>
      <c r="I937" s="34"/>
      <c r="J937" s="34">
        <f>Таблица1[[#This Row],[Блок
 Куб]]*Таблица1[[#This Row],[Цена 
Приход]]</f>
        <v>0</v>
      </c>
      <c r="K937" s="34"/>
      <c r="L937" s="34"/>
      <c r="M937" s="34">
        <f>Таблица1[[#This Row],[Поддон
Шт]]*Таблица1[[#This Row],[Цена
Поддон]]</f>
        <v>0</v>
      </c>
      <c r="N937" s="34">
        <f>Таблица1[[#This Row],[Сумма 
Приход]]+Таблица1[[#This Row],[Сумма Поддон]]</f>
        <v>0</v>
      </c>
      <c r="O937" s="34"/>
      <c r="P937" s="34">
        <f>Таблица1[[#This Row],[Блок
 Куб]]*Таблица1[[#This Row],[Цена
 Продажа]]</f>
        <v>0</v>
      </c>
      <c r="Q937" s="34"/>
      <c r="R937" s="34">
        <f>Таблица1[[#This Row],[Сумма 
Продажа]]-Таблица1[[#This Row],[Сумма 
Приход]]-Таблица1[[#This Row],[Авто услу ]]</f>
        <v>0</v>
      </c>
      <c r="S937" s="34"/>
      <c r="T937" s="34">
        <f>Таблица1[[#This Row],[Сумма 
Продажа]]-IF(Таблица1[[#This Row],[Расход 
Авто]]="Клиент",N(Таблица1[[#This Row],[Авто услу ]]),0)</f>
        <v>0</v>
      </c>
      <c r="U9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7" s="265" t="str">
        <f>IFERROR(INDEX(Мижозлар[Агент],MATCH($D937,Мижозлар[Расмий ном],0)),"")</f>
        <v/>
      </c>
    </row>
    <row r="938" spans="1:23" ht="14.25" x14ac:dyDescent="0.2">
      <c r="A938" s="21"/>
      <c r="B938" s="135"/>
      <c r="C938" s="141"/>
      <c r="D938" s="141"/>
      <c r="E938" s="136"/>
      <c r="F938" s="135"/>
      <c r="G938" s="34"/>
      <c r="H938" s="142"/>
      <c r="I938" s="34"/>
      <c r="J938" s="34">
        <f>Таблица1[[#This Row],[Блок
 Куб]]*Таблица1[[#This Row],[Цена 
Приход]]</f>
        <v>0</v>
      </c>
      <c r="K938" s="34"/>
      <c r="L938" s="34"/>
      <c r="M938" s="34">
        <f>Таблица1[[#This Row],[Поддон
Шт]]*Таблица1[[#This Row],[Цена
Поддон]]</f>
        <v>0</v>
      </c>
      <c r="N938" s="34">
        <f>Таблица1[[#This Row],[Сумма 
Приход]]+Таблица1[[#This Row],[Сумма Поддон]]</f>
        <v>0</v>
      </c>
      <c r="O938" s="34"/>
      <c r="P938" s="34">
        <f>Таблица1[[#This Row],[Блок
 Куб]]*Таблица1[[#This Row],[Цена
 Продажа]]</f>
        <v>0</v>
      </c>
      <c r="Q938" s="34"/>
      <c r="R938" s="34">
        <f>Таблица1[[#This Row],[Сумма 
Продажа]]-Таблица1[[#This Row],[Сумма 
Приход]]-Таблица1[[#This Row],[Авто услу ]]</f>
        <v>0</v>
      </c>
      <c r="S938" s="34"/>
      <c r="T938" s="34">
        <f>Таблица1[[#This Row],[Сумма 
Продажа]]-IF(Таблица1[[#This Row],[Расход 
Авто]]="Клиент",N(Таблица1[[#This Row],[Авто услу ]]),0)</f>
        <v>0</v>
      </c>
      <c r="U9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8" s="265" t="str">
        <f>IFERROR(INDEX(Мижозлар[Агент],MATCH($D938,Мижозлар[Расмий ном],0)),"")</f>
        <v/>
      </c>
    </row>
    <row r="939" spans="1:23" ht="14.25" x14ac:dyDescent="0.2">
      <c r="A939" s="21"/>
      <c r="B939" s="135"/>
      <c r="C939" s="141"/>
      <c r="D939" s="141"/>
      <c r="E939" s="136"/>
      <c r="F939" s="135"/>
      <c r="G939" s="34"/>
      <c r="H939" s="142"/>
      <c r="I939" s="34"/>
      <c r="J939" s="34">
        <f>Таблица1[[#This Row],[Блок
 Куб]]*Таблица1[[#This Row],[Цена 
Приход]]</f>
        <v>0</v>
      </c>
      <c r="K939" s="34"/>
      <c r="L939" s="34"/>
      <c r="M939" s="34">
        <f>Таблица1[[#This Row],[Поддон
Шт]]*Таблица1[[#This Row],[Цена
Поддон]]</f>
        <v>0</v>
      </c>
      <c r="N939" s="34">
        <f>Таблица1[[#This Row],[Сумма 
Приход]]+Таблица1[[#This Row],[Сумма Поддон]]</f>
        <v>0</v>
      </c>
      <c r="O939" s="34"/>
      <c r="P939" s="34">
        <f>Таблица1[[#This Row],[Блок
 Куб]]*Таблица1[[#This Row],[Цена
 Продажа]]</f>
        <v>0</v>
      </c>
      <c r="Q939" s="34"/>
      <c r="R939" s="34">
        <f>Таблица1[[#This Row],[Сумма 
Продажа]]-Таблица1[[#This Row],[Сумма 
Приход]]-Таблица1[[#This Row],[Авто услу ]]</f>
        <v>0</v>
      </c>
      <c r="S939" s="34"/>
      <c r="T939" s="34">
        <f>Таблица1[[#This Row],[Сумма 
Продажа]]-IF(Таблица1[[#This Row],[Расход 
Авто]]="Клиент",N(Таблица1[[#This Row],[Авто услу ]]),0)</f>
        <v>0</v>
      </c>
      <c r="U9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39" s="265" t="str">
        <f>IFERROR(INDEX(Мижозлар[Агент],MATCH($D939,Мижозлар[Расмий ном],0)),"")</f>
        <v/>
      </c>
    </row>
    <row r="940" spans="1:23" ht="14.25" x14ac:dyDescent="0.2">
      <c r="A940" s="21"/>
      <c r="B940" s="135"/>
      <c r="C940" s="141"/>
      <c r="D940" s="141"/>
      <c r="E940" s="136"/>
      <c r="F940" s="135"/>
      <c r="G940" s="34"/>
      <c r="H940" s="142"/>
      <c r="I940" s="34"/>
      <c r="J940" s="34">
        <f>Таблица1[[#This Row],[Блок
 Куб]]*Таблица1[[#This Row],[Цена 
Приход]]</f>
        <v>0</v>
      </c>
      <c r="K940" s="34"/>
      <c r="L940" s="34"/>
      <c r="M940" s="34">
        <f>Таблица1[[#This Row],[Поддон
Шт]]*Таблица1[[#This Row],[Цена
Поддон]]</f>
        <v>0</v>
      </c>
      <c r="N940" s="34">
        <f>Таблица1[[#This Row],[Сумма 
Приход]]+Таблица1[[#This Row],[Сумма Поддон]]</f>
        <v>0</v>
      </c>
      <c r="O940" s="34"/>
      <c r="P940" s="34">
        <f>Таблица1[[#This Row],[Блок
 Куб]]*Таблица1[[#This Row],[Цена
 Продажа]]</f>
        <v>0</v>
      </c>
      <c r="Q940" s="34"/>
      <c r="R940" s="34">
        <f>Таблица1[[#This Row],[Сумма 
Продажа]]-Таблица1[[#This Row],[Сумма 
Приход]]-Таблица1[[#This Row],[Авто услу ]]</f>
        <v>0</v>
      </c>
      <c r="S940" s="34"/>
      <c r="T940" s="34">
        <f>Таблица1[[#This Row],[Сумма 
Продажа]]-IF(Таблица1[[#This Row],[Расход 
Авто]]="Клиент",N(Таблица1[[#This Row],[Авто услу ]]),0)</f>
        <v>0</v>
      </c>
      <c r="U9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0" s="265" t="str">
        <f>IFERROR(INDEX(Мижозлар[Агент],MATCH($D940,Мижозлар[Расмий ном],0)),"")</f>
        <v/>
      </c>
    </row>
    <row r="941" spans="1:23" ht="14.25" x14ac:dyDescent="0.2">
      <c r="A941" s="21"/>
      <c r="B941" s="135"/>
      <c r="C941" s="141"/>
      <c r="D941" s="141"/>
      <c r="E941" s="136"/>
      <c r="F941" s="135"/>
      <c r="G941" s="34"/>
      <c r="H941" s="142"/>
      <c r="I941" s="34"/>
      <c r="J941" s="34">
        <f>Таблица1[[#This Row],[Блок
 Куб]]*Таблица1[[#This Row],[Цена 
Приход]]</f>
        <v>0</v>
      </c>
      <c r="K941" s="34"/>
      <c r="L941" s="34"/>
      <c r="M941" s="34">
        <f>Таблица1[[#This Row],[Поддон
Шт]]*Таблица1[[#This Row],[Цена
Поддон]]</f>
        <v>0</v>
      </c>
      <c r="N941" s="34">
        <f>Таблица1[[#This Row],[Сумма 
Приход]]+Таблица1[[#This Row],[Сумма Поддон]]</f>
        <v>0</v>
      </c>
      <c r="O941" s="34"/>
      <c r="P941" s="34">
        <f>Таблица1[[#This Row],[Блок
 Куб]]*Таблица1[[#This Row],[Цена
 Продажа]]</f>
        <v>0</v>
      </c>
      <c r="Q941" s="34"/>
      <c r="R941" s="34">
        <f>Таблица1[[#This Row],[Сумма 
Продажа]]-Таблица1[[#This Row],[Сумма 
Приход]]-Таблица1[[#This Row],[Авто услу ]]</f>
        <v>0</v>
      </c>
      <c r="S941" s="34"/>
      <c r="T941" s="34">
        <f>Таблица1[[#This Row],[Сумма 
Продажа]]-IF(Таблица1[[#This Row],[Расход 
Авто]]="Клиент",N(Таблица1[[#This Row],[Авто услу ]]),0)</f>
        <v>0</v>
      </c>
      <c r="U9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1" s="265" t="str">
        <f>IFERROR(INDEX(Мижозлар[Агент],MATCH($D941,Мижозлар[Расмий ном],0)),"")</f>
        <v/>
      </c>
    </row>
    <row r="942" spans="1:23" ht="14.25" x14ac:dyDescent="0.2">
      <c r="A942" s="21"/>
      <c r="B942" s="135"/>
      <c r="C942" s="141"/>
      <c r="D942" s="141"/>
      <c r="E942" s="136"/>
      <c r="F942" s="135"/>
      <c r="G942" s="34"/>
      <c r="H942" s="142"/>
      <c r="I942" s="34"/>
      <c r="J942" s="34">
        <f>Таблица1[[#This Row],[Блок
 Куб]]*Таблица1[[#This Row],[Цена 
Приход]]</f>
        <v>0</v>
      </c>
      <c r="K942" s="34"/>
      <c r="L942" s="34"/>
      <c r="M942" s="34">
        <f>Таблица1[[#This Row],[Поддон
Шт]]*Таблица1[[#This Row],[Цена
Поддон]]</f>
        <v>0</v>
      </c>
      <c r="N942" s="34">
        <f>Таблица1[[#This Row],[Сумма 
Приход]]+Таблица1[[#This Row],[Сумма Поддон]]</f>
        <v>0</v>
      </c>
      <c r="O942" s="34"/>
      <c r="P942" s="34">
        <f>Таблица1[[#This Row],[Блок
 Куб]]*Таблица1[[#This Row],[Цена
 Продажа]]</f>
        <v>0</v>
      </c>
      <c r="Q942" s="34"/>
      <c r="R942" s="34">
        <f>Таблица1[[#This Row],[Сумма 
Продажа]]-Таблица1[[#This Row],[Сумма 
Приход]]-Таблица1[[#This Row],[Авто услу ]]</f>
        <v>0</v>
      </c>
      <c r="S942" s="34"/>
      <c r="T942" s="34">
        <f>Таблица1[[#This Row],[Сумма 
Продажа]]-IF(Таблица1[[#This Row],[Расход 
Авто]]="Клиент",N(Таблица1[[#This Row],[Авто услу ]]),0)</f>
        <v>0</v>
      </c>
      <c r="U9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2" s="265" t="str">
        <f>IFERROR(INDEX(Мижозлар[Агент],MATCH($D942,Мижозлар[Расмий ном],0)),"")</f>
        <v/>
      </c>
    </row>
    <row r="943" spans="1:23" ht="14.25" x14ac:dyDescent="0.2">
      <c r="A943" s="21"/>
      <c r="B943" s="135"/>
      <c r="C943" s="141"/>
      <c r="D943" s="141"/>
      <c r="E943" s="136"/>
      <c r="F943" s="135"/>
      <c r="G943" s="34"/>
      <c r="H943" s="142"/>
      <c r="I943" s="34"/>
      <c r="J943" s="34">
        <f>Таблица1[[#This Row],[Блок
 Куб]]*Таблица1[[#This Row],[Цена 
Приход]]</f>
        <v>0</v>
      </c>
      <c r="K943" s="34"/>
      <c r="L943" s="34"/>
      <c r="M943" s="34">
        <f>Таблица1[[#This Row],[Поддон
Шт]]*Таблица1[[#This Row],[Цена
Поддон]]</f>
        <v>0</v>
      </c>
      <c r="N943" s="34">
        <f>Таблица1[[#This Row],[Сумма 
Приход]]+Таблица1[[#This Row],[Сумма Поддон]]</f>
        <v>0</v>
      </c>
      <c r="O943" s="34"/>
      <c r="P943" s="34">
        <f>Таблица1[[#This Row],[Блок
 Куб]]*Таблица1[[#This Row],[Цена
 Продажа]]</f>
        <v>0</v>
      </c>
      <c r="Q943" s="34"/>
      <c r="R943" s="34">
        <f>Таблица1[[#This Row],[Сумма 
Продажа]]-Таблица1[[#This Row],[Сумма 
Приход]]-Таблица1[[#This Row],[Авто услу ]]</f>
        <v>0</v>
      </c>
      <c r="S943" s="34"/>
      <c r="T943" s="34">
        <f>Таблица1[[#This Row],[Сумма 
Продажа]]-IF(Таблица1[[#This Row],[Расход 
Авто]]="Клиент",N(Таблица1[[#This Row],[Авто услу ]]),0)</f>
        <v>0</v>
      </c>
      <c r="U9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3" s="265" t="str">
        <f>IFERROR(INDEX(Мижозлар[Агент],MATCH($D943,Мижозлар[Расмий ном],0)),"")</f>
        <v/>
      </c>
    </row>
    <row r="944" spans="1:23" ht="14.25" x14ac:dyDescent="0.2">
      <c r="A944" s="21"/>
      <c r="B944" s="135"/>
      <c r="C944" s="141"/>
      <c r="D944" s="141"/>
      <c r="E944" s="136"/>
      <c r="F944" s="135"/>
      <c r="G944" s="34"/>
      <c r="H944" s="142"/>
      <c r="I944" s="34"/>
      <c r="J944" s="34">
        <f>Таблица1[[#This Row],[Блок
 Куб]]*Таблица1[[#This Row],[Цена 
Приход]]</f>
        <v>0</v>
      </c>
      <c r="K944" s="34"/>
      <c r="L944" s="34"/>
      <c r="M944" s="34">
        <f>Таблица1[[#This Row],[Поддон
Шт]]*Таблица1[[#This Row],[Цена
Поддон]]</f>
        <v>0</v>
      </c>
      <c r="N944" s="34">
        <f>Таблица1[[#This Row],[Сумма 
Приход]]+Таблица1[[#This Row],[Сумма Поддон]]</f>
        <v>0</v>
      </c>
      <c r="O944" s="34"/>
      <c r="P944" s="34">
        <f>Таблица1[[#This Row],[Блок
 Куб]]*Таблица1[[#This Row],[Цена
 Продажа]]</f>
        <v>0</v>
      </c>
      <c r="Q944" s="34"/>
      <c r="R944" s="34">
        <f>Таблица1[[#This Row],[Сумма 
Продажа]]-Таблица1[[#This Row],[Сумма 
Приход]]-Таблица1[[#This Row],[Авто услу ]]</f>
        <v>0</v>
      </c>
      <c r="S944" s="34"/>
      <c r="T944" s="34">
        <f>Таблица1[[#This Row],[Сумма 
Продажа]]-IF(Таблица1[[#This Row],[Расход 
Авто]]="Клиент",N(Таблица1[[#This Row],[Авто услу ]]),0)</f>
        <v>0</v>
      </c>
      <c r="U9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4" s="265" t="str">
        <f>IFERROR(INDEX(Мижозлар[Агент],MATCH($D944,Мижозлар[Расмий ном],0)),"")</f>
        <v/>
      </c>
    </row>
    <row r="945" spans="1:23" ht="14.25" x14ac:dyDescent="0.2">
      <c r="A945" s="21"/>
      <c r="B945" s="135"/>
      <c r="C945" s="141"/>
      <c r="D945" s="141"/>
      <c r="E945" s="136"/>
      <c r="F945" s="135"/>
      <c r="G945" s="34"/>
      <c r="H945" s="142"/>
      <c r="I945" s="34"/>
      <c r="J945" s="34">
        <f>Таблица1[[#This Row],[Блок
 Куб]]*Таблица1[[#This Row],[Цена 
Приход]]</f>
        <v>0</v>
      </c>
      <c r="K945" s="34"/>
      <c r="L945" s="34"/>
      <c r="M945" s="34">
        <f>Таблица1[[#This Row],[Поддон
Шт]]*Таблица1[[#This Row],[Цена
Поддон]]</f>
        <v>0</v>
      </c>
      <c r="N945" s="34">
        <f>Таблица1[[#This Row],[Сумма 
Приход]]+Таблица1[[#This Row],[Сумма Поддон]]</f>
        <v>0</v>
      </c>
      <c r="O945" s="34"/>
      <c r="P945" s="34">
        <f>Таблица1[[#This Row],[Блок
 Куб]]*Таблица1[[#This Row],[Цена
 Продажа]]</f>
        <v>0</v>
      </c>
      <c r="Q945" s="34"/>
      <c r="R945" s="34">
        <f>Таблица1[[#This Row],[Сумма 
Продажа]]-Таблица1[[#This Row],[Сумма 
Приход]]-Таблица1[[#This Row],[Авто услу ]]</f>
        <v>0</v>
      </c>
      <c r="S945" s="34"/>
      <c r="T945" s="34">
        <f>Таблица1[[#This Row],[Сумма 
Продажа]]-IF(Таблица1[[#This Row],[Расход 
Авто]]="Клиент",N(Таблица1[[#This Row],[Авто услу ]]),0)</f>
        <v>0</v>
      </c>
      <c r="U9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5" s="265" t="str">
        <f>IFERROR(INDEX(Мижозлар[Агент],MATCH($D945,Мижозлар[Расмий ном],0)),"")</f>
        <v/>
      </c>
    </row>
    <row r="946" spans="1:23" ht="14.25" x14ac:dyDescent="0.2">
      <c r="A946" s="21"/>
      <c r="B946" s="135"/>
      <c r="C946" s="141"/>
      <c r="D946" s="141"/>
      <c r="E946" s="136"/>
      <c r="F946" s="135"/>
      <c r="G946" s="34"/>
      <c r="H946" s="142"/>
      <c r="I946" s="34"/>
      <c r="J946" s="34">
        <f>Таблица1[[#This Row],[Блок
 Куб]]*Таблица1[[#This Row],[Цена 
Приход]]</f>
        <v>0</v>
      </c>
      <c r="K946" s="34"/>
      <c r="L946" s="34"/>
      <c r="M946" s="34">
        <f>Таблица1[[#This Row],[Поддон
Шт]]*Таблица1[[#This Row],[Цена
Поддон]]</f>
        <v>0</v>
      </c>
      <c r="N946" s="34">
        <f>Таблица1[[#This Row],[Сумма 
Приход]]+Таблица1[[#This Row],[Сумма Поддон]]</f>
        <v>0</v>
      </c>
      <c r="O946" s="34"/>
      <c r="P946" s="34">
        <f>Таблица1[[#This Row],[Блок
 Куб]]*Таблица1[[#This Row],[Цена
 Продажа]]</f>
        <v>0</v>
      </c>
      <c r="Q946" s="34"/>
      <c r="R946" s="34">
        <f>Таблица1[[#This Row],[Сумма 
Продажа]]-Таблица1[[#This Row],[Сумма 
Приход]]-Таблица1[[#This Row],[Авто услу ]]</f>
        <v>0</v>
      </c>
      <c r="S946" s="34"/>
      <c r="T946" s="34">
        <f>Таблица1[[#This Row],[Сумма 
Продажа]]-IF(Таблица1[[#This Row],[Расход 
Авто]]="Клиент",N(Таблица1[[#This Row],[Авто услу ]]),0)</f>
        <v>0</v>
      </c>
      <c r="U9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6" s="265" t="str">
        <f>IFERROR(INDEX(Мижозлар[Агент],MATCH($D946,Мижозлар[Расмий ном],0)),"")</f>
        <v/>
      </c>
    </row>
    <row r="947" spans="1:23" ht="14.25" x14ac:dyDescent="0.2">
      <c r="A947" s="21"/>
      <c r="B947" s="135"/>
      <c r="C947" s="141"/>
      <c r="D947" s="141"/>
      <c r="E947" s="136"/>
      <c r="F947" s="135"/>
      <c r="G947" s="34"/>
      <c r="H947" s="142"/>
      <c r="I947" s="34"/>
      <c r="J947" s="34">
        <f>Таблица1[[#This Row],[Блок
 Куб]]*Таблица1[[#This Row],[Цена 
Приход]]</f>
        <v>0</v>
      </c>
      <c r="K947" s="34"/>
      <c r="L947" s="34"/>
      <c r="M947" s="34">
        <f>Таблица1[[#This Row],[Поддон
Шт]]*Таблица1[[#This Row],[Цена
Поддон]]</f>
        <v>0</v>
      </c>
      <c r="N947" s="34">
        <f>Таблица1[[#This Row],[Сумма 
Приход]]+Таблица1[[#This Row],[Сумма Поддон]]</f>
        <v>0</v>
      </c>
      <c r="O947" s="34"/>
      <c r="P947" s="34">
        <f>Таблица1[[#This Row],[Блок
 Куб]]*Таблица1[[#This Row],[Цена
 Продажа]]</f>
        <v>0</v>
      </c>
      <c r="Q947" s="34"/>
      <c r="R947" s="34">
        <f>Таблица1[[#This Row],[Сумма 
Продажа]]-Таблица1[[#This Row],[Сумма 
Приход]]-Таблица1[[#This Row],[Авто услу ]]</f>
        <v>0</v>
      </c>
      <c r="S947" s="34"/>
      <c r="T947" s="34">
        <f>Таблица1[[#This Row],[Сумма 
Продажа]]-IF(Таблица1[[#This Row],[Расход 
Авто]]="Клиент",N(Таблица1[[#This Row],[Авто услу ]]),0)</f>
        <v>0</v>
      </c>
      <c r="U9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7" s="265" t="str">
        <f>IFERROR(INDEX(Мижозлар[Агент],MATCH($D947,Мижозлар[Расмий ном],0)),"")</f>
        <v/>
      </c>
    </row>
    <row r="948" spans="1:23" ht="14.25" x14ac:dyDescent="0.2">
      <c r="A948" s="21"/>
      <c r="B948" s="135"/>
      <c r="C948" s="141"/>
      <c r="D948" s="141"/>
      <c r="E948" s="136"/>
      <c r="F948" s="135"/>
      <c r="G948" s="34"/>
      <c r="H948" s="142"/>
      <c r="I948" s="34"/>
      <c r="J948" s="34">
        <f>Таблица1[[#This Row],[Блок
 Куб]]*Таблица1[[#This Row],[Цена 
Приход]]</f>
        <v>0</v>
      </c>
      <c r="K948" s="34"/>
      <c r="L948" s="34"/>
      <c r="M948" s="34">
        <f>Таблица1[[#This Row],[Поддон
Шт]]*Таблица1[[#This Row],[Цена
Поддон]]</f>
        <v>0</v>
      </c>
      <c r="N948" s="34">
        <f>Таблица1[[#This Row],[Сумма 
Приход]]+Таблица1[[#This Row],[Сумма Поддон]]</f>
        <v>0</v>
      </c>
      <c r="O948" s="34"/>
      <c r="P948" s="34">
        <f>Таблица1[[#This Row],[Блок
 Куб]]*Таблица1[[#This Row],[Цена
 Продажа]]</f>
        <v>0</v>
      </c>
      <c r="Q948" s="34"/>
      <c r="R948" s="34">
        <f>Таблица1[[#This Row],[Сумма 
Продажа]]-Таблица1[[#This Row],[Сумма 
Приход]]-Таблица1[[#This Row],[Авто услу ]]</f>
        <v>0</v>
      </c>
      <c r="S948" s="34"/>
      <c r="T948" s="34">
        <f>Таблица1[[#This Row],[Сумма 
Продажа]]-IF(Таблица1[[#This Row],[Расход 
Авто]]="Клиент",N(Таблица1[[#This Row],[Авто услу ]]),0)</f>
        <v>0</v>
      </c>
      <c r="U9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8" s="265" t="str">
        <f>IFERROR(INDEX(Мижозлар[Агент],MATCH($D948,Мижозлар[Расмий ном],0)),"")</f>
        <v/>
      </c>
    </row>
    <row r="949" spans="1:23" ht="14.25" x14ac:dyDescent="0.2">
      <c r="A949" s="21"/>
      <c r="B949" s="135"/>
      <c r="C949" s="141"/>
      <c r="D949" s="141"/>
      <c r="E949" s="136"/>
      <c r="F949" s="135"/>
      <c r="G949" s="34"/>
      <c r="H949" s="142"/>
      <c r="I949" s="34"/>
      <c r="J949" s="34">
        <f>Таблица1[[#This Row],[Блок
 Куб]]*Таблица1[[#This Row],[Цена 
Приход]]</f>
        <v>0</v>
      </c>
      <c r="K949" s="34"/>
      <c r="L949" s="34"/>
      <c r="M949" s="34">
        <f>Таблица1[[#This Row],[Поддон
Шт]]*Таблица1[[#This Row],[Цена
Поддон]]</f>
        <v>0</v>
      </c>
      <c r="N949" s="34">
        <f>Таблица1[[#This Row],[Сумма 
Приход]]+Таблица1[[#This Row],[Сумма Поддон]]</f>
        <v>0</v>
      </c>
      <c r="O949" s="34"/>
      <c r="P949" s="34">
        <f>Таблица1[[#This Row],[Блок
 Куб]]*Таблица1[[#This Row],[Цена
 Продажа]]</f>
        <v>0</v>
      </c>
      <c r="Q949" s="34"/>
      <c r="R949" s="34">
        <f>Таблица1[[#This Row],[Сумма 
Продажа]]-Таблица1[[#This Row],[Сумма 
Приход]]-Таблица1[[#This Row],[Авто услу ]]</f>
        <v>0</v>
      </c>
      <c r="S949" s="34"/>
      <c r="T949" s="34">
        <f>Таблица1[[#This Row],[Сумма 
Продажа]]-IF(Таблица1[[#This Row],[Расход 
Авто]]="Клиент",N(Таблица1[[#This Row],[Авто услу ]]),0)</f>
        <v>0</v>
      </c>
      <c r="U9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49" s="265" t="str">
        <f>IFERROR(INDEX(Мижозлар[Агент],MATCH($D949,Мижозлар[Расмий ном],0)),"")</f>
        <v/>
      </c>
    </row>
    <row r="950" spans="1:23" ht="14.25" x14ac:dyDescent="0.2">
      <c r="A950" s="21"/>
      <c r="B950" s="135"/>
      <c r="C950" s="141"/>
      <c r="D950" s="141"/>
      <c r="E950" s="136"/>
      <c r="F950" s="135"/>
      <c r="G950" s="34"/>
      <c r="H950" s="142"/>
      <c r="I950" s="34"/>
      <c r="J950" s="34">
        <f>Таблица1[[#This Row],[Блок
 Куб]]*Таблица1[[#This Row],[Цена 
Приход]]</f>
        <v>0</v>
      </c>
      <c r="K950" s="34"/>
      <c r="L950" s="34"/>
      <c r="M950" s="34">
        <f>Таблица1[[#This Row],[Поддон
Шт]]*Таблица1[[#This Row],[Цена
Поддон]]</f>
        <v>0</v>
      </c>
      <c r="N950" s="34">
        <f>Таблица1[[#This Row],[Сумма 
Приход]]+Таблица1[[#This Row],[Сумма Поддон]]</f>
        <v>0</v>
      </c>
      <c r="O950" s="34"/>
      <c r="P950" s="34">
        <f>Таблица1[[#This Row],[Блок
 Куб]]*Таблица1[[#This Row],[Цена
 Продажа]]</f>
        <v>0</v>
      </c>
      <c r="Q950" s="34"/>
      <c r="R950" s="34">
        <f>Таблица1[[#This Row],[Сумма 
Продажа]]-Таблица1[[#This Row],[Сумма 
Приход]]-Таблица1[[#This Row],[Авто услу ]]</f>
        <v>0</v>
      </c>
      <c r="S950" s="34"/>
      <c r="T950" s="34">
        <f>Таблица1[[#This Row],[Сумма 
Продажа]]-IF(Таблица1[[#This Row],[Расход 
Авто]]="Клиент",N(Таблица1[[#This Row],[Авто услу ]]),0)</f>
        <v>0</v>
      </c>
      <c r="U9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0" s="265" t="str">
        <f>IFERROR(INDEX(Мижозлар[Агент],MATCH($D950,Мижозлар[Расмий ном],0)),"")</f>
        <v/>
      </c>
    </row>
    <row r="951" spans="1:23" ht="14.25" x14ac:dyDescent="0.2">
      <c r="A951" s="21"/>
      <c r="B951" s="135"/>
      <c r="C951" s="141"/>
      <c r="D951" s="141"/>
      <c r="E951" s="136"/>
      <c r="F951" s="135"/>
      <c r="G951" s="34"/>
      <c r="H951" s="142"/>
      <c r="I951" s="34"/>
      <c r="J951" s="34">
        <f>Таблица1[[#This Row],[Блок
 Куб]]*Таблица1[[#This Row],[Цена 
Приход]]</f>
        <v>0</v>
      </c>
      <c r="K951" s="34"/>
      <c r="L951" s="34"/>
      <c r="M951" s="34">
        <f>Таблица1[[#This Row],[Поддон
Шт]]*Таблица1[[#This Row],[Цена
Поддон]]</f>
        <v>0</v>
      </c>
      <c r="N951" s="34">
        <f>Таблица1[[#This Row],[Сумма 
Приход]]+Таблица1[[#This Row],[Сумма Поддон]]</f>
        <v>0</v>
      </c>
      <c r="O951" s="34"/>
      <c r="P951" s="34">
        <f>Таблица1[[#This Row],[Блок
 Куб]]*Таблица1[[#This Row],[Цена
 Продажа]]</f>
        <v>0</v>
      </c>
      <c r="Q951" s="34"/>
      <c r="R951" s="34">
        <f>Таблица1[[#This Row],[Сумма 
Продажа]]-Таблица1[[#This Row],[Сумма 
Приход]]-Таблица1[[#This Row],[Авто услу ]]</f>
        <v>0</v>
      </c>
      <c r="S951" s="34"/>
      <c r="T951" s="34">
        <f>Таблица1[[#This Row],[Сумма 
Продажа]]-IF(Таблица1[[#This Row],[Расход 
Авто]]="Клиент",N(Таблица1[[#This Row],[Авто услу ]]),0)</f>
        <v>0</v>
      </c>
      <c r="U9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1" s="265" t="str">
        <f>IFERROR(INDEX(Мижозлар[Агент],MATCH($D951,Мижозлар[Расмий ном],0)),"")</f>
        <v/>
      </c>
    </row>
    <row r="952" spans="1:23" ht="14.25" x14ac:dyDescent="0.2">
      <c r="A952" s="21"/>
      <c r="B952" s="135"/>
      <c r="C952" s="141"/>
      <c r="D952" s="141"/>
      <c r="E952" s="136"/>
      <c r="F952" s="135"/>
      <c r="G952" s="34"/>
      <c r="H952" s="142"/>
      <c r="I952" s="34"/>
      <c r="J952" s="34">
        <f>Таблица1[[#This Row],[Блок
 Куб]]*Таблица1[[#This Row],[Цена 
Приход]]</f>
        <v>0</v>
      </c>
      <c r="K952" s="34"/>
      <c r="L952" s="34"/>
      <c r="M952" s="34">
        <f>Таблица1[[#This Row],[Поддон
Шт]]*Таблица1[[#This Row],[Цена
Поддон]]</f>
        <v>0</v>
      </c>
      <c r="N952" s="34">
        <f>Таблица1[[#This Row],[Сумма 
Приход]]+Таблица1[[#This Row],[Сумма Поддон]]</f>
        <v>0</v>
      </c>
      <c r="O952" s="34"/>
      <c r="P952" s="34">
        <f>Таблица1[[#This Row],[Блок
 Куб]]*Таблица1[[#This Row],[Цена
 Продажа]]</f>
        <v>0</v>
      </c>
      <c r="Q952" s="34"/>
      <c r="R952" s="34">
        <f>Таблица1[[#This Row],[Сумма 
Продажа]]-Таблица1[[#This Row],[Сумма 
Приход]]-Таблица1[[#This Row],[Авто услу ]]</f>
        <v>0</v>
      </c>
      <c r="S952" s="34"/>
      <c r="T952" s="34">
        <f>Таблица1[[#This Row],[Сумма 
Продажа]]-IF(Таблица1[[#This Row],[Расход 
Авто]]="Клиент",N(Таблица1[[#This Row],[Авто услу ]]),0)</f>
        <v>0</v>
      </c>
      <c r="U9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2" s="265" t="str">
        <f>IFERROR(INDEX(Мижозлар[Агент],MATCH($D952,Мижозлар[Расмий ном],0)),"")</f>
        <v/>
      </c>
    </row>
    <row r="953" spans="1:23" ht="14.25" x14ac:dyDescent="0.2">
      <c r="A953" s="21"/>
      <c r="B953" s="135"/>
      <c r="C953" s="141"/>
      <c r="D953" s="141"/>
      <c r="E953" s="136"/>
      <c r="F953" s="135"/>
      <c r="G953" s="34"/>
      <c r="H953" s="142"/>
      <c r="I953" s="34"/>
      <c r="J953" s="34">
        <f>Таблица1[[#This Row],[Блок
 Куб]]*Таблица1[[#This Row],[Цена 
Приход]]</f>
        <v>0</v>
      </c>
      <c r="K953" s="34"/>
      <c r="L953" s="34"/>
      <c r="M953" s="34">
        <f>Таблица1[[#This Row],[Поддон
Шт]]*Таблица1[[#This Row],[Цена
Поддон]]</f>
        <v>0</v>
      </c>
      <c r="N953" s="34">
        <f>Таблица1[[#This Row],[Сумма 
Приход]]+Таблица1[[#This Row],[Сумма Поддон]]</f>
        <v>0</v>
      </c>
      <c r="O953" s="34"/>
      <c r="P953" s="34">
        <f>Таблица1[[#This Row],[Блок
 Куб]]*Таблица1[[#This Row],[Цена
 Продажа]]</f>
        <v>0</v>
      </c>
      <c r="Q953" s="34"/>
      <c r="R953" s="34">
        <f>Таблица1[[#This Row],[Сумма 
Продажа]]-Таблица1[[#This Row],[Сумма 
Приход]]-Таблица1[[#This Row],[Авто услу ]]</f>
        <v>0</v>
      </c>
      <c r="S953" s="34"/>
      <c r="T953" s="34">
        <f>Таблица1[[#This Row],[Сумма 
Продажа]]-IF(Таблица1[[#This Row],[Расход 
Авто]]="Клиент",N(Таблица1[[#This Row],[Авто услу ]]),0)</f>
        <v>0</v>
      </c>
      <c r="U9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3" s="265" t="str">
        <f>IFERROR(INDEX(Мижозлар[Агент],MATCH($D953,Мижозлар[Расмий ном],0)),"")</f>
        <v/>
      </c>
    </row>
    <row r="954" spans="1:23" ht="14.25" x14ac:dyDescent="0.2">
      <c r="A954" s="21"/>
      <c r="B954" s="135"/>
      <c r="C954" s="141"/>
      <c r="D954" s="141"/>
      <c r="E954" s="136"/>
      <c r="F954" s="135"/>
      <c r="G954" s="34"/>
      <c r="H954" s="142"/>
      <c r="I954" s="34"/>
      <c r="J954" s="34">
        <f>Таблица1[[#This Row],[Блок
 Куб]]*Таблица1[[#This Row],[Цена 
Приход]]</f>
        <v>0</v>
      </c>
      <c r="K954" s="34"/>
      <c r="L954" s="34"/>
      <c r="M954" s="34">
        <f>Таблица1[[#This Row],[Поддон
Шт]]*Таблица1[[#This Row],[Цена
Поддон]]</f>
        <v>0</v>
      </c>
      <c r="N954" s="34">
        <f>Таблица1[[#This Row],[Сумма 
Приход]]+Таблица1[[#This Row],[Сумма Поддон]]</f>
        <v>0</v>
      </c>
      <c r="O954" s="34"/>
      <c r="P954" s="34">
        <f>Таблица1[[#This Row],[Блок
 Куб]]*Таблица1[[#This Row],[Цена
 Продажа]]</f>
        <v>0</v>
      </c>
      <c r="Q954" s="34"/>
      <c r="R954" s="34">
        <f>Таблица1[[#This Row],[Сумма 
Продажа]]-Таблица1[[#This Row],[Сумма 
Приход]]-Таблица1[[#This Row],[Авто услу ]]</f>
        <v>0</v>
      </c>
      <c r="S954" s="34"/>
      <c r="T954" s="34">
        <f>Таблица1[[#This Row],[Сумма 
Продажа]]-IF(Таблица1[[#This Row],[Расход 
Авто]]="Клиент",N(Таблица1[[#This Row],[Авто услу ]]),0)</f>
        <v>0</v>
      </c>
      <c r="U9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4" s="265" t="str">
        <f>IFERROR(INDEX(Мижозлар[Агент],MATCH($D954,Мижозлар[Расмий ном],0)),"")</f>
        <v/>
      </c>
    </row>
    <row r="955" spans="1:23" ht="14.25" x14ac:dyDescent="0.2">
      <c r="A955" s="21"/>
      <c r="B955" s="135"/>
      <c r="C955" s="141"/>
      <c r="D955" s="141"/>
      <c r="E955" s="136"/>
      <c r="F955" s="135"/>
      <c r="G955" s="34"/>
      <c r="H955" s="142"/>
      <c r="I955" s="34"/>
      <c r="J955" s="34">
        <f>Таблица1[[#This Row],[Блок
 Куб]]*Таблица1[[#This Row],[Цена 
Приход]]</f>
        <v>0</v>
      </c>
      <c r="K955" s="34"/>
      <c r="L955" s="34"/>
      <c r="M955" s="34">
        <f>Таблица1[[#This Row],[Поддон
Шт]]*Таблица1[[#This Row],[Цена
Поддон]]</f>
        <v>0</v>
      </c>
      <c r="N955" s="34">
        <f>Таблица1[[#This Row],[Сумма 
Приход]]+Таблица1[[#This Row],[Сумма Поддон]]</f>
        <v>0</v>
      </c>
      <c r="O955" s="34"/>
      <c r="P955" s="34">
        <f>Таблица1[[#This Row],[Блок
 Куб]]*Таблица1[[#This Row],[Цена
 Продажа]]</f>
        <v>0</v>
      </c>
      <c r="Q955" s="34"/>
      <c r="R955" s="34">
        <f>Таблица1[[#This Row],[Сумма 
Продажа]]-Таблица1[[#This Row],[Сумма 
Приход]]-Таблица1[[#This Row],[Авто услу ]]</f>
        <v>0</v>
      </c>
      <c r="S955" s="34"/>
      <c r="T955" s="34">
        <f>Таблица1[[#This Row],[Сумма 
Продажа]]-IF(Таблица1[[#This Row],[Расход 
Авто]]="Клиент",N(Таблица1[[#This Row],[Авто услу ]]),0)</f>
        <v>0</v>
      </c>
      <c r="U9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5" s="265" t="str">
        <f>IFERROR(INDEX(Мижозлар[Агент],MATCH($D955,Мижозлар[Расмий ном],0)),"")</f>
        <v/>
      </c>
    </row>
    <row r="956" spans="1:23" ht="14.25" x14ac:dyDescent="0.2">
      <c r="A956" s="21"/>
      <c r="B956" s="135"/>
      <c r="C956" s="141"/>
      <c r="D956" s="141"/>
      <c r="E956" s="136"/>
      <c r="F956" s="135"/>
      <c r="G956" s="34"/>
      <c r="H956" s="142"/>
      <c r="I956" s="34"/>
      <c r="J956" s="34">
        <f>Таблица1[[#This Row],[Блок
 Куб]]*Таблица1[[#This Row],[Цена 
Приход]]</f>
        <v>0</v>
      </c>
      <c r="K956" s="34"/>
      <c r="L956" s="34"/>
      <c r="M956" s="34">
        <f>Таблица1[[#This Row],[Поддон
Шт]]*Таблица1[[#This Row],[Цена
Поддон]]</f>
        <v>0</v>
      </c>
      <c r="N956" s="34">
        <f>Таблица1[[#This Row],[Сумма 
Приход]]+Таблица1[[#This Row],[Сумма Поддон]]</f>
        <v>0</v>
      </c>
      <c r="O956" s="34"/>
      <c r="P956" s="34">
        <f>Таблица1[[#This Row],[Блок
 Куб]]*Таблица1[[#This Row],[Цена
 Продажа]]</f>
        <v>0</v>
      </c>
      <c r="Q956" s="34"/>
      <c r="R956" s="34">
        <f>Таблица1[[#This Row],[Сумма 
Продажа]]-Таблица1[[#This Row],[Сумма 
Приход]]-Таблица1[[#This Row],[Авто услу ]]</f>
        <v>0</v>
      </c>
      <c r="S956" s="34"/>
      <c r="T956" s="34">
        <f>Таблица1[[#This Row],[Сумма 
Продажа]]-IF(Таблица1[[#This Row],[Расход 
Авто]]="Клиент",N(Таблица1[[#This Row],[Авто услу ]]),0)</f>
        <v>0</v>
      </c>
      <c r="U9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6" s="265" t="str">
        <f>IFERROR(INDEX(Мижозлар[Агент],MATCH($D956,Мижозлар[Расмий ном],0)),"")</f>
        <v/>
      </c>
    </row>
    <row r="957" spans="1:23" ht="14.25" x14ac:dyDescent="0.2">
      <c r="A957" s="21"/>
      <c r="B957" s="135"/>
      <c r="C957" s="141"/>
      <c r="D957" s="141"/>
      <c r="E957" s="136"/>
      <c r="F957" s="135"/>
      <c r="G957" s="34"/>
      <c r="H957" s="142"/>
      <c r="I957" s="34"/>
      <c r="J957" s="34">
        <f>Таблица1[[#This Row],[Блок
 Куб]]*Таблица1[[#This Row],[Цена 
Приход]]</f>
        <v>0</v>
      </c>
      <c r="K957" s="34"/>
      <c r="L957" s="34"/>
      <c r="M957" s="34">
        <f>Таблица1[[#This Row],[Поддон
Шт]]*Таблица1[[#This Row],[Цена
Поддон]]</f>
        <v>0</v>
      </c>
      <c r="N957" s="34">
        <f>Таблица1[[#This Row],[Сумма 
Приход]]+Таблица1[[#This Row],[Сумма Поддон]]</f>
        <v>0</v>
      </c>
      <c r="O957" s="34"/>
      <c r="P957" s="34">
        <f>Таблица1[[#This Row],[Блок
 Куб]]*Таблица1[[#This Row],[Цена
 Продажа]]</f>
        <v>0</v>
      </c>
      <c r="Q957" s="34"/>
      <c r="R957" s="34">
        <f>Таблица1[[#This Row],[Сумма 
Продажа]]-Таблица1[[#This Row],[Сумма 
Приход]]-Таблица1[[#This Row],[Авто услу ]]</f>
        <v>0</v>
      </c>
      <c r="S957" s="34"/>
      <c r="T957" s="34">
        <f>Таблица1[[#This Row],[Сумма 
Продажа]]-IF(Таблица1[[#This Row],[Расход 
Авто]]="Клиент",N(Таблица1[[#This Row],[Авто услу ]]),0)</f>
        <v>0</v>
      </c>
      <c r="U9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7" s="265" t="str">
        <f>IFERROR(INDEX(Мижозлар[Агент],MATCH($D957,Мижозлар[Расмий ном],0)),"")</f>
        <v/>
      </c>
    </row>
    <row r="958" spans="1:23" ht="14.25" x14ac:dyDescent="0.2">
      <c r="A958" s="21"/>
      <c r="B958" s="135"/>
      <c r="C958" s="141"/>
      <c r="D958" s="141"/>
      <c r="E958" s="136"/>
      <c r="F958" s="135"/>
      <c r="G958" s="34"/>
      <c r="H958" s="142"/>
      <c r="I958" s="34"/>
      <c r="J958" s="34">
        <f>Таблица1[[#This Row],[Блок
 Куб]]*Таблица1[[#This Row],[Цена 
Приход]]</f>
        <v>0</v>
      </c>
      <c r="K958" s="34"/>
      <c r="L958" s="34"/>
      <c r="M958" s="34">
        <f>Таблица1[[#This Row],[Поддон
Шт]]*Таблица1[[#This Row],[Цена
Поддон]]</f>
        <v>0</v>
      </c>
      <c r="N958" s="34">
        <f>Таблица1[[#This Row],[Сумма 
Приход]]+Таблица1[[#This Row],[Сумма Поддон]]</f>
        <v>0</v>
      </c>
      <c r="O958" s="34"/>
      <c r="P958" s="34">
        <f>Таблица1[[#This Row],[Блок
 Куб]]*Таблица1[[#This Row],[Цена
 Продажа]]</f>
        <v>0</v>
      </c>
      <c r="Q958" s="34"/>
      <c r="R958" s="34">
        <f>Таблица1[[#This Row],[Сумма 
Продажа]]-Таблица1[[#This Row],[Сумма 
Приход]]-Таблица1[[#This Row],[Авто услу ]]</f>
        <v>0</v>
      </c>
      <c r="S958" s="34"/>
      <c r="T958" s="34">
        <f>Таблица1[[#This Row],[Сумма 
Продажа]]-IF(Таблица1[[#This Row],[Расход 
Авто]]="Клиент",N(Таблица1[[#This Row],[Авто услу ]]),0)</f>
        <v>0</v>
      </c>
      <c r="U9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8" s="265" t="str">
        <f>IFERROR(INDEX(Мижозлар[Агент],MATCH($D958,Мижозлар[Расмий ном],0)),"")</f>
        <v/>
      </c>
    </row>
    <row r="959" spans="1:23" ht="14.25" x14ac:dyDescent="0.2">
      <c r="A959" s="21"/>
      <c r="B959" s="135"/>
      <c r="C959" s="141"/>
      <c r="D959" s="141"/>
      <c r="E959" s="136"/>
      <c r="F959" s="135"/>
      <c r="G959" s="34"/>
      <c r="H959" s="142"/>
      <c r="I959" s="34"/>
      <c r="J959" s="34">
        <f>Таблица1[[#This Row],[Блок
 Куб]]*Таблица1[[#This Row],[Цена 
Приход]]</f>
        <v>0</v>
      </c>
      <c r="K959" s="34"/>
      <c r="L959" s="34"/>
      <c r="M959" s="34">
        <f>Таблица1[[#This Row],[Поддон
Шт]]*Таблица1[[#This Row],[Цена
Поддон]]</f>
        <v>0</v>
      </c>
      <c r="N959" s="34">
        <f>Таблица1[[#This Row],[Сумма 
Приход]]+Таблица1[[#This Row],[Сумма Поддон]]</f>
        <v>0</v>
      </c>
      <c r="O959" s="34"/>
      <c r="P959" s="34">
        <f>Таблица1[[#This Row],[Блок
 Куб]]*Таблица1[[#This Row],[Цена
 Продажа]]</f>
        <v>0</v>
      </c>
      <c r="Q959" s="34"/>
      <c r="R959" s="34">
        <f>Таблица1[[#This Row],[Сумма 
Продажа]]-Таблица1[[#This Row],[Сумма 
Приход]]-Таблица1[[#This Row],[Авто услу ]]</f>
        <v>0</v>
      </c>
      <c r="S959" s="34"/>
      <c r="T959" s="34">
        <f>Таблица1[[#This Row],[Сумма 
Продажа]]-IF(Таблица1[[#This Row],[Расход 
Авто]]="Клиент",N(Таблица1[[#This Row],[Авто услу ]]),0)</f>
        <v>0</v>
      </c>
      <c r="U9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59" s="265" t="str">
        <f>IFERROR(INDEX(Мижозлар[Агент],MATCH($D959,Мижозлар[Расмий ном],0)),"")</f>
        <v/>
      </c>
    </row>
    <row r="960" spans="1:23" ht="14.25" x14ac:dyDescent="0.2">
      <c r="A960" s="21"/>
      <c r="B960" s="135"/>
      <c r="C960" s="141"/>
      <c r="D960" s="141"/>
      <c r="E960" s="136"/>
      <c r="F960" s="135"/>
      <c r="G960" s="34"/>
      <c r="H960" s="142"/>
      <c r="I960" s="34"/>
      <c r="J960" s="34">
        <f>Таблица1[[#This Row],[Блок
 Куб]]*Таблица1[[#This Row],[Цена 
Приход]]</f>
        <v>0</v>
      </c>
      <c r="K960" s="34"/>
      <c r="L960" s="34"/>
      <c r="M960" s="34">
        <f>Таблица1[[#This Row],[Поддон
Шт]]*Таблица1[[#This Row],[Цена
Поддон]]</f>
        <v>0</v>
      </c>
      <c r="N960" s="34">
        <f>Таблица1[[#This Row],[Сумма 
Приход]]+Таблица1[[#This Row],[Сумма Поддон]]</f>
        <v>0</v>
      </c>
      <c r="O960" s="34"/>
      <c r="P960" s="34">
        <f>Таблица1[[#This Row],[Блок
 Куб]]*Таблица1[[#This Row],[Цена
 Продажа]]</f>
        <v>0</v>
      </c>
      <c r="Q960" s="34"/>
      <c r="R960" s="34">
        <f>Таблица1[[#This Row],[Сумма 
Продажа]]-Таблица1[[#This Row],[Сумма 
Приход]]-Таблица1[[#This Row],[Авто услу ]]</f>
        <v>0</v>
      </c>
      <c r="S960" s="34"/>
      <c r="T960" s="34">
        <f>Таблица1[[#This Row],[Сумма 
Продажа]]-IF(Таблица1[[#This Row],[Расход 
Авто]]="Клиент",N(Таблица1[[#This Row],[Авто услу ]]),0)</f>
        <v>0</v>
      </c>
      <c r="U9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0" s="265" t="str">
        <f>IFERROR(INDEX(Мижозлар[Агент],MATCH($D960,Мижозлар[Расмий ном],0)),"")</f>
        <v/>
      </c>
    </row>
    <row r="961" spans="1:23" ht="14.25" x14ac:dyDescent="0.2">
      <c r="A961" s="21"/>
      <c r="B961" s="135"/>
      <c r="C961" s="141"/>
      <c r="D961" s="141"/>
      <c r="E961" s="136"/>
      <c r="F961" s="135"/>
      <c r="G961" s="34"/>
      <c r="H961" s="142"/>
      <c r="I961" s="34"/>
      <c r="J961" s="34">
        <f>Таблица1[[#This Row],[Блок
 Куб]]*Таблица1[[#This Row],[Цена 
Приход]]</f>
        <v>0</v>
      </c>
      <c r="K961" s="34"/>
      <c r="L961" s="34"/>
      <c r="M961" s="34">
        <f>Таблица1[[#This Row],[Поддон
Шт]]*Таблица1[[#This Row],[Цена
Поддон]]</f>
        <v>0</v>
      </c>
      <c r="N961" s="34">
        <f>Таблица1[[#This Row],[Сумма 
Приход]]+Таблица1[[#This Row],[Сумма Поддон]]</f>
        <v>0</v>
      </c>
      <c r="O961" s="34"/>
      <c r="P961" s="34">
        <f>Таблица1[[#This Row],[Блок
 Куб]]*Таблица1[[#This Row],[Цена
 Продажа]]</f>
        <v>0</v>
      </c>
      <c r="Q961" s="34"/>
      <c r="R961" s="34">
        <f>Таблица1[[#This Row],[Сумма 
Продажа]]-Таблица1[[#This Row],[Сумма 
Приход]]-Таблица1[[#This Row],[Авто услу ]]</f>
        <v>0</v>
      </c>
      <c r="S961" s="34"/>
      <c r="T961" s="34">
        <f>Таблица1[[#This Row],[Сумма 
Продажа]]-IF(Таблица1[[#This Row],[Расход 
Авто]]="Клиент",N(Таблица1[[#This Row],[Авто услу ]]),0)</f>
        <v>0</v>
      </c>
      <c r="U9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1" s="265" t="str">
        <f>IFERROR(INDEX(Мижозлар[Агент],MATCH($D961,Мижозлар[Расмий ном],0)),"")</f>
        <v/>
      </c>
    </row>
    <row r="962" spans="1:23" ht="14.25" x14ac:dyDescent="0.2">
      <c r="A962" s="21"/>
      <c r="B962" s="135"/>
      <c r="C962" s="141"/>
      <c r="D962" s="141"/>
      <c r="E962" s="136"/>
      <c r="F962" s="135"/>
      <c r="G962" s="34"/>
      <c r="H962" s="142"/>
      <c r="I962" s="34"/>
      <c r="J962" s="34">
        <f>Таблица1[[#This Row],[Блок
 Куб]]*Таблица1[[#This Row],[Цена 
Приход]]</f>
        <v>0</v>
      </c>
      <c r="K962" s="34"/>
      <c r="L962" s="34"/>
      <c r="M962" s="34">
        <f>Таблица1[[#This Row],[Поддон
Шт]]*Таблица1[[#This Row],[Цена
Поддон]]</f>
        <v>0</v>
      </c>
      <c r="N962" s="34">
        <f>Таблица1[[#This Row],[Сумма 
Приход]]+Таблица1[[#This Row],[Сумма Поддон]]</f>
        <v>0</v>
      </c>
      <c r="O962" s="34"/>
      <c r="P962" s="34">
        <f>Таблица1[[#This Row],[Блок
 Куб]]*Таблица1[[#This Row],[Цена
 Продажа]]</f>
        <v>0</v>
      </c>
      <c r="Q962" s="34"/>
      <c r="R962" s="34">
        <f>Таблица1[[#This Row],[Сумма 
Продажа]]-Таблица1[[#This Row],[Сумма 
Приход]]-Таблица1[[#This Row],[Авто услу ]]</f>
        <v>0</v>
      </c>
      <c r="S962" s="34"/>
      <c r="T962" s="34">
        <f>Таблица1[[#This Row],[Сумма 
Продажа]]-IF(Таблица1[[#This Row],[Расход 
Авто]]="Клиент",N(Таблица1[[#This Row],[Авто услу ]]),0)</f>
        <v>0</v>
      </c>
      <c r="U9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2" s="265" t="str">
        <f>IFERROR(INDEX(Мижозлар[Агент],MATCH($D962,Мижозлар[Расмий ном],0)),"")</f>
        <v/>
      </c>
    </row>
    <row r="963" spans="1:23" ht="14.25" x14ac:dyDescent="0.2">
      <c r="A963" s="21"/>
      <c r="B963" s="135"/>
      <c r="C963" s="141"/>
      <c r="D963" s="141"/>
      <c r="E963" s="136"/>
      <c r="F963" s="135"/>
      <c r="G963" s="34"/>
      <c r="H963" s="142"/>
      <c r="I963" s="34"/>
      <c r="J963" s="34">
        <f>Таблица1[[#This Row],[Блок
 Куб]]*Таблица1[[#This Row],[Цена 
Приход]]</f>
        <v>0</v>
      </c>
      <c r="K963" s="34"/>
      <c r="L963" s="34"/>
      <c r="M963" s="34">
        <f>Таблица1[[#This Row],[Поддон
Шт]]*Таблица1[[#This Row],[Цена
Поддон]]</f>
        <v>0</v>
      </c>
      <c r="N963" s="34">
        <f>Таблица1[[#This Row],[Сумма 
Приход]]+Таблица1[[#This Row],[Сумма Поддон]]</f>
        <v>0</v>
      </c>
      <c r="O963" s="34"/>
      <c r="P963" s="34">
        <f>Таблица1[[#This Row],[Блок
 Куб]]*Таблица1[[#This Row],[Цена
 Продажа]]</f>
        <v>0</v>
      </c>
      <c r="Q963" s="34"/>
      <c r="R963" s="34">
        <f>Таблица1[[#This Row],[Сумма 
Продажа]]-Таблица1[[#This Row],[Сумма 
Приход]]-Таблица1[[#This Row],[Авто услу ]]</f>
        <v>0</v>
      </c>
      <c r="S963" s="34"/>
      <c r="T963" s="34">
        <f>Таблица1[[#This Row],[Сумма 
Продажа]]-IF(Таблица1[[#This Row],[Расход 
Авто]]="Клиент",N(Таблица1[[#This Row],[Авто услу ]]),0)</f>
        <v>0</v>
      </c>
      <c r="U9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3" s="265" t="str">
        <f>IFERROR(INDEX(Мижозлар[Агент],MATCH($D963,Мижозлар[Расмий ном],0)),"")</f>
        <v/>
      </c>
    </row>
    <row r="964" spans="1:23" ht="14.25" x14ac:dyDescent="0.2">
      <c r="A964" s="21"/>
      <c r="B964" s="135"/>
      <c r="C964" s="141"/>
      <c r="D964" s="141"/>
      <c r="E964" s="136"/>
      <c r="F964" s="135"/>
      <c r="G964" s="34"/>
      <c r="H964" s="142"/>
      <c r="I964" s="34"/>
      <c r="J964" s="34">
        <f>Таблица1[[#This Row],[Блок
 Куб]]*Таблица1[[#This Row],[Цена 
Приход]]</f>
        <v>0</v>
      </c>
      <c r="K964" s="34"/>
      <c r="L964" s="34"/>
      <c r="M964" s="34">
        <f>Таблица1[[#This Row],[Поддон
Шт]]*Таблица1[[#This Row],[Цена
Поддон]]</f>
        <v>0</v>
      </c>
      <c r="N964" s="34">
        <f>Таблица1[[#This Row],[Сумма 
Приход]]+Таблица1[[#This Row],[Сумма Поддон]]</f>
        <v>0</v>
      </c>
      <c r="O964" s="34"/>
      <c r="P964" s="34">
        <f>Таблица1[[#This Row],[Блок
 Куб]]*Таблица1[[#This Row],[Цена
 Продажа]]</f>
        <v>0</v>
      </c>
      <c r="Q964" s="34"/>
      <c r="R964" s="34">
        <f>Таблица1[[#This Row],[Сумма 
Продажа]]-Таблица1[[#This Row],[Сумма 
Приход]]-Таблица1[[#This Row],[Авто услу ]]</f>
        <v>0</v>
      </c>
      <c r="S964" s="34"/>
      <c r="T964" s="34">
        <f>Таблица1[[#This Row],[Сумма 
Продажа]]-IF(Таблица1[[#This Row],[Расход 
Авто]]="Клиент",N(Таблица1[[#This Row],[Авто услу ]]),0)</f>
        <v>0</v>
      </c>
      <c r="U9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4" s="265" t="str">
        <f>IFERROR(INDEX(Мижозлар[Агент],MATCH($D964,Мижозлар[Расмий ном],0)),"")</f>
        <v/>
      </c>
    </row>
    <row r="965" spans="1:23" ht="14.25" x14ac:dyDescent="0.2">
      <c r="A965" s="21"/>
      <c r="B965" s="135"/>
      <c r="C965" s="141"/>
      <c r="D965" s="141"/>
      <c r="E965" s="136"/>
      <c r="F965" s="135"/>
      <c r="G965" s="34"/>
      <c r="H965" s="142"/>
      <c r="I965" s="34"/>
      <c r="J965" s="34">
        <f>Таблица1[[#This Row],[Блок
 Куб]]*Таблица1[[#This Row],[Цена 
Приход]]</f>
        <v>0</v>
      </c>
      <c r="K965" s="34"/>
      <c r="L965" s="34"/>
      <c r="M965" s="34">
        <f>Таблица1[[#This Row],[Поддон
Шт]]*Таблица1[[#This Row],[Цена
Поддон]]</f>
        <v>0</v>
      </c>
      <c r="N965" s="34">
        <f>Таблица1[[#This Row],[Сумма 
Приход]]+Таблица1[[#This Row],[Сумма Поддон]]</f>
        <v>0</v>
      </c>
      <c r="O965" s="34"/>
      <c r="P965" s="34">
        <f>Таблица1[[#This Row],[Блок
 Куб]]*Таблица1[[#This Row],[Цена
 Продажа]]</f>
        <v>0</v>
      </c>
      <c r="Q965" s="34"/>
      <c r="R965" s="34">
        <f>Таблица1[[#This Row],[Сумма 
Продажа]]-Таблица1[[#This Row],[Сумма 
Приход]]-Таблица1[[#This Row],[Авто услу ]]</f>
        <v>0</v>
      </c>
      <c r="S965" s="34"/>
      <c r="T965" s="34">
        <f>Таблица1[[#This Row],[Сумма 
Продажа]]-IF(Таблица1[[#This Row],[Расход 
Авто]]="Клиент",N(Таблица1[[#This Row],[Авто услу ]]),0)</f>
        <v>0</v>
      </c>
      <c r="U9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5" s="265" t="str">
        <f>IFERROR(INDEX(Мижозлар[Агент],MATCH($D965,Мижозлар[Расмий ном],0)),"")</f>
        <v/>
      </c>
    </row>
    <row r="966" spans="1:23" ht="14.25" x14ac:dyDescent="0.2">
      <c r="A966" s="21"/>
      <c r="B966" s="135"/>
      <c r="C966" s="141"/>
      <c r="D966" s="141"/>
      <c r="E966" s="136"/>
      <c r="F966" s="135"/>
      <c r="G966" s="34"/>
      <c r="H966" s="142"/>
      <c r="I966" s="34"/>
      <c r="J966" s="34">
        <f>Таблица1[[#This Row],[Блок
 Куб]]*Таблица1[[#This Row],[Цена 
Приход]]</f>
        <v>0</v>
      </c>
      <c r="K966" s="34"/>
      <c r="L966" s="34"/>
      <c r="M966" s="34">
        <f>Таблица1[[#This Row],[Поддон
Шт]]*Таблица1[[#This Row],[Цена
Поддон]]</f>
        <v>0</v>
      </c>
      <c r="N966" s="34">
        <f>Таблица1[[#This Row],[Сумма 
Приход]]+Таблица1[[#This Row],[Сумма Поддон]]</f>
        <v>0</v>
      </c>
      <c r="O966" s="34"/>
      <c r="P966" s="34">
        <f>Таблица1[[#This Row],[Блок
 Куб]]*Таблица1[[#This Row],[Цена
 Продажа]]</f>
        <v>0</v>
      </c>
      <c r="Q966" s="34"/>
      <c r="R966" s="34">
        <f>Таблица1[[#This Row],[Сумма 
Продажа]]-Таблица1[[#This Row],[Сумма 
Приход]]-Таблица1[[#This Row],[Авто услу ]]</f>
        <v>0</v>
      </c>
      <c r="S966" s="34"/>
      <c r="T966" s="34">
        <f>Таблица1[[#This Row],[Сумма 
Продажа]]-IF(Таблица1[[#This Row],[Расход 
Авто]]="Клиент",N(Таблица1[[#This Row],[Авто услу ]]),0)</f>
        <v>0</v>
      </c>
      <c r="U9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6" s="265" t="str">
        <f>IFERROR(INDEX(Мижозлар[Агент],MATCH($D966,Мижозлар[Расмий ном],0)),"")</f>
        <v/>
      </c>
    </row>
    <row r="967" spans="1:23" ht="14.25" x14ac:dyDescent="0.2">
      <c r="A967" s="21"/>
      <c r="B967" s="135"/>
      <c r="C967" s="141"/>
      <c r="D967" s="141"/>
      <c r="E967" s="136"/>
      <c r="F967" s="135"/>
      <c r="G967" s="34"/>
      <c r="H967" s="142"/>
      <c r="I967" s="34"/>
      <c r="J967" s="34">
        <f>Таблица1[[#This Row],[Блок
 Куб]]*Таблица1[[#This Row],[Цена 
Приход]]</f>
        <v>0</v>
      </c>
      <c r="K967" s="34"/>
      <c r="L967" s="34"/>
      <c r="M967" s="34">
        <f>Таблица1[[#This Row],[Поддон
Шт]]*Таблица1[[#This Row],[Цена
Поддон]]</f>
        <v>0</v>
      </c>
      <c r="N967" s="34">
        <f>Таблица1[[#This Row],[Сумма 
Приход]]+Таблица1[[#This Row],[Сумма Поддон]]</f>
        <v>0</v>
      </c>
      <c r="O967" s="34"/>
      <c r="P967" s="34">
        <f>Таблица1[[#This Row],[Блок
 Куб]]*Таблица1[[#This Row],[Цена
 Продажа]]</f>
        <v>0</v>
      </c>
      <c r="Q967" s="34"/>
      <c r="R967" s="34">
        <f>Таблица1[[#This Row],[Сумма 
Продажа]]-Таблица1[[#This Row],[Сумма 
Приход]]-Таблица1[[#This Row],[Авто услу ]]</f>
        <v>0</v>
      </c>
      <c r="S967" s="34"/>
      <c r="T967" s="34">
        <f>Таблица1[[#This Row],[Сумма 
Продажа]]-IF(Таблица1[[#This Row],[Расход 
Авто]]="Клиент",N(Таблица1[[#This Row],[Авто услу ]]),0)</f>
        <v>0</v>
      </c>
      <c r="U9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7" s="265" t="str">
        <f>IFERROR(INDEX(Мижозлар[Агент],MATCH($D967,Мижозлар[Расмий ном],0)),"")</f>
        <v/>
      </c>
    </row>
    <row r="968" spans="1:23" ht="14.25" x14ac:dyDescent="0.2">
      <c r="A968" s="21"/>
      <c r="B968" s="135"/>
      <c r="C968" s="141"/>
      <c r="D968" s="141"/>
      <c r="E968" s="136"/>
      <c r="F968" s="135"/>
      <c r="G968" s="34"/>
      <c r="H968" s="142"/>
      <c r="I968" s="34"/>
      <c r="J968" s="34">
        <f>Таблица1[[#This Row],[Блок
 Куб]]*Таблица1[[#This Row],[Цена 
Приход]]</f>
        <v>0</v>
      </c>
      <c r="K968" s="34"/>
      <c r="L968" s="34"/>
      <c r="M968" s="34">
        <f>Таблица1[[#This Row],[Поддон
Шт]]*Таблица1[[#This Row],[Цена
Поддон]]</f>
        <v>0</v>
      </c>
      <c r="N968" s="34">
        <f>Таблица1[[#This Row],[Сумма 
Приход]]+Таблица1[[#This Row],[Сумма Поддон]]</f>
        <v>0</v>
      </c>
      <c r="O968" s="34"/>
      <c r="P968" s="34">
        <f>Таблица1[[#This Row],[Блок
 Куб]]*Таблица1[[#This Row],[Цена
 Продажа]]</f>
        <v>0</v>
      </c>
      <c r="Q968" s="34"/>
      <c r="R968" s="34">
        <f>Таблица1[[#This Row],[Сумма 
Продажа]]-Таблица1[[#This Row],[Сумма 
Приход]]-Таблица1[[#This Row],[Авто услу ]]</f>
        <v>0</v>
      </c>
      <c r="S968" s="34"/>
      <c r="T968" s="34">
        <f>Таблица1[[#This Row],[Сумма 
Продажа]]-IF(Таблица1[[#This Row],[Расход 
Авто]]="Клиент",N(Таблица1[[#This Row],[Авто услу ]]),0)</f>
        <v>0</v>
      </c>
      <c r="U9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8" s="265" t="str">
        <f>IFERROR(INDEX(Мижозлар[Агент],MATCH($D968,Мижозлар[Расмий ном],0)),"")</f>
        <v/>
      </c>
    </row>
    <row r="969" spans="1:23" ht="14.25" x14ac:dyDescent="0.2">
      <c r="A969" s="21"/>
      <c r="B969" s="135"/>
      <c r="C969" s="141"/>
      <c r="D969" s="141"/>
      <c r="E969" s="136"/>
      <c r="F969" s="135"/>
      <c r="G969" s="34"/>
      <c r="H969" s="142"/>
      <c r="I969" s="34"/>
      <c r="J969" s="34">
        <f>Таблица1[[#This Row],[Блок
 Куб]]*Таблица1[[#This Row],[Цена 
Приход]]</f>
        <v>0</v>
      </c>
      <c r="K969" s="34"/>
      <c r="L969" s="34"/>
      <c r="M969" s="34">
        <f>Таблица1[[#This Row],[Поддон
Шт]]*Таблица1[[#This Row],[Цена
Поддон]]</f>
        <v>0</v>
      </c>
      <c r="N969" s="34">
        <f>Таблица1[[#This Row],[Сумма 
Приход]]+Таблица1[[#This Row],[Сумма Поддон]]</f>
        <v>0</v>
      </c>
      <c r="O969" s="34"/>
      <c r="P969" s="34">
        <f>Таблица1[[#This Row],[Блок
 Куб]]*Таблица1[[#This Row],[Цена
 Продажа]]</f>
        <v>0</v>
      </c>
      <c r="Q969" s="34"/>
      <c r="R969" s="34">
        <f>Таблица1[[#This Row],[Сумма 
Продажа]]-Таблица1[[#This Row],[Сумма 
Приход]]-Таблица1[[#This Row],[Авто услу ]]</f>
        <v>0</v>
      </c>
      <c r="S969" s="34"/>
      <c r="T969" s="34">
        <f>Таблица1[[#This Row],[Сумма 
Продажа]]-IF(Таблица1[[#This Row],[Расход 
Авто]]="Клиент",N(Таблица1[[#This Row],[Авто услу ]]),0)</f>
        <v>0</v>
      </c>
      <c r="U9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69" s="265" t="str">
        <f>IFERROR(INDEX(Мижозлар[Агент],MATCH($D969,Мижозлар[Расмий ном],0)),"")</f>
        <v/>
      </c>
    </row>
    <row r="970" spans="1:23" ht="14.25" x14ac:dyDescent="0.2">
      <c r="A970" s="21"/>
      <c r="B970" s="135"/>
      <c r="C970" s="141"/>
      <c r="D970" s="141"/>
      <c r="E970" s="136"/>
      <c r="F970" s="135"/>
      <c r="G970" s="34"/>
      <c r="H970" s="142"/>
      <c r="I970" s="34"/>
      <c r="J970" s="34">
        <f>Таблица1[[#This Row],[Блок
 Куб]]*Таблица1[[#This Row],[Цена 
Приход]]</f>
        <v>0</v>
      </c>
      <c r="K970" s="34"/>
      <c r="L970" s="34"/>
      <c r="M970" s="34">
        <f>Таблица1[[#This Row],[Поддон
Шт]]*Таблица1[[#This Row],[Цена
Поддон]]</f>
        <v>0</v>
      </c>
      <c r="N970" s="34">
        <f>Таблица1[[#This Row],[Сумма 
Приход]]+Таблица1[[#This Row],[Сумма Поддон]]</f>
        <v>0</v>
      </c>
      <c r="O970" s="34"/>
      <c r="P970" s="34">
        <f>Таблица1[[#This Row],[Блок
 Куб]]*Таблица1[[#This Row],[Цена
 Продажа]]</f>
        <v>0</v>
      </c>
      <c r="Q970" s="34"/>
      <c r="R970" s="34">
        <f>Таблица1[[#This Row],[Сумма 
Продажа]]-Таблица1[[#This Row],[Сумма 
Приход]]-Таблица1[[#This Row],[Авто услу ]]</f>
        <v>0</v>
      </c>
      <c r="S970" s="34"/>
      <c r="T970" s="34">
        <f>Таблица1[[#This Row],[Сумма 
Продажа]]-IF(Таблица1[[#This Row],[Расход 
Авто]]="Клиент",N(Таблица1[[#This Row],[Авто услу ]]),0)</f>
        <v>0</v>
      </c>
      <c r="U9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0" s="265" t="str">
        <f>IFERROR(INDEX(Мижозлар[Агент],MATCH($D970,Мижозлар[Расмий ном],0)),"")</f>
        <v/>
      </c>
    </row>
    <row r="971" spans="1:23" ht="14.25" x14ac:dyDescent="0.2">
      <c r="A971" s="21"/>
      <c r="B971" s="135"/>
      <c r="C971" s="141"/>
      <c r="D971" s="141"/>
      <c r="E971" s="136"/>
      <c r="F971" s="135"/>
      <c r="G971" s="34"/>
      <c r="H971" s="142"/>
      <c r="I971" s="34"/>
      <c r="J971" s="34">
        <f>Таблица1[[#This Row],[Блок
 Куб]]*Таблица1[[#This Row],[Цена 
Приход]]</f>
        <v>0</v>
      </c>
      <c r="K971" s="34"/>
      <c r="L971" s="34"/>
      <c r="M971" s="34">
        <f>Таблица1[[#This Row],[Поддон
Шт]]*Таблица1[[#This Row],[Цена
Поддон]]</f>
        <v>0</v>
      </c>
      <c r="N971" s="34">
        <f>Таблица1[[#This Row],[Сумма 
Приход]]+Таблица1[[#This Row],[Сумма Поддон]]</f>
        <v>0</v>
      </c>
      <c r="O971" s="34"/>
      <c r="P971" s="34">
        <f>Таблица1[[#This Row],[Блок
 Куб]]*Таблица1[[#This Row],[Цена
 Продажа]]</f>
        <v>0</v>
      </c>
      <c r="Q971" s="34"/>
      <c r="R971" s="34">
        <f>Таблица1[[#This Row],[Сумма 
Продажа]]-Таблица1[[#This Row],[Сумма 
Приход]]-Таблица1[[#This Row],[Авто услу ]]</f>
        <v>0</v>
      </c>
      <c r="S971" s="34"/>
      <c r="T971" s="34">
        <f>Таблица1[[#This Row],[Сумма 
Продажа]]-IF(Таблица1[[#This Row],[Расход 
Авто]]="Клиент",N(Таблица1[[#This Row],[Авто услу ]]),0)</f>
        <v>0</v>
      </c>
      <c r="U9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1" s="265" t="str">
        <f>IFERROR(INDEX(Мижозлар[Агент],MATCH($D971,Мижозлар[Расмий ном],0)),"")</f>
        <v/>
      </c>
    </row>
    <row r="972" spans="1:23" ht="14.25" x14ac:dyDescent="0.2">
      <c r="A972" s="21"/>
      <c r="B972" s="135"/>
      <c r="C972" s="141"/>
      <c r="D972" s="141"/>
      <c r="E972" s="136"/>
      <c r="F972" s="135"/>
      <c r="G972" s="34"/>
      <c r="H972" s="142"/>
      <c r="I972" s="34"/>
      <c r="J972" s="34">
        <f>Таблица1[[#This Row],[Блок
 Куб]]*Таблица1[[#This Row],[Цена 
Приход]]</f>
        <v>0</v>
      </c>
      <c r="K972" s="34"/>
      <c r="L972" s="34"/>
      <c r="M972" s="34">
        <f>Таблица1[[#This Row],[Поддон
Шт]]*Таблица1[[#This Row],[Цена
Поддон]]</f>
        <v>0</v>
      </c>
      <c r="N972" s="34">
        <f>Таблица1[[#This Row],[Сумма 
Приход]]+Таблица1[[#This Row],[Сумма Поддон]]</f>
        <v>0</v>
      </c>
      <c r="O972" s="34"/>
      <c r="P972" s="34">
        <f>Таблица1[[#This Row],[Блок
 Куб]]*Таблица1[[#This Row],[Цена
 Продажа]]</f>
        <v>0</v>
      </c>
      <c r="Q972" s="34"/>
      <c r="R972" s="34">
        <f>Таблица1[[#This Row],[Сумма 
Продажа]]-Таблица1[[#This Row],[Сумма 
Приход]]-Таблица1[[#This Row],[Авто услу ]]</f>
        <v>0</v>
      </c>
      <c r="S972" s="34"/>
      <c r="T972" s="34">
        <f>Таблица1[[#This Row],[Сумма 
Продажа]]-IF(Таблица1[[#This Row],[Расход 
Авто]]="Клиент",N(Таблица1[[#This Row],[Авто услу ]]),0)</f>
        <v>0</v>
      </c>
      <c r="U9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2" s="265" t="str">
        <f>IFERROR(INDEX(Мижозлар[Агент],MATCH($D972,Мижозлар[Расмий ном],0)),"")</f>
        <v/>
      </c>
    </row>
    <row r="973" spans="1:23" ht="14.25" x14ac:dyDescent="0.2">
      <c r="A973" s="21"/>
      <c r="B973" s="135"/>
      <c r="C973" s="141"/>
      <c r="D973" s="141"/>
      <c r="E973" s="136"/>
      <c r="F973" s="135"/>
      <c r="G973" s="34"/>
      <c r="H973" s="142"/>
      <c r="I973" s="34"/>
      <c r="J973" s="34">
        <f>Таблица1[[#This Row],[Блок
 Куб]]*Таблица1[[#This Row],[Цена 
Приход]]</f>
        <v>0</v>
      </c>
      <c r="K973" s="34"/>
      <c r="L973" s="34"/>
      <c r="M973" s="34">
        <f>Таблица1[[#This Row],[Поддон
Шт]]*Таблица1[[#This Row],[Цена
Поддон]]</f>
        <v>0</v>
      </c>
      <c r="N973" s="34">
        <f>Таблица1[[#This Row],[Сумма 
Приход]]+Таблица1[[#This Row],[Сумма Поддон]]</f>
        <v>0</v>
      </c>
      <c r="O973" s="34"/>
      <c r="P973" s="34">
        <f>Таблица1[[#This Row],[Блок
 Куб]]*Таблица1[[#This Row],[Цена
 Продажа]]</f>
        <v>0</v>
      </c>
      <c r="Q973" s="34"/>
      <c r="R973" s="34">
        <f>Таблица1[[#This Row],[Сумма 
Продажа]]-Таблица1[[#This Row],[Сумма 
Приход]]-Таблица1[[#This Row],[Авто услу ]]</f>
        <v>0</v>
      </c>
      <c r="S973" s="34"/>
      <c r="T973" s="34">
        <f>Таблица1[[#This Row],[Сумма 
Продажа]]-IF(Таблица1[[#This Row],[Расход 
Авто]]="Клиент",N(Таблица1[[#This Row],[Авто услу ]]),0)</f>
        <v>0</v>
      </c>
      <c r="U9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3" s="265" t="str">
        <f>IFERROR(INDEX(Мижозлар[Агент],MATCH($D973,Мижозлар[Расмий ном],0)),"")</f>
        <v/>
      </c>
    </row>
    <row r="974" spans="1:23" ht="14.25" x14ac:dyDescent="0.2">
      <c r="A974" s="21"/>
      <c r="B974" s="135"/>
      <c r="C974" s="141"/>
      <c r="D974" s="141"/>
      <c r="E974" s="136"/>
      <c r="F974" s="135"/>
      <c r="G974" s="34"/>
      <c r="H974" s="142"/>
      <c r="I974" s="34"/>
      <c r="J974" s="34">
        <f>Таблица1[[#This Row],[Блок
 Куб]]*Таблица1[[#This Row],[Цена 
Приход]]</f>
        <v>0</v>
      </c>
      <c r="K974" s="34"/>
      <c r="L974" s="34"/>
      <c r="M974" s="34">
        <f>Таблица1[[#This Row],[Поддон
Шт]]*Таблица1[[#This Row],[Цена
Поддон]]</f>
        <v>0</v>
      </c>
      <c r="N974" s="34">
        <f>Таблица1[[#This Row],[Сумма 
Приход]]+Таблица1[[#This Row],[Сумма Поддон]]</f>
        <v>0</v>
      </c>
      <c r="O974" s="34"/>
      <c r="P974" s="34">
        <f>Таблица1[[#This Row],[Блок
 Куб]]*Таблица1[[#This Row],[Цена
 Продажа]]</f>
        <v>0</v>
      </c>
      <c r="Q974" s="34"/>
      <c r="R974" s="34">
        <f>Таблица1[[#This Row],[Сумма 
Продажа]]-Таблица1[[#This Row],[Сумма 
Приход]]-Таблица1[[#This Row],[Авто услу ]]</f>
        <v>0</v>
      </c>
      <c r="S974" s="34"/>
      <c r="T974" s="34">
        <f>Таблица1[[#This Row],[Сумма 
Продажа]]-IF(Таблица1[[#This Row],[Расход 
Авто]]="Клиент",N(Таблица1[[#This Row],[Авто услу ]]),0)</f>
        <v>0</v>
      </c>
      <c r="U9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4" s="265" t="str">
        <f>IFERROR(INDEX(Мижозлар[Агент],MATCH($D974,Мижозлар[Расмий ном],0)),"")</f>
        <v/>
      </c>
    </row>
    <row r="975" spans="1:23" ht="14.25" x14ac:dyDescent="0.2">
      <c r="A975" s="21"/>
      <c r="B975" s="135"/>
      <c r="C975" s="141"/>
      <c r="D975" s="141"/>
      <c r="E975" s="136"/>
      <c r="F975" s="135"/>
      <c r="G975" s="34"/>
      <c r="H975" s="142"/>
      <c r="I975" s="34"/>
      <c r="J975" s="34">
        <f>Таблица1[[#This Row],[Блок
 Куб]]*Таблица1[[#This Row],[Цена 
Приход]]</f>
        <v>0</v>
      </c>
      <c r="K975" s="34"/>
      <c r="L975" s="34"/>
      <c r="M975" s="34">
        <f>Таблица1[[#This Row],[Поддон
Шт]]*Таблица1[[#This Row],[Цена
Поддон]]</f>
        <v>0</v>
      </c>
      <c r="N975" s="34">
        <f>Таблица1[[#This Row],[Сумма 
Приход]]+Таблица1[[#This Row],[Сумма Поддон]]</f>
        <v>0</v>
      </c>
      <c r="O975" s="34"/>
      <c r="P975" s="34">
        <f>Таблица1[[#This Row],[Блок
 Куб]]*Таблица1[[#This Row],[Цена
 Продажа]]</f>
        <v>0</v>
      </c>
      <c r="Q975" s="34"/>
      <c r="R975" s="34">
        <f>Таблица1[[#This Row],[Сумма 
Продажа]]-Таблица1[[#This Row],[Сумма 
Приход]]-Таблица1[[#This Row],[Авто услу ]]</f>
        <v>0</v>
      </c>
      <c r="S975" s="34"/>
      <c r="T975" s="34">
        <f>Таблица1[[#This Row],[Сумма 
Продажа]]-IF(Таблица1[[#This Row],[Расход 
Авто]]="Клиент",N(Таблица1[[#This Row],[Авто услу ]]),0)</f>
        <v>0</v>
      </c>
      <c r="U9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5" s="265" t="str">
        <f>IFERROR(INDEX(Мижозлар[Агент],MATCH($D975,Мижозлар[Расмий ном],0)),"")</f>
        <v/>
      </c>
    </row>
    <row r="976" spans="1:23" ht="14.25" x14ac:dyDescent="0.2">
      <c r="A976" s="21"/>
      <c r="B976" s="135"/>
      <c r="C976" s="141"/>
      <c r="D976" s="141"/>
      <c r="E976" s="136"/>
      <c r="F976" s="135"/>
      <c r="G976" s="34"/>
      <c r="H976" s="142"/>
      <c r="I976" s="34"/>
      <c r="J976" s="34">
        <f>Таблица1[[#This Row],[Блок
 Куб]]*Таблица1[[#This Row],[Цена 
Приход]]</f>
        <v>0</v>
      </c>
      <c r="K976" s="34"/>
      <c r="L976" s="34"/>
      <c r="M976" s="34">
        <f>Таблица1[[#This Row],[Поддон
Шт]]*Таблица1[[#This Row],[Цена
Поддон]]</f>
        <v>0</v>
      </c>
      <c r="N976" s="34">
        <f>Таблица1[[#This Row],[Сумма 
Приход]]+Таблица1[[#This Row],[Сумма Поддон]]</f>
        <v>0</v>
      </c>
      <c r="O976" s="34"/>
      <c r="P976" s="34">
        <f>Таблица1[[#This Row],[Блок
 Куб]]*Таблица1[[#This Row],[Цена
 Продажа]]</f>
        <v>0</v>
      </c>
      <c r="Q976" s="34"/>
      <c r="R976" s="34">
        <f>Таблица1[[#This Row],[Сумма 
Продажа]]-Таблица1[[#This Row],[Сумма 
Приход]]-Таблица1[[#This Row],[Авто услу ]]</f>
        <v>0</v>
      </c>
      <c r="S976" s="34"/>
      <c r="T976" s="34">
        <f>Таблица1[[#This Row],[Сумма 
Продажа]]-IF(Таблица1[[#This Row],[Расход 
Авто]]="Клиент",N(Таблица1[[#This Row],[Авто услу ]]),0)</f>
        <v>0</v>
      </c>
      <c r="U9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6" s="265" t="str">
        <f>IFERROR(INDEX(Мижозлар[Агент],MATCH($D976,Мижозлар[Расмий ном],0)),"")</f>
        <v/>
      </c>
    </row>
    <row r="977" spans="1:23" ht="14.25" x14ac:dyDescent="0.2">
      <c r="A977" s="21"/>
      <c r="B977" s="135"/>
      <c r="C977" s="141"/>
      <c r="D977" s="141"/>
      <c r="E977" s="136"/>
      <c r="F977" s="135"/>
      <c r="G977" s="34"/>
      <c r="H977" s="142"/>
      <c r="I977" s="34"/>
      <c r="J977" s="34">
        <f>Таблица1[[#This Row],[Блок
 Куб]]*Таблица1[[#This Row],[Цена 
Приход]]</f>
        <v>0</v>
      </c>
      <c r="K977" s="34"/>
      <c r="L977" s="34"/>
      <c r="M977" s="34">
        <f>Таблица1[[#This Row],[Поддон
Шт]]*Таблица1[[#This Row],[Цена
Поддон]]</f>
        <v>0</v>
      </c>
      <c r="N977" s="34">
        <f>Таблица1[[#This Row],[Сумма 
Приход]]+Таблица1[[#This Row],[Сумма Поддон]]</f>
        <v>0</v>
      </c>
      <c r="O977" s="34"/>
      <c r="P977" s="34">
        <f>Таблица1[[#This Row],[Блок
 Куб]]*Таблица1[[#This Row],[Цена
 Продажа]]</f>
        <v>0</v>
      </c>
      <c r="Q977" s="34"/>
      <c r="R977" s="34">
        <f>Таблица1[[#This Row],[Сумма 
Продажа]]-Таблица1[[#This Row],[Сумма 
Приход]]-Таблица1[[#This Row],[Авто услу ]]</f>
        <v>0</v>
      </c>
      <c r="S977" s="34"/>
      <c r="T977" s="34">
        <f>Таблица1[[#This Row],[Сумма 
Продажа]]-IF(Таблица1[[#This Row],[Расход 
Авто]]="Клиент",N(Таблица1[[#This Row],[Авто услу ]]),0)</f>
        <v>0</v>
      </c>
      <c r="U9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7" s="265" t="str">
        <f>IFERROR(INDEX(Мижозлар[Агент],MATCH($D977,Мижозлар[Расмий ном],0)),"")</f>
        <v/>
      </c>
    </row>
    <row r="978" spans="1:23" ht="14.25" x14ac:dyDescent="0.2">
      <c r="A978" s="21"/>
      <c r="B978" s="135"/>
      <c r="C978" s="141"/>
      <c r="D978" s="141"/>
      <c r="E978" s="136"/>
      <c r="F978" s="135"/>
      <c r="G978" s="34"/>
      <c r="H978" s="142"/>
      <c r="I978" s="34"/>
      <c r="J978" s="34">
        <f>Таблица1[[#This Row],[Блок
 Куб]]*Таблица1[[#This Row],[Цена 
Приход]]</f>
        <v>0</v>
      </c>
      <c r="K978" s="34"/>
      <c r="L978" s="34"/>
      <c r="M978" s="34">
        <f>Таблица1[[#This Row],[Поддон
Шт]]*Таблица1[[#This Row],[Цена
Поддон]]</f>
        <v>0</v>
      </c>
      <c r="N978" s="34">
        <f>Таблица1[[#This Row],[Сумма 
Приход]]+Таблица1[[#This Row],[Сумма Поддон]]</f>
        <v>0</v>
      </c>
      <c r="O978" s="34"/>
      <c r="P978" s="34">
        <f>Таблица1[[#This Row],[Блок
 Куб]]*Таблица1[[#This Row],[Цена
 Продажа]]</f>
        <v>0</v>
      </c>
      <c r="Q978" s="34"/>
      <c r="R978" s="34">
        <f>Таблица1[[#This Row],[Сумма 
Продажа]]-Таблица1[[#This Row],[Сумма 
Приход]]-Таблица1[[#This Row],[Авто услу ]]</f>
        <v>0</v>
      </c>
      <c r="S978" s="34"/>
      <c r="T978" s="34">
        <f>Таблица1[[#This Row],[Сумма 
Продажа]]-IF(Таблица1[[#This Row],[Расход 
Авто]]="Клиент",N(Таблица1[[#This Row],[Авто услу ]]),0)</f>
        <v>0</v>
      </c>
      <c r="U9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8" s="265" t="str">
        <f>IFERROR(INDEX(Мижозлар[Агент],MATCH($D978,Мижозлар[Расмий ном],0)),"")</f>
        <v/>
      </c>
    </row>
    <row r="979" spans="1:23" ht="14.25" x14ac:dyDescent="0.2">
      <c r="A979" s="21"/>
      <c r="B979" s="135"/>
      <c r="C979" s="141"/>
      <c r="D979" s="141"/>
      <c r="E979" s="136"/>
      <c r="F979" s="135"/>
      <c r="G979" s="34"/>
      <c r="H979" s="142"/>
      <c r="I979" s="34"/>
      <c r="J979" s="34">
        <f>Таблица1[[#This Row],[Блок
 Куб]]*Таблица1[[#This Row],[Цена 
Приход]]</f>
        <v>0</v>
      </c>
      <c r="K979" s="34"/>
      <c r="L979" s="34"/>
      <c r="M979" s="34">
        <f>Таблица1[[#This Row],[Поддон
Шт]]*Таблица1[[#This Row],[Цена
Поддон]]</f>
        <v>0</v>
      </c>
      <c r="N979" s="34">
        <f>Таблица1[[#This Row],[Сумма 
Приход]]+Таблица1[[#This Row],[Сумма Поддон]]</f>
        <v>0</v>
      </c>
      <c r="O979" s="34"/>
      <c r="P979" s="34">
        <f>Таблица1[[#This Row],[Блок
 Куб]]*Таблица1[[#This Row],[Цена
 Продажа]]</f>
        <v>0</v>
      </c>
      <c r="Q979" s="34"/>
      <c r="R979" s="34">
        <f>Таблица1[[#This Row],[Сумма 
Продажа]]-Таблица1[[#This Row],[Сумма 
Приход]]-Таблица1[[#This Row],[Авто услу ]]</f>
        <v>0</v>
      </c>
      <c r="S979" s="34"/>
      <c r="T979" s="34">
        <f>Таблица1[[#This Row],[Сумма 
Продажа]]-IF(Таблица1[[#This Row],[Расход 
Авто]]="Клиент",N(Таблица1[[#This Row],[Авто услу ]]),0)</f>
        <v>0</v>
      </c>
      <c r="U9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79" s="265" t="str">
        <f>IFERROR(INDEX(Мижозлар[Агент],MATCH($D979,Мижозлар[Расмий ном],0)),"")</f>
        <v/>
      </c>
    </row>
    <row r="980" spans="1:23" ht="14.25" x14ac:dyDescent="0.2">
      <c r="A980" s="21"/>
      <c r="B980" s="135"/>
      <c r="C980" s="141"/>
      <c r="D980" s="141"/>
      <c r="E980" s="136"/>
      <c r="F980" s="135"/>
      <c r="G980" s="34"/>
      <c r="H980" s="142"/>
      <c r="I980" s="34"/>
      <c r="J980" s="34">
        <f>Таблица1[[#This Row],[Блок
 Куб]]*Таблица1[[#This Row],[Цена 
Приход]]</f>
        <v>0</v>
      </c>
      <c r="K980" s="34"/>
      <c r="L980" s="34"/>
      <c r="M980" s="34">
        <f>Таблица1[[#This Row],[Поддон
Шт]]*Таблица1[[#This Row],[Цена
Поддон]]</f>
        <v>0</v>
      </c>
      <c r="N980" s="34">
        <f>Таблица1[[#This Row],[Сумма 
Приход]]+Таблица1[[#This Row],[Сумма Поддон]]</f>
        <v>0</v>
      </c>
      <c r="O980" s="34"/>
      <c r="P980" s="34">
        <f>Таблица1[[#This Row],[Блок
 Куб]]*Таблица1[[#This Row],[Цена
 Продажа]]</f>
        <v>0</v>
      </c>
      <c r="Q980" s="34"/>
      <c r="R980" s="34">
        <f>Таблица1[[#This Row],[Сумма 
Продажа]]-Таблица1[[#This Row],[Сумма 
Приход]]-Таблица1[[#This Row],[Авто услу ]]</f>
        <v>0</v>
      </c>
      <c r="S980" s="34"/>
      <c r="T980" s="34">
        <f>Таблица1[[#This Row],[Сумма 
Продажа]]-IF(Таблица1[[#This Row],[Расход 
Авто]]="Клиент",N(Таблица1[[#This Row],[Авто услу ]]),0)</f>
        <v>0</v>
      </c>
      <c r="U9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0" s="265" t="str">
        <f>IFERROR(INDEX(Мижозлар[Агент],MATCH($D980,Мижозлар[Расмий ном],0)),"")</f>
        <v/>
      </c>
    </row>
    <row r="981" spans="1:23" ht="14.25" x14ac:dyDescent="0.2">
      <c r="A981" s="21"/>
      <c r="B981" s="135"/>
      <c r="C981" s="141"/>
      <c r="D981" s="141"/>
      <c r="E981" s="136"/>
      <c r="F981" s="135"/>
      <c r="G981" s="34"/>
      <c r="H981" s="142"/>
      <c r="I981" s="34"/>
      <c r="J981" s="34">
        <f>Таблица1[[#This Row],[Блок
 Куб]]*Таблица1[[#This Row],[Цена 
Приход]]</f>
        <v>0</v>
      </c>
      <c r="K981" s="34"/>
      <c r="L981" s="34"/>
      <c r="M981" s="34">
        <f>Таблица1[[#This Row],[Поддон
Шт]]*Таблица1[[#This Row],[Цена
Поддон]]</f>
        <v>0</v>
      </c>
      <c r="N981" s="34">
        <f>Таблица1[[#This Row],[Сумма 
Приход]]+Таблица1[[#This Row],[Сумма Поддон]]</f>
        <v>0</v>
      </c>
      <c r="O981" s="34"/>
      <c r="P981" s="34">
        <f>Таблица1[[#This Row],[Блок
 Куб]]*Таблица1[[#This Row],[Цена
 Продажа]]</f>
        <v>0</v>
      </c>
      <c r="Q981" s="34"/>
      <c r="R981" s="34">
        <f>Таблица1[[#This Row],[Сумма 
Продажа]]-Таблица1[[#This Row],[Сумма 
Приход]]-Таблица1[[#This Row],[Авто услу ]]</f>
        <v>0</v>
      </c>
      <c r="S981" s="34"/>
      <c r="T981" s="34">
        <f>Таблица1[[#This Row],[Сумма 
Продажа]]-IF(Таблица1[[#This Row],[Расход 
Авто]]="Клиент",N(Таблица1[[#This Row],[Авто услу ]]),0)</f>
        <v>0</v>
      </c>
      <c r="U9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1" s="265" t="str">
        <f>IFERROR(INDEX(Мижозлар[Агент],MATCH($D981,Мижозлар[Расмий ном],0)),"")</f>
        <v/>
      </c>
    </row>
    <row r="982" spans="1:23" ht="14.25" x14ac:dyDescent="0.2">
      <c r="A982" s="21"/>
      <c r="B982" s="135"/>
      <c r="C982" s="141"/>
      <c r="D982" s="141"/>
      <c r="E982" s="136"/>
      <c r="F982" s="135"/>
      <c r="G982" s="34"/>
      <c r="H982" s="142"/>
      <c r="I982" s="34"/>
      <c r="J982" s="34">
        <f>Таблица1[[#This Row],[Блок
 Куб]]*Таблица1[[#This Row],[Цена 
Приход]]</f>
        <v>0</v>
      </c>
      <c r="K982" s="34"/>
      <c r="L982" s="34"/>
      <c r="M982" s="34">
        <f>Таблица1[[#This Row],[Поддон
Шт]]*Таблица1[[#This Row],[Цена
Поддон]]</f>
        <v>0</v>
      </c>
      <c r="N982" s="34">
        <f>Таблица1[[#This Row],[Сумма 
Приход]]+Таблица1[[#This Row],[Сумма Поддон]]</f>
        <v>0</v>
      </c>
      <c r="O982" s="34"/>
      <c r="P982" s="34">
        <f>Таблица1[[#This Row],[Блок
 Куб]]*Таблица1[[#This Row],[Цена
 Продажа]]</f>
        <v>0</v>
      </c>
      <c r="Q982" s="34"/>
      <c r="R982" s="34">
        <f>Таблица1[[#This Row],[Сумма 
Продажа]]-Таблица1[[#This Row],[Сумма 
Приход]]-Таблица1[[#This Row],[Авто услу ]]</f>
        <v>0</v>
      </c>
      <c r="S982" s="34"/>
      <c r="T982" s="34">
        <f>Таблица1[[#This Row],[Сумма 
Продажа]]-IF(Таблица1[[#This Row],[Расход 
Авто]]="Клиент",N(Таблица1[[#This Row],[Авто услу ]]),0)</f>
        <v>0</v>
      </c>
      <c r="U9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2" s="265" t="str">
        <f>IFERROR(INDEX(Мижозлар[Агент],MATCH($D982,Мижозлар[Расмий ном],0)),"")</f>
        <v/>
      </c>
    </row>
    <row r="983" spans="1:23" ht="14.25" x14ac:dyDescent="0.2">
      <c r="A983" s="21"/>
      <c r="B983" s="135"/>
      <c r="C983" s="141"/>
      <c r="D983" s="141"/>
      <c r="E983" s="136"/>
      <c r="F983" s="135"/>
      <c r="G983" s="34"/>
      <c r="H983" s="142"/>
      <c r="I983" s="34"/>
      <c r="J983" s="34">
        <f>Таблица1[[#This Row],[Блок
 Куб]]*Таблица1[[#This Row],[Цена 
Приход]]</f>
        <v>0</v>
      </c>
      <c r="K983" s="34"/>
      <c r="L983" s="34"/>
      <c r="M983" s="34">
        <f>Таблица1[[#This Row],[Поддон
Шт]]*Таблица1[[#This Row],[Цена
Поддон]]</f>
        <v>0</v>
      </c>
      <c r="N983" s="34">
        <f>Таблица1[[#This Row],[Сумма 
Приход]]+Таблица1[[#This Row],[Сумма Поддон]]</f>
        <v>0</v>
      </c>
      <c r="O983" s="34"/>
      <c r="P983" s="34">
        <f>Таблица1[[#This Row],[Блок
 Куб]]*Таблица1[[#This Row],[Цена
 Продажа]]</f>
        <v>0</v>
      </c>
      <c r="Q983" s="34"/>
      <c r="R983" s="34">
        <f>Таблица1[[#This Row],[Сумма 
Продажа]]-Таблица1[[#This Row],[Сумма 
Приход]]-Таблица1[[#This Row],[Авто услу ]]</f>
        <v>0</v>
      </c>
      <c r="S983" s="34"/>
      <c r="T983" s="34">
        <f>Таблица1[[#This Row],[Сумма 
Продажа]]-IF(Таблица1[[#This Row],[Расход 
Авто]]="Клиент",N(Таблица1[[#This Row],[Авто услу ]]),0)</f>
        <v>0</v>
      </c>
      <c r="U9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3" s="265" t="str">
        <f>IFERROR(INDEX(Мижозлар[Агент],MATCH($D983,Мижозлар[Расмий ном],0)),"")</f>
        <v/>
      </c>
    </row>
    <row r="984" spans="1:23" ht="14.25" x14ac:dyDescent="0.2">
      <c r="A984" s="21"/>
      <c r="B984" s="135"/>
      <c r="C984" s="141"/>
      <c r="D984" s="141"/>
      <c r="E984" s="136"/>
      <c r="F984" s="135"/>
      <c r="G984" s="34"/>
      <c r="H984" s="142"/>
      <c r="I984" s="34"/>
      <c r="J984" s="34">
        <f>Таблица1[[#This Row],[Блок
 Куб]]*Таблица1[[#This Row],[Цена 
Приход]]</f>
        <v>0</v>
      </c>
      <c r="K984" s="34"/>
      <c r="L984" s="34"/>
      <c r="M984" s="34">
        <f>Таблица1[[#This Row],[Поддон
Шт]]*Таблица1[[#This Row],[Цена
Поддон]]</f>
        <v>0</v>
      </c>
      <c r="N984" s="34">
        <f>Таблица1[[#This Row],[Сумма 
Приход]]+Таблица1[[#This Row],[Сумма Поддон]]</f>
        <v>0</v>
      </c>
      <c r="O984" s="34"/>
      <c r="P984" s="34">
        <f>Таблица1[[#This Row],[Блок
 Куб]]*Таблица1[[#This Row],[Цена
 Продажа]]</f>
        <v>0</v>
      </c>
      <c r="Q984" s="34"/>
      <c r="R984" s="34">
        <f>Таблица1[[#This Row],[Сумма 
Продажа]]-Таблица1[[#This Row],[Сумма 
Приход]]-Таблица1[[#This Row],[Авто услу ]]</f>
        <v>0</v>
      </c>
      <c r="S984" s="34"/>
      <c r="T984" s="34">
        <f>Таблица1[[#This Row],[Сумма 
Продажа]]-IF(Таблица1[[#This Row],[Расход 
Авто]]="Клиент",N(Таблица1[[#This Row],[Авто услу ]]),0)</f>
        <v>0</v>
      </c>
      <c r="U9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4" s="265" t="str">
        <f>IFERROR(INDEX(Мижозлар[Агент],MATCH($D984,Мижозлар[Расмий ном],0)),"")</f>
        <v/>
      </c>
    </row>
    <row r="985" spans="1:23" ht="14.25" x14ac:dyDescent="0.2">
      <c r="A985" s="21"/>
      <c r="B985" s="135"/>
      <c r="C985" s="141"/>
      <c r="D985" s="141"/>
      <c r="E985" s="136"/>
      <c r="F985" s="135"/>
      <c r="G985" s="34"/>
      <c r="H985" s="142"/>
      <c r="I985" s="34"/>
      <c r="J985" s="34">
        <f>Таблица1[[#This Row],[Блок
 Куб]]*Таблица1[[#This Row],[Цена 
Приход]]</f>
        <v>0</v>
      </c>
      <c r="K985" s="34"/>
      <c r="L985" s="34"/>
      <c r="M985" s="34">
        <f>Таблица1[[#This Row],[Поддон
Шт]]*Таблица1[[#This Row],[Цена
Поддон]]</f>
        <v>0</v>
      </c>
      <c r="N985" s="34">
        <f>Таблица1[[#This Row],[Сумма 
Приход]]+Таблица1[[#This Row],[Сумма Поддон]]</f>
        <v>0</v>
      </c>
      <c r="O985" s="34"/>
      <c r="P985" s="34">
        <f>Таблица1[[#This Row],[Блок
 Куб]]*Таблица1[[#This Row],[Цена
 Продажа]]</f>
        <v>0</v>
      </c>
      <c r="Q985" s="34"/>
      <c r="R985" s="34">
        <f>Таблица1[[#This Row],[Сумма 
Продажа]]-Таблица1[[#This Row],[Сумма 
Приход]]-Таблица1[[#This Row],[Авто услу ]]</f>
        <v>0</v>
      </c>
      <c r="S985" s="34"/>
      <c r="T985" s="34">
        <f>Таблица1[[#This Row],[Сумма 
Продажа]]-IF(Таблица1[[#This Row],[Расход 
Авто]]="Клиент",N(Таблица1[[#This Row],[Авто услу ]]),0)</f>
        <v>0</v>
      </c>
      <c r="U9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5" s="265" t="str">
        <f>IFERROR(INDEX(Мижозлар[Агент],MATCH($D985,Мижозлар[Расмий ном],0)),"")</f>
        <v/>
      </c>
    </row>
    <row r="986" spans="1:23" ht="14.25" x14ac:dyDescent="0.2">
      <c r="A986" s="21"/>
      <c r="B986" s="135"/>
      <c r="C986" s="141"/>
      <c r="D986" s="141"/>
      <c r="E986" s="136"/>
      <c r="F986" s="135"/>
      <c r="G986" s="34"/>
      <c r="H986" s="142"/>
      <c r="I986" s="34"/>
      <c r="J986" s="34">
        <f>Таблица1[[#This Row],[Блок
 Куб]]*Таблица1[[#This Row],[Цена 
Приход]]</f>
        <v>0</v>
      </c>
      <c r="K986" s="34"/>
      <c r="L986" s="34"/>
      <c r="M986" s="34">
        <f>Таблица1[[#This Row],[Поддон
Шт]]*Таблица1[[#This Row],[Цена
Поддон]]</f>
        <v>0</v>
      </c>
      <c r="N986" s="34">
        <f>Таблица1[[#This Row],[Сумма 
Приход]]+Таблица1[[#This Row],[Сумма Поддон]]</f>
        <v>0</v>
      </c>
      <c r="O986" s="34"/>
      <c r="P986" s="34">
        <f>Таблица1[[#This Row],[Блок
 Куб]]*Таблица1[[#This Row],[Цена
 Продажа]]</f>
        <v>0</v>
      </c>
      <c r="Q986" s="34"/>
      <c r="R986" s="34">
        <f>Таблица1[[#This Row],[Сумма 
Продажа]]-Таблица1[[#This Row],[Сумма 
Приход]]-Таблица1[[#This Row],[Авто услу ]]</f>
        <v>0</v>
      </c>
      <c r="S986" s="34"/>
      <c r="T986" s="34">
        <f>Таблица1[[#This Row],[Сумма 
Продажа]]-IF(Таблица1[[#This Row],[Расход 
Авто]]="Клиент",N(Таблица1[[#This Row],[Авто услу ]]),0)</f>
        <v>0</v>
      </c>
      <c r="U9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6" s="265" t="str">
        <f>IFERROR(INDEX(Мижозлар[Агент],MATCH($D986,Мижозлар[Расмий ном],0)),"")</f>
        <v/>
      </c>
    </row>
    <row r="987" spans="1:23" ht="14.25" x14ac:dyDescent="0.2">
      <c r="A987" s="21"/>
      <c r="B987" s="135"/>
      <c r="C987" s="141"/>
      <c r="D987" s="141"/>
      <c r="E987" s="136"/>
      <c r="F987" s="135"/>
      <c r="G987" s="34"/>
      <c r="H987" s="142"/>
      <c r="I987" s="34"/>
      <c r="J987" s="34">
        <f>Таблица1[[#This Row],[Блок
 Куб]]*Таблица1[[#This Row],[Цена 
Приход]]</f>
        <v>0</v>
      </c>
      <c r="K987" s="34"/>
      <c r="L987" s="34"/>
      <c r="M987" s="34">
        <f>Таблица1[[#This Row],[Поддон
Шт]]*Таблица1[[#This Row],[Цена
Поддон]]</f>
        <v>0</v>
      </c>
      <c r="N987" s="34">
        <f>Таблица1[[#This Row],[Сумма 
Приход]]+Таблица1[[#This Row],[Сумма Поддон]]</f>
        <v>0</v>
      </c>
      <c r="O987" s="34"/>
      <c r="P987" s="34">
        <f>Таблица1[[#This Row],[Блок
 Куб]]*Таблица1[[#This Row],[Цена
 Продажа]]</f>
        <v>0</v>
      </c>
      <c r="Q987" s="34"/>
      <c r="R987" s="34">
        <f>Таблица1[[#This Row],[Сумма 
Продажа]]-Таблица1[[#This Row],[Сумма 
Приход]]-Таблица1[[#This Row],[Авто услу ]]</f>
        <v>0</v>
      </c>
      <c r="S987" s="34"/>
      <c r="T987" s="34">
        <f>Таблица1[[#This Row],[Сумма 
Продажа]]-IF(Таблица1[[#This Row],[Расход 
Авто]]="Клиент",N(Таблица1[[#This Row],[Авто услу ]]),0)</f>
        <v>0</v>
      </c>
      <c r="U9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7" s="265" t="str">
        <f>IFERROR(INDEX(Мижозлар[Агент],MATCH($D987,Мижозлар[Расмий ном],0)),"")</f>
        <v/>
      </c>
    </row>
    <row r="988" spans="1:23" ht="14.25" x14ac:dyDescent="0.2">
      <c r="A988" s="21"/>
      <c r="B988" s="135"/>
      <c r="C988" s="141"/>
      <c r="D988" s="141"/>
      <c r="E988" s="136"/>
      <c r="F988" s="135"/>
      <c r="G988" s="34"/>
      <c r="H988" s="142"/>
      <c r="I988" s="34"/>
      <c r="J988" s="34">
        <f>Таблица1[[#This Row],[Блок
 Куб]]*Таблица1[[#This Row],[Цена 
Приход]]</f>
        <v>0</v>
      </c>
      <c r="K988" s="34"/>
      <c r="L988" s="34"/>
      <c r="M988" s="34">
        <f>Таблица1[[#This Row],[Поддон
Шт]]*Таблица1[[#This Row],[Цена
Поддон]]</f>
        <v>0</v>
      </c>
      <c r="N988" s="34">
        <f>Таблица1[[#This Row],[Сумма 
Приход]]+Таблица1[[#This Row],[Сумма Поддон]]</f>
        <v>0</v>
      </c>
      <c r="O988" s="34"/>
      <c r="P988" s="34">
        <f>Таблица1[[#This Row],[Блок
 Куб]]*Таблица1[[#This Row],[Цена
 Продажа]]</f>
        <v>0</v>
      </c>
      <c r="Q988" s="34"/>
      <c r="R988" s="34">
        <f>Таблица1[[#This Row],[Сумма 
Продажа]]-Таблица1[[#This Row],[Сумма 
Приход]]-Таблица1[[#This Row],[Авто услу ]]</f>
        <v>0</v>
      </c>
      <c r="S988" s="34"/>
      <c r="T988" s="34">
        <f>Таблица1[[#This Row],[Сумма 
Продажа]]-IF(Таблица1[[#This Row],[Расход 
Авто]]="Клиент",N(Таблица1[[#This Row],[Авто услу ]]),0)</f>
        <v>0</v>
      </c>
      <c r="U9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8" s="265" t="str">
        <f>IFERROR(INDEX(Мижозлар[Агент],MATCH($D988,Мижозлар[Расмий ном],0)),"")</f>
        <v/>
      </c>
    </row>
    <row r="989" spans="1:23" ht="14.25" x14ac:dyDescent="0.2">
      <c r="A989" s="21"/>
      <c r="B989" s="135"/>
      <c r="C989" s="141"/>
      <c r="D989" s="141"/>
      <c r="E989" s="136"/>
      <c r="F989" s="135"/>
      <c r="G989" s="34"/>
      <c r="H989" s="142"/>
      <c r="I989" s="34"/>
      <c r="J989" s="34">
        <f>Таблица1[[#This Row],[Блок
 Куб]]*Таблица1[[#This Row],[Цена 
Приход]]</f>
        <v>0</v>
      </c>
      <c r="K989" s="34"/>
      <c r="L989" s="34"/>
      <c r="M989" s="34">
        <f>Таблица1[[#This Row],[Поддон
Шт]]*Таблица1[[#This Row],[Цена
Поддон]]</f>
        <v>0</v>
      </c>
      <c r="N989" s="34">
        <f>Таблица1[[#This Row],[Сумма 
Приход]]+Таблица1[[#This Row],[Сумма Поддон]]</f>
        <v>0</v>
      </c>
      <c r="O989" s="34"/>
      <c r="P989" s="34">
        <f>Таблица1[[#This Row],[Блок
 Куб]]*Таблица1[[#This Row],[Цена
 Продажа]]</f>
        <v>0</v>
      </c>
      <c r="Q989" s="34"/>
      <c r="R989" s="34">
        <f>Таблица1[[#This Row],[Сумма 
Продажа]]-Таблица1[[#This Row],[Сумма 
Приход]]-Таблица1[[#This Row],[Авто услу ]]</f>
        <v>0</v>
      </c>
      <c r="S989" s="34"/>
      <c r="T989" s="34">
        <f>Таблица1[[#This Row],[Сумма 
Продажа]]-IF(Таблица1[[#This Row],[Расход 
Авто]]="Клиент",N(Таблица1[[#This Row],[Авто услу ]]),0)</f>
        <v>0</v>
      </c>
      <c r="U9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89" s="265" t="str">
        <f>IFERROR(INDEX(Мижозлар[Агент],MATCH($D989,Мижозлар[Расмий ном],0)),"")</f>
        <v/>
      </c>
    </row>
    <row r="990" spans="1:23" ht="14.25" x14ac:dyDescent="0.2">
      <c r="A990" s="21"/>
      <c r="B990" s="135"/>
      <c r="C990" s="141"/>
      <c r="D990" s="141"/>
      <c r="E990" s="136"/>
      <c r="F990" s="135"/>
      <c r="G990" s="34"/>
      <c r="H990" s="142"/>
      <c r="I990" s="34"/>
      <c r="J990" s="34">
        <f>Таблица1[[#This Row],[Блок
 Куб]]*Таблица1[[#This Row],[Цена 
Приход]]</f>
        <v>0</v>
      </c>
      <c r="K990" s="34"/>
      <c r="L990" s="34"/>
      <c r="M990" s="34">
        <f>Таблица1[[#This Row],[Поддон
Шт]]*Таблица1[[#This Row],[Цена
Поддон]]</f>
        <v>0</v>
      </c>
      <c r="N990" s="34">
        <f>Таблица1[[#This Row],[Сумма 
Приход]]+Таблица1[[#This Row],[Сумма Поддон]]</f>
        <v>0</v>
      </c>
      <c r="O990" s="34"/>
      <c r="P990" s="34">
        <f>Таблица1[[#This Row],[Блок
 Куб]]*Таблица1[[#This Row],[Цена
 Продажа]]</f>
        <v>0</v>
      </c>
      <c r="Q990" s="34"/>
      <c r="R990" s="34">
        <f>Таблица1[[#This Row],[Сумма 
Продажа]]-Таблица1[[#This Row],[Сумма 
Приход]]-Таблица1[[#This Row],[Авто услу ]]</f>
        <v>0</v>
      </c>
      <c r="S990" s="34"/>
      <c r="T990" s="34">
        <f>Таблица1[[#This Row],[Сумма 
Продажа]]-IF(Таблица1[[#This Row],[Расход 
Авто]]="Клиент",N(Таблица1[[#This Row],[Авто услу ]]),0)</f>
        <v>0</v>
      </c>
      <c r="U9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0" s="265" t="str">
        <f>IFERROR(INDEX(Мижозлар[Агент],MATCH($D990,Мижозлар[Расмий ном],0)),"")</f>
        <v/>
      </c>
    </row>
    <row r="991" spans="1:23" ht="14.25" x14ac:dyDescent="0.2">
      <c r="A991" s="21"/>
      <c r="B991" s="135"/>
      <c r="C991" s="141"/>
      <c r="D991" s="141"/>
      <c r="E991" s="136"/>
      <c r="F991" s="135"/>
      <c r="G991" s="34"/>
      <c r="H991" s="142"/>
      <c r="I991" s="34"/>
      <c r="J991" s="34">
        <f>Таблица1[[#This Row],[Блок
 Куб]]*Таблица1[[#This Row],[Цена 
Приход]]</f>
        <v>0</v>
      </c>
      <c r="K991" s="34"/>
      <c r="L991" s="34"/>
      <c r="M991" s="34">
        <f>Таблица1[[#This Row],[Поддон
Шт]]*Таблица1[[#This Row],[Цена
Поддон]]</f>
        <v>0</v>
      </c>
      <c r="N991" s="34">
        <f>Таблица1[[#This Row],[Сумма 
Приход]]+Таблица1[[#This Row],[Сумма Поддон]]</f>
        <v>0</v>
      </c>
      <c r="O991" s="34"/>
      <c r="P991" s="34">
        <f>Таблица1[[#This Row],[Блок
 Куб]]*Таблица1[[#This Row],[Цена
 Продажа]]</f>
        <v>0</v>
      </c>
      <c r="Q991" s="34"/>
      <c r="R991" s="34">
        <f>Таблица1[[#This Row],[Сумма 
Продажа]]-Таблица1[[#This Row],[Сумма 
Приход]]-Таблица1[[#This Row],[Авто услу ]]</f>
        <v>0</v>
      </c>
      <c r="S991" s="34"/>
      <c r="T991" s="34">
        <f>Таблица1[[#This Row],[Сумма 
Продажа]]-IF(Таблица1[[#This Row],[Расход 
Авто]]="Клиент",N(Таблица1[[#This Row],[Авто услу ]]),0)</f>
        <v>0</v>
      </c>
      <c r="U9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1" s="265" t="str">
        <f>IFERROR(INDEX(Мижозлар[Агент],MATCH($D991,Мижозлар[Расмий ном],0)),"")</f>
        <v/>
      </c>
    </row>
    <row r="992" spans="1:23" ht="14.25" x14ac:dyDescent="0.2">
      <c r="A992" s="21"/>
      <c r="B992" s="135"/>
      <c r="C992" s="141"/>
      <c r="D992" s="141"/>
      <c r="E992" s="136"/>
      <c r="F992" s="135"/>
      <c r="G992" s="34"/>
      <c r="H992" s="142"/>
      <c r="I992" s="34"/>
      <c r="J992" s="34">
        <f>Таблица1[[#This Row],[Блок
 Куб]]*Таблица1[[#This Row],[Цена 
Приход]]</f>
        <v>0</v>
      </c>
      <c r="K992" s="34"/>
      <c r="L992" s="34"/>
      <c r="M992" s="34">
        <f>Таблица1[[#This Row],[Поддон
Шт]]*Таблица1[[#This Row],[Цена
Поддон]]</f>
        <v>0</v>
      </c>
      <c r="N992" s="34">
        <f>Таблица1[[#This Row],[Сумма 
Приход]]+Таблица1[[#This Row],[Сумма Поддон]]</f>
        <v>0</v>
      </c>
      <c r="O992" s="34"/>
      <c r="P992" s="34">
        <f>Таблица1[[#This Row],[Блок
 Куб]]*Таблица1[[#This Row],[Цена
 Продажа]]</f>
        <v>0</v>
      </c>
      <c r="Q992" s="34"/>
      <c r="R992" s="34">
        <f>Таблица1[[#This Row],[Сумма 
Продажа]]-Таблица1[[#This Row],[Сумма 
Приход]]-Таблица1[[#This Row],[Авто услу ]]</f>
        <v>0</v>
      </c>
      <c r="S992" s="34"/>
      <c r="T992" s="34">
        <f>Таблица1[[#This Row],[Сумма 
Продажа]]-IF(Таблица1[[#This Row],[Расход 
Авто]]="Клиент",N(Таблица1[[#This Row],[Авто услу ]]),0)</f>
        <v>0</v>
      </c>
      <c r="U9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2" s="265" t="str">
        <f>IFERROR(INDEX(Мижозлар[Агент],MATCH($D992,Мижозлар[Расмий ном],0)),"")</f>
        <v/>
      </c>
    </row>
    <row r="993" spans="1:23" ht="14.25" x14ac:dyDescent="0.2">
      <c r="A993" s="21"/>
      <c r="B993" s="135"/>
      <c r="C993" s="141"/>
      <c r="D993" s="141"/>
      <c r="E993" s="136"/>
      <c r="F993" s="135"/>
      <c r="G993" s="34"/>
      <c r="H993" s="142"/>
      <c r="I993" s="34"/>
      <c r="J993" s="34">
        <f>Таблица1[[#This Row],[Блок
 Куб]]*Таблица1[[#This Row],[Цена 
Приход]]</f>
        <v>0</v>
      </c>
      <c r="K993" s="34"/>
      <c r="L993" s="34"/>
      <c r="M993" s="34">
        <f>Таблица1[[#This Row],[Поддон
Шт]]*Таблица1[[#This Row],[Цена
Поддон]]</f>
        <v>0</v>
      </c>
      <c r="N993" s="34">
        <f>Таблица1[[#This Row],[Сумма 
Приход]]+Таблица1[[#This Row],[Сумма Поддон]]</f>
        <v>0</v>
      </c>
      <c r="O993" s="34"/>
      <c r="P993" s="34">
        <f>Таблица1[[#This Row],[Блок
 Куб]]*Таблица1[[#This Row],[Цена
 Продажа]]</f>
        <v>0</v>
      </c>
      <c r="Q993" s="34"/>
      <c r="R993" s="34">
        <f>Таблица1[[#This Row],[Сумма 
Продажа]]-Таблица1[[#This Row],[Сумма 
Приход]]-Таблица1[[#This Row],[Авто услу ]]</f>
        <v>0</v>
      </c>
      <c r="S993" s="34"/>
      <c r="T993" s="34">
        <f>Таблица1[[#This Row],[Сумма 
Продажа]]-IF(Таблица1[[#This Row],[Расход 
Авто]]="Клиент",N(Таблица1[[#This Row],[Авто услу ]]),0)</f>
        <v>0</v>
      </c>
      <c r="U9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3" s="265" t="str">
        <f>IFERROR(INDEX(Мижозлар[Агент],MATCH($D993,Мижозлар[Расмий ном],0)),"")</f>
        <v/>
      </c>
    </row>
    <row r="994" spans="1:23" ht="14.25" x14ac:dyDescent="0.2">
      <c r="A994" s="21"/>
      <c r="B994" s="135"/>
      <c r="C994" s="141"/>
      <c r="D994" s="141"/>
      <c r="E994" s="136"/>
      <c r="F994" s="135"/>
      <c r="G994" s="34"/>
      <c r="H994" s="142"/>
      <c r="I994" s="34"/>
      <c r="J994" s="34">
        <f>Таблица1[[#This Row],[Блок
 Куб]]*Таблица1[[#This Row],[Цена 
Приход]]</f>
        <v>0</v>
      </c>
      <c r="K994" s="34"/>
      <c r="L994" s="34"/>
      <c r="M994" s="34">
        <f>Таблица1[[#This Row],[Поддон
Шт]]*Таблица1[[#This Row],[Цена
Поддон]]</f>
        <v>0</v>
      </c>
      <c r="N994" s="34">
        <f>Таблица1[[#This Row],[Сумма 
Приход]]+Таблица1[[#This Row],[Сумма Поддон]]</f>
        <v>0</v>
      </c>
      <c r="O994" s="34"/>
      <c r="P994" s="34">
        <f>Таблица1[[#This Row],[Блок
 Куб]]*Таблица1[[#This Row],[Цена
 Продажа]]</f>
        <v>0</v>
      </c>
      <c r="Q994" s="34"/>
      <c r="R994" s="34">
        <f>Таблица1[[#This Row],[Сумма 
Продажа]]-Таблица1[[#This Row],[Сумма 
Приход]]-Таблица1[[#This Row],[Авто услу ]]</f>
        <v>0</v>
      </c>
      <c r="S994" s="34"/>
      <c r="T994" s="34">
        <f>Таблица1[[#This Row],[Сумма 
Продажа]]-IF(Таблица1[[#This Row],[Расход 
Авто]]="Клиент",N(Таблица1[[#This Row],[Авто услу ]]),0)</f>
        <v>0</v>
      </c>
      <c r="U9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4" s="265" t="str">
        <f>IFERROR(INDEX(Мижозлар[Агент],MATCH($D994,Мижозлар[Расмий ном],0)),"")</f>
        <v/>
      </c>
    </row>
    <row r="995" spans="1:23" ht="14.25" x14ac:dyDescent="0.2">
      <c r="A995" s="21"/>
      <c r="B995" s="135"/>
      <c r="C995" s="141"/>
      <c r="D995" s="141"/>
      <c r="E995" s="136"/>
      <c r="F995" s="135"/>
      <c r="G995" s="34"/>
      <c r="H995" s="142"/>
      <c r="I995" s="34"/>
      <c r="J995" s="34">
        <f>Таблица1[[#This Row],[Блок
 Куб]]*Таблица1[[#This Row],[Цена 
Приход]]</f>
        <v>0</v>
      </c>
      <c r="K995" s="34"/>
      <c r="L995" s="34"/>
      <c r="M995" s="34">
        <f>Таблица1[[#This Row],[Поддон
Шт]]*Таблица1[[#This Row],[Цена
Поддон]]</f>
        <v>0</v>
      </c>
      <c r="N995" s="34">
        <f>Таблица1[[#This Row],[Сумма 
Приход]]+Таблица1[[#This Row],[Сумма Поддон]]</f>
        <v>0</v>
      </c>
      <c r="O995" s="34"/>
      <c r="P995" s="34">
        <f>Таблица1[[#This Row],[Блок
 Куб]]*Таблица1[[#This Row],[Цена
 Продажа]]</f>
        <v>0</v>
      </c>
      <c r="Q995" s="34"/>
      <c r="R995" s="34">
        <f>Таблица1[[#This Row],[Сумма 
Продажа]]-Таблица1[[#This Row],[Сумма 
Приход]]-Таблица1[[#This Row],[Авто услу ]]</f>
        <v>0</v>
      </c>
      <c r="S995" s="34"/>
      <c r="T995" s="34">
        <f>Таблица1[[#This Row],[Сумма 
Продажа]]-IF(Таблица1[[#This Row],[Расход 
Авто]]="Клиент",N(Таблица1[[#This Row],[Авто услу ]]),0)</f>
        <v>0</v>
      </c>
      <c r="U9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5" s="265" t="str">
        <f>IFERROR(INDEX(Мижозлар[Агент],MATCH($D995,Мижозлар[Расмий ном],0)),"")</f>
        <v/>
      </c>
    </row>
    <row r="996" spans="1:23" ht="14.25" x14ac:dyDescent="0.2">
      <c r="A996" s="21"/>
      <c r="B996" s="135"/>
      <c r="C996" s="141"/>
      <c r="D996" s="141"/>
      <c r="E996" s="136"/>
      <c r="F996" s="135"/>
      <c r="G996" s="34"/>
      <c r="H996" s="142"/>
      <c r="I996" s="34"/>
      <c r="J996" s="34">
        <f>Таблица1[[#This Row],[Блок
 Куб]]*Таблица1[[#This Row],[Цена 
Приход]]</f>
        <v>0</v>
      </c>
      <c r="K996" s="34"/>
      <c r="L996" s="34"/>
      <c r="M996" s="34">
        <f>Таблица1[[#This Row],[Поддон
Шт]]*Таблица1[[#This Row],[Цена
Поддон]]</f>
        <v>0</v>
      </c>
      <c r="N996" s="34">
        <f>Таблица1[[#This Row],[Сумма 
Приход]]+Таблица1[[#This Row],[Сумма Поддон]]</f>
        <v>0</v>
      </c>
      <c r="O996" s="34"/>
      <c r="P996" s="34">
        <f>Таблица1[[#This Row],[Блок
 Куб]]*Таблица1[[#This Row],[Цена
 Продажа]]</f>
        <v>0</v>
      </c>
      <c r="Q996" s="34"/>
      <c r="R996" s="34">
        <f>Таблица1[[#This Row],[Сумма 
Продажа]]-Таблица1[[#This Row],[Сумма 
Приход]]-Таблица1[[#This Row],[Авто услу ]]</f>
        <v>0</v>
      </c>
      <c r="S996" s="34"/>
      <c r="T996" s="34">
        <f>Таблица1[[#This Row],[Сумма 
Продажа]]-IF(Таблица1[[#This Row],[Расход 
Авто]]="Клиент",N(Таблица1[[#This Row],[Авто услу ]]),0)</f>
        <v>0</v>
      </c>
      <c r="U9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6" s="265" t="str">
        <f>IFERROR(INDEX(Мижозлар[Агент],MATCH($D996,Мижозлар[Расмий ном],0)),"")</f>
        <v/>
      </c>
    </row>
    <row r="997" spans="1:23" ht="14.25" x14ac:dyDescent="0.2">
      <c r="A997" s="21"/>
      <c r="B997" s="135"/>
      <c r="C997" s="141"/>
      <c r="D997" s="141"/>
      <c r="E997" s="136"/>
      <c r="F997" s="135"/>
      <c r="G997" s="34"/>
      <c r="H997" s="142"/>
      <c r="I997" s="34"/>
      <c r="J997" s="34">
        <f>Таблица1[[#This Row],[Блок
 Куб]]*Таблица1[[#This Row],[Цена 
Приход]]</f>
        <v>0</v>
      </c>
      <c r="K997" s="34"/>
      <c r="L997" s="34"/>
      <c r="M997" s="34">
        <f>Таблица1[[#This Row],[Поддон
Шт]]*Таблица1[[#This Row],[Цена
Поддон]]</f>
        <v>0</v>
      </c>
      <c r="N997" s="34">
        <f>Таблица1[[#This Row],[Сумма 
Приход]]+Таблица1[[#This Row],[Сумма Поддон]]</f>
        <v>0</v>
      </c>
      <c r="O997" s="34"/>
      <c r="P997" s="34">
        <f>Таблица1[[#This Row],[Блок
 Куб]]*Таблица1[[#This Row],[Цена
 Продажа]]</f>
        <v>0</v>
      </c>
      <c r="Q997" s="34"/>
      <c r="R997" s="34">
        <f>Таблица1[[#This Row],[Сумма 
Продажа]]-Таблица1[[#This Row],[Сумма 
Приход]]-Таблица1[[#This Row],[Авто услу ]]</f>
        <v>0</v>
      </c>
      <c r="S997" s="34"/>
      <c r="T997" s="34">
        <f>Таблица1[[#This Row],[Сумма 
Продажа]]-IF(Таблица1[[#This Row],[Расход 
Авто]]="Клиент",N(Таблица1[[#This Row],[Авто услу ]]),0)</f>
        <v>0</v>
      </c>
      <c r="U9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7" s="265" t="str">
        <f>IFERROR(INDEX(Мижозлар[Агент],MATCH($D997,Мижозлар[Расмий ном],0)),"")</f>
        <v/>
      </c>
    </row>
    <row r="998" spans="1:23" ht="14.25" x14ac:dyDescent="0.2">
      <c r="A998" s="21"/>
      <c r="B998" s="135"/>
      <c r="C998" s="141"/>
      <c r="D998" s="141"/>
      <c r="E998" s="136"/>
      <c r="F998" s="135"/>
      <c r="G998" s="34"/>
      <c r="H998" s="142"/>
      <c r="I998" s="34"/>
      <c r="J998" s="34">
        <f>Таблица1[[#This Row],[Блок
 Куб]]*Таблица1[[#This Row],[Цена 
Приход]]</f>
        <v>0</v>
      </c>
      <c r="K998" s="34"/>
      <c r="L998" s="34"/>
      <c r="M998" s="34">
        <f>Таблица1[[#This Row],[Поддон
Шт]]*Таблица1[[#This Row],[Цена
Поддон]]</f>
        <v>0</v>
      </c>
      <c r="N998" s="34">
        <f>Таблица1[[#This Row],[Сумма 
Приход]]+Таблица1[[#This Row],[Сумма Поддон]]</f>
        <v>0</v>
      </c>
      <c r="O998" s="34"/>
      <c r="P998" s="34">
        <f>Таблица1[[#This Row],[Блок
 Куб]]*Таблица1[[#This Row],[Цена
 Продажа]]</f>
        <v>0</v>
      </c>
      <c r="Q998" s="34"/>
      <c r="R998" s="34">
        <f>Таблица1[[#This Row],[Сумма 
Продажа]]-Таблица1[[#This Row],[Сумма 
Приход]]-Таблица1[[#This Row],[Авто услу ]]</f>
        <v>0</v>
      </c>
      <c r="S998" s="34"/>
      <c r="T998" s="34">
        <f>Таблица1[[#This Row],[Сумма 
Продажа]]-IF(Таблица1[[#This Row],[Расход 
Авто]]="Клиент",N(Таблица1[[#This Row],[Авто услу ]]),0)</f>
        <v>0</v>
      </c>
      <c r="U9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8" s="265" t="str">
        <f>IFERROR(INDEX(Мижозлар[Агент],MATCH($D998,Мижозлар[Расмий ном],0)),"")</f>
        <v/>
      </c>
    </row>
    <row r="999" spans="1:23" ht="14.25" x14ac:dyDescent="0.2">
      <c r="A999" s="21"/>
      <c r="B999" s="135"/>
      <c r="C999" s="141"/>
      <c r="D999" s="141"/>
      <c r="E999" s="136"/>
      <c r="F999" s="135"/>
      <c r="G999" s="34"/>
      <c r="H999" s="142"/>
      <c r="I999" s="34"/>
      <c r="J999" s="34">
        <f>Таблица1[[#This Row],[Блок
 Куб]]*Таблица1[[#This Row],[Цена 
Приход]]</f>
        <v>0</v>
      </c>
      <c r="K999" s="34"/>
      <c r="L999" s="34"/>
      <c r="M999" s="34">
        <f>Таблица1[[#This Row],[Поддон
Шт]]*Таблица1[[#This Row],[Цена
Поддон]]</f>
        <v>0</v>
      </c>
      <c r="N999" s="34">
        <f>Таблица1[[#This Row],[Сумма 
Приход]]+Таблица1[[#This Row],[Сумма Поддон]]</f>
        <v>0</v>
      </c>
      <c r="O999" s="34"/>
      <c r="P999" s="34">
        <f>Таблица1[[#This Row],[Блок
 Куб]]*Таблица1[[#This Row],[Цена
 Продажа]]</f>
        <v>0</v>
      </c>
      <c r="Q999" s="34"/>
      <c r="R999" s="34">
        <f>Таблица1[[#This Row],[Сумма 
Продажа]]-Таблица1[[#This Row],[Сумма 
Приход]]-Таблица1[[#This Row],[Авто услу ]]</f>
        <v>0</v>
      </c>
      <c r="S999" s="34"/>
      <c r="T999" s="34">
        <f>Таблица1[[#This Row],[Сумма 
Продажа]]-IF(Таблица1[[#This Row],[Расход 
Авто]]="Клиент",N(Таблица1[[#This Row],[Авто услу ]]),0)</f>
        <v>0</v>
      </c>
      <c r="U9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9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999" s="265" t="str">
        <f>IFERROR(INDEX(Мижозлар[Агент],MATCH($D999,Мижозлар[Расмий ном],0)),"")</f>
        <v/>
      </c>
    </row>
    <row r="1000" spans="1:23" ht="14.25" x14ac:dyDescent="0.2">
      <c r="A1000" s="21"/>
      <c r="B1000" s="135"/>
      <c r="C1000" s="141"/>
      <c r="D1000" s="141"/>
      <c r="E1000" s="136"/>
      <c r="F1000" s="135"/>
      <c r="G1000" s="34"/>
      <c r="H1000" s="142"/>
      <c r="I1000" s="34"/>
      <c r="J1000" s="34">
        <f>Таблица1[[#This Row],[Блок
 Куб]]*Таблица1[[#This Row],[Цена 
Приход]]</f>
        <v>0</v>
      </c>
      <c r="K1000" s="34"/>
      <c r="L1000" s="34"/>
      <c r="M1000" s="34">
        <f>Таблица1[[#This Row],[Поддон
Шт]]*Таблица1[[#This Row],[Цена
Поддон]]</f>
        <v>0</v>
      </c>
      <c r="N1000" s="34">
        <f>Таблица1[[#This Row],[Сумма 
Приход]]+Таблица1[[#This Row],[Сумма Поддон]]</f>
        <v>0</v>
      </c>
      <c r="O1000" s="34"/>
      <c r="P1000" s="34">
        <f>Таблица1[[#This Row],[Блок
 Куб]]*Таблица1[[#This Row],[Цена
 Продажа]]</f>
        <v>0</v>
      </c>
      <c r="Q1000" s="34"/>
      <c r="R1000" s="34">
        <f>Таблица1[[#This Row],[Сумма 
Продажа]]-Таблица1[[#This Row],[Сумма 
Приход]]-Таблица1[[#This Row],[Авто услу ]]</f>
        <v>0</v>
      </c>
      <c r="S1000" s="34"/>
      <c r="T1000" s="34">
        <f>Таблица1[[#This Row],[Сумма 
Продажа]]-IF(Таблица1[[#This Row],[Расход 
Авто]]="Клиент",N(Таблица1[[#This Row],[Авто услу ]]),0)</f>
        <v>0</v>
      </c>
      <c r="U10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0" s="265" t="str">
        <f>IFERROR(INDEX(Мижозлар[Агент],MATCH($D1000,Мижозлар[Расмий ном],0)),"")</f>
        <v/>
      </c>
    </row>
    <row r="1001" spans="1:23" ht="14.25" x14ac:dyDescent="0.2">
      <c r="A1001" s="21"/>
      <c r="B1001" s="135"/>
      <c r="C1001" s="141"/>
      <c r="D1001" s="141"/>
      <c r="E1001" s="136"/>
      <c r="F1001" s="135"/>
      <c r="G1001" s="34"/>
      <c r="H1001" s="142"/>
      <c r="I1001" s="34"/>
      <c r="J1001" s="34">
        <f>Таблица1[[#This Row],[Блок
 Куб]]*Таблица1[[#This Row],[Цена 
Приход]]</f>
        <v>0</v>
      </c>
      <c r="K1001" s="34"/>
      <c r="L1001" s="34"/>
      <c r="M1001" s="34">
        <f>Таблица1[[#This Row],[Поддон
Шт]]*Таблица1[[#This Row],[Цена
Поддон]]</f>
        <v>0</v>
      </c>
      <c r="N1001" s="34">
        <f>Таблица1[[#This Row],[Сумма 
Приход]]+Таблица1[[#This Row],[Сумма Поддон]]</f>
        <v>0</v>
      </c>
      <c r="O1001" s="34"/>
      <c r="P1001" s="34">
        <f>Таблица1[[#This Row],[Блок
 Куб]]*Таблица1[[#This Row],[Цена
 Продажа]]</f>
        <v>0</v>
      </c>
      <c r="Q1001" s="34"/>
      <c r="R1001" s="34">
        <f>Таблица1[[#This Row],[Сумма 
Продажа]]-Таблица1[[#This Row],[Сумма 
Приход]]-Таблица1[[#This Row],[Авто услу ]]</f>
        <v>0</v>
      </c>
      <c r="S1001" s="34"/>
      <c r="T1001" s="34">
        <f>Таблица1[[#This Row],[Сумма 
Продажа]]-IF(Таблица1[[#This Row],[Расход 
Авто]]="Клиент",N(Таблица1[[#This Row],[Авто услу ]]),0)</f>
        <v>0</v>
      </c>
      <c r="U10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1" s="265" t="str">
        <f>IFERROR(INDEX(Мижозлар[Агент],MATCH($D1001,Мижозлар[Расмий ном],0)),"")</f>
        <v/>
      </c>
    </row>
    <row r="1002" spans="1:23" ht="14.25" x14ac:dyDescent="0.2">
      <c r="A1002" s="21"/>
      <c r="B1002" s="135"/>
      <c r="C1002" s="141"/>
      <c r="D1002" s="141"/>
      <c r="E1002" s="136"/>
      <c r="F1002" s="135"/>
      <c r="G1002" s="34"/>
      <c r="H1002" s="142"/>
      <c r="I1002" s="34"/>
      <c r="J1002" s="34">
        <f>Таблица1[[#This Row],[Блок
 Куб]]*Таблица1[[#This Row],[Цена 
Приход]]</f>
        <v>0</v>
      </c>
      <c r="K1002" s="34"/>
      <c r="L1002" s="34"/>
      <c r="M1002" s="34">
        <f>Таблица1[[#This Row],[Поддон
Шт]]*Таблица1[[#This Row],[Цена
Поддон]]</f>
        <v>0</v>
      </c>
      <c r="N1002" s="34">
        <f>Таблица1[[#This Row],[Сумма 
Приход]]+Таблица1[[#This Row],[Сумма Поддон]]</f>
        <v>0</v>
      </c>
      <c r="O1002" s="34"/>
      <c r="P1002" s="34">
        <f>Таблица1[[#This Row],[Блок
 Куб]]*Таблица1[[#This Row],[Цена
 Продажа]]</f>
        <v>0</v>
      </c>
      <c r="Q1002" s="34"/>
      <c r="R1002" s="34">
        <f>Таблица1[[#This Row],[Сумма 
Продажа]]-Таблица1[[#This Row],[Сумма 
Приход]]-Таблица1[[#This Row],[Авто услу ]]</f>
        <v>0</v>
      </c>
      <c r="S1002" s="34"/>
      <c r="T1002" s="34">
        <f>Таблица1[[#This Row],[Сумма 
Продажа]]-IF(Таблица1[[#This Row],[Расход 
Авто]]="Клиент",N(Таблица1[[#This Row],[Авто услу ]]),0)</f>
        <v>0</v>
      </c>
      <c r="U10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2" s="265" t="str">
        <f>IFERROR(INDEX(Мижозлар[Агент],MATCH($D1002,Мижозлар[Расмий ном],0)),"")</f>
        <v/>
      </c>
    </row>
    <row r="1003" spans="1:23" ht="14.25" x14ac:dyDescent="0.2">
      <c r="A1003" s="21"/>
      <c r="B1003" s="135"/>
      <c r="C1003" s="141"/>
      <c r="D1003" s="141"/>
      <c r="E1003" s="136"/>
      <c r="F1003" s="135"/>
      <c r="G1003" s="34"/>
      <c r="H1003" s="142"/>
      <c r="I1003" s="34"/>
      <c r="J1003" s="34">
        <f>Таблица1[[#This Row],[Блок
 Куб]]*Таблица1[[#This Row],[Цена 
Приход]]</f>
        <v>0</v>
      </c>
      <c r="K1003" s="34"/>
      <c r="L1003" s="34"/>
      <c r="M1003" s="34">
        <f>Таблица1[[#This Row],[Поддон
Шт]]*Таблица1[[#This Row],[Цена
Поддон]]</f>
        <v>0</v>
      </c>
      <c r="N1003" s="34">
        <f>Таблица1[[#This Row],[Сумма 
Приход]]+Таблица1[[#This Row],[Сумма Поддон]]</f>
        <v>0</v>
      </c>
      <c r="O1003" s="34"/>
      <c r="P1003" s="34">
        <f>Таблица1[[#This Row],[Блок
 Куб]]*Таблица1[[#This Row],[Цена
 Продажа]]</f>
        <v>0</v>
      </c>
      <c r="Q1003" s="34"/>
      <c r="R1003" s="34">
        <f>Таблица1[[#This Row],[Сумма 
Продажа]]-Таблица1[[#This Row],[Сумма 
Приход]]-Таблица1[[#This Row],[Авто услу ]]</f>
        <v>0</v>
      </c>
      <c r="S1003" s="34"/>
      <c r="T1003" s="34">
        <f>Таблица1[[#This Row],[Сумма 
Продажа]]-IF(Таблица1[[#This Row],[Расход 
Авто]]="Клиент",N(Таблица1[[#This Row],[Авто услу ]]),0)</f>
        <v>0</v>
      </c>
      <c r="U10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3" s="265" t="str">
        <f>IFERROR(INDEX(Мижозлар[Агент],MATCH($D1003,Мижозлар[Расмий ном],0)),"")</f>
        <v/>
      </c>
    </row>
    <row r="1004" spans="1:23" ht="14.25" x14ac:dyDescent="0.2">
      <c r="A1004" s="21"/>
      <c r="B1004" s="135"/>
      <c r="C1004" s="141"/>
      <c r="D1004" s="141"/>
      <c r="E1004" s="136"/>
      <c r="F1004" s="135"/>
      <c r="G1004" s="34"/>
      <c r="H1004" s="142"/>
      <c r="I1004" s="34"/>
      <c r="J1004" s="34">
        <f>Таблица1[[#This Row],[Блок
 Куб]]*Таблица1[[#This Row],[Цена 
Приход]]</f>
        <v>0</v>
      </c>
      <c r="K1004" s="34"/>
      <c r="L1004" s="34"/>
      <c r="M1004" s="34">
        <f>Таблица1[[#This Row],[Поддон
Шт]]*Таблица1[[#This Row],[Цена
Поддон]]</f>
        <v>0</v>
      </c>
      <c r="N1004" s="34">
        <f>Таблица1[[#This Row],[Сумма 
Приход]]+Таблица1[[#This Row],[Сумма Поддон]]</f>
        <v>0</v>
      </c>
      <c r="O1004" s="34"/>
      <c r="P1004" s="34">
        <f>Таблица1[[#This Row],[Блок
 Куб]]*Таблица1[[#This Row],[Цена
 Продажа]]</f>
        <v>0</v>
      </c>
      <c r="Q1004" s="34"/>
      <c r="R1004" s="34">
        <f>Таблица1[[#This Row],[Сумма 
Продажа]]-Таблица1[[#This Row],[Сумма 
Приход]]-Таблица1[[#This Row],[Авто услу ]]</f>
        <v>0</v>
      </c>
      <c r="S1004" s="34"/>
      <c r="T1004" s="34">
        <f>Таблица1[[#This Row],[Сумма 
Продажа]]-IF(Таблица1[[#This Row],[Расход 
Авто]]="Клиент",N(Таблица1[[#This Row],[Авто услу ]]),0)</f>
        <v>0</v>
      </c>
      <c r="U10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4" s="265" t="str">
        <f>IFERROR(INDEX(Мижозлар[Агент],MATCH($D1004,Мижозлар[Расмий ном],0)),"")</f>
        <v/>
      </c>
    </row>
    <row r="1005" spans="1:23" ht="14.25" x14ac:dyDescent="0.2">
      <c r="A1005" s="21"/>
      <c r="B1005" s="135"/>
      <c r="C1005" s="141"/>
      <c r="D1005" s="141"/>
      <c r="E1005" s="136"/>
      <c r="F1005" s="135"/>
      <c r="G1005" s="34"/>
      <c r="H1005" s="142"/>
      <c r="I1005" s="34"/>
      <c r="J1005" s="34">
        <f>Таблица1[[#This Row],[Блок
 Куб]]*Таблица1[[#This Row],[Цена 
Приход]]</f>
        <v>0</v>
      </c>
      <c r="K1005" s="34"/>
      <c r="L1005" s="34"/>
      <c r="M1005" s="34">
        <f>Таблица1[[#This Row],[Поддон
Шт]]*Таблица1[[#This Row],[Цена
Поддон]]</f>
        <v>0</v>
      </c>
      <c r="N1005" s="34">
        <f>Таблица1[[#This Row],[Сумма 
Приход]]+Таблица1[[#This Row],[Сумма Поддон]]</f>
        <v>0</v>
      </c>
      <c r="O1005" s="34"/>
      <c r="P1005" s="34">
        <f>Таблица1[[#This Row],[Блок
 Куб]]*Таблица1[[#This Row],[Цена
 Продажа]]</f>
        <v>0</v>
      </c>
      <c r="Q1005" s="34"/>
      <c r="R1005" s="34">
        <f>Таблица1[[#This Row],[Сумма 
Продажа]]-Таблица1[[#This Row],[Сумма 
Приход]]-Таблица1[[#This Row],[Авто услу ]]</f>
        <v>0</v>
      </c>
      <c r="S1005" s="34"/>
      <c r="T1005" s="34">
        <f>Таблица1[[#This Row],[Сумма 
Продажа]]-IF(Таблица1[[#This Row],[Расход 
Авто]]="Клиент",N(Таблица1[[#This Row],[Авто услу ]]),0)</f>
        <v>0</v>
      </c>
      <c r="U10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5" s="265" t="str">
        <f>IFERROR(INDEX(Мижозлар[Агент],MATCH($D1005,Мижозлар[Расмий ном],0)),"")</f>
        <v/>
      </c>
    </row>
    <row r="1006" spans="1:23" ht="14.25" x14ac:dyDescent="0.2">
      <c r="A1006" s="21"/>
      <c r="B1006" s="135"/>
      <c r="C1006" s="141"/>
      <c r="D1006" s="141"/>
      <c r="E1006" s="136"/>
      <c r="F1006" s="135"/>
      <c r="G1006" s="34"/>
      <c r="H1006" s="142"/>
      <c r="I1006" s="34"/>
      <c r="J1006" s="34">
        <f>Таблица1[[#This Row],[Блок
 Куб]]*Таблица1[[#This Row],[Цена 
Приход]]</f>
        <v>0</v>
      </c>
      <c r="K1006" s="34"/>
      <c r="L1006" s="34"/>
      <c r="M1006" s="34">
        <f>Таблица1[[#This Row],[Поддон
Шт]]*Таблица1[[#This Row],[Цена
Поддон]]</f>
        <v>0</v>
      </c>
      <c r="N1006" s="34">
        <f>Таблица1[[#This Row],[Сумма 
Приход]]+Таблица1[[#This Row],[Сумма Поддон]]</f>
        <v>0</v>
      </c>
      <c r="O1006" s="34"/>
      <c r="P1006" s="34">
        <f>Таблица1[[#This Row],[Блок
 Куб]]*Таблица1[[#This Row],[Цена
 Продажа]]</f>
        <v>0</v>
      </c>
      <c r="Q1006" s="34"/>
      <c r="R1006" s="34">
        <f>Таблица1[[#This Row],[Сумма 
Продажа]]-Таблица1[[#This Row],[Сумма 
Приход]]-Таблица1[[#This Row],[Авто услу ]]</f>
        <v>0</v>
      </c>
      <c r="S1006" s="34"/>
      <c r="T1006" s="34">
        <f>Таблица1[[#This Row],[Сумма 
Продажа]]-IF(Таблица1[[#This Row],[Расход 
Авто]]="Клиент",N(Таблица1[[#This Row],[Авто услу ]]),0)</f>
        <v>0</v>
      </c>
      <c r="U10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6" s="265" t="str">
        <f>IFERROR(INDEX(Мижозлар[Агент],MATCH($D1006,Мижозлар[Расмий ном],0)),"")</f>
        <v/>
      </c>
    </row>
    <row r="1007" spans="1:23" ht="14.25" x14ac:dyDescent="0.2">
      <c r="A1007" s="21"/>
      <c r="B1007" s="135"/>
      <c r="C1007" s="141"/>
      <c r="D1007" s="141"/>
      <c r="E1007" s="136"/>
      <c r="F1007" s="135"/>
      <c r="G1007" s="34"/>
      <c r="H1007" s="142"/>
      <c r="I1007" s="34"/>
      <c r="J1007" s="34">
        <f>Таблица1[[#This Row],[Блок
 Куб]]*Таблица1[[#This Row],[Цена 
Приход]]</f>
        <v>0</v>
      </c>
      <c r="K1007" s="34"/>
      <c r="L1007" s="34"/>
      <c r="M1007" s="34">
        <f>Таблица1[[#This Row],[Поддон
Шт]]*Таблица1[[#This Row],[Цена
Поддон]]</f>
        <v>0</v>
      </c>
      <c r="N1007" s="34">
        <f>Таблица1[[#This Row],[Сумма 
Приход]]+Таблица1[[#This Row],[Сумма Поддон]]</f>
        <v>0</v>
      </c>
      <c r="O1007" s="34"/>
      <c r="P1007" s="34">
        <f>Таблица1[[#This Row],[Блок
 Куб]]*Таблица1[[#This Row],[Цена
 Продажа]]</f>
        <v>0</v>
      </c>
      <c r="Q1007" s="34"/>
      <c r="R1007" s="34">
        <f>Таблица1[[#This Row],[Сумма 
Продажа]]-Таблица1[[#This Row],[Сумма 
Приход]]-Таблица1[[#This Row],[Авто услу ]]</f>
        <v>0</v>
      </c>
      <c r="S1007" s="34"/>
      <c r="T1007" s="34">
        <f>Таблица1[[#This Row],[Сумма 
Продажа]]-IF(Таблица1[[#This Row],[Расход 
Авто]]="Клиент",N(Таблица1[[#This Row],[Авто услу ]]),0)</f>
        <v>0</v>
      </c>
      <c r="U10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7" s="265" t="str">
        <f>IFERROR(INDEX(Мижозлар[Агент],MATCH($D1007,Мижозлар[Расмий ном],0)),"")</f>
        <v/>
      </c>
    </row>
    <row r="1008" spans="1:23" ht="14.25" x14ac:dyDescent="0.2">
      <c r="A1008" s="21"/>
      <c r="B1008" s="135"/>
      <c r="C1008" s="141"/>
      <c r="D1008" s="141"/>
      <c r="E1008" s="136"/>
      <c r="F1008" s="135"/>
      <c r="G1008" s="34"/>
      <c r="H1008" s="142"/>
      <c r="I1008" s="34"/>
      <c r="J1008" s="34">
        <f>Таблица1[[#This Row],[Блок
 Куб]]*Таблица1[[#This Row],[Цена 
Приход]]</f>
        <v>0</v>
      </c>
      <c r="K1008" s="34"/>
      <c r="L1008" s="34"/>
      <c r="M1008" s="34">
        <f>Таблица1[[#This Row],[Поддон
Шт]]*Таблица1[[#This Row],[Цена
Поддон]]</f>
        <v>0</v>
      </c>
      <c r="N1008" s="34">
        <f>Таблица1[[#This Row],[Сумма 
Приход]]+Таблица1[[#This Row],[Сумма Поддон]]</f>
        <v>0</v>
      </c>
      <c r="O1008" s="34"/>
      <c r="P1008" s="34">
        <f>Таблица1[[#This Row],[Блок
 Куб]]*Таблица1[[#This Row],[Цена
 Продажа]]</f>
        <v>0</v>
      </c>
      <c r="Q1008" s="34"/>
      <c r="R1008" s="34">
        <f>Таблица1[[#This Row],[Сумма 
Продажа]]-Таблица1[[#This Row],[Сумма 
Приход]]-Таблица1[[#This Row],[Авто услу ]]</f>
        <v>0</v>
      </c>
      <c r="S1008" s="34"/>
      <c r="T1008" s="34">
        <f>Таблица1[[#This Row],[Сумма 
Продажа]]-IF(Таблица1[[#This Row],[Расход 
Авто]]="Клиент",N(Таблица1[[#This Row],[Авто услу ]]),0)</f>
        <v>0</v>
      </c>
      <c r="U10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8" s="265" t="str">
        <f>IFERROR(INDEX(Мижозлар[Агент],MATCH($D1008,Мижозлар[Расмий ном],0)),"")</f>
        <v/>
      </c>
    </row>
    <row r="1009" spans="1:23" ht="14.25" x14ac:dyDescent="0.2">
      <c r="A1009" s="21"/>
      <c r="B1009" s="135"/>
      <c r="C1009" s="141"/>
      <c r="D1009" s="141"/>
      <c r="E1009" s="136"/>
      <c r="F1009" s="135"/>
      <c r="G1009" s="34"/>
      <c r="H1009" s="142"/>
      <c r="I1009" s="34"/>
      <c r="J1009" s="34">
        <f>Таблица1[[#This Row],[Блок
 Куб]]*Таблица1[[#This Row],[Цена 
Приход]]</f>
        <v>0</v>
      </c>
      <c r="K1009" s="34"/>
      <c r="L1009" s="34"/>
      <c r="M1009" s="34">
        <f>Таблица1[[#This Row],[Поддон
Шт]]*Таблица1[[#This Row],[Цена
Поддон]]</f>
        <v>0</v>
      </c>
      <c r="N1009" s="34">
        <f>Таблица1[[#This Row],[Сумма 
Приход]]+Таблица1[[#This Row],[Сумма Поддон]]</f>
        <v>0</v>
      </c>
      <c r="O1009" s="34"/>
      <c r="P1009" s="34">
        <f>Таблица1[[#This Row],[Блок
 Куб]]*Таблица1[[#This Row],[Цена
 Продажа]]</f>
        <v>0</v>
      </c>
      <c r="Q1009" s="34"/>
      <c r="R1009" s="34">
        <f>Таблица1[[#This Row],[Сумма 
Продажа]]-Таблица1[[#This Row],[Сумма 
Приход]]-Таблица1[[#This Row],[Авто услу ]]</f>
        <v>0</v>
      </c>
      <c r="S1009" s="34"/>
      <c r="T1009" s="34">
        <f>Таблица1[[#This Row],[Сумма 
Продажа]]-IF(Таблица1[[#This Row],[Расход 
Авто]]="Клиент",N(Таблица1[[#This Row],[Авто услу ]]),0)</f>
        <v>0</v>
      </c>
      <c r="U10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09" s="265" t="str">
        <f>IFERROR(INDEX(Мижозлар[Агент],MATCH($D1009,Мижозлар[Расмий ном],0)),"")</f>
        <v/>
      </c>
    </row>
    <row r="1010" spans="1:23" ht="14.25" x14ac:dyDescent="0.2">
      <c r="A1010" s="21"/>
      <c r="B1010" s="135"/>
      <c r="C1010" s="141"/>
      <c r="D1010" s="141"/>
      <c r="E1010" s="136"/>
      <c r="F1010" s="135"/>
      <c r="G1010" s="34"/>
      <c r="H1010" s="142"/>
      <c r="I1010" s="34"/>
      <c r="J1010" s="34">
        <f>Таблица1[[#This Row],[Блок
 Куб]]*Таблица1[[#This Row],[Цена 
Приход]]</f>
        <v>0</v>
      </c>
      <c r="K1010" s="34"/>
      <c r="L1010" s="34"/>
      <c r="M1010" s="34">
        <f>Таблица1[[#This Row],[Поддон
Шт]]*Таблица1[[#This Row],[Цена
Поддон]]</f>
        <v>0</v>
      </c>
      <c r="N1010" s="34">
        <f>Таблица1[[#This Row],[Сумма 
Приход]]+Таблица1[[#This Row],[Сумма Поддон]]</f>
        <v>0</v>
      </c>
      <c r="O1010" s="34"/>
      <c r="P1010" s="34">
        <f>Таблица1[[#This Row],[Блок
 Куб]]*Таблица1[[#This Row],[Цена
 Продажа]]</f>
        <v>0</v>
      </c>
      <c r="Q1010" s="34"/>
      <c r="R1010" s="34">
        <f>Таблица1[[#This Row],[Сумма 
Продажа]]-Таблица1[[#This Row],[Сумма 
Приход]]-Таблица1[[#This Row],[Авто услу ]]</f>
        <v>0</v>
      </c>
      <c r="S1010" s="34"/>
      <c r="T1010" s="34">
        <f>Таблица1[[#This Row],[Сумма 
Продажа]]-IF(Таблица1[[#This Row],[Расход 
Авто]]="Клиент",N(Таблица1[[#This Row],[Авто услу ]]),0)</f>
        <v>0</v>
      </c>
      <c r="U10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0" s="265" t="str">
        <f>IFERROR(INDEX(Мижозлар[Агент],MATCH($D1010,Мижозлар[Расмий ном],0)),"")</f>
        <v/>
      </c>
    </row>
    <row r="1011" spans="1:23" ht="14.25" x14ac:dyDescent="0.2">
      <c r="A1011" s="21"/>
      <c r="B1011" s="135"/>
      <c r="C1011" s="141"/>
      <c r="D1011" s="141"/>
      <c r="E1011" s="136"/>
      <c r="F1011" s="135"/>
      <c r="G1011" s="34"/>
      <c r="H1011" s="142"/>
      <c r="I1011" s="34"/>
      <c r="J1011" s="34">
        <f>Таблица1[[#This Row],[Блок
 Куб]]*Таблица1[[#This Row],[Цена 
Приход]]</f>
        <v>0</v>
      </c>
      <c r="K1011" s="34"/>
      <c r="L1011" s="34"/>
      <c r="M1011" s="34">
        <f>Таблица1[[#This Row],[Поддон
Шт]]*Таблица1[[#This Row],[Цена
Поддон]]</f>
        <v>0</v>
      </c>
      <c r="N1011" s="34">
        <f>Таблица1[[#This Row],[Сумма 
Приход]]+Таблица1[[#This Row],[Сумма Поддон]]</f>
        <v>0</v>
      </c>
      <c r="O1011" s="34"/>
      <c r="P1011" s="34">
        <f>Таблица1[[#This Row],[Блок
 Куб]]*Таблица1[[#This Row],[Цена
 Продажа]]</f>
        <v>0</v>
      </c>
      <c r="Q1011" s="34"/>
      <c r="R1011" s="34">
        <f>Таблица1[[#This Row],[Сумма 
Продажа]]-Таблица1[[#This Row],[Сумма 
Приход]]-Таблица1[[#This Row],[Авто услу ]]</f>
        <v>0</v>
      </c>
      <c r="S1011" s="34"/>
      <c r="T1011" s="34">
        <f>Таблица1[[#This Row],[Сумма 
Продажа]]-IF(Таблица1[[#This Row],[Расход 
Авто]]="Клиент",N(Таблица1[[#This Row],[Авто услу ]]),0)</f>
        <v>0</v>
      </c>
      <c r="U101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1" s="265" t="str">
        <f>IFERROR(INDEX(Мижозлар[Агент],MATCH($D1011,Мижозлар[Расмий ном],0)),"")</f>
        <v/>
      </c>
    </row>
    <row r="1012" spans="1:23" ht="14.25" x14ac:dyDescent="0.2">
      <c r="A1012" s="21"/>
      <c r="B1012" s="135"/>
      <c r="C1012" s="141"/>
      <c r="D1012" s="141"/>
      <c r="E1012" s="136"/>
      <c r="F1012" s="135"/>
      <c r="G1012" s="34"/>
      <c r="H1012" s="142"/>
      <c r="I1012" s="34"/>
      <c r="J1012" s="34">
        <f>Таблица1[[#This Row],[Блок
 Куб]]*Таблица1[[#This Row],[Цена 
Приход]]</f>
        <v>0</v>
      </c>
      <c r="K1012" s="34"/>
      <c r="L1012" s="34"/>
      <c r="M1012" s="34">
        <f>Таблица1[[#This Row],[Поддон
Шт]]*Таблица1[[#This Row],[Цена
Поддон]]</f>
        <v>0</v>
      </c>
      <c r="N1012" s="34">
        <f>Таблица1[[#This Row],[Сумма 
Приход]]+Таблица1[[#This Row],[Сумма Поддон]]</f>
        <v>0</v>
      </c>
      <c r="O1012" s="34"/>
      <c r="P1012" s="34">
        <f>Таблица1[[#This Row],[Блок
 Куб]]*Таблица1[[#This Row],[Цена
 Продажа]]</f>
        <v>0</v>
      </c>
      <c r="Q1012" s="34"/>
      <c r="R1012" s="34">
        <f>Таблица1[[#This Row],[Сумма 
Продажа]]-Таблица1[[#This Row],[Сумма 
Приход]]-Таблица1[[#This Row],[Авто услу ]]</f>
        <v>0</v>
      </c>
      <c r="S1012" s="34"/>
      <c r="T1012" s="34">
        <f>Таблица1[[#This Row],[Сумма 
Продажа]]-IF(Таблица1[[#This Row],[Расход 
Авто]]="Клиент",N(Таблица1[[#This Row],[Авто услу ]]),0)</f>
        <v>0</v>
      </c>
      <c r="U101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2" s="265" t="str">
        <f>IFERROR(INDEX(Мижозлар[Агент],MATCH($D1012,Мижозлар[Расмий ном],0)),"")</f>
        <v/>
      </c>
    </row>
    <row r="1013" spans="1:23" ht="14.25" x14ac:dyDescent="0.2">
      <c r="A1013" s="21"/>
      <c r="B1013" s="135"/>
      <c r="C1013" s="141"/>
      <c r="D1013" s="141"/>
      <c r="E1013" s="136"/>
      <c r="F1013" s="135"/>
      <c r="G1013" s="34"/>
      <c r="H1013" s="142"/>
      <c r="I1013" s="34"/>
      <c r="J1013" s="34">
        <f>Таблица1[[#This Row],[Блок
 Куб]]*Таблица1[[#This Row],[Цена 
Приход]]</f>
        <v>0</v>
      </c>
      <c r="K1013" s="34"/>
      <c r="L1013" s="34"/>
      <c r="M1013" s="34">
        <f>Таблица1[[#This Row],[Поддон
Шт]]*Таблица1[[#This Row],[Цена
Поддон]]</f>
        <v>0</v>
      </c>
      <c r="N1013" s="34">
        <f>Таблица1[[#This Row],[Сумма 
Приход]]+Таблица1[[#This Row],[Сумма Поддон]]</f>
        <v>0</v>
      </c>
      <c r="O1013" s="34"/>
      <c r="P1013" s="34">
        <f>Таблица1[[#This Row],[Блок
 Куб]]*Таблица1[[#This Row],[Цена
 Продажа]]</f>
        <v>0</v>
      </c>
      <c r="Q1013" s="34"/>
      <c r="R1013" s="34">
        <f>Таблица1[[#This Row],[Сумма 
Продажа]]-Таблица1[[#This Row],[Сумма 
Приход]]-Таблица1[[#This Row],[Авто услу ]]</f>
        <v>0</v>
      </c>
      <c r="S1013" s="34"/>
      <c r="T1013" s="34">
        <f>Таблица1[[#This Row],[Сумма 
Продажа]]-IF(Таблица1[[#This Row],[Расход 
Авто]]="Клиент",N(Таблица1[[#This Row],[Авто услу ]]),0)</f>
        <v>0</v>
      </c>
      <c r="U101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3" s="265" t="str">
        <f>IFERROR(INDEX(Мижозлар[Агент],MATCH($D1013,Мижозлар[Расмий ном],0)),"")</f>
        <v/>
      </c>
    </row>
    <row r="1014" spans="1:23" ht="14.25" x14ac:dyDescent="0.2">
      <c r="A1014" s="21"/>
      <c r="B1014" s="135"/>
      <c r="C1014" s="141"/>
      <c r="D1014" s="141"/>
      <c r="E1014" s="136"/>
      <c r="F1014" s="135"/>
      <c r="G1014" s="34"/>
      <c r="H1014" s="142"/>
      <c r="I1014" s="34"/>
      <c r="J1014" s="34">
        <f>Таблица1[[#This Row],[Блок
 Куб]]*Таблица1[[#This Row],[Цена 
Приход]]</f>
        <v>0</v>
      </c>
      <c r="K1014" s="34"/>
      <c r="L1014" s="34"/>
      <c r="M1014" s="34">
        <f>Таблица1[[#This Row],[Поддон
Шт]]*Таблица1[[#This Row],[Цена
Поддон]]</f>
        <v>0</v>
      </c>
      <c r="N1014" s="34">
        <f>Таблица1[[#This Row],[Сумма 
Приход]]+Таблица1[[#This Row],[Сумма Поддон]]</f>
        <v>0</v>
      </c>
      <c r="O1014" s="34"/>
      <c r="P1014" s="34">
        <f>Таблица1[[#This Row],[Блок
 Куб]]*Таблица1[[#This Row],[Цена
 Продажа]]</f>
        <v>0</v>
      </c>
      <c r="Q1014" s="34"/>
      <c r="R1014" s="34">
        <f>Таблица1[[#This Row],[Сумма 
Продажа]]-Таблица1[[#This Row],[Сумма 
Приход]]-Таблица1[[#This Row],[Авто услу ]]</f>
        <v>0</v>
      </c>
      <c r="S1014" s="34"/>
      <c r="T1014" s="34">
        <f>Таблица1[[#This Row],[Сумма 
Продажа]]-IF(Таблица1[[#This Row],[Расход 
Авто]]="Клиент",N(Таблица1[[#This Row],[Авто услу ]]),0)</f>
        <v>0</v>
      </c>
      <c r="U101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4" s="265" t="str">
        <f>IFERROR(INDEX(Мижозлар[Агент],MATCH($D1014,Мижозлар[Расмий ном],0)),"")</f>
        <v/>
      </c>
    </row>
    <row r="1015" spans="1:23" ht="14.25" x14ac:dyDescent="0.2">
      <c r="A1015" s="21"/>
      <c r="B1015" s="135"/>
      <c r="C1015" s="141"/>
      <c r="D1015" s="141"/>
      <c r="E1015" s="136"/>
      <c r="F1015" s="135"/>
      <c r="G1015" s="34"/>
      <c r="H1015" s="142"/>
      <c r="I1015" s="34"/>
      <c r="J1015" s="34">
        <f>Таблица1[[#This Row],[Блок
 Куб]]*Таблица1[[#This Row],[Цена 
Приход]]</f>
        <v>0</v>
      </c>
      <c r="K1015" s="34"/>
      <c r="L1015" s="34"/>
      <c r="M1015" s="34">
        <f>Таблица1[[#This Row],[Поддон
Шт]]*Таблица1[[#This Row],[Цена
Поддон]]</f>
        <v>0</v>
      </c>
      <c r="N1015" s="34">
        <f>Таблица1[[#This Row],[Сумма 
Приход]]+Таблица1[[#This Row],[Сумма Поддон]]</f>
        <v>0</v>
      </c>
      <c r="O1015" s="34"/>
      <c r="P1015" s="34">
        <f>Таблица1[[#This Row],[Блок
 Куб]]*Таблица1[[#This Row],[Цена
 Продажа]]</f>
        <v>0</v>
      </c>
      <c r="Q1015" s="34"/>
      <c r="R1015" s="34">
        <f>Таблица1[[#This Row],[Сумма 
Продажа]]-Таблица1[[#This Row],[Сумма 
Приход]]-Таблица1[[#This Row],[Авто услу ]]</f>
        <v>0</v>
      </c>
      <c r="S1015" s="34"/>
      <c r="T1015" s="34">
        <f>Таблица1[[#This Row],[Сумма 
Продажа]]-IF(Таблица1[[#This Row],[Расход 
Авто]]="Клиент",N(Таблица1[[#This Row],[Авто услу ]]),0)</f>
        <v>0</v>
      </c>
      <c r="U101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5" s="265" t="str">
        <f>IFERROR(INDEX(Мижозлар[Агент],MATCH($D1015,Мижозлар[Расмий ном],0)),"")</f>
        <v/>
      </c>
    </row>
    <row r="1016" spans="1:23" ht="14.25" x14ac:dyDescent="0.2">
      <c r="A1016" s="21"/>
      <c r="B1016" s="135"/>
      <c r="C1016" s="141"/>
      <c r="D1016" s="141"/>
      <c r="E1016" s="136"/>
      <c r="F1016" s="135"/>
      <c r="G1016" s="34"/>
      <c r="H1016" s="142"/>
      <c r="I1016" s="34"/>
      <c r="J1016" s="34">
        <f>Таблица1[[#This Row],[Блок
 Куб]]*Таблица1[[#This Row],[Цена 
Приход]]</f>
        <v>0</v>
      </c>
      <c r="K1016" s="34"/>
      <c r="L1016" s="34"/>
      <c r="M1016" s="34">
        <f>Таблица1[[#This Row],[Поддон
Шт]]*Таблица1[[#This Row],[Цена
Поддон]]</f>
        <v>0</v>
      </c>
      <c r="N1016" s="34">
        <f>Таблица1[[#This Row],[Сумма 
Приход]]+Таблица1[[#This Row],[Сумма Поддон]]</f>
        <v>0</v>
      </c>
      <c r="O1016" s="34"/>
      <c r="P1016" s="34">
        <f>Таблица1[[#This Row],[Блок
 Куб]]*Таблица1[[#This Row],[Цена
 Продажа]]</f>
        <v>0</v>
      </c>
      <c r="Q1016" s="34"/>
      <c r="R1016" s="34">
        <f>Таблица1[[#This Row],[Сумма 
Продажа]]-Таблица1[[#This Row],[Сумма 
Приход]]-Таблица1[[#This Row],[Авто услу ]]</f>
        <v>0</v>
      </c>
      <c r="S1016" s="34"/>
      <c r="T1016" s="34">
        <f>Таблица1[[#This Row],[Сумма 
Продажа]]-IF(Таблица1[[#This Row],[Расход 
Авто]]="Клиент",N(Таблица1[[#This Row],[Авто услу ]]),0)</f>
        <v>0</v>
      </c>
      <c r="U101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6" s="265" t="str">
        <f>IFERROR(INDEX(Мижозлар[Агент],MATCH($D1016,Мижозлар[Расмий ном],0)),"")</f>
        <v/>
      </c>
    </row>
    <row r="1017" spans="1:23" ht="14.25" x14ac:dyDescent="0.2">
      <c r="A1017" s="21"/>
      <c r="B1017" s="135"/>
      <c r="C1017" s="141"/>
      <c r="D1017" s="141"/>
      <c r="E1017" s="136"/>
      <c r="F1017" s="135"/>
      <c r="G1017" s="34"/>
      <c r="H1017" s="142"/>
      <c r="I1017" s="34"/>
      <c r="J1017" s="34">
        <f>Таблица1[[#This Row],[Блок
 Куб]]*Таблица1[[#This Row],[Цена 
Приход]]</f>
        <v>0</v>
      </c>
      <c r="K1017" s="34"/>
      <c r="L1017" s="34"/>
      <c r="M1017" s="34">
        <f>Таблица1[[#This Row],[Поддон
Шт]]*Таблица1[[#This Row],[Цена
Поддон]]</f>
        <v>0</v>
      </c>
      <c r="N1017" s="34">
        <f>Таблица1[[#This Row],[Сумма 
Приход]]+Таблица1[[#This Row],[Сумма Поддон]]</f>
        <v>0</v>
      </c>
      <c r="O1017" s="34"/>
      <c r="P1017" s="34">
        <f>Таблица1[[#This Row],[Блок
 Куб]]*Таблица1[[#This Row],[Цена
 Продажа]]</f>
        <v>0</v>
      </c>
      <c r="Q1017" s="34"/>
      <c r="R1017" s="34">
        <f>Таблица1[[#This Row],[Сумма 
Продажа]]-Таблица1[[#This Row],[Сумма 
Приход]]-Таблица1[[#This Row],[Авто услу ]]</f>
        <v>0</v>
      </c>
      <c r="S1017" s="34"/>
      <c r="T1017" s="34">
        <f>Таблица1[[#This Row],[Сумма 
Продажа]]-IF(Таблица1[[#This Row],[Расход 
Авто]]="Клиент",N(Таблица1[[#This Row],[Авто услу ]]),0)</f>
        <v>0</v>
      </c>
      <c r="U101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7" s="265" t="str">
        <f>IFERROR(INDEX(Мижозлар[Агент],MATCH($D1017,Мижозлар[Расмий ном],0)),"")</f>
        <v/>
      </c>
    </row>
    <row r="1018" spans="1:23" ht="14.25" x14ac:dyDescent="0.2">
      <c r="A1018" s="21"/>
      <c r="B1018" s="135"/>
      <c r="C1018" s="141"/>
      <c r="D1018" s="141"/>
      <c r="E1018" s="136"/>
      <c r="F1018" s="135"/>
      <c r="G1018" s="34"/>
      <c r="H1018" s="142"/>
      <c r="I1018" s="34"/>
      <c r="J1018" s="34">
        <f>Таблица1[[#This Row],[Блок
 Куб]]*Таблица1[[#This Row],[Цена 
Приход]]</f>
        <v>0</v>
      </c>
      <c r="K1018" s="34"/>
      <c r="L1018" s="34"/>
      <c r="M1018" s="34">
        <f>Таблица1[[#This Row],[Поддон
Шт]]*Таблица1[[#This Row],[Цена
Поддон]]</f>
        <v>0</v>
      </c>
      <c r="N1018" s="34">
        <f>Таблица1[[#This Row],[Сумма 
Приход]]+Таблица1[[#This Row],[Сумма Поддон]]</f>
        <v>0</v>
      </c>
      <c r="O1018" s="34"/>
      <c r="P1018" s="34">
        <f>Таблица1[[#This Row],[Блок
 Куб]]*Таблица1[[#This Row],[Цена
 Продажа]]</f>
        <v>0</v>
      </c>
      <c r="Q1018" s="34"/>
      <c r="R1018" s="34">
        <f>Таблица1[[#This Row],[Сумма 
Продажа]]-Таблица1[[#This Row],[Сумма 
Приход]]-Таблица1[[#This Row],[Авто услу ]]</f>
        <v>0</v>
      </c>
      <c r="S1018" s="34"/>
      <c r="T1018" s="34">
        <f>Таблица1[[#This Row],[Сумма 
Продажа]]-IF(Таблица1[[#This Row],[Расход 
Авто]]="Клиент",N(Таблица1[[#This Row],[Авто услу ]]),0)</f>
        <v>0</v>
      </c>
      <c r="U101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8" s="265" t="str">
        <f>IFERROR(INDEX(Мижозлар[Агент],MATCH($D1018,Мижозлар[Расмий ном],0)),"")</f>
        <v/>
      </c>
    </row>
    <row r="1019" spans="1:23" ht="14.25" x14ac:dyDescent="0.2">
      <c r="A1019" s="21"/>
      <c r="B1019" s="135"/>
      <c r="C1019" s="141"/>
      <c r="D1019" s="141"/>
      <c r="E1019" s="136"/>
      <c r="F1019" s="135"/>
      <c r="G1019" s="34"/>
      <c r="H1019" s="142"/>
      <c r="I1019" s="34"/>
      <c r="J1019" s="34">
        <f>Таблица1[[#This Row],[Блок
 Куб]]*Таблица1[[#This Row],[Цена 
Приход]]</f>
        <v>0</v>
      </c>
      <c r="K1019" s="34"/>
      <c r="L1019" s="34"/>
      <c r="M1019" s="34">
        <f>Таблица1[[#This Row],[Поддон
Шт]]*Таблица1[[#This Row],[Цена
Поддон]]</f>
        <v>0</v>
      </c>
      <c r="N1019" s="34">
        <f>Таблица1[[#This Row],[Сумма 
Приход]]+Таблица1[[#This Row],[Сумма Поддон]]</f>
        <v>0</v>
      </c>
      <c r="O1019" s="34"/>
      <c r="P1019" s="34">
        <f>Таблица1[[#This Row],[Блок
 Куб]]*Таблица1[[#This Row],[Цена
 Продажа]]</f>
        <v>0</v>
      </c>
      <c r="Q1019" s="34"/>
      <c r="R1019" s="34">
        <f>Таблица1[[#This Row],[Сумма 
Продажа]]-Таблица1[[#This Row],[Сумма 
Приход]]-Таблица1[[#This Row],[Авто услу ]]</f>
        <v>0</v>
      </c>
      <c r="S1019" s="34"/>
      <c r="T1019" s="34">
        <f>Таблица1[[#This Row],[Сумма 
Продажа]]-IF(Таблица1[[#This Row],[Расход 
Авто]]="Клиент",N(Таблица1[[#This Row],[Авто услу ]]),0)</f>
        <v>0</v>
      </c>
      <c r="U101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1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19" s="265" t="str">
        <f>IFERROR(INDEX(Мижозлар[Агент],MATCH($D1019,Мижозлар[Расмий ном],0)),"")</f>
        <v/>
      </c>
    </row>
    <row r="1020" spans="1:23" ht="14.25" x14ac:dyDescent="0.2">
      <c r="A1020" s="21"/>
      <c r="B1020" s="135"/>
      <c r="C1020" s="141"/>
      <c r="D1020" s="141"/>
      <c r="E1020" s="136"/>
      <c r="F1020" s="135"/>
      <c r="G1020" s="34"/>
      <c r="H1020" s="142"/>
      <c r="I1020" s="34"/>
      <c r="J1020" s="34">
        <f>Таблица1[[#This Row],[Блок
 Куб]]*Таблица1[[#This Row],[Цена 
Приход]]</f>
        <v>0</v>
      </c>
      <c r="K1020" s="34"/>
      <c r="L1020" s="34"/>
      <c r="M1020" s="34">
        <f>Таблица1[[#This Row],[Поддон
Шт]]*Таблица1[[#This Row],[Цена
Поддон]]</f>
        <v>0</v>
      </c>
      <c r="N1020" s="34">
        <f>Таблица1[[#This Row],[Сумма 
Приход]]+Таблица1[[#This Row],[Сумма Поддон]]</f>
        <v>0</v>
      </c>
      <c r="O1020" s="34"/>
      <c r="P1020" s="34">
        <f>Таблица1[[#This Row],[Блок
 Куб]]*Таблица1[[#This Row],[Цена
 Продажа]]</f>
        <v>0</v>
      </c>
      <c r="Q1020" s="34"/>
      <c r="R1020" s="34">
        <f>Таблица1[[#This Row],[Сумма 
Продажа]]-Таблица1[[#This Row],[Сумма 
Приход]]-Таблица1[[#This Row],[Авто услу ]]</f>
        <v>0</v>
      </c>
      <c r="S1020" s="34"/>
      <c r="T1020" s="34">
        <f>Таблица1[[#This Row],[Сумма 
Продажа]]-IF(Таблица1[[#This Row],[Расход 
Авто]]="Клиент",N(Таблица1[[#This Row],[Авто услу ]]),0)</f>
        <v>0</v>
      </c>
      <c r="U102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0" s="265" t="str">
        <f>IFERROR(INDEX(Мижозлар[Агент],MATCH($D1020,Мижозлар[Расмий ном],0)),"")</f>
        <v/>
      </c>
    </row>
    <row r="1021" spans="1:23" ht="14.25" x14ac:dyDescent="0.2">
      <c r="A1021" s="21"/>
      <c r="B1021" s="135"/>
      <c r="C1021" s="141"/>
      <c r="D1021" s="141"/>
      <c r="E1021" s="136"/>
      <c r="F1021" s="135"/>
      <c r="G1021" s="34"/>
      <c r="H1021" s="142"/>
      <c r="I1021" s="34"/>
      <c r="J1021" s="34">
        <f>Таблица1[[#This Row],[Блок
 Куб]]*Таблица1[[#This Row],[Цена 
Приход]]</f>
        <v>0</v>
      </c>
      <c r="K1021" s="34"/>
      <c r="L1021" s="34"/>
      <c r="M1021" s="34">
        <f>Таблица1[[#This Row],[Поддон
Шт]]*Таблица1[[#This Row],[Цена
Поддон]]</f>
        <v>0</v>
      </c>
      <c r="N1021" s="34">
        <f>Таблица1[[#This Row],[Сумма 
Приход]]+Таблица1[[#This Row],[Сумма Поддон]]</f>
        <v>0</v>
      </c>
      <c r="O1021" s="34"/>
      <c r="P1021" s="34">
        <f>Таблица1[[#This Row],[Блок
 Куб]]*Таблица1[[#This Row],[Цена
 Продажа]]</f>
        <v>0</v>
      </c>
      <c r="Q1021" s="34"/>
      <c r="R1021" s="34">
        <f>Таблица1[[#This Row],[Сумма 
Продажа]]-Таблица1[[#This Row],[Сумма 
Приход]]-Таблица1[[#This Row],[Авто услу ]]</f>
        <v>0</v>
      </c>
      <c r="S1021" s="34"/>
      <c r="T1021" s="34">
        <f>Таблица1[[#This Row],[Сумма 
Продажа]]-IF(Таблица1[[#This Row],[Расход 
Авто]]="Клиент",N(Таблица1[[#This Row],[Авто услу ]]),0)</f>
        <v>0</v>
      </c>
      <c r="U102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1" s="265" t="str">
        <f>IFERROR(INDEX(Мижозлар[Агент],MATCH($D1021,Мижозлар[Расмий ном],0)),"")</f>
        <v/>
      </c>
    </row>
    <row r="1022" spans="1:23" ht="14.25" x14ac:dyDescent="0.2">
      <c r="A1022" s="21"/>
      <c r="B1022" s="135"/>
      <c r="C1022" s="141"/>
      <c r="D1022" s="141"/>
      <c r="E1022" s="136"/>
      <c r="F1022" s="135"/>
      <c r="G1022" s="34"/>
      <c r="H1022" s="142"/>
      <c r="I1022" s="34"/>
      <c r="J1022" s="34">
        <f>Таблица1[[#This Row],[Блок
 Куб]]*Таблица1[[#This Row],[Цена 
Приход]]</f>
        <v>0</v>
      </c>
      <c r="K1022" s="34"/>
      <c r="L1022" s="34"/>
      <c r="M1022" s="34">
        <f>Таблица1[[#This Row],[Поддон
Шт]]*Таблица1[[#This Row],[Цена
Поддон]]</f>
        <v>0</v>
      </c>
      <c r="N1022" s="34">
        <f>Таблица1[[#This Row],[Сумма 
Приход]]+Таблица1[[#This Row],[Сумма Поддон]]</f>
        <v>0</v>
      </c>
      <c r="O1022" s="34"/>
      <c r="P1022" s="34">
        <f>Таблица1[[#This Row],[Блок
 Куб]]*Таблица1[[#This Row],[Цена
 Продажа]]</f>
        <v>0</v>
      </c>
      <c r="Q1022" s="34"/>
      <c r="R1022" s="34">
        <f>Таблица1[[#This Row],[Сумма 
Продажа]]-Таблица1[[#This Row],[Сумма 
Приход]]-Таблица1[[#This Row],[Авто услу ]]</f>
        <v>0</v>
      </c>
      <c r="S1022" s="34"/>
      <c r="T1022" s="34">
        <f>Таблица1[[#This Row],[Сумма 
Продажа]]-IF(Таблица1[[#This Row],[Расход 
Авто]]="Клиент",N(Таблица1[[#This Row],[Авто услу ]]),0)</f>
        <v>0</v>
      </c>
      <c r="U102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2" s="265" t="str">
        <f>IFERROR(INDEX(Мижозлар[Агент],MATCH($D1022,Мижозлар[Расмий ном],0)),"")</f>
        <v/>
      </c>
    </row>
    <row r="1023" spans="1:23" ht="14.25" x14ac:dyDescent="0.2">
      <c r="A1023" s="21"/>
      <c r="B1023" s="135"/>
      <c r="C1023" s="141"/>
      <c r="D1023" s="141"/>
      <c r="E1023" s="136"/>
      <c r="F1023" s="135"/>
      <c r="G1023" s="34"/>
      <c r="H1023" s="142"/>
      <c r="I1023" s="34"/>
      <c r="J1023" s="34">
        <f>Таблица1[[#This Row],[Блок
 Куб]]*Таблица1[[#This Row],[Цена 
Приход]]</f>
        <v>0</v>
      </c>
      <c r="K1023" s="34"/>
      <c r="L1023" s="34"/>
      <c r="M1023" s="34">
        <f>Таблица1[[#This Row],[Поддон
Шт]]*Таблица1[[#This Row],[Цена
Поддон]]</f>
        <v>0</v>
      </c>
      <c r="N1023" s="34">
        <f>Таблица1[[#This Row],[Сумма 
Приход]]+Таблица1[[#This Row],[Сумма Поддон]]</f>
        <v>0</v>
      </c>
      <c r="O1023" s="34"/>
      <c r="P1023" s="34">
        <f>Таблица1[[#This Row],[Блок
 Куб]]*Таблица1[[#This Row],[Цена
 Продажа]]</f>
        <v>0</v>
      </c>
      <c r="Q1023" s="34"/>
      <c r="R1023" s="34">
        <f>Таблица1[[#This Row],[Сумма 
Продажа]]-Таблица1[[#This Row],[Сумма 
Приход]]-Таблица1[[#This Row],[Авто услу ]]</f>
        <v>0</v>
      </c>
      <c r="S1023" s="34"/>
      <c r="T1023" s="34">
        <f>Таблица1[[#This Row],[Сумма 
Продажа]]-IF(Таблица1[[#This Row],[Расход 
Авто]]="Клиент",N(Таблица1[[#This Row],[Авто услу ]]),0)</f>
        <v>0</v>
      </c>
      <c r="U102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3" s="265" t="str">
        <f>IFERROR(INDEX(Мижозлар[Агент],MATCH($D1023,Мижозлар[Расмий ном],0)),"")</f>
        <v/>
      </c>
    </row>
    <row r="1024" spans="1:23" ht="14.25" x14ac:dyDescent="0.2">
      <c r="A1024" s="21"/>
      <c r="B1024" s="135"/>
      <c r="C1024" s="141"/>
      <c r="D1024" s="141"/>
      <c r="E1024" s="136"/>
      <c r="F1024" s="135"/>
      <c r="G1024" s="34"/>
      <c r="H1024" s="142"/>
      <c r="I1024" s="34"/>
      <c r="J1024" s="34">
        <f>Таблица1[[#This Row],[Блок
 Куб]]*Таблица1[[#This Row],[Цена 
Приход]]</f>
        <v>0</v>
      </c>
      <c r="K1024" s="34"/>
      <c r="L1024" s="34"/>
      <c r="M1024" s="34">
        <f>Таблица1[[#This Row],[Поддон
Шт]]*Таблица1[[#This Row],[Цена
Поддон]]</f>
        <v>0</v>
      </c>
      <c r="N1024" s="34">
        <f>Таблица1[[#This Row],[Сумма 
Приход]]+Таблица1[[#This Row],[Сумма Поддон]]</f>
        <v>0</v>
      </c>
      <c r="O1024" s="34"/>
      <c r="P1024" s="34">
        <f>Таблица1[[#This Row],[Блок
 Куб]]*Таблица1[[#This Row],[Цена
 Продажа]]</f>
        <v>0</v>
      </c>
      <c r="Q1024" s="34"/>
      <c r="R1024" s="34">
        <f>Таблица1[[#This Row],[Сумма 
Продажа]]-Таблица1[[#This Row],[Сумма 
Приход]]-Таблица1[[#This Row],[Авто услу ]]</f>
        <v>0</v>
      </c>
      <c r="S1024" s="34"/>
      <c r="T1024" s="34">
        <f>Таблица1[[#This Row],[Сумма 
Продажа]]-IF(Таблица1[[#This Row],[Расход 
Авто]]="Клиент",N(Таблица1[[#This Row],[Авто услу ]]),0)</f>
        <v>0</v>
      </c>
      <c r="U102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4" s="265" t="str">
        <f>IFERROR(INDEX(Мижозлар[Агент],MATCH($D1024,Мижозлар[Расмий ном],0)),"")</f>
        <v/>
      </c>
    </row>
    <row r="1025" spans="1:23" ht="14.25" x14ac:dyDescent="0.2">
      <c r="A1025" s="21"/>
      <c r="B1025" s="135"/>
      <c r="C1025" s="141"/>
      <c r="D1025" s="141"/>
      <c r="E1025" s="136"/>
      <c r="F1025" s="135"/>
      <c r="G1025" s="34"/>
      <c r="H1025" s="142"/>
      <c r="I1025" s="34"/>
      <c r="J1025" s="34">
        <f>Таблица1[[#This Row],[Блок
 Куб]]*Таблица1[[#This Row],[Цена 
Приход]]</f>
        <v>0</v>
      </c>
      <c r="K1025" s="34"/>
      <c r="L1025" s="34"/>
      <c r="M1025" s="34">
        <f>Таблица1[[#This Row],[Поддон
Шт]]*Таблица1[[#This Row],[Цена
Поддон]]</f>
        <v>0</v>
      </c>
      <c r="N1025" s="34">
        <f>Таблица1[[#This Row],[Сумма 
Приход]]+Таблица1[[#This Row],[Сумма Поддон]]</f>
        <v>0</v>
      </c>
      <c r="O1025" s="34"/>
      <c r="P1025" s="34">
        <f>Таблица1[[#This Row],[Блок
 Куб]]*Таблица1[[#This Row],[Цена
 Продажа]]</f>
        <v>0</v>
      </c>
      <c r="Q1025" s="34"/>
      <c r="R1025" s="34">
        <f>Таблица1[[#This Row],[Сумма 
Продажа]]-Таблица1[[#This Row],[Сумма 
Приход]]-Таблица1[[#This Row],[Авто услу ]]</f>
        <v>0</v>
      </c>
      <c r="S1025" s="34"/>
      <c r="T1025" s="34">
        <f>Таблица1[[#This Row],[Сумма 
Продажа]]-IF(Таблица1[[#This Row],[Расход 
Авто]]="Клиент",N(Таблица1[[#This Row],[Авто услу ]]),0)</f>
        <v>0</v>
      </c>
      <c r="U102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5" s="265" t="str">
        <f>IFERROR(INDEX(Мижозлар[Агент],MATCH($D1025,Мижозлар[Расмий ном],0)),"")</f>
        <v/>
      </c>
    </row>
    <row r="1026" spans="1:23" ht="14.25" x14ac:dyDescent="0.2">
      <c r="A1026" s="21"/>
      <c r="B1026" s="135"/>
      <c r="C1026" s="141"/>
      <c r="D1026" s="141"/>
      <c r="E1026" s="136"/>
      <c r="F1026" s="135"/>
      <c r="G1026" s="34"/>
      <c r="H1026" s="142"/>
      <c r="I1026" s="34"/>
      <c r="J1026" s="34">
        <f>Таблица1[[#This Row],[Блок
 Куб]]*Таблица1[[#This Row],[Цена 
Приход]]</f>
        <v>0</v>
      </c>
      <c r="K1026" s="34"/>
      <c r="L1026" s="34"/>
      <c r="M1026" s="34">
        <f>Таблица1[[#This Row],[Поддон
Шт]]*Таблица1[[#This Row],[Цена
Поддон]]</f>
        <v>0</v>
      </c>
      <c r="N1026" s="34">
        <f>Таблица1[[#This Row],[Сумма 
Приход]]+Таблица1[[#This Row],[Сумма Поддон]]</f>
        <v>0</v>
      </c>
      <c r="O1026" s="34"/>
      <c r="P1026" s="34">
        <f>Таблица1[[#This Row],[Блок
 Куб]]*Таблица1[[#This Row],[Цена
 Продажа]]</f>
        <v>0</v>
      </c>
      <c r="Q1026" s="34"/>
      <c r="R1026" s="34">
        <f>Таблица1[[#This Row],[Сумма 
Продажа]]-Таблица1[[#This Row],[Сумма 
Приход]]-Таблица1[[#This Row],[Авто услу ]]</f>
        <v>0</v>
      </c>
      <c r="S1026" s="34"/>
      <c r="T1026" s="34">
        <f>Таблица1[[#This Row],[Сумма 
Продажа]]-IF(Таблица1[[#This Row],[Расход 
Авто]]="Клиент",N(Таблица1[[#This Row],[Авто услу ]]),0)</f>
        <v>0</v>
      </c>
      <c r="U102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6" s="265" t="str">
        <f>IFERROR(INDEX(Мижозлар[Агент],MATCH($D1026,Мижозлар[Расмий ном],0)),"")</f>
        <v/>
      </c>
    </row>
    <row r="1027" spans="1:23" ht="14.25" x14ac:dyDescent="0.2">
      <c r="A1027" s="21"/>
      <c r="B1027" s="135"/>
      <c r="C1027" s="141"/>
      <c r="D1027" s="141"/>
      <c r="E1027" s="136"/>
      <c r="F1027" s="135"/>
      <c r="G1027" s="34"/>
      <c r="H1027" s="142"/>
      <c r="I1027" s="34"/>
      <c r="J1027" s="34">
        <f>Таблица1[[#This Row],[Блок
 Куб]]*Таблица1[[#This Row],[Цена 
Приход]]</f>
        <v>0</v>
      </c>
      <c r="K1027" s="34"/>
      <c r="L1027" s="34"/>
      <c r="M1027" s="34">
        <f>Таблица1[[#This Row],[Поддон
Шт]]*Таблица1[[#This Row],[Цена
Поддон]]</f>
        <v>0</v>
      </c>
      <c r="N1027" s="34">
        <f>Таблица1[[#This Row],[Сумма 
Приход]]+Таблица1[[#This Row],[Сумма Поддон]]</f>
        <v>0</v>
      </c>
      <c r="O1027" s="34"/>
      <c r="P1027" s="34">
        <f>Таблица1[[#This Row],[Блок
 Куб]]*Таблица1[[#This Row],[Цена
 Продажа]]</f>
        <v>0</v>
      </c>
      <c r="Q1027" s="34"/>
      <c r="R1027" s="34">
        <f>Таблица1[[#This Row],[Сумма 
Продажа]]-Таблица1[[#This Row],[Сумма 
Приход]]-Таблица1[[#This Row],[Авто услу ]]</f>
        <v>0</v>
      </c>
      <c r="S1027" s="34"/>
      <c r="T1027" s="34">
        <f>Таблица1[[#This Row],[Сумма 
Продажа]]-IF(Таблица1[[#This Row],[Расход 
Авто]]="Клиент",N(Таблица1[[#This Row],[Авто услу ]]),0)</f>
        <v>0</v>
      </c>
      <c r="U102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7" s="265" t="str">
        <f>IFERROR(INDEX(Мижозлар[Агент],MATCH($D1027,Мижозлар[Расмий ном],0)),"")</f>
        <v/>
      </c>
    </row>
    <row r="1028" spans="1:23" ht="14.25" x14ac:dyDescent="0.2">
      <c r="A1028" s="21"/>
      <c r="B1028" s="135"/>
      <c r="C1028" s="141"/>
      <c r="D1028" s="141"/>
      <c r="E1028" s="136"/>
      <c r="F1028" s="135"/>
      <c r="G1028" s="34"/>
      <c r="H1028" s="142"/>
      <c r="I1028" s="34"/>
      <c r="J1028" s="34">
        <f>Таблица1[[#This Row],[Блок
 Куб]]*Таблица1[[#This Row],[Цена 
Приход]]</f>
        <v>0</v>
      </c>
      <c r="K1028" s="34"/>
      <c r="L1028" s="34"/>
      <c r="M1028" s="34">
        <f>Таблица1[[#This Row],[Поддон
Шт]]*Таблица1[[#This Row],[Цена
Поддон]]</f>
        <v>0</v>
      </c>
      <c r="N1028" s="34">
        <f>Таблица1[[#This Row],[Сумма 
Приход]]+Таблица1[[#This Row],[Сумма Поддон]]</f>
        <v>0</v>
      </c>
      <c r="O1028" s="34"/>
      <c r="P1028" s="34">
        <f>Таблица1[[#This Row],[Блок
 Куб]]*Таблица1[[#This Row],[Цена
 Продажа]]</f>
        <v>0</v>
      </c>
      <c r="Q1028" s="34"/>
      <c r="R1028" s="34">
        <f>Таблица1[[#This Row],[Сумма 
Продажа]]-Таблица1[[#This Row],[Сумма 
Приход]]-Таблица1[[#This Row],[Авто услу ]]</f>
        <v>0</v>
      </c>
      <c r="S1028" s="34"/>
      <c r="T1028" s="34">
        <f>Таблица1[[#This Row],[Сумма 
Продажа]]-IF(Таблица1[[#This Row],[Расход 
Авто]]="Клиент",N(Таблица1[[#This Row],[Авто услу ]]),0)</f>
        <v>0</v>
      </c>
      <c r="U102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8" s="265" t="str">
        <f>IFERROR(INDEX(Мижозлар[Агент],MATCH($D1028,Мижозлар[Расмий ном],0)),"")</f>
        <v/>
      </c>
    </row>
    <row r="1029" spans="1:23" ht="14.25" x14ac:dyDescent="0.2">
      <c r="A1029" s="21"/>
      <c r="B1029" s="135"/>
      <c r="C1029" s="141"/>
      <c r="D1029" s="141"/>
      <c r="E1029" s="136"/>
      <c r="F1029" s="135"/>
      <c r="G1029" s="34"/>
      <c r="H1029" s="142"/>
      <c r="I1029" s="34"/>
      <c r="J1029" s="34">
        <f>Таблица1[[#This Row],[Блок
 Куб]]*Таблица1[[#This Row],[Цена 
Приход]]</f>
        <v>0</v>
      </c>
      <c r="K1029" s="34"/>
      <c r="L1029" s="34"/>
      <c r="M1029" s="34">
        <f>Таблица1[[#This Row],[Поддон
Шт]]*Таблица1[[#This Row],[Цена
Поддон]]</f>
        <v>0</v>
      </c>
      <c r="N1029" s="34">
        <f>Таблица1[[#This Row],[Сумма 
Приход]]+Таблица1[[#This Row],[Сумма Поддон]]</f>
        <v>0</v>
      </c>
      <c r="O1029" s="34"/>
      <c r="P1029" s="34">
        <f>Таблица1[[#This Row],[Блок
 Куб]]*Таблица1[[#This Row],[Цена
 Продажа]]</f>
        <v>0</v>
      </c>
      <c r="Q1029" s="34"/>
      <c r="R1029" s="34">
        <f>Таблица1[[#This Row],[Сумма 
Продажа]]-Таблица1[[#This Row],[Сумма 
Приход]]-Таблица1[[#This Row],[Авто услу ]]</f>
        <v>0</v>
      </c>
      <c r="S1029" s="34"/>
      <c r="T1029" s="34">
        <f>Таблица1[[#This Row],[Сумма 
Продажа]]-IF(Таблица1[[#This Row],[Расход 
Авто]]="Клиент",N(Таблица1[[#This Row],[Авто услу ]]),0)</f>
        <v>0</v>
      </c>
      <c r="U102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2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29" s="265" t="str">
        <f>IFERROR(INDEX(Мижозлар[Агент],MATCH($D1029,Мижозлар[Расмий ном],0)),"")</f>
        <v/>
      </c>
    </row>
    <row r="1030" spans="1:23" ht="14.25" x14ac:dyDescent="0.2">
      <c r="A1030" s="21"/>
      <c r="B1030" s="135"/>
      <c r="C1030" s="141"/>
      <c r="D1030" s="141"/>
      <c r="E1030" s="136"/>
      <c r="F1030" s="135"/>
      <c r="G1030" s="34"/>
      <c r="H1030" s="142"/>
      <c r="I1030" s="34"/>
      <c r="J1030" s="34">
        <f>Таблица1[[#This Row],[Блок
 Куб]]*Таблица1[[#This Row],[Цена 
Приход]]</f>
        <v>0</v>
      </c>
      <c r="K1030" s="34"/>
      <c r="L1030" s="34"/>
      <c r="M1030" s="34">
        <f>Таблица1[[#This Row],[Поддон
Шт]]*Таблица1[[#This Row],[Цена
Поддон]]</f>
        <v>0</v>
      </c>
      <c r="N1030" s="34">
        <f>Таблица1[[#This Row],[Сумма 
Приход]]+Таблица1[[#This Row],[Сумма Поддон]]</f>
        <v>0</v>
      </c>
      <c r="O1030" s="34"/>
      <c r="P1030" s="34">
        <f>Таблица1[[#This Row],[Блок
 Куб]]*Таблица1[[#This Row],[Цена
 Продажа]]</f>
        <v>0</v>
      </c>
      <c r="Q1030" s="34"/>
      <c r="R1030" s="34">
        <f>Таблица1[[#This Row],[Сумма 
Продажа]]-Таблица1[[#This Row],[Сумма 
Приход]]-Таблица1[[#This Row],[Авто услу ]]</f>
        <v>0</v>
      </c>
      <c r="S1030" s="34"/>
      <c r="T1030" s="34">
        <f>Таблица1[[#This Row],[Сумма 
Продажа]]-IF(Таблица1[[#This Row],[Расход 
Авто]]="Клиент",N(Таблица1[[#This Row],[Авто услу ]]),0)</f>
        <v>0</v>
      </c>
      <c r="U103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0" s="265" t="str">
        <f>IFERROR(INDEX(Мижозлар[Агент],MATCH($D1030,Мижозлар[Расмий ном],0)),"")</f>
        <v/>
      </c>
    </row>
    <row r="1031" spans="1:23" ht="14.25" x14ac:dyDescent="0.2">
      <c r="A1031" s="21"/>
      <c r="B1031" s="135"/>
      <c r="C1031" s="141"/>
      <c r="D1031" s="141"/>
      <c r="E1031" s="136"/>
      <c r="F1031" s="135"/>
      <c r="G1031" s="34"/>
      <c r="H1031" s="142"/>
      <c r="I1031" s="34"/>
      <c r="J1031" s="34">
        <f>Таблица1[[#This Row],[Блок
 Куб]]*Таблица1[[#This Row],[Цена 
Приход]]</f>
        <v>0</v>
      </c>
      <c r="K1031" s="34"/>
      <c r="L1031" s="34"/>
      <c r="M1031" s="34">
        <f>Таблица1[[#This Row],[Поддон
Шт]]*Таблица1[[#This Row],[Цена
Поддон]]</f>
        <v>0</v>
      </c>
      <c r="N1031" s="34">
        <f>Таблица1[[#This Row],[Сумма 
Приход]]+Таблица1[[#This Row],[Сумма Поддон]]</f>
        <v>0</v>
      </c>
      <c r="O1031" s="34"/>
      <c r="P1031" s="34">
        <f>Таблица1[[#This Row],[Блок
 Куб]]*Таблица1[[#This Row],[Цена
 Продажа]]</f>
        <v>0</v>
      </c>
      <c r="Q1031" s="34"/>
      <c r="R1031" s="34">
        <f>Таблица1[[#This Row],[Сумма 
Продажа]]-Таблица1[[#This Row],[Сумма 
Приход]]-Таблица1[[#This Row],[Авто услу ]]</f>
        <v>0</v>
      </c>
      <c r="S1031" s="34"/>
      <c r="T1031" s="34">
        <f>Таблица1[[#This Row],[Сумма 
Продажа]]-IF(Таблица1[[#This Row],[Расход 
Авто]]="Клиент",N(Таблица1[[#This Row],[Авто услу ]]),0)</f>
        <v>0</v>
      </c>
      <c r="U103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1" s="265" t="str">
        <f>IFERROR(INDEX(Мижозлар[Агент],MATCH($D1031,Мижозлар[Расмий ном],0)),"")</f>
        <v/>
      </c>
    </row>
    <row r="1032" spans="1:23" ht="14.25" x14ac:dyDescent="0.2">
      <c r="A1032" s="21"/>
      <c r="B1032" s="135"/>
      <c r="C1032" s="141"/>
      <c r="D1032" s="141"/>
      <c r="E1032" s="136"/>
      <c r="F1032" s="135"/>
      <c r="G1032" s="34"/>
      <c r="H1032" s="142"/>
      <c r="I1032" s="34"/>
      <c r="J1032" s="34">
        <f>Таблица1[[#This Row],[Блок
 Куб]]*Таблица1[[#This Row],[Цена 
Приход]]</f>
        <v>0</v>
      </c>
      <c r="K1032" s="34"/>
      <c r="L1032" s="34"/>
      <c r="M1032" s="34">
        <f>Таблица1[[#This Row],[Поддон
Шт]]*Таблица1[[#This Row],[Цена
Поддон]]</f>
        <v>0</v>
      </c>
      <c r="N1032" s="34">
        <f>Таблица1[[#This Row],[Сумма 
Приход]]+Таблица1[[#This Row],[Сумма Поддон]]</f>
        <v>0</v>
      </c>
      <c r="O1032" s="34"/>
      <c r="P1032" s="34">
        <f>Таблица1[[#This Row],[Блок
 Куб]]*Таблица1[[#This Row],[Цена
 Продажа]]</f>
        <v>0</v>
      </c>
      <c r="Q1032" s="34"/>
      <c r="R1032" s="34">
        <f>Таблица1[[#This Row],[Сумма 
Продажа]]-Таблица1[[#This Row],[Сумма 
Приход]]-Таблица1[[#This Row],[Авто услу ]]</f>
        <v>0</v>
      </c>
      <c r="S1032" s="34"/>
      <c r="T1032" s="34">
        <f>Таблица1[[#This Row],[Сумма 
Продажа]]-IF(Таблица1[[#This Row],[Расход 
Авто]]="Клиент",N(Таблица1[[#This Row],[Авто услу ]]),0)</f>
        <v>0</v>
      </c>
      <c r="U103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2" s="265" t="str">
        <f>IFERROR(INDEX(Мижозлар[Агент],MATCH($D1032,Мижозлар[Расмий ном],0)),"")</f>
        <v/>
      </c>
    </row>
    <row r="1033" spans="1:23" ht="14.25" x14ac:dyDescent="0.2">
      <c r="A1033" s="21"/>
      <c r="B1033" s="135"/>
      <c r="C1033" s="141"/>
      <c r="D1033" s="141"/>
      <c r="E1033" s="136"/>
      <c r="F1033" s="135"/>
      <c r="G1033" s="34"/>
      <c r="H1033" s="142"/>
      <c r="I1033" s="34"/>
      <c r="J1033" s="34">
        <f>Таблица1[[#This Row],[Блок
 Куб]]*Таблица1[[#This Row],[Цена 
Приход]]</f>
        <v>0</v>
      </c>
      <c r="K1033" s="34"/>
      <c r="L1033" s="34"/>
      <c r="M1033" s="34">
        <f>Таблица1[[#This Row],[Поддон
Шт]]*Таблица1[[#This Row],[Цена
Поддон]]</f>
        <v>0</v>
      </c>
      <c r="N1033" s="34">
        <f>Таблица1[[#This Row],[Сумма 
Приход]]+Таблица1[[#This Row],[Сумма Поддон]]</f>
        <v>0</v>
      </c>
      <c r="O1033" s="34"/>
      <c r="P1033" s="34">
        <f>Таблица1[[#This Row],[Блок
 Куб]]*Таблица1[[#This Row],[Цена
 Продажа]]</f>
        <v>0</v>
      </c>
      <c r="Q1033" s="34"/>
      <c r="R1033" s="34">
        <f>Таблица1[[#This Row],[Сумма 
Продажа]]-Таблица1[[#This Row],[Сумма 
Приход]]-Таблица1[[#This Row],[Авто услу ]]</f>
        <v>0</v>
      </c>
      <c r="S1033" s="34"/>
      <c r="T1033" s="34">
        <f>Таблица1[[#This Row],[Сумма 
Продажа]]-IF(Таблица1[[#This Row],[Расход 
Авто]]="Клиент",N(Таблица1[[#This Row],[Авто услу ]]),0)</f>
        <v>0</v>
      </c>
      <c r="U103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3" s="265" t="str">
        <f>IFERROR(INDEX(Мижозлар[Агент],MATCH($D1033,Мижозлар[Расмий ном],0)),"")</f>
        <v/>
      </c>
    </row>
    <row r="1034" spans="1:23" ht="14.25" x14ac:dyDescent="0.2">
      <c r="A1034" s="21"/>
      <c r="B1034" s="135"/>
      <c r="C1034" s="141"/>
      <c r="D1034" s="141"/>
      <c r="E1034" s="136"/>
      <c r="F1034" s="135"/>
      <c r="G1034" s="34"/>
      <c r="H1034" s="142"/>
      <c r="I1034" s="34"/>
      <c r="J1034" s="34">
        <f>Таблица1[[#This Row],[Блок
 Куб]]*Таблица1[[#This Row],[Цена 
Приход]]</f>
        <v>0</v>
      </c>
      <c r="K1034" s="34"/>
      <c r="L1034" s="34"/>
      <c r="M1034" s="34">
        <f>Таблица1[[#This Row],[Поддон
Шт]]*Таблица1[[#This Row],[Цена
Поддон]]</f>
        <v>0</v>
      </c>
      <c r="N1034" s="34">
        <f>Таблица1[[#This Row],[Сумма 
Приход]]+Таблица1[[#This Row],[Сумма Поддон]]</f>
        <v>0</v>
      </c>
      <c r="O1034" s="34"/>
      <c r="P1034" s="34">
        <f>Таблица1[[#This Row],[Блок
 Куб]]*Таблица1[[#This Row],[Цена
 Продажа]]</f>
        <v>0</v>
      </c>
      <c r="Q1034" s="34"/>
      <c r="R1034" s="34">
        <f>Таблица1[[#This Row],[Сумма 
Продажа]]-Таблица1[[#This Row],[Сумма 
Приход]]-Таблица1[[#This Row],[Авто услу ]]</f>
        <v>0</v>
      </c>
      <c r="S1034" s="34"/>
      <c r="T1034" s="34">
        <f>Таблица1[[#This Row],[Сумма 
Продажа]]-IF(Таблица1[[#This Row],[Расход 
Авто]]="Клиент",N(Таблица1[[#This Row],[Авто услу ]]),0)</f>
        <v>0</v>
      </c>
      <c r="U103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4" s="265" t="str">
        <f>IFERROR(INDEX(Мижозлар[Агент],MATCH($D1034,Мижозлар[Расмий ном],0)),"")</f>
        <v/>
      </c>
    </row>
    <row r="1035" spans="1:23" ht="14.25" x14ac:dyDescent="0.2">
      <c r="A1035" s="21"/>
      <c r="B1035" s="135"/>
      <c r="C1035" s="141"/>
      <c r="D1035" s="141"/>
      <c r="E1035" s="136"/>
      <c r="F1035" s="135"/>
      <c r="G1035" s="34"/>
      <c r="H1035" s="142"/>
      <c r="I1035" s="34"/>
      <c r="J1035" s="34">
        <f>Таблица1[[#This Row],[Блок
 Куб]]*Таблица1[[#This Row],[Цена 
Приход]]</f>
        <v>0</v>
      </c>
      <c r="K1035" s="34"/>
      <c r="L1035" s="34"/>
      <c r="M1035" s="34">
        <f>Таблица1[[#This Row],[Поддон
Шт]]*Таблица1[[#This Row],[Цена
Поддон]]</f>
        <v>0</v>
      </c>
      <c r="N1035" s="34">
        <f>Таблица1[[#This Row],[Сумма 
Приход]]+Таблица1[[#This Row],[Сумма Поддон]]</f>
        <v>0</v>
      </c>
      <c r="O1035" s="34"/>
      <c r="P1035" s="34">
        <f>Таблица1[[#This Row],[Блок
 Куб]]*Таблица1[[#This Row],[Цена
 Продажа]]</f>
        <v>0</v>
      </c>
      <c r="Q1035" s="34"/>
      <c r="R1035" s="34">
        <f>Таблица1[[#This Row],[Сумма 
Продажа]]-Таблица1[[#This Row],[Сумма 
Приход]]-Таблица1[[#This Row],[Авто услу ]]</f>
        <v>0</v>
      </c>
      <c r="S1035" s="34"/>
      <c r="T1035" s="34">
        <f>Таблица1[[#This Row],[Сумма 
Продажа]]-IF(Таблица1[[#This Row],[Расход 
Авто]]="Клиент",N(Таблица1[[#This Row],[Авто услу ]]),0)</f>
        <v>0</v>
      </c>
      <c r="U103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5" s="265" t="str">
        <f>IFERROR(INDEX(Мижозлар[Агент],MATCH($D1035,Мижозлар[Расмий ном],0)),"")</f>
        <v/>
      </c>
    </row>
    <row r="1036" spans="1:23" ht="14.25" x14ac:dyDescent="0.2">
      <c r="A1036" s="21"/>
      <c r="B1036" s="135"/>
      <c r="C1036" s="141"/>
      <c r="D1036" s="141"/>
      <c r="E1036" s="136"/>
      <c r="F1036" s="135"/>
      <c r="G1036" s="34"/>
      <c r="H1036" s="142"/>
      <c r="I1036" s="34"/>
      <c r="J1036" s="34">
        <f>Таблица1[[#This Row],[Блок
 Куб]]*Таблица1[[#This Row],[Цена 
Приход]]</f>
        <v>0</v>
      </c>
      <c r="K1036" s="34"/>
      <c r="L1036" s="34"/>
      <c r="M1036" s="34">
        <f>Таблица1[[#This Row],[Поддон
Шт]]*Таблица1[[#This Row],[Цена
Поддон]]</f>
        <v>0</v>
      </c>
      <c r="N1036" s="34">
        <f>Таблица1[[#This Row],[Сумма 
Приход]]+Таблица1[[#This Row],[Сумма Поддон]]</f>
        <v>0</v>
      </c>
      <c r="O1036" s="34"/>
      <c r="P1036" s="34">
        <f>Таблица1[[#This Row],[Блок
 Куб]]*Таблица1[[#This Row],[Цена
 Продажа]]</f>
        <v>0</v>
      </c>
      <c r="Q1036" s="34"/>
      <c r="R1036" s="34">
        <f>Таблица1[[#This Row],[Сумма 
Продажа]]-Таблица1[[#This Row],[Сумма 
Приход]]-Таблица1[[#This Row],[Авто услу ]]</f>
        <v>0</v>
      </c>
      <c r="S1036" s="34"/>
      <c r="T1036" s="34">
        <f>Таблица1[[#This Row],[Сумма 
Продажа]]-IF(Таблица1[[#This Row],[Расход 
Авто]]="Клиент",N(Таблица1[[#This Row],[Авто услу ]]),0)</f>
        <v>0</v>
      </c>
      <c r="U103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6" s="265" t="str">
        <f>IFERROR(INDEX(Мижозлар[Агент],MATCH($D1036,Мижозлар[Расмий ном],0)),"")</f>
        <v/>
      </c>
    </row>
    <row r="1037" spans="1:23" ht="14.25" x14ac:dyDescent="0.2">
      <c r="A1037" s="21"/>
      <c r="B1037" s="135"/>
      <c r="C1037" s="141"/>
      <c r="D1037" s="141"/>
      <c r="E1037" s="136"/>
      <c r="F1037" s="135"/>
      <c r="G1037" s="34"/>
      <c r="H1037" s="142"/>
      <c r="I1037" s="34"/>
      <c r="J1037" s="34">
        <f>Таблица1[[#This Row],[Блок
 Куб]]*Таблица1[[#This Row],[Цена 
Приход]]</f>
        <v>0</v>
      </c>
      <c r="K1037" s="34"/>
      <c r="L1037" s="34"/>
      <c r="M1037" s="34">
        <f>Таблица1[[#This Row],[Поддон
Шт]]*Таблица1[[#This Row],[Цена
Поддон]]</f>
        <v>0</v>
      </c>
      <c r="N1037" s="34">
        <f>Таблица1[[#This Row],[Сумма 
Приход]]+Таблица1[[#This Row],[Сумма Поддон]]</f>
        <v>0</v>
      </c>
      <c r="O1037" s="34"/>
      <c r="P1037" s="34">
        <f>Таблица1[[#This Row],[Блок
 Куб]]*Таблица1[[#This Row],[Цена
 Продажа]]</f>
        <v>0</v>
      </c>
      <c r="Q1037" s="34"/>
      <c r="R1037" s="34">
        <f>Таблица1[[#This Row],[Сумма 
Продажа]]-Таблица1[[#This Row],[Сумма 
Приход]]-Таблица1[[#This Row],[Авто услу ]]</f>
        <v>0</v>
      </c>
      <c r="S1037" s="34"/>
      <c r="T1037" s="34">
        <f>Таблица1[[#This Row],[Сумма 
Продажа]]-IF(Таблица1[[#This Row],[Расход 
Авто]]="Клиент",N(Таблица1[[#This Row],[Авто услу ]]),0)</f>
        <v>0</v>
      </c>
      <c r="U103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7" s="265" t="str">
        <f>IFERROR(INDEX(Мижозлар[Агент],MATCH($D1037,Мижозлар[Расмий ном],0)),"")</f>
        <v/>
      </c>
    </row>
    <row r="1038" spans="1:23" ht="14.25" x14ac:dyDescent="0.2">
      <c r="A1038" s="21"/>
      <c r="B1038" s="135"/>
      <c r="C1038" s="141"/>
      <c r="D1038" s="141"/>
      <c r="E1038" s="136"/>
      <c r="F1038" s="135"/>
      <c r="G1038" s="34"/>
      <c r="H1038" s="142"/>
      <c r="I1038" s="34"/>
      <c r="J1038" s="34">
        <f>Таблица1[[#This Row],[Блок
 Куб]]*Таблица1[[#This Row],[Цена 
Приход]]</f>
        <v>0</v>
      </c>
      <c r="K1038" s="34"/>
      <c r="L1038" s="34"/>
      <c r="M1038" s="34">
        <f>Таблица1[[#This Row],[Поддон
Шт]]*Таблица1[[#This Row],[Цена
Поддон]]</f>
        <v>0</v>
      </c>
      <c r="N1038" s="34">
        <f>Таблица1[[#This Row],[Сумма 
Приход]]+Таблица1[[#This Row],[Сумма Поддон]]</f>
        <v>0</v>
      </c>
      <c r="O1038" s="34"/>
      <c r="P1038" s="34">
        <f>Таблица1[[#This Row],[Блок
 Куб]]*Таблица1[[#This Row],[Цена
 Продажа]]</f>
        <v>0</v>
      </c>
      <c r="Q1038" s="34"/>
      <c r="R1038" s="34">
        <f>Таблица1[[#This Row],[Сумма 
Продажа]]-Таблица1[[#This Row],[Сумма 
Приход]]-Таблица1[[#This Row],[Авто услу ]]</f>
        <v>0</v>
      </c>
      <c r="S1038" s="34"/>
      <c r="T1038" s="34">
        <f>Таблица1[[#This Row],[Сумма 
Продажа]]-IF(Таблица1[[#This Row],[Расход 
Авто]]="Клиент",N(Таблица1[[#This Row],[Авто услу ]]),0)</f>
        <v>0</v>
      </c>
      <c r="U103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8" s="265" t="str">
        <f>IFERROR(INDEX(Мижозлар[Агент],MATCH($D1038,Мижозлар[Расмий ном],0)),"")</f>
        <v/>
      </c>
    </row>
    <row r="1039" spans="1:23" ht="14.25" x14ac:dyDescent="0.2">
      <c r="A1039" s="21"/>
      <c r="B1039" s="135"/>
      <c r="C1039" s="141"/>
      <c r="D1039" s="141"/>
      <c r="E1039" s="136"/>
      <c r="F1039" s="135"/>
      <c r="G1039" s="34"/>
      <c r="H1039" s="142"/>
      <c r="I1039" s="34"/>
      <c r="J1039" s="34">
        <f>Таблица1[[#This Row],[Блок
 Куб]]*Таблица1[[#This Row],[Цена 
Приход]]</f>
        <v>0</v>
      </c>
      <c r="K1039" s="34"/>
      <c r="L1039" s="34"/>
      <c r="M1039" s="34">
        <f>Таблица1[[#This Row],[Поддон
Шт]]*Таблица1[[#This Row],[Цена
Поддон]]</f>
        <v>0</v>
      </c>
      <c r="N1039" s="34">
        <f>Таблица1[[#This Row],[Сумма 
Приход]]+Таблица1[[#This Row],[Сумма Поддон]]</f>
        <v>0</v>
      </c>
      <c r="O1039" s="34"/>
      <c r="P1039" s="34">
        <f>Таблица1[[#This Row],[Блок
 Куб]]*Таблица1[[#This Row],[Цена
 Продажа]]</f>
        <v>0</v>
      </c>
      <c r="Q1039" s="34"/>
      <c r="R1039" s="34">
        <f>Таблица1[[#This Row],[Сумма 
Продажа]]-Таблица1[[#This Row],[Сумма 
Приход]]-Таблица1[[#This Row],[Авто услу ]]</f>
        <v>0</v>
      </c>
      <c r="S1039" s="34"/>
      <c r="T1039" s="34">
        <f>Таблица1[[#This Row],[Сумма 
Продажа]]-IF(Таблица1[[#This Row],[Расход 
Авто]]="Клиент",N(Таблица1[[#This Row],[Авто услу ]]),0)</f>
        <v>0</v>
      </c>
      <c r="U103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3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39" s="265" t="str">
        <f>IFERROR(INDEX(Мижозлар[Агент],MATCH($D1039,Мижозлар[Расмий ном],0)),"")</f>
        <v/>
      </c>
    </row>
    <row r="1040" spans="1:23" ht="14.25" x14ac:dyDescent="0.2">
      <c r="A1040" s="21"/>
      <c r="B1040" s="135"/>
      <c r="C1040" s="141"/>
      <c r="D1040" s="141"/>
      <c r="E1040" s="136"/>
      <c r="F1040" s="135"/>
      <c r="G1040" s="34"/>
      <c r="H1040" s="142"/>
      <c r="I1040" s="34"/>
      <c r="J1040" s="34">
        <f>Таблица1[[#This Row],[Блок
 Куб]]*Таблица1[[#This Row],[Цена 
Приход]]</f>
        <v>0</v>
      </c>
      <c r="K1040" s="34"/>
      <c r="L1040" s="34"/>
      <c r="M1040" s="34">
        <f>Таблица1[[#This Row],[Поддон
Шт]]*Таблица1[[#This Row],[Цена
Поддон]]</f>
        <v>0</v>
      </c>
      <c r="N1040" s="34">
        <f>Таблица1[[#This Row],[Сумма 
Приход]]+Таблица1[[#This Row],[Сумма Поддон]]</f>
        <v>0</v>
      </c>
      <c r="O1040" s="34"/>
      <c r="P1040" s="34">
        <f>Таблица1[[#This Row],[Блок
 Куб]]*Таблица1[[#This Row],[Цена
 Продажа]]</f>
        <v>0</v>
      </c>
      <c r="Q1040" s="34"/>
      <c r="R1040" s="34">
        <f>Таблица1[[#This Row],[Сумма 
Продажа]]-Таблица1[[#This Row],[Сумма 
Приход]]-Таблица1[[#This Row],[Авто услу ]]</f>
        <v>0</v>
      </c>
      <c r="S1040" s="34"/>
      <c r="T1040" s="34">
        <f>Таблица1[[#This Row],[Сумма 
Продажа]]-IF(Таблица1[[#This Row],[Расход 
Авто]]="Клиент",N(Таблица1[[#This Row],[Авто услу ]]),0)</f>
        <v>0</v>
      </c>
      <c r="U104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0" s="265" t="str">
        <f>IFERROR(INDEX(Мижозлар[Агент],MATCH($D1040,Мижозлар[Расмий ном],0)),"")</f>
        <v/>
      </c>
    </row>
    <row r="1041" spans="1:23" ht="14.25" x14ac:dyDescent="0.2">
      <c r="A1041" s="21"/>
      <c r="B1041" s="135"/>
      <c r="C1041" s="141"/>
      <c r="D1041" s="141"/>
      <c r="E1041" s="136"/>
      <c r="F1041" s="135"/>
      <c r="G1041" s="34"/>
      <c r="H1041" s="142"/>
      <c r="I1041" s="34"/>
      <c r="J1041" s="34">
        <f>Таблица1[[#This Row],[Блок
 Куб]]*Таблица1[[#This Row],[Цена 
Приход]]</f>
        <v>0</v>
      </c>
      <c r="K1041" s="34"/>
      <c r="L1041" s="34"/>
      <c r="M1041" s="34">
        <f>Таблица1[[#This Row],[Поддон
Шт]]*Таблица1[[#This Row],[Цена
Поддон]]</f>
        <v>0</v>
      </c>
      <c r="N1041" s="34">
        <f>Таблица1[[#This Row],[Сумма 
Приход]]+Таблица1[[#This Row],[Сумма Поддон]]</f>
        <v>0</v>
      </c>
      <c r="O1041" s="34"/>
      <c r="P1041" s="34">
        <f>Таблица1[[#This Row],[Блок
 Куб]]*Таблица1[[#This Row],[Цена
 Продажа]]</f>
        <v>0</v>
      </c>
      <c r="Q1041" s="34"/>
      <c r="R1041" s="34">
        <f>Таблица1[[#This Row],[Сумма 
Продажа]]-Таблица1[[#This Row],[Сумма 
Приход]]-Таблица1[[#This Row],[Авто услу ]]</f>
        <v>0</v>
      </c>
      <c r="S1041" s="34"/>
      <c r="T1041" s="34">
        <f>Таблица1[[#This Row],[Сумма 
Продажа]]-IF(Таблица1[[#This Row],[Расход 
Авто]]="Клиент",N(Таблица1[[#This Row],[Авто услу ]]),0)</f>
        <v>0</v>
      </c>
      <c r="U104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1" s="265" t="str">
        <f>IFERROR(INDEX(Мижозлар[Агент],MATCH($D1041,Мижозлар[Расмий ном],0)),"")</f>
        <v/>
      </c>
    </row>
    <row r="1042" spans="1:23" ht="14.25" x14ac:dyDescent="0.2">
      <c r="A1042" s="21"/>
      <c r="B1042" s="135"/>
      <c r="C1042" s="141"/>
      <c r="D1042" s="141"/>
      <c r="E1042" s="136"/>
      <c r="F1042" s="135"/>
      <c r="G1042" s="34"/>
      <c r="H1042" s="142"/>
      <c r="I1042" s="34"/>
      <c r="J1042" s="34">
        <f>Таблица1[[#This Row],[Блок
 Куб]]*Таблица1[[#This Row],[Цена 
Приход]]</f>
        <v>0</v>
      </c>
      <c r="K1042" s="34"/>
      <c r="L1042" s="34"/>
      <c r="M1042" s="34">
        <f>Таблица1[[#This Row],[Поддон
Шт]]*Таблица1[[#This Row],[Цена
Поддон]]</f>
        <v>0</v>
      </c>
      <c r="N1042" s="34">
        <f>Таблица1[[#This Row],[Сумма 
Приход]]+Таблица1[[#This Row],[Сумма Поддон]]</f>
        <v>0</v>
      </c>
      <c r="O1042" s="34"/>
      <c r="P1042" s="34">
        <f>Таблица1[[#This Row],[Блок
 Куб]]*Таблица1[[#This Row],[Цена
 Продажа]]</f>
        <v>0</v>
      </c>
      <c r="Q1042" s="34"/>
      <c r="R1042" s="34">
        <f>Таблица1[[#This Row],[Сумма 
Продажа]]-Таблица1[[#This Row],[Сумма 
Приход]]-Таблица1[[#This Row],[Авто услу ]]</f>
        <v>0</v>
      </c>
      <c r="S1042" s="34"/>
      <c r="T1042" s="34">
        <f>Таблица1[[#This Row],[Сумма 
Продажа]]-IF(Таблица1[[#This Row],[Расход 
Авто]]="Клиент",N(Таблица1[[#This Row],[Авто услу ]]),0)</f>
        <v>0</v>
      </c>
      <c r="U104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2" s="265" t="str">
        <f>IFERROR(INDEX(Мижозлар[Агент],MATCH($D1042,Мижозлар[Расмий ном],0)),"")</f>
        <v/>
      </c>
    </row>
    <row r="1043" spans="1:23" ht="14.25" x14ac:dyDescent="0.2">
      <c r="A1043" s="21"/>
      <c r="B1043" s="135"/>
      <c r="C1043" s="141"/>
      <c r="D1043" s="141"/>
      <c r="E1043" s="136"/>
      <c r="F1043" s="135"/>
      <c r="G1043" s="34"/>
      <c r="H1043" s="142"/>
      <c r="I1043" s="34"/>
      <c r="J1043" s="34">
        <f>Таблица1[[#This Row],[Блок
 Куб]]*Таблица1[[#This Row],[Цена 
Приход]]</f>
        <v>0</v>
      </c>
      <c r="K1043" s="34"/>
      <c r="L1043" s="34"/>
      <c r="M1043" s="34">
        <f>Таблица1[[#This Row],[Поддон
Шт]]*Таблица1[[#This Row],[Цена
Поддон]]</f>
        <v>0</v>
      </c>
      <c r="N1043" s="34">
        <f>Таблица1[[#This Row],[Сумма 
Приход]]+Таблица1[[#This Row],[Сумма Поддон]]</f>
        <v>0</v>
      </c>
      <c r="O1043" s="34"/>
      <c r="P1043" s="34">
        <f>Таблица1[[#This Row],[Блок
 Куб]]*Таблица1[[#This Row],[Цена
 Продажа]]</f>
        <v>0</v>
      </c>
      <c r="Q1043" s="34"/>
      <c r="R1043" s="34">
        <f>Таблица1[[#This Row],[Сумма 
Продажа]]-Таблица1[[#This Row],[Сумма 
Приход]]-Таблица1[[#This Row],[Авто услу ]]</f>
        <v>0</v>
      </c>
      <c r="S1043" s="34"/>
      <c r="T1043" s="34">
        <f>Таблица1[[#This Row],[Сумма 
Продажа]]-IF(Таблица1[[#This Row],[Расход 
Авто]]="Клиент",N(Таблица1[[#This Row],[Авто услу ]]),0)</f>
        <v>0</v>
      </c>
      <c r="U104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3" s="265" t="str">
        <f>IFERROR(INDEX(Мижозлар[Агент],MATCH($D1043,Мижозлар[Расмий ном],0)),"")</f>
        <v/>
      </c>
    </row>
    <row r="1044" spans="1:23" ht="14.25" x14ac:dyDescent="0.2">
      <c r="A1044" s="21"/>
      <c r="B1044" s="135"/>
      <c r="C1044" s="141"/>
      <c r="D1044" s="141"/>
      <c r="E1044" s="136"/>
      <c r="F1044" s="135"/>
      <c r="G1044" s="34"/>
      <c r="H1044" s="142"/>
      <c r="I1044" s="34"/>
      <c r="J1044" s="34">
        <f>Таблица1[[#This Row],[Блок
 Куб]]*Таблица1[[#This Row],[Цена 
Приход]]</f>
        <v>0</v>
      </c>
      <c r="K1044" s="34"/>
      <c r="L1044" s="34"/>
      <c r="M1044" s="34">
        <f>Таблица1[[#This Row],[Поддон
Шт]]*Таблица1[[#This Row],[Цена
Поддон]]</f>
        <v>0</v>
      </c>
      <c r="N1044" s="34">
        <f>Таблица1[[#This Row],[Сумма 
Приход]]+Таблица1[[#This Row],[Сумма Поддон]]</f>
        <v>0</v>
      </c>
      <c r="O1044" s="34"/>
      <c r="P1044" s="34">
        <f>Таблица1[[#This Row],[Блок
 Куб]]*Таблица1[[#This Row],[Цена
 Продажа]]</f>
        <v>0</v>
      </c>
      <c r="Q1044" s="34"/>
      <c r="R1044" s="34">
        <f>Таблица1[[#This Row],[Сумма 
Продажа]]-Таблица1[[#This Row],[Сумма 
Приход]]-Таблица1[[#This Row],[Авто услу ]]</f>
        <v>0</v>
      </c>
      <c r="S1044" s="34"/>
      <c r="T1044" s="34">
        <f>Таблица1[[#This Row],[Сумма 
Продажа]]-IF(Таблица1[[#This Row],[Расход 
Авто]]="Клиент",N(Таблица1[[#This Row],[Авто услу ]]),0)</f>
        <v>0</v>
      </c>
      <c r="U104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4" s="265" t="str">
        <f>IFERROR(INDEX(Мижозлар[Агент],MATCH($D1044,Мижозлар[Расмий ном],0)),"")</f>
        <v/>
      </c>
    </row>
    <row r="1045" spans="1:23" ht="14.25" x14ac:dyDescent="0.2">
      <c r="A1045" s="21"/>
      <c r="B1045" s="135"/>
      <c r="C1045" s="141"/>
      <c r="D1045" s="141"/>
      <c r="E1045" s="136"/>
      <c r="F1045" s="135"/>
      <c r="G1045" s="34"/>
      <c r="H1045" s="142"/>
      <c r="I1045" s="34"/>
      <c r="J1045" s="34">
        <f>Таблица1[[#This Row],[Блок
 Куб]]*Таблица1[[#This Row],[Цена 
Приход]]</f>
        <v>0</v>
      </c>
      <c r="K1045" s="34"/>
      <c r="L1045" s="34"/>
      <c r="M1045" s="34">
        <f>Таблица1[[#This Row],[Поддон
Шт]]*Таблица1[[#This Row],[Цена
Поддон]]</f>
        <v>0</v>
      </c>
      <c r="N1045" s="34">
        <f>Таблица1[[#This Row],[Сумма 
Приход]]+Таблица1[[#This Row],[Сумма Поддон]]</f>
        <v>0</v>
      </c>
      <c r="O1045" s="34"/>
      <c r="P1045" s="34">
        <f>Таблица1[[#This Row],[Блок
 Куб]]*Таблица1[[#This Row],[Цена
 Продажа]]</f>
        <v>0</v>
      </c>
      <c r="Q1045" s="34"/>
      <c r="R1045" s="34">
        <f>Таблица1[[#This Row],[Сумма 
Продажа]]-Таблица1[[#This Row],[Сумма 
Приход]]-Таблица1[[#This Row],[Авто услу ]]</f>
        <v>0</v>
      </c>
      <c r="S1045" s="34"/>
      <c r="T1045" s="34">
        <f>Таблица1[[#This Row],[Сумма 
Продажа]]-IF(Таблица1[[#This Row],[Расход 
Авто]]="Клиент",N(Таблица1[[#This Row],[Авто услу ]]),0)</f>
        <v>0</v>
      </c>
      <c r="U104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5" s="265" t="str">
        <f>IFERROR(INDEX(Мижозлар[Агент],MATCH($D1045,Мижозлар[Расмий ном],0)),"")</f>
        <v/>
      </c>
    </row>
    <row r="1046" spans="1:23" ht="14.25" x14ac:dyDescent="0.2">
      <c r="A1046" s="21"/>
      <c r="B1046" s="135"/>
      <c r="C1046" s="141"/>
      <c r="D1046" s="141"/>
      <c r="E1046" s="136"/>
      <c r="F1046" s="135"/>
      <c r="G1046" s="34"/>
      <c r="H1046" s="142"/>
      <c r="I1046" s="34"/>
      <c r="J1046" s="34">
        <f>Таблица1[[#This Row],[Блок
 Куб]]*Таблица1[[#This Row],[Цена 
Приход]]</f>
        <v>0</v>
      </c>
      <c r="K1046" s="34"/>
      <c r="L1046" s="34"/>
      <c r="M1046" s="34">
        <f>Таблица1[[#This Row],[Поддон
Шт]]*Таблица1[[#This Row],[Цена
Поддон]]</f>
        <v>0</v>
      </c>
      <c r="N1046" s="34">
        <f>Таблица1[[#This Row],[Сумма 
Приход]]+Таблица1[[#This Row],[Сумма Поддон]]</f>
        <v>0</v>
      </c>
      <c r="O1046" s="34"/>
      <c r="P1046" s="34">
        <f>Таблица1[[#This Row],[Блок
 Куб]]*Таблица1[[#This Row],[Цена
 Продажа]]</f>
        <v>0</v>
      </c>
      <c r="Q1046" s="34"/>
      <c r="R1046" s="34">
        <f>Таблица1[[#This Row],[Сумма 
Продажа]]-Таблица1[[#This Row],[Сумма 
Приход]]-Таблица1[[#This Row],[Авто услу ]]</f>
        <v>0</v>
      </c>
      <c r="S1046" s="34"/>
      <c r="T1046" s="34">
        <f>Таблица1[[#This Row],[Сумма 
Продажа]]-IF(Таблица1[[#This Row],[Расход 
Авто]]="Клиент",N(Таблица1[[#This Row],[Авто услу ]]),0)</f>
        <v>0</v>
      </c>
      <c r="U104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6" s="265" t="str">
        <f>IFERROR(INDEX(Мижозлар[Агент],MATCH($D1046,Мижозлар[Расмий ном],0)),"")</f>
        <v/>
      </c>
    </row>
    <row r="1047" spans="1:23" ht="14.25" x14ac:dyDescent="0.2">
      <c r="A1047" s="21"/>
      <c r="B1047" s="135"/>
      <c r="C1047" s="141"/>
      <c r="D1047" s="141"/>
      <c r="E1047" s="136"/>
      <c r="F1047" s="135"/>
      <c r="G1047" s="34"/>
      <c r="H1047" s="142"/>
      <c r="I1047" s="34"/>
      <c r="J1047" s="34">
        <f>Таблица1[[#This Row],[Блок
 Куб]]*Таблица1[[#This Row],[Цена 
Приход]]</f>
        <v>0</v>
      </c>
      <c r="K1047" s="34"/>
      <c r="L1047" s="34"/>
      <c r="M1047" s="34">
        <f>Таблица1[[#This Row],[Поддон
Шт]]*Таблица1[[#This Row],[Цена
Поддон]]</f>
        <v>0</v>
      </c>
      <c r="N1047" s="34">
        <f>Таблица1[[#This Row],[Сумма 
Приход]]+Таблица1[[#This Row],[Сумма Поддон]]</f>
        <v>0</v>
      </c>
      <c r="O1047" s="34"/>
      <c r="P1047" s="34">
        <f>Таблица1[[#This Row],[Блок
 Куб]]*Таблица1[[#This Row],[Цена
 Продажа]]</f>
        <v>0</v>
      </c>
      <c r="Q1047" s="34"/>
      <c r="R1047" s="34">
        <f>Таблица1[[#This Row],[Сумма 
Продажа]]-Таблица1[[#This Row],[Сумма 
Приход]]-Таблица1[[#This Row],[Авто услу ]]</f>
        <v>0</v>
      </c>
      <c r="S1047" s="34"/>
      <c r="T1047" s="34">
        <f>Таблица1[[#This Row],[Сумма 
Продажа]]-IF(Таблица1[[#This Row],[Расход 
Авто]]="Клиент",N(Таблица1[[#This Row],[Авто услу ]]),0)</f>
        <v>0</v>
      </c>
      <c r="U104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7" s="265" t="str">
        <f>IFERROR(INDEX(Мижозлар[Агент],MATCH($D1047,Мижозлар[Расмий ном],0)),"")</f>
        <v/>
      </c>
    </row>
    <row r="1048" spans="1:23" ht="14.25" x14ac:dyDescent="0.2">
      <c r="A1048" s="21"/>
      <c r="B1048" s="135"/>
      <c r="C1048" s="141"/>
      <c r="D1048" s="141"/>
      <c r="E1048" s="136"/>
      <c r="F1048" s="135"/>
      <c r="G1048" s="34"/>
      <c r="H1048" s="142"/>
      <c r="I1048" s="34"/>
      <c r="J1048" s="34">
        <f>Таблица1[[#This Row],[Блок
 Куб]]*Таблица1[[#This Row],[Цена 
Приход]]</f>
        <v>0</v>
      </c>
      <c r="K1048" s="34"/>
      <c r="L1048" s="34"/>
      <c r="M1048" s="34">
        <f>Таблица1[[#This Row],[Поддон
Шт]]*Таблица1[[#This Row],[Цена
Поддон]]</f>
        <v>0</v>
      </c>
      <c r="N1048" s="34">
        <f>Таблица1[[#This Row],[Сумма 
Приход]]+Таблица1[[#This Row],[Сумма Поддон]]</f>
        <v>0</v>
      </c>
      <c r="O1048" s="34"/>
      <c r="P1048" s="34">
        <f>Таблица1[[#This Row],[Блок
 Куб]]*Таблица1[[#This Row],[Цена
 Продажа]]</f>
        <v>0</v>
      </c>
      <c r="Q1048" s="34"/>
      <c r="R1048" s="34">
        <f>Таблица1[[#This Row],[Сумма 
Продажа]]-Таблица1[[#This Row],[Сумма 
Приход]]-Таблица1[[#This Row],[Авто услу ]]</f>
        <v>0</v>
      </c>
      <c r="S1048" s="34"/>
      <c r="T1048" s="34">
        <f>Таблица1[[#This Row],[Сумма 
Продажа]]-IF(Таблица1[[#This Row],[Расход 
Авто]]="Клиент",N(Таблица1[[#This Row],[Авто услу ]]),0)</f>
        <v>0</v>
      </c>
      <c r="U104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8" s="265" t="str">
        <f>IFERROR(INDEX(Мижозлар[Агент],MATCH($D1048,Мижозлар[Расмий ном],0)),"")</f>
        <v/>
      </c>
    </row>
    <row r="1049" spans="1:23" ht="14.25" x14ac:dyDescent="0.2">
      <c r="A1049" s="21"/>
      <c r="B1049" s="135"/>
      <c r="C1049" s="141"/>
      <c r="D1049" s="141"/>
      <c r="E1049" s="136"/>
      <c r="F1049" s="135"/>
      <c r="G1049" s="34"/>
      <c r="H1049" s="142"/>
      <c r="I1049" s="34"/>
      <c r="J1049" s="34">
        <f>Таблица1[[#This Row],[Блок
 Куб]]*Таблица1[[#This Row],[Цена 
Приход]]</f>
        <v>0</v>
      </c>
      <c r="K1049" s="34"/>
      <c r="L1049" s="34"/>
      <c r="M1049" s="34">
        <f>Таблица1[[#This Row],[Поддон
Шт]]*Таблица1[[#This Row],[Цена
Поддон]]</f>
        <v>0</v>
      </c>
      <c r="N1049" s="34">
        <f>Таблица1[[#This Row],[Сумма 
Приход]]+Таблица1[[#This Row],[Сумма Поддон]]</f>
        <v>0</v>
      </c>
      <c r="O1049" s="34"/>
      <c r="P1049" s="34">
        <f>Таблица1[[#This Row],[Блок
 Куб]]*Таблица1[[#This Row],[Цена
 Продажа]]</f>
        <v>0</v>
      </c>
      <c r="Q1049" s="34"/>
      <c r="R1049" s="34">
        <f>Таблица1[[#This Row],[Сумма 
Продажа]]-Таблица1[[#This Row],[Сумма 
Приход]]-Таблица1[[#This Row],[Авто услу ]]</f>
        <v>0</v>
      </c>
      <c r="S1049" s="34"/>
      <c r="T1049" s="34">
        <f>Таблица1[[#This Row],[Сумма 
Продажа]]-IF(Таблица1[[#This Row],[Расход 
Авто]]="Клиент",N(Таблица1[[#This Row],[Авто услу ]]),0)</f>
        <v>0</v>
      </c>
      <c r="U104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4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49" s="265" t="str">
        <f>IFERROR(INDEX(Мижозлар[Агент],MATCH($D1049,Мижозлар[Расмий ном],0)),"")</f>
        <v/>
      </c>
    </row>
    <row r="1050" spans="1:23" ht="14.25" x14ac:dyDescent="0.2">
      <c r="A1050" s="21"/>
      <c r="B1050" s="135"/>
      <c r="C1050" s="141"/>
      <c r="D1050" s="141"/>
      <c r="E1050" s="136"/>
      <c r="F1050" s="135"/>
      <c r="G1050" s="34"/>
      <c r="H1050" s="142"/>
      <c r="I1050" s="34"/>
      <c r="J1050" s="34">
        <f>Таблица1[[#This Row],[Блок
 Куб]]*Таблица1[[#This Row],[Цена 
Приход]]</f>
        <v>0</v>
      </c>
      <c r="K1050" s="34"/>
      <c r="L1050" s="34"/>
      <c r="M1050" s="34">
        <f>Таблица1[[#This Row],[Поддон
Шт]]*Таблица1[[#This Row],[Цена
Поддон]]</f>
        <v>0</v>
      </c>
      <c r="N1050" s="34">
        <f>Таблица1[[#This Row],[Сумма 
Приход]]+Таблица1[[#This Row],[Сумма Поддон]]</f>
        <v>0</v>
      </c>
      <c r="O1050" s="34"/>
      <c r="P1050" s="34">
        <f>Таблица1[[#This Row],[Блок
 Куб]]*Таблица1[[#This Row],[Цена
 Продажа]]</f>
        <v>0</v>
      </c>
      <c r="Q1050" s="34"/>
      <c r="R1050" s="34">
        <f>Таблица1[[#This Row],[Сумма 
Продажа]]-Таблица1[[#This Row],[Сумма 
Приход]]-Таблица1[[#This Row],[Авто услу ]]</f>
        <v>0</v>
      </c>
      <c r="S1050" s="34"/>
      <c r="T1050" s="34">
        <f>Таблица1[[#This Row],[Сумма 
Продажа]]-IF(Таблица1[[#This Row],[Расход 
Авто]]="Клиент",N(Таблица1[[#This Row],[Авто услу ]]),0)</f>
        <v>0</v>
      </c>
      <c r="U105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0" s="265" t="str">
        <f>IFERROR(INDEX(Мижозлар[Агент],MATCH($D1050,Мижозлар[Расмий ном],0)),"")</f>
        <v/>
      </c>
    </row>
    <row r="1051" spans="1:23" ht="14.25" x14ac:dyDescent="0.2">
      <c r="A1051" s="21"/>
      <c r="B1051" s="135"/>
      <c r="C1051" s="141"/>
      <c r="D1051" s="141"/>
      <c r="E1051" s="136"/>
      <c r="F1051" s="135"/>
      <c r="G1051" s="34"/>
      <c r="H1051" s="142"/>
      <c r="I1051" s="34"/>
      <c r="J1051" s="34">
        <f>Таблица1[[#This Row],[Блок
 Куб]]*Таблица1[[#This Row],[Цена 
Приход]]</f>
        <v>0</v>
      </c>
      <c r="K1051" s="34"/>
      <c r="L1051" s="34"/>
      <c r="M1051" s="34">
        <f>Таблица1[[#This Row],[Поддон
Шт]]*Таблица1[[#This Row],[Цена
Поддон]]</f>
        <v>0</v>
      </c>
      <c r="N1051" s="34">
        <f>Таблица1[[#This Row],[Сумма 
Приход]]+Таблица1[[#This Row],[Сумма Поддон]]</f>
        <v>0</v>
      </c>
      <c r="O1051" s="34"/>
      <c r="P1051" s="34">
        <f>Таблица1[[#This Row],[Блок
 Куб]]*Таблица1[[#This Row],[Цена
 Продажа]]</f>
        <v>0</v>
      </c>
      <c r="Q1051" s="34"/>
      <c r="R1051" s="34">
        <f>Таблица1[[#This Row],[Сумма 
Продажа]]-Таблица1[[#This Row],[Сумма 
Приход]]-Таблица1[[#This Row],[Авто услу ]]</f>
        <v>0</v>
      </c>
      <c r="S1051" s="34"/>
      <c r="T1051" s="34">
        <f>Таблица1[[#This Row],[Сумма 
Продажа]]-IF(Таблица1[[#This Row],[Расход 
Авто]]="Клиент",N(Таблица1[[#This Row],[Авто услу ]]),0)</f>
        <v>0</v>
      </c>
      <c r="U105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1" s="265" t="str">
        <f>IFERROR(INDEX(Мижозлар[Агент],MATCH($D1051,Мижозлар[Расмий ном],0)),"")</f>
        <v/>
      </c>
    </row>
    <row r="1052" spans="1:23" ht="14.25" x14ac:dyDescent="0.2">
      <c r="A1052" s="21"/>
      <c r="B1052" s="135"/>
      <c r="C1052" s="141"/>
      <c r="D1052" s="141"/>
      <c r="E1052" s="136"/>
      <c r="F1052" s="135"/>
      <c r="G1052" s="34"/>
      <c r="H1052" s="142"/>
      <c r="I1052" s="34"/>
      <c r="J1052" s="34">
        <f>Таблица1[[#This Row],[Блок
 Куб]]*Таблица1[[#This Row],[Цена 
Приход]]</f>
        <v>0</v>
      </c>
      <c r="K1052" s="34"/>
      <c r="L1052" s="34"/>
      <c r="M1052" s="34">
        <f>Таблица1[[#This Row],[Поддон
Шт]]*Таблица1[[#This Row],[Цена
Поддон]]</f>
        <v>0</v>
      </c>
      <c r="N1052" s="34">
        <f>Таблица1[[#This Row],[Сумма 
Приход]]+Таблица1[[#This Row],[Сумма Поддон]]</f>
        <v>0</v>
      </c>
      <c r="O1052" s="34"/>
      <c r="P1052" s="34">
        <f>Таблица1[[#This Row],[Блок
 Куб]]*Таблица1[[#This Row],[Цена
 Продажа]]</f>
        <v>0</v>
      </c>
      <c r="Q1052" s="34"/>
      <c r="R1052" s="34">
        <f>Таблица1[[#This Row],[Сумма 
Продажа]]-Таблица1[[#This Row],[Сумма 
Приход]]-Таблица1[[#This Row],[Авто услу ]]</f>
        <v>0</v>
      </c>
      <c r="S1052" s="34"/>
      <c r="T1052" s="34">
        <f>Таблица1[[#This Row],[Сумма 
Продажа]]-IF(Таблица1[[#This Row],[Расход 
Авто]]="Клиент",N(Таблица1[[#This Row],[Авто услу ]]),0)</f>
        <v>0</v>
      </c>
      <c r="U105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2" s="265" t="str">
        <f>IFERROR(INDEX(Мижозлар[Агент],MATCH($D1052,Мижозлар[Расмий ном],0)),"")</f>
        <v/>
      </c>
    </row>
    <row r="1053" spans="1:23" ht="14.25" x14ac:dyDescent="0.2">
      <c r="A1053" s="21"/>
      <c r="B1053" s="135"/>
      <c r="C1053" s="141"/>
      <c r="D1053" s="141"/>
      <c r="E1053" s="136"/>
      <c r="F1053" s="135"/>
      <c r="G1053" s="34"/>
      <c r="H1053" s="142"/>
      <c r="I1053" s="34"/>
      <c r="J1053" s="34">
        <f>Таблица1[[#This Row],[Блок
 Куб]]*Таблица1[[#This Row],[Цена 
Приход]]</f>
        <v>0</v>
      </c>
      <c r="K1053" s="34"/>
      <c r="L1053" s="34"/>
      <c r="M1053" s="34">
        <f>Таблица1[[#This Row],[Поддон
Шт]]*Таблица1[[#This Row],[Цена
Поддон]]</f>
        <v>0</v>
      </c>
      <c r="N1053" s="34">
        <f>Таблица1[[#This Row],[Сумма 
Приход]]+Таблица1[[#This Row],[Сумма Поддон]]</f>
        <v>0</v>
      </c>
      <c r="O1053" s="34"/>
      <c r="P1053" s="34">
        <f>Таблица1[[#This Row],[Блок
 Куб]]*Таблица1[[#This Row],[Цена
 Продажа]]</f>
        <v>0</v>
      </c>
      <c r="Q1053" s="34"/>
      <c r="R1053" s="34">
        <f>Таблица1[[#This Row],[Сумма 
Продажа]]-Таблица1[[#This Row],[Сумма 
Приход]]-Таблица1[[#This Row],[Авто услу ]]</f>
        <v>0</v>
      </c>
      <c r="S1053" s="34"/>
      <c r="T1053" s="34">
        <f>Таблица1[[#This Row],[Сумма 
Продажа]]-IF(Таблица1[[#This Row],[Расход 
Авто]]="Клиент",N(Таблица1[[#This Row],[Авто услу ]]),0)</f>
        <v>0</v>
      </c>
      <c r="U105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3" s="265" t="str">
        <f>IFERROR(INDEX(Мижозлар[Агент],MATCH($D1053,Мижозлар[Расмий ном],0)),"")</f>
        <v/>
      </c>
    </row>
    <row r="1054" spans="1:23" ht="14.25" x14ac:dyDescent="0.2">
      <c r="A1054" s="21"/>
      <c r="B1054" s="135"/>
      <c r="C1054" s="141"/>
      <c r="D1054" s="141"/>
      <c r="E1054" s="136"/>
      <c r="F1054" s="135"/>
      <c r="G1054" s="34"/>
      <c r="H1054" s="142"/>
      <c r="I1054" s="34"/>
      <c r="J1054" s="34">
        <f>Таблица1[[#This Row],[Блок
 Куб]]*Таблица1[[#This Row],[Цена 
Приход]]</f>
        <v>0</v>
      </c>
      <c r="K1054" s="34"/>
      <c r="L1054" s="34"/>
      <c r="M1054" s="34">
        <f>Таблица1[[#This Row],[Поддон
Шт]]*Таблица1[[#This Row],[Цена
Поддон]]</f>
        <v>0</v>
      </c>
      <c r="N1054" s="34">
        <f>Таблица1[[#This Row],[Сумма 
Приход]]+Таблица1[[#This Row],[Сумма Поддон]]</f>
        <v>0</v>
      </c>
      <c r="O1054" s="34"/>
      <c r="P1054" s="34">
        <f>Таблица1[[#This Row],[Блок
 Куб]]*Таблица1[[#This Row],[Цена
 Продажа]]</f>
        <v>0</v>
      </c>
      <c r="Q1054" s="34"/>
      <c r="R1054" s="34">
        <f>Таблица1[[#This Row],[Сумма 
Продажа]]-Таблица1[[#This Row],[Сумма 
Приход]]-Таблица1[[#This Row],[Авто услу ]]</f>
        <v>0</v>
      </c>
      <c r="S1054" s="34"/>
      <c r="T1054" s="34">
        <f>Таблица1[[#This Row],[Сумма 
Продажа]]-IF(Таблица1[[#This Row],[Расход 
Авто]]="Клиент",N(Таблица1[[#This Row],[Авто услу ]]),0)</f>
        <v>0</v>
      </c>
      <c r="U105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4" s="265" t="str">
        <f>IFERROR(INDEX(Мижозлар[Агент],MATCH($D1054,Мижозлар[Расмий ном],0)),"")</f>
        <v/>
      </c>
    </row>
    <row r="1055" spans="1:23" ht="14.25" x14ac:dyDescent="0.2">
      <c r="A1055" s="21"/>
      <c r="B1055" s="135"/>
      <c r="C1055" s="141"/>
      <c r="D1055" s="141"/>
      <c r="E1055" s="136"/>
      <c r="F1055" s="135"/>
      <c r="G1055" s="34"/>
      <c r="H1055" s="142"/>
      <c r="I1055" s="34"/>
      <c r="J1055" s="34">
        <f>Таблица1[[#This Row],[Блок
 Куб]]*Таблица1[[#This Row],[Цена 
Приход]]</f>
        <v>0</v>
      </c>
      <c r="K1055" s="34"/>
      <c r="L1055" s="34"/>
      <c r="M1055" s="34">
        <f>Таблица1[[#This Row],[Поддон
Шт]]*Таблица1[[#This Row],[Цена
Поддон]]</f>
        <v>0</v>
      </c>
      <c r="N1055" s="34">
        <f>Таблица1[[#This Row],[Сумма 
Приход]]+Таблица1[[#This Row],[Сумма Поддон]]</f>
        <v>0</v>
      </c>
      <c r="O1055" s="34"/>
      <c r="P1055" s="34">
        <f>Таблица1[[#This Row],[Блок
 Куб]]*Таблица1[[#This Row],[Цена
 Продажа]]</f>
        <v>0</v>
      </c>
      <c r="Q1055" s="34"/>
      <c r="R1055" s="34">
        <f>Таблица1[[#This Row],[Сумма 
Продажа]]-Таблица1[[#This Row],[Сумма 
Приход]]-Таблица1[[#This Row],[Авто услу ]]</f>
        <v>0</v>
      </c>
      <c r="S1055" s="34"/>
      <c r="T1055" s="34">
        <f>Таблица1[[#This Row],[Сумма 
Продажа]]-IF(Таблица1[[#This Row],[Расход 
Авто]]="Клиент",N(Таблица1[[#This Row],[Авто услу ]]),0)</f>
        <v>0</v>
      </c>
      <c r="U105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5" s="265" t="str">
        <f>IFERROR(INDEX(Мижозлар[Агент],MATCH($D1055,Мижозлар[Расмий ном],0)),"")</f>
        <v/>
      </c>
    </row>
    <row r="1056" spans="1:23" ht="14.25" x14ac:dyDescent="0.2">
      <c r="A1056" s="21"/>
      <c r="B1056" s="135"/>
      <c r="C1056" s="141"/>
      <c r="D1056" s="141"/>
      <c r="E1056" s="136"/>
      <c r="F1056" s="135"/>
      <c r="G1056" s="34"/>
      <c r="H1056" s="142"/>
      <c r="I1056" s="34"/>
      <c r="J1056" s="34">
        <f>Таблица1[[#This Row],[Блок
 Куб]]*Таблица1[[#This Row],[Цена 
Приход]]</f>
        <v>0</v>
      </c>
      <c r="K1056" s="34"/>
      <c r="L1056" s="34"/>
      <c r="M1056" s="34">
        <f>Таблица1[[#This Row],[Поддон
Шт]]*Таблица1[[#This Row],[Цена
Поддон]]</f>
        <v>0</v>
      </c>
      <c r="N1056" s="34">
        <f>Таблица1[[#This Row],[Сумма 
Приход]]+Таблица1[[#This Row],[Сумма Поддон]]</f>
        <v>0</v>
      </c>
      <c r="O1056" s="34"/>
      <c r="P1056" s="34">
        <f>Таблица1[[#This Row],[Блок
 Куб]]*Таблица1[[#This Row],[Цена
 Продажа]]</f>
        <v>0</v>
      </c>
      <c r="Q1056" s="34"/>
      <c r="R1056" s="34">
        <f>Таблица1[[#This Row],[Сумма 
Продажа]]-Таблица1[[#This Row],[Сумма 
Приход]]-Таблица1[[#This Row],[Авто услу ]]</f>
        <v>0</v>
      </c>
      <c r="S1056" s="34"/>
      <c r="T1056" s="34">
        <f>Таблица1[[#This Row],[Сумма 
Продажа]]-IF(Таблица1[[#This Row],[Расход 
Авто]]="Клиент",N(Таблица1[[#This Row],[Авто услу ]]),0)</f>
        <v>0</v>
      </c>
      <c r="U105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6" s="265" t="str">
        <f>IFERROR(INDEX(Мижозлар[Агент],MATCH($D1056,Мижозлар[Расмий ном],0)),"")</f>
        <v/>
      </c>
    </row>
    <row r="1057" spans="1:23" ht="14.25" x14ac:dyDescent="0.2">
      <c r="A1057" s="21"/>
      <c r="B1057" s="135"/>
      <c r="C1057" s="141"/>
      <c r="D1057" s="141"/>
      <c r="E1057" s="136"/>
      <c r="F1057" s="135"/>
      <c r="G1057" s="34"/>
      <c r="H1057" s="142"/>
      <c r="I1057" s="34"/>
      <c r="J1057" s="34">
        <f>Таблица1[[#This Row],[Блок
 Куб]]*Таблица1[[#This Row],[Цена 
Приход]]</f>
        <v>0</v>
      </c>
      <c r="K1057" s="34"/>
      <c r="L1057" s="34"/>
      <c r="M1057" s="34">
        <f>Таблица1[[#This Row],[Поддон
Шт]]*Таблица1[[#This Row],[Цена
Поддон]]</f>
        <v>0</v>
      </c>
      <c r="N1057" s="34">
        <f>Таблица1[[#This Row],[Сумма 
Приход]]+Таблица1[[#This Row],[Сумма Поддон]]</f>
        <v>0</v>
      </c>
      <c r="O1057" s="34"/>
      <c r="P1057" s="34">
        <f>Таблица1[[#This Row],[Блок
 Куб]]*Таблица1[[#This Row],[Цена
 Продажа]]</f>
        <v>0</v>
      </c>
      <c r="Q1057" s="34"/>
      <c r="R1057" s="34">
        <f>Таблица1[[#This Row],[Сумма 
Продажа]]-Таблица1[[#This Row],[Сумма 
Приход]]-Таблица1[[#This Row],[Авто услу ]]</f>
        <v>0</v>
      </c>
      <c r="S1057" s="34"/>
      <c r="T1057" s="34">
        <f>Таблица1[[#This Row],[Сумма 
Продажа]]-IF(Таблица1[[#This Row],[Расход 
Авто]]="Клиент",N(Таблица1[[#This Row],[Авто услу ]]),0)</f>
        <v>0</v>
      </c>
      <c r="U105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7" s="265" t="str">
        <f>IFERROR(INDEX(Мижозлар[Агент],MATCH($D1057,Мижозлар[Расмий ном],0)),"")</f>
        <v/>
      </c>
    </row>
    <row r="1058" spans="1:23" ht="14.25" x14ac:dyDescent="0.2">
      <c r="A1058" s="21"/>
      <c r="B1058" s="135"/>
      <c r="C1058" s="141"/>
      <c r="D1058" s="141"/>
      <c r="E1058" s="136"/>
      <c r="F1058" s="135"/>
      <c r="G1058" s="34"/>
      <c r="H1058" s="142"/>
      <c r="I1058" s="34"/>
      <c r="J1058" s="34">
        <f>Таблица1[[#This Row],[Блок
 Куб]]*Таблица1[[#This Row],[Цена 
Приход]]</f>
        <v>0</v>
      </c>
      <c r="K1058" s="34"/>
      <c r="L1058" s="34"/>
      <c r="M1058" s="34">
        <f>Таблица1[[#This Row],[Поддон
Шт]]*Таблица1[[#This Row],[Цена
Поддон]]</f>
        <v>0</v>
      </c>
      <c r="N1058" s="34">
        <f>Таблица1[[#This Row],[Сумма 
Приход]]+Таблица1[[#This Row],[Сумма Поддон]]</f>
        <v>0</v>
      </c>
      <c r="O1058" s="34"/>
      <c r="P1058" s="34">
        <f>Таблица1[[#This Row],[Блок
 Куб]]*Таблица1[[#This Row],[Цена
 Продажа]]</f>
        <v>0</v>
      </c>
      <c r="Q1058" s="34"/>
      <c r="R1058" s="34">
        <f>Таблица1[[#This Row],[Сумма 
Продажа]]-Таблица1[[#This Row],[Сумма 
Приход]]-Таблица1[[#This Row],[Авто услу ]]</f>
        <v>0</v>
      </c>
      <c r="S1058" s="34"/>
      <c r="T1058" s="34">
        <f>Таблица1[[#This Row],[Сумма 
Продажа]]-IF(Таблица1[[#This Row],[Расход 
Авто]]="Клиент",N(Таблица1[[#This Row],[Авто услу ]]),0)</f>
        <v>0</v>
      </c>
      <c r="U105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8" s="265" t="str">
        <f>IFERROR(INDEX(Мижозлар[Агент],MATCH($D1058,Мижозлар[Расмий ном],0)),"")</f>
        <v/>
      </c>
    </row>
    <row r="1059" spans="1:23" ht="14.25" x14ac:dyDescent="0.2">
      <c r="A1059" s="21"/>
      <c r="B1059" s="135"/>
      <c r="C1059" s="141"/>
      <c r="D1059" s="141"/>
      <c r="E1059" s="136"/>
      <c r="F1059" s="135"/>
      <c r="G1059" s="34"/>
      <c r="H1059" s="142"/>
      <c r="I1059" s="34"/>
      <c r="J1059" s="34">
        <f>Таблица1[[#This Row],[Блок
 Куб]]*Таблица1[[#This Row],[Цена 
Приход]]</f>
        <v>0</v>
      </c>
      <c r="K1059" s="34"/>
      <c r="L1059" s="34"/>
      <c r="M1059" s="34">
        <f>Таблица1[[#This Row],[Поддон
Шт]]*Таблица1[[#This Row],[Цена
Поддон]]</f>
        <v>0</v>
      </c>
      <c r="N1059" s="34">
        <f>Таблица1[[#This Row],[Сумма 
Приход]]+Таблица1[[#This Row],[Сумма Поддон]]</f>
        <v>0</v>
      </c>
      <c r="O1059" s="34"/>
      <c r="P1059" s="34">
        <f>Таблица1[[#This Row],[Блок
 Куб]]*Таблица1[[#This Row],[Цена
 Продажа]]</f>
        <v>0</v>
      </c>
      <c r="Q1059" s="34"/>
      <c r="R1059" s="34">
        <f>Таблица1[[#This Row],[Сумма 
Продажа]]-Таблица1[[#This Row],[Сумма 
Приход]]-Таблица1[[#This Row],[Авто услу ]]</f>
        <v>0</v>
      </c>
      <c r="S1059" s="34"/>
      <c r="T1059" s="34">
        <f>Таблица1[[#This Row],[Сумма 
Продажа]]-IF(Таблица1[[#This Row],[Расход 
Авто]]="Клиент",N(Таблица1[[#This Row],[Авто услу ]]),0)</f>
        <v>0</v>
      </c>
      <c r="U105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5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59" s="265" t="str">
        <f>IFERROR(INDEX(Мижозлар[Агент],MATCH($D1059,Мижозлар[Расмий ном],0)),"")</f>
        <v/>
      </c>
    </row>
    <row r="1060" spans="1:23" ht="14.25" x14ac:dyDescent="0.2">
      <c r="A1060" s="21"/>
      <c r="B1060" s="135"/>
      <c r="C1060" s="141"/>
      <c r="D1060" s="141"/>
      <c r="E1060" s="136"/>
      <c r="F1060" s="135"/>
      <c r="G1060" s="34"/>
      <c r="H1060" s="142"/>
      <c r="I1060" s="34"/>
      <c r="J1060" s="34">
        <f>Таблица1[[#This Row],[Блок
 Куб]]*Таблица1[[#This Row],[Цена 
Приход]]</f>
        <v>0</v>
      </c>
      <c r="K1060" s="34"/>
      <c r="L1060" s="34"/>
      <c r="M1060" s="34">
        <f>Таблица1[[#This Row],[Поддон
Шт]]*Таблица1[[#This Row],[Цена
Поддон]]</f>
        <v>0</v>
      </c>
      <c r="N1060" s="34">
        <f>Таблица1[[#This Row],[Сумма 
Приход]]+Таблица1[[#This Row],[Сумма Поддон]]</f>
        <v>0</v>
      </c>
      <c r="O1060" s="34"/>
      <c r="P1060" s="34">
        <f>Таблица1[[#This Row],[Блок
 Куб]]*Таблица1[[#This Row],[Цена
 Продажа]]</f>
        <v>0</v>
      </c>
      <c r="Q1060" s="34"/>
      <c r="R1060" s="34">
        <f>Таблица1[[#This Row],[Сумма 
Продажа]]-Таблица1[[#This Row],[Сумма 
Приход]]-Таблица1[[#This Row],[Авто услу ]]</f>
        <v>0</v>
      </c>
      <c r="S1060" s="34"/>
      <c r="T1060" s="34">
        <f>Таблица1[[#This Row],[Сумма 
Продажа]]-IF(Таблица1[[#This Row],[Расход 
Авто]]="Клиент",N(Таблица1[[#This Row],[Авто услу ]]),0)</f>
        <v>0</v>
      </c>
      <c r="U106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0" s="265" t="str">
        <f>IFERROR(INDEX(Мижозлар[Агент],MATCH($D1060,Мижозлар[Расмий ном],0)),"")</f>
        <v/>
      </c>
    </row>
    <row r="1061" spans="1:23" ht="14.25" x14ac:dyDescent="0.2">
      <c r="A1061" s="21"/>
      <c r="B1061" s="135"/>
      <c r="C1061" s="141"/>
      <c r="D1061" s="141"/>
      <c r="E1061" s="136"/>
      <c r="F1061" s="135"/>
      <c r="G1061" s="34"/>
      <c r="H1061" s="142"/>
      <c r="I1061" s="34"/>
      <c r="J1061" s="34">
        <f>Таблица1[[#This Row],[Блок
 Куб]]*Таблица1[[#This Row],[Цена 
Приход]]</f>
        <v>0</v>
      </c>
      <c r="K1061" s="34"/>
      <c r="L1061" s="34"/>
      <c r="M1061" s="34">
        <f>Таблица1[[#This Row],[Поддон
Шт]]*Таблица1[[#This Row],[Цена
Поддон]]</f>
        <v>0</v>
      </c>
      <c r="N1061" s="34">
        <f>Таблица1[[#This Row],[Сумма 
Приход]]+Таблица1[[#This Row],[Сумма Поддон]]</f>
        <v>0</v>
      </c>
      <c r="O1061" s="34"/>
      <c r="P1061" s="34">
        <f>Таблица1[[#This Row],[Блок
 Куб]]*Таблица1[[#This Row],[Цена
 Продажа]]</f>
        <v>0</v>
      </c>
      <c r="Q1061" s="34"/>
      <c r="R1061" s="34">
        <f>Таблица1[[#This Row],[Сумма 
Продажа]]-Таблица1[[#This Row],[Сумма 
Приход]]-Таблица1[[#This Row],[Авто услу ]]</f>
        <v>0</v>
      </c>
      <c r="S1061" s="34"/>
      <c r="T1061" s="34">
        <f>Таблица1[[#This Row],[Сумма 
Продажа]]-IF(Таблица1[[#This Row],[Расход 
Авто]]="Клиент",N(Таблица1[[#This Row],[Авто услу ]]),0)</f>
        <v>0</v>
      </c>
      <c r="U106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1" s="265" t="str">
        <f>IFERROR(INDEX(Мижозлар[Агент],MATCH($D1061,Мижозлар[Расмий ном],0)),"")</f>
        <v/>
      </c>
    </row>
    <row r="1062" spans="1:23" ht="14.25" x14ac:dyDescent="0.2">
      <c r="A1062" s="21"/>
      <c r="B1062" s="135"/>
      <c r="C1062" s="141"/>
      <c r="D1062" s="141"/>
      <c r="E1062" s="136"/>
      <c r="F1062" s="135"/>
      <c r="G1062" s="34"/>
      <c r="H1062" s="142"/>
      <c r="I1062" s="34"/>
      <c r="J1062" s="34">
        <f>Таблица1[[#This Row],[Блок
 Куб]]*Таблица1[[#This Row],[Цена 
Приход]]</f>
        <v>0</v>
      </c>
      <c r="K1062" s="34"/>
      <c r="L1062" s="34"/>
      <c r="M1062" s="34">
        <f>Таблица1[[#This Row],[Поддон
Шт]]*Таблица1[[#This Row],[Цена
Поддон]]</f>
        <v>0</v>
      </c>
      <c r="N1062" s="34">
        <f>Таблица1[[#This Row],[Сумма 
Приход]]+Таблица1[[#This Row],[Сумма Поддон]]</f>
        <v>0</v>
      </c>
      <c r="O1062" s="34"/>
      <c r="P1062" s="34">
        <f>Таблица1[[#This Row],[Блок
 Куб]]*Таблица1[[#This Row],[Цена
 Продажа]]</f>
        <v>0</v>
      </c>
      <c r="Q1062" s="34"/>
      <c r="R1062" s="34">
        <f>Таблица1[[#This Row],[Сумма 
Продажа]]-Таблица1[[#This Row],[Сумма 
Приход]]-Таблица1[[#This Row],[Авто услу ]]</f>
        <v>0</v>
      </c>
      <c r="S1062" s="34"/>
      <c r="T1062" s="34">
        <f>Таблица1[[#This Row],[Сумма 
Продажа]]-IF(Таблица1[[#This Row],[Расход 
Авто]]="Клиент",N(Таблица1[[#This Row],[Авто услу ]]),0)</f>
        <v>0</v>
      </c>
      <c r="U106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2" s="265" t="str">
        <f>IFERROR(INDEX(Мижозлар[Агент],MATCH($D1062,Мижозлар[Расмий ном],0)),"")</f>
        <v/>
      </c>
    </row>
    <row r="1063" spans="1:23" ht="14.25" x14ac:dyDescent="0.2">
      <c r="A1063" s="21"/>
      <c r="B1063" s="135"/>
      <c r="C1063" s="141"/>
      <c r="D1063" s="141"/>
      <c r="E1063" s="136"/>
      <c r="F1063" s="135"/>
      <c r="G1063" s="34"/>
      <c r="H1063" s="142"/>
      <c r="I1063" s="34"/>
      <c r="J1063" s="34">
        <f>Таблица1[[#This Row],[Блок
 Куб]]*Таблица1[[#This Row],[Цена 
Приход]]</f>
        <v>0</v>
      </c>
      <c r="K1063" s="34"/>
      <c r="L1063" s="34"/>
      <c r="M1063" s="34">
        <f>Таблица1[[#This Row],[Поддон
Шт]]*Таблица1[[#This Row],[Цена
Поддон]]</f>
        <v>0</v>
      </c>
      <c r="N1063" s="34">
        <f>Таблица1[[#This Row],[Сумма 
Приход]]+Таблица1[[#This Row],[Сумма Поддон]]</f>
        <v>0</v>
      </c>
      <c r="O1063" s="34"/>
      <c r="P1063" s="34">
        <f>Таблица1[[#This Row],[Блок
 Куб]]*Таблица1[[#This Row],[Цена
 Продажа]]</f>
        <v>0</v>
      </c>
      <c r="Q1063" s="34"/>
      <c r="R1063" s="34">
        <f>Таблица1[[#This Row],[Сумма 
Продажа]]-Таблица1[[#This Row],[Сумма 
Приход]]-Таблица1[[#This Row],[Авто услу ]]</f>
        <v>0</v>
      </c>
      <c r="S1063" s="34"/>
      <c r="T1063" s="34">
        <f>Таблица1[[#This Row],[Сумма 
Продажа]]-IF(Таблица1[[#This Row],[Расход 
Авто]]="Клиент",N(Таблица1[[#This Row],[Авто услу ]]),0)</f>
        <v>0</v>
      </c>
      <c r="U106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3" s="265" t="str">
        <f>IFERROR(INDEX(Мижозлар[Агент],MATCH($D1063,Мижозлар[Расмий ном],0)),"")</f>
        <v/>
      </c>
    </row>
    <row r="1064" spans="1:23" ht="14.25" x14ac:dyDescent="0.2">
      <c r="A1064" s="21"/>
      <c r="B1064" s="135"/>
      <c r="C1064" s="141"/>
      <c r="D1064" s="141"/>
      <c r="E1064" s="136"/>
      <c r="F1064" s="135"/>
      <c r="G1064" s="34"/>
      <c r="H1064" s="142"/>
      <c r="I1064" s="34"/>
      <c r="J1064" s="34">
        <f>Таблица1[[#This Row],[Блок
 Куб]]*Таблица1[[#This Row],[Цена 
Приход]]</f>
        <v>0</v>
      </c>
      <c r="K1064" s="34"/>
      <c r="L1064" s="34"/>
      <c r="M1064" s="34">
        <f>Таблица1[[#This Row],[Поддон
Шт]]*Таблица1[[#This Row],[Цена
Поддон]]</f>
        <v>0</v>
      </c>
      <c r="N1064" s="34">
        <f>Таблица1[[#This Row],[Сумма 
Приход]]+Таблица1[[#This Row],[Сумма Поддон]]</f>
        <v>0</v>
      </c>
      <c r="O1064" s="34"/>
      <c r="P1064" s="34">
        <f>Таблица1[[#This Row],[Блок
 Куб]]*Таблица1[[#This Row],[Цена
 Продажа]]</f>
        <v>0</v>
      </c>
      <c r="Q1064" s="34"/>
      <c r="R1064" s="34">
        <f>Таблица1[[#This Row],[Сумма 
Продажа]]-Таблица1[[#This Row],[Сумма 
Приход]]-Таблица1[[#This Row],[Авто услу ]]</f>
        <v>0</v>
      </c>
      <c r="S1064" s="34"/>
      <c r="T1064" s="34">
        <f>Таблица1[[#This Row],[Сумма 
Продажа]]-IF(Таблица1[[#This Row],[Расход 
Авто]]="Клиент",N(Таблица1[[#This Row],[Авто услу ]]),0)</f>
        <v>0</v>
      </c>
      <c r="U106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4" s="265" t="str">
        <f>IFERROR(INDEX(Мижозлар[Агент],MATCH($D1064,Мижозлар[Расмий ном],0)),"")</f>
        <v/>
      </c>
    </row>
    <row r="1065" spans="1:23" ht="14.25" x14ac:dyDescent="0.2">
      <c r="A1065" s="21"/>
      <c r="B1065" s="135"/>
      <c r="C1065" s="141"/>
      <c r="D1065" s="141"/>
      <c r="E1065" s="136"/>
      <c r="F1065" s="135"/>
      <c r="G1065" s="34"/>
      <c r="H1065" s="142"/>
      <c r="I1065" s="34"/>
      <c r="J1065" s="34">
        <f>Таблица1[[#This Row],[Блок
 Куб]]*Таблица1[[#This Row],[Цена 
Приход]]</f>
        <v>0</v>
      </c>
      <c r="K1065" s="34"/>
      <c r="L1065" s="34"/>
      <c r="M1065" s="34">
        <f>Таблица1[[#This Row],[Поддон
Шт]]*Таблица1[[#This Row],[Цена
Поддон]]</f>
        <v>0</v>
      </c>
      <c r="N1065" s="34">
        <f>Таблица1[[#This Row],[Сумма 
Приход]]+Таблица1[[#This Row],[Сумма Поддон]]</f>
        <v>0</v>
      </c>
      <c r="O1065" s="34"/>
      <c r="P1065" s="34">
        <f>Таблица1[[#This Row],[Блок
 Куб]]*Таблица1[[#This Row],[Цена
 Продажа]]</f>
        <v>0</v>
      </c>
      <c r="Q1065" s="34"/>
      <c r="R1065" s="34">
        <f>Таблица1[[#This Row],[Сумма 
Продажа]]-Таблица1[[#This Row],[Сумма 
Приход]]-Таблица1[[#This Row],[Авто услу ]]</f>
        <v>0</v>
      </c>
      <c r="S1065" s="34"/>
      <c r="T1065" s="34">
        <f>Таблица1[[#This Row],[Сумма 
Продажа]]-IF(Таблица1[[#This Row],[Расход 
Авто]]="Клиент",N(Таблица1[[#This Row],[Авто услу ]]),0)</f>
        <v>0</v>
      </c>
      <c r="U106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5" s="265" t="str">
        <f>IFERROR(INDEX(Мижозлар[Агент],MATCH($D1065,Мижозлар[Расмий ном],0)),"")</f>
        <v/>
      </c>
    </row>
    <row r="1066" spans="1:23" ht="14.25" x14ac:dyDescent="0.2">
      <c r="A1066" s="21"/>
      <c r="B1066" s="135"/>
      <c r="C1066" s="141"/>
      <c r="D1066" s="141"/>
      <c r="E1066" s="136"/>
      <c r="F1066" s="135"/>
      <c r="G1066" s="34"/>
      <c r="H1066" s="142"/>
      <c r="I1066" s="34"/>
      <c r="J1066" s="34">
        <f>Таблица1[[#This Row],[Блок
 Куб]]*Таблица1[[#This Row],[Цена 
Приход]]</f>
        <v>0</v>
      </c>
      <c r="K1066" s="34"/>
      <c r="L1066" s="34"/>
      <c r="M1066" s="34">
        <f>Таблица1[[#This Row],[Поддон
Шт]]*Таблица1[[#This Row],[Цена
Поддон]]</f>
        <v>0</v>
      </c>
      <c r="N1066" s="34">
        <f>Таблица1[[#This Row],[Сумма 
Приход]]+Таблица1[[#This Row],[Сумма Поддон]]</f>
        <v>0</v>
      </c>
      <c r="O1066" s="34"/>
      <c r="P1066" s="34">
        <f>Таблица1[[#This Row],[Блок
 Куб]]*Таблица1[[#This Row],[Цена
 Продажа]]</f>
        <v>0</v>
      </c>
      <c r="Q1066" s="34"/>
      <c r="R1066" s="34">
        <f>Таблица1[[#This Row],[Сумма 
Продажа]]-Таблица1[[#This Row],[Сумма 
Приход]]-Таблица1[[#This Row],[Авто услу ]]</f>
        <v>0</v>
      </c>
      <c r="S1066" s="34"/>
      <c r="T1066" s="34">
        <f>Таблица1[[#This Row],[Сумма 
Продажа]]-IF(Таблица1[[#This Row],[Расход 
Авто]]="Клиент",N(Таблица1[[#This Row],[Авто услу ]]),0)</f>
        <v>0</v>
      </c>
      <c r="U106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6" s="265" t="str">
        <f>IFERROR(INDEX(Мижозлар[Агент],MATCH($D1066,Мижозлар[Расмий ном],0)),"")</f>
        <v/>
      </c>
    </row>
    <row r="1067" spans="1:23" ht="14.25" x14ac:dyDescent="0.2">
      <c r="A1067" s="21"/>
      <c r="B1067" s="135"/>
      <c r="C1067" s="141"/>
      <c r="D1067" s="141"/>
      <c r="E1067" s="136"/>
      <c r="F1067" s="135"/>
      <c r="G1067" s="34"/>
      <c r="H1067" s="142"/>
      <c r="I1067" s="34"/>
      <c r="J1067" s="34">
        <f>Таблица1[[#This Row],[Блок
 Куб]]*Таблица1[[#This Row],[Цена 
Приход]]</f>
        <v>0</v>
      </c>
      <c r="K1067" s="34"/>
      <c r="L1067" s="34"/>
      <c r="M1067" s="34">
        <f>Таблица1[[#This Row],[Поддон
Шт]]*Таблица1[[#This Row],[Цена
Поддон]]</f>
        <v>0</v>
      </c>
      <c r="N1067" s="34">
        <f>Таблица1[[#This Row],[Сумма 
Приход]]+Таблица1[[#This Row],[Сумма Поддон]]</f>
        <v>0</v>
      </c>
      <c r="O1067" s="34"/>
      <c r="P1067" s="34">
        <f>Таблица1[[#This Row],[Блок
 Куб]]*Таблица1[[#This Row],[Цена
 Продажа]]</f>
        <v>0</v>
      </c>
      <c r="Q1067" s="34"/>
      <c r="R1067" s="34">
        <f>Таблица1[[#This Row],[Сумма 
Продажа]]-Таблица1[[#This Row],[Сумма 
Приход]]-Таблица1[[#This Row],[Авто услу ]]</f>
        <v>0</v>
      </c>
      <c r="S1067" s="34"/>
      <c r="T1067" s="34">
        <f>Таблица1[[#This Row],[Сумма 
Продажа]]-IF(Таблица1[[#This Row],[Расход 
Авто]]="Клиент",N(Таблица1[[#This Row],[Авто услу ]]),0)</f>
        <v>0</v>
      </c>
      <c r="U106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7" s="265" t="str">
        <f>IFERROR(INDEX(Мижозлар[Агент],MATCH($D1067,Мижозлар[Расмий ном],0)),"")</f>
        <v/>
      </c>
    </row>
    <row r="1068" spans="1:23" ht="14.25" x14ac:dyDescent="0.2">
      <c r="A1068" s="21"/>
      <c r="B1068" s="135"/>
      <c r="C1068" s="141"/>
      <c r="D1068" s="141"/>
      <c r="E1068" s="136"/>
      <c r="F1068" s="135"/>
      <c r="G1068" s="34"/>
      <c r="H1068" s="142"/>
      <c r="I1068" s="34"/>
      <c r="J1068" s="34">
        <f>Таблица1[[#This Row],[Блок
 Куб]]*Таблица1[[#This Row],[Цена 
Приход]]</f>
        <v>0</v>
      </c>
      <c r="K1068" s="34"/>
      <c r="L1068" s="34"/>
      <c r="M1068" s="34">
        <f>Таблица1[[#This Row],[Поддон
Шт]]*Таблица1[[#This Row],[Цена
Поддон]]</f>
        <v>0</v>
      </c>
      <c r="N1068" s="34">
        <f>Таблица1[[#This Row],[Сумма 
Приход]]+Таблица1[[#This Row],[Сумма Поддон]]</f>
        <v>0</v>
      </c>
      <c r="O1068" s="34"/>
      <c r="P1068" s="34">
        <f>Таблица1[[#This Row],[Блок
 Куб]]*Таблица1[[#This Row],[Цена
 Продажа]]</f>
        <v>0</v>
      </c>
      <c r="Q1068" s="34"/>
      <c r="R1068" s="34">
        <f>Таблица1[[#This Row],[Сумма 
Продажа]]-Таблица1[[#This Row],[Сумма 
Приход]]-Таблица1[[#This Row],[Авто услу ]]</f>
        <v>0</v>
      </c>
      <c r="S1068" s="34"/>
      <c r="T1068" s="34">
        <f>Таблица1[[#This Row],[Сумма 
Продажа]]-IF(Таблица1[[#This Row],[Расход 
Авто]]="Клиент",N(Таблица1[[#This Row],[Авто услу ]]),0)</f>
        <v>0</v>
      </c>
      <c r="U106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8" s="265" t="str">
        <f>IFERROR(INDEX(Мижозлар[Агент],MATCH($D1068,Мижозлар[Расмий ном],0)),"")</f>
        <v/>
      </c>
    </row>
    <row r="1069" spans="1:23" ht="14.25" x14ac:dyDescent="0.2">
      <c r="A1069" s="21"/>
      <c r="B1069" s="135"/>
      <c r="C1069" s="141"/>
      <c r="D1069" s="141"/>
      <c r="E1069" s="136"/>
      <c r="F1069" s="135"/>
      <c r="G1069" s="34"/>
      <c r="H1069" s="142"/>
      <c r="I1069" s="34"/>
      <c r="J1069" s="34">
        <f>Таблица1[[#This Row],[Блок
 Куб]]*Таблица1[[#This Row],[Цена 
Приход]]</f>
        <v>0</v>
      </c>
      <c r="K1069" s="34"/>
      <c r="L1069" s="34"/>
      <c r="M1069" s="34">
        <f>Таблица1[[#This Row],[Поддон
Шт]]*Таблица1[[#This Row],[Цена
Поддон]]</f>
        <v>0</v>
      </c>
      <c r="N1069" s="34">
        <f>Таблица1[[#This Row],[Сумма 
Приход]]+Таблица1[[#This Row],[Сумма Поддон]]</f>
        <v>0</v>
      </c>
      <c r="O1069" s="34"/>
      <c r="P1069" s="34">
        <f>Таблица1[[#This Row],[Блок
 Куб]]*Таблица1[[#This Row],[Цена
 Продажа]]</f>
        <v>0</v>
      </c>
      <c r="Q1069" s="34"/>
      <c r="R1069" s="34">
        <f>Таблица1[[#This Row],[Сумма 
Продажа]]-Таблица1[[#This Row],[Сумма 
Приход]]-Таблица1[[#This Row],[Авто услу ]]</f>
        <v>0</v>
      </c>
      <c r="S1069" s="34"/>
      <c r="T1069" s="34">
        <f>Таблица1[[#This Row],[Сумма 
Продажа]]-IF(Таблица1[[#This Row],[Расход 
Авто]]="Клиент",N(Таблица1[[#This Row],[Авто услу ]]),0)</f>
        <v>0</v>
      </c>
      <c r="U106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6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69" s="265" t="str">
        <f>IFERROR(INDEX(Мижозлар[Агент],MATCH($D1069,Мижозлар[Расмий ном],0)),"")</f>
        <v/>
      </c>
    </row>
    <row r="1070" spans="1:23" ht="14.25" x14ac:dyDescent="0.2">
      <c r="A1070" s="21"/>
      <c r="B1070" s="135"/>
      <c r="C1070" s="141"/>
      <c r="D1070" s="141"/>
      <c r="E1070" s="136"/>
      <c r="F1070" s="135"/>
      <c r="G1070" s="34"/>
      <c r="H1070" s="142"/>
      <c r="I1070" s="34"/>
      <c r="J1070" s="34">
        <f>Таблица1[[#This Row],[Блок
 Куб]]*Таблица1[[#This Row],[Цена 
Приход]]</f>
        <v>0</v>
      </c>
      <c r="K1070" s="34"/>
      <c r="L1070" s="34"/>
      <c r="M1070" s="34">
        <f>Таблица1[[#This Row],[Поддон
Шт]]*Таблица1[[#This Row],[Цена
Поддон]]</f>
        <v>0</v>
      </c>
      <c r="N1070" s="34">
        <f>Таблица1[[#This Row],[Сумма 
Приход]]+Таблица1[[#This Row],[Сумма Поддон]]</f>
        <v>0</v>
      </c>
      <c r="O1070" s="34"/>
      <c r="P1070" s="34">
        <f>Таблица1[[#This Row],[Блок
 Куб]]*Таблица1[[#This Row],[Цена
 Продажа]]</f>
        <v>0</v>
      </c>
      <c r="Q1070" s="34"/>
      <c r="R1070" s="34">
        <f>Таблица1[[#This Row],[Сумма 
Продажа]]-Таблица1[[#This Row],[Сумма 
Приход]]-Таблица1[[#This Row],[Авто услу ]]</f>
        <v>0</v>
      </c>
      <c r="S1070" s="34"/>
      <c r="T1070" s="34">
        <f>Таблица1[[#This Row],[Сумма 
Продажа]]-IF(Таблица1[[#This Row],[Расход 
Авто]]="Клиент",N(Таблица1[[#This Row],[Авто услу ]]),0)</f>
        <v>0</v>
      </c>
      <c r="U107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0" s="265" t="str">
        <f>IFERROR(INDEX(Мижозлар[Агент],MATCH($D1070,Мижозлар[Расмий ном],0)),"")</f>
        <v/>
      </c>
    </row>
    <row r="1071" spans="1:23" ht="14.25" x14ac:dyDescent="0.2">
      <c r="A1071" s="21"/>
      <c r="B1071" s="135"/>
      <c r="C1071" s="141"/>
      <c r="D1071" s="141"/>
      <c r="E1071" s="136"/>
      <c r="F1071" s="135"/>
      <c r="G1071" s="34"/>
      <c r="H1071" s="142"/>
      <c r="I1071" s="34"/>
      <c r="J1071" s="34">
        <f>Таблица1[[#This Row],[Блок
 Куб]]*Таблица1[[#This Row],[Цена 
Приход]]</f>
        <v>0</v>
      </c>
      <c r="K1071" s="34"/>
      <c r="L1071" s="34"/>
      <c r="M1071" s="34">
        <f>Таблица1[[#This Row],[Поддон
Шт]]*Таблица1[[#This Row],[Цена
Поддон]]</f>
        <v>0</v>
      </c>
      <c r="N1071" s="34">
        <f>Таблица1[[#This Row],[Сумма 
Приход]]+Таблица1[[#This Row],[Сумма Поддон]]</f>
        <v>0</v>
      </c>
      <c r="O1071" s="34"/>
      <c r="P1071" s="34">
        <f>Таблица1[[#This Row],[Блок
 Куб]]*Таблица1[[#This Row],[Цена
 Продажа]]</f>
        <v>0</v>
      </c>
      <c r="Q1071" s="34"/>
      <c r="R1071" s="34">
        <f>Таблица1[[#This Row],[Сумма 
Продажа]]-Таблица1[[#This Row],[Сумма 
Приход]]-Таблица1[[#This Row],[Авто услу ]]</f>
        <v>0</v>
      </c>
      <c r="S1071" s="34"/>
      <c r="T1071" s="34">
        <f>Таблица1[[#This Row],[Сумма 
Продажа]]-IF(Таблица1[[#This Row],[Расход 
Авто]]="Клиент",N(Таблица1[[#This Row],[Авто услу ]]),0)</f>
        <v>0</v>
      </c>
      <c r="U107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1" s="265" t="str">
        <f>IFERROR(INDEX(Мижозлар[Агент],MATCH($D1071,Мижозлар[Расмий ном],0)),"")</f>
        <v/>
      </c>
    </row>
    <row r="1072" spans="1:23" ht="14.25" x14ac:dyDescent="0.2">
      <c r="A1072" s="21"/>
      <c r="B1072" s="135"/>
      <c r="C1072" s="141"/>
      <c r="D1072" s="141"/>
      <c r="E1072" s="136"/>
      <c r="F1072" s="135"/>
      <c r="G1072" s="34"/>
      <c r="H1072" s="142"/>
      <c r="I1072" s="34"/>
      <c r="J1072" s="34">
        <f>Таблица1[[#This Row],[Блок
 Куб]]*Таблица1[[#This Row],[Цена 
Приход]]</f>
        <v>0</v>
      </c>
      <c r="K1072" s="34"/>
      <c r="L1072" s="34"/>
      <c r="M1072" s="34">
        <f>Таблица1[[#This Row],[Поддон
Шт]]*Таблица1[[#This Row],[Цена
Поддон]]</f>
        <v>0</v>
      </c>
      <c r="N1072" s="34">
        <f>Таблица1[[#This Row],[Сумма 
Приход]]+Таблица1[[#This Row],[Сумма Поддон]]</f>
        <v>0</v>
      </c>
      <c r="O1072" s="34"/>
      <c r="P1072" s="34">
        <f>Таблица1[[#This Row],[Блок
 Куб]]*Таблица1[[#This Row],[Цена
 Продажа]]</f>
        <v>0</v>
      </c>
      <c r="Q1072" s="34"/>
      <c r="R1072" s="34">
        <f>Таблица1[[#This Row],[Сумма 
Продажа]]-Таблица1[[#This Row],[Сумма 
Приход]]-Таблица1[[#This Row],[Авто услу ]]</f>
        <v>0</v>
      </c>
      <c r="S1072" s="34"/>
      <c r="T1072" s="34">
        <f>Таблица1[[#This Row],[Сумма 
Продажа]]-IF(Таблица1[[#This Row],[Расход 
Авто]]="Клиент",N(Таблица1[[#This Row],[Авто услу ]]),0)</f>
        <v>0</v>
      </c>
      <c r="U107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2" s="265" t="str">
        <f>IFERROR(INDEX(Мижозлар[Агент],MATCH($D1072,Мижозлар[Расмий ном],0)),"")</f>
        <v/>
      </c>
    </row>
    <row r="1073" spans="1:23" ht="14.25" x14ac:dyDescent="0.2">
      <c r="A1073" s="21"/>
      <c r="B1073" s="135"/>
      <c r="C1073" s="141"/>
      <c r="D1073" s="141"/>
      <c r="E1073" s="136"/>
      <c r="F1073" s="135"/>
      <c r="G1073" s="34"/>
      <c r="H1073" s="142"/>
      <c r="I1073" s="34"/>
      <c r="J1073" s="34">
        <f>Таблица1[[#This Row],[Блок
 Куб]]*Таблица1[[#This Row],[Цена 
Приход]]</f>
        <v>0</v>
      </c>
      <c r="K1073" s="34"/>
      <c r="L1073" s="34"/>
      <c r="M1073" s="34">
        <f>Таблица1[[#This Row],[Поддон
Шт]]*Таблица1[[#This Row],[Цена
Поддон]]</f>
        <v>0</v>
      </c>
      <c r="N1073" s="34">
        <f>Таблица1[[#This Row],[Сумма 
Приход]]+Таблица1[[#This Row],[Сумма Поддон]]</f>
        <v>0</v>
      </c>
      <c r="O1073" s="34"/>
      <c r="P1073" s="34">
        <f>Таблица1[[#This Row],[Блок
 Куб]]*Таблица1[[#This Row],[Цена
 Продажа]]</f>
        <v>0</v>
      </c>
      <c r="Q1073" s="34"/>
      <c r="R1073" s="34">
        <f>Таблица1[[#This Row],[Сумма 
Продажа]]-Таблица1[[#This Row],[Сумма 
Приход]]-Таблица1[[#This Row],[Авто услу ]]</f>
        <v>0</v>
      </c>
      <c r="S1073" s="34"/>
      <c r="T1073" s="34">
        <f>Таблица1[[#This Row],[Сумма 
Продажа]]-IF(Таблица1[[#This Row],[Расход 
Авто]]="Клиент",N(Таблица1[[#This Row],[Авто услу ]]),0)</f>
        <v>0</v>
      </c>
      <c r="U107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3" s="265" t="str">
        <f>IFERROR(INDEX(Мижозлар[Агент],MATCH($D1073,Мижозлар[Расмий ном],0)),"")</f>
        <v/>
      </c>
    </row>
    <row r="1074" spans="1:23" ht="14.25" x14ac:dyDescent="0.2">
      <c r="A1074" s="21"/>
      <c r="B1074" s="135"/>
      <c r="C1074" s="141"/>
      <c r="D1074" s="141"/>
      <c r="E1074" s="136"/>
      <c r="F1074" s="135"/>
      <c r="G1074" s="34"/>
      <c r="H1074" s="142"/>
      <c r="I1074" s="34"/>
      <c r="J1074" s="34">
        <f>Таблица1[[#This Row],[Блок
 Куб]]*Таблица1[[#This Row],[Цена 
Приход]]</f>
        <v>0</v>
      </c>
      <c r="K1074" s="34"/>
      <c r="L1074" s="34"/>
      <c r="M1074" s="34">
        <f>Таблица1[[#This Row],[Поддон
Шт]]*Таблица1[[#This Row],[Цена
Поддон]]</f>
        <v>0</v>
      </c>
      <c r="N1074" s="34">
        <f>Таблица1[[#This Row],[Сумма 
Приход]]+Таблица1[[#This Row],[Сумма Поддон]]</f>
        <v>0</v>
      </c>
      <c r="O1074" s="34"/>
      <c r="P1074" s="34">
        <f>Таблица1[[#This Row],[Блок
 Куб]]*Таблица1[[#This Row],[Цена
 Продажа]]</f>
        <v>0</v>
      </c>
      <c r="Q1074" s="34"/>
      <c r="R1074" s="34">
        <f>Таблица1[[#This Row],[Сумма 
Продажа]]-Таблица1[[#This Row],[Сумма 
Приход]]-Таблица1[[#This Row],[Авто услу ]]</f>
        <v>0</v>
      </c>
      <c r="S1074" s="34"/>
      <c r="T1074" s="34">
        <f>Таблица1[[#This Row],[Сумма 
Продажа]]-IF(Таблица1[[#This Row],[Расход 
Авто]]="Клиент",N(Таблица1[[#This Row],[Авто услу ]]),0)</f>
        <v>0</v>
      </c>
      <c r="U107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4" s="265" t="str">
        <f>IFERROR(INDEX(Мижозлар[Агент],MATCH($D1074,Мижозлар[Расмий ном],0)),"")</f>
        <v/>
      </c>
    </row>
    <row r="1075" spans="1:23" ht="14.25" x14ac:dyDescent="0.2">
      <c r="A1075" s="21"/>
      <c r="B1075" s="135"/>
      <c r="C1075" s="141"/>
      <c r="D1075" s="141"/>
      <c r="E1075" s="136"/>
      <c r="F1075" s="135"/>
      <c r="G1075" s="34"/>
      <c r="H1075" s="142"/>
      <c r="I1075" s="34"/>
      <c r="J1075" s="34">
        <f>Таблица1[[#This Row],[Блок
 Куб]]*Таблица1[[#This Row],[Цена 
Приход]]</f>
        <v>0</v>
      </c>
      <c r="K1075" s="34"/>
      <c r="L1075" s="34"/>
      <c r="M1075" s="34">
        <f>Таблица1[[#This Row],[Поддон
Шт]]*Таблица1[[#This Row],[Цена
Поддон]]</f>
        <v>0</v>
      </c>
      <c r="N1075" s="34">
        <f>Таблица1[[#This Row],[Сумма 
Приход]]+Таблица1[[#This Row],[Сумма Поддон]]</f>
        <v>0</v>
      </c>
      <c r="O1075" s="34"/>
      <c r="P1075" s="34">
        <f>Таблица1[[#This Row],[Блок
 Куб]]*Таблица1[[#This Row],[Цена
 Продажа]]</f>
        <v>0</v>
      </c>
      <c r="Q1075" s="34"/>
      <c r="R1075" s="34">
        <f>Таблица1[[#This Row],[Сумма 
Продажа]]-Таблица1[[#This Row],[Сумма 
Приход]]-Таблица1[[#This Row],[Авто услу ]]</f>
        <v>0</v>
      </c>
      <c r="S1075" s="34"/>
      <c r="T1075" s="34">
        <f>Таблица1[[#This Row],[Сумма 
Продажа]]-IF(Таблица1[[#This Row],[Расход 
Авто]]="Клиент",N(Таблица1[[#This Row],[Авто услу ]]),0)</f>
        <v>0</v>
      </c>
      <c r="U107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5" s="265" t="str">
        <f>IFERROR(INDEX(Мижозлар[Агент],MATCH($D1075,Мижозлар[Расмий ном],0)),"")</f>
        <v/>
      </c>
    </row>
    <row r="1076" spans="1:23" ht="14.25" x14ac:dyDescent="0.2">
      <c r="A1076" s="21"/>
      <c r="B1076" s="135"/>
      <c r="C1076" s="141"/>
      <c r="D1076" s="141"/>
      <c r="E1076" s="136"/>
      <c r="F1076" s="135"/>
      <c r="G1076" s="34"/>
      <c r="H1076" s="142"/>
      <c r="I1076" s="34"/>
      <c r="J1076" s="34">
        <f>Таблица1[[#This Row],[Блок
 Куб]]*Таблица1[[#This Row],[Цена 
Приход]]</f>
        <v>0</v>
      </c>
      <c r="K1076" s="34"/>
      <c r="L1076" s="34"/>
      <c r="M1076" s="34">
        <f>Таблица1[[#This Row],[Поддон
Шт]]*Таблица1[[#This Row],[Цена
Поддон]]</f>
        <v>0</v>
      </c>
      <c r="N1076" s="34">
        <f>Таблица1[[#This Row],[Сумма 
Приход]]+Таблица1[[#This Row],[Сумма Поддон]]</f>
        <v>0</v>
      </c>
      <c r="O1076" s="34"/>
      <c r="P1076" s="34">
        <f>Таблица1[[#This Row],[Блок
 Куб]]*Таблица1[[#This Row],[Цена
 Продажа]]</f>
        <v>0</v>
      </c>
      <c r="Q1076" s="34"/>
      <c r="R1076" s="34">
        <f>Таблица1[[#This Row],[Сумма 
Продажа]]-Таблица1[[#This Row],[Сумма 
Приход]]-Таблица1[[#This Row],[Авто услу ]]</f>
        <v>0</v>
      </c>
      <c r="S1076" s="34"/>
      <c r="T1076" s="34">
        <f>Таблица1[[#This Row],[Сумма 
Продажа]]-IF(Таблица1[[#This Row],[Расход 
Авто]]="Клиент",N(Таблица1[[#This Row],[Авто услу ]]),0)</f>
        <v>0</v>
      </c>
      <c r="U107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6" s="265" t="str">
        <f>IFERROR(INDEX(Мижозлар[Агент],MATCH($D1076,Мижозлар[Расмий ном],0)),"")</f>
        <v/>
      </c>
    </row>
    <row r="1077" spans="1:23" ht="14.25" x14ac:dyDescent="0.2">
      <c r="A1077" s="21"/>
      <c r="B1077" s="135"/>
      <c r="C1077" s="141"/>
      <c r="D1077" s="141"/>
      <c r="E1077" s="136"/>
      <c r="F1077" s="135"/>
      <c r="G1077" s="34"/>
      <c r="H1077" s="142"/>
      <c r="I1077" s="34"/>
      <c r="J1077" s="34">
        <f>Таблица1[[#This Row],[Блок
 Куб]]*Таблица1[[#This Row],[Цена 
Приход]]</f>
        <v>0</v>
      </c>
      <c r="K1077" s="34"/>
      <c r="L1077" s="34"/>
      <c r="M1077" s="34">
        <f>Таблица1[[#This Row],[Поддон
Шт]]*Таблица1[[#This Row],[Цена
Поддон]]</f>
        <v>0</v>
      </c>
      <c r="N1077" s="34">
        <f>Таблица1[[#This Row],[Сумма 
Приход]]+Таблица1[[#This Row],[Сумма Поддон]]</f>
        <v>0</v>
      </c>
      <c r="O1077" s="34"/>
      <c r="P1077" s="34">
        <f>Таблица1[[#This Row],[Блок
 Куб]]*Таблица1[[#This Row],[Цена
 Продажа]]</f>
        <v>0</v>
      </c>
      <c r="Q1077" s="34"/>
      <c r="R1077" s="34">
        <f>Таблица1[[#This Row],[Сумма 
Продажа]]-Таблица1[[#This Row],[Сумма 
Приход]]-Таблица1[[#This Row],[Авто услу ]]</f>
        <v>0</v>
      </c>
      <c r="S1077" s="34"/>
      <c r="T1077" s="34">
        <f>Таблица1[[#This Row],[Сумма 
Продажа]]-IF(Таблица1[[#This Row],[Расход 
Авто]]="Клиент",N(Таблица1[[#This Row],[Авто услу ]]),0)</f>
        <v>0</v>
      </c>
      <c r="U107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7" s="265" t="str">
        <f>IFERROR(INDEX(Мижозлар[Агент],MATCH($D1077,Мижозлар[Расмий ном],0)),"")</f>
        <v/>
      </c>
    </row>
    <row r="1078" spans="1:23" ht="14.25" x14ac:dyDescent="0.2">
      <c r="A1078" s="21"/>
      <c r="B1078" s="135"/>
      <c r="C1078" s="141"/>
      <c r="D1078" s="141"/>
      <c r="E1078" s="136"/>
      <c r="F1078" s="135"/>
      <c r="G1078" s="34"/>
      <c r="H1078" s="142"/>
      <c r="I1078" s="34"/>
      <c r="J1078" s="34">
        <f>Таблица1[[#This Row],[Блок
 Куб]]*Таблица1[[#This Row],[Цена 
Приход]]</f>
        <v>0</v>
      </c>
      <c r="K1078" s="34"/>
      <c r="L1078" s="34"/>
      <c r="M1078" s="34">
        <f>Таблица1[[#This Row],[Поддон
Шт]]*Таблица1[[#This Row],[Цена
Поддон]]</f>
        <v>0</v>
      </c>
      <c r="N1078" s="34">
        <f>Таблица1[[#This Row],[Сумма 
Приход]]+Таблица1[[#This Row],[Сумма Поддон]]</f>
        <v>0</v>
      </c>
      <c r="O1078" s="34"/>
      <c r="P1078" s="34">
        <f>Таблица1[[#This Row],[Блок
 Куб]]*Таблица1[[#This Row],[Цена
 Продажа]]</f>
        <v>0</v>
      </c>
      <c r="Q1078" s="34"/>
      <c r="R1078" s="34">
        <f>Таблица1[[#This Row],[Сумма 
Продажа]]-Таблица1[[#This Row],[Сумма 
Приход]]-Таблица1[[#This Row],[Авто услу ]]</f>
        <v>0</v>
      </c>
      <c r="S1078" s="34"/>
      <c r="T1078" s="34">
        <f>Таблица1[[#This Row],[Сумма 
Продажа]]-IF(Таблица1[[#This Row],[Расход 
Авто]]="Клиент",N(Таблица1[[#This Row],[Авто услу ]]),0)</f>
        <v>0</v>
      </c>
      <c r="U107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8" s="265" t="str">
        <f>IFERROR(INDEX(Мижозлар[Агент],MATCH($D1078,Мижозлар[Расмий ном],0)),"")</f>
        <v/>
      </c>
    </row>
    <row r="1079" spans="1:23" ht="14.25" x14ac:dyDescent="0.2">
      <c r="A1079" s="21"/>
      <c r="B1079" s="135"/>
      <c r="C1079" s="141"/>
      <c r="D1079" s="141"/>
      <c r="E1079" s="136"/>
      <c r="F1079" s="135"/>
      <c r="G1079" s="34"/>
      <c r="H1079" s="142"/>
      <c r="I1079" s="34"/>
      <c r="J1079" s="34">
        <f>Таблица1[[#This Row],[Блок
 Куб]]*Таблица1[[#This Row],[Цена 
Приход]]</f>
        <v>0</v>
      </c>
      <c r="K1079" s="34"/>
      <c r="L1079" s="34"/>
      <c r="M1079" s="34">
        <f>Таблица1[[#This Row],[Поддон
Шт]]*Таблица1[[#This Row],[Цена
Поддон]]</f>
        <v>0</v>
      </c>
      <c r="N1079" s="34">
        <f>Таблица1[[#This Row],[Сумма 
Приход]]+Таблица1[[#This Row],[Сумма Поддон]]</f>
        <v>0</v>
      </c>
      <c r="O1079" s="34"/>
      <c r="P1079" s="34">
        <f>Таблица1[[#This Row],[Блок
 Куб]]*Таблица1[[#This Row],[Цена
 Продажа]]</f>
        <v>0</v>
      </c>
      <c r="Q1079" s="34"/>
      <c r="R1079" s="34">
        <f>Таблица1[[#This Row],[Сумма 
Продажа]]-Таблица1[[#This Row],[Сумма 
Приход]]-Таблица1[[#This Row],[Авто услу ]]</f>
        <v>0</v>
      </c>
      <c r="S1079" s="34"/>
      <c r="T1079" s="34">
        <f>Таблица1[[#This Row],[Сумма 
Продажа]]-IF(Таблица1[[#This Row],[Расход 
Авто]]="Клиент",N(Таблица1[[#This Row],[Авто услу ]]),0)</f>
        <v>0</v>
      </c>
      <c r="U107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7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79" s="265" t="str">
        <f>IFERROR(INDEX(Мижозлар[Агент],MATCH($D1079,Мижозлар[Расмий ном],0)),"")</f>
        <v/>
      </c>
    </row>
    <row r="1080" spans="1:23" ht="14.25" x14ac:dyDescent="0.2">
      <c r="A1080" s="21"/>
      <c r="B1080" s="135"/>
      <c r="C1080" s="141"/>
      <c r="D1080" s="141"/>
      <c r="E1080" s="136"/>
      <c r="F1080" s="135"/>
      <c r="G1080" s="34"/>
      <c r="H1080" s="142"/>
      <c r="I1080" s="34"/>
      <c r="J1080" s="34">
        <f>Таблица1[[#This Row],[Блок
 Куб]]*Таблица1[[#This Row],[Цена 
Приход]]</f>
        <v>0</v>
      </c>
      <c r="K1080" s="34"/>
      <c r="L1080" s="34"/>
      <c r="M1080" s="34">
        <f>Таблица1[[#This Row],[Поддон
Шт]]*Таблица1[[#This Row],[Цена
Поддон]]</f>
        <v>0</v>
      </c>
      <c r="N1080" s="34">
        <f>Таблица1[[#This Row],[Сумма 
Приход]]+Таблица1[[#This Row],[Сумма Поддон]]</f>
        <v>0</v>
      </c>
      <c r="O1080" s="34"/>
      <c r="P1080" s="34">
        <f>Таблица1[[#This Row],[Блок
 Куб]]*Таблица1[[#This Row],[Цена
 Продажа]]</f>
        <v>0</v>
      </c>
      <c r="Q1080" s="34"/>
      <c r="R1080" s="34">
        <f>Таблица1[[#This Row],[Сумма 
Продажа]]-Таблица1[[#This Row],[Сумма 
Приход]]-Таблица1[[#This Row],[Авто услу ]]</f>
        <v>0</v>
      </c>
      <c r="S1080" s="34"/>
      <c r="T1080" s="34">
        <f>Таблица1[[#This Row],[Сумма 
Продажа]]-IF(Таблица1[[#This Row],[Расход 
Авто]]="Клиент",N(Таблица1[[#This Row],[Авто услу ]]),0)</f>
        <v>0</v>
      </c>
      <c r="U108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0" s="265" t="str">
        <f>IFERROR(INDEX(Мижозлар[Агент],MATCH($D1080,Мижозлар[Расмий ном],0)),"")</f>
        <v/>
      </c>
    </row>
    <row r="1081" spans="1:23" ht="14.25" x14ac:dyDescent="0.2">
      <c r="A1081" s="21"/>
      <c r="B1081" s="135"/>
      <c r="C1081" s="141"/>
      <c r="D1081" s="141"/>
      <c r="E1081" s="136"/>
      <c r="F1081" s="135"/>
      <c r="G1081" s="34"/>
      <c r="H1081" s="142"/>
      <c r="I1081" s="34"/>
      <c r="J1081" s="34">
        <f>Таблица1[[#This Row],[Блок
 Куб]]*Таблица1[[#This Row],[Цена 
Приход]]</f>
        <v>0</v>
      </c>
      <c r="K1081" s="34"/>
      <c r="L1081" s="34"/>
      <c r="M1081" s="34">
        <f>Таблица1[[#This Row],[Поддон
Шт]]*Таблица1[[#This Row],[Цена
Поддон]]</f>
        <v>0</v>
      </c>
      <c r="N1081" s="34">
        <f>Таблица1[[#This Row],[Сумма 
Приход]]+Таблица1[[#This Row],[Сумма Поддон]]</f>
        <v>0</v>
      </c>
      <c r="O1081" s="34"/>
      <c r="P1081" s="34">
        <f>Таблица1[[#This Row],[Блок
 Куб]]*Таблица1[[#This Row],[Цена
 Продажа]]</f>
        <v>0</v>
      </c>
      <c r="Q1081" s="34"/>
      <c r="R1081" s="34">
        <f>Таблица1[[#This Row],[Сумма 
Продажа]]-Таблица1[[#This Row],[Сумма 
Приход]]-Таблица1[[#This Row],[Авто услу ]]</f>
        <v>0</v>
      </c>
      <c r="S1081" s="34"/>
      <c r="T1081" s="34">
        <f>Таблица1[[#This Row],[Сумма 
Продажа]]-IF(Таблица1[[#This Row],[Расход 
Авто]]="Клиент",N(Таблица1[[#This Row],[Авто услу ]]),0)</f>
        <v>0</v>
      </c>
      <c r="U108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1" s="265" t="str">
        <f>IFERROR(INDEX(Мижозлар[Агент],MATCH($D1081,Мижозлар[Расмий ном],0)),"")</f>
        <v/>
      </c>
    </row>
    <row r="1082" spans="1:23" ht="14.25" x14ac:dyDescent="0.2">
      <c r="A1082" s="21"/>
      <c r="B1082" s="135"/>
      <c r="C1082" s="141"/>
      <c r="D1082" s="141"/>
      <c r="E1082" s="136"/>
      <c r="F1082" s="135"/>
      <c r="G1082" s="34"/>
      <c r="H1082" s="142"/>
      <c r="I1082" s="34"/>
      <c r="J1082" s="34">
        <f>Таблица1[[#This Row],[Блок
 Куб]]*Таблица1[[#This Row],[Цена 
Приход]]</f>
        <v>0</v>
      </c>
      <c r="K1082" s="34"/>
      <c r="L1082" s="34"/>
      <c r="M1082" s="34">
        <f>Таблица1[[#This Row],[Поддон
Шт]]*Таблица1[[#This Row],[Цена
Поддон]]</f>
        <v>0</v>
      </c>
      <c r="N1082" s="34">
        <f>Таблица1[[#This Row],[Сумма 
Приход]]+Таблица1[[#This Row],[Сумма Поддон]]</f>
        <v>0</v>
      </c>
      <c r="O1082" s="34"/>
      <c r="P1082" s="34">
        <f>Таблица1[[#This Row],[Блок
 Куб]]*Таблица1[[#This Row],[Цена
 Продажа]]</f>
        <v>0</v>
      </c>
      <c r="Q1082" s="34"/>
      <c r="R1082" s="34">
        <f>Таблица1[[#This Row],[Сумма 
Продажа]]-Таблица1[[#This Row],[Сумма 
Приход]]-Таблица1[[#This Row],[Авто услу ]]</f>
        <v>0</v>
      </c>
      <c r="S1082" s="34"/>
      <c r="T1082" s="34">
        <f>Таблица1[[#This Row],[Сумма 
Продажа]]-IF(Таблица1[[#This Row],[Расход 
Авто]]="Клиент",N(Таблица1[[#This Row],[Авто услу ]]),0)</f>
        <v>0</v>
      </c>
      <c r="U108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2" s="265" t="str">
        <f>IFERROR(INDEX(Мижозлар[Агент],MATCH($D1082,Мижозлар[Расмий ном],0)),"")</f>
        <v/>
      </c>
    </row>
    <row r="1083" spans="1:23" ht="14.25" x14ac:dyDescent="0.2">
      <c r="A1083" s="21"/>
      <c r="B1083" s="135"/>
      <c r="C1083" s="141"/>
      <c r="D1083" s="141"/>
      <c r="E1083" s="136"/>
      <c r="F1083" s="135"/>
      <c r="G1083" s="34"/>
      <c r="H1083" s="142"/>
      <c r="I1083" s="34"/>
      <c r="J1083" s="34">
        <f>Таблица1[[#This Row],[Блок
 Куб]]*Таблица1[[#This Row],[Цена 
Приход]]</f>
        <v>0</v>
      </c>
      <c r="K1083" s="34"/>
      <c r="L1083" s="34"/>
      <c r="M1083" s="34">
        <f>Таблица1[[#This Row],[Поддон
Шт]]*Таблица1[[#This Row],[Цена
Поддон]]</f>
        <v>0</v>
      </c>
      <c r="N1083" s="34">
        <f>Таблица1[[#This Row],[Сумма 
Приход]]+Таблица1[[#This Row],[Сумма Поддон]]</f>
        <v>0</v>
      </c>
      <c r="O1083" s="34"/>
      <c r="P1083" s="34">
        <f>Таблица1[[#This Row],[Блок
 Куб]]*Таблица1[[#This Row],[Цена
 Продажа]]</f>
        <v>0</v>
      </c>
      <c r="Q1083" s="34"/>
      <c r="R1083" s="34">
        <f>Таблица1[[#This Row],[Сумма 
Продажа]]-Таблица1[[#This Row],[Сумма 
Приход]]-Таблица1[[#This Row],[Авто услу ]]</f>
        <v>0</v>
      </c>
      <c r="S1083" s="34"/>
      <c r="T1083" s="34">
        <f>Таблица1[[#This Row],[Сумма 
Продажа]]-IF(Таблица1[[#This Row],[Расход 
Авто]]="Клиент",N(Таблица1[[#This Row],[Авто услу ]]),0)</f>
        <v>0</v>
      </c>
      <c r="U108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3" s="265" t="str">
        <f>IFERROR(INDEX(Мижозлар[Агент],MATCH($D1083,Мижозлар[Расмий ном],0)),"")</f>
        <v/>
      </c>
    </row>
    <row r="1084" spans="1:23" ht="14.25" x14ac:dyDescent="0.2">
      <c r="A1084" s="21"/>
      <c r="B1084" s="135"/>
      <c r="C1084" s="141"/>
      <c r="D1084" s="141"/>
      <c r="E1084" s="136"/>
      <c r="F1084" s="135"/>
      <c r="G1084" s="34"/>
      <c r="H1084" s="142"/>
      <c r="I1084" s="34"/>
      <c r="J1084" s="34">
        <f>Таблица1[[#This Row],[Блок
 Куб]]*Таблица1[[#This Row],[Цена 
Приход]]</f>
        <v>0</v>
      </c>
      <c r="K1084" s="34"/>
      <c r="L1084" s="34"/>
      <c r="M1084" s="34">
        <f>Таблица1[[#This Row],[Поддон
Шт]]*Таблица1[[#This Row],[Цена
Поддон]]</f>
        <v>0</v>
      </c>
      <c r="N1084" s="34">
        <f>Таблица1[[#This Row],[Сумма 
Приход]]+Таблица1[[#This Row],[Сумма Поддон]]</f>
        <v>0</v>
      </c>
      <c r="O1084" s="34"/>
      <c r="P1084" s="34">
        <f>Таблица1[[#This Row],[Блок
 Куб]]*Таблица1[[#This Row],[Цена
 Продажа]]</f>
        <v>0</v>
      </c>
      <c r="Q1084" s="34"/>
      <c r="R1084" s="34">
        <f>Таблица1[[#This Row],[Сумма 
Продажа]]-Таблица1[[#This Row],[Сумма 
Приход]]-Таблица1[[#This Row],[Авто услу ]]</f>
        <v>0</v>
      </c>
      <c r="S1084" s="34"/>
      <c r="T1084" s="34">
        <f>Таблица1[[#This Row],[Сумма 
Продажа]]-IF(Таблица1[[#This Row],[Расход 
Авто]]="Клиент",N(Таблица1[[#This Row],[Авто услу ]]),0)</f>
        <v>0</v>
      </c>
      <c r="U108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4" s="265" t="str">
        <f>IFERROR(INDEX(Мижозлар[Агент],MATCH($D1084,Мижозлар[Расмий ном],0)),"")</f>
        <v/>
      </c>
    </row>
    <row r="1085" spans="1:23" ht="14.25" x14ac:dyDescent="0.2">
      <c r="A1085" s="21"/>
      <c r="B1085" s="135"/>
      <c r="C1085" s="141"/>
      <c r="D1085" s="141"/>
      <c r="E1085" s="136"/>
      <c r="F1085" s="135"/>
      <c r="G1085" s="34"/>
      <c r="H1085" s="142"/>
      <c r="I1085" s="34"/>
      <c r="J1085" s="34">
        <f>Таблица1[[#This Row],[Блок
 Куб]]*Таблица1[[#This Row],[Цена 
Приход]]</f>
        <v>0</v>
      </c>
      <c r="K1085" s="34"/>
      <c r="L1085" s="34"/>
      <c r="M1085" s="34">
        <f>Таблица1[[#This Row],[Поддон
Шт]]*Таблица1[[#This Row],[Цена
Поддон]]</f>
        <v>0</v>
      </c>
      <c r="N1085" s="34">
        <f>Таблица1[[#This Row],[Сумма 
Приход]]+Таблица1[[#This Row],[Сумма Поддон]]</f>
        <v>0</v>
      </c>
      <c r="O1085" s="34"/>
      <c r="P1085" s="34">
        <f>Таблица1[[#This Row],[Блок
 Куб]]*Таблица1[[#This Row],[Цена
 Продажа]]</f>
        <v>0</v>
      </c>
      <c r="Q1085" s="34"/>
      <c r="R1085" s="34">
        <f>Таблица1[[#This Row],[Сумма 
Продажа]]-Таблица1[[#This Row],[Сумма 
Приход]]-Таблица1[[#This Row],[Авто услу ]]</f>
        <v>0</v>
      </c>
      <c r="S1085" s="34"/>
      <c r="T1085" s="34">
        <f>Таблица1[[#This Row],[Сумма 
Продажа]]-IF(Таблица1[[#This Row],[Расход 
Авто]]="Клиент",N(Таблица1[[#This Row],[Авто услу ]]),0)</f>
        <v>0</v>
      </c>
      <c r="U108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5" s="265" t="str">
        <f>IFERROR(INDEX(Мижозлар[Агент],MATCH($D1085,Мижозлар[Расмий ном],0)),"")</f>
        <v/>
      </c>
    </row>
    <row r="1086" spans="1:23" ht="14.25" x14ac:dyDescent="0.2">
      <c r="A1086" s="21"/>
      <c r="B1086" s="135"/>
      <c r="C1086" s="141"/>
      <c r="D1086" s="141"/>
      <c r="E1086" s="136"/>
      <c r="F1086" s="135"/>
      <c r="G1086" s="34"/>
      <c r="H1086" s="142"/>
      <c r="I1086" s="34"/>
      <c r="J1086" s="34">
        <f>Таблица1[[#This Row],[Блок
 Куб]]*Таблица1[[#This Row],[Цена 
Приход]]</f>
        <v>0</v>
      </c>
      <c r="K1086" s="34"/>
      <c r="L1086" s="34"/>
      <c r="M1086" s="34">
        <f>Таблица1[[#This Row],[Поддон
Шт]]*Таблица1[[#This Row],[Цена
Поддон]]</f>
        <v>0</v>
      </c>
      <c r="N1086" s="34">
        <f>Таблица1[[#This Row],[Сумма 
Приход]]+Таблица1[[#This Row],[Сумма Поддон]]</f>
        <v>0</v>
      </c>
      <c r="O1086" s="34"/>
      <c r="P1086" s="34">
        <f>Таблица1[[#This Row],[Блок
 Куб]]*Таблица1[[#This Row],[Цена
 Продажа]]</f>
        <v>0</v>
      </c>
      <c r="Q1086" s="34"/>
      <c r="R1086" s="34">
        <f>Таблица1[[#This Row],[Сумма 
Продажа]]-Таблица1[[#This Row],[Сумма 
Приход]]-Таблица1[[#This Row],[Авто услу ]]</f>
        <v>0</v>
      </c>
      <c r="S1086" s="34"/>
      <c r="T1086" s="34">
        <f>Таблица1[[#This Row],[Сумма 
Продажа]]-IF(Таблица1[[#This Row],[Расход 
Авто]]="Клиент",N(Таблица1[[#This Row],[Авто услу ]]),0)</f>
        <v>0</v>
      </c>
      <c r="U108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6" s="265" t="str">
        <f>IFERROR(INDEX(Мижозлар[Агент],MATCH($D1086,Мижозлар[Расмий ном],0)),"")</f>
        <v/>
      </c>
    </row>
    <row r="1087" spans="1:23" ht="14.25" x14ac:dyDescent="0.2">
      <c r="A1087" s="21"/>
      <c r="B1087" s="135"/>
      <c r="C1087" s="141"/>
      <c r="D1087" s="141"/>
      <c r="E1087" s="136"/>
      <c r="F1087" s="135"/>
      <c r="G1087" s="34"/>
      <c r="H1087" s="142"/>
      <c r="I1087" s="34"/>
      <c r="J1087" s="34">
        <f>Таблица1[[#This Row],[Блок
 Куб]]*Таблица1[[#This Row],[Цена 
Приход]]</f>
        <v>0</v>
      </c>
      <c r="K1087" s="34"/>
      <c r="L1087" s="34"/>
      <c r="M1087" s="34">
        <f>Таблица1[[#This Row],[Поддон
Шт]]*Таблица1[[#This Row],[Цена
Поддон]]</f>
        <v>0</v>
      </c>
      <c r="N1087" s="34">
        <f>Таблица1[[#This Row],[Сумма 
Приход]]+Таблица1[[#This Row],[Сумма Поддон]]</f>
        <v>0</v>
      </c>
      <c r="O1087" s="34"/>
      <c r="P1087" s="34">
        <f>Таблица1[[#This Row],[Блок
 Куб]]*Таблица1[[#This Row],[Цена
 Продажа]]</f>
        <v>0</v>
      </c>
      <c r="Q1087" s="34"/>
      <c r="R1087" s="34">
        <f>Таблица1[[#This Row],[Сумма 
Продажа]]-Таблица1[[#This Row],[Сумма 
Приход]]-Таблица1[[#This Row],[Авто услу ]]</f>
        <v>0</v>
      </c>
      <c r="S1087" s="34"/>
      <c r="T1087" s="34">
        <f>Таблица1[[#This Row],[Сумма 
Продажа]]-IF(Таблица1[[#This Row],[Расход 
Авто]]="Клиент",N(Таблица1[[#This Row],[Авто услу ]]),0)</f>
        <v>0</v>
      </c>
      <c r="U108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7" s="265" t="str">
        <f>IFERROR(INDEX(Мижозлар[Агент],MATCH($D1087,Мижозлар[Расмий ном],0)),"")</f>
        <v/>
      </c>
    </row>
    <row r="1088" spans="1:23" ht="14.25" x14ac:dyDescent="0.2">
      <c r="A1088" s="21"/>
      <c r="B1088" s="135"/>
      <c r="C1088" s="141"/>
      <c r="D1088" s="141"/>
      <c r="E1088" s="136"/>
      <c r="F1088" s="135"/>
      <c r="G1088" s="34"/>
      <c r="H1088" s="142"/>
      <c r="I1088" s="34"/>
      <c r="J1088" s="34">
        <f>Таблица1[[#This Row],[Блок
 Куб]]*Таблица1[[#This Row],[Цена 
Приход]]</f>
        <v>0</v>
      </c>
      <c r="K1088" s="34"/>
      <c r="L1088" s="34"/>
      <c r="M1088" s="34">
        <f>Таблица1[[#This Row],[Поддон
Шт]]*Таблица1[[#This Row],[Цена
Поддон]]</f>
        <v>0</v>
      </c>
      <c r="N1088" s="34">
        <f>Таблица1[[#This Row],[Сумма 
Приход]]+Таблица1[[#This Row],[Сумма Поддон]]</f>
        <v>0</v>
      </c>
      <c r="O1088" s="34"/>
      <c r="P1088" s="34">
        <f>Таблица1[[#This Row],[Блок
 Куб]]*Таблица1[[#This Row],[Цена
 Продажа]]</f>
        <v>0</v>
      </c>
      <c r="Q1088" s="34"/>
      <c r="R1088" s="34">
        <f>Таблица1[[#This Row],[Сумма 
Продажа]]-Таблица1[[#This Row],[Сумма 
Приход]]-Таблица1[[#This Row],[Авто услу ]]</f>
        <v>0</v>
      </c>
      <c r="S1088" s="34"/>
      <c r="T1088" s="34">
        <f>Таблица1[[#This Row],[Сумма 
Продажа]]-IF(Таблица1[[#This Row],[Расход 
Авто]]="Клиент",N(Таблица1[[#This Row],[Авто услу ]]),0)</f>
        <v>0</v>
      </c>
      <c r="U108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8" s="265" t="str">
        <f>IFERROR(INDEX(Мижозлар[Агент],MATCH($D1088,Мижозлар[Расмий ном],0)),"")</f>
        <v/>
      </c>
    </row>
    <row r="1089" spans="1:23" ht="14.25" x14ac:dyDescent="0.2">
      <c r="A1089" s="21"/>
      <c r="B1089" s="135"/>
      <c r="C1089" s="141"/>
      <c r="D1089" s="141"/>
      <c r="E1089" s="136"/>
      <c r="F1089" s="135"/>
      <c r="G1089" s="34"/>
      <c r="H1089" s="142"/>
      <c r="I1089" s="34"/>
      <c r="J1089" s="34">
        <f>Таблица1[[#This Row],[Блок
 Куб]]*Таблица1[[#This Row],[Цена 
Приход]]</f>
        <v>0</v>
      </c>
      <c r="K1089" s="34"/>
      <c r="L1089" s="34"/>
      <c r="M1089" s="34">
        <f>Таблица1[[#This Row],[Поддон
Шт]]*Таблица1[[#This Row],[Цена
Поддон]]</f>
        <v>0</v>
      </c>
      <c r="N1089" s="34">
        <f>Таблица1[[#This Row],[Сумма 
Приход]]+Таблица1[[#This Row],[Сумма Поддон]]</f>
        <v>0</v>
      </c>
      <c r="O1089" s="34"/>
      <c r="P1089" s="34">
        <f>Таблица1[[#This Row],[Блок
 Куб]]*Таблица1[[#This Row],[Цена
 Продажа]]</f>
        <v>0</v>
      </c>
      <c r="Q1089" s="34"/>
      <c r="R1089" s="34">
        <f>Таблица1[[#This Row],[Сумма 
Продажа]]-Таблица1[[#This Row],[Сумма 
Приход]]-Таблица1[[#This Row],[Авто услу ]]</f>
        <v>0</v>
      </c>
      <c r="S1089" s="34"/>
      <c r="T1089" s="34">
        <f>Таблица1[[#This Row],[Сумма 
Продажа]]-IF(Таблица1[[#This Row],[Расход 
Авто]]="Клиент",N(Таблица1[[#This Row],[Авто услу ]]),0)</f>
        <v>0</v>
      </c>
      <c r="U108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8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89" s="265" t="str">
        <f>IFERROR(INDEX(Мижозлар[Агент],MATCH($D1089,Мижозлар[Расмий ном],0)),"")</f>
        <v/>
      </c>
    </row>
    <row r="1090" spans="1:23" ht="14.25" x14ac:dyDescent="0.2">
      <c r="A1090" s="21"/>
      <c r="B1090" s="135"/>
      <c r="C1090" s="141"/>
      <c r="D1090" s="141"/>
      <c r="E1090" s="136"/>
      <c r="F1090" s="135"/>
      <c r="G1090" s="34"/>
      <c r="H1090" s="142"/>
      <c r="I1090" s="34"/>
      <c r="J1090" s="34">
        <f>Таблица1[[#This Row],[Блок
 Куб]]*Таблица1[[#This Row],[Цена 
Приход]]</f>
        <v>0</v>
      </c>
      <c r="K1090" s="34"/>
      <c r="L1090" s="34"/>
      <c r="M1090" s="34">
        <f>Таблица1[[#This Row],[Поддон
Шт]]*Таблица1[[#This Row],[Цена
Поддон]]</f>
        <v>0</v>
      </c>
      <c r="N1090" s="34">
        <f>Таблица1[[#This Row],[Сумма 
Приход]]+Таблица1[[#This Row],[Сумма Поддон]]</f>
        <v>0</v>
      </c>
      <c r="O1090" s="34"/>
      <c r="P1090" s="34">
        <f>Таблица1[[#This Row],[Блок
 Куб]]*Таблица1[[#This Row],[Цена
 Продажа]]</f>
        <v>0</v>
      </c>
      <c r="Q1090" s="34"/>
      <c r="R1090" s="34">
        <f>Таблица1[[#This Row],[Сумма 
Продажа]]-Таблица1[[#This Row],[Сумма 
Приход]]-Таблица1[[#This Row],[Авто услу ]]</f>
        <v>0</v>
      </c>
      <c r="S1090" s="34"/>
      <c r="T1090" s="34">
        <f>Таблица1[[#This Row],[Сумма 
Продажа]]-IF(Таблица1[[#This Row],[Расход 
Авто]]="Клиент",N(Таблица1[[#This Row],[Авто услу ]]),0)</f>
        <v>0</v>
      </c>
      <c r="U109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0" s="265" t="str">
        <f>IFERROR(INDEX(Мижозлар[Агент],MATCH($D1090,Мижозлар[Расмий ном],0)),"")</f>
        <v/>
      </c>
    </row>
    <row r="1091" spans="1:23" ht="14.25" x14ac:dyDescent="0.2">
      <c r="A1091" s="21"/>
      <c r="B1091" s="135"/>
      <c r="C1091" s="141"/>
      <c r="D1091" s="141"/>
      <c r="E1091" s="136"/>
      <c r="F1091" s="135"/>
      <c r="G1091" s="34"/>
      <c r="H1091" s="142"/>
      <c r="I1091" s="34"/>
      <c r="J1091" s="34">
        <f>Таблица1[[#This Row],[Блок
 Куб]]*Таблица1[[#This Row],[Цена 
Приход]]</f>
        <v>0</v>
      </c>
      <c r="K1091" s="34"/>
      <c r="L1091" s="34"/>
      <c r="M1091" s="34">
        <f>Таблица1[[#This Row],[Поддон
Шт]]*Таблица1[[#This Row],[Цена
Поддон]]</f>
        <v>0</v>
      </c>
      <c r="N1091" s="34">
        <f>Таблица1[[#This Row],[Сумма 
Приход]]+Таблица1[[#This Row],[Сумма Поддон]]</f>
        <v>0</v>
      </c>
      <c r="O1091" s="34"/>
      <c r="P1091" s="34">
        <f>Таблица1[[#This Row],[Блок
 Куб]]*Таблица1[[#This Row],[Цена
 Продажа]]</f>
        <v>0</v>
      </c>
      <c r="Q1091" s="34"/>
      <c r="R1091" s="34">
        <f>Таблица1[[#This Row],[Сумма 
Продажа]]-Таблица1[[#This Row],[Сумма 
Приход]]-Таблица1[[#This Row],[Авто услу ]]</f>
        <v>0</v>
      </c>
      <c r="S1091" s="34"/>
      <c r="T1091" s="34">
        <f>Таблица1[[#This Row],[Сумма 
Продажа]]-IF(Таблица1[[#This Row],[Расход 
Авто]]="Клиент",N(Таблица1[[#This Row],[Авто услу ]]),0)</f>
        <v>0</v>
      </c>
      <c r="U109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1" s="265" t="str">
        <f>IFERROR(INDEX(Мижозлар[Агент],MATCH($D1091,Мижозлар[Расмий ном],0)),"")</f>
        <v/>
      </c>
    </row>
    <row r="1092" spans="1:23" ht="14.25" x14ac:dyDescent="0.2">
      <c r="A1092" s="21"/>
      <c r="B1092" s="135"/>
      <c r="C1092" s="141"/>
      <c r="D1092" s="141"/>
      <c r="E1092" s="136"/>
      <c r="F1092" s="135"/>
      <c r="G1092" s="34"/>
      <c r="H1092" s="142"/>
      <c r="I1092" s="34"/>
      <c r="J1092" s="34">
        <f>Таблица1[[#This Row],[Блок
 Куб]]*Таблица1[[#This Row],[Цена 
Приход]]</f>
        <v>0</v>
      </c>
      <c r="K1092" s="34"/>
      <c r="L1092" s="34"/>
      <c r="M1092" s="34">
        <f>Таблица1[[#This Row],[Поддон
Шт]]*Таблица1[[#This Row],[Цена
Поддон]]</f>
        <v>0</v>
      </c>
      <c r="N1092" s="34">
        <f>Таблица1[[#This Row],[Сумма 
Приход]]+Таблица1[[#This Row],[Сумма Поддон]]</f>
        <v>0</v>
      </c>
      <c r="O1092" s="34"/>
      <c r="P1092" s="34">
        <f>Таблица1[[#This Row],[Блок
 Куб]]*Таблица1[[#This Row],[Цена
 Продажа]]</f>
        <v>0</v>
      </c>
      <c r="Q1092" s="34"/>
      <c r="R1092" s="34">
        <f>Таблица1[[#This Row],[Сумма 
Продажа]]-Таблица1[[#This Row],[Сумма 
Приход]]-Таблица1[[#This Row],[Авто услу ]]</f>
        <v>0</v>
      </c>
      <c r="S1092" s="34"/>
      <c r="T1092" s="34">
        <f>Таблица1[[#This Row],[Сумма 
Продажа]]-IF(Таблица1[[#This Row],[Расход 
Авто]]="Клиент",N(Таблица1[[#This Row],[Авто услу ]]),0)</f>
        <v>0</v>
      </c>
      <c r="U109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2" s="265" t="str">
        <f>IFERROR(INDEX(Мижозлар[Агент],MATCH($D1092,Мижозлар[Расмий ном],0)),"")</f>
        <v/>
      </c>
    </row>
    <row r="1093" spans="1:23" ht="14.25" x14ac:dyDescent="0.2">
      <c r="A1093" s="21"/>
      <c r="B1093" s="135"/>
      <c r="C1093" s="141"/>
      <c r="D1093" s="141"/>
      <c r="E1093" s="136"/>
      <c r="F1093" s="135"/>
      <c r="G1093" s="34"/>
      <c r="H1093" s="142"/>
      <c r="I1093" s="34"/>
      <c r="J1093" s="34">
        <f>Таблица1[[#This Row],[Блок
 Куб]]*Таблица1[[#This Row],[Цена 
Приход]]</f>
        <v>0</v>
      </c>
      <c r="K1093" s="34"/>
      <c r="L1093" s="34"/>
      <c r="M1093" s="34">
        <f>Таблица1[[#This Row],[Поддон
Шт]]*Таблица1[[#This Row],[Цена
Поддон]]</f>
        <v>0</v>
      </c>
      <c r="N1093" s="34">
        <f>Таблица1[[#This Row],[Сумма 
Приход]]+Таблица1[[#This Row],[Сумма Поддон]]</f>
        <v>0</v>
      </c>
      <c r="O1093" s="34"/>
      <c r="P1093" s="34">
        <f>Таблица1[[#This Row],[Блок
 Куб]]*Таблица1[[#This Row],[Цена
 Продажа]]</f>
        <v>0</v>
      </c>
      <c r="Q1093" s="34"/>
      <c r="R1093" s="34">
        <f>Таблица1[[#This Row],[Сумма 
Продажа]]-Таблица1[[#This Row],[Сумма 
Приход]]-Таблица1[[#This Row],[Авто услу ]]</f>
        <v>0</v>
      </c>
      <c r="S1093" s="34"/>
      <c r="T1093" s="34">
        <f>Таблица1[[#This Row],[Сумма 
Продажа]]-IF(Таблица1[[#This Row],[Расход 
Авто]]="Клиент",N(Таблица1[[#This Row],[Авто услу ]]),0)</f>
        <v>0</v>
      </c>
      <c r="U109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3" s="265" t="str">
        <f>IFERROR(INDEX(Мижозлар[Агент],MATCH($D1093,Мижозлар[Расмий ном],0)),"")</f>
        <v/>
      </c>
    </row>
    <row r="1094" spans="1:23" ht="14.25" x14ac:dyDescent="0.2">
      <c r="A1094" s="21"/>
      <c r="B1094" s="135"/>
      <c r="C1094" s="141"/>
      <c r="D1094" s="141"/>
      <c r="E1094" s="136"/>
      <c r="F1094" s="135"/>
      <c r="G1094" s="34"/>
      <c r="H1094" s="142"/>
      <c r="I1094" s="34"/>
      <c r="J1094" s="34">
        <f>Таблица1[[#This Row],[Блок
 Куб]]*Таблица1[[#This Row],[Цена 
Приход]]</f>
        <v>0</v>
      </c>
      <c r="K1094" s="34"/>
      <c r="L1094" s="34"/>
      <c r="M1094" s="34">
        <f>Таблица1[[#This Row],[Поддон
Шт]]*Таблица1[[#This Row],[Цена
Поддон]]</f>
        <v>0</v>
      </c>
      <c r="N1094" s="34">
        <f>Таблица1[[#This Row],[Сумма 
Приход]]+Таблица1[[#This Row],[Сумма Поддон]]</f>
        <v>0</v>
      </c>
      <c r="O1094" s="34"/>
      <c r="P1094" s="34">
        <f>Таблица1[[#This Row],[Блок
 Куб]]*Таблица1[[#This Row],[Цена
 Продажа]]</f>
        <v>0</v>
      </c>
      <c r="Q1094" s="34"/>
      <c r="R1094" s="34">
        <f>Таблица1[[#This Row],[Сумма 
Продажа]]-Таблица1[[#This Row],[Сумма 
Приход]]-Таблица1[[#This Row],[Авто услу ]]</f>
        <v>0</v>
      </c>
      <c r="S1094" s="34"/>
      <c r="T1094" s="34">
        <f>Таблица1[[#This Row],[Сумма 
Продажа]]-IF(Таблица1[[#This Row],[Расход 
Авто]]="Клиент",N(Таблица1[[#This Row],[Авто услу ]]),0)</f>
        <v>0</v>
      </c>
      <c r="U109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4" s="265" t="str">
        <f>IFERROR(INDEX(Мижозлар[Агент],MATCH($D1094,Мижозлар[Расмий ном],0)),"")</f>
        <v/>
      </c>
    </row>
    <row r="1095" spans="1:23" ht="14.25" x14ac:dyDescent="0.2">
      <c r="A1095" s="21"/>
      <c r="B1095" s="135"/>
      <c r="C1095" s="141"/>
      <c r="D1095" s="141"/>
      <c r="E1095" s="136"/>
      <c r="F1095" s="135"/>
      <c r="G1095" s="34"/>
      <c r="H1095" s="142"/>
      <c r="I1095" s="34"/>
      <c r="J1095" s="34">
        <f>Таблица1[[#This Row],[Блок
 Куб]]*Таблица1[[#This Row],[Цена 
Приход]]</f>
        <v>0</v>
      </c>
      <c r="K1095" s="34"/>
      <c r="L1095" s="34"/>
      <c r="M1095" s="34">
        <f>Таблица1[[#This Row],[Поддон
Шт]]*Таблица1[[#This Row],[Цена
Поддон]]</f>
        <v>0</v>
      </c>
      <c r="N1095" s="34">
        <f>Таблица1[[#This Row],[Сумма 
Приход]]+Таблица1[[#This Row],[Сумма Поддон]]</f>
        <v>0</v>
      </c>
      <c r="O1095" s="34"/>
      <c r="P1095" s="34">
        <f>Таблица1[[#This Row],[Блок
 Куб]]*Таблица1[[#This Row],[Цена
 Продажа]]</f>
        <v>0</v>
      </c>
      <c r="Q1095" s="34"/>
      <c r="R1095" s="34">
        <f>Таблица1[[#This Row],[Сумма 
Продажа]]-Таблица1[[#This Row],[Сумма 
Приход]]-Таблица1[[#This Row],[Авто услу ]]</f>
        <v>0</v>
      </c>
      <c r="S1095" s="34"/>
      <c r="T1095" s="34">
        <f>Таблица1[[#This Row],[Сумма 
Продажа]]-IF(Таблица1[[#This Row],[Расход 
Авто]]="Клиент",N(Таблица1[[#This Row],[Авто услу ]]),0)</f>
        <v>0</v>
      </c>
      <c r="U109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5" s="265" t="str">
        <f>IFERROR(INDEX(Мижозлар[Агент],MATCH($D1095,Мижозлар[Расмий ном],0)),"")</f>
        <v/>
      </c>
    </row>
    <row r="1096" spans="1:23" ht="14.25" x14ac:dyDescent="0.2">
      <c r="A1096" s="21"/>
      <c r="B1096" s="135"/>
      <c r="C1096" s="141"/>
      <c r="D1096" s="141"/>
      <c r="E1096" s="136"/>
      <c r="F1096" s="135"/>
      <c r="G1096" s="34"/>
      <c r="H1096" s="142"/>
      <c r="I1096" s="34"/>
      <c r="J1096" s="34">
        <f>Таблица1[[#This Row],[Блок
 Куб]]*Таблица1[[#This Row],[Цена 
Приход]]</f>
        <v>0</v>
      </c>
      <c r="K1096" s="34"/>
      <c r="L1096" s="34"/>
      <c r="M1096" s="34">
        <f>Таблица1[[#This Row],[Поддон
Шт]]*Таблица1[[#This Row],[Цена
Поддон]]</f>
        <v>0</v>
      </c>
      <c r="N1096" s="34">
        <f>Таблица1[[#This Row],[Сумма 
Приход]]+Таблица1[[#This Row],[Сумма Поддон]]</f>
        <v>0</v>
      </c>
      <c r="O1096" s="34"/>
      <c r="P1096" s="34">
        <f>Таблица1[[#This Row],[Блок
 Куб]]*Таблица1[[#This Row],[Цена
 Продажа]]</f>
        <v>0</v>
      </c>
      <c r="Q1096" s="34"/>
      <c r="R1096" s="34">
        <f>Таблица1[[#This Row],[Сумма 
Продажа]]-Таблица1[[#This Row],[Сумма 
Приход]]-Таблица1[[#This Row],[Авто услу ]]</f>
        <v>0</v>
      </c>
      <c r="S1096" s="34"/>
      <c r="T1096" s="34">
        <f>Таблица1[[#This Row],[Сумма 
Продажа]]-IF(Таблица1[[#This Row],[Расход 
Авто]]="Клиент",N(Таблица1[[#This Row],[Авто услу ]]),0)</f>
        <v>0</v>
      </c>
      <c r="U109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6" s="265" t="str">
        <f>IFERROR(INDEX(Мижозлар[Агент],MATCH($D1096,Мижозлар[Расмий ном],0)),"")</f>
        <v/>
      </c>
    </row>
    <row r="1097" spans="1:23" ht="14.25" x14ac:dyDescent="0.2">
      <c r="A1097" s="21"/>
      <c r="B1097" s="135"/>
      <c r="C1097" s="141"/>
      <c r="D1097" s="141"/>
      <c r="E1097" s="136"/>
      <c r="F1097" s="135"/>
      <c r="G1097" s="34"/>
      <c r="H1097" s="142"/>
      <c r="I1097" s="34"/>
      <c r="J1097" s="34">
        <f>Таблица1[[#This Row],[Блок
 Куб]]*Таблица1[[#This Row],[Цена 
Приход]]</f>
        <v>0</v>
      </c>
      <c r="K1097" s="34"/>
      <c r="L1097" s="34"/>
      <c r="M1097" s="34">
        <f>Таблица1[[#This Row],[Поддон
Шт]]*Таблица1[[#This Row],[Цена
Поддон]]</f>
        <v>0</v>
      </c>
      <c r="N1097" s="34">
        <f>Таблица1[[#This Row],[Сумма 
Приход]]+Таблица1[[#This Row],[Сумма Поддон]]</f>
        <v>0</v>
      </c>
      <c r="O1097" s="34"/>
      <c r="P1097" s="34">
        <f>Таблица1[[#This Row],[Блок
 Куб]]*Таблица1[[#This Row],[Цена
 Продажа]]</f>
        <v>0</v>
      </c>
      <c r="Q1097" s="34"/>
      <c r="R1097" s="34">
        <f>Таблица1[[#This Row],[Сумма 
Продажа]]-Таблица1[[#This Row],[Сумма 
Приход]]-Таблица1[[#This Row],[Авто услу ]]</f>
        <v>0</v>
      </c>
      <c r="S1097" s="34"/>
      <c r="T1097" s="34">
        <f>Таблица1[[#This Row],[Сумма 
Продажа]]-IF(Таблица1[[#This Row],[Расход 
Авто]]="Клиент",N(Таблица1[[#This Row],[Авто услу ]]),0)</f>
        <v>0</v>
      </c>
      <c r="U109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7" s="265" t="str">
        <f>IFERROR(INDEX(Мижозлар[Агент],MATCH($D1097,Мижозлар[Расмий ном],0)),"")</f>
        <v/>
      </c>
    </row>
    <row r="1098" spans="1:23" ht="14.25" x14ac:dyDescent="0.2">
      <c r="A1098" s="21"/>
      <c r="B1098" s="135"/>
      <c r="C1098" s="141"/>
      <c r="D1098" s="141"/>
      <c r="E1098" s="136"/>
      <c r="F1098" s="135"/>
      <c r="G1098" s="34"/>
      <c r="H1098" s="142"/>
      <c r="I1098" s="34"/>
      <c r="J1098" s="34">
        <f>Таблица1[[#This Row],[Блок
 Куб]]*Таблица1[[#This Row],[Цена 
Приход]]</f>
        <v>0</v>
      </c>
      <c r="K1098" s="34"/>
      <c r="L1098" s="34"/>
      <c r="M1098" s="34">
        <f>Таблица1[[#This Row],[Поддон
Шт]]*Таблица1[[#This Row],[Цена
Поддон]]</f>
        <v>0</v>
      </c>
      <c r="N1098" s="34">
        <f>Таблица1[[#This Row],[Сумма 
Приход]]+Таблица1[[#This Row],[Сумма Поддон]]</f>
        <v>0</v>
      </c>
      <c r="O1098" s="34"/>
      <c r="P1098" s="34">
        <f>Таблица1[[#This Row],[Блок
 Куб]]*Таблица1[[#This Row],[Цена
 Продажа]]</f>
        <v>0</v>
      </c>
      <c r="Q1098" s="34"/>
      <c r="R1098" s="34">
        <f>Таблица1[[#This Row],[Сумма 
Продажа]]-Таблица1[[#This Row],[Сумма 
Приход]]-Таблица1[[#This Row],[Авто услу ]]</f>
        <v>0</v>
      </c>
      <c r="S1098" s="34"/>
      <c r="T1098" s="34">
        <f>Таблица1[[#This Row],[Сумма 
Продажа]]-IF(Таблица1[[#This Row],[Расход 
Авто]]="Клиент",N(Таблица1[[#This Row],[Авто услу ]]),0)</f>
        <v>0</v>
      </c>
      <c r="U109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8" s="265" t="str">
        <f>IFERROR(INDEX(Мижозлар[Агент],MATCH($D1098,Мижозлар[Расмий ном],0)),"")</f>
        <v/>
      </c>
    </row>
    <row r="1099" spans="1:23" ht="14.25" x14ac:dyDescent="0.2">
      <c r="A1099" s="21"/>
      <c r="B1099" s="135"/>
      <c r="C1099" s="141"/>
      <c r="D1099" s="141"/>
      <c r="E1099" s="136"/>
      <c r="F1099" s="135"/>
      <c r="G1099" s="34"/>
      <c r="H1099" s="142"/>
      <c r="I1099" s="34"/>
      <c r="J1099" s="34">
        <f>Таблица1[[#This Row],[Блок
 Куб]]*Таблица1[[#This Row],[Цена 
Приход]]</f>
        <v>0</v>
      </c>
      <c r="K1099" s="34"/>
      <c r="L1099" s="34"/>
      <c r="M1099" s="34">
        <f>Таблица1[[#This Row],[Поддон
Шт]]*Таблица1[[#This Row],[Цена
Поддон]]</f>
        <v>0</v>
      </c>
      <c r="N1099" s="34">
        <f>Таблица1[[#This Row],[Сумма 
Приход]]+Таблица1[[#This Row],[Сумма Поддон]]</f>
        <v>0</v>
      </c>
      <c r="O1099" s="34"/>
      <c r="P1099" s="34">
        <f>Таблица1[[#This Row],[Блок
 Куб]]*Таблица1[[#This Row],[Цена
 Продажа]]</f>
        <v>0</v>
      </c>
      <c r="Q1099" s="34"/>
      <c r="R1099" s="34">
        <f>Таблица1[[#This Row],[Сумма 
Продажа]]-Таблица1[[#This Row],[Сумма 
Приход]]-Таблица1[[#This Row],[Авто услу ]]</f>
        <v>0</v>
      </c>
      <c r="S1099" s="34"/>
      <c r="T1099" s="34">
        <f>Таблица1[[#This Row],[Сумма 
Продажа]]-IF(Таблица1[[#This Row],[Расход 
Авто]]="Клиент",N(Таблица1[[#This Row],[Авто услу ]]),0)</f>
        <v>0</v>
      </c>
      <c r="U109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09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099" s="265" t="str">
        <f>IFERROR(INDEX(Мижозлар[Агент],MATCH($D1099,Мижозлар[Расмий ном],0)),"")</f>
        <v/>
      </c>
    </row>
    <row r="1100" spans="1:23" ht="14.25" x14ac:dyDescent="0.2">
      <c r="A1100" s="21"/>
      <c r="B1100" s="135"/>
      <c r="C1100" s="141"/>
      <c r="D1100" s="141"/>
      <c r="E1100" s="136"/>
      <c r="F1100" s="135"/>
      <c r="G1100" s="34"/>
      <c r="H1100" s="142"/>
      <c r="I1100" s="34"/>
      <c r="J1100" s="34">
        <f>Таблица1[[#This Row],[Блок
 Куб]]*Таблица1[[#This Row],[Цена 
Приход]]</f>
        <v>0</v>
      </c>
      <c r="K1100" s="34"/>
      <c r="L1100" s="34"/>
      <c r="M1100" s="34">
        <f>Таблица1[[#This Row],[Поддон
Шт]]*Таблица1[[#This Row],[Цена
Поддон]]</f>
        <v>0</v>
      </c>
      <c r="N1100" s="34">
        <f>Таблица1[[#This Row],[Сумма 
Приход]]+Таблица1[[#This Row],[Сумма Поддон]]</f>
        <v>0</v>
      </c>
      <c r="O1100" s="34"/>
      <c r="P1100" s="34">
        <f>Таблица1[[#This Row],[Блок
 Куб]]*Таблица1[[#This Row],[Цена
 Продажа]]</f>
        <v>0</v>
      </c>
      <c r="Q1100" s="34"/>
      <c r="R1100" s="34">
        <f>Таблица1[[#This Row],[Сумма 
Продажа]]-Таблица1[[#This Row],[Сумма 
Приход]]-Таблица1[[#This Row],[Авто услу ]]</f>
        <v>0</v>
      </c>
      <c r="S1100" s="34"/>
      <c r="T1100" s="34">
        <f>Таблица1[[#This Row],[Сумма 
Продажа]]-IF(Таблица1[[#This Row],[Расход 
Авто]]="Клиент",N(Таблица1[[#This Row],[Авто услу ]]),0)</f>
        <v>0</v>
      </c>
      <c r="U110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0" s="265" t="str">
        <f>IFERROR(INDEX(Мижозлар[Агент],MATCH($D1100,Мижозлар[Расмий ном],0)),"")</f>
        <v/>
      </c>
    </row>
    <row r="1101" spans="1:23" ht="14.25" x14ac:dyDescent="0.2">
      <c r="A1101" s="21"/>
      <c r="B1101" s="135"/>
      <c r="C1101" s="141"/>
      <c r="D1101" s="141"/>
      <c r="E1101" s="136"/>
      <c r="F1101" s="135"/>
      <c r="G1101" s="34"/>
      <c r="H1101" s="142"/>
      <c r="I1101" s="34"/>
      <c r="J1101" s="34">
        <f>Таблица1[[#This Row],[Блок
 Куб]]*Таблица1[[#This Row],[Цена 
Приход]]</f>
        <v>0</v>
      </c>
      <c r="K1101" s="34"/>
      <c r="L1101" s="34"/>
      <c r="M1101" s="34">
        <f>Таблица1[[#This Row],[Поддон
Шт]]*Таблица1[[#This Row],[Цена
Поддон]]</f>
        <v>0</v>
      </c>
      <c r="N1101" s="34">
        <f>Таблица1[[#This Row],[Сумма 
Приход]]+Таблица1[[#This Row],[Сумма Поддон]]</f>
        <v>0</v>
      </c>
      <c r="O1101" s="34"/>
      <c r="P1101" s="34">
        <f>Таблица1[[#This Row],[Блок
 Куб]]*Таблица1[[#This Row],[Цена
 Продажа]]</f>
        <v>0</v>
      </c>
      <c r="Q1101" s="34"/>
      <c r="R1101" s="34">
        <f>Таблица1[[#This Row],[Сумма 
Продажа]]-Таблица1[[#This Row],[Сумма 
Приход]]-Таблица1[[#This Row],[Авто услу ]]</f>
        <v>0</v>
      </c>
      <c r="S1101" s="34"/>
      <c r="T1101" s="34">
        <f>Таблица1[[#This Row],[Сумма 
Продажа]]-IF(Таблица1[[#This Row],[Расход 
Авто]]="Клиент",N(Таблица1[[#This Row],[Авто услу ]]),0)</f>
        <v>0</v>
      </c>
      <c r="U1101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1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1" s="265" t="str">
        <f>IFERROR(INDEX(Мижозлар[Агент],MATCH($D1101,Мижозлар[Расмий ном],0)),"")</f>
        <v/>
      </c>
    </row>
    <row r="1102" spans="1:23" ht="14.25" x14ac:dyDescent="0.2">
      <c r="A1102" s="21"/>
      <c r="B1102" s="135"/>
      <c r="C1102" s="141"/>
      <c r="D1102" s="141"/>
      <c r="E1102" s="136"/>
      <c r="F1102" s="135"/>
      <c r="G1102" s="34"/>
      <c r="H1102" s="142"/>
      <c r="I1102" s="34"/>
      <c r="J1102" s="34">
        <f>Таблица1[[#This Row],[Блок
 Куб]]*Таблица1[[#This Row],[Цена 
Приход]]</f>
        <v>0</v>
      </c>
      <c r="K1102" s="34"/>
      <c r="L1102" s="34"/>
      <c r="M1102" s="34">
        <f>Таблица1[[#This Row],[Поддон
Шт]]*Таблица1[[#This Row],[Цена
Поддон]]</f>
        <v>0</v>
      </c>
      <c r="N1102" s="34">
        <f>Таблица1[[#This Row],[Сумма 
Приход]]+Таблица1[[#This Row],[Сумма Поддон]]</f>
        <v>0</v>
      </c>
      <c r="O1102" s="34"/>
      <c r="P1102" s="34">
        <f>Таблица1[[#This Row],[Блок
 Куб]]*Таблица1[[#This Row],[Цена
 Продажа]]</f>
        <v>0</v>
      </c>
      <c r="Q1102" s="34"/>
      <c r="R1102" s="34">
        <f>Таблица1[[#This Row],[Сумма 
Продажа]]-Таблица1[[#This Row],[Сумма 
Приход]]-Таблица1[[#This Row],[Авто услу ]]</f>
        <v>0</v>
      </c>
      <c r="S1102" s="34"/>
      <c r="T1102" s="34">
        <f>Таблица1[[#This Row],[Сумма 
Продажа]]-IF(Таблица1[[#This Row],[Расход 
Авто]]="Клиент",N(Таблица1[[#This Row],[Авто услу ]]),0)</f>
        <v>0</v>
      </c>
      <c r="U1102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2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2" s="265" t="str">
        <f>IFERROR(INDEX(Мижозлар[Агент],MATCH($D1102,Мижозлар[Расмий ном],0)),"")</f>
        <v/>
      </c>
    </row>
    <row r="1103" spans="1:23" ht="14.25" x14ac:dyDescent="0.2">
      <c r="A1103" s="21"/>
      <c r="B1103" s="135"/>
      <c r="C1103" s="141"/>
      <c r="D1103" s="141"/>
      <c r="E1103" s="136"/>
      <c r="F1103" s="135"/>
      <c r="G1103" s="34"/>
      <c r="H1103" s="142"/>
      <c r="I1103" s="34"/>
      <c r="J1103" s="34">
        <f>Таблица1[[#This Row],[Блок
 Куб]]*Таблица1[[#This Row],[Цена 
Приход]]</f>
        <v>0</v>
      </c>
      <c r="K1103" s="34"/>
      <c r="L1103" s="34"/>
      <c r="M1103" s="34">
        <f>Таблица1[[#This Row],[Поддон
Шт]]*Таблица1[[#This Row],[Цена
Поддон]]</f>
        <v>0</v>
      </c>
      <c r="N1103" s="34">
        <f>Таблица1[[#This Row],[Сумма 
Приход]]+Таблица1[[#This Row],[Сумма Поддон]]</f>
        <v>0</v>
      </c>
      <c r="O1103" s="34"/>
      <c r="P1103" s="34">
        <f>Таблица1[[#This Row],[Блок
 Куб]]*Таблица1[[#This Row],[Цена
 Продажа]]</f>
        <v>0</v>
      </c>
      <c r="Q1103" s="34"/>
      <c r="R1103" s="34">
        <f>Таблица1[[#This Row],[Сумма 
Продажа]]-Таблица1[[#This Row],[Сумма 
Приход]]-Таблица1[[#This Row],[Авто услу ]]</f>
        <v>0</v>
      </c>
      <c r="S1103" s="34"/>
      <c r="T1103" s="34">
        <f>Таблица1[[#This Row],[Сумма 
Продажа]]-IF(Таблица1[[#This Row],[Расход 
Авто]]="Клиент",N(Таблица1[[#This Row],[Авто услу ]]),0)</f>
        <v>0</v>
      </c>
      <c r="U1103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3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3" s="265" t="str">
        <f>IFERROR(INDEX(Мижозлар[Агент],MATCH($D1103,Мижозлар[Расмий ном],0)),"")</f>
        <v/>
      </c>
    </row>
    <row r="1104" spans="1:23" ht="14.25" x14ac:dyDescent="0.2">
      <c r="A1104" s="21"/>
      <c r="B1104" s="135"/>
      <c r="C1104" s="141"/>
      <c r="D1104" s="141"/>
      <c r="E1104" s="136"/>
      <c r="F1104" s="135"/>
      <c r="G1104" s="34"/>
      <c r="H1104" s="142"/>
      <c r="I1104" s="34"/>
      <c r="J1104" s="34">
        <f>Таблица1[[#This Row],[Блок
 Куб]]*Таблица1[[#This Row],[Цена 
Приход]]</f>
        <v>0</v>
      </c>
      <c r="K1104" s="34"/>
      <c r="L1104" s="34"/>
      <c r="M1104" s="34">
        <f>Таблица1[[#This Row],[Поддон
Шт]]*Таблица1[[#This Row],[Цена
Поддон]]</f>
        <v>0</v>
      </c>
      <c r="N1104" s="34">
        <f>Таблица1[[#This Row],[Сумма 
Приход]]+Таблица1[[#This Row],[Сумма Поддон]]</f>
        <v>0</v>
      </c>
      <c r="O1104" s="34"/>
      <c r="P1104" s="34">
        <f>Таблица1[[#This Row],[Блок
 Куб]]*Таблица1[[#This Row],[Цена
 Продажа]]</f>
        <v>0</v>
      </c>
      <c r="Q1104" s="34"/>
      <c r="R1104" s="34">
        <f>Таблица1[[#This Row],[Сумма 
Продажа]]-Таблица1[[#This Row],[Сумма 
Приход]]-Таблица1[[#This Row],[Авто услу ]]</f>
        <v>0</v>
      </c>
      <c r="S1104" s="34"/>
      <c r="T1104" s="34">
        <f>Таблица1[[#This Row],[Сумма 
Продажа]]-IF(Таблица1[[#This Row],[Расход 
Авто]]="Клиент",N(Таблица1[[#This Row],[Авто услу ]]),0)</f>
        <v>0</v>
      </c>
      <c r="U1104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4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4" s="265" t="str">
        <f>IFERROR(INDEX(Мижозлар[Агент],MATCH($D1104,Мижозлар[Расмий ном],0)),"")</f>
        <v/>
      </c>
    </row>
    <row r="1105" spans="1:23" ht="14.25" x14ac:dyDescent="0.2">
      <c r="A1105" s="21"/>
      <c r="B1105" s="135"/>
      <c r="C1105" s="141"/>
      <c r="D1105" s="141"/>
      <c r="E1105" s="136"/>
      <c r="F1105" s="135"/>
      <c r="G1105" s="34"/>
      <c r="H1105" s="142"/>
      <c r="I1105" s="34"/>
      <c r="J1105" s="34">
        <f>Таблица1[[#This Row],[Блок
 Куб]]*Таблица1[[#This Row],[Цена 
Приход]]</f>
        <v>0</v>
      </c>
      <c r="K1105" s="34"/>
      <c r="L1105" s="34"/>
      <c r="M1105" s="34">
        <f>Таблица1[[#This Row],[Поддон
Шт]]*Таблица1[[#This Row],[Цена
Поддон]]</f>
        <v>0</v>
      </c>
      <c r="N1105" s="34">
        <f>Таблица1[[#This Row],[Сумма 
Приход]]+Таблица1[[#This Row],[Сумма Поддон]]</f>
        <v>0</v>
      </c>
      <c r="O1105" s="34"/>
      <c r="P1105" s="34">
        <f>Таблица1[[#This Row],[Блок
 Куб]]*Таблица1[[#This Row],[Цена
 Продажа]]</f>
        <v>0</v>
      </c>
      <c r="Q1105" s="34"/>
      <c r="R1105" s="34">
        <f>Таблица1[[#This Row],[Сумма 
Продажа]]-Таблица1[[#This Row],[Сумма 
Приход]]-Таблица1[[#This Row],[Авто услу ]]</f>
        <v>0</v>
      </c>
      <c r="S1105" s="34"/>
      <c r="T1105" s="34">
        <f>Таблица1[[#This Row],[Сумма 
Продажа]]-IF(Таблица1[[#This Row],[Расход 
Авто]]="Клиент",N(Таблица1[[#This Row],[Авто услу ]]),0)</f>
        <v>0</v>
      </c>
      <c r="U1105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5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5" s="265" t="str">
        <f>IFERROR(INDEX(Мижозлар[Агент],MATCH($D1105,Мижозлар[Расмий ном],0)),"")</f>
        <v/>
      </c>
    </row>
    <row r="1106" spans="1:23" ht="14.25" x14ac:dyDescent="0.2">
      <c r="A1106" s="21"/>
      <c r="B1106" s="135"/>
      <c r="C1106" s="141"/>
      <c r="D1106" s="141"/>
      <c r="E1106" s="136"/>
      <c r="F1106" s="135"/>
      <c r="G1106" s="34"/>
      <c r="H1106" s="142"/>
      <c r="I1106" s="34"/>
      <c r="J1106" s="34">
        <f>Таблица1[[#This Row],[Блок
 Куб]]*Таблица1[[#This Row],[Цена 
Приход]]</f>
        <v>0</v>
      </c>
      <c r="K1106" s="34"/>
      <c r="L1106" s="34"/>
      <c r="M1106" s="34">
        <f>Таблица1[[#This Row],[Поддон
Шт]]*Таблица1[[#This Row],[Цена
Поддон]]</f>
        <v>0</v>
      </c>
      <c r="N1106" s="34">
        <f>Таблица1[[#This Row],[Сумма 
Приход]]+Таблица1[[#This Row],[Сумма Поддон]]</f>
        <v>0</v>
      </c>
      <c r="O1106" s="34"/>
      <c r="P1106" s="34">
        <f>Таблица1[[#This Row],[Блок
 Куб]]*Таблица1[[#This Row],[Цена
 Продажа]]</f>
        <v>0</v>
      </c>
      <c r="Q1106" s="34"/>
      <c r="R1106" s="34">
        <f>Таблица1[[#This Row],[Сумма 
Продажа]]-Таблица1[[#This Row],[Сумма 
Приход]]-Таблица1[[#This Row],[Авто услу ]]</f>
        <v>0</v>
      </c>
      <c r="S1106" s="34"/>
      <c r="T1106" s="34">
        <f>Таблица1[[#This Row],[Сумма 
Продажа]]-IF(Таблица1[[#This Row],[Расход 
Авто]]="Клиент",N(Таблица1[[#This Row],[Авто услу ]]),0)</f>
        <v>0</v>
      </c>
      <c r="U1106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6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6" s="265" t="str">
        <f>IFERROR(INDEX(Мижозлар[Агент],MATCH($D1106,Мижозлар[Расмий ном],0)),"")</f>
        <v/>
      </c>
    </row>
    <row r="1107" spans="1:23" ht="14.25" x14ac:dyDescent="0.2">
      <c r="A1107" s="21"/>
      <c r="B1107" s="135"/>
      <c r="C1107" s="141"/>
      <c r="D1107" s="141"/>
      <c r="E1107" s="136"/>
      <c r="F1107" s="135"/>
      <c r="G1107" s="34"/>
      <c r="H1107" s="142"/>
      <c r="I1107" s="34"/>
      <c r="J1107" s="34">
        <f>Таблица1[[#This Row],[Блок
 Куб]]*Таблица1[[#This Row],[Цена 
Приход]]</f>
        <v>0</v>
      </c>
      <c r="K1107" s="34"/>
      <c r="L1107" s="34"/>
      <c r="M1107" s="34">
        <f>Таблица1[[#This Row],[Поддон
Шт]]*Таблица1[[#This Row],[Цена
Поддон]]</f>
        <v>0</v>
      </c>
      <c r="N1107" s="34">
        <f>Таблица1[[#This Row],[Сумма 
Приход]]+Таблица1[[#This Row],[Сумма Поддон]]</f>
        <v>0</v>
      </c>
      <c r="O1107" s="34"/>
      <c r="P1107" s="34">
        <f>Таблица1[[#This Row],[Блок
 Куб]]*Таблица1[[#This Row],[Цена
 Продажа]]</f>
        <v>0</v>
      </c>
      <c r="Q1107" s="34"/>
      <c r="R1107" s="34">
        <f>Таблица1[[#This Row],[Сумма 
Продажа]]-Таблица1[[#This Row],[Сумма 
Приход]]-Таблица1[[#This Row],[Авто услу ]]</f>
        <v>0</v>
      </c>
      <c r="S1107" s="34"/>
      <c r="T1107" s="34">
        <f>Таблица1[[#This Row],[Сумма 
Продажа]]-IF(Таблица1[[#This Row],[Расход 
Авто]]="Клиент",N(Таблица1[[#This Row],[Авто услу ]]),0)</f>
        <v>0</v>
      </c>
      <c r="U1107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7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7" s="265" t="str">
        <f>IFERROR(INDEX(Мижозлар[Агент],MATCH($D1107,Мижозлар[Расмий ном],0)),"")</f>
        <v/>
      </c>
    </row>
    <row r="1108" spans="1:23" ht="14.25" x14ac:dyDescent="0.2">
      <c r="A1108" s="21"/>
      <c r="B1108" s="135"/>
      <c r="C1108" s="141"/>
      <c r="D1108" s="141"/>
      <c r="E1108" s="136"/>
      <c r="F1108" s="135"/>
      <c r="G1108" s="34"/>
      <c r="H1108" s="142"/>
      <c r="I1108" s="34"/>
      <c r="J1108" s="34">
        <f>Таблица1[[#This Row],[Блок
 Куб]]*Таблица1[[#This Row],[Цена 
Приход]]</f>
        <v>0</v>
      </c>
      <c r="K1108" s="34"/>
      <c r="L1108" s="34"/>
      <c r="M1108" s="34">
        <f>Таблица1[[#This Row],[Поддон
Шт]]*Таблица1[[#This Row],[Цена
Поддон]]</f>
        <v>0</v>
      </c>
      <c r="N1108" s="34">
        <f>Таблица1[[#This Row],[Сумма 
Приход]]+Таблица1[[#This Row],[Сумма Поддон]]</f>
        <v>0</v>
      </c>
      <c r="O1108" s="34"/>
      <c r="P1108" s="34">
        <f>Таблица1[[#This Row],[Блок
 Куб]]*Таблица1[[#This Row],[Цена
 Продажа]]</f>
        <v>0</v>
      </c>
      <c r="Q1108" s="34"/>
      <c r="R1108" s="34">
        <f>Таблица1[[#This Row],[Сумма 
Продажа]]-Таблица1[[#This Row],[Сумма 
Приход]]-Таблица1[[#This Row],[Авто услу ]]</f>
        <v>0</v>
      </c>
      <c r="S1108" s="34"/>
      <c r="T1108" s="34">
        <f>Таблица1[[#This Row],[Сумма 
Продажа]]-IF(Таблица1[[#This Row],[Расход 
Авто]]="Клиент",N(Таблица1[[#This Row],[Авто услу ]]),0)</f>
        <v>0</v>
      </c>
      <c r="U1108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8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8" s="265" t="str">
        <f>IFERROR(INDEX(Мижозлар[Агент],MATCH($D1108,Мижозлар[Расмий ном],0)),"")</f>
        <v/>
      </c>
    </row>
    <row r="1109" spans="1:23" ht="14.25" x14ac:dyDescent="0.2">
      <c r="A1109" s="21"/>
      <c r="B1109" s="135"/>
      <c r="C1109" s="141"/>
      <c r="D1109" s="141"/>
      <c r="E1109" s="136"/>
      <c r="F1109" s="135"/>
      <c r="G1109" s="34"/>
      <c r="H1109" s="142"/>
      <c r="I1109" s="34"/>
      <c r="J1109" s="34">
        <f>Таблица1[[#This Row],[Блок
 Куб]]*Таблица1[[#This Row],[Цена 
Приход]]</f>
        <v>0</v>
      </c>
      <c r="K1109" s="34"/>
      <c r="L1109" s="34"/>
      <c r="M1109" s="34">
        <f>Таблица1[[#This Row],[Поддон
Шт]]*Таблица1[[#This Row],[Цена
Поддон]]</f>
        <v>0</v>
      </c>
      <c r="N1109" s="34">
        <f>Таблица1[[#This Row],[Сумма 
Приход]]+Таблица1[[#This Row],[Сумма Поддон]]</f>
        <v>0</v>
      </c>
      <c r="O1109" s="34"/>
      <c r="P1109" s="34">
        <f>Таблица1[[#This Row],[Блок
 Куб]]*Таблица1[[#This Row],[Цена
 Продажа]]</f>
        <v>0</v>
      </c>
      <c r="Q1109" s="34"/>
      <c r="R1109" s="34">
        <f>Таблица1[[#This Row],[Сумма 
Продажа]]-Таблица1[[#This Row],[Сумма 
Приход]]-Таблица1[[#This Row],[Авто услу ]]</f>
        <v>0</v>
      </c>
      <c r="S1109" s="34"/>
      <c r="T1109" s="34">
        <f>Таблица1[[#This Row],[Сумма 
Продажа]]-IF(Таблица1[[#This Row],[Расход 
Авто]]="Клиент",N(Таблица1[[#This Row],[Авто услу ]]),0)</f>
        <v>0</v>
      </c>
      <c r="U1109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09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09" s="265" t="str">
        <f>IFERROR(INDEX(Мижозлар[Агент],MATCH($D1109,Мижозлар[Расмий ном],0)),"")</f>
        <v/>
      </c>
    </row>
    <row r="1110" spans="1:23" ht="14.25" x14ac:dyDescent="0.2">
      <c r="A1110" s="21"/>
      <c r="B1110" s="135"/>
      <c r="C1110" s="141"/>
      <c r="D1110" s="141"/>
      <c r="E1110" s="136"/>
      <c r="F1110" s="135"/>
      <c r="G1110" s="34"/>
      <c r="H1110" s="142"/>
      <c r="I1110" s="34"/>
      <c r="J1110" s="34">
        <f>Таблица1[[#This Row],[Блок
 Куб]]*Таблица1[[#This Row],[Цена 
Приход]]</f>
        <v>0</v>
      </c>
      <c r="K1110" s="34"/>
      <c r="L1110" s="34"/>
      <c r="M1110" s="34">
        <f>Таблица1[[#This Row],[Поддон
Шт]]*Таблица1[[#This Row],[Цена
Поддон]]</f>
        <v>0</v>
      </c>
      <c r="N1110" s="34">
        <f>Таблица1[[#This Row],[Сумма 
Приход]]+Таблица1[[#This Row],[Сумма Поддон]]</f>
        <v>0</v>
      </c>
      <c r="O1110" s="34"/>
      <c r="P1110" s="34">
        <f>Таблица1[[#This Row],[Блок
 Куб]]*Таблица1[[#This Row],[Цена
 Продажа]]</f>
        <v>0</v>
      </c>
      <c r="Q1110" s="34"/>
      <c r="R1110" s="34">
        <f>Таблица1[[#This Row],[Сумма 
Продажа]]-Таблица1[[#This Row],[Сумма 
Приход]]-Таблица1[[#This Row],[Авто услу ]]</f>
        <v>0</v>
      </c>
      <c r="S1110" s="146"/>
      <c r="T1110" s="146">
        <f>Таблица1[[#This Row],[Сумма 
Продажа]]-IF(Таблица1[[#This Row],[Расход 
Авто]]="Клиент",N(Таблица1[[#This Row],[Авто услу ]]),0)</f>
        <v>0</v>
      </c>
      <c r="U1110" s="143" t="str">
        <f>IF(Таблица1[[#This Row],[Клиент]]="","",IF(IFERROR(INDEX(Мижозлар[Агент],MATCH(Таблица1[[#This Row],[Клиент]],Мижозлар[Расмий ном],0)),"")="",Таблица1[[#This Row],[Агент]],INDEX(Мижозлар[Агент],MATCH(Таблица1[[#This Row],[Клиент]],Мижозлар[Расмий ном],0))))</f>
        <v/>
      </c>
      <c r="V1110" s="143" t="str">
        <f>IF(OR(Таблица1[[#This Row],[Клиент]]="",Таблица1[[#This Row],[Агент]]=""),"",IFERROR(IF(Таблица1[[#This Row],[Агент]]=INDEX(Мижозлар[Агент],MATCH(Таблица1[[#This Row],[Клиент]],Мижозлар[Расмий ном],0)),"","ХАТО"),"МИЖОЗ ЙЎҚ"))</f>
        <v/>
      </c>
      <c r="W1110" s="265" t="str">
        <f>IFERROR(INDEX(Мижозлар[Агент],MATCH($D1110,Мижозлар[Расмий ном],0)),"")</f>
        <v/>
      </c>
    </row>
    <row r="1111" spans="1:23" x14ac:dyDescent="0.25">
      <c r="O1111" s="137"/>
      <c r="V1111"/>
      <c r="W1111"/>
    </row>
    <row r="1112" spans="1:23" x14ac:dyDescent="0.25">
      <c r="O1112" s="137"/>
      <c r="V1112"/>
      <c r="W1112"/>
    </row>
    <row r="1113" spans="1:23" x14ac:dyDescent="0.25">
      <c r="O1113" s="137"/>
      <c r="V1113"/>
      <c r="W1113"/>
    </row>
    <row r="1114" spans="1:23" x14ac:dyDescent="0.25">
      <c r="O1114" s="137"/>
      <c r="V1114"/>
      <c r="W1114"/>
    </row>
    <row r="1115" spans="1:23" x14ac:dyDescent="0.25">
      <c r="O1115" s="137"/>
      <c r="V1115"/>
      <c r="W1115"/>
    </row>
    <row r="1116" spans="1:23" x14ac:dyDescent="0.25">
      <c r="V1116"/>
      <c r="W1116"/>
    </row>
    <row r="1117" spans="1:23" x14ac:dyDescent="0.25">
      <c r="V1117"/>
      <c r="W1117"/>
    </row>
    <row r="1118" spans="1:23" x14ac:dyDescent="0.25">
      <c r="V1118"/>
      <c r="W1118"/>
    </row>
    <row r="1119" spans="1:23" x14ac:dyDescent="0.25">
      <c r="V1119"/>
      <c r="W1119"/>
    </row>
    <row r="1120" spans="1:23" x14ac:dyDescent="0.25">
      <c r="V1120"/>
      <c r="W1120"/>
    </row>
    <row r="1121" spans="22:23" x14ac:dyDescent="0.25">
      <c r="V1121"/>
      <c r="W1121"/>
    </row>
    <row r="1122" spans="22:23" x14ac:dyDescent="0.25">
      <c r="V1122"/>
      <c r="W1122"/>
    </row>
    <row r="1123" spans="22:23" x14ac:dyDescent="0.25">
      <c r="V1123"/>
      <c r="W1123"/>
    </row>
    <row r="1124" spans="22:23" x14ac:dyDescent="0.25">
      <c r="V1124"/>
      <c r="W1124"/>
    </row>
    <row r="1125" spans="22:23" x14ac:dyDescent="0.25">
      <c r="V1125"/>
      <c r="W1125"/>
    </row>
    <row r="1126" spans="22:23" x14ac:dyDescent="0.25">
      <c r="V1126"/>
      <c r="W1126"/>
    </row>
    <row r="1127" spans="22:23" x14ac:dyDescent="0.25">
      <c r="V1127"/>
      <c r="W1127"/>
    </row>
    <row r="1128" spans="22:23" x14ac:dyDescent="0.25">
      <c r="V1128"/>
      <c r="W1128"/>
    </row>
    <row r="1129" spans="22:23" x14ac:dyDescent="0.25">
      <c r="V1129"/>
      <c r="W1129"/>
    </row>
    <row r="1130" spans="22:23" x14ac:dyDescent="0.25">
      <c r="V1130"/>
      <c r="W1130"/>
    </row>
    <row r="1131" spans="22:23" x14ac:dyDescent="0.25">
      <c r="V1131"/>
      <c r="W1131"/>
    </row>
    <row r="1132" spans="22:23" x14ac:dyDescent="0.25">
      <c r="V1132"/>
      <c r="W1132"/>
    </row>
    <row r="1133" spans="22:23" x14ac:dyDescent="0.25">
      <c r="V1133"/>
      <c r="W1133"/>
    </row>
    <row r="1134" spans="22:23" x14ac:dyDescent="0.25">
      <c r="V1134"/>
      <c r="W1134"/>
    </row>
    <row r="1135" spans="22:23" x14ac:dyDescent="0.25">
      <c r="V1135"/>
      <c r="W1135"/>
    </row>
    <row r="1136" spans="22:23" x14ac:dyDescent="0.25">
      <c r="V1136"/>
      <c r="W1136"/>
    </row>
    <row r="1137" spans="22:23" x14ac:dyDescent="0.25">
      <c r="V1137"/>
      <c r="W1137"/>
    </row>
    <row r="1138" spans="22:23" x14ac:dyDescent="0.25">
      <c r="V1138"/>
      <c r="W1138"/>
    </row>
    <row r="1139" spans="22:23" x14ac:dyDescent="0.25">
      <c r="V1139"/>
      <c r="W1139"/>
    </row>
    <row r="1140" spans="22:23" x14ac:dyDescent="0.25">
      <c r="V1140"/>
      <c r="W1140"/>
    </row>
    <row r="1141" spans="22:23" x14ac:dyDescent="0.25">
      <c r="V1141"/>
      <c r="W1141"/>
    </row>
    <row r="1142" spans="22:23" x14ac:dyDescent="0.25">
      <c r="V1142"/>
      <c r="W1142"/>
    </row>
    <row r="1143" spans="22:23" x14ac:dyDescent="0.25">
      <c r="V1143"/>
      <c r="W1143"/>
    </row>
    <row r="1144" spans="22:23" x14ac:dyDescent="0.25">
      <c r="V1144"/>
      <c r="W1144"/>
    </row>
    <row r="1145" spans="22:23" x14ac:dyDescent="0.25">
      <c r="V1145"/>
      <c r="W1145"/>
    </row>
    <row r="1146" spans="22:23" x14ac:dyDescent="0.25">
      <c r="V1146"/>
      <c r="W1146"/>
    </row>
    <row r="1147" spans="22:23" x14ac:dyDescent="0.25">
      <c r="V1147"/>
      <c r="W1147"/>
    </row>
    <row r="1148" spans="22:23" x14ac:dyDescent="0.25">
      <c r="V1148"/>
      <c r="W1148"/>
    </row>
    <row r="1149" spans="22:23" x14ac:dyDescent="0.25">
      <c r="V1149"/>
      <c r="W1149"/>
    </row>
    <row r="1150" spans="22:23" x14ac:dyDescent="0.25">
      <c r="V1150"/>
      <c r="W1150"/>
    </row>
    <row r="1151" spans="22:23" x14ac:dyDescent="0.25">
      <c r="V1151"/>
      <c r="W1151"/>
    </row>
    <row r="1152" spans="22:23" x14ac:dyDescent="0.25">
      <c r="V1152"/>
      <c r="W1152"/>
    </row>
    <row r="1153" spans="22:23" x14ac:dyDescent="0.25">
      <c r="V1153"/>
      <c r="W1153"/>
    </row>
    <row r="1154" spans="22:23" x14ac:dyDescent="0.25">
      <c r="V1154"/>
      <c r="W1154"/>
    </row>
    <row r="1155" spans="22:23" x14ac:dyDescent="0.25">
      <c r="V1155"/>
      <c r="W1155"/>
    </row>
    <row r="1156" spans="22:23" x14ac:dyDescent="0.25">
      <c r="V1156"/>
      <c r="W1156"/>
    </row>
    <row r="1157" spans="22:23" x14ac:dyDescent="0.25">
      <c r="V1157"/>
      <c r="W1157"/>
    </row>
    <row r="1158" spans="22:23" x14ac:dyDescent="0.25">
      <c r="V1158"/>
      <c r="W1158"/>
    </row>
    <row r="1159" spans="22:23" x14ac:dyDescent="0.25">
      <c r="V1159"/>
      <c r="W1159"/>
    </row>
    <row r="1160" spans="22:23" x14ac:dyDescent="0.25">
      <c r="V1160"/>
      <c r="W1160"/>
    </row>
    <row r="1161" spans="22:23" x14ac:dyDescent="0.25">
      <c r="V1161"/>
      <c r="W1161"/>
    </row>
    <row r="1162" spans="22:23" x14ac:dyDescent="0.25">
      <c r="V1162"/>
      <c r="W1162"/>
    </row>
    <row r="1163" spans="22:23" x14ac:dyDescent="0.25">
      <c r="V1163"/>
      <c r="W1163"/>
    </row>
    <row r="1164" spans="22:23" x14ac:dyDescent="0.25">
      <c r="V1164"/>
      <c r="W1164"/>
    </row>
    <row r="1165" spans="22:23" x14ac:dyDescent="0.25">
      <c r="V1165"/>
      <c r="W1165"/>
    </row>
    <row r="1166" spans="22:23" x14ac:dyDescent="0.25">
      <c r="V1166"/>
      <c r="W1166"/>
    </row>
    <row r="1167" spans="22:23" x14ac:dyDescent="0.25">
      <c r="V1167"/>
      <c r="W1167"/>
    </row>
    <row r="1168" spans="22:23" x14ac:dyDescent="0.25">
      <c r="V1168"/>
      <c r="W1168"/>
    </row>
    <row r="1169" spans="22:23" x14ac:dyDescent="0.25">
      <c r="V1169"/>
      <c r="W1169"/>
    </row>
    <row r="1170" spans="22:23" x14ac:dyDescent="0.25">
      <c r="V1170"/>
      <c r="W1170"/>
    </row>
    <row r="1171" spans="22:23" x14ac:dyDescent="0.25">
      <c r="V1171"/>
      <c r="W1171"/>
    </row>
    <row r="1172" spans="22:23" x14ac:dyDescent="0.25">
      <c r="V1172"/>
      <c r="W1172"/>
    </row>
    <row r="1173" spans="22:23" x14ac:dyDescent="0.25">
      <c r="V1173"/>
      <c r="W1173"/>
    </row>
    <row r="1174" spans="22:23" x14ac:dyDescent="0.25">
      <c r="V1174"/>
      <c r="W1174"/>
    </row>
    <row r="1175" spans="22:23" x14ac:dyDescent="0.25">
      <c r="V1175"/>
      <c r="W1175"/>
    </row>
    <row r="1176" spans="22:23" x14ac:dyDescent="0.25">
      <c r="V1176"/>
      <c r="W1176"/>
    </row>
    <row r="1177" spans="22:23" x14ac:dyDescent="0.25">
      <c r="V1177"/>
      <c r="W1177"/>
    </row>
    <row r="1178" spans="22:23" x14ac:dyDescent="0.25">
      <c r="V1178"/>
      <c r="W1178"/>
    </row>
    <row r="1179" spans="22:23" x14ac:dyDescent="0.25">
      <c r="V1179"/>
      <c r="W1179"/>
    </row>
    <row r="1180" spans="22:23" x14ac:dyDescent="0.25">
      <c r="V1180"/>
      <c r="W1180"/>
    </row>
    <row r="1181" spans="22:23" x14ac:dyDescent="0.25">
      <c r="V1181"/>
      <c r="W1181"/>
    </row>
    <row r="1182" spans="22:23" x14ac:dyDescent="0.25">
      <c r="V1182"/>
      <c r="W1182"/>
    </row>
    <row r="1183" spans="22:23" x14ac:dyDescent="0.25">
      <c r="V1183"/>
      <c r="W1183"/>
    </row>
    <row r="1184" spans="22:23" x14ac:dyDescent="0.25">
      <c r="V1184"/>
      <c r="W1184"/>
    </row>
    <row r="1185" spans="22:23" x14ac:dyDescent="0.25">
      <c r="V1185"/>
      <c r="W1185"/>
    </row>
    <row r="1186" spans="22:23" x14ac:dyDescent="0.25">
      <c r="V1186"/>
      <c r="W1186"/>
    </row>
    <row r="1187" spans="22:23" x14ac:dyDescent="0.25">
      <c r="V1187"/>
      <c r="W1187"/>
    </row>
    <row r="1188" spans="22:23" x14ac:dyDescent="0.25">
      <c r="V1188"/>
      <c r="W1188"/>
    </row>
    <row r="1189" spans="22:23" x14ac:dyDescent="0.25">
      <c r="V1189"/>
      <c r="W1189"/>
    </row>
    <row r="1190" spans="22:23" x14ac:dyDescent="0.25">
      <c r="V1190"/>
      <c r="W1190"/>
    </row>
    <row r="1191" spans="22:23" x14ac:dyDescent="0.25">
      <c r="V1191"/>
      <c r="W1191"/>
    </row>
    <row r="1192" spans="22:23" x14ac:dyDescent="0.25">
      <c r="V1192"/>
      <c r="W1192"/>
    </row>
  </sheetData>
  <mergeCells count="1">
    <mergeCell ref="H1:O1"/>
  </mergeCells>
  <phoneticPr fontId="2" type="noConversion"/>
  <conditionalFormatting sqref="C4:D370 C371 C372:D1110">
    <cfRule type="expression" dxfId="4" priority="4">
      <formula>OR($V4="ХАТО",$V4="МИЖОЗ ЙЎҚ")</formula>
    </cfRule>
  </conditionalFormatting>
  <conditionalFormatting sqref="D371">
    <cfRule type="expression" dxfId="3" priority="1">
      <formula>OR($V371="ХАТО",$V371="МИЖОЗ ЙЎҚ")</formula>
    </cfRule>
  </conditionalFormatting>
  <conditionalFormatting sqref="R3:R1110">
    <cfRule type="cellIs" dxfId="2" priority="2" operator="lessThan">
      <formula>0</formula>
    </cfRule>
  </conditionalFormatting>
  <conditionalFormatting sqref="R4:R1110">
    <cfRule type="cellIs" dxfId="1" priority="3" operator="greaterThan">
      <formula>0</formula>
    </cfRule>
  </conditionalFormatting>
  <conditionalFormatting sqref="V4:V1110">
    <cfRule type="containsText" dxfId="0" priority="5" operator="containsText" text="ХАТО">
      <formula>NOT(ISERROR(SEARCH("ХАТО",V4)))</formula>
    </cfRule>
  </conditionalFormatting>
  <dataValidations count="4">
    <dataValidation type="list" errorStyle="warning" allowBlank="1" showInputMessage="1" showErrorMessage="1" errorTitle="Номаълум агент" error="Бу агент справочникда йўқ. Кўрсаткичлар варағидаги Агентлар жадвалига қўшинг." sqref="C1111:C1992" xr:uid="{53E90F37-C7EB-4AD8-AAE3-F144632F68AB}">
      <formula1>АгентРўйхати</formula1>
    </dataValidation>
    <dataValidation type="list" errorStyle="warning" allowBlank="1" showErrorMessage="1" errorTitle="Номаълум мижоз" error="Бу мижоз справочникда йўқ. Аввал Кўрсаткичлар варағидаги Мижозлар жадвалига қўшинг." promptTitle="Мижоз" prompt="Рўйхатдан танланг" sqref="D4:D1992" xr:uid="{C6A1C055-38C4-4A73-A426-596F39C629C4}">
      <formula1>МижозРўйхати</formula1>
    </dataValidation>
    <dataValidation type="list" allowBlank="1" showInputMessage="1" showErrorMessage="1" sqref="A4:A1992" xr:uid="{794ECBB0-7251-4FFF-94FA-F166EE948F02}">
      <formula1>ТурРўйхати</formula1>
    </dataValidation>
    <dataValidation type="list" allowBlank="1" showInputMessage="1" showErrorMessage="1" errorTitle="Агент мос эмас" error="Бу мижоз бошқа агентга бириктирилган. Кўрсаткичлар варағидаги «Мижозлар справочниги»га қаранг." sqref="C4:C1110" xr:uid="{0687CCA1-A372-4B0B-858E-B242AFE6272F}">
      <formula1>IF($W4="",АгентРўйхати,$W4)</formula1>
    </dataValidation>
  </dataValidations>
  <pageMargins left="0.2" right="0.2" top="0.7" bottom="0.2" header="0.3" footer="0.3"/>
  <pageSetup paperSize="9" scale="10" orientation="portrait" verticalDpi="0" r:id="rId1"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6DE0-883B-455A-B1E3-DE69F9EAED42}">
  <dimension ref="A1:J60"/>
  <sheetViews>
    <sheetView workbookViewId="0">
      <pane ySplit="2" topLeftCell="A35" activePane="bottomLeft" state="frozen"/>
      <selection pane="bottomLeft" activeCell="E42" sqref="E42"/>
    </sheetView>
  </sheetViews>
  <sheetFormatPr defaultRowHeight="15" x14ac:dyDescent="0.25"/>
  <cols>
    <col min="1" max="1" width="43.85546875" customWidth="1"/>
    <col min="2" max="4" width="21.85546875" customWidth="1"/>
    <col min="5" max="5" width="41.140625" bestFit="1" customWidth="1"/>
    <col min="6" max="6" width="21.85546875" customWidth="1"/>
    <col min="8" max="10" width="20" customWidth="1"/>
  </cols>
  <sheetData>
    <row r="1" spans="1:10" ht="39.950000000000003" customHeight="1" thickTop="1" thickBot="1" x14ac:dyDescent="0.3">
      <c r="A1" s="388" t="s">
        <v>549</v>
      </c>
      <c r="B1" s="388"/>
      <c r="C1" s="388"/>
      <c r="D1" s="388"/>
      <c r="E1" s="388"/>
      <c r="F1" s="388"/>
      <c r="H1" s="381" t="s">
        <v>550</v>
      </c>
      <c r="I1" s="382"/>
      <c r="J1" s="383"/>
    </row>
    <row r="2" spans="1:10" ht="15.75" thickTop="1" x14ac:dyDescent="0.25">
      <c r="A2" s="151" t="str">
        <f ca="1">"Охирги ҳисоблаш: "&amp;TEXT(NOW(),"ДД.ММ.ГГГГ сс:мм")&amp;"  ·  Барча бўлимлар динамик формулада — маълумот ўзгарса ўзи янгиланади"</f>
        <v>Охирги ҳисоблаш: 03.09.2026 13:16  ·  Барча бўлимлар динамик формулада — маълумот ўзгарса ўзи янгиланади</v>
      </c>
    </row>
    <row r="3" spans="1:10" x14ac:dyDescent="0.25">
      <c r="H3" s="384" t="s">
        <v>551</v>
      </c>
      <c r="I3" s="384"/>
      <c r="J3" s="384"/>
    </row>
    <row r="4" spans="1:10" ht="15.75" x14ac:dyDescent="0.25">
      <c r="A4" s="152" t="s">
        <v>552</v>
      </c>
      <c r="H4" s="384" t="s">
        <v>553</v>
      </c>
      <c r="I4" s="384"/>
      <c r="J4" s="384"/>
    </row>
    <row r="5" spans="1:10" x14ac:dyDescent="0.25">
      <c r="A5" s="153" t="s">
        <v>127</v>
      </c>
      <c r="B5" s="153" t="s">
        <v>554</v>
      </c>
      <c r="C5" s="153" t="s">
        <v>131</v>
      </c>
      <c r="D5" s="153" t="s">
        <v>132</v>
      </c>
      <c r="E5" s="153" t="s">
        <v>555</v>
      </c>
      <c r="F5" s="153" t="s">
        <v>556</v>
      </c>
    </row>
    <row r="6" spans="1:10" x14ac:dyDescent="0.25">
      <c r="A6" t="str" cm="1">
        <f t="array" ref="A6:A12">IFERROR(_xlfn.LET(_xlpm.m,Кўрсаткичлар!$A$11:$A$58,_xlpm.ol,SUMIF(Товар!$D:$D,_xlpm.m,Товар!$K:$K),_xlpm.qa,SUMIF(ПоддонҚайтариш[Клиент],_xlpm.m,ПоддонҚайтариш[Поддон дона]),_xlpm.tu,SUMIF(Тўловлар[Клиент],_xlpm.m,Тўловлар[Поддон]),_xlfn._xlws.SORT(_xlfn._xlws.FILTER(_xlpm.m,(_xlpm.m&lt;&gt;"")*(_xlpm.qa+_xlpm.tu&gt;_xlpm.ol)),1,1)),"— ҳаммаси тўғри —")</f>
        <v>Журат ога хонка</v>
      </c>
      <c r="B6" s="41">
        <f>IF($A6="","",IF(ISNUMBER(SEARCH("ҳаммаси",$A6)),"",SUMIF(Товар!$D:$D,$A6,Товар!$K:$K)))</f>
        <v>342</v>
      </c>
      <c r="C6" s="41">
        <f>IF($B6="","",SUMIF(ПоддонҚайтариш[Клиент],$A6,ПоддонҚайтариш[Поддон дона]))</f>
        <v>230</v>
      </c>
      <c r="D6" s="41">
        <f>IF($B6="","",SUMIF(Тўловлар[Клиент],$A6,Тўловлар[Поддон]))</f>
        <v>114</v>
      </c>
      <c r="E6" s="154">
        <f>IF($B6="","",C6+D6-B6)</f>
        <v>2</v>
      </c>
      <c r="F6" s="150" t="str">
        <f>IF($B6="","","Поддонни қайтарган ва пулини ҳам тўлаган — кейинги сотувда тенглашади")</f>
        <v>Поддонни қайтарган ва пулини ҳам тўлаган — кейинги сотувда тенглашади</v>
      </c>
      <c r="H6" s="385" t="s">
        <v>557</v>
      </c>
      <c r="I6" s="386"/>
      <c r="J6" s="386"/>
    </row>
    <row r="7" spans="1:10" x14ac:dyDescent="0.25">
      <c r="A7" t="str">
        <v>Мята Газаблок</v>
      </c>
      <c r="B7" s="41">
        <f>IF($A7="","",IF(ISNUMBER(SEARCH("ҳаммаси",$A7)),"",SUMIF(Товар!$D:$D,$A7,Товар!$K:$K)))</f>
        <v>171</v>
      </c>
      <c r="C7" s="41">
        <f>IF($B7="","",SUMIF(ПоддонҚайтариш[Клиент],$A7,ПоддонҚайтариш[Поддон дона]))</f>
        <v>0</v>
      </c>
      <c r="D7" s="41">
        <f>IF($B7="","",SUMIF(Тўловлар[Клиент],$A7,Тўловлар[Поддон]))</f>
        <v>228</v>
      </c>
      <c r="E7" s="154">
        <f t="shared" ref="E7:E13" si="0">IF($B7="","",C7+D7-B7)</f>
        <v>57</v>
      </c>
      <c r="F7" s="150" t="str">
        <f t="shared" ref="F7:F13" si="1">IF($B7="","","Поддонни қайтарган ва пулини ҳам тўлаган — кейинги сотувда тенглашади")</f>
        <v>Поддонни қайтарган ва пулини ҳам тўлаган — кейинги сотувда тенглашади</v>
      </c>
      <c r="H7" s="387" t="s">
        <v>558</v>
      </c>
      <c r="I7" s="386"/>
      <c r="J7" s="386"/>
    </row>
    <row r="8" spans="1:10" x14ac:dyDescent="0.25">
      <c r="A8" t="str">
        <v>Одилбек Ера хоус</v>
      </c>
      <c r="B8" s="41">
        <f>IF($A8="","",IF(ISNUMBER(SEARCH("ҳаммаси",$A8)),"",SUMIF(Товар!$D:$D,$A8,Товар!$K:$K)))</f>
        <v>684</v>
      </c>
      <c r="C8" s="41">
        <f>IF($B8="","",SUMIF(ПоддонҚайтариш[Клиент],$A8,ПоддонҚайтариш[Поддон дона]))</f>
        <v>465</v>
      </c>
      <c r="D8" s="41">
        <f>IF($B8="","",SUMIF(Тўловлар[Клиент],$A8,Тўловлар[Поддон]))</f>
        <v>456</v>
      </c>
      <c r="E8" s="154">
        <f t="shared" si="0"/>
        <v>237</v>
      </c>
      <c r="F8" s="150" t="str">
        <f t="shared" si="1"/>
        <v>Поддонни қайтарган ва пулини ҳам тўлаган — кейинги сотувда тенглашади</v>
      </c>
      <c r="H8" s="386"/>
      <c r="I8" s="386"/>
      <c r="J8" s="386"/>
    </row>
    <row r="9" spans="1:10" x14ac:dyDescent="0.25">
      <c r="A9" t="str">
        <v>Отабек дамирчи</v>
      </c>
      <c r="B9" s="41">
        <f>IF($A9="","",IF(ISNUMBER(SEARCH("ҳаммаси",$A9)),"",SUMIF(Товар!$D:$D,$A9,Товар!$K:$K)))</f>
        <v>418</v>
      </c>
      <c r="C9" s="41">
        <f>IF($B9="","",SUMIF(ПоддонҚайтариш[Клиент],$A9,ПоддонҚайтариш[Поддон дона]))</f>
        <v>203</v>
      </c>
      <c r="D9" s="41">
        <f>IF($B9="","",SUMIF(Тўловлар[Клиент],$A9,Тўловлар[Поддон]))</f>
        <v>243</v>
      </c>
      <c r="E9" s="154">
        <f t="shared" si="0"/>
        <v>28</v>
      </c>
      <c r="F9" s="150" t="str">
        <f t="shared" si="1"/>
        <v>Поддонни қайтарган ва пулини ҳам тўлаган — кейинги сотувда тенглашади</v>
      </c>
      <c r="H9" s="386"/>
      <c r="I9" s="386"/>
      <c r="J9" s="386"/>
    </row>
    <row r="10" spans="1:10" x14ac:dyDescent="0.25">
      <c r="A10" t="str">
        <v>Рустам Шпик</v>
      </c>
      <c r="B10" s="41">
        <f>IF($A10="","",IF(ISNUMBER(SEARCH("ҳаммаси",$A10)),"",SUMIF(Товар!$D:$D,$A10,Товар!$K:$K)))</f>
        <v>305</v>
      </c>
      <c r="C10" s="41">
        <f>IF($B10="","",SUMIF(ПоддонҚайтариш[Клиент],$A10,ПоддонҚайтариш[Поддон дона]))</f>
        <v>227</v>
      </c>
      <c r="D10" s="41">
        <f>IF($B10="","",SUMIF(Тўловлар[Клиент],$A10,Тўловлар[Поддон]))</f>
        <v>90</v>
      </c>
      <c r="E10" s="154">
        <f t="shared" si="0"/>
        <v>12</v>
      </c>
      <c r="F10" s="150" t="str">
        <f t="shared" si="1"/>
        <v>Поддонни қайтарган ва пулини ҳам тўлаган — кейинги сотувда тенглашади</v>
      </c>
      <c r="H10" s="386"/>
      <c r="I10" s="386"/>
      <c r="J10" s="386"/>
    </row>
    <row r="11" spans="1:10" x14ac:dyDescent="0.25">
      <c r="A11" t="str">
        <v>Уткир мини</v>
      </c>
      <c r="B11" s="41">
        <f>IF($A11="","",IF(ISNUMBER(SEARCH("ҳаммаси",$A11)),"",SUMIF(Товар!$D:$D,$A11,Товар!$K:$K)))</f>
        <v>266</v>
      </c>
      <c r="C11" s="41">
        <f>IF($B11="","",SUMIF(ПоддонҚайтариш[Клиент],$A11,ПоддонҚайтариш[Поддон дона]))</f>
        <v>162</v>
      </c>
      <c r="D11" s="41">
        <f>IF($B11="","",SUMIF(Тўловлар[Клиент],$A11,Тўловлар[Поддон]))</f>
        <v>171</v>
      </c>
      <c r="E11" s="154">
        <f t="shared" si="0"/>
        <v>67</v>
      </c>
      <c r="F11" s="150" t="str">
        <f t="shared" si="1"/>
        <v>Поддонни қайтарган ва пулини ҳам тўлаган — кейинги сотувда тенглашади</v>
      </c>
    </row>
    <row r="12" spans="1:10" x14ac:dyDescent="0.25">
      <c r="A12" t="str">
        <v>Элликкала Бостон</v>
      </c>
      <c r="B12" s="41">
        <f>IF($A12="","",IF(ISNUMBER(SEARCH("ҳаммаси",$A12)),"",SUMIF(Товар!$D:$D,$A12,Товар!$K:$K)))</f>
        <v>41</v>
      </c>
      <c r="C12" s="41">
        <f>IF($B12="","",SUMIF(ПоддонҚайтариш[Клиент],$A12,ПоддонҚайтариш[Поддон дона]))</f>
        <v>60</v>
      </c>
      <c r="D12" s="41">
        <f>IF($B12="","",SUMIF(Тўловлар[Клиент],$A12,Тўловлар[Поддон]))</f>
        <v>0</v>
      </c>
      <c r="E12" s="154">
        <f t="shared" si="0"/>
        <v>19</v>
      </c>
      <c r="F12" s="150" t="str">
        <f t="shared" si="1"/>
        <v>Поддонни қайтарган ва пулини ҳам тўлаган — кейинги сотувда тенглашади</v>
      </c>
    </row>
    <row r="13" spans="1:10" x14ac:dyDescent="0.25">
      <c r="B13" s="41" t="str">
        <f>IF($A13="","",IF(ISNUMBER(SEARCH("ҳаммаси",$A13)),"",SUMIF(Товар!$D:$D,$A13,Товар!$K:$K)))</f>
        <v/>
      </c>
      <c r="C13" s="41" t="str">
        <f>IF($B13="","",SUMIF(ПоддонҚайтариш[Клиент],$A13,ПоддонҚайтариш[Поддон дона]))</f>
        <v/>
      </c>
      <c r="D13" s="41" t="str">
        <f>IF($B13="","",SUMIF(Тўловлар[Клиент],$A13,Тўловлар[Поддон]))</f>
        <v/>
      </c>
      <c r="E13" s="154" t="str">
        <f t="shared" si="0"/>
        <v/>
      </c>
      <c r="F13" s="150" t="str">
        <f t="shared" si="1"/>
        <v/>
      </c>
    </row>
    <row r="15" spans="1:10" ht="15.75" x14ac:dyDescent="0.25">
      <c r="A15" s="366" t="s">
        <v>559</v>
      </c>
      <c r="B15" s="366"/>
      <c r="C15" s="366"/>
      <c r="D15" s="366"/>
      <c r="E15" s="366"/>
    </row>
    <row r="16" spans="1:10" x14ac:dyDescent="0.25">
      <c r="A16" s="183" t="s">
        <v>127</v>
      </c>
      <c r="B16" s="183" t="s">
        <v>560</v>
      </c>
      <c r="C16" s="183" t="s">
        <v>128</v>
      </c>
      <c r="D16" s="183" t="s">
        <v>561</v>
      </c>
      <c r="E16" s="183" t="s">
        <v>556</v>
      </c>
    </row>
    <row r="17" spans="1:5" x14ac:dyDescent="0.25">
      <c r="A17" t="str" cm="1">
        <f t="array" ref="A17:A30">IFERROR(_xlfn.LET(_xlpm.m,Кўрсаткичлар!$A$11:$A$58,_xlpm.so,SUMIF(Товар!$D:$D,_xlpm.m,Товар!$T:$T),_xlpm.tu,SUMIF(Тўловлар[Клиент],_xlpm.m,Тўловлар[Товарга]),_xlfn._xlws.SORT(_xlfn._xlws.FILTER(_xlpm.m,(_xlpm.m&lt;&gt;"")*(_xlpm.tu&gt;_xlpm.so)),1,1)),"— ҳаммаси тўғри —")</f>
        <v>Акмал 91 510 50 01</v>
      </c>
      <c r="B17" s="41">
        <f>IF($A17="","",IF(ISNUMBER(SEARCH("ҳаммаси",$A17)),"",SUMIF(Товар!$D:$D,$A17,Товар!$T:$T)))</f>
        <v>23639040</v>
      </c>
      <c r="C17" s="41">
        <f>IF($B17="","",SUMIF(Тўловлар[Клиент],$A17,Тўловлар[Товарга]))</f>
        <v>24000000</v>
      </c>
      <c r="D17" s="154">
        <f>IF($B17="","",C17-B17)</f>
        <v>360960</v>
      </c>
      <c r="E17" s="150" t="str">
        <f>IF($B17="","","Аванс тўлов — кейинги юкламада ҳисобга олинади")</f>
        <v>Аванс тўлов — кейинги юкламада ҳисобга олинади</v>
      </c>
    </row>
    <row r="18" spans="1:5" x14ac:dyDescent="0.25">
      <c r="A18" t="str">
        <v>Бахти Ташкентский</v>
      </c>
      <c r="B18" s="41">
        <f>IF($A18="","",IF(ISNUMBER(SEARCH("ҳаммаси",$A18)),"",SUMIF(Товар!$D:$D,$A18,Товар!$T:$T)))</f>
        <v>148273280</v>
      </c>
      <c r="C18" s="41">
        <f>IF($B18="","",SUMIF(Тўловлар[Клиент],$A18,Тўловлар[Товарга]))</f>
        <v>182710000</v>
      </c>
      <c r="D18" s="154">
        <f t="shared" ref="D18:D34" si="2">IF($B18="","",C18-B18)</f>
        <v>34436720</v>
      </c>
      <c r="E18" s="150" t="str">
        <f t="shared" ref="E18:E34" si="3">IF($B18="","","Аванс тўлов — кейинги юкламада ҳисобга олинади")</f>
        <v>Аванс тўлов — кейинги юкламада ҳисобга олинади</v>
      </c>
    </row>
    <row r="19" spans="1:5" x14ac:dyDescent="0.25">
      <c r="A19" t="str">
        <v>Бахтиёр ога Шовот</v>
      </c>
      <c r="B19" s="41">
        <f>IF($A19="","",IF(ISNUMBER(SEARCH("ҳаммаси",$A19)),"",SUMIF(Товар!$D:$D,$A19,Товар!$T:$T)))</f>
        <v>20582400</v>
      </c>
      <c r="C19" s="41">
        <f>IF($B19="","",SUMIF(Тўловлар[Клиент],$A19,Тўловлар[Товарга]))</f>
        <v>47530000</v>
      </c>
      <c r="D19" s="154">
        <f t="shared" si="2"/>
        <v>26947600</v>
      </c>
      <c r="E19" s="150" t="str">
        <f t="shared" si="3"/>
        <v>Аванс тўлов — кейинги юкламада ҳисобга олинади</v>
      </c>
    </row>
    <row r="20" spans="1:5" x14ac:dyDescent="0.25">
      <c r="A20" t="str">
        <v>Бобур чакка</v>
      </c>
      <c r="B20" s="41">
        <f>IF($A20="","",IF(ISNUMBER(SEARCH("ҳаммаси",$A20)),"",SUMIF(Товар!$D:$D,$A20,Товар!$T:$T)))</f>
        <v>20839040</v>
      </c>
      <c r="C20" s="41">
        <f>IF($B20="","",SUMIF(Тўловлар[Клиент],$A20,Тўловлар[Товарга]))</f>
        <v>22637200</v>
      </c>
      <c r="D20" s="154">
        <f t="shared" si="2"/>
        <v>1798160</v>
      </c>
      <c r="E20" s="150" t="str">
        <f t="shared" si="3"/>
        <v>Аванс тўлов — кейинги юкламада ҳисобга олинади</v>
      </c>
    </row>
    <row r="21" spans="1:5" x14ac:dyDescent="0.25">
      <c r="A21" t="str">
        <v>Мамун Университети</v>
      </c>
      <c r="B21" s="41">
        <f>IF($A21="","",IF(ISNUMBER(SEARCH("ҳаммаси",$A21)),"",SUMIF(Товар!$D:$D,$A21,Товар!$T:$T)))</f>
        <v>103432919.9988032</v>
      </c>
      <c r="C21" s="41">
        <f>IF($B21="","",SUMIF(Тўловлар[Клиент],$A21,Тўловлар[Товарга]))</f>
        <v>103433000</v>
      </c>
      <c r="D21" s="154">
        <f t="shared" si="2"/>
        <v>80.001196801662445</v>
      </c>
      <c r="E21" s="150" t="str">
        <f t="shared" si="3"/>
        <v>Аванс тўлов — кейинги юкламада ҳисобга олинади</v>
      </c>
    </row>
    <row r="22" spans="1:5" x14ac:dyDescent="0.25">
      <c r="A22" t="str">
        <v>Музаффар 0010</v>
      </c>
      <c r="B22" s="41">
        <f>IF($A22="","",IF(ISNUMBER(SEARCH("ҳаммаси",$A22)),"",SUMIF(Товар!$D:$D,$A22,Товар!$T:$T)))</f>
        <v>225498079.55199999</v>
      </c>
      <c r="C22" s="41">
        <f>IF($B22="","",SUMIF(Тўловлар[Клиент],$A22,Тўловлар[Товарга]))</f>
        <v>239587000</v>
      </c>
      <c r="D22" s="154">
        <f t="shared" si="2"/>
        <v>14088920.448000014</v>
      </c>
      <c r="E22" s="150" t="str">
        <f t="shared" si="3"/>
        <v>Аванс тўлов — кейинги юкламада ҳисобга олинади</v>
      </c>
    </row>
    <row r="23" spans="1:5" x14ac:dyDescent="0.25">
      <c r="A23" t="str">
        <v>Мустафо машал</v>
      </c>
      <c r="B23" s="41">
        <f>IF($A23="","",IF(ISNUMBER(SEARCH("ҳаммаси",$A23)),"",SUMIF(Товар!$D:$D,$A23,Товар!$T:$T)))</f>
        <v>103212000.00099999</v>
      </c>
      <c r="C23" s="41">
        <f>IF($B23="","",SUMIF(Тўловлар[Клиент],$A23,Тўловлар[Товарга]))</f>
        <v>103964000</v>
      </c>
      <c r="D23" s="154">
        <f t="shared" si="2"/>
        <v>751999.99900001287</v>
      </c>
      <c r="E23" s="150" t="str">
        <f t="shared" si="3"/>
        <v>Аванс тўлов — кейинги юкламада ҳисобга олинади</v>
      </c>
    </row>
    <row r="24" spans="1:5" x14ac:dyDescent="0.25">
      <c r="A24" t="str">
        <v>Мята Газаблок</v>
      </c>
      <c r="B24" s="41">
        <f>IF($A24="","",IF(ISNUMBER(SEARCH("ҳаммаси",$A24)),"",SUMIF(Товар!$D:$D,$A24,Товар!$T:$T)))</f>
        <v>189951360</v>
      </c>
      <c r="C24" s="41">
        <f>IF($B24="","",SUMIF(Тўловлар[Клиент],$A24,Тўловлар[Товарга]))</f>
        <v>254868480</v>
      </c>
      <c r="D24" s="154">
        <f t="shared" si="2"/>
        <v>64917120</v>
      </c>
      <c r="E24" s="150" t="str">
        <f t="shared" si="3"/>
        <v>Аванс тўлов — кейинги юкламада ҳисобга олинади</v>
      </c>
    </row>
    <row r="25" spans="1:5" x14ac:dyDescent="0.25">
      <c r="A25" t="str">
        <v>Нахт клиент-А</v>
      </c>
      <c r="B25" s="41">
        <f>IF($A25="","",IF(ISNUMBER(SEARCH("ҳаммаси",$A25)),"",SUMIF(Товар!$D:$D,$A25,Товар!$T:$T)))</f>
        <v>22192000</v>
      </c>
      <c r="C25" s="41">
        <f>IF($B25="","",SUMIF(Тўловлар[Клиент],$A25,Тўловлар[Товарга]))</f>
        <v>22200000</v>
      </c>
      <c r="D25" s="154">
        <f t="shared" si="2"/>
        <v>8000</v>
      </c>
      <c r="E25" s="150" t="str">
        <f t="shared" si="3"/>
        <v>Аванс тўлов — кейинги юкламада ҳисобга олинади</v>
      </c>
    </row>
    <row r="26" spans="1:5" x14ac:dyDescent="0.25">
      <c r="A26" t="str">
        <v>Сарвар ога Шовот</v>
      </c>
      <c r="B26" s="41">
        <f>IF($A26="","",IF(ISNUMBER(SEARCH("ҳаммаси",$A26)),"",SUMIF(Товар!$D:$D,$A26,Товар!$T:$T)))</f>
        <v>191268160</v>
      </c>
      <c r="C26" s="41">
        <f>IF($B26="","",SUMIF(Тўловлар[Клиент],$A26,Тўловлар[Товарга]))</f>
        <v>216527200</v>
      </c>
      <c r="D26" s="154">
        <f t="shared" si="2"/>
        <v>25259040</v>
      </c>
      <c r="E26" s="150" t="str">
        <f t="shared" si="3"/>
        <v>Аванс тўлов — кейинги юкламада ҳисобга олинади</v>
      </c>
    </row>
    <row r="27" spans="1:5" x14ac:dyDescent="0.25">
      <c r="A27" t="str">
        <v>Сохил буйи Уткир ога</v>
      </c>
      <c r="B27" s="41">
        <f>IF($A27="","",IF(ISNUMBER(SEARCH("ҳаммаси",$A27)),"",SUMIF(Товар!$D:$D,$A27,Товар!$T:$T)))</f>
        <v>123651040.00999999</v>
      </c>
      <c r="C27" s="41">
        <f>IF($B27="","",SUMIF(Тўловлар[Клиент],$A27,Тўловлар[Товарга]))</f>
        <v>123651500</v>
      </c>
      <c r="D27" s="154">
        <f t="shared" si="2"/>
        <v>459.99000000953674</v>
      </c>
      <c r="E27" s="150" t="str">
        <f t="shared" si="3"/>
        <v>Аванс тўлов — кейинги юкламада ҳисобга олинади</v>
      </c>
    </row>
    <row r="28" spans="1:5" x14ac:dyDescent="0.25">
      <c r="A28" t="str">
        <v>Урганч Тамирлаш</v>
      </c>
      <c r="B28" s="41">
        <f>IF($A28="","",IF(ISNUMBER(SEARCH("ҳаммаси",$A28)),"",SUMIF(Товар!$D:$D,$A28,Товар!$T:$T)))</f>
        <v>45569999.983103998</v>
      </c>
      <c r="C28" s="41">
        <f>IF($B28="","",SUMIF(Тўловлар[Клиент],$A28,Тўловлар[Товарга]))</f>
        <v>340570000</v>
      </c>
      <c r="D28" s="154">
        <f t="shared" si="2"/>
        <v>295000000.01689601</v>
      </c>
      <c r="E28" s="150" t="str">
        <f t="shared" si="3"/>
        <v>Аванс тўлов — кейинги юкламада ҳисобга олинади</v>
      </c>
    </row>
    <row r="29" spans="1:5" x14ac:dyDescent="0.25">
      <c r="A29" t="str">
        <v>Уткир мини</v>
      </c>
      <c r="B29" s="41">
        <f>IF($A29="","",IF(ISNUMBER(SEARCH("ҳаммаси",$A29)),"",SUMIF(Товар!$D:$D,$A29,Товар!$T:$T)))</f>
        <v>295120000</v>
      </c>
      <c r="C29" s="41">
        <f>IF($B29="","",SUMIF(Тўловлар[Клиент],$A29,Тўловлар[Товарга]))</f>
        <v>295387120</v>
      </c>
      <c r="D29" s="154">
        <f t="shared" si="2"/>
        <v>267120</v>
      </c>
      <c r="E29" s="150" t="str">
        <f t="shared" si="3"/>
        <v>Аванс тўлов — кейинги юкламада ҳисобга олинади</v>
      </c>
    </row>
    <row r="30" spans="1:5" x14ac:dyDescent="0.25">
      <c r="A30" t="str">
        <v>Фм хоус</v>
      </c>
      <c r="B30" s="41">
        <f>IF($A30="","",IF(ISNUMBER(SEARCH("ҳаммаси",$A30)),"",SUMIF(Товар!$D:$D,$A30,Товар!$T:$T)))</f>
        <v>52091600.016000003</v>
      </c>
      <c r="C30" s="41">
        <f>IF($B30="","",SUMIF(Тўловлар[Клиент],$A30,Тўловлар[Товарга]))</f>
        <v>52100000</v>
      </c>
      <c r="D30" s="154">
        <f t="shared" si="2"/>
        <v>8399.9839999973774</v>
      </c>
      <c r="E30" s="150" t="str">
        <f t="shared" si="3"/>
        <v>Аванс тўлов — кейинги юкламада ҳисобга олинади</v>
      </c>
    </row>
    <row r="31" spans="1:5" x14ac:dyDescent="0.25">
      <c r="B31" s="41" t="str">
        <f>IF($A31="","",IF(ISNUMBER(SEARCH("ҳаммаси",$A31)),"",SUMIF(Товар!$D:$D,$A31,Товар!$T:$T)))</f>
        <v/>
      </c>
      <c r="C31" s="41" t="str">
        <f>IF($B31="","",SUMIF(Тўловлар[Клиент],$A31,Тўловлар[Товарга]))</f>
        <v/>
      </c>
      <c r="D31" s="154" t="str">
        <f t="shared" si="2"/>
        <v/>
      </c>
      <c r="E31" s="150" t="str">
        <f t="shared" si="3"/>
        <v/>
      </c>
    </row>
    <row r="32" spans="1:5" x14ac:dyDescent="0.25">
      <c r="B32" s="41" t="str">
        <f>IF($A32="","",IF(ISNUMBER(SEARCH("ҳаммаси",$A32)),"",SUMIF(Товар!$D:$D,$A32,Товар!$T:$T)))</f>
        <v/>
      </c>
      <c r="C32" s="41" t="str">
        <f>IF($B32="","",SUMIF(Тўловлар[Клиент],$A32,Тўловлар[Товарга]))</f>
        <v/>
      </c>
      <c r="D32" s="154" t="str">
        <f t="shared" si="2"/>
        <v/>
      </c>
      <c r="E32" s="150" t="str">
        <f t="shared" si="3"/>
        <v/>
      </c>
    </row>
    <row r="33" spans="1:6" x14ac:dyDescent="0.25">
      <c r="B33" s="41" t="str">
        <f>IF($A33="","",IF(ISNUMBER(SEARCH("ҳаммаси",$A33)),"",SUMIF(Товар!$D:$D,$A33,Товар!$T:$T)))</f>
        <v/>
      </c>
      <c r="C33" s="41" t="str">
        <f>IF($B33="","",SUMIF(Тўловлар[Клиент],$A33,Тўловлар[Товарга]))</f>
        <v/>
      </c>
      <c r="D33" s="154" t="str">
        <f t="shared" si="2"/>
        <v/>
      </c>
      <c r="E33" s="150" t="str">
        <f t="shared" si="3"/>
        <v/>
      </c>
    </row>
    <row r="34" spans="1:6" x14ac:dyDescent="0.25">
      <c r="B34" s="41" t="str">
        <f>IF($A34="","",IF(ISNUMBER(SEARCH("ҳаммаси",$A34)),"",SUMIF(Товар!$D:$D,$A34,Товар!$T:$T)))</f>
        <v/>
      </c>
      <c r="C34" s="41" t="str">
        <f>IF($B34="","",SUMIF(Тўловлар[Клиент],$A34,Тўловлар[Товарга]))</f>
        <v/>
      </c>
      <c r="D34" s="154" t="str">
        <f t="shared" si="2"/>
        <v/>
      </c>
      <c r="E34" s="150" t="str">
        <f t="shared" si="3"/>
        <v/>
      </c>
    </row>
    <row r="36" spans="1:6" ht="15.75" x14ac:dyDescent="0.25">
      <c r="A36" s="380" t="s">
        <v>562</v>
      </c>
      <c r="B36" s="380"/>
      <c r="C36" s="380"/>
      <c r="D36" s="380"/>
      <c r="E36" s="380"/>
      <c r="F36" s="380"/>
    </row>
    <row r="37" spans="1:6" x14ac:dyDescent="0.25">
      <c r="A37" s="155" t="s">
        <v>563</v>
      </c>
      <c r="B37" s="155" t="s">
        <v>564</v>
      </c>
      <c r="C37" s="155" t="s">
        <v>565</v>
      </c>
      <c r="D37" s="155" t="s">
        <v>566</v>
      </c>
      <c r="E37" s="155" t="s">
        <v>567</v>
      </c>
      <c r="F37" s="155" t="s">
        <v>568</v>
      </c>
    </row>
    <row r="38" spans="1:6" x14ac:dyDescent="0.25">
      <c r="A38" s="156" t="str" cm="1">
        <f t="array" ref="A38">IFERROR(_xlfn._xlws.SORT(_xlfn.UNIQUE(_xlfn._xlws.FILTER(Товар!$D$4:$D$1110,(Товар!$D$4:$D$1110&lt;&gt;"")*(COUNTIF(Кўрсаткичлар!$A$11:$A$58,Товар!$D$4:$D$1110)=0)))),"— тўғри —")</f>
        <v>— тўғри —</v>
      </c>
      <c r="B38" s="156" t="str" cm="1">
        <f t="array" ref="B38">IFERROR(_xlfn._xlws.SORT(_xlfn.UNIQUE(_xlfn._xlws.FILTER(Тўловлар[Клиент],(Тўловлар[Клиент]&lt;&gt;"")*(COUNTIF(Кўрсаткичлар!$A$11:$A$58,Тўловлар[Клиент])=0)))),"— тўғри —")</f>
        <v>— тўғри —</v>
      </c>
      <c r="C38" s="156" t="str" cm="1">
        <f t="array" ref="C38">IFERROR(_xlfn._xlws.SORT(_xlfn.UNIQUE(_xlfn._xlws.FILTER(ПоддонҚайтариш[Клиент],(ПоддонҚайтариш[Клиент]&lt;&gt;"")*(COUNTIF(Кўрсаткичлар!$A$11:$A$58,ПоддонҚайтариш[Клиент])=0)))),"— тўғри —")</f>
        <v>— тўғри —</v>
      </c>
      <c r="D38" s="156" t="str" cm="1">
        <f t="array" ref="D38">IFERROR(_xlfn._xlws.SORT(_xlfn.UNIQUE(_xlfn._xlws.FILTER(Товар!$C$4:$C$1110,(Товар!$C$4:$C$1110&lt;&gt;"")*(COUNTIF(Кўрсаткичлар!$F$11:$F$16,Товар!$C$4:$C$1110)=0)))),"— тўғри —")</f>
        <v>— тўғри —</v>
      </c>
      <c r="E38" s="156" t="str" cm="1">
        <f t="array" ref="E38">IFERROR(_xlfn._xlws.SORT(_xlfn.UNIQUE(_xlfn._xlws.FILTER(Тўловлар[Агент],(Тўловлар[Агент]&lt;&gt;"")*(COUNTIF(Кўрсаткичлар!$F$11:$F$16,Тўловлар[Агент])=0)))),"— тўғри —")</f>
        <v>— тўғри —</v>
      </c>
      <c r="F38" s="156" t="str" cm="1">
        <f t="array" ref="F38">IFERROR(_xlfn._xlws.SORT(_xlfn.UNIQUE(_xlfn._xlws.FILTER(Товар!$B$4:$B$1110,(Товар!$B$4:$B$1110&lt;&gt;"")*(COUNTIF(Кўрсаткичлар!$I$11:$I$12,Товар!$B$4:$B$1110)=0)))),"— тўғри —")</f>
        <v>— тўғри —</v>
      </c>
    </row>
    <row r="41" spans="1:6" ht="15.75" x14ac:dyDescent="0.25">
      <c r="A41" s="379" t="s">
        <v>569</v>
      </c>
      <c r="B41" s="379"/>
      <c r="C41" s="379"/>
      <c r="D41" s="379"/>
    </row>
    <row r="42" spans="1:6" x14ac:dyDescent="0.25">
      <c r="A42" s="134" t="s">
        <v>570</v>
      </c>
      <c r="B42" s="134" t="s">
        <v>571</v>
      </c>
      <c r="C42" s="134" t="s">
        <v>572</v>
      </c>
      <c r="D42" s="134" t="s">
        <v>573</v>
      </c>
    </row>
    <row r="43" spans="1:6" x14ac:dyDescent="0.25">
      <c r="A43" t="s">
        <v>574</v>
      </c>
      <c r="B43" cm="1">
        <f t="array" ref="B43">SUMPRODUCT((Товар!$C$4:$C$1110="")*(Товар!$D$4:$D$1110&lt;&gt;""))</f>
        <v>0</v>
      </c>
      <c r="C43" t="str">
        <f t="shared" ref="C43:C50" si="4">IF(B43=0,"✔ тўғри","⚠ эътибор беринг")</f>
        <v>✔ тўғри</v>
      </c>
      <c r="D43" t="str" cm="1">
        <f t="array" ref="D43">IFERROR(_xlfn.TEXTJOIN(", ",TRUE,_xlfn._xlws.FILTER(ROW(Товар!$D$4:$D$1110),(Товар!$C$4:$C$1110="")*(Товар!$D$4:$D$1110&lt;&gt;""))),"—")</f>
        <v>—</v>
      </c>
    </row>
    <row r="44" spans="1:6" x14ac:dyDescent="0.25">
      <c r="A44" t="s">
        <v>575</v>
      </c>
      <c r="B44" cm="1">
        <f t="array" ref="B44">SUMPRODUCT((Товар!$D$4:$D$1110="")*(Товар!$C$4:$C$1110&lt;&gt;""))</f>
        <v>0</v>
      </c>
      <c r="C44" t="str">
        <f t="shared" si="4"/>
        <v>✔ тўғри</v>
      </c>
      <c r="D44" t="str" cm="1">
        <f t="array" ref="D44">IFERROR(_xlfn.TEXTJOIN(", ",TRUE,_xlfn._xlws.FILTER(ROW(Товар!$D$4:$D$1110),(Товар!$D$4:$D$1110="")*(Товар!$C$4:$C$1110&lt;&gt;""))),"—")</f>
        <v>—</v>
      </c>
    </row>
    <row r="45" spans="1:6" x14ac:dyDescent="0.25">
      <c r="A45" t="s">
        <v>576</v>
      </c>
      <c r="B45" cm="1">
        <f t="array" ref="B45">SUMPRODUCT((Товар!$E$4:$E$1110="")*(Товар!$D$4:$D$1110&lt;&gt;""))</f>
        <v>0</v>
      </c>
      <c r="C45" t="str">
        <f t="shared" si="4"/>
        <v>✔ тўғри</v>
      </c>
      <c r="D45" t="str" cm="1">
        <f t="array" ref="D45">IFERROR(_xlfn.TEXTJOIN(", ",TRUE,_xlfn._xlws.FILTER(ROW(Товар!$D$4:$D$1110),(Товар!$E$4:$E$1110="")*(Товар!$D$4:$D$1110&lt;&gt;""))),"—")</f>
        <v>—</v>
      </c>
    </row>
    <row r="46" spans="1:6" x14ac:dyDescent="0.25">
      <c r="A46" t="s">
        <v>577</v>
      </c>
      <c r="B46" cm="1">
        <f t="array" ref="B46">SUMPRODUCT((N(Товар!$O$4:$O$1110)=0)*(Товар!$D$4:$D$1110&lt;&gt;""))</f>
        <v>0</v>
      </c>
      <c r="C46" t="str">
        <f t="shared" si="4"/>
        <v>✔ тўғри</v>
      </c>
      <c r="D46" t="str" cm="1">
        <f t="array" ref="D46">IFERROR(_xlfn.TEXTJOIN(", ",TRUE,_xlfn._xlws.FILTER(ROW(Товар!$D$4:$D$1110),(N(Товар!$O$4:$O$1110)=0)*(Товар!$D$4:$D$1110&lt;&gt;""))),"—")</f>
        <v>—</v>
      </c>
    </row>
    <row r="47" spans="1:6" x14ac:dyDescent="0.25">
      <c r="A47" t="s">
        <v>578</v>
      </c>
      <c r="B47" cm="1">
        <f t="array" ref="B47">SUMPRODUCT((N(Товар!$H$4:$H$1110)=0)*(Товар!$D$4:$D$1110&lt;&gt;""))</f>
        <v>0</v>
      </c>
      <c r="C47" t="str">
        <f t="shared" si="4"/>
        <v>✔ тўғри</v>
      </c>
      <c r="D47" t="str" cm="1">
        <f t="array" ref="D47">IFERROR(_xlfn.TEXTJOIN(", ",TRUE,_xlfn._xlws.FILTER(ROW(Товар!$D$4:$D$1110),(N(Товар!$H$4:$H$1110)=0)*(Товар!$D$4:$D$1110&lt;&gt;""))),"—")</f>
        <v>—</v>
      </c>
    </row>
    <row r="48" spans="1:6" x14ac:dyDescent="0.25">
      <c r="A48" t="s">
        <v>579</v>
      </c>
      <c r="B48" cm="1">
        <f t="array" ref="B48">SUMPRODUCT((Товар!$B$4:$B$1110="")*(Товар!$D$4:$D$1110&lt;&gt;""))</f>
        <v>0</v>
      </c>
      <c r="C48" t="str">
        <f t="shared" si="4"/>
        <v>✔ тўғри</v>
      </c>
      <c r="D48" t="str" cm="1">
        <f t="array" ref="D48">IFERROR(_xlfn.TEXTJOIN(", ",TRUE,_xlfn._xlws.FILTER(ROW(Товар!$D$4:$D$1110),(Товар!$B$4:$B$1110="")*(Товар!$D$4:$D$1110&lt;&gt;""))),"—")</f>
        <v>—</v>
      </c>
    </row>
    <row r="49" spans="1:6" x14ac:dyDescent="0.25">
      <c r="A49" t="s">
        <v>580</v>
      </c>
      <c r="B49" cm="1">
        <f t="array" ref="B49">SUMPRODUCT((Товар!$A$4:$A$1110="")*(Товар!$D$4:$D$1110&lt;&gt;""))</f>
        <v>0</v>
      </c>
      <c r="C49" t="str">
        <f t="shared" si="4"/>
        <v>✔ тўғри</v>
      </c>
      <c r="D49" t="str" cm="1">
        <f t="array" ref="D49">IFERROR(_xlfn.TEXTJOIN(", ",TRUE,_xlfn._xlws.FILTER(ROW(Товар!$D$4:$D$1110),(Товар!$A$4:$A$1110="")*(Товар!$D$4:$D$1110&lt;&gt;""))),"—")</f>
        <v>—</v>
      </c>
    </row>
    <row r="50" spans="1:6" x14ac:dyDescent="0.25">
      <c r="A50" t="s">
        <v>581</v>
      </c>
      <c r="B50" cm="1">
        <f t="array" ref="B50">SUMPRODUCT((Товар!$D$4:$D$1110&lt;&gt;"")*(Товар!$Q$4:$Q$1110&lt;&gt;"Клиент")*(Товар!$Q$4:$Q$1110&lt;&gt;"Сотувчи"))</f>
        <v>0</v>
      </c>
      <c r="C50" t="str">
        <f t="shared" si="4"/>
        <v>✔ тўғри</v>
      </c>
      <c r="D50" t="str" cm="1">
        <f t="array" ref="D50">IFERROR(_xlfn.TEXTJOIN(", ",TRUE,_xlfn._xlws.FILTER(ROW(Товар!$D$4:$D$1110),(Товар!$D$4:$D$1110&lt;&gt;"")*(Товар!$Q$4:$Q$1110&lt;&gt;"Клиент")*(Товар!$Q$4:$Q$1110&lt;&gt;"Сотувчи"))),"—")</f>
        <v>—</v>
      </c>
    </row>
    <row r="52" spans="1:6" ht="15.75" x14ac:dyDescent="0.25">
      <c r="A52" s="364" t="s">
        <v>582</v>
      </c>
      <c r="B52" s="364"/>
      <c r="C52" s="364"/>
      <c r="D52" s="364"/>
      <c r="E52" s="364"/>
      <c r="F52" s="364"/>
    </row>
    <row r="53" spans="1:6" x14ac:dyDescent="0.25">
      <c r="A53" s="184" t="s">
        <v>16</v>
      </c>
      <c r="B53" s="184" t="s">
        <v>583</v>
      </c>
      <c r="C53" s="184" t="s">
        <v>232</v>
      </c>
      <c r="D53" s="184" t="s">
        <v>584</v>
      </c>
      <c r="E53" s="184" t="s">
        <v>233</v>
      </c>
      <c r="F53" s="184" t="s">
        <v>572</v>
      </c>
    </row>
    <row r="54" spans="1:6" x14ac:dyDescent="0.25">
      <c r="A54" t="str">
        <f>Кўрсаткичлар!F11</f>
        <v>Арслон ога</v>
      </c>
      <c r="B54" s="41">
        <f>SUMIF(Товар!$C:$C,$A54,Товар!$T:$T)</f>
        <v>534882400.00799996</v>
      </c>
      <c r="C54" s="41">
        <f>SUMIF(Тўловлар[Агент],$A54,Тўловлар[Жами сумма])</f>
        <v>529054820</v>
      </c>
      <c r="D54" s="154">
        <f>B54-C54</f>
        <v>5827580.0079999566</v>
      </c>
      <c r="E54" s="157">
        <f>IFERROR(C54/B54,0)</f>
        <v>0.98910493220956086</v>
      </c>
      <c r="F54" s="158" t="str">
        <f>IF($B54=0,"Сотув йўқ",IF(E54&gt;1.05,"⚠ Ортиқча йиғилган (аванс)",IF(E54&lt;0.7,"⚠ Йиғиш паст","✔ норма")))</f>
        <v>✔ норма</v>
      </c>
    </row>
    <row r="55" spans="1:6" x14ac:dyDescent="0.25">
      <c r="A55" t="str">
        <f>Кўрсаткичлар!F12</f>
        <v>Жамол 22-22</v>
      </c>
      <c r="B55" s="41">
        <f>SUMIF(Товар!$C:$C,$A55,Товар!$T:$T)</f>
        <v>1052112719.983104</v>
      </c>
      <c r="C55" s="41">
        <f>SUMIF(Тўловлар[Агент],$A55,Тўловлар[Жами сумма])</f>
        <v>725570000</v>
      </c>
      <c r="D55" s="154">
        <f t="shared" ref="D55:D59" si="5">B55-C55</f>
        <v>326542719.98310399</v>
      </c>
      <c r="E55" s="157">
        <f t="shared" ref="E55:E59" si="6">IFERROR(C55/B55,0)</f>
        <v>0.6896314303772052</v>
      </c>
      <c r="F55" s="158" t="str">
        <f t="shared" ref="F55:F60" si="7">IF($B55=0,"Сотув йўқ",IF(E55&gt;1.05,"⚠ Ортиқча йиғилган (аванс)",IF(E55&lt;0.7,"⚠ Йиғиш паст","✔ норма")))</f>
        <v>⚠ Йиғиш паст</v>
      </c>
    </row>
    <row r="56" spans="1:6" x14ac:dyDescent="0.25">
      <c r="A56" t="str">
        <f>Кўрсаткичлар!F13</f>
        <v>Зафар ога</v>
      </c>
      <c r="B56" s="41">
        <f>SUMIF(Товар!$C:$C,$A56,Товар!$T:$T)</f>
        <v>2066157827.3764207</v>
      </c>
      <c r="C56" s="41">
        <f>SUMIF(Тўловлар[Агент],$A56,Тўловлар[Жами сумма])</f>
        <v>2072108240</v>
      </c>
      <c r="D56" s="154">
        <f t="shared" si="5"/>
        <v>-5950412.6235792637</v>
      </c>
      <c r="E56" s="157">
        <f t="shared" si="6"/>
        <v>1.0028799409922788</v>
      </c>
      <c r="F56" s="158" t="str">
        <f t="shared" si="7"/>
        <v>✔ норма</v>
      </c>
    </row>
    <row r="57" spans="1:6" x14ac:dyDescent="0.25">
      <c r="A57" t="str">
        <f>Кўрсаткичлар!F14</f>
        <v>Сардор ога</v>
      </c>
      <c r="B57" s="41">
        <f>SUMIF(Товар!$C:$C,$A57,Товар!$T:$T)</f>
        <v>1291970839.5768032</v>
      </c>
      <c r="C57" s="41">
        <f>SUMIF(Тўловлар[Агент],$A57,Тўловлар[Жами сумма])</f>
        <v>1390583420</v>
      </c>
      <c r="D57" s="154">
        <f t="shared" si="5"/>
        <v>-98612580.423196793</v>
      </c>
      <c r="E57" s="157">
        <f t="shared" si="6"/>
        <v>1.0763272493483662</v>
      </c>
      <c r="F57" s="158" t="str">
        <f t="shared" si="7"/>
        <v>⚠ Ортиқча йиғилган (аванс)</v>
      </c>
    </row>
    <row r="58" spans="1:6" x14ac:dyDescent="0.25">
      <c r="A58" t="str">
        <f>Кўрсаткичлар!F15</f>
        <v>Темур</v>
      </c>
      <c r="B58" s="41">
        <f>SUMIF(Товар!$C:$C,$A58,Товар!$T:$T)</f>
        <v>2167250880.0009999</v>
      </c>
      <c r="C58" s="41">
        <f>SUMIF(Тўловлар[Агент],$A58,Тўловлар[Жами сумма])</f>
        <v>2335986240</v>
      </c>
      <c r="D58" s="154">
        <f t="shared" si="5"/>
        <v>-168735359.99900007</v>
      </c>
      <c r="E58" s="157">
        <f t="shared" si="6"/>
        <v>1.0778568653754208</v>
      </c>
      <c r="F58" s="158" t="str">
        <f t="shared" si="7"/>
        <v>⚠ Ортиқча йиғилган (аванс)</v>
      </c>
    </row>
    <row r="59" spans="1:6" x14ac:dyDescent="0.25">
      <c r="A59" t="str">
        <f>Кўрсаткичлар!F16</f>
        <v>Шохрух ога</v>
      </c>
      <c r="B59" s="41">
        <f>SUMIF(Товар!$C:$C,$A59,Товар!$T:$T)</f>
        <v>1262636372.9967389</v>
      </c>
      <c r="C59" s="41">
        <f>SUMIF(Тўловлар[Агент],$A59,Тўловлар[Жами сумма])</f>
        <v>850319320</v>
      </c>
      <c r="D59" s="154">
        <f t="shared" si="5"/>
        <v>412317052.99673891</v>
      </c>
      <c r="E59" s="157">
        <f t="shared" si="6"/>
        <v>0.67344750886738169</v>
      </c>
      <c r="F59" s="158" t="str">
        <f t="shared" si="7"/>
        <v>⚠ Йиғиш паст</v>
      </c>
    </row>
    <row r="60" spans="1:6" x14ac:dyDescent="0.25">
      <c r="A60" s="38" t="s">
        <v>138</v>
      </c>
      <c r="B60" s="42">
        <f>SUM(B54:B59)</f>
        <v>8375011039.9420662</v>
      </c>
      <c r="C60" s="42">
        <f>SUM(C54:C59)</f>
        <v>7903622040</v>
      </c>
      <c r="D60" s="42">
        <f>B60-C60</f>
        <v>471388999.94206619</v>
      </c>
      <c r="E60" s="159">
        <f>IFERROR(C60/B60,0)</f>
        <v>0.94371482047081257</v>
      </c>
      <c r="F60" s="158" t="str">
        <f t="shared" si="7"/>
        <v>✔ норма</v>
      </c>
    </row>
  </sheetData>
  <mergeCells count="10">
    <mergeCell ref="A41:D41"/>
    <mergeCell ref="A36:F36"/>
    <mergeCell ref="A52:F52"/>
    <mergeCell ref="H1:J1"/>
    <mergeCell ref="H3:J3"/>
    <mergeCell ref="H4:J4"/>
    <mergeCell ref="H6:J6"/>
    <mergeCell ref="H7:J10"/>
    <mergeCell ref="A15:E15"/>
    <mergeCell ref="A1:F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</vt:i4>
      </vt:variant>
    </vt:vector>
  </HeadingPairs>
  <TitlesOfParts>
    <vt:vector size="19" baseType="lpstr">
      <vt:lpstr>Кўрсаткичлар</vt:lpstr>
      <vt:lpstr>Мижоз картаси</vt:lpstr>
      <vt:lpstr>Мижозлар қолдиғи</vt:lpstr>
      <vt:lpstr>Қидирув</vt:lpstr>
      <vt:lpstr>Поставшиклар ҳисоби</vt:lpstr>
      <vt:lpstr>Акт сверка</vt:lpstr>
      <vt:lpstr>Ҳисобот</vt:lpstr>
      <vt:lpstr>Акт (умумий)</vt:lpstr>
      <vt:lpstr>KPI</vt:lpstr>
      <vt:lpstr>Поддон қайтариш заводга</vt:lpstr>
      <vt:lpstr>Поддон қайтариш</vt:lpstr>
      <vt:lpstr>Оплата</vt:lpstr>
      <vt:lpstr>Оплата поставшику</vt:lpstr>
      <vt:lpstr>Товар</vt:lpstr>
      <vt:lpstr>Текширув</vt:lpstr>
      <vt:lpstr>АгентРўйхати</vt:lpstr>
      <vt:lpstr>МижозРўйхати</vt:lpstr>
      <vt:lpstr>ПоставшикРўйхати</vt:lpstr>
      <vt:lpstr>ТурРўйхати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Пользователь</cp:lastModifiedBy>
  <cp:revision/>
  <cp:lastPrinted>2026-09-03T09:39:07Z</cp:lastPrinted>
  <dcterms:created xsi:type="dcterms:W3CDTF">2026-05-10T07:06:29Z</dcterms:created>
  <dcterms:modified xsi:type="dcterms:W3CDTF">2026-09-03T12:28:07Z</dcterms:modified>
  <cp:category/>
  <cp:contentStatus/>
</cp:coreProperties>
</file>