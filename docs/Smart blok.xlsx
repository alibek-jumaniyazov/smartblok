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5d35838e02c26c5b/Рабочий стол/"/>
    </mc:Choice>
  </mc:AlternateContent>
  <xr:revisionPtr revIDLastSave="31" documentId="13_ncr:1_{EDEE1FEE-17A1-40E5-B7E2-C52CE42AEED3}" xr6:coauthVersionLast="47" xr6:coauthVersionMax="47" xr10:uidLastSave="{89E9A3C2-6034-492C-B614-4A2DB1B6B74E}"/>
  <bookViews>
    <workbookView xWindow="-28920" yWindow="-8430" windowWidth="29040" windowHeight="15720" xr2:uid="{00000000-000D-0000-FFFF-FFFF00000000}"/>
  </bookViews>
  <sheets>
    <sheet name="Лист1" sheetId="1" r:id="rId1"/>
    <sheet name="Лист2" sheetId="9" r:id="rId2"/>
    <sheet name="Сардор ога" sheetId="3" r:id="rId3"/>
    <sheet name="Темур " sheetId="4" r:id="rId4"/>
    <sheet name="Шохрух ога" sheetId="6" r:id="rId5"/>
    <sheet name="Зафар ога" sheetId="5" r:id="rId6"/>
    <sheet name="Арслон ога" sheetId="7" r:id="rId7"/>
    <sheet name="Жамол 22-22" sheetId="8" r:id="rId8"/>
  </sheets>
  <definedNames>
    <definedName name="_xlnm._FilterDatabase" localSheetId="0" hidden="1">Лист1!$A$3:$V$153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9" l="1"/>
  <c r="X28" i="9"/>
  <c r="P24" i="9"/>
  <c r="T26" i="9"/>
  <c r="T21" i="9"/>
  <c r="P21" i="9" l="1"/>
  <c r="J17" i="9" l="1"/>
  <c r="P139" i="1" l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S153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K153" i="1"/>
  <c r="J117" i="1"/>
  <c r="J118" i="1"/>
  <c r="N118" i="1" s="1"/>
  <c r="J119" i="1"/>
  <c r="J120" i="1"/>
  <c r="J121" i="1"/>
  <c r="J122" i="1"/>
  <c r="J123" i="1"/>
  <c r="J124" i="1"/>
  <c r="J125" i="1"/>
  <c r="J126" i="1"/>
  <c r="N126" i="1" s="1"/>
  <c r="J127" i="1"/>
  <c r="J128" i="1"/>
  <c r="J129" i="1"/>
  <c r="J130" i="1"/>
  <c r="J131" i="1"/>
  <c r="J132" i="1"/>
  <c r="J133" i="1"/>
  <c r="J134" i="1"/>
  <c r="N134" i="1" s="1"/>
  <c r="J135" i="1"/>
  <c r="J136" i="1"/>
  <c r="J137" i="1"/>
  <c r="J138" i="1"/>
  <c r="J139" i="1"/>
  <c r="J140" i="1"/>
  <c r="J142" i="1"/>
  <c r="N142" i="1" s="1"/>
  <c r="J143" i="1"/>
  <c r="N143" i="1" s="1"/>
  <c r="J144" i="1"/>
  <c r="J145" i="1"/>
  <c r="J146" i="1"/>
  <c r="J147" i="1"/>
  <c r="J148" i="1"/>
  <c r="T148" i="1" s="1"/>
  <c r="V148" i="1" s="1"/>
  <c r="J149" i="1"/>
  <c r="J150" i="1"/>
  <c r="N150" i="1" s="1"/>
  <c r="J151" i="1"/>
  <c r="T151" i="1" s="1"/>
  <c r="V151" i="1" s="1"/>
  <c r="J152" i="1"/>
  <c r="F74" i="3"/>
  <c r="M74" i="3"/>
  <c r="F36" i="6"/>
  <c r="M36" i="6"/>
  <c r="F38" i="6"/>
  <c r="M38" i="6"/>
  <c r="M41" i="5"/>
  <c r="M39" i="5"/>
  <c r="K41" i="5"/>
  <c r="C41" i="5"/>
  <c r="F40" i="5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4" i="1"/>
  <c r="N152" i="1" l="1"/>
  <c r="N144" i="1"/>
  <c r="N135" i="1"/>
  <c r="N127" i="1"/>
  <c r="N119" i="1"/>
  <c r="N136" i="1"/>
  <c r="N128" i="1"/>
  <c r="N120" i="1"/>
  <c r="N133" i="1"/>
  <c r="N117" i="1"/>
  <c r="N149" i="1"/>
  <c r="N139" i="1"/>
  <c r="N125" i="1"/>
  <c r="N130" i="1"/>
  <c r="N131" i="1"/>
  <c r="N123" i="1"/>
  <c r="N122" i="1"/>
  <c r="N132" i="1"/>
  <c r="N147" i="1"/>
  <c r="N146" i="1"/>
  <c r="N140" i="1"/>
  <c r="N138" i="1"/>
  <c r="N124" i="1"/>
  <c r="N137" i="1"/>
  <c r="N129" i="1"/>
  <c r="N121" i="1"/>
  <c r="N145" i="1"/>
  <c r="N148" i="1"/>
  <c r="T150" i="1"/>
  <c r="V150" i="1" s="1"/>
  <c r="T152" i="1"/>
  <c r="V152" i="1" s="1"/>
  <c r="T149" i="1"/>
  <c r="V149" i="1" s="1"/>
  <c r="N151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T117" i="1" s="1"/>
  <c r="V117" i="1" s="1"/>
  <c r="R118" i="1"/>
  <c r="T118" i="1" s="1"/>
  <c r="V118" i="1" s="1"/>
  <c r="R119" i="1"/>
  <c r="T119" i="1" s="1"/>
  <c r="V119" i="1" s="1"/>
  <c r="R120" i="1"/>
  <c r="T120" i="1" s="1"/>
  <c r="V120" i="1" s="1"/>
  <c r="R121" i="1"/>
  <c r="T121" i="1" s="1"/>
  <c r="V121" i="1" s="1"/>
  <c r="R122" i="1"/>
  <c r="T122" i="1" s="1"/>
  <c r="V122" i="1" s="1"/>
  <c r="R123" i="1"/>
  <c r="T123" i="1" s="1"/>
  <c r="V123" i="1" s="1"/>
  <c r="R124" i="1"/>
  <c r="T124" i="1" s="1"/>
  <c r="V124" i="1" s="1"/>
  <c r="R125" i="1"/>
  <c r="T125" i="1" s="1"/>
  <c r="V125" i="1" s="1"/>
  <c r="R126" i="1"/>
  <c r="T126" i="1" s="1"/>
  <c r="V126" i="1" s="1"/>
  <c r="R127" i="1"/>
  <c r="T127" i="1" s="1"/>
  <c r="V127" i="1" s="1"/>
  <c r="R128" i="1"/>
  <c r="T128" i="1" s="1"/>
  <c r="V128" i="1" s="1"/>
  <c r="R129" i="1"/>
  <c r="T129" i="1" s="1"/>
  <c r="V129" i="1" s="1"/>
  <c r="R130" i="1"/>
  <c r="T130" i="1" s="1"/>
  <c r="V130" i="1" s="1"/>
  <c r="R131" i="1"/>
  <c r="T131" i="1" s="1"/>
  <c r="V131" i="1" s="1"/>
  <c r="R132" i="1"/>
  <c r="T132" i="1" s="1"/>
  <c r="V132" i="1" s="1"/>
  <c r="R133" i="1"/>
  <c r="T133" i="1" s="1"/>
  <c r="V133" i="1" s="1"/>
  <c r="R134" i="1"/>
  <c r="T134" i="1" s="1"/>
  <c r="V134" i="1" s="1"/>
  <c r="R135" i="1"/>
  <c r="T135" i="1" s="1"/>
  <c r="V135" i="1" s="1"/>
  <c r="R136" i="1"/>
  <c r="T136" i="1" s="1"/>
  <c r="V136" i="1" s="1"/>
  <c r="R137" i="1"/>
  <c r="T137" i="1" s="1"/>
  <c r="V137" i="1" s="1"/>
  <c r="R138" i="1"/>
  <c r="T138" i="1" s="1"/>
  <c r="V138" i="1" s="1"/>
  <c r="R139" i="1"/>
  <c r="T139" i="1" s="1"/>
  <c r="V139" i="1" s="1"/>
  <c r="R140" i="1"/>
  <c r="T140" i="1" s="1"/>
  <c r="V140" i="1" s="1"/>
  <c r="R142" i="1"/>
  <c r="T142" i="1" s="1"/>
  <c r="V142" i="1" s="1"/>
  <c r="R143" i="1"/>
  <c r="T143" i="1" s="1"/>
  <c r="V143" i="1" s="1"/>
  <c r="R144" i="1"/>
  <c r="T144" i="1" s="1"/>
  <c r="V144" i="1" s="1"/>
  <c r="R145" i="1"/>
  <c r="T145" i="1" s="1"/>
  <c r="V145" i="1" s="1"/>
  <c r="R146" i="1"/>
  <c r="T146" i="1" s="1"/>
  <c r="V146" i="1" s="1"/>
  <c r="R147" i="1"/>
  <c r="T147" i="1" s="1"/>
  <c r="V147" i="1" s="1"/>
  <c r="F91" i="8"/>
  <c r="M91" i="8"/>
  <c r="F92" i="8"/>
  <c r="M92" i="8"/>
  <c r="F93" i="8"/>
  <c r="M93" i="8"/>
  <c r="F28" i="7"/>
  <c r="M28" i="7"/>
  <c r="F29" i="7"/>
  <c r="M29" i="7"/>
  <c r="F39" i="5"/>
  <c r="M35" i="5"/>
  <c r="M36" i="5"/>
  <c r="M37" i="5"/>
  <c r="M38" i="5"/>
  <c r="F38" i="5"/>
  <c r="F37" i="5"/>
  <c r="F36" i="5"/>
  <c r="F35" i="5"/>
  <c r="F16" i="6"/>
  <c r="M16" i="6"/>
  <c r="F13" i="6"/>
  <c r="M13" i="6"/>
  <c r="F14" i="6"/>
  <c r="M14" i="6"/>
  <c r="F15" i="6"/>
  <c r="M15" i="6"/>
  <c r="F74" i="4"/>
  <c r="M74" i="4"/>
  <c r="F73" i="4"/>
  <c r="M73" i="4"/>
  <c r="F57" i="4"/>
  <c r="M57" i="4"/>
  <c r="F58" i="4"/>
  <c r="M58" i="4"/>
  <c r="F59" i="4"/>
  <c r="M59" i="4"/>
  <c r="F23" i="4"/>
  <c r="M23" i="4"/>
  <c r="F24" i="4"/>
  <c r="M24" i="4"/>
  <c r="F25" i="4"/>
  <c r="M25" i="4"/>
  <c r="F20" i="4"/>
  <c r="M20" i="4"/>
  <c r="F21" i="4"/>
  <c r="M21" i="4"/>
  <c r="F22" i="4"/>
  <c r="M22" i="4"/>
  <c r="F86" i="3"/>
  <c r="M86" i="3"/>
  <c r="F73" i="3"/>
  <c r="M73" i="3"/>
  <c r="F48" i="3"/>
  <c r="M48" i="3"/>
  <c r="H141" i="1"/>
  <c r="H153" i="1" l="1"/>
  <c r="J141" i="1"/>
  <c r="N141" i="1" s="1"/>
  <c r="R141" i="1"/>
  <c r="T141" i="1" l="1"/>
  <c r="V141" i="1" s="1"/>
  <c r="L178" i="1"/>
  <c r="K88" i="4"/>
  <c r="K81" i="4" s="1"/>
  <c r="K78" i="4" s="1"/>
  <c r="C88" i="4"/>
  <c r="C81" i="4" s="1"/>
  <c r="M87" i="4"/>
  <c r="F87" i="4"/>
  <c r="M86" i="4"/>
  <c r="F86" i="4"/>
  <c r="M85" i="4"/>
  <c r="F85" i="4"/>
  <c r="M84" i="4"/>
  <c r="F84" i="4"/>
  <c r="M83" i="4"/>
  <c r="F83" i="4"/>
  <c r="J81" i="4"/>
  <c r="E81" i="4"/>
  <c r="F74" i="8"/>
  <c r="F75" i="8"/>
  <c r="F104" i="8"/>
  <c r="M104" i="8"/>
  <c r="F105" i="8"/>
  <c r="M105" i="8"/>
  <c r="F106" i="8"/>
  <c r="M106" i="8"/>
  <c r="F107" i="8"/>
  <c r="M107" i="8"/>
  <c r="M74" i="8"/>
  <c r="M63" i="8"/>
  <c r="M64" i="8"/>
  <c r="R4" i="1"/>
  <c r="R153" i="1" s="1"/>
  <c r="M88" i="4" l="1"/>
  <c r="M81" i="4" s="1"/>
  <c r="N158" i="1"/>
  <c r="K87" i="3"/>
  <c r="K81" i="3" s="1"/>
  <c r="K78" i="3" s="1"/>
  <c r="C87" i="3"/>
  <c r="C81" i="3" s="1"/>
  <c r="M85" i="3"/>
  <c r="F85" i="3"/>
  <c r="M84" i="3"/>
  <c r="F84" i="3"/>
  <c r="M83" i="3"/>
  <c r="F83" i="3"/>
  <c r="J81" i="3"/>
  <c r="E81" i="3"/>
  <c r="K75" i="3"/>
  <c r="K68" i="3" s="1"/>
  <c r="K65" i="3" s="1"/>
  <c r="C75" i="3"/>
  <c r="C68" i="3" s="1"/>
  <c r="M72" i="3"/>
  <c r="F72" i="3"/>
  <c r="M71" i="3"/>
  <c r="F71" i="3"/>
  <c r="M70" i="3"/>
  <c r="F70" i="3"/>
  <c r="J68" i="3"/>
  <c r="E68" i="3"/>
  <c r="K62" i="3"/>
  <c r="K55" i="3" s="1"/>
  <c r="K52" i="3" s="1"/>
  <c r="C62" i="3"/>
  <c r="C55" i="3" s="1"/>
  <c r="M61" i="3"/>
  <c r="F61" i="3"/>
  <c r="M60" i="3"/>
  <c r="F60" i="3"/>
  <c r="M59" i="3"/>
  <c r="F59" i="3"/>
  <c r="M58" i="3"/>
  <c r="F58" i="3"/>
  <c r="M57" i="3"/>
  <c r="F57" i="3"/>
  <c r="J55" i="3"/>
  <c r="E55" i="3"/>
  <c r="K49" i="3"/>
  <c r="K40" i="3" s="1"/>
  <c r="C49" i="3"/>
  <c r="C43" i="3" s="1"/>
  <c r="M47" i="3"/>
  <c r="F47" i="3"/>
  <c r="M46" i="3"/>
  <c r="F46" i="3"/>
  <c r="M45" i="3"/>
  <c r="F45" i="3"/>
  <c r="K43" i="3"/>
  <c r="J43" i="3"/>
  <c r="E43" i="3"/>
  <c r="K37" i="3"/>
  <c r="K29" i="3" s="1"/>
  <c r="C37" i="3"/>
  <c r="C32" i="3" s="1"/>
  <c r="M36" i="3"/>
  <c r="F36" i="3"/>
  <c r="M35" i="3"/>
  <c r="F35" i="3"/>
  <c r="M34" i="3"/>
  <c r="F34" i="3"/>
  <c r="J32" i="3"/>
  <c r="E32" i="3"/>
  <c r="K26" i="3"/>
  <c r="K18" i="3" s="1"/>
  <c r="K15" i="3" s="1"/>
  <c r="C26" i="3"/>
  <c r="C18" i="3" s="1"/>
  <c r="M25" i="3"/>
  <c r="F25" i="3"/>
  <c r="M24" i="3"/>
  <c r="F24" i="3"/>
  <c r="M23" i="3"/>
  <c r="F23" i="3"/>
  <c r="M22" i="3"/>
  <c r="F22" i="3"/>
  <c r="M21" i="3"/>
  <c r="F21" i="3"/>
  <c r="M20" i="3"/>
  <c r="F20" i="3"/>
  <c r="J18" i="3"/>
  <c r="E18" i="3"/>
  <c r="K12" i="3"/>
  <c r="K5" i="3" s="1"/>
  <c r="C12" i="3"/>
  <c r="C5" i="3" s="1"/>
  <c r="M11" i="3"/>
  <c r="F11" i="3"/>
  <c r="M10" i="3"/>
  <c r="F10" i="3"/>
  <c r="M9" i="3"/>
  <c r="F9" i="3"/>
  <c r="M8" i="3"/>
  <c r="F8" i="3"/>
  <c r="M7" i="3"/>
  <c r="F7" i="3"/>
  <c r="J5" i="3"/>
  <c r="E5" i="3"/>
  <c r="K75" i="4"/>
  <c r="K66" i="4" s="1"/>
  <c r="K63" i="4" s="1"/>
  <c r="C75" i="4"/>
  <c r="C66" i="4" s="1"/>
  <c r="M72" i="4"/>
  <c r="F72" i="4"/>
  <c r="M71" i="4"/>
  <c r="F71" i="4"/>
  <c r="M70" i="4"/>
  <c r="F70" i="4"/>
  <c r="M69" i="4"/>
  <c r="F69" i="4"/>
  <c r="M68" i="4"/>
  <c r="F68" i="4"/>
  <c r="J66" i="4"/>
  <c r="E66" i="4"/>
  <c r="K60" i="4"/>
  <c r="K46" i="4" s="1"/>
  <c r="C60" i="4"/>
  <c r="C46" i="4" s="1"/>
  <c r="M56" i="4"/>
  <c r="F56" i="4"/>
  <c r="M55" i="4"/>
  <c r="F55" i="4"/>
  <c r="M54" i="4"/>
  <c r="F54" i="4"/>
  <c r="M53" i="4"/>
  <c r="F53" i="4"/>
  <c r="M52" i="4"/>
  <c r="F52" i="4"/>
  <c r="M51" i="4"/>
  <c r="F51" i="4"/>
  <c r="M50" i="4"/>
  <c r="F50" i="4"/>
  <c r="M49" i="4"/>
  <c r="F49" i="4"/>
  <c r="M48" i="4"/>
  <c r="F48" i="4"/>
  <c r="J46" i="4"/>
  <c r="E46" i="4"/>
  <c r="K40" i="4"/>
  <c r="K32" i="4" s="1"/>
  <c r="K29" i="4" s="1"/>
  <c r="C40" i="4"/>
  <c r="C32" i="4" s="1"/>
  <c r="M39" i="4"/>
  <c r="F39" i="4"/>
  <c r="M38" i="4"/>
  <c r="F38" i="4"/>
  <c r="M37" i="4"/>
  <c r="F37" i="4"/>
  <c r="M36" i="4"/>
  <c r="F36" i="4"/>
  <c r="M35" i="4"/>
  <c r="F35" i="4"/>
  <c r="M34" i="4"/>
  <c r="F34" i="4"/>
  <c r="J32" i="4"/>
  <c r="E32" i="4"/>
  <c r="K26" i="4"/>
  <c r="K5" i="4" s="1"/>
  <c r="K2" i="4" s="1"/>
  <c r="C26" i="4"/>
  <c r="C5" i="4" s="1"/>
  <c r="M19" i="4"/>
  <c r="F19" i="4"/>
  <c r="M18" i="4"/>
  <c r="F18" i="4"/>
  <c r="M17" i="4"/>
  <c r="F17" i="4"/>
  <c r="M16" i="4"/>
  <c r="F16" i="4"/>
  <c r="M15" i="4"/>
  <c r="F15" i="4"/>
  <c r="M14" i="4"/>
  <c r="F14" i="4"/>
  <c r="M13" i="4"/>
  <c r="F13" i="4"/>
  <c r="M12" i="4"/>
  <c r="F12" i="4"/>
  <c r="M11" i="4"/>
  <c r="F11" i="4"/>
  <c r="M10" i="4"/>
  <c r="F10" i="4"/>
  <c r="M9" i="4"/>
  <c r="F9" i="4"/>
  <c r="M8" i="4"/>
  <c r="F8" i="4"/>
  <c r="M7" i="4"/>
  <c r="F7" i="4"/>
  <c r="J5" i="4"/>
  <c r="E5" i="4"/>
  <c r="K62" i="6"/>
  <c r="C62" i="6"/>
  <c r="C57" i="6" s="1"/>
  <c r="M61" i="6"/>
  <c r="F61" i="6"/>
  <c r="M60" i="6"/>
  <c r="F60" i="6"/>
  <c r="M59" i="6"/>
  <c r="F59" i="6"/>
  <c r="J57" i="6"/>
  <c r="E57" i="6"/>
  <c r="K51" i="6"/>
  <c r="C51" i="6"/>
  <c r="C45" i="6" s="1"/>
  <c r="M50" i="6"/>
  <c r="F50" i="6"/>
  <c r="M49" i="6"/>
  <c r="F49" i="6"/>
  <c r="M48" i="6"/>
  <c r="F48" i="6"/>
  <c r="M47" i="6"/>
  <c r="F47" i="6"/>
  <c r="J45" i="6"/>
  <c r="E45" i="6"/>
  <c r="K39" i="6"/>
  <c r="C39" i="6"/>
  <c r="C33" i="6" s="1"/>
  <c r="M37" i="6"/>
  <c r="F37" i="6"/>
  <c r="M35" i="6"/>
  <c r="F35" i="6"/>
  <c r="J33" i="6"/>
  <c r="E33" i="6"/>
  <c r="F8" i="6"/>
  <c r="M8" i="6"/>
  <c r="F9" i="6"/>
  <c r="M9" i="6"/>
  <c r="F10" i="6"/>
  <c r="M10" i="6"/>
  <c r="F11" i="6"/>
  <c r="M11" i="6"/>
  <c r="F12" i="6"/>
  <c r="M12" i="6"/>
  <c r="K27" i="6"/>
  <c r="K23" i="6" s="1"/>
  <c r="K20" i="6" s="1"/>
  <c r="C27" i="6"/>
  <c r="C23" i="6" s="1"/>
  <c r="M26" i="6"/>
  <c r="F26" i="6"/>
  <c r="M25" i="6"/>
  <c r="F25" i="6"/>
  <c r="E23" i="6"/>
  <c r="K17" i="6"/>
  <c r="K5" i="6" s="1"/>
  <c r="K2" i="6" s="1"/>
  <c r="C17" i="6"/>
  <c r="C5" i="6" s="1"/>
  <c r="M7" i="6"/>
  <c r="F7" i="6"/>
  <c r="J5" i="6"/>
  <c r="E5" i="6"/>
  <c r="K66" i="5"/>
  <c r="K61" i="5" s="1"/>
  <c r="K58" i="5" s="1"/>
  <c r="C66" i="5"/>
  <c r="C61" i="5" s="1"/>
  <c r="M65" i="5"/>
  <c r="F65" i="5"/>
  <c r="M64" i="5"/>
  <c r="F64" i="5"/>
  <c r="M63" i="5"/>
  <c r="F63" i="5"/>
  <c r="J61" i="5"/>
  <c r="E61" i="5"/>
  <c r="K55" i="5"/>
  <c r="K47" i="5" s="1"/>
  <c r="K44" i="5" s="1"/>
  <c r="C55" i="5"/>
  <c r="C47" i="5" s="1"/>
  <c r="M54" i="5"/>
  <c r="F54" i="5"/>
  <c r="M53" i="5"/>
  <c r="F53" i="5"/>
  <c r="M52" i="5"/>
  <c r="F52" i="5"/>
  <c r="M51" i="5"/>
  <c r="F51" i="5"/>
  <c r="M50" i="5"/>
  <c r="F50" i="5"/>
  <c r="M49" i="5"/>
  <c r="F49" i="5"/>
  <c r="E47" i="5"/>
  <c r="C15" i="5"/>
  <c r="K15" i="5"/>
  <c r="E15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16" i="5"/>
  <c r="M20" i="5"/>
  <c r="M19" i="5"/>
  <c r="M18" i="5"/>
  <c r="M17" i="5"/>
  <c r="M16" i="5"/>
  <c r="K9" i="5"/>
  <c r="K5" i="5" s="1"/>
  <c r="K2" i="5" s="1"/>
  <c r="C9" i="5"/>
  <c r="C5" i="5" s="1"/>
  <c r="M8" i="5"/>
  <c r="F8" i="5"/>
  <c r="M7" i="5"/>
  <c r="F7" i="5"/>
  <c r="E5" i="5"/>
  <c r="K41" i="7"/>
  <c r="C41" i="7"/>
  <c r="C36" i="7" s="1"/>
  <c r="M40" i="7"/>
  <c r="F40" i="7"/>
  <c r="M39" i="7"/>
  <c r="F39" i="7"/>
  <c r="M38" i="7"/>
  <c r="M41" i="7" s="1"/>
  <c r="F38" i="7"/>
  <c r="K36" i="7"/>
  <c r="K33" i="7" s="1"/>
  <c r="J36" i="7"/>
  <c r="E36" i="7"/>
  <c r="K30" i="7"/>
  <c r="K20" i="7" s="1"/>
  <c r="K17" i="7" s="1"/>
  <c r="C30" i="7"/>
  <c r="C20" i="7" s="1"/>
  <c r="M27" i="7"/>
  <c r="F27" i="7"/>
  <c r="M26" i="7"/>
  <c r="F26" i="7"/>
  <c r="M25" i="7"/>
  <c r="F25" i="7"/>
  <c r="M24" i="7"/>
  <c r="F24" i="7"/>
  <c r="M23" i="7"/>
  <c r="F23" i="7"/>
  <c r="M22" i="7"/>
  <c r="F22" i="7"/>
  <c r="E20" i="7"/>
  <c r="F9" i="7"/>
  <c r="M9" i="7"/>
  <c r="F10" i="7"/>
  <c r="M10" i="7"/>
  <c r="F11" i="7"/>
  <c r="M11" i="7"/>
  <c r="F12" i="7"/>
  <c r="M12" i="7"/>
  <c r="F13" i="7"/>
  <c r="M13" i="7"/>
  <c r="K14" i="7"/>
  <c r="K5" i="7" s="1"/>
  <c r="C14" i="7"/>
  <c r="C5" i="7" s="1"/>
  <c r="M8" i="7"/>
  <c r="F8" i="7"/>
  <c r="M7" i="7"/>
  <c r="F7" i="7"/>
  <c r="E5" i="7"/>
  <c r="K108" i="8"/>
  <c r="K97" i="8" s="1"/>
  <c r="C108" i="8"/>
  <c r="C100" i="8" s="1"/>
  <c r="M103" i="8"/>
  <c r="F103" i="8"/>
  <c r="M102" i="8"/>
  <c r="F102" i="8"/>
  <c r="J100" i="8"/>
  <c r="E100" i="8"/>
  <c r="K94" i="8"/>
  <c r="C94" i="8"/>
  <c r="C82" i="8" s="1"/>
  <c r="M90" i="8"/>
  <c r="F90" i="8"/>
  <c r="M89" i="8"/>
  <c r="F89" i="8"/>
  <c r="M88" i="8"/>
  <c r="F88" i="8"/>
  <c r="M87" i="8"/>
  <c r="F87" i="8"/>
  <c r="M86" i="8"/>
  <c r="F86" i="8"/>
  <c r="M85" i="8"/>
  <c r="F85" i="8"/>
  <c r="M84" i="8"/>
  <c r="F84" i="8"/>
  <c r="J82" i="8"/>
  <c r="E82" i="8"/>
  <c r="K76" i="8"/>
  <c r="C76" i="8"/>
  <c r="C71" i="8" s="1"/>
  <c r="M75" i="8"/>
  <c r="M73" i="8"/>
  <c r="F73" i="8"/>
  <c r="E71" i="8"/>
  <c r="M61" i="8"/>
  <c r="M55" i="8"/>
  <c r="M56" i="8"/>
  <c r="M57" i="8"/>
  <c r="M58" i="8"/>
  <c r="M59" i="8"/>
  <c r="M60" i="8"/>
  <c r="M62" i="8"/>
  <c r="F35" i="8"/>
  <c r="M35" i="8"/>
  <c r="F22" i="8"/>
  <c r="M22" i="8"/>
  <c r="F23" i="8"/>
  <c r="M23" i="8"/>
  <c r="F24" i="8"/>
  <c r="M24" i="8"/>
  <c r="F25" i="8"/>
  <c r="M25" i="8"/>
  <c r="F9" i="8"/>
  <c r="M9" i="8"/>
  <c r="F10" i="8"/>
  <c r="M10" i="8"/>
  <c r="K65" i="8"/>
  <c r="K53" i="8" s="1"/>
  <c r="K50" i="8" s="1"/>
  <c r="C65" i="8"/>
  <c r="E53" i="8"/>
  <c r="K47" i="8"/>
  <c r="K42" i="8" s="1"/>
  <c r="K39" i="8" s="1"/>
  <c r="C47" i="8"/>
  <c r="C42" i="8" s="1"/>
  <c r="M46" i="8"/>
  <c r="F46" i="8"/>
  <c r="M45" i="8"/>
  <c r="F45" i="8"/>
  <c r="M44" i="8"/>
  <c r="F44" i="8"/>
  <c r="E42" i="8"/>
  <c r="K36" i="8"/>
  <c r="K32" i="8" s="1"/>
  <c r="K29" i="8" s="1"/>
  <c r="C36" i="8"/>
  <c r="C32" i="8" s="1"/>
  <c r="M34" i="8"/>
  <c r="F34" i="8"/>
  <c r="E32" i="8"/>
  <c r="K26" i="8"/>
  <c r="K17" i="8" s="1"/>
  <c r="K14" i="8" s="1"/>
  <c r="C26" i="8"/>
  <c r="C17" i="8" s="1"/>
  <c r="M21" i="8"/>
  <c r="F21" i="8"/>
  <c r="M20" i="8"/>
  <c r="F20" i="8"/>
  <c r="M19" i="8"/>
  <c r="F19" i="8"/>
  <c r="E17" i="8"/>
  <c r="K11" i="8"/>
  <c r="K5" i="8" s="1"/>
  <c r="K2" i="8" s="1"/>
  <c r="C11" i="8"/>
  <c r="C5" i="8" s="1"/>
  <c r="M8" i="8"/>
  <c r="F8" i="8"/>
  <c r="M7" i="8"/>
  <c r="F7" i="8"/>
  <c r="E5" i="8"/>
  <c r="K43" i="4" l="1"/>
  <c r="G161" i="1"/>
  <c r="K32" i="3"/>
  <c r="M62" i="6"/>
  <c r="M30" i="7"/>
  <c r="F17" i="7" s="1"/>
  <c r="G160" i="1"/>
  <c r="E160" i="1"/>
  <c r="E158" i="1"/>
  <c r="G158" i="1"/>
  <c r="M55" i="5"/>
  <c r="M47" i="5" s="1"/>
  <c r="M66" i="5"/>
  <c r="F58" i="5" s="1"/>
  <c r="M39" i="6"/>
  <c r="M33" i="6" s="1"/>
  <c r="M51" i="6"/>
  <c r="M45" i="6" s="1"/>
  <c r="E159" i="1"/>
  <c r="K33" i="6"/>
  <c r="K30" i="6"/>
  <c r="K45" i="6"/>
  <c r="K42" i="6"/>
  <c r="K57" i="6"/>
  <c r="G159" i="1" s="1"/>
  <c r="K54" i="6"/>
  <c r="M40" i="4"/>
  <c r="F29" i="4" s="1"/>
  <c r="M60" i="4"/>
  <c r="F43" i="4" s="1"/>
  <c r="M75" i="4"/>
  <c r="M66" i="4" s="1"/>
  <c r="F78" i="4"/>
  <c r="E161" i="1"/>
  <c r="M26" i="4"/>
  <c r="F2" i="4" s="1"/>
  <c r="M49" i="3"/>
  <c r="M43" i="3" s="1"/>
  <c r="M87" i="3"/>
  <c r="M81" i="3" s="1"/>
  <c r="M37" i="3"/>
  <c r="M32" i="3" s="1"/>
  <c r="M62" i="3"/>
  <c r="F52" i="3" s="1"/>
  <c r="M75" i="3"/>
  <c r="M68" i="3" s="1"/>
  <c r="M12" i="3"/>
  <c r="M5" i="3" s="1"/>
  <c r="E162" i="1"/>
  <c r="M26" i="3"/>
  <c r="M18" i="3" s="1"/>
  <c r="M36" i="8"/>
  <c r="F29" i="8" s="1"/>
  <c r="M76" i="8"/>
  <c r="F68" i="8" s="1"/>
  <c r="M108" i="8"/>
  <c r="M100" i="8" s="1"/>
  <c r="K71" i="8"/>
  <c r="K68" i="8"/>
  <c r="M94" i="8"/>
  <c r="M82" i="8" s="1"/>
  <c r="K82" i="8"/>
  <c r="K79" i="8"/>
  <c r="K100" i="8"/>
  <c r="M65" i="8"/>
  <c r="M53" i="8" s="1"/>
  <c r="K2" i="3"/>
  <c r="G162" i="1" s="1"/>
  <c r="F40" i="3"/>
  <c r="M32" i="4"/>
  <c r="M57" i="6"/>
  <c r="F54" i="6"/>
  <c r="M17" i="6"/>
  <c r="M5" i="6" s="1"/>
  <c r="M27" i="6"/>
  <c r="M23" i="6" s="1"/>
  <c r="M9" i="5"/>
  <c r="M5" i="5" s="1"/>
  <c r="K12" i="5"/>
  <c r="M36" i="7"/>
  <c r="F33" i="7"/>
  <c r="M14" i="7"/>
  <c r="M5" i="7" s="1"/>
  <c r="K2" i="7"/>
  <c r="M11" i="8"/>
  <c r="M5" i="8" s="1"/>
  <c r="M47" i="8"/>
  <c r="F39" i="8" s="1"/>
  <c r="M26" i="8"/>
  <c r="M17" i="8" s="1"/>
  <c r="C53" i="8"/>
  <c r="E157" i="1" s="1"/>
  <c r="M55" i="3" l="1"/>
  <c r="F29" i="3"/>
  <c r="F30" i="6"/>
  <c r="D159" i="1"/>
  <c r="F159" i="1" s="1"/>
  <c r="M20" i="7"/>
  <c r="D160" i="1"/>
  <c r="F160" i="1" s="1"/>
  <c r="F44" i="5"/>
  <c r="M61" i="5"/>
  <c r="F42" i="6"/>
  <c r="M46" i="4"/>
  <c r="F63" i="4"/>
  <c r="M5" i="4"/>
  <c r="F78" i="3"/>
  <c r="F2" i="3"/>
  <c r="F65" i="3"/>
  <c r="D162" i="1"/>
  <c r="F162" i="1" s="1"/>
  <c r="E163" i="1"/>
  <c r="F15" i="3"/>
  <c r="M32" i="8"/>
  <c r="G157" i="1"/>
  <c r="G163" i="1" s="1"/>
  <c r="F97" i="8"/>
  <c r="M71" i="8"/>
  <c r="F79" i="8"/>
  <c r="F50" i="8"/>
  <c r="F2" i="6"/>
  <c r="F20" i="6"/>
  <c r="M15" i="5"/>
  <c r="F2" i="5"/>
  <c r="F2" i="7"/>
  <c r="F2" i="8"/>
  <c r="M42" i="8"/>
  <c r="F14" i="8"/>
  <c r="D158" i="1" l="1"/>
  <c r="F158" i="1" s="1"/>
  <c r="F12" i="5"/>
  <c r="D161" i="1"/>
  <c r="F161" i="1" s="1"/>
  <c r="D157" i="1"/>
  <c r="F157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5" i="1" s="1"/>
  <c r="A66" i="1" s="1"/>
  <c r="A67" i="1" s="1"/>
  <c r="A64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J5" i="1"/>
  <c r="J6" i="1"/>
  <c r="N6" i="1" s="1"/>
  <c r="J7" i="1"/>
  <c r="N7" i="1" s="1"/>
  <c r="J8" i="1"/>
  <c r="N8" i="1" s="1"/>
  <c r="J9" i="1"/>
  <c r="N9" i="1" s="1"/>
  <c r="J10" i="1"/>
  <c r="N10" i="1" s="1"/>
  <c r="J11" i="1"/>
  <c r="N11" i="1" s="1"/>
  <c r="J12" i="1"/>
  <c r="J13" i="1"/>
  <c r="J14" i="1"/>
  <c r="N14" i="1" s="1"/>
  <c r="J15" i="1"/>
  <c r="N15" i="1" s="1"/>
  <c r="J16" i="1"/>
  <c r="N16" i="1" s="1"/>
  <c r="J17" i="1"/>
  <c r="N17" i="1" s="1"/>
  <c r="J18" i="1"/>
  <c r="N18" i="1" s="1"/>
  <c r="J19" i="1"/>
  <c r="N19" i="1" s="1"/>
  <c r="J20" i="1"/>
  <c r="N20" i="1" s="1"/>
  <c r="J21" i="1"/>
  <c r="N21" i="1" s="1"/>
  <c r="J22" i="1"/>
  <c r="J23" i="1"/>
  <c r="N23" i="1" s="1"/>
  <c r="J24" i="1"/>
  <c r="N24" i="1" s="1"/>
  <c r="J25" i="1"/>
  <c r="N25" i="1" s="1"/>
  <c r="J26" i="1"/>
  <c r="J27" i="1"/>
  <c r="N27" i="1" s="1"/>
  <c r="J28" i="1"/>
  <c r="J29" i="1"/>
  <c r="N29" i="1" s="1"/>
  <c r="J30" i="1"/>
  <c r="N30" i="1" s="1"/>
  <c r="J31" i="1"/>
  <c r="N31" i="1" s="1"/>
  <c r="J32" i="1"/>
  <c r="N32" i="1" s="1"/>
  <c r="J33" i="1"/>
  <c r="N33" i="1" s="1"/>
  <c r="J34" i="1"/>
  <c r="N34" i="1" s="1"/>
  <c r="J35" i="1"/>
  <c r="J36" i="1"/>
  <c r="N36" i="1" s="1"/>
  <c r="J37" i="1"/>
  <c r="J38" i="1"/>
  <c r="N38" i="1" s="1"/>
  <c r="J39" i="1"/>
  <c r="N39" i="1" s="1"/>
  <c r="J40" i="1"/>
  <c r="J41" i="1"/>
  <c r="N41" i="1" s="1"/>
  <c r="J42" i="1"/>
  <c r="N42" i="1" s="1"/>
  <c r="J43" i="1"/>
  <c r="N43" i="1" s="1"/>
  <c r="J44" i="1"/>
  <c r="J45" i="1"/>
  <c r="N45" i="1" s="1"/>
  <c r="J46" i="1"/>
  <c r="N46" i="1" s="1"/>
  <c r="J47" i="1"/>
  <c r="J48" i="1"/>
  <c r="N48" i="1" s="1"/>
  <c r="J49" i="1"/>
  <c r="N49" i="1" s="1"/>
  <c r="J50" i="1"/>
  <c r="N50" i="1" s="1"/>
  <c r="J51" i="1"/>
  <c r="N51" i="1" s="1"/>
  <c r="J52" i="1"/>
  <c r="N52" i="1" s="1"/>
  <c r="J53" i="1"/>
  <c r="N53" i="1" s="1"/>
  <c r="J54" i="1"/>
  <c r="J55" i="1"/>
  <c r="N55" i="1" s="1"/>
  <c r="J56" i="1"/>
  <c r="N56" i="1" s="1"/>
  <c r="J57" i="1"/>
  <c r="N57" i="1" s="1"/>
  <c r="J58" i="1"/>
  <c r="N58" i="1" s="1"/>
  <c r="J59" i="1"/>
  <c r="N59" i="1" s="1"/>
  <c r="J60" i="1"/>
  <c r="N60" i="1" s="1"/>
  <c r="J61" i="1"/>
  <c r="N61" i="1" s="1"/>
  <c r="J62" i="1"/>
  <c r="N62" i="1" s="1"/>
  <c r="J63" i="1"/>
  <c r="N63" i="1" s="1"/>
  <c r="J64" i="1"/>
  <c r="N64" i="1" s="1"/>
  <c r="J65" i="1"/>
  <c r="J66" i="1"/>
  <c r="N66" i="1" s="1"/>
  <c r="J67" i="1"/>
  <c r="N67" i="1" s="1"/>
  <c r="J68" i="1"/>
  <c r="N68" i="1" s="1"/>
  <c r="J69" i="1"/>
  <c r="N69" i="1" s="1"/>
  <c r="J70" i="1"/>
  <c r="N70" i="1" s="1"/>
  <c r="J71" i="1"/>
  <c r="N71" i="1" s="1"/>
  <c r="J72" i="1"/>
  <c r="N72" i="1" s="1"/>
  <c r="J73" i="1"/>
  <c r="N73" i="1" s="1"/>
  <c r="J74" i="1"/>
  <c r="N74" i="1" s="1"/>
  <c r="J75" i="1"/>
  <c r="N75" i="1" s="1"/>
  <c r="J76" i="1"/>
  <c r="N76" i="1" s="1"/>
  <c r="J77" i="1"/>
  <c r="N77" i="1" s="1"/>
  <c r="J78" i="1"/>
  <c r="N78" i="1" s="1"/>
  <c r="J79" i="1"/>
  <c r="N79" i="1" s="1"/>
  <c r="J80" i="1"/>
  <c r="N80" i="1" s="1"/>
  <c r="J81" i="1"/>
  <c r="N81" i="1" s="1"/>
  <c r="J82" i="1"/>
  <c r="N82" i="1" s="1"/>
  <c r="J83" i="1"/>
  <c r="J84" i="1"/>
  <c r="N84" i="1" s="1"/>
  <c r="J85" i="1"/>
  <c r="J86" i="1"/>
  <c r="J87" i="1"/>
  <c r="N87" i="1" s="1"/>
  <c r="J88" i="1"/>
  <c r="N88" i="1" s="1"/>
  <c r="J89" i="1"/>
  <c r="N89" i="1" s="1"/>
  <c r="J90" i="1"/>
  <c r="N90" i="1" s="1"/>
  <c r="J91" i="1"/>
  <c r="N91" i="1" s="1"/>
  <c r="J92" i="1"/>
  <c r="N92" i="1" s="1"/>
  <c r="J93" i="1"/>
  <c r="N93" i="1" s="1"/>
  <c r="J94" i="1"/>
  <c r="N94" i="1" s="1"/>
  <c r="J95" i="1"/>
  <c r="N95" i="1" s="1"/>
  <c r="J96" i="1"/>
  <c r="N96" i="1" s="1"/>
  <c r="J97" i="1"/>
  <c r="N97" i="1" s="1"/>
  <c r="J98" i="1"/>
  <c r="N98" i="1" s="1"/>
  <c r="J99" i="1"/>
  <c r="N99" i="1" s="1"/>
  <c r="J100" i="1"/>
  <c r="N100" i="1" s="1"/>
  <c r="J101" i="1"/>
  <c r="N101" i="1" s="1"/>
  <c r="J102" i="1"/>
  <c r="N102" i="1" s="1"/>
  <c r="J103" i="1"/>
  <c r="J104" i="1"/>
  <c r="J105" i="1"/>
  <c r="N105" i="1" s="1"/>
  <c r="J106" i="1"/>
  <c r="J107" i="1"/>
  <c r="N107" i="1" s="1"/>
  <c r="J108" i="1"/>
  <c r="N108" i="1" s="1"/>
  <c r="J109" i="1"/>
  <c r="N109" i="1" s="1"/>
  <c r="J110" i="1"/>
  <c r="N110" i="1" s="1"/>
  <c r="J111" i="1"/>
  <c r="N111" i="1" s="1"/>
  <c r="J112" i="1"/>
  <c r="N112" i="1" s="1"/>
  <c r="J113" i="1"/>
  <c r="N113" i="1" s="1"/>
  <c r="J114" i="1"/>
  <c r="N114" i="1" s="1"/>
  <c r="J115" i="1"/>
  <c r="J116" i="1"/>
  <c r="M4" i="1"/>
  <c r="J4" i="1"/>
  <c r="N13" i="1" l="1"/>
  <c r="J153" i="1"/>
  <c r="M158" i="1" s="1"/>
  <c r="M159" i="1" s="1"/>
  <c r="M153" i="1"/>
  <c r="N47" i="1"/>
  <c r="N83" i="1"/>
  <c r="F163" i="1"/>
  <c r="N26" i="1"/>
  <c r="N86" i="1"/>
  <c r="N104" i="1"/>
  <c r="N85" i="1"/>
  <c r="N5" i="1"/>
  <c r="N35" i="1"/>
  <c r="N22" i="1"/>
  <c r="N12" i="1"/>
  <c r="D163" i="1"/>
  <c r="N28" i="1"/>
  <c r="N44" i="1"/>
  <c r="N115" i="1"/>
  <c r="N103" i="1"/>
  <c r="N65" i="1"/>
  <c r="N40" i="1"/>
  <c r="N106" i="1"/>
  <c r="N37" i="1"/>
  <c r="N116" i="1"/>
  <c r="T18" i="1"/>
  <c r="V18" i="1" s="1"/>
  <c r="T34" i="1"/>
  <c r="V34" i="1" s="1"/>
  <c r="T26" i="1"/>
  <c r="V26" i="1" s="1"/>
  <c r="T98" i="1"/>
  <c r="V98" i="1" s="1"/>
  <c r="T82" i="1"/>
  <c r="V82" i="1" s="1"/>
  <c r="T74" i="1"/>
  <c r="V74" i="1" s="1"/>
  <c r="T32" i="1"/>
  <c r="V32" i="1" s="1"/>
  <c r="T103" i="1"/>
  <c r="V103" i="1" s="1"/>
  <c r="T63" i="1"/>
  <c r="V63" i="1" s="1"/>
  <c r="T31" i="1"/>
  <c r="V31" i="1" s="1"/>
  <c r="T102" i="1"/>
  <c r="V102" i="1" s="1"/>
  <c r="T62" i="1"/>
  <c r="V62" i="1" s="1"/>
  <c r="T14" i="1"/>
  <c r="V14" i="1" s="1"/>
  <c r="T109" i="1"/>
  <c r="V109" i="1" s="1"/>
  <c r="T101" i="1"/>
  <c r="V101" i="1" s="1"/>
  <c r="T93" i="1"/>
  <c r="V93" i="1" s="1"/>
  <c r="T85" i="1"/>
  <c r="V85" i="1" s="1"/>
  <c r="T77" i="1"/>
  <c r="V77" i="1" s="1"/>
  <c r="T69" i="1"/>
  <c r="V69" i="1" s="1"/>
  <c r="T61" i="1"/>
  <c r="V61" i="1" s="1"/>
  <c r="T53" i="1"/>
  <c r="V53" i="1" s="1"/>
  <c r="T45" i="1"/>
  <c r="V45" i="1" s="1"/>
  <c r="T37" i="1"/>
  <c r="V37" i="1" s="1"/>
  <c r="T29" i="1"/>
  <c r="V29" i="1" s="1"/>
  <c r="T21" i="1"/>
  <c r="V21" i="1" s="1"/>
  <c r="T13" i="1"/>
  <c r="V13" i="1" s="1"/>
  <c r="T5" i="1"/>
  <c r="V5" i="1" s="1"/>
  <c r="T95" i="1"/>
  <c r="V95" i="1" s="1"/>
  <c r="T55" i="1"/>
  <c r="V55" i="1" s="1"/>
  <c r="T23" i="1"/>
  <c r="V23" i="1" s="1"/>
  <c r="T78" i="1"/>
  <c r="V78" i="1" s="1"/>
  <c r="T22" i="1"/>
  <c r="V22" i="1" s="1"/>
  <c r="T116" i="1"/>
  <c r="V116" i="1" s="1"/>
  <c r="T108" i="1"/>
  <c r="V108" i="1" s="1"/>
  <c r="T100" i="1"/>
  <c r="V100" i="1" s="1"/>
  <c r="T92" i="1"/>
  <c r="V92" i="1" s="1"/>
  <c r="T84" i="1"/>
  <c r="V84" i="1" s="1"/>
  <c r="T76" i="1"/>
  <c r="V76" i="1" s="1"/>
  <c r="T68" i="1"/>
  <c r="V68" i="1" s="1"/>
  <c r="T60" i="1"/>
  <c r="V60" i="1" s="1"/>
  <c r="T52" i="1"/>
  <c r="V52" i="1" s="1"/>
  <c r="T44" i="1"/>
  <c r="V44" i="1" s="1"/>
  <c r="T36" i="1"/>
  <c r="V36" i="1" s="1"/>
  <c r="T28" i="1"/>
  <c r="V28" i="1" s="1"/>
  <c r="T20" i="1"/>
  <c r="V20" i="1" s="1"/>
  <c r="T12" i="1"/>
  <c r="V12" i="1" s="1"/>
  <c r="T112" i="1"/>
  <c r="V112" i="1" s="1"/>
  <c r="T104" i="1"/>
  <c r="V104" i="1" s="1"/>
  <c r="T96" i="1"/>
  <c r="V96" i="1" s="1"/>
  <c r="T88" i="1"/>
  <c r="V88" i="1" s="1"/>
  <c r="T80" i="1"/>
  <c r="V80" i="1" s="1"/>
  <c r="T72" i="1"/>
  <c r="V72" i="1" s="1"/>
  <c r="T64" i="1"/>
  <c r="V64" i="1" s="1"/>
  <c r="T56" i="1"/>
  <c r="V56" i="1" s="1"/>
  <c r="T48" i="1"/>
  <c r="V48" i="1" s="1"/>
  <c r="T40" i="1"/>
  <c r="V40" i="1" s="1"/>
  <c r="T94" i="1"/>
  <c r="V94" i="1" s="1"/>
  <c r="T54" i="1"/>
  <c r="V54" i="1" s="1"/>
  <c r="T46" i="1"/>
  <c r="V46" i="1" s="1"/>
  <c r="T6" i="1"/>
  <c r="V6" i="1" s="1"/>
  <c r="T115" i="1"/>
  <c r="V115" i="1" s="1"/>
  <c r="T107" i="1"/>
  <c r="V107" i="1" s="1"/>
  <c r="T99" i="1"/>
  <c r="V99" i="1" s="1"/>
  <c r="T91" i="1"/>
  <c r="V91" i="1" s="1"/>
  <c r="T83" i="1"/>
  <c r="V83" i="1" s="1"/>
  <c r="T75" i="1"/>
  <c r="V75" i="1" s="1"/>
  <c r="T67" i="1"/>
  <c r="V67" i="1" s="1"/>
  <c r="T59" i="1"/>
  <c r="V59" i="1" s="1"/>
  <c r="T51" i="1"/>
  <c r="V51" i="1" s="1"/>
  <c r="T43" i="1"/>
  <c r="V43" i="1" s="1"/>
  <c r="T35" i="1"/>
  <c r="V35" i="1" s="1"/>
  <c r="T27" i="1"/>
  <c r="V27" i="1" s="1"/>
  <c r="T19" i="1"/>
  <c r="V19" i="1" s="1"/>
  <c r="T11" i="1"/>
  <c r="V11" i="1" s="1"/>
  <c r="T90" i="1"/>
  <c r="V90" i="1" s="1"/>
  <c r="T24" i="1"/>
  <c r="V24" i="1" s="1"/>
  <c r="T16" i="1"/>
  <c r="V16" i="1" s="1"/>
  <c r="T8" i="1"/>
  <c r="V8" i="1" s="1"/>
  <c r="T111" i="1"/>
  <c r="V111" i="1" s="1"/>
  <c r="T71" i="1"/>
  <c r="V71" i="1" s="1"/>
  <c r="T39" i="1"/>
  <c r="V39" i="1" s="1"/>
  <c r="T7" i="1"/>
  <c r="V7" i="1" s="1"/>
  <c r="N54" i="1"/>
  <c r="T110" i="1"/>
  <c r="V110" i="1" s="1"/>
  <c r="T70" i="1"/>
  <c r="V70" i="1" s="1"/>
  <c r="T30" i="1"/>
  <c r="V30" i="1" s="1"/>
  <c r="T42" i="1"/>
  <c r="V42" i="1" s="1"/>
  <c r="T87" i="1"/>
  <c r="V87" i="1" s="1"/>
  <c r="T79" i="1"/>
  <c r="V79" i="1" s="1"/>
  <c r="T47" i="1"/>
  <c r="V47" i="1" s="1"/>
  <c r="T15" i="1"/>
  <c r="V15" i="1" s="1"/>
  <c r="T86" i="1"/>
  <c r="V86" i="1" s="1"/>
  <c r="T38" i="1"/>
  <c r="V38" i="1" s="1"/>
  <c r="T105" i="1"/>
  <c r="V105" i="1" s="1"/>
  <c r="T41" i="1"/>
  <c r="V41" i="1" s="1"/>
  <c r="T9" i="1"/>
  <c r="V9" i="1" s="1"/>
  <c r="T97" i="1"/>
  <c r="V97" i="1" s="1"/>
  <c r="T49" i="1"/>
  <c r="V49" i="1" s="1"/>
  <c r="N4" i="1"/>
  <c r="T81" i="1"/>
  <c r="V81" i="1" s="1"/>
  <c r="T33" i="1"/>
  <c r="V33" i="1" s="1"/>
  <c r="T65" i="1"/>
  <c r="V65" i="1" s="1"/>
  <c r="T17" i="1"/>
  <c r="V17" i="1" s="1"/>
  <c r="T4" i="1"/>
  <c r="T66" i="1"/>
  <c r="V66" i="1" s="1"/>
  <c r="T10" i="1"/>
  <c r="V10" i="1" s="1"/>
  <c r="T113" i="1"/>
  <c r="V113" i="1" s="1"/>
  <c r="T73" i="1"/>
  <c r="V73" i="1" s="1"/>
  <c r="T114" i="1"/>
  <c r="V114" i="1" s="1"/>
  <c r="T58" i="1"/>
  <c r="V58" i="1" s="1"/>
  <c r="T89" i="1"/>
  <c r="V89" i="1" s="1"/>
  <c r="T57" i="1"/>
  <c r="V57" i="1" s="1"/>
  <c r="T25" i="1"/>
  <c r="V25" i="1" s="1"/>
  <c r="T106" i="1"/>
  <c r="V106" i="1" s="1"/>
  <c r="T50" i="1"/>
  <c r="V50" i="1" s="1"/>
  <c r="N153" i="1" l="1"/>
  <c r="T153" i="1"/>
  <c r="V4" i="1"/>
  <c r="V153" i="1" s="1"/>
</calcChain>
</file>

<file path=xl/sharedStrings.xml><?xml version="1.0" encoding="utf-8"?>
<sst xmlns="http://schemas.openxmlformats.org/spreadsheetml/2006/main" count="2492" uniqueCount="312">
  <si>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</si>
  <si>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</si>
  <si>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</si>
  <si>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</si>
  <si>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</si>
  <si>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</si>
  <si>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</si>
  <si>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</si>
  <si>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</si>
  <si>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</si>
  <si>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</si>
  <si>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</si>
  <si>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</si>
  <si>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</si>
  <si>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</si>
  <si>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</si>
  <si>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</si>
  <si>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</si>
  <si>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</si>
  <si>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</si>
  <si>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</si>
  <si>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Соф фойда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</si>
  <si>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</si>
  <si>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</si>
  <si>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</si>
  <si>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</si>
  <si>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</si>
  <si>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</si>
  <si>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</si>
  <si>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</si>
  <si>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</si>
  <si>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</si>
  <si>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</si>
  <si>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</si>
  <si>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</si>
  <si>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</si>
  <si>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</si>
  <si>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</si>
  <si>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</si>
  <si>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</si>
  <si>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</si>
  <si>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</si>
  <si>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</si>
  <si>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</si>
  <si>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</si>
  <si>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</si>
  <si>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</si>
  <si>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</si>
  <si>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</si>
  <si>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</si>
  <si>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</si>
  <si>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</si>
  <si>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</si>
  <si>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</si>
  <si>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</si>
  <si>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</si>
  <si>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</si>
  <si>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</si>
  <si>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</si>
  <si>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Расход</t>
  </si>
  <si>
    <t>Приход</t>
  </si>
  <si>
    <t>Ост</t>
  </si>
  <si>
    <t>Паддон сони</t>
  </si>
  <si>
    <t>Утказилган пул</t>
  </si>
  <si>
    <t xml:space="preserve">Завод </t>
  </si>
  <si>
    <t>Олинган</t>
  </si>
  <si>
    <t>Берилган</t>
  </si>
  <si>
    <t>Жами</t>
  </si>
  <si>
    <t>Фидато Гроуп</t>
  </si>
  <si>
    <t>90 682 FBA</t>
  </si>
  <si>
    <t>Хонкага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</si>
  <si>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</si>
  <si>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</si>
  <si>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</si>
  <si>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</si>
  <si>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</si>
  <si>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</si>
  <si>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</si>
  <si>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</si>
  <si>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</si>
  <si>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</si>
  <si>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</si>
  <si>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</si>
  <si>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</si>
  <si>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</si>
  <si>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Темур</t>
  </si>
  <si>
    <t>Жасур Версал</t>
  </si>
  <si>
    <t>80 C 385 CB</t>
  </si>
  <si>
    <t>90 734 МВА</t>
  </si>
  <si>
    <t>Сарвар ога Шовот</t>
  </si>
  <si>
    <t>Мустофо Машал</t>
  </si>
  <si>
    <t>40 O 636 TB</t>
  </si>
  <si>
    <t>Шиддат моналит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</si>
  <si>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</si>
  <si>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</si>
  <si>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</si>
  <si>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</si>
  <si>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</si>
  <si>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</si>
  <si>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</si>
  <si>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Сардор ога</t>
  </si>
  <si>
    <t>Уткир мини</t>
  </si>
  <si>
    <t>95 693 GBA</t>
  </si>
  <si>
    <t>90 N 972 QA</t>
  </si>
  <si>
    <t>600x240x200</t>
  </si>
  <si>
    <t>Отабек дамирчи</t>
  </si>
  <si>
    <t>90 340 FBA</t>
  </si>
  <si>
    <t>90 779 EBA</t>
  </si>
  <si>
    <t>95 G 198 SA</t>
  </si>
  <si>
    <t>80 726 ACA</t>
  </si>
  <si>
    <t>Одилбек ога Эра хоус</t>
  </si>
  <si>
    <t>90 S 196 AB</t>
  </si>
  <si>
    <t>95 A 242 TA</t>
  </si>
  <si>
    <t>Журат Хонка</t>
  </si>
  <si>
    <t>95 B 760 QA</t>
  </si>
  <si>
    <t>Бунёдкор</t>
  </si>
  <si>
    <t>30 N 341 SB</t>
  </si>
  <si>
    <t>90 388 CBA</t>
  </si>
  <si>
    <t>Нахт клиент</t>
  </si>
  <si>
    <t>01 C 487 CB</t>
  </si>
  <si>
    <t>90 L 555 TA</t>
  </si>
  <si>
    <t>90 M 660 LA</t>
  </si>
  <si>
    <t>95 O 144 GA</t>
  </si>
  <si>
    <t>95 641 MBA</t>
  </si>
  <si>
    <t>90 358 MBA</t>
  </si>
  <si>
    <t>Элликкала Бостон</t>
  </si>
  <si>
    <t>95 F 702 GA</t>
  </si>
  <si>
    <t>Инноватцион</t>
  </si>
  <si>
    <t>Мамун Университети</t>
  </si>
  <si>
    <t>90 999 EBA</t>
  </si>
  <si>
    <t>90 924 LBA</t>
  </si>
  <si>
    <t>50 E 093 GB</t>
  </si>
  <si>
    <t>75 084 GBA</t>
  </si>
  <si>
    <t>70 M 307 HB</t>
  </si>
  <si>
    <t>30 100 MAN</t>
  </si>
  <si>
    <t>25 S 005 FA</t>
  </si>
  <si>
    <t>80 591 FCA</t>
  </si>
  <si>
    <t>Урганч сити</t>
  </si>
  <si>
    <t>90 K 034 BB</t>
  </si>
  <si>
    <t>95 044 WAA</t>
  </si>
  <si>
    <t>90 699 EBA</t>
  </si>
  <si>
    <t>90 L 243 NA</t>
  </si>
  <si>
    <t>01 F 620 EB</t>
  </si>
  <si>
    <t>Жамол 009</t>
  </si>
  <si>
    <t>50 A 888 FB</t>
  </si>
  <si>
    <t>01 329 KMA</t>
  </si>
  <si>
    <t>40 C 022 MB</t>
  </si>
  <si>
    <t>Сохил буйи Уткир ога</t>
  </si>
  <si>
    <t>90 X 309 TA</t>
  </si>
  <si>
    <t>30 791 WBA</t>
  </si>
  <si>
    <t>90 195 JBA</t>
  </si>
  <si>
    <t>90 536 GBA</t>
  </si>
  <si>
    <t>95 450 HBA</t>
  </si>
  <si>
    <t>Сув газ монтаж</t>
  </si>
  <si>
    <t>90 F 942 MA</t>
  </si>
  <si>
    <t>90 S 893 AB</t>
  </si>
  <si>
    <t>  40 J 346 UB</t>
  </si>
  <si>
    <t>90 Z 712 OA</t>
  </si>
  <si>
    <t>Фм хоус</t>
  </si>
  <si>
    <t>95 626 MBA</t>
  </si>
  <si>
    <t>95 582 PBQ</t>
  </si>
  <si>
    <t>80 С 385 СВ</t>
  </si>
  <si>
    <t>95 С 757 KA</t>
  </si>
  <si>
    <t>Уткир ога Шовот</t>
  </si>
  <si>
    <t>90 431 FBA</t>
  </si>
  <si>
    <t>1-Урганч Тамирлаш</t>
  </si>
  <si>
    <t>ID-Клиента</t>
  </si>
  <si>
    <t>№</t>
  </si>
  <si>
    <t>Дата</t>
  </si>
  <si>
    <t>Сумма</t>
  </si>
  <si>
    <t>Перемечание</t>
  </si>
  <si>
    <t>Возврат паддон</t>
  </si>
  <si>
    <t>Авто</t>
  </si>
  <si>
    <t>Поддон 
Шт</t>
  </si>
  <si>
    <t xml:space="preserve"> 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</si>
  <si>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</si>
  <si>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</si>
  <si>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</si>
  <si>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</si>
  <si>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</si>
  <si>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</si>
  <si>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</si>
  <si>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</si>
  <si>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</si>
  <si>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</si>
  <si>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</si>
  <si>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</si>
  <si>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URGANCH TA'MIRLASH масьулияти чекланган жамият</t>
  </si>
  <si>
    <t>1-Нормат Умидбек</t>
  </si>
  <si>
    <t>Примечание</t>
  </si>
  <si>
    <t>От</t>
  </si>
  <si>
    <t>NORMAT UMIDBEK MCHJ</t>
  </si>
  <si>
    <t>1-Ирригатсия темир бетон</t>
  </si>
  <si>
    <t>1-Инвест Холдинг</t>
  </si>
  <si>
    <t>Хоразм Инвест Холдинг</t>
  </si>
  <si>
    <t>1-Фидато Гроуп</t>
  </si>
  <si>
    <t>ООО "FIDATO GROUP"</t>
  </si>
  <si>
    <t>1-Хонкага</t>
  </si>
  <si>
    <t>1-Инноватцион</t>
  </si>
  <si>
    <t>1-Урганч сити</t>
  </si>
  <si>
    <t>OOO "FIDATO GROUP"</t>
  </si>
  <si>
    <t>шопр учун барди</t>
  </si>
  <si>
    <t>2-Гофур Хазорасп</t>
  </si>
  <si>
    <t>"EZVIZ CITY"Mchj</t>
  </si>
  <si>
    <t>2-Шиддат маналит</t>
  </si>
  <si>
    <t>SHIDDAT MONOLIT MCHJ</t>
  </si>
  <si>
    <t>SHIDDAT MONOLIT MCHJ бир машин газаблок даставка учун ташоди</t>
  </si>
  <si>
    <t>Важ</t>
  </si>
  <si>
    <t>Клентни Ози Шовйор</t>
  </si>
  <si>
    <t>3-Мурод ога Урганч</t>
  </si>
  <si>
    <t xml:space="preserve"> 3-Сулаймон Ога Хазарасп</t>
  </si>
  <si>
    <t>HAZORASP MUHAMMAD</t>
  </si>
  <si>
    <t>"A-SIA HOUSE" MCHJ</t>
  </si>
  <si>
    <t>Xazorasp Ipoteka Qurilish мчж</t>
  </si>
  <si>
    <t>"Ulgircha savdo diyor" MCHJ</t>
  </si>
  <si>
    <t>JAHON QILICH OOO</t>
  </si>
  <si>
    <t>HAZORASP BINOKOR USTA MChJ</t>
  </si>
  <si>
    <t>HOZORASP MUHAMMAD XO'JAM CHJ</t>
  </si>
  <si>
    <t>OOO QILICH-AMIN-NIYAZ</t>
  </si>
  <si>
    <t>OOO HAZORASP UNIVERSAL MEGA STROY</t>
  </si>
  <si>
    <t>XAZORASP IPOTEKA QURILISH масьулияти чекланган жамияти</t>
  </si>
  <si>
    <t>3-Сарвар ога Шовот</t>
  </si>
  <si>
    <t>17</t>
  </si>
  <si>
    <t>XIVA SAYQAL MCHJ</t>
  </si>
  <si>
    <t>Шопир пули 5%</t>
  </si>
  <si>
    <t>3-Уктир ога Шовот</t>
  </si>
  <si>
    <t>SHOVOT METOL COMPOSIT mchj</t>
  </si>
  <si>
    <t>4-Рустам Шпик</t>
  </si>
  <si>
    <t>"Ифтихор" хусусий корхонаси</t>
  </si>
  <si>
    <t>4-Гайрат Штб</t>
  </si>
  <si>
    <t>Шовот темур битон хусусий корхонаси</t>
  </si>
  <si>
    <t>4-Элликкала Бостон</t>
  </si>
  <si>
    <t>Клик</t>
  </si>
  <si>
    <t>3-Бунёдкор</t>
  </si>
  <si>
    <t>"БУНЕДКОР" МЧЖ</t>
  </si>
  <si>
    <t>3-Сув газ монтаж</t>
  </si>
  <si>
    <t>Сув газ монтаж таъмир х\к</t>
  </si>
  <si>
    <t>5-Жасур Версал</t>
  </si>
  <si>
    <t>Jamshidbek Jasmina House</t>
  </si>
  <si>
    <t>VERSAL YANGI UYLAR MCHJ</t>
  </si>
  <si>
    <t>5-Мустафо машал</t>
  </si>
  <si>
    <t>"SHUKR BARAKA" MCHJ</t>
  </si>
  <si>
    <t>``SHUKR BARAKA``MCHJ</t>
  </si>
  <si>
    <t>5-Одилбек Ера хоус</t>
  </si>
  <si>
    <t>"ERA MOTOR'S" MCHJ</t>
  </si>
  <si>
    <t>ERA MOTOR'S MCHJ</t>
  </si>
  <si>
    <t>5-Журат ога хонка</t>
  </si>
  <si>
    <t>"VATANPARVARLIK YOSHLAR KELAJAGI" MCHJ</t>
  </si>
  <si>
    <t>VATANPARVARLIK YOSHLAR KELAJAKI</t>
  </si>
  <si>
    <t>6-Уткир мини</t>
  </si>
  <si>
    <t>Коровул курилиш монтаж</t>
  </si>
  <si>
    <t>6-Отабек дамирчи</t>
  </si>
  <si>
    <t>"Qodiriy Construction" Масъулияти Чекланган Жамият</t>
  </si>
  <si>
    <t>6-Мамун Университети</t>
  </si>
  <si>
    <t>Нахт</t>
  </si>
  <si>
    <t>6-Жамол 009</t>
  </si>
  <si>
    <t>18</t>
  </si>
  <si>
    <t>600х240х200</t>
  </si>
  <si>
    <t>Бзадан</t>
  </si>
  <si>
    <t>6-Сохил буйи Уткир ога</t>
  </si>
  <si>
    <t>"URGANCH QURILISH TRANS" МЧЖ</t>
  </si>
  <si>
    <t>6-Фм хоус</t>
  </si>
  <si>
    <t>SMART UPSTARTS Xususiy korxonasi</t>
  </si>
  <si>
    <t>"DOMEX GROUP" Mchj</t>
  </si>
  <si>
    <t>5-Мактаб</t>
  </si>
  <si>
    <t>10 L 842 MB</t>
  </si>
  <si>
    <t>01 G 750 MB</t>
  </si>
  <si>
    <t>80 N 328 TA</t>
  </si>
  <si>
    <t>80 F 962 EB</t>
  </si>
  <si>
    <t>80 M 572 EB</t>
  </si>
  <si>
    <t>Сулаймон ога Хазарасп</t>
  </si>
  <si>
    <t>90 563 WAA</t>
  </si>
  <si>
    <t>95 088 EBA</t>
  </si>
  <si>
    <t>80 R 918 DB</t>
  </si>
  <si>
    <t>95 590 DBA</t>
  </si>
  <si>
    <t>90 G 899 CA</t>
  </si>
  <si>
    <t>95 L 400 KA</t>
  </si>
  <si>
    <t>90 504 IBW</t>
  </si>
  <si>
    <t>40 Х 410 SA</t>
  </si>
  <si>
    <t>80 R 261 EB</t>
  </si>
  <si>
    <t>Мактаб</t>
  </si>
  <si>
    <t>95 438 MBA</t>
  </si>
  <si>
    <t>95 437 MBA</t>
  </si>
  <si>
    <t>95 P 513 UA</t>
  </si>
  <si>
    <t>Сохил буйи Уткир</t>
  </si>
  <si>
    <t>90 427 MBA</t>
  </si>
  <si>
    <t>30 S 312 RB</t>
  </si>
  <si>
    <t>Qodiriy Construction Масъулияти Чекланган Жамият</t>
  </si>
  <si>
    <t>ERA MOTOR`S MCHJ</t>
  </si>
  <si>
    <t>STAR KIDS PLUS МЧЖ Cчет ссудных обязательствАнкет</t>
  </si>
  <si>
    <t>ЧП "RSULBEK"</t>
  </si>
  <si>
    <t>6-Нахт клент Сардор</t>
  </si>
  <si>
    <t>Нахт клент Сардор</t>
  </si>
  <si>
    <t>2-Нахт клент Арслон</t>
  </si>
  <si>
    <t>Нахт клент Арслон</t>
  </si>
  <si>
    <t>90 P 417 AB</t>
  </si>
  <si>
    <t>30 U 872 TB</t>
  </si>
  <si>
    <t>95 T 324 SA</t>
  </si>
  <si>
    <t>90 500 EBA</t>
  </si>
  <si>
    <t>30 U 875 TB</t>
  </si>
  <si>
    <t>Одилбек Ера хоус</t>
  </si>
  <si>
    <t>Мустафо машал</t>
  </si>
  <si>
    <t>Poddon narxi</t>
  </si>
  <si>
    <t>Poddon jami summa</t>
  </si>
  <si>
    <t>Olingan</t>
  </si>
  <si>
    <t>Qaytarilgan</t>
  </si>
  <si>
    <t>Jami qarz</t>
  </si>
  <si>
    <t>Poddonlar</t>
  </si>
  <si>
    <t>Zavod</t>
  </si>
  <si>
    <t>bank</t>
  </si>
  <si>
    <t>naxt</t>
  </si>
  <si>
    <t>click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</si>
</sst>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#,##0.000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theme="0"/>
      <name val="Arial"/>
      <family val="2"/>
      <charset val="204"/>
    </font>
    <font>
      <b/>
      <sz val="11"/>
      <color theme="0"/>
      <name val="Arial"/>
      <family val="2"/>
      <charset val="204"/>
    </font>
    <font>
      <b/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sz val="11"/>
      <color theme="1" tint="4.9989318521683403E-2"/>
      <name val="Arial"/>
      <family val="2"/>
      <charset val="204"/>
    </font>
    <font>
      <u/>
      <sz val="11"/>
      <color theme="10"/>
      <name val="Calibri"/>
      <family val="2"/>
      <scheme val="minor"/>
    </font>
    <font>
      <b/>
      <u/>
      <sz val="12"/>
      <name val="Calibri"/>
      <family val="2"/>
      <scheme val="minor"/>
    </font>
    <font>
      <b/>
      <sz val="12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sz val="12"/>
      <name val="Arial"/>
      <family val="2"/>
      <charset val="204"/>
    </font>
    <font>
      <b/>
      <u/>
      <sz val="14"/>
      <name val="Arial"/>
      <family val="2"/>
      <charset val="204"/>
    </font>
    <font>
      <b/>
      <sz val="16"/>
      <color theme="1"/>
      <name val="Arial"/>
      <family val="2"/>
      <charset val="204"/>
    </font>
    <font>
      <b/>
      <u/>
      <sz val="1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4"/>
      <name val="Calibri"/>
      <family val="2"/>
      <scheme val="minor"/>
    </font>
    <font>
      <u/>
      <sz val="11"/>
      <color theme="10"/>
      <name val="Calibri"/>
      <family val="2"/>
      <charset val="204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99FFCC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</borders>
  <cellStyleXfs count="9">
    <xf numFmtId="0" fontId="0" fillId="0" borderId="0"/>
    <xf numFmtId="43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0" fontId="4" fillId="0" borderId="0"/>
    <xf numFmtId="0" fontId="15" fillId="0" borderId="0" applyNumberForma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 applyNumberFormat="0" applyFill="0" applyBorder="0" applyAlignment="0" applyProtection="0"/>
  </cellStyleXfs>
  <cellXfs count="244">
    <xf numFmtId="0" fontId="0" fillId="0" borderId="0" xfId="0"/>
    <xf numFmtId="3" fontId="5" fillId="2" borderId="1" xfId="3" applyNumberFormat="1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14" fontId="6" fillId="2" borderId="3" xfId="0" applyNumberFormat="1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3" fontId="7" fillId="4" borderId="3" xfId="0" applyNumberFormat="1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/>
    <xf numFmtId="0" fontId="9" fillId="7" borderId="3" xfId="0" applyFont="1" applyFill="1" applyBorder="1"/>
    <xf numFmtId="14" fontId="9" fillId="7" borderId="3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3" fontId="9" fillId="3" borderId="3" xfId="0" applyNumberFormat="1" applyFont="1" applyFill="1" applyBorder="1" applyAlignment="1">
      <alignment horizontal="center" vertical="center"/>
    </xf>
    <xf numFmtId="164" fontId="10" fillId="3" borderId="3" xfId="0" applyNumberFormat="1" applyFont="1" applyFill="1" applyBorder="1" applyAlignment="1">
      <alignment horizontal="center" vertical="center"/>
    </xf>
    <xf numFmtId="3" fontId="9" fillId="0" borderId="3" xfId="0" applyNumberFormat="1" applyFont="1" applyBorder="1" applyAlignment="1">
      <alignment horizontal="center" vertical="center"/>
    </xf>
    <xf numFmtId="3" fontId="9" fillId="4" borderId="3" xfId="0" applyNumberFormat="1" applyFont="1" applyFill="1" applyBorder="1" applyAlignment="1">
      <alignment horizontal="center" vertical="center"/>
    </xf>
    <xf numFmtId="3" fontId="9" fillId="6" borderId="3" xfId="0" applyNumberFormat="1" applyFont="1" applyFill="1" applyBorder="1" applyAlignment="1">
      <alignment horizontal="center" vertical="center"/>
    </xf>
    <xf numFmtId="0" fontId="9" fillId="6" borderId="3" xfId="0" applyFont="1" applyFill="1" applyBorder="1"/>
    <xf numFmtId="14" fontId="9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9" fillId="8" borderId="3" xfId="0" applyFont="1" applyFill="1" applyBorder="1"/>
    <xf numFmtId="14" fontId="9" fillId="8" borderId="3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9" fillId="9" borderId="3" xfId="0" applyFont="1" applyFill="1" applyBorder="1"/>
    <xf numFmtId="14" fontId="9" fillId="9" borderId="3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9" fillId="0" borderId="0" xfId="0" applyFont="1"/>
    <xf numFmtId="3" fontId="9" fillId="0" borderId="0" xfId="0" applyNumberFormat="1" applyFont="1"/>
    <xf numFmtId="164" fontId="9" fillId="0" borderId="0" xfId="0" applyNumberFormat="1" applyFont="1"/>
    <xf numFmtId="3" fontId="12" fillId="0" borderId="0" xfId="0" applyNumberFormat="1" applyFont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3" fontId="0" fillId="12" borderId="3" xfId="0" applyNumberFormat="1" applyFill="1" applyBorder="1" applyAlignment="1">
      <alignment horizontal="center" vertical="center"/>
    </xf>
    <xf numFmtId="3" fontId="0" fillId="0" borderId="0" xfId="0" applyNumberFormat="1"/>
    <xf numFmtId="3" fontId="3" fillId="12" borderId="3" xfId="0" applyNumberFormat="1" applyFont="1" applyFill="1" applyBorder="1" applyAlignment="1">
      <alignment horizontal="center"/>
    </xf>
    <xf numFmtId="3" fontId="9" fillId="13" borderId="3" xfId="0" applyNumberFormat="1" applyFont="1" applyFill="1" applyBorder="1" applyAlignment="1">
      <alignment horizontal="center" vertical="center"/>
    </xf>
    <xf numFmtId="3" fontId="11" fillId="0" borderId="3" xfId="0" applyNumberFormat="1" applyFont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3" fontId="11" fillId="14" borderId="3" xfId="0" applyNumberFormat="1" applyFont="1" applyFill="1" applyBorder="1" applyAlignment="1">
      <alignment horizontal="center" vertical="center"/>
    </xf>
    <xf numFmtId="3" fontId="14" fillId="13" borderId="3" xfId="0" applyNumberFormat="1" applyFont="1" applyFill="1" applyBorder="1" applyAlignment="1">
      <alignment horizontal="center" vertical="center"/>
    </xf>
    <xf numFmtId="14" fontId="11" fillId="7" borderId="3" xfId="0" applyNumberFormat="1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9" fillId="15" borderId="3" xfId="0" applyFont="1" applyFill="1" applyBorder="1"/>
    <xf numFmtId="14" fontId="9" fillId="15" borderId="3" xfId="0" applyNumberFormat="1" applyFont="1" applyFill="1" applyBorder="1" applyAlignment="1">
      <alignment horizontal="center" vertical="center"/>
    </xf>
    <xf numFmtId="0" fontId="11" fillId="15" borderId="3" xfId="0" applyFont="1" applyFill="1" applyBorder="1" applyAlignment="1">
      <alignment horizontal="center" vertical="center"/>
    </xf>
    <xf numFmtId="14" fontId="9" fillId="8" borderId="3" xfId="0" applyNumberFormat="1" applyFont="1" applyFill="1" applyBorder="1" applyAlignment="1">
      <alignment horizontal="center"/>
    </xf>
    <xf numFmtId="3" fontId="9" fillId="16" borderId="3" xfId="0" applyNumberFormat="1" applyFont="1" applyFill="1" applyBorder="1" applyAlignment="1">
      <alignment horizontal="center" vertical="center"/>
    </xf>
    <xf numFmtId="14" fontId="9" fillId="0" borderId="3" xfId="0" applyNumberFormat="1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3" fontId="11" fillId="13" borderId="3" xfId="0" applyNumberFormat="1" applyFont="1" applyFill="1" applyBorder="1" applyAlignment="1">
      <alignment horizontal="center" vertical="center"/>
    </xf>
    <xf numFmtId="3" fontId="9" fillId="14" borderId="3" xfId="0" applyNumberFormat="1" applyFont="1" applyFill="1" applyBorder="1" applyAlignment="1">
      <alignment horizontal="center" vertical="center"/>
    </xf>
    <xf numFmtId="3" fontId="11" fillId="6" borderId="3" xfId="0" applyNumberFormat="1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left" vertical="center"/>
    </xf>
    <xf numFmtId="0" fontId="9" fillId="15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4" xfId="0" applyFont="1" applyBorder="1"/>
    <xf numFmtId="0" fontId="9" fillId="6" borderId="4" xfId="0" applyFont="1" applyFill="1" applyBorder="1"/>
    <xf numFmtId="14" fontId="9" fillId="6" borderId="4" xfId="0" applyNumberFormat="1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3" fontId="9" fillId="3" borderId="4" xfId="0" applyNumberFormat="1" applyFont="1" applyFill="1" applyBorder="1" applyAlignment="1">
      <alignment horizontal="center" vertical="center"/>
    </xf>
    <xf numFmtId="164" fontId="10" fillId="3" borderId="4" xfId="0" applyNumberFormat="1" applyFont="1" applyFill="1" applyBorder="1" applyAlignment="1">
      <alignment horizontal="center" vertical="center"/>
    </xf>
    <xf numFmtId="3" fontId="9" fillId="0" borderId="4" xfId="0" applyNumberFormat="1" applyFont="1" applyBorder="1" applyAlignment="1">
      <alignment horizontal="center" vertical="center"/>
    </xf>
    <xf numFmtId="3" fontId="9" fillId="4" borderId="4" xfId="0" applyNumberFormat="1" applyFont="1" applyFill="1" applyBorder="1" applyAlignment="1">
      <alignment horizontal="center" vertical="center"/>
    </xf>
    <xf numFmtId="3" fontId="9" fillId="6" borderId="4" xfId="0" applyNumberFormat="1" applyFont="1" applyFill="1" applyBorder="1" applyAlignment="1">
      <alignment horizontal="center" vertical="center"/>
    </xf>
    <xf numFmtId="3" fontId="9" fillId="13" borderId="4" xfId="0" applyNumberFormat="1" applyFont="1" applyFill="1" applyBorder="1" applyAlignment="1">
      <alignment horizontal="center" vertical="center"/>
    </xf>
    <xf numFmtId="0" fontId="0" fillId="0" borderId="3" xfId="0" applyBorder="1"/>
    <xf numFmtId="2" fontId="9" fillId="0" borderId="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9" fillId="0" borderId="0" xfId="0" applyFon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9" fillId="16" borderId="5" xfId="0" applyFont="1" applyFill="1" applyBorder="1"/>
    <xf numFmtId="0" fontId="9" fillId="16" borderId="6" xfId="0" applyFont="1" applyFill="1" applyBorder="1"/>
    <xf numFmtId="0" fontId="9" fillId="16" borderId="6" xfId="0" applyFont="1" applyFill="1" applyBorder="1" applyAlignment="1">
      <alignment horizontal="center"/>
    </xf>
    <xf numFmtId="0" fontId="16" fillId="16" borderId="7" xfId="4" applyFont="1" applyFill="1" applyBorder="1" applyAlignment="1">
      <alignment horizontal="center"/>
    </xf>
    <xf numFmtId="0" fontId="16" fillId="16" borderId="0" xfId="4" applyFont="1" applyFill="1" applyBorder="1" applyAlignment="1">
      <alignment horizontal="center"/>
    </xf>
    <xf numFmtId="0" fontId="11" fillId="16" borderId="8" xfId="4" applyFont="1" applyFill="1" applyBorder="1" applyAlignment="1">
      <alignment horizontal="center"/>
    </xf>
    <xf numFmtId="0" fontId="18" fillId="11" borderId="3" xfId="0" applyFont="1" applyFill="1" applyBorder="1" applyAlignment="1">
      <alignment horizontal="center" vertical="center" wrapText="1"/>
    </xf>
    <xf numFmtId="0" fontId="18" fillId="11" borderId="3" xfId="0" applyFont="1" applyFill="1" applyBorder="1" applyAlignment="1">
      <alignment horizontal="center" vertical="center"/>
    </xf>
    <xf numFmtId="0" fontId="9" fillId="11" borderId="9" xfId="0" applyFont="1" applyFill="1" applyBorder="1" applyAlignment="1">
      <alignment vertical="center"/>
    </xf>
    <xf numFmtId="0" fontId="9" fillId="11" borderId="10" xfId="0" applyFont="1" applyFill="1" applyBorder="1" applyAlignment="1">
      <alignment vertical="center"/>
    </xf>
    <xf numFmtId="3" fontId="9" fillId="6" borderId="3" xfId="0" applyNumberFormat="1" applyFont="1" applyFill="1" applyBorder="1" applyAlignment="1">
      <alignment horizontal="center" vertical="center" wrapText="1"/>
    </xf>
    <xf numFmtId="0" fontId="9" fillId="11" borderId="4" xfId="0" applyFont="1" applyFill="1" applyBorder="1" applyAlignment="1">
      <alignment vertical="center" wrapText="1"/>
    </xf>
    <xf numFmtId="1" fontId="9" fillId="6" borderId="4" xfId="0" applyNumberFormat="1" applyFont="1" applyFill="1" applyBorder="1" applyAlignment="1">
      <alignment vertical="center" wrapText="1"/>
    </xf>
    <xf numFmtId="3" fontId="18" fillId="6" borderId="3" xfId="0" applyNumberFormat="1" applyFont="1" applyFill="1" applyBorder="1" applyAlignment="1">
      <alignment horizontal="center" vertical="center"/>
    </xf>
    <xf numFmtId="0" fontId="11" fillId="0" borderId="10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 vertical="center"/>
    </xf>
    <xf numFmtId="3" fontId="19" fillId="0" borderId="3" xfId="1" applyNumberFormat="1" applyFont="1" applyFill="1" applyBorder="1" applyAlignment="1">
      <alignment horizontal="center" vertical="center" wrapText="1"/>
    </xf>
    <xf numFmtId="14" fontId="9" fillId="0" borderId="3" xfId="0" applyNumberFormat="1" applyFont="1" applyBorder="1" applyAlignment="1">
      <alignment horizontal="center"/>
    </xf>
    <xf numFmtId="14" fontId="9" fillId="0" borderId="3" xfId="0" applyNumberFormat="1" applyFont="1" applyBorder="1"/>
    <xf numFmtId="0" fontId="9" fillId="0" borderId="11" xfId="0" applyFont="1" applyBorder="1"/>
    <xf numFmtId="3" fontId="9" fillId="0" borderId="12" xfId="0" applyNumberFormat="1" applyFont="1" applyBorder="1" applyAlignment="1">
      <alignment horizontal="center" vertical="center"/>
    </xf>
    <xf numFmtId="14" fontId="9" fillId="0" borderId="4" xfId="0" applyNumberFormat="1" applyFont="1" applyBorder="1"/>
    <xf numFmtId="3" fontId="9" fillId="0" borderId="4" xfId="0" applyNumberFormat="1" applyFont="1" applyBorder="1"/>
    <xf numFmtId="0" fontId="20" fillId="16" borderId="7" xfId="4" applyFont="1" applyFill="1" applyBorder="1" applyAlignment="1">
      <alignment horizontal="center"/>
    </xf>
    <xf numFmtId="0" fontId="9" fillId="11" borderId="3" xfId="0" applyFont="1" applyFill="1" applyBorder="1" applyAlignment="1">
      <alignment horizontal="center" vertical="center" wrapText="1"/>
    </xf>
    <xf numFmtId="3" fontId="17" fillId="6" borderId="3" xfId="0" applyNumberFormat="1" applyFont="1" applyFill="1" applyBorder="1" applyAlignment="1">
      <alignment horizontal="center" vertical="center" wrapText="1"/>
    </xf>
    <xf numFmtId="3" fontId="17" fillId="6" borderId="3" xfId="0" applyNumberFormat="1" applyFont="1" applyFill="1" applyBorder="1" applyAlignment="1">
      <alignment horizontal="center" vertical="center"/>
    </xf>
    <xf numFmtId="0" fontId="22" fillId="16" borderId="7" xfId="4" applyFont="1" applyFill="1" applyBorder="1" applyAlignment="1">
      <alignment horizontal="center"/>
    </xf>
    <xf numFmtId="14" fontId="11" fillId="0" borderId="3" xfId="3" applyNumberFormat="1" applyFont="1" applyBorder="1" applyAlignment="1">
      <alignment horizontal="center" vertical="center"/>
    </xf>
    <xf numFmtId="2" fontId="11" fillId="0" borderId="14" xfId="2" applyNumberFormat="1" applyFont="1" applyBorder="1" applyAlignment="1">
      <alignment horizontal="center"/>
    </xf>
    <xf numFmtId="0" fontId="11" fillId="0" borderId="14" xfId="1" applyNumberFormat="1" applyFont="1" applyBorder="1" applyAlignment="1">
      <alignment horizontal="center"/>
    </xf>
    <xf numFmtId="3" fontId="11" fillId="0" borderId="8" xfId="0" applyNumberFormat="1" applyFont="1" applyBorder="1" applyAlignment="1">
      <alignment horizontal="center" vertical="center"/>
    </xf>
    <xf numFmtId="0" fontId="9" fillId="16" borderId="0" xfId="0" applyFont="1" applyFill="1"/>
    <xf numFmtId="0" fontId="9" fillId="16" borderId="0" xfId="0" applyFont="1" applyFill="1" applyAlignment="1">
      <alignment horizontal="center"/>
    </xf>
    <xf numFmtId="0" fontId="20" fillId="16" borderId="11" xfId="4" applyFont="1" applyFill="1" applyBorder="1" applyAlignment="1">
      <alignment horizontal="center"/>
    </xf>
    <xf numFmtId="0" fontId="24" fillId="16" borderId="7" xfId="4" applyFont="1" applyFill="1" applyBorder="1" applyAlignment="1">
      <alignment horizontal="center"/>
    </xf>
    <xf numFmtId="164" fontId="18" fillId="6" borderId="3" xfId="0" applyNumberFormat="1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4" fontId="9" fillId="0" borderId="12" xfId="0" applyNumberFormat="1" applyFont="1" applyBorder="1" applyAlignment="1">
      <alignment horizontal="center" vertical="center"/>
    </xf>
    <xf numFmtId="14" fontId="11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3" fontId="11" fillId="0" borderId="4" xfId="0" applyNumberFormat="1" applyFont="1" applyBorder="1" applyAlignment="1">
      <alignment horizontal="center" vertical="center"/>
    </xf>
    <xf numFmtId="14" fontId="9" fillId="0" borderId="4" xfId="0" applyNumberFormat="1" applyFont="1" applyBorder="1" applyAlignment="1">
      <alignment horizontal="center" vertical="center"/>
    </xf>
    <xf numFmtId="14" fontId="11" fillId="0" borderId="4" xfId="3" applyNumberFormat="1" applyFont="1" applyBorder="1" applyAlignment="1">
      <alignment horizontal="center" vertical="center"/>
    </xf>
    <xf numFmtId="2" fontId="11" fillId="0" borderId="1" xfId="2" applyNumberFormat="1" applyFont="1" applyBorder="1" applyAlignment="1">
      <alignment horizontal="center"/>
    </xf>
    <xf numFmtId="0" fontId="11" fillId="0" borderId="1" xfId="1" applyNumberFormat="1" applyFont="1" applyBorder="1" applyAlignment="1">
      <alignment horizontal="center"/>
    </xf>
    <xf numFmtId="3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4" fontId="11" fillId="6" borderId="3" xfId="0" applyNumberFormat="1" applyFont="1" applyFill="1" applyBorder="1" applyAlignment="1">
      <alignment horizontal="center" vertical="center"/>
    </xf>
    <xf numFmtId="3" fontId="18" fillId="6" borderId="4" xfId="0" applyNumberFormat="1" applyFont="1" applyFill="1" applyBorder="1" applyAlignment="1">
      <alignment horizontal="center" vertical="center"/>
    </xf>
    <xf numFmtId="3" fontId="17" fillId="6" borderId="4" xfId="0" applyNumberFormat="1" applyFont="1" applyFill="1" applyBorder="1" applyAlignment="1">
      <alignment horizontal="center" vertical="center" wrapText="1"/>
    </xf>
    <xf numFmtId="3" fontId="17" fillId="6" borderId="4" xfId="0" applyNumberFormat="1" applyFont="1" applyFill="1" applyBorder="1" applyAlignment="1">
      <alignment horizontal="center" vertical="center"/>
    </xf>
    <xf numFmtId="2" fontId="11" fillId="0" borderId="3" xfId="2" applyNumberFormat="1" applyFont="1" applyBorder="1" applyAlignment="1">
      <alignment horizontal="center"/>
    </xf>
    <xf numFmtId="0" fontId="11" fillId="0" borderId="3" xfId="1" applyNumberFormat="1" applyFont="1" applyBorder="1" applyAlignment="1">
      <alignment horizontal="center"/>
    </xf>
    <xf numFmtId="3" fontId="9" fillId="0" borderId="3" xfId="0" applyNumberFormat="1" applyFont="1" applyBorder="1"/>
    <xf numFmtId="3" fontId="17" fillId="0" borderId="3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14" fontId="9" fillId="17" borderId="3" xfId="0" applyNumberFormat="1" applyFont="1" applyFill="1" applyBorder="1"/>
    <xf numFmtId="3" fontId="9" fillId="17" borderId="3" xfId="0" applyNumberFormat="1" applyFont="1" applyFill="1" applyBorder="1" applyAlignment="1">
      <alignment horizontal="center" vertical="center"/>
    </xf>
    <xf numFmtId="14" fontId="9" fillId="17" borderId="3" xfId="0" applyNumberFormat="1" applyFont="1" applyFill="1" applyBorder="1" applyAlignment="1">
      <alignment horizontal="center" vertical="center"/>
    </xf>
    <xf numFmtId="14" fontId="11" fillId="0" borderId="3" xfId="0" applyNumberFormat="1" applyFont="1" applyBorder="1" applyAlignment="1">
      <alignment horizontal="center"/>
    </xf>
    <xf numFmtId="3" fontId="19" fillId="0" borderId="3" xfId="1" applyNumberFormat="1" applyFont="1" applyFill="1" applyBorder="1" applyAlignment="1">
      <alignment horizontal="center" wrapText="1"/>
    </xf>
    <xf numFmtId="14" fontId="11" fillId="0" borderId="3" xfId="3" applyNumberFormat="1" applyFont="1" applyBorder="1" applyAlignment="1">
      <alignment horizontal="center"/>
    </xf>
    <xf numFmtId="3" fontId="11" fillId="0" borderId="8" xfId="0" applyNumberFormat="1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3" fontId="9" fillId="0" borderId="3" xfId="0" applyNumberFormat="1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3" fontId="11" fillId="0" borderId="3" xfId="0" applyNumberFormat="1" applyFont="1" applyBorder="1" applyAlignment="1">
      <alignment horizontal="center"/>
    </xf>
    <xf numFmtId="0" fontId="3" fillId="10" borderId="8" xfId="0" applyFont="1" applyFill="1" applyBorder="1" applyAlignment="1">
      <alignment horizontal="center" vertical="center"/>
    </xf>
    <xf numFmtId="0" fontId="3" fillId="10" borderId="8" xfId="0" applyFont="1" applyFill="1" applyBorder="1"/>
    <xf numFmtId="0" fontId="0" fillId="12" borderId="3" xfId="0" applyFill="1" applyBorder="1"/>
    <xf numFmtId="17" fontId="0" fillId="0" borderId="0" xfId="0" applyNumberFormat="1"/>
    <xf numFmtId="0" fontId="9" fillId="15" borderId="3" xfId="0" applyFont="1" applyFill="1" applyBorder="1" applyAlignment="1">
      <alignment horizontal="center"/>
    </xf>
    <xf numFmtId="3" fontId="11" fillId="0" borderId="14" xfId="0" applyNumberFormat="1" applyFont="1" applyBorder="1" applyAlignment="1">
      <alignment horizontal="center" vertical="center"/>
    </xf>
    <xf numFmtId="2" fontId="11" fillId="0" borderId="8" xfId="2" applyNumberFormat="1" applyFont="1" applyBorder="1" applyAlignment="1">
      <alignment horizontal="center"/>
    </xf>
    <xf numFmtId="0" fontId="11" fillId="0" borderId="8" xfId="1" applyNumberFormat="1" applyFont="1" applyBorder="1" applyAlignment="1">
      <alignment horizontal="center"/>
    </xf>
    <xf numFmtId="3" fontId="14" fillId="0" borderId="3" xfId="0" applyNumberFormat="1" applyFont="1" applyBorder="1" applyAlignment="1">
      <alignment horizontal="center" vertical="center"/>
    </xf>
    <xf numFmtId="164" fontId="9" fillId="3" borderId="3" xfId="0" applyNumberFormat="1" applyFont="1" applyFill="1" applyBorder="1" applyAlignment="1">
      <alignment horizontal="center" vertical="center"/>
    </xf>
    <xf numFmtId="3" fontId="19" fillId="0" borderId="3" xfId="1" applyNumberFormat="1" applyFont="1" applyFill="1" applyBorder="1" applyAlignment="1">
      <alignment horizontal="center" vertical="center"/>
    </xf>
    <xf numFmtId="14" fontId="11" fillId="0" borderId="4" xfId="0" applyNumberFormat="1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3" fontId="11" fillId="0" borderId="4" xfId="0" applyNumberFormat="1" applyFont="1" applyBorder="1" applyAlignment="1">
      <alignment horizontal="center"/>
    </xf>
    <xf numFmtId="3" fontId="9" fillId="0" borderId="4" xfId="0" applyNumberFormat="1" applyFont="1" applyBorder="1" applyAlignment="1">
      <alignment horizontal="center"/>
    </xf>
    <xf numFmtId="0" fontId="9" fillId="0" borderId="3" xfId="5" applyFont="1" applyBorder="1"/>
    <xf numFmtId="14" fontId="9" fillId="0" borderId="3" xfId="5" applyNumberFormat="1" applyFont="1" applyBorder="1" applyAlignment="1">
      <alignment horizontal="center" vertical="center"/>
    </xf>
    <xf numFmtId="3" fontId="9" fillId="0" borderId="3" xfId="5" applyNumberFormat="1" applyFont="1" applyBorder="1" applyAlignment="1">
      <alignment horizontal="center" vertical="center"/>
    </xf>
    <xf numFmtId="3" fontId="9" fillId="6" borderId="3" xfId="5" applyNumberFormat="1" applyFont="1" applyFill="1" applyBorder="1" applyAlignment="1">
      <alignment horizontal="center" vertical="center"/>
    </xf>
    <xf numFmtId="3" fontId="9" fillId="3" borderId="3" xfId="5" applyNumberFormat="1" applyFont="1" applyFill="1" applyBorder="1" applyAlignment="1">
      <alignment horizontal="center" vertical="center"/>
    </xf>
    <xf numFmtId="164" fontId="9" fillId="3" borderId="3" xfId="5" applyNumberFormat="1" applyFont="1" applyFill="1" applyBorder="1" applyAlignment="1">
      <alignment horizontal="center" vertical="center"/>
    </xf>
    <xf numFmtId="3" fontId="9" fillId="4" borderId="3" xfId="5" applyNumberFormat="1" applyFont="1" applyFill="1" applyBorder="1" applyAlignment="1">
      <alignment horizontal="center" vertical="center"/>
    </xf>
    <xf numFmtId="0" fontId="9" fillId="0" borderId="3" xfId="5" applyFont="1" applyBorder="1" applyAlignment="1">
      <alignment horizontal="center" vertical="center"/>
    </xf>
    <xf numFmtId="0" fontId="9" fillId="6" borderId="3" xfId="5" applyFont="1" applyFill="1" applyBorder="1"/>
    <xf numFmtId="14" fontId="9" fillId="6" borderId="3" xfId="5" applyNumberFormat="1" applyFont="1" applyFill="1" applyBorder="1" applyAlignment="1">
      <alignment horizontal="center" vertical="center"/>
    </xf>
    <xf numFmtId="0" fontId="9" fillId="15" borderId="3" xfId="5" applyFont="1" applyFill="1" applyBorder="1"/>
    <xf numFmtId="14" fontId="9" fillId="15" borderId="3" xfId="5" applyNumberFormat="1" applyFont="1" applyFill="1" applyBorder="1" applyAlignment="1">
      <alignment horizontal="center" vertical="center"/>
    </xf>
    <xf numFmtId="0" fontId="9" fillId="9" borderId="3" xfId="5" applyFont="1" applyFill="1" applyBorder="1"/>
    <xf numFmtId="14" fontId="9" fillId="9" borderId="3" xfId="5" applyNumberFormat="1" applyFont="1" applyFill="1" applyBorder="1" applyAlignment="1">
      <alignment horizontal="center" vertical="center"/>
    </xf>
    <xf numFmtId="0" fontId="9" fillId="6" borderId="3" xfId="5" applyFont="1" applyFill="1" applyBorder="1" applyAlignment="1">
      <alignment horizontal="center" vertical="center"/>
    </xf>
    <xf numFmtId="0" fontId="9" fillId="15" borderId="3" xfId="5" applyFont="1" applyFill="1" applyBorder="1" applyAlignment="1">
      <alignment horizontal="center" vertical="center"/>
    </xf>
    <xf numFmtId="0" fontId="9" fillId="9" borderId="3" xfId="5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6" borderId="0" xfId="0" applyFill="1"/>
    <xf numFmtId="3" fontId="26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0" fontId="26" fillId="0" borderId="3" xfId="0" applyFont="1" applyBorder="1" applyAlignment="1">
      <alignment horizontal="center"/>
    </xf>
    <xf numFmtId="3" fontId="26" fillId="0" borderId="3" xfId="0" applyNumberFormat="1" applyFont="1" applyBorder="1" applyAlignment="1">
      <alignment horizontal="center"/>
    </xf>
    <xf numFmtId="0" fontId="0" fillId="0" borderId="3" xfId="0" applyBorder="1" applyAlignment="1">
      <alignment horizontal="center"/>
    </xf>
    <xf numFmtId="3" fontId="27" fillId="0" borderId="3" xfId="0" applyNumberFormat="1" applyFont="1" applyBorder="1" applyAlignment="1">
      <alignment horizontal="center"/>
    </xf>
    <xf numFmtId="0" fontId="0" fillId="16" borderId="3" xfId="0" applyFill="1" applyBorder="1"/>
    <xf numFmtId="0" fontId="0" fillId="18" borderId="3" xfId="0" applyFill="1" applyBorder="1" applyAlignment="1">
      <alignment horizontal="center" vertical="center"/>
    </xf>
    <xf numFmtId="0" fontId="0" fillId="13" borderId="3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/>
    </xf>
    <xf numFmtId="0" fontId="3" fillId="11" borderId="9" xfId="0" applyFont="1" applyFill="1" applyBorder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3" fontId="27" fillId="0" borderId="3" xfId="0" applyNumberFormat="1" applyFont="1" applyBorder="1" applyAlignment="1">
      <alignment horizontal="center"/>
    </xf>
    <xf numFmtId="0" fontId="27" fillId="0" borderId="3" xfId="0" applyFont="1" applyBorder="1" applyAlignment="1">
      <alignment horizontal="center"/>
    </xf>
    <xf numFmtId="0" fontId="26" fillId="0" borderId="3" xfId="0" applyFon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26" fillId="13" borderId="5" xfId="0" applyFont="1" applyFill="1" applyBorder="1" applyAlignment="1">
      <alignment horizontal="center"/>
    </xf>
    <xf numFmtId="0" fontId="26" fillId="13" borderId="7" xfId="0" applyFont="1" applyFill="1" applyBorder="1" applyAlignment="1">
      <alignment horizontal="center"/>
    </xf>
    <xf numFmtId="0" fontId="26" fillId="0" borderId="13" xfId="0" applyFont="1" applyBorder="1" applyAlignment="1">
      <alignment horizontal="center"/>
    </xf>
    <xf numFmtId="0" fontId="3" fillId="10" borderId="9" xfId="0" applyFont="1" applyFill="1" applyBorder="1" applyAlignment="1">
      <alignment horizontal="center"/>
    </xf>
    <xf numFmtId="0" fontId="3" fillId="10" borderId="10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9" fillId="11" borderId="4" xfId="0" applyFont="1" applyFill="1" applyBorder="1" applyAlignment="1">
      <alignment horizontal="center" vertical="center"/>
    </xf>
    <xf numFmtId="0" fontId="9" fillId="11" borderId="8" xfId="0" applyFont="1" applyFill="1" applyBorder="1" applyAlignment="1">
      <alignment horizontal="center" vertical="center"/>
    </xf>
    <xf numFmtId="0" fontId="9" fillId="16" borderId="8" xfId="0" applyFont="1" applyFill="1" applyBorder="1" applyAlignment="1">
      <alignment horizontal="center"/>
    </xf>
    <xf numFmtId="0" fontId="11" fillId="16" borderId="8" xfId="4" applyFont="1" applyFill="1" applyBorder="1" applyAlignment="1">
      <alignment horizontal="center"/>
    </xf>
    <xf numFmtId="3" fontId="21" fillId="6" borderId="9" xfId="0" applyNumberFormat="1" applyFont="1" applyFill="1" applyBorder="1" applyAlignment="1">
      <alignment horizontal="center" vertical="center"/>
    </xf>
    <xf numFmtId="3" fontId="21" fillId="6" borderId="13" xfId="0" applyNumberFormat="1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 wrapText="1"/>
    </xf>
    <xf numFmtId="0" fontId="18" fillId="11" borderId="4" xfId="0" applyFont="1" applyFill="1" applyBorder="1" applyAlignment="1">
      <alignment horizontal="center" vertical="center"/>
    </xf>
    <xf numFmtId="0" fontId="18" fillId="11" borderId="8" xfId="0" applyFont="1" applyFill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11" borderId="4" xfId="0" applyFont="1" applyFill="1" applyBorder="1" applyAlignment="1">
      <alignment horizontal="center" vertical="center" wrapText="1"/>
    </xf>
    <xf numFmtId="0" fontId="9" fillId="11" borderId="8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7" fillId="16" borderId="2" xfId="0" applyFont="1" applyFill="1" applyBorder="1" applyAlignment="1">
      <alignment horizontal="center"/>
    </xf>
    <xf numFmtId="0" fontId="17" fillId="16" borderId="0" xfId="0" applyFont="1" applyFill="1" applyAlignment="1">
      <alignment horizontal="center"/>
    </xf>
    <xf numFmtId="0" fontId="9" fillId="16" borderId="3" xfId="0" applyFont="1" applyFill="1" applyBorder="1" applyAlignment="1">
      <alignment horizontal="center"/>
    </xf>
    <xf numFmtId="0" fontId="11" fillId="16" borderId="3" xfId="4" applyFont="1" applyFill="1" applyBorder="1" applyAlignment="1">
      <alignment horizontal="center"/>
    </xf>
    <xf numFmtId="3" fontId="23" fillId="6" borderId="3" xfId="0" applyNumberFormat="1" applyFont="1" applyFill="1" applyBorder="1" applyAlignment="1">
      <alignment horizontal="center" vertical="center"/>
    </xf>
    <xf numFmtId="3" fontId="17" fillId="6" borderId="3" xfId="0" applyNumberFormat="1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/>
    </xf>
    <xf numFmtId="0" fontId="3" fillId="12" borderId="16" xfId="0" applyFont="1" applyFill="1" applyBorder="1" applyAlignment="1">
      <alignment horizontal="center"/>
    </xf>
  </cellXfs>
  <cellStyles count="9">
    <cellStyle name="Гиперссылка" xfId="4" builtinId="8"/>
    <cellStyle name="Гиперссылка 2" xfId="8" xr:uid="{9F1AF2A9-F450-4440-A8B2-126C5840D5CB}"/>
    <cellStyle name="Обычный" xfId="0" builtinId="0"/>
    <cellStyle name="Обычный 2" xfId="3" xr:uid="{8D78D3FC-5A0E-4048-AFF5-04E201D1E297}"/>
    <cellStyle name="Обычный 3" xfId="5" xr:uid="{883718E2-BF48-4638-8591-43E06A6ACA8A}"/>
    <cellStyle name="Финансовый" xfId="1" builtinId="3"/>
    <cellStyle name="Финансовый [0]" xfId="2" builtinId="6"/>
    <cellStyle name="Финансовый [0] 2" xfId="7" xr:uid="{1053E6F8-9B2D-4623-B441-0FB55C063F4F}"/>
    <cellStyle name="Финансовый 2" xfId="6" xr:uid="{9B0DAEA9-FDA9-423E-956C-1AC019C5DC3A}"/>
  </cellStyles>
  <dxfs count="98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6F73EEC-1097-4D66-BEF9-57B8BB3DB6D8}" name="Таблица213399029467813161718" displayName="Таблица213399029467813161718" ref="A6:M12" totalsRowCount="1" headerRowDxfId="982" dataDxfId="980" totalsRowDxfId="978" headerRowBorderDxfId="981" tableBorderDxfId="979">
  <autoFilter ref="A6:M11" xr:uid="{06F73EEC-1097-4D66-BEF9-57B8BB3DB6D8}"/>
  <tableColumns count="13">
    <tableColumn id="1" xr3:uid="{21D66342-B891-48AB-B274-0774D39E82BC}" name=" " dataDxfId="977" totalsRowDxfId="976"/>
    <tableColumn id="2" xr3:uid="{6FC0B4E4-D852-40B0-BEAC-BE70818F08B7}" name="1" dataDxfId="975" totalsRowDxfId="974"/>
    <tableColumn id="3" xr3:uid="{9A3BB3E1-E8B7-494A-AA79-365F7809EF3F}" name="2" totalsRowFunction="sum" dataDxfId="973" totalsRowDxfId="972"/>
    <tableColumn id="4" xr3:uid="{B944019B-A7DD-42B9-9BCC-42CF7E938045}" name="3" dataDxfId="971" totalsRowDxfId="970"/>
    <tableColumn id="5" xr3:uid="{E62098BB-C254-4DD9-AF8E-5DC19AB7BB61}" name="4" dataDxfId="969" totalsRowDxfId="968"/>
    <tableColumn id="10" xr3:uid="{FD83BB50-DC8B-4806-A3E4-778B5B1D3C2B}" name="9" dataDxfId="967" totalsRowDxfId="966">
      <calculatedColumnFormula>Таблица213399029467813161718[[#This Row],[ ]]</calculatedColumnFormula>
    </tableColumn>
    <tableColumn id="11" xr3:uid="{BD333E1B-4228-44D8-AC63-40D2FA57BC1D}" name="10" dataDxfId="965" totalsRowDxfId="964"/>
    <tableColumn id="12" xr3:uid="{68717576-CD2A-431B-9088-7AF44608E753}" name="11" dataDxfId="963" totalsRowDxfId="962"/>
    <tableColumn id="40" xr3:uid="{56F08CB4-60DC-4F27-A56C-21984A304D11}" name="114" dataDxfId="961" totalsRowDxfId="960"/>
    <tableColumn id="39" xr3:uid="{CEC3553F-757B-470E-90ED-F64CBE2E8A2E}" name="113" dataDxfId="959" totalsRowDxfId="958"/>
    <tableColumn id="41" xr3:uid="{D650A0FC-51B0-4247-9F31-C2B8432E402C}" name="1132" totalsRowFunction="sum" dataDxfId="957" totalsRowDxfId="956"/>
    <tableColumn id="36" xr3:uid="{5D418270-F25B-42D1-935A-7D64A385AB10}" name="15" dataDxfId="955" totalsRowDxfId="954"/>
    <tableColumn id="35" xr3:uid="{6B95B416-9AAB-4839-A5D4-F0935BFF639D}" name="16" totalsRowFunction="sum" dataDxfId="953" totalsRowDxfId="952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E64B0CE-8F16-489E-903C-B33ACD924D95}" name="Таблица2133990294678131617" displayName="Таблица2133990294678131617" ref="A19:N26" totalsRowCount="1" headerRowDxfId="951" dataDxfId="949" totalsRowDxfId="947" headerRowBorderDxfId="950" tableBorderDxfId="948">
  <autoFilter ref="A19:N25" xr:uid="{4E64B0CE-8F16-489E-903C-B33ACD924D95}"/>
  <tableColumns count="14">
    <tableColumn id="1" xr3:uid="{927952A3-F42A-40C2-8A96-96C5F06B9D1E}" name=" " dataDxfId="946" totalsRowDxfId="945"/>
    <tableColumn id="2" xr3:uid="{D86E99CA-5286-4370-8B32-420E19E34921}" name="1" dataDxfId="944" totalsRowDxfId="943"/>
    <tableColumn id="3" xr3:uid="{37825006-A027-496B-81BB-EFFC2AC79082}" name="2" totalsRowFunction="sum" dataDxfId="942" totalsRowDxfId="941"/>
    <tableColumn id="4" xr3:uid="{47AE58CE-333E-47DB-B643-E8B101FA56F7}" name="3" dataDxfId="940" totalsRowDxfId="939"/>
    <tableColumn id="5" xr3:uid="{CD5B9CB2-116B-4BA3-90F0-883CB5845D44}" name="4" dataDxfId="938" totalsRowDxfId="937"/>
    <tableColumn id="10" xr3:uid="{2CB655B4-D9A6-4DC1-A608-467F1D7620E0}" name="9" dataDxfId="936" totalsRowDxfId="935">
      <calculatedColumnFormula>Таблица2133990294678131617[[#This Row],[ ]]</calculatedColumnFormula>
    </tableColumn>
    <tableColumn id="11" xr3:uid="{CC9016A8-EDDF-4AB9-AE73-34C5A31FC812}" name="10" dataDxfId="934" totalsRowDxfId="933"/>
    <tableColumn id="12" xr3:uid="{051F85FF-4CA8-4708-A596-7AF085E174D0}" name="11" dataDxfId="932" totalsRowDxfId="931"/>
    <tableColumn id="40" xr3:uid="{1863489E-149F-4395-9721-718875BB18CB}" name="114" dataDxfId="930" totalsRowDxfId="929"/>
    <tableColumn id="39" xr3:uid="{EDBBB095-D219-4F89-8169-7B6BDF84648E}" name="113" dataDxfId="928" totalsRowDxfId="927"/>
    <tableColumn id="41" xr3:uid="{9C369BD4-2DB5-4794-90F7-B00FBFD41BD6}" name="1132" totalsRowFunction="sum" dataDxfId="926" totalsRowDxfId="925"/>
    <tableColumn id="36" xr3:uid="{844AFB4A-07BC-4A10-A4AA-AB000CD769E6}" name="15" dataDxfId="924" totalsRowDxfId="923"/>
    <tableColumn id="35" xr3:uid="{AE5CD16C-E576-43C0-90F4-28BB9178FD34}" name="16" totalsRowFunction="sum" dataDxfId="922" totalsRowDxfId="921">
      <calculatedColumnFormula>Таблица2133990294678131617[[#This Row],[113]]*Таблица2133990294678131617[[#This Row],[15]]</calculatedColumnFormula>
    </tableColumn>
    <tableColumn id="6" xr3:uid="{104E0B50-1634-4D98-9196-B26B4912A44C}" name="17" dataDxfId="920" totalsRowDxfId="919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344AD1F-E09D-4C23-8F5A-A7E9D2E03D12}" name="Таблица21339902946781316172122" displayName="Таблица21339902946781316172122" ref="A33:N37" totalsRowCount="1" headerRowDxfId="918" dataDxfId="916" totalsRowDxfId="914" headerRowBorderDxfId="917" tableBorderDxfId="915">
  <autoFilter ref="A33:N36" xr:uid="{0344AD1F-E09D-4C23-8F5A-A7E9D2E03D12}"/>
  <tableColumns count="14">
    <tableColumn id="1" xr3:uid="{B79D39FA-C84E-472B-AED8-AEE7B5F1EAAD}" name=" " dataDxfId="913" totalsRowDxfId="912"/>
    <tableColumn id="2" xr3:uid="{4ECE83CE-B63A-458A-AF68-41485D0BAD01}" name="1" dataDxfId="911" totalsRowDxfId="910"/>
    <tableColumn id="3" xr3:uid="{79E9E202-3C5B-4183-BD48-0E1DDA8DBAF7}" name="2" totalsRowFunction="sum" dataDxfId="909" totalsRowDxfId="908"/>
    <tableColumn id="4" xr3:uid="{F2037677-B3E8-49CD-9866-06F01214A90F}" name="3" dataDxfId="907" totalsRowDxfId="906"/>
    <tableColumn id="5" xr3:uid="{6B91FDFB-20BF-4D3A-944A-61A0A8DEF689}" name="4" dataDxfId="905" totalsRowDxfId="904"/>
    <tableColumn id="10" xr3:uid="{C1BBF3A2-8185-4F8F-8FB1-CEF431AD84A9}" name="9" dataDxfId="903" totalsRowDxfId="902">
      <calculatedColumnFormula>Таблица21339902946781316172122[[#This Row],[ ]]</calculatedColumnFormula>
    </tableColumn>
    <tableColumn id="11" xr3:uid="{524562D5-10CF-4FB3-A7B3-5A906C295E9A}" name="10" dataDxfId="901" totalsRowDxfId="900"/>
    <tableColumn id="12" xr3:uid="{75F274C8-CB8B-432F-BB96-307D15CF2C50}" name="11" dataDxfId="899" totalsRowDxfId="898"/>
    <tableColumn id="40" xr3:uid="{4D659C6B-6C59-4909-A08B-C857FE5AA4B4}" name="114" dataDxfId="897" totalsRowDxfId="896"/>
    <tableColumn id="39" xr3:uid="{83BABF49-E5AA-4922-94BD-72CB0301FF62}" name="113" dataDxfId="895" totalsRowDxfId="894"/>
    <tableColumn id="41" xr3:uid="{EBED8E9C-9314-457F-9485-AB8714EA1AA4}" name="1132" totalsRowFunction="sum" dataDxfId="893" totalsRowDxfId="892"/>
    <tableColumn id="36" xr3:uid="{E598AED6-1EF3-41A6-96A7-B0C8BDF5399C}" name="15" dataDxfId="891" totalsRowDxfId="890"/>
    <tableColumn id="35" xr3:uid="{C6646C29-51A9-48A2-AEDC-37152F69E0F1}" name="16" totalsRowFunction="sum" dataDxfId="889" totalsRowDxfId="888">
      <calculatedColumnFormula>Таблица21339902946781316172122[[#This Row],[113]]*Таблица21339902946781316172122[[#This Row],[15]]</calculatedColumnFormula>
    </tableColumn>
    <tableColumn id="6" xr3:uid="{F7BCB9AC-6799-46CF-9A81-C85E9994080A}" name="17" dataDxfId="887" totalsRowDxfId="886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E05EB2DB-1ECD-4AD3-B0E2-A19BBD29048D}" name="Таблица213399029467813161721222324" displayName="Таблица213399029467813161721222324" ref="A44:M49" totalsRowCount="1" headerRowDxfId="885" dataDxfId="883" totalsRowDxfId="881" headerRowBorderDxfId="884" tableBorderDxfId="882">
  <autoFilter ref="A44:M48" xr:uid="{E05EB2DB-1ECD-4AD3-B0E2-A19BBD29048D}"/>
  <tableColumns count="13">
    <tableColumn id="1" xr3:uid="{D30FB015-DAB6-4013-8FBE-1AD66BCBF079}" name=" " dataDxfId="880" totalsRowDxfId="879"/>
    <tableColumn id="2" xr3:uid="{4B2F6AD2-2FE9-401C-914D-BCED90CCC965}" name="1" dataDxfId="878" totalsRowDxfId="877"/>
    <tableColumn id="3" xr3:uid="{DFB57B23-FA86-462C-952A-57E769BDBB9E}" name="2" totalsRowFunction="sum" dataDxfId="876" totalsRowDxfId="875"/>
    <tableColumn id="4" xr3:uid="{3DE3F0C6-F4E0-46F1-A4ED-4D6B369622CB}" name="3" dataDxfId="874" totalsRowDxfId="873"/>
    <tableColumn id="5" xr3:uid="{5D44564E-A15E-40BE-9807-E647F393A424}" name="4" dataDxfId="872" totalsRowDxfId="871"/>
    <tableColumn id="10" xr3:uid="{932CF6DE-410F-4387-A828-3660A369C0F4}" name="9" dataDxfId="870" totalsRowDxfId="869">
      <calculatedColumnFormula>Таблица213399029467813161721222324[[#This Row],[ ]]</calculatedColumnFormula>
    </tableColumn>
    <tableColumn id="11" xr3:uid="{2B6E04D6-0186-4A4D-B326-4A4457A01464}" name="10" dataDxfId="868" totalsRowDxfId="867"/>
    <tableColumn id="12" xr3:uid="{C80A4FFA-47D9-4811-951C-F78846EBDF64}" name="11" dataDxfId="866" totalsRowDxfId="865"/>
    <tableColumn id="40" xr3:uid="{DCF30C10-F534-4D32-BE4D-C8459E08524B}" name="114" dataDxfId="864" totalsRowDxfId="863"/>
    <tableColumn id="39" xr3:uid="{45610D63-47C1-408B-8CC7-2B918EFB040C}" name="113" dataDxfId="862" totalsRowDxfId="861"/>
    <tableColumn id="41" xr3:uid="{7AC25D3E-6F43-4184-905D-0267BCB46806}" name="1132" totalsRowFunction="sum" dataDxfId="860" totalsRowDxfId="859"/>
    <tableColumn id="36" xr3:uid="{E065022E-C1C3-4245-8906-72B3E9DC0A34}" name="15" dataDxfId="858" totalsRowDxfId="857"/>
    <tableColumn id="35" xr3:uid="{3B26C87F-6BA8-4C62-9177-186A6BB5F9DD}" name="16" totalsRowFunction="sum" dataDxfId="856" totalsRowDxfId="855">
      <calculatedColumnFormula>Таблица213399029467813161721222324[[#This Row],[113]]*Таблица213399029467813161721222324[[#This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125F8E9-DC35-4851-99B3-01E50F56E4C9}" name="Таблица21339902946781316172122232425" displayName="Таблица21339902946781316172122232425" ref="A56:O62" totalsRowCount="1" headerRowDxfId="854" dataDxfId="852" totalsRowDxfId="850" headerRowBorderDxfId="853" tableBorderDxfId="851">
  <autoFilter ref="A56:O61" xr:uid="{A125F8E9-DC35-4851-99B3-01E50F56E4C9}"/>
  <tableColumns count="15">
    <tableColumn id="1" xr3:uid="{54242160-9AD4-4409-A60E-618B8BB9143B}" name=" " dataDxfId="849" totalsRowDxfId="848"/>
    <tableColumn id="2" xr3:uid="{11F9C5E3-A012-407D-B89B-883C8550A941}" name="1" dataDxfId="847" totalsRowDxfId="846"/>
    <tableColumn id="3" xr3:uid="{6209E5C5-59E7-493A-98A2-46098AED8111}" name="2" totalsRowFunction="sum" dataDxfId="845" totalsRowDxfId="844"/>
    <tableColumn id="4" xr3:uid="{46BA35AA-83DE-4EC9-BF50-F1E4BFA0BACF}" name="3" dataDxfId="843" totalsRowDxfId="842"/>
    <tableColumn id="5" xr3:uid="{24962E5F-6C3F-4A16-A928-26C5CF601C12}" name="4" dataDxfId="841" totalsRowDxfId="840"/>
    <tableColumn id="10" xr3:uid="{93A3DA9B-5C8C-442C-9870-8E24EC25113C}" name="9" dataDxfId="839" totalsRowDxfId="838">
      <calculatedColumnFormula>Таблица21339902946781316172122232425[[#This Row],[ ]]</calculatedColumnFormula>
    </tableColumn>
    <tableColumn id="11" xr3:uid="{339B496E-FDB2-45D9-9F72-579C81AFA431}" name="10" dataDxfId="837" totalsRowDxfId="836"/>
    <tableColumn id="12" xr3:uid="{9CDA5C5A-C3A9-470B-9751-27DC2586022C}" name="11" dataDxfId="835" totalsRowDxfId="834"/>
    <tableColumn id="40" xr3:uid="{0EE619CF-87DC-4FFB-98B8-C40CC4721FB7}" name="114" dataDxfId="833" totalsRowDxfId="832"/>
    <tableColumn id="39" xr3:uid="{7C007A34-C40A-48F6-9C82-F419F933F5EE}" name="113" dataDxfId="831" totalsRowDxfId="830"/>
    <tableColumn id="41" xr3:uid="{E61DE8DB-FBD3-4EAC-9FC5-EB29B3FBBD75}" name="1132" totalsRowFunction="sum" dataDxfId="829" totalsRowDxfId="828"/>
    <tableColumn id="36" xr3:uid="{79DCEEC3-8333-4637-AE1A-0480D8A075BB}" name="15" dataDxfId="827" totalsRowDxfId="826"/>
    <tableColumn id="35" xr3:uid="{BEBB1C28-353D-41E8-B131-8A805CCCE0DB}" name="16" totalsRowFunction="sum" dataDxfId="825" totalsRowDxfId="824">
      <calculatedColumnFormula>Таблица21339902946781316172122232425[[#This Row],[113]]*Таблица21339902946781316172122232425[[#This Row],[15]]</calculatedColumnFormula>
    </tableColumn>
    <tableColumn id="6" xr3:uid="{C88BC57A-CD4C-41FA-801E-FE1EFC2DC428}" name="17" dataDxfId="823" totalsRowDxfId="822"/>
    <tableColumn id="7" xr3:uid="{891ADEE2-458D-4F58-A7BB-A91D7CF11BAB}" name="18" dataDxfId="821" totalsRowDxfId="820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6597D58-DEA7-4F99-A1F7-7A00C0F0DFA8}" name="Таблица2133990294678131617212223242530" displayName="Таблица2133990294678131617212223242530" ref="A69:M75" totalsRowCount="1" headerRowDxfId="819" dataDxfId="817" totalsRowDxfId="815" headerRowBorderDxfId="818" tableBorderDxfId="816">
  <autoFilter ref="A69:M74" xr:uid="{D6597D58-DEA7-4F99-A1F7-7A00C0F0DFA8}"/>
  <tableColumns count="13">
    <tableColumn id="1" xr3:uid="{073F9EAC-7D36-4BA6-8505-6F886F8B3A0F}" name=" " dataDxfId="814" totalsRowDxfId="813"/>
    <tableColumn id="2" xr3:uid="{87CA630B-DF0D-473C-828D-763F1E5A68FE}" name="1" dataDxfId="812" totalsRowDxfId="811"/>
    <tableColumn id="3" xr3:uid="{5D0052FD-4314-429A-92E8-7DAD322CA045}" name="2" totalsRowFunction="sum" dataDxfId="810" totalsRowDxfId="809"/>
    <tableColumn id="4" xr3:uid="{122AD9DA-1792-44DB-8028-F66535332DBD}" name="3" dataDxfId="808" totalsRowDxfId="807"/>
    <tableColumn id="5" xr3:uid="{1776F98F-8738-4866-A62D-C110265012A9}" name="4" dataDxfId="806" totalsRowDxfId="805"/>
    <tableColumn id="10" xr3:uid="{FA3BEBA2-84AE-404E-AA1F-6153815972B1}" name="9" dataDxfId="804" totalsRowDxfId="803">
      <calculatedColumnFormula>Таблица2133990294678131617212223242530[[#This Row],[ ]]</calculatedColumnFormula>
    </tableColumn>
    <tableColumn id="11" xr3:uid="{E3E473F3-7104-4DC3-AD42-A676DBB940AD}" name="10" dataDxfId="802" totalsRowDxfId="801"/>
    <tableColumn id="12" xr3:uid="{66EC5BEF-1A24-4D2F-976B-FFA049C3F501}" name="11" dataDxfId="800" totalsRowDxfId="799"/>
    <tableColumn id="40" xr3:uid="{0EDD404F-A763-460A-994A-F918EF7E4E38}" name="114" dataDxfId="798" totalsRowDxfId="797"/>
    <tableColumn id="39" xr3:uid="{4E91A0C9-E257-4B43-B163-7F12F059BD7F}" name="113" dataDxfId="796" totalsRowDxfId="795"/>
    <tableColumn id="41" xr3:uid="{F49825C9-CFD3-44A7-B6A7-0E3B85A0F019}" name="1132" totalsRowFunction="sum" dataDxfId="794" totalsRowDxfId="793"/>
    <tableColumn id="36" xr3:uid="{527C7DD8-A1FF-444E-B50D-D46F264AB8BE}" name="15" dataDxfId="792" totalsRowDxfId="791"/>
    <tableColumn id="35" xr3:uid="{8756E8F5-BEA3-4E84-8465-591CA5359D49}" name="16" totalsRowFunction="sum" dataDxfId="790" totalsRowDxfId="789">
      <calculatedColumnFormula>Таблица2133990294678131617212223242530[[#This Row],[113]]*Таблица2133990294678131617212223242530[[#This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429A0BE6-73B5-4E25-8AE3-A5AE6B1CFB0D}" name="Таблица213399029467813161721222324253031" displayName="Таблица213399029467813161721222324253031" ref="A82:M87" totalsRowCount="1" headerRowDxfId="788" dataDxfId="786" totalsRowDxfId="784" headerRowBorderDxfId="787" tableBorderDxfId="785">
  <autoFilter ref="A82:M86" xr:uid="{429A0BE6-73B5-4E25-8AE3-A5AE6B1CFB0D}"/>
  <tableColumns count="13">
    <tableColumn id="1" xr3:uid="{13DE7CAF-2DB5-481E-859D-D5980BB02E31}" name=" " dataDxfId="783" totalsRowDxfId="782"/>
    <tableColumn id="2" xr3:uid="{0EAED606-AE3E-4FC3-A642-4FA9C68F796E}" name="1" dataDxfId="781" totalsRowDxfId="780"/>
    <tableColumn id="3" xr3:uid="{788CAB1F-4A80-45AB-8E12-226A4BB7AF1B}" name="2" totalsRowFunction="sum" dataDxfId="779" totalsRowDxfId="778"/>
    <tableColumn id="4" xr3:uid="{24AEBD5C-02E5-499D-B3C2-6F6A14C110BB}" name="3" dataDxfId="777" totalsRowDxfId="776"/>
    <tableColumn id="5" xr3:uid="{A38FFDCB-2198-4AB2-A448-C8D7239D2F2D}" name="4" dataDxfId="775" totalsRowDxfId="774"/>
    <tableColumn id="10" xr3:uid="{D5BAAC50-2718-4129-B528-7DD0050B64B2}" name="9" dataDxfId="773" totalsRowDxfId="772">
      <calculatedColumnFormula>Таблица213399029467813161721222324253031[[#This Row],[ ]]</calculatedColumnFormula>
    </tableColumn>
    <tableColumn id="11" xr3:uid="{4482C0B1-2E6B-4035-A6A5-9661DB506EE9}" name="10" dataDxfId="771" totalsRowDxfId="770"/>
    <tableColumn id="12" xr3:uid="{807CC1C7-99F9-4F0B-9581-2D45F0BCFEFA}" name="11" dataDxfId="769" totalsRowDxfId="768"/>
    <tableColumn id="40" xr3:uid="{1D03F217-7786-41C9-9C1B-B42345D1CD33}" name="114" dataDxfId="767" totalsRowDxfId="766"/>
    <tableColumn id="39" xr3:uid="{F63BACE3-978B-4DEA-9BDC-7DFFFB14BD0D}" name="113" dataDxfId="765" totalsRowDxfId="764"/>
    <tableColumn id="41" xr3:uid="{06A4C030-FA0E-4EB7-ADEB-65F29FBE1BCF}" name="1132" totalsRowFunction="sum" dataDxfId="763" totalsRowDxfId="762"/>
    <tableColumn id="36" xr3:uid="{7DB45A24-5504-4061-A257-0C7C7972DCCF}" name="15" dataDxfId="761" totalsRowDxfId="760"/>
    <tableColumn id="35" xr3:uid="{31B64E17-9623-4A95-8489-9F9672EA0931}" name="16" totalsRowFunction="sum" dataDxfId="759" totalsRowDxfId="758">
      <calculatedColumnFormula>Таблица213399029467813161721222324253031[[#This Row],[113]]*Таблица213399029467813161721222324253031[[#This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3BBCC25-9237-4732-A60D-9924C5A5E4EC}" name="Таблица213399029467813" displayName="Таблица213399029467813" ref="A6:N26" totalsRowCount="1" headerRowDxfId="757" dataDxfId="755" totalsRowDxfId="753" headerRowBorderDxfId="756" tableBorderDxfId="754">
  <autoFilter ref="A6:N25" xr:uid="{D3BBCC25-9237-4732-A60D-9924C5A5E4EC}"/>
  <tableColumns count="14">
    <tableColumn id="1" xr3:uid="{C0C827E4-B4F9-4735-B1EB-CAD2160782E5}" name=" " dataDxfId="752" totalsRowDxfId="751"/>
    <tableColumn id="2" xr3:uid="{B11DAC0F-72FB-4223-BE1A-1CFFA40F4D4B}" name="1" dataDxfId="750" totalsRowDxfId="749"/>
    <tableColumn id="3" xr3:uid="{F4988AA7-36C0-42A1-9B5D-3C0C20567700}" name="2" totalsRowFunction="sum" dataDxfId="748" totalsRowDxfId="747"/>
    <tableColumn id="4" xr3:uid="{5A44E60D-9476-426E-BBC3-66E34C0665E4}" name="3" dataDxfId="746" totalsRowDxfId="745"/>
    <tableColumn id="5" xr3:uid="{AB59C228-9B96-4633-81D0-15F7AC704DCB}" name="4" dataDxfId="744" totalsRowDxfId="743"/>
    <tableColumn id="10" xr3:uid="{789A1361-CF8B-406F-830F-D47A6DC80312}" name="9" dataDxfId="742" totalsRowDxfId="741">
      <calculatedColumnFormula>Таблица213399029467813[[#This Row],[ ]]</calculatedColumnFormula>
    </tableColumn>
    <tableColumn id="11" xr3:uid="{97017932-6CCD-44B7-812B-8DDA5866411A}" name="10" dataDxfId="740" totalsRowDxfId="739"/>
    <tableColumn id="12" xr3:uid="{AA2A2F03-F70F-47F1-AC49-45280273844A}" name="11" dataDxfId="738" totalsRowDxfId="737"/>
    <tableColumn id="40" xr3:uid="{910C3669-FC89-4568-937C-5052F04AA0AD}" name="114" dataDxfId="736" totalsRowDxfId="735"/>
    <tableColumn id="39" xr3:uid="{0F5BBCE2-3D2E-426D-95CC-465C2460D53C}" name="113" dataDxfId="734" totalsRowDxfId="733"/>
    <tableColumn id="41" xr3:uid="{F32FE241-B428-44DE-B7B6-0E525CED95B1}" name="1132" totalsRowFunction="sum" dataDxfId="732" totalsRowDxfId="731"/>
    <tableColumn id="36" xr3:uid="{997FE4E1-D67E-43BB-B750-D0EE2EB2D96A}" name="15" dataDxfId="730" totalsRowDxfId="729"/>
    <tableColumn id="35" xr3:uid="{075447D3-0FB0-4242-8B8E-F56626CC62B8}" name="16" totalsRowFunction="sum" dataDxfId="728" totalsRowDxfId="727">
      <calculatedColumnFormula>Таблица213399029467813[[#This Row],[113]]*Таблица213399029467813[[#This Row],[15]]</calculatedColumnFormula>
    </tableColumn>
    <tableColumn id="6" xr3:uid="{44EAFAB9-6BAB-476B-B4C3-F6B355EE6837}" name="17" dataDxfId="726" totalsRowDxfId="725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4784A9FB-C39A-47C4-A77E-E781FD9A66B4}" name="Таблица21339902946781316" displayName="Таблица21339902946781316" ref="A33:M40" totalsRowCount="1" headerRowDxfId="724" dataDxfId="722" totalsRowDxfId="720" headerRowBorderDxfId="723" tableBorderDxfId="721">
  <autoFilter ref="A33:M39" xr:uid="{4784A9FB-C39A-47C4-A77E-E781FD9A66B4}"/>
  <tableColumns count="13">
    <tableColumn id="1" xr3:uid="{3F05DD9F-2698-4B2D-ABEE-9F41280D5ED8}" name=" " dataDxfId="719" totalsRowDxfId="718"/>
    <tableColumn id="2" xr3:uid="{C0D72916-E496-4117-9573-3621BEC554E7}" name="1" dataDxfId="717" totalsRowDxfId="716"/>
    <tableColumn id="3" xr3:uid="{30A5E9B0-1838-422F-97C5-0FB9C33E4A82}" name="2" totalsRowFunction="sum" dataDxfId="715" totalsRowDxfId="714"/>
    <tableColumn id="4" xr3:uid="{D4177B84-C048-458F-A753-84D8C94AE8ED}" name="3" dataDxfId="713" totalsRowDxfId="712"/>
    <tableColumn id="5" xr3:uid="{276E05D1-A203-4E22-9951-40FAABCEC1EF}" name="4" dataDxfId="711" totalsRowDxfId="710"/>
    <tableColumn id="10" xr3:uid="{94227016-DBB2-40BB-983F-BBA175BFE5E3}" name="9" dataDxfId="709" totalsRowDxfId="708">
      <calculatedColumnFormula>Таблица21339902946781316[[#This Row],[ ]]</calculatedColumnFormula>
    </tableColumn>
    <tableColumn id="11" xr3:uid="{342F6B34-0EED-47E3-A6D4-064FB7164F27}" name="10" dataDxfId="707" totalsRowDxfId="706"/>
    <tableColumn id="12" xr3:uid="{B39A2AD1-5700-47E7-A6C9-5735A8E8C8F1}" name="11" dataDxfId="705" totalsRowDxfId="704"/>
    <tableColumn id="40" xr3:uid="{4B85335D-D19E-491F-BE1D-1EAE85F65548}" name="114" dataDxfId="703" totalsRowDxfId="702"/>
    <tableColumn id="39" xr3:uid="{B3027781-EB4E-41B9-AEC7-01C9BE1A29EB}" name="113" dataDxfId="701" totalsRowDxfId="700"/>
    <tableColumn id="41" xr3:uid="{0AE85827-02A7-4EB0-94AE-D4C6CE31CC00}" name="1132" totalsRowFunction="sum" dataDxfId="699" totalsRowDxfId="698"/>
    <tableColumn id="36" xr3:uid="{B193373C-4821-406B-9BB0-FBB767A7C001}" name="15" dataDxfId="697" totalsRowDxfId="696"/>
    <tableColumn id="35" xr3:uid="{A1A3EB3B-50C3-4C97-B5FD-EBD2F5C39CC3}" name="16" totalsRowFunction="sum" dataDxfId="695" totalsRowDxfId="694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3D53FDA-7336-4C3A-9BF8-0ACFFBB6C5A8}" name="Таблица2133990294678131619" displayName="Таблица2133990294678131619" ref="A47:N60" totalsRowCount="1" headerRowDxfId="693" dataDxfId="691" totalsRowDxfId="689" headerRowBorderDxfId="692" tableBorderDxfId="690">
  <autoFilter ref="A47:N59" xr:uid="{33D53FDA-7336-4C3A-9BF8-0ACFFBB6C5A8}"/>
  <tableColumns count="14">
    <tableColumn id="1" xr3:uid="{0AB6BBEF-4FF2-448B-841E-D22FA30BF378}" name=" " dataDxfId="688" totalsRowDxfId="687"/>
    <tableColumn id="2" xr3:uid="{EE5A0DD3-7917-49DF-BFF3-171A23207621}" name="1" dataDxfId="686" totalsRowDxfId="685"/>
    <tableColumn id="3" xr3:uid="{8FF7816F-07F3-496F-AB57-2F24109ED51C}" name="2" totalsRowFunction="sum" dataDxfId="684" totalsRowDxfId="683"/>
    <tableColumn id="4" xr3:uid="{A27DA7AB-A5B2-4F3C-B930-37BBD31135E2}" name="3" dataDxfId="682" totalsRowDxfId="681"/>
    <tableColumn id="5" xr3:uid="{53333649-260A-4155-B520-9AC9EC8F48B4}" name="4" dataDxfId="680" totalsRowDxfId="679"/>
    <tableColumn id="10" xr3:uid="{F60020AD-848D-4442-AFC6-4C272B11B1F2}" name="9" dataDxfId="678" totalsRowDxfId="677">
      <calculatedColumnFormula>Таблица2133990294678131619[[#This Row],[ ]]</calculatedColumnFormula>
    </tableColumn>
    <tableColumn id="11" xr3:uid="{A3504AF9-09D2-4383-B171-D341918154F7}" name="10" dataDxfId="676" totalsRowDxfId="675"/>
    <tableColumn id="12" xr3:uid="{FE9D635C-BEE7-479E-AB62-3C264FFFECD8}" name="11" dataDxfId="674" totalsRowDxfId="673"/>
    <tableColumn id="40" xr3:uid="{2B4966F0-AD9B-4830-A34B-733DE36D4C8B}" name="114" dataDxfId="672" totalsRowDxfId="671"/>
    <tableColumn id="39" xr3:uid="{26089732-BD2F-4DAE-A274-9ECB7DA79142}" name="113" dataDxfId="670" totalsRowDxfId="669"/>
    <tableColumn id="41" xr3:uid="{2F80ED13-C82F-43AA-A3D2-E05152BD23F6}" name="1132" totalsRowFunction="sum" dataDxfId="668" totalsRowDxfId="667"/>
    <tableColumn id="36" xr3:uid="{10FD20BA-D2E7-4C45-AF9F-B22CE90D9EF3}" name="15" dataDxfId="666" totalsRowDxfId="665"/>
    <tableColumn id="35" xr3:uid="{B8A76459-C02A-4E86-90A4-B07E36FB74E9}" name="16" totalsRowFunction="sum" dataDxfId="664" totalsRowDxfId="663">
      <calculatedColumnFormula>Таблица2133990294678131619[[#This Row],[113]]*Таблица2133990294678131619[[#This Row],[15]]</calculatedColumnFormula>
    </tableColumn>
    <tableColumn id="6" xr3:uid="{A11323A0-2F69-4C1D-8B94-8E311DA99927}" name="17" dataDxfId="662" totalsRowDxfId="661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8DF78D8-97B8-4CBA-9585-3971AC307F63}" name="Таблица213399029467813161721" displayName="Таблица213399029467813161721" ref="A67:M75" totalsRowCount="1" headerRowDxfId="660" dataDxfId="658" totalsRowDxfId="656" headerRowBorderDxfId="659" tableBorderDxfId="657">
  <autoFilter ref="A67:M74" xr:uid="{F8DF78D8-97B8-4CBA-9585-3971AC307F63}"/>
  <tableColumns count="13">
    <tableColumn id="1" xr3:uid="{E40356E6-AB9E-484E-BA7E-04351876CBC4}" name=" " dataDxfId="655" totalsRowDxfId="654"/>
    <tableColumn id="2" xr3:uid="{F15A0CF8-9FA5-457E-B6CE-DE2BD3A525C4}" name="1" dataDxfId="653" totalsRowDxfId="652"/>
    <tableColumn id="3" xr3:uid="{A177346C-C719-4362-B5CC-DE28BA4C7E21}" name="2" totalsRowFunction="sum" dataDxfId="651" totalsRowDxfId="650"/>
    <tableColumn id="4" xr3:uid="{7E80BB62-69F8-4920-AB16-B429AD5E1021}" name="3" dataDxfId="649" totalsRowDxfId="648"/>
    <tableColumn id="5" xr3:uid="{EDF7BD39-9730-43C4-9BDC-481CCD25EC82}" name="4" dataDxfId="647" totalsRowDxfId="646"/>
    <tableColumn id="10" xr3:uid="{C13D49A6-392D-42F2-AE14-2B83D41FA92C}" name="9" dataDxfId="645" totalsRowDxfId="644">
      <calculatedColumnFormula>Таблица213399029467813161721[[#This Row],[ ]]</calculatedColumnFormula>
    </tableColumn>
    <tableColumn id="11" xr3:uid="{DF1A3303-A5F0-4D1F-A478-B7ACDB759B67}" name="10" dataDxfId="643" totalsRowDxfId="642"/>
    <tableColumn id="12" xr3:uid="{C7BCAEF6-3612-40B8-B096-27A42EE59983}" name="11" dataDxfId="641" totalsRowDxfId="640"/>
    <tableColumn id="40" xr3:uid="{EB6AD1E2-2D4B-4ACF-A2AB-10042197F11B}" name="114" dataDxfId="639" totalsRowDxfId="638"/>
    <tableColumn id="39" xr3:uid="{E49193E8-74BA-4310-9645-15A2AC4D28E4}" name="113" dataDxfId="637" totalsRowDxfId="636"/>
    <tableColumn id="41" xr3:uid="{0B4A3C7B-1F19-4C6F-9F70-812EA1508CDC}" name="1132" totalsRowFunction="sum" dataDxfId="635" totalsRowDxfId="634"/>
    <tableColumn id="36" xr3:uid="{51B11B4D-BCDF-4B10-BD2D-159EA40AD2DF}" name="15" dataDxfId="633" totalsRowDxfId="632"/>
    <tableColumn id="35" xr3:uid="{6270D4B6-6FA7-4B79-83BC-078777A7701F}" name="16" totalsRowFunction="sum" dataDxfId="631" totalsRowDxfId="630">
      <calculatedColumnFormula>Таблица213399029467813161721[[#This Row],[113]]*Таблица213399029467813161721[[#This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B526B9-904B-4AD0-B63D-F3EAB9D63575}" name="Таблица2133990294678131617212" displayName="Таблица2133990294678131617212" ref="A82:M88" totalsRowCount="1" headerRowDxfId="629" dataDxfId="627" totalsRowDxfId="625" headerRowBorderDxfId="628" tableBorderDxfId="626">
  <autoFilter ref="A82:M87" xr:uid="{50B526B9-904B-4AD0-B63D-F3EAB9D63575}"/>
  <tableColumns count="13">
    <tableColumn id="1" xr3:uid="{16AD17E3-DCE1-4A46-A39D-4BFB955EA70F}" name=" " dataDxfId="624" totalsRowDxfId="623"/>
    <tableColumn id="2" xr3:uid="{74E6A80E-41E7-4D24-AAC5-B10DF5B495C7}" name="1" dataDxfId="622" totalsRowDxfId="621"/>
    <tableColumn id="3" xr3:uid="{A25A121E-7D91-48D1-AD7A-E1A9E5D3CAE6}" name="2" totalsRowFunction="sum" dataDxfId="620" totalsRowDxfId="619"/>
    <tableColumn id="4" xr3:uid="{F984BA00-AF20-43AC-9722-293A0CCF8D1C}" name="3" dataDxfId="618" totalsRowDxfId="617"/>
    <tableColumn id="5" xr3:uid="{0C1AF40F-7AD1-4C95-B3A2-DC95D222D17B}" name="4" dataDxfId="616" totalsRowDxfId="615"/>
    <tableColumn id="10" xr3:uid="{2EB02F8D-239A-4186-A467-28312C5CA531}" name="9" dataDxfId="614" totalsRowDxfId="613">
      <calculatedColumnFormula>Таблица2133990294678131617212[[#This Row],[ ]]</calculatedColumnFormula>
    </tableColumn>
    <tableColumn id="11" xr3:uid="{C3295E6A-F776-4455-8EF3-6E0C778CAA47}" name="10" dataDxfId="612" totalsRowDxfId="611"/>
    <tableColumn id="12" xr3:uid="{636E5FE6-4B49-4E5E-A721-B9800017AADC}" name="11" dataDxfId="610" totalsRowDxfId="609"/>
    <tableColumn id="40" xr3:uid="{6AF15029-D792-4CE1-881E-EF73193CA77A}" name="114" dataDxfId="608" totalsRowDxfId="607"/>
    <tableColumn id="39" xr3:uid="{2BBF3CD1-BC6F-4F2F-920C-5827FB7AC031}" name="113" dataDxfId="606" totalsRowDxfId="605"/>
    <tableColumn id="41" xr3:uid="{4B48439D-B574-48AE-A6A1-12371B7778B8}" name="1132" totalsRowFunction="sum" dataDxfId="604" totalsRowDxfId="603"/>
    <tableColumn id="36" xr3:uid="{88654313-FA32-426F-97CB-4012585B7287}" name="15" dataDxfId="602" totalsRowDxfId="601"/>
    <tableColumn id="35" xr3:uid="{759B7222-5231-459E-BFE3-77A1E949963A}" name="16" totalsRowFunction="sum" dataDxfId="600" totalsRowDxfId="599">
      <calculatedColumnFormula>Таблица2133990294678131617212[[#This Row],[113]]*Таблица2133990294678131617212[[#This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84C22BE-E532-4D10-A9C1-3C41F4C1D90D}" name="Таблица2133990294678" displayName="Таблица2133990294678" ref="A6:M17" totalsRowCount="1" headerRowDxfId="598" dataDxfId="596" totalsRowDxfId="594" headerRowBorderDxfId="597" tableBorderDxfId="595">
  <autoFilter ref="A6:M16" xr:uid="{084C22BE-E532-4D10-A9C1-3C41F4C1D90D}"/>
  <tableColumns count="13">
    <tableColumn id="1" xr3:uid="{2CA9CF13-2266-4495-B4FE-FD5E7B71AE66}" name=" " dataDxfId="593" totalsRowDxfId="592"/>
    <tableColumn id="2" xr3:uid="{85E52C65-1F0F-4AFB-9914-B6B0ADA8673F}" name="1" dataDxfId="591" totalsRowDxfId="590"/>
    <tableColumn id="3" xr3:uid="{117153D7-A888-4A6B-91D3-A30D7313E2E4}" name="2" totalsRowFunction="sum" dataDxfId="589" totalsRowDxfId="588"/>
    <tableColumn id="4" xr3:uid="{7D8AB593-A0B2-43BB-89DE-6D9539787DB9}" name="3" dataDxfId="587" totalsRowDxfId="586"/>
    <tableColumn id="5" xr3:uid="{87E51DF3-3795-45ED-A3F0-874C0133B88E}" name="4" dataDxfId="585" totalsRowDxfId="584"/>
    <tableColumn id="10" xr3:uid="{B353762F-BDDD-44D7-9A00-4443E60F5BCA}" name="9" dataDxfId="583" totalsRowDxfId="582">
      <calculatedColumnFormula>Таблица2133990294678[[#This Row],[ ]]</calculatedColumnFormula>
    </tableColumn>
    <tableColumn id="11" xr3:uid="{8CB8024A-8264-4168-AC43-FF14CA6D40C6}" name="10" dataDxfId="581" totalsRowDxfId="580"/>
    <tableColumn id="12" xr3:uid="{ADDBAADA-E492-4C21-B17A-FCA8EE03D6FE}" name="11" dataDxfId="579" totalsRowDxfId="578"/>
    <tableColumn id="40" xr3:uid="{2061C5DB-DE56-4428-A220-B1AEF381B956}" name="114" dataDxfId="577" totalsRowDxfId="576"/>
    <tableColumn id="39" xr3:uid="{3211DFC9-2B89-4670-84B5-DA903237E2D7}" name="113" dataDxfId="575" totalsRowDxfId="574"/>
    <tableColumn id="41" xr3:uid="{A37D60D9-7C78-4FC3-B1ED-542B84910243}" name="1132" totalsRowFunction="sum" dataDxfId="573" totalsRowDxfId="572"/>
    <tableColumn id="36" xr3:uid="{10E6A0E3-E1F9-4238-B1EC-0DF5C576D4A2}" name="15" dataDxfId="571" totalsRowDxfId="570"/>
    <tableColumn id="35" xr3:uid="{6A823989-A670-4912-B5A1-C4F3EE9B72AB}" name="16" totalsRowFunction="sum" dataDxfId="569" totalsRowDxfId="568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7447E9EE-14B1-46BA-8D00-1107B75147E1}" name="Таблица213399029467" displayName="Таблица213399029467" ref="A24:M27" totalsRowCount="1" headerRowDxfId="567" dataDxfId="565" totalsRowDxfId="563" headerRowBorderDxfId="566" tableBorderDxfId="564">
  <autoFilter ref="A24:M26" xr:uid="{7447E9EE-14B1-46BA-8D00-1107B75147E1}"/>
  <tableColumns count="13">
    <tableColumn id="1" xr3:uid="{91A9F212-4169-4DFE-B193-6E80C5B20FCE}" name=" " dataDxfId="562" totalsRowDxfId="561"/>
    <tableColumn id="2" xr3:uid="{647A828B-A178-41A8-B3DE-1B3E9E1C8FB2}" name="1" dataDxfId="560" totalsRowDxfId="559"/>
    <tableColumn id="3" xr3:uid="{CAC3661F-4538-402C-BDBF-C8B2F37A966A}" name="2" totalsRowFunction="sum" dataDxfId="558" totalsRowDxfId="557"/>
    <tableColumn id="4" xr3:uid="{4D5B7262-416F-49BE-81F3-BE692D7968E8}" name="3" dataDxfId="556" totalsRowDxfId="555"/>
    <tableColumn id="5" xr3:uid="{1E1D3584-3DDC-4EAC-943D-52A3D824805F}" name="4" dataDxfId="554" totalsRowDxfId="553"/>
    <tableColumn id="10" xr3:uid="{F2F99115-9C32-4540-9327-9D7B0F20FACB}" name="9" dataDxfId="552" totalsRowDxfId="551">
      <calculatedColumnFormula>Таблица213399029467[[#This Row],[ ]]</calculatedColumnFormula>
    </tableColumn>
    <tableColumn id="11" xr3:uid="{0BC69D72-E0D5-476E-931E-39A278B8FB51}" name="10" dataDxfId="550" totalsRowDxfId="549"/>
    <tableColumn id="12" xr3:uid="{8AEB2449-64FD-4F8E-8156-7697675C4449}" name="11" dataDxfId="548" totalsRowDxfId="547"/>
    <tableColumn id="40" xr3:uid="{D9347022-6017-456A-A1E6-EC7BB68B1F2F}" name="114" dataDxfId="546" totalsRowDxfId="545"/>
    <tableColumn id="39" xr3:uid="{B92A0509-5B92-4CF8-A449-D6F151862D67}" name="113" dataDxfId="544" totalsRowDxfId="543"/>
    <tableColumn id="41" xr3:uid="{7BFA449A-9D53-4710-8A41-28E5B034F8FD}" name="1132" totalsRowFunction="sum" dataDxfId="542" totalsRowDxfId="541"/>
    <tableColumn id="36" xr3:uid="{1448C4F5-CF19-4A03-82B3-7CBE6DE73461}" name="15" dataDxfId="540" totalsRowDxfId="539"/>
    <tableColumn id="35" xr3:uid="{0CEA6719-90D8-4C79-8B66-6FDB578D8B63}" name="16" totalsRowFunction="sum" dataDxfId="538" totalsRowDxfId="537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64D8299-B874-46A5-B0D1-A6547D5CCF88}" name="Таблица213399029467826" displayName="Таблица213399029467826" ref="A34:M39" totalsRowCount="1" headerRowDxfId="536" dataDxfId="534" totalsRowDxfId="532" headerRowBorderDxfId="535" tableBorderDxfId="533">
  <autoFilter ref="A34:M38" xr:uid="{B64D8299-B874-46A5-B0D1-A6547D5CCF88}"/>
  <tableColumns count="13">
    <tableColumn id="1" xr3:uid="{D45252E8-DAA9-45CE-95E2-7D6F44F9D6CF}" name=" " dataDxfId="531" totalsRowDxfId="530"/>
    <tableColumn id="2" xr3:uid="{77362D6E-CCD9-48FE-AC37-9A8E9BFA3D85}" name="1" dataDxfId="529" totalsRowDxfId="528"/>
    <tableColumn id="3" xr3:uid="{7362133F-19FB-4EE9-95A8-C92560084C9A}" name="2" totalsRowFunction="sum" dataDxfId="527" totalsRowDxfId="526"/>
    <tableColumn id="4" xr3:uid="{3E51B94F-1CF2-4BCC-B407-24C4D2CAC659}" name="3" dataDxfId="525" totalsRowDxfId="524"/>
    <tableColumn id="5" xr3:uid="{0B53313B-2FA3-4133-A3A2-29401081ED59}" name="4" dataDxfId="523" totalsRowDxfId="522"/>
    <tableColumn id="10" xr3:uid="{7BD18F72-FCD6-4F2E-A063-D46C65C3A7DB}" name="9" dataDxfId="521" totalsRowDxfId="520">
      <calculatedColumnFormula>Таблица213399029467826[[#This Row],[ ]]</calculatedColumnFormula>
    </tableColumn>
    <tableColumn id="11" xr3:uid="{36E50299-0A8F-41EA-A33F-757C77DDE053}" name="10" dataDxfId="519" totalsRowDxfId="518"/>
    <tableColumn id="12" xr3:uid="{0149092D-E866-41E3-960D-4F02C4857FEB}" name="11" dataDxfId="517" totalsRowDxfId="516"/>
    <tableColumn id="40" xr3:uid="{7E6874C2-5040-4B17-8E99-5EF45145E83E}" name="114" dataDxfId="515" totalsRowDxfId="514"/>
    <tableColumn id="39" xr3:uid="{832CA8C7-B145-4378-8465-44C57CEFC841}" name="113" dataDxfId="513" totalsRowDxfId="512"/>
    <tableColumn id="41" xr3:uid="{FB89B7A7-E827-4602-BE4F-C91B2FE78EF0}" name="1132" totalsRowFunction="sum" dataDxfId="511" totalsRowDxfId="510"/>
    <tableColumn id="36" xr3:uid="{F846B9DC-5F83-4932-B230-A1E7134771B3}" name="15" dataDxfId="509" totalsRowDxfId="508"/>
    <tableColumn id="35" xr3:uid="{644B4A8B-69F3-4244-99A2-6B095B3A1E6D}" name="16" totalsRowFunction="sum" dataDxfId="507" totalsRowDxfId="506">
      <calculatedColumnFormula>Таблица213399029467826[[#This Row],[113]]*Таблица213399029467826[[#This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3305876-EC93-4FA6-B599-2259CE5182D5}" name="Таблица21339902946781316172122232425303132333435" displayName="Таблица21339902946781316172122232425303132333435" ref="A46:M51" totalsRowCount="1" headerRowDxfId="505" dataDxfId="503" totalsRowDxfId="501" headerRowBorderDxfId="504" tableBorderDxfId="502">
  <autoFilter ref="A46:M50" xr:uid="{D3305876-EC93-4FA6-B599-2259CE5182D5}"/>
  <tableColumns count="13">
    <tableColumn id="1" xr3:uid="{A3697CF6-A81D-4E80-902B-122D9BA41ED8}" name=" " dataDxfId="500" totalsRowDxfId="499"/>
    <tableColumn id="2" xr3:uid="{9D03206B-A427-4945-B575-59A5B575D918}" name="1" dataDxfId="498" totalsRowDxfId="497"/>
    <tableColumn id="3" xr3:uid="{E49C6C29-ACEF-474E-AC7D-52270222A199}" name="2" totalsRowFunction="sum" dataDxfId="496" totalsRowDxfId="495"/>
    <tableColumn id="4" xr3:uid="{9DE46AB8-FC49-4FCB-B8BA-1949E22D4A08}" name="3" dataDxfId="494" totalsRowDxfId="493"/>
    <tableColumn id="5" xr3:uid="{A232CF4A-F8FF-4E5E-B9DD-4D99CA8C90A5}" name="4" dataDxfId="492" totalsRowDxfId="491"/>
    <tableColumn id="10" xr3:uid="{ED7CBC68-4157-47AF-B369-4EC0A534FF02}" name="9" dataDxfId="490" totalsRowDxfId="489">
      <calculatedColumnFormula>Таблица21339902946781316172122232425303132333435[[#This Row],[ ]]</calculatedColumnFormula>
    </tableColumn>
    <tableColumn id="11" xr3:uid="{A9EC4EC3-289D-48DF-B008-9F1E4CB80BA0}" name="10" dataDxfId="488" totalsRowDxfId="487"/>
    <tableColumn id="12" xr3:uid="{F1C72F6C-9583-4FF8-96E5-86D386FA7D5F}" name="11" dataDxfId="486" totalsRowDxfId="485"/>
    <tableColumn id="40" xr3:uid="{F35B0908-BB4B-4A5A-BD46-5B1CAFDD818F}" name="114" dataDxfId="484" totalsRowDxfId="483"/>
    <tableColumn id="39" xr3:uid="{89483DF8-4C91-492F-A2F9-D17B1EDFAD53}" name="113" dataDxfId="482" totalsRowDxfId="481"/>
    <tableColumn id="41" xr3:uid="{3F75B7D6-FF29-405B-8F1E-2C2C2AD43A88}" name="1132" totalsRowFunction="sum" dataDxfId="480" totalsRowDxfId="479"/>
    <tableColumn id="36" xr3:uid="{D1D06DB3-F8A6-4476-B95A-E20C453CD855}" name="15" dataDxfId="478" totalsRowDxfId="477"/>
    <tableColumn id="35" xr3:uid="{7625984B-7149-4209-80D3-31E2AFD9D648}" name="16" totalsRowFunction="sum" dataDxfId="476" totalsRowDxfId="475">
      <calculatedColumnFormula>Таблица21339902946781316172122232425303132333435[[#This Row],[113]]*Таблица21339902946781316172122232425303132333435[[#This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84B2CB0-0D95-4C8B-B0C2-2C043AA5CF19}" name="Таблица2133990294678131617212223242530313233343536" displayName="Таблица2133990294678131617212223242530313233343536" ref="A58:M62" totalsRowCount="1" headerRowDxfId="474" dataDxfId="472" totalsRowDxfId="470" headerRowBorderDxfId="473" tableBorderDxfId="471">
  <autoFilter ref="A58:M61" xr:uid="{184B2CB0-0D95-4C8B-B0C2-2C043AA5CF19}"/>
  <tableColumns count="13">
    <tableColumn id="1" xr3:uid="{AF565120-CDAD-4EF7-A77B-C2AAA70CC998}" name=" " dataDxfId="469" totalsRowDxfId="468"/>
    <tableColumn id="2" xr3:uid="{5477EAFB-BBF2-4DFF-B8BA-C74AA89DF2E8}" name="1" dataDxfId="467" totalsRowDxfId="466"/>
    <tableColumn id="3" xr3:uid="{2CEF33BF-ADB0-4E16-9C84-684C6AEBACC2}" name="2" totalsRowFunction="sum" dataDxfId="465" totalsRowDxfId="464"/>
    <tableColumn id="4" xr3:uid="{E05064E6-FAAD-44D6-BA4E-49DC2A9A9F42}" name="3" dataDxfId="463" totalsRowDxfId="462"/>
    <tableColumn id="5" xr3:uid="{21A32E62-1545-4291-874E-DED34FBE8B7C}" name="4" dataDxfId="461" totalsRowDxfId="460"/>
    <tableColumn id="10" xr3:uid="{4E0DFAFD-AA09-4CD0-9A7B-F0778FB4AF6D}" name="9" dataDxfId="459" totalsRowDxfId="458">
      <calculatedColumnFormula>Таблица2133990294678131617212223242530313233343536[[#This Row],[ ]]</calculatedColumnFormula>
    </tableColumn>
    <tableColumn id="11" xr3:uid="{7BED7928-7FAD-4855-9287-DD78AAB8D236}" name="10" dataDxfId="457" totalsRowDxfId="456"/>
    <tableColumn id="12" xr3:uid="{8E8BB738-CC95-457E-8A6E-C33A954AB071}" name="11" dataDxfId="455" totalsRowDxfId="454"/>
    <tableColumn id="40" xr3:uid="{4B7E6168-5FA7-475B-B926-299CE269D712}" name="114" dataDxfId="453" totalsRowDxfId="452"/>
    <tableColumn id="39" xr3:uid="{F2896C0B-7FB3-4D61-A11E-241E4D2434A3}" name="113" dataDxfId="451" totalsRowDxfId="450"/>
    <tableColumn id="41" xr3:uid="{8D4913C3-3373-4B8B-AA7C-0435CE0FDA11}" name="1132" totalsRowFunction="sum" dataDxfId="449" totalsRowDxfId="448"/>
    <tableColumn id="36" xr3:uid="{2DF076F6-1BDC-4EE7-82FF-04AB714E6E19}" name="15" dataDxfId="447" totalsRowDxfId="446"/>
    <tableColumn id="35" xr3:uid="{26F4A164-28CD-449B-AA5A-0063C7A4C665}" name="16" totalsRowFunction="sum" dataDxfId="445" totalsRowDxfId="444">
      <calculatedColumnFormula>Таблица2133990294678131617212223242530313233343536[[#This Row],[113]]*Таблица2133990294678131617212223242530313233343536[[#This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60D56C8-5AF1-4C1C-81A2-48EED7798EB6}" name="Таблица213399029469" displayName="Таблица213399029469" ref="A6:M9" totalsRowCount="1" headerRowDxfId="443" dataDxfId="441" totalsRowDxfId="439" headerRowBorderDxfId="442" tableBorderDxfId="440">
  <autoFilter ref="A6:M8" xr:uid="{260D56C8-5AF1-4C1C-81A2-48EED7798EB6}"/>
  <tableColumns count="13">
    <tableColumn id="1" xr3:uid="{5387C6E6-C386-4A10-A5DF-87D3858B97B0}" name=" " dataDxfId="438" totalsRowDxfId="437"/>
    <tableColumn id="2" xr3:uid="{907EA978-D356-4085-85D1-4EC349586939}" name="1" dataDxfId="436" totalsRowDxfId="435"/>
    <tableColumn id="3" xr3:uid="{A02B3AA3-D378-424E-8B95-CB213483846A}" name="2" totalsRowFunction="sum" dataDxfId="434" totalsRowDxfId="433"/>
    <tableColumn id="4" xr3:uid="{B38CB7DB-8697-412E-B41A-C41B1EABD662}" name="3" dataDxfId="432" totalsRowDxfId="431"/>
    <tableColumn id="5" xr3:uid="{1C03AF89-B34C-422E-9C38-A6A108AC934A}" name="4" dataDxfId="430" totalsRowDxfId="429"/>
    <tableColumn id="10" xr3:uid="{1CCB7ED8-F167-4656-A9C7-827E71F8EA1A}" name="9" dataDxfId="428" totalsRowDxfId="427">
      <calculatedColumnFormula>Таблица213399029469[[#This Row],[ ]]</calculatedColumnFormula>
    </tableColumn>
    <tableColumn id="11" xr3:uid="{19F631E3-7ABE-4303-A830-BBC28D052D33}" name="10" dataDxfId="426" totalsRowDxfId="425"/>
    <tableColumn id="12" xr3:uid="{FC0C78A4-CC67-475B-A283-E3597C155FDD}" name="11" dataDxfId="424" totalsRowDxfId="423"/>
    <tableColumn id="40" xr3:uid="{8219F2B5-4C8C-44D4-A111-73DC6871C740}" name="114" dataDxfId="422" totalsRowDxfId="421"/>
    <tableColumn id="39" xr3:uid="{8BC86B61-EEA2-45EB-A0AA-C842AD5E95C9}" name="113" dataDxfId="420" totalsRowDxfId="419"/>
    <tableColumn id="41" xr3:uid="{B0171941-BDA3-47CC-8071-279474DAF555}" name="1132" totalsRowFunction="sum" dataDxfId="418" totalsRowDxfId="417"/>
    <tableColumn id="36" xr3:uid="{BBBCC20B-AEFA-45DC-ACFC-BC327BD0F441}" name="15" dataDxfId="416" totalsRowDxfId="415"/>
    <tableColumn id="35" xr3:uid="{61F9879A-5660-46AD-BD71-C6ED692C2CF4}" name="16" totalsRowFunction="sum" dataDxfId="414" totalsRowDxfId="413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79281AA-CB1A-4096-A30A-D46C8B9A273F}" name="Таблица21339902946915" displayName="Таблица21339902946915" ref="A48:N55" totalsRowCount="1" headerRowDxfId="412" dataDxfId="410" totalsRowDxfId="408" headerRowBorderDxfId="411" tableBorderDxfId="409">
  <autoFilter ref="A48:N54" xr:uid="{079281AA-CB1A-4096-A30A-D46C8B9A273F}"/>
  <tableColumns count="14">
    <tableColumn id="1" xr3:uid="{02C891FB-3556-4CC8-B42B-2613BAF9EB94}" name=" " dataDxfId="407" totalsRowDxfId="406"/>
    <tableColumn id="2" xr3:uid="{3258BAF5-E1AB-421A-9AD7-F943B1D28A80}" name="1" dataDxfId="405" totalsRowDxfId="404"/>
    <tableColumn id="3" xr3:uid="{378E2E8E-1A0E-48A5-A42A-77636A1F3687}" name="2" totalsRowFunction="sum" dataDxfId="403" totalsRowDxfId="402"/>
    <tableColumn id="4" xr3:uid="{9D244048-A313-4AB8-8962-09A9C1DFF0DC}" name="3" dataDxfId="401" totalsRowDxfId="400"/>
    <tableColumn id="5" xr3:uid="{3D5FDDE2-4293-4B50-87CE-E8657325C954}" name="4" dataDxfId="399" totalsRowDxfId="398"/>
    <tableColumn id="10" xr3:uid="{F4B59CC5-1938-4D31-A9F8-1CE1BFF9B3A2}" name="9" dataDxfId="397" totalsRowDxfId="396">
      <calculatedColumnFormula>Таблица21339902946915[[#This Row],[ ]]</calculatedColumnFormula>
    </tableColumn>
    <tableColumn id="11" xr3:uid="{2CBF809F-CC20-4086-A137-2516C9072FB4}" name="10" dataDxfId="395" totalsRowDxfId="394"/>
    <tableColumn id="12" xr3:uid="{003978DE-CFCD-4B49-9B47-23F321590403}" name="11" dataDxfId="393" totalsRowDxfId="392"/>
    <tableColumn id="40" xr3:uid="{481610A4-5CC1-4E56-B3EE-BE3F1CE1F7C2}" name="114" dataDxfId="391" totalsRowDxfId="390"/>
    <tableColumn id="39" xr3:uid="{8EF61251-DE7D-493E-A699-70328E14BFCE}" name="113" dataDxfId="389" totalsRowDxfId="388"/>
    <tableColumn id="41" xr3:uid="{734DB982-C662-45D4-A310-554BD1648681}" name="1132" totalsRowFunction="sum" dataDxfId="387" totalsRowDxfId="386"/>
    <tableColumn id="36" xr3:uid="{1C7EBEE4-78DA-4FF0-A1C6-15BC5C01E20A}" name="15" dataDxfId="385" totalsRowDxfId="384"/>
    <tableColumn id="35" xr3:uid="{4E50771B-6024-46C2-A852-E40F859218F5}" name="16" totalsRowFunction="sum" dataDxfId="383" totalsRowDxfId="382">
      <calculatedColumnFormula>Таблица21339902946915[[#This Row],[113]]*Таблица21339902946915[[#This Row],[15]]</calculatedColumnFormula>
    </tableColumn>
    <tableColumn id="6" xr3:uid="{DE180D09-9658-4C9E-8820-2012E88740E2}" name="17" dataDxfId="381" totalsRowDxfId="380"/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3DE255-1FE5-414D-B620-CCA345C8BC91}" name="Таблица2133990294678131617212223" displayName="Таблица2133990294678131617212223" ref="A62:N66" totalsRowCount="1" headerRowDxfId="379" dataDxfId="377" totalsRowDxfId="375" headerRowBorderDxfId="378" tableBorderDxfId="376">
  <autoFilter ref="A62:N65" xr:uid="{1E3DE255-1FE5-414D-B620-CCA345C8BC91}"/>
  <tableColumns count="14">
    <tableColumn id="1" xr3:uid="{D8260392-97B4-4AEE-BD79-CE583688BBC4}" name=" " dataDxfId="374" totalsRowDxfId="373"/>
    <tableColumn id="2" xr3:uid="{E530600E-EAA6-4C87-BBED-29FABC041847}" name="1" dataDxfId="372" totalsRowDxfId="371"/>
    <tableColumn id="3" xr3:uid="{532EEC9F-3441-4728-B453-39B36C81FEC6}" name="2" totalsRowFunction="sum" dataDxfId="370" totalsRowDxfId="369"/>
    <tableColumn id="4" xr3:uid="{A89D2EB7-5CFC-4A94-8D4E-7F401FB16C05}" name="3" dataDxfId="368" totalsRowDxfId="367"/>
    <tableColumn id="5" xr3:uid="{08C63AFC-BFD3-42D3-A078-B6749985E849}" name="4" dataDxfId="366" totalsRowDxfId="365"/>
    <tableColumn id="10" xr3:uid="{E481519A-0403-4EF5-B5B1-782ACC7DDA64}" name="9" dataDxfId="364" totalsRowDxfId="363">
      <calculatedColumnFormula>Таблица2133990294678131617212223[[#This Row],[ ]]</calculatedColumnFormula>
    </tableColumn>
    <tableColumn id="11" xr3:uid="{C8406294-3A64-4689-9B7C-BE7C7D515754}" name="10" dataDxfId="362" totalsRowDxfId="361"/>
    <tableColumn id="12" xr3:uid="{F5EB644B-21B8-411C-858B-23FCF94A33F1}" name="11" dataDxfId="360" totalsRowDxfId="359"/>
    <tableColumn id="40" xr3:uid="{C97C58EC-6B1A-4F69-9066-D551423845D8}" name="114" dataDxfId="358" totalsRowDxfId="357"/>
    <tableColumn id="39" xr3:uid="{76FD2963-B897-42BF-A07A-8EDC59265B96}" name="113" dataDxfId="356" totalsRowDxfId="355"/>
    <tableColumn id="41" xr3:uid="{23A2A909-BB56-43AB-A6A2-087296444E83}" name="1132" totalsRowFunction="sum" dataDxfId="354" totalsRowDxfId="353"/>
    <tableColumn id="36" xr3:uid="{BB5C6A3E-C06F-44CB-8613-1D8CE33429D0}" name="15" dataDxfId="352" totalsRowDxfId="351"/>
    <tableColumn id="35" xr3:uid="{EE82FD05-6BC9-42D2-A7AB-42E219D8BB6B}" name="16" totalsRowFunction="sum" dataDxfId="350" totalsRowDxfId="349">
      <calculatedColumnFormula>Таблица2133990294678131617212223[[#This Row],[113]]*Таблица2133990294678131617212223[[#This Row],[15]]</calculatedColumnFormula>
    </tableColumn>
    <tableColumn id="6" xr3:uid="{4B107570-7A4C-4DFB-82F9-3FA8D41AEAA9}" name="17" dataDxfId="348" totalsRowDxfId="347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96E937F-8407-4814-8842-EB2A8B92D599}" name="Таблица2133990294" displayName="Таблица2133990294" ref="A6:M14" totalsRowCount="1" headerRowDxfId="346" dataDxfId="344" totalsRowDxfId="342" headerRowBorderDxfId="345" tableBorderDxfId="343">
  <autoFilter ref="A6:M13" xr:uid="{D96E937F-8407-4814-8842-EB2A8B92D599}"/>
  <tableColumns count="13">
    <tableColumn id="1" xr3:uid="{6C649E15-E1B0-46A6-9E00-41330EC0D4AA}" name=" " dataDxfId="341" totalsRowDxfId="340"/>
    <tableColumn id="2" xr3:uid="{409A1FF5-3CF2-45AE-AE57-5B20595D1061}" name="1" dataDxfId="339" totalsRowDxfId="338"/>
    <tableColumn id="3" xr3:uid="{E0B19A89-E2B1-4E31-8CC8-AF3B0DA53927}" name="2" totalsRowFunction="sum" dataDxfId="337" totalsRowDxfId="336"/>
    <tableColumn id="4" xr3:uid="{E2706858-A6BC-4603-A3C3-26641F7DBDC7}" name="3" dataDxfId="335" totalsRowDxfId="334"/>
    <tableColumn id="5" xr3:uid="{E90ED519-5E14-47CA-9D9F-B90CFB14F35C}" name="4" dataDxfId="333" totalsRowDxfId="332"/>
    <tableColumn id="10" xr3:uid="{F0388BE7-E5AB-4466-B336-6A1558D40B5A}" name="9" dataDxfId="331" totalsRowDxfId="330">
      <calculatedColumnFormula>Таблица2133990294[[#This Row],[ ]]</calculatedColumnFormula>
    </tableColumn>
    <tableColumn id="11" xr3:uid="{95CCB8F9-7FBF-43FE-BA98-E72768811230}" name="10" dataDxfId="329" totalsRowDxfId="328"/>
    <tableColumn id="12" xr3:uid="{640F537A-E900-4714-839C-C877E7832A94}" name="11" dataDxfId="327" totalsRowDxfId="326"/>
    <tableColumn id="40" xr3:uid="{B726D012-B596-421A-98FA-39CE0536921A}" name="114" dataDxfId="325" totalsRowDxfId="324"/>
    <tableColumn id="39" xr3:uid="{A2438B4A-F25A-4C8F-98FD-F070AC6DD589}" name="113" dataDxfId="323" totalsRowDxfId="322"/>
    <tableColumn id="41" xr3:uid="{7ACBCCEB-8AC8-4D12-8970-619B336536F6}" name="1132" totalsRowFunction="sum" dataDxfId="321" totalsRowDxfId="320"/>
    <tableColumn id="36" xr3:uid="{7C6D9049-57E0-4915-B62D-75E21379D333}" name="15" dataDxfId="319" totalsRowDxfId="318"/>
    <tableColumn id="35" xr3:uid="{2826F0D0-E413-4984-B53C-ECB17086013A}" name="16" totalsRowFunction="sum" dataDxfId="317" totalsRowDxfId="316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F3AAF3-74DF-4AF8-AF38-6EE23D7F1C14}" name="Таблица213399029414" displayName="Таблица213399029414" ref="A21:M30" totalsRowCount="1" headerRowDxfId="315" dataDxfId="313" totalsRowDxfId="311" headerRowBorderDxfId="314" tableBorderDxfId="312">
  <autoFilter ref="A21:M29" xr:uid="{B7F3AAF3-74DF-4AF8-AF38-6EE23D7F1C14}"/>
  <tableColumns count="13">
    <tableColumn id="1" xr3:uid="{C7409D27-0858-474D-8BAB-324A1B262C0A}" name=" " dataDxfId="310" totalsRowDxfId="309"/>
    <tableColumn id="2" xr3:uid="{08BF6AF5-C521-4637-97C4-78C571D03365}" name="1" dataDxfId="308" totalsRowDxfId="307"/>
    <tableColumn id="3" xr3:uid="{19073E28-C3B1-4418-A62D-8DA97B7A51F0}" name="2" totalsRowFunction="sum" dataDxfId="306" totalsRowDxfId="305"/>
    <tableColumn id="4" xr3:uid="{D464182C-3E05-4017-A296-7E372B4AB031}" name="3" dataDxfId="304" totalsRowDxfId="303"/>
    <tableColumn id="5" xr3:uid="{239AD893-E9CA-4E36-87AF-7ED0265057A7}" name="4" dataDxfId="302" totalsRowDxfId="301"/>
    <tableColumn id="10" xr3:uid="{38CE05F0-94F7-47F2-867A-C540D6A8E68A}" name="9" dataDxfId="300" totalsRowDxfId="299">
      <calculatedColumnFormula>Таблица213399029414[[#This Row],[ ]]</calculatedColumnFormula>
    </tableColumn>
    <tableColumn id="11" xr3:uid="{10568708-965C-4700-845F-C55704AF2638}" name="10" dataDxfId="298" totalsRowDxfId="297"/>
    <tableColumn id="12" xr3:uid="{BF8E3C3F-81FF-4211-9C8E-D0EF70659172}" name="11" dataDxfId="296" totalsRowDxfId="295"/>
    <tableColumn id="40" xr3:uid="{522266EC-3DA0-41B0-86BC-1E9BD3DC2578}" name="114" dataDxfId="294" totalsRowDxfId="293"/>
    <tableColumn id="39" xr3:uid="{D26F7A0E-655F-4602-AC84-B845D302703E}" name="113" dataDxfId="292" totalsRowDxfId="291"/>
    <tableColumn id="41" xr3:uid="{746F66D1-FB1E-4ACB-BB13-25245C09A068}" name="1132" totalsRowFunction="sum" dataDxfId="290" totalsRowDxfId="289"/>
    <tableColumn id="36" xr3:uid="{7DFC8DFD-27F6-4559-A2B9-6B0E8EC04E8F}" name="15" dataDxfId="288" totalsRowDxfId="287"/>
    <tableColumn id="35" xr3:uid="{5477C53A-0482-409D-9368-D4BB34E304B5}" name="16" totalsRowFunction="sum" dataDxfId="286" totalsRowDxfId="285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43EC06D-DF88-4EB2-9796-007296AE7881}" name="Таблица21339902946781316172122232425303132" displayName="Таблица21339902946781316172122232425303132" ref="A37:M41" totalsRowCount="1" headerRowDxfId="284" dataDxfId="282" totalsRowDxfId="280" headerRowBorderDxfId="283" tableBorderDxfId="281">
  <autoFilter ref="A37:M40" xr:uid="{143EC06D-DF88-4EB2-9796-007296AE7881}"/>
  <tableColumns count="13">
    <tableColumn id="1" xr3:uid="{6C4B8808-CBCC-4B90-B7CB-ADD16FE9A7DD}" name=" " dataDxfId="279" totalsRowDxfId="278"/>
    <tableColumn id="2" xr3:uid="{E42BEE47-8343-41D2-A238-AE587D4B61B7}" name="1" dataDxfId="277" totalsRowDxfId="276"/>
    <tableColumn id="3" xr3:uid="{33E527C2-262F-4CC8-96BC-E026B45411EF}" name="2" totalsRowFunction="sum" dataDxfId="275" totalsRowDxfId="274"/>
    <tableColumn id="4" xr3:uid="{8994DECE-8467-4F38-899E-E2FABFEC3093}" name="3" dataDxfId="273" totalsRowDxfId="272"/>
    <tableColumn id="5" xr3:uid="{1A4384BC-9C83-4359-B27E-F63E04A0F45F}" name="4" dataDxfId="271" totalsRowDxfId="270"/>
    <tableColumn id="10" xr3:uid="{6C97A5A1-3594-4A11-89FF-E05DB46097B6}" name="9" dataDxfId="269" totalsRowDxfId="268">
      <calculatedColumnFormula>Таблица21339902946781316172122232425303132[[#This Row],[ ]]</calculatedColumnFormula>
    </tableColumn>
    <tableColumn id="11" xr3:uid="{6F2208EE-16A2-4321-8007-1F547B008129}" name="10" dataDxfId="267" totalsRowDxfId="266"/>
    <tableColumn id="12" xr3:uid="{AAA7197C-BCCE-4A07-A651-F74A61E6D733}" name="11" dataDxfId="265" totalsRowDxfId="264"/>
    <tableColumn id="40" xr3:uid="{1BE84C08-9300-4513-B26E-18AB4B24A753}" name="114" dataDxfId="263" totalsRowDxfId="262"/>
    <tableColumn id="39" xr3:uid="{A264AD57-E251-433A-A6F2-3B2EC8465068}" name="113" dataDxfId="261" totalsRowDxfId="260"/>
    <tableColumn id="41" xr3:uid="{6710818B-3116-40B9-82F8-FE379B67F744}" name="1132" totalsRowFunction="sum" dataDxfId="259" totalsRowDxfId="258"/>
    <tableColumn id="36" xr3:uid="{27342DA7-F33D-4C96-B6A1-BEDC5B383DBA}" name="15" dataDxfId="257" totalsRowDxfId="256"/>
    <tableColumn id="35" xr3:uid="{19B2CE8A-DF36-4D2F-A3D3-360217ABD65D}" name="16" totalsRowFunction="sum" dataDxfId="255" totalsRowDxfId="254">
      <calculatedColumnFormula>Таблица21339902946781316172122232425303132[[#This Row],[113]]*Таблица21339902946781316172122232425303132[[#This Row],[15]]</calculatedColumnFormula>
    </tableColumn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791C620-C965-45BF-9129-96575CAF1DD2}" name="Таблица2133990" displayName="Таблица2133990" ref="A6:M11" totalsRowCount="1" headerRowDxfId="253" dataDxfId="251" totalsRowDxfId="249" headerRowBorderDxfId="252" tableBorderDxfId="250">
  <autoFilter ref="A6:M10" xr:uid="{1791C620-C965-45BF-9129-96575CAF1DD2}"/>
  <tableColumns count="13">
    <tableColumn id="1" xr3:uid="{47B2A1A4-79C8-4A35-A4F4-212064DFB4D0}" name=" " dataDxfId="248" totalsRowDxfId="247"/>
    <tableColumn id="2" xr3:uid="{ED2D71A9-3255-4718-870E-28C3F7452CC3}" name="1" dataDxfId="246" totalsRowDxfId="245"/>
    <tableColumn id="3" xr3:uid="{008932BA-B689-48F4-90FD-9D08CF691594}" name="2" totalsRowFunction="sum" dataDxfId="244" totalsRowDxfId="243"/>
    <tableColumn id="4" xr3:uid="{61B36600-CB78-4F5A-B913-A4065D2665DC}" name="3" dataDxfId="242" totalsRowDxfId="241"/>
    <tableColumn id="5" xr3:uid="{4F5B13F8-C730-4A77-A835-971A83D15FF6}" name="4" dataDxfId="240" totalsRowDxfId="239"/>
    <tableColumn id="10" xr3:uid="{1FBBC632-F7FA-4AF4-B053-3B05F4FE0DB5}" name="9" dataDxfId="238" totalsRowDxfId="237">
      <calculatedColumnFormula>Таблица2133990[[#This Row],[ ]]</calculatedColumnFormula>
    </tableColumn>
    <tableColumn id="11" xr3:uid="{6CCF327F-DEEA-42A1-B598-F0CA081A7BA3}" name="10" dataDxfId="236" totalsRowDxfId="235"/>
    <tableColumn id="12" xr3:uid="{4FE83C38-6141-44E0-A4CB-03ED401B1C20}" name="11" dataDxfId="234" totalsRowDxfId="233"/>
    <tableColumn id="40" xr3:uid="{015F5CCE-9068-48DC-97F4-EBBE54602918}" name="114" dataDxfId="232" totalsRowDxfId="231"/>
    <tableColumn id="39" xr3:uid="{8E084444-147A-4446-A922-12B74B54EBEA}" name="113" dataDxfId="230" totalsRowDxfId="229"/>
    <tableColumn id="41" xr3:uid="{4555BD84-8CA8-4F7E-9D94-26E66274A3F0}" name="1132" totalsRowFunction="sum" dataDxfId="228" totalsRowDxfId="227"/>
    <tableColumn id="36" xr3:uid="{697CBC3F-7ABE-44F1-817C-DD24BA6B4CDD}" name="15" dataDxfId="226" totalsRowDxfId="225"/>
    <tableColumn id="35" xr3:uid="{5E9EB65D-3C64-406C-BD41-0FFBDDA7E475}" name="16" totalsRowFunction="sum" dataDxfId="224" totalsRowDxfId="223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94E98B9-04C6-4E6A-BFD0-FF554276B834}" name="Таблица213399029" displayName="Таблица213399029" ref="A18:M26" totalsRowCount="1" headerRowDxfId="222" dataDxfId="220" totalsRowDxfId="218" headerRowBorderDxfId="221" tableBorderDxfId="219">
  <autoFilter ref="A18:M25" xr:uid="{D94E98B9-04C6-4E6A-BFD0-FF554276B834}"/>
  <tableColumns count="13">
    <tableColumn id="1" xr3:uid="{10AA6151-1884-49AE-B8EC-7C575BBC2456}" name=" " dataDxfId="217" totalsRowDxfId="216"/>
    <tableColumn id="2" xr3:uid="{8013A07E-ABCD-403F-B6C5-9CA4037A59A7}" name="1" dataDxfId="215" totalsRowDxfId="214"/>
    <tableColumn id="3" xr3:uid="{D5BCB0FC-79F9-4C9C-92B9-AD76D6178F1F}" name="2" totalsRowFunction="sum" dataDxfId="213" totalsRowDxfId="212"/>
    <tableColumn id="4" xr3:uid="{8661B51B-A843-4D5B-89A7-6547C2E1C65C}" name="3" dataDxfId="211" totalsRowDxfId="210"/>
    <tableColumn id="5" xr3:uid="{740F1679-41A2-4802-8B93-F69E04C22F79}" name="4" dataDxfId="209" totalsRowDxfId="208"/>
    <tableColumn id="10" xr3:uid="{8E1B9894-A479-4FF7-AAFA-FB9AB7754AB1}" name="9" dataDxfId="207" totalsRowDxfId="206">
      <calculatedColumnFormula>Таблица213399029[[#This Row],[ ]]</calculatedColumnFormula>
    </tableColumn>
    <tableColumn id="11" xr3:uid="{C9594FF6-5AF5-4D1D-BF18-218F6F81E6BD}" name="10" dataDxfId="205" totalsRowDxfId="204"/>
    <tableColumn id="12" xr3:uid="{77FDD50B-4CE8-4BBF-BE20-A2AB31687DFF}" name="11" dataDxfId="203" totalsRowDxfId="202"/>
    <tableColumn id="40" xr3:uid="{1351C945-3F39-4789-A398-35B33CF95855}" name="114" dataDxfId="201" totalsRowDxfId="200"/>
    <tableColumn id="39" xr3:uid="{7FA247F7-D92D-4F2E-9A64-7F1E9B489E89}" name="113" dataDxfId="199" totalsRowDxfId="198"/>
    <tableColumn id="41" xr3:uid="{3E06DED9-DA03-42B0-879E-098E69245BA9}" name="1132" totalsRowFunction="sum" dataDxfId="197" totalsRowDxfId="196"/>
    <tableColumn id="36" xr3:uid="{D6E4401C-E5B6-4470-B6FC-316074F938B8}" name="15" dataDxfId="195" totalsRowDxfId="194"/>
    <tableColumn id="35" xr3:uid="{7B92BC7F-53DC-4504-AFB7-0CD8E9DBDD0F}" name="16" totalsRowFunction="sum" dataDxfId="193" totalsRowDxfId="192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A4B21D2-3E04-480E-B051-F71B9C83B87E}" name="Таблица2133990291011" displayName="Таблица2133990291011" ref="A33:M36" totalsRowCount="1" headerRowDxfId="191" dataDxfId="189" totalsRowDxfId="187" headerRowBorderDxfId="190" tableBorderDxfId="188">
  <autoFilter ref="A33:M35" xr:uid="{7A4B21D2-3E04-480E-B051-F71B9C83B87E}"/>
  <tableColumns count="13">
    <tableColumn id="1" xr3:uid="{93A21CDA-1C55-44CB-B68E-7EA6EACF3D6F}" name=" " dataDxfId="186" totalsRowDxfId="185"/>
    <tableColumn id="2" xr3:uid="{C40280A1-53AA-485B-9025-852B8FCE42EC}" name="1" dataDxfId="184" totalsRowDxfId="183"/>
    <tableColumn id="3" xr3:uid="{B5CA0917-4F84-42F5-9994-D019AED737FB}" name="2" totalsRowFunction="sum" dataDxfId="182" totalsRowDxfId="181"/>
    <tableColumn id="4" xr3:uid="{E6D50E1B-836A-4CF5-8DA7-6BCC1C6B9145}" name="3" dataDxfId="180" totalsRowDxfId="179"/>
    <tableColumn id="5" xr3:uid="{F61553A1-88D0-4F12-8986-1ED1E9370491}" name="4" dataDxfId="178" totalsRowDxfId="177"/>
    <tableColumn id="10" xr3:uid="{62F4B55D-F9D6-4FD2-A266-F161950E5D46}" name="9" dataDxfId="176" totalsRowDxfId="175">
      <calculatedColumnFormula>Таблица2133990291011[[#This Row],[ ]]</calculatedColumnFormula>
    </tableColumn>
    <tableColumn id="11" xr3:uid="{79A8F1ED-6673-49CE-8BB7-87189E5CE28E}" name="10" dataDxfId="174" totalsRowDxfId="173"/>
    <tableColumn id="12" xr3:uid="{4E27B730-10B2-4336-BD61-6AB9ABAF32D6}" name="11" dataDxfId="172" totalsRowDxfId="171"/>
    <tableColumn id="40" xr3:uid="{1E4B1F5C-6468-4355-BB05-3FE47C28B839}" name="114" dataDxfId="170" totalsRowDxfId="169"/>
    <tableColumn id="39" xr3:uid="{E00461DE-DAFB-4DF0-BC76-9296BE589BD9}" name="113" dataDxfId="168" totalsRowDxfId="167"/>
    <tableColumn id="41" xr3:uid="{64D7830B-11FE-4D49-BAE9-BF6F10742488}" name="1132" totalsRowFunction="sum" dataDxfId="166" totalsRowDxfId="165"/>
    <tableColumn id="36" xr3:uid="{608F8F20-13DA-4147-8768-2268836C169E}" name="15" dataDxfId="164" totalsRowDxfId="163"/>
    <tableColumn id="35" xr3:uid="{4090E1C4-A720-49D5-844D-856E579929A2}" name="16" totalsRowFunction="sum" dataDxfId="162" totalsRowDxfId="161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6E3F1F-728E-4EB2-A5B6-EF6BE3DD08FF}" name="Таблица213399028" displayName="Таблица213399028" ref="A43:M47" totalsRowCount="1" headerRowDxfId="160" dataDxfId="158" totalsRowDxfId="156" headerRowBorderDxfId="159" tableBorderDxfId="157">
  <autoFilter ref="A43:M46" xr:uid="{DD6E3F1F-728E-4EB2-A5B6-EF6BE3DD08FF}"/>
  <tableColumns count="13">
    <tableColumn id="1" xr3:uid="{EF69D6BE-76CE-4123-991F-85D3BB02F071}" name=" " dataDxfId="155" totalsRowDxfId="154"/>
    <tableColumn id="2" xr3:uid="{F86856FC-FD64-4E9B-8F82-DBFF94805351}" name="1" dataDxfId="153" totalsRowDxfId="152"/>
    <tableColumn id="3" xr3:uid="{A36C212A-376D-4122-A5FE-1F38D4DBC5BF}" name="2" totalsRowFunction="sum" dataDxfId="151" totalsRowDxfId="150"/>
    <tableColumn id="4" xr3:uid="{B7F604B3-B8CB-4C3D-A470-363B28F5BF18}" name="3" dataDxfId="149" totalsRowDxfId="148"/>
    <tableColumn id="5" xr3:uid="{01B246E4-B624-49F8-BE51-D435CE717BDA}" name="4" dataDxfId="147" totalsRowDxfId="146"/>
    <tableColumn id="10" xr3:uid="{9BD448AD-6285-4F57-8BE5-473871D120F4}" name="9" dataDxfId="145" totalsRowDxfId="144">
      <calculatedColumnFormula>Таблица213399028[[#This Row],[ ]]</calculatedColumnFormula>
    </tableColumn>
    <tableColumn id="11" xr3:uid="{C5B1B935-BD37-4953-B006-7F959FA57C02}" name="10" dataDxfId="143" totalsRowDxfId="142"/>
    <tableColumn id="12" xr3:uid="{877AF910-E511-4FB4-8094-6CDF084E6709}" name="11" dataDxfId="141" totalsRowDxfId="140"/>
    <tableColumn id="40" xr3:uid="{12F98119-B2E4-4FBB-A427-35C2CB6AF3D2}" name="114" dataDxfId="139" totalsRowDxfId="138"/>
    <tableColumn id="39" xr3:uid="{29297F44-A8C6-4459-AA20-BF5F9BE416CE}" name="113" dataDxfId="137" totalsRowDxfId="136"/>
    <tableColumn id="41" xr3:uid="{7A49CCD1-B1FA-427A-B553-44C143319E48}" name="1132" totalsRowFunction="sum" dataDxfId="135" totalsRowDxfId="134"/>
    <tableColumn id="36" xr3:uid="{6D949D30-3F01-488E-9A4B-AF56465E1377}" name="15" dataDxfId="133" totalsRowDxfId="132"/>
    <tableColumn id="35" xr3:uid="{2468646F-F03C-442D-A810-859C0161D419}" name="16" totalsRowFunction="sum" dataDxfId="131" totalsRowDxfId="130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AC0D3FC-5321-49D1-8DD2-02748BA237D7}" name="Таблица21339902816" displayName="Таблица21339902816" ref="A54:M65" totalsRowCount="1" headerRowDxfId="129" dataDxfId="127" totalsRowDxfId="125" headerRowBorderDxfId="128" tableBorderDxfId="126">
  <autoFilter ref="A54:M64" xr:uid="{8AC0D3FC-5321-49D1-8DD2-02748BA237D7}"/>
  <tableColumns count="13">
    <tableColumn id="1" xr3:uid="{15C73781-D566-4BF0-A44A-57B92F2D5BC1}" name=" " dataDxfId="124" totalsRowDxfId="123"/>
    <tableColumn id="2" xr3:uid="{1AA568BC-3053-44A3-AAC6-AEF3432DD199}" name="1" dataDxfId="122" totalsRowDxfId="121"/>
    <tableColumn id="3" xr3:uid="{5F5C5746-BF7A-40F4-9613-1A3F17817C42}" name="2" totalsRowFunction="sum" dataDxfId="120" totalsRowDxfId="119"/>
    <tableColumn id="4" xr3:uid="{1A4FA269-7FD2-45AB-83AD-EB1B50F7B2BF}" name="3" dataDxfId="118" totalsRowDxfId="117"/>
    <tableColumn id="5" xr3:uid="{0311A4C5-7022-4385-9C52-A32431AD62D6}" name="4" dataDxfId="116" totalsRowDxfId="115"/>
    <tableColumn id="10" xr3:uid="{4420CAC8-0B10-4AE8-BD2E-78393CEF92DF}" name="9" dataDxfId="114" totalsRowDxfId="113"/>
    <tableColumn id="11" xr3:uid="{808DED47-12BE-44A4-A6CD-6FF5E03B9C7C}" name="10" dataDxfId="112" totalsRowDxfId="111"/>
    <tableColumn id="12" xr3:uid="{6D7404BC-CA53-4860-99CA-6012D92717F4}" name="11" dataDxfId="110" totalsRowDxfId="109"/>
    <tableColumn id="40" xr3:uid="{20DB85EF-56C7-48B5-9E83-CE8008423B7C}" name="114" dataDxfId="108" totalsRowDxfId="107"/>
    <tableColumn id="39" xr3:uid="{60E0287E-FD0C-40B9-AF01-F8E1E55A2482}" name="113" dataDxfId="106" totalsRowDxfId="105"/>
    <tableColumn id="41" xr3:uid="{467190AE-429E-4B91-BF18-246D78018342}" name="1132" totalsRowFunction="sum" dataDxfId="104" totalsRowDxfId="103"/>
    <tableColumn id="36" xr3:uid="{515D4BBC-522C-4011-8FF7-30A054AA1FD5}" name="15" dataDxfId="102" totalsRowDxfId="101"/>
    <tableColumn id="35" xr3:uid="{F3EB04E9-FBF9-484A-9277-54F34DB85480}" name="16" totalsRowFunction="sum" dataDxfId="100" totalsRowDxfId="99">
      <calculatedColumnFormula>Таблица21339902816[[#This Row],[15]]*Таблица21339902816[[#This Row],[113]]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8B13072-C891-4B9B-B38D-D43D7FD2F38F}" name="Таблица2133990291012" displayName="Таблица2133990291012" ref="A72:M76" totalsRowCount="1" headerRowDxfId="98" dataDxfId="96" totalsRowDxfId="94" headerRowBorderDxfId="97" tableBorderDxfId="95">
  <autoFilter ref="A72:M75" xr:uid="{B8B13072-C891-4B9B-B38D-D43D7FD2F38F}"/>
  <tableColumns count="13">
    <tableColumn id="1" xr3:uid="{37DA4CE3-D133-4010-9E34-4A63D76A71CF}" name=" " dataDxfId="93" totalsRowDxfId="92"/>
    <tableColumn id="2" xr3:uid="{27B356F2-8B59-4F79-BDDB-0FB8FC8250D4}" name="1" dataDxfId="91" totalsRowDxfId="90"/>
    <tableColumn id="3" xr3:uid="{62BB3AFF-67FC-4F94-9904-63D800EE5539}" name="2" totalsRowFunction="sum" dataDxfId="89" totalsRowDxfId="88"/>
    <tableColumn id="4" xr3:uid="{95231325-21BC-4BF1-AC7A-A25619D12FEB}" name="3" dataDxfId="87" totalsRowDxfId="86"/>
    <tableColumn id="5" xr3:uid="{DEAFEDD6-ED12-4643-896E-F24CAC26A686}" name="4" dataDxfId="85" totalsRowDxfId="84"/>
    <tableColumn id="10" xr3:uid="{8AB41884-866E-4CF1-9381-CB6DF6856034}" name="9" dataDxfId="83" totalsRowDxfId="82">
      <calculatedColumnFormula>Таблица2133990291012[[#This Row],[ ]]</calculatedColumnFormula>
    </tableColumn>
    <tableColumn id="11" xr3:uid="{422E2FD1-4351-43C9-8C5D-08F316064AF5}" name="10" dataDxfId="81" totalsRowDxfId="80"/>
    <tableColumn id="12" xr3:uid="{AA9686F4-107A-485E-9A2C-E526E4B1FD5F}" name="11" dataDxfId="79" totalsRowDxfId="78"/>
    <tableColumn id="40" xr3:uid="{B0754C69-6AEC-45FF-AB90-7A4B9E308859}" name="114" dataDxfId="77" totalsRowDxfId="76"/>
    <tableColumn id="39" xr3:uid="{5335E5D4-97F2-451B-BE3B-9879F49FBC12}" name="113" dataDxfId="75" totalsRowDxfId="74"/>
    <tableColumn id="41" xr3:uid="{3C515D3C-0143-48F5-868E-E10847AD36D4}" name="1132" totalsRowFunction="sum" dataDxfId="73" totalsRowDxfId="72"/>
    <tableColumn id="36" xr3:uid="{4C69A1AB-A708-47FD-B91E-5BA38B0C41C3}" name="15" dataDxfId="71" totalsRowDxfId="70"/>
    <tableColumn id="35" xr3:uid="{C3EDBD75-4E81-4894-AC92-4DE2FE373F9B}" name="16" totalsRowFunction="sum" dataDxfId="69" totalsRowDxfId="68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7FEC43-D755-4AB1-AC0D-048C304C9499}" name="Таблица2133990294678131617212223242530313233" displayName="Таблица2133990294678131617212223242530313233" ref="A83:M94" totalsRowCount="1" headerRowDxfId="67" dataDxfId="65" totalsRowDxfId="63" headerRowBorderDxfId="66" tableBorderDxfId="64">
  <autoFilter ref="A83:M93" xr:uid="{827FEC43-D755-4AB1-AC0D-048C304C9499}"/>
  <tableColumns count="13">
    <tableColumn id="1" xr3:uid="{044AA47F-9248-4176-9681-A7A72B108FFE}" name=" " dataDxfId="62" totalsRowDxfId="61"/>
    <tableColumn id="2" xr3:uid="{E326FE65-398D-4350-A65B-8813DE8DC529}" name="1" dataDxfId="60" totalsRowDxfId="59"/>
    <tableColumn id="3" xr3:uid="{1C58C1A6-1BCD-48E8-BE64-3346A2EE73E8}" name="2" totalsRowFunction="sum" dataDxfId="58" totalsRowDxfId="57"/>
    <tableColumn id="4" xr3:uid="{083F1047-4027-4DBB-BEA7-500978C9FC2D}" name="3" dataDxfId="56" totalsRowDxfId="55"/>
    <tableColumn id="5" xr3:uid="{4CDBA76E-4B3B-4D9F-A3AB-F64CC2A5169E}" name="4" dataDxfId="54" totalsRowDxfId="53"/>
    <tableColumn id="10" xr3:uid="{E4F29343-1830-4727-933E-0AF57E4904C7}" name="9" dataDxfId="52" totalsRowDxfId="51">
      <calculatedColumnFormula>Таблица2133990294678131617212223242530313233[[#This Row],[ ]]</calculatedColumnFormula>
    </tableColumn>
    <tableColumn id="11" xr3:uid="{40DE8599-0A24-4E17-AC47-915830DA96E3}" name="10" dataDxfId="50" totalsRowDxfId="49"/>
    <tableColumn id="12" xr3:uid="{253D3623-0F5D-4975-8CE9-A2E4B81EAD86}" name="11" dataDxfId="48" totalsRowDxfId="47"/>
    <tableColumn id="40" xr3:uid="{525382F4-2109-4700-8FD9-FBBD7EE50AF8}" name="114" dataDxfId="46" totalsRowDxfId="45"/>
    <tableColumn id="39" xr3:uid="{08825B94-A769-4F73-BF56-55DCE6DB5791}" name="113" dataDxfId="44" totalsRowDxfId="43"/>
    <tableColumn id="41" xr3:uid="{9435F859-66B4-423B-A738-339BA5169C26}" name="1132" totalsRowFunction="sum" dataDxfId="42" totalsRowDxfId="41"/>
    <tableColumn id="36" xr3:uid="{6248CFFF-D7B9-45E8-A85B-2967ABA04B59}" name="15" dataDxfId="40" totalsRowDxfId="39"/>
    <tableColumn id="35" xr3:uid="{3A988BE4-489E-490A-9945-E9A8BD7A4ECB}" name="16" totalsRowFunction="sum" dataDxfId="38" totalsRowDxfId="37">
      <calculatedColumnFormula>Таблица2133990294678131617212223242530313233[[#This Row],[113]]*Таблица2133990294678131617212223242530313233[[#This Row],[15]]</calculatedColumnFormula>
    </tableColumn>
  </tableColumns>
  <tableStyleInfo name="TableStyleLight8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E0A74F4-B7B6-4B35-8180-9C300119E381}" name="Таблица213399029467813161721222324253031323334" displayName="Таблица213399029467813161721222324253031323334" ref="A101:M108" totalsRowCount="1" headerRowDxfId="36" dataDxfId="34" totalsRowDxfId="32" headerRowBorderDxfId="35" tableBorderDxfId="33">
  <autoFilter ref="A101:M107" xr:uid="{5E0A74F4-B7B6-4B35-8180-9C300119E381}"/>
  <tableColumns count="13">
    <tableColumn id="1" xr3:uid="{19E4745F-239A-4013-ADFB-D8E9C8E1689C}" name=" " dataDxfId="31" totalsRowDxfId="30"/>
    <tableColumn id="2" xr3:uid="{0A8A939C-385D-4AB2-9D0F-31C0C6BD2325}" name="1" dataDxfId="29" totalsRowDxfId="28"/>
    <tableColumn id="3" xr3:uid="{7224FA24-DF2C-403C-8CB6-4C2A41FC0F45}" name="2" totalsRowFunction="sum" dataDxfId="27" totalsRowDxfId="26"/>
    <tableColumn id="4" xr3:uid="{0507D73F-0243-49A4-9125-7BE16BF15AF8}" name="3" dataDxfId="25" totalsRowDxfId="24"/>
    <tableColumn id="5" xr3:uid="{308B0249-A687-4566-86E2-D4C7A472AC12}" name="4" dataDxfId="23" totalsRowDxfId="22"/>
    <tableColumn id="10" xr3:uid="{2352A243-7C86-48A9-8E18-8B8F7870B48B}" name="9" dataDxfId="21" totalsRowDxfId="20">
      <calculatedColumnFormula>Таблица213399029467813161721222324253031323334[[#This Row],[ ]]</calculatedColumnFormula>
    </tableColumn>
    <tableColumn id="11" xr3:uid="{93927C98-5E52-4D36-8C29-D0EC30EEBF3B}" name="10" dataDxfId="19" totalsRowDxfId="18"/>
    <tableColumn id="12" xr3:uid="{6F3D6483-1FC8-4B4D-9571-261E437AD633}" name="11" dataDxfId="17" totalsRowDxfId="16"/>
    <tableColumn id="40" xr3:uid="{02DC759D-DD65-4FA8-8474-C9159D9A1B1B}" name="114" dataDxfId="15" totalsRowDxfId="14"/>
    <tableColumn id="39" xr3:uid="{D94CCF2B-C365-41A8-8A50-26B4A3B490AD}" name="113" dataDxfId="13" totalsRowDxfId="12"/>
    <tableColumn id="41" xr3:uid="{205CB460-F8A4-4E11-A313-B9D7325EF35D}" name="1132" totalsRowFunction="sum" dataDxfId="11" totalsRowDxfId="10"/>
    <tableColumn id="36" xr3:uid="{B4502F18-6FDD-44CB-9116-EAB320257676}" name="15" dataDxfId="9" totalsRowDxfId="8"/>
    <tableColumn id="35" xr3:uid="{86365DF9-E2F3-4AE8-9215-2E833F912C8C}" name="16" totalsRowFunction="sum" dataDxfId="7" totalsRowDxfId="6">
      <calculatedColumnFormula>Таблица213399029467813161721222324253031323334[[#This Row],[113]]*Таблица213399029467813161721222324253031323334[[#This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1.xml"/><Relationship Id="rId3" Type="http://schemas.openxmlformats.org/officeDocument/2006/relationships/table" Target="../tables/table26.xml"/><Relationship Id="rId7" Type="http://schemas.openxmlformats.org/officeDocument/2006/relationships/table" Target="../tables/table30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6" Type="http://schemas.openxmlformats.org/officeDocument/2006/relationships/table" Target="../tables/table29.xml"/><Relationship Id="rId5" Type="http://schemas.openxmlformats.org/officeDocument/2006/relationships/table" Target="../tables/table28.xml"/><Relationship Id="rId4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24"/>
  <sheetViews>
    <sheetView tabSelected="1" topLeftCell="A133" zoomScale="70" zoomScaleNormal="70" workbookViewId="0">
      <selection activeCell="P152" sqref="P152"/>
    </sheetView>
  </sheetViews>
  <sheetFormatPr defaultRowHeight="14.5" x14ac:dyDescent="0.35"/>
  <cols>
    <col min="1" max="1" width="8.54296875" bestFit="1" customWidth="1"/>
    <col min="2" max="2" width="10" bestFit="1" customWidth="1"/>
    <col min="3" max="3" width="13.90625" bestFit="1" customWidth="1"/>
    <col min="4" max="4" width="25.54296875" bestFit="1" customWidth="1"/>
    <col min="5" max="6" width="13.54296875" bestFit="1" customWidth="1"/>
    <col min="7" max="7" width="13.453125" bestFit="1" customWidth="1"/>
    <col min="8" max="8" width="13.90625" bestFit="1" customWidth="1"/>
    <col min="9" max="9" width="15.1796875" bestFit="1" customWidth="1"/>
    <col min="10" max="10" width="19.453125" bestFit="1" customWidth="1"/>
    <col min="11" max="11" width="14.453125" bestFit="1" customWidth="1"/>
    <col min="12" max="12" width="13.36328125" bestFit="1" customWidth="1"/>
    <col min="13" max="13" width="21.453125" bestFit="1" customWidth="1"/>
    <col min="14" max="14" width="17" bestFit="1" customWidth="1"/>
    <col min="15" max="15" width="14.81640625" bestFit="1" customWidth="1"/>
    <col min="16" max="16" width="11.08984375" bestFit="1" customWidth="1"/>
    <col min="17" max="17" width="13.54296875" bestFit="1" customWidth="1"/>
    <col min="18" max="18" width="19.453125" bestFit="1" customWidth="1"/>
    <col min="19" max="19" width="15.453125" bestFit="1" customWidth="1"/>
    <col min="20" max="20" width="17" bestFit="1" customWidth="1"/>
    <col min="21" max="21" width="11.1796875" bestFit="1" customWidth="1"/>
    <col min="22" max="22" width="15.453125" bestFit="1" customWidth="1"/>
  </cols>
  <sheetData>
    <row r="1" spans="1:22" x14ac:dyDescent="0.35">
      <c r="A1" s="32"/>
      <c r="B1" s="32"/>
      <c r="C1" s="32"/>
      <c r="D1" s="32"/>
      <c r="E1" s="33"/>
      <c r="F1" s="33"/>
      <c r="G1" s="33"/>
      <c r="H1" s="34"/>
      <c r="I1" s="32"/>
      <c r="J1" s="32"/>
      <c r="K1" s="33"/>
      <c r="L1" s="32"/>
      <c r="M1" s="32"/>
      <c r="N1" s="32"/>
      <c r="O1" s="32"/>
      <c r="P1" s="32"/>
      <c r="Q1" s="32"/>
      <c r="R1" s="32"/>
      <c r="S1" s="32"/>
      <c r="T1" s="32"/>
      <c r="U1" s="32"/>
    </row>
    <row r="2" spans="1:22" ht="17.5" x14ac:dyDescent="0.35">
      <c r="A2" s="35"/>
      <c r="B2" s="35"/>
      <c r="C2" s="35"/>
      <c r="D2" s="35"/>
      <c r="E2" s="35"/>
      <c r="F2" s="35"/>
      <c r="G2" s="35"/>
      <c r="H2" s="36"/>
      <c r="I2" s="35"/>
      <c r="J2" s="37"/>
      <c r="K2" s="37"/>
      <c r="L2" s="35"/>
      <c r="M2" s="35"/>
      <c r="N2" s="35"/>
      <c r="O2" s="35"/>
      <c r="P2" s="35"/>
      <c r="Q2" s="35"/>
      <c r="R2" s="35"/>
      <c r="S2" s="35"/>
      <c r="T2" s="35"/>
      <c r="U2" s="35"/>
    </row>
    <row r="3" spans="1:22" ht="29.25" customHeight="1" x14ac:dyDescent="0.35">
      <c r="A3" s="1" t="s">
        <v>0</v>
      </c>
      <c r="B3" s="2" t="s">
        <v>1</v>
      </c>
      <c r="C3" s="2" t="s">
        <v>2</v>
      </c>
      <c r="D3" s="3" t="s">
        <v>3</v>
      </c>
      <c r="E3" s="4" t="s">
        <v>4</v>
      </c>
      <c r="F3" s="3" t="s">
        <v>5</v>
      </c>
      <c r="G3" s="5" t="s">
        <v>6</v>
      </c>
      <c r="H3" s="5" t="s">
        <v>7</v>
      </c>
      <c r="I3" s="5" t="s">
        <v>8</v>
      </c>
      <c r="J3" s="3" t="s">
        <v>9</v>
      </c>
      <c r="K3" s="6" t="s">
        <v>10</v>
      </c>
      <c r="L3" s="7" t="s">
        <v>11</v>
      </c>
      <c r="M3" s="3" t="s">
        <v>12</v>
      </c>
      <c r="N3" s="3" t="s">
        <v>13</v>
      </c>
      <c r="O3" s="8" t="s">
        <v>14</v>
      </c>
      <c r="P3" s="3" t="s">
        <v>15</v>
      </c>
      <c r="Q3" s="3" t="s">
        <v>16</v>
      </c>
      <c r="R3" s="9" t="s">
        <v>17</v>
      </c>
      <c r="S3" s="10" t="s">
        <v>18</v>
      </c>
      <c r="T3" s="3" t="s">
        <v>19</v>
      </c>
      <c r="U3" s="3" t="s">
        <v>20</v>
      </c>
      <c r="V3" s="3" t="s">
        <v>21</v>
      </c>
    </row>
    <row r="4" spans="1:22" x14ac:dyDescent="0.35">
      <c r="A4" s="11">
        <v>1</v>
      </c>
      <c r="B4" s="12" t="s">
        <v>22</v>
      </c>
      <c r="C4" s="13" t="s">
        <v>23</v>
      </c>
      <c r="D4" s="13" t="s">
        <v>24</v>
      </c>
      <c r="E4" s="14">
        <v>46197</v>
      </c>
      <c r="F4" s="15" t="s">
        <v>25</v>
      </c>
      <c r="G4" s="16" t="s">
        <v>26</v>
      </c>
      <c r="H4" s="17">
        <v>31.103999999999999</v>
      </c>
      <c r="I4" s="16">
        <v>500000</v>
      </c>
      <c r="J4" s="18">
        <f>H4*I4</f>
        <v>15552000</v>
      </c>
      <c r="K4" s="19">
        <v>18</v>
      </c>
      <c r="L4" s="19">
        <v>130000</v>
      </c>
      <c r="M4" s="18">
        <f>K4*L4</f>
        <v>2340000</v>
      </c>
      <c r="N4" s="18">
        <f>J4+M4</f>
        <v>17892000</v>
      </c>
      <c r="O4" s="20">
        <v>732542.43799999997</v>
      </c>
      <c r="P4" s="18">
        <f>O4-I4</f>
        <v>232542.43799999997</v>
      </c>
      <c r="Q4" s="18" t="s">
        <v>27</v>
      </c>
      <c r="R4" s="18">
        <f>O4*H4</f>
        <v>22784999.991551999</v>
      </c>
      <c r="S4" s="169">
        <v>2000000</v>
      </c>
      <c r="T4" s="18">
        <f>R4-J4</f>
        <v>7232999.991551999</v>
      </c>
      <c r="U4" s="11" t="s">
        <v>28</v>
      </c>
      <c r="V4" s="18">
        <f>T4-S4</f>
        <v>5232999.991551999</v>
      </c>
    </row>
    <row r="5" spans="1:22" x14ac:dyDescent="0.35">
      <c r="A5" s="11">
        <f>A4+1</f>
        <v>2</v>
      </c>
      <c r="B5" s="12" t="s">
        <v>22</v>
      </c>
      <c r="C5" s="13" t="s">
        <v>23</v>
      </c>
      <c r="D5" s="13" t="s">
        <v>24</v>
      </c>
      <c r="E5" s="14">
        <v>46197</v>
      </c>
      <c r="F5" s="15" t="s">
        <v>29</v>
      </c>
      <c r="G5" s="16" t="s">
        <v>26</v>
      </c>
      <c r="H5" s="17">
        <v>31.103999999999999</v>
      </c>
      <c r="I5" s="16">
        <v>500000</v>
      </c>
      <c r="J5" s="18">
        <f t="shared" ref="J5:J68" si="0">H5*I5</f>
        <v>15552000</v>
      </c>
      <c r="K5" s="19">
        <v>18</v>
      </c>
      <c r="L5" s="19">
        <v>130000</v>
      </c>
      <c r="M5" s="18">
        <f t="shared" ref="M5:M68" si="1">K5*L5</f>
        <v>2340000</v>
      </c>
      <c r="N5" s="18">
        <f t="shared" ref="N5:N68" si="2">J5+M5</f>
        <v>17892000</v>
      </c>
      <c r="O5" s="20">
        <v>732542.43799999997</v>
      </c>
      <c r="P5" s="18">
        <f t="shared" ref="P5:P68" si="3">O5-I5</f>
        <v>232542.43799999997</v>
      </c>
      <c r="Q5" s="18" t="s">
        <v>27</v>
      </c>
      <c r="R5" s="18">
        <f t="shared" ref="R5:R68" si="4">O5*H5</f>
        <v>22784999.991551999</v>
      </c>
      <c r="S5" s="169">
        <v>2000000</v>
      </c>
      <c r="T5" s="18">
        <f t="shared" ref="T5:T68" si="5">R5-J5</f>
        <v>7232999.991551999</v>
      </c>
      <c r="U5" s="11" t="s">
        <v>28</v>
      </c>
      <c r="V5" s="18">
        <f t="shared" ref="V5:V68" si="6">T5-S5</f>
        <v>5232999.991551999</v>
      </c>
    </row>
    <row r="6" spans="1:22" x14ac:dyDescent="0.35">
      <c r="A6" s="11">
        <f t="shared" ref="A6:A24" si="7">A5+1</f>
        <v>3</v>
      </c>
      <c r="B6" s="12" t="s">
        <v>22</v>
      </c>
      <c r="C6" s="13" t="s">
        <v>23</v>
      </c>
      <c r="D6" s="13" t="s">
        <v>30</v>
      </c>
      <c r="E6" s="14">
        <v>46197</v>
      </c>
      <c r="F6" s="15" t="s">
        <v>31</v>
      </c>
      <c r="G6" s="16" t="s">
        <v>26</v>
      </c>
      <c r="H6" s="17">
        <v>31.103999999999999</v>
      </c>
      <c r="I6" s="16">
        <v>500000</v>
      </c>
      <c r="J6" s="18">
        <f t="shared" si="0"/>
        <v>15552000</v>
      </c>
      <c r="K6" s="19">
        <v>18</v>
      </c>
      <c r="L6" s="19">
        <v>130000</v>
      </c>
      <c r="M6" s="18">
        <f t="shared" si="1"/>
        <v>2340000</v>
      </c>
      <c r="N6" s="18">
        <f t="shared" si="2"/>
        <v>17892000</v>
      </c>
      <c r="O6" s="20">
        <v>700000</v>
      </c>
      <c r="P6" s="18">
        <f t="shared" si="3"/>
        <v>200000</v>
      </c>
      <c r="Q6" s="18" t="s">
        <v>27</v>
      </c>
      <c r="R6" s="18">
        <f t="shared" si="4"/>
        <v>21772800</v>
      </c>
      <c r="S6" s="169">
        <v>2000000</v>
      </c>
      <c r="T6" s="18">
        <f t="shared" si="5"/>
        <v>6220800</v>
      </c>
      <c r="U6" s="11" t="s">
        <v>28</v>
      </c>
      <c r="V6" s="18">
        <f t="shared" si="6"/>
        <v>4220800</v>
      </c>
    </row>
    <row r="7" spans="1:22" x14ac:dyDescent="0.35">
      <c r="A7" s="11">
        <f t="shared" si="7"/>
        <v>4</v>
      </c>
      <c r="B7" s="12" t="s">
        <v>22</v>
      </c>
      <c r="C7" s="21" t="s">
        <v>32</v>
      </c>
      <c r="D7" s="21" t="s">
        <v>33</v>
      </c>
      <c r="E7" s="22">
        <v>46197</v>
      </c>
      <c r="F7" s="23" t="s">
        <v>34</v>
      </c>
      <c r="G7" s="16" t="s">
        <v>26</v>
      </c>
      <c r="H7" s="17">
        <v>31.103999999999999</v>
      </c>
      <c r="I7" s="16">
        <v>500000</v>
      </c>
      <c r="J7" s="18">
        <f t="shared" si="0"/>
        <v>15552000</v>
      </c>
      <c r="K7" s="19">
        <v>18</v>
      </c>
      <c r="L7" s="19">
        <v>130000</v>
      </c>
      <c r="M7" s="18">
        <f t="shared" si="1"/>
        <v>2340000</v>
      </c>
      <c r="N7" s="18">
        <f t="shared" si="2"/>
        <v>17892000</v>
      </c>
      <c r="O7" s="20">
        <v>750000</v>
      </c>
      <c r="P7" s="18">
        <f t="shared" si="3"/>
        <v>250000</v>
      </c>
      <c r="Q7" s="18" t="s">
        <v>27</v>
      </c>
      <c r="R7" s="18">
        <f t="shared" si="4"/>
        <v>23328000</v>
      </c>
      <c r="S7" s="169">
        <v>2000000</v>
      </c>
      <c r="T7" s="18">
        <f t="shared" si="5"/>
        <v>7776000</v>
      </c>
      <c r="U7" s="11" t="s">
        <v>28</v>
      </c>
      <c r="V7" s="18">
        <f t="shared" si="6"/>
        <v>5776000</v>
      </c>
    </row>
    <row r="8" spans="1:22" x14ac:dyDescent="0.35">
      <c r="A8" s="11">
        <f t="shared" si="7"/>
        <v>5</v>
      </c>
      <c r="B8" s="12" t="s">
        <v>22</v>
      </c>
      <c r="C8" s="13" t="s">
        <v>23</v>
      </c>
      <c r="D8" s="13" t="s">
        <v>30</v>
      </c>
      <c r="E8" s="14">
        <v>46197</v>
      </c>
      <c r="F8" s="15" t="s">
        <v>35</v>
      </c>
      <c r="G8" s="16" t="s">
        <v>26</v>
      </c>
      <c r="H8" s="17">
        <v>32.832000000000001</v>
      </c>
      <c r="I8" s="16">
        <v>500000</v>
      </c>
      <c r="J8" s="18">
        <f t="shared" si="0"/>
        <v>16416000</v>
      </c>
      <c r="K8" s="19">
        <v>19</v>
      </c>
      <c r="L8" s="19">
        <v>130000</v>
      </c>
      <c r="M8" s="18">
        <f t="shared" si="1"/>
        <v>2470000</v>
      </c>
      <c r="N8" s="18">
        <f t="shared" si="2"/>
        <v>18886000</v>
      </c>
      <c r="O8" s="20">
        <v>700000</v>
      </c>
      <c r="P8" s="18">
        <f t="shared" si="3"/>
        <v>200000</v>
      </c>
      <c r="Q8" s="18" t="s">
        <v>27</v>
      </c>
      <c r="R8" s="18">
        <f t="shared" si="4"/>
        <v>22982400</v>
      </c>
      <c r="S8" s="169">
        <v>2000000</v>
      </c>
      <c r="T8" s="18">
        <f t="shared" si="5"/>
        <v>6566400</v>
      </c>
      <c r="U8" s="11" t="s">
        <v>28</v>
      </c>
      <c r="V8" s="18">
        <f t="shared" si="6"/>
        <v>4566400</v>
      </c>
    </row>
    <row r="9" spans="1:22" x14ac:dyDescent="0.35">
      <c r="A9" s="11">
        <f t="shared" si="7"/>
        <v>6</v>
      </c>
      <c r="B9" s="12" t="s">
        <v>22</v>
      </c>
      <c r="C9" s="13" t="s">
        <v>23</v>
      </c>
      <c r="D9" s="13" t="s">
        <v>30</v>
      </c>
      <c r="E9" s="14">
        <v>46198</v>
      </c>
      <c r="F9" s="15" t="s">
        <v>36</v>
      </c>
      <c r="G9" s="16" t="s">
        <v>26</v>
      </c>
      <c r="H9" s="17">
        <v>32.832000000000001</v>
      </c>
      <c r="I9" s="16">
        <v>500000</v>
      </c>
      <c r="J9" s="18">
        <f t="shared" si="0"/>
        <v>16416000</v>
      </c>
      <c r="K9" s="19">
        <v>19</v>
      </c>
      <c r="L9" s="19">
        <v>130000</v>
      </c>
      <c r="M9" s="18">
        <f t="shared" si="1"/>
        <v>2470000</v>
      </c>
      <c r="N9" s="18">
        <f t="shared" si="2"/>
        <v>18886000</v>
      </c>
      <c r="O9" s="20">
        <v>700000</v>
      </c>
      <c r="P9" s="18">
        <f t="shared" si="3"/>
        <v>200000</v>
      </c>
      <c r="Q9" s="18" t="s">
        <v>27</v>
      </c>
      <c r="R9" s="18">
        <f t="shared" si="4"/>
        <v>22982400</v>
      </c>
      <c r="S9" s="169">
        <v>2000000</v>
      </c>
      <c r="T9" s="18">
        <f t="shared" si="5"/>
        <v>6566400</v>
      </c>
      <c r="U9" s="11" t="s">
        <v>28</v>
      </c>
      <c r="V9" s="18">
        <f t="shared" si="6"/>
        <v>4566400</v>
      </c>
    </row>
    <row r="10" spans="1:22" x14ac:dyDescent="0.35">
      <c r="A10" s="11">
        <f t="shared" si="7"/>
        <v>7</v>
      </c>
      <c r="B10" s="12" t="s">
        <v>22</v>
      </c>
      <c r="C10" s="13" t="s">
        <v>23</v>
      </c>
      <c r="D10" s="13" t="s">
        <v>37</v>
      </c>
      <c r="E10" s="14">
        <v>46198</v>
      </c>
      <c r="F10" s="15" t="s">
        <v>38</v>
      </c>
      <c r="G10" s="16" t="s">
        <v>26</v>
      </c>
      <c r="H10" s="17">
        <v>32.832000000000001</v>
      </c>
      <c r="I10" s="16">
        <v>500000</v>
      </c>
      <c r="J10" s="18">
        <f t="shared" si="0"/>
        <v>16416000</v>
      </c>
      <c r="K10" s="19">
        <v>19</v>
      </c>
      <c r="L10" s="19">
        <v>130000</v>
      </c>
      <c r="M10" s="18">
        <f t="shared" si="1"/>
        <v>2470000</v>
      </c>
      <c r="N10" s="18">
        <f t="shared" si="2"/>
        <v>18886000</v>
      </c>
      <c r="O10" s="20">
        <v>735000</v>
      </c>
      <c r="P10" s="18">
        <f t="shared" si="3"/>
        <v>235000</v>
      </c>
      <c r="Q10" s="18" t="s">
        <v>27</v>
      </c>
      <c r="R10" s="18">
        <f t="shared" si="4"/>
        <v>24131520</v>
      </c>
      <c r="S10" s="169">
        <v>2000000</v>
      </c>
      <c r="T10" s="18">
        <f t="shared" si="5"/>
        <v>7715520</v>
      </c>
      <c r="U10" s="11" t="s">
        <v>28</v>
      </c>
      <c r="V10" s="18">
        <f t="shared" si="6"/>
        <v>5715520</v>
      </c>
    </row>
    <row r="11" spans="1:22" x14ac:dyDescent="0.35">
      <c r="A11" s="11">
        <f t="shared" si="7"/>
        <v>8</v>
      </c>
      <c r="B11" s="12" t="s">
        <v>22</v>
      </c>
      <c r="C11" s="13" t="s">
        <v>23</v>
      </c>
      <c r="D11" s="13" t="s">
        <v>37</v>
      </c>
      <c r="E11" s="14">
        <v>46198</v>
      </c>
      <c r="F11" s="15" t="s">
        <v>39</v>
      </c>
      <c r="G11" s="16" t="s">
        <v>26</v>
      </c>
      <c r="H11" s="17">
        <v>32.832000000000001</v>
      </c>
      <c r="I11" s="16">
        <v>500000</v>
      </c>
      <c r="J11" s="18">
        <f t="shared" si="0"/>
        <v>16416000</v>
      </c>
      <c r="K11" s="19">
        <v>19</v>
      </c>
      <c r="L11" s="19">
        <v>130000</v>
      </c>
      <c r="M11" s="18">
        <f t="shared" si="1"/>
        <v>2470000</v>
      </c>
      <c r="N11" s="18">
        <f t="shared" si="2"/>
        <v>18886000</v>
      </c>
      <c r="O11" s="20">
        <v>735000</v>
      </c>
      <c r="P11" s="18">
        <f t="shared" si="3"/>
        <v>235000</v>
      </c>
      <c r="Q11" s="18" t="s">
        <v>27</v>
      </c>
      <c r="R11" s="18">
        <f t="shared" si="4"/>
        <v>24131520</v>
      </c>
      <c r="S11" s="169">
        <v>2000000</v>
      </c>
      <c r="T11" s="18">
        <f t="shared" si="5"/>
        <v>7715520</v>
      </c>
      <c r="U11" s="11" t="s">
        <v>28</v>
      </c>
      <c r="V11" s="18">
        <f t="shared" si="6"/>
        <v>5715520</v>
      </c>
    </row>
    <row r="12" spans="1:22" x14ac:dyDescent="0.35">
      <c r="A12" s="11">
        <f t="shared" si="7"/>
        <v>9</v>
      </c>
      <c r="B12" s="12" t="s">
        <v>22</v>
      </c>
      <c r="C12" s="13" t="s">
        <v>23</v>
      </c>
      <c r="D12" s="13" t="s">
        <v>37</v>
      </c>
      <c r="E12" s="14">
        <v>46198</v>
      </c>
      <c r="F12" s="15" t="s">
        <v>40</v>
      </c>
      <c r="G12" s="16" t="s">
        <v>26</v>
      </c>
      <c r="H12" s="17">
        <v>32.832000000000001</v>
      </c>
      <c r="I12" s="16">
        <v>500000</v>
      </c>
      <c r="J12" s="18">
        <f t="shared" si="0"/>
        <v>16416000</v>
      </c>
      <c r="K12" s="19">
        <v>19</v>
      </c>
      <c r="L12" s="19">
        <v>130000</v>
      </c>
      <c r="M12" s="18">
        <f t="shared" si="1"/>
        <v>2470000</v>
      </c>
      <c r="N12" s="18">
        <f t="shared" si="2"/>
        <v>18886000</v>
      </c>
      <c r="O12" s="20">
        <v>735000</v>
      </c>
      <c r="P12" s="18">
        <f t="shared" si="3"/>
        <v>235000</v>
      </c>
      <c r="Q12" s="18" t="s">
        <v>27</v>
      </c>
      <c r="R12" s="18">
        <f t="shared" si="4"/>
        <v>24131520</v>
      </c>
      <c r="S12" s="169">
        <v>2000000</v>
      </c>
      <c r="T12" s="18">
        <f t="shared" si="5"/>
        <v>7715520</v>
      </c>
      <c r="U12" s="11" t="s">
        <v>28</v>
      </c>
      <c r="V12" s="18">
        <f t="shared" si="6"/>
        <v>5715520</v>
      </c>
    </row>
    <row r="13" spans="1:22" x14ac:dyDescent="0.35">
      <c r="A13" s="11">
        <f t="shared" si="7"/>
        <v>10</v>
      </c>
      <c r="B13" s="12" t="s">
        <v>22</v>
      </c>
      <c r="C13" s="24" t="s">
        <v>41</v>
      </c>
      <c r="D13" s="24" t="s">
        <v>42</v>
      </c>
      <c r="E13" s="25">
        <v>46198</v>
      </c>
      <c r="F13" s="26" t="s">
        <v>43</v>
      </c>
      <c r="G13" s="16" t="s">
        <v>26</v>
      </c>
      <c r="H13" s="17">
        <v>32.832000000000001</v>
      </c>
      <c r="I13" s="16">
        <v>500000</v>
      </c>
      <c r="J13" s="18">
        <f t="shared" si="0"/>
        <v>16416000</v>
      </c>
      <c r="K13" s="19">
        <v>19</v>
      </c>
      <c r="L13" s="19">
        <v>130000</v>
      </c>
      <c r="M13" s="18">
        <f t="shared" si="1"/>
        <v>2470000</v>
      </c>
      <c r="N13" s="18">
        <f t="shared" si="2"/>
        <v>18886000</v>
      </c>
      <c r="O13" s="20">
        <v>750000</v>
      </c>
      <c r="P13" s="18">
        <f t="shared" si="3"/>
        <v>250000</v>
      </c>
      <c r="Q13" s="18" t="s">
        <v>27</v>
      </c>
      <c r="R13" s="18">
        <f t="shared" si="4"/>
        <v>24624000</v>
      </c>
      <c r="S13" s="169">
        <v>2500000</v>
      </c>
      <c r="T13" s="18">
        <f t="shared" si="5"/>
        <v>8208000</v>
      </c>
      <c r="U13" s="11" t="s">
        <v>28</v>
      </c>
      <c r="V13" s="18">
        <f t="shared" si="6"/>
        <v>5708000</v>
      </c>
    </row>
    <row r="14" spans="1:22" x14ac:dyDescent="0.35">
      <c r="A14" s="11">
        <f t="shared" si="7"/>
        <v>11</v>
      </c>
      <c r="B14" s="12" t="s">
        <v>22</v>
      </c>
      <c r="C14" s="24" t="s">
        <v>41</v>
      </c>
      <c r="D14" s="24" t="s">
        <v>42</v>
      </c>
      <c r="E14" s="25">
        <v>46198</v>
      </c>
      <c r="F14" s="26" t="s">
        <v>44</v>
      </c>
      <c r="G14" s="16" t="s">
        <v>26</v>
      </c>
      <c r="H14" s="17">
        <v>31.103999999999999</v>
      </c>
      <c r="I14" s="16">
        <v>500000</v>
      </c>
      <c r="J14" s="18">
        <f t="shared" si="0"/>
        <v>15552000</v>
      </c>
      <c r="K14" s="19">
        <v>18</v>
      </c>
      <c r="L14" s="19">
        <v>130000</v>
      </c>
      <c r="M14" s="18">
        <f t="shared" si="1"/>
        <v>2340000</v>
      </c>
      <c r="N14" s="18">
        <f t="shared" si="2"/>
        <v>17892000</v>
      </c>
      <c r="O14" s="20">
        <v>750000</v>
      </c>
      <c r="P14" s="18">
        <f t="shared" si="3"/>
        <v>250000</v>
      </c>
      <c r="Q14" s="18" t="s">
        <v>27</v>
      </c>
      <c r="R14" s="18">
        <f t="shared" si="4"/>
        <v>23328000</v>
      </c>
      <c r="S14" s="169">
        <v>2500000</v>
      </c>
      <c r="T14" s="18">
        <f t="shared" si="5"/>
        <v>7776000</v>
      </c>
      <c r="U14" s="11" t="s">
        <v>28</v>
      </c>
      <c r="V14" s="18">
        <f t="shared" si="6"/>
        <v>5276000</v>
      </c>
    </row>
    <row r="15" spans="1:22" x14ac:dyDescent="0.35">
      <c r="A15" s="11">
        <f t="shared" si="7"/>
        <v>12</v>
      </c>
      <c r="B15" s="12" t="s">
        <v>22</v>
      </c>
      <c r="C15" s="21" t="s">
        <v>32</v>
      </c>
      <c r="D15" s="21" t="s">
        <v>33</v>
      </c>
      <c r="E15" s="22">
        <v>46200</v>
      </c>
      <c r="F15" s="23" t="s">
        <v>45</v>
      </c>
      <c r="G15" s="16" t="s">
        <v>46</v>
      </c>
      <c r="H15" s="17">
        <v>32.832000000000001</v>
      </c>
      <c r="I15" s="16">
        <v>500000</v>
      </c>
      <c r="J15" s="18">
        <f t="shared" si="0"/>
        <v>16416000</v>
      </c>
      <c r="K15" s="19">
        <v>19</v>
      </c>
      <c r="L15" s="19">
        <v>130000</v>
      </c>
      <c r="M15" s="18">
        <f t="shared" si="1"/>
        <v>2470000</v>
      </c>
      <c r="N15" s="18">
        <f t="shared" si="2"/>
        <v>18886000</v>
      </c>
      <c r="O15" s="20">
        <v>750000</v>
      </c>
      <c r="P15" s="18">
        <f t="shared" si="3"/>
        <v>250000</v>
      </c>
      <c r="Q15" s="18" t="s">
        <v>27</v>
      </c>
      <c r="R15" s="18">
        <f t="shared" si="4"/>
        <v>24624000</v>
      </c>
      <c r="S15" s="169">
        <v>2500000</v>
      </c>
      <c r="T15" s="18">
        <f t="shared" si="5"/>
        <v>8208000</v>
      </c>
      <c r="U15" s="11" t="s">
        <v>28</v>
      </c>
      <c r="V15" s="18">
        <f t="shared" si="6"/>
        <v>5708000</v>
      </c>
    </row>
    <row r="16" spans="1:22" x14ac:dyDescent="0.35">
      <c r="A16" s="11">
        <f t="shared" si="7"/>
        <v>13</v>
      </c>
      <c r="B16" s="12" t="s">
        <v>22</v>
      </c>
      <c r="C16" s="21" t="s">
        <v>32</v>
      </c>
      <c r="D16" s="21" t="s">
        <v>33</v>
      </c>
      <c r="E16" s="22">
        <v>46200</v>
      </c>
      <c r="F16" s="23" t="s">
        <v>47</v>
      </c>
      <c r="G16" s="16" t="s">
        <v>46</v>
      </c>
      <c r="H16" s="17">
        <v>32.832000000000001</v>
      </c>
      <c r="I16" s="16">
        <v>500000</v>
      </c>
      <c r="J16" s="18">
        <f t="shared" si="0"/>
        <v>16416000</v>
      </c>
      <c r="K16" s="19">
        <v>19</v>
      </c>
      <c r="L16" s="19">
        <v>130000</v>
      </c>
      <c r="M16" s="18">
        <f t="shared" si="1"/>
        <v>2470000</v>
      </c>
      <c r="N16" s="18">
        <f t="shared" si="2"/>
        <v>18886000</v>
      </c>
      <c r="O16" s="20">
        <v>750000</v>
      </c>
      <c r="P16" s="18">
        <f t="shared" si="3"/>
        <v>250000</v>
      </c>
      <c r="Q16" s="18" t="s">
        <v>27</v>
      </c>
      <c r="R16" s="18">
        <f t="shared" si="4"/>
        <v>24624000</v>
      </c>
      <c r="S16" s="169">
        <v>2000000</v>
      </c>
      <c r="T16" s="18">
        <f t="shared" si="5"/>
        <v>8208000</v>
      </c>
      <c r="U16" s="11" t="s">
        <v>28</v>
      </c>
      <c r="V16" s="18">
        <f t="shared" si="6"/>
        <v>6208000</v>
      </c>
    </row>
    <row r="17" spans="1:22" x14ac:dyDescent="0.35">
      <c r="A17" s="11">
        <f t="shared" si="7"/>
        <v>14</v>
      </c>
      <c r="B17" s="12" t="s">
        <v>22</v>
      </c>
      <c r="C17" s="21" t="s">
        <v>32</v>
      </c>
      <c r="D17" s="21" t="s">
        <v>33</v>
      </c>
      <c r="E17" s="22">
        <v>46200</v>
      </c>
      <c r="F17" s="23" t="s">
        <v>48</v>
      </c>
      <c r="G17" s="16" t="s">
        <v>26</v>
      </c>
      <c r="H17" s="17">
        <v>32.832000000000001</v>
      </c>
      <c r="I17" s="16">
        <v>500000</v>
      </c>
      <c r="J17" s="18">
        <f t="shared" si="0"/>
        <v>16416000</v>
      </c>
      <c r="K17" s="19">
        <v>19</v>
      </c>
      <c r="L17" s="19">
        <v>130000</v>
      </c>
      <c r="M17" s="18">
        <f t="shared" si="1"/>
        <v>2470000</v>
      </c>
      <c r="N17" s="18">
        <f t="shared" si="2"/>
        <v>18886000</v>
      </c>
      <c r="O17" s="20">
        <v>750000</v>
      </c>
      <c r="P17" s="18">
        <f t="shared" si="3"/>
        <v>250000</v>
      </c>
      <c r="Q17" s="18" t="s">
        <v>27</v>
      </c>
      <c r="R17" s="18">
        <f t="shared" si="4"/>
        <v>24624000</v>
      </c>
      <c r="S17" s="169">
        <v>2000000</v>
      </c>
      <c r="T17" s="18">
        <f t="shared" si="5"/>
        <v>8208000</v>
      </c>
      <c r="U17" s="11" t="s">
        <v>28</v>
      </c>
      <c r="V17" s="18">
        <f t="shared" si="6"/>
        <v>6208000</v>
      </c>
    </row>
    <row r="18" spans="1:22" x14ac:dyDescent="0.35">
      <c r="A18" s="11">
        <f t="shared" si="7"/>
        <v>15</v>
      </c>
      <c r="B18" s="12" t="s">
        <v>22</v>
      </c>
      <c r="C18" s="21" t="s">
        <v>32</v>
      </c>
      <c r="D18" s="21" t="s">
        <v>33</v>
      </c>
      <c r="E18" s="22">
        <v>46200</v>
      </c>
      <c r="F18" s="23" t="s">
        <v>49</v>
      </c>
      <c r="G18" s="16" t="s">
        <v>26</v>
      </c>
      <c r="H18" s="17">
        <v>32.832000000000001</v>
      </c>
      <c r="I18" s="16">
        <v>500000</v>
      </c>
      <c r="J18" s="18">
        <f t="shared" si="0"/>
        <v>16416000</v>
      </c>
      <c r="K18" s="19">
        <v>19</v>
      </c>
      <c r="L18" s="19">
        <v>130000</v>
      </c>
      <c r="M18" s="18">
        <f t="shared" si="1"/>
        <v>2470000</v>
      </c>
      <c r="N18" s="18">
        <f t="shared" si="2"/>
        <v>18886000</v>
      </c>
      <c r="O18" s="20">
        <v>750000</v>
      </c>
      <c r="P18" s="18">
        <f t="shared" si="3"/>
        <v>250000</v>
      </c>
      <c r="Q18" s="18" t="s">
        <v>27</v>
      </c>
      <c r="R18" s="18">
        <f t="shared" si="4"/>
        <v>24624000</v>
      </c>
      <c r="S18" s="169">
        <v>2000000</v>
      </c>
      <c r="T18" s="18">
        <f t="shared" si="5"/>
        <v>8208000</v>
      </c>
      <c r="U18" s="11" t="s">
        <v>28</v>
      </c>
      <c r="V18" s="18">
        <f t="shared" si="6"/>
        <v>6208000</v>
      </c>
    </row>
    <row r="19" spans="1:22" x14ac:dyDescent="0.35">
      <c r="A19" s="11">
        <f t="shared" si="7"/>
        <v>16</v>
      </c>
      <c r="B19" s="12" t="s">
        <v>22</v>
      </c>
      <c r="C19" s="27" t="s">
        <v>50</v>
      </c>
      <c r="D19" s="27" t="s">
        <v>51</v>
      </c>
      <c r="E19" s="28">
        <v>46200</v>
      </c>
      <c r="F19" s="29" t="s">
        <v>52</v>
      </c>
      <c r="G19" s="16" t="s">
        <v>26</v>
      </c>
      <c r="H19" s="17">
        <v>32.832000000000001</v>
      </c>
      <c r="I19" s="16">
        <v>500000</v>
      </c>
      <c r="J19" s="18">
        <f t="shared" si="0"/>
        <v>16416000</v>
      </c>
      <c r="K19" s="19">
        <v>19</v>
      </c>
      <c r="L19" s="19">
        <v>130000</v>
      </c>
      <c r="M19" s="18">
        <f t="shared" si="1"/>
        <v>2470000</v>
      </c>
      <c r="N19" s="18">
        <f t="shared" si="2"/>
        <v>18886000</v>
      </c>
      <c r="O19" s="20">
        <v>760000</v>
      </c>
      <c r="P19" s="18">
        <f t="shared" si="3"/>
        <v>260000</v>
      </c>
      <c r="Q19" s="18" t="s">
        <v>27</v>
      </c>
      <c r="R19" s="18">
        <f t="shared" si="4"/>
        <v>24952320</v>
      </c>
      <c r="S19" s="169">
        <v>2000000</v>
      </c>
      <c r="T19" s="18">
        <f t="shared" si="5"/>
        <v>8536320</v>
      </c>
      <c r="U19" s="11" t="s">
        <v>28</v>
      </c>
      <c r="V19" s="18">
        <f t="shared" si="6"/>
        <v>6536320</v>
      </c>
    </row>
    <row r="20" spans="1:22" x14ac:dyDescent="0.35">
      <c r="A20" s="11">
        <f t="shared" si="7"/>
        <v>17</v>
      </c>
      <c r="B20" s="12" t="s">
        <v>22</v>
      </c>
      <c r="C20" s="27" t="s">
        <v>50</v>
      </c>
      <c r="D20" s="27" t="s">
        <v>53</v>
      </c>
      <c r="E20" s="28">
        <v>46200</v>
      </c>
      <c r="F20" s="29" t="s">
        <v>31</v>
      </c>
      <c r="G20" s="16" t="s">
        <v>26</v>
      </c>
      <c r="H20" s="17">
        <v>32.832000000000001</v>
      </c>
      <c r="I20" s="16">
        <v>500000</v>
      </c>
      <c r="J20" s="18">
        <f t="shared" si="0"/>
        <v>16416000</v>
      </c>
      <c r="K20" s="19">
        <v>19</v>
      </c>
      <c r="L20" s="19">
        <v>130000</v>
      </c>
      <c r="M20" s="18">
        <f t="shared" si="1"/>
        <v>2470000</v>
      </c>
      <c r="N20" s="18">
        <f t="shared" si="2"/>
        <v>18886000</v>
      </c>
      <c r="O20" s="20">
        <v>729928.1</v>
      </c>
      <c r="P20" s="18">
        <f t="shared" si="3"/>
        <v>229928.09999999998</v>
      </c>
      <c r="Q20" s="18" t="s">
        <v>27</v>
      </c>
      <c r="R20" s="18">
        <f t="shared" si="4"/>
        <v>23964999.3792</v>
      </c>
      <c r="S20" s="169">
        <v>2000000</v>
      </c>
      <c r="T20" s="18">
        <f t="shared" si="5"/>
        <v>7548999.3792000003</v>
      </c>
      <c r="U20" s="11" t="s">
        <v>28</v>
      </c>
      <c r="V20" s="18">
        <f t="shared" si="6"/>
        <v>5548999.3792000003</v>
      </c>
    </row>
    <row r="21" spans="1:22" x14ac:dyDescent="0.35">
      <c r="A21" s="11">
        <f t="shared" si="7"/>
        <v>18</v>
      </c>
      <c r="B21" s="12" t="s">
        <v>22</v>
      </c>
      <c r="C21" s="27" t="s">
        <v>50</v>
      </c>
      <c r="D21" s="27" t="s">
        <v>51</v>
      </c>
      <c r="E21" s="28">
        <v>46201</v>
      </c>
      <c r="F21" s="29" t="s">
        <v>54</v>
      </c>
      <c r="G21" s="16" t="s">
        <v>26</v>
      </c>
      <c r="H21" s="17">
        <v>32.832000000000001</v>
      </c>
      <c r="I21" s="16">
        <v>500000</v>
      </c>
      <c r="J21" s="18">
        <f t="shared" si="0"/>
        <v>16416000</v>
      </c>
      <c r="K21" s="19">
        <v>19</v>
      </c>
      <c r="L21" s="19">
        <v>130000</v>
      </c>
      <c r="M21" s="18">
        <f t="shared" si="1"/>
        <v>2470000</v>
      </c>
      <c r="N21" s="18">
        <f t="shared" si="2"/>
        <v>18886000</v>
      </c>
      <c r="O21" s="20">
        <v>760000</v>
      </c>
      <c r="P21" s="18">
        <f t="shared" si="3"/>
        <v>260000</v>
      </c>
      <c r="Q21" s="18" t="s">
        <v>27</v>
      </c>
      <c r="R21" s="18">
        <f t="shared" si="4"/>
        <v>24952320</v>
      </c>
      <c r="S21" s="169">
        <v>2000000</v>
      </c>
      <c r="T21" s="18">
        <f t="shared" si="5"/>
        <v>8536320</v>
      </c>
      <c r="U21" s="11" t="s">
        <v>28</v>
      </c>
      <c r="V21" s="18">
        <f t="shared" si="6"/>
        <v>6536320</v>
      </c>
    </row>
    <row r="22" spans="1:22" x14ac:dyDescent="0.35">
      <c r="A22" s="11">
        <f t="shared" si="7"/>
        <v>19</v>
      </c>
      <c r="B22" s="12" t="s">
        <v>22</v>
      </c>
      <c r="C22" s="21" t="s">
        <v>32</v>
      </c>
      <c r="D22" s="21" t="s">
        <v>55</v>
      </c>
      <c r="E22" s="22">
        <v>46203</v>
      </c>
      <c r="F22" s="30" t="s">
        <v>49</v>
      </c>
      <c r="G22" s="16" t="s">
        <v>26</v>
      </c>
      <c r="H22" s="17">
        <v>32.832000000000001</v>
      </c>
      <c r="I22" s="16">
        <v>500000</v>
      </c>
      <c r="J22" s="18">
        <f t="shared" si="0"/>
        <v>16416000</v>
      </c>
      <c r="K22" s="19">
        <v>19</v>
      </c>
      <c r="L22" s="19">
        <v>130000</v>
      </c>
      <c r="M22" s="18">
        <f t="shared" si="1"/>
        <v>2470000</v>
      </c>
      <c r="N22" s="18">
        <f t="shared" si="2"/>
        <v>18886000</v>
      </c>
      <c r="O22" s="20">
        <v>730000</v>
      </c>
      <c r="P22" s="18">
        <f t="shared" si="3"/>
        <v>230000</v>
      </c>
      <c r="Q22" s="18" t="s">
        <v>27</v>
      </c>
      <c r="R22" s="18">
        <f t="shared" si="4"/>
        <v>23967360</v>
      </c>
      <c r="S22" s="169">
        <v>2000000</v>
      </c>
      <c r="T22" s="18">
        <f t="shared" si="5"/>
        <v>7551360</v>
      </c>
      <c r="U22" s="11" t="s">
        <v>28</v>
      </c>
      <c r="V22" s="18">
        <f t="shared" si="6"/>
        <v>5551360</v>
      </c>
    </row>
    <row r="23" spans="1:22" x14ac:dyDescent="0.35">
      <c r="A23" s="11">
        <f t="shared" si="7"/>
        <v>20</v>
      </c>
      <c r="B23" s="12" t="s">
        <v>22</v>
      </c>
      <c r="C23" s="21" t="s">
        <v>32</v>
      </c>
      <c r="D23" s="21" t="s">
        <v>55</v>
      </c>
      <c r="E23" s="22">
        <v>46203</v>
      </c>
      <c r="F23" s="30" t="s">
        <v>56</v>
      </c>
      <c r="G23" s="16" t="s">
        <v>26</v>
      </c>
      <c r="H23" s="17">
        <v>32.832000000000001</v>
      </c>
      <c r="I23" s="16">
        <v>500000</v>
      </c>
      <c r="J23" s="18">
        <f t="shared" si="0"/>
        <v>16416000</v>
      </c>
      <c r="K23" s="19">
        <v>19</v>
      </c>
      <c r="L23" s="19">
        <v>130000</v>
      </c>
      <c r="M23" s="18">
        <f t="shared" si="1"/>
        <v>2470000</v>
      </c>
      <c r="N23" s="18">
        <f t="shared" si="2"/>
        <v>18886000</v>
      </c>
      <c r="O23" s="20">
        <v>730000</v>
      </c>
      <c r="P23" s="18">
        <f t="shared" si="3"/>
        <v>230000</v>
      </c>
      <c r="Q23" s="18" t="s">
        <v>27</v>
      </c>
      <c r="R23" s="18">
        <f t="shared" si="4"/>
        <v>23967360</v>
      </c>
      <c r="S23" s="169">
        <v>2000000</v>
      </c>
      <c r="T23" s="18">
        <f t="shared" si="5"/>
        <v>7551360</v>
      </c>
      <c r="U23" s="11" t="s">
        <v>28</v>
      </c>
      <c r="V23" s="18">
        <f t="shared" si="6"/>
        <v>5551360</v>
      </c>
    </row>
    <row r="24" spans="1:22" x14ac:dyDescent="0.35">
      <c r="A24" s="11">
        <f t="shared" si="7"/>
        <v>21</v>
      </c>
      <c r="B24" s="12" t="s">
        <v>22</v>
      </c>
      <c r="C24" s="13" t="s">
        <v>23</v>
      </c>
      <c r="D24" s="13" t="s">
        <v>57</v>
      </c>
      <c r="E24" s="14">
        <v>46203</v>
      </c>
      <c r="F24" s="31" t="s">
        <v>58</v>
      </c>
      <c r="G24" s="16" t="s">
        <v>26</v>
      </c>
      <c r="H24" s="17">
        <v>32.832000000000001</v>
      </c>
      <c r="I24" s="16">
        <v>500000</v>
      </c>
      <c r="J24" s="18">
        <f t="shared" si="0"/>
        <v>16416000</v>
      </c>
      <c r="K24" s="19">
        <v>19</v>
      </c>
      <c r="L24" s="19">
        <v>130000</v>
      </c>
      <c r="M24" s="18">
        <f t="shared" si="1"/>
        <v>2470000</v>
      </c>
      <c r="N24" s="18">
        <f t="shared" si="2"/>
        <v>18886000</v>
      </c>
      <c r="O24" s="20">
        <v>735000</v>
      </c>
      <c r="P24" s="18">
        <f t="shared" si="3"/>
        <v>235000</v>
      </c>
      <c r="Q24" s="18" t="s">
        <v>27</v>
      </c>
      <c r="R24" s="18">
        <f t="shared" si="4"/>
        <v>24131520</v>
      </c>
      <c r="S24" s="169">
        <v>2000000</v>
      </c>
      <c r="T24" s="18">
        <f t="shared" si="5"/>
        <v>7715520</v>
      </c>
      <c r="U24" s="11" t="s">
        <v>28</v>
      </c>
      <c r="V24" s="18">
        <f t="shared" si="6"/>
        <v>5715520</v>
      </c>
    </row>
    <row r="25" spans="1:22" x14ac:dyDescent="0.35">
      <c r="A25" s="11">
        <v>22</v>
      </c>
      <c r="B25" s="12" t="s">
        <v>22</v>
      </c>
      <c r="C25" s="13" t="s">
        <v>23</v>
      </c>
      <c r="D25" s="13" t="s">
        <v>68</v>
      </c>
      <c r="E25" s="14">
        <v>46204</v>
      </c>
      <c r="F25" s="31" t="s">
        <v>69</v>
      </c>
      <c r="G25" s="16" t="s">
        <v>26</v>
      </c>
      <c r="H25" s="17">
        <v>32.832000000000001</v>
      </c>
      <c r="I25" s="50">
        <v>500000</v>
      </c>
      <c r="J25" s="18">
        <f t="shared" si="0"/>
        <v>16416000</v>
      </c>
      <c r="K25" s="19">
        <v>19</v>
      </c>
      <c r="L25" s="19">
        <v>130000</v>
      </c>
      <c r="M25" s="18">
        <f t="shared" si="1"/>
        <v>2470000</v>
      </c>
      <c r="N25" s="18">
        <f t="shared" si="2"/>
        <v>18886000</v>
      </c>
      <c r="O25" s="20">
        <v>730000</v>
      </c>
      <c r="P25" s="18">
        <f t="shared" si="3"/>
        <v>230000</v>
      </c>
      <c r="Q25" s="18" t="s">
        <v>27</v>
      </c>
      <c r="R25" s="18">
        <f t="shared" si="4"/>
        <v>23967360</v>
      </c>
      <c r="S25" s="169">
        <v>2000000</v>
      </c>
      <c r="T25" s="18">
        <f t="shared" si="5"/>
        <v>7551360</v>
      </c>
      <c r="U25" s="11" t="s">
        <v>28</v>
      </c>
      <c r="V25" s="18">
        <f t="shared" si="6"/>
        <v>5551360</v>
      </c>
    </row>
    <row r="26" spans="1:22" x14ac:dyDescent="0.35">
      <c r="A26" s="11">
        <f>A25+1</f>
        <v>23</v>
      </c>
      <c r="B26" s="12" t="s">
        <v>22</v>
      </c>
      <c r="C26" s="13" t="s">
        <v>23</v>
      </c>
      <c r="D26" s="13" t="s">
        <v>70</v>
      </c>
      <c r="E26" s="14">
        <v>46204</v>
      </c>
      <c r="F26" s="31" t="s">
        <v>71</v>
      </c>
      <c r="G26" s="16" t="s">
        <v>26</v>
      </c>
      <c r="H26" s="17">
        <v>32.832000000000001</v>
      </c>
      <c r="I26" s="50">
        <v>500000</v>
      </c>
      <c r="J26" s="18">
        <f t="shared" si="0"/>
        <v>16416000</v>
      </c>
      <c r="K26" s="19">
        <v>19</v>
      </c>
      <c r="L26" s="19">
        <v>130000</v>
      </c>
      <c r="M26" s="18">
        <f t="shared" si="1"/>
        <v>2470000</v>
      </c>
      <c r="N26" s="18">
        <f t="shared" si="2"/>
        <v>18886000</v>
      </c>
      <c r="O26" s="20">
        <v>730000</v>
      </c>
      <c r="P26" s="18">
        <f t="shared" si="3"/>
        <v>230000</v>
      </c>
      <c r="Q26" s="18" t="s">
        <v>27</v>
      </c>
      <c r="R26" s="18">
        <f t="shared" si="4"/>
        <v>23967360</v>
      </c>
      <c r="S26" s="51">
        <v>2500000</v>
      </c>
      <c r="T26" s="18">
        <f t="shared" si="5"/>
        <v>7551360</v>
      </c>
      <c r="U26" s="11" t="s">
        <v>28</v>
      </c>
      <c r="V26" s="18">
        <f t="shared" si="6"/>
        <v>5051360</v>
      </c>
    </row>
    <row r="27" spans="1:22" x14ac:dyDescent="0.35">
      <c r="A27" s="11">
        <f t="shared" ref="A27:A90" si="8">A26+1</f>
        <v>24</v>
      </c>
      <c r="B27" s="12" t="s">
        <v>22</v>
      </c>
      <c r="C27" s="24" t="s">
        <v>41</v>
      </c>
      <c r="D27" s="24" t="s">
        <v>42</v>
      </c>
      <c r="E27" s="25">
        <v>46204</v>
      </c>
      <c r="F27" s="52" t="s">
        <v>72</v>
      </c>
      <c r="G27" s="16" t="s">
        <v>26</v>
      </c>
      <c r="H27" s="17">
        <v>32.832000000000001</v>
      </c>
      <c r="I27" s="50">
        <v>500000</v>
      </c>
      <c r="J27" s="18">
        <f t="shared" si="0"/>
        <v>16416000</v>
      </c>
      <c r="K27" s="19">
        <v>19</v>
      </c>
      <c r="L27" s="19">
        <v>130000</v>
      </c>
      <c r="M27" s="18">
        <f t="shared" si="1"/>
        <v>2470000</v>
      </c>
      <c r="N27" s="18">
        <f t="shared" si="2"/>
        <v>18886000</v>
      </c>
      <c r="O27" s="20">
        <v>750000</v>
      </c>
      <c r="P27" s="18">
        <f t="shared" si="3"/>
        <v>250000</v>
      </c>
      <c r="Q27" s="18" t="s">
        <v>27</v>
      </c>
      <c r="R27" s="18">
        <f t="shared" si="4"/>
        <v>24624000</v>
      </c>
      <c r="S27" s="53">
        <v>2500000</v>
      </c>
      <c r="T27" s="18">
        <f t="shared" si="5"/>
        <v>8208000</v>
      </c>
      <c r="U27" s="11" t="s">
        <v>28</v>
      </c>
      <c r="V27" s="18">
        <f t="shared" si="6"/>
        <v>5708000</v>
      </c>
    </row>
    <row r="28" spans="1:22" x14ac:dyDescent="0.35">
      <c r="A28" s="11">
        <f t="shared" si="8"/>
        <v>25</v>
      </c>
      <c r="B28" s="12" t="s">
        <v>22</v>
      </c>
      <c r="C28" s="21" t="s">
        <v>32</v>
      </c>
      <c r="D28" s="21" t="s">
        <v>33</v>
      </c>
      <c r="E28" s="22">
        <v>46204</v>
      </c>
      <c r="F28" s="30" t="s">
        <v>73</v>
      </c>
      <c r="G28" s="16" t="s">
        <v>26</v>
      </c>
      <c r="H28" s="17">
        <v>32.832000000000001</v>
      </c>
      <c r="I28" s="50">
        <v>500000</v>
      </c>
      <c r="J28" s="18">
        <f t="shared" si="0"/>
        <v>16416000</v>
      </c>
      <c r="K28" s="19">
        <v>19</v>
      </c>
      <c r="L28" s="19">
        <v>130000</v>
      </c>
      <c r="M28" s="18">
        <f t="shared" si="1"/>
        <v>2470000</v>
      </c>
      <c r="N28" s="18">
        <f t="shared" si="2"/>
        <v>18886000</v>
      </c>
      <c r="O28" s="20">
        <v>750000</v>
      </c>
      <c r="P28" s="18">
        <f t="shared" si="3"/>
        <v>250000</v>
      </c>
      <c r="Q28" s="18" t="s">
        <v>27</v>
      </c>
      <c r="R28" s="18">
        <f t="shared" si="4"/>
        <v>24624000</v>
      </c>
      <c r="S28" s="54">
        <v>2500000</v>
      </c>
      <c r="T28" s="18">
        <f t="shared" si="5"/>
        <v>8208000</v>
      </c>
      <c r="U28" s="11" t="s">
        <v>28</v>
      </c>
      <c r="V28" s="18">
        <f t="shared" si="6"/>
        <v>5708000</v>
      </c>
    </row>
    <row r="29" spans="1:22" x14ac:dyDescent="0.35">
      <c r="A29" s="11">
        <f t="shared" si="8"/>
        <v>26</v>
      </c>
      <c r="B29" s="12" t="s">
        <v>22</v>
      </c>
      <c r="C29" s="24" t="s">
        <v>41</v>
      </c>
      <c r="D29" s="24" t="s">
        <v>42</v>
      </c>
      <c r="E29" s="25">
        <v>46204</v>
      </c>
      <c r="F29" s="52" t="s">
        <v>74</v>
      </c>
      <c r="G29" s="16" t="s">
        <v>46</v>
      </c>
      <c r="H29" s="17">
        <v>32.832000000000001</v>
      </c>
      <c r="I29" s="50">
        <v>500000</v>
      </c>
      <c r="J29" s="18">
        <f t="shared" si="0"/>
        <v>16416000</v>
      </c>
      <c r="K29" s="19">
        <v>19</v>
      </c>
      <c r="L29" s="19">
        <v>130000</v>
      </c>
      <c r="M29" s="18">
        <f t="shared" si="1"/>
        <v>2470000</v>
      </c>
      <c r="N29" s="18">
        <f t="shared" si="2"/>
        <v>18886000</v>
      </c>
      <c r="O29" s="20">
        <v>750000</v>
      </c>
      <c r="P29" s="18">
        <f t="shared" si="3"/>
        <v>250000</v>
      </c>
      <c r="Q29" s="18" t="s">
        <v>27</v>
      </c>
      <c r="R29" s="18">
        <f t="shared" si="4"/>
        <v>24624000</v>
      </c>
      <c r="S29" s="53">
        <v>2550000</v>
      </c>
      <c r="T29" s="18">
        <f t="shared" si="5"/>
        <v>8208000</v>
      </c>
      <c r="U29" s="11" t="s">
        <v>28</v>
      </c>
      <c r="V29" s="18">
        <f t="shared" si="6"/>
        <v>5658000</v>
      </c>
    </row>
    <row r="30" spans="1:22" x14ac:dyDescent="0.35">
      <c r="A30" s="11">
        <f>A29+1</f>
        <v>27</v>
      </c>
      <c r="B30" s="12" t="s">
        <v>22</v>
      </c>
      <c r="C30" s="24" t="s">
        <v>41</v>
      </c>
      <c r="D30" s="24" t="s">
        <v>42</v>
      </c>
      <c r="E30" s="25">
        <v>46204</v>
      </c>
      <c r="F30" s="52" t="s">
        <v>75</v>
      </c>
      <c r="G30" s="16" t="s">
        <v>46</v>
      </c>
      <c r="H30" s="17">
        <v>32.832000000000001</v>
      </c>
      <c r="I30" s="50">
        <v>500000</v>
      </c>
      <c r="J30" s="18">
        <f t="shared" si="0"/>
        <v>16416000</v>
      </c>
      <c r="K30" s="19">
        <v>19</v>
      </c>
      <c r="L30" s="19">
        <v>130000</v>
      </c>
      <c r="M30" s="18">
        <f t="shared" si="1"/>
        <v>2470000</v>
      </c>
      <c r="N30" s="18">
        <f t="shared" si="2"/>
        <v>18886000</v>
      </c>
      <c r="O30" s="20">
        <v>750000</v>
      </c>
      <c r="P30" s="18">
        <f t="shared" si="3"/>
        <v>250000</v>
      </c>
      <c r="Q30" s="18" t="s">
        <v>27</v>
      </c>
      <c r="R30" s="18">
        <f t="shared" si="4"/>
        <v>24624000</v>
      </c>
      <c r="S30" s="53">
        <v>2550000</v>
      </c>
      <c r="T30" s="18">
        <f t="shared" si="5"/>
        <v>8208000</v>
      </c>
      <c r="U30" s="11" t="s">
        <v>28</v>
      </c>
      <c r="V30" s="18">
        <f t="shared" si="6"/>
        <v>5658000</v>
      </c>
    </row>
    <row r="31" spans="1:22" x14ac:dyDescent="0.35">
      <c r="A31" s="11">
        <f>A30+1</f>
        <v>28</v>
      </c>
      <c r="B31" s="12" t="s">
        <v>22</v>
      </c>
      <c r="C31" s="13" t="s">
        <v>23</v>
      </c>
      <c r="D31" s="13" t="s">
        <v>68</v>
      </c>
      <c r="E31" s="14">
        <v>46205</v>
      </c>
      <c r="F31" s="31" t="s">
        <v>76</v>
      </c>
      <c r="G31" s="16" t="s">
        <v>46</v>
      </c>
      <c r="H31" s="17">
        <v>32.832000000000001</v>
      </c>
      <c r="I31" s="16">
        <v>625000</v>
      </c>
      <c r="J31" s="18">
        <f t="shared" si="0"/>
        <v>20520000</v>
      </c>
      <c r="K31" s="19">
        <v>19</v>
      </c>
      <c r="L31" s="19">
        <v>130000</v>
      </c>
      <c r="M31" s="18">
        <f t="shared" si="1"/>
        <v>2470000</v>
      </c>
      <c r="N31" s="18">
        <f t="shared" si="2"/>
        <v>22990000</v>
      </c>
      <c r="O31" s="20">
        <v>730000</v>
      </c>
      <c r="P31" s="18">
        <f t="shared" si="3"/>
        <v>105000</v>
      </c>
      <c r="Q31" s="18" t="s">
        <v>27</v>
      </c>
      <c r="R31" s="18">
        <f t="shared" si="4"/>
        <v>23967360</v>
      </c>
      <c r="S31" s="18">
        <v>2000000</v>
      </c>
      <c r="T31" s="18">
        <f t="shared" si="5"/>
        <v>3447360</v>
      </c>
      <c r="U31" s="11" t="s">
        <v>28</v>
      </c>
      <c r="V31" s="18">
        <f t="shared" si="6"/>
        <v>1447360</v>
      </c>
    </row>
    <row r="32" spans="1:22" x14ac:dyDescent="0.35">
      <c r="A32" s="11">
        <f t="shared" si="8"/>
        <v>29</v>
      </c>
      <c r="B32" s="12" t="s">
        <v>22</v>
      </c>
      <c r="C32" s="13" t="s">
        <v>23</v>
      </c>
      <c r="D32" s="13" t="s">
        <v>70</v>
      </c>
      <c r="E32" s="14">
        <v>46206</v>
      </c>
      <c r="F32" s="55" t="s">
        <v>77</v>
      </c>
      <c r="G32" s="16" t="s">
        <v>26</v>
      </c>
      <c r="H32" s="17">
        <v>32.832000000000001</v>
      </c>
      <c r="I32" s="16">
        <v>625000</v>
      </c>
      <c r="J32" s="18">
        <f t="shared" si="0"/>
        <v>20520000</v>
      </c>
      <c r="K32" s="19">
        <v>19</v>
      </c>
      <c r="L32" s="19">
        <v>130000</v>
      </c>
      <c r="M32" s="18">
        <f t="shared" si="1"/>
        <v>2470000</v>
      </c>
      <c r="N32" s="18">
        <f t="shared" si="2"/>
        <v>22990000</v>
      </c>
      <c r="O32" s="20">
        <v>700000</v>
      </c>
      <c r="P32" s="18">
        <f t="shared" si="3"/>
        <v>75000</v>
      </c>
      <c r="Q32" s="18" t="s">
        <v>27</v>
      </c>
      <c r="R32" s="18">
        <f t="shared" si="4"/>
        <v>22982400</v>
      </c>
      <c r="S32" s="18">
        <v>2000000</v>
      </c>
      <c r="T32" s="18">
        <f t="shared" si="5"/>
        <v>2462400</v>
      </c>
      <c r="U32" s="11" t="s">
        <v>28</v>
      </c>
      <c r="V32" s="18">
        <f t="shared" si="6"/>
        <v>462400</v>
      </c>
    </row>
    <row r="33" spans="1:22" x14ac:dyDescent="0.35">
      <c r="A33" s="11">
        <f t="shared" si="8"/>
        <v>30</v>
      </c>
      <c r="B33" s="12" t="s">
        <v>22</v>
      </c>
      <c r="C33" s="13" t="s">
        <v>23</v>
      </c>
      <c r="D33" s="13" t="s">
        <v>137</v>
      </c>
      <c r="E33" s="14">
        <v>46206</v>
      </c>
      <c r="F33" s="55" t="s">
        <v>78</v>
      </c>
      <c r="G33" s="16" t="s">
        <v>26</v>
      </c>
      <c r="H33" s="17">
        <v>32.832000000000001</v>
      </c>
      <c r="I33" s="16">
        <v>625000</v>
      </c>
      <c r="J33" s="18">
        <f t="shared" si="0"/>
        <v>20520000</v>
      </c>
      <c r="K33" s="19">
        <v>19</v>
      </c>
      <c r="L33" s="19">
        <v>130000</v>
      </c>
      <c r="M33" s="18">
        <f t="shared" si="1"/>
        <v>2470000</v>
      </c>
      <c r="N33" s="18">
        <f t="shared" si="2"/>
        <v>22990000</v>
      </c>
      <c r="O33" s="20">
        <v>700000</v>
      </c>
      <c r="P33" s="18">
        <f t="shared" si="3"/>
        <v>75000</v>
      </c>
      <c r="Q33" s="18" t="s">
        <v>27</v>
      </c>
      <c r="R33" s="18">
        <f t="shared" si="4"/>
        <v>22982400</v>
      </c>
      <c r="S33" s="18">
        <v>2000000</v>
      </c>
      <c r="T33" s="18">
        <f t="shared" si="5"/>
        <v>2462400</v>
      </c>
      <c r="U33" s="11" t="s">
        <v>28</v>
      </c>
      <c r="V33" s="18">
        <f t="shared" si="6"/>
        <v>462400</v>
      </c>
    </row>
    <row r="34" spans="1:22" x14ac:dyDescent="0.35">
      <c r="A34" s="11">
        <f t="shared" si="8"/>
        <v>31</v>
      </c>
      <c r="B34" s="12" t="s">
        <v>22</v>
      </c>
      <c r="C34" s="27" t="s">
        <v>50</v>
      </c>
      <c r="D34" s="27" t="s">
        <v>53</v>
      </c>
      <c r="E34" s="28">
        <v>46206</v>
      </c>
      <c r="F34" s="56" t="s">
        <v>74</v>
      </c>
      <c r="G34" s="16" t="s">
        <v>26</v>
      </c>
      <c r="H34" s="17">
        <v>32.832000000000001</v>
      </c>
      <c r="I34" s="16">
        <v>625000</v>
      </c>
      <c r="J34" s="18">
        <f t="shared" si="0"/>
        <v>20520000</v>
      </c>
      <c r="K34" s="19">
        <v>19</v>
      </c>
      <c r="L34" s="19">
        <v>130000</v>
      </c>
      <c r="M34" s="18">
        <f t="shared" si="1"/>
        <v>2470000</v>
      </c>
      <c r="N34" s="18">
        <f t="shared" si="2"/>
        <v>22990000</v>
      </c>
      <c r="O34" s="20">
        <v>700000</v>
      </c>
      <c r="P34" s="18">
        <f t="shared" si="3"/>
        <v>75000</v>
      </c>
      <c r="Q34" s="18" t="s">
        <v>27</v>
      </c>
      <c r="R34" s="18">
        <f t="shared" si="4"/>
        <v>22982400</v>
      </c>
      <c r="S34" s="50">
        <v>2000000</v>
      </c>
      <c r="T34" s="18">
        <f t="shared" si="5"/>
        <v>2462400</v>
      </c>
      <c r="U34" s="11" t="s">
        <v>28</v>
      </c>
      <c r="V34" s="18">
        <f t="shared" si="6"/>
        <v>462400</v>
      </c>
    </row>
    <row r="35" spans="1:22" x14ac:dyDescent="0.35">
      <c r="A35" s="11">
        <f t="shared" si="8"/>
        <v>32</v>
      </c>
      <c r="B35" s="12" t="s">
        <v>22</v>
      </c>
      <c r="C35" s="21" t="s">
        <v>32</v>
      </c>
      <c r="D35" s="21" t="s">
        <v>33</v>
      </c>
      <c r="E35" s="22">
        <v>46206</v>
      </c>
      <c r="F35" s="30" t="s">
        <v>79</v>
      </c>
      <c r="G35" s="16" t="s">
        <v>26</v>
      </c>
      <c r="H35" s="17">
        <v>32.832000000000001</v>
      </c>
      <c r="I35" s="16">
        <v>625000</v>
      </c>
      <c r="J35" s="18">
        <f t="shared" si="0"/>
        <v>20520000</v>
      </c>
      <c r="K35" s="19">
        <v>19</v>
      </c>
      <c r="L35" s="19">
        <v>130000</v>
      </c>
      <c r="M35" s="18">
        <f t="shared" si="1"/>
        <v>2470000</v>
      </c>
      <c r="N35" s="18">
        <f t="shared" si="2"/>
        <v>22990000</v>
      </c>
      <c r="O35" s="20">
        <v>700000</v>
      </c>
      <c r="P35" s="18">
        <f t="shared" si="3"/>
        <v>75000</v>
      </c>
      <c r="Q35" s="18" t="s">
        <v>27</v>
      </c>
      <c r="R35" s="18">
        <f t="shared" si="4"/>
        <v>22982400</v>
      </c>
      <c r="S35" s="50">
        <v>2500000</v>
      </c>
      <c r="T35" s="18">
        <f t="shared" si="5"/>
        <v>2462400</v>
      </c>
      <c r="U35" s="11" t="s">
        <v>28</v>
      </c>
      <c r="V35" s="18">
        <f t="shared" si="6"/>
        <v>-37600</v>
      </c>
    </row>
    <row r="36" spans="1:22" x14ac:dyDescent="0.35">
      <c r="A36" s="11">
        <f t="shared" si="8"/>
        <v>33</v>
      </c>
      <c r="B36" s="12" t="s">
        <v>22</v>
      </c>
      <c r="C36" s="27" t="s">
        <v>50</v>
      </c>
      <c r="D36" s="27" t="s">
        <v>53</v>
      </c>
      <c r="E36" s="28">
        <v>46206</v>
      </c>
      <c r="F36" s="56" t="s">
        <v>80</v>
      </c>
      <c r="G36" s="16" t="s">
        <v>26</v>
      </c>
      <c r="H36" s="17">
        <v>32.832000000000001</v>
      </c>
      <c r="I36" s="16">
        <v>625000</v>
      </c>
      <c r="J36" s="18">
        <f t="shared" si="0"/>
        <v>20520000</v>
      </c>
      <c r="K36" s="19">
        <v>19</v>
      </c>
      <c r="L36" s="19">
        <v>130000</v>
      </c>
      <c r="M36" s="18">
        <f t="shared" si="1"/>
        <v>2470000</v>
      </c>
      <c r="N36" s="18">
        <f t="shared" si="2"/>
        <v>22990000</v>
      </c>
      <c r="O36" s="20">
        <v>700000</v>
      </c>
      <c r="P36" s="18">
        <f t="shared" si="3"/>
        <v>75000</v>
      </c>
      <c r="Q36" s="18" t="s">
        <v>27</v>
      </c>
      <c r="R36" s="18">
        <f t="shared" si="4"/>
        <v>22982400</v>
      </c>
      <c r="S36" s="50">
        <v>2000000</v>
      </c>
      <c r="T36" s="18">
        <f t="shared" si="5"/>
        <v>2462400</v>
      </c>
      <c r="U36" s="11" t="s">
        <v>28</v>
      </c>
      <c r="V36" s="18">
        <f t="shared" si="6"/>
        <v>462400</v>
      </c>
    </row>
    <row r="37" spans="1:22" x14ac:dyDescent="0.35">
      <c r="A37" s="11">
        <f t="shared" si="8"/>
        <v>34</v>
      </c>
      <c r="B37" s="12" t="s">
        <v>22</v>
      </c>
      <c r="C37" s="13" t="s">
        <v>23</v>
      </c>
      <c r="D37" s="13" t="s">
        <v>137</v>
      </c>
      <c r="E37" s="14">
        <v>46206</v>
      </c>
      <c r="F37" s="55" t="s">
        <v>81</v>
      </c>
      <c r="G37" s="16" t="s">
        <v>26</v>
      </c>
      <c r="H37" s="17">
        <v>32.832000000000001</v>
      </c>
      <c r="I37" s="16">
        <v>625000</v>
      </c>
      <c r="J37" s="18">
        <f t="shared" si="0"/>
        <v>20520000</v>
      </c>
      <c r="K37" s="19">
        <v>19</v>
      </c>
      <c r="L37" s="19">
        <v>130000</v>
      </c>
      <c r="M37" s="18">
        <f t="shared" si="1"/>
        <v>2470000</v>
      </c>
      <c r="N37" s="18">
        <f t="shared" si="2"/>
        <v>22990000</v>
      </c>
      <c r="O37" s="20">
        <v>700000</v>
      </c>
      <c r="P37" s="18">
        <f t="shared" si="3"/>
        <v>75000</v>
      </c>
      <c r="Q37" s="18" t="s">
        <v>27</v>
      </c>
      <c r="R37" s="18">
        <f t="shared" si="4"/>
        <v>22982400</v>
      </c>
      <c r="S37" s="18">
        <v>2000000</v>
      </c>
      <c r="T37" s="18">
        <f t="shared" si="5"/>
        <v>2462400</v>
      </c>
      <c r="U37" s="11" t="s">
        <v>28</v>
      </c>
      <c r="V37" s="18">
        <f t="shared" si="6"/>
        <v>462400</v>
      </c>
    </row>
    <row r="38" spans="1:22" x14ac:dyDescent="0.35">
      <c r="A38" s="11">
        <f t="shared" si="8"/>
        <v>35</v>
      </c>
      <c r="B38" s="12" t="s">
        <v>22</v>
      </c>
      <c r="C38" s="13" t="s">
        <v>23</v>
      </c>
      <c r="D38" s="13" t="s">
        <v>137</v>
      </c>
      <c r="E38" s="14">
        <v>46206</v>
      </c>
      <c r="F38" s="55" t="s">
        <v>82</v>
      </c>
      <c r="G38" s="16" t="s">
        <v>26</v>
      </c>
      <c r="H38" s="17">
        <v>32.832000000000001</v>
      </c>
      <c r="I38" s="16">
        <v>625000</v>
      </c>
      <c r="J38" s="18">
        <f t="shared" si="0"/>
        <v>20520000</v>
      </c>
      <c r="K38" s="19">
        <v>19</v>
      </c>
      <c r="L38" s="19">
        <v>130000</v>
      </c>
      <c r="M38" s="18">
        <f t="shared" si="1"/>
        <v>2470000</v>
      </c>
      <c r="N38" s="18">
        <f t="shared" si="2"/>
        <v>22990000</v>
      </c>
      <c r="O38" s="20">
        <v>700000</v>
      </c>
      <c r="P38" s="18">
        <f t="shared" si="3"/>
        <v>75000</v>
      </c>
      <c r="Q38" s="18" t="s">
        <v>27</v>
      </c>
      <c r="R38" s="18">
        <f t="shared" si="4"/>
        <v>22982400</v>
      </c>
      <c r="S38" s="18">
        <v>2000000</v>
      </c>
      <c r="T38" s="18">
        <f t="shared" si="5"/>
        <v>2462400</v>
      </c>
      <c r="U38" s="11" t="s">
        <v>28</v>
      </c>
      <c r="V38" s="18">
        <f t="shared" si="6"/>
        <v>462400</v>
      </c>
    </row>
    <row r="39" spans="1:22" x14ac:dyDescent="0.35">
      <c r="A39" s="11">
        <f t="shared" si="8"/>
        <v>36</v>
      </c>
      <c r="B39" s="12" t="s">
        <v>22</v>
      </c>
      <c r="C39" s="21" t="s">
        <v>32</v>
      </c>
      <c r="D39" s="21" t="s">
        <v>33</v>
      </c>
      <c r="E39" s="22">
        <v>46206</v>
      </c>
      <c r="F39" s="30" t="s">
        <v>83</v>
      </c>
      <c r="G39" s="16" t="s">
        <v>46</v>
      </c>
      <c r="H39" s="17">
        <v>32.832000000000001</v>
      </c>
      <c r="I39" s="16">
        <v>625000</v>
      </c>
      <c r="J39" s="18">
        <f t="shared" si="0"/>
        <v>20520000</v>
      </c>
      <c r="K39" s="19">
        <v>19</v>
      </c>
      <c r="L39" s="19">
        <v>130000</v>
      </c>
      <c r="M39" s="18">
        <f t="shared" si="1"/>
        <v>2470000</v>
      </c>
      <c r="N39" s="18">
        <f t="shared" si="2"/>
        <v>22990000</v>
      </c>
      <c r="O39" s="20">
        <v>700000</v>
      </c>
      <c r="P39" s="18">
        <f t="shared" si="3"/>
        <v>75000</v>
      </c>
      <c r="Q39" s="18" t="s">
        <v>27</v>
      </c>
      <c r="R39" s="18">
        <f t="shared" si="4"/>
        <v>22982400</v>
      </c>
      <c r="S39" s="50">
        <v>2500000</v>
      </c>
      <c r="T39" s="18">
        <f t="shared" si="5"/>
        <v>2462400</v>
      </c>
      <c r="U39" s="11" t="s">
        <v>28</v>
      </c>
      <c r="V39" s="18">
        <f t="shared" si="6"/>
        <v>-37600</v>
      </c>
    </row>
    <row r="40" spans="1:22" x14ac:dyDescent="0.35">
      <c r="A40" s="11">
        <f t="shared" si="8"/>
        <v>37</v>
      </c>
      <c r="B40" s="12" t="s">
        <v>22</v>
      </c>
      <c r="C40" s="21" t="s">
        <v>32</v>
      </c>
      <c r="D40" s="21" t="s">
        <v>33</v>
      </c>
      <c r="E40" s="22">
        <v>46206</v>
      </c>
      <c r="F40" s="30" t="s">
        <v>84</v>
      </c>
      <c r="G40" s="16" t="s">
        <v>26</v>
      </c>
      <c r="H40" s="17">
        <v>32.832000000000001</v>
      </c>
      <c r="I40" s="16">
        <v>625000</v>
      </c>
      <c r="J40" s="18">
        <f t="shared" si="0"/>
        <v>20520000</v>
      </c>
      <c r="K40" s="19">
        <v>19</v>
      </c>
      <c r="L40" s="19">
        <v>130000</v>
      </c>
      <c r="M40" s="18">
        <f t="shared" si="1"/>
        <v>2470000</v>
      </c>
      <c r="N40" s="18">
        <f t="shared" si="2"/>
        <v>22990000</v>
      </c>
      <c r="O40" s="20">
        <v>700000</v>
      </c>
      <c r="P40" s="18">
        <f t="shared" si="3"/>
        <v>75000</v>
      </c>
      <c r="Q40" s="18" t="s">
        <v>27</v>
      </c>
      <c r="R40" s="18">
        <f t="shared" si="4"/>
        <v>22982400</v>
      </c>
      <c r="S40" s="50">
        <v>2500000</v>
      </c>
      <c r="T40" s="18">
        <f t="shared" si="5"/>
        <v>2462400</v>
      </c>
      <c r="U40" s="11" t="s">
        <v>28</v>
      </c>
      <c r="V40" s="18">
        <f t="shared" si="6"/>
        <v>-37600</v>
      </c>
    </row>
    <row r="41" spans="1:22" x14ac:dyDescent="0.35">
      <c r="A41" s="11">
        <f t="shared" si="8"/>
        <v>38</v>
      </c>
      <c r="B41" s="12" t="s">
        <v>22</v>
      </c>
      <c r="C41" s="57" t="s">
        <v>85</v>
      </c>
      <c r="D41" s="57" t="s">
        <v>86</v>
      </c>
      <c r="E41" s="58">
        <v>46206</v>
      </c>
      <c r="F41" s="59" t="s">
        <v>87</v>
      </c>
      <c r="G41" s="16" t="s">
        <v>26</v>
      </c>
      <c r="H41" s="17">
        <v>32.832000000000001</v>
      </c>
      <c r="I41" s="16">
        <v>625000</v>
      </c>
      <c r="J41" s="18">
        <f t="shared" si="0"/>
        <v>20520000</v>
      </c>
      <c r="K41" s="19">
        <v>19</v>
      </c>
      <c r="L41" s="19">
        <v>130000</v>
      </c>
      <c r="M41" s="18">
        <f t="shared" si="1"/>
        <v>2470000</v>
      </c>
      <c r="N41" s="18">
        <f t="shared" si="2"/>
        <v>22990000</v>
      </c>
      <c r="O41" s="20">
        <v>700000</v>
      </c>
      <c r="P41" s="18">
        <f t="shared" si="3"/>
        <v>75000</v>
      </c>
      <c r="Q41" s="18" t="s">
        <v>27</v>
      </c>
      <c r="R41" s="18">
        <f t="shared" si="4"/>
        <v>22982400</v>
      </c>
      <c r="S41" s="50">
        <v>2000000</v>
      </c>
      <c r="T41" s="18">
        <f t="shared" si="5"/>
        <v>2462400</v>
      </c>
      <c r="U41" s="11" t="s">
        <v>28</v>
      </c>
      <c r="V41" s="18">
        <f t="shared" si="6"/>
        <v>462400</v>
      </c>
    </row>
    <row r="42" spans="1:22" x14ac:dyDescent="0.35">
      <c r="A42" s="11">
        <f t="shared" si="8"/>
        <v>39</v>
      </c>
      <c r="B42" s="12" t="s">
        <v>22</v>
      </c>
      <c r="C42" s="57" t="s">
        <v>85</v>
      </c>
      <c r="D42" s="57" t="s">
        <v>86</v>
      </c>
      <c r="E42" s="58">
        <v>46206</v>
      </c>
      <c r="F42" s="59" t="s">
        <v>76</v>
      </c>
      <c r="G42" s="16" t="s">
        <v>26</v>
      </c>
      <c r="H42" s="17">
        <v>32.832000000000001</v>
      </c>
      <c r="I42" s="16">
        <v>625000</v>
      </c>
      <c r="J42" s="18">
        <f t="shared" si="0"/>
        <v>20520000</v>
      </c>
      <c r="K42" s="19">
        <v>19</v>
      </c>
      <c r="L42" s="19">
        <v>130000</v>
      </c>
      <c r="M42" s="18">
        <f t="shared" si="1"/>
        <v>2470000</v>
      </c>
      <c r="N42" s="18">
        <f t="shared" si="2"/>
        <v>22990000</v>
      </c>
      <c r="O42" s="20">
        <v>700000</v>
      </c>
      <c r="P42" s="18">
        <f t="shared" si="3"/>
        <v>75000</v>
      </c>
      <c r="Q42" s="18" t="s">
        <v>27</v>
      </c>
      <c r="R42" s="18">
        <f t="shared" si="4"/>
        <v>22982400</v>
      </c>
      <c r="S42" s="50">
        <v>2000000</v>
      </c>
      <c r="T42" s="18">
        <f t="shared" si="5"/>
        <v>2462400</v>
      </c>
      <c r="U42" s="11" t="s">
        <v>28</v>
      </c>
      <c r="V42" s="18">
        <f t="shared" si="6"/>
        <v>462400</v>
      </c>
    </row>
    <row r="43" spans="1:22" x14ac:dyDescent="0.35">
      <c r="A43" s="11">
        <f t="shared" si="8"/>
        <v>40</v>
      </c>
      <c r="B43" s="12" t="s">
        <v>22</v>
      </c>
      <c r="C43" s="57" t="s">
        <v>85</v>
      </c>
      <c r="D43" s="57" t="s">
        <v>86</v>
      </c>
      <c r="E43" s="58">
        <v>46206</v>
      </c>
      <c r="F43" s="59" t="s">
        <v>88</v>
      </c>
      <c r="G43" s="16" t="s">
        <v>46</v>
      </c>
      <c r="H43" s="17">
        <v>32.832000000000001</v>
      </c>
      <c r="I43" s="16">
        <v>625000</v>
      </c>
      <c r="J43" s="18">
        <f t="shared" si="0"/>
        <v>20520000</v>
      </c>
      <c r="K43" s="19">
        <v>19</v>
      </c>
      <c r="L43" s="19">
        <v>130000</v>
      </c>
      <c r="M43" s="18">
        <f t="shared" si="1"/>
        <v>2470000</v>
      </c>
      <c r="N43" s="18">
        <f t="shared" si="2"/>
        <v>22990000</v>
      </c>
      <c r="O43" s="20">
        <v>700000</v>
      </c>
      <c r="P43" s="18">
        <f t="shared" si="3"/>
        <v>75000</v>
      </c>
      <c r="Q43" s="18" t="s">
        <v>27</v>
      </c>
      <c r="R43" s="18">
        <f t="shared" si="4"/>
        <v>22982400</v>
      </c>
      <c r="S43" s="50">
        <v>2000000</v>
      </c>
      <c r="T43" s="18">
        <f t="shared" si="5"/>
        <v>2462400</v>
      </c>
      <c r="U43" s="11" t="s">
        <v>28</v>
      </c>
      <c r="V43" s="18">
        <f t="shared" si="6"/>
        <v>462400</v>
      </c>
    </row>
    <row r="44" spans="1:22" x14ac:dyDescent="0.35">
      <c r="A44" s="11">
        <f t="shared" si="8"/>
        <v>41</v>
      </c>
      <c r="B44" s="12" t="s">
        <v>22</v>
      </c>
      <c r="C44" s="21" t="s">
        <v>32</v>
      </c>
      <c r="D44" s="21" t="s">
        <v>89</v>
      </c>
      <c r="E44" s="22">
        <v>46209</v>
      </c>
      <c r="F44" s="30" t="s">
        <v>74</v>
      </c>
      <c r="G44" s="16" t="s">
        <v>26</v>
      </c>
      <c r="H44" s="17">
        <v>32.832000000000001</v>
      </c>
      <c r="I44" s="16">
        <v>625000</v>
      </c>
      <c r="J44" s="18">
        <f t="shared" si="0"/>
        <v>20520000</v>
      </c>
      <c r="K44" s="19">
        <v>19</v>
      </c>
      <c r="L44" s="19">
        <v>130000</v>
      </c>
      <c r="M44" s="18">
        <f t="shared" si="1"/>
        <v>2470000</v>
      </c>
      <c r="N44" s="18">
        <f t="shared" si="2"/>
        <v>22990000</v>
      </c>
      <c r="O44" s="20">
        <v>700000</v>
      </c>
      <c r="P44" s="18">
        <f t="shared" si="3"/>
        <v>75000</v>
      </c>
      <c r="Q44" s="18" t="s">
        <v>27</v>
      </c>
      <c r="R44" s="18">
        <f t="shared" si="4"/>
        <v>22982400</v>
      </c>
      <c r="S44" s="50">
        <v>2000000</v>
      </c>
      <c r="T44" s="18">
        <f t="shared" si="5"/>
        <v>2462400</v>
      </c>
      <c r="U44" s="11" t="s">
        <v>28</v>
      </c>
      <c r="V44" s="18">
        <f t="shared" si="6"/>
        <v>462400</v>
      </c>
    </row>
    <row r="45" spans="1:22" x14ac:dyDescent="0.35">
      <c r="A45" s="11">
        <f t="shared" si="8"/>
        <v>42</v>
      </c>
      <c r="B45" s="12" t="s">
        <v>22</v>
      </c>
      <c r="C45" s="57" t="s">
        <v>85</v>
      </c>
      <c r="D45" s="57" t="s">
        <v>90</v>
      </c>
      <c r="E45" s="58">
        <v>46209</v>
      </c>
      <c r="F45" s="59" t="s">
        <v>91</v>
      </c>
      <c r="G45" s="16" t="s">
        <v>26</v>
      </c>
      <c r="H45" s="17">
        <v>32.832000000000001</v>
      </c>
      <c r="I45" s="16">
        <v>625000</v>
      </c>
      <c r="J45" s="18">
        <f t="shared" si="0"/>
        <v>20520000</v>
      </c>
      <c r="K45" s="19">
        <v>19</v>
      </c>
      <c r="L45" s="19">
        <v>130000</v>
      </c>
      <c r="M45" s="18">
        <f t="shared" si="1"/>
        <v>2470000</v>
      </c>
      <c r="N45" s="18">
        <f t="shared" si="2"/>
        <v>22990000</v>
      </c>
      <c r="O45" s="20">
        <v>700000</v>
      </c>
      <c r="P45" s="18">
        <f t="shared" si="3"/>
        <v>75000</v>
      </c>
      <c r="Q45" s="18" t="s">
        <v>27</v>
      </c>
      <c r="R45" s="18">
        <f t="shared" si="4"/>
        <v>22982400</v>
      </c>
      <c r="S45" s="50">
        <v>2000000</v>
      </c>
      <c r="T45" s="18">
        <f t="shared" si="5"/>
        <v>2462400</v>
      </c>
      <c r="U45" s="11" t="s">
        <v>28</v>
      </c>
      <c r="V45" s="18">
        <f t="shared" si="6"/>
        <v>462400</v>
      </c>
    </row>
    <row r="46" spans="1:22" x14ac:dyDescent="0.35">
      <c r="A46" s="11">
        <f t="shared" si="8"/>
        <v>43</v>
      </c>
      <c r="B46" s="12" t="s">
        <v>22</v>
      </c>
      <c r="C46" s="24" t="s">
        <v>41</v>
      </c>
      <c r="D46" s="24" t="s">
        <v>92</v>
      </c>
      <c r="E46" s="60">
        <v>46209</v>
      </c>
      <c r="F46" s="24" t="s">
        <v>93</v>
      </c>
      <c r="G46" s="16" t="s">
        <v>94</v>
      </c>
      <c r="H46" s="17">
        <v>22.463999999999999</v>
      </c>
      <c r="I46" s="16">
        <v>625000</v>
      </c>
      <c r="J46" s="18">
        <f t="shared" si="0"/>
        <v>14040000</v>
      </c>
      <c r="K46" s="19">
        <v>13</v>
      </c>
      <c r="L46" s="19">
        <v>130000</v>
      </c>
      <c r="M46" s="18">
        <f t="shared" si="1"/>
        <v>1690000</v>
      </c>
      <c r="N46" s="18">
        <f t="shared" si="2"/>
        <v>15730000</v>
      </c>
      <c r="O46" s="20">
        <v>700000</v>
      </c>
      <c r="P46" s="18">
        <f t="shared" si="3"/>
        <v>75000</v>
      </c>
      <c r="Q46" s="18" t="s">
        <v>27</v>
      </c>
      <c r="R46" s="18">
        <f t="shared" si="4"/>
        <v>15724799.999999998</v>
      </c>
      <c r="S46" s="61">
        <v>1000000</v>
      </c>
      <c r="T46" s="18">
        <f t="shared" si="5"/>
        <v>1684799.9999999981</v>
      </c>
      <c r="U46" s="11" t="s">
        <v>28</v>
      </c>
      <c r="V46" s="18">
        <f t="shared" si="6"/>
        <v>684799.99999999814</v>
      </c>
    </row>
    <row r="47" spans="1:22" x14ac:dyDescent="0.35">
      <c r="A47" s="11">
        <f t="shared" si="8"/>
        <v>44</v>
      </c>
      <c r="B47" s="12" t="s">
        <v>22</v>
      </c>
      <c r="C47" s="12" t="s">
        <v>41</v>
      </c>
      <c r="D47" s="12" t="s">
        <v>92</v>
      </c>
      <c r="E47" s="109">
        <v>46209</v>
      </c>
      <c r="F47" s="12" t="s">
        <v>93</v>
      </c>
      <c r="G47" s="18" t="s">
        <v>26</v>
      </c>
      <c r="H47" s="17">
        <v>10.368</v>
      </c>
      <c r="I47" s="16">
        <v>625000</v>
      </c>
      <c r="J47" s="18">
        <f t="shared" si="0"/>
        <v>6480000</v>
      </c>
      <c r="K47" s="19">
        <v>6</v>
      </c>
      <c r="L47" s="19">
        <v>130000</v>
      </c>
      <c r="M47" s="18">
        <f t="shared" si="1"/>
        <v>780000</v>
      </c>
      <c r="N47" s="18">
        <f t="shared" si="2"/>
        <v>7260000</v>
      </c>
      <c r="O47" s="20">
        <v>700000</v>
      </c>
      <c r="P47" s="18">
        <f t="shared" si="3"/>
        <v>75000</v>
      </c>
      <c r="Q47" s="18" t="s">
        <v>27</v>
      </c>
      <c r="R47" s="18">
        <f t="shared" si="4"/>
        <v>7257600</v>
      </c>
      <c r="S47" s="61">
        <v>1000000</v>
      </c>
      <c r="T47" s="18">
        <f t="shared" si="5"/>
        <v>777600</v>
      </c>
      <c r="U47" s="11" t="s">
        <v>28</v>
      </c>
      <c r="V47" s="18">
        <f t="shared" si="6"/>
        <v>-222400</v>
      </c>
    </row>
    <row r="48" spans="1:22" x14ac:dyDescent="0.35">
      <c r="A48" s="11">
        <f t="shared" si="8"/>
        <v>45</v>
      </c>
      <c r="B48" s="12" t="s">
        <v>22</v>
      </c>
      <c r="C48" s="21" t="s">
        <v>32</v>
      </c>
      <c r="D48" s="21" t="s">
        <v>33</v>
      </c>
      <c r="E48" s="22">
        <v>46209</v>
      </c>
      <c r="F48" s="30" t="s">
        <v>95</v>
      </c>
      <c r="G48" s="16" t="s">
        <v>26</v>
      </c>
      <c r="H48" s="17">
        <v>32.832000000000001</v>
      </c>
      <c r="I48" s="16">
        <v>625000</v>
      </c>
      <c r="J48" s="18">
        <f t="shared" si="0"/>
        <v>20520000</v>
      </c>
      <c r="K48" s="19">
        <v>19</v>
      </c>
      <c r="L48" s="19">
        <v>130000</v>
      </c>
      <c r="M48" s="18">
        <f t="shared" si="1"/>
        <v>2470000</v>
      </c>
      <c r="N48" s="18">
        <f t="shared" si="2"/>
        <v>22990000</v>
      </c>
      <c r="O48" s="20">
        <v>700000</v>
      </c>
      <c r="P48" s="18">
        <f t="shared" si="3"/>
        <v>75000</v>
      </c>
      <c r="Q48" s="18" t="s">
        <v>27</v>
      </c>
      <c r="R48" s="18">
        <f t="shared" si="4"/>
        <v>22982400</v>
      </c>
      <c r="S48" s="50">
        <v>2000000</v>
      </c>
      <c r="T48" s="18">
        <f t="shared" si="5"/>
        <v>2462400</v>
      </c>
      <c r="U48" s="11" t="s">
        <v>28</v>
      </c>
      <c r="V48" s="18">
        <f t="shared" si="6"/>
        <v>462400</v>
      </c>
    </row>
    <row r="49" spans="1:22" x14ac:dyDescent="0.35">
      <c r="A49" s="11">
        <f t="shared" si="8"/>
        <v>46</v>
      </c>
      <c r="B49" s="12" t="s">
        <v>22</v>
      </c>
      <c r="C49" s="57" t="s">
        <v>85</v>
      </c>
      <c r="D49" s="57" t="s">
        <v>86</v>
      </c>
      <c r="E49" s="58">
        <v>46209</v>
      </c>
      <c r="F49" s="59" t="s">
        <v>96</v>
      </c>
      <c r="G49" s="16" t="s">
        <v>46</v>
      </c>
      <c r="H49" s="17">
        <v>32.832000000000001</v>
      </c>
      <c r="I49" s="16">
        <v>625000</v>
      </c>
      <c r="J49" s="18">
        <f t="shared" si="0"/>
        <v>20520000</v>
      </c>
      <c r="K49" s="19">
        <v>19</v>
      </c>
      <c r="L49" s="19">
        <v>130000</v>
      </c>
      <c r="M49" s="18">
        <f t="shared" si="1"/>
        <v>2470000</v>
      </c>
      <c r="N49" s="18">
        <f t="shared" si="2"/>
        <v>22990000</v>
      </c>
      <c r="O49" s="20">
        <v>700000</v>
      </c>
      <c r="P49" s="18">
        <f t="shared" si="3"/>
        <v>75000</v>
      </c>
      <c r="Q49" s="18" t="s">
        <v>27</v>
      </c>
      <c r="R49" s="18">
        <f t="shared" si="4"/>
        <v>22982400</v>
      </c>
      <c r="S49" s="50">
        <v>2000000</v>
      </c>
      <c r="T49" s="18">
        <f t="shared" si="5"/>
        <v>2462400</v>
      </c>
      <c r="U49" s="11" t="s">
        <v>28</v>
      </c>
      <c r="V49" s="18">
        <f t="shared" si="6"/>
        <v>462400</v>
      </c>
    </row>
    <row r="50" spans="1:22" x14ac:dyDescent="0.35">
      <c r="A50" s="11">
        <f t="shared" si="8"/>
        <v>47</v>
      </c>
      <c r="B50" s="12" t="s">
        <v>22</v>
      </c>
      <c r="C50" s="57" t="s">
        <v>85</v>
      </c>
      <c r="D50" s="57" t="s">
        <v>86</v>
      </c>
      <c r="E50" s="58">
        <v>46210</v>
      </c>
      <c r="F50" s="59" t="s">
        <v>97</v>
      </c>
      <c r="G50" s="16" t="s">
        <v>46</v>
      </c>
      <c r="H50" s="17">
        <v>32.832000000000001</v>
      </c>
      <c r="I50" s="16">
        <v>625000</v>
      </c>
      <c r="J50" s="18">
        <f t="shared" si="0"/>
        <v>20520000</v>
      </c>
      <c r="K50" s="19">
        <v>19</v>
      </c>
      <c r="L50" s="19">
        <v>130000</v>
      </c>
      <c r="M50" s="18">
        <f t="shared" si="1"/>
        <v>2470000</v>
      </c>
      <c r="N50" s="18">
        <f t="shared" si="2"/>
        <v>22990000</v>
      </c>
      <c r="O50" s="20">
        <v>700000</v>
      </c>
      <c r="P50" s="18">
        <f t="shared" si="3"/>
        <v>75000</v>
      </c>
      <c r="Q50" s="18" t="s">
        <v>27</v>
      </c>
      <c r="R50" s="18">
        <f t="shared" si="4"/>
        <v>22982400</v>
      </c>
      <c r="S50" s="50">
        <v>2000000</v>
      </c>
      <c r="T50" s="18">
        <f t="shared" si="5"/>
        <v>2462400</v>
      </c>
      <c r="U50" s="11" t="s">
        <v>28</v>
      </c>
      <c r="V50" s="18">
        <f t="shared" si="6"/>
        <v>462400</v>
      </c>
    </row>
    <row r="51" spans="1:22" x14ac:dyDescent="0.35">
      <c r="A51" s="11">
        <f t="shared" si="8"/>
        <v>48</v>
      </c>
      <c r="B51" s="12" t="s">
        <v>22</v>
      </c>
      <c r="C51" s="21" t="s">
        <v>32</v>
      </c>
      <c r="D51" s="21" t="s">
        <v>33</v>
      </c>
      <c r="E51" s="22">
        <v>46210</v>
      </c>
      <c r="F51" s="30" t="s">
        <v>98</v>
      </c>
      <c r="G51" s="16" t="s">
        <v>26</v>
      </c>
      <c r="H51" s="17">
        <v>32.832000000000001</v>
      </c>
      <c r="I51" s="16">
        <v>625000</v>
      </c>
      <c r="J51" s="18">
        <f t="shared" si="0"/>
        <v>20520000</v>
      </c>
      <c r="K51" s="19">
        <v>19</v>
      </c>
      <c r="L51" s="19">
        <v>130000</v>
      </c>
      <c r="M51" s="18">
        <f t="shared" si="1"/>
        <v>2470000</v>
      </c>
      <c r="N51" s="18">
        <f t="shared" si="2"/>
        <v>22990000</v>
      </c>
      <c r="O51" s="20">
        <v>700000</v>
      </c>
      <c r="P51" s="18">
        <f t="shared" si="3"/>
        <v>75000</v>
      </c>
      <c r="Q51" s="18" t="s">
        <v>27</v>
      </c>
      <c r="R51" s="18">
        <f t="shared" si="4"/>
        <v>22982400</v>
      </c>
      <c r="S51" s="50">
        <v>2000000</v>
      </c>
      <c r="T51" s="18">
        <f t="shared" si="5"/>
        <v>2462400</v>
      </c>
      <c r="U51" s="11" t="s">
        <v>28</v>
      </c>
      <c r="V51" s="18">
        <f t="shared" si="6"/>
        <v>462400</v>
      </c>
    </row>
    <row r="52" spans="1:22" x14ac:dyDescent="0.35">
      <c r="A52" s="11">
        <f t="shared" si="8"/>
        <v>49</v>
      </c>
      <c r="B52" s="12" t="s">
        <v>22</v>
      </c>
      <c r="C52" s="21" t="s">
        <v>32</v>
      </c>
      <c r="D52" s="21" t="s">
        <v>33</v>
      </c>
      <c r="E52" s="22">
        <v>46210</v>
      </c>
      <c r="F52" s="30" t="s">
        <v>74</v>
      </c>
      <c r="G52" s="16" t="s">
        <v>26</v>
      </c>
      <c r="H52" s="17">
        <v>32.832000000000001</v>
      </c>
      <c r="I52" s="16">
        <v>625000</v>
      </c>
      <c r="J52" s="18">
        <f t="shared" si="0"/>
        <v>20520000</v>
      </c>
      <c r="K52" s="19">
        <v>19</v>
      </c>
      <c r="L52" s="19">
        <v>130000</v>
      </c>
      <c r="M52" s="18">
        <f t="shared" si="1"/>
        <v>2470000</v>
      </c>
      <c r="N52" s="18">
        <f t="shared" si="2"/>
        <v>22990000</v>
      </c>
      <c r="O52" s="20">
        <v>700000</v>
      </c>
      <c r="P52" s="18">
        <f t="shared" si="3"/>
        <v>75000</v>
      </c>
      <c r="Q52" s="18" t="s">
        <v>27</v>
      </c>
      <c r="R52" s="18">
        <f t="shared" si="4"/>
        <v>22982400</v>
      </c>
      <c r="S52" s="50">
        <v>2500000</v>
      </c>
      <c r="T52" s="18">
        <f t="shared" si="5"/>
        <v>2462400</v>
      </c>
      <c r="U52" s="11" t="s">
        <v>28</v>
      </c>
      <c r="V52" s="18">
        <f t="shared" si="6"/>
        <v>-37600</v>
      </c>
    </row>
    <row r="53" spans="1:22" x14ac:dyDescent="0.35">
      <c r="A53" s="11">
        <f t="shared" si="8"/>
        <v>50</v>
      </c>
      <c r="B53" s="12" t="s">
        <v>22</v>
      </c>
      <c r="C53" s="21" t="s">
        <v>32</v>
      </c>
      <c r="D53" s="21" t="s">
        <v>33</v>
      </c>
      <c r="E53" s="22">
        <v>46210</v>
      </c>
      <c r="F53" s="30" t="s">
        <v>99</v>
      </c>
      <c r="G53" s="16" t="s">
        <v>26</v>
      </c>
      <c r="H53" s="17">
        <v>32.832000000000001</v>
      </c>
      <c r="I53" s="16">
        <v>625000</v>
      </c>
      <c r="J53" s="18">
        <f t="shared" si="0"/>
        <v>20520000</v>
      </c>
      <c r="K53" s="19">
        <v>19</v>
      </c>
      <c r="L53" s="19">
        <v>130000</v>
      </c>
      <c r="M53" s="18">
        <f t="shared" si="1"/>
        <v>2470000</v>
      </c>
      <c r="N53" s="18">
        <f t="shared" si="2"/>
        <v>22990000</v>
      </c>
      <c r="O53" s="20">
        <v>700000</v>
      </c>
      <c r="P53" s="18">
        <f t="shared" si="3"/>
        <v>75000</v>
      </c>
      <c r="Q53" s="18" t="s">
        <v>27</v>
      </c>
      <c r="R53" s="18">
        <f t="shared" si="4"/>
        <v>22982400</v>
      </c>
      <c r="S53" s="50">
        <v>2500000</v>
      </c>
      <c r="T53" s="18">
        <f t="shared" si="5"/>
        <v>2462400</v>
      </c>
      <c r="U53" s="11" t="s">
        <v>28</v>
      </c>
      <c r="V53" s="18">
        <f t="shared" si="6"/>
        <v>-37600</v>
      </c>
    </row>
    <row r="54" spans="1:22" x14ac:dyDescent="0.35">
      <c r="A54" s="11">
        <f t="shared" si="8"/>
        <v>51</v>
      </c>
      <c r="B54" s="12" t="s">
        <v>22</v>
      </c>
      <c r="C54" s="12" t="s">
        <v>100</v>
      </c>
      <c r="D54" s="12" t="s">
        <v>101</v>
      </c>
      <c r="E54" s="62">
        <v>46210</v>
      </c>
      <c r="F54" s="63" t="s">
        <v>102</v>
      </c>
      <c r="G54" s="16" t="s">
        <v>46</v>
      </c>
      <c r="H54" s="17">
        <v>32.832000000000001</v>
      </c>
      <c r="I54" s="16">
        <v>625000</v>
      </c>
      <c r="J54" s="18">
        <f t="shared" si="0"/>
        <v>20520000</v>
      </c>
      <c r="K54" s="19">
        <v>19</v>
      </c>
      <c r="L54" s="19">
        <v>130000</v>
      </c>
      <c r="M54" s="18">
        <f t="shared" si="1"/>
        <v>2470000</v>
      </c>
      <c r="N54" s="18">
        <f t="shared" si="2"/>
        <v>22990000</v>
      </c>
      <c r="O54" s="20">
        <v>700000</v>
      </c>
      <c r="P54" s="18">
        <f t="shared" si="3"/>
        <v>75000</v>
      </c>
      <c r="Q54" s="18" t="s">
        <v>27</v>
      </c>
      <c r="R54" s="18">
        <f t="shared" si="4"/>
        <v>22982400</v>
      </c>
      <c r="S54" s="50">
        <v>2000000</v>
      </c>
      <c r="T54" s="18">
        <f t="shared" si="5"/>
        <v>2462400</v>
      </c>
      <c r="U54" s="11" t="s">
        <v>28</v>
      </c>
      <c r="V54" s="18">
        <f t="shared" si="6"/>
        <v>462400</v>
      </c>
    </row>
    <row r="55" spans="1:22" x14ac:dyDescent="0.35">
      <c r="A55" s="11">
        <f>A54+1</f>
        <v>52</v>
      </c>
      <c r="B55" s="12" t="s">
        <v>22</v>
      </c>
      <c r="C55" s="13" t="s">
        <v>23</v>
      </c>
      <c r="D55" s="13" t="s">
        <v>68</v>
      </c>
      <c r="E55" s="14">
        <v>46210</v>
      </c>
      <c r="F55" s="31" t="s">
        <v>103</v>
      </c>
      <c r="G55" s="16" t="s">
        <v>104</v>
      </c>
      <c r="H55" s="17">
        <v>32.832000000000001</v>
      </c>
      <c r="I55" s="50">
        <v>595000</v>
      </c>
      <c r="J55" s="18">
        <f t="shared" si="0"/>
        <v>19535040</v>
      </c>
      <c r="K55" s="19">
        <v>19</v>
      </c>
      <c r="L55" s="19">
        <v>130000</v>
      </c>
      <c r="M55" s="18">
        <f t="shared" si="1"/>
        <v>2470000</v>
      </c>
      <c r="N55" s="18">
        <f t="shared" si="2"/>
        <v>22005040</v>
      </c>
      <c r="O55" s="20">
        <v>700000</v>
      </c>
      <c r="P55" s="18">
        <f t="shared" si="3"/>
        <v>105000</v>
      </c>
      <c r="Q55" s="18" t="s">
        <v>27</v>
      </c>
      <c r="R55" s="18">
        <f t="shared" si="4"/>
        <v>22982400</v>
      </c>
      <c r="S55" s="64">
        <v>2000000</v>
      </c>
      <c r="T55" s="18">
        <f t="shared" si="5"/>
        <v>3447360</v>
      </c>
      <c r="U55" s="11" t="s">
        <v>28</v>
      </c>
      <c r="V55" s="18">
        <f t="shared" si="6"/>
        <v>1447360</v>
      </c>
    </row>
    <row r="56" spans="1:22" x14ac:dyDescent="0.35">
      <c r="A56" s="11">
        <f t="shared" si="8"/>
        <v>53</v>
      </c>
      <c r="B56" s="12" t="s">
        <v>22</v>
      </c>
      <c r="C56" s="12" t="s">
        <v>100</v>
      </c>
      <c r="D56" s="12" t="s">
        <v>105</v>
      </c>
      <c r="E56" s="62">
        <v>46210</v>
      </c>
      <c r="F56" s="63" t="s">
        <v>106</v>
      </c>
      <c r="G56" s="16" t="s">
        <v>46</v>
      </c>
      <c r="H56" s="17">
        <v>32.832000000000001</v>
      </c>
      <c r="I56" s="16">
        <v>625000</v>
      </c>
      <c r="J56" s="18">
        <f t="shared" si="0"/>
        <v>20520000</v>
      </c>
      <c r="K56" s="19">
        <v>19</v>
      </c>
      <c r="L56" s="19">
        <v>130000</v>
      </c>
      <c r="M56" s="18">
        <f t="shared" si="1"/>
        <v>2470000</v>
      </c>
      <c r="N56" s="18">
        <f t="shared" si="2"/>
        <v>22990000</v>
      </c>
      <c r="O56" s="20">
        <v>700000</v>
      </c>
      <c r="P56" s="18">
        <f t="shared" si="3"/>
        <v>75000</v>
      </c>
      <c r="Q56" s="18" t="s">
        <v>27</v>
      </c>
      <c r="R56" s="18">
        <f t="shared" si="4"/>
        <v>22982400</v>
      </c>
      <c r="S56" s="50">
        <v>2200000</v>
      </c>
      <c r="T56" s="18">
        <f t="shared" si="5"/>
        <v>2462400</v>
      </c>
      <c r="U56" s="11" t="s">
        <v>28</v>
      </c>
      <c r="V56" s="18">
        <f t="shared" si="6"/>
        <v>262400</v>
      </c>
    </row>
    <row r="57" spans="1:22" x14ac:dyDescent="0.35">
      <c r="A57" s="11">
        <f t="shared" si="8"/>
        <v>54</v>
      </c>
      <c r="B57" s="12" t="s">
        <v>22</v>
      </c>
      <c r="C57" s="12" t="s">
        <v>100</v>
      </c>
      <c r="D57" s="12" t="s">
        <v>101</v>
      </c>
      <c r="E57" s="62">
        <v>46211</v>
      </c>
      <c r="F57" s="63" t="s">
        <v>107</v>
      </c>
      <c r="G57" s="16" t="s">
        <v>26</v>
      </c>
      <c r="H57" s="17">
        <v>32.832000000000001</v>
      </c>
      <c r="I57" s="16">
        <v>625000</v>
      </c>
      <c r="J57" s="18">
        <f t="shared" si="0"/>
        <v>20520000</v>
      </c>
      <c r="K57" s="19">
        <v>19</v>
      </c>
      <c r="L57" s="19">
        <v>130000</v>
      </c>
      <c r="M57" s="18">
        <f t="shared" si="1"/>
        <v>2470000</v>
      </c>
      <c r="N57" s="18">
        <f t="shared" si="2"/>
        <v>22990000</v>
      </c>
      <c r="O57" s="20">
        <v>700000</v>
      </c>
      <c r="P57" s="18">
        <f t="shared" si="3"/>
        <v>75000</v>
      </c>
      <c r="Q57" s="18" t="s">
        <v>27</v>
      </c>
      <c r="R57" s="18">
        <f t="shared" si="4"/>
        <v>22982400</v>
      </c>
      <c r="S57" s="50">
        <v>2000000</v>
      </c>
      <c r="T57" s="18">
        <f t="shared" si="5"/>
        <v>2462400</v>
      </c>
      <c r="U57" s="11" t="s">
        <v>28</v>
      </c>
      <c r="V57" s="18">
        <f t="shared" si="6"/>
        <v>462400</v>
      </c>
    </row>
    <row r="58" spans="1:22" x14ac:dyDescent="0.35">
      <c r="A58" s="11">
        <f t="shared" si="8"/>
        <v>55</v>
      </c>
      <c r="B58" s="12" t="s">
        <v>22</v>
      </c>
      <c r="C58" s="57" t="s">
        <v>85</v>
      </c>
      <c r="D58" s="57" t="s">
        <v>86</v>
      </c>
      <c r="E58" s="58">
        <v>46211</v>
      </c>
      <c r="F58" s="59" t="s">
        <v>108</v>
      </c>
      <c r="G58" s="16" t="s">
        <v>26</v>
      </c>
      <c r="H58" s="17">
        <v>32.832000000000001</v>
      </c>
      <c r="I58" s="16">
        <v>625000</v>
      </c>
      <c r="J58" s="18">
        <f t="shared" si="0"/>
        <v>20520000</v>
      </c>
      <c r="K58" s="19">
        <v>19</v>
      </c>
      <c r="L58" s="19">
        <v>130000</v>
      </c>
      <c r="M58" s="18">
        <f t="shared" si="1"/>
        <v>2470000</v>
      </c>
      <c r="N58" s="18">
        <f t="shared" si="2"/>
        <v>22990000</v>
      </c>
      <c r="O58" s="20">
        <v>700000</v>
      </c>
      <c r="P58" s="18">
        <f t="shared" si="3"/>
        <v>75000</v>
      </c>
      <c r="Q58" s="18" t="s">
        <v>27</v>
      </c>
      <c r="R58" s="18">
        <f t="shared" si="4"/>
        <v>22982400</v>
      </c>
      <c r="S58" s="50">
        <v>2000000</v>
      </c>
      <c r="T58" s="18">
        <f t="shared" si="5"/>
        <v>2462400</v>
      </c>
      <c r="U58" s="11" t="s">
        <v>28</v>
      </c>
      <c r="V58" s="18">
        <f t="shared" si="6"/>
        <v>462400</v>
      </c>
    </row>
    <row r="59" spans="1:22" x14ac:dyDescent="0.35">
      <c r="A59" s="11">
        <f t="shared" si="8"/>
        <v>56</v>
      </c>
      <c r="B59" s="12" t="s">
        <v>22</v>
      </c>
      <c r="C59" s="21" t="s">
        <v>32</v>
      </c>
      <c r="D59" s="21" t="s">
        <v>33</v>
      </c>
      <c r="E59" s="22">
        <v>46211</v>
      </c>
      <c r="F59" s="30" t="s">
        <v>109</v>
      </c>
      <c r="G59" s="16" t="s">
        <v>26</v>
      </c>
      <c r="H59" s="17">
        <v>32.832000000000001</v>
      </c>
      <c r="I59" s="16">
        <v>625000</v>
      </c>
      <c r="J59" s="18">
        <f t="shared" si="0"/>
        <v>20520000</v>
      </c>
      <c r="K59" s="19">
        <v>19</v>
      </c>
      <c r="L59" s="19">
        <v>130000</v>
      </c>
      <c r="M59" s="18">
        <f t="shared" si="1"/>
        <v>2470000</v>
      </c>
      <c r="N59" s="18">
        <f t="shared" si="2"/>
        <v>22990000</v>
      </c>
      <c r="O59" s="20">
        <v>700000</v>
      </c>
      <c r="P59" s="18">
        <f t="shared" si="3"/>
        <v>75000</v>
      </c>
      <c r="Q59" s="18" t="s">
        <v>27</v>
      </c>
      <c r="R59" s="18">
        <f t="shared" si="4"/>
        <v>22982400</v>
      </c>
      <c r="S59" s="50">
        <v>2500000</v>
      </c>
      <c r="T59" s="18">
        <f t="shared" si="5"/>
        <v>2462400</v>
      </c>
      <c r="U59" s="11" t="s">
        <v>28</v>
      </c>
      <c r="V59" s="18">
        <f t="shared" si="6"/>
        <v>-37600</v>
      </c>
    </row>
    <row r="60" spans="1:22" x14ac:dyDescent="0.35">
      <c r="A60" s="11">
        <f t="shared" si="8"/>
        <v>57</v>
      </c>
      <c r="B60" s="12" t="s">
        <v>22</v>
      </c>
      <c r="C60" s="57" t="s">
        <v>85</v>
      </c>
      <c r="D60" s="57" t="s">
        <v>110</v>
      </c>
      <c r="E60" s="58">
        <v>46212</v>
      </c>
      <c r="F60" s="59" t="s">
        <v>87</v>
      </c>
      <c r="G60" s="16" t="s">
        <v>46</v>
      </c>
      <c r="H60" s="17">
        <v>32.832000000000001</v>
      </c>
      <c r="I60" s="16">
        <v>625000</v>
      </c>
      <c r="J60" s="18">
        <f t="shared" si="0"/>
        <v>20520000</v>
      </c>
      <c r="K60" s="19">
        <v>19</v>
      </c>
      <c r="L60" s="19">
        <v>130000</v>
      </c>
      <c r="M60" s="18">
        <f t="shared" si="1"/>
        <v>2470000</v>
      </c>
      <c r="N60" s="18">
        <f t="shared" si="2"/>
        <v>22990000</v>
      </c>
      <c r="O60" s="20">
        <v>700000</v>
      </c>
      <c r="P60" s="18">
        <f t="shared" si="3"/>
        <v>75000</v>
      </c>
      <c r="Q60" s="18" t="s">
        <v>27</v>
      </c>
      <c r="R60" s="18">
        <f t="shared" si="4"/>
        <v>22982400</v>
      </c>
      <c r="S60" s="50">
        <v>2000000</v>
      </c>
      <c r="T60" s="18">
        <f t="shared" si="5"/>
        <v>2462400</v>
      </c>
      <c r="U60" s="11" t="s">
        <v>28</v>
      </c>
      <c r="V60" s="18">
        <f t="shared" si="6"/>
        <v>462400</v>
      </c>
    </row>
    <row r="61" spans="1:22" x14ac:dyDescent="0.35">
      <c r="A61" s="11">
        <f t="shared" si="8"/>
        <v>58</v>
      </c>
      <c r="B61" s="12" t="s">
        <v>22</v>
      </c>
      <c r="C61" s="13" t="s">
        <v>23</v>
      </c>
      <c r="D61" s="13" t="s">
        <v>68</v>
      </c>
      <c r="E61" s="14">
        <v>46212</v>
      </c>
      <c r="F61" s="31" t="s">
        <v>44</v>
      </c>
      <c r="G61" s="16" t="s">
        <v>104</v>
      </c>
      <c r="H61" s="17">
        <v>32.832000000000001</v>
      </c>
      <c r="I61" s="50">
        <v>595000</v>
      </c>
      <c r="J61" s="18">
        <f t="shared" si="0"/>
        <v>19535040</v>
      </c>
      <c r="K61" s="19">
        <v>19</v>
      </c>
      <c r="L61" s="19">
        <v>130000</v>
      </c>
      <c r="M61" s="18">
        <f t="shared" si="1"/>
        <v>2470000</v>
      </c>
      <c r="N61" s="18">
        <f t="shared" si="2"/>
        <v>22005040</v>
      </c>
      <c r="O61" s="20">
        <v>700000</v>
      </c>
      <c r="P61" s="18">
        <f t="shared" si="3"/>
        <v>105000</v>
      </c>
      <c r="Q61" s="18" t="s">
        <v>27</v>
      </c>
      <c r="R61" s="18">
        <f t="shared" si="4"/>
        <v>22982400</v>
      </c>
      <c r="S61" s="64">
        <v>2200000</v>
      </c>
      <c r="T61" s="18">
        <f t="shared" si="5"/>
        <v>3447360</v>
      </c>
      <c r="U61" s="11" t="s">
        <v>28</v>
      </c>
      <c r="V61" s="18">
        <f t="shared" si="6"/>
        <v>1247360</v>
      </c>
    </row>
    <row r="62" spans="1:22" x14ac:dyDescent="0.35">
      <c r="A62" s="11">
        <f t="shared" si="8"/>
        <v>59</v>
      </c>
      <c r="B62" s="12" t="s">
        <v>22</v>
      </c>
      <c r="C62" s="57" t="s">
        <v>85</v>
      </c>
      <c r="D62" s="57" t="s">
        <v>110</v>
      </c>
      <c r="E62" s="58">
        <v>46213</v>
      </c>
      <c r="F62" s="59" t="s">
        <v>111</v>
      </c>
      <c r="G62" s="16" t="s">
        <v>26</v>
      </c>
      <c r="H62" s="17">
        <v>32.832000000000001</v>
      </c>
      <c r="I62" s="16">
        <v>625000</v>
      </c>
      <c r="J62" s="18">
        <f t="shared" si="0"/>
        <v>20520000</v>
      </c>
      <c r="K62" s="19">
        <v>19</v>
      </c>
      <c r="L62" s="19">
        <v>130000</v>
      </c>
      <c r="M62" s="18">
        <f t="shared" si="1"/>
        <v>2470000</v>
      </c>
      <c r="N62" s="18">
        <f t="shared" si="2"/>
        <v>22990000</v>
      </c>
      <c r="O62" s="20">
        <v>700000</v>
      </c>
      <c r="P62" s="18">
        <f t="shared" si="3"/>
        <v>75000</v>
      </c>
      <c r="Q62" s="18" t="s">
        <v>27</v>
      </c>
      <c r="R62" s="18">
        <f t="shared" si="4"/>
        <v>22982400</v>
      </c>
      <c r="S62" s="50">
        <v>2200000</v>
      </c>
      <c r="T62" s="18">
        <f t="shared" si="5"/>
        <v>2462400</v>
      </c>
      <c r="U62" s="11" t="s">
        <v>28</v>
      </c>
      <c r="V62" s="18">
        <f t="shared" si="6"/>
        <v>262400</v>
      </c>
    </row>
    <row r="63" spans="1:22" x14ac:dyDescent="0.35">
      <c r="A63" s="11">
        <f t="shared" si="8"/>
        <v>60</v>
      </c>
      <c r="B63" s="12" t="s">
        <v>22</v>
      </c>
      <c r="C63" s="57" t="s">
        <v>85</v>
      </c>
      <c r="D63" s="57" t="s">
        <v>90</v>
      </c>
      <c r="E63" s="58">
        <v>46213</v>
      </c>
      <c r="F63" s="59" t="s">
        <v>112</v>
      </c>
      <c r="G63" s="16" t="s">
        <v>46</v>
      </c>
      <c r="H63" s="17">
        <v>32.832000000000001</v>
      </c>
      <c r="I63" s="16">
        <v>625000</v>
      </c>
      <c r="J63" s="18">
        <f t="shared" si="0"/>
        <v>20520000</v>
      </c>
      <c r="K63" s="19">
        <v>19</v>
      </c>
      <c r="L63" s="19">
        <v>130000</v>
      </c>
      <c r="M63" s="18">
        <f t="shared" si="1"/>
        <v>2470000</v>
      </c>
      <c r="N63" s="18">
        <f t="shared" si="2"/>
        <v>22990000</v>
      </c>
      <c r="O63" s="20">
        <v>700000</v>
      </c>
      <c r="P63" s="18">
        <f t="shared" si="3"/>
        <v>75000</v>
      </c>
      <c r="Q63" s="18" t="s">
        <v>27</v>
      </c>
      <c r="R63" s="18">
        <f t="shared" si="4"/>
        <v>22982400</v>
      </c>
      <c r="S63" s="50">
        <v>2200000</v>
      </c>
      <c r="T63" s="18">
        <f t="shared" si="5"/>
        <v>2462400</v>
      </c>
      <c r="U63" s="11" t="s">
        <v>28</v>
      </c>
      <c r="V63" s="18">
        <f t="shared" si="6"/>
        <v>262400</v>
      </c>
    </row>
    <row r="64" spans="1:22" x14ac:dyDescent="0.35">
      <c r="A64" s="11">
        <f>A67+1</f>
        <v>64</v>
      </c>
      <c r="B64" s="12" t="s">
        <v>22</v>
      </c>
      <c r="C64" s="57" t="s">
        <v>85</v>
      </c>
      <c r="D64" s="57" t="s">
        <v>113</v>
      </c>
      <c r="E64" s="58">
        <v>46213</v>
      </c>
      <c r="F64" s="59" t="s">
        <v>114</v>
      </c>
      <c r="G64" s="16" t="s">
        <v>26</v>
      </c>
      <c r="H64" s="17">
        <v>32.832000000000001</v>
      </c>
      <c r="I64" s="16">
        <v>625000</v>
      </c>
      <c r="J64" s="18">
        <f t="shared" si="0"/>
        <v>20520000</v>
      </c>
      <c r="K64" s="19">
        <v>19</v>
      </c>
      <c r="L64" s="19">
        <v>130000</v>
      </c>
      <c r="M64" s="18">
        <f t="shared" si="1"/>
        <v>2470000</v>
      </c>
      <c r="N64" s="18">
        <f t="shared" si="2"/>
        <v>22990000</v>
      </c>
      <c r="O64" s="20">
        <v>700000</v>
      </c>
      <c r="P64" s="18">
        <f t="shared" si="3"/>
        <v>75000</v>
      </c>
      <c r="Q64" s="18" t="s">
        <v>27</v>
      </c>
      <c r="R64" s="18">
        <f t="shared" si="4"/>
        <v>22982400</v>
      </c>
      <c r="S64" s="50">
        <v>2300000</v>
      </c>
      <c r="T64" s="18">
        <f t="shared" si="5"/>
        <v>2462400</v>
      </c>
      <c r="U64" s="11" t="s">
        <v>28</v>
      </c>
      <c r="V64" s="18">
        <f t="shared" si="6"/>
        <v>162400</v>
      </c>
    </row>
    <row r="65" spans="1:22" x14ac:dyDescent="0.35">
      <c r="A65" s="11">
        <f>A63+1</f>
        <v>61</v>
      </c>
      <c r="B65" s="12" t="s">
        <v>22</v>
      </c>
      <c r="C65" s="13" t="s">
        <v>23</v>
      </c>
      <c r="D65" s="13" t="s">
        <v>137</v>
      </c>
      <c r="E65" s="14">
        <v>46214</v>
      </c>
      <c r="F65" s="31" t="s">
        <v>87</v>
      </c>
      <c r="G65" s="16" t="s">
        <v>104</v>
      </c>
      <c r="H65" s="17">
        <v>32.832000000000001</v>
      </c>
      <c r="I65" s="50">
        <v>595000</v>
      </c>
      <c r="J65" s="18">
        <f t="shared" si="0"/>
        <v>19535040</v>
      </c>
      <c r="K65" s="19">
        <v>19</v>
      </c>
      <c r="L65" s="19">
        <v>130000</v>
      </c>
      <c r="M65" s="18">
        <f t="shared" si="1"/>
        <v>2470000</v>
      </c>
      <c r="N65" s="18">
        <f t="shared" si="2"/>
        <v>22005040</v>
      </c>
      <c r="O65" s="20">
        <v>700000</v>
      </c>
      <c r="P65" s="18">
        <f t="shared" si="3"/>
        <v>105000</v>
      </c>
      <c r="Q65" s="18" t="s">
        <v>27</v>
      </c>
      <c r="R65" s="18">
        <f t="shared" si="4"/>
        <v>22982400</v>
      </c>
      <c r="S65" s="51">
        <v>2500000</v>
      </c>
      <c r="T65" s="18">
        <f t="shared" si="5"/>
        <v>3447360</v>
      </c>
      <c r="U65" s="11" t="s">
        <v>28</v>
      </c>
      <c r="V65" s="18">
        <f t="shared" si="6"/>
        <v>947360</v>
      </c>
    </row>
    <row r="66" spans="1:22" x14ac:dyDescent="0.35">
      <c r="A66" s="11">
        <f t="shared" si="8"/>
        <v>62</v>
      </c>
      <c r="B66" s="12" t="s">
        <v>22</v>
      </c>
      <c r="C66" s="27" t="s">
        <v>50</v>
      </c>
      <c r="D66" s="27" t="s">
        <v>115</v>
      </c>
      <c r="E66" s="28">
        <v>46214</v>
      </c>
      <c r="F66" s="56" t="s">
        <v>116</v>
      </c>
      <c r="G66" s="16" t="s">
        <v>26</v>
      </c>
      <c r="H66" s="17">
        <v>32.832000000000001</v>
      </c>
      <c r="I66" s="16">
        <v>625000</v>
      </c>
      <c r="J66" s="18">
        <f t="shared" si="0"/>
        <v>20520000</v>
      </c>
      <c r="K66" s="19">
        <v>19</v>
      </c>
      <c r="L66" s="19">
        <v>130000</v>
      </c>
      <c r="M66" s="18">
        <f t="shared" si="1"/>
        <v>2470000</v>
      </c>
      <c r="N66" s="18">
        <f t="shared" si="2"/>
        <v>22990000</v>
      </c>
      <c r="O66" s="20">
        <v>700000</v>
      </c>
      <c r="P66" s="18">
        <f t="shared" si="3"/>
        <v>75000</v>
      </c>
      <c r="Q66" s="18" t="s">
        <v>27</v>
      </c>
      <c r="R66" s="18">
        <f t="shared" si="4"/>
        <v>22982400</v>
      </c>
      <c r="S66" s="50">
        <v>2500000</v>
      </c>
      <c r="T66" s="18">
        <f t="shared" si="5"/>
        <v>2462400</v>
      </c>
      <c r="U66" s="11" t="s">
        <v>28</v>
      </c>
      <c r="V66" s="18">
        <f t="shared" si="6"/>
        <v>-37600</v>
      </c>
    </row>
    <row r="67" spans="1:22" x14ac:dyDescent="0.35">
      <c r="A67" s="11">
        <f t="shared" si="8"/>
        <v>63</v>
      </c>
      <c r="B67" s="12" t="s">
        <v>22</v>
      </c>
      <c r="C67" s="21" t="s">
        <v>32</v>
      </c>
      <c r="D67" s="21" t="s">
        <v>33</v>
      </c>
      <c r="E67" s="22">
        <v>46214</v>
      </c>
      <c r="F67" s="30" t="s">
        <v>117</v>
      </c>
      <c r="G67" s="16" t="s">
        <v>26</v>
      </c>
      <c r="H67" s="17">
        <v>32.832000000000001</v>
      </c>
      <c r="I67" s="16">
        <v>625000</v>
      </c>
      <c r="J67" s="18">
        <f t="shared" si="0"/>
        <v>20520000</v>
      </c>
      <c r="K67" s="19">
        <v>19</v>
      </c>
      <c r="L67" s="19">
        <v>130000</v>
      </c>
      <c r="M67" s="18">
        <f t="shared" si="1"/>
        <v>2470000</v>
      </c>
      <c r="N67" s="18">
        <f t="shared" si="2"/>
        <v>22990000</v>
      </c>
      <c r="O67" s="20">
        <v>700000</v>
      </c>
      <c r="P67" s="18">
        <f t="shared" si="3"/>
        <v>75000</v>
      </c>
      <c r="Q67" s="18" t="s">
        <v>27</v>
      </c>
      <c r="R67" s="18">
        <f t="shared" si="4"/>
        <v>22982400</v>
      </c>
      <c r="S67" s="50">
        <v>2200000</v>
      </c>
      <c r="T67" s="18">
        <f t="shared" si="5"/>
        <v>2462400</v>
      </c>
      <c r="U67" s="11" t="s">
        <v>28</v>
      </c>
      <c r="V67" s="18">
        <f t="shared" si="6"/>
        <v>262400</v>
      </c>
    </row>
    <row r="68" spans="1:22" x14ac:dyDescent="0.35">
      <c r="A68" s="11">
        <f>A64+1</f>
        <v>65</v>
      </c>
      <c r="B68" s="12" t="s">
        <v>22</v>
      </c>
      <c r="C68" s="24" t="s">
        <v>41</v>
      </c>
      <c r="D68" s="24" t="s">
        <v>294</v>
      </c>
      <c r="E68" s="60">
        <v>46211</v>
      </c>
      <c r="F68" s="24" t="s">
        <v>34</v>
      </c>
      <c r="G68" s="16" t="s">
        <v>26</v>
      </c>
      <c r="H68" s="17">
        <v>34.56</v>
      </c>
      <c r="I68" s="50">
        <v>545000</v>
      </c>
      <c r="J68" s="18">
        <f t="shared" si="0"/>
        <v>18835200</v>
      </c>
      <c r="K68" s="19">
        <v>20</v>
      </c>
      <c r="L68" s="19">
        <v>130000</v>
      </c>
      <c r="M68" s="18">
        <f t="shared" si="1"/>
        <v>2600000</v>
      </c>
      <c r="N68" s="18">
        <f t="shared" si="2"/>
        <v>21435200</v>
      </c>
      <c r="O68" s="20">
        <v>700000</v>
      </c>
      <c r="P68" s="18">
        <f t="shared" si="3"/>
        <v>155000</v>
      </c>
      <c r="Q68" s="18" t="s">
        <v>27</v>
      </c>
      <c r="R68" s="18">
        <f t="shared" si="4"/>
        <v>24192000</v>
      </c>
      <c r="S68" s="50">
        <v>2000000</v>
      </c>
      <c r="T68" s="18">
        <f t="shared" si="5"/>
        <v>5356800</v>
      </c>
      <c r="U68" s="11" t="s">
        <v>28</v>
      </c>
      <c r="V68" s="18">
        <f t="shared" si="6"/>
        <v>3356800</v>
      </c>
    </row>
    <row r="69" spans="1:22" x14ac:dyDescent="0.35">
      <c r="A69" s="11">
        <f t="shared" si="8"/>
        <v>66</v>
      </c>
      <c r="B69" s="12" t="s">
        <v>22</v>
      </c>
      <c r="C69" s="24" t="s">
        <v>41</v>
      </c>
      <c r="D69" s="24" t="s">
        <v>92</v>
      </c>
      <c r="E69" s="60">
        <v>46212</v>
      </c>
      <c r="F69" s="24" t="s">
        <v>119</v>
      </c>
      <c r="G69" s="16" t="s">
        <v>46</v>
      </c>
      <c r="H69" s="17">
        <v>32.832000000000001</v>
      </c>
      <c r="I69" s="16">
        <v>625000</v>
      </c>
      <c r="J69" s="18">
        <f t="shared" ref="J69:J132" si="9">H69*I69</f>
        <v>20520000</v>
      </c>
      <c r="K69" s="19">
        <v>19</v>
      </c>
      <c r="L69" s="19">
        <v>130000</v>
      </c>
      <c r="M69" s="18">
        <f t="shared" ref="M69:M132" si="10">K69*L69</f>
        <v>2470000</v>
      </c>
      <c r="N69" s="18">
        <f t="shared" ref="N69:N132" si="11">J69+M69</f>
        <v>22990000</v>
      </c>
      <c r="O69" s="20">
        <v>700000</v>
      </c>
      <c r="P69" s="18">
        <f t="shared" ref="P69:P132" si="12">O69-I69</f>
        <v>75000</v>
      </c>
      <c r="Q69" s="18" t="s">
        <v>27</v>
      </c>
      <c r="R69" s="18">
        <f t="shared" ref="R69:R132" si="13">O69*H69</f>
        <v>22982400</v>
      </c>
      <c r="S69" s="65">
        <v>1</v>
      </c>
      <c r="T69" s="18">
        <f t="shared" ref="T69:T132" si="14">R69-J69</f>
        <v>2462400</v>
      </c>
      <c r="U69" s="11" t="s">
        <v>28</v>
      </c>
      <c r="V69" s="18">
        <f t="shared" ref="V69:V132" si="15">T69-S69</f>
        <v>2462399</v>
      </c>
    </row>
    <row r="70" spans="1:22" x14ac:dyDescent="0.35">
      <c r="A70" s="11">
        <f t="shared" si="8"/>
        <v>67</v>
      </c>
      <c r="B70" s="12" t="s">
        <v>22</v>
      </c>
      <c r="C70" s="24" t="s">
        <v>41</v>
      </c>
      <c r="D70" s="24" t="s">
        <v>92</v>
      </c>
      <c r="E70" s="60">
        <v>46212</v>
      </c>
      <c r="F70" s="24" t="s">
        <v>120</v>
      </c>
      <c r="G70" s="16" t="s">
        <v>104</v>
      </c>
      <c r="H70" s="17">
        <v>32.832000000000001</v>
      </c>
      <c r="I70" s="50">
        <v>595000</v>
      </c>
      <c r="J70" s="18">
        <f t="shared" si="9"/>
        <v>19535040</v>
      </c>
      <c r="K70" s="19">
        <v>19</v>
      </c>
      <c r="L70" s="19">
        <v>130000</v>
      </c>
      <c r="M70" s="18">
        <f t="shared" si="10"/>
        <v>2470000</v>
      </c>
      <c r="N70" s="18">
        <f t="shared" si="11"/>
        <v>22005040</v>
      </c>
      <c r="O70" s="20">
        <v>700000</v>
      </c>
      <c r="P70" s="18">
        <f t="shared" si="12"/>
        <v>105000</v>
      </c>
      <c r="Q70" s="18" t="s">
        <v>27</v>
      </c>
      <c r="R70" s="18">
        <f t="shared" si="13"/>
        <v>22982400</v>
      </c>
      <c r="S70" s="65">
        <v>1</v>
      </c>
      <c r="T70" s="18">
        <f t="shared" si="14"/>
        <v>3447360</v>
      </c>
      <c r="U70" s="11" t="s">
        <v>28</v>
      </c>
      <c r="V70" s="18">
        <f t="shared" si="15"/>
        <v>3447359</v>
      </c>
    </row>
    <row r="71" spans="1:22" x14ac:dyDescent="0.35">
      <c r="A71" s="11">
        <f t="shared" si="8"/>
        <v>68</v>
      </c>
      <c r="B71" s="12" t="s">
        <v>22</v>
      </c>
      <c r="C71" s="27" t="s">
        <v>50</v>
      </c>
      <c r="D71" s="27" t="s">
        <v>53</v>
      </c>
      <c r="E71" s="28">
        <v>46214</v>
      </c>
      <c r="F71" s="56" t="s">
        <v>79</v>
      </c>
      <c r="G71" s="16" t="s">
        <v>26</v>
      </c>
      <c r="H71" s="17">
        <v>32.832000000000001</v>
      </c>
      <c r="I71" s="16">
        <v>625000</v>
      </c>
      <c r="J71" s="18">
        <f t="shared" si="9"/>
        <v>20520000</v>
      </c>
      <c r="K71" s="19">
        <v>19</v>
      </c>
      <c r="L71" s="19">
        <v>130000</v>
      </c>
      <c r="M71" s="18">
        <f t="shared" si="10"/>
        <v>2470000</v>
      </c>
      <c r="N71" s="18">
        <f t="shared" si="11"/>
        <v>22990000</v>
      </c>
      <c r="O71" s="20">
        <v>700000</v>
      </c>
      <c r="P71" s="18">
        <f t="shared" si="12"/>
        <v>75000</v>
      </c>
      <c r="Q71" s="18" t="s">
        <v>27</v>
      </c>
      <c r="R71" s="18">
        <f t="shared" si="13"/>
        <v>22982400</v>
      </c>
      <c r="S71" s="50">
        <v>2200000</v>
      </c>
      <c r="T71" s="18">
        <f t="shared" si="14"/>
        <v>2462400</v>
      </c>
      <c r="U71" s="11" t="s">
        <v>28</v>
      </c>
      <c r="V71" s="18">
        <f t="shared" si="15"/>
        <v>262400</v>
      </c>
    </row>
    <row r="72" spans="1:22" x14ac:dyDescent="0.35">
      <c r="A72" s="11">
        <f t="shared" si="8"/>
        <v>69</v>
      </c>
      <c r="B72" s="12" t="s">
        <v>22</v>
      </c>
      <c r="C72" s="12" t="s">
        <v>100</v>
      </c>
      <c r="D72" s="12" t="s">
        <v>105</v>
      </c>
      <c r="E72" s="62">
        <v>46214</v>
      </c>
      <c r="F72" s="63" t="s">
        <v>121</v>
      </c>
      <c r="G72" s="16" t="s">
        <v>26</v>
      </c>
      <c r="H72" s="17">
        <v>32.832000000000001</v>
      </c>
      <c r="I72" s="16">
        <v>625000</v>
      </c>
      <c r="J72" s="18">
        <f t="shared" si="9"/>
        <v>20520000</v>
      </c>
      <c r="K72" s="19">
        <v>19</v>
      </c>
      <c r="L72" s="19">
        <v>130000</v>
      </c>
      <c r="M72" s="18">
        <f t="shared" si="10"/>
        <v>2470000</v>
      </c>
      <c r="N72" s="18">
        <f t="shared" si="11"/>
        <v>22990000</v>
      </c>
      <c r="O72" s="20">
        <v>700000</v>
      </c>
      <c r="P72" s="18">
        <f t="shared" si="12"/>
        <v>75000</v>
      </c>
      <c r="Q72" s="18" t="s">
        <v>27</v>
      </c>
      <c r="R72" s="18">
        <f t="shared" si="13"/>
        <v>22982400</v>
      </c>
      <c r="S72" s="50">
        <v>2500000</v>
      </c>
      <c r="T72" s="18">
        <f t="shared" si="14"/>
        <v>2462400</v>
      </c>
      <c r="U72" s="11" t="s">
        <v>28</v>
      </c>
      <c r="V72" s="18">
        <f t="shared" si="15"/>
        <v>-37600</v>
      </c>
    </row>
    <row r="73" spans="1:22" x14ac:dyDescent="0.35">
      <c r="A73" s="11">
        <f t="shared" si="8"/>
        <v>70</v>
      </c>
      <c r="B73" s="12" t="s">
        <v>22</v>
      </c>
      <c r="C73" s="57" t="s">
        <v>85</v>
      </c>
      <c r="D73" s="57" t="s">
        <v>86</v>
      </c>
      <c r="E73" s="58">
        <v>46214</v>
      </c>
      <c r="F73" s="59" t="s">
        <v>122</v>
      </c>
      <c r="G73" s="16" t="s">
        <v>26</v>
      </c>
      <c r="H73" s="17">
        <v>32.832000000000001</v>
      </c>
      <c r="I73" s="16">
        <v>625000</v>
      </c>
      <c r="J73" s="18">
        <f t="shared" si="9"/>
        <v>20520000</v>
      </c>
      <c r="K73" s="19">
        <v>19</v>
      </c>
      <c r="L73" s="19">
        <v>130000</v>
      </c>
      <c r="M73" s="18">
        <f t="shared" si="10"/>
        <v>2470000</v>
      </c>
      <c r="N73" s="18">
        <f t="shared" si="11"/>
        <v>22990000</v>
      </c>
      <c r="O73" s="20">
        <v>700000</v>
      </c>
      <c r="P73" s="18">
        <f t="shared" si="12"/>
        <v>75000</v>
      </c>
      <c r="Q73" s="18" t="s">
        <v>27</v>
      </c>
      <c r="R73" s="18">
        <f t="shared" si="13"/>
        <v>22982400</v>
      </c>
      <c r="S73" s="50">
        <v>2200000</v>
      </c>
      <c r="T73" s="18">
        <f t="shared" si="14"/>
        <v>2462400</v>
      </c>
      <c r="U73" s="11" t="s">
        <v>28</v>
      </c>
      <c r="V73" s="18">
        <f t="shared" si="15"/>
        <v>262400</v>
      </c>
    </row>
    <row r="74" spans="1:22" x14ac:dyDescent="0.35">
      <c r="A74" s="11">
        <f t="shared" si="8"/>
        <v>71</v>
      </c>
      <c r="B74" s="12" t="s">
        <v>22</v>
      </c>
      <c r="C74" s="27" t="s">
        <v>50</v>
      </c>
      <c r="D74" s="27" t="s">
        <v>53</v>
      </c>
      <c r="E74" s="28">
        <v>46214</v>
      </c>
      <c r="F74" s="27" t="s">
        <v>123</v>
      </c>
      <c r="G74" s="16" t="s">
        <v>26</v>
      </c>
      <c r="H74" s="17">
        <v>32.832000000000001</v>
      </c>
      <c r="I74" s="16">
        <v>625000</v>
      </c>
      <c r="J74" s="18">
        <f t="shared" si="9"/>
        <v>20520000</v>
      </c>
      <c r="K74" s="19">
        <v>19</v>
      </c>
      <c r="L74" s="19">
        <v>130000</v>
      </c>
      <c r="M74" s="18">
        <f t="shared" si="10"/>
        <v>2470000</v>
      </c>
      <c r="N74" s="18">
        <f t="shared" si="11"/>
        <v>22990000</v>
      </c>
      <c r="O74" s="20">
        <v>700000</v>
      </c>
      <c r="P74" s="18">
        <f t="shared" si="12"/>
        <v>75000</v>
      </c>
      <c r="Q74" s="18" t="s">
        <v>27</v>
      </c>
      <c r="R74" s="18">
        <f t="shared" si="13"/>
        <v>22982400</v>
      </c>
      <c r="S74" s="50">
        <v>2200000</v>
      </c>
      <c r="T74" s="18">
        <f t="shared" si="14"/>
        <v>2462400</v>
      </c>
      <c r="U74" s="11" t="s">
        <v>28</v>
      </c>
      <c r="V74" s="18">
        <f t="shared" si="15"/>
        <v>262400</v>
      </c>
    </row>
    <row r="75" spans="1:22" x14ac:dyDescent="0.35">
      <c r="A75" s="11">
        <f t="shared" si="8"/>
        <v>72</v>
      </c>
      <c r="B75" s="12" t="s">
        <v>22</v>
      </c>
      <c r="C75" s="21" t="s">
        <v>32</v>
      </c>
      <c r="D75" s="21" t="s">
        <v>33</v>
      </c>
      <c r="E75" s="22">
        <v>46214</v>
      </c>
      <c r="F75" s="66" t="s">
        <v>124</v>
      </c>
      <c r="G75" s="16" t="s">
        <v>46</v>
      </c>
      <c r="H75" s="17">
        <v>32.832000000000001</v>
      </c>
      <c r="I75" s="16">
        <v>625000</v>
      </c>
      <c r="J75" s="18">
        <f t="shared" si="9"/>
        <v>20520000</v>
      </c>
      <c r="K75" s="19">
        <v>19</v>
      </c>
      <c r="L75" s="19">
        <v>130000</v>
      </c>
      <c r="M75" s="18">
        <f t="shared" si="10"/>
        <v>2470000</v>
      </c>
      <c r="N75" s="18">
        <f t="shared" si="11"/>
        <v>22990000</v>
      </c>
      <c r="O75" s="20">
        <v>700000</v>
      </c>
      <c r="P75" s="18">
        <f t="shared" si="12"/>
        <v>75000</v>
      </c>
      <c r="Q75" s="18" t="s">
        <v>27</v>
      </c>
      <c r="R75" s="18">
        <f t="shared" si="13"/>
        <v>22982400</v>
      </c>
      <c r="S75" s="50">
        <v>2200000</v>
      </c>
      <c r="T75" s="18">
        <f t="shared" si="14"/>
        <v>2462400</v>
      </c>
      <c r="U75" s="11" t="s">
        <v>28</v>
      </c>
      <c r="V75" s="18">
        <f t="shared" si="15"/>
        <v>262400</v>
      </c>
    </row>
    <row r="76" spans="1:22" x14ac:dyDescent="0.35">
      <c r="A76" s="11">
        <f t="shared" si="8"/>
        <v>73</v>
      </c>
      <c r="B76" s="12" t="s">
        <v>22</v>
      </c>
      <c r="C76" s="21" t="s">
        <v>32</v>
      </c>
      <c r="D76" s="21" t="s">
        <v>89</v>
      </c>
      <c r="E76" s="22">
        <v>46214</v>
      </c>
      <c r="F76" s="30" t="s">
        <v>74</v>
      </c>
      <c r="G76" s="16" t="s">
        <v>26</v>
      </c>
      <c r="H76" s="17">
        <v>32.832000000000001</v>
      </c>
      <c r="I76" s="16">
        <v>625000</v>
      </c>
      <c r="J76" s="18">
        <f t="shared" si="9"/>
        <v>20520000</v>
      </c>
      <c r="K76" s="19">
        <v>19</v>
      </c>
      <c r="L76" s="19">
        <v>130000</v>
      </c>
      <c r="M76" s="18">
        <f t="shared" si="10"/>
        <v>2470000</v>
      </c>
      <c r="N76" s="18">
        <f t="shared" si="11"/>
        <v>22990000</v>
      </c>
      <c r="O76" s="20">
        <v>700000</v>
      </c>
      <c r="P76" s="18">
        <f t="shared" si="12"/>
        <v>75000</v>
      </c>
      <c r="Q76" s="18" t="s">
        <v>27</v>
      </c>
      <c r="R76" s="18">
        <f t="shared" si="13"/>
        <v>22982400</v>
      </c>
      <c r="S76" s="61">
        <v>2200000</v>
      </c>
      <c r="T76" s="18">
        <f t="shared" si="14"/>
        <v>2462400</v>
      </c>
      <c r="U76" s="11" t="s">
        <v>28</v>
      </c>
      <c r="V76" s="18">
        <f t="shared" si="15"/>
        <v>262400</v>
      </c>
    </row>
    <row r="77" spans="1:22" x14ac:dyDescent="0.35">
      <c r="A77" s="11">
        <f t="shared" si="8"/>
        <v>74</v>
      </c>
      <c r="B77" s="12" t="s">
        <v>22</v>
      </c>
      <c r="C77" s="27" t="s">
        <v>50</v>
      </c>
      <c r="D77" s="67" t="s">
        <v>125</v>
      </c>
      <c r="E77" s="28">
        <v>46215</v>
      </c>
      <c r="F77" s="27" t="s">
        <v>126</v>
      </c>
      <c r="G77" s="16" t="s">
        <v>26</v>
      </c>
      <c r="H77" s="17">
        <v>32.832000000000001</v>
      </c>
      <c r="I77" s="50">
        <v>545000</v>
      </c>
      <c r="J77" s="18">
        <f t="shared" si="9"/>
        <v>17893440</v>
      </c>
      <c r="K77" s="19">
        <v>19</v>
      </c>
      <c r="L77" s="19">
        <v>130000</v>
      </c>
      <c r="M77" s="18">
        <f t="shared" si="10"/>
        <v>2470000</v>
      </c>
      <c r="N77" s="18">
        <f t="shared" si="11"/>
        <v>20363440</v>
      </c>
      <c r="O77" s="20">
        <v>700000</v>
      </c>
      <c r="P77" s="18">
        <f t="shared" si="12"/>
        <v>155000</v>
      </c>
      <c r="Q77" s="18" t="s">
        <v>27</v>
      </c>
      <c r="R77" s="18">
        <f t="shared" si="13"/>
        <v>22982400</v>
      </c>
      <c r="S77" s="18">
        <v>2600000</v>
      </c>
      <c r="T77" s="18">
        <f t="shared" si="14"/>
        <v>5088960</v>
      </c>
      <c r="U77" s="11" t="s">
        <v>28</v>
      </c>
      <c r="V77" s="18">
        <f t="shared" si="15"/>
        <v>2488960</v>
      </c>
    </row>
    <row r="78" spans="1:22" x14ac:dyDescent="0.35">
      <c r="A78" s="11">
        <f t="shared" si="8"/>
        <v>75</v>
      </c>
      <c r="B78" s="12" t="s">
        <v>22</v>
      </c>
      <c r="C78" s="13" t="s">
        <v>23</v>
      </c>
      <c r="D78" s="13" t="s">
        <v>127</v>
      </c>
      <c r="E78" s="14">
        <v>46215</v>
      </c>
      <c r="F78" s="31" t="s">
        <v>93</v>
      </c>
      <c r="G78" s="16" t="s">
        <v>26</v>
      </c>
      <c r="H78" s="17">
        <v>32.832000000000001</v>
      </c>
      <c r="I78" s="16">
        <v>625000</v>
      </c>
      <c r="J78" s="18">
        <f t="shared" si="9"/>
        <v>20520000</v>
      </c>
      <c r="K78" s="19">
        <v>19</v>
      </c>
      <c r="L78" s="19">
        <v>130000</v>
      </c>
      <c r="M78" s="18">
        <f t="shared" si="10"/>
        <v>2470000</v>
      </c>
      <c r="N78" s="18">
        <f t="shared" si="11"/>
        <v>22990000</v>
      </c>
      <c r="O78" s="20">
        <v>700000</v>
      </c>
      <c r="P78" s="18">
        <f t="shared" si="12"/>
        <v>75000</v>
      </c>
      <c r="Q78" s="18" t="s">
        <v>27</v>
      </c>
      <c r="R78" s="18">
        <f t="shared" si="13"/>
        <v>22982400</v>
      </c>
      <c r="S78" s="18">
        <v>2200000</v>
      </c>
      <c r="T78" s="18">
        <f t="shared" si="14"/>
        <v>2462400</v>
      </c>
      <c r="U78" s="11" t="s">
        <v>28</v>
      </c>
      <c r="V78" s="18">
        <f t="shared" si="15"/>
        <v>262400</v>
      </c>
    </row>
    <row r="79" spans="1:22" x14ac:dyDescent="0.35">
      <c r="A79" s="11">
        <f t="shared" si="8"/>
        <v>76</v>
      </c>
      <c r="B79" s="12" t="s">
        <v>22</v>
      </c>
      <c r="C79" s="12" t="s">
        <v>100</v>
      </c>
      <c r="D79" s="12" t="s">
        <v>128</v>
      </c>
      <c r="E79" s="62">
        <v>46215</v>
      </c>
      <c r="F79" s="63" t="s">
        <v>129</v>
      </c>
      <c r="G79" s="16" t="s">
        <v>26</v>
      </c>
      <c r="H79" s="17">
        <v>32.832000000000001</v>
      </c>
      <c r="I79" s="16">
        <v>625000</v>
      </c>
      <c r="J79" s="18">
        <f t="shared" si="9"/>
        <v>20520000</v>
      </c>
      <c r="K79" s="19">
        <v>19</v>
      </c>
      <c r="L79" s="19">
        <v>130000</v>
      </c>
      <c r="M79" s="18">
        <f t="shared" si="10"/>
        <v>2470000</v>
      </c>
      <c r="N79" s="18">
        <f t="shared" si="11"/>
        <v>22990000</v>
      </c>
      <c r="O79" s="20">
        <v>700000</v>
      </c>
      <c r="P79" s="18">
        <f t="shared" si="12"/>
        <v>75000</v>
      </c>
      <c r="Q79" s="18" t="s">
        <v>27</v>
      </c>
      <c r="R79" s="18">
        <f t="shared" si="13"/>
        <v>22982400</v>
      </c>
      <c r="S79" s="18">
        <v>2200000</v>
      </c>
      <c r="T79" s="18">
        <f t="shared" si="14"/>
        <v>2462400</v>
      </c>
      <c r="U79" s="11" t="s">
        <v>28</v>
      </c>
      <c r="V79" s="18">
        <f t="shared" si="15"/>
        <v>262400</v>
      </c>
    </row>
    <row r="80" spans="1:22" x14ac:dyDescent="0.35">
      <c r="A80" s="11">
        <f t="shared" si="8"/>
        <v>77</v>
      </c>
      <c r="B80" s="12" t="s">
        <v>22</v>
      </c>
      <c r="C80" s="12" t="s">
        <v>100</v>
      </c>
      <c r="D80" s="12" t="s">
        <v>128</v>
      </c>
      <c r="E80" s="62">
        <v>46216</v>
      </c>
      <c r="F80" s="63" t="s">
        <v>130</v>
      </c>
      <c r="G80" s="16" t="s">
        <v>46</v>
      </c>
      <c r="H80" s="17">
        <v>32.832000000000001</v>
      </c>
      <c r="I80" s="16">
        <v>625000</v>
      </c>
      <c r="J80" s="18">
        <f t="shared" si="9"/>
        <v>20520000</v>
      </c>
      <c r="K80" s="19">
        <v>19</v>
      </c>
      <c r="L80" s="19">
        <v>130000</v>
      </c>
      <c r="M80" s="18">
        <f t="shared" si="10"/>
        <v>2470000</v>
      </c>
      <c r="N80" s="18">
        <f t="shared" si="11"/>
        <v>22990000</v>
      </c>
      <c r="O80" s="20">
        <v>700000</v>
      </c>
      <c r="P80" s="18">
        <f t="shared" si="12"/>
        <v>75000</v>
      </c>
      <c r="Q80" s="18" t="s">
        <v>27</v>
      </c>
      <c r="R80" s="18">
        <f t="shared" si="13"/>
        <v>22982400</v>
      </c>
      <c r="S80" s="18">
        <v>2200000</v>
      </c>
      <c r="T80" s="18">
        <f t="shared" si="14"/>
        <v>2462400</v>
      </c>
      <c r="U80" s="11" t="s">
        <v>28</v>
      </c>
      <c r="V80" s="18">
        <f t="shared" si="15"/>
        <v>262400</v>
      </c>
    </row>
    <row r="81" spans="1:22" x14ac:dyDescent="0.35">
      <c r="A81" s="11">
        <f t="shared" si="8"/>
        <v>78</v>
      </c>
      <c r="B81" s="12" t="s">
        <v>22</v>
      </c>
      <c r="C81" s="21" t="s">
        <v>32</v>
      </c>
      <c r="D81" s="21" t="s">
        <v>33</v>
      </c>
      <c r="E81" s="22">
        <v>46216</v>
      </c>
      <c r="F81" s="43" t="s">
        <v>131</v>
      </c>
      <c r="G81" s="16" t="s">
        <v>26</v>
      </c>
      <c r="H81" s="17">
        <v>32.832000000000001</v>
      </c>
      <c r="I81" s="16">
        <v>625000</v>
      </c>
      <c r="J81" s="18">
        <f t="shared" si="9"/>
        <v>20520000</v>
      </c>
      <c r="K81" s="19">
        <v>19</v>
      </c>
      <c r="L81" s="19">
        <v>130000</v>
      </c>
      <c r="M81" s="18">
        <f t="shared" si="10"/>
        <v>2470000</v>
      </c>
      <c r="N81" s="18">
        <f t="shared" si="11"/>
        <v>22990000</v>
      </c>
      <c r="O81" s="20">
        <v>700000</v>
      </c>
      <c r="P81" s="18">
        <f t="shared" si="12"/>
        <v>75000</v>
      </c>
      <c r="Q81" s="18" t="s">
        <v>27</v>
      </c>
      <c r="R81" s="18">
        <f t="shared" si="13"/>
        <v>22982400</v>
      </c>
      <c r="S81" s="50">
        <v>2500000</v>
      </c>
      <c r="T81" s="18">
        <f t="shared" si="14"/>
        <v>2462400</v>
      </c>
      <c r="U81" s="11" t="s">
        <v>28</v>
      </c>
      <c r="V81" s="18">
        <f t="shared" si="15"/>
        <v>-37600</v>
      </c>
    </row>
    <row r="82" spans="1:22" x14ac:dyDescent="0.35">
      <c r="A82" s="11">
        <f t="shared" si="8"/>
        <v>79</v>
      </c>
      <c r="B82" s="12" t="s">
        <v>22</v>
      </c>
      <c r="C82" s="21" t="s">
        <v>32</v>
      </c>
      <c r="D82" s="21" t="s">
        <v>89</v>
      </c>
      <c r="E82" s="22">
        <v>46217</v>
      </c>
      <c r="F82" s="43" t="s">
        <v>132</v>
      </c>
      <c r="G82" s="16" t="s">
        <v>46</v>
      </c>
      <c r="H82" s="17">
        <v>32.832000000000001</v>
      </c>
      <c r="I82" s="16">
        <v>625000</v>
      </c>
      <c r="J82" s="18">
        <f t="shared" si="9"/>
        <v>20520000</v>
      </c>
      <c r="K82" s="19">
        <v>19</v>
      </c>
      <c r="L82" s="19">
        <v>130000</v>
      </c>
      <c r="M82" s="18">
        <f t="shared" si="10"/>
        <v>2470000</v>
      </c>
      <c r="N82" s="18">
        <f t="shared" si="11"/>
        <v>22990000</v>
      </c>
      <c r="O82" s="20">
        <v>700000</v>
      </c>
      <c r="P82" s="18">
        <f t="shared" si="12"/>
        <v>75000</v>
      </c>
      <c r="Q82" s="18" t="s">
        <v>27</v>
      </c>
      <c r="R82" s="18">
        <f t="shared" si="13"/>
        <v>22982400</v>
      </c>
      <c r="S82" s="61">
        <v>2500000</v>
      </c>
      <c r="T82" s="18">
        <f t="shared" si="14"/>
        <v>2462400</v>
      </c>
      <c r="U82" s="11" t="s">
        <v>28</v>
      </c>
      <c r="V82" s="18">
        <f t="shared" si="15"/>
        <v>-37600</v>
      </c>
    </row>
    <row r="83" spans="1:22" x14ac:dyDescent="0.35">
      <c r="A83" s="11">
        <f t="shared" si="8"/>
        <v>80</v>
      </c>
      <c r="B83" s="12" t="s">
        <v>22</v>
      </c>
      <c r="C83" s="57" t="s">
        <v>85</v>
      </c>
      <c r="D83" s="57" t="s">
        <v>86</v>
      </c>
      <c r="E83" s="58">
        <v>46216</v>
      </c>
      <c r="F83" s="68" t="s">
        <v>133</v>
      </c>
      <c r="G83" s="16" t="s">
        <v>46</v>
      </c>
      <c r="H83" s="17">
        <v>32.832000000000001</v>
      </c>
      <c r="I83" s="16">
        <v>625000</v>
      </c>
      <c r="J83" s="18">
        <f t="shared" si="9"/>
        <v>20520000</v>
      </c>
      <c r="K83" s="19">
        <v>19</v>
      </c>
      <c r="L83" s="19">
        <v>130000</v>
      </c>
      <c r="M83" s="18">
        <f t="shared" si="10"/>
        <v>2470000</v>
      </c>
      <c r="N83" s="18">
        <f t="shared" si="11"/>
        <v>22990000</v>
      </c>
      <c r="O83" s="20">
        <v>700000</v>
      </c>
      <c r="P83" s="18">
        <f t="shared" si="12"/>
        <v>75000</v>
      </c>
      <c r="Q83" s="18" t="s">
        <v>27</v>
      </c>
      <c r="R83" s="18">
        <f t="shared" si="13"/>
        <v>22982400</v>
      </c>
      <c r="S83" s="50">
        <v>2200000</v>
      </c>
      <c r="T83" s="18">
        <f t="shared" si="14"/>
        <v>2462400</v>
      </c>
      <c r="U83" s="11" t="s">
        <v>28</v>
      </c>
      <c r="V83" s="18">
        <f t="shared" si="15"/>
        <v>262400</v>
      </c>
    </row>
    <row r="84" spans="1:22" x14ac:dyDescent="0.35">
      <c r="A84" s="11">
        <f t="shared" si="8"/>
        <v>81</v>
      </c>
      <c r="B84" s="12" t="s">
        <v>22</v>
      </c>
      <c r="C84" s="57" t="s">
        <v>85</v>
      </c>
      <c r="D84" s="57" t="s">
        <v>86</v>
      </c>
      <c r="E84" s="58">
        <v>46216</v>
      </c>
      <c r="F84" s="68" t="s">
        <v>126</v>
      </c>
      <c r="G84" s="16" t="s">
        <v>26</v>
      </c>
      <c r="H84" s="17">
        <v>32.832000000000001</v>
      </c>
      <c r="I84" s="16">
        <v>625000</v>
      </c>
      <c r="J84" s="18">
        <f t="shared" si="9"/>
        <v>20520000</v>
      </c>
      <c r="K84" s="19">
        <v>19</v>
      </c>
      <c r="L84" s="19">
        <v>130000</v>
      </c>
      <c r="M84" s="18">
        <f t="shared" si="10"/>
        <v>2470000</v>
      </c>
      <c r="N84" s="18">
        <f t="shared" si="11"/>
        <v>22990000</v>
      </c>
      <c r="O84" s="20">
        <v>700000</v>
      </c>
      <c r="P84" s="18">
        <f t="shared" si="12"/>
        <v>75000</v>
      </c>
      <c r="Q84" s="18" t="s">
        <v>27</v>
      </c>
      <c r="R84" s="18">
        <f t="shared" si="13"/>
        <v>22982400</v>
      </c>
      <c r="S84" s="50">
        <v>2200000</v>
      </c>
      <c r="T84" s="18">
        <f t="shared" si="14"/>
        <v>2462400</v>
      </c>
      <c r="U84" s="11" t="s">
        <v>28</v>
      </c>
      <c r="V84" s="18">
        <f t="shared" si="15"/>
        <v>262400</v>
      </c>
    </row>
    <row r="85" spans="1:22" x14ac:dyDescent="0.35">
      <c r="A85" s="11">
        <f t="shared" si="8"/>
        <v>82</v>
      </c>
      <c r="B85" s="12" t="s">
        <v>22</v>
      </c>
      <c r="C85" s="57" t="s">
        <v>85</v>
      </c>
      <c r="D85" s="57" t="s">
        <v>110</v>
      </c>
      <c r="E85" s="58">
        <v>46216</v>
      </c>
      <c r="F85" s="68" t="s">
        <v>134</v>
      </c>
      <c r="G85" s="16" t="s">
        <v>26</v>
      </c>
      <c r="H85" s="17">
        <v>32.832000000000001</v>
      </c>
      <c r="I85" s="16">
        <v>625000</v>
      </c>
      <c r="J85" s="18">
        <f t="shared" si="9"/>
        <v>20520000</v>
      </c>
      <c r="K85" s="19">
        <v>19</v>
      </c>
      <c r="L85" s="19">
        <v>130000</v>
      </c>
      <c r="M85" s="18">
        <f t="shared" si="10"/>
        <v>2470000</v>
      </c>
      <c r="N85" s="18">
        <f t="shared" si="11"/>
        <v>22990000</v>
      </c>
      <c r="O85" s="20">
        <v>700000</v>
      </c>
      <c r="P85" s="18">
        <f t="shared" si="12"/>
        <v>75000</v>
      </c>
      <c r="Q85" s="18" t="s">
        <v>27</v>
      </c>
      <c r="R85" s="18">
        <f t="shared" si="13"/>
        <v>22982400</v>
      </c>
      <c r="S85" s="50">
        <v>2300000</v>
      </c>
      <c r="T85" s="18">
        <f t="shared" si="14"/>
        <v>2462400</v>
      </c>
      <c r="U85" s="11" t="s">
        <v>28</v>
      </c>
      <c r="V85" s="18">
        <f t="shared" si="15"/>
        <v>162400</v>
      </c>
    </row>
    <row r="86" spans="1:22" x14ac:dyDescent="0.35">
      <c r="A86" s="11">
        <f t="shared" si="8"/>
        <v>83</v>
      </c>
      <c r="B86" s="12" t="s">
        <v>22</v>
      </c>
      <c r="C86" s="57" t="s">
        <v>85</v>
      </c>
      <c r="D86" s="57" t="s">
        <v>110</v>
      </c>
      <c r="E86" s="58">
        <v>46217</v>
      </c>
      <c r="F86" s="68" t="s">
        <v>135</v>
      </c>
      <c r="G86" s="16" t="s">
        <v>26</v>
      </c>
      <c r="H86" s="17">
        <v>32.832000000000001</v>
      </c>
      <c r="I86" s="16">
        <v>625000</v>
      </c>
      <c r="J86" s="18">
        <f t="shared" si="9"/>
        <v>20520000</v>
      </c>
      <c r="K86" s="19">
        <v>19</v>
      </c>
      <c r="L86" s="19">
        <v>130000</v>
      </c>
      <c r="M86" s="18">
        <f t="shared" si="10"/>
        <v>2470000</v>
      </c>
      <c r="N86" s="18">
        <f t="shared" si="11"/>
        <v>22990000</v>
      </c>
      <c r="O86" s="20">
        <v>700000</v>
      </c>
      <c r="P86" s="18">
        <f t="shared" si="12"/>
        <v>75000</v>
      </c>
      <c r="Q86" s="18" t="s">
        <v>27</v>
      </c>
      <c r="R86" s="18">
        <f t="shared" si="13"/>
        <v>22982400</v>
      </c>
      <c r="S86" s="50">
        <v>2300000</v>
      </c>
      <c r="T86" s="18">
        <f t="shared" si="14"/>
        <v>2462400</v>
      </c>
      <c r="U86" s="11" t="s">
        <v>28</v>
      </c>
      <c r="V86" s="18">
        <f t="shared" si="15"/>
        <v>162400</v>
      </c>
    </row>
    <row r="87" spans="1:22" x14ac:dyDescent="0.35">
      <c r="A87" s="11">
        <f t="shared" si="8"/>
        <v>84</v>
      </c>
      <c r="B87" s="12" t="s">
        <v>22</v>
      </c>
      <c r="C87" s="13" t="s">
        <v>23</v>
      </c>
      <c r="D87" s="13" t="s">
        <v>127</v>
      </c>
      <c r="E87" s="14">
        <v>46216</v>
      </c>
      <c r="F87" s="69" t="s">
        <v>136</v>
      </c>
      <c r="G87" s="16" t="s">
        <v>26</v>
      </c>
      <c r="H87" s="17">
        <v>32.832000000000001</v>
      </c>
      <c r="I87" s="16">
        <v>625000</v>
      </c>
      <c r="J87" s="18">
        <f t="shared" si="9"/>
        <v>20520000</v>
      </c>
      <c r="K87" s="19">
        <v>19</v>
      </c>
      <c r="L87" s="19">
        <v>130000</v>
      </c>
      <c r="M87" s="18">
        <f t="shared" si="10"/>
        <v>2470000</v>
      </c>
      <c r="N87" s="18">
        <f t="shared" si="11"/>
        <v>22990000</v>
      </c>
      <c r="O87" s="20">
        <v>700000</v>
      </c>
      <c r="P87" s="18">
        <f t="shared" si="12"/>
        <v>75000</v>
      </c>
      <c r="Q87" s="18" t="s">
        <v>27</v>
      </c>
      <c r="R87" s="18">
        <f t="shared" si="13"/>
        <v>22982400</v>
      </c>
      <c r="S87" s="18">
        <v>2500000</v>
      </c>
      <c r="T87" s="18">
        <f t="shared" si="14"/>
        <v>2462400</v>
      </c>
      <c r="U87" s="11" t="s">
        <v>28</v>
      </c>
      <c r="V87" s="18">
        <f t="shared" si="15"/>
        <v>-37600</v>
      </c>
    </row>
    <row r="88" spans="1:22" x14ac:dyDescent="0.35">
      <c r="A88" s="11">
        <f t="shared" si="8"/>
        <v>85</v>
      </c>
      <c r="B88" s="12" t="s">
        <v>22</v>
      </c>
      <c r="C88" s="13" t="s">
        <v>23</v>
      </c>
      <c r="D88" s="13" t="s">
        <v>137</v>
      </c>
      <c r="E88" s="14">
        <v>46216</v>
      </c>
      <c r="F88" s="69" t="s">
        <v>138</v>
      </c>
      <c r="G88" s="16" t="s">
        <v>26</v>
      </c>
      <c r="H88" s="17">
        <v>32.832000000000001</v>
      </c>
      <c r="I88" s="16">
        <v>625000</v>
      </c>
      <c r="J88" s="18">
        <f t="shared" si="9"/>
        <v>20520000</v>
      </c>
      <c r="K88" s="19">
        <v>19</v>
      </c>
      <c r="L88" s="19">
        <v>130000</v>
      </c>
      <c r="M88" s="18">
        <f t="shared" si="10"/>
        <v>2470000</v>
      </c>
      <c r="N88" s="18">
        <f t="shared" si="11"/>
        <v>22990000</v>
      </c>
      <c r="O88" s="20">
        <v>700000</v>
      </c>
      <c r="P88" s="18">
        <f t="shared" si="12"/>
        <v>75000</v>
      </c>
      <c r="Q88" s="18" t="s">
        <v>27</v>
      </c>
      <c r="R88" s="18">
        <f t="shared" si="13"/>
        <v>22982400</v>
      </c>
      <c r="S88" s="18">
        <v>2500000</v>
      </c>
      <c r="T88" s="18">
        <f t="shared" si="14"/>
        <v>2462400</v>
      </c>
      <c r="U88" s="11" t="s">
        <v>28</v>
      </c>
      <c r="V88" s="18">
        <f t="shared" si="15"/>
        <v>-37600</v>
      </c>
    </row>
    <row r="89" spans="1:22" x14ac:dyDescent="0.35">
      <c r="A89" s="11">
        <f t="shared" si="8"/>
        <v>86</v>
      </c>
      <c r="B89" s="12" t="s">
        <v>22</v>
      </c>
      <c r="C89" s="13" t="s">
        <v>23</v>
      </c>
      <c r="D89" s="13" t="s">
        <v>37</v>
      </c>
      <c r="E89" s="14">
        <v>46216</v>
      </c>
      <c r="F89" s="69" t="s">
        <v>139</v>
      </c>
      <c r="G89" s="16" t="s">
        <v>26</v>
      </c>
      <c r="H89" s="17">
        <v>32.832000000000001</v>
      </c>
      <c r="I89" s="16">
        <v>625000</v>
      </c>
      <c r="J89" s="18">
        <f t="shared" si="9"/>
        <v>20520000</v>
      </c>
      <c r="K89" s="19">
        <v>19</v>
      </c>
      <c r="L89" s="19">
        <v>130000</v>
      </c>
      <c r="M89" s="18">
        <f t="shared" si="10"/>
        <v>2470000</v>
      </c>
      <c r="N89" s="18">
        <f t="shared" si="11"/>
        <v>22990000</v>
      </c>
      <c r="O89" s="20">
        <v>700000</v>
      </c>
      <c r="P89" s="18">
        <f t="shared" si="12"/>
        <v>75000</v>
      </c>
      <c r="Q89" s="18" t="s">
        <v>27</v>
      </c>
      <c r="R89" s="18">
        <f t="shared" si="13"/>
        <v>22982400</v>
      </c>
      <c r="S89" s="18">
        <v>2400000</v>
      </c>
      <c r="T89" s="18">
        <f t="shared" si="14"/>
        <v>2462400</v>
      </c>
      <c r="U89" s="11" t="s">
        <v>28</v>
      </c>
      <c r="V89" s="18">
        <f t="shared" si="15"/>
        <v>62400</v>
      </c>
    </row>
    <row r="90" spans="1:22" x14ac:dyDescent="0.35">
      <c r="A90" s="11">
        <f t="shared" si="8"/>
        <v>87</v>
      </c>
      <c r="B90" s="12" t="s">
        <v>22</v>
      </c>
      <c r="C90" s="12" t="s">
        <v>100</v>
      </c>
      <c r="D90" s="12" t="s">
        <v>292</v>
      </c>
      <c r="E90" s="62">
        <v>46216</v>
      </c>
      <c r="F90" s="11" t="s">
        <v>140</v>
      </c>
      <c r="G90" s="16" t="s">
        <v>26</v>
      </c>
      <c r="H90" s="17">
        <v>25.919999999999998</v>
      </c>
      <c r="I90" s="50">
        <v>545000</v>
      </c>
      <c r="J90" s="18">
        <f t="shared" si="9"/>
        <v>14126399.999999998</v>
      </c>
      <c r="K90" s="19">
        <v>15</v>
      </c>
      <c r="L90" s="19">
        <v>130000</v>
      </c>
      <c r="M90" s="18">
        <f t="shared" si="10"/>
        <v>1950000</v>
      </c>
      <c r="N90" s="18">
        <f t="shared" si="11"/>
        <v>16076399.999999998</v>
      </c>
      <c r="O90" s="20">
        <v>700000</v>
      </c>
      <c r="P90" s="18">
        <f t="shared" si="12"/>
        <v>155000</v>
      </c>
      <c r="Q90" s="18" t="s">
        <v>27</v>
      </c>
      <c r="R90" s="18">
        <f t="shared" si="13"/>
        <v>18144000</v>
      </c>
      <c r="S90" s="50">
        <v>2250000</v>
      </c>
      <c r="T90" s="18">
        <f t="shared" si="14"/>
        <v>4017600.0000000019</v>
      </c>
      <c r="U90" s="11" t="s">
        <v>28</v>
      </c>
      <c r="V90" s="18">
        <f t="shared" si="15"/>
        <v>1767600.0000000019</v>
      </c>
    </row>
    <row r="91" spans="1:22" x14ac:dyDescent="0.35">
      <c r="A91" s="11">
        <f t="shared" ref="A91:A115" si="16">A90+1</f>
        <v>88</v>
      </c>
      <c r="B91" s="12" t="s">
        <v>22</v>
      </c>
      <c r="C91" s="13" t="s">
        <v>23</v>
      </c>
      <c r="D91" s="13" t="s">
        <v>37</v>
      </c>
      <c r="E91" s="14">
        <v>46216</v>
      </c>
      <c r="F91" s="38" t="s">
        <v>140</v>
      </c>
      <c r="G91" s="16" t="s">
        <v>26</v>
      </c>
      <c r="H91" s="17">
        <v>6.9119999999999999</v>
      </c>
      <c r="I91" s="50">
        <v>545000</v>
      </c>
      <c r="J91" s="18">
        <f t="shared" si="9"/>
        <v>3767040</v>
      </c>
      <c r="K91" s="19">
        <v>4</v>
      </c>
      <c r="L91" s="19">
        <v>130000</v>
      </c>
      <c r="M91" s="18">
        <f t="shared" si="10"/>
        <v>520000</v>
      </c>
      <c r="N91" s="18">
        <f t="shared" si="11"/>
        <v>4287040</v>
      </c>
      <c r="O91" s="20">
        <v>700000</v>
      </c>
      <c r="P91" s="18">
        <f t="shared" si="12"/>
        <v>155000</v>
      </c>
      <c r="Q91" s="18" t="s">
        <v>27</v>
      </c>
      <c r="R91" s="18">
        <f t="shared" si="13"/>
        <v>4838400</v>
      </c>
      <c r="S91" s="18">
        <v>450000</v>
      </c>
      <c r="T91" s="18">
        <f t="shared" si="14"/>
        <v>1071360</v>
      </c>
      <c r="U91" s="11" t="s">
        <v>28</v>
      </c>
      <c r="V91" s="18">
        <f t="shared" si="15"/>
        <v>621360</v>
      </c>
    </row>
    <row r="92" spans="1:22" x14ac:dyDescent="0.35">
      <c r="A92" s="11">
        <f t="shared" si="16"/>
        <v>89</v>
      </c>
      <c r="B92" s="12" t="s">
        <v>22</v>
      </c>
      <c r="C92" s="27" t="s">
        <v>50</v>
      </c>
      <c r="D92" s="27" t="s">
        <v>115</v>
      </c>
      <c r="E92" s="28">
        <v>46217</v>
      </c>
      <c r="F92" s="44" t="s">
        <v>141</v>
      </c>
      <c r="G92" s="16" t="s">
        <v>26</v>
      </c>
      <c r="H92" s="17">
        <v>32.832000000000001</v>
      </c>
      <c r="I92" s="16">
        <v>625000</v>
      </c>
      <c r="J92" s="18">
        <f t="shared" si="9"/>
        <v>20520000</v>
      </c>
      <c r="K92" s="19">
        <v>19</v>
      </c>
      <c r="L92" s="19">
        <v>130000</v>
      </c>
      <c r="M92" s="18">
        <f t="shared" si="10"/>
        <v>2470000</v>
      </c>
      <c r="N92" s="18">
        <f t="shared" si="11"/>
        <v>22990000</v>
      </c>
      <c r="O92" s="20">
        <v>700000</v>
      </c>
      <c r="P92" s="18">
        <f t="shared" si="12"/>
        <v>75000</v>
      </c>
      <c r="Q92" s="18" t="s">
        <v>27</v>
      </c>
      <c r="R92" s="18">
        <f t="shared" si="13"/>
        <v>22982400</v>
      </c>
      <c r="S92" s="50">
        <v>2500000</v>
      </c>
      <c r="T92" s="18">
        <f t="shared" si="14"/>
        <v>2462400</v>
      </c>
      <c r="U92" s="11" t="s">
        <v>28</v>
      </c>
      <c r="V92" s="18">
        <f t="shared" si="15"/>
        <v>-37600</v>
      </c>
    </row>
    <row r="93" spans="1:22" x14ac:dyDescent="0.35">
      <c r="A93" s="11">
        <f t="shared" si="16"/>
        <v>90</v>
      </c>
      <c r="B93" s="12" t="s">
        <v>22</v>
      </c>
      <c r="C93" s="13" t="s">
        <v>23</v>
      </c>
      <c r="D93" s="13" t="s">
        <v>37</v>
      </c>
      <c r="E93" s="14">
        <v>46217</v>
      </c>
      <c r="F93" s="38" t="s">
        <v>142</v>
      </c>
      <c r="G93" s="16" t="s">
        <v>26</v>
      </c>
      <c r="H93" s="17">
        <v>32.832000000000001</v>
      </c>
      <c r="I93" s="16">
        <v>625000</v>
      </c>
      <c r="J93" s="18">
        <f t="shared" si="9"/>
        <v>20520000</v>
      </c>
      <c r="K93" s="19">
        <v>19</v>
      </c>
      <c r="L93" s="19">
        <v>130000</v>
      </c>
      <c r="M93" s="18">
        <f t="shared" si="10"/>
        <v>2470000</v>
      </c>
      <c r="N93" s="18">
        <f t="shared" si="11"/>
        <v>22990000</v>
      </c>
      <c r="O93" s="20">
        <v>700000</v>
      </c>
      <c r="P93" s="18">
        <f t="shared" si="12"/>
        <v>75000</v>
      </c>
      <c r="Q93" s="18" t="s">
        <v>27</v>
      </c>
      <c r="R93" s="18">
        <f t="shared" si="13"/>
        <v>22982400</v>
      </c>
      <c r="S93" s="18">
        <v>2500000</v>
      </c>
      <c r="T93" s="18">
        <f t="shared" si="14"/>
        <v>2462400</v>
      </c>
      <c r="U93" s="11" t="s">
        <v>28</v>
      </c>
      <c r="V93" s="18">
        <f t="shared" si="15"/>
        <v>-37600</v>
      </c>
    </row>
    <row r="94" spans="1:22" x14ac:dyDescent="0.35">
      <c r="A94" s="11">
        <f t="shared" si="16"/>
        <v>91</v>
      </c>
      <c r="B94" s="12" t="s">
        <v>22</v>
      </c>
      <c r="C94" s="12" t="s">
        <v>100</v>
      </c>
      <c r="D94" s="12" t="s">
        <v>143</v>
      </c>
      <c r="E94" s="62">
        <v>46217</v>
      </c>
      <c r="F94" s="11" t="s">
        <v>144</v>
      </c>
      <c r="G94" s="16" t="s">
        <v>104</v>
      </c>
      <c r="H94" s="17">
        <v>32.832000000000001</v>
      </c>
      <c r="I94" s="50">
        <v>515000</v>
      </c>
      <c r="J94" s="18">
        <f t="shared" si="9"/>
        <v>16908480</v>
      </c>
      <c r="K94" s="19">
        <v>19</v>
      </c>
      <c r="L94" s="19">
        <v>130000</v>
      </c>
      <c r="M94" s="18">
        <f t="shared" si="10"/>
        <v>2470000</v>
      </c>
      <c r="N94" s="18">
        <f t="shared" si="11"/>
        <v>19378480</v>
      </c>
      <c r="O94" s="20">
        <v>700000</v>
      </c>
      <c r="P94" s="18">
        <f t="shared" si="12"/>
        <v>185000</v>
      </c>
      <c r="Q94" s="18" t="s">
        <v>27</v>
      </c>
      <c r="R94" s="18">
        <f t="shared" si="13"/>
        <v>22982400</v>
      </c>
      <c r="S94" s="18">
        <v>2500000</v>
      </c>
      <c r="T94" s="18">
        <f t="shared" si="14"/>
        <v>6073920</v>
      </c>
      <c r="U94" s="11" t="s">
        <v>28</v>
      </c>
      <c r="V94" s="18">
        <f t="shared" si="15"/>
        <v>3573920</v>
      </c>
    </row>
    <row r="95" spans="1:22" x14ac:dyDescent="0.35">
      <c r="A95" s="11">
        <f t="shared" si="16"/>
        <v>92</v>
      </c>
      <c r="B95" s="12" t="s">
        <v>22</v>
      </c>
      <c r="C95" s="57" t="s">
        <v>85</v>
      </c>
      <c r="D95" s="57" t="s">
        <v>86</v>
      </c>
      <c r="E95" s="58">
        <v>46217</v>
      </c>
      <c r="F95" s="68" t="s">
        <v>145</v>
      </c>
      <c r="G95" s="16" t="s">
        <v>26</v>
      </c>
      <c r="H95" s="17">
        <v>32.832000000000001</v>
      </c>
      <c r="I95" s="16">
        <v>625000</v>
      </c>
      <c r="J95" s="18">
        <f t="shared" si="9"/>
        <v>20520000</v>
      </c>
      <c r="K95" s="19">
        <v>19</v>
      </c>
      <c r="L95" s="19">
        <v>130000</v>
      </c>
      <c r="M95" s="18">
        <f t="shared" si="10"/>
        <v>2470000</v>
      </c>
      <c r="N95" s="18">
        <f t="shared" si="11"/>
        <v>22990000</v>
      </c>
      <c r="O95" s="20">
        <v>700000</v>
      </c>
      <c r="P95" s="18">
        <f t="shared" si="12"/>
        <v>75000</v>
      </c>
      <c r="Q95" s="18" t="s">
        <v>27</v>
      </c>
      <c r="R95" s="18">
        <f t="shared" si="13"/>
        <v>22982400</v>
      </c>
      <c r="S95" s="50">
        <v>2500000</v>
      </c>
      <c r="T95" s="18">
        <f t="shared" si="14"/>
        <v>2462400</v>
      </c>
      <c r="U95" s="11" t="s">
        <v>28</v>
      </c>
      <c r="V95" s="18">
        <f t="shared" si="15"/>
        <v>-37600</v>
      </c>
    </row>
    <row r="96" spans="1:22" x14ac:dyDescent="0.35">
      <c r="A96" s="11">
        <f t="shared" si="16"/>
        <v>93</v>
      </c>
      <c r="B96" s="12" t="s">
        <v>22</v>
      </c>
      <c r="C96" s="12" t="s">
        <v>100</v>
      </c>
      <c r="D96" s="12" t="s">
        <v>143</v>
      </c>
      <c r="E96" s="62">
        <v>46217</v>
      </c>
      <c r="F96" s="11" t="s">
        <v>146</v>
      </c>
      <c r="G96" s="16" t="s">
        <v>104</v>
      </c>
      <c r="H96" s="17">
        <v>32.832000000000001</v>
      </c>
      <c r="I96" s="50">
        <v>515000</v>
      </c>
      <c r="J96" s="18">
        <f t="shared" si="9"/>
        <v>16908480</v>
      </c>
      <c r="K96" s="19">
        <v>19</v>
      </c>
      <c r="L96" s="19">
        <v>130000</v>
      </c>
      <c r="M96" s="18">
        <f t="shared" si="10"/>
        <v>2470000</v>
      </c>
      <c r="N96" s="18">
        <f t="shared" si="11"/>
        <v>19378480</v>
      </c>
      <c r="O96" s="20">
        <v>700000</v>
      </c>
      <c r="P96" s="18">
        <f t="shared" si="12"/>
        <v>185000</v>
      </c>
      <c r="Q96" s="18" t="s">
        <v>27</v>
      </c>
      <c r="R96" s="18">
        <f t="shared" si="13"/>
        <v>22982400</v>
      </c>
      <c r="S96" s="18">
        <v>2500000</v>
      </c>
      <c r="T96" s="18">
        <f t="shared" si="14"/>
        <v>6073920</v>
      </c>
      <c r="U96" s="11" t="s">
        <v>28</v>
      </c>
      <c r="V96" s="18">
        <f t="shared" si="15"/>
        <v>3573920</v>
      </c>
    </row>
    <row r="97" spans="1:22" x14ac:dyDescent="0.35">
      <c r="A97" s="11">
        <f t="shared" si="16"/>
        <v>94</v>
      </c>
      <c r="B97" s="12" t="s">
        <v>22</v>
      </c>
      <c r="C97" s="12" t="s">
        <v>100</v>
      </c>
      <c r="D97" s="12" t="s">
        <v>147</v>
      </c>
      <c r="E97" s="62">
        <v>46217</v>
      </c>
      <c r="F97" s="11" t="s">
        <v>73</v>
      </c>
      <c r="G97" s="16" t="s">
        <v>104</v>
      </c>
      <c r="H97" s="17">
        <v>32.832000000000001</v>
      </c>
      <c r="I97" s="50">
        <v>595000</v>
      </c>
      <c r="J97" s="18">
        <f t="shared" si="9"/>
        <v>19535040</v>
      </c>
      <c r="K97" s="19">
        <v>19</v>
      </c>
      <c r="L97" s="19">
        <v>130000</v>
      </c>
      <c r="M97" s="18">
        <f t="shared" si="10"/>
        <v>2470000</v>
      </c>
      <c r="N97" s="18">
        <f t="shared" si="11"/>
        <v>22005040</v>
      </c>
      <c r="O97" s="20">
        <v>700000</v>
      </c>
      <c r="P97" s="18">
        <f t="shared" si="12"/>
        <v>105000</v>
      </c>
      <c r="Q97" s="18" t="s">
        <v>27</v>
      </c>
      <c r="R97" s="18">
        <f t="shared" si="13"/>
        <v>22982400</v>
      </c>
      <c r="S97" s="50">
        <v>2500000</v>
      </c>
      <c r="T97" s="18">
        <f t="shared" si="14"/>
        <v>3447360</v>
      </c>
      <c r="U97" s="11" t="s">
        <v>28</v>
      </c>
      <c r="V97" s="18">
        <f t="shared" si="15"/>
        <v>947360</v>
      </c>
    </row>
    <row r="98" spans="1:22" x14ac:dyDescent="0.35">
      <c r="A98" s="11">
        <f t="shared" si="16"/>
        <v>95</v>
      </c>
      <c r="B98" s="12" t="s">
        <v>22</v>
      </c>
      <c r="C98" s="12" t="s">
        <v>100</v>
      </c>
      <c r="D98" s="12" t="s">
        <v>147</v>
      </c>
      <c r="E98" s="62">
        <v>46217</v>
      </c>
      <c r="F98" s="11" t="s">
        <v>148</v>
      </c>
      <c r="G98" s="16" t="s">
        <v>104</v>
      </c>
      <c r="H98" s="17">
        <v>32.832000000000001</v>
      </c>
      <c r="I98" s="50">
        <v>595000</v>
      </c>
      <c r="J98" s="18">
        <f t="shared" si="9"/>
        <v>19535040</v>
      </c>
      <c r="K98" s="19">
        <v>19</v>
      </c>
      <c r="L98" s="19">
        <v>130000</v>
      </c>
      <c r="M98" s="18">
        <f t="shared" si="10"/>
        <v>2470000</v>
      </c>
      <c r="N98" s="18">
        <f t="shared" si="11"/>
        <v>22005040</v>
      </c>
      <c r="O98" s="20">
        <v>700000</v>
      </c>
      <c r="P98" s="18">
        <f t="shared" si="12"/>
        <v>105000</v>
      </c>
      <c r="Q98" s="18" t="s">
        <v>27</v>
      </c>
      <c r="R98" s="18">
        <f t="shared" si="13"/>
        <v>22982400</v>
      </c>
      <c r="S98" s="50">
        <v>2500000</v>
      </c>
      <c r="T98" s="18">
        <f t="shared" si="14"/>
        <v>3447360</v>
      </c>
      <c r="U98" s="11" t="s">
        <v>28</v>
      </c>
      <c r="V98" s="18">
        <f t="shared" si="15"/>
        <v>947360</v>
      </c>
    </row>
    <row r="99" spans="1:22" x14ac:dyDescent="0.35">
      <c r="A99" s="11">
        <f t="shared" si="16"/>
        <v>96</v>
      </c>
      <c r="B99" s="12" t="s">
        <v>22</v>
      </c>
      <c r="C99" s="12" t="s">
        <v>100</v>
      </c>
      <c r="D99" s="12" t="s">
        <v>143</v>
      </c>
      <c r="E99" s="62">
        <v>46217</v>
      </c>
      <c r="F99" s="11" t="s">
        <v>149</v>
      </c>
      <c r="G99" s="16" t="s">
        <v>104</v>
      </c>
      <c r="H99" s="17">
        <v>32.832000000000001</v>
      </c>
      <c r="I99" s="50">
        <v>515000</v>
      </c>
      <c r="J99" s="18">
        <f t="shared" si="9"/>
        <v>16908480</v>
      </c>
      <c r="K99" s="19">
        <v>19</v>
      </c>
      <c r="L99" s="19">
        <v>130000</v>
      </c>
      <c r="M99" s="18">
        <f t="shared" si="10"/>
        <v>2470000</v>
      </c>
      <c r="N99" s="18">
        <f t="shared" si="11"/>
        <v>19378480</v>
      </c>
      <c r="O99" s="20">
        <v>700000</v>
      </c>
      <c r="P99" s="18">
        <f t="shared" si="12"/>
        <v>185000</v>
      </c>
      <c r="Q99" s="18" t="s">
        <v>27</v>
      </c>
      <c r="R99" s="18">
        <f t="shared" si="13"/>
        <v>22982400</v>
      </c>
      <c r="S99" s="18">
        <v>2500000</v>
      </c>
      <c r="T99" s="18">
        <f t="shared" si="14"/>
        <v>6073920</v>
      </c>
      <c r="U99" s="11" t="s">
        <v>28</v>
      </c>
      <c r="V99" s="18">
        <f t="shared" si="15"/>
        <v>3573920</v>
      </c>
    </row>
    <row r="100" spans="1:22" x14ac:dyDescent="0.35">
      <c r="A100" s="11">
        <f t="shared" si="16"/>
        <v>97</v>
      </c>
      <c r="B100" s="12" t="s">
        <v>22</v>
      </c>
      <c r="C100" s="57" t="s">
        <v>85</v>
      </c>
      <c r="D100" s="57" t="s">
        <v>86</v>
      </c>
      <c r="E100" s="58">
        <v>46218</v>
      </c>
      <c r="F100" s="68" t="s">
        <v>150</v>
      </c>
      <c r="G100" s="16" t="s">
        <v>26</v>
      </c>
      <c r="H100" s="17">
        <v>32.832000000000001</v>
      </c>
      <c r="I100" s="16">
        <v>625000</v>
      </c>
      <c r="J100" s="18">
        <f t="shared" si="9"/>
        <v>20520000</v>
      </c>
      <c r="K100" s="19">
        <v>19</v>
      </c>
      <c r="L100" s="19">
        <v>130000</v>
      </c>
      <c r="M100" s="18">
        <f t="shared" si="10"/>
        <v>2470000</v>
      </c>
      <c r="N100" s="18">
        <f t="shared" si="11"/>
        <v>22990000</v>
      </c>
      <c r="O100" s="20">
        <v>700000</v>
      </c>
      <c r="P100" s="18">
        <f t="shared" si="12"/>
        <v>75000</v>
      </c>
      <c r="Q100" s="18" t="s">
        <v>27</v>
      </c>
      <c r="R100" s="18">
        <f t="shared" si="13"/>
        <v>22982400</v>
      </c>
      <c r="S100" s="50">
        <v>2500000</v>
      </c>
      <c r="T100" s="18">
        <f t="shared" si="14"/>
        <v>2462400</v>
      </c>
      <c r="U100" s="11" t="s">
        <v>28</v>
      </c>
      <c r="V100" s="18">
        <f t="shared" si="15"/>
        <v>-37600</v>
      </c>
    </row>
    <row r="101" spans="1:22" x14ac:dyDescent="0.35">
      <c r="A101" s="11">
        <f t="shared" si="16"/>
        <v>98</v>
      </c>
      <c r="B101" s="12" t="s">
        <v>22</v>
      </c>
      <c r="C101" s="13" t="s">
        <v>23</v>
      </c>
      <c r="D101" s="13" t="s">
        <v>137</v>
      </c>
      <c r="E101" s="14">
        <v>46218</v>
      </c>
      <c r="F101" s="38" t="s">
        <v>151</v>
      </c>
      <c r="G101" s="16" t="s">
        <v>104</v>
      </c>
      <c r="H101" s="17">
        <v>32.832000000000001</v>
      </c>
      <c r="I101" s="50">
        <v>595000</v>
      </c>
      <c r="J101" s="18">
        <f t="shared" si="9"/>
        <v>19535040</v>
      </c>
      <c r="K101" s="19">
        <v>19</v>
      </c>
      <c r="L101" s="19">
        <v>130000</v>
      </c>
      <c r="M101" s="18">
        <f t="shared" si="10"/>
        <v>2470000</v>
      </c>
      <c r="N101" s="18">
        <f t="shared" si="11"/>
        <v>22005040</v>
      </c>
      <c r="O101" s="20">
        <v>700000</v>
      </c>
      <c r="P101" s="18">
        <f t="shared" si="12"/>
        <v>105000</v>
      </c>
      <c r="Q101" s="18" t="s">
        <v>27</v>
      </c>
      <c r="R101" s="18">
        <f t="shared" si="13"/>
        <v>22982400</v>
      </c>
      <c r="S101" s="18">
        <v>2500000</v>
      </c>
      <c r="T101" s="18">
        <f t="shared" si="14"/>
        <v>3447360</v>
      </c>
      <c r="U101" s="11" t="s">
        <v>28</v>
      </c>
      <c r="V101" s="18">
        <f t="shared" si="15"/>
        <v>947360</v>
      </c>
    </row>
    <row r="102" spans="1:22" x14ac:dyDescent="0.35">
      <c r="A102" s="11">
        <f t="shared" si="16"/>
        <v>99</v>
      </c>
      <c r="B102" s="12" t="s">
        <v>22</v>
      </c>
      <c r="C102" s="12" t="s">
        <v>100</v>
      </c>
      <c r="D102" s="12" t="s">
        <v>143</v>
      </c>
      <c r="E102" s="62">
        <v>46218</v>
      </c>
      <c r="F102" s="11" t="s">
        <v>138</v>
      </c>
      <c r="G102" s="16" t="s">
        <v>104</v>
      </c>
      <c r="H102" s="17">
        <v>32.832000000000001</v>
      </c>
      <c r="I102" s="50">
        <v>515000</v>
      </c>
      <c r="J102" s="18">
        <f t="shared" si="9"/>
        <v>16908480</v>
      </c>
      <c r="K102" s="19">
        <v>19</v>
      </c>
      <c r="L102" s="19">
        <v>130000</v>
      </c>
      <c r="M102" s="18">
        <f t="shared" si="10"/>
        <v>2470000</v>
      </c>
      <c r="N102" s="18">
        <f t="shared" si="11"/>
        <v>19378480</v>
      </c>
      <c r="O102" s="20">
        <v>700000</v>
      </c>
      <c r="P102" s="18">
        <f t="shared" si="12"/>
        <v>185000</v>
      </c>
      <c r="Q102" s="18" t="s">
        <v>27</v>
      </c>
      <c r="R102" s="18">
        <f t="shared" si="13"/>
        <v>22982400</v>
      </c>
      <c r="S102" s="18">
        <v>2500000</v>
      </c>
      <c r="T102" s="18">
        <f t="shared" si="14"/>
        <v>6073920</v>
      </c>
      <c r="U102" s="11" t="s">
        <v>28</v>
      </c>
      <c r="V102" s="18">
        <f t="shared" si="15"/>
        <v>3573920</v>
      </c>
    </row>
    <row r="103" spans="1:22" x14ac:dyDescent="0.35">
      <c r="A103" s="11">
        <f t="shared" si="16"/>
        <v>100</v>
      </c>
      <c r="B103" s="12" t="s">
        <v>22</v>
      </c>
      <c r="C103" s="57" t="s">
        <v>85</v>
      </c>
      <c r="D103" s="57" t="s">
        <v>113</v>
      </c>
      <c r="E103" s="58">
        <v>46218</v>
      </c>
      <c r="F103" s="68" t="s">
        <v>152</v>
      </c>
      <c r="G103" s="16" t="s">
        <v>26</v>
      </c>
      <c r="H103" s="17">
        <v>32.832000000000001</v>
      </c>
      <c r="I103" s="16">
        <v>625000</v>
      </c>
      <c r="J103" s="18">
        <f t="shared" si="9"/>
        <v>20520000</v>
      </c>
      <c r="K103" s="19">
        <v>19</v>
      </c>
      <c r="L103" s="19">
        <v>130000</v>
      </c>
      <c r="M103" s="18">
        <f t="shared" si="10"/>
        <v>2470000</v>
      </c>
      <c r="N103" s="18">
        <f t="shared" si="11"/>
        <v>22990000</v>
      </c>
      <c r="O103" s="20">
        <v>700000</v>
      </c>
      <c r="P103" s="18">
        <f t="shared" si="12"/>
        <v>75000</v>
      </c>
      <c r="Q103" s="18" t="s">
        <v>27</v>
      </c>
      <c r="R103" s="18">
        <f t="shared" si="13"/>
        <v>22982400</v>
      </c>
      <c r="S103" s="50">
        <v>2500000</v>
      </c>
      <c r="T103" s="18">
        <f t="shared" si="14"/>
        <v>2462400</v>
      </c>
      <c r="U103" s="11" t="s">
        <v>28</v>
      </c>
      <c r="V103" s="18">
        <f t="shared" si="15"/>
        <v>-37600</v>
      </c>
    </row>
    <row r="104" spans="1:22" x14ac:dyDescent="0.35">
      <c r="A104" s="11">
        <f t="shared" si="16"/>
        <v>101</v>
      </c>
      <c r="B104" s="12" t="s">
        <v>22</v>
      </c>
      <c r="C104" s="27" t="s">
        <v>50</v>
      </c>
      <c r="D104" s="27" t="s">
        <v>153</v>
      </c>
      <c r="E104" s="28">
        <v>46218</v>
      </c>
      <c r="F104" s="44" t="s">
        <v>154</v>
      </c>
      <c r="G104" s="16" t="s">
        <v>104</v>
      </c>
      <c r="H104" s="17">
        <v>19.007999999999999</v>
      </c>
      <c r="I104" s="50">
        <v>595000</v>
      </c>
      <c r="J104" s="18">
        <f t="shared" si="9"/>
        <v>11309760</v>
      </c>
      <c r="K104" s="19">
        <v>11</v>
      </c>
      <c r="L104" s="19">
        <v>130000</v>
      </c>
      <c r="M104" s="18">
        <f t="shared" si="10"/>
        <v>1430000</v>
      </c>
      <c r="N104" s="18">
        <f t="shared" si="11"/>
        <v>12739760</v>
      </c>
      <c r="O104" s="20">
        <v>700000</v>
      </c>
      <c r="P104" s="18">
        <f t="shared" si="12"/>
        <v>105000</v>
      </c>
      <c r="Q104" s="18" t="s">
        <v>27</v>
      </c>
      <c r="R104" s="18">
        <f t="shared" si="13"/>
        <v>13305600</v>
      </c>
      <c r="S104" s="50">
        <v>2500000</v>
      </c>
      <c r="T104" s="18">
        <f t="shared" si="14"/>
        <v>1995840</v>
      </c>
      <c r="U104" s="11" t="s">
        <v>28</v>
      </c>
      <c r="V104" s="18">
        <f t="shared" si="15"/>
        <v>-504160</v>
      </c>
    </row>
    <row r="105" spans="1:22" x14ac:dyDescent="0.35">
      <c r="A105" s="11">
        <f t="shared" si="16"/>
        <v>102</v>
      </c>
      <c r="B105" s="12" t="s">
        <v>22</v>
      </c>
      <c r="C105" s="27" t="s">
        <v>50</v>
      </c>
      <c r="D105" s="27" t="s">
        <v>115</v>
      </c>
      <c r="E105" s="28">
        <v>46218</v>
      </c>
      <c r="F105" s="44" t="s">
        <v>154</v>
      </c>
      <c r="G105" s="16" t="s">
        <v>104</v>
      </c>
      <c r="H105" s="17">
        <v>13.824</v>
      </c>
      <c r="I105" s="50">
        <v>595000</v>
      </c>
      <c r="J105" s="18">
        <f t="shared" si="9"/>
        <v>8225280</v>
      </c>
      <c r="K105" s="19">
        <v>8</v>
      </c>
      <c r="L105" s="19">
        <v>130000</v>
      </c>
      <c r="M105" s="18">
        <f t="shared" si="10"/>
        <v>1040000</v>
      </c>
      <c r="N105" s="18">
        <f t="shared" si="11"/>
        <v>9265280</v>
      </c>
      <c r="O105" s="20">
        <v>700000</v>
      </c>
      <c r="P105" s="18">
        <f t="shared" si="12"/>
        <v>105000</v>
      </c>
      <c r="Q105" s="18" t="s">
        <v>27</v>
      </c>
      <c r="R105" s="18">
        <f t="shared" si="13"/>
        <v>9676800</v>
      </c>
      <c r="S105" s="18">
        <v>0</v>
      </c>
      <c r="T105" s="18">
        <f t="shared" si="14"/>
        <v>1451520</v>
      </c>
      <c r="U105" s="11" t="s">
        <v>28</v>
      </c>
      <c r="V105" s="18">
        <f t="shared" si="15"/>
        <v>1451520</v>
      </c>
    </row>
    <row r="106" spans="1:22" x14ac:dyDescent="0.35">
      <c r="A106" s="11">
        <f t="shared" si="16"/>
        <v>103</v>
      </c>
      <c r="B106" s="12" t="s">
        <v>22</v>
      </c>
      <c r="C106" s="13" t="s">
        <v>23</v>
      </c>
      <c r="D106" s="13" t="s">
        <v>127</v>
      </c>
      <c r="E106" s="14">
        <v>46218</v>
      </c>
      <c r="F106" s="38" t="s">
        <v>155</v>
      </c>
      <c r="G106" s="16" t="s">
        <v>104</v>
      </c>
      <c r="H106" s="17">
        <v>32.832000000000001</v>
      </c>
      <c r="I106" s="50">
        <v>595000</v>
      </c>
      <c r="J106" s="18">
        <f t="shared" si="9"/>
        <v>19535040</v>
      </c>
      <c r="K106" s="19">
        <v>19</v>
      </c>
      <c r="L106" s="19">
        <v>130000</v>
      </c>
      <c r="M106" s="18">
        <f t="shared" si="10"/>
        <v>2470000</v>
      </c>
      <c r="N106" s="18">
        <f t="shared" si="11"/>
        <v>22005040</v>
      </c>
      <c r="O106" s="20">
        <v>700000</v>
      </c>
      <c r="P106" s="18">
        <f t="shared" si="12"/>
        <v>105000</v>
      </c>
      <c r="Q106" s="18" t="s">
        <v>27</v>
      </c>
      <c r="R106" s="18">
        <f t="shared" si="13"/>
        <v>22982400</v>
      </c>
      <c r="S106" s="18">
        <v>2500000</v>
      </c>
      <c r="T106" s="18">
        <f t="shared" si="14"/>
        <v>3447360</v>
      </c>
      <c r="U106" s="11" t="s">
        <v>28</v>
      </c>
      <c r="V106" s="18">
        <f t="shared" si="15"/>
        <v>947360</v>
      </c>
    </row>
    <row r="107" spans="1:22" x14ac:dyDescent="0.35">
      <c r="A107" s="11">
        <f t="shared" si="16"/>
        <v>104</v>
      </c>
      <c r="B107" s="12" t="s">
        <v>22</v>
      </c>
      <c r="C107" s="13" t="s">
        <v>23</v>
      </c>
      <c r="D107" s="13" t="s">
        <v>127</v>
      </c>
      <c r="E107" s="14">
        <v>46218</v>
      </c>
      <c r="F107" s="38" t="s">
        <v>156</v>
      </c>
      <c r="G107" s="16" t="s">
        <v>104</v>
      </c>
      <c r="H107" s="17">
        <v>32.832000000000001</v>
      </c>
      <c r="I107" s="50">
        <v>595000</v>
      </c>
      <c r="J107" s="18">
        <f t="shared" si="9"/>
        <v>19535040</v>
      </c>
      <c r="K107" s="19">
        <v>19</v>
      </c>
      <c r="L107" s="19">
        <v>130000</v>
      </c>
      <c r="M107" s="18">
        <f t="shared" si="10"/>
        <v>2470000</v>
      </c>
      <c r="N107" s="18">
        <f t="shared" si="11"/>
        <v>22005040</v>
      </c>
      <c r="O107" s="20">
        <v>700000</v>
      </c>
      <c r="P107" s="18">
        <f t="shared" si="12"/>
        <v>105000</v>
      </c>
      <c r="Q107" s="18" t="s">
        <v>27</v>
      </c>
      <c r="R107" s="18">
        <f t="shared" si="13"/>
        <v>22982400</v>
      </c>
      <c r="S107" s="18">
        <v>2500000</v>
      </c>
      <c r="T107" s="18">
        <f t="shared" si="14"/>
        <v>3447360</v>
      </c>
      <c r="U107" s="11" t="s">
        <v>28</v>
      </c>
      <c r="V107" s="18">
        <f t="shared" si="15"/>
        <v>947360</v>
      </c>
    </row>
    <row r="108" spans="1:22" x14ac:dyDescent="0.35">
      <c r="A108" s="11">
        <f t="shared" si="16"/>
        <v>105</v>
      </c>
      <c r="B108" s="12" t="s">
        <v>22</v>
      </c>
      <c r="C108" s="13" t="s">
        <v>23</v>
      </c>
      <c r="D108" s="13" t="s">
        <v>127</v>
      </c>
      <c r="E108" s="14">
        <v>46218</v>
      </c>
      <c r="F108" s="38" t="s">
        <v>157</v>
      </c>
      <c r="G108" s="16" t="s">
        <v>104</v>
      </c>
      <c r="H108" s="17">
        <v>32.832000000000001</v>
      </c>
      <c r="I108" s="50">
        <v>595000</v>
      </c>
      <c r="J108" s="18">
        <f t="shared" si="9"/>
        <v>19535040</v>
      </c>
      <c r="K108" s="19">
        <v>19</v>
      </c>
      <c r="L108" s="19">
        <v>130000</v>
      </c>
      <c r="M108" s="18">
        <f t="shared" si="10"/>
        <v>2470000</v>
      </c>
      <c r="N108" s="18">
        <f t="shared" si="11"/>
        <v>22005040</v>
      </c>
      <c r="O108" s="20">
        <v>700000</v>
      </c>
      <c r="P108" s="18">
        <f t="shared" si="12"/>
        <v>105000</v>
      </c>
      <c r="Q108" s="18" t="s">
        <v>27</v>
      </c>
      <c r="R108" s="18">
        <f t="shared" si="13"/>
        <v>22982400</v>
      </c>
      <c r="S108" s="18">
        <v>2500000</v>
      </c>
      <c r="T108" s="18">
        <f t="shared" si="14"/>
        <v>3447360</v>
      </c>
      <c r="U108" s="11" t="s">
        <v>28</v>
      </c>
      <c r="V108" s="18">
        <f t="shared" si="15"/>
        <v>947360</v>
      </c>
    </row>
    <row r="109" spans="1:22" x14ac:dyDescent="0.35">
      <c r="A109" s="11">
        <f t="shared" si="16"/>
        <v>106</v>
      </c>
      <c r="B109" s="12" t="s">
        <v>22</v>
      </c>
      <c r="C109" s="13" t="s">
        <v>23</v>
      </c>
      <c r="D109" s="13" t="s">
        <v>127</v>
      </c>
      <c r="E109" s="14">
        <v>46219</v>
      </c>
      <c r="F109" s="38" t="s">
        <v>142</v>
      </c>
      <c r="G109" s="16" t="s">
        <v>104</v>
      </c>
      <c r="H109" s="17">
        <v>32.832000000000001</v>
      </c>
      <c r="I109" s="50">
        <v>595000</v>
      </c>
      <c r="J109" s="18">
        <f t="shared" si="9"/>
        <v>19535040</v>
      </c>
      <c r="K109" s="19">
        <v>19</v>
      </c>
      <c r="L109" s="19">
        <v>130000</v>
      </c>
      <c r="M109" s="18">
        <f t="shared" si="10"/>
        <v>2470000</v>
      </c>
      <c r="N109" s="18">
        <f t="shared" si="11"/>
        <v>22005040</v>
      </c>
      <c r="O109" s="20">
        <v>700000</v>
      </c>
      <c r="P109" s="18">
        <f t="shared" si="12"/>
        <v>105000</v>
      </c>
      <c r="Q109" s="18" t="s">
        <v>27</v>
      </c>
      <c r="R109" s="18">
        <f t="shared" si="13"/>
        <v>22982400</v>
      </c>
      <c r="S109" s="18">
        <v>2500000</v>
      </c>
      <c r="T109" s="18">
        <f t="shared" si="14"/>
        <v>3447360</v>
      </c>
      <c r="U109" s="11" t="s">
        <v>28</v>
      </c>
      <c r="V109" s="18">
        <f t="shared" si="15"/>
        <v>947360</v>
      </c>
    </row>
    <row r="110" spans="1:22" x14ac:dyDescent="0.35">
      <c r="A110" s="11">
        <f t="shared" si="16"/>
        <v>107</v>
      </c>
      <c r="B110" s="12" t="s">
        <v>22</v>
      </c>
      <c r="C110" s="13" t="s">
        <v>23</v>
      </c>
      <c r="D110" s="13" t="s">
        <v>68</v>
      </c>
      <c r="E110" s="14">
        <v>46219</v>
      </c>
      <c r="F110" s="38" t="s">
        <v>96</v>
      </c>
      <c r="G110" s="16" t="s">
        <v>104</v>
      </c>
      <c r="H110" s="17">
        <v>32.832000000000001</v>
      </c>
      <c r="I110" s="50">
        <v>595000</v>
      </c>
      <c r="J110" s="18">
        <f t="shared" si="9"/>
        <v>19535040</v>
      </c>
      <c r="K110" s="19">
        <v>19</v>
      </c>
      <c r="L110" s="19">
        <v>130000</v>
      </c>
      <c r="M110" s="18">
        <f t="shared" si="10"/>
        <v>2470000</v>
      </c>
      <c r="N110" s="18">
        <f t="shared" si="11"/>
        <v>22005040</v>
      </c>
      <c r="O110" s="20">
        <v>700000</v>
      </c>
      <c r="P110" s="18">
        <f t="shared" si="12"/>
        <v>105000</v>
      </c>
      <c r="Q110" s="18" t="s">
        <v>27</v>
      </c>
      <c r="R110" s="18">
        <f t="shared" si="13"/>
        <v>22982400</v>
      </c>
      <c r="S110" s="50">
        <v>2500000</v>
      </c>
      <c r="T110" s="18">
        <f t="shared" si="14"/>
        <v>3447360</v>
      </c>
      <c r="U110" s="11" t="s">
        <v>28</v>
      </c>
      <c r="V110" s="18">
        <f t="shared" si="15"/>
        <v>947360</v>
      </c>
    </row>
    <row r="111" spans="1:22" x14ac:dyDescent="0.35">
      <c r="A111" s="11">
        <f t="shared" si="16"/>
        <v>108</v>
      </c>
      <c r="B111" s="12" t="s">
        <v>22</v>
      </c>
      <c r="C111" s="12" t="s">
        <v>100</v>
      </c>
      <c r="D111" s="12" t="s">
        <v>158</v>
      </c>
      <c r="E111" s="62">
        <v>46219</v>
      </c>
      <c r="F111" s="11" t="s">
        <v>159</v>
      </c>
      <c r="G111" s="16" t="s">
        <v>104</v>
      </c>
      <c r="H111" s="17">
        <v>32.832000000000001</v>
      </c>
      <c r="I111" s="50">
        <v>595000</v>
      </c>
      <c r="J111" s="18">
        <f t="shared" si="9"/>
        <v>19535040</v>
      </c>
      <c r="K111" s="19">
        <v>19</v>
      </c>
      <c r="L111" s="19">
        <v>130000</v>
      </c>
      <c r="M111" s="18">
        <f t="shared" si="10"/>
        <v>2470000</v>
      </c>
      <c r="N111" s="18">
        <f t="shared" si="11"/>
        <v>22005040</v>
      </c>
      <c r="O111" s="20">
        <v>700000</v>
      </c>
      <c r="P111" s="18">
        <f t="shared" si="12"/>
        <v>105000</v>
      </c>
      <c r="Q111" s="18" t="s">
        <v>27</v>
      </c>
      <c r="R111" s="18">
        <f t="shared" si="13"/>
        <v>22982400</v>
      </c>
      <c r="S111" s="50">
        <v>2500000</v>
      </c>
      <c r="T111" s="18">
        <f t="shared" si="14"/>
        <v>3447360</v>
      </c>
      <c r="U111" s="11" t="s">
        <v>28</v>
      </c>
      <c r="V111" s="18">
        <f t="shared" si="15"/>
        <v>947360</v>
      </c>
    </row>
    <row r="112" spans="1:22" x14ac:dyDescent="0.35">
      <c r="A112" s="11">
        <f t="shared" si="16"/>
        <v>109</v>
      </c>
      <c r="B112" s="12" t="s">
        <v>22</v>
      </c>
      <c r="C112" s="57" t="s">
        <v>85</v>
      </c>
      <c r="D112" s="57" t="s">
        <v>86</v>
      </c>
      <c r="E112" s="58">
        <v>46219</v>
      </c>
      <c r="F112" s="68" t="s">
        <v>160</v>
      </c>
      <c r="G112" s="16" t="s">
        <v>26</v>
      </c>
      <c r="H112" s="17">
        <v>32.832000000000001</v>
      </c>
      <c r="I112" s="16">
        <v>625000</v>
      </c>
      <c r="J112" s="18">
        <f t="shared" si="9"/>
        <v>20520000</v>
      </c>
      <c r="K112" s="19">
        <v>19</v>
      </c>
      <c r="L112" s="19">
        <v>130000</v>
      </c>
      <c r="M112" s="18">
        <f t="shared" si="10"/>
        <v>2470000</v>
      </c>
      <c r="N112" s="18">
        <f t="shared" si="11"/>
        <v>22990000</v>
      </c>
      <c r="O112" s="20">
        <v>700000</v>
      </c>
      <c r="P112" s="18">
        <f t="shared" si="12"/>
        <v>75000</v>
      </c>
      <c r="Q112" s="18" t="s">
        <v>27</v>
      </c>
      <c r="R112" s="18">
        <f t="shared" si="13"/>
        <v>22982400</v>
      </c>
      <c r="S112" s="50">
        <v>2500000</v>
      </c>
      <c r="T112" s="18">
        <f t="shared" si="14"/>
        <v>2462400</v>
      </c>
      <c r="U112" s="11" t="s">
        <v>28</v>
      </c>
      <c r="V112" s="18">
        <f t="shared" si="15"/>
        <v>-37600</v>
      </c>
    </row>
    <row r="113" spans="1:22" x14ac:dyDescent="0.35">
      <c r="A113" s="11">
        <f t="shared" si="16"/>
        <v>110</v>
      </c>
      <c r="B113" s="12" t="s">
        <v>22</v>
      </c>
      <c r="C113" s="57" t="s">
        <v>85</v>
      </c>
      <c r="D113" s="57" t="s">
        <v>86</v>
      </c>
      <c r="E113" s="58">
        <v>46219</v>
      </c>
      <c r="F113" s="68" t="s">
        <v>126</v>
      </c>
      <c r="G113" s="16" t="s">
        <v>26</v>
      </c>
      <c r="H113" s="17">
        <v>32.832000000000001</v>
      </c>
      <c r="I113" s="16">
        <v>625000</v>
      </c>
      <c r="J113" s="18">
        <f t="shared" si="9"/>
        <v>20520000</v>
      </c>
      <c r="K113" s="19">
        <v>19</v>
      </c>
      <c r="L113" s="19">
        <v>130000</v>
      </c>
      <c r="M113" s="18">
        <f t="shared" si="10"/>
        <v>2470000</v>
      </c>
      <c r="N113" s="18">
        <f t="shared" si="11"/>
        <v>22990000</v>
      </c>
      <c r="O113" s="20">
        <v>700000</v>
      </c>
      <c r="P113" s="18">
        <f t="shared" si="12"/>
        <v>75000</v>
      </c>
      <c r="Q113" s="18" t="s">
        <v>27</v>
      </c>
      <c r="R113" s="18">
        <f t="shared" si="13"/>
        <v>22982400</v>
      </c>
      <c r="S113" s="50">
        <v>2500000</v>
      </c>
      <c r="T113" s="18">
        <f t="shared" si="14"/>
        <v>2462400</v>
      </c>
      <c r="U113" s="11" t="s">
        <v>28</v>
      </c>
      <c r="V113" s="18">
        <f t="shared" si="15"/>
        <v>-37600</v>
      </c>
    </row>
    <row r="114" spans="1:22" x14ac:dyDescent="0.35">
      <c r="A114" s="11">
        <f t="shared" si="16"/>
        <v>111</v>
      </c>
      <c r="B114" s="12" t="s">
        <v>22</v>
      </c>
      <c r="C114" s="57" t="s">
        <v>85</v>
      </c>
      <c r="D114" s="57" t="s">
        <v>110</v>
      </c>
      <c r="E114" s="58">
        <v>46219</v>
      </c>
      <c r="F114" s="68" t="s">
        <v>161</v>
      </c>
      <c r="G114" s="16" t="s">
        <v>26</v>
      </c>
      <c r="H114" s="17">
        <v>32.832000000000001</v>
      </c>
      <c r="I114" s="16">
        <v>625000</v>
      </c>
      <c r="J114" s="18">
        <f t="shared" si="9"/>
        <v>20520000</v>
      </c>
      <c r="K114" s="19">
        <v>19</v>
      </c>
      <c r="L114" s="19">
        <v>130000</v>
      </c>
      <c r="M114" s="18">
        <f t="shared" si="10"/>
        <v>2470000</v>
      </c>
      <c r="N114" s="18">
        <f t="shared" si="11"/>
        <v>22990000</v>
      </c>
      <c r="O114" s="20">
        <v>700000</v>
      </c>
      <c r="P114" s="18">
        <f t="shared" si="12"/>
        <v>75000</v>
      </c>
      <c r="Q114" s="18" t="s">
        <v>27</v>
      </c>
      <c r="R114" s="18">
        <f t="shared" si="13"/>
        <v>22982400</v>
      </c>
      <c r="S114" s="50">
        <v>2500000</v>
      </c>
      <c r="T114" s="18">
        <f t="shared" si="14"/>
        <v>2462400</v>
      </c>
      <c r="U114" s="11" t="s">
        <v>28</v>
      </c>
      <c r="V114" s="18">
        <f t="shared" si="15"/>
        <v>-37600</v>
      </c>
    </row>
    <row r="115" spans="1:22" x14ac:dyDescent="0.35">
      <c r="A115" s="11">
        <f t="shared" si="16"/>
        <v>112</v>
      </c>
      <c r="B115" s="12" t="s">
        <v>22</v>
      </c>
      <c r="C115" s="21" t="s">
        <v>32</v>
      </c>
      <c r="D115" s="21" t="s">
        <v>33</v>
      </c>
      <c r="E115" s="22">
        <v>46219</v>
      </c>
      <c r="F115" s="43" t="s">
        <v>162</v>
      </c>
      <c r="G115" s="16" t="s">
        <v>26</v>
      </c>
      <c r="H115" s="17">
        <v>32.832000000000001</v>
      </c>
      <c r="I115" s="16">
        <v>625000</v>
      </c>
      <c r="J115" s="18">
        <f t="shared" si="9"/>
        <v>20520000</v>
      </c>
      <c r="K115" s="19">
        <v>19</v>
      </c>
      <c r="L115" s="19">
        <v>130000</v>
      </c>
      <c r="M115" s="18">
        <f t="shared" si="10"/>
        <v>2470000</v>
      </c>
      <c r="N115" s="18">
        <f t="shared" si="11"/>
        <v>22990000</v>
      </c>
      <c r="O115" s="20">
        <v>700000</v>
      </c>
      <c r="P115" s="18">
        <f t="shared" si="12"/>
        <v>75000</v>
      </c>
      <c r="Q115" s="18" t="s">
        <v>27</v>
      </c>
      <c r="R115" s="18">
        <f t="shared" si="13"/>
        <v>22982400</v>
      </c>
      <c r="S115" s="50">
        <v>2500000</v>
      </c>
      <c r="T115" s="18">
        <f t="shared" si="14"/>
        <v>2462400</v>
      </c>
      <c r="U115" s="11" t="s">
        <v>28</v>
      </c>
      <c r="V115" s="18">
        <f t="shared" si="15"/>
        <v>-37600</v>
      </c>
    </row>
    <row r="116" spans="1:22" x14ac:dyDescent="0.35">
      <c r="A116" s="70">
        <f>A115+1</f>
        <v>113</v>
      </c>
      <c r="B116" s="71" t="s">
        <v>22</v>
      </c>
      <c r="C116" s="72" t="s">
        <v>32</v>
      </c>
      <c r="D116" s="72" t="s">
        <v>163</v>
      </c>
      <c r="E116" s="73">
        <v>46219</v>
      </c>
      <c r="F116" s="74" t="s">
        <v>164</v>
      </c>
      <c r="G116" s="75" t="s">
        <v>26</v>
      </c>
      <c r="H116" s="76">
        <v>32.832000000000001</v>
      </c>
      <c r="I116" s="75">
        <v>625000</v>
      </c>
      <c r="J116" s="77">
        <f t="shared" si="9"/>
        <v>20520000</v>
      </c>
      <c r="K116" s="78">
        <v>19</v>
      </c>
      <c r="L116" s="78">
        <v>130000</v>
      </c>
      <c r="M116" s="77">
        <f t="shared" si="10"/>
        <v>2470000</v>
      </c>
      <c r="N116" s="77">
        <f t="shared" si="11"/>
        <v>22990000</v>
      </c>
      <c r="O116" s="79">
        <v>700000</v>
      </c>
      <c r="P116" s="18">
        <f t="shared" si="12"/>
        <v>75000</v>
      </c>
      <c r="Q116" s="77" t="s">
        <v>27</v>
      </c>
      <c r="R116" s="18">
        <f t="shared" si="13"/>
        <v>22982400</v>
      </c>
      <c r="S116" s="80">
        <v>2500000</v>
      </c>
      <c r="T116" s="77">
        <f t="shared" si="14"/>
        <v>2462400</v>
      </c>
      <c r="U116" s="70" t="s">
        <v>28</v>
      </c>
      <c r="V116" s="77">
        <f t="shared" si="15"/>
        <v>-37600</v>
      </c>
    </row>
    <row r="117" spans="1:22" x14ac:dyDescent="0.35">
      <c r="A117" s="70">
        <f t="shared" ref="A117:A152" si="17">A116+1</f>
        <v>114</v>
      </c>
      <c r="B117" s="12" t="s">
        <v>22</v>
      </c>
      <c r="C117" s="57" t="s">
        <v>85</v>
      </c>
      <c r="D117" s="57" t="s">
        <v>110</v>
      </c>
      <c r="E117" s="58">
        <v>46220</v>
      </c>
      <c r="F117" s="68" t="s">
        <v>71</v>
      </c>
      <c r="G117" s="16" t="s">
        <v>26</v>
      </c>
      <c r="H117" s="17">
        <v>32.832000000000001</v>
      </c>
      <c r="I117" s="16">
        <v>625000</v>
      </c>
      <c r="J117" s="77">
        <f t="shared" si="9"/>
        <v>20520000</v>
      </c>
      <c r="K117" s="19">
        <v>19</v>
      </c>
      <c r="L117" s="19">
        <v>130000</v>
      </c>
      <c r="M117" s="77">
        <f t="shared" si="10"/>
        <v>2470000</v>
      </c>
      <c r="N117" s="77">
        <f t="shared" si="11"/>
        <v>22990000</v>
      </c>
      <c r="O117" s="20">
        <v>700000</v>
      </c>
      <c r="P117" s="18">
        <f t="shared" si="12"/>
        <v>75000</v>
      </c>
      <c r="Q117" s="18" t="s">
        <v>27</v>
      </c>
      <c r="R117" s="18">
        <f t="shared" si="13"/>
        <v>22982400</v>
      </c>
      <c r="S117" s="50">
        <v>2500000</v>
      </c>
      <c r="T117" s="77">
        <f t="shared" si="14"/>
        <v>2462400</v>
      </c>
      <c r="U117" s="70" t="s">
        <v>28</v>
      </c>
      <c r="V117" s="77">
        <f t="shared" si="15"/>
        <v>-37600</v>
      </c>
    </row>
    <row r="118" spans="1:22" x14ac:dyDescent="0.35">
      <c r="A118" s="70">
        <f t="shared" si="17"/>
        <v>115</v>
      </c>
      <c r="B118" s="12" t="s">
        <v>22</v>
      </c>
      <c r="C118" s="12" t="s">
        <v>100</v>
      </c>
      <c r="D118" s="12" t="s">
        <v>105</v>
      </c>
      <c r="E118" s="62">
        <v>46220</v>
      </c>
      <c r="F118" s="11" t="s">
        <v>265</v>
      </c>
      <c r="G118" s="16" t="s">
        <v>26</v>
      </c>
      <c r="H118" s="17">
        <v>32.832000000000001</v>
      </c>
      <c r="I118" s="16">
        <v>625000</v>
      </c>
      <c r="J118" s="77">
        <f t="shared" si="9"/>
        <v>20520000</v>
      </c>
      <c r="K118" s="19">
        <v>19</v>
      </c>
      <c r="L118" s="19">
        <v>130000</v>
      </c>
      <c r="M118" s="77">
        <f t="shared" si="10"/>
        <v>2470000</v>
      </c>
      <c r="N118" s="77">
        <f t="shared" si="11"/>
        <v>22990000</v>
      </c>
      <c r="O118" s="20">
        <v>700000</v>
      </c>
      <c r="P118" s="18">
        <f t="shared" si="12"/>
        <v>75000</v>
      </c>
      <c r="Q118" s="18" t="s">
        <v>27</v>
      </c>
      <c r="R118" s="18">
        <f t="shared" si="13"/>
        <v>22982400</v>
      </c>
      <c r="S118" s="50">
        <v>2500000</v>
      </c>
      <c r="T118" s="77">
        <f t="shared" si="14"/>
        <v>2462400</v>
      </c>
      <c r="U118" s="70" t="s">
        <v>28</v>
      </c>
      <c r="V118" s="77">
        <f t="shared" si="15"/>
        <v>-37600</v>
      </c>
    </row>
    <row r="119" spans="1:22" x14ac:dyDescent="0.35">
      <c r="A119" s="70">
        <f t="shared" si="17"/>
        <v>116</v>
      </c>
      <c r="B119" s="12" t="s">
        <v>22</v>
      </c>
      <c r="C119" s="12" t="s">
        <v>100</v>
      </c>
      <c r="D119" s="12" t="s">
        <v>158</v>
      </c>
      <c r="E119" s="62">
        <v>46220</v>
      </c>
      <c r="F119" s="11" t="s">
        <v>266</v>
      </c>
      <c r="G119" s="16" t="s">
        <v>46</v>
      </c>
      <c r="H119" s="17">
        <v>20.736000000000001</v>
      </c>
      <c r="I119" s="16">
        <v>625000</v>
      </c>
      <c r="J119" s="77">
        <f t="shared" si="9"/>
        <v>12960000</v>
      </c>
      <c r="K119" s="19">
        <v>12</v>
      </c>
      <c r="L119" s="19">
        <v>130000</v>
      </c>
      <c r="M119" s="77">
        <f t="shared" si="10"/>
        <v>1560000</v>
      </c>
      <c r="N119" s="77">
        <f t="shared" si="11"/>
        <v>14520000</v>
      </c>
      <c r="O119" s="20">
        <v>700000</v>
      </c>
      <c r="P119" s="18">
        <f t="shared" si="12"/>
        <v>75000</v>
      </c>
      <c r="Q119" s="18" t="s">
        <v>27</v>
      </c>
      <c r="R119" s="18">
        <f t="shared" si="13"/>
        <v>14515200</v>
      </c>
      <c r="S119" s="50">
        <v>1250000</v>
      </c>
      <c r="T119" s="77">
        <f t="shared" si="14"/>
        <v>1555200</v>
      </c>
      <c r="U119" s="70" t="s">
        <v>28</v>
      </c>
      <c r="V119" s="77">
        <f t="shared" si="15"/>
        <v>305200</v>
      </c>
    </row>
    <row r="120" spans="1:22" x14ac:dyDescent="0.35">
      <c r="A120" s="70">
        <f t="shared" si="17"/>
        <v>117</v>
      </c>
      <c r="B120" s="12" t="s">
        <v>22</v>
      </c>
      <c r="C120" s="24" t="s">
        <v>41</v>
      </c>
      <c r="D120" s="24" t="s">
        <v>92</v>
      </c>
      <c r="E120" s="60">
        <v>46220</v>
      </c>
      <c r="F120" s="24" t="s">
        <v>267</v>
      </c>
      <c r="G120" s="16" t="s">
        <v>26</v>
      </c>
      <c r="H120" s="17">
        <v>32.832000000000001</v>
      </c>
      <c r="I120" s="16">
        <v>625000</v>
      </c>
      <c r="J120" s="77">
        <f t="shared" si="9"/>
        <v>20520000</v>
      </c>
      <c r="K120" s="19">
        <v>19</v>
      </c>
      <c r="L120" s="19">
        <v>130000</v>
      </c>
      <c r="M120" s="77">
        <f t="shared" si="10"/>
        <v>2470000</v>
      </c>
      <c r="N120" s="77">
        <f t="shared" si="11"/>
        <v>22990000</v>
      </c>
      <c r="O120" s="20">
        <v>700000</v>
      </c>
      <c r="P120" s="18">
        <f t="shared" si="12"/>
        <v>75000</v>
      </c>
      <c r="Q120" s="18" t="s">
        <v>27</v>
      </c>
      <c r="R120" s="18">
        <f t="shared" si="13"/>
        <v>22982400</v>
      </c>
      <c r="S120" s="50">
        <v>2500000</v>
      </c>
      <c r="T120" s="77">
        <f t="shared" si="14"/>
        <v>2462400</v>
      </c>
      <c r="U120" s="70" t="s">
        <v>28</v>
      </c>
      <c r="V120" s="77">
        <f t="shared" si="15"/>
        <v>-37600</v>
      </c>
    </row>
    <row r="121" spans="1:22" x14ac:dyDescent="0.35">
      <c r="A121" s="70">
        <f t="shared" si="17"/>
        <v>118</v>
      </c>
      <c r="B121" s="12" t="s">
        <v>22</v>
      </c>
      <c r="C121" s="57" t="s">
        <v>85</v>
      </c>
      <c r="D121" s="57" t="s">
        <v>86</v>
      </c>
      <c r="E121" s="58">
        <v>46220</v>
      </c>
      <c r="F121" s="68" t="s">
        <v>268</v>
      </c>
      <c r="G121" s="16" t="s">
        <v>26</v>
      </c>
      <c r="H121" s="17">
        <v>32.832000000000001</v>
      </c>
      <c r="I121" s="16">
        <v>625000</v>
      </c>
      <c r="J121" s="77">
        <f t="shared" si="9"/>
        <v>20520000</v>
      </c>
      <c r="K121" s="19">
        <v>19</v>
      </c>
      <c r="L121" s="19">
        <v>130000</v>
      </c>
      <c r="M121" s="77">
        <f t="shared" si="10"/>
        <v>2470000</v>
      </c>
      <c r="N121" s="77">
        <f t="shared" si="11"/>
        <v>22990000</v>
      </c>
      <c r="O121" s="20">
        <v>700000</v>
      </c>
      <c r="P121" s="18">
        <f t="shared" si="12"/>
        <v>75000</v>
      </c>
      <c r="Q121" s="18" t="s">
        <v>27</v>
      </c>
      <c r="R121" s="18">
        <f t="shared" si="13"/>
        <v>22982400</v>
      </c>
      <c r="S121" s="50">
        <v>2500000</v>
      </c>
      <c r="T121" s="77">
        <f t="shared" si="14"/>
        <v>2462400</v>
      </c>
      <c r="U121" s="70" t="s">
        <v>28</v>
      </c>
      <c r="V121" s="77">
        <f t="shared" si="15"/>
        <v>-37600</v>
      </c>
    </row>
    <row r="122" spans="1:22" x14ac:dyDescent="0.35">
      <c r="A122" s="70">
        <f t="shared" si="17"/>
        <v>119</v>
      </c>
      <c r="B122" s="12" t="s">
        <v>22</v>
      </c>
      <c r="C122" s="57" t="s">
        <v>85</v>
      </c>
      <c r="D122" s="57" t="s">
        <v>86</v>
      </c>
      <c r="E122" s="58">
        <v>46220</v>
      </c>
      <c r="F122" s="68" t="s">
        <v>269</v>
      </c>
      <c r="G122" s="16" t="s">
        <v>26</v>
      </c>
      <c r="H122" s="17">
        <v>32.832000000000001</v>
      </c>
      <c r="I122" s="16">
        <v>625000</v>
      </c>
      <c r="J122" s="77">
        <f t="shared" si="9"/>
        <v>20520000</v>
      </c>
      <c r="K122" s="19">
        <v>19</v>
      </c>
      <c r="L122" s="19">
        <v>130000</v>
      </c>
      <c r="M122" s="77">
        <f t="shared" si="10"/>
        <v>2470000</v>
      </c>
      <c r="N122" s="77">
        <f t="shared" si="11"/>
        <v>22990000</v>
      </c>
      <c r="O122" s="20">
        <v>700000</v>
      </c>
      <c r="P122" s="18">
        <f t="shared" si="12"/>
        <v>75000</v>
      </c>
      <c r="Q122" s="18" t="s">
        <v>27</v>
      </c>
      <c r="R122" s="18">
        <f t="shared" si="13"/>
        <v>22982400</v>
      </c>
      <c r="S122" s="50">
        <v>2500000</v>
      </c>
      <c r="T122" s="77">
        <f t="shared" si="14"/>
        <v>2462400</v>
      </c>
      <c r="U122" s="70" t="s">
        <v>28</v>
      </c>
      <c r="V122" s="77">
        <f t="shared" si="15"/>
        <v>-37600</v>
      </c>
    </row>
    <row r="123" spans="1:22" x14ac:dyDescent="0.35">
      <c r="A123" s="70">
        <f t="shared" si="17"/>
        <v>120</v>
      </c>
      <c r="B123" s="12" t="s">
        <v>22</v>
      </c>
      <c r="C123" s="21" t="s">
        <v>32</v>
      </c>
      <c r="D123" s="21" t="s">
        <v>270</v>
      </c>
      <c r="E123" s="22">
        <v>46220</v>
      </c>
      <c r="F123" s="43" t="s">
        <v>271</v>
      </c>
      <c r="G123" s="16" t="s">
        <v>26</v>
      </c>
      <c r="H123" s="17">
        <v>32.832000000000001</v>
      </c>
      <c r="I123" s="16">
        <v>625000</v>
      </c>
      <c r="J123" s="77">
        <f t="shared" si="9"/>
        <v>20520000</v>
      </c>
      <c r="K123" s="19">
        <v>19</v>
      </c>
      <c r="L123" s="19">
        <v>130000</v>
      </c>
      <c r="M123" s="77">
        <f t="shared" si="10"/>
        <v>2470000</v>
      </c>
      <c r="N123" s="77">
        <f t="shared" si="11"/>
        <v>22990000</v>
      </c>
      <c r="O123" s="20">
        <v>700000</v>
      </c>
      <c r="P123" s="18">
        <f t="shared" si="12"/>
        <v>75000</v>
      </c>
      <c r="Q123" s="18" t="s">
        <v>27</v>
      </c>
      <c r="R123" s="18">
        <f t="shared" si="13"/>
        <v>22982400</v>
      </c>
      <c r="S123" s="50">
        <v>2500000</v>
      </c>
      <c r="T123" s="77">
        <f t="shared" si="14"/>
        <v>2462400</v>
      </c>
      <c r="U123" s="70" t="s">
        <v>28</v>
      </c>
      <c r="V123" s="77">
        <f t="shared" si="15"/>
        <v>-37600</v>
      </c>
    </row>
    <row r="124" spans="1:22" x14ac:dyDescent="0.35">
      <c r="A124" s="70">
        <f t="shared" si="17"/>
        <v>121</v>
      </c>
      <c r="B124" s="12" t="s">
        <v>22</v>
      </c>
      <c r="C124" s="57" t="s">
        <v>85</v>
      </c>
      <c r="D124" s="57" t="s">
        <v>86</v>
      </c>
      <c r="E124" s="58">
        <v>46221</v>
      </c>
      <c r="F124" s="68" t="s">
        <v>272</v>
      </c>
      <c r="G124" s="16" t="s">
        <v>46</v>
      </c>
      <c r="H124" s="17">
        <v>32.832000000000001</v>
      </c>
      <c r="I124" s="16">
        <v>625000</v>
      </c>
      <c r="J124" s="77">
        <f t="shared" si="9"/>
        <v>20520000</v>
      </c>
      <c r="K124" s="19">
        <v>19</v>
      </c>
      <c r="L124" s="19">
        <v>130000</v>
      </c>
      <c r="M124" s="77">
        <f t="shared" si="10"/>
        <v>2470000</v>
      </c>
      <c r="N124" s="77">
        <f t="shared" si="11"/>
        <v>22990000</v>
      </c>
      <c r="O124" s="20">
        <v>700000</v>
      </c>
      <c r="P124" s="18">
        <f t="shared" si="12"/>
        <v>75000</v>
      </c>
      <c r="Q124" s="18" t="s">
        <v>27</v>
      </c>
      <c r="R124" s="18">
        <f t="shared" si="13"/>
        <v>22982400</v>
      </c>
      <c r="S124" s="50">
        <v>2500000</v>
      </c>
      <c r="T124" s="77">
        <f t="shared" si="14"/>
        <v>2462400</v>
      </c>
      <c r="U124" s="70" t="s">
        <v>28</v>
      </c>
      <c r="V124" s="77">
        <f t="shared" si="15"/>
        <v>-37600</v>
      </c>
    </row>
    <row r="125" spans="1:22" x14ac:dyDescent="0.35">
      <c r="A125" s="70">
        <f t="shared" si="17"/>
        <v>122</v>
      </c>
      <c r="B125" s="12" t="s">
        <v>22</v>
      </c>
      <c r="C125" s="27" t="s">
        <v>50</v>
      </c>
      <c r="D125" s="27" t="s">
        <v>53</v>
      </c>
      <c r="E125" s="28">
        <v>46221</v>
      </c>
      <c r="F125" s="44" t="s">
        <v>142</v>
      </c>
      <c r="G125" s="16" t="s">
        <v>26</v>
      </c>
      <c r="H125" s="17">
        <v>32.832000000000001</v>
      </c>
      <c r="I125" s="16">
        <v>625000</v>
      </c>
      <c r="J125" s="77">
        <f t="shared" si="9"/>
        <v>20520000</v>
      </c>
      <c r="K125" s="19">
        <v>19</v>
      </c>
      <c r="L125" s="19">
        <v>130000</v>
      </c>
      <c r="M125" s="77">
        <f t="shared" si="10"/>
        <v>2470000</v>
      </c>
      <c r="N125" s="77">
        <f t="shared" si="11"/>
        <v>22990000</v>
      </c>
      <c r="O125" s="20">
        <v>700000</v>
      </c>
      <c r="P125" s="18">
        <f t="shared" si="12"/>
        <v>75000</v>
      </c>
      <c r="Q125" s="18" t="s">
        <v>27</v>
      </c>
      <c r="R125" s="18">
        <f t="shared" si="13"/>
        <v>22982400</v>
      </c>
      <c r="S125" s="50">
        <v>2500000</v>
      </c>
      <c r="T125" s="77">
        <f t="shared" si="14"/>
        <v>2462400</v>
      </c>
      <c r="U125" s="70" t="s">
        <v>28</v>
      </c>
      <c r="V125" s="77">
        <f t="shared" si="15"/>
        <v>-37600</v>
      </c>
    </row>
    <row r="126" spans="1:22" x14ac:dyDescent="0.35">
      <c r="A126" s="70">
        <f t="shared" si="17"/>
        <v>123</v>
      </c>
      <c r="B126" s="12" t="s">
        <v>22</v>
      </c>
      <c r="C126" s="12" t="s">
        <v>100</v>
      </c>
      <c r="D126" s="12" t="s">
        <v>105</v>
      </c>
      <c r="E126" s="62">
        <v>46221</v>
      </c>
      <c r="F126" s="11" t="s">
        <v>138</v>
      </c>
      <c r="G126" s="16" t="s">
        <v>26</v>
      </c>
      <c r="H126" s="17">
        <v>32.832000000000001</v>
      </c>
      <c r="I126" s="16">
        <v>625000</v>
      </c>
      <c r="J126" s="77">
        <f t="shared" si="9"/>
        <v>20520000</v>
      </c>
      <c r="K126" s="19">
        <v>19</v>
      </c>
      <c r="L126" s="19">
        <v>130000</v>
      </c>
      <c r="M126" s="77">
        <f t="shared" si="10"/>
        <v>2470000</v>
      </c>
      <c r="N126" s="77">
        <f t="shared" si="11"/>
        <v>22990000</v>
      </c>
      <c r="O126" s="20">
        <v>700000</v>
      </c>
      <c r="P126" s="18">
        <f t="shared" si="12"/>
        <v>75000</v>
      </c>
      <c r="Q126" s="18" t="s">
        <v>27</v>
      </c>
      <c r="R126" s="18">
        <f t="shared" si="13"/>
        <v>22982400</v>
      </c>
      <c r="S126" s="50">
        <v>2500000</v>
      </c>
      <c r="T126" s="77">
        <f t="shared" si="14"/>
        <v>2462400</v>
      </c>
      <c r="U126" s="70" t="s">
        <v>28</v>
      </c>
      <c r="V126" s="77">
        <f t="shared" si="15"/>
        <v>-37600</v>
      </c>
    </row>
    <row r="127" spans="1:22" x14ac:dyDescent="0.35">
      <c r="A127" s="70">
        <f t="shared" si="17"/>
        <v>124</v>
      </c>
      <c r="B127" s="12" t="s">
        <v>22</v>
      </c>
      <c r="C127" s="12" t="s">
        <v>100</v>
      </c>
      <c r="D127" s="12" t="s">
        <v>105</v>
      </c>
      <c r="E127" s="62">
        <v>46221</v>
      </c>
      <c r="F127" s="11" t="s">
        <v>273</v>
      </c>
      <c r="G127" s="16" t="s">
        <v>26</v>
      </c>
      <c r="H127" s="17">
        <v>32.832000000000001</v>
      </c>
      <c r="I127" s="16">
        <v>625000</v>
      </c>
      <c r="J127" s="77">
        <f t="shared" si="9"/>
        <v>20520000</v>
      </c>
      <c r="K127" s="19">
        <v>19</v>
      </c>
      <c r="L127" s="19">
        <v>130000</v>
      </c>
      <c r="M127" s="77">
        <f t="shared" si="10"/>
        <v>2470000</v>
      </c>
      <c r="N127" s="77">
        <f t="shared" si="11"/>
        <v>22990000</v>
      </c>
      <c r="O127" s="20">
        <v>700000</v>
      </c>
      <c r="P127" s="18">
        <f t="shared" si="12"/>
        <v>75000</v>
      </c>
      <c r="Q127" s="18" t="s">
        <v>27</v>
      </c>
      <c r="R127" s="18">
        <f t="shared" si="13"/>
        <v>22982400</v>
      </c>
      <c r="S127" s="50">
        <v>2500000</v>
      </c>
      <c r="T127" s="77">
        <f t="shared" si="14"/>
        <v>2462400</v>
      </c>
      <c r="U127" s="70" t="s">
        <v>28</v>
      </c>
      <c r="V127" s="77">
        <f t="shared" si="15"/>
        <v>-37600</v>
      </c>
    </row>
    <row r="128" spans="1:22" x14ac:dyDescent="0.35">
      <c r="A128" s="70">
        <f t="shared" si="17"/>
        <v>125</v>
      </c>
      <c r="B128" s="12" t="s">
        <v>22</v>
      </c>
      <c r="C128" s="21" t="s">
        <v>32</v>
      </c>
      <c r="D128" s="21" t="s">
        <v>270</v>
      </c>
      <c r="E128" s="22">
        <v>46221</v>
      </c>
      <c r="F128" s="43" t="s">
        <v>274</v>
      </c>
      <c r="G128" s="16" t="s">
        <v>26</v>
      </c>
      <c r="H128" s="17">
        <v>32.832000000000001</v>
      </c>
      <c r="I128" s="16">
        <v>625000</v>
      </c>
      <c r="J128" s="77">
        <f t="shared" si="9"/>
        <v>20520000</v>
      </c>
      <c r="K128" s="19">
        <v>19</v>
      </c>
      <c r="L128" s="19">
        <v>130000</v>
      </c>
      <c r="M128" s="77">
        <f t="shared" si="10"/>
        <v>2470000</v>
      </c>
      <c r="N128" s="77">
        <f t="shared" si="11"/>
        <v>22990000</v>
      </c>
      <c r="O128" s="20">
        <v>700000</v>
      </c>
      <c r="P128" s="18">
        <f t="shared" si="12"/>
        <v>75000</v>
      </c>
      <c r="Q128" s="18" t="s">
        <v>27</v>
      </c>
      <c r="R128" s="18">
        <f t="shared" si="13"/>
        <v>22982400</v>
      </c>
      <c r="S128" s="50">
        <v>2500000</v>
      </c>
      <c r="T128" s="77">
        <f t="shared" si="14"/>
        <v>2462400</v>
      </c>
      <c r="U128" s="70" t="s">
        <v>28</v>
      </c>
      <c r="V128" s="77">
        <f t="shared" si="15"/>
        <v>-37600</v>
      </c>
    </row>
    <row r="129" spans="1:22" x14ac:dyDescent="0.35">
      <c r="A129" s="70">
        <f t="shared" si="17"/>
        <v>126</v>
      </c>
      <c r="B129" s="12" t="s">
        <v>22</v>
      </c>
      <c r="C129" s="27" t="s">
        <v>50</v>
      </c>
      <c r="D129" s="27" t="s">
        <v>53</v>
      </c>
      <c r="E129" s="28">
        <v>46221</v>
      </c>
      <c r="F129" s="44" t="s">
        <v>275</v>
      </c>
      <c r="G129" s="16" t="s">
        <v>46</v>
      </c>
      <c r="H129" s="17">
        <v>32.832000000000001</v>
      </c>
      <c r="I129" s="16">
        <v>625000</v>
      </c>
      <c r="J129" s="77">
        <f t="shared" si="9"/>
        <v>20520000</v>
      </c>
      <c r="K129" s="19">
        <v>19</v>
      </c>
      <c r="L129" s="19">
        <v>130000</v>
      </c>
      <c r="M129" s="77">
        <f t="shared" si="10"/>
        <v>2470000</v>
      </c>
      <c r="N129" s="77">
        <f t="shared" si="11"/>
        <v>22990000</v>
      </c>
      <c r="O129" s="20">
        <v>700000</v>
      </c>
      <c r="P129" s="18">
        <f t="shared" si="12"/>
        <v>75000</v>
      </c>
      <c r="Q129" s="18" t="s">
        <v>27</v>
      </c>
      <c r="R129" s="18">
        <f t="shared" si="13"/>
        <v>22982400</v>
      </c>
      <c r="S129" s="50">
        <v>2500000</v>
      </c>
      <c r="T129" s="77">
        <f t="shared" si="14"/>
        <v>2462400</v>
      </c>
      <c r="U129" s="70" t="s">
        <v>28</v>
      </c>
      <c r="V129" s="77">
        <f t="shared" si="15"/>
        <v>-37600</v>
      </c>
    </row>
    <row r="130" spans="1:22" x14ac:dyDescent="0.35">
      <c r="A130" s="70">
        <f t="shared" si="17"/>
        <v>127</v>
      </c>
      <c r="B130" s="12" t="s">
        <v>22</v>
      </c>
      <c r="C130" s="27" t="s">
        <v>50</v>
      </c>
      <c r="D130" s="27" t="s">
        <v>53</v>
      </c>
      <c r="E130" s="28">
        <v>46221</v>
      </c>
      <c r="F130" s="44" t="s">
        <v>276</v>
      </c>
      <c r="G130" s="16" t="s">
        <v>26</v>
      </c>
      <c r="H130" s="17">
        <v>32.832000000000001</v>
      </c>
      <c r="I130" s="16">
        <v>625000</v>
      </c>
      <c r="J130" s="77">
        <f t="shared" si="9"/>
        <v>20520000</v>
      </c>
      <c r="K130" s="19">
        <v>19</v>
      </c>
      <c r="L130" s="19">
        <v>130000</v>
      </c>
      <c r="M130" s="77">
        <f t="shared" si="10"/>
        <v>2470000</v>
      </c>
      <c r="N130" s="77">
        <f t="shared" si="11"/>
        <v>22990000</v>
      </c>
      <c r="O130" s="20">
        <v>700000</v>
      </c>
      <c r="P130" s="18">
        <f t="shared" si="12"/>
        <v>75000</v>
      </c>
      <c r="Q130" s="18" t="s">
        <v>27</v>
      </c>
      <c r="R130" s="18">
        <f t="shared" si="13"/>
        <v>22982400</v>
      </c>
      <c r="S130" s="50">
        <v>2500000</v>
      </c>
      <c r="T130" s="77">
        <f t="shared" si="14"/>
        <v>2462400</v>
      </c>
      <c r="U130" s="70" t="s">
        <v>28</v>
      </c>
      <c r="V130" s="77">
        <f t="shared" si="15"/>
        <v>-37600</v>
      </c>
    </row>
    <row r="131" spans="1:22" x14ac:dyDescent="0.35">
      <c r="A131" s="70">
        <f t="shared" si="17"/>
        <v>128</v>
      </c>
      <c r="B131" s="12" t="s">
        <v>22</v>
      </c>
      <c r="C131" s="57" t="s">
        <v>85</v>
      </c>
      <c r="D131" s="57" t="s">
        <v>113</v>
      </c>
      <c r="E131" s="58">
        <v>46221</v>
      </c>
      <c r="F131" s="68" t="s">
        <v>277</v>
      </c>
      <c r="G131" s="16" t="s">
        <v>26</v>
      </c>
      <c r="H131" s="17">
        <v>32.832000000000001</v>
      </c>
      <c r="I131" s="16">
        <v>625000</v>
      </c>
      <c r="J131" s="77">
        <f t="shared" si="9"/>
        <v>20520000</v>
      </c>
      <c r="K131" s="19">
        <v>19</v>
      </c>
      <c r="L131" s="19">
        <v>130000</v>
      </c>
      <c r="M131" s="77">
        <f t="shared" si="10"/>
        <v>2470000</v>
      </c>
      <c r="N131" s="77">
        <f t="shared" si="11"/>
        <v>22990000</v>
      </c>
      <c r="O131" s="20">
        <v>700000</v>
      </c>
      <c r="P131" s="18">
        <f t="shared" si="12"/>
        <v>75000</v>
      </c>
      <c r="Q131" s="18" t="s">
        <v>27</v>
      </c>
      <c r="R131" s="18">
        <f t="shared" si="13"/>
        <v>22982400</v>
      </c>
      <c r="S131" s="50">
        <v>2500000</v>
      </c>
      <c r="T131" s="77">
        <f t="shared" si="14"/>
        <v>2462400</v>
      </c>
      <c r="U131" s="70" t="s">
        <v>28</v>
      </c>
      <c r="V131" s="77">
        <f t="shared" si="15"/>
        <v>-37600</v>
      </c>
    </row>
    <row r="132" spans="1:22" x14ac:dyDescent="0.35">
      <c r="A132" s="70">
        <f t="shared" si="17"/>
        <v>129</v>
      </c>
      <c r="B132" s="12" t="s">
        <v>22</v>
      </c>
      <c r="C132" s="21" t="s">
        <v>32</v>
      </c>
      <c r="D132" s="21" t="s">
        <v>163</v>
      </c>
      <c r="E132" s="22">
        <v>46221</v>
      </c>
      <c r="F132" s="43" t="s">
        <v>278</v>
      </c>
      <c r="G132" s="16" t="s">
        <v>46</v>
      </c>
      <c r="H132" s="17">
        <v>32.832000000000001</v>
      </c>
      <c r="I132" s="16">
        <v>625000</v>
      </c>
      <c r="J132" s="77">
        <f t="shared" si="9"/>
        <v>20520000</v>
      </c>
      <c r="K132" s="19">
        <v>19</v>
      </c>
      <c r="L132" s="19">
        <v>130000</v>
      </c>
      <c r="M132" s="77">
        <f t="shared" si="10"/>
        <v>2470000</v>
      </c>
      <c r="N132" s="77">
        <f t="shared" si="11"/>
        <v>22990000</v>
      </c>
      <c r="O132" s="20">
        <v>700000</v>
      </c>
      <c r="P132" s="18">
        <f t="shared" si="12"/>
        <v>75000</v>
      </c>
      <c r="Q132" s="18" t="s">
        <v>27</v>
      </c>
      <c r="R132" s="18">
        <f t="shared" si="13"/>
        <v>22982400</v>
      </c>
      <c r="S132" s="50">
        <v>2500000</v>
      </c>
      <c r="T132" s="77">
        <f t="shared" si="14"/>
        <v>2462400</v>
      </c>
      <c r="U132" s="70" t="s">
        <v>28</v>
      </c>
      <c r="V132" s="77">
        <f t="shared" si="15"/>
        <v>-37600</v>
      </c>
    </row>
    <row r="133" spans="1:22" x14ac:dyDescent="0.35">
      <c r="A133" s="70">
        <f t="shared" si="17"/>
        <v>130</v>
      </c>
      <c r="B133" s="12" t="s">
        <v>22</v>
      </c>
      <c r="C133" s="57" t="s">
        <v>85</v>
      </c>
      <c r="D133" s="57" t="s">
        <v>86</v>
      </c>
      <c r="E133" s="58">
        <v>46221</v>
      </c>
      <c r="F133" s="68" t="s">
        <v>47</v>
      </c>
      <c r="G133" s="16" t="s">
        <v>46</v>
      </c>
      <c r="H133" s="17">
        <v>32.832000000000001</v>
      </c>
      <c r="I133" s="16">
        <v>625000</v>
      </c>
      <c r="J133" s="77">
        <f t="shared" ref="J133:J152" si="18">H133*I133</f>
        <v>20520000</v>
      </c>
      <c r="K133" s="19">
        <v>19</v>
      </c>
      <c r="L133" s="19">
        <v>130000</v>
      </c>
      <c r="M133" s="77">
        <f t="shared" ref="M133:M152" si="19">K133*L133</f>
        <v>2470000</v>
      </c>
      <c r="N133" s="77">
        <f t="shared" ref="N133:N152" si="20">J133+M133</f>
        <v>22990000</v>
      </c>
      <c r="O133" s="20">
        <v>700000</v>
      </c>
      <c r="P133" s="18">
        <f t="shared" ref="P133:P152" si="21">O133-I133</f>
        <v>75000</v>
      </c>
      <c r="Q133" s="18" t="s">
        <v>27</v>
      </c>
      <c r="R133" s="18">
        <f t="shared" ref="R133:R147" si="22">O133*H133</f>
        <v>22982400</v>
      </c>
      <c r="S133" s="50">
        <v>2500000</v>
      </c>
      <c r="T133" s="77">
        <f t="shared" ref="T133:T152" si="23">R133-J133</f>
        <v>2462400</v>
      </c>
      <c r="U133" s="70" t="s">
        <v>28</v>
      </c>
      <c r="V133" s="77">
        <f t="shared" ref="V133:V152" si="24">T133-S133</f>
        <v>-37600</v>
      </c>
    </row>
    <row r="134" spans="1:22" x14ac:dyDescent="0.35">
      <c r="A134" s="70">
        <f t="shared" si="17"/>
        <v>131</v>
      </c>
      <c r="B134" s="12" t="s">
        <v>22</v>
      </c>
      <c r="C134" s="21" t="s">
        <v>32</v>
      </c>
      <c r="D134" s="21" t="s">
        <v>270</v>
      </c>
      <c r="E134" s="22">
        <v>46221</v>
      </c>
      <c r="F134" s="43" t="s">
        <v>279</v>
      </c>
      <c r="G134" s="16" t="s">
        <v>26</v>
      </c>
      <c r="H134" s="17">
        <v>32.832000000000001</v>
      </c>
      <c r="I134" s="16">
        <v>625000</v>
      </c>
      <c r="J134" s="77">
        <f t="shared" si="18"/>
        <v>20520000</v>
      </c>
      <c r="K134" s="19">
        <v>19</v>
      </c>
      <c r="L134" s="19">
        <v>130000</v>
      </c>
      <c r="M134" s="77">
        <f t="shared" si="19"/>
        <v>2470000</v>
      </c>
      <c r="N134" s="77">
        <f t="shared" si="20"/>
        <v>22990000</v>
      </c>
      <c r="O134" s="20">
        <v>700000</v>
      </c>
      <c r="P134" s="18">
        <f t="shared" si="21"/>
        <v>75000</v>
      </c>
      <c r="Q134" s="18" t="s">
        <v>27</v>
      </c>
      <c r="R134" s="18">
        <f t="shared" si="22"/>
        <v>22982400</v>
      </c>
      <c r="S134" s="50">
        <v>2500000</v>
      </c>
      <c r="T134" s="77">
        <f t="shared" si="23"/>
        <v>2462400</v>
      </c>
      <c r="U134" s="70" t="s">
        <v>28</v>
      </c>
      <c r="V134" s="77">
        <f t="shared" si="24"/>
        <v>-37600</v>
      </c>
    </row>
    <row r="135" spans="1:22" x14ac:dyDescent="0.35">
      <c r="A135" s="70">
        <f t="shared" si="17"/>
        <v>132</v>
      </c>
      <c r="B135" s="12" t="s">
        <v>22</v>
      </c>
      <c r="C135" s="57" t="s">
        <v>85</v>
      </c>
      <c r="D135" s="57" t="s">
        <v>86</v>
      </c>
      <c r="E135" s="58">
        <v>46223</v>
      </c>
      <c r="F135" s="68" t="s">
        <v>142</v>
      </c>
      <c r="G135" s="16" t="s">
        <v>26</v>
      </c>
      <c r="H135" s="17">
        <v>32.832000000000001</v>
      </c>
      <c r="I135" s="16">
        <v>625000</v>
      </c>
      <c r="J135" s="77">
        <f t="shared" si="18"/>
        <v>20520000</v>
      </c>
      <c r="K135" s="19">
        <v>19</v>
      </c>
      <c r="L135" s="19">
        <v>130000</v>
      </c>
      <c r="M135" s="77">
        <f t="shared" si="19"/>
        <v>2470000</v>
      </c>
      <c r="N135" s="77">
        <f t="shared" si="20"/>
        <v>22990000</v>
      </c>
      <c r="O135" s="20">
        <v>700000</v>
      </c>
      <c r="P135" s="18">
        <f t="shared" si="21"/>
        <v>75000</v>
      </c>
      <c r="Q135" s="18" t="s">
        <v>27</v>
      </c>
      <c r="R135" s="18">
        <f t="shared" si="22"/>
        <v>22982400</v>
      </c>
      <c r="S135" s="50">
        <v>2500000</v>
      </c>
      <c r="T135" s="77">
        <f t="shared" si="23"/>
        <v>2462400</v>
      </c>
      <c r="U135" s="70" t="s">
        <v>28</v>
      </c>
      <c r="V135" s="77">
        <f t="shared" si="24"/>
        <v>-37600</v>
      </c>
    </row>
    <row r="136" spans="1:22" x14ac:dyDescent="0.35">
      <c r="A136" s="70">
        <f t="shared" si="17"/>
        <v>133</v>
      </c>
      <c r="B136" s="12" t="s">
        <v>22</v>
      </c>
      <c r="C136" s="21" t="s">
        <v>32</v>
      </c>
      <c r="D136" s="21" t="s">
        <v>270</v>
      </c>
      <c r="E136" s="22">
        <v>46223</v>
      </c>
      <c r="F136" s="43" t="s">
        <v>93</v>
      </c>
      <c r="G136" s="16" t="s">
        <v>46</v>
      </c>
      <c r="H136" s="17">
        <v>32.832000000000001</v>
      </c>
      <c r="I136" s="16">
        <v>625000</v>
      </c>
      <c r="J136" s="77">
        <f t="shared" si="18"/>
        <v>20520000</v>
      </c>
      <c r="K136" s="19">
        <v>19</v>
      </c>
      <c r="L136" s="19">
        <v>130000</v>
      </c>
      <c r="M136" s="77">
        <f t="shared" si="19"/>
        <v>2470000</v>
      </c>
      <c r="N136" s="77">
        <f t="shared" si="20"/>
        <v>22990000</v>
      </c>
      <c r="O136" s="20">
        <v>700000</v>
      </c>
      <c r="P136" s="18">
        <f t="shared" si="21"/>
        <v>75000</v>
      </c>
      <c r="Q136" s="18" t="s">
        <v>27</v>
      </c>
      <c r="R136" s="18">
        <f t="shared" si="22"/>
        <v>22982400</v>
      </c>
      <c r="S136" s="50">
        <v>2500000</v>
      </c>
      <c r="T136" s="77">
        <f t="shared" si="23"/>
        <v>2462400</v>
      </c>
      <c r="U136" s="70" t="s">
        <v>28</v>
      </c>
      <c r="V136" s="77">
        <f t="shared" si="24"/>
        <v>-37600</v>
      </c>
    </row>
    <row r="137" spans="1:22" x14ac:dyDescent="0.35">
      <c r="A137" s="70">
        <f t="shared" si="17"/>
        <v>134</v>
      </c>
      <c r="B137" s="12" t="s">
        <v>22</v>
      </c>
      <c r="C137" s="57" t="s">
        <v>85</v>
      </c>
      <c r="D137" s="57" t="s">
        <v>280</v>
      </c>
      <c r="E137" s="58">
        <v>46223</v>
      </c>
      <c r="F137" s="68" t="s">
        <v>281</v>
      </c>
      <c r="G137" s="16" t="s">
        <v>26</v>
      </c>
      <c r="H137" s="17">
        <v>20.736000000000001</v>
      </c>
      <c r="I137" s="16">
        <v>625000</v>
      </c>
      <c r="J137" s="77">
        <f t="shared" si="18"/>
        <v>12960000</v>
      </c>
      <c r="K137" s="19">
        <v>12</v>
      </c>
      <c r="L137" s="19">
        <v>130000</v>
      </c>
      <c r="M137" s="77">
        <f t="shared" si="19"/>
        <v>1560000</v>
      </c>
      <c r="N137" s="77">
        <f t="shared" si="20"/>
        <v>14520000</v>
      </c>
      <c r="O137" s="20">
        <v>700000</v>
      </c>
      <c r="P137" s="18">
        <f t="shared" si="21"/>
        <v>75000</v>
      </c>
      <c r="Q137" s="18" t="s">
        <v>27</v>
      </c>
      <c r="R137" s="18">
        <f t="shared" si="22"/>
        <v>14515200</v>
      </c>
      <c r="S137" s="50">
        <v>1580000</v>
      </c>
      <c r="T137" s="77">
        <f t="shared" si="23"/>
        <v>1555200</v>
      </c>
      <c r="U137" s="70" t="s">
        <v>28</v>
      </c>
      <c r="V137" s="77">
        <f t="shared" si="24"/>
        <v>-24800</v>
      </c>
    </row>
    <row r="138" spans="1:22" x14ac:dyDescent="0.35">
      <c r="A138" s="70">
        <f t="shared" si="17"/>
        <v>135</v>
      </c>
      <c r="B138" s="12" t="s">
        <v>22</v>
      </c>
      <c r="C138" s="57" t="s">
        <v>85</v>
      </c>
      <c r="D138" s="57" t="s">
        <v>90</v>
      </c>
      <c r="E138" s="58">
        <v>46223</v>
      </c>
      <c r="F138" s="68" t="s">
        <v>282</v>
      </c>
      <c r="G138" s="16" t="s">
        <v>46</v>
      </c>
      <c r="H138" s="17">
        <v>32.832000000000001</v>
      </c>
      <c r="I138" s="16">
        <v>625000</v>
      </c>
      <c r="J138" s="77">
        <f t="shared" si="18"/>
        <v>20520000</v>
      </c>
      <c r="K138" s="19">
        <v>19</v>
      </c>
      <c r="L138" s="19">
        <v>130000</v>
      </c>
      <c r="M138" s="77">
        <f t="shared" si="19"/>
        <v>2470000</v>
      </c>
      <c r="N138" s="77">
        <f t="shared" si="20"/>
        <v>22990000</v>
      </c>
      <c r="O138" s="20">
        <v>700000</v>
      </c>
      <c r="P138" s="18">
        <f t="shared" si="21"/>
        <v>75000</v>
      </c>
      <c r="Q138" s="18" t="s">
        <v>27</v>
      </c>
      <c r="R138" s="18">
        <f t="shared" si="22"/>
        <v>22982400</v>
      </c>
      <c r="S138" s="50">
        <v>2500000</v>
      </c>
      <c r="T138" s="77">
        <f t="shared" si="23"/>
        <v>2462400</v>
      </c>
      <c r="U138" s="70" t="s">
        <v>28</v>
      </c>
      <c r="V138" s="77">
        <f t="shared" si="24"/>
        <v>-37600</v>
      </c>
    </row>
    <row r="139" spans="1:22" x14ac:dyDescent="0.35">
      <c r="A139" s="70">
        <f t="shared" si="17"/>
        <v>136</v>
      </c>
      <c r="B139" s="12" t="s">
        <v>22</v>
      </c>
      <c r="C139" s="21" t="s">
        <v>32</v>
      </c>
      <c r="D139" s="21" t="s">
        <v>270</v>
      </c>
      <c r="E139" s="22">
        <v>46223</v>
      </c>
      <c r="F139" s="43" t="s">
        <v>283</v>
      </c>
      <c r="G139" s="16" t="s">
        <v>26</v>
      </c>
      <c r="H139" s="17">
        <v>32.832000000000001</v>
      </c>
      <c r="I139" s="16">
        <v>625000</v>
      </c>
      <c r="J139" s="77">
        <f t="shared" si="18"/>
        <v>20520000</v>
      </c>
      <c r="K139" s="19">
        <v>19</v>
      </c>
      <c r="L139" s="19">
        <v>130000</v>
      </c>
      <c r="M139" s="77">
        <f t="shared" si="19"/>
        <v>2470000</v>
      </c>
      <c r="N139" s="77">
        <f t="shared" si="20"/>
        <v>22990000</v>
      </c>
      <c r="O139" s="20">
        <v>700000</v>
      </c>
      <c r="P139" s="18">
        <f t="shared" si="21"/>
        <v>75000</v>
      </c>
      <c r="Q139" s="18" t="s">
        <v>27</v>
      </c>
      <c r="R139" s="18">
        <f t="shared" si="22"/>
        <v>22982400</v>
      </c>
      <c r="S139" s="50">
        <v>2500000</v>
      </c>
      <c r="T139" s="77">
        <f t="shared" si="23"/>
        <v>2462400</v>
      </c>
      <c r="U139" s="70" t="s">
        <v>28</v>
      </c>
      <c r="V139" s="77">
        <f t="shared" si="24"/>
        <v>-37600</v>
      </c>
    </row>
    <row r="140" spans="1:22" x14ac:dyDescent="0.35">
      <c r="A140" s="70">
        <f t="shared" si="17"/>
        <v>137</v>
      </c>
      <c r="B140" s="12" t="s">
        <v>22</v>
      </c>
      <c r="C140" s="12" t="s">
        <v>100</v>
      </c>
      <c r="D140" s="12" t="s">
        <v>292</v>
      </c>
      <c r="E140" s="62">
        <v>46223</v>
      </c>
      <c r="F140" s="11" t="s">
        <v>138</v>
      </c>
      <c r="G140" s="16" t="s">
        <v>26</v>
      </c>
      <c r="H140" s="17">
        <v>22.463999999999999</v>
      </c>
      <c r="I140" s="50">
        <v>545000</v>
      </c>
      <c r="J140" s="77">
        <f t="shared" si="18"/>
        <v>12242880</v>
      </c>
      <c r="K140" s="20">
        <v>13</v>
      </c>
      <c r="L140" s="19">
        <v>130000</v>
      </c>
      <c r="M140" s="77">
        <f t="shared" si="19"/>
        <v>1690000</v>
      </c>
      <c r="N140" s="77">
        <f t="shared" si="20"/>
        <v>13932880</v>
      </c>
      <c r="O140" s="20">
        <v>700000</v>
      </c>
      <c r="P140" s="18">
        <f t="shared" si="21"/>
        <v>155000</v>
      </c>
      <c r="Q140" s="18" t="s">
        <v>27</v>
      </c>
      <c r="R140" s="18">
        <f t="shared" si="22"/>
        <v>15724799.999999998</v>
      </c>
      <c r="S140" s="50">
        <v>1700000</v>
      </c>
      <c r="T140" s="77">
        <f t="shared" si="23"/>
        <v>3481919.9999999981</v>
      </c>
      <c r="U140" s="70" t="s">
        <v>28</v>
      </c>
      <c r="V140" s="77">
        <f t="shared" si="24"/>
        <v>1781919.9999999981</v>
      </c>
    </row>
    <row r="141" spans="1:22" x14ac:dyDescent="0.35">
      <c r="A141" s="70">
        <f t="shared" si="17"/>
        <v>138</v>
      </c>
      <c r="B141" s="12" t="s">
        <v>22</v>
      </c>
      <c r="C141" s="27" t="s">
        <v>50</v>
      </c>
      <c r="D141" s="27" t="s">
        <v>53</v>
      </c>
      <c r="E141" s="28">
        <v>46223</v>
      </c>
      <c r="F141" s="44" t="s">
        <v>138</v>
      </c>
      <c r="G141" s="16" t="s">
        <v>26</v>
      </c>
      <c r="H141" s="17">
        <f>H139-H140</f>
        <v>10.368000000000002</v>
      </c>
      <c r="I141" s="16">
        <v>625000</v>
      </c>
      <c r="J141" s="77">
        <f t="shared" si="18"/>
        <v>6480000.0000000009</v>
      </c>
      <c r="K141" s="20">
        <v>6</v>
      </c>
      <c r="L141" s="19">
        <v>130000</v>
      </c>
      <c r="M141" s="77">
        <f t="shared" si="19"/>
        <v>780000</v>
      </c>
      <c r="N141" s="77">
        <f t="shared" si="20"/>
        <v>7260000.0000000009</v>
      </c>
      <c r="O141" s="20">
        <v>700000</v>
      </c>
      <c r="P141" s="18">
        <f t="shared" si="21"/>
        <v>75000</v>
      </c>
      <c r="Q141" s="18" t="s">
        <v>27</v>
      </c>
      <c r="R141" s="18">
        <f t="shared" si="22"/>
        <v>7257600.0000000019</v>
      </c>
      <c r="S141" s="18">
        <v>800000</v>
      </c>
      <c r="T141" s="77">
        <f t="shared" si="23"/>
        <v>777600.00000000093</v>
      </c>
      <c r="U141" s="70" t="s">
        <v>28</v>
      </c>
      <c r="V141" s="77">
        <f t="shared" si="24"/>
        <v>-22399.999999999069</v>
      </c>
    </row>
    <row r="142" spans="1:22" x14ac:dyDescent="0.35">
      <c r="A142" s="70">
        <f t="shared" si="17"/>
        <v>139</v>
      </c>
      <c r="B142" s="12" t="s">
        <v>22</v>
      </c>
      <c r="C142" s="12" t="s">
        <v>100</v>
      </c>
      <c r="D142" s="12" t="s">
        <v>284</v>
      </c>
      <c r="E142" s="62">
        <v>46224</v>
      </c>
      <c r="F142" s="11" t="s">
        <v>285</v>
      </c>
      <c r="G142" s="16" t="s">
        <v>104</v>
      </c>
      <c r="H142" s="170">
        <v>32.832000000000001</v>
      </c>
      <c r="I142" s="50">
        <v>595000</v>
      </c>
      <c r="J142" s="77">
        <f t="shared" si="18"/>
        <v>19535040</v>
      </c>
      <c r="K142" s="19">
        <v>19</v>
      </c>
      <c r="L142" s="19">
        <v>130000</v>
      </c>
      <c r="M142" s="77">
        <f t="shared" si="19"/>
        <v>2470000</v>
      </c>
      <c r="N142" s="77">
        <f t="shared" si="20"/>
        <v>22005040</v>
      </c>
      <c r="O142" s="20">
        <v>700000</v>
      </c>
      <c r="P142" s="18">
        <f t="shared" si="21"/>
        <v>105000</v>
      </c>
      <c r="Q142" s="18" t="s">
        <v>27</v>
      </c>
      <c r="R142" s="18">
        <f t="shared" si="22"/>
        <v>22982400</v>
      </c>
      <c r="S142" s="50">
        <v>2500000</v>
      </c>
      <c r="T142" s="77">
        <f t="shared" si="23"/>
        <v>3447360</v>
      </c>
      <c r="U142" s="70" t="s">
        <v>28</v>
      </c>
      <c r="V142" s="77">
        <f t="shared" si="24"/>
        <v>947360</v>
      </c>
    </row>
    <row r="143" spans="1:22" x14ac:dyDescent="0.35">
      <c r="A143" s="70">
        <f t="shared" si="17"/>
        <v>140</v>
      </c>
      <c r="B143" s="12" t="s">
        <v>22</v>
      </c>
      <c r="C143" s="57" t="s">
        <v>85</v>
      </c>
      <c r="D143" s="57" t="s">
        <v>110</v>
      </c>
      <c r="E143" s="58">
        <v>46224</v>
      </c>
      <c r="F143" s="68" t="s">
        <v>142</v>
      </c>
      <c r="G143" s="16" t="s">
        <v>26</v>
      </c>
      <c r="H143" s="170">
        <v>32.832000000000001</v>
      </c>
      <c r="I143" s="16">
        <v>625000</v>
      </c>
      <c r="J143" s="77">
        <f t="shared" si="18"/>
        <v>20520000</v>
      </c>
      <c r="K143" s="19">
        <v>19</v>
      </c>
      <c r="L143" s="19">
        <v>130000</v>
      </c>
      <c r="M143" s="77">
        <f t="shared" si="19"/>
        <v>2470000</v>
      </c>
      <c r="N143" s="77">
        <f t="shared" si="20"/>
        <v>22990000</v>
      </c>
      <c r="O143" s="20">
        <v>700000</v>
      </c>
      <c r="P143" s="18">
        <f t="shared" si="21"/>
        <v>75000</v>
      </c>
      <c r="Q143" s="18" t="s">
        <v>27</v>
      </c>
      <c r="R143" s="18">
        <f t="shared" si="22"/>
        <v>22982400</v>
      </c>
      <c r="S143" s="50">
        <v>2500000</v>
      </c>
      <c r="T143" s="77">
        <f t="shared" si="23"/>
        <v>2462400</v>
      </c>
      <c r="U143" s="70" t="s">
        <v>28</v>
      </c>
      <c r="V143" s="77">
        <f t="shared" si="24"/>
        <v>-37600</v>
      </c>
    </row>
    <row r="144" spans="1:22" x14ac:dyDescent="0.35">
      <c r="A144" s="70">
        <f t="shared" si="17"/>
        <v>141</v>
      </c>
      <c r="B144" s="12" t="s">
        <v>22</v>
      </c>
      <c r="C144" s="13" t="s">
        <v>23</v>
      </c>
      <c r="D144" s="13" t="s">
        <v>127</v>
      </c>
      <c r="E144" s="14">
        <v>46224</v>
      </c>
      <c r="F144" s="38" t="s">
        <v>286</v>
      </c>
      <c r="G144" s="16" t="s">
        <v>104</v>
      </c>
      <c r="H144" s="170">
        <v>32.832000000000001</v>
      </c>
      <c r="I144" s="50">
        <v>595000</v>
      </c>
      <c r="J144" s="77">
        <f t="shared" si="18"/>
        <v>19535040</v>
      </c>
      <c r="K144" s="19">
        <v>19</v>
      </c>
      <c r="L144" s="19">
        <v>130000</v>
      </c>
      <c r="M144" s="77">
        <f t="shared" si="19"/>
        <v>2470000</v>
      </c>
      <c r="N144" s="77">
        <f t="shared" si="20"/>
        <v>22005040</v>
      </c>
      <c r="O144" s="20">
        <v>700000</v>
      </c>
      <c r="P144" s="18">
        <f t="shared" si="21"/>
        <v>105000</v>
      </c>
      <c r="Q144" s="18" t="s">
        <v>27</v>
      </c>
      <c r="R144" s="18">
        <f t="shared" si="22"/>
        <v>22982400</v>
      </c>
      <c r="S144" s="18">
        <v>2500000</v>
      </c>
      <c r="T144" s="77">
        <f t="shared" si="23"/>
        <v>3447360</v>
      </c>
      <c r="U144" s="70" t="s">
        <v>28</v>
      </c>
      <c r="V144" s="77">
        <f t="shared" si="24"/>
        <v>947360</v>
      </c>
    </row>
    <row r="145" spans="1:22" x14ac:dyDescent="0.35">
      <c r="A145" s="70">
        <f t="shared" si="17"/>
        <v>142</v>
      </c>
      <c r="B145" s="12" t="s">
        <v>22</v>
      </c>
      <c r="C145" s="12" t="s">
        <v>100</v>
      </c>
      <c r="D145" s="12" t="s">
        <v>158</v>
      </c>
      <c r="E145" s="62">
        <v>46224</v>
      </c>
      <c r="F145" s="11" t="s">
        <v>76</v>
      </c>
      <c r="G145" s="16" t="s">
        <v>104</v>
      </c>
      <c r="H145" s="170">
        <v>25.92</v>
      </c>
      <c r="I145" s="50">
        <v>515000</v>
      </c>
      <c r="J145" s="77">
        <f t="shared" si="18"/>
        <v>13348800</v>
      </c>
      <c r="K145" s="20">
        <v>15</v>
      </c>
      <c r="L145" s="19">
        <v>130000</v>
      </c>
      <c r="M145" s="77">
        <f t="shared" si="19"/>
        <v>1950000</v>
      </c>
      <c r="N145" s="77">
        <f t="shared" si="20"/>
        <v>15298800</v>
      </c>
      <c r="O145" s="20">
        <v>707716.05</v>
      </c>
      <c r="P145" s="18">
        <f t="shared" si="21"/>
        <v>192716.05000000005</v>
      </c>
      <c r="Q145" s="18" t="s">
        <v>27</v>
      </c>
      <c r="R145" s="18">
        <f t="shared" si="22"/>
        <v>18344000.016000003</v>
      </c>
      <c r="S145" s="18">
        <v>2170000</v>
      </c>
      <c r="T145" s="77">
        <f t="shared" si="23"/>
        <v>4995200.0160000026</v>
      </c>
      <c r="U145" s="70" t="s">
        <v>28</v>
      </c>
      <c r="V145" s="77">
        <f t="shared" si="24"/>
        <v>2825200.0160000026</v>
      </c>
    </row>
    <row r="146" spans="1:22" x14ac:dyDescent="0.35">
      <c r="A146" s="70">
        <f t="shared" si="17"/>
        <v>143</v>
      </c>
      <c r="B146" s="12" t="s">
        <v>22</v>
      </c>
      <c r="C146" s="13" t="s">
        <v>23</v>
      </c>
      <c r="D146" s="13" t="s">
        <v>127</v>
      </c>
      <c r="E146" s="14">
        <v>46224</v>
      </c>
      <c r="F146" s="38" t="s">
        <v>76</v>
      </c>
      <c r="G146" s="16" t="s">
        <v>104</v>
      </c>
      <c r="H146" s="170">
        <v>5.1840000000000002</v>
      </c>
      <c r="I146" s="50">
        <v>595000</v>
      </c>
      <c r="J146" s="77">
        <f t="shared" si="18"/>
        <v>3084480</v>
      </c>
      <c r="K146" s="20">
        <v>3</v>
      </c>
      <c r="L146" s="19">
        <v>130000</v>
      </c>
      <c r="M146" s="77">
        <f t="shared" si="19"/>
        <v>390000</v>
      </c>
      <c r="N146" s="77">
        <f t="shared" si="20"/>
        <v>3474480</v>
      </c>
      <c r="O146" s="20">
        <v>700000</v>
      </c>
      <c r="P146" s="18">
        <f t="shared" si="21"/>
        <v>105000</v>
      </c>
      <c r="Q146" s="18" t="s">
        <v>27</v>
      </c>
      <c r="R146" s="18">
        <f t="shared" si="22"/>
        <v>3628800</v>
      </c>
      <c r="S146" s="18">
        <v>500000</v>
      </c>
      <c r="T146" s="77">
        <f t="shared" si="23"/>
        <v>544320</v>
      </c>
      <c r="U146" s="70" t="s">
        <v>28</v>
      </c>
      <c r="V146" s="77">
        <f t="shared" si="24"/>
        <v>44320</v>
      </c>
    </row>
    <row r="147" spans="1:22" x14ac:dyDescent="0.35">
      <c r="A147" s="70">
        <f t="shared" si="17"/>
        <v>144</v>
      </c>
      <c r="B147" s="12" t="s">
        <v>22</v>
      </c>
      <c r="C147" s="13" t="s">
        <v>23</v>
      </c>
      <c r="D147" s="13" t="s">
        <v>127</v>
      </c>
      <c r="E147" s="14">
        <v>46224</v>
      </c>
      <c r="F147" s="38" t="s">
        <v>76</v>
      </c>
      <c r="G147" s="16" t="s">
        <v>46</v>
      </c>
      <c r="H147" s="170">
        <v>1.728</v>
      </c>
      <c r="I147" s="16">
        <v>625000</v>
      </c>
      <c r="J147" s="77">
        <f t="shared" si="18"/>
        <v>1080000</v>
      </c>
      <c r="K147" s="20">
        <v>1</v>
      </c>
      <c r="L147" s="19">
        <v>130000</v>
      </c>
      <c r="M147" s="77">
        <f t="shared" si="19"/>
        <v>130000</v>
      </c>
      <c r="N147" s="77">
        <f t="shared" si="20"/>
        <v>1210000</v>
      </c>
      <c r="O147" s="20">
        <v>700000</v>
      </c>
      <c r="P147" s="18">
        <f t="shared" si="21"/>
        <v>75000</v>
      </c>
      <c r="Q147" s="18" t="s">
        <v>27</v>
      </c>
      <c r="R147" s="18">
        <f t="shared" si="22"/>
        <v>1209600</v>
      </c>
      <c r="S147" s="18">
        <v>0</v>
      </c>
      <c r="T147" s="77">
        <f t="shared" si="23"/>
        <v>129600</v>
      </c>
      <c r="U147" s="70" t="s">
        <v>28</v>
      </c>
      <c r="V147" s="77">
        <f t="shared" si="24"/>
        <v>129600</v>
      </c>
    </row>
    <row r="148" spans="1:22" x14ac:dyDescent="0.35">
      <c r="A148" s="70">
        <f t="shared" si="17"/>
        <v>145</v>
      </c>
      <c r="B148" s="12" t="s">
        <v>22</v>
      </c>
      <c r="C148" s="186" t="s">
        <v>85</v>
      </c>
      <c r="D148" s="186" t="s">
        <v>110</v>
      </c>
      <c r="E148" s="187">
        <v>46226</v>
      </c>
      <c r="F148" s="191" t="s">
        <v>142</v>
      </c>
      <c r="G148" s="180" t="s">
        <v>46</v>
      </c>
      <c r="H148" s="181">
        <v>32.832000000000001</v>
      </c>
      <c r="I148" s="180">
        <v>625000</v>
      </c>
      <c r="J148" s="77">
        <f t="shared" si="18"/>
        <v>20520000</v>
      </c>
      <c r="K148" s="182">
        <v>19</v>
      </c>
      <c r="L148" s="182">
        <v>130000</v>
      </c>
      <c r="M148" s="77">
        <f t="shared" si="19"/>
        <v>2470000</v>
      </c>
      <c r="N148" s="77">
        <f t="shared" si="20"/>
        <v>22990000</v>
      </c>
      <c r="O148" s="179">
        <v>700000</v>
      </c>
      <c r="P148" s="18">
        <f t="shared" si="21"/>
        <v>75000</v>
      </c>
      <c r="Q148" s="178" t="s">
        <v>27</v>
      </c>
      <c r="R148" s="178">
        <v>22982400</v>
      </c>
      <c r="S148" s="50">
        <v>2500000</v>
      </c>
      <c r="T148" s="77">
        <f t="shared" si="23"/>
        <v>2462400</v>
      </c>
      <c r="U148" s="70" t="s">
        <v>28</v>
      </c>
      <c r="V148" s="77">
        <f t="shared" si="24"/>
        <v>-37600</v>
      </c>
    </row>
    <row r="149" spans="1:22" x14ac:dyDescent="0.35">
      <c r="A149" s="70">
        <f t="shared" si="17"/>
        <v>146</v>
      </c>
      <c r="B149" s="12" t="s">
        <v>22</v>
      </c>
      <c r="C149" s="176" t="s">
        <v>100</v>
      </c>
      <c r="D149" s="176" t="s">
        <v>128</v>
      </c>
      <c r="E149" s="177">
        <v>46226</v>
      </c>
      <c r="F149" s="183" t="s">
        <v>297</v>
      </c>
      <c r="G149" s="180" t="s">
        <v>46</v>
      </c>
      <c r="H149" s="181">
        <v>32.832000000000001</v>
      </c>
      <c r="I149" s="180">
        <v>625000</v>
      </c>
      <c r="J149" s="77">
        <f t="shared" si="18"/>
        <v>20520000</v>
      </c>
      <c r="K149" s="182">
        <v>19</v>
      </c>
      <c r="L149" s="182">
        <v>130000</v>
      </c>
      <c r="M149" s="77">
        <f t="shared" si="19"/>
        <v>2470000</v>
      </c>
      <c r="N149" s="77">
        <f t="shared" si="20"/>
        <v>22990000</v>
      </c>
      <c r="O149" s="179">
        <v>700000</v>
      </c>
      <c r="P149" s="18">
        <f t="shared" si="21"/>
        <v>75000</v>
      </c>
      <c r="Q149" s="178" t="s">
        <v>27</v>
      </c>
      <c r="R149" s="178">
        <v>22982400</v>
      </c>
      <c r="S149" s="50">
        <v>2500000</v>
      </c>
      <c r="T149" s="77">
        <f t="shared" si="23"/>
        <v>2462400</v>
      </c>
      <c r="U149" s="70" t="s">
        <v>28</v>
      </c>
      <c r="V149" s="77">
        <f t="shared" si="24"/>
        <v>-37600</v>
      </c>
    </row>
    <row r="150" spans="1:22" x14ac:dyDescent="0.35">
      <c r="A150" s="70">
        <f t="shared" si="17"/>
        <v>147</v>
      </c>
      <c r="B150" s="12" t="s">
        <v>22</v>
      </c>
      <c r="C150" s="176" t="s">
        <v>100</v>
      </c>
      <c r="D150" s="176" t="s">
        <v>284</v>
      </c>
      <c r="E150" s="177">
        <v>46226</v>
      </c>
      <c r="F150" s="183" t="s">
        <v>298</v>
      </c>
      <c r="G150" s="180" t="s">
        <v>46</v>
      </c>
      <c r="H150" s="181">
        <v>32.832000000000001</v>
      </c>
      <c r="I150" s="180">
        <v>625000</v>
      </c>
      <c r="J150" s="77">
        <f t="shared" si="18"/>
        <v>20520000</v>
      </c>
      <c r="K150" s="182">
        <v>19</v>
      </c>
      <c r="L150" s="182">
        <v>130000</v>
      </c>
      <c r="M150" s="77">
        <f t="shared" si="19"/>
        <v>2470000</v>
      </c>
      <c r="N150" s="77">
        <f t="shared" si="20"/>
        <v>22990000</v>
      </c>
      <c r="O150" s="179">
        <v>700000</v>
      </c>
      <c r="P150" s="18">
        <f t="shared" si="21"/>
        <v>75000</v>
      </c>
      <c r="Q150" s="178" t="s">
        <v>27</v>
      </c>
      <c r="R150" s="178">
        <v>22982400</v>
      </c>
      <c r="S150" s="50">
        <v>2500000</v>
      </c>
      <c r="T150" s="77">
        <f t="shared" si="23"/>
        <v>2462400</v>
      </c>
      <c r="U150" s="70" t="s">
        <v>28</v>
      </c>
      <c r="V150" s="77">
        <f t="shared" si="24"/>
        <v>-37600</v>
      </c>
    </row>
    <row r="151" spans="1:22" x14ac:dyDescent="0.35">
      <c r="A151" s="70">
        <f t="shared" si="17"/>
        <v>148</v>
      </c>
      <c r="B151" s="12" t="s">
        <v>22</v>
      </c>
      <c r="C151" s="184" t="s">
        <v>32</v>
      </c>
      <c r="D151" s="184" t="s">
        <v>270</v>
      </c>
      <c r="E151" s="185">
        <v>46226</v>
      </c>
      <c r="F151" s="190" t="s">
        <v>299</v>
      </c>
      <c r="G151" s="180" t="s">
        <v>26</v>
      </c>
      <c r="H151" s="181">
        <v>32.832000000000001</v>
      </c>
      <c r="I151" s="180">
        <v>625000</v>
      </c>
      <c r="J151" s="77">
        <f t="shared" si="18"/>
        <v>20520000</v>
      </c>
      <c r="K151" s="182">
        <v>19</v>
      </c>
      <c r="L151" s="182">
        <v>130000</v>
      </c>
      <c r="M151" s="77">
        <f t="shared" si="19"/>
        <v>2470000</v>
      </c>
      <c r="N151" s="77">
        <f t="shared" si="20"/>
        <v>22990000</v>
      </c>
      <c r="O151" s="179">
        <v>700000</v>
      </c>
      <c r="P151" s="18">
        <f t="shared" si="21"/>
        <v>75000</v>
      </c>
      <c r="Q151" s="178" t="s">
        <v>27</v>
      </c>
      <c r="R151" s="178">
        <v>22982400</v>
      </c>
      <c r="S151" s="50">
        <v>2500000</v>
      </c>
      <c r="T151" s="77">
        <f t="shared" si="23"/>
        <v>2462400</v>
      </c>
      <c r="U151" s="70" t="s">
        <v>28</v>
      </c>
      <c r="V151" s="77">
        <f t="shared" si="24"/>
        <v>-37600</v>
      </c>
    </row>
    <row r="152" spans="1:22" x14ac:dyDescent="0.35">
      <c r="A152" s="70">
        <f t="shared" si="17"/>
        <v>149</v>
      </c>
      <c r="B152" s="12" t="s">
        <v>22</v>
      </c>
      <c r="C152" s="188" t="s">
        <v>50</v>
      </c>
      <c r="D152" s="67" t="s">
        <v>125</v>
      </c>
      <c r="E152" s="189">
        <v>46226</v>
      </c>
      <c r="F152" s="192" t="s">
        <v>295</v>
      </c>
      <c r="G152" s="180" t="s">
        <v>26</v>
      </c>
      <c r="H152" s="181">
        <v>32.832000000000001</v>
      </c>
      <c r="I152" s="50">
        <v>545000</v>
      </c>
      <c r="J152" s="77">
        <f t="shared" si="18"/>
        <v>17893440</v>
      </c>
      <c r="K152" s="182">
        <v>19</v>
      </c>
      <c r="L152" s="182">
        <v>130000</v>
      </c>
      <c r="M152" s="77">
        <f t="shared" si="19"/>
        <v>2470000</v>
      </c>
      <c r="N152" s="77">
        <f t="shared" si="20"/>
        <v>20363440</v>
      </c>
      <c r="O152" s="179">
        <v>700000</v>
      </c>
      <c r="P152" s="18">
        <f t="shared" si="21"/>
        <v>155000</v>
      </c>
      <c r="Q152" s="178" t="s">
        <v>27</v>
      </c>
      <c r="R152" s="178">
        <v>22982400</v>
      </c>
      <c r="S152" s="50">
        <v>2500000</v>
      </c>
      <c r="T152" s="77">
        <f t="shared" si="23"/>
        <v>5088960</v>
      </c>
      <c r="U152" s="70" t="s">
        <v>28</v>
      </c>
      <c r="V152" s="77">
        <f t="shared" si="24"/>
        <v>2588960</v>
      </c>
    </row>
    <row r="153" spans="1:22" x14ac:dyDescent="0.35">
      <c r="A153" s="70"/>
      <c r="B153" s="12"/>
      <c r="C153" s="81"/>
      <c r="D153" s="81"/>
      <c r="E153" s="81"/>
      <c r="F153" s="81"/>
      <c r="G153" s="81"/>
      <c r="H153" s="82">
        <f>SUM(H4:H147)</f>
        <v>4499.7119999999995</v>
      </c>
      <c r="I153" s="18"/>
      <c r="J153" s="18">
        <f>SUM(J4:J152)</f>
        <v>2759538240</v>
      </c>
      <c r="K153" s="18">
        <f>SUM(K4:K152)</f>
        <v>2699</v>
      </c>
      <c r="L153" s="18"/>
      <c r="M153" s="18">
        <f>SUM(M4:M152)</f>
        <v>350870000</v>
      </c>
      <c r="N153" s="18">
        <f>SUM(N4:N152)</f>
        <v>3110408240</v>
      </c>
      <c r="O153" s="18"/>
      <c r="P153" s="18"/>
      <c r="Q153" s="18"/>
      <c r="R153" s="18">
        <f>SUM(R4:R152)</f>
        <v>3299263319.3783035</v>
      </c>
      <c r="S153" s="18">
        <f>SUM(S4:S152)</f>
        <v>324700002</v>
      </c>
      <c r="T153" s="18">
        <f>SUM(T4:T116)</f>
        <v>450679959.36230397</v>
      </c>
      <c r="U153" s="18"/>
      <c r="V153" s="18">
        <f>SUM(V4:V152)</f>
        <v>215025077.37830397</v>
      </c>
    </row>
    <row r="156" spans="1:22" x14ac:dyDescent="0.35">
      <c r="C156" s="161" t="s">
        <v>2</v>
      </c>
      <c r="D156" s="161" t="s">
        <v>59</v>
      </c>
      <c r="E156" s="161" t="s">
        <v>60</v>
      </c>
      <c r="F156" s="161" t="s">
        <v>61</v>
      </c>
      <c r="G156" s="162" t="s">
        <v>62</v>
      </c>
      <c r="J156" s="217" t="s">
        <v>63</v>
      </c>
      <c r="K156" s="218"/>
      <c r="M156" s="205" t="s">
        <v>64</v>
      </c>
      <c r="N156" s="206"/>
    </row>
    <row r="157" spans="1:22" x14ac:dyDescent="0.35">
      <c r="C157" s="38" t="s">
        <v>23</v>
      </c>
      <c r="D157" s="39">
        <f>'Жамол 22-22'!M5+'Жамол 22-22'!M17+'Жамол 22-22'!M32+'Жамол 22-22'!M42+'Жамол 22-22'!M53+'Жамол 22-22'!M71+'Жамол 22-22'!M82+'Жамол 22-22'!M100</f>
        <v>728078159.98310399</v>
      </c>
      <c r="E157" s="39">
        <f>'Жамол 22-22'!C5+'Жамол 22-22'!C17+'Жамол 22-22'!C32+'Жамол 22-22'!C42+'Жамол 22-22'!C53+'Жамол 22-22'!C71+'Жамол 22-22'!C82+'Жамол 22-22'!C100</f>
        <v>520414160</v>
      </c>
      <c r="F157" s="39">
        <f>D157-E157</f>
        <v>207663999.98310399</v>
      </c>
      <c r="G157" s="39">
        <f>'Жамол 22-22'!K100+'Жамол 22-22'!K82+'Жамол 22-22'!K71+'Жамол 22-22'!K53+'Жамол 22-22'!K42+'Жамол 22-22'!K32+'Жамол 22-22'!K17+'Жамол 22-22'!K5</f>
        <v>594</v>
      </c>
      <c r="J157" s="40">
        <v>46198</v>
      </c>
      <c r="K157" s="81" t="s">
        <v>309</v>
      </c>
      <c r="L157" s="41">
        <v>23328000</v>
      </c>
      <c r="M157" s="42" t="s">
        <v>65</v>
      </c>
      <c r="N157" s="42" t="s">
        <v>66</v>
      </c>
      <c r="S157" s="32"/>
    </row>
    <row r="158" spans="1:22" x14ac:dyDescent="0.35">
      <c r="C158" s="43" t="s">
        <v>32</v>
      </c>
      <c r="D158" s="39">
        <f>'Зафар ога'!M5+'Зафар ога'!M15+'Зафар ога'!M47+'Зафар ога'!M61</f>
        <v>722977920</v>
      </c>
      <c r="E158" s="39">
        <f>'Зафар ога'!C5+'Зафар ога'!C15+'Зафар ога'!C47+'Зафар ога'!C61</f>
        <v>735872920</v>
      </c>
      <c r="F158" s="39">
        <f t="shared" ref="F158:F162" si="25">D158-E158</f>
        <v>-12895000</v>
      </c>
      <c r="G158" s="39">
        <f>'Зафар ога'!K5+'Зафар ога'!K15+'Зафар ога'!K47+'Зафар ога'!K61</f>
        <v>588</v>
      </c>
      <c r="J158" s="40">
        <v>46198</v>
      </c>
      <c r="K158" s="81" t="s">
        <v>309</v>
      </c>
      <c r="L158" s="41">
        <v>45570000</v>
      </c>
      <c r="M158" s="39">
        <f>J153</f>
        <v>2759538240</v>
      </c>
      <c r="N158" s="39">
        <f>L178</f>
        <v>3027089420</v>
      </c>
      <c r="S158" s="32"/>
    </row>
    <row r="159" spans="1:22" x14ac:dyDescent="0.35">
      <c r="C159" s="44" t="s">
        <v>50</v>
      </c>
      <c r="D159" s="39">
        <f>'Шохрух ога'!M5+'Шохрух ога'!M23+'Шохрух ога'!M33+'Шохрух ога'!M45+'Шохрух ога'!M57</f>
        <v>356916039.37919998</v>
      </c>
      <c r="E159" s="39">
        <f>'Шохрух ога'!C5+'Шохрух ога'!C23+'Шохрух ога'!C33+'Шохрух ога'!C45+'Шохрух ога'!C57</f>
        <v>318302640</v>
      </c>
      <c r="F159" s="39">
        <f t="shared" si="25"/>
        <v>38613399.379199982</v>
      </c>
      <c r="G159" s="39">
        <f>'Шохрух ога'!K57+'Шохрух ога'!K45+'Шохрух ога'!K33+'Шохрух ога'!K23+'Шохрух ога'!K2</f>
        <v>291</v>
      </c>
      <c r="J159" s="40">
        <v>46202</v>
      </c>
      <c r="K159" s="81" t="s">
        <v>309</v>
      </c>
      <c r="L159" s="41">
        <v>23965900</v>
      </c>
      <c r="M159" s="207">
        <f>N158-M158</f>
        <v>267551180</v>
      </c>
      <c r="N159" s="208"/>
      <c r="S159" s="32"/>
    </row>
    <row r="160" spans="1:22" x14ac:dyDescent="0.35">
      <c r="C160" s="45" t="s">
        <v>41</v>
      </c>
      <c r="D160" s="39">
        <f>'Арслон ога'!M5+'Арслон ога'!M20+'Арслон ога'!M36</f>
        <v>237945600</v>
      </c>
      <c r="E160" s="39">
        <f>'Арслон ога'!C36+'Арслон ога'!C20+'Арслон ога'!C5</f>
        <v>278610200</v>
      </c>
      <c r="F160" s="39">
        <f t="shared" si="25"/>
        <v>-40664600</v>
      </c>
      <c r="G160" s="39">
        <f>'Арслон ога'!K5+'Арслон ога'!K20+'Арслон ога'!K33</f>
        <v>190</v>
      </c>
      <c r="J160" s="40">
        <v>46202</v>
      </c>
      <c r="K160" s="81" t="s">
        <v>309</v>
      </c>
      <c r="L160" s="41">
        <v>24624000</v>
      </c>
      <c r="S160" s="32"/>
    </row>
    <row r="161" spans="3:14" x14ac:dyDescent="0.35">
      <c r="C161" s="165" t="s">
        <v>85</v>
      </c>
      <c r="D161" s="39">
        <f>'Темур '!M5+'Темур '!M32+'Темур '!M46+'Темур '!M66+'Темур '!M81</f>
        <v>749952000</v>
      </c>
      <c r="E161" s="39">
        <f>'Темур '!C5+'Темур '!C32+'Темур '!C46+'Темур '!C66+'Темур '!C81</f>
        <v>832834400</v>
      </c>
      <c r="F161" s="39">
        <f t="shared" si="25"/>
        <v>-82882400</v>
      </c>
      <c r="G161" s="39">
        <f>'Темур '!K66+'Темур '!K46+'Темур '!K32+'Темур '!K5+'Темур '!K78</f>
        <v>620</v>
      </c>
      <c r="J161" s="40">
        <v>46202</v>
      </c>
      <c r="K161" s="81" t="s">
        <v>309</v>
      </c>
      <c r="L161" s="41">
        <v>47952000</v>
      </c>
    </row>
    <row r="162" spans="3:14" x14ac:dyDescent="0.35">
      <c r="C162" s="46" t="s">
        <v>100</v>
      </c>
      <c r="D162" s="39">
        <f>'Сардор ога'!M5+'Сардор ога'!M18+'Сардор ога'!M32+'Сардор ога'!M43+'Сардор ога'!M55+'Сардор ога'!M68+'Сардор ога'!M81</f>
        <v>503393600.01600003</v>
      </c>
      <c r="E162" s="39">
        <f>'Сардор ога'!C5+'Сардор ога'!C18+'Сардор ога'!C32+'Сардор ога'!C43+'Сардор ога'!C55+'Сардор ога'!C68+'Сардор ога'!C81</f>
        <v>435563600</v>
      </c>
      <c r="F162" s="39">
        <f t="shared" si="25"/>
        <v>67830000.016000032</v>
      </c>
      <c r="G162" s="39">
        <f>'Сардор ога'!K2+'Сардор ога'!K15+'Сардор ога'!K29+'Сардор ога'!K40+'Сардор ога'!K52+'Сардор ога'!K65+'Сардор ога'!K78</f>
        <v>416</v>
      </c>
      <c r="J162" s="40">
        <v>46203</v>
      </c>
      <c r="K162" s="81" t="s">
        <v>309</v>
      </c>
      <c r="L162" s="41">
        <v>22703000</v>
      </c>
    </row>
    <row r="163" spans="3:14" x14ac:dyDescent="0.35">
      <c r="C163" s="163"/>
      <c r="D163" s="47">
        <f>SUM(D157:D162)</f>
        <v>3299263319.3783035</v>
      </c>
      <c r="E163" s="47">
        <f>SUM(E157:E162)</f>
        <v>3121597920</v>
      </c>
      <c r="F163" s="47">
        <f>SUM(F157:F162)</f>
        <v>177665399.378304</v>
      </c>
      <c r="G163" s="47">
        <f>SUM(G157:G162)</f>
        <v>2699</v>
      </c>
      <c r="J163" s="40">
        <v>46203</v>
      </c>
      <c r="K163" s="81" t="s">
        <v>309</v>
      </c>
      <c r="L163" s="41">
        <v>23872000</v>
      </c>
    </row>
    <row r="164" spans="3:14" x14ac:dyDescent="0.35">
      <c r="D164" s="48"/>
      <c r="J164" s="40">
        <v>46203</v>
      </c>
      <c r="K164" s="81" t="s">
        <v>309</v>
      </c>
      <c r="L164" s="41">
        <v>50000000</v>
      </c>
      <c r="M164" s="48"/>
    </row>
    <row r="165" spans="3:14" x14ac:dyDescent="0.35">
      <c r="E165" s="48"/>
      <c r="J165" s="40">
        <v>46204</v>
      </c>
      <c r="K165" s="81" t="s">
        <v>309</v>
      </c>
      <c r="L165" s="41">
        <v>25231000</v>
      </c>
    </row>
    <row r="166" spans="3:14" x14ac:dyDescent="0.35">
      <c r="E166" s="48"/>
      <c r="J166" s="40">
        <v>46205</v>
      </c>
      <c r="K166" s="81" t="s">
        <v>309</v>
      </c>
      <c r="L166" s="41">
        <v>67737600</v>
      </c>
    </row>
    <row r="167" spans="3:14" x14ac:dyDescent="0.35">
      <c r="E167" s="48"/>
      <c r="J167" s="40">
        <v>46205</v>
      </c>
      <c r="K167" s="81" t="s">
        <v>309</v>
      </c>
      <c r="L167" s="41">
        <v>72394560</v>
      </c>
    </row>
    <row r="168" spans="3:14" x14ac:dyDescent="0.35">
      <c r="D168" s="48"/>
      <c r="E168" s="48"/>
      <c r="F168" s="48"/>
      <c r="G168" s="48"/>
      <c r="J168" s="40">
        <v>46205</v>
      </c>
      <c r="K168" s="81" t="s">
        <v>309</v>
      </c>
      <c r="L168" s="41">
        <v>73872000</v>
      </c>
    </row>
    <row r="169" spans="3:14" x14ac:dyDescent="0.35">
      <c r="E169" s="48"/>
      <c r="J169" s="40">
        <v>46206</v>
      </c>
      <c r="K169" s="81" t="s">
        <v>309</v>
      </c>
      <c r="L169" s="41">
        <v>47934720</v>
      </c>
    </row>
    <row r="170" spans="3:14" x14ac:dyDescent="0.35">
      <c r="E170" s="48"/>
      <c r="J170" s="40">
        <v>46206</v>
      </c>
      <c r="K170" s="81" t="s">
        <v>309</v>
      </c>
      <c r="L170" s="41">
        <v>49904640</v>
      </c>
    </row>
    <row r="171" spans="3:14" x14ac:dyDescent="0.35">
      <c r="E171" s="48"/>
      <c r="J171" s="40">
        <v>46206</v>
      </c>
      <c r="K171" s="81" t="s">
        <v>309</v>
      </c>
      <c r="L171" s="41">
        <v>50000000</v>
      </c>
    </row>
    <row r="172" spans="3:14" x14ac:dyDescent="0.35">
      <c r="E172" s="48"/>
      <c r="J172" s="40">
        <v>46206</v>
      </c>
      <c r="K172" s="81" t="s">
        <v>309</v>
      </c>
      <c r="L172" s="41">
        <v>506000000</v>
      </c>
    </row>
    <row r="173" spans="3:14" x14ac:dyDescent="0.35">
      <c r="E173" s="48"/>
      <c r="J173" s="40">
        <v>46206</v>
      </c>
      <c r="K173" s="81" t="s">
        <v>309</v>
      </c>
      <c r="L173" s="41">
        <v>890000000</v>
      </c>
    </row>
    <row r="174" spans="3:14" x14ac:dyDescent="0.35">
      <c r="E174" s="48"/>
      <c r="J174" s="40">
        <v>46206</v>
      </c>
      <c r="K174" s="81" t="s">
        <v>310</v>
      </c>
      <c r="L174" s="41">
        <v>6000000</v>
      </c>
    </row>
    <row r="175" spans="3:14" x14ac:dyDescent="0.35">
      <c r="E175" s="48"/>
      <c r="J175" s="40">
        <v>46213</v>
      </c>
      <c r="K175" s="81" t="s">
        <v>311</v>
      </c>
      <c r="L175" s="41">
        <v>50000000</v>
      </c>
      <c r="M175" s="193"/>
      <c r="N175" s="88"/>
    </row>
    <row r="176" spans="3:14" x14ac:dyDescent="0.35">
      <c r="E176" s="48"/>
      <c r="J176" s="40">
        <v>46213</v>
      </c>
      <c r="K176" s="81" t="s">
        <v>309</v>
      </c>
      <c r="L176" s="41">
        <v>300000000</v>
      </c>
    </row>
    <row r="177" spans="5:18" x14ac:dyDescent="0.35">
      <c r="E177" s="48"/>
      <c r="J177" s="40">
        <v>46220</v>
      </c>
      <c r="K177" s="81" t="s">
        <v>309</v>
      </c>
      <c r="L177" s="41">
        <v>626000000</v>
      </c>
    </row>
    <row r="178" spans="5:18" x14ac:dyDescent="0.35">
      <c r="J178" s="242" t="s">
        <v>67</v>
      </c>
      <c r="K178" s="243"/>
      <c r="L178" s="49">
        <f>SUM(L157:L177)</f>
        <v>3027089420</v>
      </c>
    </row>
    <row r="181" spans="5:18" x14ac:dyDescent="0.35">
      <c r="M181" s="48"/>
    </row>
    <row r="184" spans="5:18" x14ac:dyDescent="0.35">
      <c r="G184" s="83"/>
      <c r="H184" s="83"/>
      <c r="I184" s="83"/>
      <c r="J184" s="83"/>
      <c r="K184" s="84"/>
      <c r="N184" s="219"/>
      <c r="O184" s="219"/>
      <c r="Q184" s="220"/>
      <c r="R184" s="220"/>
    </row>
    <row r="185" spans="5:18" x14ac:dyDescent="0.35">
      <c r="G185" s="85"/>
      <c r="H185" s="86"/>
      <c r="I185" s="86"/>
      <c r="J185" s="86"/>
      <c r="K185" s="86"/>
      <c r="N185" s="87"/>
      <c r="O185" s="88"/>
      <c r="Q185" s="89"/>
      <c r="R185" s="89"/>
    </row>
    <row r="186" spans="5:18" x14ac:dyDescent="0.35">
      <c r="G186" s="85"/>
      <c r="H186" s="86"/>
      <c r="I186" s="86"/>
      <c r="J186" s="86"/>
      <c r="K186" s="86"/>
      <c r="N186" s="87"/>
      <c r="O186" s="88"/>
      <c r="Q186" s="86"/>
      <c r="R186" s="86"/>
    </row>
    <row r="187" spans="5:18" x14ac:dyDescent="0.35">
      <c r="G187" s="85"/>
      <c r="H187" s="86"/>
      <c r="I187" s="86"/>
      <c r="J187" s="86"/>
      <c r="K187" s="86"/>
      <c r="N187" s="87"/>
      <c r="O187" s="88"/>
      <c r="Q187" s="221"/>
      <c r="R187" s="220"/>
    </row>
    <row r="188" spans="5:18" x14ac:dyDescent="0.35">
      <c r="G188" s="85"/>
      <c r="H188" s="86"/>
      <c r="I188" s="86"/>
      <c r="J188" s="86"/>
      <c r="K188" s="86"/>
      <c r="N188" s="87"/>
      <c r="O188" s="88"/>
    </row>
    <row r="189" spans="5:18" x14ac:dyDescent="0.35">
      <c r="H189" s="86"/>
      <c r="I189" s="86"/>
      <c r="J189" s="86"/>
      <c r="K189" s="86"/>
      <c r="N189" s="87"/>
      <c r="O189" s="88"/>
    </row>
    <row r="190" spans="5:18" x14ac:dyDescent="0.35">
      <c r="G190" s="89"/>
      <c r="H190" s="86"/>
      <c r="I190" s="86"/>
      <c r="J190" s="86"/>
      <c r="K190" s="86"/>
      <c r="N190" s="87"/>
      <c r="O190" s="88"/>
    </row>
    <row r="191" spans="5:18" x14ac:dyDescent="0.35">
      <c r="H191" s="86"/>
      <c r="I191" s="86"/>
      <c r="J191" s="86"/>
      <c r="K191" s="86"/>
      <c r="N191" s="87"/>
      <c r="O191" s="88"/>
    </row>
    <row r="192" spans="5:18" x14ac:dyDescent="0.35">
      <c r="H192" s="48"/>
      <c r="N192" s="87"/>
      <c r="O192" s="88"/>
      <c r="Q192" s="48"/>
    </row>
    <row r="193" spans="7:21" x14ac:dyDescent="0.35">
      <c r="I193" s="48"/>
      <c r="N193" s="87"/>
      <c r="O193" s="88"/>
    </row>
    <row r="194" spans="7:21" x14ac:dyDescent="0.35">
      <c r="I194" s="48"/>
      <c r="N194" s="87"/>
      <c r="O194" s="88"/>
    </row>
    <row r="195" spans="7:21" x14ac:dyDescent="0.35">
      <c r="I195" s="48"/>
      <c r="N195" s="87"/>
      <c r="O195" s="88"/>
    </row>
    <row r="197" spans="7:21" x14ac:dyDescent="0.35">
      <c r="M197" s="164"/>
    </row>
    <row r="198" spans="7:21" x14ac:dyDescent="0.35">
      <c r="G198" s="83"/>
      <c r="H198" s="83"/>
      <c r="I198" s="83"/>
      <c r="J198" s="83"/>
      <c r="K198" s="84"/>
      <c r="N198" s="219"/>
      <c r="O198" s="219"/>
      <c r="Q198" s="220"/>
      <c r="R198" s="220"/>
      <c r="T198" s="83"/>
      <c r="U198" s="83"/>
    </row>
    <row r="199" spans="7:21" x14ac:dyDescent="0.35">
      <c r="G199" s="85"/>
      <c r="H199" s="86"/>
      <c r="I199" s="86"/>
      <c r="J199" s="86"/>
      <c r="K199" s="86"/>
      <c r="N199" s="87"/>
      <c r="O199" s="88"/>
      <c r="Q199" s="89"/>
      <c r="R199" s="89"/>
      <c r="T199" s="85"/>
      <c r="U199" s="86"/>
    </row>
    <row r="200" spans="7:21" x14ac:dyDescent="0.35">
      <c r="G200" s="85"/>
      <c r="H200" s="86"/>
      <c r="I200" s="86"/>
      <c r="J200" s="86"/>
      <c r="K200" s="86"/>
      <c r="N200" s="87"/>
      <c r="O200" s="88"/>
      <c r="Q200" s="86"/>
      <c r="R200" s="86"/>
      <c r="T200" s="85"/>
      <c r="U200" s="86"/>
    </row>
    <row r="201" spans="7:21" x14ac:dyDescent="0.35">
      <c r="G201" s="85"/>
      <c r="H201" s="86"/>
      <c r="I201" s="86"/>
      <c r="J201" s="86"/>
      <c r="K201" s="86"/>
      <c r="N201" s="87"/>
      <c r="O201" s="88"/>
      <c r="Q201" s="221"/>
      <c r="R201" s="220"/>
      <c r="T201" s="85"/>
      <c r="U201" s="86"/>
    </row>
    <row r="202" spans="7:21" x14ac:dyDescent="0.35">
      <c r="G202" s="85"/>
      <c r="H202" s="86"/>
      <c r="I202" s="86"/>
      <c r="J202" s="86"/>
      <c r="K202" s="86"/>
      <c r="N202" s="87"/>
      <c r="O202" s="88"/>
      <c r="T202" s="85"/>
      <c r="U202" s="86"/>
    </row>
    <row r="203" spans="7:21" x14ac:dyDescent="0.35">
      <c r="G203" s="85"/>
      <c r="H203" s="86"/>
      <c r="I203" s="86"/>
      <c r="J203" s="86"/>
      <c r="K203" s="86"/>
      <c r="N203" s="87"/>
      <c r="O203" s="88"/>
      <c r="T203" s="85"/>
      <c r="U203" s="86"/>
    </row>
    <row r="204" spans="7:21" x14ac:dyDescent="0.35">
      <c r="G204" s="89"/>
      <c r="H204" s="86"/>
      <c r="I204" s="86"/>
      <c r="J204" s="86"/>
      <c r="K204" s="86"/>
      <c r="N204" s="87"/>
      <c r="O204" s="88"/>
      <c r="T204" s="89"/>
      <c r="U204" s="86"/>
    </row>
    <row r="205" spans="7:21" x14ac:dyDescent="0.35">
      <c r="H205" s="86"/>
      <c r="I205" s="86"/>
      <c r="J205" s="86"/>
      <c r="K205" s="86"/>
      <c r="N205" s="87"/>
      <c r="O205" s="88"/>
      <c r="U205" s="86"/>
    </row>
    <row r="206" spans="7:21" x14ac:dyDescent="0.35">
      <c r="H206" s="48"/>
      <c r="N206" s="87"/>
      <c r="O206" s="88"/>
      <c r="Q206" s="48"/>
      <c r="U206" s="48"/>
    </row>
    <row r="207" spans="7:21" x14ac:dyDescent="0.35">
      <c r="I207" s="48"/>
      <c r="N207" s="87"/>
      <c r="O207" s="88"/>
    </row>
    <row r="208" spans="7:21" x14ac:dyDescent="0.35">
      <c r="I208" s="48"/>
      <c r="N208" s="87"/>
      <c r="O208" s="88"/>
    </row>
    <row r="209" spans="7:21" x14ac:dyDescent="0.35">
      <c r="I209" s="48"/>
      <c r="N209" s="87"/>
      <c r="O209" s="88"/>
    </row>
    <row r="210" spans="7:21" x14ac:dyDescent="0.35">
      <c r="G210" s="83"/>
      <c r="H210" s="83"/>
      <c r="I210" s="83"/>
      <c r="J210" s="83"/>
      <c r="K210" s="84"/>
      <c r="N210" s="219"/>
      <c r="O210" s="219"/>
      <c r="Q210" s="220"/>
      <c r="R210" s="220"/>
      <c r="T210" s="83"/>
      <c r="U210" s="83"/>
    </row>
    <row r="211" spans="7:21" x14ac:dyDescent="0.35">
      <c r="G211" s="85"/>
      <c r="H211" s="86"/>
      <c r="I211" s="86"/>
      <c r="J211" s="86"/>
      <c r="K211" s="86"/>
      <c r="N211" s="87"/>
      <c r="O211" s="88"/>
      <c r="Q211" s="89"/>
      <c r="R211" s="89"/>
      <c r="T211" s="85"/>
      <c r="U211" s="86"/>
    </row>
    <row r="212" spans="7:21" x14ac:dyDescent="0.35">
      <c r="G212" s="85"/>
      <c r="H212" s="86"/>
      <c r="I212" s="86"/>
      <c r="J212" s="86"/>
      <c r="K212" s="86"/>
      <c r="N212" s="87"/>
      <c r="O212" s="88"/>
      <c r="Q212" s="86"/>
      <c r="R212" s="86"/>
      <c r="T212" s="85"/>
      <c r="U212" s="86"/>
    </row>
    <row r="213" spans="7:21" x14ac:dyDescent="0.35">
      <c r="G213" s="85"/>
      <c r="H213" s="86"/>
      <c r="I213" s="86"/>
      <c r="J213" s="86"/>
      <c r="K213" s="86"/>
      <c r="N213" s="87"/>
      <c r="O213" s="88"/>
      <c r="Q213" s="221"/>
      <c r="R213" s="220"/>
      <c r="T213" s="85"/>
      <c r="U213" s="86"/>
    </row>
    <row r="214" spans="7:21" x14ac:dyDescent="0.35">
      <c r="G214" s="85"/>
      <c r="H214" s="86"/>
      <c r="I214" s="86"/>
      <c r="J214" s="86"/>
      <c r="K214" s="86"/>
      <c r="N214" s="87"/>
      <c r="O214" s="88"/>
      <c r="T214" s="85"/>
      <c r="U214" s="86"/>
    </row>
    <row r="215" spans="7:21" x14ac:dyDescent="0.35">
      <c r="G215" s="85"/>
      <c r="H215" s="86"/>
      <c r="I215" s="86"/>
      <c r="J215" s="86"/>
      <c r="K215" s="86"/>
      <c r="N215" s="87"/>
      <c r="O215" s="88"/>
      <c r="T215" s="85"/>
      <c r="U215" s="86"/>
    </row>
    <row r="216" spans="7:21" x14ac:dyDescent="0.35">
      <c r="G216" s="89"/>
      <c r="H216" s="86"/>
      <c r="I216" s="86"/>
      <c r="J216" s="86"/>
      <c r="K216" s="86"/>
      <c r="N216" s="87"/>
      <c r="O216" s="88"/>
      <c r="T216" s="89"/>
      <c r="U216" s="86"/>
    </row>
    <row r="217" spans="7:21" x14ac:dyDescent="0.35">
      <c r="H217" s="86"/>
      <c r="I217" s="86"/>
      <c r="J217" s="86"/>
      <c r="K217" s="86"/>
      <c r="N217" s="87"/>
      <c r="O217" s="88"/>
      <c r="U217" s="86"/>
    </row>
    <row r="218" spans="7:21" x14ac:dyDescent="0.35">
      <c r="H218" s="48"/>
      <c r="N218" s="87"/>
      <c r="O218" s="88"/>
      <c r="Q218" s="48"/>
      <c r="U218" s="48"/>
    </row>
    <row r="219" spans="7:21" x14ac:dyDescent="0.35">
      <c r="I219" s="48"/>
      <c r="N219" s="87"/>
      <c r="O219" s="88"/>
    </row>
    <row r="220" spans="7:21" x14ac:dyDescent="0.35">
      <c r="I220" s="48"/>
      <c r="N220" s="87"/>
      <c r="O220" s="88"/>
    </row>
    <row r="221" spans="7:21" x14ac:dyDescent="0.35">
      <c r="I221" s="48"/>
      <c r="N221" s="87"/>
      <c r="O221" s="88"/>
    </row>
    <row r="222" spans="7:21" x14ac:dyDescent="0.35">
      <c r="G222" s="83"/>
      <c r="H222" s="83"/>
      <c r="I222" s="83"/>
      <c r="J222" s="83"/>
      <c r="K222" s="84"/>
      <c r="N222" s="219"/>
      <c r="O222" s="219"/>
      <c r="Q222" s="220"/>
      <c r="R222" s="220"/>
      <c r="T222" s="83"/>
      <c r="U222" s="83"/>
    </row>
    <row r="223" spans="7:21" x14ac:dyDescent="0.35">
      <c r="G223" s="85"/>
      <c r="H223" s="86"/>
      <c r="I223" s="86"/>
      <c r="J223" s="86"/>
      <c r="K223" s="86"/>
      <c r="N223" s="87"/>
      <c r="O223" s="88"/>
      <c r="Q223" s="89"/>
      <c r="R223" s="89"/>
      <c r="T223" s="85"/>
      <c r="U223" s="86"/>
    </row>
    <row r="224" spans="7:21" x14ac:dyDescent="0.35">
      <c r="G224" s="85"/>
      <c r="H224" s="86"/>
      <c r="I224" s="86"/>
      <c r="J224" s="86"/>
      <c r="K224" s="86"/>
      <c r="N224" s="87"/>
      <c r="O224" s="88"/>
      <c r="Q224" s="86"/>
      <c r="R224" s="86"/>
      <c r="T224" s="85"/>
      <c r="U224" s="86"/>
    </row>
  </sheetData>
  <autoFilter ref="A3:V153" xr:uid="{00000000-0001-0000-0000-000000000000}"/>
  <mergeCells count="15">
    <mergeCell ref="J156:K156"/>
    <mergeCell ref="N210:O210"/>
    <mergeCell ref="Q210:R210"/>
    <mergeCell ref="Q213:R213"/>
    <mergeCell ref="N222:O222"/>
    <mergeCell ref="Q222:R222"/>
    <mergeCell ref="Q201:R201"/>
    <mergeCell ref="M156:N156"/>
    <mergeCell ref="M159:N159"/>
    <mergeCell ref="N184:O184"/>
    <mergeCell ref="Q184:R184"/>
    <mergeCell ref="Q187:R187"/>
    <mergeCell ref="N198:O198"/>
    <mergeCell ref="Q198:R198"/>
    <mergeCell ref="J178:K178"/>
  </mergeCells>
  <conditionalFormatting sqref="P4:P152">
    <cfRule type="cellIs" dxfId="5" priority="3" operator="greaterThan">
      <formula>0</formula>
    </cfRule>
    <cfRule type="cellIs" dxfId="4" priority="4" operator="lessThan">
      <formula>0</formula>
    </cfRule>
  </conditionalFormatting>
  <conditionalFormatting sqref="T3:T152">
    <cfRule type="cellIs" dxfId="3" priority="1" operator="lessThan">
      <formula>0</formula>
    </cfRule>
  </conditionalFormatting>
  <conditionalFormatting sqref="T4:T152">
    <cfRule type="cellIs" dxfId="2" priority="2" operator="greaterThan">
      <formula>0</formula>
    </cfRule>
  </conditionalFormatting>
  <conditionalFormatting sqref="V4:V152">
    <cfRule type="cellIs" dxfId="1" priority="11" operator="lessThan">
      <formula>0</formula>
    </cfRule>
    <cfRule type="cellIs" dxfId="0" priority="1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0D882-8F7D-4CF9-9000-CB53E030316F}">
  <dimension ref="F12:X28"/>
  <sheetViews>
    <sheetView zoomScale="70" zoomScaleNormal="70" workbookViewId="0">
      <selection activeCell="O31" sqref="A4:O31"/>
    </sheetView>
  </sheetViews>
  <sheetFormatPr defaultRowHeight="14.5" x14ac:dyDescent="0.35"/>
  <cols>
    <col min="6" max="6" width="21.6328125" bestFit="1" customWidth="1"/>
    <col min="16" max="16" width="17.1796875" customWidth="1"/>
    <col min="17" max="17" width="22.453125" customWidth="1"/>
    <col min="20" max="20" width="14.81640625" bestFit="1" customWidth="1"/>
    <col min="21" max="21" width="17.6328125" bestFit="1" customWidth="1"/>
    <col min="22" max="22" width="10" bestFit="1" customWidth="1"/>
    <col min="23" max="23" width="23.36328125" bestFit="1" customWidth="1"/>
    <col min="24" max="24" width="7.453125" customWidth="1"/>
  </cols>
  <sheetData>
    <row r="12" spans="6:10" x14ac:dyDescent="0.35">
      <c r="F12" s="199" t="s">
        <v>70</v>
      </c>
      <c r="G12" s="199">
        <v>38</v>
      </c>
    </row>
    <row r="13" spans="6:10" x14ac:dyDescent="0.35">
      <c r="F13" s="42" t="s">
        <v>127</v>
      </c>
      <c r="G13" s="42">
        <v>38</v>
      </c>
    </row>
    <row r="14" spans="6:10" x14ac:dyDescent="0.35">
      <c r="F14" s="42" t="s">
        <v>137</v>
      </c>
      <c r="G14" s="42">
        <v>114</v>
      </c>
    </row>
    <row r="15" spans="6:10" x14ac:dyDescent="0.35">
      <c r="F15" s="42" t="s">
        <v>68</v>
      </c>
      <c r="G15" s="42">
        <v>62</v>
      </c>
      <c r="J15">
        <v>273</v>
      </c>
    </row>
    <row r="16" spans="6:10" x14ac:dyDescent="0.35">
      <c r="F16" s="42" t="s">
        <v>30</v>
      </c>
      <c r="G16" s="42">
        <v>56</v>
      </c>
      <c r="J16">
        <v>340</v>
      </c>
    </row>
    <row r="17" spans="6:24" x14ac:dyDescent="0.35">
      <c r="F17" s="42" t="s">
        <v>33</v>
      </c>
      <c r="G17" s="42">
        <v>103</v>
      </c>
      <c r="J17" s="194">
        <f>SUM(J15:J16)</f>
        <v>613</v>
      </c>
    </row>
    <row r="18" spans="6:24" ht="18.5" x14ac:dyDescent="0.45">
      <c r="F18" s="42" t="s">
        <v>55</v>
      </c>
      <c r="G18" s="42">
        <v>36</v>
      </c>
      <c r="P18" s="205" t="s">
        <v>308</v>
      </c>
      <c r="Q18" s="206"/>
      <c r="T18" s="216" t="s">
        <v>307</v>
      </c>
      <c r="U18" s="216"/>
    </row>
    <row r="19" spans="6:24" ht="18.5" x14ac:dyDescent="0.45">
      <c r="F19" s="42" t="s">
        <v>86</v>
      </c>
      <c r="G19" s="42">
        <v>119</v>
      </c>
      <c r="P19" s="42" t="s">
        <v>65</v>
      </c>
      <c r="Q19" s="42" t="s">
        <v>66</v>
      </c>
      <c r="T19" s="197" t="s">
        <v>304</v>
      </c>
      <c r="U19" s="197" t="s">
        <v>305</v>
      </c>
      <c r="W19" s="202" t="s">
        <v>127</v>
      </c>
      <c r="X19" s="42">
        <v>38</v>
      </c>
    </row>
    <row r="20" spans="6:24" ht="18.5" x14ac:dyDescent="0.45">
      <c r="F20" s="42" t="s">
        <v>300</v>
      </c>
      <c r="G20" s="42">
        <v>20</v>
      </c>
      <c r="P20" s="39">
        <v>2795264640</v>
      </c>
      <c r="Q20" s="39">
        <v>3027089420</v>
      </c>
      <c r="T20" s="198">
        <v>2718</v>
      </c>
      <c r="U20" s="197">
        <v>613</v>
      </c>
      <c r="W20" s="203" t="s">
        <v>137</v>
      </c>
      <c r="X20" s="42">
        <v>152</v>
      </c>
    </row>
    <row r="21" spans="6:24" ht="18.5" x14ac:dyDescent="0.45">
      <c r="F21" s="42" t="s">
        <v>301</v>
      </c>
      <c r="G21" s="42">
        <v>38</v>
      </c>
      <c r="P21" s="207">
        <f>Q20-P20</f>
        <v>231824780</v>
      </c>
      <c r="Q21" s="208"/>
      <c r="T21" s="209">
        <f>T20-U20</f>
        <v>2105</v>
      </c>
      <c r="U21" s="210"/>
      <c r="W21" s="42" t="s">
        <v>68</v>
      </c>
      <c r="X21" s="42">
        <v>62</v>
      </c>
    </row>
    <row r="22" spans="6:24" ht="18.5" x14ac:dyDescent="0.45">
      <c r="F22" s="81"/>
      <c r="G22" s="204">
        <f>SUM(G12:G21)</f>
        <v>624</v>
      </c>
      <c r="T22" s="196"/>
      <c r="U22" s="196"/>
      <c r="W22" s="42" t="s">
        <v>30</v>
      </c>
      <c r="X22" s="42">
        <v>56</v>
      </c>
    </row>
    <row r="23" spans="6:24" ht="18.5" x14ac:dyDescent="0.45">
      <c r="P23" s="214" t="s">
        <v>306</v>
      </c>
      <c r="Q23" s="215"/>
      <c r="T23" s="197" t="s">
        <v>302</v>
      </c>
      <c r="U23" s="200">
        <v>130000</v>
      </c>
      <c r="W23" s="42" t="s">
        <v>33</v>
      </c>
      <c r="X23" s="42">
        <v>82</v>
      </c>
    </row>
    <row r="24" spans="6:24" ht="18.5" x14ac:dyDescent="0.45">
      <c r="P24" s="212">
        <f>Q20-P20-T26</f>
        <v>-41825220</v>
      </c>
      <c r="Q24" s="213"/>
      <c r="T24" s="195"/>
      <c r="U24" s="195"/>
      <c r="W24" s="42" t="s">
        <v>55</v>
      </c>
      <c r="X24" s="42">
        <v>57</v>
      </c>
    </row>
    <row r="25" spans="6:24" ht="18.5" x14ac:dyDescent="0.45">
      <c r="T25" s="211" t="s">
        <v>303</v>
      </c>
      <c r="U25" s="211"/>
      <c r="W25" s="42" t="s">
        <v>86</v>
      </c>
      <c r="X25" s="42">
        <v>119</v>
      </c>
    </row>
    <row r="26" spans="6:24" ht="18.5" x14ac:dyDescent="0.45">
      <c r="T26" s="209">
        <f>T21*U23</f>
        <v>273650000</v>
      </c>
      <c r="U26" s="209"/>
      <c r="W26" s="42" t="s">
        <v>300</v>
      </c>
      <c r="X26" s="42">
        <v>20</v>
      </c>
    </row>
    <row r="27" spans="6:24" ht="18.5" x14ac:dyDescent="0.45">
      <c r="T27" s="196"/>
      <c r="U27" s="196"/>
      <c r="W27" s="42" t="s">
        <v>301</v>
      </c>
      <c r="X27" s="42">
        <v>38</v>
      </c>
    </row>
    <row r="28" spans="6:24" x14ac:dyDescent="0.35">
      <c r="W28" s="81"/>
      <c r="X28" s="201">
        <f>SUM(X19:X27)</f>
        <v>624</v>
      </c>
    </row>
  </sheetData>
  <mergeCells count="8">
    <mergeCell ref="P18:Q18"/>
    <mergeCell ref="P21:Q21"/>
    <mergeCell ref="T21:U21"/>
    <mergeCell ref="T26:U26"/>
    <mergeCell ref="T25:U25"/>
    <mergeCell ref="P24:Q24"/>
    <mergeCell ref="P23:Q23"/>
    <mergeCell ref="T18:U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5CCA-7E69-4261-9617-E08D5EF6A886}">
  <dimension ref="A1:O87"/>
  <sheetViews>
    <sheetView workbookViewId="0">
      <selection activeCell="F33" sqref="F33"/>
    </sheetView>
  </sheetViews>
  <sheetFormatPr defaultColWidth="9.08984375" defaultRowHeight="14" x14ac:dyDescent="0.3"/>
  <cols>
    <col min="1" max="1" width="6.54296875" style="32" bestFit="1" customWidth="1"/>
    <col min="2" max="2" width="12.08984375" style="32" customWidth="1"/>
    <col min="3" max="3" width="13.453125" style="32" bestFit="1" customWidth="1"/>
    <col min="4" max="4" width="37.36328125" style="32" bestFit="1" customWidth="1"/>
    <col min="5" max="5" width="20.453125" style="32" customWidth="1"/>
    <col min="6" max="6" width="7.6328125" style="32" bestFit="1" customWidth="1"/>
    <col min="7" max="7" width="11.54296875" style="32" bestFit="1" customWidth="1"/>
    <col min="8" max="8" width="13.08984375" style="32" bestFit="1" customWidth="1"/>
    <col min="9" max="9" width="13.54296875" style="32" bestFit="1" customWidth="1"/>
    <col min="10" max="10" width="10" style="32" bestFit="1" customWidth="1"/>
    <col min="11" max="11" width="11.36328125" style="32" bestFit="1" customWidth="1"/>
    <col min="12" max="12" width="8.90625" style="32" bestFit="1" customWidth="1"/>
    <col min="13" max="13" width="13.453125" style="32" bestFit="1" customWidth="1"/>
    <col min="14" max="14" width="10.453125" style="32" bestFit="1" customWidth="1"/>
    <col min="15" max="16" width="9.08984375" style="32"/>
    <col min="17" max="17" width="11.08984375" style="32" bestFit="1" customWidth="1"/>
    <col min="18" max="18" width="10.08984375" style="32" bestFit="1" customWidth="1"/>
    <col min="19" max="16384" width="9.08984375" style="32"/>
  </cols>
  <sheetData>
    <row r="1" spans="1:13" ht="18" customHeight="1" x14ac:dyDescent="0.45">
      <c r="A1" s="90"/>
      <c r="B1" s="91"/>
      <c r="C1" s="92" t="s">
        <v>174</v>
      </c>
      <c r="D1" s="127" t="s">
        <v>249</v>
      </c>
      <c r="E1" s="94"/>
    </row>
    <row r="2" spans="1:13" ht="20" x14ac:dyDescent="0.3">
      <c r="A2" s="224" t="s">
        <v>166</v>
      </c>
      <c r="B2" s="224"/>
      <c r="C2" s="225"/>
      <c r="D2" s="225"/>
      <c r="E2" s="95"/>
      <c r="F2" s="226">
        <f>Таблица213399029467813161718[[#Totals],[2]]+-Таблица213399029467813161718[[#Totals],[16]]</f>
        <v>0</v>
      </c>
      <c r="G2" s="227"/>
      <c r="K2" s="103">
        <f>Таблица213399029467813161718[[#Totals],[1132]]</f>
        <v>38</v>
      </c>
    </row>
    <row r="3" spans="1:13" ht="15" customHeight="1" x14ac:dyDescent="0.3">
      <c r="A3" s="228" t="s">
        <v>167</v>
      </c>
      <c r="B3" s="228" t="s">
        <v>168</v>
      </c>
      <c r="C3" s="116" t="s">
        <v>169</v>
      </c>
      <c r="D3" s="116" t="s">
        <v>189</v>
      </c>
      <c r="E3" s="229" t="s">
        <v>171</v>
      </c>
      <c r="F3" s="231" t="s">
        <v>167</v>
      </c>
      <c r="G3" s="231" t="s">
        <v>168</v>
      </c>
      <c r="H3" s="231" t="s">
        <v>172</v>
      </c>
      <c r="I3" s="222" t="s">
        <v>6</v>
      </c>
      <c r="J3" s="233" t="s">
        <v>7</v>
      </c>
      <c r="K3" s="233" t="s">
        <v>173</v>
      </c>
      <c r="L3" s="231" t="s">
        <v>190</v>
      </c>
      <c r="M3" s="222" t="s">
        <v>169</v>
      </c>
    </row>
    <row r="4" spans="1:13" x14ac:dyDescent="0.3">
      <c r="A4" s="228"/>
      <c r="B4" s="228"/>
      <c r="C4" s="98"/>
      <c r="D4" s="99"/>
      <c r="E4" s="230"/>
      <c r="F4" s="231"/>
      <c r="G4" s="231"/>
      <c r="H4" s="231"/>
      <c r="I4" s="232"/>
      <c r="J4" s="234"/>
      <c r="K4" s="235"/>
      <c r="L4" s="231"/>
      <c r="M4" s="223"/>
    </row>
    <row r="5" spans="1:13" ht="15.5" x14ac:dyDescent="0.3">
      <c r="A5" s="228"/>
      <c r="B5" s="228"/>
      <c r="C5" s="117">
        <f>Таблица213399029467813161718[[#Totals],[2]]</f>
        <v>45964800</v>
      </c>
      <c r="D5" s="101"/>
      <c r="E5" s="102">
        <f>SUM(Таблица213399029467813161718[4])</f>
        <v>0</v>
      </c>
      <c r="F5" s="231"/>
      <c r="G5" s="231"/>
      <c r="H5" s="231"/>
      <c r="I5" s="223"/>
      <c r="J5" s="128">
        <f>SUM(Таблица213399029467813161718[113])</f>
        <v>65.664000000000001</v>
      </c>
      <c r="K5" s="103">
        <f>Таблица213399029467813161718[[#Totals],[1132]]</f>
        <v>38</v>
      </c>
      <c r="L5" s="231"/>
      <c r="M5" s="118">
        <f>Таблица213399029467813161718[[#Totals],[16]]</f>
        <v>45964800</v>
      </c>
    </row>
    <row r="6" spans="1:13" x14ac:dyDescent="0.3">
      <c r="A6" s="104" t="s">
        <v>174</v>
      </c>
      <c r="B6" s="105" t="s">
        <v>175</v>
      </c>
      <c r="C6" s="105" t="s">
        <v>176</v>
      </c>
      <c r="D6" s="105" t="s">
        <v>177</v>
      </c>
      <c r="E6" s="105" t="s">
        <v>178</v>
      </c>
      <c r="F6" s="105" t="s">
        <v>179</v>
      </c>
      <c r="G6" s="105" t="s">
        <v>180</v>
      </c>
      <c r="H6" s="105" t="s">
        <v>181</v>
      </c>
      <c r="I6" s="105" t="s">
        <v>182</v>
      </c>
      <c r="J6" s="105" t="s">
        <v>183</v>
      </c>
      <c r="K6" s="105" t="s">
        <v>184</v>
      </c>
      <c r="L6" s="105" t="s">
        <v>185</v>
      </c>
      <c r="M6" s="105" t="s">
        <v>186</v>
      </c>
    </row>
    <row r="7" spans="1:13" ht="15.5" x14ac:dyDescent="0.3">
      <c r="A7" s="106">
        <v>1</v>
      </c>
      <c r="B7" s="107">
        <v>46210</v>
      </c>
      <c r="C7" s="108">
        <v>40000000</v>
      </c>
      <c r="D7" s="62" t="s">
        <v>250</v>
      </c>
      <c r="E7" s="18"/>
      <c r="F7" s="11">
        <f>Таблица213399029467813161718[[#This Row],[ ]]</f>
        <v>1</v>
      </c>
      <c r="G7" s="62">
        <v>46210</v>
      </c>
      <c r="H7" s="120" t="s">
        <v>102</v>
      </c>
      <c r="I7" s="121" t="s">
        <v>46</v>
      </c>
      <c r="J7" s="122">
        <v>32.832000000000001</v>
      </c>
      <c r="K7" s="123">
        <v>19</v>
      </c>
      <c r="L7" s="11">
        <v>700000</v>
      </c>
      <c r="M7" s="18">
        <f>Таблица213399029467813161718[[#This Row],[113]]*Таблица213399029467813161718[[#This Row],[15]]</f>
        <v>22982400</v>
      </c>
    </row>
    <row r="8" spans="1:13" x14ac:dyDescent="0.3">
      <c r="A8" s="106">
        <v>2</v>
      </c>
      <c r="B8" s="107">
        <v>46210</v>
      </c>
      <c r="C8" s="18">
        <v>1964800</v>
      </c>
      <c r="D8" s="62" t="s">
        <v>250</v>
      </c>
      <c r="E8" s="18"/>
      <c r="F8" s="11">
        <f>Таблица213399029467813161718[[#This Row],[ ]]</f>
        <v>2</v>
      </c>
      <c r="G8" s="62">
        <v>46211</v>
      </c>
      <c r="H8" s="120" t="s">
        <v>107</v>
      </c>
      <c r="I8" s="121" t="s">
        <v>46</v>
      </c>
      <c r="J8" s="122">
        <v>32.832000000000001</v>
      </c>
      <c r="K8" s="123">
        <v>19</v>
      </c>
      <c r="L8" s="11">
        <v>700000</v>
      </c>
      <c r="M8" s="18">
        <f>Таблица213399029467813161718[[#This Row],[113]]*Таблица213399029467813161718[[#This Row],[15]]</f>
        <v>22982400</v>
      </c>
    </row>
    <row r="9" spans="1:13" x14ac:dyDescent="0.3">
      <c r="A9" s="106">
        <v>3</v>
      </c>
      <c r="B9" s="109">
        <v>46180</v>
      </c>
      <c r="C9" s="18">
        <v>2000000</v>
      </c>
      <c r="D9" s="62" t="s">
        <v>201</v>
      </c>
      <c r="E9" s="18"/>
      <c r="F9" s="11">
        <f>Таблица213399029467813161718[[#This Row],[ ]]</f>
        <v>3</v>
      </c>
      <c r="G9" s="107"/>
      <c r="H9" s="63"/>
      <c r="I9" s="63"/>
      <c r="J9" s="63"/>
      <c r="K9" s="18"/>
      <c r="L9" s="51"/>
      <c r="M9" s="18">
        <f>Таблица213399029467813161718[[#This Row],[113]]*Таблица213399029467813161718[[#This Row],[15]]</f>
        <v>0</v>
      </c>
    </row>
    <row r="10" spans="1:13" x14ac:dyDescent="0.3">
      <c r="A10" s="106">
        <v>4</v>
      </c>
      <c r="B10" s="109">
        <v>46211</v>
      </c>
      <c r="C10" s="18">
        <v>2000000</v>
      </c>
      <c r="D10" s="62" t="s">
        <v>201</v>
      </c>
      <c r="E10" s="18"/>
      <c r="F10" s="11">
        <f>Таблица213399029467813161718[[#This Row],[ ]]</f>
        <v>4</v>
      </c>
      <c r="G10" s="107"/>
      <c r="H10" s="63"/>
      <c r="I10" s="63"/>
      <c r="J10" s="63"/>
      <c r="K10" s="18"/>
      <c r="L10" s="51"/>
      <c r="M10" s="18">
        <f>Таблица213399029467813161718[[#This Row],[113]]*Таблица213399029467813161718[[#This Row],[15]]</f>
        <v>0</v>
      </c>
    </row>
    <row r="11" spans="1:13" x14ac:dyDescent="0.3">
      <c r="A11" s="106">
        <v>5</v>
      </c>
      <c r="B11" s="110"/>
      <c r="C11" s="18"/>
      <c r="D11" s="62"/>
      <c r="E11" s="18"/>
      <c r="F11" s="11">
        <f>Таблица213399029467813161718[[#This Row],[ ]]</f>
        <v>5</v>
      </c>
      <c r="G11" s="107"/>
      <c r="H11" s="63"/>
      <c r="I11" s="63"/>
      <c r="J11" s="63"/>
      <c r="K11" s="18"/>
      <c r="L11" s="51"/>
      <c r="M11" s="18">
        <f>Таблица213399029467813161718[[#This Row],[113]]*Таблица213399029467813161718[[#This Row],[15]]</f>
        <v>0</v>
      </c>
    </row>
    <row r="12" spans="1:13" x14ac:dyDescent="0.3">
      <c r="A12" s="111"/>
      <c r="B12" s="12"/>
      <c r="C12" s="18">
        <f>SUBTOTAL(109,Таблица213399029467813161718[2])</f>
        <v>45964800</v>
      </c>
      <c r="D12" s="18"/>
      <c r="E12" s="112"/>
      <c r="F12" s="71"/>
      <c r="G12" s="113"/>
      <c r="H12" s="70"/>
      <c r="I12" s="70"/>
      <c r="J12" s="70"/>
      <c r="K12" s="70">
        <f>SUBTOTAL(109,Таблица213399029467813161718[1132])</f>
        <v>38</v>
      </c>
      <c r="L12" s="114"/>
      <c r="M12" s="114">
        <f>SUBTOTAL(109,Таблица213399029467813161718[16])</f>
        <v>45964800</v>
      </c>
    </row>
    <row r="14" spans="1:13" ht="18.5" x14ac:dyDescent="0.45">
      <c r="A14" s="90"/>
      <c r="B14" s="91"/>
      <c r="C14" s="92" t="s">
        <v>174</v>
      </c>
      <c r="D14" s="127" t="s">
        <v>251</v>
      </c>
      <c r="E14" s="94"/>
    </row>
    <row r="15" spans="1:13" ht="20" x14ac:dyDescent="0.3">
      <c r="A15" s="224" t="s">
        <v>166</v>
      </c>
      <c r="B15" s="224"/>
      <c r="C15" s="225"/>
      <c r="D15" s="225"/>
      <c r="E15" s="95"/>
      <c r="F15" s="226">
        <f>Таблица2133990294678131617[[#Totals],[2]]+-Таблица2133990294678131617[[#Totals],[16]]</f>
        <v>2288000</v>
      </c>
      <c r="G15" s="227"/>
      <c r="K15" s="103">
        <f>K18</f>
        <v>95</v>
      </c>
    </row>
    <row r="16" spans="1:13" x14ac:dyDescent="0.3">
      <c r="A16" s="228" t="s">
        <v>167</v>
      </c>
      <c r="B16" s="228" t="s">
        <v>168</v>
      </c>
      <c r="C16" s="116" t="s">
        <v>169</v>
      </c>
      <c r="D16" s="116" t="s">
        <v>189</v>
      </c>
      <c r="E16" s="229" t="s">
        <v>171</v>
      </c>
      <c r="F16" s="231" t="s">
        <v>167</v>
      </c>
      <c r="G16" s="231" t="s">
        <v>168</v>
      </c>
      <c r="H16" s="231" t="s">
        <v>172</v>
      </c>
      <c r="I16" s="222" t="s">
        <v>6</v>
      </c>
      <c r="J16" s="233" t="s">
        <v>7</v>
      </c>
      <c r="K16" s="233" t="s">
        <v>173</v>
      </c>
      <c r="L16" s="231" t="s">
        <v>190</v>
      </c>
      <c r="M16" s="222" t="s">
        <v>169</v>
      </c>
    </row>
    <row r="17" spans="1:14" x14ac:dyDescent="0.3">
      <c r="A17" s="228"/>
      <c r="B17" s="228"/>
      <c r="C17" s="98"/>
      <c r="D17" s="99"/>
      <c r="E17" s="230"/>
      <c r="F17" s="231"/>
      <c r="G17" s="231"/>
      <c r="H17" s="231"/>
      <c r="I17" s="232"/>
      <c r="J17" s="234"/>
      <c r="K17" s="235"/>
      <c r="L17" s="231"/>
      <c r="M17" s="223"/>
    </row>
    <row r="18" spans="1:14" ht="15.5" x14ac:dyDescent="0.3">
      <c r="A18" s="228"/>
      <c r="B18" s="228"/>
      <c r="C18" s="117">
        <f>Таблица2133990294678131617[[#Totals],[2]]</f>
        <v>117200000</v>
      </c>
      <c r="D18" s="101"/>
      <c r="E18" s="102">
        <f>SUM(Таблица2133990294678131617[4])</f>
        <v>0</v>
      </c>
      <c r="F18" s="231"/>
      <c r="G18" s="231"/>
      <c r="H18" s="231"/>
      <c r="I18" s="223"/>
      <c r="J18" s="128">
        <f>SUM(Таблица2133990294678131617[113])</f>
        <v>164.16</v>
      </c>
      <c r="K18" s="103">
        <f>Таблица2133990294678131617[[#Totals],[1132]]</f>
        <v>95</v>
      </c>
      <c r="L18" s="231"/>
      <c r="M18" s="118">
        <f>Таблица2133990294678131617[[#Totals],[16]]</f>
        <v>114912000</v>
      </c>
    </row>
    <row r="19" spans="1:14" x14ac:dyDescent="0.3">
      <c r="A19" s="104" t="s">
        <v>174</v>
      </c>
      <c r="B19" s="105" t="s">
        <v>175</v>
      </c>
      <c r="C19" s="105" t="s">
        <v>176</v>
      </c>
      <c r="D19" s="105" t="s">
        <v>177</v>
      </c>
      <c r="E19" s="105" t="s">
        <v>178</v>
      </c>
      <c r="F19" s="105" t="s">
        <v>179</v>
      </c>
      <c r="G19" s="105" t="s">
        <v>180</v>
      </c>
      <c r="H19" s="105" t="s">
        <v>181</v>
      </c>
      <c r="I19" s="105" t="s">
        <v>182</v>
      </c>
      <c r="J19" s="105" t="s">
        <v>183</v>
      </c>
      <c r="K19" s="105" t="s">
        <v>184</v>
      </c>
      <c r="L19" s="105" t="s">
        <v>185</v>
      </c>
      <c r="M19" s="105" t="s">
        <v>186</v>
      </c>
      <c r="N19" s="149" t="s">
        <v>222</v>
      </c>
    </row>
    <row r="20" spans="1:14" x14ac:dyDescent="0.3">
      <c r="A20" s="106">
        <v>1</v>
      </c>
      <c r="B20" s="109">
        <v>46210</v>
      </c>
      <c r="C20" s="18">
        <v>2200000</v>
      </c>
      <c r="D20" s="62" t="s">
        <v>201</v>
      </c>
      <c r="E20" s="18"/>
      <c r="F20" s="11">
        <f>Таблица2133990294678131617[[#This Row],[ ]]</f>
        <v>1</v>
      </c>
      <c r="G20" s="107">
        <v>46210</v>
      </c>
      <c r="H20" s="63" t="s">
        <v>106</v>
      </c>
      <c r="I20" s="63" t="s">
        <v>46</v>
      </c>
      <c r="J20" s="63">
        <v>32.832000000000001</v>
      </c>
      <c r="K20" s="18">
        <v>19</v>
      </c>
      <c r="L20" s="51">
        <v>700000</v>
      </c>
      <c r="M20" s="18">
        <f>Таблица2133990294678131617[[#This Row],[113]]*Таблица2133990294678131617[[#This Row],[15]]</f>
        <v>22982400</v>
      </c>
      <c r="N20" s="123">
        <v>2500000</v>
      </c>
    </row>
    <row r="21" spans="1:14" ht="15.5" x14ac:dyDescent="0.3">
      <c r="A21" s="106">
        <v>2</v>
      </c>
      <c r="B21" s="107">
        <v>46212</v>
      </c>
      <c r="C21" s="171">
        <v>45000000</v>
      </c>
      <c r="D21" s="18" t="s">
        <v>252</v>
      </c>
      <c r="E21" s="18"/>
      <c r="F21" s="11">
        <f>Таблица2133990294678131617[[#This Row],[ ]]</f>
        <v>2</v>
      </c>
      <c r="G21" s="62">
        <v>46214</v>
      </c>
      <c r="H21" s="120" t="s">
        <v>121</v>
      </c>
      <c r="I21" s="121" t="s">
        <v>26</v>
      </c>
      <c r="J21" s="122">
        <v>32.832000000000001</v>
      </c>
      <c r="K21" s="123">
        <v>19</v>
      </c>
      <c r="L21" s="11">
        <v>700000</v>
      </c>
      <c r="M21" s="18">
        <f>Таблица2133990294678131617[[#This Row],[113]]*Таблица2133990294678131617[[#This Row],[15]]</f>
        <v>22982400</v>
      </c>
      <c r="N21" s="51">
        <v>2200000</v>
      </c>
    </row>
    <row r="22" spans="1:14" x14ac:dyDescent="0.3">
      <c r="A22" s="106">
        <v>3</v>
      </c>
      <c r="B22" s="107">
        <v>46214</v>
      </c>
      <c r="C22" s="18">
        <v>2500000</v>
      </c>
      <c r="D22" s="62" t="s">
        <v>201</v>
      </c>
      <c r="E22" s="18"/>
      <c r="F22" s="11">
        <f>Таблица2133990294678131617[[#This Row],[ ]]</f>
        <v>3</v>
      </c>
      <c r="G22" s="107">
        <v>46220</v>
      </c>
      <c r="H22" s="63" t="s">
        <v>265</v>
      </c>
      <c r="I22" s="63" t="s">
        <v>26</v>
      </c>
      <c r="J22" s="63">
        <v>32.832000000000001</v>
      </c>
      <c r="K22" s="18">
        <v>19</v>
      </c>
      <c r="L22" s="51">
        <v>700000</v>
      </c>
      <c r="M22" s="18">
        <f>Таблица2133990294678131617[[#This Row],[113]]*Таблица2133990294678131617[[#This Row],[15]]</f>
        <v>22982400</v>
      </c>
      <c r="N22" s="51">
        <v>2500000</v>
      </c>
    </row>
    <row r="23" spans="1:14" x14ac:dyDescent="0.3">
      <c r="A23" s="106">
        <v>4</v>
      </c>
      <c r="B23" s="109">
        <v>46220</v>
      </c>
      <c r="C23" s="18">
        <v>2500000</v>
      </c>
      <c r="D23" s="62" t="s">
        <v>201</v>
      </c>
      <c r="E23" s="18"/>
      <c r="F23" s="11">
        <f>Таблица2133990294678131617[[#This Row],[ ]]</f>
        <v>4</v>
      </c>
      <c r="G23" s="107">
        <v>46221</v>
      </c>
      <c r="H23" s="63" t="s">
        <v>138</v>
      </c>
      <c r="I23" s="63" t="s">
        <v>26</v>
      </c>
      <c r="J23" s="63">
        <v>32.832000000000001</v>
      </c>
      <c r="K23" s="18">
        <v>19</v>
      </c>
      <c r="L23" s="51">
        <v>700000</v>
      </c>
      <c r="M23" s="18">
        <f>Таблица2133990294678131617[[#This Row],[113]]*Таблица2133990294678131617[[#This Row],[15]]</f>
        <v>22982400</v>
      </c>
      <c r="N23" s="51">
        <v>2500000</v>
      </c>
    </row>
    <row r="24" spans="1:14" x14ac:dyDescent="0.3">
      <c r="A24" s="106">
        <v>5</v>
      </c>
      <c r="B24" s="109">
        <v>46220</v>
      </c>
      <c r="C24" s="18">
        <v>60000000</v>
      </c>
      <c r="D24" s="62" t="s">
        <v>287</v>
      </c>
      <c r="E24" s="18"/>
      <c r="F24" s="11">
        <f>Таблица2133990294678131617[[#This Row],[ ]]</f>
        <v>5</v>
      </c>
      <c r="G24" s="107">
        <v>46221</v>
      </c>
      <c r="H24" s="63" t="s">
        <v>273</v>
      </c>
      <c r="I24" s="63" t="s">
        <v>26</v>
      </c>
      <c r="J24" s="63">
        <v>32.832000000000001</v>
      </c>
      <c r="K24" s="18">
        <v>19</v>
      </c>
      <c r="L24" s="51">
        <v>700000</v>
      </c>
      <c r="M24" s="18">
        <f>Таблица2133990294678131617[[#This Row],[113]]*Таблица2133990294678131617[[#This Row],[15]]</f>
        <v>22982400</v>
      </c>
      <c r="N24" s="51">
        <v>2500000</v>
      </c>
    </row>
    <row r="25" spans="1:14" x14ac:dyDescent="0.3">
      <c r="A25" s="106">
        <v>6</v>
      </c>
      <c r="B25" s="109">
        <v>46221</v>
      </c>
      <c r="C25" s="18">
        <v>5000000</v>
      </c>
      <c r="D25" s="62" t="s">
        <v>201</v>
      </c>
      <c r="E25" s="18"/>
      <c r="F25" s="11">
        <f>Таблица2133990294678131617[[#This Row],[ ]]</f>
        <v>6</v>
      </c>
      <c r="G25" s="107"/>
      <c r="H25" s="63"/>
      <c r="I25" s="63"/>
      <c r="J25" s="63"/>
      <c r="K25" s="18"/>
      <c r="L25" s="51"/>
      <c r="M25" s="18">
        <f>Таблица2133990294678131617[[#This Row],[113]]*Таблица2133990294678131617[[#This Row],[15]]</f>
        <v>0</v>
      </c>
      <c r="N25" s="51"/>
    </row>
    <row r="26" spans="1:14" x14ac:dyDescent="0.3">
      <c r="A26" s="111"/>
      <c r="B26" s="12"/>
      <c r="C26" s="18">
        <f>SUBTOTAL(109,Таблица2133990294678131617[2])</f>
        <v>117200000</v>
      </c>
      <c r="D26" s="18"/>
      <c r="E26" s="112"/>
      <c r="F26" s="71"/>
      <c r="G26" s="113"/>
      <c r="H26" s="70"/>
      <c r="I26" s="70"/>
      <c r="J26" s="70"/>
      <c r="K26" s="70">
        <f>SUBTOTAL(109,Таблица2133990294678131617[1132])</f>
        <v>95</v>
      </c>
      <c r="L26" s="114"/>
      <c r="M26" s="114">
        <f>SUBTOTAL(109,Таблица2133990294678131617[16])</f>
        <v>114912000</v>
      </c>
      <c r="N26" s="70"/>
    </row>
    <row r="28" spans="1:14" ht="18.5" x14ac:dyDescent="0.45">
      <c r="A28" s="90"/>
      <c r="B28" s="91"/>
      <c r="C28" s="92" t="s">
        <v>174</v>
      </c>
      <c r="D28" s="127" t="s">
        <v>253</v>
      </c>
      <c r="E28" s="94"/>
    </row>
    <row r="29" spans="1:14" ht="20" x14ac:dyDescent="0.3">
      <c r="A29" s="224" t="s">
        <v>166</v>
      </c>
      <c r="B29" s="224"/>
      <c r="C29" s="225"/>
      <c r="D29" s="225"/>
      <c r="E29" s="95"/>
      <c r="F29" s="226">
        <f>Таблица21339902946781316172122[[#Totals],[2]]+-Таблица21339902946781316172122[[#Totals],[16]]</f>
        <v>37952800</v>
      </c>
      <c r="G29" s="227"/>
      <c r="K29" s="103">
        <f>Таблица21339902946781316172122[[#Totals],[1132]]</f>
        <v>57</v>
      </c>
    </row>
    <row r="30" spans="1:14" x14ac:dyDescent="0.3">
      <c r="A30" s="228" t="s">
        <v>167</v>
      </c>
      <c r="B30" s="228" t="s">
        <v>168</v>
      </c>
      <c r="C30" s="116" t="s">
        <v>169</v>
      </c>
      <c r="D30" s="116" t="s">
        <v>189</v>
      </c>
      <c r="E30" s="229" t="s">
        <v>171</v>
      </c>
      <c r="F30" s="231" t="s">
        <v>167</v>
      </c>
      <c r="G30" s="231" t="s">
        <v>168</v>
      </c>
      <c r="H30" s="231" t="s">
        <v>172</v>
      </c>
      <c r="I30" s="222" t="s">
        <v>6</v>
      </c>
      <c r="J30" s="233" t="s">
        <v>7</v>
      </c>
      <c r="K30" s="233" t="s">
        <v>173</v>
      </c>
      <c r="L30" s="231" t="s">
        <v>190</v>
      </c>
      <c r="M30" s="222" t="s">
        <v>169</v>
      </c>
    </row>
    <row r="31" spans="1:14" x14ac:dyDescent="0.3">
      <c r="A31" s="228"/>
      <c r="B31" s="228"/>
      <c r="C31" s="98"/>
      <c r="D31" s="99"/>
      <c r="E31" s="230"/>
      <c r="F31" s="231"/>
      <c r="G31" s="231"/>
      <c r="H31" s="231"/>
      <c r="I31" s="232"/>
      <c r="J31" s="234"/>
      <c r="K31" s="235"/>
      <c r="L31" s="231"/>
      <c r="M31" s="223"/>
    </row>
    <row r="32" spans="1:14" ht="15.5" x14ac:dyDescent="0.3">
      <c r="A32" s="228"/>
      <c r="B32" s="228"/>
      <c r="C32" s="117">
        <f>Таблица21339902946781316172122[[#Totals],[2]]</f>
        <v>106900000</v>
      </c>
      <c r="D32" s="101"/>
      <c r="E32" s="102">
        <f>SUM(Таблица21339902946781316172122[4])</f>
        <v>0</v>
      </c>
      <c r="F32" s="231"/>
      <c r="G32" s="231"/>
      <c r="H32" s="231"/>
      <c r="I32" s="223"/>
      <c r="J32" s="128">
        <f>SUM(Таблица21339902946781316172122[113])</f>
        <v>98.496000000000009</v>
      </c>
      <c r="K32" s="103">
        <f>Таблица21339902946781316172122[[#Totals],[1132]]</f>
        <v>57</v>
      </c>
      <c r="L32" s="231"/>
      <c r="M32" s="118">
        <f>Таблица21339902946781316172122[[#Totals],[16]]</f>
        <v>68947200</v>
      </c>
    </row>
    <row r="33" spans="1:14" x14ac:dyDescent="0.3">
      <c r="A33" s="104" t="s">
        <v>174</v>
      </c>
      <c r="B33" s="105" t="s">
        <v>175</v>
      </c>
      <c r="C33" s="105" t="s">
        <v>176</v>
      </c>
      <c r="D33" s="105" t="s">
        <v>177</v>
      </c>
      <c r="E33" s="105" t="s">
        <v>178</v>
      </c>
      <c r="F33" s="105" t="s">
        <v>179</v>
      </c>
      <c r="G33" s="105" t="s">
        <v>180</v>
      </c>
      <c r="H33" s="105" t="s">
        <v>181</v>
      </c>
      <c r="I33" s="105" t="s">
        <v>182</v>
      </c>
      <c r="J33" s="105" t="s">
        <v>183</v>
      </c>
      <c r="K33" s="105" t="s">
        <v>184</v>
      </c>
      <c r="L33" s="105" t="s">
        <v>185</v>
      </c>
      <c r="M33" s="105" t="s">
        <v>186</v>
      </c>
      <c r="N33" s="149" t="s">
        <v>222</v>
      </c>
    </row>
    <row r="34" spans="1:14" ht="15.5" x14ac:dyDescent="0.3">
      <c r="A34" s="106">
        <v>1</v>
      </c>
      <c r="B34" s="107">
        <v>46215</v>
      </c>
      <c r="C34" s="108">
        <v>4400000</v>
      </c>
      <c r="D34" s="62" t="s">
        <v>201</v>
      </c>
      <c r="E34" s="18"/>
      <c r="F34" s="11">
        <f>Таблица21339902946781316172122[[#This Row],[ ]]</f>
        <v>1</v>
      </c>
      <c r="G34" s="62">
        <v>46215</v>
      </c>
      <c r="H34" s="120" t="s">
        <v>129</v>
      </c>
      <c r="I34" s="121" t="s">
        <v>26</v>
      </c>
      <c r="J34" s="122">
        <v>32.832000000000001</v>
      </c>
      <c r="K34" s="123">
        <v>19</v>
      </c>
      <c r="L34" s="11">
        <v>700000</v>
      </c>
      <c r="M34" s="18">
        <f>Таблица21339902946781316172122[[#This Row],[113]]*Таблица21339902946781316172122[[#This Row],[15]]</f>
        <v>22982400</v>
      </c>
      <c r="N34" s="123">
        <v>2200000</v>
      </c>
    </row>
    <row r="35" spans="1:14" x14ac:dyDescent="0.3">
      <c r="A35" s="106">
        <v>2</v>
      </c>
      <c r="B35" s="107">
        <v>46216</v>
      </c>
      <c r="C35" s="18">
        <v>100000000</v>
      </c>
      <c r="D35" s="62" t="s">
        <v>128</v>
      </c>
      <c r="E35" s="18"/>
      <c r="F35" s="11">
        <f>Таблица21339902946781316172122[[#This Row],[ ]]</f>
        <v>2</v>
      </c>
      <c r="G35" s="107">
        <v>46216</v>
      </c>
      <c r="H35" s="63" t="s">
        <v>130</v>
      </c>
      <c r="I35" s="63" t="s">
        <v>46</v>
      </c>
      <c r="J35" s="63">
        <v>32.832000000000001</v>
      </c>
      <c r="K35" s="18">
        <v>19</v>
      </c>
      <c r="L35" s="51">
        <v>700000</v>
      </c>
      <c r="M35" s="18">
        <f>Таблица21339902946781316172122[[#This Row],[113]]*Таблица21339902946781316172122[[#This Row],[15]]</f>
        <v>22982400</v>
      </c>
      <c r="N35" s="51">
        <v>2200000</v>
      </c>
    </row>
    <row r="36" spans="1:14" x14ac:dyDescent="0.3">
      <c r="A36" s="106">
        <v>3</v>
      </c>
      <c r="B36" s="110">
        <v>46226</v>
      </c>
      <c r="C36" s="18">
        <v>2500000</v>
      </c>
      <c r="D36" s="62" t="s">
        <v>201</v>
      </c>
      <c r="E36" s="18"/>
      <c r="F36" s="11">
        <f>Таблица21339902946781316172122[[#This Row],[ ]]</f>
        <v>3</v>
      </c>
      <c r="G36" s="107">
        <v>46226</v>
      </c>
      <c r="H36" s="63" t="s">
        <v>297</v>
      </c>
      <c r="I36" s="63" t="s">
        <v>46</v>
      </c>
      <c r="J36" s="63">
        <v>32.832000000000001</v>
      </c>
      <c r="K36" s="18">
        <v>19</v>
      </c>
      <c r="L36" s="51">
        <v>700000</v>
      </c>
      <c r="M36" s="18">
        <f>Таблица21339902946781316172122[[#This Row],[113]]*Таблица21339902946781316172122[[#This Row],[15]]</f>
        <v>22982400</v>
      </c>
      <c r="N36" s="51"/>
    </row>
    <row r="37" spans="1:14" x14ac:dyDescent="0.3">
      <c r="A37" s="111"/>
      <c r="B37" s="12"/>
      <c r="C37" s="18">
        <f>SUBTOTAL(109,Таблица21339902946781316172122[2])</f>
        <v>106900000</v>
      </c>
      <c r="D37" s="18"/>
      <c r="E37" s="112"/>
      <c r="F37" s="71"/>
      <c r="G37" s="113"/>
      <c r="H37" s="70"/>
      <c r="I37" s="70"/>
      <c r="J37" s="70"/>
      <c r="K37" s="70">
        <f>SUBTOTAL(109,Таблица21339902946781316172122[1132])</f>
        <v>57</v>
      </c>
      <c r="L37" s="114"/>
      <c r="M37" s="114">
        <f>SUBTOTAL(109,Таблица21339902946781316172122[16])</f>
        <v>68947200</v>
      </c>
      <c r="N37" s="70"/>
    </row>
    <row r="39" spans="1:14" ht="18.5" x14ac:dyDescent="0.45">
      <c r="A39" s="90"/>
      <c r="B39" s="91"/>
      <c r="C39" s="92" t="s">
        <v>174</v>
      </c>
      <c r="D39" s="127" t="s">
        <v>291</v>
      </c>
      <c r="E39" s="94"/>
    </row>
    <row r="40" spans="1:14" ht="20" x14ac:dyDescent="0.3">
      <c r="A40" s="224" t="s">
        <v>166</v>
      </c>
      <c r="B40" s="224"/>
      <c r="C40" s="225"/>
      <c r="D40" s="225"/>
      <c r="E40" s="95"/>
      <c r="F40" s="226">
        <f>Таблица213399029467813161721222324[[#Totals],[2]]+-Таблица213399029467813161721222324[[#Totals],[16]]</f>
        <v>0</v>
      </c>
      <c r="G40" s="227"/>
      <c r="K40" s="103">
        <f>Таблица213399029467813161721222324[[#Totals],[1132]]</f>
        <v>28</v>
      </c>
    </row>
    <row r="41" spans="1:14" x14ac:dyDescent="0.3">
      <c r="A41" s="228" t="s">
        <v>167</v>
      </c>
      <c r="B41" s="228" t="s">
        <v>168</v>
      </c>
      <c r="C41" s="116" t="s">
        <v>169</v>
      </c>
      <c r="D41" s="116" t="s">
        <v>189</v>
      </c>
      <c r="E41" s="229" t="s">
        <v>171</v>
      </c>
      <c r="F41" s="231" t="s">
        <v>167</v>
      </c>
      <c r="G41" s="231" t="s">
        <v>168</v>
      </c>
      <c r="H41" s="231" t="s">
        <v>172</v>
      </c>
      <c r="I41" s="222" t="s">
        <v>6</v>
      </c>
      <c r="J41" s="233" t="s">
        <v>7</v>
      </c>
      <c r="K41" s="233" t="s">
        <v>173</v>
      </c>
      <c r="L41" s="231" t="s">
        <v>190</v>
      </c>
      <c r="M41" s="222" t="s">
        <v>169</v>
      </c>
    </row>
    <row r="42" spans="1:14" x14ac:dyDescent="0.3">
      <c r="A42" s="228"/>
      <c r="B42" s="228"/>
      <c r="C42" s="98"/>
      <c r="D42" s="99"/>
      <c r="E42" s="230"/>
      <c r="F42" s="231"/>
      <c r="G42" s="231"/>
      <c r="H42" s="231"/>
      <c r="I42" s="232"/>
      <c r="J42" s="234"/>
      <c r="K42" s="235"/>
      <c r="L42" s="231"/>
      <c r="M42" s="223"/>
    </row>
    <row r="43" spans="1:14" ht="15.5" x14ac:dyDescent="0.3">
      <c r="A43" s="228"/>
      <c r="B43" s="228"/>
      <c r="C43" s="117">
        <f>Таблица213399029467813161721222324[[#Totals],[2]]</f>
        <v>33868800</v>
      </c>
      <c r="D43" s="101"/>
      <c r="E43" s="102">
        <f>SUM(Таблица213399029467813161721222324[4])</f>
        <v>0</v>
      </c>
      <c r="F43" s="231"/>
      <c r="G43" s="231"/>
      <c r="H43" s="231"/>
      <c r="I43" s="223"/>
      <c r="J43" s="128">
        <f>SUM(Таблица213399029467813161721222324[113])</f>
        <v>48.384</v>
      </c>
      <c r="K43" s="103">
        <f>Таблица213399029467813161721222324[[#Totals],[1132]]</f>
        <v>28</v>
      </c>
      <c r="L43" s="231"/>
      <c r="M43" s="118">
        <f>Таблица213399029467813161721222324[[#Totals],[16]]</f>
        <v>33868800</v>
      </c>
    </row>
    <row r="44" spans="1:14" x14ac:dyDescent="0.3">
      <c r="A44" s="104" t="s">
        <v>174</v>
      </c>
      <c r="B44" s="105" t="s">
        <v>175</v>
      </c>
      <c r="C44" s="105" t="s">
        <v>176</v>
      </c>
      <c r="D44" s="105" t="s">
        <v>177</v>
      </c>
      <c r="E44" s="105" t="s">
        <v>178</v>
      </c>
      <c r="F44" s="105" t="s">
        <v>179</v>
      </c>
      <c r="G44" s="105" t="s">
        <v>180</v>
      </c>
      <c r="H44" s="105" t="s">
        <v>181</v>
      </c>
      <c r="I44" s="105" t="s">
        <v>182</v>
      </c>
      <c r="J44" s="105" t="s">
        <v>183</v>
      </c>
      <c r="K44" s="105" t="s">
        <v>184</v>
      </c>
      <c r="L44" s="105" t="s">
        <v>185</v>
      </c>
      <c r="M44" s="105" t="s">
        <v>186</v>
      </c>
    </row>
    <row r="45" spans="1:14" ht="15.5" x14ac:dyDescent="0.3">
      <c r="A45" s="106">
        <v>1</v>
      </c>
      <c r="B45" s="107">
        <v>46216</v>
      </c>
      <c r="C45" s="108">
        <v>2254000</v>
      </c>
      <c r="D45" s="62" t="s">
        <v>201</v>
      </c>
      <c r="E45" s="18"/>
      <c r="F45" s="11">
        <f>Таблица213399029467813161721222324[[#This Row],[ ]]</f>
        <v>1</v>
      </c>
      <c r="G45" s="62">
        <v>46216</v>
      </c>
      <c r="H45" s="120" t="s">
        <v>140</v>
      </c>
      <c r="I45" s="121" t="s">
        <v>26</v>
      </c>
      <c r="J45" s="122">
        <v>25.919999999999998</v>
      </c>
      <c r="K45" s="123">
        <v>15</v>
      </c>
      <c r="L45" s="11">
        <v>700000</v>
      </c>
      <c r="M45" s="18">
        <f>Таблица213399029467813161721222324[[#This Row],[113]]*Таблица213399029467813161721222324[[#This Row],[15]]</f>
        <v>18144000</v>
      </c>
    </row>
    <row r="46" spans="1:14" x14ac:dyDescent="0.3">
      <c r="A46" s="106">
        <v>2</v>
      </c>
      <c r="B46" s="107">
        <v>46217</v>
      </c>
      <c r="C46" s="18">
        <v>15890000</v>
      </c>
      <c r="D46" s="62" t="s">
        <v>254</v>
      </c>
      <c r="E46" s="18"/>
      <c r="F46" s="11">
        <f>Таблица213399029467813161721222324[[#This Row],[ ]]</f>
        <v>2</v>
      </c>
      <c r="G46" s="107">
        <v>46223</v>
      </c>
      <c r="H46" s="63" t="s">
        <v>138</v>
      </c>
      <c r="I46" s="121" t="s">
        <v>26</v>
      </c>
      <c r="J46" s="63">
        <v>22.463999999999999</v>
      </c>
      <c r="K46" s="18">
        <v>13</v>
      </c>
      <c r="L46" s="51">
        <v>700000</v>
      </c>
      <c r="M46" s="18">
        <f>Таблица213399029467813161721222324[[#This Row],[113]]*Таблица213399029467813161721222324[[#This Row],[15]]</f>
        <v>15724799.999999998</v>
      </c>
    </row>
    <row r="47" spans="1:14" x14ac:dyDescent="0.3">
      <c r="A47" s="106">
        <v>3</v>
      </c>
      <c r="B47" s="110">
        <v>46223</v>
      </c>
      <c r="C47" s="18">
        <v>1700000</v>
      </c>
      <c r="D47" s="62" t="s">
        <v>201</v>
      </c>
      <c r="E47" s="18"/>
      <c r="F47" s="11">
        <f>Таблица213399029467813161721222324[[#This Row],[ ]]</f>
        <v>3</v>
      </c>
      <c r="G47" s="107"/>
      <c r="H47" s="63"/>
      <c r="I47" s="63"/>
      <c r="J47" s="63"/>
      <c r="K47" s="18"/>
      <c r="L47" s="51"/>
      <c r="M47" s="18">
        <f>Таблица213399029467813161721222324[[#This Row],[113]]*Таблица213399029467813161721222324[[#This Row],[15]]</f>
        <v>0</v>
      </c>
    </row>
    <row r="48" spans="1:14" x14ac:dyDescent="0.3">
      <c r="A48" s="129">
        <v>4</v>
      </c>
      <c r="B48" s="110">
        <v>46223</v>
      </c>
      <c r="C48" s="18">
        <v>14024800</v>
      </c>
      <c r="D48" s="62" t="s">
        <v>254</v>
      </c>
      <c r="E48" s="112"/>
      <c r="F48" s="70">
        <f>Таблица213399029467813161721222324[[#This Row],[ ]]</f>
        <v>4</v>
      </c>
      <c r="G48" s="131"/>
      <c r="H48" s="132"/>
      <c r="I48" s="132"/>
      <c r="J48" s="132"/>
      <c r="K48" s="77"/>
      <c r="L48" s="133"/>
      <c r="M48" s="77">
        <f>Таблица213399029467813161721222324[[#This Row],[113]]*Таблица213399029467813161721222324[[#This Row],[15]]</f>
        <v>0</v>
      </c>
    </row>
    <row r="49" spans="1:15" x14ac:dyDescent="0.3">
      <c r="A49" s="111"/>
      <c r="B49" s="12"/>
      <c r="C49" s="18">
        <f>SUBTOTAL(109,Таблица213399029467813161721222324[2])</f>
        <v>33868800</v>
      </c>
      <c r="D49" s="18"/>
      <c r="E49" s="112"/>
      <c r="F49" s="71"/>
      <c r="G49" s="113"/>
      <c r="H49" s="70"/>
      <c r="I49" s="70"/>
      <c r="J49" s="70"/>
      <c r="K49" s="70">
        <f>SUBTOTAL(109,Таблица213399029467813161721222324[1132])</f>
        <v>28</v>
      </c>
      <c r="L49" s="114"/>
      <c r="M49" s="114">
        <f>SUBTOTAL(109,Таблица213399029467813161721222324[16])</f>
        <v>33868800</v>
      </c>
    </row>
    <row r="51" spans="1:15" ht="18.5" x14ac:dyDescent="0.45">
      <c r="A51" s="90"/>
      <c r="B51" s="91"/>
      <c r="C51" s="92" t="s">
        <v>174</v>
      </c>
      <c r="D51" s="127" t="s">
        <v>255</v>
      </c>
      <c r="E51" s="94"/>
    </row>
    <row r="52" spans="1:15" ht="20" x14ac:dyDescent="0.3">
      <c r="A52" s="224" t="s">
        <v>166</v>
      </c>
      <c r="B52" s="224"/>
      <c r="C52" s="225"/>
      <c r="D52" s="225"/>
      <c r="E52" s="95"/>
      <c r="F52" s="226">
        <f>Таблица21339902946781316172122232425[[#Totals],[2]]+-Таблица21339902946781316172122232425[[#Totals],[16]]</f>
        <v>-91929600</v>
      </c>
      <c r="G52" s="227"/>
      <c r="K52" s="103">
        <f>K55</f>
        <v>76</v>
      </c>
    </row>
    <row r="53" spans="1:15" x14ac:dyDescent="0.3">
      <c r="A53" s="228" t="s">
        <v>167</v>
      </c>
      <c r="B53" s="228" t="s">
        <v>168</v>
      </c>
      <c r="C53" s="116" t="s">
        <v>169</v>
      </c>
      <c r="D53" s="116" t="s">
        <v>189</v>
      </c>
      <c r="E53" s="229" t="s">
        <v>171</v>
      </c>
      <c r="F53" s="231" t="s">
        <v>167</v>
      </c>
      <c r="G53" s="231" t="s">
        <v>168</v>
      </c>
      <c r="H53" s="231" t="s">
        <v>172</v>
      </c>
      <c r="I53" s="222" t="s">
        <v>6</v>
      </c>
      <c r="J53" s="233" t="s">
        <v>7</v>
      </c>
      <c r="K53" s="233" t="s">
        <v>173</v>
      </c>
      <c r="L53" s="231" t="s">
        <v>190</v>
      </c>
      <c r="M53" s="222" t="s">
        <v>169</v>
      </c>
    </row>
    <row r="54" spans="1:15" x14ac:dyDescent="0.3">
      <c r="A54" s="228"/>
      <c r="B54" s="228"/>
      <c r="C54" s="98"/>
      <c r="D54" s="99"/>
      <c r="E54" s="230"/>
      <c r="F54" s="231"/>
      <c r="G54" s="231"/>
      <c r="H54" s="231"/>
      <c r="I54" s="232"/>
      <c r="J54" s="234"/>
      <c r="K54" s="235"/>
      <c r="L54" s="231"/>
      <c r="M54" s="223"/>
    </row>
    <row r="55" spans="1:15" ht="15.5" x14ac:dyDescent="0.3">
      <c r="A55" s="228"/>
      <c r="B55" s="228"/>
      <c r="C55" s="117">
        <f>Таблица21339902946781316172122232425[[#Totals],[2]]</f>
        <v>0</v>
      </c>
      <c r="D55" s="101"/>
      <c r="E55" s="102">
        <f>SUM(Таблица21339902946781316172122232425[4])</f>
        <v>0</v>
      </c>
      <c r="F55" s="231"/>
      <c r="G55" s="231"/>
      <c r="H55" s="231"/>
      <c r="I55" s="223"/>
      <c r="J55" s="128">
        <f>SUM(Таблица21339902946781316172122232425[113])</f>
        <v>131.328</v>
      </c>
      <c r="K55" s="103">
        <f>Таблица21339902946781316172122232425[[#Totals],[1132]]</f>
        <v>76</v>
      </c>
      <c r="L55" s="231"/>
      <c r="M55" s="118">
        <f>Таблица21339902946781316172122232425[[#Totals],[16]]</f>
        <v>91929600</v>
      </c>
    </row>
    <row r="56" spans="1:15" x14ac:dyDescent="0.3">
      <c r="A56" s="104" t="s">
        <v>174</v>
      </c>
      <c r="B56" s="105" t="s">
        <v>175</v>
      </c>
      <c r="C56" s="105" t="s">
        <v>176</v>
      </c>
      <c r="D56" s="105" t="s">
        <v>177</v>
      </c>
      <c r="E56" s="105" t="s">
        <v>178</v>
      </c>
      <c r="F56" s="105" t="s">
        <v>179</v>
      </c>
      <c r="G56" s="105" t="s">
        <v>180</v>
      </c>
      <c r="H56" s="105" t="s">
        <v>181</v>
      </c>
      <c r="I56" s="105" t="s">
        <v>182</v>
      </c>
      <c r="J56" s="105" t="s">
        <v>183</v>
      </c>
      <c r="K56" s="105" t="s">
        <v>184</v>
      </c>
      <c r="L56" s="105" t="s">
        <v>185</v>
      </c>
      <c r="M56" s="105" t="s">
        <v>186</v>
      </c>
      <c r="N56" s="149" t="s">
        <v>222</v>
      </c>
      <c r="O56" s="149" t="s">
        <v>256</v>
      </c>
    </row>
    <row r="57" spans="1:15" ht="15.5" x14ac:dyDescent="0.3">
      <c r="A57" s="106">
        <v>1</v>
      </c>
      <c r="B57" s="107"/>
      <c r="C57" s="108"/>
      <c r="D57" s="62"/>
      <c r="E57" s="18"/>
      <c r="F57" s="11">
        <f>Таблица21339902946781316172122232425[[#This Row],[ ]]</f>
        <v>1</v>
      </c>
      <c r="G57" s="62">
        <v>46217</v>
      </c>
      <c r="H57" s="120" t="s">
        <v>144</v>
      </c>
      <c r="I57" s="121" t="s">
        <v>257</v>
      </c>
      <c r="J57" s="122">
        <v>32.832000000000001</v>
      </c>
      <c r="K57" s="123">
        <v>19</v>
      </c>
      <c r="L57" s="11">
        <v>700000</v>
      </c>
      <c r="M57" s="18">
        <f>Таблица21339902946781316172122232425[[#This Row],[113]]*Таблица21339902946781316172122232425[[#This Row],[15]]</f>
        <v>22982400</v>
      </c>
      <c r="N57" s="123">
        <v>2500000</v>
      </c>
      <c r="O57" s="123" t="s">
        <v>258</v>
      </c>
    </row>
    <row r="58" spans="1:15" x14ac:dyDescent="0.3">
      <c r="A58" s="106">
        <v>2</v>
      </c>
      <c r="B58" s="107"/>
      <c r="C58" s="18"/>
      <c r="D58" s="62"/>
      <c r="E58" s="18"/>
      <c r="F58" s="11">
        <f>Таблица21339902946781316172122232425[[#This Row],[ ]]</f>
        <v>2</v>
      </c>
      <c r="G58" s="107">
        <v>46217</v>
      </c>
      <c r="H58" s="63" t="s">
        <v>146</v>
      </c>
      <c r="I58" s="63" t="s">
        <v>257</v>
      </c>
      <c r="J58" s="63">
        <v>32.832000000000001</v>
      </c>
      <c r="K58" s="18">
        <v>19</v>
      </c>
      <c r="L58" s="51">
        <v>700000</v>
      </c>
      <c r="M58" s="18">
        <f>Таблица21339902946781316172122232425[[#This Row],[113]]*Таблица21339902946781316172122232425[[#This Row],[15]]</f>
        <v>22982400</v>
      </c>
      <c r="N58" s="123">
        <v>2500000</v>
      </c>
      <c r="O58" s="123" t="s">
        <v>258</v>
      </c>
    </row>
    <row r="59" spans="1:15" x14ac:dyDescent="0.3">
      <c r="A59" s="106">
        <v>3</v>
      </c>
      <c r="B59" s="110"/>
      <c r="C59" s="18"/>
      <c r="D59" s="62"/>
      <c r="E59" s="18"/>
      <c r="F59" s="11">
        <f>Таблица21339902946781316172122232425[[#This Row],[ ]]</f>
        <v>3</v>
      </c>
      <c r="G59" s="107">
        <v>46217</v>
      </c>
      <c r="H59" s="63" t="s">
        <v>149</v>
      </c>
      <c r="I59" s="63" t="s">
        <v>257</v>
      </c>
      <c r="J59" s="63">
        <v>32.832000000000001</v>
      </c>
      <c r="K59" s="18">
        <v>19</v>
      </c>
      <c r="L59" s="51">
        <v>700000</v>
      </c>
      <c r="M59" s="18">
        <f>Таблица21339902946781316172122232425[[#This Row],[113]]*Таблица21339902946781316172122232425[[#This Row],[15]]</f>
        <v>22982400</v>
      </c>
      <c r="N59" s="123">
        <v>2500000</v>
      </c>
      <c r="O59" s="123" t="s">
        <v>258</v>
      </c>
    </row>
    <row r="60" spans="1:15" x14ac:dyDescent="0.3">
      <c r="A60" s="106">
        <v>4</v>
      </c>
      <c r="B60" s="110"/>
      <c r="C60" s="18"/>
      <c r="D60" s="62"/>
      <c r="E60" s="18"/>
      <c r="F60" s="11">
        <f>Таблица21339902946781316172122232425[[#This Row],[ ]]</f>
        <v>4</v>
      </c>
      <c r="G60" s="107">
        <v>46218</v>
      </c>
      <c r="H60" s="63" t="s">
        <v>138</v>
      </c>
      <c r="I60" s="63" t="s">
        <v>257</v>
      </c>
      <c r="J60" s="63">
        <v>32.832000000000001</v>
      </c>
      <c r="K60" s="18">
        <v>19</v>
      </c>
      <c r="L60" s="51">
        <v>700000</v>
      </c>
      <c r="M60" s="18">
        <f>Таблица21339902946781316172122232425[[#This Row],[113]]*Таблица21339902946781316172122232425[[#This Row],[15]]</f>
        <v>22982400</v>
      </c>
      <c r="N60" s="123">
        <v>2500000</v>
      </c>
      <c r="O60" s="123" t="s">
        <v>258</v>
      </c>
    </row>
    <row r="61" spans="1:15" x14ac:dyDescent="0.3">
      <c r="A61" s="106">
        <v>5</v>
      </c>
      <c r="B61" s="110"/>
      <c r="C61" s="18"/>
      <c r="D61" s="62"/>
      <c r="E61" s="18"/>
      <c r="F61" s="11">
        <f>Таблица21339902946781316172122232425[[#This Row],[ ]]</f>
        <v>5</v>
      </c>
      <c r="G61" s="107"/>
      <c r="H61" s="63"/>
      <c r="I61" s="63"/>
      <c r="J61" s="63"/>
      <c r="K61" s="18"/>
      <c r="L61" s="51"/>
      <c r="M61" s="18">
        <f>Таблица21339902946781316172122232425[[#This Row],[113]]*Таблица21339902946781316172122232425[[#This Row],[15]]</f>
        <v>0</v>
      </c>
      <c r="N61" s="51"/>
      <c r="O61" s="51"/>
    </row>
    <row r="62" spans="1:15" x14ac:dyDescent="0.3">
      <c r="A62" s="111"/>
      <c r="B62" s="12"/>
      <c r="C62" s="18">
        <f>SUBTOTAL(109,Таблица21339902946781316172122232425[2])</f>
        <v>0</v>
      </c>
      <c r="D62" s="18"/>
      <c r="E62" s="112"/>
      <c r="F62" s="71"/>
      <c r="G62" s="113"/>
      <c r="H62" s="70"/>
      <c r="I62" s="70"/>
      <c r="J62" s="70"/>
      <c r="K62" s="70">
        <f>SUBTOTAL(109,Таблица21339902946781316172122232425[1132])</f>
        <v>76</v>
      </c>
      <c r="L62" s="114"/>
      <c r="M62" s="114">
        <f>SUBTOTAL(109,Таблица21339902946781316172122232425[16])</f>
        <v>91929600</v>
      </c>
      <c r="N62" s="70"/>
      <c r="O62" s="70"/>
    </row>
    <row r="64" spans="1:15" ht="18.5" x14ac:dyDescent="0.45">
      <c r="A64" s="90"/>
      <c r="B64" s="91"/>
      <c r="C64" s="92" t="s">
        <v>174</v>
      </c>
      <c r="D64" s="127" t="s">
        <v>259</v>
      </c>
      <c r="E64" s="94"/>
    </row>
    <row r="65" spans="1:13" ht="20" x14ac:dyDescent="0.3">
      <c r="A65" s="224" t="s">
        <v>166</v>
      </c>
      <c r="B65" s="224"/>
      <c r="C65" s="225"/>
      <c r="D65" s="225"/>
      <c r="E65" s="95"/>
      <c r="F65" s="226">
        <f>Таблица2133990294678131617212223242530[[#Totals],[2]]+-Таблица2133990294678131617212223242530[[#Totals],[16]]</f>
        <v>400</v>
      </c>
      <c r="G65" s="227"/>
      <c r="K65" s="103">
        <f>K68</f>
        <v>76</v>
      </c>
    </row>
    <row r="66" spans="1:13" x14ac:dyDescent="0.3">
      <c r="A66" s="228" t="s">
        <v>167</v>
      </c>
      <c r="B66" s="228" t="s">
        <v>168</v>
      </c>
      <c r="C66" s="116" t="s">
        <v>169</v>
      </c>
      <c r="D66" s="116" t="s">
        <v>189</v>
      </c>
      <c r="E66" s="229" t="s">
        <v>171</v>
      </c>
      <c r="F66" s="231" t="s">
        <v>167</v>
      </c>
      <c r="G66" s="231" t="s">
        <v>168</v>
      </c>
      <c r="H66" s="231" t="s">
        <v>172</v>
      </c>
      <c r="I66" s="222" t="s">
        <v>6</v>
      </c>
      <c r="J66" s="233" t="s">
        <v>7</v>
      </c>
      <c r="K66" s="233" t="s">
        <v>173</v>
      </c>
      <c r="L66" s="231" t="s">
        <v>190</v>
      </c>
      <c r="M66" s="222" t="s">
        <v>169</v>
      </c>
    </row>
    <row r="67" spans="1:13" x14ac:dyDescent="0.3">
      <c r="A67" s="228"/>
      <c r="B67" s="228"/>
      <c r="C67" s="98"/>
      <c r="D67" s="99"/>
      <c r="E67" s="230"/>
      <c r="F67" s="231"/>
      <c r="G67" s="231"/>
      <c r="H67" s="231"/>
      <c r="I67" s="232"/>
      <c r="J67" s="234"/>
      <c r="K67" s="235"/>
      <c r="L67" s="231"/>
      <c r="M67" s="223"/>
    </row>
    <row r="68" spans="1:13" ht="15.5" x14ac:dyDescent="0.3">
      <c r="A68" s="228"/>
      <c r="B68" s="228"/>
      <c r="C68" s="117">
        <f>Таблица2133990294678131617212223242530[[#Totals],[2]]</f>
        <v>91930000</v>
      </c>
      <c r="D68" s="101"/>
      <c r="E68" s="102">
        <f>SUM(Таблица2133990294678131617212223242530[4])</f>
        <v>0</v>
      </c>
      <c r="F68" s="231"/>
      <c r="G68" s="231"/>
      <c r="H68" s="231"/>
      <c r="I68" s="223"/>
      <c r="J68" s="128">
        <f>SUM(Таблица2133990294678131617212223242530[113])</f>
        <v>131.328</v>
      </c>
      <c r="K68" s="103">
        <f>Таблица2133990294678131617212223242530[[#Totals],[1132]]</f>
        <v>76</v>
      </c>
      <c r="L68" s="231"/>
      <c r="M68" s="118">
        <f>Таблица2133990294678131617212223242530[[#Totals],[16]]</f>
        <v>91929600</v>
      </c>
    </row>
    <row r="69" spans="1:13" x14ac:dyDescent="0.3">
      <c r="A69" s="104" t="s">
        <v>174</v>
      </c>
      <c r="B69" s="105" t="s">
        <v>175</v>
      </c>
      <c r="C69" s="105" t="s">
        <v>176</v>
      </c>
      <c r="D69" s="105" t="s">
        <v>177</v>
      </c>
      <c r="E69" s="105" t="s">
        <v>178</v>
      </c>
      <c r="F69" s="105" t="s">
        <v>179</v>
      </c>
      <c r="G69" s="105" t="s">
        <v>180</v>
      </c>
      <c r="H69" s="105" t="s">
        <v>181</v>
      </c>
      <c r="I69" s="105" t="s">
        <v>182</v>
      </c>
      <c r="J69" s="105" t="s">
        <v>183</v>
      </c>
      <c r="K69" s="105" t="s">
        <v>184</v>
      </c>
      <c r="L69" s="105" t="s">
        <v>185</v>
      </c>
      <c r="M69" s="105" t="s">
        <v>186</v>
      </c>
    </row>
    <row r="70" spans="1:13" ht="15.5" x14ac:dyDescent="0.3">
      <c r="A70" s="106">
        <v>1</v>
      </c>
      <c r="B70" s="107">
        <v>46217</v>
      </c>
      <c r="C70" s="108">
        <v>5000000</v>
      </c>
      <c r="D70" s="62" t="s">
        <v>201</v>
      </c>
      <c r="E70" s="18"/>
      <c r="F70" s="11">
        <f>Таблица2133990294678131617212223242530[[#This Row],[ ]]</f>
        <v>1</v>
      </c>
      <c r="G70" s="62">
        <v>46217</v>
      </c>
      <c r="H70" s="120" t="s">
        <v>73</v>
      </c>
      <c r="I70" s="121" t="s">
        <v>257</v>
      </c>
      <c r="J70" s="122">
        <v>32.832000000000001</v>
      </c>
      <c r="K70" s="123">
        <v>19</v>
      </c>
      <c r="L70" s="11">
        <v>700000</v>
      </c>
      <c r="M70" s="18">
        <f>Таблица2133990294678131617212223242530[[#This Row],[113]]*Таблица2133990294678131617212223242530[[#This Row],[15]]</f>
        <v>22982400</v>
      </c>
    </row>
    <row r="71" spans="1:13" x14ac:dyDescent="0.3">
      <c r="A71" s="106">
        <v>2</v>
      </c>
      <c r="B71" s="107">
        <v>46217</v>
      </c>
      <c r="C71" s="18">
        <v>40965000</v>
      </c>
      <c r="D71" s="62" t="s">
        <v>260</v>
      </c>
      <c r="E71" s="18"/>
      <c r="F71" s="11">
        <f>Таблица2133990294678131617212223242530[[#This Row],[ ]]</f>
        <v>2</v>
      </c>
      <c r="G71" s="107">
        <v>46217</v>
      </c>
      <c r="H71" s="63" t="s">
        <v>148</v>
      </c>
      <c r="I71" s="63" t="s">
        <v>257</v>
      </c>
      <c r="J71" s="63">
        <v>32.832000000000001</v>
      </c>
      <c r="K71" s="18">
        <v>19</v>
      </c>
      <c r="L71" s="51">
        <v>700000</v>
      </c>
      <c r="M71" s="18">
        <f>Таблица2133990294678131617212223242530[[#This Row],[113]]*Таблица2133990294678131617212223242530[[#This Row],[15]]</f>
        <v>22982400</v>
      </c>
    </row>
    <row r="72" spans="1:13" x14ac:dyDescent="0.3">
      <c r="A72" s="106">
        <v>3</v>
      </c>
      <c r="B72" s="110">
        <v>46224</v>
      </c>
      <c r="C72" s="18">
        <v>40965000</v>
      </c>
      <c r="D72" s="62" t="s">
        <v>260</v>
      </c>
      <c r="E72" s="18"/>
      <c r="F72" s="11">
        <f>Таблица2133990294678131617212223242530[[#This Row],[ ]]</f>
        <v>3</v>
      </c>
      <c r="G72" s="107">
        <v>46224</v>
      </c>
      <c r="H72" s="63" t="s">
        <v>285</v>
      </c>
      <c r="I72" s="63" t="s">
        <v>104</v>
      </c>
      <c r="J72" s="63">
        <v>32.832000000000001</v>
      </c>
      <c r="K72" s="18">
        <v>19</v>
      </c>
      <c r="L72" s="51">
        <v>700000</v>
      </c>
      <c r="M72" s="18">
        <f>Таблица2133990294678131617212223242530[[#This Row],[113]]*Таблица2133990294678131617212223242530[[#This Row],[15]]</f>
        <v>22982400</v>
      </c>
    </row>
    <row r="73" spans="1:13" x14ac:dyDescent="0.3">
      <c r="A73" s="129">
        <v>4</v>
      </c>
      <c r="B73" s="110">
        <v>46224</v>
      </c>
      <c r="C73" s="18">
        <v>2500000</v>
      </c>
      <c r="D73" s="62" t="s">
        <v>201</v>
      </c>
      <c r="E73" s="112"/>
      <c r="F73" s="70">
        <f>Таблица2133990294678131617212223242530[[#This Row],[ ]]</f>
        <v>4</v>
      </c>
      <c r="G73" s="131">
        <v>46226</v>
      </c>
      <c r="H73" s="132" t="s">
        <v>298</v>
      </c>
      <c r="I73" s="63" t="s">
        <v>46</v>
      </c>
      <c r="J73" s="63">
        <v>32.832000000000001</v>
      </c>
      <c r="K73" s="18">
        <v>19</v>
      </c>
      <c r="L73" s="51">
        <v>700000</v>
      </c>
      <c r="M73" s="77">
        <f>Таблица2133990294678131617212223242530[[#This Row],[113]]*Таблица2133990294678131617212223242530[[#This Row],[15]]</f>
        <v>22982400</v>
      </c>
    </row>
    <row r="74" spans="1:13" x14ac:dyDescent="0.3">
      <c r="A74" s="129">
        <v>5</v>
      </c>
      <c r="B74" s="110">
        <v>46226</v>
      </c>
      <c r="C74" s="18">
        <v>2500000</v>
      </c>
      <c r="D74" s="62" t="s">
        <v>201</v>
      </c>
      <c r="E74" s="112"/>
      <c r="F74" s="70">
        <f>Таблица2133990294678131617212223242530[[#This Row],[ ]]</f>
        <v>5</v>
      </c>
      <c r="G74" s="131"/>
      <c r="H74" s="132"/>
      <c r="I74" s="132"/>
      <c r="J74" s="132"/>
      <c r="K74" s="77"/>
      <c r="L74" s="133"/>
      <c r="M74" s="77">
        <f>Таблица2133990294678131617212223242530[[#This Row],[113]]*Таблица2133990294678131617212223242530[[#This Row],[15]]</f>
        <v>0</v>
      </c>
    </row>
    <row r="75" spans="1:13" x14ac:dyDescent="0.3">
      <c r="A75" s="111"/>
      <c r="B75" s="12"/>
      <c r="C75" s="18">
        <f>SUBTOTAL(109,Таблица2133990294678131617212223242530[2])</f>
        <v>91930000</v>
      </c>
      <c r="D75" s="18"/>
      <c r="E75" s="112"/>
      <c r="F75" s="71"/>
      <c r="G75" s="113"/>
      <c r="H75" s="70"/>
      <c r="I75" s="70"/>
      <c r="J75" s="70"/>
      <c r="K75" s="70">
        <f>SUBTOTAL(109,Таблица2133990294678131617212223242530[1132])</f>
        <v>76</v>
      </c>
      <c r="L75" s="114"/>
      <c r="M75" s="114">
        <f>SUBTOTAL(109,Таблица2133990294678131617212223242530[16])</f>
        <v>91929600</v>
      </c>
    </row>
    <row r="77" spans="1:13" ht="18.5" x14ac:dyDescent="0.45">
      <c r="A77" s="90"/>
      <c r="B77" s="91"/>
      <c r="C77" s="92" t="s">
        <v>174</v>
      </c>
      <c r="D77" s="127" t="s">
        <v>261</v>
      </c>
      <c r="E77" s="94"/>
    </row>
    <row r="78" spans="1:13" ht="20" x14ac:dyDescent="0.3">
      <c r="A78" s="224" t="s">
        <v>166</v>
      </c>
      <c r="B78" s="224"/>
      <c r="C78" s="225"/>
      <c r="D78" s="225"/>
      <c r="E78" s="95"/>
      <c r="F78" s="226">
        <f>Таблица213399029467813161721222324253031[[#Totals],[2]]+-Таблица213399029467813161721222324253031[[#Totals],[16]]</f>
        <v>-16141600.016000003</v>
      </c>
      <c r="G78" s="227"/>
      <c r="K78" s="103">
        <f>K81</f>
        <v>46</v>
      </c>
    </row>
    <row r="79" spans="1:13" x14ac:dyDescent="0.3">
      <c r="A79" s="228" t="s">
        <v>167</v>
      </c>
      <c r="B79" s="228" t="s">
        <v>168</v>
      </c>
      <c r="C79" s="116" t="s">
        <v>169</v>
      </c>
      <c r="D79" s="116" t="s">
        <v>189</v>
      </c>
      <c r="E79" s="229" t="s">
        <v>171</v>
      </c>
      <c r="F79" s="231" t="s">
        <v>167</v>
      </c>
      <c r="G79" s="231" t="s">
        <v>168</v>
      </c>
      <c r="H79" s="231" t="s">
        <v>172</v>
      </c>
      <c r="I79" s="222" t="s">
        <v>6</v>
      </c>
      <c r="J79" s="233" t="s">
        <v>7</v>
      </c>
      <c r="K79" s="233" t="s">
        <v>173</v>
      </c>
      <c r="L79" s="231" t="s">
        <v>190</v>
      </c>
      <c r="M79" s="222" t="s">
        <v>169</v>
      </c>
    </row>
    <row r="80" spans="1:13" x14ac:dyDescent="0.3">
      <c r="A80" s="228"/>
      <c r="B80" s="228"/>
      <c r="C80" s="98"/>
      <c r="D80" s="99"/>
      <c r="E80" s="230"/>
      <c r="F80" s="231"/>
      <c r="G80" s="231"/>
      <c r="H80" s="231"/>
      <c r="I80" s="232"/>
      <c r="J80" s="234"/>
      <c r="K80" s="235"/>
      <c r="L80" s="231"/>
      <c r="M80" s="223"/>
    </row>
    <row r="81" spans="1:13" ht="15.5" x14ac:dyDescent="0.3">
      <c r="A81" s="228"/>
      <c r="B81" s="228"/>
      <c r="C81" s="117">
        <f>Таблица213399029467813161721222324253031[[#Totals],[2]]</f>
        <v>39700000</v>
      </c>
      <c r="D81" s="101"/>
      <c r="E81" s="102">
        <f>SUM(Таблица213399029467813161721222324253031[4])</f>
        <v>0</v>
      </c>
      <c r="F81" s="231"/>
      <c r="G81" s="231"/>
      <c r="H81" s="231"/>
      <c r="I81" s="223"/>
      <c r="J81" s="128">
        <f>SUM(Таблица213399029467813161721222324253031[113])</f>
        <v>79.488</v>
      </c>
      <c r="K81" s="103">
        <f>Таблица213399029467813161721222324253031[[#Totals],[1132]]</f>
        <v>46</v>
      </c>
      <c r="L81" s="231"/>
      <c r="M81" s="118">
        <f>Таблица213399029467813161721222324253031[[#Totals],[16]]</f>
        <v>55841600.016000003</v>
      </c>
    </row>
    <row r="82" spans="1:13" x14ac:dyDescent="0.3">
      <c r="A82" s="104" t="s">
        <v>174</v>
      </c>
      <c r="B82" s="105" t="s">
        <v>175</v>
      </c>
      <c r="C82" s="105" t="s">
        <v>176</v>
      </c>
      <c r="D82" s="105" t="s">
        <v>177</v>
      </c>
      <c r="E82" s="105" t="s">
        <v>178</v>
      </c>
      <c r="F82" s="105" t="s">
        <v>179</v>
      </c>
      <c r="G82" s="105" t="s">
        <v>180</v>
      </c>
      <c r="H82" s="105" t="s">
        <v>181</v>
      </c>
      <c r="I82" s="105" t="s">
        <v>182</v>
      </c>
      <c r="J82" s="105" t="s">
        <v>183</v>
      </c>
      <c r="K82" s="105" t="s">
        <v>184</v>
      </c>
      <c r="L82" s="105" t="s">
        <v>185</v>
      </c>
      <c r="M82" s="105" t="s">
        <v>186</v>
      </c>
    </row>
    <row r="83" spans="1:13" ht="15.5" x14ac:dyDescent="0.3">
      <c r="A83" s="106">
        <v>1</v>
      </c>
      <c r="B83" s="107">
        <v>46219</v>
      </c>
      <c r="C83" s="108">
        <v>2500000</v>
      </c>
      <c r="D83" s="62" t="s">
        <v>201</v>
      </c>
      <c r="E83" s="18"/>
      <c r="F83" s="11">
        <f>Таблица213399029467813161721222324253031[[#This Row],[ ]]</f>
        <v>1</v>
      </c>
      <c r="G83" s="62">
        <v>46219</v>
      </c>
      <c r="H83" s="120" t="s">
        <v>159</v>
      </c>
      <c r="I83" s="121" t="s">
        <v>257</v>
      </c>
      <c r="J83" s="122">
        <v>32.832000000000001</v>
      </c>
      <c r="K83" s="123">
        <v>19</v>
      </c>
      <c r="L83" s="11">
        <v>700000</v>
      </c>
      <c r="M83" s="18">
        <f>Таблица213399029467813161721222324253031[[#This Row],[113]]*Таблица213399029467813161721222324253031[[#This Row],[15]]</f>
        <v>22982400</v>
      </c>
    </row>
    <row r="84" spans="1:13" x14ac:dyDescent="0.3">
      <c r="A84" s="106">
        <v>2</v>
      </c>
      <c r="B84" s="110">
        <v>46219</v>
      </c>
      <c r="C84" s="18">
        <v>33750000</v>
      </c>
      <c r="D84" s="62" t="s">
        <v>262</v>
      </c>
      <c r="E84" s="18"/>
      <c r="F84" s="11">
        <f>Таблица213399029467813161721222324253031[[#This Row],[ ]]</f>
        <v>2</v>
      </c>
      <c r="G84" s="107">
        <v>46220</v>
      </c>
      <c r="H84" s="63" t="s">
        <v>266</v>
      </c>
      <c r="I84" s="63" t="s">
        <v>46</v>
      </c>
      <c r="J84" s="63">
        <v>20.736000000000001</v>
      </c>
      <c r="K84" s="18">
        <v>12</v>
      </c>
      <c r="L84" s="51">
        <v>700000</v>
      </c>
      <c r="M84" s="18">
        <f>Таблица213399029467813161721222324253031[[#This Row],[113]]*Таблица213399029467813161721222324253031[[#This Row],[15]]</f>
        <v>14515200</v>
      </c>
    </row>
    <row r="85" spans="1:13" x14ac:dyDescent="0.3">
      <c r="A85" s="106">
        <v>3</v>
      </c>
      <c r="B85" s="107">
        <v>46219</v>
      </c>
      <c r="C85" s="18">
        <v>1250000</v>
      </c>
      <c r="D85" s="62" t="s">
        <v>201</v>
      </c>
      <c r="E85" s="18"/>
      <c r="F85" s="11">
        <f>Таблица213399029467813161721222324253031[[#This Row],[ ]]</f>
        <v>3</v>
      </c>
      <c r="G85" s="107">
        <v>46224</v>
      </c>
      <c r="H85" s="63" t="s">
        <v>76</v>
      </c>
      <c r="I85" s="63" t="s">
        <v>104</v>
      </c>
      <c r="J85" s="63">
        <v>25.92</v>
      </c>
      <c r="K85" s="18">
        <v>15</v>
      </c>
      <c r="L85" s="51">
        <v>707716.05</v>
      </c>
      <c r="M85" s="18">
        <f>Таблица213399029467813161721222324253031[[#This Row],[113]]*Таблица213399029467813161721222324253031[[#This Row],[15]]</f>
        <v>18344000.016000003</v>
      </c>
    </row>
    <row r="86" spans="1:13" x14ac:dyDescent="0.3">
      <c r="A86" s="129">
        <v>4</v>
      </c>
      <c r="B86" s="107">
        <v>46224</v>
      </c>
      <c r="C86" s="18">
        <v>2200000</v>
      </c>
      <c r="D86" s="62" t="s">
        <v>201</v>
      </c>
      <c r="E86" s="112"/>
      <c r="F86" s="70">
        <f>Таблица213399029467813161721222324253031[[#This Row],[ ]]</f>
        <v>4</v>
      </c>
      <c r="G86" s="131"/>
      <c r="H86" s="132"/>
      <c r="I86" s="132"/>
      <c r="J86" s="132"/>
      <c r="K86" s="77"/>
      <c r="L86" s="133"/>
      <c r="M86" s="77">
        <f>Таблица213399029467813161721222324253031[[#This Row],[113]]*Таблица213399029467813161721222324253031[[#This Row],[15]]</f>
        <v>0</v>
      </c>
    </row>
    <row r="87" spans="1:13" x14ac:dyDescent="0.3">
      <c r="A87" s="111"/>
      <c r="B87" s="12"/>
      <c r="C87" s="18">
        <f>SUBTOTAL(109,Таблица213399029467813161721222324253031[2])</f>
        <v>39700000</v>
      </c>
      <c r="D87" s="18"/>
      <c r="E87" s="112"/>
      <c r="F87" s="71"/>
      <c r="G87" s="113"/>
      <c r="H87" s="70"/>
      <c r="I87" s="70"/>
      <c r="J87" s="70"/>
      <c r="K87" s="70">
        <f>SUBTOTAL(109,Таблица213399029467813161721222324253031[1132])</f>
        <v>46</v>
      </c>
      <c r="L87" s="114"/>
      <c r="M87" s="114">
        <f>SUBTOTAL(109,Таблица213399029467813161721222324253031[16])</f>
        <v>55841600.016000003</v>
      </c>
    </row>
  </sheetData>
  <mergeCells count="98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  <mergeCell ref="M16:M17"/>
    <mergeCell ref="A15:B15"/>
    <mergeCell ref="C15:D15"/>
    <mergeCell ref="F15:G15"/>
    <mergeCell ref="A16:A18"/>
    <mergeCell ref="B16:B18"/>
    <mergeCell ref="E16:E17"/>
    <mergeCell ref="F16:F18"/>
    <mergeCell ref="G16:G18"/>
    <mergeCell ref="H16:H18"/>
    <mergeCell ref="I16:I18"/>
    <mergeCell ref="J16:J17"/>
    <mergeCell ref="K16:K17"/>
    <mergeCell ref="L16:L18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30:H32"/>
    <mergeCell ref="I30:I32"/>
    <mergeCell ref="J30:J31"/>
    <mergeCell ref="K30:K31"/>
    <mergeCell ref="L30:L32"/>
    <mergeCell ref="M41:M42"/>
    <mergeCell ref="A40:B40"/>
    <mergeCell ref="C40:D40"/>
    <mergeCell ref="F40:G40"/>
    <mergeCell ref="A41:A43"/>
    <mergeCell ref="B41:B43"/>
    <mergeCell ref="E41:E42"/>
    <mergeCell ref="F41:F43"/>
    <mergeCell ref="G41:G43"/>
    <mergeCell ref="H41:H43"/>
    <mergeCell ref="I41:I43"/>
    <mergeCell ref="J41:J42"/>
    <mergeCell ref="K41:K42"/>
    <mergeCell ref="L41:L43"/>
    <mergeCell ref="M53:M54"/>
    <mergeCell ref="A52:B52"/>
    <mergeCell ref="C52:D52"/>
    <mergeCell ref="F52:G52"/>
    <mergeCell ref="A53:A55"/>
    <mergeCell ref="B53:B55"/>
    <mergeCell ref="E53:E54"/>
    <mergeCell ref="F53:F55"/>
    <mergeCell ref="G53:G55"/>
    <mergeCell ref="H53:H55"/>
    <mergeCell ref="I53:I55"/>
    <mergeCell ref="J53:J54"/>
    <mergeCell ref="K53:K54"/>
    <mergeCell ref="L53:L55"/>
    <mergeCell ref="M66:M67"/>
    <mergeCell ref="A65:B65"/>
    <mergeCell ref="C65:D65"/>
    <mergeCell ref="F65:G65"/>
    <mergeCell ref="A66:A68"/>
    <mergeCell ref="B66:B68"/>
    <mergeCell ref="E66:E67"/>
    <mergeCell ref="F66:F68"/>
    <mergeCell ref="G66:G68"/>
    <mergeCell ref="H66:H68"/>
    <mergeCell ref="I66:I68"/>
    <mergeCell ref="J66:J67"/>
    <mergeCell ref="K66:K67"/>
    <mergeCell ref="L66:L68"/>
    <mergeCell ref="M79:M80"/>
    <mergeCell ref="A78:B78"/>
    <mergeCell ref="C78:D78"/>
    <mergeCell ref="F78:G78"/>
    <mergeCell ref="A79:A81"/>
    <mergeCell ref="B79:B81"/>
    <mergeCell ref="E79:E80"/>
    <mergeCell ref="F79:F81"/>
    <mergeCell ref="G79:G81"/>
    <mergeCell ref="H79:H81"/>
    <mergeCell ref="I79:I81"/>
    <mergeCell ref="J79:J80"/>
    <mergeCell ref="K79:K80"/>
    <mergeCell ref="L79:L81"/>
  </mergeCells>
  <hyperlinks>
    <hyperlink ref="D1" location="'Свод Завод'!Y4" display="4-Рустам Шпик" xr:uid="{F3192E7D-2957-4946-8EFE-9DBDFC8D0BF5}"/>
    <hyperlink ref="D14" location="'Свод Завод'!A1" display="6-Отабек дамирчи" xr:uid="{16D93856-9C68-4131-BDF0-E1AB6567755A}"/>
    <hyperlink ref="D28" location="'Свод Завод'!A1" display="6-Мамун Университети" xr:uid="{3987E950-0023-41EA-BF87-3D9D4F154768}"/>
    <hyperlink ref="D39" location="'Свод Завод'!A1" display="6-накд клент" xr:uid="{5A314A27-E383-4F1A-BD27-7FBB5F106D0D}"/>
    <hyperlink ref="D51" location="'Свод Завод'!A1" display="6-Жамол 009" xr:uid="{1E44B97F-1B80-4C2D-AFD3-E1D0AF042DB5}"/>
    <hyperlink ref="D64" location="'Свод Завод'!A1" display="6-Сохил буйи Уткир ога" xr:uid="{20FEC978-E78B-4D9A-953D-38F2F0DF3ACB}"/>
    <hyperlink ref="D77" location="'Свод Завод'!A1" display="6-Фм хоус" xr:uid="{892823DF-40D6-44B7-A8E4-759221F5D167}"/>
  </hyperlink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111E8-CB10-4B66-875F-EC3056BC6A0D}">
  <dimension ref="A1:N88"/>
  <sheetViews>
    <sheetView workbookViewId="0">
      <selection activeCell="E9" sqref="E9"/>
    </sheetView>
  </sheetViews>
  <sheetFormatPr defaultColWidth="9.08984375" defaultRowHeight="14" x14ac:dyDescent="0.3"/>
  <cols>
    <col min="1" max="1" width="6.54296875" style="32" bestFit="1" customWidth="1"/>
    <col min="2" max="2" width="12.08984375" style="32" customWidth="1"/>
    <col min="3" max="3" width="14.08984375" style="32" bestFit="1" customWidth="1"/>
    <col min="4" max="4" width="37.36328125" style="32" bestFit="1" customWidth="1"/>
    <col min="5" max="5" width="20.453125" style="32" customWidth="1"/>
    <col min="6" max="6" width="7.6328125" style="32" bestFit="1" customWidth="1"/>
    <col min="7" max="7" width="11.54296875" style="32" bestFit="1" customWidth="1"/>
    <col min="8" max="8" width="21.6328125" style="32" bestFit="1" customWidth="1"/>
    <col min="9" max="9" width="13.453125" style="32" bestFit="1" customWidth="1"/>
    <col min="10" max="10" width="17.6328125" style="32" bestFit="1" customWidth="1"/>
    <col min="11" max="11" width="11.36328125" style="32" bestFit="1" customWidth="1"/>
    <col min="12" max="12" width="8.90625" style="32" bestFit="1" customWidth="1"/>
    <col min="13" max="13" width="14.08984375" style="32" bestFit="1" customWidth="1"/>
    <col min="14" max="14" width="10.08984375" style="32" bestFit="1" customWidth="1"/>
    <col min="15" max="16" width="9.08984375" style="32"/>
    <col min="17" max="17" width="11.08984375" style="32" bestFit="1" customWidth="1"/>
    <col min="18" max="16384" width="9.08984375" style="32"/>
  </cols>
  <sheetData>
    <row r="1" spans="1:14" ht="18" customHeight="1" x14ac:dyDescent="0.45">
      <c r="A1" s="90"/>
      <c r="B1" s="91"/>
      <c r="C1" s="92" t="s">
        <v>174</v>
      </c>
      <c r="D1" s="127" t="s">
        <v>237</v>
      </c>
      <c r="E1" s="94"/>
    </row>
    <row r="2" spans="1:14" ht="20" x14ac:dyDescent="0.3">
      <c r="A2" s="224" t="s">
        <v>166</v>
      </c>
      <c r="B2" s="224"/>
      <c r="C2" s="225"/>
      <c r="D2" s="225"/>
      <c r="E2" s="95"/>
      <c r="F2" s="226">
        <f>Таблица213399029467813[[#Totals],[2]]+-Таблица213399029467813[[#Totals],[16]]</f>
        <v>0</v>
      </c>
      <c r="G2" s="227"/>
      <c r="K2" s="103">
        <f>K5</f>
        <v>342</v>
      </c>
    </row>
    <row r="3" spans="1:14" ht="15" customHeight="1" x14ac:dyDescent="0.3">
      <c r="A3" s="228" t="s">
        <v>167</v>
      </c>
      <c r="B3" s="228" t="s">
        <v>168</v>
      </c>
      <c r="C3" s="116" t="s">
        <v>169</v>
      </c>
      <c r="D3" s="116" t="s">
        <v>189</v>
      </c>
      <c r="E3" s="229" t="s">
        <v>171</v>
      </c>
      <c r="F3" s="231" t="s">
        <v>167</v>
      </c>
      <c r="G3" s="231" t="s">
        <v>168</v>
      </c>
      <c r="H3" s="231" t="s">
        <v>172</v>
      </c>
      <c r="I3" s="222" t="s">
        <v>6</v>
      </c>
      <c r="J3" s="233" t="s">
        <v>7</v>
      </c>
      <c r="K3" s="233" t="s">
        <v>173</v>
      </c>
      <c r="L3" s="231" t="s">
        <v>190</v>
      </c>
      <c r="M3" s="222" t="s">
        <v>169</v>
      </c>
    </row>
    <row r="4" spans="1:14" x14ac:dyDescent="0.3">
      <c r="A4" s="228"/>
      <c r="B4" s="228"/>
      <c r="C4" s="98"/>
      <c r="D4" s="99"/>
      <c r="E4" s="230"/>
      <c r="F4" s="231"/>
      <c r="G4" s="231"/>
      <c r="H4" s="231"/>
      <c r="I4" s="232"/>
      <c r="J4" s="234"/>
      <c r="K4" s="235"/>
      <c r="L4" s="231"/>
      <c r="M4" s="223"/>
    </row>
    <row r="5" spans="1:14" ht="15.5" x14ac:dyDescent="0.3">
      <c r="A5" s="228"/>
      <c r="B5" s="228"/>
      <c r="C5" s="117">
        <f>Таблица213399029467813[[#Totals],[2]]</f>
        <v>413683200</v>
      </c>
      <c r="D5" s="101"/>
      <c r="E5" s="102">
        <f>SUM(Таблица213399029467813[4])</f>
        <v>0</v>
      </c>
      <c r="F5" s="231"/>
      <c r="G5" s="231"/>
      <c r="H5" s="231"/>
      <c r="I5" s="223"/>
      <c r="J5" s="128">
        <f>SUM(Таблица213399029467813[113])</f>
        <v>590.976</v>
      </c>
      <c r="K5" s="103">
        <f>Таблица213399029467813[[#Totals],[1132]]</f>
        <v>342</v>
      </c>
      <c r="L5" s="231"/>
      <c r="M5" s="118">
        <f>Таблица213399029467813[[#Totals],[16]]</f>
        <v>413683200</v>
      </c>
    </row>
    <row r="6" spans="1:14" x14ac:dyDescent="0.3">
      <c r="A6" s="104" t="s">
        <v>174</v>
      </c>
      <c r="B6" s="105" t="s">
        <v>175</v>
      </c>
      <c r="C6" s="105" t="s">
        <v>176</v>
      </c>
      <c r="D6" s="105" t="s">
        <v>177</v>
      </c>
      <c r="E6" s="105" t="s">
        <v>178</v>
      </c>
      <c r="F6" s="105" t="s">
        <v>179</v>
      </c>
      <c r="G6" s="105" t="s">
        <v>180</v>
      </c>
      <c r="H6" s="105" t="s">
        <v>181</v>
      </c>
      <c r="I6" s="105" t="s">
        <v>182</v>
      </c>
      <c r="J6" s="105" t="s">
        <v>183</v>
      </c>
      <c r="K6" s="105" t="s">
        <v>184</v>
      </c>
      <c r="L6" s="105" t="s">
        <v>185</v>
      </c>
      <c r="M6" s="105" t="s">
        <v>186</v>
      </c>
      <c r="N6" s="149" t="s">
        <v>222</v>
      </c>
    </row>
    <row r="7" spans="1:14" ht="15.5" x14ac:dyDescent="0.35">
      <c r="A7" s="106">
        <v>1</v>
      </c>
      <c r="B7" s="153">
        <v>46207</v>
      </c>
      <c r="C7" s="154">
        <v>62947200</v>
      </c>
      <c r="D7" s="62" t="s">
        <v>238</v>
      </c>
      <c r="E7" s="18"/>
      <c r="F7" s="11">
        <f>Таблица213399029467813[[#This Row],[ ]]</f>
        <v>1</v>
      </c>
      <c r="G7" s="109">
        <v>46206</v>
      </c>
      <c r="H7" s="155" t="s">
        <v>87</v>
      </c>
      <c r="I7" s="121" t="s">
        <v>26</v>
      </c>
      <c r="J7" s="122">
        <v>32.832000000000001</v>
      </c>
      <c r="K7" s="156">
        <v>19</v>
      </c>
      <c r="L7" s="157">
        <v>700000</v>
      </c>
      <c r="M7" s="158">
        <f>Таблица213399029467813[[#This Row],[113]]*Таблица213399029467813[[#This Row],[15]]</f>
        <v>22982400</v>
      </c>
      <c r="N7" s="156"/>
    </row>
    <row r="8" spans="1:14" x14ac:dyDescent="0.3">
      <c r="A8" s="106">
        <v>2</v>
      </c>
      <c r="B8" s="109">
        <v>46207</v>
      </c>
      <c r="C8" s="158">
        <v>6000000</v>
      </c>
      <c r="D8" s="62" t="s">
        <v>201</v>
      </c>
      <c r="E8" s="18"/>
      <c r="F8" s="11">
        <f>Таблица213399029467813[[#This Row],[ ]]</f>
        <v>2</v>
      </c>
      <c r="G8" s="153">
        <v>46206</v>
      </c>
      <c r="H8" s="159" t="s">
        <v>76</v>
      </c>
      <c r="I8" s="159" t="s">
        <v>26</v>
      </c>
      <c r="J8" s="159">
        <v>32.832000000000001</v>
      </c>
      <c r="K8" s="158">
        <v>19</v>
      </c>
      <c r="L8" s="160">
        <v>700000</v>
      </c>
      <c r="M8" s="158">
        <f>Таблица213399029467813[[#This Row],[113]]*Таблица213399029467813[[#This Row],[15]]</f>
        <v>22982400</v>
      </c>
      <c r="N8" s="160"/>
    </row>
    <row r="9" spans="1:14" x14ac:dyDescent="0.3">
      <c r="A9" s="106">
        <v>3</v>
      </c>
      <c r="B9" s="109">
        <v>46209</v>
      </c>
      <c r="C9" s="158">
        <v>2000000</v>
      </c>
      <c r="D9" s="62" t="s">
        <v>201</v>
      </c>
      <c r="E9" s="18"/>
      <c r="F9" s="11">
        <f>Таблица213399029467813[[#This Row],[ ]]</f>
        <v>3</v>
      </c>
      <c r="G9" s="153">
        <v>46206</v>
      </c>
      <c r="H9" s="159" t="s">
        <v>88</v>
      </c>
      <c r="I9" s="159" t="s">
        <v>46</v>
      </c>
      <c r="J9" s="159">
        <v>32.832000000000001</v>
      </c>
      <c r="K9" s="158">
        <v>19</v>
      </c>
      <c r="L9" s="160">
        <v>700000</v>
      </c>
      <c r="M9" s="158">
        <f>Таблица213399029467813[[#This Row],[113]]*Таблица213399029467813[[#This Row],[15]]</f>
        <v>22982400</v>
      </c>
      <c r="N9" s="160"/>
    </row>
    <row r="10" spans="1:14" ht="15.5" x14ac:dyDescent="0.35">
      <c r="A10" s="106">
        <v>4</v>
      </c>
      <c r="B10" s="153">
        <v>46209</v>
      </c>
      <c r="C10" s="154">
        <v>62947200</v>
      </c>
      <c r="D10" s="62" t="s">
        <v>238</v>
      </c>
      <c r="E10" s="18"/>
      <c r="F10" s="11">
        <f>Таблица213399029467813[[#This Row],[ ]]</f>
        <v>4</v>
      </c>
      <c r="G10" s="153">
        <v>46209</v>
      </c>
      <c r="H10" s="159" t="s">
        <v>96</v>
      </c>
      <c r="I10" s="159" t="s">
        <v>46</v>
      </c>
      <c r="J10" s="159">
        <v>32.832000000000001</v>
      </c>
      <c r="K10" s="158">
        <v>19</v>
      </c>
      <c r="L10" s="160">
        <v>700000</v>
      </c>
      <c r="M10" s="158">
        <f>Таблица213399029467813[[#This Row],[113]]*Таблица213399029467813[[#This Row],[15]]</f>
        <v>22982400</v>
      </c>
      <c r="N10" s="160"/>
    </row>
    <row r="11" spans="1:14" x14ac:dyDescent="0.3">
      <c r="A11" s="106">
        <v>5</v>
      </c>
      <c r="B11" s="109">
        <v>46209</v>
      </c>
      <c r="C11" s="158">
        <v>4000000</v>
      </c>
      <c r="D11" s="62" t="s">
        <v>201</v>
      </c>
      <c r="E11" s="18"/>
      <c r="F11" s="11">
        <f>Таблица213399029467813[[#This Row],[ ]]</f>
        <v>5</v>
      </c>
      <c r="G11" s="153">
        <v>46210</v>
      </c>
      <c r="H11" s="159" t="s">
        <v>97</v>
      </c>
      <c r="I11" s="159" t="s">
        <v>46</v>
      </c>
      <c r="J11" s="159">
        <v>32.832000000000001</v>
      </c>
      <c r="K11" s="158">
        <v>19</v>
      </c>
      <c r="L11" s="160">
        <v>700000</v>
      </c>
      <c r="M11" s="158">
        <f>Таблица213399029467813[[#This Row],[113]]*Таблица213399029467813[[#This Row],[15]]</f>
        <v>22982400</v>
      </c>
      <c r="N11" s="160"/>
    </row>
    <row r="12" spans="1:14" x14ac:dyDescent="0.3">
      <c r="A12" s="106">
        <v>6</v>
      </c>
      <c r="B12" s="109">
        <v>46216</v>
      </c>
      <c r="C12" s="158">
        <v>62347200</v>
      </c>
      <c r="D12" s="62" t="s">
        <v>238</v>
      </c>
      <c r="E12" s="18"/>
      <c r="F12" s="11">
        <f>Таблица213399029467813[[#This Row],[ ]]</f>
        <v>6</v>
      </c>
      <c r="G12" s="153">
        <v>46211</v>
      </c>
      <c r="H12" s="159" t="s">
        <v>108</v>
      </c>
      <c r="I12" s="159" t="s">
        <v>46</v>
      </c>
      <c r="J12" s="159">
        <v>32.832000000000001</v>
      </c>
      <c r="K12" s="158">
        <v>19</v>
      </c>
      <c r="L12" s="160">
        <v>700000</v>
      </c>
      <c r="M12" s="158">
        <f>Таблица213399029467813[[#This Row],[113]]*Таблица213399029467813[[#This Row],[15]]</f>
        <v>22982400</v>
      </c>
      <c r="N12" s="160"/>
    </row>
    <row r="13" spans="1:14" x14ac:dyDescent="0.3">
      <c r="A13" s="106">
        <v>7</v>
      </c>
      <c r="B13" s="109">
        <v>46216</v>
      </c>
      <c r="C13" s="158">
        <v>6600000</v>
      </c>
      <c r="D13" s="62" t="s">
        <v>201</v>
      </c>
      <c r="E13" s="18"/>
      <c r="F13" s="11">
        <f>Таблица213399029467813[[#This Row],[ ]]</f>
        <v>7</v>
      </c>
      <c r="G13" s="153">
        <v>46214</v>
      </c>
      <c r="H13" s="159" t="s">
        <v>122</v>
      </c>
      <c r="I13" s="159" t="s">
        <v>26</v>
      </c>
      <c r="J13" s="159">
        <v>32.832000000000001</v>
      </c>
      <c r="K13" s="160">
        <v>19</v>
      </c>
      <c r="L13" s="158">
        <v>700000</v>
      </c>
      <c r="M13" s="158">
        <f>Таблица213399029467813[[#This Row],[113]]*Таблица213399029467813[[#This Row],[15]]</f>
        <v>22982400</v>
      </c>
      <c r="N13" s="160">
        <v>2200000</v>
      </c>
    </row>
    <row r="14" spans="1:14" x14ac:dyDescent="0.3">
      <c r="A14" s="106">
        <v>8</v>
      </c>
      <c r="B14" s="109">
        <v>46218</v>
      </c>
      <c r="C14" s="158">
        <v>5000000</v>
      </c>
      <c r="D14" s="62" t="s">
        <v>201</v>
      </c>
      <c r="E14" s="18"/>
      <c r="F14" s="11">
        <f>Таблица213399029467813[[#This Row],[ ]]</f>
        <v>8</v>
      </c>
      <c r="G14" s="153">
        <v>46216</v>
      </c>
      <c r="H14" s="159" t="s">
        <v>133</v>
      </c>
      <c r="I14" s="159" t="s">
        <v>46</v>
      </c>
      <c r="J14" s="159">
        <v>32.832000000000001</v>
      </c>
      <c r="K14" s="160">
        <v>19</v>
      </c>
      <c r="L14" s="158">
        <v>700000</v>
      </c>
      <c r="M14" s="158">
        <f>Таблица213399029467813[[#This Row],[113]]*Таблица213399029467813[[#This Row],[15]]</f>
        <v>22982400</v>
      </c>
      <c r="N14" s="160">
        <v>2200000</v>
      </c>
    </row>
    <row r="15" spans="1:14" x14ac:dyDescent="0.3">
      <c r="A15" s="106">
        <v>9</v>
      </c>
      <c r="B15" s="109">
        <v>46218</v>
      </c>
      <c r="C15" s="158">
        <v>184341600</v>
      </c>
      <c r="D15" s="62" t="s">
        <v>239</v>
      </c>
      <c r="E15" s="18"/>
      <c r="F15" s="11">
        <f>Таблица213399029467813[[#This Row],[ ]]</f>
        <v>9</v>
      </c>
      <c r="G15" s="153">
        <v>46216</v>
      </c>
      <c r="H15" s="159" t="s">
        <v>126</v>
      </c>
      <c r="I15" s="159" t="s">
        <v>26</v>
      </c>
      <c r="J15" s="159">
        <v>32.832000000000001</v>
      </c>
      <c r="K15" s="160">
        <v>19</v>
      </c>
      <c r="L15" s="158">
        <v>700000</v>
      </c>
      <c r="M15" s="158">
        <f>Таблица213399029467813[[#This Row],[113]]*Таблица213399029467813[[#This Row],[15]]</f>
        <v>22982400</v>
      </c>
      <c r="N15" s="160">
        <v>2200000</v>
      </c>
    </row>
    <row r="16" spans="1:14" x14ac:dyDescent="0.3">
      <c r="A16" s="106">
        <v>10</v>
      </c>
      <c r="B16" s="109">
        <v>46219</v>
      </c>
      <c r="C16" s="158">
        <v>5000000</v>
      </c>
      <c r="D16" s="62" t="s">
        <v>201</v>
      </c>
      <c r="E16" s="18"/>
      <c r="F16" s="11">
        <f>Таблица213399029467813[[#This Row],[ ]]</f>
        <v>10</v>
      </c>
      <c r="G16" s="153">
        <v>46217</v>
      </c>
      <c r="H16" s="159" t="s">
        <v>145</v>
      </c>
      <c r="I16" s="159" t="s">
        <v>26</v>
      </c>
      <c r="J16" s="159">
        <v>32.832000000000001</v>
      </c>
      <c r="K16" s="160">
        <v>19</v>
      </c>
      <c r="L16" s="158">
        <v>700000</v>
      </c>
      <c r="M16" s="158">
        <f>Таблица213399029467813[[#This Row],[113]]*Таблица213399029467813[[#This Row],[15]]</f>
        <v>22982400</v>
      </c>
      <c r="N16" s="160">
        <v>2500000</v>
      </c>
    </row>
    <row r="17" spans="1:14" x14ac:dyDescent="0.3">
      <c r="A17" s="106">
        <v>11</v>
      </c>
      <c r="B17" s="109">
        <v>46220</v>
      </c>
      <c r="C17" s="158">
        <v>5000000</v>
      </c>
      <c r="D17" s="62" t="s">
        <v>201</v>
      </c>
      <c r="E17" s="18"/>
      <c r="F17" s="11">
        <f>Таблица213399029467813[[#This Row],[ ]]</f>
        <v>11</v>
      </c>
      <c r="G17" s="153">
        <v>46218</v>
      </c>
      <c r="H17" s="159" t="s">
        <v>150</v>
      </c>
      <c r="I17" s="159" t="s">
        <v>26</v>
      </c>
      <c r="J17" s="159">
        <v>32.832000000000001</v>
      </c>
      <c r="K17" s="160">
        <v>19</v>
      </c>
      <c r="L17" s="158">
        <v>700000</v>
      </c>
      <c r="M17" s="158">
        <f>Таблица213399029467813[[#This Row],[113]]*Таблица213399029467813[[#This Row],[15]]</f>
        <v>22982400</v>
      </c>
      <c r="N17" s="160">
        <v>2500000</v>
      </c>
    </row>
    <row r="18" spans="1:14" x14ac:dyDescent="0.3">
      <c r="A18" s="106">
        <v>12</v>
      </c>
      <c r="B18" s="110">
        <v>46221</v>
      </c>
      <c r="C18" s="158">
        <v>5000000</v>
      </c>
      <c r="D18" s="62" t="s">
        <v>201</v>
      </c>
      <c r="E18" s="18"/>
      <c r="F18" s="11">
        <f>Таблица213399029467813[[#This Row],[ ]]</f>
        <v>12</v>
      </c>
      <c r="G18" s="153">
        <v>46219</v>
      </c>
      <c r="H18" s="159" t="s">
        <v>160</v>
      </c>
      <c r="I18" s="159" t="s">
        <v>26</v>
      </c>
      <c r="J18" s="159">
        <v>32.832000000000001</v>
      </c>
      <c r="K18" s="160">
        <v>19</v>
      </c>
      <c r="L18" s="158">
        <v>700000</v>
      </c>
      <c r="M18" s="158">
        <f>Таблица213399029467813[[#This Row],[113]]*Таблица213399029467813[[#This Row],[15]]</f>
        <v>22982400</v>
      </c>
      <c r="N18" s="160">
        <v>2500000</v>
      </c>
    </row>
    <row r="19" spans="1:14" x14ac:dyDescent="0.3">
      <c r="A19" s="106">
        <v>13</v>
      </c>
      <c r="B19" s="110">
        <v>46223</v>
      </c>
      <c r="C19" s="18">
        <v>2500000</v>
      </c>
      <c r="D19" s="62" t="s">
        <v>201</v>
      </c>
      <c r="E19" s="18"/>
      <c r="F19" s="11">
        <f>Таблица213399029467813[[#This Row],[ ]]</f>
        <v>13</v>
      </c>
      <c r="G19" s="153">
        <v>46219</v>
      </c>
      <c r="H19" s="159" t="s">
        <v>126</v>
      </c>
      <c r="I19" s="159" t="s">
        <v>26</v>
      </c>
      <c r="J19" s="159">
        <v>32.832000000000001</v>
      </c>
      <c r="K19" s="160">
        <v>19</v>
      </c>
      <c r="L19" s="158">
        <v>700000</v>
      </c>
      <c r="M19" s="158">
        <f>Таблица213399029467813[[#This Row],[113]]*Таблица213399029467813[[#This Row],[15]]</f>
        <v>22982400</v>
      </c>
      <c r="N19" s="160">
        <v>2500000</v>
      </c>
    </row>
    <row r="20" spans="1:14" x14ac:dyDescent="0.3">
      <c r="A20" s="129">
        <v>14</v>
      </c>
      <c r="B20" s="110"/>
      <c r="C20" s="18"/>
      <c r="D20" s="62"/>
      <c r="E20" s="112"/>
      <c r="F20" s="70">
        <f>Таблица213399029467813[[#This Row],[ ]]</f>
        <v>14</v>
      </c>
      <c r="G20" s="153">
        <v>46220</v>
      </c>
      <c r="H20" s="159" t="s">
        <v>268</v>
      </c>
      <c r="I20" s="159" t="s">
        <v>26</v>
      </c>
      <c r="J20" s="159">
        <v>32.832000000000001</v>
      </c>
      <c r="K20" s="160">
        <v>19</v>
      </c>
      <c r="L20" s="158">
        <v>700000</v>
      </c>
      <c r="M20" s="175">
        <f>Таблица213399029467813[[#This Row],[113]]*Таблица213399029467813[[#This Row],[15]]</f>
        <v>22982400</v>
      </c>
      <c r="N20" s="174"/>
    </row>
    <row r="21" spans="1:14" x14ac:dyDescent="0.3">
      <c r="A21" s="129">
        <v>15</v>
      </c>
      <c r="B21" s="110"/>
      <c r="C21" s="18"/>
      <c r="D21" s="62"/>
      <c r="E21" s="112"/>
      <c r="F21" s="70">
        <f>Таблица213399029467813[[#This Row],[ ]]</f>
        <v>15</v>
      </c>
      <c r="G21" s="107">
        <v>46220</v>
      </c>
      <c r="H21" s="63" t="s">
        <v>269</v>
      </c>
      <c r="I21" s="63" t="s">
        <v>26</v>
      </c>
      <c r="J21" s="63">
        <v>32.832000000000001</v>
      </c>
      <c r="K21" s="51">
        <v>19</v>
      </c>
      <c r="L21" s="18">
        <v>700000</v>
      </c>
      <c r="M21" s="175">
        <f>Таблица213399029467813[[#This Row],[113]]*Таблица213399029467813[[#This Row],[15]]</f>
        <v>22982400</v>
      </c>
      <c r="N21" s="174"/>
    </row>
    <row r="22" spans="1:14" x14ac:dyDescent="0.3">
      <c r="A22" s="129">
        <v>16</v>
      </c>
      <c r="B22" s="110"/>
      <c r="C22" s="18"/>
      <c r="D22" s="62"/>
      <c r="E22" s="112"/>
      <c r="F22" s="70">
        <f>Таблица213399029467813[[#This Row],[ ]]</f>
        <v>16</v>
      </c>
      <c r="G22" s="107">
        <v>46221</v>
      </c>
      <c r="H22" s="63" t="s">
        <v>272</v>
      </c>
      <c r="I22" s="63" t="s">
        <v>46</v>
      </c>
      <c r="J22" s="63">
        <v>32.832000000000001</v>
      </c>
      <c r="K22" s="51">
        <v>19</v>
      </c>
      <c r="L22" s="18">
        <v>700000</v>
      </c>
      <c r="M22" s="175">
        <f>Таблица213399029467813[[#This Row],[113]]*Таблица213399029467813[[#This Row],[15]]</f>
        <v>22982400</v>
      </c>
      <c r="N22" s="174"/>
    </row>
    <row r="23" spans="1:14" x14ac:dyDescent="0.3">
      <c r="A23" s="129">
        <v>17</v>
      </c>
      <c r="B23" s="110"/>
      <c r="C23" s="18"/>
      <c r="D23" s="62"/>
      <c r="E23" s="112"/>
      <c r="F23" s="70">
        <f>Таблица213399029467813[[#This Row],[ ]]</f>
        <v>17</v>
      </c>
      <c r="G23" s="107">
        <v>46221</v>
      </c>
      <c r="H23" s="63" t="s">
        <v>47</v>
      </c>
      <c r="I23" s="63" t="s">
        <v>46</v>
      </c>
      <c r="J23" s="63">
        <v>32.832000000000001</v>
      </c>
      <c r="K23" s="51">
        <v>19</v>
      </c>
      <c r="L23" s="18">
        <v>700000</v>
      </c>
      <c r="M23" s="175">
        <f>Таблица213399029467813[[#This Row],[113]]*Таблица213399029467813[[#This Row],[15]]</f>
        <v>22982400</v>
      </c>
      <c r="N23" s="174"/>
    </row>
    <row r="24" spans="1:14" x14ac:dyDescent="0.3">
      <c r="A24" s="129">
        <v>18</v>
      </c>
      <c r="B24" s="110"/>
      <c r="C24" s="18"/>
      <c r="D24" s="62"/>
      <c r="E24" s="112"/>
      <c r="F24" s="70">
        <f>Таблица213399029467813[[#This Row],[ ]]</f>
        <v>18</v>
      </c>
      <c r="G24" s="107">
        <v>46223</v>
      </c>
      <c r="H24" s="63" t="s">
        <v>142</v>
      </c>
      <c r="I24" s="63" t="s">
        <v>26</v>
      </c>
      <c r="J24" s="63">
        <v>32.832000000000001</v>
      </c>
      <c r="K24" s="51">
        <v>19</v>
      </c>
      <c r="L24" s="18">
        <v>700000</v>
      </c>
      <c r="M24" s="175">
        <f>Таблица213399029467813[[#This Row],[113]]*Таблица213399029467813[[#This Row],[15]]</f>
        <v>22982400</v>
      </c>
      <c r="N24" s="174"/>
    </row>
    <row r="25" spans="1:14" x14ac:dyDescent="0.3">
      <c r="A25" s="129">
        <v>19</v>
      </c>
      <c r="B25" s="110"/>
      <c r="C25" s="18"/>
      <c r="D25" s="62"/>
      <c r="E25" s="112"/>
      <c r="F25" s="70">
        <f>Таблица213399029467813[[#This Row],[ ]]</f>
        <v>19</v>
      </c>
      <c r="G25" s="172"/>
      <c r="H25" s="173"/>
      <c r="I25" s="173"/>
      <c r="J25" s="173"/>
      <c r="K25" s="174"/>
      <c r="L25" s="175"/>
      <c r="M25" s="175">
        <f>Таблица213399029467813[[#This Row],[113]]*Таблица213399029467813[[#This Row],[15]]</f>
        <v>0</v>
      </c>
      <c r="N25" s="174"/>
    </row>
    <row r="26" spans="1:14" x14ac:dyDescent="0.3">
      <c r="A26" s="111"/>
      <c r="B26" s="12"/>
      <c r="C26" s="18">
        <f>SUBTOTAL(109,Таблица213399029467813[2])</f>
        <v>413683200</v>
      </c>
      <c r="D26" s="18"/>
      <c r="E26" s="112"/>
      <c r="F26" s="71"/>
      <c r="G26" s="113"/>
      <c r="H26" s="70"/>
      <c r="I26" s="70"/>
      <c r="J26" s="70"/>
      <c r="K26" s="70">
        <f>SUBTOTAL(109,Таблица213399029467813[1132])</f>
        <v>342</v>
      </c>
      <c r="L26" s="114"/>
      <c r="M26" s="114">
        <f>SUBTOTAL(109,Таблица213399029467813[16])</f>
        <v>413683200</v>
      </c>
      <c r="N26" s="70"/>
    </row>
    <row r="28" spans="1:14" ht="18.5" x14ac:dyDescent="0.45">
      <c r="A28" s="90"/>
      <c r="B28" s="91"/>
      <c r="C28" s="92" t="s">
        <v>174</v>
      </c>
      <c r="D28" s="127" t="s">
        <v>240</v>
      </c>
      <c r="E28" s="94"/>
      <c r="J28" s="33"/>
    </row>
    <row r="29" spans="1:14" ht="20" x14ac:dyDescent="0.3">
      <c r="A29" s="224" t="s">
        <v>166</v>
      </c>
      <c r="B29" s="224"/>
      <c r="C29" s="225"/>
      <c r="D29" s="225"/>
      <c r="E29" s="95"/>
      <c r="F29" s="226">
        <f>Таблица21339902946781316[[#Totals],[2]]+-Таблица21339902946781316[[#Totals],[16]]</f>
        <v>752800</v>
      </c>
      <c r="G29" s="227"/>
      <c r="K29" s="103">
        <f>K32</f>
        <v>57</v>
      </c>
    </row>
    <row r="30" spans="1:14" x14ac:dyDescent="0.3">
      <c r="A30" s="228" t="s">
        <v>167</v>
      </c>
      <c r="B30" s="228" t="s">
        <v>168</v>
      </c>
      <c r="C30" s="116" t="s">
        <v>169</v>
      </c>
      <c r="D30" s="116" t="s">
        <v>189</v>
      </c>
      <c r="E30" s="229" t="s">
        <v>171</v>
      </c>
      <c r="F30" s="231" t="s">
        <v>167</v>
      </c>
      <c r="G30" s="231" t="s">
        <v>168</v>
      </c>
      <c r="H30" s="231" t="s">
        <v>172</v>
      </c>
      <c r="I30" s="222" t="s">
        <v>6</v>
      </c>
      <c r="J30" s="233" t="s">
        <v>7</v>
      </c>
      <c r="K30" s="233" t="s">
        <v>173</v>
      </c>
      <c r="L30" s="231" t="s">
        <v>190</v>
      </c>
      <c r="M30" s="222" t="s">
        <v>169</v>
      </c>
    </row>
    <row r="31" spans="1:14" x14ac:dyDescent="0.3">
      <c r="A31" s="228"/>
      <c r="B31" s="228"/>
      <c r="C31" s="98"/>
      <c r="D31" s="99"/>
      <c r="E31" s="230"/>
      <c r="F31" s="231"/>
      <c r="G31" s="231"/>
      <c r="H31" s="231"/>
      <c r="I31" s="232"/>
      <c r="J31" s="234"/>
      <c r="K31" s="235"/>
      <c r="L31" s="231"/>
      <c r="M31" s="223"/>
    </row>
    <row r="32" spans="1:14" ht="15.5" x14ac:dyDescent="0.3">
      <c r="A32" s="228"/>
      <c r="B32" s="228"/>
      <c r="C32" s="117">
        <f>Таблица21339902946781316[[#Totals],[2]]</f>
        <v>69700000</v>
      </c>
      <c r="D32" s="101"/>
      <c r="E32" s="102">
        <f>SUM(Таблица21339902946781316[4])</f>
        <v>0</v>
      </c>
      <c r="F32" s="231"/>
      <c r="G32" s="231"/>
      <c r="H32" s="231"/>
      <c r="I32" s="223"/>
      <c r="J32" s="128">
        <f>SUM(Таблица21339902946781316[113])</f>
        <v>98.496000000000009</v>
      </c>
      <c r="K32" s="103">
        <f>Таблица21339902946781316[[#Totals],[1132]]</f>
        <v>57</v>
      </c>
      <c r="L32" s="231"/>
      <c r="M32" s="118">
        <f>Таблица21339902946781316[[#Totals],[16]]</f>
        <v>68947200</v>
      </c>
    </row>
    <row r="33" spans="1:14" x14ac:dyDescent="0.3">
      <c r="A33" s="104" t="s">
        <v>174</v>
      </c>
      <c r="B33" s="105" t="s">
        <v>175</v>
      </c>
      <c r="C33" s="105" t="s">
        <v>176</v>
      </c>
      <c r="D33" s="105" t="s">
        <v>177</v>
      </c>
      <c r="E33" s="105" t="s">
        <v>178</v>
      </c>
      <c r="F33" s="105" t="s">
        <v>179</v>
      </c>
      <c r="G33" s="105" t="s">
        <v>180</v>
      </c>
      <c r="H33" s="105" t="s">
        <v>181</v>
      </c>
      <c r="I33" s="105" t="s">
        <v>182</v>
      </c>
      <c r="J33" s="105" t="s">
        <v>183</v>
      </c>
      <c r="K33" s="105" t="s">
        <v>184</v>
      </c>
      <c r="L33" s="105" t="s">
        <v>185</v>
      </c>
      <c r="M33" s="105" t="s">
        <v>186</v>
      </c>
    </row>
    <row r="34" spans="1:14" ht="15.5" x14ac:dyDescent="0.3">
      <c r="A34" s="106">
        <v>1</v>
      </c>
      <c r="B34" s="107">
        <v>46209</v>
      </c>
      <c r="C34" s="108">
        <v>21000000</v>
      </c>
      <c r="D34" s="62" t="s">
        <v>241</v>
      </c>
      <c r="E34" s="18"/>
      <c r="F34" s="11">
        <f>Таблица21339902946781316[[#This Row],[ ]]</f>
        <v>1</v>
      </c>
      <c r="G34" s="62">
        <v>46209</v>
      </c>
      <c r="H34" s="120" t="s">
        <v>91</v>
      </c>
      <c r="I34" s="121" t="s">
        <v>26</v>
      </c>
      <c r="J34" s="122">
        <v>32.832000000000001</v>
      </c>
      <c r="K34" s="123">
        <v>19</v>
      </c>
      <c r="L34" s="11">
        <v>700000</v>
      </c>
      <c r="M34" s="18">
        <f>Таблица21339902946781316[[#This Row],[113]]*Таблица21339902946781316[[#This Row],[15]]</f>
        <v>22982400</v>
      </c>
    </row>
    <row r="35" spans="1:14" x14ac:dyDescent="0.3">
      <c r="A35" s="106">
        <v>2</v>
      </c>
      <c r="B35" s="107">
        <v>46209</v>
      </c>
      <c r="C35" s="18">
        <v>2000000</v>
      </c>
      <c r="D35" s="62" t="s">
        <v>201</v>
      </c>
      <c r="E35" s="18"/>
      <c r="F35" s="11">
        <f>Таблица21339902946781316[[#This Row],[ ]]</f>
        <v>2</v>
      </c>
      <c r="G35" s="107">
        <v>46213</v>
      </c>
      <c r="H35" s="63" t="s">
        <v>112</v>
      </c>
      <c r="I35" s="63" t="s">
        <v>46</v>
      </c>
      <c r="J35" s="63">
        <v>32.832000000000001</v>
      </c>
      <c r="K35" s="18">
        <v>19</v>
      </c>
      <c r="L35" s="51">
        <v>700000</v>
      </c>
      <c r="M35" s="18">
        <f>Таблица21339902946781316[[#This Row],[113]]*Таблица21339902946781316[[#This Row],[15]]</f>
        <v>22982400</v>
      </c>
    </row>
    <row r="36" spans="1:14" x14ac:dyDescent="0.3">
      <c r="A36" s="106">
        <v>3</v>
      </c>
      <c r="B36" s="107">
        <v>46212</v>
      </c>
      <c r="C36" s="18">
        <v>21000000</v>
      </c>
      <c r="D36" s="62" t="s">
        <v>242</v>
      </c>
      <c r="E36" s="18"/>
      <c r="F36" s="11">
        <f>Таблица21339902946781316[[#This Row],[ ]]</f>
        <v>3</v>
      </c>
      <c r="G36" s="107">
        <v>46223</v>
      </c>
      <c r="H36" s="63" t="s">
        <v>282</v>
      </c>
      <c r="I36" s="63" t="s">
        <v>46</v>
      </c>
      <c r="J36" s="63">
        <v>32.832000000000001</v>
      </c>
      <c r="K36" s="18">
        <v>19</v>
      </c>
      <c r="L36" s="51">
        <v>700000</v>
      </c>
      <c r="M36" s="18">
        <f>Таблица21339902946781316[[#This Row],[113]]*Таблица21339902946781316[[#This Row],[15]]</f>
        <v>22982400</v>
      </c>
    </row>
    <row r="37" spans="1:14" x14ac:dyDescent="0.3">
      <c r="A37" s="106">
        <v>4</v>
      </c>
      <c r="B37" s="107">
        <v>46213</v>
      </c>
      <c r="C37" s="18">
        <v>21000000</v>
      </c>
      <c r="D37" s="62" t="s">
        <v>242</v>
      </c>
      <c r="E37" s="18"/>
      <c r="F37" s="11">
        <f>Таблица21339902946781316[[#This Row],[ ]]</f>
        <v>4</v>
      </c>
      <c r="G37" s="107"/>
      <c r="H37" s="63"/>
      <c r="I37" s="63"/>
      <c r="J37" s="63"/>
      <c r="K37" s="18"/>
      <c r="L37" s="51"/>
      <c r="M37" s="18">
        <f>Таблица21339902946781316[[#This Row],[113]]*Таблица21339902946781316[[#This Row],[15]]</f>
        <v>0</v>
      </c>
    </row>
    <row r="38" spans="1:14" x14ac:dyDescent="0.3">
      <c r="A38" s="106">
        <v>5</v>
      </c>
      <c r="B38" s="107">
        <v>46213</v>
      </c>
      <c r="C38" s="18">
        <v>2200000</v>
      </c>
      <c r="D38" s="62" t="s">
        <v>201</v>
      </c>
      <c r="E38" s="18"/>
      <c r="F38" s="11">
        <f>Таблица21339902946781316[[#This Row],[ ]]</f>
        <v>5</v>
      </c>
      <c r="G38" s="107"/>
      <c r="H38" s="63"/>
      <c r="I38" s="63"/>
      <c r="J38" s="63"/>
      <c r="K38" s="18"/>
      <c r="L38" s="51"/>
      <c r="M38" s="18">
        <f>Таблица21339902946781316[[#This Row],[113]]*Таблица21339902946781316[[#This Row],[15]]</f>
        <v>0</v>
      </c>
    </row>
    <row r="39" spans="1:14" x14ac:dyDescent="0.3">
      <c r="A39" s="106">
        <v>6</v>
      </c>
      <c r="B39" s="107">
        <v>46223</v>
      </c>
      <c r="C39" s="18">
        <v>2500000</v>
      </c>
      <c r="D39" s="62" t="s">
        <v>201</v>
      </c>
      <c r="E39" s="18"/>
      <c r="F39" s="11">
        <f>Таблица21339902946781316[[#This Row],[ ]]</f>
        <v>6</v>
      </c>
      <c r="G39" s="107"/>
      <c r="H39" s="63"/>
      <c r="I39" s="63"/>
      <c r="J39" s="63"/>
      <c r="K39" s="18"/>
      <c r="L39" s="51"/>
      <c r="M39" s="18">
        <f>Таблица21339902946781316[[#This Row],[113]]*Таблица21339902946781316[[#This Row],[15]]</f>
        <v>0</v>
      </c>
    </row>
    <row r="40" spans="1:14" x14ac:dyDescent="0.3">
      <c r="A40" s="111"/>
      <c r="B40" s="12"/>
      <c r="C40" s="18">
        <f>SUBTOTAL(109,Таблица21339902946781316[2])</f>
        <v>69700000</v>
      </c>
      <c r="D40" s="18"/>
      <c r="E40" s="112"/>
      <c r="F40" s="71"/>
      <c r="G40" s="113"/>
      <c r="H40" s="70"/>
      <c r="I40" s="70"/>
      <c r="J40" s="70"/>
      <c r="K40" s="70">
        <f>SUBTOTAL(109,Таблица21339902946781316[1132])</f>
        <v>57</v>
      </c>
      <c r="L40" s="114"/>
      <c r="M40" s="114">
        <f>SUBTOTAL(109,Таблица21339902946781316[16])</f>
        <v>68947200</v>
      </c>
    </row>
    <row r="42" spans="1:14" ht="18.5" x14ac:dyDescent="0.45">
      <c r="A42" s="90"/>
      <c r="B42" s="91"/>
      <c r="C42" s="92" t="s">
        <v>174</v>
      </c>
      <c r="D42" s="127" t="s">
        <v>243</v>
      </c>
      <c r="E42" s="94"/>
    </row>
    <row r="43" spans="1:14" ht="20" x14ac:dyDescent="0.3">
      <c r="A43" s="224" t="s">
        <v>166</v>
      </c>
      <c r="B43" s="224"/>
      <c r="C43" s="225"/>
      <c r="D43" s="225"/>
      <c r="E43" s="95"/>
      <c r="F43" s="226">
        <f>Таблица2133990294678131619[[#Totals],[2]]+-Таблица2133990294678131619[[#Totals],[16]]</f>
        <v>200600</v>
      </c>
      <c r="G43" s="227"/>
      <c r="K43" s="103">
        <f>K46</f>
        <v>152</v>
      </c>
    </row>
    <row r="44" spans="1:14" x14ac:dyDescent="0.3">
      <c r="A44" s="228" t="s">
        <v>167</v>
      </c>
      <c r="B44" s="228" t="s">
        <v>168</v>
      </c>
      <c r="C44" s="116" t="s">
        <v>169</v>
      </c>
      <c r="D44" s="116" t="s">
        <v>189</v>
      </c>
      <c r="E44" s="229" t="s">
        <v>171</v>
      </c>
      <c r="F44" s="231" t="s">
        <v>167</v>
      </c>
      <c r="G44" s="231" t="s">
        <v>168</v>
      </c>
      <c r="H44" s="231" t="s">
        <v>172</v>
      </c>
      <c r="I44" s="222" t="s">
        <v>6</v>
      </c>
      <c r="J44" s="233" t="s">
        <v>7</v>
      </c>
      <c r="K44" s="233" t="s">
        <v>173</v>
      </c>
      <c r="L44" s="231" t="s">
        <v>190</v>
      </c>
      <c r="M44" s="222" t="s">
        <v>169</v>
      </c>
    </row>
    <row r="45" spans="1:14" x14ac:dyDescent="0.3">
      <c r="A45" s="228"/>
      <c r="B45" s="228"/>
      <c r="C45" s="98"/>
      <c r="D45" s="99"/>
      <c r="E45" s="230"/>
      <c r="F45" s="231"/>
      <c r="G45" s="231"/>
      <c r="H45" s="231"/>
      <c r="I45" s="232"/>
      <c r="J45" s="234"/>
      <c r="K45" s="235"/>
      <c r="L45" s="231"/>
      <c r="M45" s="223"/>
    </row>
    <row r="46" spans="1:14" ht="15.5" x14ac:dyDescent="0.3">
      <c r="A46" s="228"/>
      <c r="B46" s="228"/>
      <c r="C46" s="117">
        <f>Таблица2133990294678131619[[#Totals],[2]]</f>
        <v>184059800</v>
      </c>
      <c r="D46" s="101"/>
      <c r="E46" s="102">
        <f>SUM(Таблица2133990294678131619[4])</f>
        <v>0</v>
      </c>
      <c r="F46" s="231"/>
      <c r="G46" s="231"/>
      <c r="H46" s="231"/>
      <c r="I46" s="223"/>
      <c r="J46" s="128">
        <f>SUM(Таблица2133990294678131619[113])</f>
        <v>262.65600000000001</v>
      </c>
      <c r="K46" s="103">
        <f>Таблица2133990294678131619[[#Totals],[1132]]</f>
        <v>152</v>
      </c>
      <c r="L46" s="231"/>
      <c r="M46" s="118">
        <f>Таблица2133990294678131619[[#Totals],[16]]</f>
        <v>183859200</v>
      </c>
    </row>
    <row r="47" spans="1:14" x14ac:dyDescent="0.3">
      <c r="A47" s="104" t="s">
        <v>174</v>
      </c>
      <c r="B47" s="105" t="s">
        <v>175</v>
      </c>
      <c r="C47" s="105" t="s">
        <v>176</v>
      </c>
      <c r="D47" s="105" t="s">
        <v>177</v>
      </c>
      <c r="E47" s="105" t="s">
        <v>178</v>
      </c>
      <c r="F47" s="105" t="s">
        <v>179</v>
      </c>
      <c r="G47" s="105" t="s">
        <v>180</v>
      </c>
      <c r="H47" s="105" t="s">
        <v>181</v>
      </c>
      <c r="I47" s="105" t="s">
        <v>182</v>
      </c>
      <c r="J47" s="105" t="s">
        <v>183</v>
      </c>
      <c r="K47" s="105" t="s">
        <v>184</v>
      </c>
      <c r="L47" s="105" t="s">
        <v>185</v>
      </c>
      <c r="M47" s="105" t="s">
        <v>186</v>
      </c>
      <c r="N47" s="149" t="s">
        <v>222</v>
      </c>
    </row>
    <row r="48" spans="1:14" x14ac:dyDescent="0.3">
      <c r="A48" s="106">
        <v>1</v>
      </c>
      <c r="B48" s="107">
        <v>46212</v>
      </c>
      <c r="C48" s="18">
        <v>41964800</v>
      </c>
      <c r="D48" s="62" t="s">
        <v>244</v>
      </c>
      <c r="E48" s="18"/>
      <c r="F48" s="11">
        <f>Таблица2133990294678131619[[#This Row],[ ]]</f>
        <v>1</v>
      </c>
      <c r="G48" s="141">
        <v>46212</v>
      </c>
      <c r="H48" s="30" t="s">
        <v>87</v>
      </c>
      <c r="I48" s="30" t="s">
        <v>46</v>
      </c>
      <c r="J48" s="63">
        <v>32.832000000000001</v>
      </c>
      <c r="K48" s="18">
        <v>19</v>
      </c>
      <c r="L48" s="51">
        <v>700000</v>
      </c>
      <c r="M48" s="18">
        <f>Таблица2133990294678131619[[#This Row],[113]]*Таблица2133990294678131619[[#This Row],[15]]</f>
        <v>22982400</v>
      </c>
      <c r="N48" s="123">
        <v>2000000</v>
      </c>
    </row>
    <row r="49" spans="1:14" x14ac:dyDescent="0.3">
      <c r="A49" s="106">
        <v>2</v>
      </c>
      <c r="B49" s="107">
        <v>46212</v>
      </c>
      <c r="C49" s="18">
        <v>2000000</v>
      </c>
      <c r="D49" s="62" t="s">
        <v>201</v>
      </c>
      <c r="E49" s="18"/>
      <c r="F49" s="11">
        <f>Таблица2133990294678131619[[#This Row],[ ]]</f>
        <v>2</v>
      </c>
      <c r="G49" s="141">
        <v>46213</v>
      </c>
      <c r="H49" s="30" t="s">
        <v>111</v>
      </c>
      <c r="I49" s="30" t="s">
        <v>26</v>
      </c>
      <c r="J49" s="63">
        <v>32.832000000000001</v>
      </c>
      <c r="K49" s="18">
        <v>19</v>
      </c>
      <c r="L49" s="51">
        <v>700000</v>
      </c>
      <c r="M49" s="18">
        <f>Таблица2133990294678131619[[#This Row],[113]]*Таблица2133990294678131619[[#This Row],[15]]</f>
        <v>22982400</v>
      </c>
      <c r="N49" s="51">
        <v>2200000</v>
      </c>
    </row>
    <row r="50" spans="1:14" x14ac:dyDescent="0.3">
      <c r="A50" s="106">
        <v>3</v>
      </c>
      <c r="B50" s="107">
        <v>46213</v>
      </c>
      <c r="C50" s="18">
        <v>2200000</v>
      </c>
      <c r="D50" s="62" t="s">
        <v>201</v>
      </c>
      <c r="E50" s="18"/>
      <c r="F50" s="11">
        <f>Таблица2133990294678131619[[#This Row],[ ]]</f>
        <v>3</v>
      </c>
      <c r="G50" s="107">
        <v>46216</v>
      </c>
      <c r="H50" s="63" t="s">
        <v>134</v>
      </c>
      <c r="I50" s="63" t="s">
        <v>26</v>
      </c>
      <c r="J50" s="63">
        <v>32.832000000000001</v>
      </c>
      <c r="K50" s="51">
        <v>19</v>
      </c>
      <c r="L50" s="51">
        <v>700000</v>
      </c>
      <c r="M50" s="51">
        <f>Таблица2133990294678131619[[#This Row],[113]]*Таблица2133990294678131619[[#This Row],[15]]</f>
        <v>22982400</v>
      </c>
      <c r="N50" s="51">
        <v>2300000</v>
      </c>
    </row>
    <row r="51" spans="1:14" x14ac:dyDescent="0.3">
      <c r="A51" s="106">
        <v>4</v>
      </c>
      <c r="B51" s="107">
        <v>46216</v>
      </c>
      <c r="C51" s="18">
        <v>41365000</v>
      </c>
      <c r="D51" s="62" t="s">
        <v>245</v>
      </c>
      <c r="E51" s="18"/>
      <c r="F51" s="11">
        <f>Таблица2133990294678131619[[#This Row],[ ]]</f>
        <v>4</v>
      </c>
      <c r="G51" s="107">
        <v>46217</v>
      </c>
      <c r="H51" s="63" t="s">
        <v>135</v>
      </c>
      <c r="I51" s="63" t="s">
        <v>26</v>
      </c>
      <c r="J51" s="63">
        <v>32.832000000000001</v>
      </c>
      <c r="K51" s="51">
        <v>19</v>
      </c>
      <c r="L51" s="51">
        <v>700000</v>
      </c>
      <c r="M51" s="51">
        <f>Таблица2133990294678131619[[#This Row],[113]]*Таблица2133990294678131619[[#This Row],[15]]</f>
        <v>22982400</v>
      </c>
      <c r="N51" s="51">
        <v>2300000</v>
      </c>
    </row>
    <row r="52" spans="1:14" x14ac:dyDescent="0.3">
      <c r="A52" s="106">
        <v>5</v>
      </c>
      <c r="B52" s="107">
        <v>46216</v>
      </c>
      <c r="C52" s="18">
        <v>2300000</v>
      </c>
      <c r="D52" s="18" t="s">
        <v>201</v>
      </c>
      <c r="E52" s="18"/>
      <c r="F52" s="11">
        <f>Таблица2133990294678131619[[#This Row],[ ]]</f>
        <v>5</v>
      </c>
      <c r="G52" s="107">
        <v>46219</v>
      </c>
      <c r="H52" s="63" t="s">
        <v>161</v>
      </c>
      <c r="I52" s="63" t="s">
        <v>26</v>
      </c>
      <c r="J52" s="63">
        <v>32.832000000000001</v>
      </c>
      <c r="K52" s="51">
        <v>19</v>
      </c>
      <c r="L52" s="51">
        <v>700000</v>
      </c>
      <c r="M52" s="51">
        <f>Таблица2133990294678131619[[#This Row],[113]]*Таблица2133990294678131619[[#This Row],[15]]</f>
        <v>22982400</v>
      </c>
      <c r="N52" s="51">
        <v>2500000</v>
      </c>
    </row>
    <row r="53" spans="1:14" x14ac:dyDescent="0.3">
      <c r="A53" s="106">
        <v>6</v>
      </c>
      <c r="B53" s="107">
        <v>46217</v>
      </c>
      <c r="C53" s="18">
        <v>2300000</v>
      </c>
      <c r="D53" s="18" t="s">
        <v>201</v>
      </c>
      <c r="E53" s="18"/>
      <c r="F53" s="11">
        <f>Таблица2133990294678131619[[#This Row],[ ]]</f>
        <v>6</v>
      </c>
      <c r="G53" s="110">
        <v>46220</v>
      </c>
      <c r="H53" s="11" t="s">
        <v>71</v>
      </c>
      <c r="I53" s="63" t="s">
        <v>26</v>
      </c>
      <c r="J53" s="63">
        <v>32.832000000000001</v>
      </c>
      <c r="K53" s="51">
        <v>19</v>
      </c>
      <c r="L53" s="51">
        <v>700000</v>
      </c>
      <c r="M53" s="18">
        <f>Таблица2133990294678131619[[#This Row],[113]]*Таблица2133990294678131619[[#This Row],[15]]</f>
        <v>22982400</v>
      </c>
      <c r="N53" s="51"/>
    </row>
    <row r="54" spans="1:14" x14ac:dyDescent="0.3">
      <c r="A54" s="106">
        <v>7</v>
      </c>
      <c r="B54" s="107">
        <v>46218</v>
      </c>
      <c r="C54" s="18">
        <v>40965000</v>
      </c>
      <c r="D54" s="18" t="s">
        <v>244</v>
      </c>
      <c r="E54" s="18"/>
      <c r="F54" s="11">
        <f>Таблица2133990294678131619[[#This Row],[ ]]</f>
        <v>7</v>
      </c>
      <c r="G54" s="110">
        <v>46224</v>
      </c>
      <c r="H54" s="11" t="s">
        <v>142</v>
      </c>
      <c r="I54" s="63" t="s">
        <v>26</v>
      </c>
      <c r="J54" s="63">
        <v>32.832000000000001</v>
      </c>
      <c r="K54" s="51">
        <v>19</v>
      </c>
      <c r="L54" s="51">
        <v>700000</v>
      </c>
      <c r="M54" s="18">
        <f>Таблица2133990294678131619[[#This Row],[113]]*Таблица2133990294678131619[[#This Row],[15]]</f>
        <v>22982400</v>
      </c>
      <c r="N54" s="51"/>
    </row>
    <row r="55" spans="1:14" x14ac:dyDescent="0.3">
      <c r="A55" s="106">
        <v>8</v>
      </c>
      <c r="B55" s="107">
        <v>46219</v>
      </c>
      <c r="C55" s="18">
        <v>2500000</v>
      </c>
      <c r="D55" s="18" t="s">
        <v>201</v>
      </c>
      <c r="E55" s="18"/>
      <c r="F55" s="11">
        <f>Таблица2133990294678131619[[#This Row],[ ]]</f>
        <v>8</v>
      </c>
      <c r="G55" s="107">
        <v>46226</v>
      </c>
      <c r="H55" s="63" t="s">
        <v>142</v>
      </c>
      <c r="I55" s="63" t="s">
        <v>26</v>
      </c>
      <c r="J55" s="63">
        <v>32.832000000000001</v>
      </c>
      <c r="K55" s="51">
        <v>19</v>
      </c>
      <c r="L55" s="51">
        <v>700000</v>
      </c>
      <c r="M55" s="18">
        <f>Таблица2133990294678131619[[#This Row],[113]]*Таблица2133990294678131619[[#This Row],[15]]</f>
        <v>22982400</v>
      </c>
      <c r="N55" s="51"/>
    </row>
    <row r="56" spans="1:14" x14ac:dyDescent="0.3">
      <c r="A56" s="106">
        <v>9</v>
      </c>
      <c r="B56" s="107">
        <v>46220</v>
      </c>
      <c r="C56" s="18">
        <v>2500000</v>
      </c>
      <c r="D56" s="62" t="s">
        <v>201</v>
      </c>
      <c r="E56" s="18"/>
      <c r="F56" s="11">
        <f>Таблица2133990294678131619[[#This Row],[ ]]</f>
        <v>9</v>
      </c>
      <c r="G56" s="107"/>
      <c r="H56" s="63"/>
      <c r="I56" s="63"/>
      <c r="J56" s="63"/>
      <c r="K56" s="51"/>
      <c r="L56" s="18"/>
      <c r="M56" s="18">
        <f>Таблица2133990294678131619[[#This Row],[113]]*Таблица2133990294678131619[[#This Row],[15]]</f>
        <v>0</v>
      </c>
      <c r="N56" s="51"/>
    </row>
    <row r="57" spans="1:14" x14ac:dyDescent="0.3">
      <c r="A57" s="129">
        <v>10</v>
      </c>
      <c r="B57" s="110">
        <v>46223</v>
      </c>
      <c r="C57" s="18">
        <v>40965000</v>
      </c>
      <c r="D57" s="62" t="s">
        <v>288</v>
      </c>
      <c r="E57" s="112"/>
      <c r="F57" s="70">
        <f>Таблица2133990294678131619[[#This Row],[ ]]</f>
        <v>10</v>
      </c>
      <c r="G57" s="131"/>
      <c r="H57" s="132"/>
      <c r="I57" s="132"/>
      <c r="J57" s="132"/>
      <c r="K57" s="133"/>
      <c r="L57" s="77"/>
      <c r="M57" s="77">
        <f>Таблица2133990294678131619[[#This Row],[113]]*Таблица2133990294678131619[[#This Row],[15]]</f>
        <v>0</v>
      </c>
      <c r="N57" s="133"/>
    </row>
    <row r="58" spans="1:14" x14ac:dyDescent="0.3">
      <c r="A58" s="129">
        <v>11</v>
      </c>
      <c r="B58" s="110">
        <v>46223</v>
      </c>
      <c r="C58" s="18">
        <v>2500000</v>
      </c>
      <c r="D58" s="62" t="s">
        <v>201</v>
      </c>
      <c r="E58" s="112"/>
      <c r="F58" s="70">
        <f>Таблица2133990294678131619[[#This Row],[ ]]</f>
        <v>11</v>
      </c>
      <c r="G58" s="131"/>
      <c r="H58" s="132"/>
      <c r="I58" s="132"/>
      <c r="J58" s="132"/>
      <c r="K58" s="133"/>
      <c r="L58" s="77"/>
      <c r="M58" s="77">
        <f>Таблица2133990294678131619[[#This Row],[113]]*Таблица2133990294678131619[[#This Row],[15]]</f>
        <v>0</v>
      </c>
      <c r="N58" s="133"/>
    </row>
    <row r="59" spans="1:14" x14ac:dyDescent="0.3">
      <c r="A59" s="129">
        <v>12</v>
      </c>
      <c r="B59" s="110">
        <v>46226</v>
      </c>
      <c r="C59" s="18">
        <v>2500000</v>
      </c>
      <c r="D59" s="62" t="s">
        <v>201</v>
      </c>
      <c r="E59" s="112"/>
      <c r="F59" s="70">
        <f>Таблица2133990294678131619[[#This Row],[ ]]</f>
        <v>12</v>
      </c>
      <c r="G59" s="131"/>
      <c r="H59" s="132"/>
      <c r="I59" s="132"/>
      <c r="J59" s="132"/>
      <c r="K59" s="133"/>
      <c r="L59" s="77"/>
      <c r="M59" s="77">
        <f>Таблица2133990294678131619[[#This Row],[113]]*Таблица2133990294678131619[[#This Row],[15]]</f>
        <v>0</v>
      </c>
      <c r="N59" s="133"/>
    </row>
    <row r="60" spans="1:14" x14ac:dyDescent="0.3">
      <c r="A60" s="111"/>
      <c r="B60" s="12"/>
      <c r="C60" s="18">
        <f>SUBTOTAL(109,Таблица2133990294678131619[2])</f>
        <v>184059800</v>
      </c>
      <c r="D60" s="18"/>
      <c r="E60" s="112"/>
      <c r="F60" s="71"/>
      <c r="G60" s="113"/>
      <c r="H60" s="70"/>
      <c r="I60" s="70"/>
      <c r="J60" s="70"/>
      <c r="K60" s="70">
        <f>SUBTOTAL(109,Таблица2133990294678131619[1132])</f>
        <v>152</v>
      </c>
      <c r="L60" s="114"/>
      <c r="M60" s="114">
        <f>SUBTOTAL(109,Таблица2133990294678131619[16])</f>
        <v>183859200</v>
      </c>
      <c r="N60" s="70"/>
    </row>
    <row r="62" spans="1:14" ht="18.5" x14ac:dyDescent="0.45">
      <c r="A62" s="90"/>
      <c r="B62" s="91"/>
      <c r="C62" s="92" t="s">
        <v>174</v>
      </c>
      <c r="D62" s="127" t="s">
        <v>246</v>
      </c>
      <c r="E62" s="94"/>
    </row>
    <row r="63" spans="1:14" ht="20" x14ac:dyDescent="0.3">
      <c r="A63" s="224" t="s">
        <v>166</v>
      </c>
      <c r="B63" s="224"/>
      <c r="C63" s="225"/>
      <c r="D63" s="225"/>
      <c r="E63" s="95"/>
      <c r="F63" s="226">
        <f>Таблица213399029467813161721[[#Totals],[2]]+-Таблица213399029467813161721[[#Totals],[16]]</f>
        <v>81929200</v>
      </c>
      <c r="G63" s="227"/>
      <c r="K63" s="103">
        <f>K66</f>
        <v>57</v>
      </c>
    </row>
    <row r="64" spans="1:14" x14ac:dyDescent="0.3">
      <c r="A64" s="228" t="s">
        <v>167</v>
      </c>
      <c r="B64" s="228" t="s">
        <v>168</v>
      </c>
      <c r="C64" s="116" t="s">
        <v>169</v>
      </c>
      <c r="D64" s="116" t="s">
        <v>189</v>
      </c>
      <c r="E64" s="229" t="s">
        <v>171</v>
      </c>
      <c r="F64" s="231" t="s">
        <v>167</v>
      </c>
      <c r="G64" s="231" t="s">
        <v>168</v>
      </c>
      <c r="H64" s="231" t="s">
        <v>172</v>
      </c>
      <c r="I64" s="222" t="s">
        <v>6</v>
      </c>
      <c r="J64" s="233" t="s">
        <v>7</v>
      </c>
      <c r="K64" s="233" t="s">
        <v>173</v>
      </c>
      <c r="L64" s="231" t="s">
        <v>190</v>
      </c>
      <c r="M64" s="222" t="s">
        <v>169</v>
      </c>
    </row>
    <row r="65" spans="1:13" x14ac:dyDescent="0.3">
      <c r="A65" s="228"/>
      <c r="B65" s="228"/>
      <c r="C65" s="98"/>
      <c r="D65" s="99"/>
      <c r="E65" s="230"/>
      <c r="F65" s="231"/>
      <c r="G65" s="231"/>
      <c r="H65" s="231"/>
      <c r="I65" s="232"/>
      <c r="J65" s="234"/>
      <c r="K65" s="235"/>
      <c r="L65" s="231"/>
      <c r="M65" s="223"/>
    </row>
    <row r="66" spans="1:13" ht="15.5" x14ac:dyDescent="0.3">
      <c r="A66" s="228"/>
      <c r="B66" s="228"/>
      <c r="C66" s="117">
        <f>Таблица213399029467813161721[[#Totals],[2]]</f>
        <v>150876400</v>
      </c>
      <c r="D66" s="101"/>
      <c r="E66" s="102">
        <f>SUM(Таблица213399029467813161721[4])</f>
        <v>0</v>
      </c>
      <c r="F66" s="231"/>
      <c r="G66" s="231"/>
      <c r="H66" s="231"/>
      <c r="I66" s="223"/>
      <c r="J66" s="128">
        <f>SUM(Таблица213399029467813161721[113])</f>
        <v>98.496000000000009</v>
      </c>
      <c r="K66" s="103">
        <f>Таблица213399029467813161721[[#Totals],[1132]]</f>
        <v>57</v>
      </c>
      <c r="L66" s="231"/>
      <c r="M66" s="118">
        <f>Таблица213399029467813161721[[#Totals],[16]]</f>
        <v>68947200</v>
      </c>
    </row>
    <row r="67" spans="1:13" x14ac:dyDescent="0.3">
      <c r="A67" s="104" t="s">
        <v>174</v>
      </c>
      <c r="B67" s="105" t="s">
        <v>175</v>
      </c>
      <c r="C67" s="105" t="s">
        <v>176</v>
      </c>
      <c r="D67" s="105" t="s">
        <v>177</v>
      </c>
      <c r="E67" s="105" t="s">
        <v>178</v>
      </c>
      <c r="F67" s="105" t="s">
        <v>179</v>
      </c>
      <c r="G67" s="105" t="s">
        <v>180</v>
      </c>
      <c r="H67" s="105" t="s">
        <v>181</v>
      </c>
      <c r="I67" s="105" t="s">
        <v>182</v>
      </c>
      <c r="J67" s="105" t="s">
        <v>183</v>
      </c>
      <c r="K67" s="105" t="s">
        <v>184</v>
      </c>
      <c r="L67" s="105" t="s">
        <v>185</v>
      </c>
      <c r="M67" s="105" t="s">
        <v>186</v>
      </c>
    </row>
    <row r="68" spans="1:13" ht="15.5" x14ac:dyDescent="0.3">
      <c r="A68" s="106">
        <v>1</v>
      </c>
      <c r="B68" s="107">
        <v>46213</v>
      </c>
      <c r="C68" s="108">
        <v>20682000</v>
      </c>
      <c r="D68" s="62" t="s">
        <v>247</v>
      </c>
      <c r="E68" s="18"/>
      <c r="F68" s="11">
        <f>Таблица213399029467813161721[[#This Row],[ ]]</f>
        <v>1</v>
      </c>
      <c r="G68" s="62">
        <v>46213</v>
      </c>
      <c r="H68" s="120" t="s">
        <v>114</v>
      </c>
      <c r="I68" s="121" t="s">
        <v>26</v>
      </c>
      <c r="J68" s="122">
        <v>32.832000000000001</v>
      </c>
      <c r="K68" s="123">
        <v>19</v>
      </c>
      <c r="L68" s="11">
        <v>700000</v>
      </c>
      <c r="M68" s="18">
        <f>Таблица213399029467813161721[[#This Row],[113]]*Таблица213399029467813161721[[#This Row],[15]]</f>
        <v>22982400</v>
      </c>
    </row>
    <row r="69" spans="1:13" x14ac:dyDescent="0.3">
      <c r="A69" s="106">
        <v>2</v>
      </c>
      <c r="B69" s="107">
        <v>46213</v>
      </c>
      <c r="C69" s="18">
        <v>2300000</v>
      </c>
      <c r="D69" s="62" t="s">
        <v>201</v>
      </c>
      <c r="E69" s="18"/>
      <c r="F69" s="11">
        <f>Таблица213399029467813161721[[#This Row],[ ]]</f>
        <v>2</v>
      </c>
      <c r="G69" s="107">
        <v>46218</v>
      </c>
      <c r="H69" s="63" t="s">
        <v>152</v>
      </c>
      <c r="I69" s="63" t="s">
        <v>26</v>
      </c>
      <c r="J69" s="63">
        <v>32.832000000000001</v>
      </c>
      <c r="K69" s="18">
        <v>19</v>
      </c>
      <c r="L69" s="51">
        <v>700000</v>
      </c>
      <c r="M69" s="18">
        <f>Таблица213399029467813161721[[#This Row],[113]]*Таблица213399029467813161721[[#This Row],[15]]</f>
        <v>22982400</v>
      </c>
    </row>
    <row r="70" spans="1:13" x14ac:dyDescent="0.3">
      <c r="A70" s="106">
        <v>3</v>
      </c>
      <c r="B70" s="109">
        <v>46218</v>
      </c>
      <c r="C70" s="18">
        <v>61447200</v>
      </c>
      <c r="D70" s="62" t="s">
        <v>248</v>
      </c>
      <c r="E70" s="18"/>
      <c r="F70" s="11">
        <f>Таблица213399029467813161721[[#This Row],[ ]]</f>
        <v>3</v>
      </c>
      <c r="G70" s="107">
        <v>46221</v>
      </c>
      <c r="H70" s="63" t="s">
        <v>277</v>
      </c>
      <c r="I70" s="63" t="s">
        <v>26</v>
      </c>
      <c r="J70" s="63">
        <v>32.832000000000001</v>
      </c>
      <c r="K70" s="18">
        <v>19</v>
      </c>
      <c r="L70" s="51">
        <v>700000</v>
      </c>
      <c r="M70" s="18">
        <f>Таблица213399029467813161721[[#This Row],[113]]*Таблица213399029467813161721[[#This Row],[15]]</f>
        <v>22982400</v>
      </c>
    </row>
    <row r="71" spans="1:13" x14ac:dyDescent="0.3">
      <c r="A71" s="106">
        <v>4</v>
      </c>
      <c r="B71" s="109">
        <v>46218</v>
      </c>
      <c r="C71" s="18">
        <v>2500000</v>
      </c>
      <c r="D71" s="62" t="s">
        <v>201</v>
      </c>
      <c r="E71" s="18"/>
      <c r="F71" s="11">
        <f>Таблица213399029467813161721[[#This Row],[ ]]</f>
        <v>4</v>
      </c>
      <c r="G71" s="107"/>
      <c r="H71" s="63"/>
      <c r="I71" s="63"/>
      <c r="J71" s="63"/>
      <c r="K71" s="18"/>
      <c r="L71" s="51"/>
      <c r="M71" s="18">
        <f>Таблица213399029467813161721[[#This Row],[113]]*Таблица213399029467813161721[[#This Row],[15]]</f>
        <v>0</v>
      </c>
    </row>
    <row r="72" spans="1:13" x14ac:dyDescent="0.3">
      <c r="A72" s="106">
        <v>5</v>
      </c>
      <c r="B72" s="109">
        <v>46221</v>
      </c>
      <c r="C72" s="18">
        <v>2500000</v>
      </c>
      <c r="D72" s="62" t="s">
        <v>201</v>
      </c>
      <c r="E72" s="18"/>
      <c r="F72" s="11">
        <f>Таблица213399029467813161721[[#This Row],[ ]]</f>
        <v>5</v>
      </c>
      <c r="G72" s="107"/>
      <c r="H72" s="63"/>
      <c r="I72" s="63"/>
      <c r="J72" s="63"/>
      <c r="K72" s="18"/>
      <c r="L72" s="51"/>
      <c r="M72" s="18">
        <f>Таблица213399029467813161721[[#This Row],[113]]*Таблица213399029467813161721[[#This Row],[15]]</f>
        <v>0</v>
      </c>
    </row>
    <row r="73" spans="1:13" x14ac:dyDescent="0.3">
      <c r="A73" s="129">
        <v>6</v>
      </c>
      <c r="B73" s="109">
        <v>46224</v>
      </c>
      <c r="C73" s="18">
        <v>61447200</v>
      </c>
      <c r="D73" s="62" t="s">
        <v>248</v>
      </c>
      <c r="E73" s="112"/>
      <c r="F73" s="70">
        <f>Таблица213399029467813161721[[#This Row],[ ]]</f>
        <v>6</v>
      </c>
      <c r="G73" s="131"/>
      <c r="H73" s="132"/>
      <c r="I73" s="132"/>
      <c r="J73" s="132"/>
      <c r="K73" s="77"/>
      <c r="L73" s="133"/>
      <c r="M73" s="77">
        <f>Таблица213399029467813161721[[#This Row],[113]]*Таблица213399029467813161721[[#This Row],[15]]</f>
        <v>0</v>
      </c>
    </row>
    <row r="74" spans="1:13" x14ac:dyDescent="0.3">
      <c r="A74" s="129">
        <v>7</v>
      </c>
      <c r="B74" s="109"/>
      <c r="C74" s="18"/>
      <c r="D74" s="62"/>
      <c r="E74" s="112"/>
      <c r="F74" s="70">
        <f>Таблица213399029467813161721[[#This Row],[ ]]</f>
        <v>7</v>
      </c>
      <c r="G74" s="131"/>
      <c r="H74" s="132"/>
      <c r="I74" s="132"/>
      <c r="J74" s="132"/>
      <c r="K74" s="77"/>
      <c r="L74" s="133"/>
      <c r="M74" s="77">
        <f>Таблица213399029467813161721[[#This Row],[113]]*Таблица213399029467813161721[[#This Row],[15]]</f>
        <v>0</v>
      </c>
    </row>
    <row r="75" spans="1:13" x14ac:dyDescent="0.3">
      <c r="A75" s="111"/>
      <c r="B75" s="12"/>
      <c r="C75" s="18">
        <f>SUBTOTAL(109,Таблица213399029467813161721[2])</f>
        <v>150876400</v>
      </c>
      <c r="D75" s="18"/>
      <c r="E75" s="112"/>
      <c r="F75" s="71"/>
      <c r="G75" s="113"/>
      <c r="H75" s="70"/>
      <c r="I75" s="70"/>
      <c r="J75" s="70"/>
      <c r="K75" s="70">
        <f>SUBTOTAL(109,Таблица213399029467813161721[1132])</f>
        <v>57</v>
      </c>
      <c r="L75" s="114"/>
      <c r="M75" s="114">
        <f>SUBTOTAL(109,Таблица213399029467813161721[16])</f>
        <v>68947200</v>
      </c>
    </row>
    <row r="77" spans="1:13" ht="18.5" x14ac:dyDescent="0.45">
      <c r="A77" s="90"/>
      <c r="B77" s="91"/>
      <c r="C77" s="92" t="s">
        <v>174</v>
      </c>
      <c r="D77" s="127" t="s">
        <v>264</v>
      </c>
      <c r="E77" s="94"/>
    </row>
    <row r="78" spans="1:13" ht="20" x14ac:dyDescent="0.3">
      <c r="A78" s="224" t="s">
        <v>166</v>
      </c>
      <c r="B78" s="224"/>
      <c r="C78" s="225"/>
      <c r="D78" s="225"/>
      <c r="E78" s="95"/>
      <c r="F78" s="226">
        <f>Таблица2133990294678131617212[[#Totals],[2]]+-Таблица2133990294678131617212[[#Totals],[16]]</f>
        <v>-200</v>
      </c>
      <c r="G78" s="227"/>
      <c r="K78" s="103">
        <f>K81</f>
        <v>12</v>
      </c>
    </row>
    <row r="79" spans="1:13" x14ac:dyDescent="0.3">
      <c r="A79" s="228" t="s">
        <v>167</v>
      </c>
      <c r="B79" s="228" t="s">
        <v>168</v>
      </c>
      <c r="C79" s="116" t="s">
        <v>169</v>
      </c>
      <c r="D79" s="116" t="s">
        <v>189</v>
      </c>
      <c r="E79" s="229" t="s">
        <v>171</v>
      </c>
      <c r="F79" s="231" t="s">
        <v>167</v>
      </c>
      <c r="G79" s="231" t="s">
        <v>168</v>
      </c>
      <c r="H79" s="231" t="s">
        <v>172</v>
      </c>
      <c r="I79" s="222" t="s">
        <v>6</v>
      </c>
      <c r="J79" s="233" t="s">
        <v>7</v>
      </c>
      <c r="K79" s="233" t="s">
        <v>173</v>
      </c>
      <c r="L79" s="231" t="s">
        <v>190</v>
      </c>
      <c r="M79" s="222" t="s">
        <v>169</v>
      </c>
    </row>
    <row r="80" spans="1:13" x14ac:dyDescent="0.3">
      <c r="A80" s="228"/>
      <c r="B80" s="228"/>
      <c r="C80" s="98"/>
      <c r="D80" s="99"/>
      <c r="E80" s="230"/>
      <c r="F80" s="231"/>
      <c r="G80" s="231"/>
      <c r="H80" s="231"/>
      <c r="I80" s="232"/>
      <c r="J80" s="234"/>
      <c r="K80" s="235"/>
      <c r="L80" s="231"/>
      <c r="M80" s="223"/>
    </row>
    <row r="81" spans="1:13" ht="15.5" x14ac:dyDescent="0.3">
      <c r="A81" s="228"/>
      <c r="B81" s="228"/>
      <c r="C81" s="117">
        <f>Таблица2133990294678131617212[[#Totals],[2]]</f>
        <v>14515000</v>
      </c>
      <c r="D81" s="101"/>
      <c r="E81" s="102">
        <f>SUM(Таблица2133990294678131617212[4])</f>
        <v>0</v>
      </c>
      <c r="F81" s="231"/>
      <c r="G81" s="231"/>
      <c r="H81" s="231"/>
      <c r="I81" s="223"/>
      <c r="J81" s="128">
        <f>SUM(Таблица2133990294678131617212[113])</f>
        <v>20.736000000000001</v>
      </c>
      <c r="K81" s="103">
        <f>Таблица2133990294678131617212[[#Totals],[1132]]</f>
        <v>12</v>
      </c>
      <c r="L81" s="231"/>
      <c r="M81" s="118">
        <f>Таблица2133990294678131617212[[#Totals],[16]]</f>
        <v>14515200</v>
      </c>
    </row>
    <row r="82" spans="1:13" x14ac:dyDescent="0.3">
      <c r="A82" s="104" t="s">
        <v>174</v>
      </c>
      <c r="B82" s="105" t="s">
        <v>175</v>
      </c>
      <c r="C82" s="105" t="s">
        <v>176</v>
      </c>
      <c r="D82" s="105" t="s">
        <v>177</v>
      </c>
      <c r="E82" s="105" t="s">
        <v>178</v>
      </c>
      <c r="F82" s="105" t="s">
        <v>179</v>
      </c>
      <c r="G82" s="105" t="s">
        <v>180</v>
      </c>
      <c r="H82" s="105" t="s">
        <v>181</v>
      </c>
      <c r="I82" s="105" t="s">
        <v>182</v>
      </c>
      <c r="J82" s="105" t="s">
        <v>183</v>
      </c>
      <c r="K82" s="105" t="s">
        <v>184</v>
      </c>
      <c r="L82" s="105" t="s">
        <v>185</v>
      </c>
      <c r="M82" s="105" t="s">
        <v>186</v>
      </c>
    </row>
    <row r="83" spans="1:13" ht="15.5" x14ac:dyDescent="0.3">
      <c r="A83" s="106">
        <v>1</v>
      </c>
      <c r="B83" s="107">
        <v>46223</v>
      </c>
      <c r="C83" s="108">
        <v>12935000</v>
      </c>
      <c r="D83" s="62" t="s">
        <v>289</v>
      </c>
      <c r="E83" s="18"/>
      <c r="F83" s="11">
        <f>Таблица2133990294678131617212[[#This Row],[ ]]</f>
        <v>1</v>
      </c>
      <c r="G83" s="62">
        <v>46223</v>
      </c>
      <c r="H83" s="120" t="s">
        <v>281</v>
      </c>
      <c r="I83" s="121" t="s">
        <v>26</v>
      </c>
      <c r="J83" s="122">
        <v>20.736000000000001</v>
      </c>
      <c r="K83" s="123">
        <v>12</v>
      </c>
      <c r="L83" s="11">
        <v>700000</v>
      </c>
      <c r="M83" s="18">
        <f>Таблица2133990294678131617212[[#This Row],[113]]*Таблица2133990294678131617212[[#This Row],[15]]</f>
        <v>14515200</v>
      </c>
    </row>
    <row r="84" spans="1:13" x14ac:dyDescent="0.3">
      <c r="A84" s="106">
        <v>2</v>
      </c>
      <c r="B84" s="107">
        <v>46223</v>
      </c>
      <c r="C84" s="18">
        <v>1580000</v>
      </c>
      <c r="D84" s="62" t="s">
        <v>201</v>
      </c>
      <c r="E84" s="18"/>
      <c r="F84" s="11">
        <f>Таблица2133990294678131617212[[#This Row],[ ]]</f>
        <v>2</v>
      </c>
      <c r="G84" s="107"/>
      <c r="H84" s="63"/>
      <c r="I84" s="63"/>
      <c r="J84" s="63"/>
      <c r="K84" s="18"/>
      <c r="L84" s="51"/>
      <c r="M84" s="18">
        <f>Таблица2133990294678131617212[[#This Row],[113]]*Таблица2133990294678131617212[[#This Row],[15]]</f>
        <v>0</v>
      </c>
    </row>
    <row r="85" spans="1:13" x14ac:dyDescent="0.3">
      <c r="A85" s="106">
        <v>3</v>
      </c>
      <c r="B85" s="109"/>
      <c r="C85" s="18"/>
      <c r="D85" s="62"/>
      <c r="E85" s="18"/>
      <c r="F85" s="11">
        <f>Таблица2133990294678131617212[[#This Row],[ ]]</f>
        <v>3</v>
      </c>
      <c r="G85" s="107"/>
      <c r="H85" s="63"/>
      <c r="I85" s="63"/>
      <c r="J85" s="63"/>
      <c r="K85" s="18"/>
      <c r="L85" s="51"/>
      <c r="M85" s="18">
        <f>Таблица2133990294678131617212[[#This Row],[113]]*Таблица2133990294678131617212[[#This Row],[15]]</f>
        <v>0</v>
      </c>
    </row>
    <row r="86" spans="1:13" x14ac:dyDescent="0.3">
      <c r="A86" s="106">
        <v>4</v>
      </c>
      <c r="B86" s="109"/>
      <c r="C86" s="18"/>
      <c r="D86" s="62"/>
      <c r="E86" s="18"/>
      <c r="F86" s="11">
        <f>Таблица2133990294678131617212[[#This Row],[ ]]</f>
        <v>4</v>
      </c>
      <c r="G86" s="107"/>
      <c r="H86" s="63"/>
      <c r="I86" s="63"/>
      <c r="J86" s="63"/>
      <c r="K86" s="18"/>
      <c r="L86" s="51"/>
      <c r="M86" s="18">
        <f>Таблица2133990294678131617212[[#This Row],[113]]*Таблица2133990294678131617212[[#This Row],[15]]</f>
        <v>0</v>
      </c>
    </row>
    <row r="87" spans="1:13" x14ac:dyDescent="0.3">
      <c r="A87" s="106">
        <v>5</v>
      </c>
      <c r="B87" s="109"/>
      <c r="C87" s="18"/>
      <c r="D87" s="62"/>
      <c r="E87" s="18"/>
      <c r="F87" s="11">
        <f>Таблица2133990294678131617212[[#This Row],[ ]]</f>
        <v>5</v>
      </c>
      <c r="G87" s="107"/>
      <c r="H87" s="63"/>
      <c r="I87" s="63"/>
      <c r="J87" s="63"/>
      <c r="K87" s="18"/>
      <c r="L87" s="51"/>
      <c r="M87" s="18">
        <f>Таблица2133990294678131617212[[#This Row],[113]]*Таблица2133990294678131617212[[#This Row],[15]]</f>
        <v>0</v>
      </c>
    </row>
    <row r="88" spans="1:13" x14ac:dyDescent="0.3">
      <c r="A88" s="111"/>
      <c r="B88" s="12"/>
      <c r="C88" s="18">
        <f>SUBTOTAL(109,Таблица2133990294678131617212[2])</f>
        <v>14515000</v>
      </c>
      <c r="D88" s="18"/>
      <c r="E88" s="112"/>
      <c r="F88" s="71"/>
      <c r="G88" s="113"/>
      <c r="H88" s="70"/>
      <c r="I88" s="70"/>
      <c r="J88" s="70"/>
      <c r="K88" s="70">
        <f>SUBTOTAL(109,Таблица2133990294678131617212[1132])</f>
        <v>12</v>
      </c>
      <c r="L88" s="114"/>
      <c r="M88" s="114">
        <f>SUBTOTAL(109,Таблица2133990294678131617212[16])</f>
        <v>14515200</v>
      </c>
    </row>
  </sheetData>
  <mergeCells count="70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30:H32"/>
    <mergeCell ref="I30:I32"/>
    <mergeCell ref="J30:J31"/>
    <mergeCell ref="K30:K31"/>
    <mergeCell ref="L30:L32"/>
    <mergeCell ref="M44:M45"/>
    <mergeCell ref="A43:B43"/>
    <mergeCell ref="C43:D43"/>
    <mergeCell ref="F43:G43"/>
    <mergeCell ref="A44:A46"/>
    <mergeCell ref="B44:B46"/>
    <mergeCell ref="E44:E45"/>
    <mergeCell ref="F44:F46"/>
    <mergeCell ref="G44:G46"/>
    <mergeCell ref="H44:H46"/>
    <mergeCell ref="I44:I46"/>
    <mergeCell ref="J44:J45"/>
    <mergeCell ref="K44:K45"/>
    <mergeCell ref="L44:L46"/>
    <mergeCell ref="M64:M65"/>
    <mergeCell ref="A63:B63"/>
    <mergeCell ref="C63:D63"/>
    <mergeCell ref="F63:G63"/>
    <mergeCell ref="A64:A66"/>
    <mergeCell ref="B64:B66"/>
    <mergeCell ref="E64:E65"/>
    <mergeCell ref="F64:F66"/>
    <mergeCell ref="G64:G66"/>
    <mergeCell ref="H64:H66"/>
    <mergeCell ref="I64:I66"/>
    <mergeCell ref="J64:J65"/>
    <mergeCell ref="K64:K65"/>
    <mergeCell ref="L64:L66"/>
    <mergeCell ref="A78:B78"/>
    <mergeCell ref="C78:D78"/>
    <mergeCell ref="F78:G78"/>
    <mergeCell ref="A79:A81"/>
    <mergeCell ref="B79:B81"/>
    <mergeCell ref="E79:E80"/>
    <mergeCell ref="F79:F81"/>
    <mergeCell ref="G79:G81"/>
    <mergeCell ref="M79:M80"/>
    <mergeCell ref="H79:H81"/>
    <mergeCell ref="I79:I81"/>
    <mergeCell ref="J79:J80"/>
    <mergeCell ref="K79:K80"/>
    <mergeCell ref="L79:L81"/>
  </mergeCells>
  <hyperlinks>
    <hyperlink ref="D1" location="'Свод Завод'!Y4" display="4-Рустам Шпик" xr:uid="{5B34D6DA-61C2-41C9-B9B0-99404CBCC5C1}"/>
    <hyperlink ref="D28" location="'Свод Завод'!Y4" display="4-Рустам Шпик" xr:uid="{6AE8A240-8199-4D22-A293-8F7991B39B5F}"/>
    <hyperlink ref="D42" location="'Свод Завод'!Y4" display="4-Рустам Шпик" xr:uid="{F7D87AED-B463-4613-B735-61054D352E5F}"/>
    <hyperlink ref="D62" location="'Свод Завод'!A1" display="5-Журат ога хонка" xr:uid="{BE88C733-18A8-47BF-B558-7D191A76919D}"/>
    <hyperlink ref="D77" location="'Свод Завод'!A1" display="5-Журат ога хонка" xr:uid="{AE8CCDF5-360A-434B-B81C-70A94EAC5F6C}"/>
  </hyperlink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47A13-D096-4295-8951-99DC55C9E602}">
  <dimension ref="A1:P62"/>
  <sheetViews>
    <sheetView workbookViewId="0">
      <selection activeCell="D29" sqref="D29"/>
    </sheetView>
  </sheetViews>
  <sheetFormatPr defaultRowHeight="14.5" x14ac:dyDescent="0.35"/>
  <cols>
    <col min="1" max="1" width="5.54296875" bestFit="1" customWidth="1"/>
    <col min="2" max="2" width="11.36328125" bestFit="1" customWidth="1"/>
    <col min="3" max="3" width="13.453125" bestFit="1" customWidth="1"/>
    <col min="4" max="4" width="30.453125" bestFit="1" customWidth="1"/>
    <col min="7" max="7" width="11.36328125" bestFit="1" customWidth="1"/>
    <col min="8" max="8" width="21.6328125" bestFit="1" customWidth="1"/>
    <col min="9" max="9" width="13.453125" bestFit="1" customWidth="1"/>
    <col min="10" max="10" width="17.6328125" bestFit="1" customWidth="1"/>
    <col min="12" max="12" width="11" bestFit="1" customWidth="1"/>
    <col min="13" max="13" width="16.1796875" customWidth="1"/>
    <col min="16" max="16" width="10.54296875" bestFit="1" customWidth="1"/>
  </cols>
  <sheetData>
    <row r="1" spans="1:13" ht="18.5" x14ac:dyDescent="0.45">
      <c r="A1" s="90"/>
      <c r="B1" s="91"/>
      <c r="C1" s="92" t="s">
        <v>174</v>
      </c>
      <c r="D1" s="127" t="s">
        <v>227</v>
      </c>
      <c r="E1" s="94"/>
      <c r="F1" s="32"/>
      <c r="G1" s="32"/>
      <c r="H1" s="32"/>
      <c r="I1" s="32"/>
      <c r="J1" s="32"/>
      <c r="K1" s="32"/>
      <c r="L1" s="32"/>
      <c r="M1" s="32"/>
    </row>
    <row r="2" spans="1:13" ht="20" x14ac:dyDescent="0.35">
      <c r="A2" s="224" t="s">
        <v>166</v>
      </c>
      <c r="B2" s="224"/>
      <c r="C2" s="225"/>
      <c r="D2" s="225"/>
      <c r="E2" s="95"/>
      <c r="F2" s="226">
        <f>Таблица2133990294678[[#Totals],[2]]+-Таблица2133990294678[[#Totals],[16]]</f>
        <v>-29104799.379199982</v>
      </c>
      <c r="G2" s="227"/>
      <c r="H2" s="32"/>
      <c r="I2" s="32"/>
      <c r="J2" s="32"/>
      <c r="K2" s="103">
        <f>K5</f>
        <v>158</v>
      </c>
      <c r="L2" s="32"/>
      <c r="M2" s="32"/>
    </row>
    <row r="3" spans="1:13" x14ac:dyDescent="0.35">
      <c r="A3" s="228" t="s">
        <v>167</v>
      </c>
      <c r="B3" s="228" t="s">
        <v>168</v>
      </c>
      <c r="C3" s="116" t="s">
        <v>169</v>
      </c>
      <c r="D3" s="116" t="s">
        <v>189</v>
      </c>
      <c r="E3" s="229" t="s">
        <v>171</v>
      </c>
      <c r="F3" s="231" t="s">
        <v>167</v>
      </c>
      <c r="G3" s="231" t="s">
        <v>168</v>
      </c>
      <c r="H3" s="231" t="s">
        <v>172</v>
      </c>
      <c r="I3" s="222" t="s">
        <v>6</v>
      </c>
      <c r="J3" s="233" t="s">
        <v>7</v>
      </c>
      <c r="K3" s="233" t="s">
        <v>173</v>
      </c>
      <c r="L3" s="231" t="s">
        <v>190</v>
      </c>
      <c r="M3" s="222" t="s">
        <v>169</v>
      </c>
    </row>
    <row r="4" spans="1:13" x14ac:dyDescent="0.35">
      <c r="A4" s="228"/>
      <c r="B4" s="228"/>
      <c r="C4" s="98"/>
      <c r="D4" s="99"/>
      <c r="E4" s="230"/>
      <c r="F4" s="231"/>
      <c r="G4" s="231"/>
      <c r="H4" s="231"/>
      <c r="I4" s="232"/>
      <c r="J4" s="234"/>
      <c r="K4" s="235"/>
      <c r="L4" s="231"/>
      <c r="M4" s="223"/>
    </row>
    <row r="5" spans="1:13" ht="15.5" x14ac:dyDescent="0.35">
      <c r="A5" s="228"/>
      <c r="B5" s="228"/>
      <c r="C5" s="117">
        <f>Таблица2133990294678[[#Totals],[2]]</f>
        <v>162994600</v>
      </c>
      <c r="D5" s="101"/>
      <c r="E5" s="102">
        <f>SUM(Таблица2133990294678[4])</f>
        <v>0</v>
      </c>
      <c r="F5" s="231"/>
      <c r="G5" s="231"/>
      <c r="H5" s="231"/>
      <c r="I5" s="223"/>
      <c r="J5" s="128">
        <f>SUM(Таблица2133990294678[113])</f>
        <v>273.024</v>
      </c>
      <c r="K5" s="103">
        <f>Таблица2133990294678[[#Totals],[1132]]</f>
        <v>158</v>
      </c>
      <c r="L5" s="231"/>
      <c r="M5" s="118">
        <f>Таблица2133990294678[[#Totals],[16]]</f>
        <v>192099399.37919998</v>
      </c>
    </row>
    <row r="6" spans="1:13" x14ac:dyDescent="0.35">
      <c r="A6" s="104" t="s">
        <v>174</v>
      </c>
      <c r="B6" s="105" t="s">
        <v>175</v>
      </c>
      <c r="C6" s="105" t="s">
        <v>176</v>
      </c>
      <c r="D6" s="105" t="s">
        <v>177</v>
      </c>
      <c r="E6" s="105" t="s">
        <v>178</v>
      </c>
      <c r="F6" s="105" t="s">
        <v>179</v>
      </c>
      <c r="G6" s="105" t="s">
        <v>180</v>
      </c>
      <c r="H6" s="105" t="s">
        <v>181</v>
      </c>
      <c r="I6" s="105" t="s">
        <v>182</v>
      </c>
      <c r="J6" s="105" t="s">
        <v>183</v>
      </c>
      <c r="K6" s="105" t="s">
        <v>184</v>
      </c>
      <c r="L6" s="105" t="s">
        <v>185</v>
      </c>
      <c r="M6" s="105" t="s">
        <v>186</v>
      </c>
    </row>
    <row r="7" spans="1:13" ht="15.5" x14ac:dyDescent="0.35">
      <c r="A7" s="106">
        <v>1</v>
      </c>
      <c r="B7" s="107">
        <v>46202</v>
      </c>
      <c r="C7" s="108">
        <v>23965000</v>
      </c>
      <c r="D7" s="62" t="s">
        <v>228</v>
      </c>
      <c r="E7" s="18"/>
      <c r="F7" s="11">
        <f>Таблица2133990294678[[#This Row],[ ]]</f>
        <v>1</v>
      </c>
      <c r="G7" s="62">
        <v>46200</v>
      </c>
      <c r="H7" s="120" t="s">
        <v>31</v>
      </c>
      <c r="I7" s="121" t="s">
        <v>26</v>
      </c>
      <c r="J7" s="122">
        <v>32.832000000000001</v>
      </c>
      <c r="K7" s="123">
        <v>19</v>
      </c>
      <c r="L7" s="18">
        <v>729928.1</v>
      </c>
      <c r="M7" s="18">
        <f>Таблица2133990294678[[#This Row],[113]]*Таблица2133990294678[[#This Row],[15]]</f>
        <v>23964999.3792</v>
      </c>
    </row>
    <row r="8" spans="1:13" x14ac:dyDescent="0.35">
      <c r="A8" s="129">
        <v>2</v>
      </c>
      <c r="B8" s="110">
        <v>46206</v>
      </c>
      <c r="C8" s="18">
        <v>41964800</v>
      </c>
      <c r="D8" s="62" t="s">
        <v>228</v>
      </c>
      <c r="E8" s="112"/>
      <c r="F8" s="70">
        <f>Таблица2133990294678[[#This Row],[ ]]</f>
        <v>2</v>
      </c>
      <c r="G8" s="107">
        <v>46206</v>
      </c>
      <c r="H8" s="63" t="s">
        <v>74</v>
      </c>
      <c r="I8" s="63" t="s">
        <v>26</v>
      </c>
      <c r="J8" s="63">
        <v>32.832000000000001</v>
      </c>
      <c r="K8" s="18">
        <v>19</v>
      </c>
      <c r="L8" s="51">
        <v>700000</v>
      </c>
      <c r="M8" s="77">
        <f>Таблица2133990294678[[#This Row],[113]]*Таблица2133990294678[[#This Row],[15]]</f>
        <v>22982400</v>
      </c>
    </row>
    <row r="9" spans="1:13" x14ac:dyDescent="0.35">
      <c r="A9" s="129">
        <v>3</v>
      </c>
      <c r="B9" s="110">
        <v>46216</v>
      </c>
      <c r="C9" s="18">
        <v>41564800</v>
      </c>
      <c r="D9" s="62" t="s">
        <v>228</v>
      </c>
      <c r="E9" s="112"/>
      <c r="F9" s="70">
        <f>Таблица2133990294678[[#This Row],[ ]]</f>
        <v>3</v>
      </c>
      <c r="G9" s="107">
        <v>46206</v>
      </c>
      <c r="H9" s="63" t="s">
        <v>80</v>
      </c>
      <c r="I9" s="63" t="s">
        <v>26</v>
      </c>
      <c r="J9" s="63">
        <v>32.832000000000001</v>
      </c>
      <c r="K9" s="18">
        <v>19</v>
      </c>
      <c r="L9" s="51">
        <v>700000</v>
      </c>
      <c r="M9" s="77">
        <f>Таблица2133990294678[[#This Row],[113]]*Таблица2133990294678[[#This Row],[15]]</f>
        <v>22982400</v>
      </c>
    </row>
    <row r="10" spans="1:13" x14ac:dyDescent="0.35">
      <c r="A10" s="129">
        <v>4</v>
      </c>
      <c r="B10" s="110">
        <v>46206</v>
      </c>
      <c r="C10" s="18">
        <v>4000000</v>
      </c>
      <c r="D10" s="62" t="s">
        <v>201</v>
      </c>
      <c r="E10" s="112"/>
      <c r="F10" s="70">
        <f>Таблица2133990294678[[#This Row],[ ]]</f>
        <v>4</v>
      </c>
      <c r="G10" s="107">
        <v>46214</v>
      </c>
      <c r="H10" s="63" t="s">
        <v>79</v>
      </c>
      <c r="I10" s="63" t="s">
        <v>26</v>
      </c>
      <c r="J10" s="63">
        <v>32.832000000000001</v>
      </c>
      <c r="K10" s="51">
        <v>19</v>
      </c>
      <c r="L10" s="18">
        <v>700000</v>
      </c>
      <c r="M10" s="77">
        <f>Таблица2133990294678[[#This Row],[113]]*Таблица2133990294678[[#This Row],[15]]</f>
        <v>22982400</v>
      </c>
    </row>
    <row r="11" spans="1:13" x14ac:dyDescent="0.35">
      <c r="A11" s="129">
        <v>5</v>
      </c>
      <c r="B11" s="110">
        <v>46214</v>
      </c>
      <c r="C11" s="18">
        <v>4000000</v>
      </c>
      <c r="D11" s="62" t="s">
        <v>201</v>
      </c>
      <c r="E11" s="112"/>
      <c r="F11" s="70">
        <f>Таблица2133990294678[[#This Row],[ ]]</f>
        <v>5</v>
      </c>
      <c r="G11" s="107">
        <v>46214</v>
      </c>
      <c r="H11" s="63" t="s">
        <v>123</v>
      </c>
      <c r="I11" s="63" t="s">
        <v>26</v>
      </c>
      <c r="J11" s="63">
        <v>32.832000000000001</v>
      </c>
      <c r="K11" s="51">
        <v>19</v>
      </c>
      <c r="L11" s="18">
        <v>700000</v>
      </c>
      <c r="M11" s="77">
        <f>Таблица2133990294678[[#This Row],[113]]*Таблица2133990294678[[#This Row],[15]]</f>
        <v>22982400</v>
      </c>
    </row>
    <row r="12" spans="1:13" x14ac:dyDescent="0.35">
      <c r="A12" s="129">
        <v>6</v>
      </c>
      <c r="B12" s="110">
        <v>46221</v>
      </c>
      <c r="C12" s="18">
        <v>7500000</v>
      </c>
      <c r="D12" s="62" t="s">
        <v>201</v>
      </c>
      <c r="E12" s="112"/>
      <c r="F12" s="70">
        <f>Таблица2133990294678[[#This Row],[ ]]</f>
        <v>6</v>
      </c>
      <c r="G12" s="107">
        <v>46221</v>
      </c>
      <c r="H12" s="63" t="s">
        <v>142</v>
      </c>
      <c r="I12" s="63" t="s">
        <v>26</v>
      </c>
      <c r="J12" s="63">
        <v>32.832000000000001</v>
      </c>
      <c r="K12" s="18">
        <v>19</v>
      </c>
      <c r="L12" s="51">
        <v>700000</v>
      </c>
      <c r="M12" s="77">
        <f>Таблица2133990294678[[#This Row],[113]]*Таблица2133990294678[[#This Row],[15]]</f>
        <v>22982400</v>
      </c>
    </row>
    <row r="13" spans="1:13" x14ac:dyDescent="0.35">
      <c r="A13" s="129">
        <v>7</v>
      </c>
      <c r="B13" s="110">
        <v>46225</v>
      </c>
      <c r="C13" s="18">
        <v>40000000</v>
      </c>
      <c r="D13" s="62" t="s">
        <v>290</v>
      </c>
      <c r="E13" s="112"/>
      <c r="F13" s="70">
        <f>Таблица2133990294678[[#This Row],[ ]]</f>
        <v>7</v>
      </c>
      <c r="G13" s="107">
        <v>46221</v>
      </c>
      <c r="H13" s="63" t="s">
        <v>275</v>
      </c>
      <c r="I13" s="63" t="s">
        <v>46</v>
      </c>
      <c r="J13" s="63">
        <v>32.832000000000001</v>
      </c>
      <c r="K13" s="51">
        <v>19</v>
      </c>
      <c r="L13" s="18">
        <v>700000</v>
      </c>
      <c r="M13" s="77">
        <f>Таблица2133990294678[[#This Row],[113]]*Таблица2133990294678[[#This Row],[15]]</f>
        <v>22982400</v>
      </c>
    </row>
    <row r="14" spans="1:13" x14ac:dyDescent="0.35">
      <c r="A14" s="129">
        <v>8</v>
      </c>
      <c r="B14" s="110"/>
      <c r="C14" s="18"/>
      <c r="D14" s="62"/>
      <c r="E14" s="112"/>
      <c r="F14" s="70">
        <f>Таблица2133990294678[[#This Row],[ ]]</f>
        <v>8</v>
      </c>
      <c r="G14" s="107">
        <v>46221</v>
      </c>
      <c r="H14" s="63" t="s">
        <v>276</v>
      </c>
      <c r="I14" s="63" t="s">
        <v>26</v>
      </c>
      <c r="J14" s="63">
        <v>32.832000000000001</v>
      </c>
      <c r="K14" s="51">
        <v>19</v>
      </c>
      <c r="L14" s="18">
        <v>700000</v>
      </c>
      <c r="M14" s="77">
        <f>Таблица2133990294678[[#This Row],[113]]*Таблица2133990294678[[#This Row],[15]]</f>
        <v>22982400</v>
      </c>
    </row>
    <row r="15" spans="1:13" x14ac:dyDescent="0.35">
      <c r="A15" s="129">
        <v>9</v>
      </c>
      <c r="B15" s="110"/>
      <c r="C15" s="18"/>
      <c r="D15" s="62"/>
      <c r="E15" s="112"/>
      <c r="F15" s="70">
        <f>Таблица2133990294678[[#This Row],[ ]]</f>
        <v>9</v>
      </c>
      <c r="G15" s="107">
        <v>46223</v>
      </c>
      <c r="H15" s="63" t="s">
        <v>138</v>
      </c>
      <c r="I15" s="63" t="s">
        <v>26</v>
      </c>
      <c r="J15" s="63">
        <v>10.368</v>
      </c>
      <c r="K15" s="51">
        <v>6</v>
      </c>
      <c r="L15" s="18">
        <v>700000</v>
      </c>
      <c r="M15" s="77">
        <f>Таблица2133990294678[[#This Row],[113]]*Таблица2133990294678[[#This Row],[15]]</f>
        <v>7257600</v>
      </c>
    </row>
    <row r="16" spans="1:13" x14ac:dyDescent="0.35">
      <c r="A16" s="129">
        <v>10</v>
      </c>
      <c r="B16" s="110"/>
      <c r="C16" s="18"/>
      <c r="D16" s="62"/>
      <c r="E16" s="112"/>
      <c r="F16" s="70">
        <f>Таблица2133990294678[[#This Row],[ ]]</f>
        <v>10</v>
      </c>
      <c r="G16" s="131"/>
      <c r="H16" s="132"/>
      <c r="I16" s="132"/>
      <c r="J16" s="132"/>
      <c r="K16" s="133"/>
      <c r="L16" s="77"/>
      <c r="M16" s="77">
        <f>Таблица2133990294678[[#This Row],[113]]*Таблица2133990294678[[#This Row],[15]]</f>
        <v>0</v>
      </c>
    </row>
    <row r="17" spans="1:13" x14ac:dyDescent="0.35">
      <c r="A17" s="111"/>
      <c r="B17" s="12"/>
      <c r="C17" s="18">
        <f>SUBTOTAL(109,Таблица2133990294678[2])</f>
        <v>162994600</v>
      </c>
      <c r="D17" s="18"/>
      <c r="E17" s="112"/>
      <c r="F17" s="71"/>
      <c r="G17" s="113"/>
      <c r="H17" s="70"/>
      <c r="I17" s="70"/>
      <c r="J17" s="70"/>
      <c r="K17" s="70">
        <f>SUBTOTAL(109,Таблица2133990294678[1132])</f>
        <v>158</v>
      </c>
      <c r="L17" s="114"/>
      <c r="M17" s="114">
        <f>SUBTOTAL(109,Таблица2133990294678[16])</f>
        <v>192099399.37919998</v>
      </c>
    </row>
    <row r="18" spans="1:13" x14ac:dyDescent="0.35">
      <c r="J18" s="32"/>
    </row>
    <row r="19" spans="1:13" ht="18.5" x14ac:dyDescent="0.45">
      <c r="A19" s="90"/>
      <c r="B19" s="91"/>
      <c r="C19" s="92" t="s">
        <v>174</v>
      </c>
      <c r="D19" s="127" t="s">
        <v>229</v>
      </c>
      <c r="E19" s="94"/>
      <c r="F19" s="32"/>
      <c r="G19" s="32"/>
      <c r="H19" s="32"/>
      <c r="I19" s="32"/>
      <c r="J19" s="32"/>
      <c r="M19" s="32"/>
    </row>
    <row r="20" spans="1:13" ht="20" x14ac:dyDescent="0.35">
      <c r="A20" s="224" t="s">
        <v>166</v>
      </c>
      <c r="B20" s="224"/>
      <c r="C20" s="225"/>
      <c r="D20" s="225"/>
      <c r="E20" s="95"/>
      <c r="F20" s="226">
        <f>Таблица213399029467[[#Totals],[2]]+-Таблица213399029467[[#Totals],[16]]</f>
        <v>0</v>
      </c>
      <c r="G20" s="227"/>
      <c r="H20" s="32"/>
      <c r="I20" s="32"/>
      <c r="J20" s="32"/>
      <c r="K20" s="103">
        <f>K23</f>
        <v>38</v>
      </c>
      <c r="L20" s="32"/>
      <c r="M20" s="32"/>
    </row>
    <row r="21" spans="1:13" x14ac:dyDescent="0.35">
      <c r="A21" s="228" t="s">
        <v>167</v>
      </c>
      <c r="B21" s="228" t="s">
        <v>168</v>
      </c>
      <c r="C21" s="116" t="s">
        <v>169</v>
      </c>
      <c r="D21" s="116" t="s">
        <v>189</v>
      </c>
      <c r="E21" s="229" t="s">
        <v>171</v>
      </c>
      <c r="F21" s="231" t="s">
        <v>167</v>
      </c>
      <c r="G21" s="231" t="s">
        <v>168</v>
      </c>
      <c r="H21" s="231" t="s">
        <v>172</v>
      </c>
      <c r="I21" s="222" t="s">
        <v>6</v>
      </c>
      <c r="J21" s="233" t="s">
        <v>7</v>
      </c>
      <c r="K21" s="233" t="s">
        <v>173</v>
      </c>
      <c r="L21" s="231" t="s">
        <v>190</v>
      </c>
      <c r="M21" s="222" t="s">
        <v>169</v>
      </c>
    </row>
    <row r="22" spans="1:13" x14ac:dyDescent="0.35">
      <c r="A22" s="228"/>
      <c r="B22" s="228"/>
      <c r="C22" s="98"/>
      <c r="D22" s="99"/>
      <c r="E22" s="230"/>
      <c r="F22" s="231"/>
      <c r="G22" s="231"/>
      <c r="H22" s="231"/>
      <c r="I22" s="232"/>
      <c r="J22" s="232"/>
      <c r="K22" s="235"/>
      <c r="L22" s="231"/>
      <c r="M22" s="223"/>
    </row>
    <row r="23" spans="1:13" ht="15.5" x14ac:dyDescent="0.35">
      <c r="A23" s="228"/>
      <c r="B23" s="228"/>
      <c r="C23" s="117">
        <f>Таблица213399029467[[#Totals],[2]]</f>
        <v>49904640</v>
      </c>
      <c r="D23" s="101"/>
      <c r="E23" s="102">
        <f>SUM(Таблица213399029467[4])</f>
        <v>0</v>
      </c>
      <c r="F23" s="231"/>
      <c r="G23" s="231"/>
      <c r="H23" s="231"/>
      <c r="I23" s="223"/>
      <c r="J23" s="223"/>
      <c r="K23" s="103">
        <f>Таблица213399029467[[#Totals],[1132]]</f>
        <v>38</v>
      </c>
      <c r="L23" s="231"/>
      <c r="M23" s="118">
        <f>Таблица213399029467[[#Totals],[16]]</f>
        <v>49904640</v>
      </c>
    </row>
    <row r="24" spans="1:13" x14ac:dyDescent="0.35">
      <c r="A24" s="104" t="s">
        <v>174</v>
      </c>
      <c r="B24" s="105" t="s">
        <v>175</v>
      </c>
      <c r="C24" s="105" t="s">
        <v>176</v>
      </c>
      <c r="D24" s="105" t="s">
        <v>177</v>
      </c>
      <c r="E24" s="105" t="s">
        <v>178</v>
      </c>
      <c r="F24" s="105" t="s">
        <v>179</v>
      </c>
      <c r="G24" s="105" t="s">
        <v>180</v>
      </c>
      <c r="H24" s="105" t="s">
        <v>181</v>
      </c>
      <c r="I24" s="105" t="s">
        <v>182</v>
      </c>
      <c r="J24" s="105" t="s">
        <v>183</v>
      </c>
      <c r="K24" s="105" t="s">
        <v>184</v>
      </c>
      <c r="L24" s="105" t="s">
        <v>185</v>
      </c>
      <c r="M24" s="105" t="s">
        <v>186</v>
      </c>
    </row>
    <row r="25" spans="1:13" ht="15.5" x14ac:dyDescent="0.35">
      <c r="A25" s="106">
        <v>1</v>
      </c>
      <c r="B25" s="107">
        <v>46206</v>
      </c>
      <c r="C25" s="108">
        <v>49904640</v>
      </c>
      <c r="D25" s="62" t="s">
        <v>230</v>
      </c>
      <c r="E25" s="18"/>
      <c r="F25" s="11">
        <f>Таблица213399029467[[#This Row],[ ]]</f>
        <v>1</v>
      </c>
      <c r="G25" s="62">
        <v>46200</v>
      </c>
      <c r="H25" s="120" t="s">
        <v>52</v>
      </c>
      <c r="I25" s="121" t="s">
        <v>26</v>
      </c>
      <c r="J25" s="122">
        <v>32.832000000000001</v>
      </c>
      <c r="K25" s="123">
        <v>19</v>
      </c>
      <c r="L25" s="18">
        <v>760000</v>
      </c>
      <c r="M25" s="18">
        <f>Таблица213399029467[[#This Row],[113]]*Таблица213399029467[[#This Row],[15]]</f>
        <v>24952320</v>
      </c>
    </row>
    <row r="26" spans="1:13" x14ac:dyDescent="0.35">
      <c r="A26" s="106">
        <v>2</v>
      </c>
      <c r="B26" s="110"/>
      <c r="C26" s="18"/>
      <c r="D26" s="62"/>
      <c r="E26" s="18"/>
      <c r="F26" s="11">
        <f>Таблица213399029467[[#This Row],[ ]]</f>
        <v>2</v>
      </c>
      <c r="G26" s="107">
        <v>46201</v>
      </c>
      <c r="H26" s="63" t="s">
        <v>54</v>
      </c>
      <c r="I26" s="63" t="s">
        <v>26</v>
      </c>
      <c r="J26" s="63">
        <v>32.832000000000001</v>
      </c>
      <c r="K26" s="18">
        <v>19</v>
      </c>
      <c r="L26" s="18">
        <v>760000</v>
      </c>
      <c r="M26" s="18">
        <f>Таблица213399029467[[#This Row],[113]]*Таблица213399029467[[#This Row],[15]]</f>
        <v>24952320</v>
      </c>
    </row>
    <row r="27" spans="1:13" x14ac:dyDescent="0.35">
      <c r="A27" s="111"/>
      <c r="B27" s="12"/>
      <c r="C27" s="18">
        <f>SUBTOTAL(109,Таблица213399029467[2])</f>
        <v>49904640</v>
      </c>
      <c r="D27" s="18"/>
      <c r="E27" s="112"/>
      <c r="F27" s="71"/>
      <c r="G27" s="113"/>
      <c r="H27" s="70"/>
      <c r="I27" s="70"/>
      <c r="J27" s="70"/>
      <c r="K27" s="70">
        <f>SUBTOTAL(109,Таблица213399029467[1132])</f>
        <v>38</v>
      </c>
      <c r="L27" s="114"/>
      <c r="M27" s="114">
        <f>SUBTOTAL(109,Таблица213399029467[16])</f>
        <v>49904640</v>
      </c>
    </row>
    <row r="29" spans="1:13" ht="18.5" x14ac:dyDescent="0.45">
      <c r="A29" s="90"/>
      <c r="B29" s="91"/>
      <c r="C29" s="92" t="s">
        <v>174</v>
      </c>
      <c r="D29" s="127" t="s">
        <v>231</v>
      </c>
      <c r="E29" s="94"/>
      <c r="F29" s="32"/>
      <c r="G29" s="32"/>
      <c r="H29" s="32"/>
      <c r="I29" s="32"/>
      <c r="J29" s="32"/>
      <c r="K29" s="32"/>
      <c r="L29" s="32"/>
      <c r="M29" s="32"/>
    </row>
    <row r="30" spans="1:13" ht="20" x14ac:dyDescent="0.35">
      <c r="A30" s="224" t="s">
        <v>166</v>
      </c>
      <c r="B30" s="224"/>
      <c r="C30" s="225"/>
      <c r="D30" s="225"/>
      <c r="E30" s="95"/>
      <c r="F30" s="226">
        <f>Таблица213399029467826[[#Totals],[2]]+-Таблица213399029467826[[#Totals],[16]]</f>
        <v>-831800</v>
      </c>
      <c r="G30" s="227"/>
      <c r="H30" s="32"/>
      <c r="I30" s="32"/>
      <c r="J30" s="32"/>
      <c r="K30" s="103">
        <f>Таблица213399029467826[[#Totals],[1132]]</f>
        <v>38</v>
      </c>
      <c r="L30" s="32"/>
      <c r="M30" s="32"/>
    </row>
    <row r="31" spans="1:13" x14ac:dyDescent="0.35">
      <c r="A31" s="228" t="s">
        <v>167</v>
      </c>
      <c r="B31" s="228" t="s">
        <v>168</v>
      </c>
      <c r="C31" s="116" t="s">
        <v>169</v>
      </c>
      <c r="D31" s="116" t="s">
        <v>189</v>
      </c>
      <c r="E31" s="229" t="s">
        <v>171</v>
      </c>
      <c r="F31" s="231" t="s">
        <v>167</v>
      </c>
      <c r="G31" s="231" t="s">
        <v>168</v>
      </c>
      <c r="H31" s="231" t="s">
        <v>172</v>
      </c>
      <c r="I31" s="222" t="s">
        <v>6</v>
      </c>
      <c r="J31" s="233" t="s">
        <v>7</v>
      </c>
      <c r="K31" s="233" t="s">
        <v>173</v>
      </c>
      <c r="L31" s="231" t="s">
        <v>190</v>
      </c>
      <c r="M31" s="222" t="s">
        <v>169</v>
      </c>
    </row>
    <row r="32" spans="1:13" x14ac:dyDescent="0.35">
      <c r="A32" s="228"/>
      <c r="B32" s="228"/>
      <c r="C32" s="98"/>
      <c r="D32" s="99"/>
      <c r="E32" s="230"/>
      <c r="F32" s="231"/>
      <c r="G32" s="231"/>
      <c r="H32" s="231"/>
      <c r="I32" s="232"/>
      <c r="J32" s="234"/>
      <c r="K32" s="235"/>
      <c r="L32" s="231"/>
      <c r="M32" s="223"/>
    </row>
    <row r="33" spans="1:16" ht="15.5" x14ac:dyDescent="0.35">
      <c r="A33" s="228"/>
      <c r="B33" s="228"/>
      <c r="C33" s="117">
        <f>Таблица213399029467826[[#Totals],[2]]</f>
        <v>45133000</v>
      </c>
      <c r="D33" s="101"/>
      <c r="E33" s="102">
        <f>SUM(Таблица213399029467826[4])</f>
        <v>0</v>
      </c>
      <c r="F33" s="231"/>
      <c r="G33" s="231"/>
      <c r="H33" s="231"/>
      <c r="I33" s="223"/>
      <c r="J33" s="128">
        <f>SUM(Таблица213399029467826[113])</f>
        <v>65.664000000000001</v>
      </c>
      <c r="K33" s="103">
        <f>Таблица213399029467826[[#Totals],[1132]]</f>
        <v>38</v>
      </c>
      <c r="L33" s="231"/>
      <c r="M33" s="118">
        <f>Таблица213399029467826[[#Totals],[16]]</f>
        <v>45964800</v>
      </c>
    </row>
    <row r="34" spans="1:16" x14ac:dyDescent="0.35">
      <c r="A34" s="104" t="s">
        <v>174</v>
      </c>
      <c r="B34" s="105" t="s">
        <v>175</v>
      </c>
      <c r="C34" s="105" t="s">
        <v>176</v>
      </c>
      <c r="D34" s="105" t="s">
        <v>177</v>
      </c>
      <c r="E34" s="105" t="s">
        <v>178</v>
      </c>
      <c r="F34" s="105" t="s">
        <v>179</v>
      </c>
      <c r="G34" s="105" t="s">
        <v>180</v>
      </c>
      <c r="H34" s="105" t="s">
        <v>181</v>
      </c>
      <c r="I34" s="105" t="s">
        <v>182</v>
      </c>
      <c r="J34" s="105" t="s">
        <v>183</v>
      </c>
      <c r="K34" s="105" t="s">
        <v>184</v>
      </c>
      <c r="L34" s="105" t="s">
        <v>185</v>
      </c>
      <c r="M34" s="105" t="s">
        <v>186</v>
      </c>
    </row>
    <row r="35" spans="1:16" ht="15.5" x14ac:dyDescent="0.35">
      <c r="A35" s="106">
        <v>1</v>
      </c>
      <c r="B35" s="107">
        <v>46214</v>
      </c>
      <c r="C35" s="108">
        <v>30033000</v>
      </c>
      <c r="D35" s="62" t="s">
        <v>232</v>
      </c>
      <c r="E35" s="18"/>
      <c r="F35" s="11">
        <f>Таблица213399029467826[[#This Row],[ ]]</f>
        <v>1</v>
      </c>
      <c r="G35" s="62">
        <v>46185</v>
      </c>
      <c r="H35" s="120" t="s">
        <v>126</v>
      </c>
      <c r="I35" s="121" t="s">
        <v>26</v>
      </c>
      <c r="J35" s="122">
        <v>32.832000000000001</v>
      </c>
      <c r="K35" s="123">
        <v>19</v>
      </c>
      <c r="L35" s="18">
        <v>700000</v>
      </c>
      <c r="M35" s="18">
        <f>Таблица213399029467826[[#This Row],[113]]*Таблица213399029467826[[#This Row],[15]]</f>
        <v>22982400</v>
      </c>
      <c r="P35" s="48"/>
    </row>
    <row r="36" spans="1:16" ht="15.5" x14ac:dyDescent="0.35">
      <c r="A36" s="106">
        <v>2</v>
      </c>
      <c r="B36" s="107">
        <v>46215</v>
      </c>
      <c r="C36" s="108">
        <v>2600000</v>
      </c>
      <c r="D36" s="62" t="s">
        <v>201</v>
      </c>
      <c r="E36" s="18"/>
      <c r="F36" s="11">
        <f>Таблица213399029467826[[#This Row],[ ]]</f>
        <v>2</v>
      </c>
      <c r="G36" s="107">
        <v>46226</v>
      </c>
      <c r="H36" s="63" t="s">
        <v>295</v>
      </c>
      <c r="I36" s="121" t="s">
        <v>26</v>
      </c>
      <c r="J36" s="122">
        <v>32.832000000000001</v>
      </c>
      <c r="K36" s="123">
        <v>19</v>
      </c>
      <c r="L36" s="18">
        <v>700000</v>
      </c>
      <c r="M36" s="18">
        <f>Таблица213399029467826[[#This Row],[113]]*Таблица213399029467826[[#This Row],[15]]</f>
        <v>22982400</v>
      </c>
      <c r="P36" s="48"/>
    </row>
    <row r="37" spans="1:16" x14ac:dyDescent="0.35">
      <c r="A37" s="106">
        <v>3</v>
      </c>
      <c r="B37" s="109">
        <v>46219</v>
      </c>
      <c r="C37" s="18">
        <v>10000000</v>
      </c>
      <c r="D37" s="62" t="s">
        <v>232</v>
      </c>
      <c r="E37" s="18"/>
      <c r="F37" s="11">
        <f>Таблица213399029467826[[#This Row],[ ]]</f>
        <v>3</v>
      </c>
      <c r="G37" s="110"/>
      <c r="H37" s="11"/>
      <c r="I37" s="63"/>
      <c r="J37" s="63"/>
      <c r="K37" s="51"/>
      <c r="L37" s="51"/>
      <c r="M37" s="18">
        <f>Таблица213399029467826[[#This Row],[113]]*Таблица213399029467826[[#This Row],[15]]</f>
        <v>0</v>
      </c>
    </row>
    <row r="38" spans="1:16" x14ac:dyDescent="0.35">
      <c r="A38" s="129">
        <v>4</v>
      </c>
      <c r="B38" s="109">
        <v>46226</v>
      </c>
      <c r="C38" s="18">
        <v>2500000</v>
      </c>
      <c r="D38" s="62" t="s">
        <v>201</v>
      </c>
      <c r="E38" s="112"/>
      <c r="F38" s="70">
        <f>Таблица213399029467826[[#This Row],[ ]]</f>
        <v>4</v>
      </c>
      <c r="G38" s="131"/>
      <c r="H38" s="132"/>
      <c r="I38" s="136"/>
      <c r="J38" s="137"/>
      <c r="K38" s="138"/>
      <c r="L38" s="77"/>
      <c r="M38" s="77">
        <f>Таблица213399029467826[[#This Row],[113]]*Таблица213399029467826[[#This Row],[15]]</f>
        <v>0</v>
      </c>
    </row>
    <row r="39" spans="1:16" x14ac:dyDescent="0.35">
      <c r="A39" s="111"/>
      <c r="B39" s="12"/>
      <c r="C39" s="18">
        <f>SUBTOTAL(109,Таблица213399029467826[2])</f>
        <v>45133000</v>
      </c>
      <c r="D39" s="18"/>
      <c r="E39" s="112"/>
      <c r="F39" s="71"/>
      <c r="G39" s="113"/>
      <c r="H39" s="70"/>
      <c r="I39" s="70"/>
      <c r="J39" s="70"/>
      <c r="K39" s="70">
        <f>SUBTOTAL(109,Таблица213399029467826[1132])</f>
        <v>38</v>
      </c>
      <c r="L39" s="114"/>
      <c r="M39" s="114">
        <f>SUBTOTAL(109,Таблица213399029467826[16])</f>
        <v>45964800</v>
      </c>
    </row>
    <row r="40" spans="1:16" x14ac:dyDescent="0.3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</row>
    <row r="41" spans="1:16" ht="18.5" x14ac:dyDescent="0.45">
      <c r="A41" s="90"/>
      <c r="B41" s="91"/>
      <c r="C41" s="92" t="s">
        <v>174</v>
      </c>
      <c r="D41" s="127" t="s">
        <v>233</v>
      </c>
      <c r="E41" s="94"/>
      <c r="F41" s="32"/>
      <c r="G41" s="32"/>
      <c r="H41" s="32"/>
      <c r="I41" s="32"/>
      <c r="J41" s="32"/>
      <c r="K41" s="32"/>
      <c r="L41" s="32"/>
      <c r="M41" s="32"/>
    </row>
    <row r="42" spans="1:16" ht="20" x14ac:dyDescent="0.35">
      <c r="A42" s="224" t="s">
        <v>166</v>
      </c>
      <c r="B42" s="224"/>
      <c r="C42" s="225"/>
      <c r="D42" s="225"/>
      <c r="E42" s="95"/>
      <c r="F42" s="226">
        <f>Таблица21339902946781316172122232425303132333435[[#Totals],[2]]+-Таблица21339902946781316172122232425303132333435[[#Totals],[16]]</f>
        <v>-8676800</v>
      </c>
      <c r="G42" s="227"/>
      <c r="H42" s="32"/>
      <c r="I42" s="32"/>
      <c r="J42" s="32"/>
      <c r="K42" s="103">
        <f>Таблица21339902946781316172122232425303132333435[[#Totals],[1132]]</f>
        <v>46</v>
      </c>
      <c r="L42" s="32"/>
      <c r="M42" s="32"/>
    </row>
    <row r="43" spans="1:16" x14ac:dyDescent="0.35">
      <c r="A43" s="228" t="s">
        <v>167</v>
      </c>
      <c r="B43" s="228" t="s">
        <v>168</v>
      </c>
      <c r="C43" s="116" t="s">
        <v>169</v>
      </c>
      <c r="D43" s="116" t="s">
        <v>189</v>
      </c>
      <c r="E43" s="229" t="s">
        <v>171</v>
      </c>
      <c r="F43" s="231" t="s">
        <v>167</v>
      </c>
      <c r="G43" s="231" t="s">
        <v>168</v>
      </c>
      <c r="H43" s="231" t="s">
        <v>172</v>
      </c>
      <c r="I43" s="222" t="s">
        <v>6</v>
      </c>
      <c r="J43" s="233" t="s">
        <v>7</v>
      </c>
      <c r="K43" s="233" t="s">
        <v>173</v>
      </c>
      <c r="L43" s="231" t="s">
        <v>190</v>
      </c>
      <c r="M43" s="222" t="s">
        <v>169</v>
      </c>
    </row>
    <row r="44" spans="1:16" x14ac:dyDescent="0.35">
      <c r="A44" s="228"/>
      <c r="B44" s="228"/>
      <c r="C44" s="98"/>
      <c r="D44" s="99"/>
      <c r="E44" s="230"/>
      <c r="F44" s="231"/>
      <c r="G44" s="231"/>
      <c r="H44" s="231"/>
      <c r="I44" s="232"/>
      <c r="J44" s="234"/>
      <c r="K44" s="235"/>
      <c r="L44" s="231"/>
      <c r="M44" s="223"/>
    </row>
    <row r="45" spans="1:16" ht="15.5" x14ac:dyDescent="0.35">
      <c r="A45" s="228"/>
      <c r="B45" s="228"/>
      <c r="C45" s="117">
        <f>Таблица21339902946781316172122232425303132333435[[#Totals],[2]]</f>
        <v>46964800</v>
      </c>
      <c r="D45" s="101"/>
      <c r="E45" s="102">
        <f>SUM(Таблица21339902946781316172122232425303132333435[4])</f>
        <v>0</v>
      </c>
      <c r="F45" s="231"/>
      <c r="G45" s="231"/>
      <c r="H45" s="231"/>
      <c r="I45" s="223"/>
      <c r="J45" s="128">
        <f>SUM(Таблица21339902946781316172122232425303132333435[113])</f>
        <v>79.488</v>
      </c>
      <c r="K45" s="103">
        <f>Таблица21339902946781316172122232425303132333435[[#Totals],[1132]]</f>
        <v>46</v>
      </c>
      <c r="L45" s="231"/>
      <c r="M45" s="118">
        <f>Таблица21339902946781316172122232425303132333435[[#Totals],[16]]</f>
        <v>55641600</v>
      </c>
    </row>
    <row r="46" spans="1:16" x14ac:dyDescent="0.35">
      <c r="A46" s="104" t="s">
        <v>174</v>
      </c>
      <c r="B46" s="105" t="s">
        <v>175</v>
      </c>
      <c r="C46" s="105" t="s">
        <v>176</v>
      </c>
      <c r="D46" s="105" t="s">
        <v>177</v>
      </c>
      <c r="E46" s="105" t="s">
        <v>178</v>
      </c>
      <c r="F46" s="105" t="s">
        <v>179</v>
      </c>
      <c r="G46" s="105" t="s">
        <v>180</v>
      </c>
      <c r="H46" s="105" t="s">
        <v>181</v>
      </c>
      <c r="I46" s="105" t="s">
        <v>182</v>
      </c>
      <c r="J46" s="105" t="s">
        <v>183</v>
      </c>
      <c r="K46" s="105" t="s">
        <v>184</v>
      </c>
      <c r="L46" s="105" t="s">
        <v>185</v>
      </c>
      <c r="M46" s="105" t="s">
        <v>186</v>
      </c>
    </row>
    <row r="47" spans="1:16" ht="15.5" x14ac:dyDescent="0.35">
      <c r="A47" s="106">
        <v>1</v>
      </c>
      <c r="B47" s="107">
        <v>46210</v>
      </c>
      <c r="C47" s="108">
        <v>41964800</v>
      </c>
      <c r="D47" s="62" t="s">
        <v>234</v>
      </c>
      <c r="E47" s="18"/>
      <c r="F47" s="11">
        <f>Таблица21339902946781316172122232425303132333435[[#This Row],[ ]]</f>
        <v>1</v>
      </c>
      <c r="G47" s="62">
        <v>46214</v>
      </c>
      <c r="H47" s="120" t="s">
        <v>116</v>
      </c>
      <c r="I47" s="121" t="s">
        <v>26</v>
      </c>
      <c r="J47" s="122">
        <v>32.832000000000001</v>
      </c>
      <c r="K47" s="123">
        <v>19</v>
      </c>
      <c r="L47" s="11">
        <v>700000</v>
      </c>
      <c r="M47" s="18">
        <f>Таблица21339902946781316172122232425303132333435[[#This Row],[113]]*Таблица21339902946781316172122232425303132333435[[#This Row],[15]]</f>
        <v>22982400</v>
      </c>
    </row>
    <row r="48" spans="1:16" x14ac:dyDescent="0.35">
      <c r="A48" s="106">
        <v>2</v>
      </c>
      <c r="B48" s="107">
        <v>46214</v>
      </c>
      <c r="C48" s="18">
        <v>2500000</v>
      </c>
      <c r="D48" s="62" t="s">
        <v>201</v>
      </c>
      <c r="E48" s="18"/>
      <c r="F48" s="11">
        <f>Таблица21339902946781316172122232425303132333435[[#This Row],[ ]]</f>
        <v>2</v>
      </c>
      <c r="G48" s="107">
        <v>46217</v>
      </c>
      <c r="H48" s="63" t="s">
        <v>141</v>
      </c>
      <c r="I48" s="63" t="s">
        <v>26</v>
      </c>
      <c r="J48" s="63">
        <v>32.832000000000001</v>
      </c>
      <c r="K48" s="18">
        <v>19</v>
      </c>
      <c r="L48" s="51">
        <v>700000</v>
      </c>
      <c r="M48" s="18">
        <f>Таблица21339902946781316172122232425303132333435[[#This Row],[113]]*Таблица21339902946781316172122232425303132333435[[#This Row],[15]]</f>
        <v>22982400</v>
      </c>
    </row>
    <row r="49" spans="1:13" x14ac:dyDescent="0.35">
      <c r="A49" s="106">
        <v>3</v>
      </c>
      <c r="B49" s="110">
        <v>46217</v>
      </c>
      <c r="C49" s="18">
        <v>2500000</v>
      </c>
      <c r="D49" s="62" t="s">
        <v>201</v>
      </c>
      <c r="E49" s="18"/>
      <c r="F49" s="11">
        <f>Таблица21339902946781316172122232425303132333435[[#This Row],[ ]]</f>
        <v>3</v>
      </c>
      <c r="G49" s="107">
        <v>46218</v>
      </c>
      <c r="H49" s="63" t="s">
        <v>154</v>
      </c>
      <c r="I49" s="63" t="s">
        <v>104</v>
      </c>
      <c r="J49" s="63">
        <v>13.824</v>
      </c>
      <c r="K49" s="18">
        <v>8</v>
      </c>
      <c r="L49" s="51">
        <v>700000</v>
      </c>
      <c r="M49" s="18">
        <f>Таблица21339902946781316172122232425303132333435[[#This Row],[113]]*Таблица21339902946781316172122232425303132333435[[#This Row],[15]]</f>
        <v>9676800</v>
      </c>
    </row>
    <row r="50" spans="1:13" x14ac:dyDescent="0.35">
      <c r="A50" s="106">
        <v>4</v>
      </c>
      <c r="B50" s="110"/>
      <c r="C50" s="18"/>
      <c r="D50" s="62"/>
      <c r="E50" s="18"/>
      <c r="F50" s="11">
        <f>Таблица21339902946781316172122232425303132333435[[#This Row],[ ]]</f>
        <v>4</v>
      </c>
      <c r="G50" s="107"/>
      <c r="H50" s="63"/>
      <c r="I50" s="63"/>
      <c r="J50" s="63"/>
      <c r="K50" s="18"/>
      <c r="L50" s="51"/>
      <c r="M50" s="18">
        <f>Таблица21339902946781316172122232425303132333435[[#This Row],[113]]*Таблица21339902946781316172122232425303132333435[[#This Row],[15]]</f>
        <v>0</v>
      </c>
    </row>
    <row r="51" spans="1:13" x14ac:dyDescent="0.35">
      <c r="A51" s="111"/>
      <c r="B51" s="12"/>
      <c r="C51" s="18">
        <f>SUBTOTAL(109,Таблица21339902946781316172122232425303132333435[2])</f>
        <v>46964800</v>
      </c>
      <c r="D51" s="18"/>
      <c r="E51" s="112"/>
      <c r="F51" s="71"/>
      <c r="G51" s="113"/>
      <c r="H51" s="70"/>
      <c r="I51" s="70"/>
      <c r="J51" s="70"/>
      <c r="K51" s="70">
        <f>SUBTOTAL(109,Таблица21339902946781316172122232425303132333435[1132])</f>
        <v>46</v>
      </c>
      <c r="L51" s="114"/>
      <c r="M51" s="114">
        <f>SUBTOTAL(109,Таблица21339902946781316172122232425303132333435[16])</f>
        <v>55641600</v>
      </c>
    </row>
    <row r="52" spans="1:13" x14ac:dyDescent="0.35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</row>
    <row r="53" spans="1:13" ht="18.5" x14ac:dyDescent="0.45">
      <c r="A53" s="90"/>
      <c r="B53" s="91"/>
      <c r="C53" s="92" t="s">
        <v>174</v>
      </c>
      <c r="D53" s="127" t="s">
        <v>235</v>
      </c>
      <c r="E53" s="94"/>
      <c r="F53" s="32"/>
      <c r="G53" s="32"/>
      <c r="H53" s="32"/>
      <c r="I53" s="32"/>
      <c r="J53" s="32"/>
      <c r="K53" s="32"/>
      <c r="L53" s="32"/>
      <c r="M53" s="32"/>
    </row>
    <row r="54" spans="1:13" ht="20" x14ac:dyDescent="0.35">
      <c r="A54" s="224" t="s">
        <v>166</v>
      </c>
      <c r="B54" s="224"/>
      <c r="C54" s="225"/>
      <c r="D54" s="225"/>
      <c r="E54" s="95"/>
      <c r="F54" s="226">
        <f>Таблица2133990294678131617212223242530313233343536[[#Totals],[2]]+-Таблица2133990294678131617212223242530313233343536[[#Totals],[16]]</f>
        <v>0</v>
      </c>
      <c r="G54" s="227"/>
      <c r="H54" s="32"/>
      <c r="I54" s="32"/>
      <c r="J54" s="32"/>
      <c r="K54" s="103">
        <f>Таблица2133990294678131617212223242530313233343536[[#Totals],[1132]]</f>
        <v>11</v>
      </c>
      <c r="L54" s="32"/>
      <c r="M54" s="32"/>
    </row>
    <row r="55" spans="1:13" x14ac:dyDescent="0.35">
      <c r="A55" s="228" t="s">
        <v>167</v>
      </c>
      <c r="B55" s="228" t="s">
        <v>168</v>
      </c>
      <c r="C55" s="116" t="s">
        <v>169</v>
      </c>
      <c r="D55" s="116" t="s">
        <v>189</v>
      </c>
      <c r="E55" s="229" t="s">
        <v>171</v>
      </c>
      <c r="F55" s="231" t="s">
        <v>167</v>
      </c>
      <c r="G55" s="231" t="s">
        <v>168</v>
      </c>
      <c r="H55" s="231" t="s">
        <v>172</v>
      </c>
      <c r="I55" s="222" t="s">
        <v>6</v>
      </c>
      <c r="J55" s="233" t="s">
        <v>7</v>
      </c>
      <c r="K55" s="233" t="s">
        <v>173</v>
      </c>
      <c r="L55" s="231" t="s">
        <v>190</v>
      </c>
      <c r="M55" s="222" t="s">
        <v>169</v>
      </c>
    </row>
    <row r="56" spans="1:13" x14ac:dyDescent="0.35">
      <c r="A56" s="228"/>
      <c r="B56" s="228"/>
      <c r="C56" s="98"/>
      <c r="D56" s="99"/>
      <c r="E56" s="230"/>
      <c r="F56" s="231"/>
      <c r="G56" s="231"/>
      <c r="H56" s="231"/>
      <c r="I56" s="232"/>
      <c r="J56" s="234"/>
      <c r="K56" s="235"/>
      <c r="L56" s="231"/>
      <c r="M56" s="223"/>
    </row>
    <row r="57" spans="1:13" ht="15.5" x14ac:dyDescent="0.35">
      <c r="A57" s="228"/>
      <c r="B57" s="228"/>
      <c r="C57" s="117">
        <f>Таблица2133990294678131617212223242530313233343536[[#Totals],[2]]</f>
        <v>13305600</v>
      </c>
      <c r="D57" s="101"/>
      <c r="E57" s="102">
        <f>SUM(Таблица2133990294678131617212223242530313233343536[4])</f>
        <v>0</v>
      </c>
      <c r="F57" s="231"/>
      <c r="G57" s="231"/>
      <c r="H57" s="231"/>
      <c r="I57" s="223"/>
      <c r="J57" s="128">
        <f>SUM(Таблица2133990294678131617212223242530313233343536[113])</f>
        <v>19.007999999999999</v>
      </c>
      <c r="K57" s="103">
        <f>Таблица2133990294678131617212223242530313233343536[[#Totals],[1132]]</f>
        <v>11</v>
      </c>
      <c r="L57" s="231"/>
      <c r="M57" s="118">
        <f>Таблица2133990294678131617212223242530313233343536[[#Totals],[16]]</f>
        <v>13305600</v>
      </c>
    </row>
    <row r="58" spans="1:13" x14ac:dyDescent="0.35">
      <c r="A58" s="104" t="s">
        <v>174</v>
      </c>
      <c r="B58" s="105" t="s">
        <v>175</v>
      </c>
      <c r="C58" s="105" t="s">
        <v>176</v>
      </c>
      <c r="D58" s="105" t="s">
        <v>177</v>
      </c>
      <c r="E58" s="105" t="s">
        <v>178</v>
      </c>
      <c r="F58" s="105" t="s">
        <v>179</v>
      </c>
      <c r="G58" s="105" t="s">
        <v>180</v>
      </c>
      <c r="H58" s="105" t="s">
        <v>181</v>
      </c>
      <c r="I58" s="105" t="s">
        <v>182</v>
      </c>
      <c r="J58" s="105" t="s">
        <v>183</v>
      </c>
      <c r="K58" s="105" t="s">
        <v>184</v>
      </c>
      <c r="L58" s="105" t="s">
        <v>185</v>
      </c>
      <c r="M58" s="105" t="s">
        <v>186</v>
      </c>
    </row>
    <row r="59" spans="1:13" ht="15.5" x14ac:dyDescent="0.35">
      <c r="A59" s="106">
        <v>1</v>
      </c>
      <c r="B59" s="107">
        <v>46216</v>
      </c>
      <c r="C59" s="108">
        <v>10805600</v>
      </c>
      <c r="D59" s="62" t="s">
        <v>236</v>
      </c>
      <c r="E59" s="18"/>
      <c r="F59" s="11">
        <f>Таблица2133990294678131617212223242530313233343536[[#This Row],[ ]]</f>
        <v>1</v>
      </c>
      <c r="G59" s="62">
        <v>46218</v>
      </c>
      <c r="H59" s="120" t="s">
        <v>154</v>
      </c>
      <c r="I59" s="121" t="s">
        <v>104</v>
      </c>
      <c r="J59" s="122">
        <v>19.007999999999999</v>
      </c>
      <c r="K59" s="123">
        <v>11</v>
      </c>
      <c r="L59" s="11">
        <v>700000</v>
      </c>
      <c r="M59" s="18">
        <f>Таблица2133990294678131617212223242530313233343536[[#This Row],[113]]*Таблица2133990294678131617212223242530313233343536[[#This Row],[15]]</f>
        <v>13305600</v>
      </c>
    </row>
    <row r="60" spans="1:13" x14ac:dyDescent="0.35">
      <c r="A60" s="106">
        <v>2</v>
      </c>
      <c r="B60" s="107">
        <v>46218</v>
      </c>
      <c r="C60" s="18">
        <v>2500000</v>
      </c>
      <c r="D60" s="62" t="s">
        <v>201</v>
      </c>
      <c r="E60" s="18"/>
      <c r="F60" s="11">
        <f>Таблица2133990294678131617212223242530313233343536[[#This Row],[ ]]</f>
        <v>2</v>
      </c>
      <c r="G60" s="107"/>
      <c r="H60" s="63"/>
      <c r="I60" s="63"/>
      <c r="J60" s="63"/>
      <c r="K60" s="18"/>
      <c r="L60" s="51"/>
      <c r="M60" s="18">
        <f>Таблица2133990294678131617212223242530313233343536[[#This Row],[113]]*Таблица2133990294678131617212223242530313233343536[[#This Row],[15]]</f>
        <v>0</v>
      </c>
    </row>
    <row r="61" spans="1:13" x14ac:dyDescent="0.35">
      <c r="A61" s="106">
        <v>3</v>
      </c>
      <c r="B61" s="110"/>
      <c r="C61" s="18"/>
      <c r="D61" s="62"/>
      <c r="E61" s="18"/>
      <c r="F61" s="11">
        <f>Таблица2133990294678131617212223242530313233343536[[#This Row],[ ]]</f>
        <v>3</v>
      </c>
      <c r="G61" s="107"/>
      <c r="H61" s="63"/>
      <c r="I61" s="63"/>
      <c r="J61" s="63"/>
      <c r="K61" s="18"/>
      <c r="L61" s="51"/>
      <c r="M61" s="18">
        <f>Таблица2133990294678131617212223242530313233343536[[#This Row],[113]]*Таблица2133990294678131617212223242530313233343536[[#This Row],[15]]</f>
        <v>0</v>
      </c>
    </row>
    <row r="62" spans="1:13" x14ac:dyDescent="0.35">
      <c r="A62" s="111"/>
      <c r="B62" s="12"/>
      <c r="C62" s="18">
        <f>SUBTOTAL(109,Таблица2133990294678131617212223242530313233343536[2])</f>
        <v>13305600</v>
      </c>
      <c r="D62" s="18"/>
      <c r="E62" s="112"/>
      <c r="F62" s="71"/>
      <c r="G62" s="113"/>
      <c r="H62" s="70"/>
      <c r="I62" s="70"/>
      <c r="J62" s="70"/>
      <c r="K62" s="70">
        <f>SUBTOTAL(109,Таблица2133990294678131617212223242530313233343536[1132])</f>
        <v>11</v>
      </c>
      <c r="L62" s="114"/>
      <c r="M62" s="114">
        <f>SUBTOTAL(109,Таблица2133990294678131617212223242530313233343536[16])</f>
        <v>13305600</v>
      </c>
    </row>
  </sheetData>
  <mergeCells count="70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  <mergeCell ref="M21:M22"/>
    <mergeCell ref="A20:B20"/>
    <mergeCell ref="C20:D20"/>
    <mergeCell ref="F20:G20"/>
    <mergeCell ref="A21:A23"/>
    <mergeCell ref="B21:B23"/>
    <mergeCell ref="E21:E22"/>
    <mergeCell ref="F21:F23"/>
    <mergeCell ref="G21:G23"/>
    <mergeCell ref="H21:H23"/>
    <mergeCell ref="I21:I23"/>
    <mergeCell ref="J21:J23"/>
    <mergeCell ref="K21:K22"/>
    <mergeCell ref="L21:L23"/>
    <mergeCell ref="M31:M32"/>
    <mergeCell ref="A30:B30"/>
    <mergeCell ref="C30:D30"/>
    <mergeCell ref="F30:G30"/>
    <mergeCell ref="A31:A33"/>
    <mergeCell ref="B31:B33"/>
    <mergeCell ref="E31:E32"/>
    <mergeCell ref="F31:F33"/>
    <mergeCell ref="G31:G33"/>
    <mergeCell ref="H31:H33"/>
    <mergeCell ref="I31:I33"/>
    <mergeCell ref="J31:J32"/>
    <mergeCell ref="K31:K32"/>
    <mergeCell ref="L31:L33"/>
    <mergeCell ref="M43:M44"/>
    <mergeCell ref="A42:B42"/>
    <mergeCell ref="C42:D42"/>
    <mergeCell ref="F42:G42"/>
    <mergeCell ref="A43:A45"/>
    <mergeCell ref="B43:B45"/>
    <mergeCell ref="E43:E44"/>
    <mergeCell ref="F43:F45"/>
    <mergeCell ref="G43:G45"/>
    <mergeCell ref="H43:H45"/>
    <mergeCell ref="I43:I45"/>
    <mergeCell ref="J43:J44"/>
    <mergeCell ref="K43:K44"/>
    <mergeCell ref="L43:L45"/>
    <mergeCell ref="M55:M56"/>
    <mergeCell ref="A54:B54"/>
    <mergeCell ref="C54:D54"/>
    <mergeCell ref="F54:G54"/>
    <mergeCell ref="A55:A57"/>
    <mergeCell ref="B55:B57"/>
    <mergeCell ref="E55:E56"/>
    <mergeCell ref="F55:F57"/>
    <mergeCell ref="G55:G57"/>
    <mergeCell ref="H55:H57"/>
    <mergeCell ref="I55:I57"/>
    <mergeCell ref="J55:J56"/>
    <mergeCell ref="K55:K56"/>
    <mergeCell ref="L55:L57"/>
  </mergeCells>
  <hyperlinks>
    <hyperlink ref="D1" location="'Свод Завод'!Y4" display="4-Рустам Шпик" xr:uid="{CE2572D8-6211-4B10-901F-9C1712268DC6}"/>
    <hyperlink ref="D19" location="'Свод Завод'!Y4" display="4-Гайрат Штб" xr:uid="{266CE861-3A7C-4C53-87E1-3BFE0F429F9C}"/>
    <hyperlink ref="D29" location="'Свод Завод'!A1" display="4-Элликкала Бостон" xr:uid="{56B7B354-E734-4E67-A46A-44F45696AF88}"/>
    <hyperlink ref="D41" location="'Свод Завод'!A1" display="3-Бунёдкор" xr:uid="{4B753C6D-2E4C-4DB7-904C-825E2B9AE267}"/>
    <hyperlink ref="D53" location="'Свод Завод'!A1" display="3-Газ сув монтаж" xr:uid="{35E3E03F-31F1-472D-A248-CE9A78A9481F}"/>
  </hyperlink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2DC98-94FF-439E-802C-4CF4386C2276}">
  <dimension ref="A1:R67"/>
  <sheetViews>
    <sheetView zoomScale="85" zoomScaleNormal="85" workbookViewId="0">
      <selection activeCell="A11" sqref="A11:E11"/>
    </sheetView>
  </sheetViews>
  <sheetFormatPr defaultRowHeight="14.5" x14ac:dyDescent="0.35"/>
  <cols>
    <col min="1" max="1" width="5.54296875" bestFit="1" customWidth="1"/>
    <col min="2" max="2" width="11.36328125" bestFit="1" customWidth="1"/>
    <col min="3" max="3" width="14.08984375" bestFit="1" customWidth="1"/>
    <col min="4" max="4" width="27.90625" bestFit="1" customWidth="1"/>
    <col min="5" max="5" width="17.1796875" bestFit="1" customWidth="1"/>
    <col min="6" max="6" width="11.08984375" bestFit="1" customWidth="1"/>
    <col min="7" max="7" width="11.36328125" bestFit="1" customWidth="1"/>
    <col min="8" max="8" width="12.81640625" bestFit="1" customWidth="1"/>
    <col min="9" max="9" width="13.453125" bestFit="1" customWidth="1"/>
    <col min="13" max="13" width="14.08984375" bestFit="1" customWidth="1"/>
    <col min="14" max="14" width="12.1796875" customWidth="1"/>
    <col min="17" max="18" width="10.90625" bestFit="1" customWidth="1"/>
  </cols>
  <sheetData>
    <row r="1" spans="1:18" ht="18.5" x14ac:dyDescent="0.45">
      <c r="A1" s="90"/>
      <c r="B1" s="91"/>
      <c r="C1" s="92" t="s">
        <v>174</v>
      </c>
      <c r="D1" s="127" t="s">
        <v>209</v>
      </c>
      <c r="E1" s="94"/>
      <c r="F1" s="32"/>
      <c r="G1" s="32"/>
      <c r="H1" s="32"/>
      <c r="I1" s="32"/>
      <c r="J1" s="32"/>
      <c r="K1" s="32"/>
      <c r="L1" s="32"/>
      <c r="M1" s="32"/>
    </row>
    <row r="2" spans="1:18" ht="20" x14ac:dyDescent="0.35">
      <c r="A2" s="224" t="s">
        <v>166</v>
      </c>
      <c r="B2" s="224"/>
      <c r="C2" s="225"/>
      <c r="D2" s="225"/>
      <c r="E2" s="95"/>
      <c r="F2" s="226">
        <f>Таблица213399029469[[#Totals],[2]]+-Таблица213399029469[[#Totals],[16]]</f>
        <v>0</v>
      </c>
      <c r="G2" s="227"/>
      <c r="H2" s="32"/>
      <c r="I2" s="32"/>
      <c r="J2" s="32"/>
      <c r="K2" s="103">
        <f>K5</f>
        <v>38</v>
      </c>
      <c r="L2" s="32"/>
      <c r="M2" s="32"/>
    </row>
    <row r="3" spans="1:18" x14ac:dyDescent="0.35">
      <c r="A3" s="228" t="s">
        <v>167</v>
      </c>
      <c r="B3" s="228" t="s">
        <v>168</v>
      </c>
      <c r="C3" s="116" t="s">
        <v>169</v>
      </c>
      <c r="D3" s="116" t="s">
        <v>189</v>
      </c>
      <c r="E3" s="229" t="s">
        <v>171</v>
      </c>
      <c r="F3" s="231" t="s">
        <v>167</v>
      </c>
      <c r="G3" s="231" t="s">
        <v>168</v>
      </c>
      <c r="H3" s="231" t="s">
        <v>172</v>
      </c>
      <c r="I3" s="222" t="s">
        <v>6</v>
      </c>
      <c r="J3" s="233" t="s">
        <v>7</v>
      </c>
      <c r="K3" s="233" t="s">
        <v>173</v>
      </c>
      <c r="L3" s="231" t="s">
        <v>190</v>
      </c>
      <c r="M3" s="222" t="s">
        <v>169</v>
      </c>
    </row>
    <row r="4" spans="1:18" x14ac:dyDescent="0.35">
      <c r="A4" s="228"/>
      <c r="B4" s="228"/>
      <c r="C4" s="98"/>
      <c r="D4" s="99"/>
      <c r="E4" s="230"/>
      <c r="F4" s="231"/>
      <c r="G4" s="231"/>
      <c r="H4" s="231"/>
      <c r="I4" s="232"/>
      <c r="J4" s="232"/>
      <c r="K4" s="235"/>
      <c r="L4" s="231"/>
      <c r="M4" s="223"/>
    </row>
    <row r="5" spans="1:18" ht="15.5" x14ac:dyDescent="0.35">
      <c r="A5" s="228"/>
      <c r="B5" s="228"/>
      <c r="C5" s="117">
        <f>Таблица213399029469[[#Totals],[2]]</f>
        <v>47934720</v>
      </c>
      <c r="D5" s="101"/>
      <c r="E5" s="102">
        <f>SUM(Таблица213399029469[4])</f>
        <v>0</v>
      </c>
      <c r="F5" s="231"/>
      <c r="G5" s="231"/>
      <c r="H5" s="231"/>
      <c r="I5" s="223"/>
      <c r="J5" s="223"/>
      <c r="K5" s="103">
        <f>Таблица213399029469[[#Totals],[1132]]</f>
        <v>38</v>
      </c>
      <c r="L5" s="231"/>
      <c r="M5" s="118">
        <f>Таблица213399029469[[#Totals],[16]]</f>
        <v>47934720</v>
      </c>
    </row>
    <row r="6" spans="1:18" x14ac:dyDescent="0.35">
      <c r="A6" s="104" t="s">
        <v>174</v>
      </c>
      <c r="B6" s="105" t="s">
        <v>175</v>
      </c>
      <c r="C6" s="105" t="s">
        <v>176</v>
      </c>
      <c r="D6" s="105" t="s">
        <v>177</v>
      </c>
      <c r="E6" s="105" t="s">
        <v>178</v>
      </c>
      <c r="F6" s="105" t="s">
        <v>179</v>
      </c>
      <c r="G6" s="105" t="s">
        <v>180</v>
      </c>
      <c r="H6" s="105" t="s">
        <v>181</v>
      </c>
      <c r="I6" s="105" t="s">
        <v>182</v>
      </c>
      <c r="J6" s="105" t="s">
        <v>183</v>
      </c>
      <c r="K6" s="105" t="s">
        <v>184</v>
      </c>
      <c r="L6" s="105" t="s">
        <v>185</v>
      </c>
      <c r="M6" s="105" t="s">
        <v>186</v>
      </c>
    </row>
    <row r="7" spans="1:18" ht="15.5" x14ac:dyDescent="0.35">
      <c r="A7" s="106">
        <v>1</v>
      </c>
      <c r="B7" s="107">
        <v>46206</v>
      </c>
      <c r="C7" s="108">
        <v>47934720</v>
      </c>
      <c r="D7" s="62" t="s">
        <v>214</v>
      </c>
      <c r="E7" s="18"/>
      <c r="F7" s="11">
        <f>Таблица213399029469[[#This Row],[ ]]</f>
        <v>1</v>
      </c>
      <c r="G7" s="62">
        <v>46203</v>
      </c>
      <c r="H7" s="120" t="s">
        <v>49</v>
      </c>
      <c r="I7" s="121" t="s">
        <v>26</v>
      </c>
      <c r="J7" s="122">
        <v>32.832000000000001</v>
      </c>
      <c r="K7" s="123">
        <v>19</v>
      </c>
      <c r="L7" s="18">
        <v>730000</v>
      </c>
      <c r="M7" s="18">
        <f>Таблица213399029469[[#This Row],[113]]*Таблица213399029469[[#This Row],[15]]</f>
        <v>23967360</v>
      </c>
    </row>
    <row r="8" spans="1:18" x14ac:dyDescent="0.35">
      <c r="A8" s="106">
        <v>2</v>
      </c>
      <c r="B8" s="110"/>
      <c r="C8" s="18"/>
      <c r="D8" s="62"/>
      <c r="E8" s="18"/>
      <c r="F8" s="11">
        <f>Таблица213399029469[[#This Row],[ ]]</f>
        <v>2</v>
      </c>
      <c r="G8" s="107">
        <v>46203</v>
      </c>
      <c r="H8" s="63" t="s">
        <v>56</v>
      </c>
      <c r="I8" s="63" t="s">
        <v>26</v>
      </c>
      <c r="J8" s="63">
        <v>32.832000000000001</v>
      </c>
      <c r="K8" s="18">
        <v>19</v>
      </c>
      <c r="L8" s="18">
        <v>730000</v>
      </c>
      <c r="M8" s="18">
        <f>Таблица213399029469[[#This Row],[113]]*Таблица213399029469[[#This Row],[15]]</f>
        <v>23967360</v>
      </c>
    </row>
    <row r="9" spans="1:18" x14ac:dyDescent="0.35">
      <c r="A9" s="111"/>
      <c r="B9" s="12"/>
      <c r="C9" s="18">
        <f>SUBTOTAL(109,Таблица213399029469[2])</f>
        <v>47934720</v>
      </c>
      <c r="D9" s="18"/>
      <c r="E9" s="112"/>
      <c r="F9" s="71"/>
      <c r="G9" s="113"/>
      <c r="H9" s="70"/>
      <c r="I9" s="70"/>
      <c r="J9" s="70"/>
      <c r="K9" s="70">
        <f>SUBTOTAL(109,Таблица213399029469[1132])</f>
        <v>38</v>
      </c>
      <c r="L9" s="114"/>
      <c r="M9" s="114">
        <f>SUBTOTAL(109,Таблица213399029469[16])</f>
        <v>47934720</v>
      </c>
      <c r="Q9" s="48"/>
    </row>
    <row r="10" spans="1:18" x14ac:dyDescent="0.35">
      <c r="R10" s="48"/>
    </row>
    <row r="11" spans="1:18" ht="15.5" x14ac:dyDescent="0.35">
      <c r="A11" s="236" t="s">
        <v>210</v>
      </c>
      <c r="B11" s="237"/>
      <c r="C11" s="237"/>
      <c r="D11" s="237"/>
      <c r="E11" s="237"/>
      <c r="F11" s="32"/>
      <c r="G11" s="32"/>
      <c r="H11" s="32"/>
      <c r="I11" s="32"/>
      <c r="J11" s="32"/>
      <c r="K11" s="32"/>
      <c r="L11" s="32"/>
      <c r="M11" s="32"/>
    </row>
    <row r="12" spans="1:18" ht="20" x14ac:dyDescent="0.35">
      <c r="A12" s="224" t="s">
        <v>166</v>
      </c>
      <c r="B12" s="224"/>
      <c r="C12" s="225"/>
      <c r="D12" s="225"/>
      <c r="E12" s="95"/>
      <c r="F12" s="226">
        <f>C15-M15</f>
        <v>12895000</v>
      </c>
      <c r="G12" s="227"/>
      <c r="H12" s="32"/>
      <c r="I12" s="32"/>
      <c r="J12" s="32"/>
      <c r="K12" s="142">
        <f>K15</f>
        <v>455</v>
      </c>
      <c r="L12" s="32"/>
      <c r="M12" s="32"/>
      <c r="Q12" s="48"/>
    </row>
    <row r="13" spans="1:18" x14ac:dyDescent="0.35">
      <c r="A13" s="228" t="s">
        <v>167</v>
      </c>
      <c r="B13" s="228" t="s">
        <v>168</v>
      </c>
      <c r="C13" s="116" t="s">
        <v>169</v>
      </c>
      <c r="D13" s="116" t="s">
        <v>189</v>
      </c>
      <c r="E13" s="229" t="s">
        <v>171</v>
      </c>
      <c r="F13" s="231" t="s">
        <v>167</v>
      </c>
      <c r="G13" s="231" t="s">
        <v>168</v>
      </c>
      <c r="H13" s="231" t="s">
        <v>172</v>
      </c>
      <c r="I13" s="222" t="s">
        <v>6</v>
      </c>
      <c r="J13" s="233" t="s">
        <v>7</v>
      </c>
      <c r="K13" s="233" t="s">
        <v>173</v>
      </c>
      <c r="L13" s="231" t="s">
        <v>190</v>
      </c>
      <c r="M13" s="222" t="s">
        <v>169</v>
      </c>
      <c r="Q13" s="48"/>
      <c r="R13" s="48"/>
    </row>
    <row r="14" spans="1:18" x14ac:dyDescent="0.35">
      <c r="A14" s="228"/>
      <c r="B14" s="228"/>
      <c r="C14" s="98"/>
      <c r="D14" s="99"/>
      <c r="E14" s="230"/>
      <c r="F14" s="231"/>
      <c r="G14" s="231"/>
      <c r="H14" s="231"/>
      <c r="I14" s="232"/>
      <c r="J14" s="232"/>
      <c r="K14" s="235"/>
      <c r="L14" s="231"/>
      <c r="M14" s="223"/>
      <c r="Q14" s="48"/>
    </row>
    <row r="15" spans="1:18" ht="15.5" x14ac:dyDescent="0.35">
      <c r="A15" s="233"/>
      <c r="B15" s="233"/>
      <c r="C15" s="143">
        <f>C41</f>
        <v>573026200</v>
      </c>
      <c r="D15" s="101"/>
      <c r="E15" s="102">
        <f>SUM(Таблица213399029469[4])</f>
        <v>0</v>
      </c>
      <c r="F15" s="222"/>
      <c r="G15" s="222"/>
      <c r="H15" s="222"/>
      <c r="I15" s="232"/>
      <c r="J15" s="232"/>
      <c r="K15" s="142">
        <f>K41</f>
        <v>455</v>
      </c>
      <c r="L15" s="222"/>
      <c r="M15" s="144">
        <f>M41</f>
        <v>560131200</v>
      </c>
    </row>
    <row r="16" spans="1:18" ht="15.5" x14ac:dyDescent="0.35">
      <c r="A16" s="11">
        <v>1</v>
      </c>
      <c r="B16" s="107">
        <v>46198</v>
      </c>
      <c r="C16" s="108">
        <v>23328000</v>
      </c>
      <c r="D16" s="62" t="s">
        <v>211</v>
      </c>
      <c r="E16" s="18"/>
      <c r="F16" s="11">
        <f>A16</f>
        <v>1</v>
      </c>
      <c r="G16" s="62">
        <v>46197</v>
      </c>
      <c r="H16" s="120" t="s">
        <v>34</v>
      </c>
      <c r="I16" s="145" t="s">
        <v>26</v>
      </c>
      <c r="J16" s="146">
        <v>31.103999999999999</v>
      </c>
      <c r="K16" s="51">
        <v>18</v>
      </c>
      <c r="L16" s="18">
        <v>750000</v>
      </c>
      <c r="M16" s="18">
        <f t="shared" ref="M16:M19" si="0">J16*L16</f>
        <v>23328000</v>
      </c>
    </row>
    <row r="17" spans="1:18" x14ac:dyDescent="0.35">
      <c r="A17" s="11">
        <v>2</v>
      </c>
      <c r="B17" s="110">
        <v>46202</v>
      </c>
      <c r="C17" s="18">
        <v>24624000</v>
      </c>
      <c r="D17" s="62" t="s">
        <v>212</v>
      </c>
      <c r="E17" s="18"/>
      <c r="F17" s="11">
        <f t="shared" ref="F17:F40" si="1">A17</f>
        <v>2</v>
      </c>
      <c r="G17" s="107">
        <v>46200</v>
      </c>
      <c r="H17" s="63" t="s">
        <v>45</v>
      </c>
      <c r="I17" s="63" t="s">
        <v>46</v>
      </c>
      <c r="J17" s="63">
        <v>32.832000000000001</v>
      </c>
      <c r="K17" s="18">
        <v>19</v>
      </c>
      <c r="L17" s="18">
        <v>750000</v>
      </c>
      <c r="M17" s="18">
        <f t="shared" si="0"/>
        <v>24624000</v>
      </c>
      <c r="R17" s="48"/>
    </row>
    <row r="18" spans="1:18" x14ac:dyDescent="0.35">
      <c r="A18" s="11">
        <v>3</v>
      </c>
      <c r="B18" s="110">
        <v>46203</v>
      </c>
      <c r="C18" s="18">
        <v>73872000</v>
      </c>
      <c r="D18" s="62" t="s">
        <v>213</v>
      </c>
      <c r="E18" s="18"/>
      <c r="F18" s="11">
        <f t="shared" si="1"/>
        <v>3</v>
      </c>
      <c r="G18" s="107">
        <v>46200</v>
      </c>
      <c r="H18" s="63" t="s">
        <v>47</v>
      </c>
      <c r="I18" s="63" t="s">
        <v>46</v>
      </c>
      <c r="J18" s="63">
        <v>32.832000000000001</v>
      </c>
      <c r="K18" s="18">
        <v>19</v>
      </c>
      <c r="L18" s="18">
        <v>750000</v>
      </c>
      <c r="M18" s="18">
        <f t="shared" si="0"/>
        <v>24624000</v>
      </c>
    </row>
    <row r="19" spans="1:18" x14ac:dyDescent="0.35">
      <c r="A19" s="11">
        <v>4</v>
      </c>
      <c r="B19" s="110">
        <v>46206</v>
      </c>
      <c r="C19" s="20">
        <v>24624000</v>
      </c>
      <c r="D19" s="62" t="s">
        <v>215</v>
      </c>
      <c r="E19" s="18"/>
      <c r="F19" s="11">
        <f t="shared" si="1"/>
        <v>4</v>
      </c>
      <c r="G19" s="107">
        <v>46200</v>
      </c>
      <c r="H19" s="63" t="s">
        <v>48</v>
      </c>
      <c r="I19" s="63" t="s">
        <v>26</v>
      </c>
      <c r="J19" s="63">
        <v>32.832000000000001</v>
      </c>
      <c r="K19" s="18">
        <v>19</v>
      </c>
      <c r="L19" s="18">
        <v>750000</v>
      </c>
      <c r="M19" s="18">
        <f t="shared" si="0"/>
        <v>24624000</v>
      </c>
    </row>
    <row r="20" spans="1:18" x14ac:dyDescent="0.35">
      <c r="A20" s="11">
        <v>5</v>
      </c>
      <c r="B20" s="110">
        <v>46209</v>
      </c>
      <c r="C20" s="20">
        <v>61447200</v>
      </c>
      <c r="D20" s="62" t="s">
        <v>216</v>
      </c>
      <c r="E20" s="18"/>
      <c r="F20" s="11">
        <f t="shared" si="1"/>
        <v>5</v>
      </c>
      <c r="G20" s="107">
        <v>46200</v>
      </c>
      <c r="H20" s="63" t="s">
        <v>49</v>
      </c>
      <c r="I20" s="63" t="s">
        <v>26</v>
      </c>
      <c r="J20" s="63">
        <v>32.832000000000001</v>
      </c>
      <c r="K20" s="18">
        <v>19</v>
      </c>
      <c r="L20" s="18">
        <v>750000</v>
      </c>
      <c r="M20" s="18">
        <f>J20*L20</f>
        <v>24624000</v>
      </c>
      <c r="R20" s="48"/>
    </row>
    <row r="21" spans="1:18" x14ac:dyDescent="0.35">
      <c r="A21" s="11">
        <v>6</v>
      </c>
      <c r="B21" s="110">
        <v>46206</v>
      </c>
      <c r="C21" s="18">
        <v>7500000</v>
      </c>
      <c r="D21" s="62" t="s">
        <v>201</v>
      </c>
      <c r="E21" s="18"/>
      <c r="F21" s="11">
        <f t="shared" si="1"/>
        <v>6</v>
      </c>
      <c r="G21" s="107">
        <v>46204</v>
      </c>
      <c r="H21" s="63" t="s">
        <v>73</v>
      </c>
      <c r="I21" s="63" t="s">
        <v>26</v>
      </c>
      <c r="J21" s="63">
        <v>32.832000000000001</v>
      </c>
      <c r="K21" s="18">
        <v>19</v>
      </c>
      <c r="L21" s="18">
        <v>750000</v>
      </c>
      <c r="M21" s="18">
        <f t="shared" ref="M21:M39" si="2">J21*L21</f>
        <v>24624000</v>
      </c>
      <c r="R21" s="48"/>
    </row>
    <row r="22" spans="1:18" x14ac:dyDescent="0.35">
      <c r="A22" s="11">
        <v>7</v>
      </c>
      <c r="B22" s="110">
        <v>46210</v>
      </c>
      <c r="C22" s="20">
        <v>41965000</v>
      </c>
      <c r="D22" s="62" t="s">
        <v>217</v>
      </c>
      <c r="E22" s="18"/>
      <c r="F22" s="11">
        <f t="shared" si="1"/>
        <v>7</v>
      </c>
      <c r="G22" s="107">
        <v>46206</v>
      </c>
      <c r="H22" s="63" t="s">
        <v>79</v>
      </c>
      <c r="I22" s="63" t="s">
        <v>26</v>
      </c>
      <c r="J22" s="63">
        <v>32.832000000000001</v>
      </c>
      <c r="K22" s="51">
        <v>19</v>
      </c>
      <c r="L22" s="18">
        <v>700000</v>
      </c>
      <c r="M22" s="18">
        <f t="shared" si="2"/>
        <v>22982400</v>
      </c>
      <c r="R22" s="48"/>
    </row>
    <row r="23" spans="1:18" x14ac:dyDescent="0.35">
      <c r="A23" s="11">
        <v>8</v>
      </c>
      <c r="B23" s="110">
        <v>46210</v>
      </c>
      <c r="C23" s="18">
        <v>4000000</v>
      </c>
      <c r="D23" s="62" t="s">
        <v>201</v>
      </c>
      <c r="E23" s="18"/>
      <c r="F23" s="11">
        <f t="shared" si="1"/>
        <v>8</v>
      </c>
      <c r="G23" s="107">
        <v>46206</v>
      </c>
      <c r="H23" s="63" t="s">
        <v>83</v>
      </c>
      <c r="I23" s="63" t="s">
        <v>46</v>
      </c>
      <c r="J23" s="63">
        <v>32.832000000000001</v>
      </c>
      <c r="K23" s="51">
        <v>19</v>
      </c>
      <c r="L23" s="51">
        <v>700000</v>
      </c>
      <c r="M23" s="18">
        <f t="shared" si="2"/>
        <v>22982400</v>
      </c>
      <c r="R23" s="48"/>
    </row>
    <row r="24" spans="1:18" x14ac:dyDescent="0.35">
      <c r="A24" s="11">
        <v>9</v>
      </c>
      <c r="B24" s="110">
        <v>46213</v>
      </c>
      <c r="C24" s="20">
        <v>20810000</v>
      </c>
      <c r="D24" s="62" t="s">
        <v>218</v>
      </c>
      <c r="E24" s="18"/>
      <c r="F24" s="11">
        <f t="shared" si="1"/>
        <v>9</v>
      </c>
      <c r="G24" s="107">
        <v>46206</v>
      </c>
      <c r="H24" s="63" t="s">
        <v>84</v>
      </c>
      <c r="I24" s="63" t="s">
        <v>26</v>
      </c>
      <c r="J24" s="63">
        <v>32.832000000000001</v>
      </c>
      <c r="K24" s="51">
        <v>19</v>
      </c>
      <c r="L24" s="51">
        <v>700000</v>
      </c>
      <c r="M24" s="18">
        <f t="shared" si="2"/>
        <v>22982400</v>
      </c>
      <c r="R24" s="48"/>
    </row>
    <row r="25" spans="1:18" x14ac:dyDescent="0.35">
      <c r="A25" s="11">
        <v>10</v>
      </c>
      <c r="B25" s="110">
        <v>46213</v>
      </c>
      <c r="C25" s="20">
        <v>46620000</v>
      </c>
      <c r="D25" s="62" t="s">
        <v>216</v>
      </c>
      <c r="E25" s="18"/>
      <c r="F25" s="11">
        <f t="shared" si="1"/>
        <v>10</v>
      </c>
      <c r="G25" s="107">
        <v>46209</v>
      </c>
      <c r="H25" s="63" t="s">
        <v>95</v>
      </c>
      <c r="I25" s="63" t="s">
        <v>26</v>
      </c>
      <c r="J25" s="63">
        <v>32.832000000000001</v>
      </c>
      <c r="K25" s="51">
        <v>19</v>
      </c>
      <c r="L25" s="51">
        <v>700000</v>
      </c>
      <c r="M25" s="18">
        <f t="shared" si="2"/>
        <v>22982400</v>
      </c>
      <c r="R25" s="48"/>
    </row>
    <row r="26" spans="1:18" x14ac:dyDescent="0.35">
      <c r="A26" s="11">
        <v>11</v>
      </c>
      <c r="B26" s="110">
        <v>46213</v>
      </c>
      <c r="C26" s="18">
        <v>7500000</v>
      </c>
      <c r="D26" s="62" t="s">
        <v>201</v>
      </c>
      <c r="E26" s="18"/>
      <c r="F26" s="11">
        <f t="shared" si="1"/>
        <v>11</v>
      </c>
      <c r="G26" s="107">
        <v>46210</v>
      </c>
      <c r="H26" s="63" t="s">
        <v>98</v>
      </c>
      <c r="I26" s="63" t="s">
        <v>26</v>
      </c>
      <c r="J26" s="63">
        <v>32.832000000000001</v>
      </c>
      <c r="K26" s="51">
        <v>19</v>
      </c>
      <c r="L26" s="51">
        <v>700000</v>
      </c>
      <c r="M26" s="18">
        <f t="shared" si="2"/>
        <v>22982400</v>
      </c>
      <c r="R26" s="48"/>
    </row>
    <row r="27" spans="1:18" x14ac:dyDescent="0.35">
      <c r="A27" s="11">
        <v>12</v>
      </c>
      <c r="B27" s="110">
        <v>46214</v>
      </c>
      <c r="C27" s="18">
        <v>4400000</v>
      </c>
      <c r="D27" s="62" t="s">
        <v>201</v>
      </c>
      <c r="E27" s="18"/>
      <c r="F27" s="11">
        <f t="shared" si="1"/>
        <v>12</v>
      </c>
      <c r="G27" s="107">
        <v>46210</v>
      </c>
      <c r="H27" s="63" t="s">
        <v>99</v>
      </c>
      <c r="I27" s="63" t="s">
        <v>46</v>
      </c>
      <c r="J27" s="63">
        <v>32.832000000000001</v>
      </c>
      <c r="K27" s="51">
        <v>19</v>
      </c>
      <c r="L27" s="51">
        <v>700000</v>
      </c>
      <c r="M27" s="18">
        <f t="shared" si="2"/>
        <v>22982400</v>
      </c>
      <c r="R27" s="48"/>
    </row>
    <row r="28" spans="1:18" x14ac:dyDescent="0.35">
      <c r="A28" s="11">
        <v>13</v>
      </c>
      <c r="B28" s="110">
        <v>46216</v>
      </c>
      <c r="C28" s="20">
        <v>23183000</v>
      </c>
      <c r="D28" s="63" t="s">
        <v>219</v>
      </c>
      <c r="E28" s="18"/>
      <c r="F28" s="11">
        <f t="shared" si="1"/>
        <v>13</v>
      </c>
      <c r="G28" s="107">
        <v>46210</v>
      </c>
      <c r="H28" s="63" t="s">
        <v>74</v>
      </c>
      <c r="I28" s="63" t="s">
        <v>46</v>
      </c>
      <c r="J28" s="63">
        <v>32.832000000000001</v>
      </c>
      <c r="K28" s="51">
        <v>19</v>
      </c>
      <c r="L28" s="51">
        <v>700000</v>
      </c>
      <c r="M28" s="18">
        <f t="shared" si="2"/>
        <v>22982400</v>
      </c>
      <c r="R28" s="48"/>
    </row>
    <row r="29" spans="1:18" x14ac:dyDescent="0.35">
      <c r="A29" s="11">
        <v>14</v>
      </c>
      <c r="B29" s="110">
        <v>46216</v>
      </c>
      <c r="C29" s="18">
        <v>2500000</v>
      </c>
      <c r="D29" s="62" t="s">
        <v>201</v>
      </c>
      <c r="E29" s="18"/>
      <c r="F29" s="11">
        <f t="shared" si="1"/>
        <v>14</v>
      </c>
      <c r="G29" s="107">
        <v>46211</v>
      </c>
      <c r="H29" s="63" t="s">
        <v>109</v>
      </c>
      <c r="I29" s="63" t="s">
        <v>26</v>
      </c>
      <c r="J29" s="63">
        <v>32.832000000000001</v>
      </c>
      <c r="K29" s="51">
        <v>19</v>
      </c>
      <c r="L29" s="51">
        <v>700000</v>
      </c>
      <c r="M29" s="18">
        <f t="shared" si="2"/>
        <v>22982400</v>
      </c>
      <c r="R29" s="48"/>
    </row>
    <row r="30" spans="1:18" x14ac:dyDescent="0.35">
      <c r="A30" s="11">
        <v>15</v>
      </c>
      <c r="B30" s="110">
        <v>46219</v>
      </c>
      <c r="C30" s="18">
        <v>2500000</v>
      </c>
      <c r="D30" s="62" t="s">
        <v>201</v>
      </c>
      <c r="E30" s="18"/>
      <c r="F30" s="11">
        <f t="shared" si="1"/>
        <v>15</v>
      </c>
      <c r="G30" s="107">
        <v>46214</v>
      </c>
      <c r="H30" s="63" t="s">
        <v>117</v>
      </c>
      <c r="I30" s="63" t="s">
        <v>26</v>
      </c>
      <c r="J30" s="63">
        <v>32.832000000000001</v>
      </c>
      <c r="K30" s="51">
        <v>19</v>
      </c>
      <c r="L30" s="51">
        <v>700000</v>
      </c>
      <c r="M30" s="18">
        <f t="shared" si="2"/>
        <v>22982400</v>
      </c>
      <c r="R30" s="48"/>
    </row>
    <row r="31" spans="1:18" x14ac:dyDescent="0.35">
      <c r="A31" s="11">
        <v>16</v>
      </c>
      <c r="B31" s="110">
        <v>46217</v>
      </c>
      <c r="C31" s="20">
        <v>24130000</v>
      </c>
      <c r="D31" s="62" t="s">
        <v>216</v>
      </c>
      <c r="E31" s="18"/>
      <c r="F31" s="11">
        <f t="shared" si="1"/>
        <v>16</v>
      </c>
      <c r="G31" s="107">
        <v>46214</v>
      </c>
      <c r="H31" s="63" t="s">
        <v>124</v>
      </c>
      <c r="I31" s="63" t="s">
        <v>46</v>
      </c>
      <c r="J31" s="63">
        <v>32.832000000000001</v>
      </c>
      <c r="K31" s="51">
        <v>19</v>
      </c>
      <c r="L31" s="51">
        <v>700000</v>
      </c>
      <c r="M31" s="18">
        <f t="shared" si="2"/>
        <v>22982400</v>
      </c>
      <c r="R31" s="48"/>
    </row>
    <row r="32" spans="1:18" x14ac:dyDescent="0.35">
      <c r="A32" s="11">
        <v>17</v>
      </c>
      <c r="B32" s="110">
        <v>46218</v>
      </c>
      <c r="C32" s="18">
        <v>70092000</v>
      </c>
      <c r="D32" s="18" t="s">
        <v>220</v>
      </c>
      <c r="E32" s="18"/>
      <c r="F32" s="11">
        <f t="shared" si="1"/>
        <v>17</v>
      </c>
      <c r="G32" s="107">
        <v>46216</v>
      </c>
      <c r="H32" s="63" t="s">
        <v>131</v>
      </c>
      <c r="I32" s="63" t="s">
        <v>26</v>
      </c>
      <c r="J32" s="63">
        <v>32.832000000000001</v>
      </c>
      <c r="K32" s="51">
        <v>19</v>
      </c>
      <c r="L32" s="51">
        <v>700000</v>
      </c>
      <c r="M32" s="18">
        <f t="shared" si="2"/>
        <v>22982400</v>
      </c>
      <c r="R32" s="48"/>
    </row>
    <row r="33" spans="1:18" x14ac:dyDescent="0.35">
      <c r="A33" s="11">
        <v>18</v>
      </c>
      <c r="B33" s="110">
        <v>46219</v>
      </c>
      <c r="C33" s="18">
        <v>23183000</v>
      </c>
      <c r="D33" s="18" t="s">
        <v>219</v>
      </c>
      <c r="E33" s="18"/>
      <c r="F33" s="11">
        <f t="shared" si="1"/>
        <v>18</v>
      </c>
      <c r="G33" s="107">
        <v>46219</v>
      </c>
      <c r="H33" s="63" t="s">
        <v>162</v>
      </c>
      <c r="I33" s="63" t="s">
        <v>26</v>
      </c>
      <c r="J33" s="63">
        <v>32.832000000000001</v>
      </c>
      <c r="K33" s="51">
        <v>19</v>
      </c>
      <c r="L33" s="51">
        <v>700000</v>
      </c>
      <c r="M33" s="18">
        <f t="shared" si="2"/>
        <v>22982400</v>
      </c>
      <c r="R33" s="48"/>
    </row>
    <row r="34" spans="1:18" x14ac:dyDescent="0.35">
      <c r="A34" s="11">
        <v>19</v>
      </c>
      <c r="B34" s="110">
        <v>46220</v>
      </c>
      <c r="C34" s="18">
        <v>2500000</v>
      </c>
      <c r="D34" s="62" t="s">
        <v>201</v>
      </c>
      <c r="E34" s="18"/>
      <c r="F34" s="11">
        <f t="shared" si="1"/>
        <v>19</v>
      </c>
      <c r="G34" s="107">
        <v>46220</v>
      </c>
      <c r="H34" s="63" t="s">
        <v>271</v>
      </c>
      <c r="I34" s="63" t="s">
        <v>26</v>
      </c>
      <c r="J34" s="63">
        <v>32.832000000000001</v>
      </c>
      <c r="K34" s="51">
        <v>19</v>
      </c>
      <c r="L34" s="18">
        <v>700000</v>
      </c>
      <c r="M34" s="18">
        <f t="shared" si="2"/>
        <v>22982400</v>
      </c>
      <c r="R34" s="48"/>
    </row>
    <row r="35" spans="1:18" x14ac:dyDescent="0.35">
      <c r="A35" s="11">
        <v>20</v>
      </c>
      <c r="B35" s="110">
        <v>46221</v>
      </c>
      <c r="C35" s="18">
        <v>5000000</v>
      </c>
      <c r="D35" s="62" t="s">
        <v>201</v>
      </c>
      <c r="E35" s="18"/>
      <c r="F35" s="11">
        <f t="shared" si="1"/>
        <v>20</v>
      </c>
      <c r="G35" s="107">
        <v>46221</v>
      </c>
      <c r="H35" s="63" t="s">
        <v>274</v>
      </c>
      <c r="I35" s="63" t="s">
        <v>26</v>
      </c>
      <c r="J35" s="63">
        <v>32.832000000000001</v>
      </c>
      <c r="K35" s="51">
        <v>19</v>
      </c>
      <c r="L35" s="18">
        <v>700000</v>
      </c>
      <c r="M35" s="18">
        <f t="shared" si="2"/>
        <v>22982400</v>
      </c>
      <c r="R35" s="48"/>
    </row>
    <row r="36" spans="1:18" x14ac:dyDescent="0.35">
      <c r="A36" s="11">
        <v>21</v>
      </c>
      <c r="B36" s="110">
        <v>46223</v>
      </c>
      <c r="C36" s="18">
        <v>71748000</v>
      </c>
      <c r="D36" s="62" t="s">
        <v>220</v>
      </c>
      <c r="E36" s="18"/>
      <c r="F36" s="11">
        <f t="shared" si="1"/>
        <v>21</v>
      </c>
      <c r="G36" s="107">
        <v>46221</v>
      </c>
      <c r="H36" s="63" t="s">
        <v>279</v>
      </c>
      <c r="I36" s="63" t="s">
        <v>26</v>
      </c>
      <c r="J36" s="63">
        <v>32.832000000000001</v>
      </c>
      <c r="K36" s="51">
        <v>19</v>
      </c>
      <c r="L36" s="18">
        <v>700000</v>
      </c>
      <c r="M36" s="18">
        <f t="shared" si="2"/>
        <v>22982400</v>
      </c>
      <c r="R36" s="48"/>
    </row>
    <row r="37" spans="1:18" x14ac:dyDescent="0.35">
      <c r="A37" s="11">
        <v>22</v>
      </c>
      <c r="B37" s="110">
        <v>46223</v>
      </c>
      <c r="C37" s="18">
        <v>2500000</v>
      </c>
      <c r="D37" s="62" t="s">
        <v>201</v>
      </c>
      <c r="E37" s="18"/>
      <c r="F37" s="11">
        <f t="shared" si="1"/>
        <v>22</v>
      </c>
      <c r="G37" s="107">
        <v>46223</v>
      </c>
      <c r="H37" s="63" t="s">
        <v>93</v>
      </c>
      <c r="I37" s="63" t="s">
        <v>46</v>
      </c>
      <c r="J37" s="63">
        <v>32.832000000000001</v>
      </c>
      <c r="K37" s="51">
        <v>19</v>
      </c>
      <c r="L37" s="18">
        <v>700000</v>
      </c>
      <c r="M37" s="18">
        <f t="shared" si="2"/>
        <v>22982400</v>
      </c>
      <c r="R37" s="48"/>
    </row>
    <row r="38" spans="1:18" x14ac:dyDescent="0.35">
      <c r="A38" s="11">
        <v>23</v>
      </c>
      <c r="B38" s="110">
        <v>46223</v>
      </c>
      <c r="C38" s="18">
        <v>2500000</v>
      </c>
      <c r="D38" s="62" t="s">
        <v>201</v>
      </c>
      <c r="E38" s="18"/>
      <c r="F38" s="11">
        <f t="shared" si="1"/>
        <v>23</v>
      </c>
      <c r="G38" s="107">
        <v>46223</v>
      </c>
      <c r="H38" s="63" t="s">
        <v>283</v>
      </c>
      <c r="I38" s="63" t="s">
        <v>26</v>
      </c>
      <c r="J38" s="63">
        <v>32.832000000000001</v>
      </c>
      <c r="K38" s="51">
        <v>19</v>
      </c>
      <c r="L38" s="18">
        <v>700000</v>
      </c>
      <c r="M38" s="18">
        <f t="shared" si="2"/>
        <v>22982400</v>
      </c>
      <c r="R38" s="48"/>
    </row>
    <row r="39" spans="1:18" x14ac:dyDescent="0.35">
      <c r="A39" s="11">
        <v>24</v>
      </c>
      <c r="B39" s="110">
        <v>46226</v>
      </c>
      <c r="C39" s="18">
        <v>2500000</v>
      </c>
      <c r="D39" s="62" t="s">
        <v>201</v>
      </c>
      <c r="E39" s="18"/>
      <c r="F39" s="11">
        <f t="shared" si="1"/>
        <v>24</v>
      </c>
      <c r="G39" s="107">
        <v>46226</v>
      </c>
      <c r="H39" s="63" t="s">
        <v>296</v>
      </c>
      <c r="I39" s="63" t="s">
        <v>26</v>
      </c>
      <c r="J39" s="63">
        <v>32.832000000000001</v>
      </c>
      <c r="K39" s="51">
        <v>19</v>
      </c>
      <c r="L39" s="18">
        <v>700000</v>
      </c>
      <c r="M39" s="18">
        <f t="shared" si="2"/>
        <v>22982400</v>
      </c>
      <c r="R39" s="48"/>
    </row>
    <row r="40" spans="1:18" x14ac:dyDescent="0.35">
      <c r="A40" s="11">
        <v>25</v>
      </c>
      <c r="B40" s="110"/>
      <c r="C40" s="18"/>
      <c r="D40" s="62"/>
      <c r="E40" s="18"/>
      <c r="F40" s="11">
        <f t="shared" si="1"/>
        <v>25</v>
      </c>
      <c r="G40" s="107"/>
      <c r="H40" s="63"/>
      <c r="I40" s="63"/>
      <c r="J40" s="63"/>
      <c r="K40" s="51"/>
      <c r="L40" s="18"/>
      <c r="M40" s="18"/>
      <c r="R40" s="48"/>
    </row>
    <row r="41" spans="1:18" ht="15.5" x14ac:dyDescent="0.35">
      <c r="A41" s="12"/>
      <c r="B41" s="12"/>
      <c r="C41" s="18">
        <f>SUM(C16:C39)</f>
        <v>573026200</v>
      </c>
      <c r="D41" s="18"/>
      <c r="E41" s="18"/>
      <c r="F41" s="12"/>
      <c r="G41" s="110"/>
      <c r="H41" s="11"/>
      <c r="I41" s="11"/>
      <c r="J41" s="11"/>
      <c r="K41" s="18">
        <f>SUM(K16:K39)</f>
        <v>455</v>
      </c>
      <c r="L41" s="147"/>
      <c r="M41" s="148">
        <f>SUM(M16:M39)</f>
        <v>560131200</v>
      </c>
    </row>
    <row r="43" spans="1:18" ht="18.5" x14ac:dyDescent="0.45">
      <c r="A43" s="90"/>
      <c r="B43" s="91"/>
      <c r="C43" s="92" t="s">
        <v>174</v>
      </c>
      <c r="D43" s="127" t="s">
        <v>221</v>
      </c>
      <c r="E43" s="94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48"/>
    </row>
    <row r="44" spans="1:18" ht="20" x14ac:dyDescent="0.35">
      <c r="A44" s="224" t="s">
        <v>166</v>
      </c>
      <c r="B44" s="224"/>
      <c r="C44" s="225"/>
      <c r="D44" s="225"/>
      <c r="E44" s="95"/>
      <c r="F44" s="226">
        <f>Таблица21339902946915[[#Totals],[2]]+-Таблица21339902946915[[#Totals],[16]]</f>
        <v>0</v>
      </c>
      <c r="G44" s="227"/>
      <c r="H44" s="32"/>
      <c r="I44" s="32"/>
      <c r="J44" s="32"/>
      <c r="K44" s="103">
        <f>K47</f>
        <v>57</v>
      </c>
      <c r="L44" s="32"/>
      <c r="M44" s="32"/>
      <c r="N44" s="32"/>
      <c r="O44" s="32"/>
      <c r="R44" s="48"/>
    </row>
    <row r="45" spans="1:18" x14ac:dyDescent="0.35">
      <c r="A45" s="228" t="s">
        <v>167</v>
      </c>
      <c r="B45" s="228" t="s">
        <v>168</v>
      </c>
      <c r="C45" s="116" t="s">
        <v>169</v>
      </c>
      <c r="D45" s="116" t="s">
        <v>189</v>
      </c>
      <c r="E45" s="229" t="s">
        <v>171</v>
      </c>
      <c r="F45" s="231" t="s">
        <v>167</v>
      </c>
      <c r="G45" s="231" t="s">
        <v>168</v>
      </c>
      <c r="H45" s="231" t="s">
        <v>172</v>
      </c>
      <c r="I45" s="222" t="s">
        <v>6</v>
      </c>
      <c r="J45" s="233" t="s">
        <v>7</v>
      </c>
      <c r="K45" s="233" t="s">
        <v>173</v>
      </c>
      <c r="L45" s="231" t="s">
        <v>190</v>
      </c>
      <c r="M45" s="222" t="s">
        <v>169</v>
      </c>
      <c r="N45" s="32"/>
      <c r="O45" s="32"/>
    </row>
    <row r="46" spans="1:18" x14ac:dyDescent="0.35">
      <c r="A46" s="228"/>
      <c r="B46" s="228"/>
      <c r="C46" s="98"/>
      <c r="D46" s="99"/>
      <c r="E46" s="230"/>
      <c r="F46" s="231"/>
      <c r="G46" s="231"/>
      <c r="H46" s="231"/>
      <c r="I46" s="232"/>
      <c r="J46" s="232"/>
      <c r="K46" s="235"/>
      <c r="L46" s="231"/>
      <c r="M46" s="223"/>
      <c r="N46" s="32"/>
      <c r="O46" s="32"/>
    </row>
    <row r="47" spans="1:18" ht="15.5" x14ac:dyDescent="0.35">
      <c r="A47" s="228"/>
      <c r="B47" s="228"/>
      <c r="C47" s="117">
        <f>Таблица21339902946915[[#Totals],[2]]</f>
        <v>68947200</v>
      </c>
      <c r="D47" s="101"/>
      <c r="E47" s="102">
        <f>SUM(Таблица21339902946915[4])</f>
        <v>0</v>
      </c>
      <c r="F47" s="231"/>
      <c r="G47" s="231"/>
      <c r="H47" s="231"/>
      <c r="I47" s="223"/>
      <c r="J47" s="223"/>
      <c r="K47" s="103">
        <f>Таблица21339902946915[[#Totals],[1132]]</f>
        <v>57</v>
      </c>
      <c r="L47" s="231"/>
      <c r="M47" s="118">
        <f>Таблица21339902946915[[#Totals],[16]]</f>
        <v>68947200</v>
      </c>
      <c r="N47" s="32"/>
      <c r="O47" s="32"/>
    </row>
    <row r="48" spans="1:18" x14ac:dyDescent="0.35">
      <c r="A48" s="104" t="s">
        <v>174</v>
      </c>
      <c r="B48" s="105" t="s">
        <v>175</v>
      </c>
      <c r="C48" s="105" t="s">
        <v>176</v>
      </c>
      <c r="D48" s="105" t="s">
        <v>177</v>
      </c>
      <c r="E48" s="105" t="s">
        <v>178</v>
      </c>
      <c r="F48" s="105" t="s">
        <v>179</v>
      </c>
      <c r="G48" s="105" t="s">
        <v>180</v>
      </c>
      <c r="H48" s="105" t="s">
        <v>181</v>
      </c>
      <c r="I48" s="105" t="s">
        <v>182</v>
      </c>
      <c r="J48" s="105" t="s">
        <v>183</v>
      </c>
      <c r="K48" s="105" t="s">
        <v>184</v>
      </c>
      <c r="L48" s="105" t="s">
        <v>185</v>
      </c>
      <c r="M48" s="105" t="s">
        <v>186</v>
      </c>
      <c r="N48" s="149" t="s">
        <v>222</v>
      </c>
      <c r="O48" s="32"/>
      <c r="Q48" s="48"/>
    </row>
    <row r="49" spans="1:17" ht="15.5" x14ac:dyDescent="0.35">
      <c r="A49" s="106">
        <v>1</v>
      </c>
      <c r="B49" s="107">
        <v>46209</v>
      </c>
      <c r="C49" s="108">
        <v>20982400</v>
      </c>
      <c r="D49" s="62" t="s">
        <v>223</v>
      </c>
      <c r="E49" s="18"/>
      <c r="F49" s="11">
        <f>Таблица21339902946915[[#This Row],[ ]]</f>
        <v>1</v>
      </c>
      <c r="G49" s="62">
        <v>46209</v>
      </c>
      <c r="H49" s="120" t="s">
        <v>74</v>
      </c>
      <c r="I49" s="121" t="s">
        <v>26</v>
      </c>
      <c r="J49" s="122">
        <v>32.832000000000001</v>
      </c>
      <c r="K49" s="123">
        <v>19</v>
      </c>
      <c r="L49" s="18">
        <v>700000</v>
      </c>
      <c r="M49" s="18">
        <f>Таблица21339902946915[[#This Row],[113]]*Таблица21339902946915[[#This Row],[15]]</f>
        <v>22982400</v>
      </c>
      <c r="N49" s="123">
        <v>2000000</v>
      </c>
      <c r="O49" s="32"/>
      <c r="Q49" s="48"/>
    </row>
    <row r="50" spans="1:17" x14ac:dyDescent="0.35">
      <c r="A50" s="106">
        <v>2</v>
      </c>
      <c r="B50" s="107">
        <v>46209</v>
      </c>
      <c r="C50" s="18">
        <v>2000000</v>
      </c>
      <c r="D50" s="62" t="s">
        <v>201</v>
      </c>
      <c r="E50" s="18"/>
      <c r="F50" s="11">
        <f>Таблица21339902946915[[#This Row],[ ]]</f>
        <v>2</v>
      </c>
      <c r="G50" s="62">
        <v>46209</v>
      </c>
      <c r="H50" s="120" t="s">
        <v>74</v>
      </c>
      <c r="I50" s="121" t="s">
        <v>26</v>
      </c>
      <c r="J50" s="122">
        <v>32.832000000000001</v>
      </c>
      <c r="K50" s="123">
        <v>19</v>
      </c>
      <c r="L50" s="18">
        <v>700000</v>
      </c>
      <c r="M50" s="18">
        <f>Таблица21339902946915[[#This Row],[113]]*Таблица21339902946915[[#This Row],[15]]</f>
        <v>22982400</v>
      </c>
      <c r="N50" s="51">
        <v>2200000</v>
      </c>
      <c r="O50" s="32"/>
      <c r="Q50" s="48"/>
    </row>
    <row r="51" spans="1:17" x14ac:dyDescent="0.35">
      <c r="A51" s="106">
        <v>3</v>
      </c>
      <c r="B51" s="150">
        <v>46213</v>
      </c>
      <c r="C51" s="151">
        <v>41564800</v>
      </c>
      <c r="D51" s="152" t="s">
        <v>223</v>
      </c>
      <c r="E51" s="18"/>
      <c r="F51" s="11">
        <f>Таблица21339902946915[[#This Row],[ ]]</f>
        <v>3</v>
      </c>
      <c r="G51" s="62">
        <v>46217</v>
      </c>
      <c r="H51" s="120" t="s">
        <v>132</v>
      </c>
      <c r="I51" s="121" t="s">
        <v>46</v>
      </c>
      <c r="J51" s="122">
        <v>32.832000000000001</v>
      </c>
      <c r="K51" s="123">
        <v>19</v>
      </c>
      <c r="L51" s="18">
        <v>700000</v>
      </c>
      <c r="M51" s="18">
        <f>Таблица21339902946915[[#This Row],[113]]*Таблица21339902946915[[#This Row],[15]]</f>
        <v>22982400</v>
      </c>
      <c r="N51" s="51">
        <v>2500000</v>
      </c>
      <c r="O51" s="32"/>
    </row>
    <row r="52" spans="1:17" x14ac:dyDescent="0.35">
      <c r="A52" s="106">
        <v>4</v>
      </c>
      <c r="B52" s="150">
        <v>46213</v>
      </c>
      <c r="C52" s="151">
        <v>4620000</v>
      </c>
      <c r="D52" s="152" t="s">
        <v>223</v>
      </c>
      <c r="E52" s="18"/>
      <c r="F52" s="11">
        <f>Таблица21339902946915[[#This Row],[ ]]</f>
        <v>4</v>
      </c>
      <c r="G52" s="107"/>
      <c r="H52" s="63"/>
      <c r="I52" s="63"/>
      <c r="J52" s="63"/>
      <c r="K52" s="18"/>
      <c r="L52" s="51"/>
      <c r="M52" s="18">
        <f>Таблица21339902946915[[#This Row],[113]]*Таблица21339902946915[[#This Row],[15]]</f>
        <v>0</v>
      </c>
      <c r="N52" s="51"/>
      <c r="O52" s="32"/>
    </row>
    <row r="53" spans="1:17" x14ac:dyDescent="0.35">
      <c r="A53" s="106">
        <v>5</v>
      </c>
      <c r="B53" s="110">
        <v>46213</v>
      </c>
      <c r="C53" s="18">
        <v>-220000</v>
      </c>
      <c r="D53" s="62" t="s">
        <v>224</v>
      </c>
      <c r="E53" s="18"/>
      <c r="F53" s="11">
        <f>Таблица21339902946915[[#This Row],[ ]]</f>
        <v>5</v>
      </c>
      <c r="G53" s="107"/>
      <c r="H53" s="63"/>
      <c r="I53" s="63"/>
      <c r="J53" s="63"/>
      <c r="K53" s="18"/>
      <c r="L53" s="51"/>
      <c r="M53" s="18">
        <f>Таблица21339902946915[[#This Row],[113]]*Таблица21339902946915[[#This Row],[15]]</f>
        <v>0</v>
      </c>
      <c r="N53" s="51"/>
      <c r="O53" s="32"/>
    </row>
    <row r="54" spans="1:17" x14ac:dyDescent="0.35">
      <c r="A54" s="106">
        <v>6</v>
      </c>
      <c r="B54" s="110"/>
      <c r="C54" s="18"/>
      <c r="D54" s="62"/>
      <c r="E54" s="18"/>
      <c r="F54" s="11">
        <f>Таблица21339902946915[[#This Row],[ ]]</f>
        <v>6</v>
      </c>
      <c r="G54" s="107"/>
      <c r="H54" s="63"/>
      <c r="I54" s="63"/>
      <c r="J54" s="63"/>
      <c r="K54" s="18"/>
      <c r="L54" s="51"/>
      <c r="M54" s="18">
        <f>Таблица21339902946915[[#This Row],[113]]*Таблица21339902946915[[#This Row],[15]]</f>
        <v>0</v>
      </c>
      <c r="N54" s="51"/>
      <c r="O54" s="32"/>
    </row>
    <row r="55" spans="1:17" x14ac:dyDescent="0.35">
      <c r="A55" s="111"/>
      <c r="B55" s="12"/>
      <c r="C55" s="18">
        <f>SUBTOTAL(109,Таблица21339902946915[2])</f>
        <v>68947200</v>
      </c>
      <c r="D55" s="18"/>
      <c r="E55" s="112"/>
      <c r="F55" s="71"/>
      <c r="G55" s="113"/>
      <c r="H55" s="70"/>
      <c r="I55" s="70"/>
      <c r="J55" s="70"/>
      <c r="K55" s="70">
        <f>SUBTOTAL(109,Таблица21339902946915[1132])</f>
        <v>57</v>
      </c>
      <c r="L55" s="114"/>
      <c r="M55" s="114">
        <f>SUBTOTAL(109,Таблица21339902946915[16])</f>
        <v>68947200</v>
      </c>
      <c r="N55" s="70"/>
      <c r="O55" s="32"/>
    </row>
    <row r="56" spans="1:17" x14ac:dyDescent="0.35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</row>
    <row r="57" spans="1:17" ht="18.5" x14ac:dyDescent="0.45">
      <c r="A57" s="90"/>
      <c r="B57" s="91"/>
      <c r="C57" s="92" t="s">
        <v>174</v>
      </c>
      <c r="D57" s="127" t="s">
        <v>225</v>
      </c>
      <c r="E57" s="94"/>
      <c r="F57" s="32"/>
      <c r="G57" s="32"/>
      <c r="H57" s="32"/>
      <c r="I57" s="32"/>
      <c r="J57" s="32"/>
      <c r="K57" s="32"/>
      <c r="L57" s="32"/>
      <c r="M57" s="32"/>
      <c r="N57" s="32"/>
      <c r="O57" s="32"/>
    </row>
    <row r="58" spans="1:17" ht="20" x14ac:dyDescent="0.35">
      <c r="A58" s="224" t="s">
        <v>166</v>
      </c>
      <c r="B58" s="224"/>
      <c r="C58" s="225"/>
      <c r="D58" s="225"/>
      <c r="E58" s="95"/>
      <c r="F58" s="226">
        <f>Таблица2133990294678131617212223[[#Totals],[2]]+-Таблица2133990294678131617212223[[#Totals],[16]]</f>
        <v>0</v>
      </c>
      <c r="G58" s="227"/>
      <c r="H58" s="32"/>
      <c r="I58" s="32"/>
      <c r="J58" s="32"/>
      <c r="K58" s="103">
        <f>K61</f>
        <v>38</v>
      </c>
      <c r="L58" s="32"/>
      <c r="M58" s="32"/>
      <c r="N58" s="32"/>
      <c r="O58" s="32"/>
    </row>
    <row r="59" spans="1:17" x14ac:dyDescent="0.35">
      <c r="A59" s="228" t="s">
        <v>167</v>
      </c>
      <c r="B59" s="228" t="s">
        <v>168</v>
      </c>
      <c r="C59" s="116" t="s">
        <v>169</v>
      </c>
      <c r="D59" s="116" t="s">
        <v>189</v>
      </c>
      <c r="E59" s="229" t="s">
        <v>171</v>
      </c>
      <c r="F59" s="231" t="s">
        <v>167</v>
      </c>
      <c r="G59" s="231" t="s">
        <v>168</v>
      </c>
      <c r="H59" s="231" t="s">
        <v>172</v>
      </c>
      <c r="I59" s="222" t="s">
        <v>6</v>
      </c>
      <c r="J59" s="233" t="s">
        <v>7</v>
      </c>
      <c r="K59" s="233" t="s">
        <v>173</v>
      </c>
      <c r="L59" s="231" t="s">
        <v>190</v>
      </c>
      <c r="M59" s="222" t="s">
        <v>169</v>
      </c>
      <c r="N59" s="32"/>
      <c r="O59" s="32"/>
    </row>
    <row r="60" spans="1:17" x14ac:dyDescent="0.35">
      <c r="A60" s="228"/>
      <c r="B60" s="228"/>
      <c r="C60" s="98"/>
      <c r="D60" s="99"/>
      <c r="E60" s="230"/>
      <c r="F60" s="231"/>
      <c r="G60" s="231"/>
      <c r="H60" s="231"/>
      <c r="I60" s="232"/>
      <c r="J60" s="234"/>
      <c r="K60" s="235"/>
      <c r="L60" s="231"/>
      <c r="M60" s="223"/>
      <c r="N60" s="32"/>
      <c r="O60" s="32"/>
    </row>
    <row r="61" spans="1:17" ht="15.5" x14ac:dyDescent="0.35">
      <c r="A61" s="228"/>
      <c r="B61" s="228"/>
      <c r="C61" s="117">
        <f>Таблица2133990294678131617212223[[#Totals],[2]]</f>
        <v>45964800</v>
      </c>
      <c r="D61" s="101"/>
      <c r="E61" s="102">
        <f>SUM(Таблица2133990294678131617212223[4])</f>
        <v>0</v>
      </c>
      <c r="F61" s="231"/>
      <c r="G61" s="231"/>
      <c r="H61" s="231"/>
      <c r="I61" s="223"/>
      <c r="J61" s="128">
        <f>SUM(Таблица2133990294678131617212223[113])</f>
        <v>65.664000000000001</v>
      </c>
      <c r="K61" s="103">
        <f>Таблица2133990294678131617212223[[#Totals],[1132]]</f>
        <v>38</v>
      </c>
      <c r="L61" s="231"/>
      <c r="M61" s="118">
        <f>Таблица2133990294678131617212223[[#Totals],[16]]</f>
        <v>45964800</v>
      </c>
      <c r="N61" s="32"/>
      <c r="O61" s="32"/>
    </row>
    <row r="62" spans="1:17" x14ac:dyDescent="0.35">
      <c r="A62" s="104" t="s">
        <v>174</v>
      </c>
      <c r="B62" s="105" t="s">
        <v>175</v>
      </c>
      <c r="C62" s="105" t="s">
        <v>176</v>
      </c>
      <c r="D62" s="105" t="s">
        <v>177</v>
      </c>
      <c r="E62" s="105" t="s">
        <v>178</v>
      </c>
      <c r="F62" s="105" t="s">
        <v>179</v>
      </c>
      <c r="G62" s="105" t="s">
        <v>180</v>
      </c>
      <c r="H62" s="105" t="s">
        <v>181</v>
      </c>
      <c r="I62" s="105" t="s">
        <v>182</v>
      </c>
      <c r="J62" s="105" t="s">
        <v>183</v>
      </c>
      <c r="K62" s="105" t="s">
        <v>184</v>
      </c>
      <c r="L62" s="105" t="s">
        <v>185</v>
      </c>
      <c r="M62" s="105" t="s">
        <v>186</v>
      </c>
      <c r="N62" s="149" t="s">
        <v>222</v>
      </c>
      <c r="O62" s="32"/>
    </row>
    <row r="63" spans="1:17" ht="15.5" x14ac:dyDescent="0.35">
      <c r="A63" s="106">
        <v>1</v>
      </c>
      <c r="B63" s="107">
        <v>46217</v>
      </c>
      <c r="C63" s="108">
        <v>40964800</v>
      </c>
      <c r="D63" s="62" t="s">
        <v>226</v>
      </c>
      <c r="E63" s="18"/>
      <c r="F63" s="11">
        <f>Таблица2133990294678131617212223[[#This Row],[ ]]</f>
        <v>1</v>
      </c>
      <c r="G63" s="62">
        <v>46219</v>
      </c>
      <c r="H63" s="120" t="s">
        <v>164</v>
      </c>
      <c r="I63" s="121" t="s">
        <v>26</v>
      </c>
      <c r="J63" s="122">
        <v>32.832000000000001</v>
      </c>
      <c r="K63" s="123">
        <v>19</v>
      </c>
      <c r="L63" s="11">
        <v>700000</v>
      </c>
      <c r="M63" s="18">
        <f>Таблица2133990294678131617212223[[#This Row],[113]]*Таблица2133990294678131617212223[[#This Row],[15]]</f>
        <v>22982400</v>
      </c>
      <c r="N63" s="123">
        <v>2500000</v>
      </c>
      <c r="O63" s="32"/>
    </row>
    <row r="64" spans="1:17" x14ac:dyDescent="0.35">
      <c r="A64" s="106">
        <v>2</v>
      </c>
      <c r="B64" s="107">
        <v>46219</v>
      </c>
      <c r="C64" s="18">
        <v>2500000</v>
      </c>
      <c r="D64" s="62" t="s">
        <v>201</v>
      </c>
      <c r="E64" s="18"/>
      <c r="F64" s="11">
        <f>Таблица2133990294678131617212223[[#This Row],[ ]]</f>
        <v>2</v>
      </c>
      <c r="G64" s="107">
        <v>46221</v>
      </c>
      <c r="H64" s="63" t="s">
        <v>278</v>
      </c>
      <c r="I64" s="63" t="s">
        <v>46</v>
      </c>
      <c r="J64" s="63">
        <v>32.832000000000001</v>
      </c>
      <c r="K64" s="18">
        <v>19</v>
      </c>
      <c r="L64" s="51">
        <v>700000</v>
      </c>
      <c r="M64" s="18">
        <f>Таблица2133990294678131617212223[[#This Row],[113]]*Таблица2133990294678131617212223[[#This Row],[15]]</f>
        <v>22982400</v>
      </c>
      <c r="N64" s="51"/>
      <c r="O64" s="32"/>
    </row>
    <row r="65" spans="1:15" x14ac:dyDescent="0.35">
      <c r="A65" s="106">
        <v>3</v>
      </c>
      <c r="B65" s="107">
        <v>46221</v>
      </c>
      <c r="C65" s="18">
        <v>2500000</v>
      </c>
      <c r="D65" s="62" t="s">
        <v>201</v>
      </c>
      <c r="E65" s="18"/>
      <c r="F65" s="11">
        <f>Таблица2133990294678131617212223[[#This Row],[ ]]</f>
        <v>3</v>
      </c>
      <c r="G65" s="107"/>
      <c r="H65" s="63"/>
      <c r="I65" s="63"/>
      <c r="J65" s="63"/>
      <c r="K65" s="18"/>
      <c r="L65" s="51"/>
      <c r="M65" s="18">
        <f>Таблица2133990294678131617212223[[#This Row],[113]]*Таблица2133990294678131617212223[[#This Row],[15]]</f>
        <v>0</v>
      </c>
      <c r="N65" s="51"/>
      <c r="O65" s="32"/>
    </row>
    <row r="66" spans="1:15" x14ac:dyDescent="0.35">
      <c r="A66" s="111"/>
      <c r="B66" s="12"/>
      <c r="C66" s="18">
        <f>SUBTOTAL(109,Таблица2133990294678131617212223[2])</f>
        <v>45964800</v>
      </c>
      <c r="D66" s="18"/>
      <c r="E66" s="112"/>
      <c r="F66" s="71"/>
      <c r="G66" s="113"/>
      <c r="H66" s="70"/>
      <c r="I66" s="70"/>
      <c r="J66" s="70"/>
      <c r="K66" s="70">
        <f>SUBTOTAL(109,Таблица2133990294678131617212223[1132])</f>
        <v>38</v>
      </c>
      <c r="L66" s="114"/>
      <c r="M66" s="114">
        <f>SUBTOTAL(109,Таблица2133990294678131617212223[16])</f>
        <v>45964800</v>
      </c>
      <c r="N66" s="70"/>
      <c r="O66" s="32"/>
    </row>
    <row r="67" spans="1:15" x14ac:dyDescent="0.35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</row>
  </sheetData>
  <mergeCells count="57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  <mergeCell ref="M13:M14"/>
    <mergeCell ref="A11:E11"/>
    <mergeCell ref="A12:B12"/>
    <mergeCell ref="C12:D12"/>
    <mergeCell ref="F12:G12"/>
    <mergeCell ref="A13:A15"/>
    <mergeCell ref="B13:B15"/>
    <mergeCell ref="E13:E14"/>
    <mergeCell ref="F13:F15"/>
    <mergeCell ref="G13:G15"/>
    <mergeCell ref="H13:H15"/>
    <mergeCell ref="I13:I15"/>
    <mergeCell ref="J13:J15"/>
    <mergeCell ref="K13:K14"/>
    <mergeCell ref="L13:L15"/>
    <mergeCell ref="M45:M46"/>
    <mergeCell ref="A44:B44"/>
    <mergeCell ref="C44:D44"/>
    <mergeCell ref="F44:G44"/>
    <mergeCell ref="A45:A47"/>
    <mergeCell ref="B45:B47"/>
    <mergeCell ref="E45:E46"/>
    <mergeCell ref="F45:F47"/>
    <mergeCell ref="G45:G47"/>
    <mergeCell ref="H45:H47"/>
    <mergeCell ref="I45:I47"/>
    <mergeCell ref="J45:J47"/>
    <mergeCell ref="K45:K46"/>
    <mergeCell ref="L45:L47"/>
    <mergeCell ref="M59:M60"/>
    <mergeCell ref="A58:B58"/>
    <mergeCell ref="C58:D58"/>
    <mergeCell ref="F58:G58"/>
    <mergeCell ref="A59:A61"/>
    <mergeCell ref="B59:B61"/>
    <mergeCell ref="E59:E60"/>
    <mergeCell ref="F59:F61"/>
    <mergeCell ref="G59:G61"/>
    <mergeCell ref="H59:H61"/>
    <mergeCell ref="I59:I61"/>
    <mergeCell ref="J59:J60"/>
    <mergeCell ref="K59:K60"/>
    <mergeCell ref="L59:L61"/>
  </mergeCells>
  <hyperlinks>
    <hyperlink ref="D1" location="'Свод Завод'!R4" display="3-Сулаймон Ога Хазарасп" xr:uid="{2281F623-99F3-4C70-9F82-1E2E21D27E4F}"/>
    <hyperlink ref="D43" location="'Свод Завод'!R4" display="3-Сулаймон Ога Хазарасп" xr:uid="{CCADB9E7-FF38-4FE0-A582-8EC9FCF2F6B4}"/>
    <hyperlink ref="D57" location="'Свод Завод'!A1" display="3-Уктир ога Шовот" xr:uid="{EF38A71D-B8A7-47FE-95DD-2635DA3D276E}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A575-10E6-4307-BA02-51C3EC37462F}">
  <dimension ref="A1:P43"/>
  <sheetViews>
    <sheetView workbookViewId="0">
      <selection activeCell="D16" sqref="D16"/>
    </sheetView>
  </sheetViews>
  <sheetFormatPr defaultRowHeight="14.5" x14ac:dyDescent="0.35"/>
  <cols>
    <col min="1" max="1" width="5.54296875" bestFit="1" customWidth="1"/>
    <col min="2" max="2" width="11.36328125" bestFit="1" customWidth="1"/>
    <col min="3" max="3" width="14.08984375" bestFit="1" customWidth="1"/>
    <col min="4" max="4" width="26.90625" bestFit="1" customWidth="1"/>
    <col min="6" max="6" width="6.6328125" bestFit="1" customWidth="1"/>
    <col min="7" max="7" width="11.36328125" bestFit="1" customWidth="1"/>
    <col min="8" max="8" width="21.6328125" bestFit="1" customWidth="1"/>
    <col min="9" max="9" width="13.453125" bestFit="1" customWidth="1"/>
    <col min="13" max="13" width="14.08984375" bestFit="1" customWidth="1"/>
  </cols>
  <sheetData>
    <row r="1" spans="1:13" ht="18" x14ac:dyDescent="0.4">
      <c r="A1" s="90"/>
      <c r="B1" s="91"/>
      <c r="C1" s="92" t="s">
        <v>174</v>
      </c>
      <c r="D1" s="115" t="s">
        <v>202</v>
      </c>
      <c r="E1" s="94"/>
      <c r="F1" s="32"/>
      <c r="G1" s="32"/>
      <c r="H1" s="32"/>
      <c r="I1" s="32"/>
      <c r="J1" s="32"/>
      <c r="K1" s="32"/>
      <c r="L1" s="32"/>
      <c r="M1" s="32"/>
    </row>
    <row r="2" spans="1:13" ht="20" x14ac:dyDescent="0.35">
      <c r="A2" s="224" t="s">
        <v>166</v>
      </c>
      <c r="B2" s="224"/>
      <c r="C2" s="225"/>
      <c r="D2" s="225"/>
      <c r="E2" s="95"/>
      <c r="F2" s="226">
        <f>Таблица2133990294[[#Totals],[2]]+-Таблица2133990294[[#Totals],[16]]</f>
        <v>0</v>
      </c>
      <c r="G2" s="227"/>
      <c r="H2" s="32"/>
      <c r="I2" s="32"/>
      <c r="J2" s="32"/>
      <c r="K2" s="103">
        <f>K5</f>
        <v>94</v>
      </c>
      <c r="L2" s="32"/>
      <c r="M2" s="32"/>
    </row>
    <row r="3" spans="1:13" x14ac:dyDescent="0.35">
      <c r="A3" s="228" t="s">
        <v>167</v>
      </c>
      <c r="B3" s="228" t="s">
        <v>168</v>
      </c>
      <c r="C3" s="116" t="s">
        <v>169</v>
      </c>
      <c r="D3" s="116" t="s">
        <v>189</v>
      </c>
      <c r="E3" s="229" t="s">
        <v>171</v>
      </c>
      <c r="F3" s="231" t="s">
        <v>167</v>
      </c>
      <c r="G3" s="231" t="s">
        <v>168</v>
      </c>
      <c r="H3" s="231" t="s">
        <v>172</v>
      </c>
      <c r="I3" s="222" t="s">
        <v>6</v>
      </c>
      <c r="J3" s="233" t="s">
        <v>7</v>
      </c>
      <c r="K3" s="233" t="s">
        <v>173</v>
      </c>
      <c r="L3" s="231" t="s">
        <v>190</v>
      </c>
      <c r="M3" s="222" t="s">
        <v>169</v>
      </c>
    </row>
    <row r="4" spans="1:13" x14ac:dyDescent="0.35">
      <c r="A4" s="228"/>
      <c r="B4" s="228"/>
      <c r="C4" s="98"/>
      <c r="D4" s="99"/>
      <c r="E4" s="230"/>
      <c r="F4" s="231"/>
      <c r="G4" s="231"/>
      <c r="H4" s="231"/>
      <c r="I4" s="232"/>
      <c r="J4" s="232"/>
      <c r="K4" s="235"/>
      <c r="L4" s="231"/>
      <c r="M4" s="223"/>
    </row>
    <row r="5" spans="1:13" ht="15.5" x14ac:dyDescent="0.35">
      <c r="A5" s="228"/>
      <c r="B5" s="228"/>
      <c r="C5" s="117">
        <f>Таблица2133990294[[#Totals],[2]]</f>
        <v>121824000</v>
      </c>
      <c r="D5" s="101"/>
      <c r="E5" s="102">
        <f>SUM(Таблица2133990294[4])</f>
        <v>0</v>
      </c>
      <c r="F5" s="231"/>
      <c r="G5" s="231"/>
      <c r="H5" s="231"/>
      <c r="I5" s="223"/>
      <c r="J5" s="223"/>
      <c r="K5" s="103">
        <f>Таблица2133990294[[#Totals],[1132]]</f>
        <v>94</v>
      </c>
      <c r="L5" s="231"/>
      <c r="M5" s="118">
        <f>Таблица2133990294[[#Totals],[16]]</f>
        <v>121824000</v>
      </c>
    </row>
    <row r="6" spans="1:13" x14ac:dyDescent="0.35">
      <c r="A6" s="104" t="s">
        <v>174</v>
      </c>
      <c r="B6" s="105" t="s">
        <v>175</v>
      </c>
      <c r="C6" s="105" t="s">
        <v>176</v>
      </c>
      <c r="D6" s="105" t="s">
        <v>177</v>
      </c>
      <c r="E6" s="105" t="s">
        <v>178</v>
      </c>
      <c r="F6" s="105" t="s">
        <v>179</v>
      </c>
      <c r="G6" s="105" t="s">
        <v>180</v>
      </c>
      <c r="H6" s="105" t="s">
        <v>181</v>
      </c>
      <c r="I6" s="105" t="s">
        <v>182</v>
      </c>
      <c r="J6" s="105" t="s">
        <v>183</v>
      </c>
      <c r="K6" s="105" t="s">
        <v>184</v>
      </c>
      <c r="L6" s="105" t="s">
        <v>185</v>
      </c>
      <c r="M6" s="105" t="s">
        <v>186</v>
      </c>
    </row>
    <row r="7" spans="1:13" ht="15.5" x14ac:dyDescent="0.35">
      <c r="A7" s="106">
        <v>1</v>
      </c>
      <c r="B7" s="107">
        <v>46202</v>
      </c>
      <c r="C7" s="108">
        <v>47952000</v>
      </c>
      <c r="D7" s="62" t="s">
        <v>203</v>
      </c>
      <c r="E7" s="18"/>
      <c r="F7" s="11">
        <f>Таблица2133990294[[#This Row],[ ]]</f>
        <v>1</v>
      </c>
      <c r="G7" s="62">
        <v>46198</v>
      </c>
      <c r="H7" s="120" t="s">
        <v>43</v>
      </c>
      <c r="I7" s="121" t="s">
        <v>26</v>
      </c>
      <c r="J7" s="122">
        <v>32.832000000000001</v>
      </c>
      <c r="K7" s="123">
        <v>19</v>
      </c>
      <c r="L7" s="51">
        <v>750000</v>
      </c>
      <c r="M7" s="18">
        <f>Таблица2133990294[[#This Row],[113]]*Таблица2133990294[[#This Row],[15]]</f>
        <v>24624000</v>
      </c>
    </row>
    <row r="8" spans="1:13" x14ac:dyDescent="0.35">
      <c r="A8" s="106">
        <v>2</v>
      </c>
      <c r="B8" s="110">
        <v>46205</v>
      </c>
      <c r="C8" s="18">
        <v>73872000</v>
      </c>
      <c r="D8" s="62" t="s">
        <v>263</v>
      </c>
      <c r="E8" s="18"/>
      <c r="F8" s="11">
        <f>Таблица2133990294[[#This Row],[ ]]</f>
        <v>2</v>
      </c>
      <c r="G8" s="107">
        <v>46198</v>
      </c>
      <c r="H8" s="63" t="s">
        <v>44</v>
      </c>
      <c r="I8" s="63" t="s">
        <v>26</v>
      </c>
      <c r="J8" s="63">
        <v>31.103999999999999</v>
      </c>
      <c r="K8" s="18">
        <v>18</v>
      </c>
      <c r="L8" s="51">
        <v>750000</v>
      </c>
      <c r="M8" s="18">
        <f>Таблица2133990294[[#This Row],[113]]*Таблица2133990294[[#This Row],[15]]</f>
        <v>23328000</v>
      </c>
    </row>
    <row r="9" spans="1:13" x14ac:dyDescent="0.35">
      <c r="A9" s="129">
        <v>2</v>
      </c>
      <c r="B9" s="110"/>
      <c r="C9" s="18"/>
      <c r="D9" s="62"/>
      <c r="E9" s="112"/>
      <c r="F9" s="70">
        <f>Таблица2133990294[[#This Row],[ ]]</f>
        <v>2</v>
      </c>
      <c r="G9" s="107">
        <v>46204</v>
      </c>
      <c r="H9" s="63" t="s">
        <v>72</v>
      </c>
      <c r="I9" s="63" t="s">
        <v>26</v>
      </c>
      <c r="J9" s="63">
        <v>32.832000000000001</v>
      </c>
      <c r="K9" s="18">
        <v>19</v>
      </c>
      <c r="L9" s="51">
        <v>750000</v>
      </c>
      <c r="M9" s="77">
        <f>Таблица2133990294[[#This Row],[113]]*Таблица2133990294[[#This Row],[15]]</f>
        <v>24624000</v>
      </c>
    </row>
    <row r="10" spans="1:13" x14ac:dyDescent="0.35">
      <c r="A10" s="129">
        <v>3</v>
      </c>
      <c r="B10" s="110"/>
      <c r="C10" s="18"/>
      <c r="D10" s="62"/>
      <c r="E10" s="112"/>
      <c r="F10" s="70">
        <f>Таблица2133990294[[#This Row],[ ]]</f>
        <v>3</v>
      </c>
      <c r="G10" s="107">
        <v>46204</v>
      </c>
      <c r="H10" s="63" t="s">
        <v>74</v>
      </c>
      <c r="I10" s="63" t="s">
        <v>46</v>
      </c>
      <c r="J10" s="63">
        <v>32.832000000000001</v>
      </c>
      <c r="K10" s="51">
        <v>19</v>
      </c>
      <c r="L10" s="51">
        <v>750000</v>
      </c>
      <c r="M10" s="77">
        <f>Таблица2133990294[[#This Row],[113]]*Таблица2133990294[[#This Row],[15]]</f>
        <v>24624000</v>
      </c>
    </row>
    <row r="11" spans="1:13" x14ac:dyDescent="0.35">
      <c r="A11" s="129">
        <v>4</v>
      </c>
      <c r="B11" s="110"/>
      <c r="C11" s="18"/>
      <c r="D11" s="62"/>
      <c r="E11" s="112"/>
      <c r="F11" s="70">
        <f>Таблица2133990294[[#This Row],[ ]]</f>
        <v>4</v>
      </c>
      <c r="G11" s="107">
        <v>46204</v>
      </c>
      <c r="H11" s="63" t="s">
        <v>75</v>
      </c>
      <c r="I11" s="63" t="s">
        <v>46</v>
      </c>
      <c r="J11" s="63">
        <v>32.832000000000001</v>
      </c>
      <c r="K11" s="51">
        <v>19</v>
      </c>
      <c r="L11" s="51">
        <v>750000</v>
      </c>
      <c r="M11" s="77">
        <f>Таблица2133990294[[#This Row],[113]]*Таблица2133990294[[#This Row],[15]]</f>
        <v>24624000</v>
      </c>
    </row>
    <row r="12" spans="1:13" x14ac:dyDescent="0.35">
      <c r="A12" s="129">
        <v>5</v>
      </c>
      <c r="B12" s="110"/>
      <c r="C12" s="18"/>
      <c r="D12" s="62"/>
      <c r="E12" s="112"/>
      <c r="F12" s="70">
        <f>Таблица2133990294[[#This Row],[ ]]</f>
        <v>5</v>
      </c>
      <c r="G12" s="131"/>
      <c r="H12" s="132"/>
      <c r="I12" s="132"/>
      <c r="J12" s="132"/>
      <c r="K12" s="77"/>
      <c r="L12" s="133"/>
      <c r="M12" s="77">
        <f>Таблица2133990294[[#This Row],[113]]*Таблица2133990294[[#This Row],[15]]</f>
        <v>0</v>
      </c>
    </row>
    <row r="13" spans="1:13" x14ac:dyDescent="0.35">
      <c r="A13" s="129">
        <v>6</v>
      </c>
      <c r="B13" s="110"/>
      <c r="C13" s="18"/>
      <c r="D13" s="62"/>
      <c r="E13" s="112"/>
      <c r="F13" s="70">
        <f>Таблица2133990294[[#This Row],[ ]]</f>
        <v>6</v>
      </c>
      <c r="G13" s="131"/>
      <c r="H13" s="132"/>
      <c r="I13" s="132"/>
      <c r="J13" s="132"/>
      <c r="K13" s="77"/>
      <c r="L13" s="133"/>
      <c r="M13" s="77">
        <f>Таблица2133990294[[#This Row],[113]]*Таблица2133990294[[#This Row],[15]]</f>
        <v>0</v>
      </c>
    </row>
    <row r="14" spans="1:13" x14ac:dyDescent="0.35">
      <c r="A14" s="111"/>
      <c r="B14" s="12"/>
      <c r="C14" s="18">
        <f>SUBTOTAL(109,Таблица2133990294[2])</f>
        <v>121824000</v>
      </c>
      <c r="D14" s="18"/>
      <c r="E14" s="112"/>
      <c r="F14" s="71"/>
      <c r="G14" s="113"/>
      <c r="H14" s="70"/>
      <c r="I14" s="70"/>
      <c r="J14" s="70"/>
      <c r="K14" s="70">
        <f>SUBTOTAL(109,Таблица2133990294[1132])</f>
        <v>94</v>
      </c>
      <c r="L14" s="114"/>
      <c r="M14" s="114">
        <f>SUBTOTAL(109,Таблица2133990294[16])</f>
        <v>121824000</v>
      </c>
    </row>
    <row r="16" spans="1:13" ht="18" x14ac:dyDescent="0.4">
      <c r="A16" s="90"/>
      <c r="B16" s="91"/>
      <c r="C16" s="92" t="s">
        <v>174</v>
      </c>
      <c r="D16" s="115" t="s">
        <v>204</v>
      </c>
      <c r="E16" s="94"/>
      <c r="F16" s="32"/>
      <c r="G16" s="32"/>
      <c r="H16" s="32"/>
      <c r="I16" s="32"/>
      <c r="J16" s="32"/>
      <c r="K16" s="32"/>
      <c r="L16" s="32"/>
      <c r="M16" s="32"/>
    </row>
    <row r="17" spans="1:16" ht="20" x14ac:dyDescent="0.35">
      <c r="A17" s="224" t="s">
        <v>166</v>
      </c>
      <c r="B17" s="224"/>
      <c r="C17" s="225"/>
      <c r="D17" s="225"/>
      <c r="E17" s="95"/>
      <c r="F17" s="226">
        <f>Таблица213399029414[[#Totals],[2]]+-Таблица213399029414[[#Totals],[16]]</f>
        <v>40656600</v>
      </c>
      <c r="G17" s="227"/>
      <c r="H17" s="32"/>
      <c r="I17" s="32"/>
      <c r="J17" s="32"/>
      <c r="K17" s="103">
        <f>K20</f>
        <v>76</v>
      </c>
      <c r="L17" s="32"/>
      <c r="M17" s="32"/>
    </row>
    <row r="18" spans="1:16" x14ac:dyDescent="0.35">
      <c r="A18" s="228" t="s">
        <v>167</v>
      </c>
      <c r="B18" s="228" t="s">
        <v>168</v>
      </c>
      <c r="C18" s="116" t="s">
        <v>169</v>
      </c>
      <c r="D18" s="116" t="s">
        <v>189</v>
      </c>
      <c r="E18" s="229" t="s">
        <v>171</v>
      </c>
      <c r="F18" s="231" t="s">
        <v>167</v>
      </c>
      <c r="G18" s="231" t="s">
        <v>168</v>
      </c>
      <c r="H18" s="231" t="s">
        <v>172</v>
      </c>
      <c r="I18" s="222" t="s">
        <v>6</v>
      </c>
      <c r="J18" s="233" t="s">
        <v>7</v>
      </c>
      <c r="K18" s="233" t="s">
        <v>173</v>
      </c>
      <c r="L18" s="231" t="s">
        <v>190</v>
      </c>
      <c r="M18" s="222" t="s">
        <v>169</v>
      </c>
    </row>
    <row r="19" spans="1:16" x14ac:dyDescent="0.35">
      <c r="A19" s="228"/>
      <c r="B19" s="228"/>
      <c r="C19" s="98"/>
      <c r="D19" s="99"/>
      <c r="E19" s="230"/>
      <c r="F19" s="231"/>
      <c r="G19" s="231"/>
      <c r="H19" s="231"/>
      <c r="I19" s="232"/>
      <c r="J19" s="232"/>
      <c r="K19" s="235"/>
      <c r="L19" s="231"/>
      <c r="M19" s="223"/>
      <c r="P19" s="48"/>
    </row>
    <row r="20" spans="1:16" ht="15.5" x14ac:dyDescent="0.35">
      <c r="A20" s="228"/>
      <c r="B20" s="228"/>
      <c r="C20" s="117">
        <f>Таблица213399029414[[#Totals],[2]]</f>
        <v>132586200</v>
      </c>
      <c r="D20" s="101"/>
      <c r="E20" s="102">
        <f>SUM(Таблица213399029414[4])</f>
        <v>0</v>
      </c>
      <c r="F20" s="231"/>
      <c r="G20" s="231"/>
      <c r="H20" s="231"/>
      <c r="I20" s="223"/>
      <c r="J20" s="223"/>
      <c r="K20" s="103">
        <f>Таблица213399029414[[#Totals],[1132]]</f>
        <v>76</v>
      </c>
      <c r="L20" s="231"/>
      <c r="M20" s="118">
        <f>Таблица213399029414[[#Totals],[16]]</f>
        <v>91929600</v>
      </c>
    </row>
    <row r="21" spans="1:16" x14ac:dyDescent="0.35">
      <c r="A21" s="104" t="s">
        <v>174</v>
      </c>
      <c r="B21" s="105" t="s">
        <v>175</v>
      </c>
      <c r="C21" s="105" t="s">
        <v>176</v>
      </c>
      <c r="D21" s="105" t="s">
        <v>177</v>
      </c>
      <c r="E21" s="105" t="s">
        <v>178</v>
      </c>
      <c r="F21" s="105" t="s">
        <v>179</v>
      </c>
      <c r="G21" s="105" t="s">
        <v>180</v>
      </c>
      <c r="H21" s="105" t="s">
        <v>181</v>
      </c>
      <c r="I21" s="105" t="s">
        <v>182</v>
      </c>
      <c r="J21" s="105" t="s">
        <v>183</v>
      </c>
      <c r="K21" s="105" t="s">
        <v>184</v>
      </c>
      <c r="L21" s="105" t="s">
        <v>185</v>
      </c>
      <c r="M21" s="105" t="s">
        <v>186</v>
      </c>
    </row>
    <row r="22" spans="1:16" ht="15.5" x14ac:dyDescent="0.35">
      <c r="A22" s="106">
        <v>1</v>
      </c>
      <c r="B22" s="107">
        <v>46209</v>
      </c>
      <c r="C22" s="108">
        <v>20982400</v>
      </c>
      <c r="D22" s="62" t="s">
        <v>205</v>
      </c>
      <c r="E22" s="18"/>
      <c r="F22" s="11">
        <f>Таблица213399029414[[#This Row],[ ]]</f>
        <v>1</v>
      </c>
      <c r="G22" s="62">
        <v>46209</v>
      </c>
      <c r="H22" s="120" t="s">
        <v>93</v>
      </c>
      <c r="I22" s="121" t="s">
        <v>94</v>
      </c>
      <c r="J22" s="122">
        <v>22.463999999999999</v>
      </c>
      <c r="K22" s="123">
        <v>13</v>
      </c>
      <c r="L22" s="51">
        <v>700000</v>
      </c>
      <c r="M22" s="18">
        <f>Таблица213399029414[[#This Row],[113]]*Таблица213399029414[[#This Row],[15]]</f>
        <v>15724799.999999998</v>
      </c>
    </row>
    <row r="23" spans="1:16" x14ac:dyDescent="0.35">
      <c r="A23" s="106">
        <v>2</v>
      </c>
      <c r="B23" s="110">
        <v>46209</v>
      </c>
      <c r="C23" s="18">
        <v>2100000</v>
      </c>
      <c r="D23" s="62" t="s">
        <v>206</v>
      </c>
      <c r="E23" s="18"/>
      <c r="F23" s="11">
        <f>Таблица213399029414[[#This Row],[ ]]</f>
        <v>2</v>
      </c>
      <c r="G23" s="107">
        <v>46209</v>
      </c>
      <c r="H23" s="63" t="s">
        <v>93</v>
      </c>
      <c r="I23" s="63" t="s">
        <v>26</v>
      </c>
      <c r="J23" s="63">
        <v>10.368</v>
      </c>
      <c r="K23" s="18">
        <v>6</v>
      </c>
      <c r="L23" s="51">
        <v>700000</v>
      </c>
      <c r="M23" s="18">
        <f>Таблица213399029414[[#This Row],[113]]*Таблица213399029414[[#This Row],[15]]</f>
        <v>7257600</v>
      </c>
    </row>
    <row r="24" spans="1:16" x14ac:dyDescent="0.35">
      <c r="A24" s="106">
        <v>3</v>
      </c>
      <c r="B24" s="110">
        <v>46211</v>
      </c>
      <c r="C24" s="18">
        <v>63000000</v>
      </c>
      <c r="D24" s="62" t="s">
        <v>205</v>
      </c>
      <c r="E24" s="18"/>
      <c r="F24" s="11">
        <f>Таблица213399029414[[#This Row],[ ]]</f>
        <v>3</v>
      </c>
      <c r="G24" s="107">
        <v>46220</v>
      </c>
      <c r="H24" s="63" t="s">
        <v>267</v>
      </c>
      <c r="I24" s="63" t="s">
        <v>26</v>
      </c>
      <c r="J24" s="63">
        <v>32.832000000000001</v>
      </c>
      <c r="K24" s="18">
        <v>19</v>
      </c>
      <c r="L24" s="51">
        <v>700000</v>
      </c>
      <c r="M24" s="18">
        <f>Таблица213399029414[[#This Row],[113]]*Таблица213399029414[[#This Row],[15]]</f>
        <v>22982400</v>
      </c>
    </row>
    <row r="25" spans="1:16" x14ac:dyDescent="0.35">
      <c r="A25" s="106">
        <v>4</v>
      </c>
      <c r="B25" s="110">
        <v>46220</v>
      </c>
      <c r="C25" s="18">
        <v>6603800</v>
      </c>
      <c r="D25" s="62" t="s">
        <v>205</v>
      </c>
      <c r="E25" s="18"/>
      <c r="F25" s="11">
        <f>Таблица213399029414[[#This Row],[ ]]</f>
        <v>4</v>
      </c>
      <c r="G25" s="107">
        <v>46212</v>
      </c>
      <c r="H25" s="63" t="s">
        <v>119</v>
      </c>
      <c r="I25" s="63" t="s">
        <v>46</v>
      </c>
      <c r="J25" s="63">
        <v>32.832000000000001</v>
      </c>
      <c r="K25" s="18">
        <v>19</v>
      </c>
      <c r="L25" s="51">
        <v>700000</v>
      </c>
      <c r="M25" s="18">
        <f>Таблица213399029414[[#This Row],[113]]*Таблица213399029414[[#This Row],[15]]</f>
        <v>22982400</v>
      </c>
    </row>
    <row r="26" spans="1:16" x14ac:dyDescent="0.35">
      <c r="A26" s="106">
        <v>5</v>
      </c>
      <c r="B26" s="110">
        <v>46219</v>
      </c>
      <c r="C26" s="18">
        <v>-100000</v>
      </c>
      <c r="D26" s="62" t="s">
        <v>207</v>
      </c>
      <c r="E26" s="18"/>
      <c r="F26" s="11">
        <f>Таблица213399029414[[#This Row],[ ]]</f>
        <v>5</v>
      </c>
      <c r="G26" s="107">
        <v>46212</v>
      </c>
      <c r="H26" s="63" t="s">
        <v>120</v>
      </c>
      <c r="I26" s="63" t="s">
        <v>104</v>
      </c>
      <c r="J26" s="63">
        <v>32.832000000000001</v>
      </c>
      <c r="K26" s="18">
        <v>19</v>
      </c>
      <c r="L26" s="51">
        <v>700000</v>
      </c>
      <c r="M26" s="18">
        <f>Таблица213399029414[[#This Row],[113]]*Таблица213399029414[[#This Row],[15]]</f>
        <v>22982400</v>
      </c>
      <c r="P26" s="48"/>
    </row>
    <row r="27" spans="1:16" x14ac:dyDescent="0.35">
      <c r="A27" s="106">
        <v>6</v>
      </c>
      <c r="B27" s="110">
        <v>46224</v>
      </c>
      <c r="C27" s="18">
        <v>40000000</v>
      </c>
      <c r="D27" s="62" t="s">
        <v>205</v>
      </c>
      <c r="E27" s="18"/>
      <c r="F27" s="11">
        <f>Таблица213399029414[[#This Row],[ ]]</f>
        <v>6</v>
      </c>
      <c r="G27" s="107"/>
      <c r="H27" s="63"/>
      <c r="I27" s="63"/>
      <c r="J27" s="63"/>
      <c r="K27" s="18"/>
      <c r="L27" s="51"/>
      <c r="M27" s="18">
        <f>Таблица213399029414[[#This Row],[113]]*Таблица213399029414[[#This Row],[15]]</f>
        <v>0</v>
      </c>
    </row>
    <row r="28" spans="1:16" x14ac:dyDescent="0.35">
      <c r="A28" s="129"/>
      <c r="B28" s="110"/>
      <c r="C28" s="18"/>
      <c r="D28" s="62"/>
      <c r="E28" s="112"/>
      <c r="F28" s="70">
        <f>Таблица213399029414[[#This Row],[ ]]</f>
        <v>0</v>
      </c>
      <c r="G28" s="131"/>
      <c r="H28" s="132"/>
      <c r="I28" s="132"/>
      <c r="J28" s="132"/>
      <c r="K28" s="77"/>
      <c r="L28" s="133"/>
      <c r="M28" s="77">
        <f>Таблица213399029414[[#This Row],[113]]*Таблица213399029414[[#This Row],[15]]</f>
        <v>0</v>
      </c>
    </row>
    <row r="29" spans="1:16" x14ac:dyDescent="0.35">
      <c r="A29" s="129"/>
      <c r="B29" s="110"/>
      <c r="C29" s="18"/>
      <c r="D29" s="62"/>
      <c r="E29" s="112"/>
      <c r="F29" s="70">
        <f>Таблица213399029414[[#This Row],[ ]]</f>
        <v>0</v>
      </c>
      <c r="G29" s="131"/>
      <c r="H29" s="132"/>
      <c r="I29" s="132"/>
      <c r="J29" s="132"/>
      <c r="K29" s="77"/>
      <c r="L29" s="133"/>
      <c r="M29" s="77">
        <f>Таблица213399029414[[#This Row],[113]]*Таблица213399029414[[#This Row],[15]]</f>
        <v>0</v>
      </c>
    </row>
    <row r="30" spans="1:16" x14ac:dyDescent="0.35">
      <c r="A30" s="111"/>
      <c r="B30" s="12"/>
      <c r="C30" s="18">
        <f>SUBTOTAL(109,Таблица213399029414[2])</f>
        <v>132586200</v>
      </c>
      <c r="D30" s="18"/>
      <c r="E30" s="112"/>
      <c r="F30" s="71"/>
      <c r="G30" s="113"/>
      <c r="H30" s="70"/>
      <c r="I30" s="70"/>
      <c r="J30" s="70"/>
      <c r="K30" s="70">
        <f>SUBTOTAL(109,Таблица213399029414[1132])</f>
        <v>76</v>
      </c>
      <c r="L30" s="114"/>
      <c r="M30" s="114">
        <f>SUBTOTAL(109,Таблица213399029414[16])</f>
        <v>91929600</v>
      </c>
    </row>
    <row r="31" spans="1:16" x14ac:dyDescent="0.3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</row>
    <row r="32" spans="1:16" ht="18.5" x14ac:dyDescent="0.45">
      <c r="A32" s="90"/>
      <c r="B32" s="91"/>
      <c r="C32" s="92" t="s">
        <v>174</v>
      </c>
      <c r="D32" s="127" t="s">
        <v>293</v>
      </c>
      <c r="E32" s="94"/>
      <c r="F32" s="32"/>
      <c r="G32" s="32"/>
      <c r="H32" s="32"/>
      <c r="I32" s="32"/>
      <c r="J32" s="32"/>
      <c r="K32" s="32"/>
      <c r="L32" s="32"/>
      <c r="M32" s="32"/>
    </row>
    <row r="33" spans="1:13" ht="20" x14ac:dyDescent="0.35">
      <c r="A33" s="224" t="s">
        <v>166</v>
      </c>
      <c r="B33" s="224"/>
      <c r="C33" s="225"/>
      <c r="D33" s="225"/>
      <c r="E33" s="95"/>
      <c r="F33" s="226">
        <f>Таблица21339902946781316172122232425303132[[#Totals],[2]]+-Таблица21339902946781316172122232425303132[[#Totals],[16]]</f>
        <v>8000</v>
      </c>
      <c r="G33" s="227"/>
      <c r="H33" s="32"/>
      <c r="I33" s="32"/>
      <c r="J33" s="32"/>
      <c r="K33" s="103">
        <f>K36</f>
        <v>20</v>
      </c>
      <c r="L33" s="32"/>
      <c r="M33" s="32"/>
    </row>
    <row r="34" spans="1:13" x14ac:dyDescent="0.35">
      <c r="A34" s="228" t="s">
        <v>167</v>
      </c>
      <c r="B34" s="228" t="s">
        <v>168</v>
      </c>
      <c r="C34" s="116" t="s">
        <v>169</v>
      </c>
      <c r="D34" s="116" t="s">
        <v>189</v>
      </c>
      <c r="E34" s="229" t="s">
        <v>171</v>
      </c>
      <c r="F34" s="231" t="s">
        <v>167</v>
      </c>
      <c r="G34" s="231" t="s">
        <v>168</v>
      </c>
      <c r="H34" s="231" t="s">
        <v>172</v>
      </c>
      <c r="I34" s="222" t="s">
        <v>6</v>
      </c>
      <c r="J34" s="233" t="s">
        <v>7</v>
      </c>
      <c r="K34" s="233" t="s">
        <v>173</v>
      </c>
      <c r="L34" s="231" t="s">
        <v>190</v>
      </c>
      <c r="M34" s="222" t="s">
        <v>169</v>
      </c>
    </row>
    <row r="35" spans="1:13" x14ac:dyDescent="0.35">
      <c r="A35" s="228"/>
      <c r="B35" s="228"/>
      <c r="C35" s="98"/>
      <c r="D35" s="99"/>
      <c r="E35" s="230"/>
      <c r="F35" s="231"/>
      <c r="G35" s="231"/>
      <c r="H35" s="231"/>
      <c r="I35" s="232"/>
      <c r="J35" s="234"/>
      <c r="K35" s="235"/>
      <c r="L35" s="231"/>
      <c r="M35" s="223"/>
    </row>
    <row r="36" spans="1:13" ht="15.5" x14ac:dyDescent="0.35">
      <c r="A36" s="228"/>
      <c r="B36" s="228"/>
      <c r="C36" s="117">
        <f>Таблица21339902946781316172122232425303132[[#Totals],[2]]</f>
        <v>24200000</v>
      </c>
      <c r="D36" s="101"/>
      <c r="E36" s="102">
        <f>SUM(Таблица21339902946781316172122232425303132[4])</f>
        <v>0</v>
      </c>
      <c r="F36" s="231"/>
      <c r="G36" s="231"/>
      <c r="H36" s="231"/>
      <c r="I36" s="223"/>
      <c r="J36" s="128">
        <f>SUM(Таблица21339902946781316172122232425303132[113])</f>
        <v>34.56</v>
      </c>
      <c r="K36" s="103">
        <f>Таблица21339902946781316172122232425303132[[#Totals],[1132]]</f>
        <v>20</v>
      </c>
      <c r="L36" s="231"/>
      <c r="M36" s="118">
        <f>Таблица21339902946781316172122232425303132[[#Totals],[16]]</f>
        <v>24192000</v>
      </c>
    </row>
    <row r="37" spans="1:13" x14ac:dyDescent="0.35">
      <c r="A37" s="104" t="s">
        <v>174</v>
      </c>
      <c r="B37" s="105" t="s">
        <v>175</v>
      </c>
      <c r="C37" s="105" t="s">
        <v>176</v>
      </c>
      <c r="D37" s="105" t="s">
        <v>177</v>
      </c>
      <c r="E37" s="105" t="s">
        <v>178</v>
      </c>
      <c r="F37" s="105" t="s">
        <v>179</v>
      </c>
      <c r="G37" s="105" t="s">
        <v>180</v>
      </c>
      <c r="H37" s="105" t="s">
        <v>181</v>
      </c>
      <c r="I37" s="105" t="s">
        <v>182</v>
      </c>
      <c r="J37" s="105" t="s">
        <v>183</v>
      </c>
      <c r="K37" s="105" t="s">
        <v>184</v>
      </c>
      <c r="L37" s="105" t="s">
        <v>185</v>
      </c>
      <c r="M37" s="105" t="s">
        <v>186</v>
      </c>
    </row>
    <row r="38" spans="1:13" ht="15.5" x14ac:dyDescent="0.35">
      <c r="A38" s="106">
        <v>1</v>
      </c>
      <c r="B38" s="107">
        <v>46212</v>
      </c>
      <c r="C38" s="108">
        <v>22200000</v>
      </c>
      <c r="D38" s="62" t="s">
        <v>118</v>
      </c>
      <c r="E38" s="18"/>
      <c r="F38" s="11">
        <f>Таблица21339902946781316172122232425303132[[#This Row],[ ]]</f>
        <v>1</v>
      </c>
      <c r="G38" s="62">
        <v>46211</v>
      </c>
      <c r="H38" s="120" t="s">
        <v>34</v>
      </c>
      <c r="I38" s="121" t="s">
        <v>26</v>
      </c>
      <c r="J38" s="122">
        <v>34.56</v>
      </c>
      <c r="K38" s="123">
        <v>20</v>
      </c>
      <c r="L38" s="18">
        <v>700000</v>
      </c>
      <c r="M38" s="18">
        <f>Таблица21339902946781316172122232425303132[[#This Row],[113]]*Таблица21339902946781316172122232425303132[[#This Row],[15]]</f>
        <v>24192000</v>
      </c>
    </row>
    <row r="39" spans="1:13" x14ac:dyDescent="0.35">
      <c r="A39" s="106">
        <v>2</v>
      </c>
      <c r="B39" s="107">
        <v>46211</v>
      </c>
      <c r="C39" s="18">
        <v>2000000</v>
      </c>
      <c r="D39" s="62" t="s">
        <v>208</v>
      </c>
      <c r="E39" s="18"/>
      <c r="F39" s="11">
        <f>Таблица21339902946781316172122232425303132[[#This Row],[ ]]</f>
        <v>2</v>
      </c>
      <c r="G39" s="107"/>
      <c r="H39" s="63"/>
      <c r="I39" s="63"/>
      <c r="J39" s="63"/>
      <c r="K39" s="18"/>
      <c r="L39" s="51"/>
      <c r="M39" s="18">
        <f>Таблица21339902946781316172122232425303132[[#This Row],[113]]*Таблица21339902946781316172122232425303132[[#This Row],[15]]</f>
        <v>0</v>
      </c>
    </row>
    <row r="40" spans="1:13" x14ac:dyDescent="0.35">
      <c r="A40" s="106">
        <v>3</v>
      </c>
      <c r="B40" s="110"/>
      <c r="C40" s="18"/>
      <c r="D40" s="62"/>
      <c r="E40" s="18"/>
      <c r="F40" s="11">
        <f>Таблица21339902946781316172122232425303132[[#This Row],[ ]]</f>
        <v>3</v>
      </c>
      <c r="G40" s="107"/>
      <c r="H40" s="63"/>
      <c r="I40" s="63"/>
      <c r="J40" s="63"/>
      <c r="K40" s="18"/>
      <c r="L40" s="51"/>
      <c r="M40" s="18">
        <f>Таблица21339902946781316172122232425303132[[#This Row],[113]]*Таблица21339902946781316172122232425303132[[#This Row],[15]]</f>
        <v>0</v>
      </c>
    </row>
    <row r="41" spans="1:13" x14ac:dyDescent="0.35">
      <c r="A41" s="111"/>
      <c r="B41" s="12"/>
      <c r="C41" s="18">
        <f>SUBTOTAL(109,Таблица21339902946781316172122232425303132[2])</f>
        <v>24200000</v>
      </c>
      <c r="D41" s="18"/>
      <c r="E41" s="112"/>
      <c r="F41" s="71"/>
      <c r="G41" s="113"/>
      <c r="H41" s="70"/>
      <c r="I41" s="70"/>
      <c r="J41" s="70"/>
      <c r="K41" s="70">
        <f>SUBTOTAL(109,Таблица21339902946781316172122232425303132[1132])</f>
        <v>20</v>
      </c>
      <c r="L41" s="114"/>
      <c r="M41" s="114">
        <f>SUBTOTAL(109,Таблица21339902946781316172122232425303132[16])</f>
        <v>24192000</v>
      </c>
    </row>
    <row r="42" spans="1:13" x14ac:dyDescent="0.3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</row>
    <row r="43" spans="1:13" x14ac:dyDescent="0.35">
      <c r="D43" s="48"/>
    </row>
  </sheetData>
  <mergeCells count="42"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  <mergeCell ref="M18:M19"/>
    <mergeCell ref="A17:B17"/>
    <mergeCell ref="C17:D17"/>
    <mergeCell ref="F17:G17"/>
    <mergeCell ref="A18:A20"/>
    <mergeCell ref="B18:B20"/>
    <mergeCell ref="E18:E19"/>
    <mergeCell ref="F18:F20"/>
    <mergeCell ref="G18:G20"/>
    <mergeCell ref="H18:H20"/>
    <mergeCell ref="I18:I20"/>
    <mergeCell ref="J18:J20"/>
    <mergeCell ref="K18:K19"/>
    <mergeCell ref="L18:L20"/>
    <mergeCell ref="M34:M35"/>
    <mergeCell ref="A33:B33"/>
    <mergeCell ref="C33:D33"/>
    <mergeCell ref="F33:G33"/>
    <mergeCell ref="A34:A36"/>
    <mergeCell ref="B34:B36"/>
    <mergeCell ref="E34:E35"/>
    <mergeCell ref="F34:F36"/>
    <mergeCell ref="G34:G36"/>
    <mergeCell ref="H34:H36"/>
    <mergeCell ref="I34:I36"/>
    <mergeCell ref="J34:J35"/>
    <mergeCell ref="K34:K35"/>
    <mergeCell ref="L34:L36"/>
  </mergeCells>
  <hyperlinks>
    <hyperlink ref="D1" location="'Свод Завод'!A1" display="1-Индира Расулбек" xr:uid="{AE7370C1-61C3-4975-872C-291986CB838C}"/>
    <hyperlink ref="D16" location="'Свод Завод'!A1" display="1-Индира Расулбек" xr:uid="{07DCF928-6436-4593-A4AB-C513D7524ED0}"/>
    <hyperlink ref="D32" location="'Свод Завод'!A1" display="2-Нахт клент" xr:uid="{A67E5159-317D-4AB1-B76F-AFC2761DA6AA}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8AB2-FB61-4C6E-8CFE-3E358E368F36}">
  <dimension ref="A1:Q108"/>
  <sheetViews>
    <sheetView workbookViewId="0">
      <selection activeCell="D28" sqref="D28"/>
    </sheetView>
  </sheetViews>
  <sheetFormatPr defaultRowHeight="14.5" x14ac:dyDescent="0.35"/>
  <cols>
    <col min="1" max="1" width="5.54296875" bestFit="1" customWidth="1"/>
    <col min="2" max="2" width="11.36328125" bestFit="1" customWidth="1"/>
    <col min="3" max="3" width="13.453125" bestFit="1" customWidth="1"/>
    <col min="4" max="4" width="28.90625" bestFit="1" customWidth="1"/>
    <col min="5" max="5" width="18.08984375" bestFit="1" customWidth="1"/>
    <col min="7" max="7" width="11.36328125" bestFit="1" customWidth="1"/>
    <col min="8" max="8" width="12.90625" bestFit="1" customWidth="1"/>
    <col min="9" max="9" width="13.453125" bestFit="1" customWidth="1"/>
    <col min="10" max="10" width="9" bestFit="1" customWidth="1"/>
    <col min="11" max="11" width="10.08984375" bestFit="1" customWidth="1"/>
    <col min="12" max="12" width="8.453125" bestFit="1" customWidth="1"/>
    <col min="13" max="13" width="13.453125" bestFit="1" customWidth="1"/>
    <col min="15" max="15" width="9.90625" bestFit="1" customWidth="1"/>
    <col min="16" max="16" width="10.90625" bestFit="1" customWidth="1"/>
    <col min="17" max="17" width="11.54296875" bestFit="1" customWidth="1"/>
    <col min="20" max="20" width="9.90625" bestFit="1" customWidth="1"/>
  </cols>
  <sheetData>
    <row r="1" spans="1:13" ht="15.5" x14ac:dyDescent="0.35">
      <c r="A1" s="90"/>
      <c r="B1" s="91"/>
      <c r="C1" s="92"/>
      <c r="D1" s="93" t="s">
        <v>165</v>
      </c>
      <c r="E1" s="94"/>
      <c r="F1" s="32"/>
      <c r="G1" s="32"/>
      <c r="H1" s="32"/>
      <c r="I1" s="32"/>
      <c r="J1" s="32"/>
      <c r="K1" s="32"/>
      <c r="L1" s="32"/>
      <c r="M1" s="32"/>
    </row>
    <row r="2" spans="1:13" ht="15.5" x14ac:dyDescent="0.35">
      <c r="A2" s="224" t="s">
        <v>166</v>
      </c>
      <c r="B2" s="224"/>
      <c r="C2" s="225"/>
      <c r="D2" s="225"/>
      <c r="E2" s="95"/>
      <c r="F2" s="241">
        <f>Таблица2133990[[#Totals],[2]]+-Таблица2133990[[#Totals],[16]]</f>
        <v>185000000.01689601</v>
      </c>
      <c r="G2" s="241"/>
      <c r="H2" s="32"/>
      <c r="I2" s="32"/>
      <c r="J2" s="32"/>
      <c r="K2" s="103">
        <f>K5</f>
        <v>36</v>
      </c>
      <c r="L2" s="32"/>
      <c r="M2" s="32"/>
    </row>
    <row r="3" spans="1:13" x14ac:dyDescent="0.35">
      <c r="A3" s="228" t="s">
        <v>167</v>
      </c>
      <c r="B3" s="228" t="s">
        <v>168</v>
      </c>
      <c r="C3" s="96" t="s">
        <v>169</v>
      </c>
      <c r="D3" s="97" t="s">
        <v>170</v>
      </c>
      <c r="E3" s="229" t="s">
        <v>171</v>
      </c>
      <c r="F3" s="231" t="s">
        <v>167</v>
      </c>
      <c r="G3" s="231" t="s">
        <v>168</v>
      </c>
      <c r="H3" s="231" t="s">
        <v>172</v>
      </c>
      <c r="I3" s="222" t="s">
        <v>6</v>
      </c>
      <c r="J3" s="233" t="s">
        <v>7</v>
      </c>
      <c r="K3" s="233" t="s">
        <v>173</v>
      </c>
      <c r="L3" s="233" t="s">
        <v>14</v>
      </c>
      <c r="M3" s="222" t="s">
        <v>169</v>
      </c>
    </row>
    <row r="4" spans="1:13" x14ac:dyDescent="0.35">
      <c r="A4" s="228"/>
      <c r="B4" s="228"/>
      <c r="C4" s="98"/>
      <c r="D4" s="99"/>
      <c r="E4" s="230"/>
      <c r="F4" s="231"/>
      <c r="G4" s="231"/>
      <c r="H4" s="231"/>
      <c r="I4" s="232"/>
      <c r="J4" s="232"/>
      <c r="K4" s="235"/>
      <c r="L4" s="232"/>
      <c r="M4" s="232"/>
    </row>
    <row r="5" spans="1:13" x14ac:dyDescent="0.35">
      <c r="A5" s="228"/>
      <c r="B5" s="228"/>
      <c r="C5" s="100">
        <f>Таблица2133990[[#Totals],[2]]</f>
        <v>230570000</v>
      </c>
      <c r="D5" s="101"/>
      <c r="E5" s="102">
        <f>SUM(Таблица2133990[4])</f>
        <v>0</v>
      </c>
      <c r="F5" s="231"/>
      <c r="G5" s="231"/>
      <c r="H5" s="231"/>
      <c r="I5" s="223"/>
      <c r="J5" s="223"/>
      <c r="K5" s="103">
        <f>Таблица2133990[[#Totals],[1132]]</f>
        <v>36</v>
      </c>
      <c r="L5" s="223"/>
      <c r="M5" s="103">
        <f>Таблица2133990[[#Totals],[16]]</f>
        <v>45569999.983103998</v>
      </c>
    </row>
    <row r="6" spans="1:13" x14ac:dyDescent="0.35">
      <c r="A6" s="104" t="s">
        <v>174</v>
      </c>
      <c r="B6" s="105" t="s">
        <v>175</v>
      </c>
      <c r="C6" s="105" t="s">
        <v>176</v>
      </c>
      <c r="D6" s="105" t="s">
        <v>177</v>
      </c>
      <c r="E6" s="105" t="s">
        <v>178</v>
      </c>
      <c r="F6" s="105" t="s">
        <v>179</v>
      </c>
      <c r="G6" s="105" t="s">
        <v>180</v>
      </c>
      <c r="H6" s="105" t="s">
        <v>181</v>
      </c>
      <c r="I6" s="105" t="s">
        <v>182</v>
      </c>
      <c r="J6" s="105" t="s">
        <v>183</v>
      </c>
      <c r="K6" s="105" t="s">
        <v>184</v>
      </c>
      <c r="L6" s="105" t="s">
        <v>185</v>
      </c>
      <c r="M6" s="105" t="s">
        <v>186</v>
      </c>
    </row>
    <row r="7" spans="1:13" ht="15.5" x14ac:dyDescent="0.35">
      <c r="A7" s="106">
        <v>1</v>
      </c>
      <c r="B7" s="107">
        <v>46198</v>
      </c>
      <c r="C7" s="108">
        <v>45570000</v>
      </c>
      <c r="D7" s="62" t="s">
        <v>187</v>
      </c>
      <c r="E7" s="18"/>
      <c r="F7" s="11">
        <f>Таблица2133990[[#This Row],[ ]]</f>
        <v>1</v>
      </c>
      <c r="G7" s="62">
        <v>46197</v>
      </c>
      <c r="H7" s="120" t="s">
        <v>25</v>
      </c>
      <c r="I7" s="121" t="s">
        <v>26</v>
      </c>
      <c r="J7" s="122">
        <v>31.103999999999999</v>
      </c>
      <c r="K7" s="123">
        <v>18</v>
      </c>
      <c r="L7" s="18">
        <v>732542.43799999997</v>
      </c>
      <c r="M7" s="18">
        <f>Таблица2133990[[#This Row],[113]]*(Таблица2133990[[#This Row],[15]])</f>
        <v>22784999.991551999</v>
      </c>
    </row>
    <row r="8" spans="1:13" ht="15.5" x14ac:dyDescent="0.35">
      <c r="A8" s="106">
        <v>2</v>
      </c>
      <c r="B8" s="107">
        <v>46206</v>
      </c>
      <c r="C8" s="108">
        <v>85000000</v>
      </c>
      <c r="D8" s="62" t="s">
        <v>187</v>
      </c>
      <c r="E8" s="18"/>
      <c r="F8" s="11">
        <f>Таблица2133990[[#This Row],[ ]]</f>
        <v>2</v>
      </c>
      <c r="G8" s="107">
        <v>46197</v>
      </c>
      <c r="H8" s="63" t="s">
        <v>29</v>
      </c>
      <c r="I8" s="63" t="s">
        <v>26</v>
      </c>
      <c r="J8" s="63">
        <v>31.103999999999999</v>
      </c>
      <c r="K8" s="18">
        <v>18</v>
      </c>
      <c r="L8" s="18">
        <v>732542.43799999997</v>
      </c>
      <c r="M8" s="18">
        <f>Таблица2133990[[#This Row],[113]]*(Таблица2133990[[#This Row],[15]])</f>
        <v>22784999.991551999</v>
      </c>
    </row>
    <row r="9" spans="1:13" x14ac:dyDescent="0.35">
      <c r="A9" s="129">
        <v>3</v>
      </c>
      <c r="B9" s="109">
        <v>46218</v>
      </c>
      <c r="C9" s="18">
        <v>100000000</v>
      </c>
      <c r="D9" s="62" t="s">
        <v>187</v>
      </c>
      <c r="E9" s="112"/>
      <c r="F9" s="70">
        <f>Таблица2133990[[#This Row],[ ]]</f>
        <v>3</v>
      </c>
      <c r="G9" s="107"/>
      <c r="H9" s="63"/>
      <c r="I9" s="63"/>
      <c r="J9" s="63"/>
      <c r="K9" s="18"/>
      <c r="L9" s="51"/>
      <c r="M9" s="77">
        <f>Таблица2133990[[#This Row],[113]]*(Таблица2133990[[#This Row],[15]])</f>
        <v>0</v>
      </c>
    </row>
    <row r="10" spans="1:13" x14ac:dyDescent="0.35">
      <c r="A10" s="129">
        <v>4</v>
      </c>
      <c r="B10" s="113"/>
      <c r="C10" s="112"/>
      <c r="D10" s="130"/>
      <c r="E10" s="112"/>
      <c r="F10" s="70">
        <f>Таблица2133990[[#This Row],[ ]]</f>
        <v>4</v>
      </c>
      <c r="G10" s="107"/>
      <c r="H10" s="63"/>
      <c r="I10" s="63"/>
      <c r="J10" s="63"/>
      <c r="K10" s="18"/>
      <c r="L10" s="51"/>
      <c r="M10" s="77">
        <f>Таблица2133990[[#This Row],[113]]*(Таблица2133990[[#This Row],[15]])</f>
        <v>0</v>
      </c>
    </row>
    <row r="11" spans="1:13" x14ac:dyDescent="0.35">
      <c r="A11" s="111"/>
      <c r="B11" s="71"/>
      <c r="C11" s="112">
        <f>SUBTOTAL(109,Таблица2133990[2])</f>
        <v>230570000</v>
      </c>
      <c r="D11" s="112"/>
      <c r="E11" s="112"/>
      <c r="F11" s="71"/>
      <c r="G11" s="113"/>
      <c r="H11" s="70"/>
      <c r="I11" s="70"/>
      <c r="J11" s="70"/>
      <c r="K11" s="77">
        <f>SUBTOTAL(109,Таблица2133990[1132])</f>
        <v>36</v>
      </c>
      <c r="L11" s="114"/>
      <c r="M11" s="114">
        <f>SUBTOTAL(109,Таблица2133990[16])</f>
        <v>45569999.983103998</v>
      </c>
    </row>
    <row r="13" spans="1:13" ht="18" x14ac:dyDescent="0.4">
      <c r="A13" s="90"/>
      <c r="B13" s="91"/>
      <c r="C13" s="92" t="s">
        <v>174</v>
      </c>
      <c r="D13" s="115" t="s">
        <v>188</v>
      </c>
      <c r="E13" s="94"/>
      <c r="F13" s="32"/>
      <c r="G13" s="32"/>
      <c r="H13" s="32"/>
      <c r="I13" s="32"/>
      <c r="J13" s="32"/>
      <c r="K13" s="32"/>
      <c r="L13" s="32"/>
      <c r="M13" s="32"/>
    </row>
    <row r="14" spans="1:13" ht="20" x14ac:dyDescent="0.35">
      <c r="A14" s="224" t="s">
        <v>166</v>
      </c>
      <c r="B14" s="224"/>
      <c r="C14" s="225"/>
      <c r="D14" s="225"/>
      <c r="E14" s="95"/>
      <c r="F14" s="226">
        <f>Таблица213399029[[#Totals],[2]]+-Таблица213399029[[#Totals],[16]]</f>
        <v>-50803200</v>
      </c>
      <c r="G14" s="227"/>
      <c r="H14" s="32"/>
      <c r="I14" s="32"/>
      <c r="J14" s="32"/>
      <c r="K14" s="103">
        <f>K17</f>
        <v>99</v>
      </c>
      <c r="L14" s="32"/>
      <c r="M14" s="32"/>
    </row>
    <row r="15" spans="1:13" ht="15" customHeight="1" x14ac:dyDescent="0.35">
      <c r="A15" s="228" t="s">
        <v>167</v>
      </c>
      <c r="B15" s="228" t="s">
        <v>168</v>
      </c>
      <c r="C15" s="116" t="s">
        <v>169</v>
      </c>
      <c r="D15" s="116" t="s">
        <v>189</v>
      </c>
      <c r="E15" s="229" t="s">
        <v>171</v>
      </c>
      <c r="F15" s="231" t="s">
        <v>167</v>
      </c>
      <c r="G15" s="231" t="s">
        <v>168</v>
      </c>
      <c r="H15" s="231" t="s">
        <v>172</v>
      </c>
      <c r="I15" s="222" t="s">
        <v>6</v>
      </c>
      <c r="J15" s="233" t="s">
        <v>7</v>
      </c>
      <c r="K15" s="233" t="s">
        <v>173</v>
      </c>
      <c r="L15" s="231" t="s">
        <v>190</v>
      </c>
      <c r="M15" s="222" t="s">
        <v>169</v>
      </c>
    </row>
    <row r="16" spans="1:13" x14ac:dyDescent="0.35">
      <c r="A16" s="228"/>
      <c r="B16" s="228"/>
      <c r="C16" s="98"/>
      <c r="D16" s="99"/>
      <c r="E16" s="230"/>
      <c r="F16" s="231"/>
      <c r="G16" s="231"/>
      <c r="H16" s="231"/>
      <c r="I16" s="232"/>
      <c r="J16" s="232"/>
      <c r="K16" s="235"/>
      <c r="L16" s="231"/>
      <c r="M16" s="223"/>
    </row>
    <row r="17" spans="1:13" ht="15.5" x14ac:dyDescent="0.35">
      <c r="A17" s="228"/>
      <c r="B17" s="228"/>
      <c r="C17" s="117">
        <f>Таблица213399029[[#Totals],[2]]</f>
        <v>72394560</v>
      </c>
      <c r="D17" s="101"/>
      <c r="E17" s="102">
        <f>SUM(Таблица213399029[4])</f>
        <v>0</v>
      </c>
      <c r="F17" s="231"/>
      <c r="G17" s="231"/>
      <c r="H17" s="231"/>
      <c r="I17" s="223"/>
      <c r="J17" s="223"/>
      <c r="K17" s="103">
        <f>Таблица213399029[[#Totals],[1132]]</f>
        <v>99</v>
      </c>
      <c r="L17" s="231"/>
      <c r="M17" s="118">
        <f>Таблица213399029[[#Totals],[16]]</f>
        <v>123197760</v>
      </c>
    </row>
    <row r="18" spans="1:13" x14ac:dyDescent="0.35">
      <c r="A18" s="104" t="s">
        <v>174</v>
      </c>
      <c r="B18" s="105" t="s">
        <v>175</v>
      </c>
      <c r="C18" s="105" t="s">
        <v>176</v>
      </c>
      <c r="D18" s="105" t="s">
        <v>177</v>
      </c>
      <c r="E18" s="105" t="s">
        <v>178</v>
      </c>
      <c r="F18" s="105" t="s">
        <v>179</v>
      </c>
      <c r="G18" s="105" t="s">
        <v>180</v>
      </c>
      <c r="H18" s="105" t="s">
        <v>181</v>
      </c>
      <c r="I18" s="105" t="s">
        <v>182</v>
      </c>
      <c r="J18" s="105" t="s">
        <v>183</v>
      </c>
      <c r="K18" s="105" t="s">
        <v>184</v>
      </c>
      <c r="L18" s="105" t="s">
        <v>185</v>
      </c>
      <c r="M18" s="105" t="s">
        <v>186</v>
      </c>
    </row>
    <row r="19" spans="1:13" ht="15.5" x14ac:dyDescent="0.35">
      <c r="A19" s="106">
        <v>1</v>
      </c>
      <c r="B19" s="107">
        <v>46205</v>
      </c>
      <c r="C19" s="108">
        <v>72394560</v>
      </c>
      <c r="D19" s="62" t="s">
        <v>191</v>
      </c>
      <c r="E19" s="18"/>
      <c r="F19" s="11">
        <f>Таблица213399029[[#This Row],[ ]]</f>
        <v>1</v>
      </c>
      <c r="G19" s="62">
        <v>46198</v>
      </c>
      <c r="H19" s="120" t="s">
        <v>38</v>
      </c>
      <c r="I19" s="121" t="s">
        <v>26</v>
      </c>
      <c r="J19" s="122">
        <v>32.832000000000001</v>
      </c>
      <c r="K19" s="123">
        <v>19</v>
      </c>
      <c r="L19" s="11">
        <v>735000</v>
      </c>
      <c r="M19" s="18">
        <f>Таблица213399029[[#This Row],[113]]*Таблица213399029[[#This Row],[15]]</f>
        <v>24131520</v>
      </c>
    </row>
    <row r="20" spans="1:13" x14ac:dyDescent="0.35">
      <c r="A20" s="106">
        <v>2</v>
      </c>
      <c r="B20" s="110"/>
      <c r="C20" s="18"/>
      <c r="D20" s="62"/>
      <c r="E20" s="18"/>
      <c r="F20" s="11">
        <f>Таблица213399029[[#This Row],[ ]]</f>
        <v>2</v>
      </c>
      <c r="G20" s="107">
        <v>46198</v>
      </c>
      <c r="H20" s="63" t="s">
        <v>39</v>
      </c>
      <c r="I20" s="63" t="s">
        <v>26</v>
      </c>
      <c r="J20" s="63">
        <v>32.832000000000001</v>
      </c>
      <c r="K20" s="18">
        <v>19</v>
      </c>
      <c r="L20" s="51">
        <v>735000</v>
      </c>
      <c r="M20" s="18">
        <f>Таблица213399029[[#This Row],[113]]*Таблица213399029[[#This Row],[15]]</f>
        <v>24131520</v>
      </c>
    </row>
    <row r="21" spans="1:13" x14ac:dyDescent="0.35">
      <c r="A21" s="106">
        <v>3</v>
      </c>
      <c r="B21" s="110"/>
      <c r="C21" s="18"/>
      <c r="D21" s="62"/>
      <c r="E21" s="18"/>
      <c r="F21" s="11">
        <f>Таблица213399029[[#This Row],[ ]]</f>
        <v>3</v>
      </c>
      <c r="G21" s="107">
        <v>46198</v>
      </c>
      <c r="H21" s="63" t="s">
        <v>40</v>
      </c>
      <c r="I21" s="63" t="s">
        <v>26</v>
      </c>
      <c r="J21" s="63">
        <v>32.832000000000001</v>
      </c>
      <c r="K21" s="18">
        <v>19</v>
      </c>
      <c r="L21" s="51">
        <v>735000</v>
      </c>
      <c r="M21" s="18">
        <f>Таблица213399029[[#This Row],[113]]*Таблица213399029[[#This Row],[15]]</f>
        <v>24131520</v>
      </c>
    </row>
    <row r="22" spans="1:13" x14ac:dyDescent="0.35">
      <c r="A22" s="129">
        <v>4</v>
      </c>
      <c r="B22" s="110"/>
      <c r="C22" s="18"/>
      <c r="D22" s="62"/>
      <c r="E22" s="112"/>
      <c r="F22" s="70">
        <f>Таблица213399029[[#This Row],[ ]]</f>
        <v>4</v>
      </c>
      <c r="G22" s="107">
        <v>46216</v>
      </c>
      <c r="H22" s="63" t="s">
        <v>139</v>
      </c>
      <c r="I22" s="63" t="s">
        <v>26</v>
      </c>
      <c r="J22" s="63">
        <v>32.832000000000001</v>
      </c>
      <c r="K22" s="18">
        <v>19</v>
      </c>
      <c r="L22" s="51">
        <v>700000</v>
      </c>
      <c r="M22" s="77">
        <f>Таблица213399029[[#This Row],[113]]*Таблица213399029[[#This Row],[15]]</f>
        <v>22982400</v>
      </c>
    </row>
    <row r="23" spans="1:13" x14ac:dyDescent="0.35">
      <c r="A23" s="129">
        <v>5</v>
      </c>
      <c r="B23" s="110"/>
      <c r="C23" s="18"/>
      <c r="D23" s="62"/>
      <c r="E23" s="112"/>
      <c r="F23" s="70">
        <f>Таблица213399029[[#This Row],[ ]]</f>
        <v>5</v>
      </c>
      <c r="G23" s="107">
        <v>46216</v>
      </c>
      <c r="H23" s="63" t="s">
        <v>140</v>
      </c>
      <c r="I23" s="63" t="s">
        <v>26</v>
      </c>
      <c r="J23" s="63">
        <v>6.9119999999999999</v>
      </c>
      <c r="K23" s="18">
        <v>4</v>
      </c>
      <c r="L23" s="51">
        <v>700000</v>
      </c>
      <c r="M23" s="77">
        <f>Таблица213399029[[#This Row],[113]]*Таблица213399029[[#This Row],[15]]</f>
        <v>4838400</v>
      </c>
    </row>
    <row r="24" spans="1:13" x14ac:dyDescent="0.35">
      <c r="A24" s="129">
        <v>6</v>
      </c>
      <c r="B24" s="110"/>
      <c r="C24" s="18"/>
      <c r="D24" s="62"/>
      <c r="E24" s="112"/>
      <c r="F24" s="70">
        <f>Таблица213399029[[#This Row],[ ]]</f>
        <v>6</v>
      </c>
      <c r="G24" s="107">
        <v>46217</v>
      </c>
      <c r="H24" s="63" t="s">
        <v>142</v>
      </c>
      <c r="I24" s="63" t="s">
        <v>26</v>
      </c>
      <c r="J24" s="63">
        <v>32.832000000000001</v>
      </c>
      <c r="K24" s="18">
        <v>19</v>
      </c>
      <c r="L24" s="51">
        <v>700000</v>
      </c>
      <c r="M24" s="77">
        <f>Таблица213399029[[#This Row],[113]]*Таблица213399029[[#This Row],[15]]</f>
        <v>22982400</v>
      </c>
    </row>
    <row r="25" spans="1:13" x14ac:dyDescent="0.35">
      <c r="A25" s="129">
        <v>7</v>
      </c>
      <c r="B25" s="110"/>
      <c r="C25" s="18"/>
      <c r="D25" s="62"/>
      <c r="E25" s="112"/>
      <c r="F25" s="70">
        <f>Таблица213399029[[#This Row],[ ]]</f>
        <v>7</v>
      </c>
      <c r="G25" s="131"/>
      <c r="H25" s="132"/>
      <c r="I25" s="132"/>
      <c r="J25" s="132"/>
      <c r="K25" s="77"/>
      <c r="L25" s="133"/>
      <c r="M25" s="77">
        <f>Таблица213399029[[#This Row],[113]]*Таблица213399029[[#This Row],[15]]</f>
        <v>0</v>
      </c>
    </row>
    <row r="26" spans="1:13" x14ac:dyDescent="0.35">
      <c r="A26" s="111"/>
      <c r="B26" s="12"/>
      <c r="C26" s="18">
        <f>SUBTOTAL(109,Таблица213399029[2])</f>
        <v>72394560</v>
      </c>
      <c r="D26" s="18"/>
      <c r="E26" s="112"/>
      <c r="F26" s="71"/>
      <c r="G26" s="113"/>
      <c r="H26" s="70"/>
      <c r="I26" s="70"/>
      <c r="J26" s="70"/>
      <c r="K26" s="70">
        <f>SUBTOTAL(109,Таблица213399029[1132])</f>
        <v>99</v>
      </c>
      <c r="L26" s="114"/>
      <c r="M26" s="114">
        <f>SUBTOTAL(109,Таблица213399029[16])</f>
        <v>123197760</v>
      </c>
    </row>
    <row r="28" spans="1:13" ht="15.5" x14ac:dyDescent="0.35">
      <c r="A28" s="90"/>
      <c r="B28" s="91"/>
      <c r="C28" s="92" t="s">
        <v>174</v>
      </c>
      <c r="D28" s="119" t="s">
        <v>192</v>
      </c>
      <c r="E28" s="94"/>
      <c r="F28" s="32"/>
      <c r="G28" s="32"/>
      <c r="H28" s="32"/>
      <c r="I28" s="32"/>
      <c r="J28" s="32"/>
      <c r="K28" s="32"/>
      <c r="L28" s="32"/>
      <c r="M28" s="32"/>
    </row>
    <row r="29" spans="1:13" ht="20" x14ac:dyDescent="0.35">
      <c r="A29" s="224" t="s">
        <v>166</v>
      </c>
      <c r="B29" s="224"/>
      <c r="C29" s="225"/>
      <c r="D29" s="225"/>
      <c r="E29" s="95"/>
      <c r="F29" s="226">
        <f>Таблица2133990291011[[#Totals],[2]]+-Таблица2133990291011[[#Totals],[16]]</f>
        <v>8700480</v>
      </c>
      <c r="G29" s="227"/>
      <c r="H29" s="32"/>
      <c r="I29" s="32"/>
      <c r="J29" s="32"/>
      <c r="K29" s="103">
        <f>K32</f>
        <v>19</v>
      </c>
      <c r="L29" s="32"/>
      <c r="M29" s="32"/>
    </row>
    <row r="30" spans="1:13" ht="15" customHeight="1" x14ac:dyDescent="0.35">
      <c r="A30" s="228" t="s">
        <v>167</v>
      </c>
      <c r="B30" s="228" t="s">
        <v>168</v>
      </c>
      <c r="C30" s="116" t="s">
        <v>169</v>
      </c>
      <c r="D30" s="116" t="s">
        <v>189</v>
      </c>
      <c r="E30" s="229" t="s">
        <v>171</v>
      </c>
      <c r="F30" s="231" t="s">
        <v>167</v>
      </c>
      <c r="G30" s="231" t="s">
        <v>168</v>
      </c>
      <c r="H30" s="231" t="s">
        <v>172</v>
      </c>
      <c r="I30" s="222" t="s">
        <v>6</v>
      </c>
      <c r="J30" s="233" t="s">
        <v>7</v>
      </c>
      <c r="K30" s="233" t="s">
        <v>173</v>
      </c>
      <c r="L30" s="231" t="s">
        <v>190</v>
      </c>
      <c r="M30" s="222" t="s">
        <v>169</v>
      </c>
    </row>
    <row r="31" spans="1:13" x14ac:dyDescent="0.35">
      <c r="A31" s="228"/>
      <c r="B31" s="228"/>
      <c r="C31" s="98"/>
      <c r="D31" s="99"/>
      <c r="E31" s="230"/>
      <c r="F31" s="231"/>
      <c r="G31" s="231"/>
      <c r="H31" s="231"/>
      <c r="I31" s="232"/>
      <c r="J31" s="232"/>
      <c r="K31" s="235"/>
      <c r="L31" s="231"/>
      <c r="M31" s="223"/>
    </row>
    <row r="32" spans="1:13" ht="15.5" x14ac:dyDescent="0.35">
      <c r="A32" s="228"/>
      <c r="B32" s="228"/>
      <c r="C32" s="117">
        <f>Таблица2133990291011[[#Totals],[2]]</f>
        <v>32832000</v>
      </c>
      <c r="D32" s="101"/>
      <c r="E32" s="102">
        <f>SUM(Таблица2133990291011[4])</f>
        <v>0</v>
      </c>
      <c r="F32" s="231"/>
      <c r="G32" s="231"/>
      <c r="H32" s="231"/>
      <c r="I32" s="223"/>
      <c r="J32" s="223"/>
      <c r="K32" s="103">
        <f>Таблица2133990291011[[#Totals],[1132]]</f>
        <v>19</v>
      </c>
      <c r="L32" s="231"/>
      <c r="M32" s="118">
        <f>Таблица2133990291011[[#Totals],[16]]</f>
        <v>24131520</v>
      </c>
    </row>
    <row r="33" spans="1:13" x14ac:dyDescent="0.35">
      <c r="A33" s="104" t="s">
        <v>174</v>
      </c>
      <c r="B33" s="105" t="s">
        <v>175</v>
      </c>
      <c r="C33" s="105" t="s">
        <v>176</v>
      </c>
      <c r="D33" s="105" t="s">
        <v>177</v>
      </c>
      <c r="E33" s="105" t="s">
        <v>178</v>
      </c>
      <c r="F33" s="105" t="s">
        <v>179</v>
      </c>
      <c r="G33" s="105" t="s">
        <v>180</v>
      </c>
      <c r="H33" s="105" t="s">
        <v>181</v>
      </c>
      <c r="I33" s="105" t="s">
        <v>182</v>
      </c>
      <c r="J33" s="105" t="s">
        <v>183</v>
      </c>
      <c r="K33" s="105" t="s">
        <v>184</v>
      </c>
      <c r="L33" s="105" t="s">
        <v>185</v>
      </c>
      <c r="M33" s="105" t="s">
        <v>186</v>
      </c>
    </row>
    <row r="34" spans="1:13" ht="15.5" x14ac:dyDescent="0.35">
      <c r="A34" s="106">
        <v>1</v>
      </c>
      <c r="B34" s="107">
        <v>46211</v>
      </c>
      <c r="C34" s="108">
        <v>32832000</v>
      </c>
      <c r="D34" s="62" t="s">
        <v>57</v>
      </c>
      <c r="E34" s="18"/>
      <c r="F34" s="11">
        <f>Таблица2133990291011[[#This Row],[ ]]</f>
        <v>1</v>
      </c>
      <c r="G34" s="62">
        <v>46203</v>
      </c>
      <c r="H34" s="120" t="s">
        <v>58</v>
      </c>
      <c r="I34" s="121" t="s">
        <v>26</v>
      </c>
      <c r="J34" s="122">
        <v>32.832000000000001</v>
      </c>
      <c r="K34" s="123">
        <v>19</v>
      </c>
      <c r="L34" s="11">
        <v>735000</v>
      </c>
      <c r="M34" s="18">
        <f>Таблица2133990291011[[#This Row],[113]]*Таблица2133990291011[[#This Row],[15]]</f>
        <v>24131520</v>
      </c>
    </row>
    <row r="35" spans="1:13" ht="15.5" x14ac:dyDescent="0.35">
      <c r="A35" s="129">
        <v>2</v>
      </c>
      <c r="B35" s="107"/>
      <c r="C35" s="108"/>
      <c r="D35" s="62"/>
      <c r="E35" s="112"/>
      <c r="F35" s="70">
        <f>Таблица2133990291011[[#This Row],[ ]]</f>
        <v>2</v>
      </c>
      <c r="G35" s="134"/>
      <c r="H35" s="135"/>
      <c r="I35" s="136"/>
      <c r="J35" s="137"/>
      <c r="K35" s="138"/>
      <c r="L35" s="70"/>
      <c r="M35" s="77">
        <f>Таблица2133990291011[[#This Row],[113]]*Таблица2133990291011[[#This Row],[15]]</f>
        <v>0</v>
      </c>
    </row>
    <row r="36" spans="1:13" x14ac:dyDescent="0.35">
      <c r="A36" s="111"/>
      <c r="B36" s="12"/>
      <c r="C36" s="18">
        <f>SUBTOTAL(109,Таблица2133990291011[2])</f>
        <v>32832000</v>
      </c>
      <c r="D36" s="18"/>
      <c r="E36" s="112"/>
      <c r="F36" s="71"/>
      <c r="G36" s="113"/>
      <c r="H36" s="70"/>
      <c r="I36" s="70"/>
      <c r="J36" s="70"/>
      <c r="K36" s="70">
        <f>SUBTOTAL(109,Таблица2133990291011[1132])</f>
        <v>19</v>
      </c>
      <c r="L36" s="114"/>
      <c r="M36" s="114">
        <f>SUBTOTAL(109,Таблица2133990291011[16])</f>
        <v>24131520</v>
      </c>
    </row>
    <row r="38" spans="1:13" ht="18" x14ac:dyDescent="0.4">
      <c r="A38" s="124"/>
      <c r="B38" s="124"/>
      <c r="C38" s="125" t="s">
        <v>174</v>
      </c>
      <c r="D38" s="126" t="s">
        <v>193</v>
      </c>
      <c r="E38" s="94"/>
      <c r="F38" s="32"/>
      <c r="G38" s="32"/>
      <c r="H38" s="32"/>
      <c r="I38" s="32"/>
      <c r="J38" s="32"/>
      <c r="K38" s="32"/>
      <c r="L38" s="32"/>
      <c r="M38" s="32"/>
    </row>
    <row r="39" spans="1:13" ht="18" x14ac:dyDescent="0.35">
      <c r="A39" s="238" t="s">
        <v>166</v>
      </c>
      <c r="B39" s="238"/>
      <c r="C39" s="239"/>
      <c r="D39" s="239"/>
      <c r="E39" s="95"/>
      <c r="F39" s="240">
        <f>Таблица213399028[[#Totals],[2]]+-Таблица213399028[[#Totals],[16]]</f>
        <v>0</v>
      </c>
      <c r="G39" s="240"/>
      <c r="H39" s="32"/>
      <c r="I39" s="32"/>
      <c r="J39" s="32"/>
      <c r="K39" s="103">
        <f>K42</f>
        <v>56</v>
      </c>
      <c r="L39" s="32"/>
      <c r="M39" s="32"/>
    </row>
    <row r="40" spans="1:13" ht="15" customHeight="1" x14ac:dyDescent="0.35">
      <c r="A40" s="228" t="s">
        <v>167</v>
      </c>
      <c r="B40" s="228" t="s">
        <v>168</v>
      </c>
      <c r="C40" s="116" t="s">
        <v>169</v>
      </c>
      <c r="D40" s="116" t="s">
        <v>189</v>
      </c>
      <c r="E40" s="229" t="s">
        <v>171</v>
      </c>
      <c r="F40" s="222" t="s">
        <v>167</v>
      </c>
      <c r="G40" s="231" t="s">
        <v>168</v>
      </c>
      <c r="H40" s="231" t="s">
        <v>172</v>
      </c>
      <c r="I40" s="222" t="s">
        <v>6</v>
      </c>
      <c r="J40" s="233" t="s">
        <v>7</v>
      </c>
      <c r="K40" s="233" t="s">
        <v>173</v>
      </c>
      <c r="L40" s="231" t="s">
        <v>190</v>
      </c>
      <c r="M40" s="222" t="s">
        <v>169</v>
      </c>
    </row>
    <row r="41" spans="1:13" x14ac:dyDescent="0.35">
      <c r="A41" s="228"/>
      <c r="B41" s="228"/>
      <c r="C41" s="98"/>
      <c r="D41" s="99"/>
      <c r="E41" s="230"/>
      <c r="F41" s="232"/>
      <c r="G41" s="231"/>
      <c r="H41" s="231"/>
      <c r="I41" s="232"/>
      <c r="J41" s="232"/>
      <c r="K41" s="235"/>
      <c r="L41" s="231"/>
      <c r="M41" s="223"/>
    </row>
    <row r="42" spans="1:13" ht="15.5" x14ac:dyDescent="0.35">
      <c r="A42" s="228"/>
      <c r="B42" s="228"/>
      <c r="C42" s="117">
        <f>Таблица213399028[[#Totals],[2]]</f>
        <v>67737600</v>
      </c>
      <c r="D42" s="101"/>
      <c r="E42" s="102">
        <f>SUM(Таблица213399028[4])</f>
        <v>0</v>
      </c>
      <c r="F42" s="223"/>
      <c r="G42" s="231"/>
      <c r="H42" s="231"/>
      <c r="I42" s="223"/>
      <c r="J42" s="223"/>
      <c r="K42" s="103">
        <f>Таблица213399028[[#Totals],[1132]]</f>
        <v>56</v>
      </c>
      <c r="L42" s="231"/>
      <c r="M42" s="118">
        <f>Таблица213399028[[#Totals],[16]]</f>
        <v>67737600</v>
      </c>
    </row>
    <row r="43" spans="1:13" x14ac:dyDescent="0.35">
      <c r="A43" s="104" t="s">
        <v>174</v>
      </c>
      <c r="B43" s="105" t="s">
        <v>175</v>
      </c>
      <c r="C43" s="105" t="s">
        <v>176</v>
      </c>
      <c r="D43" s="105" t="s">
        <v>177</v>
      </c>
      <c r="E43" s="105" t="s">
        <v>178</v>
      </c>
      <c r="F43" s="105" t="s">
        <v>179</v>
      </c>
      <c r="G43" s="105" t="s">
        <v>180</v>
      </c>
      <c r="H43" s="105" t="s">
        <v>181</v>
      </c>
      <c r="I43" s="105" t="s">
        <v>182</v>
      </c>
      <c r="J43" s="105" t="s">
        <v>183</v>
      </c>
      <c r="K43" s="105" t="s">
        <v>184</v>
      </c>
      <c r="L43" s="105" t="s">
        <v>185</v>
      </c>
      <c r="M43" s="105" t="s">
        <v>186</v>
      </c>
    </row>
    <row r="44" spans="1:13" ht="15.5" x14ac:dyDescent="0.35">
      <c r="A44" s="106">
        <v>1</v>
      </c>
      <c r="B44" s="107">
        <v>46205</v>
      </c>
      <c r="C44" s="108">
        <v>67737600</v>
      </c>
      <c r="D44" s="62" t="s">
        <v>194</v>
      </c>
      <c r="E44" s="18"/>
      <c r="F44" s="11">
        <f>Таблица213399028[[#This Row],[ ]]</f>
        <v>1</v>
      </c>
      <c r="G44" s="62">
        <v>46197</v>
      </c>
      <c r="H44" s="120" t="s">
        <v>31</v>
      </c>
      <c r="I44" s="121" t="s">
        <v>26</v>
      </c>
      <c r="J44" s="122">
        <v>31.103999999999999</v>
      </c>
      <c r="K44" s="123">
        <v>18</v>
      </c>
      <c r="L44" s="11">
        <v>700000</v>
      </c>
      <c r="M44" s="18">
        <f>Таблица213399028[[#This Row],[113]]*Таблица213399028[[#This Row],[15]]</f>
        <v>21772800</v>
      </c>
    </row>
    <row r="45" spans="1:13" x14ac:dyDescent="0.35">
      <c r="A45" s="106">
        <v>2</v>
      </c>
      <c r="B45" s="110"/>
      <c r="C45" s="18"/>
      <c r="D45" s="62"/>
      <c r="E45" s="18"/>
      <c r="F45" s="11">
        <f>Таблица213399028[[#This Row],[ ]]</f>
        <v>2</v>
      </c>
      <c r="G45" s="107">
        <v>46197</v>
      </c>
      <c r="H45" s="63" t="s">
        <v>35</v>
      </c>
      <c r="I45" s="63" t="s">
        <v>26</v>
      </c>
      <c r="J45" s="63">
        <v>32.832000000000001</v>
      </c>
      <c r="K45" s="18">
        <v>19</v>
      </c>
      <c r="L45" s="51">
        <v>700000</v>
      </c>
      <c r="M45" s="18">
        <f>Таблица213399028[[#This Row],[113]]*Таблица213399028[[#This Row],[15]]</f>
        <v>22982400</v>
      </c>
    </row>
    <row r="46" spans="1:13" x14ac:dyDescent="0.35">
      <c r="A46" s="106">
        <v>3</v>
      </c>
      <c r="B46" s="110"/>
      <c r="C46" s="18"/>
      <c r="D46" s="62"/>
      <c r="E46" s="18"/>
      <c r="F46" s="11">
        <f>Таблица213399028[[#This Row],[ ]]</f>
        <v>3</v>
      </c>
      <c r="G46" s="107">
        <v>46198</v>
      </c>
      <c r="H46" s="63" t="s">
        <v>36</v>
      </c>
      <c r="I46" s="63" t="s">
        <v>26</v>
      </c>
      <c r="J46" s="63">
        <v>32.832000000000001</v>
      </c>
      <c r="K46" s="18">
        <v>19</v>
      </c>
      <c r="L46" s="51">
        <v>700000</v>
      </c>
      <c r="M46" s="18">
        <f>Таблица213399028[[#This Row],[113]]*Таблица213399028[[#This Row],[15]]</f>
        <v>22982400</v>
      </c>
    </row>
    <row r="47" spans="1:13" x14ac:dyDescent="0.35">
      <c r="A47" s="111"/>
      <c r="B47" s="71"/>
      <c r="C47" s="112">
        <f>SUBTOTAL(109,Таблица213399028[2])</f>
        <v>67737600</v>
      </c>
      <c r="D47" s="112"/>
      <c r="E47" s="112"/>
      <c r="F47" s="71"/>
      <c r="G47" s="113"/>
      <c r="H47" s="70"/>
      <c r="I47" s="70"/>
      <c r="J47" s="70"/>
      <c r="K47" s="70">
        <f>SUBTOTAL(109,Таблица213399028[1132])</f>
        <v>56</v>
      </c>
      <c r="L47" s="114"/>
      <c r="M47" s="114">
        <f>SUBTOTAL(109,Таблица213399028[16])</f>
        <v>67737600</v>
      </c>
    </row>
    <row r="49" spans="1:17" ht="18" x14ac:dyDescent="0.4">
      <c r="A49" s="124"/>
      <c r="B49" s="124"/>
      <c r="C49" s="125" t="s">
        <v>174</v>
      </c>
      <c r="D49" s="126" t="s">
        <v>195</v>
      </c>
      <c r="E49" s="94"/>
      <c r="F49" s="32"/>
      <c r="G49" s="32"/>
      <c r="H49" s="32"/>
      <c r="I49" s="32"/>
      <c r="J49" s="32"/>
      <c r="K49" s="32"/>
      <c r="L49" s="32"/>
      <c r="M49" s="32"/>
    </row>
    <row r="50" spans="1:17" ht="18" x14ac:dyDescent="0.35">
      <c r="A50" s="238" t="s">
        <v>166</v>
      </c>
      <c r="B50" s="238"/>
      <c r="C50" s="239"/>
      <c r="D50" s="239"/>
      <c r="E50" s="95"/>
      <c r="F50" s="240">
        <f>Таблица21339902816[[#Totals],[2]]+-Таблица21339902816[[#Totals],[16]]</f>
        <v>-1920</v>
      </c>
      <c r="G50" s="240"/>
      <c r="H50" s="32"/>
      <c r="I50" s="32"/>
      <c r="J50" s="32"/>
      <c r="K50" s="103">
        <f>K53</f>
        <v>95</v>
      </c>
      <c r="L50" s="32"/>
      <c r="M50" s="32"/>
    </row>
    <row r="51" spans="1:17" x14ac:dyDescent="0.35">
      <c r="A51" s="228" t="s">
        <v>167</v>
      </c>
      <c r="B51" s="228" t="s">
        <v>168</v>
      </c>
      <c r="C51" s="116" t="s">
        <v>169</v>
      </c>
      <c r="D51" s="116" t="s">
        <v>189</v>
      </c>
      <c r="E51" s="229" t="s">
        <v>171</v>
      </c>
      <c r="F51" s="222" t="s">
        <v>167</v>
      </c>
      <c r="G51" s="231" t="s">
        <v>168</v>
      </c>
      <c r="H51" s="231" t="s">
        <v>172</v>
      </c>
      <c r="I51" s="222" t="s">
        <v>6</v>
      </c>
      <c r="J51" s="233" t="s">
        <v>7</v>
      </c>
      <c r="K51" s="233" t="s">
        <v>173</v>
      </c>
      <c r="L51" s="231" t="s">
        <v>190</v>
      </c>
      <c r="M51" s="222" t="s">
        <v>169</v>
      </c>
    </row>
    <row r="52" spans="1:17" x14ac:dyDescent="0.35">
      <c r="A52" s="228"/>
      <c r="B52" s="228"/>
      <c r="C52" s="98"/>
      <c r="D52" s="99"/>
      <c r="E52" s="230"/>
      <c r="F52" s="232"/>
      <c r="G52" s="231"/>
      <c r="H52" s="231"/>
      <c r="I52" s="232"/>
      <c r="J52" s="232"/>
      <c r="K52" s="235"/>
      <c r="L52" s="231"/>
      <c r="M52" s="223"/>
    </row>
    <row r="53" spans="1:17" ht="15.5" x14ac:dyDescent="0.35">
      <c r="A53" s="228"/>
      <c r="B53" s="228"/>
      <c r="C53" s="117">
        <f>Таблица21339902816[[#Totals],[2]]</f>
        <v>116880000</v>
      </c>
      <c r="D53" s="101"/>
      <c r="E53" s="102">
        <f>SUM(Таблица21339902816[4])</f>
        <v>0</v>
      </c>
      <c r="F53" s="223"/>
      <c r="G53" s="231"/>
      <c r="H53" s="231"/>
      <c r="I53" s="223"/>
      <c r="J53" s="223"/>
      <c r="K53" s="103">
        <f>Таблица21339902816[[#Totals],[1132]]</f>
        <v>95</v>
      </c>
      <c r="L53" s="231"/>
      <c r="M53" s="118">
        <f>Таблица21339902816[[#Totals],[16]]</f>
        <v>116881920</v>
      </c>
      <c r="Q53" s="48"/>
    </row>
    <row r="54" spans="1:17" x14ac:dyDescent="0.35">
      <c r="A54" s="104" t="s">
        <v>174</v>
      </c>
      <c r="B54" s="105" t="s">
        <v>175</v>
      </c>
      <c r="C54" s="105" t="s">
        <v>176</v>
      </c>
      <c r="D54" s="105" t="s">
        <v>177</v>
      </c>
      <c r="E54" s="105" t="s">
        <v>178</v>
      </c>
      <c r="F54" s="105" t="s">
        <v>179</v>
      </c>
      <c r="G54" s="105" t="s">
        <v>180</v>
      </c>
      <c r="H54" s="105" t="s">
        <v>181</v>
      </c>
      <c r="I54" s="105" t="s">
        <v>182</v>
      </c>
      <c r="J54" s="105" t="s">
        <v>183</v>
      </c>
      <c r="K54" s="105" t="s">
        <v>184</v>
      </c>
      <c r="L54" s="105" t="s">
        <v>185</v>
      </c>
      <c r="M54" s="105" t="s">
        <v>186</v>
      </c>
      <c r="Q54" s="48"/>
    </row>
    <row r="55" spans="1:17" x14ac:dyDescent="0.35">
      <c r="A55" s="106">
        <v>1</v>
      </c>
      <c r="B55" s="110">
        <v>46203</v>
      </c>
      <c r="C55" s="18">
        <v>22703000</v>
      </c>
      <c r="D55" s="62" t="s">
        <v>200</v>
      </c>
      <c r="E55" s="18"/>
      <c r="F55" s="11">
        <v>1</v>
      </c>
      <c r="G55" s="62">
        <v>46204</v>
      </c>
      <c r="H55" s="120" t="s">
        <v>69</v>
      </c>
      <c r="I55" s="121" t="s">
        <v>26</v>
      </c>
      <c r="J55" s="122">
        <v>32.832000000000001</v>
      </c>
      <c r="K55" s="123">
        <v>19</v>
      </c>
      <c r="L55" s="18">
        <v>730000</v>
      </c>
      <c r="M55" s="18">
        <f>Таблица21339902816[[#This Row],[15]]*Таблица21339902816[[#This Row],[113]]</f>
        <v>23967360</v>
      </c>
    </row>
    <row r="56" spans="1:17" x14ac:dyDescent="0.35">
      <c r="A56" s="129">
        <v>2</v>
      </c>
      <c r="B56" s="110">
        <v>46204</v>
      </c>
      <c r="C56" s="18">
        <v>25231000</v>
      </c>
      <c r="D56" s="62" t="s">
        <v>196</v>
      </c>
      <c r="E56" s="112"/>
      <c r="F56" s="70">
        <v>2</v>
      </c>
      <c r="G56" s="107">
        <v>46205</v>
      </c>
      <c r="H56" s="63" t="s">
        <v>76</v>
      </c>
      <c r="I56" s="63" t="s">
        <v>46</v>
      </c>
      <c r="J56" s="63">
        <v>32.832000000000001</v>
      </c>
      <c r="K56" s="18">
        <v>19</v>
      </c>
      <c r="L56" s="51">
        <v>730000</v>
      </c>
      <c r="M56" s="77">
        <f>Таблица21339902816[[#This Row],[15]]*Таблица21339902816[[#This Row],[113]]</f>
        <v>23967360</v>
      </c>
    </row>
    <row r="57" spans="1:17" x14ac:dyDescent="0.35">
      <c r="A57" s="129">
        <v>3</v>
      </c>
      <c r="B57" s="110">
        <v>46241</v>
      </c>
      <c r="C57" s="18">
        <v>20982000</v>
      </c>
      <c r="D57" s="62" t="s">
        <v>196</v>
      </c>
      <c r="E57" s="112"/>
      <c r="F57" s="70">
        <v>3</v>
      </c>
      <c r="G57" s="107">
        <v>46210</v>
      </c>
      <c r="H57" s="63" t="s">
        <v>103</v>
      </c>
      <c r="I57" s="63" t="s">
        <v>104</v>
      </c>
      <c r="J57" s="63">
        <v>32.832000000000001</v>
      </c>
      <c r="K57" s="18">
        <v>19</v>
      </c>
      <c r="L57" s="51">
        <v>700000</v>
      </c>
      <c r="M57" s="77">
        <f>Таблица21339902816[[#This Row],[15]]*Таблица21339902816[[#This Row],[113]]</f>
        <v>22982400</v>
      </c>
    </row>
    <row r="58" spans="1:17" x14ac:dyDescent="0.35">
      <c r="A58" s="129">
        <v>4</v>
      </c>
      <c r="B58" s="110">
        <v>46241</v>
      </c>
      <c r="C58" s="18">
        <v>2000000</v>
      </c>
      <c r="D58" s="62" t="s">
        <v>201</v>
      </c>
      <c r="E58" s="112"/>
      <c r="F58" s="70">
        <v>4</v>
      </c>
      <c r="G58" s="107">
        <v>46212</v>
      </c>
      <c r="H58" s="63" t="s">
        <v>44</v>
      </c>
      <c r="I58" s="63" t="s">
        <v>104</v>
      </c>
      <c r="J58" s="63">
        <v>32.832000000000001</v>
      </c>
      <c r="K58" s="18">
        <v>19</v>
      </c>
      <c r="L58" s="51">
        <v>700000</v>
      </c>
      <c r="M58" s="77">
        <f>Таблица21339902816[[#This Row],[15]]*Таблица21339902816[[#This Row],[113]]</f>
        <v>22982400</v>
      </c>
    </row>
    <row r="59" spans="1:17" x14ac:dyDescent="0.35">
      <c r="A59" s="129">
        <v>5</v>
      </c>
      <c r="B59" s="110">
        <v>46212</v>
      </c>
      <c r="C59" s="18">
        <v>2200000</v>
      </c>
      <c r="D59" s="62" t="s">
        <v>201</v>
      </c>
      <c r="E59" s="112"/>
      <c r="F59" s="70">
        <v>5</v>
      </c>
      <c r="G59" s="107">
        <v>46219</v>
      </c>
      <c r="H59" s="63" t="s">
        <v>96</v>
      </c>
      <c r="I59" s="63" t="s">
        <v>104</v>
      </c>
      <c r="J59" s="63">
        <v>32.832000000000001</v>
      </c>
      <c r="K59" s="18">
        <v>19</v>
      </c>
      <c r="L59" s="51">
        <v>700000</v>
      </c>
      <c r="M59" s="77">
        <f>Таблица21339902816[[#This Row],[15]]*Таблица21339902816[[#This Row],[113]]</f>
        <v>22982400</v>
      </c>
    </row>
    <row r="60" spans="1:17" x14ac:dyDescent="0.35">
      <c r="A60" s="129">
        <v>6</v>
      </c>
      <c r="B60" s="110">
        <v>46216</v>
      </c>
      <c r="C60" s="18">
        <v>20782000</v>
      </c>
      <c r="D60" s="62" t="s">
        <v>196</v>
      </c>
      <c r="E60" s="112"/>
      <c r="F60" s="70">
        <v>6</v>
      </c>
      <c r="G60" s="107"/>
      <c r="H60" s="63"/>
      <c r="I60" s="63"/>
      <c r="J60" s="63"/>
      <c r="K60" s="18"/>
      <c r="L60" s="51"/>
      <c r="M60" s="77">
        <f>Таблица21339902816[[#This Row],[15]]*Таблица21339902816[[#This Row],[113]]</f>
        <v>0</v>
      </c>
    </row>
    <row r="61" spans="1:17" x14ac:dyDescent="0.35">
      <c r="A61" s="129">
        <v>7</v>
      </c>
      <c r="B61" s="110">
        <v>46219</v>
      </c>
      <c r="C61" s="18">
        <v>2500000</v>
      </c>
      <c r="D61" s="62" t="s">
        <v>201</v>
      </c>
      <c r="E61" s="112"/>
      <c r="F61" s="70">
        <v>7</v>
      </c>
      <c r="G61" s="131"/>
      <c r="H61" s="132"/>
      <c r="I61" s="139"/>
      <c r="J61" s="139"/>
      <c r="K61" s="140"/>
      <c r="L61" s="133"/>
      <c r="M61" s="77">
        <f>Таблица21339902816[[#This Row],[15]]*Таблица21339902816[[#This Row],[113]]</f>
        <v>0</v>
      </c>
    </row>
    <row r="62" spans="1:17" x14ac:dyDescent="0.35">
      <c r="A62" s="129">
        <v>8</v>
      </c>
      <c r="B62" s="110">
        <v>46220</v>
      </c>
      <c r="C62" s="18">
        <v>20482000</v>
      </c>
      <c r="D62" s="18" t="s">
        <v>196</v>
      </c>
      <c r="E62" s="112"/>
      <c r="F62" s="70">
        <v>8</v>
      </c>
      <c r="G62" s="134"/>
      <c r="H62" s="135"/>
      <c r="I62" s="136"/>
      <c r="J62" s="137"/>
      <c r="K62" s="138"/>
      <c r="L62" s="70"/>
      <c r="M62" s="77">
        <f>Таблица21339902816[[#This Row],[15]]*Таблица21339902816[[#This Row],[113]]</f>
        <v>0</v>
      </c>
    </row>
    <row r="63" spans="1:17" x14ac:dyDescent="0.35">
      <c r="A63" s="129">
        <v>9</v>
      </c>
      <c r="B63" s="110"/>
      <c r="C63" s="18"/>
      <c r="D63" s="18"/>
      <c r="E63" s="112"/>
      <c r="F63" s="70">
        <v>9</v>
      </c>
      <c r="G63" s="134"/>
      <c r="H63" s="135"/>
      <c r="I63" s="136"/>
      <c r="J63" s="137"/>
      <c r="K63" s="138"/>
      <c r="L63" s="70"/>
      <c r="M63" s="77">
        <f>Таблица21339902816[[#This Row],[15]]*Таблица21339902816[[#This Row],[113]]</f>
        <v>0</v>
      </c>
    </row>
    <row r="64" spans="1:17" x14ac:dyDescent="0.35">
      <c r="A64" s="129">
        <v>10</v>
      </c>
      <c r="B64" s="110"/>
      <c r="C64" s="18"/>
      <c r="D64" s="18"/>
      <c r="E64" s="112"/>
      <c r="F64" s="70">
        <v>10</v>
      </c>
      <c r="G64" s="134"/>
      <c r="H64" s="135"/>
      <c r="I64" s="136"/>
      <c r="J64" s="137"/>
      <c r="K64" s="138"/>
      <c r="L64" s="70"/>
      <c r="M64" s="77">
        <f>Таблица21339902816[[#This Row],[15]]*Таблица21339902816[[#This Row],[113]]</f>
        <v>0</v>
      </c>
    </row>
    <row r="65" spans="1:13" x14ac:dyDescent="0.35">
      <c r="A65" s="111"/>
      <c r="B65" s="71"/>
      <c r="C65" s="112">
        <f>SUBTOTAL(109,Таблица21339902816[2])</f>
        <v>116880000</v>
      </c>
      <c r="D65" s="112"/>
      <c r="E65" s="112"/>
      <c r="F65" s="71"/>
      <c r="G65" s="113"/>
      <c r="H65" s="70"/>
      <c r="I65" s="70"/>
      <c r="J65" s="70"/>
      <c r="K65" s="70">
        <f>SUBTOTAL(109,Таблица21339902816[1132])</f>
        <v>95</v>
      </c>
      <c r="L65" s="114"/>
      <c r="M65" s="114">
        <f>SUBTOTAL(109,Таблица21339902816[16])</f>
        <v>116881920</v>
      </c>
    </row>
    <row r="67" spans="1:13" ht="18" x14ac:dyDescent="0.4">
      <c r="A67" s="90"/>
      <c r="B67" s="91"/>
      <c r="C67" s="92" t="s">
        <v>174</v>
      </c>
      <c r="D67" s="115" t="s">
        <v>197</v>
      </c>
      <c r="E67" s="94"/>
      <c r="F67" s="32"/>
      <c r="G67" s="32"/>
      <c r="H67" s="32"/>
      <c r="I67" s="32"/>
      <c r="J67" s="32"/>
      <c r="K67" s="32"/>
      <c r="L67" s="32"/>
      <c r="M67" s="32"/>
    </row>
    <row r="68" spans="1:13" ht="20" x14ac:dyDescent="0.35">
      <c r="A68" s="224" t="s">
        <v>166</v>
      </c>
      <c r="B68" s="224"/>
      <c r="C68" s="225"/>
      <c r="D68" s="225"/>
      <c r="E68" s="95"/>
      <c r="F68" s="226">
        <f>Таблица2133990291012[[#Totals],[2]]+-Таблица2133990291012[[#Totals],[16]]</f>
        <v>-46949760</v>
      </c>
      <c r="G68" s="227"/>
      <c r="H68" s="32"/>
      <c r="I68" s="32"/>
      <c r="J68" s="32"/>
      <c r="K68" s="103">
        <f>Таблица2133990291012[[#Totals],[1132]]</f>
        <v>38</v>
      </c>
      <c r="L68" s="32"/>
      <c r="M68" s="32"/>
    </row>
    <row r="69" spans="1:13" x14ac:dyDescent="0.35">
      <c r="A69" s="228" t="s">
        <v>167</v>
      </c>
      <c r="B69" s="228" t="s">
        <v>168</v>
      </c>
      <c r="C69" s="116" t="s">
        <v>169</v>
      </c>
      <c r="D69" s="116" t="s">
        <v>189</v>
      </c>
      <c r="E69" s="229" t="s">
        <v>171</v>
      </c>
      <c r="F69" s="231" t="s">
        <v>167</v>
      </c>
      <c r="G69" s="231" t="s">
        <v>168</v>
      </c>
      <c r="H69" s="231" t="s">
        <v>172</v>
      </c>
      <c r="I69" s="222" t="s">
        <v>6</v>
      </c>
      <c r="J69" s="233" t="s">
        <v>7</v>
      </c>
      <c r="K69" s="233" t="s">
        <v>173</v>
      </c>
      <c r="L69" s="231" t="s">
        <v>190</v>
      </c>
      <c r="M69" s="222" t="s">
        <v>169</v>
      </c>
    </row>
    <row r="70" spans="1:13" x14ac:dyDescent="0.35">
      <c r="A70" s="228"/>
      <c r="B70" s="228"/>
      <c r="C70" s="98"/>
      <c r="D70" s="99"/>
      <c r="E70" s="230"/>
      <c r="F70" s="231"/>
      <c r="G70" s="231"/>
      <c r="H70" s="231"/>
      <c r="I70" s="232"/>
      <c r="J70" s="232"/>
      <c r="K70" s="235"/>
      <c r="L70" s="231"/>
      <c r="M70" s="223"/>
    </row>
    <row r="71" spans="1:13" ht="15.5" x14ac:dyDescent="0.35">
      <c r="A71" s="228"/>
      <c r="B71" s="228"/>
      <c r="C71" s="117">
        <f>Таблица2133990291012[[#Totals],[2]]</f>
        <v>0</v>
      </c>
      <c r="D71" s="101"/>
      <c r="E71" s="102">
        <f>SUM(Таблица2133990291012[4])</f>
        <v>0</v>
      </c>
      <c r="F71" s="231"/>
      <c r="G71" s="231"/>
      <c r="H71" s="231"/>
      <c r="I71" s="223"/>
      <c r="J71" s="223"/>
      <c r="K71" s="103">
        <f>Таблица2133990291012[[#Totals],[1132]]</f>
        <v>38</v>
      </c>
      <c r="L71" s="231"/>
      <c r="M71" s="118">
        <f>Таблица2133990291012[[#Totals],[16]]</f>
        <v>46949760</v>
      </c>
    </row>
    <row r="72" spans="1:13" x14ac:dyDescent="0.35">
      <c r="A72" s="104" t="s">
        <v>174</v>
      </c>
      <c r="B72" s="105" t="s">
        <v>175</v>
      </c>
      <c r="C72" s="105" t="s">
        <v>176</v>
      </c>
      <c r="D72" s="105" t="s">
        <v>177</v>
      </c>
      <c r="E72" s="105" t="s">
        <v>178</v>
      </c>
      <c r="F72" s="105" t="s">
        <v>179</v>
      </c>
      <c r="G72" s="105" t="s">
        <v>180</v>
      </c>
      <c r="H72" s="105" t="s">
        <v>181</v>
      </c>
      <c r="I72" s="105" t="s">
        <v>182</v>
      </c>
      <c r="J72" s="105" t="s">
        <v>183</v>
      </c>
      <c r="K72" s="105" t="s">
        <v>184</v>
      </c>
      <c r="L72" s="105" t="s">
        <v>185</v>
      </c>
      <c r="M72" s="105" t="s">
        <v>186</v>
      </c>
    </row>
    <row r="73" spans="1:13" ht="15.5" x14ac:dyDescent="0.35">
      <c r="A73" s="106">
        <v>1</v>
      </c>
      <c r="B73" s="107"/>
      <c r="C73" s="108"/>
      <c r="D73" s="62"/>
      <c r="E73" s="18"/>
      <c r="F73" s="11">
        <f>Таблица2133990291012[[#This Row],[ ]]</f>
        <v>1</v>
      </c>
      <c r="G73" s="62">
        <v>46204</v>
      </c>
      <c r="H73" s="120" t="s">
        <v>71</v>
      </c>
      <c r="I73" s="121" t="s">
        <v>26</v>
      </c>
      <c r="J73" s="122">
        <v>32.832000000000001</v>
      </c>
      <c r="K73" s="123">
        <v>19</v>
      </c>
      <c r="L73" s="18">
        <v>730000</v>
      </c>
      <c r="M73" s="18">
        <f>Таблица2133990291012[[#This Row],[113]]*Таблица2133990291012[[#This Row],[15]]</f>
        <v>23967360</v>
      </c>
    </row>
    <row r="74" spans="1:13" ht="15.5" x14ac:dyDescent="0.35">
      <c r="A74" s="106">
        <v>2</v>
      </c>
      <c r="B74" s="107"/>
      <c r="C74" s="108"/>
      <c r="D74" s="62"/>
      <c r="E74" s="18"/>
      <c r="F74" s="11">
        <f>Таблица2133990291012[[#This Row],[ ]]</f>
        <v>2</v>
      </c>
      <c r="G74" s="62">
        <v>46206</v>
      </c>
      <c r="H74" s="120" t="s">
        <v>77</v>
      </c>
      <c r="I74" s="167" t="s">
        <v>26</v>
      </c>
      <c r="J74" s="168">
        <v>32.832000000000001</v>
      </c>
      <c r="K74" s="123">
        <v>19</v>
      </c>
      <c r="L74" s="18">
        <v>700000</v>
      </c>
      <c r="M74" s="18">
        <f>Таблица2133990291012[[#This Row],[113]]*Таблица2133990291012[[#This Row],[15]]</f>
        <v>22982400</v>
      </c>
    </row>
    <row r="75" spans="1:13" x14ac:dyDescent="0.35">
      <c r="A75" s="106">
        <v>3</v>
      </c>
      <c r="B75" s="110"/>
      <c r="C75" s="18"/>
      <c r="D75" s="62"/>
      <c r="E75" s="18"/>
      <c r="F75" s="11">
        <f>Таблица2133990291012[[#This Row],[ ]]</f>
        <v>3</v>
      </c>
      <c r="G75" s="107"/>
      <c r="H75" s="63"/>
      <c r="I75" s="63"/>
      <c r="J75" s="63"/>
      <c r="K75" s="18"/>
      <c r="L75" s="51"/>
      <c r="M75" s="18">
        <f>Таблица2133990291012[[#This Row],[113]]*Таблица2133990291012[[#This Row],[15]]</f>
        <v>0</v>
      </c>
    </row>
    <row r="76" spans="1:13" x14ac:dyDescent="0.35">
      <c r="A76" s="111"/>
      <c r="B76" s="12"/>
      <c r="C76" s="18">
        <f>SUBTOTAL(109,Таблица2133990291012[2])</f>
        <v>0</v>
      </c>
      <c r="D76" s="18"/>
      <c r="E76" s="112"/>
      <c r="F76" s="71"/>
      <c r="G76" s="113"/>
      <c r="H76" s="70"/>
      <c r="I76" s="70"/>
      <c r="J76" s="70"/>
      <c r="K76" s="70">
        <f>SUBTOTAL(109,Таблица2133990291012[1132])</f>
        <v>38</v>
      </c>
      <c r="L76" s="114"/>
      <c r="M76" s="114">
        <f>SUBTOTAL(109,Таблица2133990291012[16])</f>
        <v>46949760</v>
      </c>
    </row>
    <row r="77" spans="1:13" x14ac:dyDescent="0.35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</row>
    <row r="78" spans="1:13" ht="18.5" x14ac:dyDescent="0.45">
      <c r="A78" s="90"/>
      <c r="B78" s="91"/>
      <c r="C78" s="92" t="s">
        <v>174</v>
      </c>
      <c r="D78" s="127" t="s">
        <v>198</v>
      </c>
      <c r="E78" s="94"/>
      <c r="F78" s="32"/>
      <c r="G78" s="32"/>
      <c r="H78" s="32"/>
      <c r="I78" s="32"/>
      <c r="J78" s="32"/>
      <c r="K78" s="32"/>
      <c r="L78" s="32"/>
      <c r="M78" s="32"/>
    </row>
    <row r="79" spans="1:13" ht="20" x14ac:dyDescent="0.35">
      <c r="A79" s="224" t="s">
        <v>166</v>
      </c>
      <c r="B79" s="224"/>
      <c r="C79" s="225"/>
      <c r="D79" s="225"/>
      <c r="E79" s="95"/>
      <c r="F79" s="226">
        <f>Таблица2133990294678131617212223242530313233[[#Totals],[2]]+-Таблица2133990294678131617212223242530313233[[#Totals],[16]]</f>
        <v>-165715200</v>
      </c>
      <c r="G79" s="227"/>
      <c r="H79" s="32"/>
      <c r="I79" s="32"/>
      <c r="J79" s="32"/>
      <c r="K79" s="103">
        <f>Таблица2133990294678131617212223242530313233[[#Totals],[1132]]</f>
        <v>137</v>
      </c>
      <c r="L79" s="32"/>
      <c r="M79" s="32"/>
    </row>
    <row r="80" spans="1:13" x14ac:dyDescent="0.35">
      <c r="A80" s="228" t="s">
        <v>167</v>
      </c>
      <c r="B80" s="228" t="s">
        <v>168</v>
      </c>
      <c r="C80" s="116" t="s">
        <v>169</v>
      </c>
      <c r="D80" s="116" t="s">
        <v>189</v>
      </c>
      <c r="E80" s="229" t="s">
        <v>171</v>
      </c>
      <c r="F80" s="231" t="s">
        <v>167</v>
      </c>
      <c r="G80" s="231" t="s">
        <v>168</v>
      </c>
      <c r="H80" s="231" t="s">
        <v>172</v>
      </c>
      <c r="I80" s="222" t="s">
        <v>6</v>
      </c>
      <c r="J80" s="233" t="s">
        <v>7</v>
      </c>
      <c r="K80" s="233" t="s">
        <v>173</v>
      </c>
      <c r="L80" s="231" t="s">
        <v>190</v>
      </c>
      <c r="M80" s="222" t="s">
        <v>169</v>
      </c>
    </row>
    <row r="81" spans="1:13" x14ac:dyDescent="0.35">
      <c r="A81" s="228"/>
      <c r="B81" s="228"/>
      <c r="C81" s="98"/>
      <c r="D81" s="99"/>
      <c r="E81" s="230"/>
      <c r="F81" s="231"/>
      <c r="G81" s="231"/>
      <c r="H81" s="231"/>
      <c r="I81" s="232"/>
      <c r="J81" s="234"/>
      <c r="K81" s="235"/>
      <c r="L81" s="231"/>
      <c r="M81" s="223"/>
    </row>
    <row r="82" spans="1:13" ht="15.5" x14ac:dyDescent="0.35">
      <c r="A82" s="228"/>
      <c r="B82" s="228"/>
      <c r="C82" s="117">
        <f>Таблица2133990294678131617212223242530313233[[#Totals],[2]]</f>
        <v>0</v>
      </c>
      <c r="D82" s="101"/>
      <c r="E82" s="102">
        <f>SUM(Таблица2133990294678131617212223242530313233[4])</f>
        <v>0</v>
      </c>
      <c r="F82" s="231"/>
      <c r="G82" s="231"/>
      <c r="H82" s="231"/>
      <c r="I82" s="223"/>
      <c r="J82" s="128">
        <f>SUM(Таблица2133990294678131617212223242530313233[113])</f>
        <v>236.73599999999999</v>
      </c>
      <c r="K82" s="103">
        <f>Таблица2133990294678131617212223242530313233[[#Totals],[1132]]</f>
        <v>137</v>
      </c>
      <c r="L82" s="231"/>
      <c r="M82" s="118">
        <f>Таблица2133990294678131617212223242530313233[[#Totals],[16]]</f>
        <v>165715200</v>
      </c>
    </row>
    <row r="83" spans="1:13" x14ac:dyDescent="0.35">
      <c r="A83" s="104" t="s">
        <v>174</v>
      </c>
      <c r="B83" s="105" t="s">
        <v>175</v>
      </c>
      <c r="C83" s="105" t="s">
        <v>176</v>
      </c>
      <c r="D83" s="105" t="s">
        <v>177</v>
      </c>
      <c r="E83" s="105" t="s">
        <v>178</v>
      </c>
      <c r="F83" s="105" t="s">
        <v>179</v>
      </c>
      <c r="G83" s="105" t="s">
        <v>180</v>
      </c>
      <c r="H83" s="105" t="s">
        <v>181</v>
      </c>
      <c r="I83" s="105" t="s">
        <v>182</v>
      </c>
      <c r="J83" s="105" t="s">
        <v>183</v>
      </c>
      <c r="K83" s="105" t="s">
        <v>184</v>
      </c>
      <c r="L83" s="105" t="s">
        <v>185</v>
      </c>
      <c r="M83" s="105" t="s">
        <v>186</v>
      </c>
    </row>
    <row r="84" spans="1:13" ht="15.5" x14ac:dyDescent="0.35">
      <c r="A84" s="106">
        <v>1</v>
      </c>
      <c r="B84" s="107"/>
      <c r="C84" s="108"/>
      <c r="D84" s="62"/>
      <c r="E84" s="18"/>
      <c r="F84" s="11">
        <f>Таблица2133990294678131617212223242530313233[[#This Row],[ ]]</f>
        <v>1</v>
      </c>
      <c r="G84" s="62">
        <v>46215</v>
      </c>
      <c r="H84" s="120" t="s">
        <v>93</v>
      </c>
      <c r="I84" s="121" t="s">
        <v>26</v>
      </c>
      <c r="J84" s="122">
        <v>32.832000000000001</v>
      </c>
      <c r="K84" s="123">
        <v>19</v>
      </c>
      <c r="L84" s="11">
        <v>700000</v>
      </c>
      <c r="M84" s="18">
        <f>Таблица2133990294678131617212223242530313233[[#This Row],[113]]*Таблица2133990294678131617212223242530313233[[#This Row],[15]]</f>
        <v>22982400</v>
      </c>
    </row>
    <row r="85" spans="1:13" x14ac:dyDescent="0.35">
      <c r="A85" s="106">
        <v>2</v>
      </c>
      <c r="B85" s="107"/>
      <c r="C85" s="18"/>
      <c r="D85" s="62"/>
      <c r="E85" s="18"/>
      <c r="F85" s="11">
        <f>Таблица2133990294678131617212223242530313233[[#This Row],[ ]]</f>
        <v>2</v>
      </c>
      <c r="G85" s="107">
        <v>46216</v>
      </c>
      <c r="H85" s="63" t="s">
        <v>136</v>
      </c>
      <c r="I85" s="63" t="s">
        <v>26</v>
      </c>
      <c r="J85" s="63">
        <v>32.832000000000001</v>
      </c>
      <c r="K85" s="18">
        <v>19</v>
      </c>
      <c r="L85" s="51">
        <v>700000</v>
      </c>
      <c r="M85" s="18">
        <f>Таблица2133990294678131617212223242530313233[[#This Row],[113]]*Таблица2133990294678131617212223242530313233[[#This Row],[15]]</f>
        <v>22982400</v>
      </c>
    </row>
    <row r="86" spans="1:13" x14ac:dyDescent="0.35">
      <c r="A86" s="106">
        <v>3</v>
      </c>
      <c r="B86" s="110"/>
      <c r="C86" s="18"/>
      <c r="D86" s="62"/>
      <c r="E86" s="18"/>
      <c r="F86" s="11">
        <f>Таблица2133990294678131617212223242530313233[[#This Row],[ ]]</f>
        <v>3</v>
      </c>
      <c r="G86" s="107">
        <v>46218</v>
      </c>
      <c r="H86" s="63" t="s">
        <v>155</v>
      </c>
      <c r="I86" s="63" t="s">
        <v>104</v>
      </c>
      <c r="J86" s="63">
        <v>32.832000000000001</v>
      </c>
      <c r="K86" s="18">
        <v>19</v>
      </c>
      <c r="L86" s="51">
        <v>700000</v>
      </c>
      <c r="M86" s="18">
        <f>Таблица2133990294678131617212223242530313233[[#This Row],[113]]*Таблица2133990294678131617212223242530313233[[#This Row],[15]]</f>
        <v>22982400</v>
      </c>
    </row>
    <row r="87" spans="1:13" x14ac:dyDescent="0.35">
      <c r="A87" s="106">
        <v>4</v>
      </c>
      <c r="B87" s="110"/>
      <c r="C87" s="18"/>
      <c r="D87" s="62"/>
      <c r="E87" s="18"/>
      <c r="F87" s="11">
        <f>Таблица2133990294678131617212223242530313233[[#This Row],[ ]]</f>
        <v>4</v>
      </c>
      <c r="G87" s="107">
        <v>46218</v>
      </c>
      <c r="H87" s="63" t="s">
        <v>156</v>
      </c>
      <c r="I87" s="63" t="s">
        <v>104</v>
      </c>
      <c r="J87" s="63">
        <v>32.832000000000001</v>
      </c>
      <c r="K87" s="18">
        <v>19</v>
      </c>
      <c r="L87" s="51">
        <v>700000</v>
      </c>
      <c r="M87" s="18">
        <f>Таблица2133990294678131617212223242530313233[[#This Row],[113]]*Таблица2133990294678131617212223242530313233[[#This Row],[15]]</f>
        <v>22982400</v>
      </c>
    </row>
    <row r="88" spans="1:13" x14ac:dyDescent="0.35">
      <c r="A88" s="106">
        <v>5</v>
      </c>
      <c r="B88" s="110"/>
      <c r="C88" s="18"/>
      <c r="D88" s="62"/>
      <c r="E88" s="18"/>
      <c r="F88" s="11">
        <f>Таблица2133990294678131617212223242530313233[[#This Row],[ ]]</f>
        <v>5</v>
      </c>
      <c r="G88" s="107">
        <v>46218</v>
      </c>
      <c r="H88" s="63" t="s">
        <v>157</v>
      </c>
      <c r="I88" s="63" t="s">
        <v>104</v>
      </c>
      <c r="J88" s="63">
        <v>32.832000000000001</v>
      </c>
      <c r="K88" s="18">
        <v>19</v>
      </c>
      <c r="L88" s="51">
        <v>700000</v>
      </c>
      <c r="M88" s="18">
        <f>Таблица2133990294678131617212223242530313233[[#This Row],[113]]*Таблица2133990294678131617212223242530313233[[#This Row],[15]]</f>
        <v>22982400</v>
      </c>
    </row>
    <row r="89" spans="1:13" x14ac:dyDescent="0.35">
      <c r="A89" s="106">
        <v>6</v>
      </c>
      <c r="B89" s="110"/>
      <c r="C89" s="18"/>
      <c r="D89" s="62"/>
      <c r="E89" s="18"/>
      <c r="F89" s="11">
        <f>Таблица2133990294678131617212223242530313233[[#This Row],[ ]]</f>
        <v>6</v>
      </c>
      <c r="G89" s="107">
        <v>46219</v>
      </c>
      <c r="H89" s="63" t="s">
        <v>142</v>
      </c>
      <c r="I89" s="63" t="s">
        <v>104</v>
      </c>
      <c r="J89" s="63">
        <v>32.832000000000001</v>
      </c>
      <c r="K89" s="18">
        <v>19</v>
      </c>
      <c r="L89" s="51">
        <v>700000</v>
      </c>
      <c r="M89" s="18">
        <f>Таблица2133990294678131617212223242530313233[[#This Row],[113]]*Таблица2133990294678131617212223242530313233[[#This Row],[15]]</f>
        <v>22982400</v>
      </c>
    </row>
    <row r="90" spans="1:13" x14ac:dyDescent="0.35">
      <c r="A90" s="106">
        <v>7</v>
      </c>
      <c r="B90" s="110"/>
      <c r="C90" s="18"/>
      <c r="D90" s="62"/>
      <c r="E90" s="18"/>
      <c r="F90" s="11">
        <f>Таблица2133990294678131617212223242530313233[[#This Row],[ ]]</f>
        <v>7</v>
      </c>
      <c r="G90" s="107">
        <v>46224</v>
      </c>
      <c r="H90" s="63" t="s">
        <v>286</v>
      </c>
      <c r="I90" s="63" t="s">
        <v>104</v>
      </c>
      <c r="J90" s="63">
        <v>32.832000000000001</v>
      </c>
      <c r="K90" s="51">
        <v>19</v>
      </c>
      <c r="L90" s="18">
        <v>700000</v>
      </c>
      <c r="M90" s="18">
        <f>Таблица2133990294678131617212223242530313233[[#This Row],[113]]*Таблица2133990294678131617212223242530313233[[#This Row],[15]]</f>
        <v>22982400</v>
      </c>
    </row>
    <row r="91" spans="1:13" x14ac:dyDescent="0.35">
      <c r="A91" s="129"/>
      <c r="B91" s="110"/>
      <c r="C91" s="18"/>
      <c r="D91" s="62"/>
      <c r="E91" s="112"/>
      <c r="F91" s="70">
        <f>Таблица2133990294678131617212223242530313233[[#This Row],[ ]]</f>
        <v>0</v>
      </c>
      <c r="G91" s="107">
        <v>46224</v>
      </c>
      <c r="H91" s="63" t="s">
        <v>76</v>
      </c>
      <c r="I91" s="63" t="s">
        <v>104</v>
      </c>
      <c r="J91" s="63">
        <v>5.1840000000000002</v>
      </c>
      <c r="K91" s="51">
        <v>3</v>
      </c>
      <c r="L91" s="18">
        <v>700000</v>
      </c>
      <c r="M91" s="77">
        <f>Таблица2133990294678131617212223242530313233[[#This Row],[113]]*Таблица2133990294678131617212223242530313233[[#This Row],[15]]</f>
        <v>3628800</v>
      </c>
    </row>
    <row r="92" spans="1:13" x14ac:dyDescent="0.35">
      <c r="A92" s="129"/>
      <c r="B92" s="110"/>
      <c r="C92" s="18"/>
      <c r="D92" s="62"/>
      <c r="E92" s="112"/>
      <c r="F92" s="70">
        <f>Таблица2133990294678131617212223242530313233[[#This Row],[ ]]</f>
        <v>0</v>
      </c>
      <c r="G92" s="107">
        <v>46224</v>
      </c>
      <c r="H92" s="63" t="s">
        <v>76</v>
      </c>
      <c r="I92" s="63" t="s">
        <v>46</v>
      </c>
      <c r="J92" s="63">
        <v>1.728</v>
      </c>
      <c r="K92" s="51">
        <v>1</v>
      </c>
      <c r="L92" s="18">
        <v>700000</v>
      </c>
      <c r="M92" s="77">
        <f>Таблица2133990294678131617212223242530313233[[#This Row],[113]]*Таблица2133990294678131617212223242530313233[[#This Row],[15]]</f>
        <v>1209600</v>
      </c>
    </row>
    <row r="93" spans="1:13" x14ac:dyDescent="0.35">
      <c r="A93" s="129"/>
      <c r="B93" s="110"/>
      <c r="C93" s="18"/>
      <c r="D93" s="62"/>
      <c r="E93" s="112"/>
      <c r="F93" s="70">
        <f>Таблица2133990294678131617212223242530313233[[#This Row],[ ]]</f>
        <v>0</v>
      </c>
      <c r="G93" s="131"/>
      <c r="H93" s="132"/>
      <c r="I93" s="132"/>
      <c r="J93" s="132"/>
      <c r="K93" s="133"/>
      <c r="L93" s="77"/>
      <c r="M93" s="77">
        <f>Таблица2133990294678131617212223242530313233[[#This Row],[113]]*Таблица2133990294678131617212223242530313233[[#This Row],[15]]</f>
        <v>0</v>
      </c>
    </row>
    <row r="94" spans="1:13" x14ac:dyDescent="0.35">
      <c r="A94" s="111"/>
      <c r="B94" s="12"/>
      <c r="C94" s="18">
        <f>SUBTOTAL(109,Таблица2133990294678131617212223242530313233[2])</f>
        <v>0</v>
      </c>
      <c r="D94" s="18"/>
      <c r="E94" s="112"/>
      <c r="F94" s="71"/>
      <c r="G94" s="113"/>
      <c r="H94" s="70"/>
      <c r="I94" s="70"/>
      <c r="J94" s="70"/>
      <c r="K94" s="70">
        <f>SUBTOTAL(109,Таблица2133990294678131617212223242530313233[1132])</f>
        <v>137</v>
      </c>
      <c r="L94" s="114"/>
      <c r="M94" s="114">
        <f>SUBTOTAL(109,Таблица2133990294678131617212223242530313233[16])</f>
        <v>165715200</v>
      </c>
    </row>
    <row r="95" spans="1:13" x14ac:dyDescent="0.3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</row>
    <row r="96" spans="1:13" ht="18.5" x14ac:dyDescent="0.45">
      <c r="A96" s="90"/>
      <c r="B96" s="91"/>
      <c r="C96" s="92" t="s">
        <v>174</v>
      </c>
      <c r="D96" s="127" t="s">
        <v>199</v>
      </c>
      <c r="E96" s="94"/>
      <c r="F96" s="32"/>
      <c r="G96" s="32"/>
      <c r="H96" s="32"/>
      <c r="I96" s="32"/>
      <c r="J96" s="32"/>
      <c r="K96" s="32"/>
      <c r="L96" s="32"/>
      <c r="M96" s="32"/>
    </row>
    <row r="97" spans="1:13" ht="20" x14ac:dyDescent="0.35">
      <c r="A97" s="224" t="s">
        <v>166</v>
      </c>
      <c r="B97" s="224"/>
      <c r="C97" s="225"/>
      <c r="D97" s="225"/>
      <c r="E97" s="95"/>
      <c r="F97" s="226">
        <f>Таблица213399029467813161721222324253031323334[[#Totals],[2]]+-Таблица213399029467813161721222324253031323334[[#Totals],[16]]</f>
        <v>-137894400</v>
      </c>
      <c r="G97" s="227"/>
      <c r="H97" s="32"/>
      <c r="I97" s="32"/>
      <c r="J97" s="32"/>
      <c r="K97" s="103">
        <f>Таблица213399029467813161721222324253031323334[[#Totals],[1132]]</f>
        <v>114</v>
      </c>
      <c r="L97" s="32"/>
      <c r="M97" s="32"/>
    </row>
    <row r="98" spans="1:13" x14ac:dyDescent="0.35">
      <c r="A98" s="228" t="s">
        <v>167</v>
      </c>
      <c r="B98" s="228" t="s">
        <v>168</v>
      </c>
      <c r="C98" s="116" t="s">
        <v>169</v>
      </c>
      <c r="D98" s="116" t="s">
        <v>189</v>
      </c>
      <c r="E98" s="229" t="s">
        <v>171</v>
      </c>
      <c r="F98" s="231" t="s">
        <v>167</v>
      </c>
      <c r="G98" s="231" t="s">
        <v>168</v>
      </c>
      <c r="H98" s="231" t="s">
        <v>172</v>
      </c>
      <c r="I98" s="222" t="s">
        <v>6</v>
      </c>
      <c r="J98" s="233" t="s">
        <v>7</v>
      </c>
      <c r="K98" s="233" t="s">
        <v>173</v>
      </c>
      <c r="L98" s="231" t="s">
        <v>190</v>
      </c>
      <c r="M98" s="222" t="s">
        <v>169</v>
      </c>
    </row>
    <row r="99" spans="1:13" x14ac:dyDescent="0.35">
      <c r="A99" s="228"/>
      <c r="B99" s="228"/>
      <c r="C99" s="98"/>
      <c r="D99" s="99"/>
      <c r="E99" s="230"/>
      <c r="F99" s="231"/>
      <c r="G99" s="231"/>
      <c r="H99" s="231"/>
      <c r="I99" s="232"/>
      <c r="J99" s="234"/>
      <c r="K99" s="235"/>
      <c r="L99" s="231"/>
      <c r="M99" s="223"/>
    </row>
    <row r="100" spans="1:13" ht="15.5" x14ac:dyDescent="0.35">
      <c r="A100" s="228"/>
      <c r="B100" s="228"/>
      <c r="C100" s="117">
        <f>Таблица213399029467813161721222324253031323334[[#Totals],[2]]</f>
        <v>0</v>
      </c>
      <c r="D100" s="101"/>
      <c r="E100" s="102">
        <f>SUM(Таблица213399029467813161721222324253031323334[4])</f>
        <v>0</v>
      </c>
      <c r="F100" s="231"/>
      <c r="G100" s="231"/>
      <c r="H100" s="231"/>
      <c r="I100" s="223"/>
      <c r="J100" s="128">
        <f>SUM(Таблица213399029467813161721222324253031323334[113])</f>
        <v>196.99199999999999</v>
      </c>
      <c r="K100" s="103">
        <f>Таблица213399029467813161721222324253031323334[[#Totals],[1132]]</f>
        <v>114</v>
      </c>
      <c r="L100" s="231"/>
      <c r="M100" s="118">
        <f>Таблица213399029467813161721222324253031323334[[#Totals],[16]]</f>
        <v>137894400</v>
      </c>
    </row>
    <row r="101" spans="1:13" x14ac:dyDescent="0.35">
      <c r="A101" s="104" t="s">
        <v>174</v>
      </c>
      <c r="B101" s="105" t="s">
        <v>175</v>
      </c>
      <c r="C101" s="105" t="s">
        <v>176</v>
      </c>
      <c r="D101" s="105" t="s">
        <v>177</v>
      </c>
      <c r="E101" s="105" t="s">
        <v>178</v>
      </c>
      <c r="F101" s="105" t="s">
        <v>179</v>
      </c>
      <c r="G101" s="105" t="s">
        <v>180</v>
      </c>
      <c r="H101" s="105" t="s">
        <v>181</v>
      </c>
      <c r="I101" s="105" t="s">
        <v>182</v>
      </c>
      <c r="J101" s="105" t="s">
        <v>183</v>
      </c>
      <c r="K101" s="105" t="s">
        <v>184</v>
      </c>
      <c r="L101" s="105" t="s">
        <v>185</v>
      </c>
      <c r="M101" s="105" t="s">
        <v>186</v>
      </c>
    </row>
    <row r="102" spans="1:13" ht="15.5" x14ac:dyDescent="0.35">
      <c r="A102" s="106">
        <v>1</v>
      </c>
      <c r="B102" s="107"/>
      <c r="C102" s="108"/>
      <c r="D102" s="62"/>
      <c r="E102" s="18"/>
      <c r="F102" s="11">
        <f>Таблица213399029467813161721222324253031323334[[#This Row],[ ]]</f>
        <v>1</v>
      </c>
      <c r="G102" s="107">
        <v>46206</v>
      </c>
      <c r="H102" s="63" t="s">
        <v>78</v>
      </c>
      <c r="I102" s="63" t="s">
        <v>26</v>
      </c>
      <c r="J102" s="63">
        <v>32.832000000000001</v>
      </c>
      <c r="K102" s="18">
        <v>19</v>
      </c>
      <c r="L102" s="51">
        <v>700000</v>
      </c>
      <c r="M102" s="18">
        <f>Таблица213399029467813161721222324253031323334[[#This Row],[113]]*Таблица213399029467813161721222324253031323334[[#This Row],[15]]</f>
        <v>22982400</v>
      </c>
    </row>
    <row r="103" spans="1:13" x14ac:dyDescent="0.35">
      <c r="A103" s="106">
        <v>2</v>
      </c>
      <c r="B103" s="107"/>
      <c r="C103" s="18"/>
      <c r="D103" s="62"/>
      <c r="E103" s="18"/>
      <c r="F103" s="11">
        <f>Таблица213399029467813161721222324253031323334[[#This Row],[ ]]</f>
        <v>2</v>
      </c>
      <c r="G103" s="62">
        <v>46206</v>
      </c>
      <c r="H103" s="120" t="s">
        <v>81</v>
      </c>
      <c r="I103" s="121" t="s">
        <v>26</v>
      </c>
      <c r="J103" s="122">
        <v>32.832000000000001</v>
      </c>
      <c r="K103" s="166">
        <v>19</v>
      </c>
      <c r="L103" s="11">
        <v>700000</v>
      </c>
      <c r="M103" s="18">
        <f>Таблица213399029467813161721222324253031323334[[#This Row],[113]]*Таблица213399029467813161721222324253031323334[[#This Row],[15]]</f>
        <v>22982400</v>
      </c>
    </row>
    <row r="104" spans="1:13" x14ac:dyDescent="0.35">
      <c r="A104" s="129">
        <v>3</v>
      </c>
      <c r="B104" s="107"/>
      <c r="C104" s="18"/>
      <c r="D104" s="62"/>
      <c r="E104" s="112"/>
      <c r="F104" s="70">
        <f>Таблица213399029467813161721222324253031323334[[#This Row],[ ]]</f>
        <v>3</v>
      </c>
      <c r="G104" s="134">
        <v>46206</v>
      </c>
      <c r="H104" s="135" t="s">
        <v>82</v>
      </c>
      <c r="I104" s="136" t="s">
        <v>26</v>
      </c>
      <c r="J104" s="137">
        <v>32.832000000000001</v>
      </c>
      <c r="K104" s="138">
        <v>19</v>
      </c>
      <c r="L104" s="70">
        <v>700000</v>
      </c>
      <c r="M104" s="77">
        <f>Таблица213399029467813161721222324253031323334[[#This Row],[113]]*Таблица213399029467813161721222324253031323334[[#This Row],[15]]</f>
        <v>22982400</v>
      </c>
    </row>
    <row r="105" spans="1:13" x14ac:dyDescent="0.35">
      <c r="A105" s="129">
        <v>4</v>
      </c>
      <c r="B105" s="107"/>
      <c r="C105" s="18"/>
      <c r="D105" s="62"/>
      <c r="E105" s="112"/>
      <c r="F105" s="70">
        <f>Таблица213399029467813161721222324253031323334[[#This Row],[ ]]</f>
        <v>4</v>
      </c>
      <c r="G105" s="134">
        <v>46214</v>
      </c>
      <c r="H105" s="135" t="s">
        <v>87</v>
      </c>
      <c r="I105" s="136" t="s">
        <v>104</v>
      </c>
      <c r="J105" s="137">
        <v>32.832000000000001</v>
      </c>
      <c r="K105" s="138">
        <v>19</v>
      </c>
      <c r="L105" s="70">
        <v>700000</v>
      </c>
      <c r="M105" s="77">
        <f>Таблица213399029467813161721222324253031323334[[#This Row],[113]]*Таблица213399029467813161721222324253031323334[[#This Row],[15]]</f>
        <v>22982400</v>
      </c>
    </row>
    <row r="106" spans="1:13" x14ac:dyDescent="0.35">
      <c r="A106" s="129">
        <v>5</v>
      </c>
      <c r="B106" s="107"/>
      <c r="C106" s="18"/>
      <c r="D106" s="62"/>
      <c r="E106" s="112"/>
      <c r="F106" s="70">
        <f>Таблица213399029467813161721222324253031323334[[#This Row],[ ]]</f>
        <v>5</v>
      </c>
      <c r="G106" s="134">
        <v>46216</v>
      </c>
      <c r="H106" s="135" t="s">
        <v>138</v>
      </c>
      <c r="I106" s="136" t="s">
        <v>26</v>
      </c>
      <c r="J106" s="137">
        <v>32.832000000000001</v>
      </c>
      <c r="K106" s="138">
        <v>19</v>
      </c>
      <c r="L106" s="70">
        <v>700000</v>
      </c>
      <c r="M106" s="77">
        <f>Таблица213399029467813161721222324253031323334[[#This Row],[113]]*Таблица213399029467813161721222324253031323334[[#This Row],[15]]</f>
        <v>22982400</v>
      </c>
    </row>
    <row r="107" spans="1:13" x14ac:dyDescent="0.35">
      <c r="A107" s="129">
        <v>6</v>
      </c>
      <c r="B107" s="107"/>
      <c r="C107" s="18"/>
      <c r="D107" s="62"/>
      <c r="E107" s="112"/>
      <c r="F107" s="70">
        <f>Таблица213399029467813161721222324253031323334[[#This Row],[ ]]</f>
        <v>6</v>
      </c>
      <c r="G107" s="134">
        <v>46218</v>
      </c>
      <c r="H107" s="135" t="s">
        <v>151</v>
      </c>
      <c r="I107" s="136" t="s">
        <v>104</v>
      </c>
      <c r="J107" s="137">
        <v>32.832000000000001</v>
      </c>
      <c r="K107" s="138">
        <v>19</v>
      </c>
      <c r="L107" s="70">
        <v>700000</v>
      </c>
      <c r="M107" s="77">
        <f>Таблица213399029467813161721222324253031323334[[#This Row],[113]]*Таблица213399029467813161721222324253031323334[[#This Row],[15]]</f>
        <v>22982400</v>
      </c>
    </row>
    <row r="108" spans="1:13" x14ac:dyDescent="0.35">
      <c r="A108" s="111"/>
      <c r="B108" s="12"/>
      <c r="C108" s="18">
        <f>SUBTOTAL(109,Таблица213399029467813161721222324253031323334[2])</f>
        <v>0</v>
      </c>
      <c r="D108" s="18"/>
      <c r="E108" s="112"/>
      <c r="F108" s="71"/>
      <c r="G108" s="113"/>
      <c r="H108" s="70"/>
      <c r="I108" s="70"/>
      <c r="J108" s="70"/>
      <c r="K108" s="70">
        <f>SUBTOTAL(109,Таблица213399029467813161721222324253031323334[1132])</f>
        <v>114</v>
      </c>
      <c r="L108" s="114"/>
      <c r="M108" s="114">
        <f>SUBTOTAL(109,Таблица213399029467813161721222324253031323334[16])</f>
        <v>137894400</v>
      </c>
    </row>
  </sheetData>
  <mergeCells count="112">
    <mergeCell ref="H3:H5"/>
    <mergeCell ref="I3:I5"/>
    <mergeCell ref="J3:J5"/>
    <mergeCell ref="K3:K4"/>
    <mergeCell ref="L3:L5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15:H17"/>
    <mergeCell ref="I15:I17"/>
    <mergeCell ref="J15:J17"/>
    <mergeCell ref="K15:K16"/>
    <mergeCell ref="L15:L17"/>
    <mergeCell ref="M15:M16"/>
    <mergeCell ref="A14:B14"/>
    <mergeCell ref="C14:D14"/>
    <mergeCell ref="F14:G14"/>
    <mergeCell ref="A15:A17"/>
    <mergeCell ref="B15:B17"/>
    <mergeCell ref="E15:E16"/>
    <mergeCell ref="F15:F17"/>
    <mergeCell ref="G15:G17"/>
    <mergeCell ref="H30:H32"/>
    <mergeCell ref="I30:I32"/>
    <mergeCell ref="J30:J32"/>
    <mergeCell ref="K30:K31"/>
    <mergeCell ref="L30:L32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40:H42"/>
    <mergeCell ref="I40:I42"/>
    <mergeCell ref="J40:J42"/>
    <mergeCell ref="K40:K41"/>
    <mergeCell ref="L40:L42"/>
    <mergeCell ref="M40:M41"/>
    <mergeCell ref="A39:B39"/>
    <mergeCell ref="C39:D39"/>
    <mergeCell ref="F39:G39"/>
    <mergeCell ref="A40:A42"/>
    <mergeCell ref="B40:B42"/>
    <mergeCell ref="E40:E41"/>
    <mergeCell ref="F40:F42"/>
    <mergeCell ref="G40:G42"/>
    <mergeCell ref="H51:H53"/>
    <mergeCell ref="I51:I53"/>
    <mergeCell ref="J51:J53"/>
    <mergeCell ref="K51:K52"/>
    <mergeCell ref="L51:L53"/>
    <mergeCell ref="M51:M52"/>
    <mergeCell ref="A50:B50"/>
    <mergeCell ref="C50:D50"/>
    <mergeCell ref="F50:G50"/>
    <mergeCell ref="A51:A53"/>
    <mergeCell ref="B51:B53"/>
    <mergeCell ref="E51:E52"/>
    <mergeCell ref="F51:F53"/>
    <mergeCell ref="G51:G53"/>
    <mergeCell ref="H69:H71"/>
    <mergeCell ref="I69:I71"/>
    <mergeCell ref="J69:J71"/>
    <mergeCell ref="K69:K70"/>
    <mergeCell ref="L69:L71"/>
    <mergeCell ref="M69:M70"/>
    <mergeCell ref="A68:B68"/>
    <mergeCell ref="C68:D68"/>
    <mergeCell ref="F68:G68"/>
    <mergeCell ref="A69:A71"/>
    <mergeCell ref="B69:B71"/>
    <mergeCell ref="E69:E70"/>
    <mergeCell ref="F69:F71"/>
    <mergeCell ref="G69:G71"/>
    <mergeCell ref="H80:H82"/>
    <mergeCell ref="I80:I82"/>
    <mergeCell ref="J80:J81"/>
    <mergeCell ref="K80:K81"/>
    <mergeCell ref="L80:L82"/>
    <mergeCell ref="M80:M81"/>
    <mergeCell ref="A79:B79"/>
    <mergeCell ref="C79:D79"/>
    <mergeCell ref="F79:G79"/>
    <mergeCell ref="A80:A82"/>
    <mergeCell ref="B80:B82"/>
    <mergeCell ref="E80:E81"/>
    <mergeCell ref="F80:F82"/>
    <mergeCell ref="G80:G82"/>
    <mergeCell ref="H98:H100"/>
    <mergeCell ref="I98:I100"/>
    <mergeCell ref="J98:J99"/>
    <mergeCell ref="K98:K99"/>
    <mergeCell ref="L98:L100"/>
    <mergeCell ref="M98:M99"/>
    <mergeCell ref="A97:B97"/>
    <mergeCell ref="C97:D97"/>
    <mergeCell ref="F97:G97"/>
    <mergeCell ref="A98:A100"/>
    <mergeCell ref="B98:B100"/>
    <mergeCell ref="E98:E99"/>
    <mergeCell ref="F98:F100"/>
    <mergeCell ref="G98:G100"/>
  </mergeCells>
  <hyperlinks>
    <hyperlink ref="D13" location="'Свод Завод'!A1" display="1-Индира Расулбек" xr:uid="{23230BC0-C7C3-4C3C-81F2-8FB70522181F}"/>
    <hyperlink ref="D28" location="'Свод Завод'!A1" display="1-Индира Расулбек" xr:uid="{24AAF218-3B4B-49B2-8D99-59B98E1724A1}"/>
    <hyperlink ref="D38" location="'Свод Завод'!A1" display="1-Инвест Холдинг" xr:uid="{C6CDCB29-E77B-4A4F-B959-FA67F2446228}"/>
    <hyperlink ref="D67" location="'Свод Завод'!A1" display="1-Индира Расулбек" xr:uid="{B9E397E2-BAA1-49B1-A8D2-BA43BDABFF08}"/>
    <hyperlink ref="D78" location="'Свод Завод'!A1" display="1-Инноватцион" xr:uid="{1BF9CEE5-FD60-4B8D-AB60-34D62974C664}"/>
    <hyperlink ref="D96" location="'Свод Завод'!A1" display="1-Урганч сити" xr:uid="{79D01DFF-E875-40FB-8BC2-472578924AEE}"/>
  </hyperlink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Лист1</vt:lpstr>
      <vt:lpstr>Лист2</vt:lpstr>
      <vt:lpstr>Сардор ога</vt:lpstr>
      <vt:lpstr>Темур </vt:lpstr>
      <vt:lpstr>Шохрух ога</vt:lpstr>
      <vt:lpstr>Зафар ога</vt:lpstr>
      <vt:lpstr>Арслон ога</vt:lpstr>
      <vt:lpstr>Жамол 22-22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Jahongir Baxtiyarov</cp:lastModifiedBy>
  <dcterms:created xsi:type="dcterms:W3CDTF">2015-06-05T18:19:34Z</dcterms:created>
  <dcterms:modified xsi:type="dcterms:W3CDTF">2026-07-27T10:23:56Z</dcterms:modified>
</cp:coreProperties>
</file>