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7B21318E-81B2-40B5-918C-E9E2B50D54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Шохрух ога" sheetId="5" r:id="rId2"/>
    <sheet name="Зафар ога" sheetId="4" r:id="rId3"/>
    <sheet name="Арслон ога" sheetId="3" r:id="rId4"/>
    <sheet name="Жамол 22-22" sheetId="2" r:id="rId5"/>
  </sheets>
  <externalReferences>
    <externalReference r:id="rId6"/>
  </externalReferences>
  <definedNames>
    <definedName name="_xlnm._FilterDatabase" localSheetId="0" hidden="1">Лист1!$A$3:$U$25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9" i="1" l="1"/>
  <c r="N38" i="1"/>
  <c r="M38" i="1"/>
  <c r="K45" i="1"/>
  <c r="G37" i="1"/>
  <c r="O7" i="2"/>
  <c r="G38" i="1"/>
  <c r="G41" i="1" s="1"/>
  <c r="G40" i="1"/>
  <c r="G39" i="1"/>
  <c r="P21" i="3"/>
  <c r="P23" i="4"/>
  <c r="P26" i="5"/>
  <c r="V25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4" i="1"/>
  <c r="M25" i="1"/>
  <c r="T25" i="1"/>
  <c r="K25" i="1"/>
  <c r="J25" i="1"/>
  <c r="N25" i="1"/>
  <c r="M16" i="4"/>
  <c r="M17" i="4"/>
  <c r="M18" i="4"/>
  <c r="M19" i="4"/>
  <c r="M20" i="4"/>
  <c r="M25" i="4"/>
  <c r="R25" i="1"/>
  <c r="E38" i="1"/>
  <c r="Q13" i="4"/>
  <c r="E37" i="1"/>
  <c r="F37" i="1" s="1"/>
  <c r="D37" i="1"/>
  <c r="Q20" i="2"/>
  <c r="P15" i="2"/>
  <c r="P14" i="2"/>
  <c r="P15" i="5"/>
  <c r="F40" i="1"/>
  <c r="E40" i="1"/>
  <c r="D40" i="1"/>
  <c r="D39" i="1"/>
  <c r="P14" i="3"/>
  <c r="Q37" i="2"/>
  <c r="K49" i="2"/>
  <c r="K46" i="2" s="1"/>
  <c r="K43" i="2" s="1"/>
  <c r="C49" i="2"/>
  <c r="C46" i="2" s="1"/>
  <c r="M49" i="2"/>
  <c r="M46" i="2" s="1"/>
  <c r="E46" i="2"/>
  <c r="K11" i="5"/>
  <c r="K18" i="5"/>
  <c r="K14" i="5" s="1"/>
  <c r="C18" i="5"/>
  <c r="C14" i="5" s="1"/>
  <c r="M17" i="5"/>
  <c r="F17" i="5"/>
  <c r="M16" i="5"/>
  <c r="M18" i="5" s="1"/>
  <c r="F16" i="5"/>
  <c r="E14" i="5"/>
  <c r="K8" i="5"/>
  <c r="C8" i="5"/>
  <c r="C5" i="5" s="1"/>
  <c r="P22" i="5" s="1"/>
  <c r="E39" i="1" s="1"/>
  <c r="E41" i="1" s="1"/>
  <c r="M7" i="5"/>
  <c r="M8" i="5" s="1"/>
  <c r="F7" i="5"/>
  <c r="K5" i="5"/>
  <c r="K2" i="5" s="1"/>
  <c r="J5" i="5"/>
  <c r="E5" i="5"/>
  <c r="K12" i="4"/>
  <c r="C15" i="4"/>
  <c r="C21" i="4"/>
  <c r="K15" i="4"/>
  <c r="K21" i="4"/>
  <c r="M21" i="4"/>
  <c r="F12" i="4" s="1"/>
  <c r="Q9" i="4" s="1"/>
  <c r="F20" i="4"/>
  <c r="F19" i="4"/>
  <c r="F18" i="4"/>
  <c r="F17" i="4"/>
  <c r="F16" i="4"/>
  <c r="E15" i="4"/>
  <c r="K9" i="4"/>
  <c r="K5" i="4" s="1"/>
  <c r="K2" i="4" s="1"/>
  <c r="C9" i="4"/>
  <c r="C5" i="4" s="1"/>
  <c r="M8" i="4"/>
  <c r="F8" i="4"/>
  <c r="M7" i="4"/>
  <c r="F7" i="4"/>
  <c r="E5" i="4"/>
  <c r="K2" i="3"/>
  <c r="K9" i="3"/>
  <c r="K5" i="3" s="1"/>
  <c r="C9" i="3"/>
  <c r="C5" i="3" s="1"/>
  <c r="M8" i="3"/>
  <c r="F8" i="3"/>
  <c r="M7" i="3"/>
  <c r="M9" i="3" s="1"/>
  <c r="M5" i="3" s="1"/>
  <c r="F7" i="3"/>
  <c r="E5" i="3"/>
  <c r="K40" i="2"/>
  <c r="C40" i="2"/>
  <c r="C35" i="2" s="1"/>
  <c r="M39" i="2"/>
  <c r="F39" i="2"/>
  <c r="M38" i="2"/>
  <c r="F38" i="2"/>
  <c r="M37" i="2"/>
  <c r="M40" i="2" s="1"/>
  <c r="F37" i="2"/>
  <c r="K35" i="2"/>
  <c r="K32" i="2" s="1"/>
  <c r="E35" i="2"/>
  <c r="K29" i="2"/>
  <c r="C29" i="2"/>
  <c r="C26" i="2" s="1"/>
  <c r="M28" i="2"/>
  <c r="M29" i="2" s="1"/>
  <c r="M26" i="2" s="1"/>
  <c r="F28" i="2"/>
  <c r="K26" i="2"/>
  <c r="K23" i="2" s="1"/>
  <c r="E26" i="2"/>
  <c r="K20" i="2"/>
  <c r="K15" i="2" s="1"/>
  <c r="K12" i="2" s="1"/>
  <c r="C20" i="2"/>
  <c r="C15" i="2" s="1"/>
  <c r="M19" i="2"/>
  <c r="F19" i="2"/>
  <c r="M18" i="2"/>
  <c r="F18" i="2"/>
  <c r="M17" i="2"/>
  <c r="F17" i="2"/>
  <c r="E15" i="2"/>
  <c r="E5" i="2"/>
  <c r="F7" i="2"/>
  <c r="M7" i="2"/>
  <c r="M9" i="2" s="1"/>
  <c r="M5" i="2" s="1"/>
  <c r="F8" i="2"/>
  <c r="M8" i="2"/>
  <c r="C9" i="2"/>
  <c r="K9" i="2"/>
  <c r="K5" i="2" s="1"/>
  <c r="K2" i="2" s="1"/>
  <c r="R24" i="1"/>
  <c r="P24" i="1"/>
  <c r="M24" i="1"/>
  <c r="J24" i="1"/>
  <c r="R23" i="1"/>
  <c r="P23" i="1"/>
  <c r="M23" i="1"/>
  <c r="J23" i="1"/>
  <c r="R22" i="1"/>
  <c r="P22" i="1"/>
  <c r="M22" i="1"/>
  <c r="J22" i="1"/>
  <c r="R21" i="1"/>
  <c r="P21" i="1"/>
  <c r="M21" i="1"/>
  <c r="J21" i="1"/>
  <c r="R20" i="1"/>
  <c r="P20" i="1"/>
  <c r="M20" i="1"/>
  <c r="J20" i="1"/>
  <c r="R19" i="1"/>
  <c r="P19" i="1"/>
  <c r="M19" i="1"/>
  <c r="J19" i="1"/>
  <c r="R18" i="1"/>
  <c r="P18" i="1"/>
  <c r="M18" i="1"/>
  <c r="J18" i="1"/>
  <c r="R17" i="1"/>
  <c r="P17" i="1"/>
  <c r="M17" i="1"/>
  <c r="J17" i="1"/>
  <c r="R16" i="1"/>
  <c r="P16" i="1"/>
  <c r="M16" i="1"/>
  <c r="J16" i="1"/>
  <c r="R15" i="1"/>
  <c r="P15" i="1"/>
  <c r="M15" i="1"/>
  <c r="J15" i="1"/>
  <c r="R14" i="1"/>
  <c r="P14" i="1"/>
  <c r="M14" i="1"/>
  <c r="J14" i="1"/>
  <c r="R13" i="1"/>
  <c r="P13" i="1"/>
  <c r="M13" i="1"/>
  <c r="J13" i="1"/>
  <c r="R12" i="1"/>
  <c r="P12" i="1"/>
  <c r="M12" i="1"/>
  <c r="J12" i="1"/>
  <c r="R11" i="1"/>
  <c r="P11" i="1"/>
  <c r="M11" i="1"/>
  <c r="J11" i="1"/>
  <c r="R10" i="1"/>
  <c r="P10" i="1"/>
  <c r="M10" i="1"/>
  <c r="J10" i="1"/>
  <c r="R9" i="1"/>
  <c r="P9" i="1"/>
  <c r="M9" i="1"/>
  <c r="J9" i="1"/>
  <c r="R8" i="1"/>
  <c r="P8" i="1"/>
  <c r="M8" i="1"/>
  <c r="J8" i="1"/>
  <c r="R7" i="1"/>
  <c r="P7" i="1"/>
  <c r="M7" i="1"/>
  <c r="J7" i="1"/>
  <c r="R6" i="1"/>
  <c r="P6" i="1"/>
  <c r="M6" i="1"/>
  <c r="J6" i="1"/>
  <c r="R5" i="1"/>
  <c r="P5" i="1"/>
  <c r="M5" i="1"/>
  <c r="J5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R4" i="1"/>
  <c r="P4" i="1"/>
  <c r="M4" i="1"/>
  <c r="J4" i="1"/>
  <c r="M15" i="4" l="1"/>
  <c r="Q12" i="4" s="1"/>
  <c r="F39" i="1"/>
  <c r="F43" i="2"/>
  <c r="M14" i="5"/>
  <c r="F11" i="5"/>
  <c r="M5" i="5"/>
  <c r="F2" i="5"/>
  <c r="P8" i="5" s="1"/>
  <c r="M9" i="4"/>
  <c r="F2" i="4" s="1"/>
  <c r="F2" i="3"/>
  <c r="M35" i="2"/>
  <c r="F32" i="2"/>
  <c r="F23" i="2"/>
  <c r="M20" i="2"/>
  <c r="M15" i="2" s="1"/>
  <c r="F2" i="2"/>
  <c r="C5" i="2"/>
  <c r="Q14" i="4" l="1"/>
  <c r="D38" i="1"/>
  <c r="M5" i="4"/>
  <c r="F12" i="2"/>
  <c r="F38" i="1" l="1"/>
  <c r="F41" i="1" s="1"/>
  <c r="D41" i="1"/>
  <c r="T18" i="1" l="1"/>
  <c r="N17" i="1" l="1"/>
  <c r="N18" i="1"/>
  <c r="N16" i="1" l="1"/>
  <c r="N19" i="1" l="1"/>
  <c r="T16" i="1"/>
  <c r="N20" i="1"/>
  <c r="T13" i="1" l="1"/>
  <c r="T24" i="1"/>
  <c r="N9" i="1" l="1"/>
  <c r="T9" i="1"/>
  <c r="N22" i="1"/>
  <c r="T20" i="1"/>
  <c r="T23" i="1"/>
  <c r="N15" i="1"/>
  <c r="N11" i="1"/>
  <c r="T15" i="1"/>
  <c r="N21" i="1"/>
  <c r="T21" i="1"/>
  <c r="N14" i="1"/>
  <c r="N10" i="1"/>
  <c r="T11" i="1"/>
  <c r="T19" i="1"/>
  <c r="N23" i="1"/>
  <c r="T17" i="1"/>
  <c r="T22" i="1"/>
  <c r="N13" i="1"/>
  <c r="T14" i="1"/>
  <c r="N24" i="1"/>
  <c r="N12" i="1"/>
  <c r="T12" i="1"/>
  <c r="T10" i="1"/>
  <c r="T5" i="1"/>
  <c r="T6" i="1"/>
  <c r="N8" i="1" l="1"/>
  <c r="N4" i="1"/>
  <c r="T8" i="1"/>
  <c r="N7" i="1"/>
  <c r="N6" i="1"/>
  <c r="T4" i="1"/>
  <c r="T7" i="1"/>
  <c r="N5" i="1"/>
</calcChain>
</file>

<file path=xl/sharedStrings.xml><?xml version="1.0" encoding="utf-8"?>
<sst xmlns="http://schemas.openxmlformats.org/spreadsheetml/2006/main" count="507" uniqueCount="108">
  <si>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</si>
  <si>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</si>
  <si>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</si>
  <si>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</si>
  <si>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</si>
  <si>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</si>
  <si>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</si>
  <si>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</si>
  <si>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</si>
  <si>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</si>
  <si>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</si>
  <si>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</si>
  <si>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</si>
  <si>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</si>
  <si>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</si>
  <si>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</si>
  <si>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</si>
  <si>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</si>
  <si>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</si>
  <si>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</si>
  <si>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</si>
  <si>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</si>
  <si>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</si>
  <si>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</si>
  <si>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</si>
  <si>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</si>
  <si>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</si>
  <si>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</si>
  <si>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</si>
  <si>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</si>
  <si>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</si>
  <si>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</si>
  <si>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</si>
  <si>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</si>
  <si>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</si>
  <si>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</si>
  <si>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</si>
  <si>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</si>
  <si>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</si>
  <si>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</si>
  <si>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</si>
  <si>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</si>
  <si>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</si>
  <si>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</si>
  <si>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</si>
  <si>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</si>
  <si>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</si>
  <si>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</si>
  <si>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</si>
  <si>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</si>
  <si>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</si>
  <si>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</si>
  <si>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</si>
  <si>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</si>
  <si>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</si>
  <si>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</si>
  <si>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</si>
  <si>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</si>
  <si>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URGANCH TAMIRLASH</t>
  </si>
  <si>
    <t>16</t>
  </si>
  <si>
    <t>15</t>
  </si>
  <si>
    <t>1132</t>
  </si>
  <si>
    <t>113</t>
  </si>
  <si>
    <t>114</t>
  </si>
  <si>
    <t>11</t>
  </si>
  <si>
    <t>10</t>
  </si>
  <si>
    <t>9</t>
  </si>
  <si>
    <t>4</t>
  </si>
  <si>
    <t>3</t>
  </si>
  <si>
    <t>2</t>
  </si>
  <si>
    <t>1</t>
  </si>
  <si>
    <t xml:space="preserve"> </t>
  </si>
  <si>
    <t>Сумма</t>
  </si>
  <si>
    <t>Поддон 
Шт</t>
  </si>
  <si>
    <t>Авто</t>
  </si>
  <si>
    <t>Дата</t>
  </si>
  <si>
    <t>№</t>
  </si>
  <si>
    <t>Возврат паддон</t>
  </si>
  <si>
    <t>Перемечание</t>
  </si>
  <si>
    <t>ID-Клиента</t>
  </si>
  <si>
    <t>1-Урганч Тамирлаш</t>
  </si>
  <si>
    <t>1-Нормат Умидбек</t>
  </si>
  <si>
    <t>Примечание</t>
  </si>
  <si>
    <t>От</t>
  </si>
  <si>
    <t>1-Ирригатсия темир бетон</t>
  </si>
  <si>
    <t>1-Инвест Холдинг</t>
  </si>
  <si>
    <t>2-Гофур Хазорасп</t>
  </si>
  <si>
    <t>"EZVIZ CITY"Mchj</t>
  </si>
  <si>
    <t>3-Мурод ога Урганч</t>
  </si>
  <si>
    <t>HAZORASP MUHAMMAD</t>
  </si>
  <si>
    <t>"A-SIA HOUSE" MCHJ</t>
  </si>
  <si>
    <t>Xazorasp Ipoteka Qurilish мчж</t>
  </si>
  <si>
    <t xml:space="preserve"> 3-Сулаймон Ога Хазарасп</t>
  </si>
  <si>
    <t>4-Рустам Шпик</t>
  </si>
  <si>
    <t>"Ифтихор" хусусий корхонаси</t>
  </si>
  <si>
    <t>4-Гайрат Штб</t>
  </si>
  <si>
    <t>OOO "FIDATO GROUP"</t>
  </si>
  <si>
    <t>1-Фидато Гроуп</t>
  </si>
  <si>
    <t>Расход</t>
  </si>
  <si>
    <t>Приход</t>
  </si>
  <si>
    <t>Ост</t>
  </si>
  <si>
    <t>Соф фойда</t>
  </si>
  <si>
    <t>Паддон сони</t>
  </si>
  <si>
    <t>Жами</t>
  </si>
  <si>
    <t>Утказилган пул</t>
  </si>
  <si>
    <t xml:space="preserve">Завод </t>
  </si>
  <si>
    <t>Олинган</t>
  </si>
  <si>
    <t>Берилган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</si>
</sst>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#,##0.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Arial"/>
      <family val="2"/>
      <charset val="204"/>
    </font>
    <font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sz val="10"/>
      <name val="Arial"/>
      <family val="2"/>
      <charset val="204"/>
    </font>
    <font>
      <sz val="11"/>
      <color theme="0"/>
      <name val="Arial"/>
      <family val="2"/>
      <charset val="204"/>
    </font>
    <font>
      <b/>
      <sz val="11"/>
      <color theme="0"/>
      <name val="Arial"/>
      <family val="2"/>
      <charset val="204"/>
    </font>
    <font>
      <b/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sz val="1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u/>
      <sz val="12"/>
      <name val="Calibri"/>
      <family val="2"/>
      <scheme val="minor"/>
    </font>
    <font>
      <b/>
      <u/>
      <sz val="14"/>
      <name val="Arial"/>
      <family val="2"/>
      <charset val="204"/>
    </font>
    <font>
      <b/>
      <sz val="16"/>
      <color theme="1"/>
      <name val="Arial"/>
      <family val="2"/>
      <charset val="204"/>
    </font>
    <font>
      <b/>
      <u/>
      <sz val="1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6" fillId="0" borderId="0"/>
    <xf numFmtId="0" fontId="16" fillId="0" borderId="0" applyNumberFormat="0" applyFill="0" applyBorder="0" applyAlignment="0" applyProtection="0"/>
  </cellStyleXfs>
  <cellXfs count="131">
    <xf numFmtId="0" fontId="0" fillId="0" borderId="0" xfId="0"/>
    <xf numFmtId="0" fontId="3" fillId="0" borderId="0" xfId="0" applyFont="1"/>
    <xf numFmtId="3" fontId="3" fillId="0" borderId="0" xfId="0" applyNumberFormat="1" applyFont="1"/>
    <xf numFmtId="164" fontId="3" fillId="0" borderId="0" xfId="0" applyNumberFormat="1" applyFont="1"/>
    <xf numFmtId="3" fontId="4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/>
    <xf numFmtId="0" fontId="3" fillId="6" borderId="3" xfId="0" applyFont="1" applyFill="1" applyBorder="1"/>
    <xf numFmtId="14" fontId="3" fillId="6" borderId="3" xfId="0" applyNumberFormat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164" fontId="11" fillId="2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/>
    </xf>
    <xf numFmtId="3" fontId="11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/>
    <xf numFmtId="14" fontId="3" fillId="5" borderId="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3" fillId="7" borderId="3" xfId="0" applyFont="1" applyFill="1" applyBorder="1"/>
    <xf numFmtId="14" fontId="3" fillId="7" borderId="3" xfId="0" applyNumberFormat="1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3" fillId="8" borderId="3" xfId="0" applyFont="1" applyFill="1" applyBorder="1"/>
    <xf numFmtId="14" fontId="3" fillId="8" borderId="3" xfId="0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14" fontId="8" fillId="9" borderId="3" xfId="0" applyNumberFormat="1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3" fontId="9" fillId="3" borderId="3" xfId="0" applyNumberFormat="1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3" fontId="3" fillId="0" borderId="5" xfId="0" applyNumberFormat="1" applyFont="1" applyBorder="1"/>
    <xf numFmtId="3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3" fillId="0" borderId="5" xfId="0" applyNumberFormat="1" applyFont="1" applyBorder="1"/>
    <xf numFmtId="0" fontId="3" fillId="0" borderId="5" xfId="0" applyFont="1" applyBorder="1"/>
    <xf numFmtId="3" fontId="3" fillId="0" borderId="6" xfId="0" applyNumberFormat="1" applyFont="1" applyBorder="1" applyAlignment="1">
      <alignment horizontal="center" vertical="center"/>
    </xf>
    <xf numFmtId="0" fontId="3" fillId="0" borderId="7" xfId="0" applyFont="1" applyBorder="1"/>
    <xf numFmtId="3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4" fontId="12" fillId="0" borderId="3" xfId="0" applyNumberFormat="1" applyFont="1" applyBorder="1" applyAlignment="1">
      <alignment horizontal="center" vertical="center"/>
    </xf>
    <xf numFmtId="14" fontId="3" fillId="0" borderId="3" xfId="0" applyNumberFormat="1" applyFont="1" applyBorder="1"/>
    <xf numFmtId="0" fontId="3" fillId="0" borderId="9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3" fontId="12" fillId="0" borderId="4" xfId="0" applyNumberFormat="1" applyFont="1" applyBorder="1" applyAlignment="1">
      <alignment horizontal="center" vertical="center"/>
    </xf>
    <xf numFmtId="0" fontId="12" fillId="0" borderId="10" xfId="1" applyNumberFormat="1" applyFont="1" applyBorder="1" applyAlignment="1">
      <alignment horizontal="center"/>
    </xf>
    <xf numFmtId="2" fontId="12" fillId="0" borderId="10" xfId="2" applyNumberFormat="1" applyFont="1" applyBorder="1" applyAlignment="1">
      <alignment horizontal="center"/>
    </xf>
    <xf numFmtId="14" fontId="12" fillId="0" borderId="3" xfId="3" applyNumberFormat="1" applyFont="1" applyBorder="1" applyAlignment="1">
      <alignment horizontal="center" vertical="center"/>
    </xf>
    <xf numFmtId="3" fontId="13" fillId="0" borderId="3" xfId="1" applyNumberFormat="1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3" fontId="14" fillId="5" borderId="3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1" fontId="3" fillId="5" borderId="5" xfId="0" applyNumberFormat="1" applyFont="1" applyFill="1" applyBorder="1" applyAlignment="1">
      <alignment vertical="center" wrapText="1"/>
    </xf>
    <xf numFmtId="0" fontId="3" fillId="10" borderId="5" xfId="0" applyFont="1" applyFill="1" applyBorder="1" applyAlignment="1">
      <alignment vertical="center" wrapText="1"/>
    </xf>
    <xf numFmtId="3" fontId="3" fillId="5" borderId="3" xfId="0" applyNumberFormat="1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vertical="center"/>
    </xf>
    <xf numFmtId="0" fontId="3" fillId="10" borderId="12" xfId="0" applyFont="1" applyFill="1" applyBorder="1" applyAlignment="1">
      <alignment vertical="center"/>
    </xf>
    <xf numFmtId="0" fontId="3" fillId="10" borderId="5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3" fontId="15" fillId="5" borderId="3" xfId="0" applyNumberFormat="1" applyFont="1" applyFill="1" applyBorder="1" applyAlignment="1">
      <alignment horizontal="center" vertical="center"/>
    </xf>
    <xf numFmtId="0" fontId="12" fillId="11" borderId="4" xfId="4" applyFont="1" applyFill="1" applyBorder="1" applyAlignment="1">
      <alignment horizontal="center"/>
    </xf>
    <xf numFmtId="0" fontId="12" fillId="11" borderId="4" xfId="4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17" fillId="11" borderId="0" xfId="4" applyFont="1" applyFill="1" applyBorder="1" applyAlignment="1">
      <alignment horizontal="center"/>
    </xf>
    <xf numFmtId="0" fontId="17" fillId="11" borderId="9" xfId="4" applyFont="1" applyFill="1" applyBorder="1" applyAlignment="1">
      <alignment horizontal="center"/>
    </xf>
    <xf numFmtId="0" fontId="3" fillId="11" borderId="13" xfId="0" applyFont="1" applyFill="1" applyBorder="1" applyAlignment="1">
      <alignment horizontal="center"/>
    </xf>
    <xf numFmtId="0" fontId="3" fillId="11" borderId="13" xfId="0" applyFont="1" applyFill="1" applyBorder="1"/>
    <xf numFmtId="0" fontId="3" fillId="11" borderId="8" xfId="0" applyFont="1" applyFill="1" applyBorder="1"/>
    <xf numFmtId="3" fontId="7" fillId="9" borderId="1" xfId="3" applyNumberFormat="1" applyFont="1" applyFill="1" applyBorder="1" applyAlignment="1">
      <alignment horizontal="center" vertical="center" wrapText="1"/>
    </xf>
    <xf numFmtId="0" fontId="18" fillId="11" borderId="9" xfId="4" applyFont="1" applyFill="1" applyBorder="1" applyAlignment="1">
      <alignment horizontal="center"/>
    </xf>
    <xf numFmtId="3" fontId="19" fillId="5" borderId="12" xfId="0" applyNumberFormat="1" applyFont="1" applyFill="1" applyBorder="1" applyAlignment="1">
      <alignment horizontal="center" vertical="center"/>
    </xf>
    <xf numFmtId="3" fontId="19" fillId="5" borderId="14" xfId="0" applyNumberFormat="1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 wrapText="1"/>
    </xf>
    <xf numFmtId="3" fontId="15" fillId="5" borderId="3" xfId="0" applyNumberFormat="1" applyFont="1" applyFill="1" applyBorder="1" applyAlignment="1">
      <alignment horizontal="center" vertical="center" wrapText="1"/>
    </xf>
    <xf numFmtId="3" fontId="15" fillId="5" borderId="3" xfId="0" applyNumberFormat="1" applyFont="1" applyFill="1" applyBorder="1" applyAlignment="1">
      <alignment horizontal="center" vertical="center"/>
    </xf>
    <xf numFmtId="0" fontId="20" fillId="11" borderId="9" xfId="4" applyFont="1" applyFill="1" applyBorder="1" applyAlignment="1">
      <alignment horizontal="center"/>
    </xf>
    <xf numFmtId="0" fontId="3" fillId="11" borderId="0" xfId="0" applyFont="1" applyFill="1"/>
    <xf numFmtId="0" fontId="3" fillId="11" borderId="0" xfId="0" applyFont="1" applyFill="1" applyAlignment="1">
      <alignment horizontal="center"/>
    </xf>
    <xf numFmtId="0" fontId="18" fillId="11" borderId="7" xfId="4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12" fillId="11" borderId="3" xfId="4" applyFont="1" applyFill="1" applyBorder="1" applyAlignment="1">
      <alignment horizontal="center"/>
    </xf>
    <xf numFmtId="3" fontId="21" fillId="5" borderId="3" xfId="0" applyNumberFormat="1" applyFont="1" applyFill="1" applyBorder="1" applyAlignment="1">
      <alignment horizontal="center" vertical="center"/>
    </xf>
    <xf numFmtId="0" fontId="22" fillId="11" borderId="9" xfId="4" applyFont="1" applyFill="1" applyBorder="1" applyAlignment="1">
      <alignment horizontal="center"/>
    </xf>
    <xf numFmtId="3" fontId="15" fillId="5" borderId="5" xfId="0" applyNumberFormat="1" applyFont="1" applyFill="1" applyBorder="1" applyAlignment="1">
      <alignment horizontal="center" vertical="center" wrapText="1"/>
    </xf>
    <xf numFmtId="3" fontId="14" fillId="5" borderId="5" xfId="0" applyNumberFormat="1" applyFont="1" applyFill="1" applyBorder="1" applyAlignment="1">
      <alignment horizontal="center" vertical="center"/>
    </xf>
    <xf numFmtId="3" fontId="15" fillId="5" borderId="5" xfId="0" applyNumberFormat="1" applyFont="1" applyFill="1" applyBorder="1" applyAlignment="1">
      <alignment horizontal="center" vertical="center"/>
    </xf>
    <xf numFmtId="2" fontId="12" fillId="0" borderId="3" xfId="2" applyNumberFormat="1" applyFont="1" applyBorder="1" applyAlignment="1">
      <alignment horizontal="center"/>
    </xf>
    <xf numFmtId="0" fontId="12" fillId="0" borderId="3" xfId="1" applyNumberFormat="1" applyFont="1" applyBorder="1" applyAlignment="1">
      <alignment horizontal="center"/>
    </xf>
    <xf numFmtId="3" fontId="3" fillId="0" borderId="3" xfId="0" applyNumberFormat="1" applyFont="1" applyBorder="1"/>
    <xf numFmtId="3" fontId="15" fillId="0" borderId="3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center"/>
    </xf>
    <xf numFmtId="0" fontId="15" fillId="11" borderId="0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 vertical="center" wrapText="1"/>
    </xf>
    <xf numFmtId="164" fontId="14" fillId="5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0" xfId="0" applyNumberFormat="1"/>
    <xf numFmtId="3" fontId="0" fillId="0" borderId="3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0" fillId="12" borderId="3" xfId="0" applyNumberForma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3" xfId="0" applyFont="1" applyFill="1" applyBorder="1"/>
    <xf numFmtId="14" fontId="0" fillId="0" borderId="3" xfId="0" applyNumberFormat="1" applyBorder="1" applyAlignment="1">
      <alignment horizontal="center"/>
    </xf>
    <xf numFmtId="0" fontId="2" fillId="13" borderId="3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center"/>
    </xf>
    <xf numFmtId="3" fontId="2" fillId="12" borderId="3" xfId="0" applyNumberFormat="1" applyFont="1" applyFill="1" applyBorder="1" applyAlignment="1">
      <alignment horizontal="center"/>
    </xf>
    <xf numFmtId="3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</cellXfs>
  <cellStyles count="5">
    <cellStyle name="Гиперссылка" xfId="4" builtinId="8"/>
    <cellStyle name="Обычный" xfId="0" builtinId="0"/>
    <cellStyle name="Обычный 2" xfId="3" xr:uid="{6852683B-B19B-4BE8-8EAB-31BF1C21EE55}"/>
    <cellStyle name="Финансовый" xfId="1" builtinId="3"/>
    <cellStyle name="Финансовый [0]" xfId="2" builtinId="6"/>
  </cellStyles>
  <dxfs count="28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43;&#1072;&#1079;&#1086;&#1073;&#1083;&#1086;&#1082;%20&#1057;&#1095;&#1077;&#1090;.xlsx" TargetMode="External"/><Relationship Id="rId1" Type="http://schemas.openxmlformats.org/officeDocument/2006/relationships/externalLinkPath" Target="&#1043;&#1072;&#1079;&#1086;&#1073;&#1083;&#1086;&#1082;%20&#1057;&#1095;&#1077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плата Завод"/>
      <sheetName val="Свод Завод"/>
      <sheetName val="Оплата"/>
      <sheetName val="Товар"/>
      <sheetName val="1-Урганч Тамирлаш"/>
      <sheetName val="1-Инвест Холдинг"/>
      <sheetName val="1-Нормат Умидбек"/>
      <sheetName val="1-Ирригатсия темир бетон"/>
      <sheetName val="1-Фидато Груп"/>
      <sheetName val="1-Хонкага"/>
      <sheetName val="2-Гофур Хазорасп"/>
      <sheetName val="2-Шиддат маналит"/>
      <sheetName val="2-Дастон шопир "/>
      <sheetName val="3-Сулаймон Ога Хазарасп"/>
      <sheetName val="3-Мурод ога Урганч"/>
      <sheetName val="3-Сарвар ога Шовот"/>
      <sheetName val="4-Гайрат Штб"/>
      <sheetName val="4-Рустам Шпик"/>
      <sheetName val="4-Элликкала Бостон"/>
      <sheetName val="5-Жаср Версал"/>
      <sheetName val="5-Мустафо машал"/>
      <sheetName val="5-Одилбек Ера хоус"/>
      <sheetName val="6-Уткир мини"/>
      <sheetName val="6-Отабек дамирчи"/>
      <sheetName val="5-Журат ога хонка"/>
      <sheetName val="6-Мамун Университети"/>
      <sheetName val="3-Уктир ога Шовот"/>
      <sheetName val="6-накд клент"/>
      <sheetName val="6-Жамол 009"/>
      <sheetName val="6-Сохил буйи Уткир ога"/>
      <sheetName val="0 (8)"/>
      <sheetName val="0 (9)"/>
      <sheetName val="0 (10)"/>
      <sheetName val="0 (1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F7C8CA-F1B9-43CB-BBAC-AA8732829AE6}" name="Таблица2133990294678" displayName="Таблица2133990294678" ref="A6:M8" totalsRowCount="1" headerRowDxfId="98" dataDxfId="97" totalsRowDxfId="96" headerRowBorderDxfId="94" tableBorderDxfId="95">
  <autoFilter ref="A6:M7" xr:uid="{AFF7C8CA-F1B9-43CB-BBAC-AA8732829AE6}"/>
  <tableColumns count="13">
    <tableColumn id="1" xr3:uid="{9AD4CF69-C19E-4EB7-B250-37EA6568C62D}" name=" " dataDxfId="93" totalsRowDxfId="14"/>
    <tableColumn id="2" xr3:uid="{C0EA5A25-56CD-4907-BA71-5EECFEF2A941}" name="1" dataDxfId="92" totalsRowDxfId="13"/>
    <tableColumn id="3" xr3:uid="{BEB38247-29FF-4F95-BC8A-569CAEA0B67A}" name="2" totalsRowFunction="sum" dataDxfId="91" totalsRowDxfId="12"/>
    <tableColumn id="4" xr3:uid="{26E00C52-5070-49A4-B2F6-96D97AF0A363}" name="3" dataDxfId="90" totalsRowDxfId="11"/>
    <tableColumn id="5" xr3:uid="{ADD38057-29C7-4E23-90BA-D2AE34650BAB}" name="4" dataDxfId="89" totalsRowDxfId="10"/>
    <tableColumn id="10" xr3:uid="{DBE3245F-0420-45C5-9D7E-FEBAFC2865F1}" name="9" dataDxfId="88" totalsRowDxfId="9">
      <calculatedColumnFormula>Таблица2133990294678[[#This Row],[ ]]</calculatedColumnFormula>
    </tableColumn>
    <tableColumn id="11" xr3:uid="{807B92A1-4FFD-4454-85A9-AB0A844D269B}" name="10" dataDxfId="87" totalsRowDxfId="8"/>
    <tableColumn id="12" xr3:uid="{E90A4BCB-B27F-4284-8E47-4F18CFE995FE}" name="11" dataDxfId="86" totalsRowDxfId="7"/>
    <tableColumn id="40" xr3:uid="{42179F33-D600-41D9-A4B8-4DA9C9C56715}" name="114" dataDxfId="85" totalsRowDxfId="6"/>
    <tableColumn id="39" xr3:uid="{73DA1605-7E91-4863-BEA6-8DF2B42601FE}" name="113" dataDxfId="84" totalsRowDxfId="5"/>
    <tableColumn id="41" xr3:uid="{F8A5F417-AB69-441E-8BC5-D746D5CC48A5}" name="1132" totalsRowFunction="sum" dataDxfId="83" totalsRowDxfId="4"/>
    <tableColumn id="36" xr3:uid="{59AB91DD-75E6-4CAE-9E10-6306334A5811}" name="15" dataDxfId="82" totalsRowDxfId="3"/>
    <tableColumn id="35" xr3:uid="{58AA2455-1DD2-4BC5-91A8-FEE219A984F1}" name="16" totalsRowFunction="sum" dataDxfId="81" totalsRowDxfId="2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BBDCFBD-0E55-4C2D-B4C5-63E3E8D66E5B}" name="Таблица213399029467" displayName="Таблица213399029467" ref="A15:M18" totalsRowCount="1" headerRowDxfId="80" dataDxfId="79" totalsRowDxfId="78" headerRowBorderDxfId="76" tableBorderDxfId="77">
  <autoFilter ref="A15:M17" xr:uid="{9BBDCFBD-0E55-4C2D-B4C5-63E3E8D66E5B}"/>
  <tableColumns count="13">
    <tableColumn id="1" xr3:uid="{6C72FF8E-D4C4-479D-9050-1F2AFD65A370}" name=" " dataDxfId="75" totalsRowDxfId="62"/>
    <tableColumn id="2" xr3:uid="{E2F1C2AC-8E12-4934-B7C7-E5D0F591D526}" name="1" dataDxfId="74" totalsRowDxfId="61"/>
    <tableColumn id="3" xr3:uid="{8C5B8A7F-C33E-415E-831D-D013CD25F981}" name="2" totalsRowFunction="sum" dataDxfId="73" totalsRowDxfId="60"/>
    <tableColumn id="4" xr3:uid="{CFD49CB9-C800-4802-9500-93B89CAC0CC5}" name="3" dataDxfId="72" totalsRowDxfId="59"/>
    <tableColumn id="5" xr3:uid="{7B8BDBE8-F27E-473C-B3E7-469621DF7D07}" name="4" dataDxfId="71" totalsRowDxfId="58"/>
    <tableColumn id="10" xr3:uid="{B7C03E39-9FBC-4CD1-A2DF-2CCBE7BC4914}" name="9" dataDxfId="70" totalsRowDxfId="57">
      <calculatedColumnFormula>Таблица213399029467[[#This Row],[ ]]</calculatedColumnFormula>
    </tableColumn>
    <tableColumn id="11" xr3:uid="{C2ED1F36-F678-4BD9-96E0-6729B494CFB5}" name="10" dataDxfId="69" totalsRowDxfId="56"/>
    <tableColumn id="12" xr3:uid="{093A11F9-7FB8-4D5B-82BF-4A15C28D3578}" name="11" dataDxfId="68" totalsRowDxfId="55"/>
    <tableColumn id="40" xr3:uid="{E41479D3-6B28-48A3-A8B0-AF41050D6E33}" name="114" dataDxfId="67" totalsRowDxfId="54"/>
    <tableColumn id="39" xr3:uid="{E92F191C-CDFF-4F1E-9664-4233AA94FB9E}" name="113" dataDxfId="66" totalsRowDxfId="53"/>
    <tableColumn id="41" xr3:uid="{2DD41E21-1B43-4FBA-9028-6BEC5F0E74FD}" name="1132" totalsRowFunction="sum" dataDxfId="65" totalsRowDxfId="52"/>
    <tableColumn id="36" xr3:uid="{329E1741-E7E8-4A4A-880E-F2ACCB97AF44}" name="15" dataDxfId="64" totalsRowDxfId="51"/>
    <tableColumn id="35" xr3:uid="{F6218291-23FE-4C31-B3C6-2CA7BB3F93C6}" name="16" totalsRowFunction="sum" dataDxfId="63" totalsRowDxfId="50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1AF8950-BBBC-4972-AD5E-81EB966CBF77}" name="Таблица213399029469" displayName="Таблица213399029469" ref="A6:M9" totalsRowCount="1" headerRowDxfId="129" dataDxfId="128" totalsRowDxfId="127" headerRowBorderDxfId="125" tableBorderDxfId="126">
  <autoFilter ref="A6:M8" xr:uid="{F1AF8950-BBBC-4972-AD5E-81EB966CBF77}"/>
  <tableColumns count="13">
    <tableColumn id="1" xr3:uid="{996D703F-B5AF-4C45-8439-9F9B3770150B}" name=" " dataDxfId="124" totalsRowDxfId="111"/>
    <tableColumn id="2" xr3:uid="{2F8B41C7-A405-44B8-9046-1342B61470BE}" name="1" dataDxfId="123" totalsRowDxfId="110"/>
    <tableColumn id="3" xr3:uid="{260C6AB2-5D24-4561-8624-3B595A10E9BE}" name="2" totalsRowFunction="sum" dataDxfId="122" totalsRowDxfId="109"/>
    <tableColumn id="4" xr3:uid="{E195B73F-C83A-4D9E-9745-9BF8C67EC888}" name="3" dataDxfId="121" totalsRowDxfId="108"/>
    <tableColumn id="5" xr3:uid="{FB5A43AC-AA56-49C0-9D14-12BE180689D8}" name="4" dataDxfId="120" totalsRowDxfId="107"/>
    <tableColumn id="10" xr3:uid="{7B8E9B75-EC09-4CFC-AA73-FFFBB735EB91}" name="9" dataDxfId="119" totalsRowDxfId="106">
      <calculatedColumnFormula>Таблица213399029469[[#This Row],[ ]]</calculatedColumnFormula>
    </tableColumn>
    <tableColumn id="11" xr3:uid="{34DD9D9F-05CD-4AB8-AA43-FAD5C0A7FB0C}" name="10" dataDxfId="118" totalsRowDxfId="105"/>
    <tableColumn id="12" xr3:uid="{A3D4E13F-68FD-4164-BF09-5A5A3B752B79}" name="11" dataDxfId="117" totalsRowDxfId="104"/>
    <tableColumn id="40" xr3:uid="{A622F3C8-48B8-4C14-BA27-8DB32A73CB8F}" name="114" dataDxfId="116" totalsRowDxfId="103"/>
    <tableColumn id="39" xr3:uid="{8C4D473A-2A1F-4F3C-AE92-8971BD1E06E7}" name="113" dataDxfId="115" totalsRowDxfId="102"/>
    <tableColumn id="41" xr3:uid="{EA11C99C-4D0B-4208-AD9B-1E6AF217EE17}" name="1132" totalsRowFunction="sum" dataDxfId="114" totalsRowDxfId="101"/>
    <tableColumn id="36" xr3:uid="{A2A24D7E-6B7C-42C4-9E41-92D0CBBD872E}" name="15" dataDxfId="113" totalsRowDxfId="100"/>
    <tableColumn id="35" xr3:uid="{90D05EDB-9D2F-45AD-9955-5AE0BF84FD37}" name="16" totalsRowFunction="sum" dataDxfId="112" totalsRowDxfId="99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4886BC-0FA2-45CC-BF6E-748F77A69883}" name="Таблица2133990294" displayName="Таблица2133990294" ref="A6:M9" totalsRowCount="1" headerRowDxfId="160" dataDxfId="159" totalsRowDxfId="158" headerRowBorderDxfId="156" tableBorderDxfId="157">
  <autoFilter ref="A6:M8" xr:uid="{BB4886BC-0FA2-45CC-BF6E-748F77A69883}"/>
  <tableColumns count="13">
    <tableColumn id="1" xr3:uid="{36FB38B1-99C0-4528-8DB7-F4C55E0AB5A7}" name=" " dataDxfId="155" totalsRowDxfId="142"/>
    <tableColumn id="2" xr3:uid="{47EE8FDC-2ED5-495E-87A5-5616E6F1A581}" name="1" dataDxfId="154" totalsRowDxfId="141"/>
    <tableColumn id="3" xr3:uid="{E4FCE774-17F0-41EE-903D-E3880E8373FA}" name="2" totalsRowFunction="sum" dataDxfId="153" totalsRowDxfId="140"/>
    <tableColumn id="4" xr3:uid="{FAF495D7-5D06-4723-A29F-09079E89FF03}" name="3" dataDxfId="152" totalsRowDxfId="139"/>
    <tableColumn id="5" xr3:uid="{92C8F42D-3BE0-4DB0-A3A3-C950EA63C80A}" name="4" dataDxfId="151" totalsRowDxfId="138"/>
    <tableColumn id="10" xr3:uid="{73A68EED-9CC8-4A58-858E-D916C06E4E0D}" name="9" dataDxfId="150" totalsRowDxfId="137">
      <calculatedColumnFormula>Таблица2133990294[[#This Row],[ ]]</calculatedColumnFormula>
    </tableColumn>
    <tableColumn id="11" xr3:uid="{803CA5E6-1A30-4D93-A257-B804FFE6B6E1}" name="10" dataDxfId="149" totalsRowDxfId="136"/>
    <tableColumn id="12" xr3:uid="{F3AE42A5-F777-4F1B-BDC8-C8016A3FFB61}" name="11" dataDxfId="148" totalsRowDxfId="135"/>
    <tableColumn id="40" xr3:uid="{A2B42E68-3EC4-4785-BBBF-F9FC120CAB36}" name="114" dataDxfId="147" totalsRowDxfId="134"/>
    <tableColumn id="39" xr3:uid="{7BF7E879-346F-4422-9ED6-4AFD86671A13}" name="113" dataDxfId="146" totalsRowDxfId="133"/>
    <tableColumn id="41" xr3:uid="{7D6BB18E-7CD2-4477-A200-1787F5DBF6CB}" name="1132" totalsRowFunction="sum" dataDxfId="145" totalsRowDxfId="132"/>
    <tableColumn id="36" xr3:uid="{A1C48A3E-4E7C-4FEF-AB2F-0D480CE21550}" name="15" dataDxfId="144" totalsRowDxfId="131"/>
    <tableColumn id="35" xr3:uid="{37C96245-21E6-4527-9963-1FBF8C5BD27F}" name="16" totalsRowFunction="sum" dataDxfId="143" totalsRowDxfId="130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8A5952-5487-433A-A7CD-1F380CC4D387}" name="Таблица2133990" displayName="Таблица2133990" ref="A6:M9" totalsRowCount="1" headerRowDxfId="284" dataDxfId="283" totalsRowDxfId="282" headerRowBorderDxfId="280" tableBorderDxfId="281">
  <autoFilter ref="A6:M8" xr:uid="{BD483E57-E0DB-4DB2-ABFB-820DDDA72EDB}"/>
  <tableColumns count="13">
    <tableColumn id="1" xr3:uid="{332A9B0B-7C73-4D17-9854-9833495103F7}" name=" " dataDxfId="279" totalsRowDxfId="266"/>
    <tableColumn id="2" xr3:uid="{2C9EC3C6-A6F4-45F0-864A-D1812CADB317}" name="1" dataDxfId="278" totalsRowDxfId="265"/>
    <tableColumn id="3" xr3:uid="{E1563CB9-A6CD-43DE-BEF9-65CA67846528}" name="2" totalsRowFunction="sum" dataDxfId="277" totalsRowDxfId="264"/>
    <tableColumn id="4" xr3:uid="{DF7DB3F8-4C47-4BA2-9021-9CECCC30F496}" name="3" dataDxfId="276" totalsRowDxfId="263"/>
    <tableColumn id="5" xr3:uid="{9CDF5BD1-686E-42D5-A220-AA5BE72FA2FE}" name="4" dataDxfId="275" totalsRowDxfId="262"/>
    <tableColumn id="10" xr3:uid="{AD16ABF0-022F-4870-A741-5CEFC071DE5E}" name="9" dataDxfId="274" totalsRowDxfId="261">
      <calculatedColumnFormula>Таблица2133990[[#This Row],[ ]]</calculatedColumnFormula>
    </tableColumn>
    <tableColumn id="11" xr3:uid="{76C4F816-EBA8-4911-A9D2-831EEAC1263F}" name="10" dataDxfId="273" totalsRowDxfId="260"/>
    <tableColumn id="12" xr3:uid="{6E994B86-A9B9-4963-9DB3-9D10FBB109C6}" name="11" dataDxfId="272" totalsRowDxfId="259"/>
    <tableColumn id="40" xr3:uid="{FE7CBFA3-E65F-4AB8-AC14-169AAA29BAF4}" name="114" dataDxfId="271" totalsRowDxfId="258"/>
    <tableColumn id="39" xr3:uid="{406048F4-EDA2-49FC-A31D-BC7307C48B31}" name="113" dataDxfId="270" totalsRowDxfId="257"/>
    <tableColumn id="41" xr3:uid="{FEDE0BA7-5D63-4747-95AA-AD097FB5E157}" name="1132" totalsRowFunction="sum" dataDxfId="269" totalsRowDxfId="256"/>
    <tableColumn id="36" xr3:uid="{1041FCEB-15D5-4D14-BDC4-599C1E2CC180}" name="15" dataDxfId="268" totalsRowDxfId="255"/>
    <tableColumn id="35" xr3:uid="{E70C029E-F2B0-42AC-8FA3-0CDF13A3C45F}" name="16" totalsRowFunction="sum" dataDxfId="267" totalsRowDxfId="254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4044CFB-C962-4101-AB88-D0C88B3272E6}" name="Таблица213399029" displayName="Таблица213399029" ref="A16:M20" totalsRowCount="1" headerRowDxfId="253" dataDxfId="252" totalsRowDxfId="251" headerRowBorderDxfId="249" tableBorderDxfId="250">
  <autoFilter ref="A16:M19" xr:uid="{94044CFB-C962-4101-AB88-D0C88B3272E6}"/>
  <tableColumns count="13">
    <tableColumn id="1" xr3:uid="{59441264-1009-41E9-8DBF-04D56C3C9B8D}" name=" " dataDxfId="248" totalsRowDxfId="235"/>
    <tableColumn id="2" xr3:uid="{AE95D24E-F4C5-4EBC-8C5A-F6B292528638}" name="1" dataDxfId="247" totalsRowDxfId="234"/>
    <tableColumn id="3" xr3:uid="{44338456-1DFF-4782-A95C-D5F1D89298CD}" name="2" totalsRowFunction="sum" dataDxfId="246" totalsRowDxfId="233"/>
    <tableColumn id="4" xr3:uid="{4C29B213-C657-4EF4-93EE-A75CCDF3164B}" name="3" dataDxfId="245" totalsRowDxfId="232"/>
    <tableColumn id="5" xr3:uid="{B23B6FE0-14DA-47CB-B651-543EA55A988A}" name="4" dataDxfId="244" totalsRowDxfId="231"/>
    <tableColumn id="10" xr3:uid="{9D6FF352-331D-42B7-9B70-BCF1EC2F6E9C}" name="9" dataDxfId="243" totalsRowDxfId="230">
      <calculatedColumnFormula>Таблица213399029[[#This Row],[ ]]</calculatedColumnFormula>
    </tableColumn>
    <tableColumn id="11" xr3:uid="{4159BDEF-06DA-4079-BB70-E30CA099D8D8}" name="10" dataDxfId="242" totalsRowDxfId="229"/>
    <tableColumn id="12" xr3:uid="{AE622280-116D-4E46-8849-8384338EBA6F}" name="11" dataDxfId="241" totalsRowDxfId="228"/>
    <tableColumn id="40" xr3:uid="{8BAD6F01-0B08-4D89-A200-CF1E9434D933}" name="114" dataDxfId="240" totalsRowDxfId="227"/>
    <tableColumn id="39" xr3:uid="{87319516-145F-4ADF-BB89-05721D7A3575}" name="113" dataDxfId="239" totalsRowDxfId="226"/>
    <tableColumn id="41" xr3:uid="{C9FEF488-B7C1-4491-AADF-8343397E49AE}" name="1132" totalsRowFunction="sum" dataDxfId="238" totalsRowDxfId="225"/>
    <tableColumn id="36" xr3:uid="{697E7B70-FC86-4BDA-8A66-C3BCDDA45160}" name="15" dataDxfId="237" totalsRowDxfId="224"/>
    <tableColumn id="35" xr3:uid="{B53C129C-E94C-43EE-9C16-56ED06EE3BB0}" name="16" totalsRowFunction="sum" dataDxfId="236" totalsRowDxfId="223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AB877B-7245-4CE8-ACEB-317A4C142E19}" name="Таблица2133990291011" displayName="Таблица2133990291011" ref="A27:M29" totalsRowCount="1" headerRowDxfId="222" dataDxfId="221" totalsRowDxfId="220" headerRowBorderDxfId="218" tableBorderDxfId="219">
  <autoFilter ref="A27:M28" xr:uid="{95AB877B-7245-4CE8-ACEB-317A4C142E19}"/>
  <tableColumns count="13">
    <tableColumn id="1" xr3:uid="{DAE0C487-B023-4E8A-8D8D-AB92D74545B9}" name=" " dataDxfId="217" totalsRowDxfId="204"/>
    <tableColumn id="2" xr3:uid="{B8A44829-DDED-47FC-8DE0-70570EE9CC48}" name="1" dataDxfId="216" totalsRowDxfId="203"/>
    <tableColumn id="3" xr3:uid="{9F1AD38A-7294-4556-A832-1461E0BDC83F}" name="2" totalsRowFunction="sum" dataDxfId="215" totalsRowDxfId="202"/>
    <tableColumn id="4" xr3:uid="{FB38B48B-4397-48CA-AA76-D998D5924A7E}" name="3" dataDxfId="214" totalsRowDxfId="201"/>
    <tableColumn id="5" xr3:uid="{83373628-E666-4B2B-999D-F78D4B928060}" name="4" dataDxfId="213" totalsRowDxfId="200"/>
    <tableColumn id="10" xr3:uid="{9B46B85D-6307-4113-873E-8ED7DBE789A1}" name="9" dataDxfId="212" totalsRowDxfId="199">
      <calculatedColumnFormula>Таблица2133990291011[[#This Row],[ ]]</calculatedColumnFormula>
    </tableColumn>
    <tableColumn id="11" xr3:uid="{9B98121D-FB2A-48FF-83E0-16B16A1F52BC}" name="10" dataDxfId="211" totalsRowDxfId="198"/>
    <tableColumn id="12" xr3:uid="{ABCD7CC3-29D3-46E7-84DB-28057DC46DCD}" name="11" dataDxfId="210" totalsRowDxfId="197"/>
    <tableColumn id="40" xr3:uid="{C3EB7FAC-5103-4C18-8DDB-91673D81B51E}" name="114" dataDxfId="209" totalsRowDxfId="196"/>
    <tableColumn id="39" xr3:uid="{97637BF6-3E64-4C7E-85FC-4EAC19AA5842}" name="113" dataDxfId="208" totalsRowDxfId="195"/>
    <tableColumn id="41" xr3:uid="{A89677F8-E676-40FD-BB32-621B86374BF7}" name="1132" totalsRowFunction="sum" dataDxfId="207" totalsRowDxfId="194"/>
    <tableColumn id="36" xr3:uid="{DEDA4062-05DF-4439-8CD5-9F886F6DCD40}" name="15" dataDxfId="206" totalsRowDxfId="193"/>
    <tableColumn id="35" xr3:uid="{5B74CC04-C91A-4BD0-8A1A-59856EC3FABB}" name="16" totalsRowFunction="sum" dataDxfId="205" totalsRowDxfId="192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C8F0B6-C693-4BF0-896C-57F8FF23D1E0}" name="Таблица213399028" displayName="Таблица213399028" ref="A36:M40" totalsRowCount="1" headerRowDxfId="191" dataDxfId="190" totalsRowDxfId="189" headerRowBorderDxfId="187" tableBorderDxfId="188">
  <autoFilter ref="A36:M39" xr:uid="{4DC8F0B6-C693-4BF0-896C-57F8FF23D1E0}"/>
  <tableColumns count="13">
    <tableColumn id="1" xr3:uid="{F686DCE8-E3EF-4431-BAA9-520D2486B6C3}" name=" " dataDxfId="186" totalsRowDxfId="173"/>
    <tableColumn id="2" xr3:uid="{ED1F53ED-9D68-4A1F-8AF7-33AA72B5058C}" name="1" dataDxfId="185" totalsRowDxfId="172"/>
    <tableColumn id="3" xr3:uid="{6996932B-E177-4DCC-A835-5A99809AE60B}" name="2" totalsRowFunction="sum" dataDxfId="184" totalsRowDxfId="171"/>
    <tableColumn id="4" xr3:uid="{97C95362-C6FE-42FE-BBA3-DD24449391EE}" name="3" dataDxfId="183" totalsRowDxfId="170"/>
    <tableColumn id="5" xr3:uid="{E21C6B62-2254-4203-AEFF-BF088EC05796}" name="4" dataDxfId="182" totalsRowDxfId="169"/>
    <tableColumn id="10" xr3:uid="{26DE4AD3-3F4C-4E93-81A2-186E5B5D3993}" name="9" dataDxfId="181" totalsRowDxfId="168">
      <calculatedColumnFormula>Таблица213399028[[#This Row],[ ]]</calculatedColumnFormula>
    </tableColumn>
    <tableColumn id="11" xr3:uid="{0BC5EC85-93E9-4AC4-A4AC-3A409345AB55}" name="10" dataDxfId="180" totalsRowDxfId="167"/>
    <tableColumn id="12" xr3:uid="{B5AEA6FF-BCF4-4413-A897-19FE21104E93}" name="11" dataDxfId="179" totalsRowDxfId="166"/>
    <tableColumn id="40" xr3:uid="{8DEB4365-C324-4138-BE6F-FC0C1BB12E08}" name="114" dataDxfId="178" totalsRowDxfId="165"/>
    <tableColumn id="39" xr3:uid="{5EC4E4D8-5A31-46E3-828C-B76D1BBC084D}" name="113" dataDxfId="177" totalsRowDxfId="164"/>
    <tableColumn id="41" xr3:uid="{86C34242-2BF3-4055-A549-BFB37FD91BCA}" name="1132" totalsRowFunction="sum" dataDxfId="176" totalsRowDxfId="163"/>
    <tableColumn id="36" xr3:uid="{21D9A1A0-85A9-4A25-B887-C4CB03AFBF3B}" name="15" dataDxfId="175" totalsRowDxfId="162"/>
    <tableColumn id="35" xr3:uid="{9AF74712-9CFE-4A6E-BD85-315E9769D9DD}" name="16" totalsRowFunction="sum" dataDxfId="174" totalsRowDxfId="161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D72672E-2030-4709-88F7-46D4486552B4}" name="Таблица21339902816" displayName="Таблица21339902816" ref="A47:M49" totalsRowCount="1" headerRowDxfId="49" dataDxfId="48" totalsRowDxfId="47" headerRowBorderDxfId="45" tableBorderDxfId="46">
  <autoFilter ref="A47:M48" xr:uid="{3D72672E-2030-4709-88F7-46D4486552B4}"/>
  <tableColumns count="13">
    <tableColumn id="1" xr3:uid="{B7B1987B-B601-4D86-A738-C4066FF977FE}" name=" " dataDxfId="44" totalsRowDxfId="31"/>
    <tableColumn id="2" xr3:uid="{3A3F8874-8CF9-4C6B-B6D3-D5A2DE5072ED}" name="1" dataDxfId="43" totalsRowDxfId="30"/>
    <tableColumn id="3" xr3:uid="{FE305263-BB44-47C1-A47C-D24AE2B7CFBA}" name="2" totalsRowFunction="sum" dataDxfId="42" totalsRowDxfId="29"/>
    <tableColumn id="4" xr3:uid="{785F0C95-EEAB-4F45-8E40-28F09447015D}" name="3" dataDxfId="41" totalsRowDxfId="28"/>
    <tableColumn id="5" xr3:uid="{828E486A-C5CC-4270-8801-832D563ADB6F}" name="4" dataDxfId="40" totalsRowDxfId="27"/>
    <tableColumn id="10" xr3:uid="{B697F74A-F838-44AB-95F0-0AEDBD9166F2}" name="9" dataDxfId="39" totalsRowDxfId="26"/>
    <tableColumn id="11" xr3:uid="{8716BADD-CF26-413A-81FC-C58484895390}" name="10" dataDxfId="38" totalsRowDxfId="25"/>
    <tableColumn id="12" xr3:uid="{88D75240-BFD6-4300-A9C0-2AA3449DEAE4}" name="11" dataDxfId="37" totalsRowDxfId="24"/>
    <tableColumn id="40" xr3:uid="{BF2F9CED-B13B-445C-A9A2-DF6F2C0D7FDD}" name="114" dataDxfId="36" totalsRowDxfId="23"/>
    <tableColumn id="39" xr3:uid="{96BAB34B-2005-4095-94B7-186F13900B8C}" name="113" dataDxfId="35" totalsRowDxfId="22"/>
    <tableColumn id="41" xr3:uid="{C761C004-0FB0-4B41-BF5F-82D5FD31A9E4}" name="1132" totalsRowFunction="sum" dataDxfId="34" totalsRowDxfId="21"/>
    <tableColumn id="36" xr3:uid="{88AF5E9D-DD9E-40A7-8D4C-B9AA2ADC558B}" name="15" dataDxfId="33" totalsRowDxfId="20"/>
    <tableColumn id="35" xr3:uid="{765B7578-D924-444C-87B7-3AB65DDF96D3}" name="16" totalsRowFunction="sum" dataDxfId="32" totalsRowDxfId="1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topLeftCell="A20" workbookViewId="0">
      <selection activeCell="K32" sqref="K32"/>
    </sheetView>
  </sheetViews>
  <sheetFormatPr defaultRowHeight="15" x14ac:dyDescent="0.25"/>
  <cols>
    <col min="1" max="1" width="4.28515625" bestFit="1" customWidth="1"/>
    <col min="2" max="2" width="10" bestFit="1" customWidth="1"/>
    <col min="3" max="3" width="13.85546875" bestFit="1" customWidth="1"/>
    <col min="4" max="4" width="25.5703125" bestFit="1" customWidth="1"/>
    <col min="5" max="5" width="11.28515625" bestFit="1" customWidth="1"/>
    <col min="6" max="6" width="13.5703125" bestFit="1" customWidth="1"/>
    <col min="7" max="7" width="13.42578125" bestFit="1" customWidth="1"/>
    <col min="8" max="8" width="13.85546875" bestFit="1" customWidth="1"/>
    <col min="10" max="10" width="19.42578125" bestFit="1" customWidth="1"/>
    <col min="11" max="11" width="12.42578125" bestFit="1" customWidth="1"/>
    <col min="13" max="13" width="21.42578125" bestFit="1" customWidth="1"/>
    <col min="14" max="14" width="17" bestFit="1" customWidth="1"/>
    <col min="18" max="18" width="19.42578125" bestFit="1" customWidth="1"/>
    <col min="19" max="19" width="15.42578125" bestFit="1" customWidth="1"/>
    <col min="20" max="20" width="17" bestFit="1" customWidth="1"/>
    <col min="22" max="22" width="15.42578125" bestFit="1" customWidth="1"/>
  </cols>
  <sheetData>
    <row r="1" spans="1:22" x14ac:dyDescent="0.25">
      <c r="A1" s="1"/>
      <c r="B1" s="1"/>
      <c r="C1" s="1"/>
      <c r="D1" s="1"/>
      <c r="E1" s="2"/>
      <c r="F1" s="2"/>
      <c r="G1" s="2"/>
      <c r="H1" s="3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18" x14ac:dyDescent="0.25">
      <c r="A2" s="4"/>
      <c r="B2" s="4"/>
      <c r="C2" s="4"/>
      <c r="D2" s="4"/>
      <c r="E2" s="4"/>
      <c r="F2" s="4"/>
      <c r="G2" s="4"/>
      <c r="H2" s="5"/>
      <c r="I2" s="4"/>
      <c r="J2" s="6"/>
      <c r="K2" s="6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2" ht="29.25" customHeight="1" x14ac:dyDescent="0.25">
      <c r="A3" s="84" t="s">
        <v>0</v>
      </c>
      <c r="B3" s="29" t="s">
        <v>1</v>
      </c>
      <c r="C3" s="29" t="s">
        <v>2</v>
      </c>
      <c r="D3" s="30" t="s">
        <v>3</v>
      </c>
      <c r="E3" s="31" t="s">
        <v>4</v>
      </c>
      <c r="F3" s="30" t="s">
        <v>5</v>
      </c>
      <c r="G3" s="32" t="s">
        <v>6</v>
      </c>
      <c r="H3" s="32" t="s">
        <v>7</v>
      </c>
      <c r="I3" s="32" t="s">
        <v>8</v>
      </c>
      <c r="J3" s="30" t="s">
        <v>9</v>
      </c>
      <c r="K3" s="33" t="s">
        <v>10</v>
      </c>
      <c r="L3" s="34" t="s">
        <v>11</v>
      </c>
      <c r="M3" s="30" t="s">
        <v>12</v>
      </c>
      <c r="N3" s="30" t="s">
        <v>13</v>
      </c>
      <c r="O3" s="35" t="s">
        <v>14</v>
      </c>
      <c r="P3" s="30" t="s">
        <v>15</v>
      </c>
      <c r="Q3" s="30" t="s">
        <v>16</v>
      </c>
      <c r="R3" s="36" t="s">
        <v>17</v>
      </c>
      <c r="S3" s="37" t="s">
        <v>18</v>
      </c>
      <c r="T3" s="30" t="s">
        <v>19</v>
      </c>
      <c r="U3" s="30" t="s">
        <v>20</v>
      </c>
      <c r="V3" s="30" t="s">
        <v>101</v>
      </c>
    </row>
    <row r="4" spans="1:22" x14ac:dyDescent="0.25">
      <c r="A4" s="7">
        <v>1</v>
      </c>
      <c r="B4" s="8" t="s">
        <v>21</v>
      </c>
      <c r="C4" s="9" t="s">
        <v>22</v>
      </c>
      <c r="D4" s="9" t="s">
        <v>23</v>
      </c>
      <c r="E4" s="10">
        <v>46197</v>
      </c>
      <c r="F4" s="11" t="s">
        <v>24</v>
      </c>
      <c r="G4" s="12" t="s">
        <v>25</v>
      </c>
      <c r="H4" s="13">
        <v>31.103999999999999</v>
      </c>
      <c r="I4" s="12">
        <v>500000</v>
      </c>
      <c r="J4" s="14">
        <f>[1]!Таблица1[[#This Row],[Блок
 Куб]]*[1]!Таблица1[[#This Row],[Цена 
Приход]]</f>
        <v>15552000</v>
      </c>
      <c r="K4" s="15">
        <v>18</v>
      </c>
      <c r="L4" s="15">
        <v>130000</v>
      </c>
      <c r="M4" s="14">
        <f>[1]!Таблица1[[#This Row],[Поддон
Шт]]*[1]!Таблица1[[#This Row],[Цена
Поддон]]</f>
        <v>2340000</v>
      </c>
      <c r="N4" s="14">
        <f>[1]!Таблица1[[#This Row],[Сумма 
Приход]]+[1]!Таблица1[[#This Row],[Сумма Поддон]]</f>
        <v>17892000</v>
      </c>
      <c r="O4" s="16">
        <v>732542.43799999997</v>
      </c>
      <c r="P4" s="14">
        <f>[1]!Таблица1[[#This Row],[Цена
 Продажа]]-[1]!Таблица1[[#This Row],[Цена 
Приход]]</f>
        <v>232542.43799999997</v>
      </c>
      <c r="Q4" s="14" t="s">
        <v>26</v>
      </c>
      <c r="R4" s="14">
        <f>[1]!Таблица1[[#This Row],[Блок
 Куб]]*[1]!Таблица1[[#This Row],[Цена
 Продажа]]</f>
        <v>22784999.991551999</v>
      </c>
      <c r="S4" s="17">
        <v>2000000</v>
      </c>
      <c r="T4" s="14">
        <f>[1]!Таблица1[[#This Row],[Сумма 
Продажа]]-[1]!Таблица1[[#This Row],[Сумма 
Приход]]</f>
        <v>7232999.991551999</v>
      </c>
      <c r="U4" s="7" t="s">
        <v>27</v>
      </c>
      <c r="V4" s="14">
        <f>T4-S4</f>
        <v>5232999.991551999</v>
      </c>
    </row>
    <row r="5" spans="1:22" x14ac:dyDescent="0.25">
      <c r="A5" s="7">
        <f>A4+1</f>
        <v>2</v>
      </c>
      <c r="B5" s="8" t="s">
        <v>21</v>
      </c>
      <c r="C5" s="9" t="s">
        <v>22</v>
      </c>
      <c r="D5" s="9" t="s">
        <v>23</v>
      </c>
      <c r="E5" s="10">
        <v>46197</v>
      </c>
      <c r="F5" s="11" t="s">
        <v>28</v>
      </c>
      <c r="G5" s="12" t="s">
        <v>25</v>
      </c>
      <c r="H5" s="13">
        <v>31.103999999999999</v>
      </c>
      <c r="I5" s="12">
        <v>500000</v>
      </c>
      <c r="J5" s="14">
        <f>[1]!Таблица1[[#This Row],[Блок
 Куб]]*[1]!Таблица1[[#This Row],[Цена 
Приход]]</f>
        <v>15552000</v>
      </c>
      <c r="K5" s="15">
        <v>18</v>
      </c>
      <c r="L5" s="15">
        <v>130000</v>
      </c>
      <c r="M5" s="14">
        <f>[1]!Таблица1[[#This Row],[Поддон
Шт]]*[1]!Таблица1[[#This Row],[Цена
Поддон]]</f>
        <v>2340000</v>
      </c>
      <c r="N5" s="14">
        <f>[1]!Таблица1[[#This Row],[Сумма 
Приход]]+[1]!Таблица1[[#This Row],[Сумма Поддон]]</f>
        <v>17892000</v>
      </c>
      <c r="O5" s="16">
        <v>732542.43799999997</v>
      </c>
      <c r="P5" s="14">
        <f>[1]!Таблица1[[#This Row],[Цена
 Продажа]]-[1]!Таблица1[[#This Row],[Цена 
Приход]]</f>
        <v>232542.43799999997</v>
      </c>
      <c r="Q5" s="14" t="s">
        <v>26</v>
      </c>
      <c r="R5" s="14">
        <f>[1]!Таблица1[[#This Row],[Блок
 Куб]]*[1]!Таблица1[[#This Row],[Цена
 Продажа]]</f>
        <v>22784999.991551999</v>
      </c>
      <c r="S5" s="17">
        <v>2000000</v>
      </c>
      <c r="T5" s="14">
        <f>[1]!Таблица1[[#This Row],[Сумма 
Продажа]]-[1]!Таблица1[[#This Row],[Сумма 
Приход]]</f>
        <v>7232999.991551999</v>
      </c>
      <c r="U5" s="7" t="s">
        <v>27</v>
      </c>
      <c r="V5" s="14">
        <f t="shared" ref="V5:V24" si="0">T5-S5</f>
        <v>5232999.991551999</v>
      </c>
    </row>
    <row r="6" spans="1:22" x14ac:dyDescent="0.25">
      <c r="A6" s="7">
        <f t="shared" ref="A6:A24" si="1">A5+1</f>
        <v>3</v>
      </c>
      <c r="B6" s="8" t="s">
        <v>21</v>
      </c>
      <c r="C6" s="9" t="s">
        <v>22</v>
      </c>
      <c r="D6" s="9" t="s">
        <v>29</v>
      </c>
      <c r="E6" s="10">
        <v>46197</v>
      </c>
      <c r="F6" s="11" t="s">
        <v>30</v>
      </c>
      <c r="G6" s="12" t="s">
        <v>25</v>
      </c>
      <c r="H6" s="13">
        <v>31.103999999999999</v>
      </c>
      <c r="I6" s="12">
        <v>500000</v>
      </c>
      <c r="J6" s="14">
        <f>[1]!Таблица1[[#This Row],[Блок
 Куб]]*[1]!Таблица1[[#This Row],[Цена 
Приход]]</f>
        <v>15552000</v>
      </c>
      <c r="K6" s="15">
        <v>18</v>
      </c>
      <c r="L6" s="15">
        <v>130000</v>
      </c>
      <c r="M6" s="14">
        <f>[1]!Таблица1[[#This Row],[Поддон
Шт]]*[1]!Таблица1[[#This Row],[Цена
Поддон]]</f>
        <v>2340000</v>
      </c>
      <c r="N6" s="14">
        <f>[1]!Таблица1[[#This Row],[Сумма 
Приход]]+[1]!Таблица1[[#This Row],[Сумма Поддон]]</f>
        <v>17892000</v>
      </c>
      <c r="O6" s="16">
        <v>700000</v>
      </c>
      <c r="P6" s="14">
        <f>[1]!Таблица1[[#This Row],[Цена
 Продажа]]-[1]!Таблица1[[#This Row],[Цена 
Приход]]</f>
        <v>200000</v>
      </c>
      <c r="Q6" s="14" t="s">
        <v>26</v>
      </c>
      <c r="R6" s="14">
        <f>[1]!Таблица1[[#This Row],[Блок
 Куб]]*[1]!Таблица1[[#This Row],[Цена
 Продажа]]</f>
        <v>21772800</v>
      </c>
      <c r="S6" s="17">
        <v>2000000</v>
      </c>
      <c r="T6" s="14">
        <f>[1]!Таблица1[[#This Row],[Сумма 
Продажа]]-[1]!Таблица1[[#This Row],[Сумма 
Приход]]</f>
        <v>6220800</v>
      </c>
      <c r="U6" s="7" t="s">
        <v>27</v>
      </c>
      <c r="V6" s="14">
        <f t="shared" si="0"/>
        <v>4220800</v>
      </c>
    </row>
    <row r="7" spans="1:22" x14ac:dyDescent="0.25">
      <c r="A7" s="7">
        <f t="shared" si="1"/>
        <v>4</v>
      </c>
      <c r="B7" s="8" t="s">
        <v>21</v>
      </c>
      <c r="C7" s="18" t="s">
        <v>31</v>
      </c>
      <c r="D7" s="18" t="s">
        <v>32</v>
      </c>
      <c r="E7" s="19">
        <v>46197</v>
      </c>
      <c r="F7" s="20" t="s">
        <v>33</v>
      </c>
      <c r="G7" s="12" t="s">
        <v>25</v>
      </c>
      <c r="H7" s="13">
        <v>31.103999999999999</v>
      </c>
      <c r="I7" s="12">
        <v>500000</v>
      </c>
      <c r="J7" s="14">
        <f>[1]!Таблица1[[#This Row],[Блок
 Куб]]*[1]!Таблица1[[#This Row],[Цена 
Приход]]</f>
        <v>15552000</v>
      </c>
      <c r="K7" s="15">
        <v>18</v>
      </c>
      <c r="L7" s="15">
        <v>130000</v>
      </c>
      <c r="M7" s="14">
        <f>[1]!Таблица1[[#This Row],[Поддон
Шт]]*[1]!Таблица1[[#This Row],[Цена
Поддон]]</f>
        <v>2340000</v>
      </c>
      <c r="N7" s="14">
        <f>[1]!Таблица1[[#This Row],[Сумма 
Приход]]+[1]!Таблица1[[#This Row],[Сумма Поддон]]</f>
        <v>17892000</v>
      </c>
      <c r="O7" s="16">
        <v>750000</v>
      </c>
      <c r="P7" s="14">
        <f>[1]!Таблица1[[#This Row],[Цена
 Продажа]]-[1]!Таблица1[[#This Row],[Цена 
Приход]]</f>
        <v>250000</v>
      </c>
      <c r="Q7" s="14" t="s">
        <v>26</v>
      </c>
      <c r="R7" s="14">
        <f>[1]!Таблица1[[#This Row],[Блок
 Куб]]*[1]!Таблица1[[#This Row],[Цена
 Продажа]]</f>
        <v>23328000</v>
      </c>
      <c r="S7" s="17">
        <v>2000000</v>
      </c>
      <c r="T7" s="14">
        <f>[1]!Таблица1[[#This Row],[Сумма 
Продажа]]-[1]!Таблица1[[#This Row],[Сумма 
Приход]]</f>
        <v>7776000</v>
      </c>
      <c r="U7" s="7" t="s">
        <v>27</v>
      </c>
      <c r="V7" s="14">
        <f t="shared" si="0"/>
        <v>5776000</v>
      </c>
    </row>
    <row r="8" spans="1:22" x14ac:dyDescent="0.25">
      <c r="A8" s="7">
        <f t="shared" si="1"/>
        <v>5</v>
      </c>
      <c r="B8" s="8" t="s">
        <v>21</v>
      </c>
      <c r="C8" s="9" t="s">
        <v>22</v>
      </c>
      <c r="D8" s="9" t="s">
        <v>29</v>
      </c>
      <c r="E8" s="10">
        <v>46197</v>
      </c>
      <c r="F8" s="11" t="s">
        <v>34</v>
      </c>
      <c r="G8" s="12" t="s">
        <v>25</v>
      </c>
      <c r="H8" s="13">
        <v>32.832000000000001</v>
      </c>
      <c r="I8" s="12">
        <v>500000</v>
      </c>
      <c r="J8" s="14">
        <f>[1]!Таблица1[[#This Row],[Блок
 Куб]]*[1]!Таблица1[[#This Row],[Цена 
Приход]]</f>
        <v>16416000</v>
      </c>
      <c r="K8" s="15">
        <v>19</v>
      </c>
      <c r="L8" s="15">
        <v>130000</v>
      </c>
      <c r="M8" s="14">
        <f>[1]!Таблица1[[#This Row],[Поддон
Шт]]*[1]!Таблица1[[#This Row],[Цена
Поддон]]</f>
        <v>2470000</v>
      </c>
      <c r="N8" s="14">
        <f>[1]!Таблица1[[#This Row],[Сумма 
Приход]]+[1]!Таблица1[[#This Row],[Сумма Поддон]]</f>
        <v>18886000</v>
      </c>
      <c r="O8" s="16">
        <v>700000</v>
      </c>
      <c r="P8" s="14">
        <f>[1]!Таблица1[[#This Row],[Цена
 Продажа]]-[1]!Таблица1[[#This Row],[Цена 
Приход]]</f>
        <v>200000</v>
      </c>
      <c r="Q8" s="14" t="s">
        <v>26</v>
      </c>
      <c r="R8" s="14">
        <f>[1]!Таблица1[[#This Row],[Блок
 Куб]]*[1]!Таблица1[[#This Row],[Цена
 Продажа]]</f>
        <v>22982400</v>
      </c>
      <c r="S8" s="17">
        <v>2000000</v>
      </c>
      <c r="T8" s="14">
        <f>[1]!Таблица1[[#This Row],[Сумма 
Продажа]]-[1]!Таблица1[[#This Row],[Сумма 
Приход]]</f>
        <v>6566400</v>
      </c>
      <c r="U8" s="7" t="s">
        <v>27</v>
      </c>
      <c r="V8" s="14">
        <f t="shared" si="0"/>
        <v>4566400</v>
      </c>
    </row>
    <row r="9" spans="1:22" x14ac:dyDescent="0.25">
      <c r="A9" s="7">
        <f t="shared" si="1"/>
        <v>6</v>
      </c>
      <c r="B9" s="8" t="s">
        <v>21</v>
      </c>
      <c r="C9" s="9" t="s">
        <v>22</v>
      </c>
      <c r="D9" s="9" t="s">
        <v>29</v>
      </c>
      <c r="E9" s="10">
        <v>46198</v>
      </c>
      <c r="F9" s="11" t="s">
        <v>35</v>
      </c>
      <c r="G9" s="12" t="s">
        <v>25</v>
      </c>
      <c r="H9" s="13">
        <v>32.832000000000001</v>
      </c>
      <c r="I9" s="12">
        <v>500000</v>
      </c>
      <c r="J9" s="14">
        <f>[1]!Таблица1[[#This Row],[Блок
 Куб]]*[1]!Таблица1[[#This Row],[Цена 
Приход]]</f>
        <v>16416000</v>
      </c>
      <c r="K9" s="15">
        <v>19</v>
      </c>
      <c r="L9" s="15">
        <v>130000</v>
      </c>
      <c r="M9" s="14">
        <f>[1]!Таблица1[[#This Row],[Поддон
Шт]]*[1]!Таблица1[[#This Row],[Цена
Поддон]]</f>
        <v>2470000</v>
      </c>
      <c r="N9" s="14">
        <f>[1]!Таблица1[[#This Row],[Сумма 
Приход]]+[1]!Таблица1[[#This Row],[Сумма Поддон]]</f>
        <v>18886000</v>
      </c>
      <c r="O9" s="16">
        <v>700000</v>
      </c>
      <c r="P9" s="14">
        <f>[1]!Таблица1[[#This Row],[Цена
 Продажа]]-[1]!Таблица1[[#This Row],[Цена 
Приход]]</f>
        <v>200000</v>
      </c>
      <c r="Q9" s="14" t="s">
        <v>26</v>
      </c>
      <c r="R9" s="14">
        <f>[1]!Таблица1[[#This Row],[Блок
 Куб]]*[1]!Таблица1[[#This Row],[Цена
 Продажа]]</f>
        <v>22982400</v>
      </c>
      <c r="S9" s="17">
        <v>2000000</v>
      </c>
      <c r="T9" s="14">
        <f>[1]!Таблица1[[#This Row],[Сумма 
Продажа]]-[1]!Таблица1[[#This Row],[Сумма 
Приход]]</f>
        <v>6566400</v>
      </c>
      <c r="U9" s="7" t="s">
        <v>27</v>
      </c>
      <c r="V9" s="14">
        <f t="shared" si="0"/>
        <v>4566400</v>
      </c>
    </row>
    <row r="10" spans="1:22" x14ac:dyDescent="0.25">
      <c r="A10" s="7">
        <f t="shared" si="1"/>
        <v>7</v>
      </c>
      <c r="B10" s="8" t="s">
        <v>21</v>
      </c>
      <c r="C10" s="9" t="s">
        <v>22</v>
      </c>
      <c r="D10" s="9" t="s">
        <v>36</v>
      </c>
      <c r="E10" s="10">
        <v>46198</v>
      </c>
      <c r="F10" s="11" t="s">
        <v>37</v>
      </c>
      <c r="G10" s="12" t="s">
        <v>25</v>
      </c>
      <c r="H10" s="13">
        <v>32.832000000000001</v>
      </c>
      <c r="I10" s="12">
        <v>500000</v>
      </c>
      <c r="J10" s="14">
        <f>[1]!Таблица1[[#This Row],[Блок
 Куб]]*[1]!Таблица1[[#This Row],[Цена 
Приход]]</f>
        <v>16416000</v>
      </c>
      <c r="K10" s="15">
        <v>19</v>
      </c>
      <c r="L10" s="15">
        <v>130000</v>
      </c>
      <c r="M10" s="14">
        <f>[1]!Таблица1[[#This Row],[Поддон
Шт]]*[1]!Таблица1[[#This Row],[Цена
Поддон]]</f>
        <v>2470000</v>
      </c>
      <c r="N10" s="14">
        <f>[1]!Таблица1[[#This Row],[Сумма 
Приход]]+[1]!Таблица1[[#This Row],[Сумма Поддон]]</f>
        <v>18886000</v>
      </c>
      <c r="O10" s="16">
        <v>735000</v>
      </c>
      <c r="P10" s="14">
        <f>[1]!Таблица1[[#This Row],[Цена
 Продажа]]-[1]!Таблица1[[#This Row],[Цена 
Приход]]</f>
        <v>235000</v>
      </c>
      <c r="Q10" s="14" t="s">
        <v>26</v>
      </c>
      <c r="R10" s="14">
        <f>[1]!Таблица1[[#This Row],[Блок
 Куб]]*[1]!Таблица1[[#This Row],[Цена
 Продажа]]</f>
        <v>24131520</v>
      </c>
      <c r="S10" s="17">
        <v>2000000</v>
      </c>
      <c r="T10" s="14">
        <f>[1]!Таблица1[[#This Row],[Сумма 
Продажа]]-[1]!Таблица1[[#This Row],[Сумма 
Приход]]</f>
        <v>7715520</v>
      </c>
      <c r="U10" s="7" t="s">
        <v>27</v>
      </c>
      <c r="V10" s="14">
        <f t="shared" si="0"/>
        <v>5715520</v>
      </c>
    </row>
    <row r="11" spans="1:22" x14ac:dyDescent="0.25">
      <c r="A11" s="7">
        <f t="shared" si="1"/>
        <v>8</v>
      </c>
      <c r="B11" s="8" t="s">
        <v>21</v>
      </c>
      <c r="C11" s="9" t="s">
        <v>22</v>
      </c>
      <c r="D11" s="9" t="s">
        <v>36</v>
      </c>
      <c r="E11" s="10">
        <v>46198</v>
      </c>
      <c r="F11" s="11" t="s">
        <v>38</v>
      </c>
      <c r="G11" s="12" t="s">
        <v>25</v>
      </c>
      <c r="H11" s="13">
        <v>32.832000000000001</v>
      </c>
      <c r="I11" s="12">
        <v>500000</v>
      </c>
      <c r="J11" s="14">
        <f>[1]!Таблица1[[#This Row],[Блок
 Куб]]*[1]!Таблица1[[#This Row],[Цена 
Приход]]</f>
        <v>16416000</v>
      </c>
      <c r="K11" s="15">
        <v>19</v>
      </c>
      <c r="L11" s="15">
        <v>130000</v>
      </c>
      <c r="M11" s="14">
        <f>[1]!Таблица1[[#This Row],[Поддон
Шт]]*[1]!Таблица1[[#This Row],[Цена
Поддон]]</f>
        <v>2470000</v>
      </c>
      <c r="N11" s="14">
        <f>[1]!Таблица1[[#This Row],[Сумма 
Приход]]+[1]!Таблица1[[#This Row],[Сумма Поддон]]</f>
        <v>18886000</v>
      </c>
      <c r="O11" s="16">
        <v>735000</v>
      </c>
      <c r="P11" s="14">
        <f>[1]!Таблица1[[#This Row],[Цена
 Продажа]]-[1]!Таблица1[[#This Row],[Цена 
Приход]]</f>
        <v>235000</v>
      </c>
      <c r="Q11" s="14" t="s">
        <v>26</v>
      </c>
      <c r="R11" s="14">
        <f>[1]!Таблица1[[#This Row],[Блок
 Куб]]*[1]!Таблица1[[#This Row],[Цена
 Продажа]]</f>
        <v>24131520</v>
      </c>
      <c r="S11" s="17">
        <v>2000000</v>
      </c>
      <c r="T11" s="14">
        <f>[1]!Таблица1[[#This Row],[Сумма 
Продажа]]-[1]!Таблица1[[#This Row],[Сумма 
Приход]]</f>
        <v>7715520</v>
      </c>
      <c r="U11" s="7" t="s">
        <v>27</v>
      </c>
      <c r="V11" s="14">
        <f t="shared" si="0"/>
        <v>5715520</v>
      </c>
    </row>
    <row r="12" spans="1:22" x14ac:dyDescent="0.25">
      <c r="A12" s="7">
        <f t="shared" si="1"/>
        <v>9</v>
      </c>
      <c r="B12" s="8" t="s">
        <v>21</v>
      </c>
      <c r="C12" s="9" t="s">
        <v>22</v>
      </c>
      <c r="D12" s="9" t="s">
        <v>36</v>
      </c>
      <c r="E12" s="10">
        <v>46198</v>
      </c>
      <c r="F12" s="11" t="s">
        <v>39</v>
      </c>
      <c r="G12" s="12" t="s">
        <v>25</v>
      </c>
      <c r="H12" s="13">
        <v>32.832000000000001</v>
      </c>
      <c r="I12" s="12">
        <v>500000</v>
      </c>
      <c r="J12" s="14">
        <f>[1]!Таблица1[[#This Row],[Блок
 Куб]]*[1]!Таблица1[[#This Row],[Цена 
Приход]]</f>
        <v>16416000</v>
      </c>
      <c r="K12" s="15">
        <v>19</v>
      </c>
      <c r="L12" s="15">
        <v>130000</v>
      </c>
      <c r="M12" s="14">
        <f>[1]!Таблица1[[#This Row],[Поддон
Шт]]*[1]!Таблица1[[#This Row],[Цена
Поддон]]</f>
        <v>2470000</v>
      </c>
      <c r="N12" s="14">
        <f>[1]!Таблица1[[#This Row],[Сумма 
Приход]]+[1]!Таблица1[[#This Row],[Сумма Поддон]]</f>
        <v>18886000</v>
      </c>
      <c r="O12" s="16">
        <v>735000</v>
      </c>
      <c r="P12" s="14">
        <f>[1]!Таблица1[[#This Row],[Цена
 Продажа]]-[1]!Таблица1[[#This Row],[Цена 
Приход]]</f>
        <v>235000</v>
      </c>
      <c r="Q12" s="14" t="s">
        <v>26</v>
      </c>
      <c r="R12" s="14">
        <f>[1]!Таблица1[[#This Row],[Блок
 Куб]]*[1]!Таблица1[[#This Row],[Цена
 Продажа]]</f>
        <v>24131520</v>
      </c>
      <c r="S12" s="17">
        <v>2000000</v>
      </c>
      <c r="T12" s="14">
        <f>[1]!Таблица1[[#This Row],[Сумма 
Продажа]]-[1]!Таблица1[[#This Row],[Сумма 
Приход]]</f>
        <v>7715520</v>
      </c>
      <c r="U12" s="7" t="s">
        <v>27</v>
      </c>
      <c r="V12" s="14">
        <f t="shared" si="0"/>
        <v>5715520</v>
      </c>
    </row>
    <row r="13" spans="1:22" x14ac:dyDescent="0.25">
      <c r="A13" s="7">
        <f t="shared" si="1"/>
        <v>10</v>
      </c>
      <c r="B13" s="8" t="s">
        <v>21</v>
      </c>
      <c r="C13" s="21" t="s">
        <v>40</v>
      </c>
      <c r="D13" s="21" t="s">
        <v>41</v>
      </c>
      <c r="E13" s="22">
        <v>46198</v>
      </c>
      <c r="F13" s="23" t="s">
        <v>42</v>
      </c>
      <c r="G13" s="12" t="s">
        <v>25</v>
      </c>
      <c r="H13" s="13">
        <v>32.832000000000001</v>
      </c>
      <c r="I13" s="12">
        <v>500000</v>
      </c>
      <c r="J13" s="14">
        <f>[1]!Таблица1[[#This Row],[Блок
 Куб]]*[1]!Таблица1[[#This Row],[Цена 
Приход]]</f>
        <v>16416000</v>
      </c>
      <c r="K13" s="15">
        <v>19</v>
      </c>
      <c r="L13" s="15">
        <v>130000</v>
      </c>
      <c r="M13" s="14">
        <f>[1]!Таблица1[[#This Row],[Поддон
Шт]]*[1]!Таблица1[[#This Row],[Цена
Поддон]]</f>
        <v>2470000</v>
      </c>
      <c r="N13" s="14">
        <f>[1]!Таблица1[[#This Row],[Сумма 
Приход]]+[1]!Таблица1[[#This Row],[Сумма Поддон]]</f>
        <v>18886000</v>
      </c>
      <c r="O13" s="16">
        <v>750000</v>
      </c>
      <c r="P13" s="14">
        <f>[1]!Таблица1[[#This Row],[Цена
 Продажа]]-[1]!Таблица1[[#This Row],[Цена 
Приход]]</f>
        <v>250000</v>
      </c>
      <c r="Q13" s="14" t="s">
        <v>26</v>
      </c>
      <c r="R13" s="14">
        <f>[1]!Таблица1[[#This Row],[Блок
 Куб]]*[1]!Таблица1[[#This Row],[Цена
 Продажа]]</f>
        <v>24624000</v>
      </c>
      <c r="S13" s="17">
        <v>2500000</v>
      </c>
      <c r="T13" s="14">
        <f>[1]!Таблица1[[#This Row],[Сумма 
Продажа]]-[1]!Таблица1[[#This Row],[Сумма 
Приход]]</f>
        <v>8208000</v>
      </c>
      <c r="U13" s="7" t="s">
        <v>27</v>
      </c>
      <c r="V13" s="14">
        <f t="shared" si="0"/>
        <v>5708000</v>
      </c>
    </row>
    <row r="14" spans="1:22" x14ac:dyDescent="0.25">
      <c r="A14" s="7">
        <f t="shared" si="1"/>
        <v>11</v>
      </c>
      <c r="B14" s="8" t="s">
        <v>21</v>
      </c>
      <c r="C14" s="21" t="s">
        <v>40</v>
      </c>
      <c r="D14" s="21" t="s">
        <v>41</v>
      </c>
      <c r="E14" s="22">
        <v>46198</v>
      </c>
      <c r="F14" s="23" t="s">
        <v>43</v>
      </c>
      <c r="G14" s="12" t="s">
        <v>25</v>
      </c>
      <c r="H14" s="13">
        <v>31.103999999999999</v>
      </c>
      <c r="I14" s="12">
        <v>500000</v>
      </c>
      <c r="J14" s="14">
        <f>[1]!Таблица1[[#This Row],[Блок
 Куб]]*[1]!Таблица1[[#This Row],[Цена 
Приход]]</f>
        <v>15552000</v>
      </c>
      <c r="K14" s="15">
        <v>18</v>
      </c>
      <c r="L14" s="15">
        <v>130000</v>
      </c>
      <c r="M14" s="14">
        <f>[1]!Таблица1[[#This Row],[Поддон
Шт]]*[1]!Таблица1[[#This Row],[Цена
Поддон]]</f>
        <v>2340000</v>
      </c>
      <c r="N14" s="14">
        <f>[1]!Таблица1[[#This Row],[Сумма 
Приход]]+[1]!Таблица1[[#This Row],[Сумма Поддон]]</f>
        <v>17892000</v>
      </c>
      <c r="O14" s="16">
        <v>750000</v>
      </c>
      <c r="P14" s="14">
        <f>[1]!Таблица1[[#This Row],[Цена
 Продажа]]-[1]!Таблица1[[#This Row],[Цена 
Приход]]</f>
        <v>250000</v>
      </c>
      <c r="Q14" s="14" t="s">
        <v>26</v>
      </c>
      <c r="R14" s="14">
        <f>[1]!Таблица1[[#This Row],[Блок
 Куб]]*[1]!Таблица1[[#This Row],[Цена
 Продажа]]</f>
        <v>23328000</v>
      </c>
      <c r="S14" s="17">
        <v>2500000</v>
      </c>
      <c r="T14" s="14">
        <f>[1]!Таблица1[[#This Row],[Сумма 
Продажа]]-[1]!Таблица1[[#This Row],[Сумма 
Приход]]</f>
        <v>7776000</v>
      </c>
      <c r="U14" s="7" t="s">
        <v>27</v>
      </c>
      <c r="V14" s="14">
        <f t="shared" si="0"/>
        <v>5276000</v>
      </c>
    </row>
    <row r="15" spans="1:22" x14ac:dyDescent="0.25">
      <c r="A15" s="7">
        <f t="shared" si="1"/>
        <v>12</v>
      </c>
      <c r="B15" s="8" t="s">
        <v>21</v>
      </c>
      <c r="C15" s="18" t="s">
        <v>31</v>
      </c>
      <c r="D15" s="18" t="s">
        <v>32</v>
      </c>
      <c r="E15" s="19">
        <v>46200</v>
      </c>
      <c r="F15" s="20" t="s">
        <v>44</v>
      </c>
      <c r="G15" s="12" t="s">
        <v>45</v>
      </c>
      <c r="H15" s="13">
        <v>32.832000000000001</v>
      </c>
      <c r="I15" s="12">
        <v>500000</v>
      </c>
      <c r="J15" s="14">
        <f>[1]!Таблица1[[#This Row],[Блок
 Куб]]*[1]!Таблица1[[#This Row],[Цена 
Приход]]</f>
        <v>16416000</v>
      </c>
      <c r="K15" s="15">
        <v>19</v>
      </c>
      <c r="L15" s="15">
        <v>130000</v>
      </c>
      <c r="M15" s="14">
        <f>[1]!Таблица1[[#This Row],[Поддон
Шт]]*[1]!Таблица1[[#This Row],[Цена
Поддон]]</f>
        <v>2470000</v>
      </c>
      <c r="N15" s="14">
        <f>[1]!Таблица1[[#This Row],[Сумма 
Приход]]+[1]!Таблица1[[#This Row],[Сумма Поддон]]</f>
        <v>18886000</v>
      </c>
      <c r="O15" s="16">
        <v>750000</v>
      </c>
      <c r="P15" s="14">
        <f>[1]!Таблица1[[#This Row],[Цена
 Продажа]]-[1]!Таблица1[[#This Row],[Цена 
Приход]]</f>
        <v>250000</v>
      </c>
      <c r="Q15" s="14" t="s">
        <v>26</v>
      </c>
      <c r="R15" s="14">
        <f>[1]!Таблица1[[#This Row],[Блок
 Куб]]*[1]!Таблица1[[#This Row],[Цена
 Продажа]]</f>
        <v>24624000</v>
      </c>
      <c r="S15" s="17">
        <v>2500000</v>
      </c>
      <c r="T15" s="14">
        <f>[1]!Таблица1[[#This Row],[Сумма 
Продажа]]-[1]!Таблица1[[#This Row],[Сумма 
Приход]]</f>
        <v>8208000</v>
      </c>
      <c r="U15" s="7" t="s">
        <v>27</v>
      </c>
      <c r="V15" s="14">
        <f t="shared" si="0"/>
        <v>5708000</v>
      </c>
    </row>
    <row r="16" spans="1:22" x14ac:dyDescent="0.25">
      <c r="A16" s="7">
        <f t="shared" si="1"/>
        <v>13</v>
      </c>
      <c r="B16" s="8" t="s">
        <v>21</v>
      </c>
      <c r="C16" s="18" t="s">
        <v>31</v>
      </c>
      <c r="D16" s="18" t="s">
        <v>32</v>
      </c>
      <c r="E16" s="19">
        <v>46200</v>
      </c>
      <c r="F16" s="20" t="s">
        <v>46</v>
      </c>
      <c r="G16" s="12" t="s">
        <v>45</v>
      </c>
      <c r="H16" s="13">
        <v>32.832000000000001</v>
      </c>
      <c r="I16" s="12">
        <v>500000</v>
      </c>
      <c r="J16" s="14">
        <f>[1]!Таблица1[[#This Row],[Блок
 Куб]]*[1]!Таблица1[[#This Row],[Цена 
Приход]]</f>
        <v>16416000</v>
      </c>
      <c r="K16" s="15">
        <v>19</v>
      </c>
      <c r="L16" s="15">
        <v>130000</v>
      </c>
      <c r="M16" s="14">
        <f>[1]!Таблица1[[#This Row],[Поддон
Шт]]*[1]!Таблица1[[#This Row],[Цена
Поддон]]</f>
        <v>2470000</v>
      </c>
      <c r="N16" s="14">
        <f>[1]!Таблица1[[#This Row],[Сумма 
Приход]]+[1]!Таблица1[[#This Row],[Сумма Поддон]]</f>
        <v>18886000</v>
      </c>
      <c r="O16" s="16">
        <v>750000</v>
      </c>
      <c r="P16" s="14">
        <f>[1]!Таблица1[[#This Row],[Цена
 Продажа]]-[1]!Таблица1[[#This Row],[Цена 
Приход]]</f>
        <v>250000</v>
      </c>
      <c r="Q16" s="14" t="s">
        <v>26</v>
      </c>
      <c r="R16" s="14">
        <f>[1]!Таблица1[[#This Row],[Блок
 Куб]]*[1]!Таблица1[[#This Row],[Цена
 Продажа]]</f>
        <v>24624000</v>
      </c>
      <c r="S16" s="17">
        <v>2000000</v>
      </c>
      <c r="T16" s="14">
        <f>[1]!Таблица1[[#This Row],[Сумма 
Продажа]]-[1]!Таблица1[[#This Row],[Сумма 
Приход]]</f>
        <v>8208000</v>
      </c>
      <c r="U16" s="7" t="s">
        <v>27</v>
      </c>
      <c r="V16" s="14">
        <f t="shared" si="0"/>
        <v>6208000</v>
      </c>
    </row>
    <row r="17" spans="1:22" x14ac:dyDescent="0.25">
      <c r="A17" s="7">
        <f t="shared" si="1"/>
        <v>14</v>
      </c>
      <c r="B17" s="8" t="s">
        <v>21</v>
      </c>
      <c r="C17" s="18" t="s">
        <v>31</v>
      </c>
      <c r="D17" s="18" t="s">
        <v>32</v>
      </c>
      <c r="E17" s="19">
        <v>46200</v>
      </c>
      <c r="F17" s="20" t="s">
        <v>47</v>
      </c>
      <c r="G17" s="12" t="s">
        <v>25</v>
      </c>
      <c r="H17" s="13">
        <v>32.832000000000001</v>
      </c>
      <c r="I17" s="12">
        <v>500000</v>
      </c>
      <c r="J17" s="14">
        <f>[1]!Таблица1[[#This Row],[Блок
 Куб]]*[1]!Таблица1[[#This Row],[Цена 
Приход]]</f>
        <v>16416000</v>
      </c>
      <c r="K17" s="15">
        <v>19</v>
      </c>
      <c r="L17" s="15">
        <v>130000</v>
      </c>
      <c r="M17" s="14">
        <f>[1]!Таблица1[[#This Row],[Поддон
Шт]]*[1]!Таблица1[[#This Row],[Цена
Поддон]]</f>
        <v>2470000</v>
      </c>
      <c r="N17" s="14">
        <f>[1]!Таблица1[[#This Row],[Сумма 
Приход]]+[1]!Таблица1[[#This Row],[Сумма Поддон]]</f>
        <v>18886000</v>
      </c>
      <c r="O17" s="16">
        <v>750000</v>
      </c>
      <c r="P17" s="14">
        <f>[1]!Таблица1[[#This Row],[Цена
 Продажа]]-[1]!Таблица1[[#This Row],[Цена 
Приход]]</f>
        <v>250000</v>
      </c>
      <c r="Q17" s="14" t="s">
        <v>26</v>
      </c>
      <c r="R17" s="14">
        <f>[1]!Таблица1[[#This Row],[Блок
 Куб]]*[1]!Таблица1[[#This Row],[Цена
 Продажа]]</f>
        <v>24624000</v>
      </c>
      <c r="S17" s="17">
        <v>2000000</v>
      </c>
      <c r="T17" s="14">
        <f>[1]!Таблица1[[#This Row],[Сумма 
Продажа]]-[1]!Таблица1[[#This Row],[Сумма 
Приход]]</f>
        <v>8208000</v>
      </c>
      <c r="U17" s="7" t="s">
        <v>27</v>
      </c>
      <c r="V17" s="14">
        <f t="shared" si="0"/>
        <v>6208000</v>
      </c>
    </row>
    <row r="18" spans="1:22" x14ac:dyDescent="0.25">
      <c r="A18" s="7">
        <f t="shared" si="1"/>
        <v>15</v>
      </c>
      <c r="B18" s="8" t="s">
        <v>21</v>
      </c>
      <c r="C18" s="18" t="s">
        <v>31</v>
      </c>
      <c r="D18" s="18" t="s">
        <v>32</v>
      </c>
      <c r="E18" s="19">
        <v>46200</v>
      </c>
      <c r="F18" s="20" t="s">
        <v>48</v>
      </c>
      <c r="G18" s="12" t="s">
        <v>25</v>
      </c>
      <c r="H18" s="13">
        <v>32.832000000000001</v>
      </c>
      <c r="I18" s="12">
        <v>500000</v>
      </c>
      <c r="J18" s="14">
        <f>[1]!Таблица1[[#This Row],[Блок
 Куб]]*[1]!Таблица1[[#This Row],[Цена 
Приход]]</f>
        <v>16416000</v>
      </c>
      <c r="K18" s="15">
        <v>19</v>
      </c>
      <c r="L18" s="15">
        <v>130000</v>
      </c>
      <c r="M18" s="14">
        <f>[1]!Таблица1[[#This Row],[Поддон
Шт]]*[1]!Таблица1[[#This Row],[Цена
Поддон]]</f>
        <v>2470000</v>
      </c>
      <c r="N18" s="14">
        <f>[1]!Таблица1[[#This Row],[Сумма 
Приход]]+[1]!Таблица1[[#This Row],[Сумма Поддон]]</f>
        <v>18886000</v>
      </c>
      <c r="O18" s="16">
        <v>750000</v>
      </c>
      <c r="P18" s="14">
        <f>[1]!Таблица1[[#This Row],[Цена
 Продажа]]-[1]!Таблица1[[#This Row],[Цена 
Приход]]</f>
        <v>250000</v>
      </c>
      <c r="Q18" s="14" t="s">
        <v>26</v>
      </c>
      <c r="R18" s="14">
        <f>[1]!Таблица1[[#This Row],[Блок
 Куб]]*[1]!Таблица1[[#This Row],[Цена
 Продажа]]</f>
        <v>24624000</v>
      </c>
      <c r="S18" s="17">
        <v>2000000</v>
      </c>
      <c r="T18" s="14">
        <f>[1]!Таблица1[[#This Row],[Сумма 
Продажа]]-[1]!Таблица1[[#This Row],[Сумма 
Приход]]</f>
        <v>8208000</v>
      </c>
      <c r="U18" s="7" t="s">
        <v>27</v>
      </c>
      <c r="V18" s="14">
        <f t="shared" si="0"/>
        <v>6208000</v>
      </c>
    </row>
    <row r="19" spans="1:22" x14ac:dyDescent="0.25">
      <c r="A19" s="7">
        <f t="shared" si="1"/>
        <v>16</v>
      </c>
      <c r="B19" s="8" t="s">
        <v>21</v>
      </c>
      <c r="C19" s="24" t="s">
        <v>49</v>
      </c>
      <c r="D19" s="24" t="s">
        <v>50</v>
      </c>
      <c r="E19" s="25">
        <v>46200</v>
      </c>
      <c r="F19" s="26" t="s">
        <v>51</v>
      </c>
      <c r="G19" s="12" t="s">
        <v>25</v>
      </c>
      <c r="H19" s="13">
        <v>32.832000000000001</v>
      </c>
      <c r="I19" s="12">
        <v>500000</v>
      </c>
      <c r="J19" s="14">
        <f>[1]!Таблица1[[#This Row],[Блок
 Куб]]*[1]!Таблица1[[#This Row],[Цена 
Приход]]</f>
        <v>16416000</v>
      </c>
      <c r="K19" s="15">
        <v>19</v>
      </c>
      <c r="L19" s="15">
        <v>130000</v>
      </c>
      <c r="M19" s="14">
        <f>[1]!Таблица1[[#This Row],[Поддон
Шт]]*[1]!Таблица1[[#This Row],[Цена
Поддон]]</f>
        <v>2470000</v>
      </c>
      <c r="N19" s="14">
        <f>[1]!Таблица1[[#This Row],[Сумма 
Приход]]+[1]!Таблица1[[#This Row],[Сумма Поддон]]</f>
        <v>18886000</v>
      </c>
      <c r="O19" s="16">
        <v>760000</v>
      </c>
      <c r="P19" s="14">
        <f>[1]!Таблица1[[#This Row],[Цена
 Продажа]]-[1]!Таблица1[[#This Row],[Цена 
Приход]]</f>
        <v>260000</v>
      </c>
      <c r="Q19" s="14" t="s">
        <v>26</v>
      </c>
      <c r="R19" s="14">
        <f>[1]!Таблица1[[#This Row],[Блок
 Куб]]*[1]!Таблица1[[#This Row],[Цена
 Продажа]]</f>
        <v>24952320</v>
      </c>
      <c r="S19" s="17">
        <v>2000000</v>
      </c>
      <c r="T19" s="14">
        <f>[1]!Таблица1[[#This Row],[Сумма 
Продажа]]-[1]!Таблица1[[#This Row],[Сумма 
Приход]]</f>
        <v>8536320</v>
      </c>
      <c r="U19" s="7" t="s">
        <v>27</v>
      </c>
      <c r="V19" s="14">
        <f t="shared" si="0"/>
        <v>6536320</v>
      </c>
    </row>
    <row r="20" spans="1:22" x14ac:dyDescent="0.25">
      <c r="A20" s="7">
        <f t="shared" si="1"/>
        <v>17</v>
      </c>
      <c r="B20" s="8" t="s">
        <v>21</v>
      </c>
      <c r="C20" s="24" t="s">
        <v>49</v>
      </c>
      <c r="D20" s="24" t="s">
        <v>52</v>
      </c>
      <c r="E20" s="25">
        <v>46200</v>
      </c>
      <c r="F20" s="26" t="s">
        <v>30</v>
      </c>
      <c r="G20" s="12" t="s">
        <v>25</v>
      </c>
      <c r="H20" s="13">
        <v>32.832000000000001</v>
      </c>
      <c r="I20" s="12">
        <v>500000</v>
      </c>
      <c r="J20" s="14">
        <f>[1]!Таблица1[[#This Row],[Блок
 Куб]]*[1]!Таблица1[[#This Row],[Цена 
Приход]]</f>
        <v>16416000</v>
      </c>
      <c r="K20" s="15">
        <v>19</v>
      </c>
      <c r="L20" s="15">
        <v>130000</v>
      </c>
      <c r="M20" s="14">
        <f>[1]!Таблица1[[#This Row],[Поддон
Шт]]*[1]!Таблица1[[#This Row],[Цена
Поддон]]</f>
        <v>2470000</v>
      </c>
      <c r="N20" s="14">
        <f>[1]!Таблица1[[#This Row],[Сумма 
Приход]]+[1]!Таблица1[[#This Row],[Сумма Поддон]]</f>
        <v>18886000</v>
      </c>
      <c r="O20" s="16">
        <v>729928.1</v>
      </c>
      <c r="P20" s="14">
        <f>[1]!Таблица1[[#This Row],[Цена
 Продажа]]-[1]!Таблица1[[#This Row],[Цена 
Приход]]</f>
        <v>229928.09999999998</v>
      </c>
      <c r="Q20" s="14" t="s">
        <v>26</v>
      </c>
      <c r="R20" s="14">
        <f>[1]!Таблица1[[#This Row],[Блок
 Куб]]*[1]!Таблица1[[#This Row],[Цена
 Продажа]]</f>
        <v>23964999.3792</v>
      </c>
      <c r="S20" s="17">
        <v>2000000</v>
      </c>
      <c r="T20" s="14">
        <f>[1]!Таблица1[[#This Row],[Сумма 
Продажа]]-[1]!Таблица1[[#This Row],[Сумма 
Приход]]</f>
        <v>7548999.3792000003</v>
      </c>
      <c r="U20" s="7" t="s">
        <v>27</v>
      </c>
      <c r="V20" s="14">
        <f t="shared" si="0"/>
        <v>5548999.3792000003</v>
      </c>
    </row>
    <row r="21" spans="1:22" x14ac:dyDescent="0.25">
      <c r="A21" s="7">
        <f t="shared" si="1"/>
        <v>18</v>
      </c>
      <c r="B21" s="8" t="s">
        <v>21</v>
      </c>
      <c r="C21" s="24" t="s">
        <v>49</v>
      </c>
      <c r="D21" s="24" t="s">
        <v>50</v>
      </c>
      <c r="E21" s="25">
        <v>46201</v>
      </c>
      <c r="F21" s="26" t="s">
        <v>53</v>
      </c>
      <c r="G21" s="12" t="s">
        <v>25</v>
      </c>
      <c r="H21" s="13">
        <v>32.832000000000001</v>
      </c>
      <c r="I21" s="12">
        <v>500000</v>
      </c>
      <c r="J21" s="14">
        <f>[1]!Таблица1[[#This Row],[Блок
 Куб]]*[1]!Таблица1[[#This Row],[Цена 
Приход]]</f>
        <v>16416000</v>
      </c>
      <c r="K21" s="15">
        <v>19</v>
      </c>
      <c r="L21" s="15">
        <v>130000</v>
      </c>
      <c r="M21" s="14">
        <f>[1]!Таблица1[[#This Row],[Поддон
Шт]]*[1]!Таблица1[[#This Row],[Цена
Поддон]]</f>
        <v>2470000</v>
      </c>
      <c r="N21" s="14">
        <f>[1]!Таблица1[[#This Row],[Сумма 
Приход]]+[1]!Таблица1[[#This Row],[Сумма Поддон]]</f>
        <v>18886000</v>
      </c>
      <c r="O21" s="16">
        <v>760000</v>
      </c>
      <c r="P21" s="14">
        <f>[1]!Таблица1[[#This Row],[Цена
 Продажа]]-[1]!Таблица1[[#This Row],[Цена 
Приход]]</f>
        <v>260000</v>
      </c>
      <c r="Q21" s="14" t="s">
        <v>26</v>
      </c>
      <c r="R21" s="14">
        <f>[1]!Таблица1[[#This Row],[Блок
 Куб]]*[1]!Таблица1[[#This Row],[Цена
 Продажа]]</f>
        <v>24952320</v>
      </c>
      <c r="S21" s="17">
        <v>2000000</v>
      </c>
      <c r="T21" s="14">
        <f>[1]!Таблица1[[#This Row],[Сумма 
Продажа]]-[1]!Таблица1[[#This Row],[Сумма 
Приход]]</f>
        <v>8536320</v>
      </c>
      <c r="U21" s="7" t="s">
        <v>27</v>
      </c>
      <c r="V21" s="14">
        <f t="shared" si="0"/>
        <v>6536320</v>
      </c>
    </row>
    <row r="22" spans="1:22" x14ac:dyDescent="0.25">
      <c r="A22" s="7">
        <f t="shared" si="1"/>
        <v>19</v>
      </c>
      <c r="B22" s="8" t="s">
        <v>21</v>
      </c>
      <c r="C22" s="18" t="s">
        <v>31</v>
      </c>
      <c r="D22" s="18" t="s">
        <v>54</v>
      </c>
      <c r="E22" s="19">
        <v>46203</v>
      </c>
      <c r="F22" s="27" t="s">
        <v>48</v>
      </c>
      <c r="G22" s="12" t="s">
        <v>25</v>
      </c>
      <c r="H22" s="13">
        <v>32.832000000000001</v>
      </c>
      <c r="I22" s="12">
        <v>500000</v>
      </c>
      <c r="J22" s="14">
        <f>[1]!Таблица1[[#This Row],[Блок
 Куб]]*[1]!Таблица1[[#This Row],[Цена 
Приход]]</f>
        <v>16416000</v>
      </c>
      <c r="K22" s="15">
        <v>19</v>
      </c>
      <c r="L22" s="15">
        <v>130000</v>
      </c>
      <c r="M22" s="14">
        <f>[1]!Таблица1[[#This Row],[Поддон
Шт]]*[1]!Таблица1[[#This Row],[Цена
Поддон]]</f>
        <v>2470000</v>
      </c>
      <c r="N22" s="14">
        <f>[1]!Таблица1[[#This Row],[Сумма 
Приход]]+[1]!Таблица1[[#This Row],[Сумма Поддон]]</f>
        <v>18886000</v>
      </c>
      <c r="O22" s="16">
        <v>730000</v>
      </c>
      <c r="P22" s="14">
        <f>[1]!Таблица1[[#This Row],[Цена
 Продажа]]-[1]!Таблица1[[#This Row],[Цена 
Приход]]</f>
        <v>230000</v>
      </c>
      <c r="Q22" s="14" t="s">
        <v>26</v>
      </c>
      <c r="R22" s="14">
        <f>[1]!Таблица1[[#This Row],[Блок
 Куб]]*[1]!Таблица1[[#This Row],[Цена
 Продажа]]</f>
        <v>23967360</v>
      </c>
      <c r="S22" s="17">
        <v>2000000</v>
      </c>
      <c r="T22" s="14">
        <f>[1]!Таблица1[[#This Row],[Сумма 
Продажа]]-[1]!Таблица1[[#This Row],[Сумма 
Приход]]</f>
        <v>7551360</v>
      </c>
      <c r="U22" s="7" t="s">
        <v>27</v>
      </c>
      <c r="V22" s="14">
        <f t="shared" si="0"/>
        <v>5551360</v>
      </c>
    </row>
    <row r="23" spans="1:22" x14ac:dyDescent="0.25">
      <c r="A23" s="7">
        <f t="shared" si="1"/>
        <v>20</v>
      </c>
      <c r="B23" s="8" t="s">
        <v>21</v>
      </c>
      <c r="C23" s="18" t="s">
        <v>31</v>
      </c>
      <c r="D23" s="18" t="s">
        <v>54</v>
      </c>
      <c r="E23" s="19">
        <v>46203</v>
      </c>
      <c r="F23" s="27" t="s">
        <v>55</v>
      </c>
      <c r="G23" s="12" t="s">
        <v>25</v>
      </c>
      <c r="H23" s="13">
        <v>32.832000000000001</v>
      </c>
      <c r="I23" s="12">
        <v>500000</v>
      </c>
      <c r="J23" s="14">
        <f>[1]!Таблица1[[#This Row],[Блок
 Куб]]*[1]!Таблица1[[#This Row],[Цена 
Приход]]</f>
        <v>16416000</v>
      </c>
      <c r="K23" s="15">
        <v>19</v>
      </c>
      <c r="L23" s="15">
        <v>130000</v>
      </c>
      <c r="M23" s="14">
        <f>[1]!Таблица1[[#This Row],[Поддон
Шт]]*[1]!Таблица1[[#This Row],[Цена
Поддон]]</f>
        <v>2470000</v>
      </c>
      <c r="N23" s="14">
        <f>[1]!Таблица1[[#This Row],[Сумма 
Приход]]+[1]!Таблица1[[#This Row],[Сумма Поддон]]</f>
        <v>18886000</v>
      </c>
      <c r="O23" s="16">
        <v>730000</v>
      </c>
      <c r="P23" s="14">
        <f>[1]!Таблица1[[#This Row],[Цена
 Продажа]]-[1]!Таблица1[[#This Row],[Цена 
Приход]]</f>
        <v>230000</v>
      </c>
      <c r="Q23" s="14" t="s">
        <v>26</v>
      </c>
      <c r="R23" s="14">
        <f>[1]!Таблица1[[#This Row],[Блок
 Куб]]*[1]!Таблица1[[#This Row],[Цена
 Продажа]]</f>
        <v>23967360</v>
      </c>
      <c r="S23" s="17">
        <v>2000000</v>
      </c>
      <c r="T23" s="14">
        <f>[1]!Таблица1[[#This Row],[Сумма 
Продажа]]-[1]!Таблица1[[#This Row],[Сумма 
Приход]]</f>
        <v>7551360</v>
      </c>
      <c r="U23" s="7" t="s">
        <v>27</v>
      </c>
      <c r="V23" s="14">
        <f t="shared" si="0"/>
        <v>5551360</v>
      </c>
    </row>
    <row r="24" spans="1:22" x14ac:dyDescent="0.25">
      <c r="A24" s="7">
        <f t="shared" si="1"/>
        <v>21</v>
      </c>
      <c r="B24" s="8" t="s">
        <v>21</v>
      </c>
      <c r="C24" s="9" t="s">
        <v>22</v>
      </c>
      <c r="D24" s="9" t="s">
        <v>56</v>
      </c>
      <c r="E24" s="10">
        <v>46203</v>
      </c>
      <c r="F24" s="28" t="s">
        <v>57</v>
      </c>
      <c r="G24" s="12" t="s">
        <v>25</v>
      </c>
      <c r="H24" s="13">
        <v>32.832000000000001</v>
      </c>
      <c r="I24" s="12">
        <v>500000</v>
      </c>
      <c r="J24" s="14">
        <f>[1]!Таблица1[[#This Row],[Блок
 Куб]]*[1]!Таблица1[[#This Row],[Цена 
Приход]]</f>
        <v>16416000</v>
      </c>
      <c r="K24" s="15">
        <v>19</v>
      </c>
      <c r="L24" s="15">
        <v>130000</v>
      </c>
      <c r="M24" s="14">
        <f>[1]!Таблица1[[#This Row],[Поддон
Шт]]*[1]!Таблица1[[#This Row],[Цена
Поддон]]</f>
        <v>2470000</v>
      </c>
      <c r="N24" s="14">
        <f>[1]!Таблица1[[#This Row],[Сумма 
Приход]]+[1]!Таблица1[[#This Row],[Сумма Поддон]]</f>
        <v>18886000</v>
      </c>
      <c r="O24" s="16">
        <v>735000</v>
      </c>
      <c r="P24" s="14">
        <f>[1]!Таблица1[[#This Row],[Цена
 Продажа]]-[1]!Таблица1[[#This Row],[Цена 
Приход]]</f>
        <v>235000</v>
      </c>
      <c r="Q24" s="14" t="s">
        <v>26</v>
      </c>
      <c r="R24" s="14">
        <f>[1]!Таблица1[[#This Row],[Блок
 Куб]]*[1]!Таблица1[[#This Row],[Цена
 Продажа]]</f>
        <v>24131520</v>
      </c>
      <c r="S24" s="17">
        <v>2000000</v>
      </c>
      <c r="T24" s="14">
        <f>[1]!Таблица1[[#This Row],[Сумма 
Продажа]]-[1]!Таблица1[[#This Row],[Сумма 
Приход]]</f>
        <v>7715520</v>
      </c>
      <c r="U24" s="7" t="s">
        <v>27</v>
      </c>
      <c r="V24" s="14">
        <f t="shared" si="0"/>
        <v>5715520</v>
      </c>
    </row>
    <row r="25" spans="1:22" ht="18.75" x14ac:dyDescent="0.25">
      <c r="J25" s="120">
        <f>SUM(J4:J24)</f>
        <v>340416000</v>
      </c>
      <c r="K25" s="120">
        <f>SUM(K4:K24)</f>
        <v>394</v>
      </c>
      <c r="L25" s="121"/>
      <c r="M25" s="120">
        <f>SUM(M4:M24)</f>
        <v>51220000</v>
      </c>
      <c r="N25" s="120">
        <f>SUM(N4:N24)</f>
        <v>391636000</v>
      </c>
      <c r="O25" s="121"/>
      <c r="P25" s="121"/>
      <c r="Q25" s="121"/>
      <c r="R25" s="120">
        <f>SUM(R4:R24)</f>
        <v>501414039.36230397</v>
      </c>
      <c r="T25" s="120">
        <f>SUM(T4:T24)</f>
        <v>160998039.36230397</v>
      </c>
      <c r="V25" s="120">
        <f>SUM(V4:V24)</f>
        <v>117498039.36230399</v>
      </c>
    </row>
    <row r="36" spans="3:14" x14ac:dyDescent="0.25">
      <c r="C36" s="122" t="s">
        <v>2</v>
      </c>
      <c r="D36" s="122" t="s">
        <v>98</v>
      </c>
      <c r="E36" s="122" t="s">
        <v>99</v>
      </c>
      <c r="F36" s="122" t="s">
        <v>100</v>
      </c>
      <c r="G36" s="123" t="s">
        <v>102</v>
      </c>
      <c r="J36" s="125" t="s">
        <v>104</v>
      </c>
      <c r="K36" s="125"/>
      <c r="M36" s="130" t="s">
        <v>105</v>
      </c>
      <c r="N36" s="130"/>
    </row>
    <row r="37" spans="3:14" x14ac:dyDescent="0.25">
      <c r="C37" s="115" t="s">
        <v>22</v>
      </c>
      <c r="D37" s="112">
        <f>'Жамол 22-22'!P14</f>
        <v>209833679.98310399</v>
      </c>
      <c r="E37" s="112">
        <f>'Жамол 22-22'!P15</f>
        <v>68273000</v>
      </c>
      <c r="F37" s="112">
        <f>D37-E37</f>
        <v>141560679.98310399</v>
      </c>
      <c r="G37" s="112">
        <f>'Жамол 22-22'!O7</f>
        <v>168</v>
      </c>
      <c r="J37" s="124">
        <v>46198</v>
      </c>
      <c r="K37" s="113">
        <v>23328000</v>
      </c>
      <c r="M37" s="110" t="s">
        <v>106</v>
      </c>
      <c r="N37" s="110" t="s">
        <v>107</v>
      </c>
    </row>
    <row r="38" spans="3:14" x14ac:dyDescent="0.25">
      <c r="C38" s="116" t="s">
        <v>31</v>
      </c>
      <c r="D38" s="112">
        <f>'Зафар ога'!Q12</f>
        <v>169758720</v>
      </c>
      <c r="E38" s="112">
        <f>'Зафар ога'!Q13</f>
        <v>121824000</v>
      </c>
      <c r="F38" s="112">
        <f>D38-E38</f>
        <v>47934720</v>
      </c>
      <c r="G38" s="112">
        <f>'Зафар ога'!P23</f>
        <v>132</v>
      </c>
      <c r="J38" s="124">
        <v>46198</v>
      </c>
      <c r="K38" s="113">
        <v>45570000</v>
      </c>
      <c r="M38" s="112">
        <f>J25</f>
        <v>340416000</v>
      </c>
      <c r="N38" s="112">
        <f>K45</f>
        <v>262014900</v>
      </c>
    </row>
    <row r="39" spans="3:14" x14ac:dyDescent="0.25">
      <c r="C39" s="117" t="s">
        <v>49</v>
      </c>
      <c r="D39" s="112">
        <f>'Шохрух ога'!P15</f>
        <v>73869639.379199997</v>
      </c>
      <c r="E39" s="112">
        <f>'Шохрух ога'!P22</f>
        <v>23965900</v>
      </c>
      <c r="F39" s="112">
        <f>D39-E39</f>
        <v>49903739.379199997</v>
      </c>
      <c r="G39" s="112">
        <f>'Шохрух ога'!P26</f>
        <v>57</v>
      </c>
      <c r="J39" s="124">
        <v>46202</v>
      </c>
      <c r="K39" s="113">
        <v>23965900</v>
      </c>
      <c r="M39" s="128">
        <f>N38-M38</f>
        <v>-78401100</v>
      </c>
      <c r="N39" s="129"/>
    </row>
    <row r="40" spans="3:14" x14ac:dyDescent="0.25">
      <c r="C40" s="118" t="s">
        <v>40</v>
      </c>
      <c r="D40" s="112">
        <f>Таблица2133990294[[#Totals],[16]]</f>
        <v>47952000</v>
      </c>
      <c r="E40" s="112">
        <f>'Арслон ога'!C5</f>
        <v>47952000</v>
      </c>
      <c r="F40" s="112">
        <f>D40-E40</f>
        <v>0</v>
      </c>
      <c r="G40" s="112">
        <f>'Арслон ога'!P21</f>
        <v>37</v>
      </c>
      <c r="J40" s="124">
        <v>46202</v>
      </c>
      <c r="K40" s="113">
        <v>24624000</v>
      </c>
    </row>
    <row r="41" spans="3:14" x14ac:dyDescent="0.25">
      <c r="C41" s="119"/>
      <c r="D41" s="114">
        <f>SUM(D37:D40)</f>
        <v>501414039.36230397</v>
      </c>
      <c r="E41" s="114">
        <f>SUM(E37:E40)</f>
        <v>262014900</v>
      </c>
      <c r="F41" s="114">
        <f>SUM(F37:F40)</f>
        <v>239399139.36230397</v>
      </c>
      <c r="G41" s="114">
        <f>SUM(G37:G40)</f>
        <v>394</v>
      </c>
      <c r="J41" s="124">
        <v>46202</v>
      </c>
      <c r="K41" s="113">
        <v>47952000</v>
      </c>
    </row>
    <row r="42" spans="3:14" x14ac:dyDescent="0.25">
      <c r="J42" s="124">
        <v>46203</v>
      </c>
      <c r="K42" s="113">
        <v>22703000</v>
      </c>
    </row>
    <row r="43" spans="3:14" x14ac:dyDescent="0.25">
      <c r="J43" s="124">
        <v>46203</v>
      </c>
      <c r="K43" s="113">
        <v>23872000</v>
      </c>
    </row>
    <row r="44" spans="3:14" x14ac:dyDescent="0.25">
      <c r="E44" s="111"/>
      <c r="J44" s="124">
        <v>46203</v>
      </c>
      <c r="K44" s="113">
        <v>50000000</v>
      </c>
    </row>
    <row r="45" spans="3:14" x14ac:dyDescent="0.25">
      <c r="J45" s="126" t="s">
        <v>103</v>
      </c>
      <c r="K45" s="127">
        <f>SUM(K37:K44)</f>
        <v>262014900</v>
      </c>
    </row>
  </sheetData>
  <autoFilter ref="A3:U25" xr:uid="{00000000-0001-0000-0000-000000000000}"/>
  <mergeCells count="3">
    <mergeCell ref="J36:K36"/>
    <mergeCell ref="M36:N36"/>
    <mergeCell ref="M39:N39"/>
  </mergeCells>
  <conditionalFormatting sqref="P4:P24">
    <cfRule type="cellIs" dxfId="18" priority="5" operator="greaterThan">
      <formula>0</formula>
    </cfRule>
    <cfRule type="cellIs" dxfId="17" priority="6" operator="lessThan">
      <formula>0</formula>
    </cfRule>
  </conditionalFormatting>
  <conditionalFormatting sqref="T3:T24">
    <cfRule type="cellIs" dxfId="16" priority="3" operator="lessThan">
      <formula>0</formula>
    </cfRule>
  </conditionalFormatting>
  <conditionalFormatting sqref="T4:T24">
    <cfRule type="cellIs" dxfId="15" priority="4" operator="greaterThan">
      <formula>0</formula>
    </cfRule>
  </conditionalFormatting>
  <conditionalFormatting sqref="V4:V24">
    <cfRule type="cellIs" dxfId="1" priority="1" operator="lessThan">
      <formula>0</formula>
    </cfRule>
  </conditionalFormatting>
  <conditionalFormatting sqref="V4:V24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4B5-7738-4DEE-9500-66FDE5B57527}">
  <dimension ref="A1:P26"/>
  <sheetViews>
    <sheetView workbookViewId="0">
      <selection activeCell="P27" sqref="P27"/>
    </sheetView>
  </sheetViews>
  <sheetFormatPr defaultRowHeight="15" x14ac:dyDescent="0.25"/>
  <cols>
    <col min="1" max="1" width="5.5703125" bestFit="1" customWidth="1"/>
    <col min="2" max="2" width="11.28515625" bestFit="1" customWidth="1"/>
    <col min="3" max="3" width="12.7109375" bestFit="1" customWidth="1"/>
    <col min="4" max="4" width="30.42578125" bestFit="1" customWidth="1"/>
    <col min="7" max="7" width="11.28515625" bestFit="1" customWidth="1"/>
    <col min="8" max="8" width="21.7109375" bestFit="1" customWidth="1"/>
    <col min="9" max="9" width="13.42578125" bestFit="1" customWidth="1"/>
    <col min="10" max="10" width="17.7109375" bestFit="1" customWidth="1"/>
    <col min="13" max="13" width="12.7109375" bestFit="1" customWidth="1"/>
    <col min="16" max="16" width="10.5703125" bestFit="1" customWidth="1"/>
  </cols>
  <sheetData>
    <row r="1" spans="1:16" ht="18.75" x14ac:dyDescent="0.3">
      <c r="A1" s="83"/>
      <c r="B1" s="82"/>
      <c r="C1" s="81" t="s">
        <v>71</v>
      </c>
      <c r="D1" s="98" t="s">
        <v>93</v>
      </c>
      <c r="E1" s="79"/>
      <c r="F1" s="1"/>
      <c r="G1" s="1"/>
      <c r="H1" s="1"/>
      <c r="I1" s="1"/>
      <c r="J1" s="1"/>
      <c r="K1" s="1"/>
      <c r="L1" s="1"/>
      <c r="M1" s="1"/>
    </row>
    <row r="2" spans="1:16" ht="20.25" x14ac:dyDescent="0.25">
      <c r="A2" s="78" t="s">
        <v>79</v>
      </c>
      <c r="B2" s="78"/>
      <c r="C2" s="77"/>
      <c r="D2" s="77"/>
      <c r="E2" s="76"/>
      <c r="F2" s="86">
        <f>Таблица2133990294678[[#Totals],[2]]+-Таблица2133990294678[[#Totals],[16]]</f>
        <v>900.6207999996841</v>
      </c>
      <c r="G2" s="87"/>
      <c r="H2" s="1"/>
      <c r="I2" s="1"/>
      <c r="J2" s="1"/>
      <c r="K2" s="58">
        <f>K5</f>
        <v>19</v>
      </c>
      <c r="L2" s="1"/>
      <c r="M2" s="1"/>
    </row>
    <row r="3" spans="1:16" ht="28.5" x14ac:dyDescent="0.25">
      <c r="A3" s="64" t="s">
        <v>76</v>
      </c>
      <c r="B3" s="64" t="s">
        <v>75</v>
      </c>
      <c r="C3" s="88" t="s">
        <v>72</v>
      </c>
      <c r="D3" s="88" t="s">
        <v>82</v>
      </c>
      <c r="E3" s="72" t="s">
        <v>77</v>
      </c>
      <c r="F3" s="60" t="s">
        <v>76</v>
      </c>
      <c r="G3" s="60" t="s">
        <v>75</v>
      </c>
      <c r="H3" s="60" t="s">
        <v>74</v>
      </c>
      <c r="I3" s="70" t="s">
        <v>6</v>
      </c>
      <c r="J3" s="71" t="s">
        <v>7</v>
      </c>
      <c r="K3" s="71" t="s">
        <v>73</v>
      </c>
      <c r="L3" s="60" t="s">
        <v>83</v>
      </c>
      <c r="M3" s="70" t="s">
        <v>72</v>
      </c>
    </row>
    <row r="4" spans="1:16" x14ac:dyDescent="0.25">
      <c r="A4" s="64"/>
      <c r="B4" s="64"/>
      <c r="C4" s="69"/>
      <c r="D4" s="68"/>
      <c r="E4" s="67"/>
      <c r="F4" s="60"/>
      <c r="G4" s="60"/>
      <c r="H4" s="60"/>
      <c r="I4" s="65"/>
      <c r="J4" s="108"/>
      <c r="K4" s="66"/>
      <c r="L4" s="60"/>
      <c r="M4" s="59"/>
    </row>
    <row r="5" spans="1:16" ht="15.75" x14ac:dyDescent="0.25">
      <c r="A5" s="64"/>
      <c r="B5" s="64"/>
      <c r="C5" s="89">
        <f>Таблица2133990294678[[#Totals],[2]]</f>
        <v>23965900</v>
      </c>
      <c r="D5" s="62"/>
      <c r="E5" s="61">
        <f>SUM(Таблица2133990294678[4])</f>
        <v>0</v>
      </c>
      <c r="F5" s="60"/>
      <c r="G5" s="60"/>
      <c r="H5" s="60"/>
      <c r="I5" s="59"/>
      <c r="J5" s="109">
        <f>SUM(Таблица2133990294678[113])</f>
        <v>32.832000000000001</v>
      </c>
      <c r="K5" s="58">
        <f>Таблица2133990294678[[#Totals],[1132]]</f>
        <v>19</v>
      </c>
      <c r="L5" s="60"/>
      <c r="M5" s="90">
        <f>Таблица2133990294678[[#Totals],[16]]</f>
        <v>23964999.3792</v>
      </c>
    </row>
    <row r="6" spans="1:16" x14ac:dyDescent="0.25">
      <c r="A6" s="57" t="s">
        <v>71</v>
      </c>
      <c r="B6" s="56" t="s">
        <v>70</v>
      </c>
      <c r="C6" s="56" t="s">
        <v>69</v>
      </c>
      <c r="D6" s="56" t="s">
        <v>68</v>
      </c>
      <c r="E6" s="56" t="s">
        <v>67</v>
      </c>
      <c r="F6" s="56" t="s">
        <v>66</v>
      </c>
      <c r="G6" s="56" t="s">
        <v>65</v>
      </c>
      <c r="H6" s="56" t="s">
        <v>64</v>
      </c>
      <c r="I6" s="56" t="s">
        <v>63</v>
      </c>
      <c r="J6" s="56" t="s">
        <v>62</v>
      </c>
      <c r="K6" s="56" t="s">
        <v>61</v>
      </c>
      <c r="L6" s="56" t="s">
        <v>60</v>
      </c>
      <c r="M6" s="56" t="s">
        <v>59</v>
      </c>
    </row>
    <row r="7" spans="1:16" x14ac:dyDescent="0.25">
      <c r="A7" s="49">
        <v>1</v>
      </c>
      <c r="B7" s="47">
        <v>46202</v>
      </c>
      <c r="C7" s="55">
        <v>23965900</v>
      </c>
      <c r="D7" s="50" t="s">
        <v>94</v>
      </c>
      <c r="E7" s="14"/>
      <c r="F7" s="7">
        <f>Таблица2133990294678[[#This Row],[ ]]</f>
        <v>1</v>
      </c>
      <c r="G7" s="50">
        <v>46200</v>
      </c>
      <c r="H7" s="54" t="s">
        <v>30</v>
      </c>
      <c r="I7" s="53" t="s">
        <v>25</v>
      </c>
      <c r="J7" s="52">
        <v>32.832000000000001</v>
      </c>
      <c r="K7" s="51">
        <v>19</v>
      </c>
      <c r="L7" s="7">
        <v>729928.1</v>
      </c>
      <c r="M7" s="14">
        <f>Таблица2133990294678[[#This Row],[113]]*Таблица2133990294678[[#This Row],[15]]</f>
        <v>23964999.3792</v>
      </c>
    </row>
    <row r="8" spans="1:16" x14ac:dyDescent="0.25">
      <c r="A8" s="44"/>
      <c r="B8" s="8"/>
      <c r="C8" s="14">
        <f>SUBTOTAL(109,Таблица2133990294678[2])</f>
        <v>23965900</v>
      </c>
      <c r="D8" s="14"/>
      <c r="E8" s="43"/>
      <c r="F8" s="42"/>
      <c r="G8" s="41"/>
      <c r="H8" s="40"/>
      <c r="I8" s="40"/>
      <c r="J8" s="40"/>
      <c r="K8" s="40">
        <f>SUBTOTAL(109,Таблица2133990294678[1132])</f>
        <v>19</v>
      </c>
      <c r="L8" s="38"/>
      <c r="M8" s="38">
        <f>SUBTOTAL(109,Таблица2133990294678[16])</f>
        <v>23964999.3792</v>
      </c>
      <c r="P8" s="111">
        <f>F11+F2</f>
        <v>-49903739.379199997</v>
      </c>
    </row>
    <row r="9" spans="1:16" x14ac:dyDescent="0.25">
      <c r="J9" s="1"/>
    </row>
    <row r="10" spans="1:16" ht="18.75" x14ac:dyDescent="0.3">
      <c r="A10" s="83"/>
      <c r="B10" s="82"/>
      <c r="C10" s="81" t="s">
        <v>71</v>
      </c>
      <c r="D10" s="98" t="s">
        <v>95</v>
      </c>
      <c r="E10" s="79"/>
      <c r="F10" s="1"/>
      <c r="G10" s="1"/>
      <c r="H10" s="1"/>
      <c r="I10" s="1"/>
      <c r="J10" s="1"/>
      <c r="M10" s="1"/>
    </row>
    <row r="11" spans="1:16" ht="20.25" x14ac:dyDescent="0.25">
      <c r="A11" s="78" t="s">
        <v>79</v>
      </c>
      <c r="B11" s="78"/>
      <c r="C11" s="77"/>
      <c r="D11" s="77"/>
      <c r="E11" s="76"/>
      <c r="F11" s="86">
        <f>Таблица213399029467[[#Totals],[2]]+-Таблица213399029467[[#Totals],[16]]</f>
        <v>-49904640</v>
      </c>
      <c r="G11" s="87"/>
      <c r="H11" s="1"/>
      <c r="I11" s="1"/>
      <c r="J11" s="1"/>
      <c r="K11" s="58">
        <f>K14</f>
        <v>38</v>
      </c>
      <c r="L11" s="1"/>
      <c r="M11" s="1"/>
    </row>
    <row r="12" spans="1:16" x14ac:dyDescent="0.25">
      <c r="A12" s="64" t="s">
        <v>76</v>
      </c>
      <c r="B12" s="64" t="s">
        <v>75</v>
      </c>
      <c r="C12" s="88" t="s">
        <v>72</v>
      </c>
      <c r="D12" s="88" t="s">
        <v>82</v>
      </c>
      <c r="E12" s="72" t="s">
        <v>77</v>
      </c>
      <c r="F12" s="60" t="s">
        <v>76</v>
      </c>
      <c r="G12" s="60" t="s">
        <v>75</v>
      </c>
      <c r="H12" s="60" t="s">
        <v>74</v>
      </c>
      <c r="I12" s="70" t="s">
        <v>6</v>
      </c>
      <c r="J12" s="71" t="s">
        <v>7</v>
      </c>
      <c r="K12" s="71" t="s">
        <v>73</v>
      </c>
      <c r="L12" s="60" t="s">
        <v>83</v>
      </c>
      <c r="M12" s="70" t="s">
        <v>72</v>
      </c>
    </row>
    <row r="13" spans="1:16" x14ac:dyDescent="0.25">
      <c r="A13" s="64"/>
      <c r="B13" s="64"/>
      <c r="C13" s="69"/>
      <c r="D13" s="68"/>
      <c r="E13" s="67"/>
      <c r="F13" s="60"/>
      <c r="G13" s="60"/>
      <c r="H13" s="60"/>
      <c r="I13" s="65"/>
      <c r="J13" s="65"/>
      <c r="K13" s="66"/>
      <c r="L13" s="60"/>
      <c r="M13" s="59"/>
    </row>
    <row r="14" spans="1:16" ht="15.75" x14ac:dyDescent="0.25">
      <c r="A14" s="64"/>
      <c r="B14" s="64"/>
      <c r="C14" s="89">
        <f>Таблица213399029467[[#Totals],[2]]</f>
        <v>0</v>
      </c>
      <c r="D14" s="62"/>
      <c r="E14" s="61">
        <f>SUM(Таблица213399029467[4])</f>
        <v>0</v>
      </c>
      <c r="F14" s="60"/>
      <c r="G14" s="60"/>
      <c r="H14" s="60"/>
      <c r="I14" s="59"/>
      <c r="J14" s="59"/>
      <c r="K14" s="58">
        <f>Таблица213399029467[[#Totals],[1132]]</f>
        <v>38</v>
      </c>
      <c r="L14" s="60"/>
      <c r="M14" s="90">
        <f>Таблица213399029467[[#Totals],[16]]</f>
        <v>49904640</v>
      </c>
    </row>
    <row r="15" spans="1:16" x14ac:dyDescent="0.25">
      <c r="A15" s="57" t="s">
        <v>71</v>
      </c>
      <c r="B15" s="56" t="s">
        <v>70</v>
      </c>
      <c r="C15" s="56" t="s">
        <v>69</v>
      </c>
      <c r="D15" s="56" t="s">
        <v>68</v>
      </c>
      <c r="E15" s="56" t="s">
        <v>67</v>
      </c>
      <c r="F15" s="56" t="s">
        <v>66</v>
      </c>
      <c r="G15" s="56" t="s">
        <v>65</v>
      </c>
      <c r="H15" s="56" t="s">
        <v>64</v>
      </c>
      <c r="I15" s="56" t="s">
        <v>63</v>
      </c>
      <c r="J15" s="56" t="s">
        <v>62</v>
      </c>
      <c r="K15" s="56" t="s">
        <v>61</v>
      </c>
      <c r="L15" s="56" t="s">
        <v>60</v>
      </c>
      <c r="M15" s="56" t="s">
        <v>59</v>
      </c>
      <c r="P15" s="111">
        <f>M14+M5</f>
        <v>73869639.379199997</v>
      </c>
    </row>
    <row r="16" spans="1:16" x14ac:dyDescent="0.25">
      <c r="A16" s="49">
        <v>1</v>
      </c>
      <c r="B16" s="47"/>
      <c r="C16" s="55"/>
      <c r="D16" s="50"/>
      <c r="E16" s="14"/>
      <c r="F16" s="7">
        <f>Таблица213399029467[[#This Row],[ ]]</f>
        <v>1</v>
      </c>
      <c r="G16" s="50">
        <v>46200</v>
      </c>
      <c r="H16" s="54" t="s">
        <v>51</v>
      </c>
      <c r="I16" s="53" t="s">
        <v>25</v>
      </c>
      <c r="J16" s="52">
        <v>32.832000000000001</v>
      </c>
      <c r="K16" s="51">
        <v>19</v>
      </c>
      <c r="L16" s="14">
        <v>760000</v>
      </c>
      <c r="M16" s="14">
        <f>Таблица213399029467[[#This Row],[113]]*Таблица213399029467[[#This Row],[15]]</f>
        <v>24952320</v>
      </c>
    </row>
    <row r="17" spans="1:16" x14ac:dyDescent="0.25">
      <c r="A17" s="49">
        <v>2</v>
      </c>
      <c r="B17" s="48"/>
      <c r="C17" s="14"/>
      <c r="D17" s="50"/>
      <c r="E17" s="14"/>
      <c r="F17" s="7">
        <f>Таблица213399029467[[#This Row],[ ]]</f>
        <v>2</v>
      </c>
      <c r="G17" s="47">
        <v>46201</v>
      </c>
      <c r="H17" s="46" t="s">
        <v>53</v>
      </c>
      <c r="I17" s="46" t="s">
        <v>25</v>
      </c>
      <c r="J17" s="46">
        <v>32.832000000000001</v>
      </c>
      <c r="K17" s="14">
        <v>19</v>
      </c>
      <c r="L17" s="14">
        <v>760000</v>
      </c>
      <c r="M17" s="14">
        <f>Таблица213399029467[[#This Row],[113]]*Таблица213399029467[[#This Row],[15]]</f>
        <v>24952320</v>
      </c>
    </row>
    <row r="18" spans="1:16" x14ac:dyDescent="0.25">
      <c r="A18" s="44"/>
      <c r="B18" s="8"/>
      <c r="C18" s="14">
        <f>SUBTOTAL(109,Таблица213399029467[2])</f>
        <v>0</v>
      </c>
      <c r="D18" s="14"/>
      <c r="E18" s="43"/>
      <c r="F18" s="42"/>
      <c r="G18" s="41"/>
      <c r="H18" s="40"/>
      <c r="I18" s="40"/>
      <c r="J18" s="40"/>
      <c r="K18" s="40">
        <f>SUBTOTAL(109,Таблица213399029467[1132])</f>
        <v>38</v>
      </c>
      <c r="L18" s="38"/>
      <c r="M18" s="38">
        <f>SUBTOTAL(109,Таблица213399029467[16])</f>
        <v>49904640</v>
      </c>
    </row>
    <row r="22" spans="1:16" x14ac:dyDescent="0.25">
      <c r="P22" s="111">
        <f>C14+C5</f>
        <v>23965900</v>
      </c>
    </row>
    <row r="26" spans="1:16" x14ac:dyDescent="0.25">
      <c r="P26" s="111">
        <f>K11+K2</f>
        <v>57</v>
      </c>
    </row>
  </sheetData>
  <mergeCells count="28">
    <mergeCell ref="H12:H14"/>
    <mergeCell ref="I12:I14"/>
    <mergeCell ref="J12:J14"/>
    <mergeCell ref="K12:K13"/>
    <mergeCell ref="L12:L14"/>
    <mergeCell ref="M12:M13"/>
    <mergeCell ref="A11:B11"/>
    <mergeCell ref="C11:D11"/>
    <mergeCell ref="F11:G11"/>
    <mergeCell ref="A12:A14"/>
    <mergeCell ref="B12:B14"/>
    <mergeCell ref="E12:E13"/>
    <mergeCell ref="F12:F14"/>
    <mergeCell ref="G12:G14"/>
    <mergeCell ref="H3:H5"/>
    <mergeCell ref="I3:I5"/>
    <mergeCell ref="J3:J4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</mergeCells>
  <hyperlinks>
    <hyperlink ref="D1" location="'Свод Завод'!Y4" display="4-Рустам Шпик" xr:uid="{81EA7D23-7E75-427F-A673-5CA311D05A26}"/>
    <hyperlink ref="D10" location="'Свод Завод'!Y4" display="4-Гайрат Штб" xr:uid="{41208A78-6E2B-45B0-8F8C-2A9A137FD102}"/>
  </hyperlink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94998-8DCF-49D4-8180-86327156EF8B}">
  <dimension ref="A1:R30"/>
  <sheetViews>
    <sheetView workbookViewId="0">
      <selection activeCell="P24" sqref="P24"/>
    </sheetView>
  </sheetViews>
  <sheetFormatPr defaultRowHeight="15" x14ac:dyDescent="0.25"/>
  <cols>
    <col min="1" max="1" width="5.5703125" bestFit="1" customWidth="1"/>
    <col min="2" max="2" width="11.28515625" bestFit="1" customWidth="1"/>
    <col min="3" max="3" width="14.140625" bestFit="1" customWidth="1"/>
    <col min="4" max="4" width="27.85546875" bestFit="1" customWidth="1"/>
    <col min="7" max="7" width="11.28515625" bestFit="1" customWidth="1"/>
    <col min="9" max="9" width="13.42578125" bestFit="1" customWidth="1"/>
    <col min="13" max="13" width="14.140625" bestFit="1" customWidth="1"/>
    <col min="17" max="18" width="10.85546875" bestFit="1" customWidth="1"/>
  </cols>
  <sheetData>
    <row r="1" spans="1:18" ht="18.75" x14ac:dyDescent="0.3">
      <c r="A1" s="83"/>
      <c r="B1" s="82"/>
      <c r="C1" s="81" t="s">
        <v>71</v>
      </c>
      <c r="D1" s="98" t="s">
        <v>88</v>
      </c>
      <c r="E1" s="79"/>
      <c r="F1" s="1"/>
      <c r="G1" s="1"/>
      <c r="H1" s="1"/>
      <c r="I1" s="1"/>
      <c r="J1" s="1"/>
      <c r="K1" s="1"/>
      <c r="L1" s="1"/>
      <c r="M1" s="1"/>
    </row>
    <row r="2" spans="1:18" ht="20.25" x14ac:dyDescent="0.25">
      <c r="A2" s="78" t="s">
        <v>79</v>
      </c>
      <c r="B2" s="78"/>
      <c r="C2" s="77"/>
      <c r="D2" s="77"/>
      <c r="E2" s="76"/>
      <c r="F2" s="86">
        <f>Таблица213399029469[[#Totals],[2]]+-Таблица213399029469[[#Totals],[16]]</f>
        <v>-47934720</v>
      </c>
      <c r="G2" s="87"/>
      <c r="H2" s="1"/>
      <c r="I2" s="1"/>
      <c r="J2" s="1"/>
      <c r="K2" s="58">
        <f>K5</f>
        <v>38</v>
      </c>
      <c r="L2" s="1"/>
      <c r="M2" s="1"/>
    </row>
    <row r="3" spans="1:18" ht="28.5" x14ac:dyDescent="0.25">
      <c r="A3" s="64" t="s">
        <v>76</v>
      </c>
      <c r="B3" s="64" t="s">
        <v>75</v>
      </c>
      <c r="C3" s="88" t="s">
        <v>72</v>
      </c>
      <c r="D3" s="88" t="s">
        <v>82</v>
      </c>
      <c r="E3" s="72" t="s">
        <v>77</v>
      </c>
      <c r="F3" s="60" t="s">
        <v>76</v>
      </c>
      <c r="G3" s="60" t="s">
        <v>75</v>
      </c>
      <c r="H3" s="60" t="s">
        <v>74</v>
      </c>
      <c r="I3" s="70" t="s">
        <v>6</v>
      </c>
      <c r="J3" s="71" t="s">
        <v>7</v>
      </c>
      <c r="K3" s="71" t="s">
        <v>73</v>
      </c>
      <c r="L3" s="60" t="s">
        <v>83</v>
      </c>
      <c r="M3" s="70" t="s">
        <v>72</v>
      </c>
    </row>
    <row r="4" spans="1:18" x14ac:dyDescent="0.25">
      <c r="A4" s="64"/>
      <c r="B4" s="64"/>
      <c r="C4" s="69"/>
      <c r="D4" s="68"/>
      <c r="E4" s="67"/>
      <c r="F4" s="60"/>
      <c r="G4" s="60"/>
      <c r="H4" s="60"/>
      <c r="I4" s="65"/>
      <c r="J4" s="65"/>
      <c r="K4" s="66"/>
      <c r="L4" s="60"/>
      <c r="M4" s="59"/>
    </row>
    <row r="5" spans="1:18" ht="15.75" x14ac:dyDescent="0.25">
      <c r="A5" s="64"/>
      <c r="B5" s="64"/>
      <c r="C5" s="89">
        <f>Таблица213399029469[[#Totals],[2]]</f>
        <v>0</v>
      </c>
      <c r="D5" s="62"/>
      <c r="E5" s="61">
        <f>SUM(Таблица213399029469[4])</f>
        <v>0</v>
      </c>
      <c r="F5" s="60"/>
      <c r="G5" s="60"/>
      <c r="H5" s="60"/>
      <c r="I5" s="59"/>
      <c r="J5" s="59"/>
      <c r="K5" s="58">
        <f>Таблица213399029469[[#Totals],[1132]]</f>
        <v>38</v>
      </c>
      <c r="L5" s="60"/>
      <c r="M5" s="90">
        <f>Таблица213399029469[[#Totals],[16]]</f>
        <v>47934720</v>
      </c>
    </row>
    <row r="6" spans="1:18" x14ac:dyDescent="0.25">
      <c r="A6" s="57" t="s">
        <v>71</v>
      </c>
      <c r="B6" s="56" t="s">
        <v>70</v>
      </c>
      <c r="C6" s="56" t="s">
        <v>69</v>
      </c>
      <c r="D6" s="56" t="s">
        <v>68</v>
      </c>
      <c r="E6" s="56" t="s">
        <v>67</v>
      </c>
      <c r="F6" s="56" t="s">
        <v>66</v>
      </c>
      <c r="G6" s="56" t="s">
        <v>65</v>
      </c>
      <c r="H6" s="56" t="s">
        <v>64</v>
      </c>
      <c r="I6" s="56" t="s">
        <v>63</v>
      </c>
      <c r="J6" s="56" t="s">
        <v>62</v>
      </c>
      <c r="K6" s="56" t="s">
        <v>61</v>
      </c>
      <c r="L6" s="56" t="s">
        <v>60</v>
      </c>
      <c r="M6" s="56" t="s">
        <v>59</v>
      </c>
    </row>
    <row r="7" spans="1:18" x14ac:dyDescent="0.25">
      <c r="A7" s="49">
        <v>1</v>
      </c>
      <c r="B7" s="47"/>
      <c r="C7" s="55"/>
      <c r="D7" s="50"/>
      <c r="E7" s="14"/>
      <c r="F7" s="7">
        <f>Таблица213399029469[[#This Row],[ ]]</f>
        <v>1</v>
      </c>
      <c r="G7" s="50">
        <v>46203</v>
      </c>
      <c r="H7" s="54" t="s">
        <v>48</v>
      </c>
      <c r="I7" s="53" t="s">
        <v>25</v>
      </c>
      <c r="J7" s="52">
        <v>32.832000000000001</v>
      </c>
      <c r="K7" s="51">
        <v>19</v>
      </c>
      <c r="L7" s="14">
        <v>730000</v>
      </c>
      <c r="M7" s="14">
        <f>Таблица213399029469[[#This Row],[113]]*Таблица213399029469[[#This Row],[15]]</f>
        <v>23967360</v>
      </c>
    </row>
    <row r="8" spans="1:18" x14ac:dyDescent="0.25">
      <c r="A8" s="49">
        <v>2</v>
      </c>
      <c r="B8" s="48"/>
      <c r="C8" s="14"/>
      <c r="D8" s="50"/>
      <c r="E8" s="14"/>
      <c r="F8" s="7">
        <f>Таблица213399029469[[#This Row],[ ]]</f>
        <v>2</v>
      </c>
      <c r="G8" s="47">
        <v>46203</v>
      </c>
      <c r="H8" s="46" t="s">
        <v>55</v>
      </c>
      <c r="I8" s="46" t="s">
        <v>25</v>
      </c>
      <c r="J8" s="46">
        <v>32.832000000000001</v>
      </c>
      <c r="K8" s="14">
        <v>19</v>
      </c>
      <c r="L8" s="14">
        <v>730000</v>
      </c>
      <c r="M8" s="14">
        <f>Таблица213399029469[[#This Row],[113]]*Таблица213399029469[[#This Row],[15]]</f>
        <v>23967360</v>
      </c>
    </row>
    <row r="9" spans="1:18" x14ac:dyDescent="0.25">
      <c r="A9" s="44"/>
      <c r="B9" s="8"/>
      <c r="C9" s="14">
        <f>SUBTOTAL(109,Таблица213399029469[2])</f>
        <v>0</v>
      </c>
      <c r="D9" s="14"/>
      <c r="E9" s="43"/>
      <c r="F9" s="42"/>
      <c r="G9" s="41"/>
      <c r="H9" s="40"/>
      <c r="I9" s="40"/>
      <c r="J9" s="40"/>
      <c r="K9" s="40">
        <f>SUBTOTAL(109,Таблица213399029469[1132])</f>
        <v>38</v>
      </c>
      <c r="L9" s="38"/>
      <c r="M9" s="38">
        <f>SUBTOTAL(109,Таблица213399029469[16])</f>
        <v>47934720</v>
      </c>
      <c r="Q9" s="111">
        <f>F2+F12</f>
        <v>-47934720</v>
      </c>
    </row>
    <row r="10" spans="1:18" x14ac:dyDescent="0.25">
      <c r="R10" s="111"/>
    </row>
    <row r="11" spans="1:18" ht="18.75" customHeight="1" x14ac:dyDescent="0.25">
      <c r="A11" s="106" t="s">
        <v>92</v>
      </c>
      <c r="B11" s="107"/>
      <c r="C11" s="107"/>
      <c r="D11" s="107"/>
      <c r="E11" s="107"/>
      <c r="F11" s="1"/>
      <c r="G11" s="1"/>
      <c r="H11" s="1"/>
      <c r="I11" s="1"/>
      <c r="J11" s="1"/>
      <c r="K11" s="1"/>
      <c r="L11" s="1"/>
      <c r="M11" s="1"/>
    </row>
    <row r="12" spans="1:18" ht="20.25" x14ac:dyDescent="0.25">
      <c r="A12" s="78" t="s">
        <v>79</v>
      </c>
      <c r="B12" s="78"/>
      <c r="C12" s="77"/>
      <c r="D12" s="77"/>
      <c r="E12" s="76"/>
      <c r="F12" s="86">
        <f>C15-M21</f>
        <v>0</v>
      </c>
      <c r="G12" s="87"/>
      <c r="H12" s="1"/>
      <c r="I12" s="1"/>
      <c r="J12" s="1"/>
      <c r="K12" s="100">
        <f>K15</f>
        <v>94</v>
      </c>
      <c r="L12" s="1"/>
      <c r="M12" s="1"/>
      <c r="Q12" s="111">
        <f>M5+M15</f>
        <v>169758720</v>
      </c>
    </row>
    <row r="13" spans="1:18" ht="15" customHeight="1" x14ac:dyDescent="0.25">
      <c r="A13" s="64" t="s">
        <v>76</v>
      </c>
      <c r="B13" s="64" t="s">
        <v>75</v>
      </c>
      <c r="C13" s="88" t="s">
        <v>72</v>
      </c>
      <c r="D13" s="88" t="s">
        <v>82</v>
      </c>
      <c r="E13" s="72" t="s">
        <v>77</v>
      </c>
      <c r="F13" s="60" t="s">
        <v>76</v>
      </c>
      <c r="G13" s="60" t="s">
        <v>75</v>
      </c>
      <c r="H13" s="60" t="s">
        <v>74</v>
      </c>
      <c r="I13" s="70" t="s">
        <v>6</v>
      </c>
      <c r="J13" s="71" t="s">
        <v>7</v>
      </c>
      <c r="K13" s="71" t="s">
        <v>73</v>
      </c>
      <c r="L13" s="60" t="s">
        <v>83</v>
      </c>
      <c r="M13" s="70" t="s">
        <v>72</v>
      </c>
      <c r="Q13" s="111">
        <f>C15+C5</f>
        <v>121824000</v>
      </c>
      <c r="R13" s="111"/>
    </row>
    <row r="14" spans="1:18" x14ac:dyDescent="0.25">
      <c r="A14" s="64"/>
      <c r="B14" s="64"/>
      <c r="C14" s="69"/>
      <c r="D14" s="68"/>
      <c r="E14" s="67"/>
      <c r="F14" s="60"/>
      <c r="G14" s="60"/>
      <c r="H14" s="60"/>
      <c r="I14" s="65"/>
      <c r="J14" s="65"/>
      <c r="K14" s="66"/>
      <c r="L14" s="60"/>
      <c r="M14" s="59"/>
      <c r="Q14" s="111">
        <f>Q12-Q13</f>
        <v>47934720</v>
      </c>
    </row>
    <row r="15" spans="1:18" ht="15.75" x14ac:dyDescent="0.25">
      <c r="A15" s="71"/>
      <c r="B15" s="71"/>
      <c r="C15" s="99">
        <f>C21</f>
        <v>121824000</v>
      </c>
      <c r="D15" s="62"/>
      <c r="E15" s="61">
        <f>SUM([1]!Таблица21339902946[4])</f>
        <v>0</v>
      </c>
      <c r="F15" s="70"/>
      <c r="G15" s="70"/>
      <c r="H15" s="70"/>
      <c r="I15" s="65"/>
      <c r="J15" s="65"/>
      <c r="K15" s="100">
        <f>K21</f>
        <v>94</v>
      </c>
      <c r="L15" s="70"/>
      <c r="M15" s="101">
        <f>M21</f>
        <v>121824000</v>
      </c>
    </row>
    <row r="16" spans="1:18" x14ac:dyDescent="0.25">
      <c r="A16" s="7">
        <v>1</v>
      </c>
      <c r="B16" s="47">
        <v>46198</v>
      </c>
      <c r="C16" s="55">
        <v>23328000</v>
      </c>
      <c r="D16" s="50" t="s">
        <v>89</v>
      </c>
      <c r="E16" s="14"/>
      <c r="F16" s="7">
        <f>[1]!Таблица21339902946[[#This Row],[ ]]</f>
        <v>10</v>
      </c>
      <c r="G16" s="50">
        <v>46197</v>
      </c>
      <c r="H16" s="54" t="s">
        <v>33</v>
      </c>
      <c r="I16" s="102" t="s">
        <v>25</v>
      </c>
      <c r="J16" s="103">
        <v>31.103999999999999</v>
      </c>
      <c r="K16" s="45">
        <v>18</v>
      </c>
      <c r="L16" s="14">
        <v>750000</v>
      </c>
      <c r="M16" s="14">
        <f t="shared" ref="M16:M19" si="0">J16*L16</f>
        <v>23328000</v>
      </c>
    </row>
    <row r="17" spans="1:18" x14ac:dyDescent="0.25">
      <c r="A17" s="7">
        <v>2</v>
      </c>
      <c r="B17" s="48">
        <v>46202</v>
      </c>
      <c r="C17" s="14">
        <v>24624000</v>
      </c>
      <c r="D17" s="50" t="s">
        <v>90</v>
      </c>
      <c r="E17" s="14"/>
      <c r="F17" s="7">
        <f>[1]!Таблица21339902946[[#This Row],[ ]]</f>
        <v>11</v>
      </c>
      <c r="G17" s="47">
        <v>46200</v>
      </c>
      <c r="H17" s="46" t="s">
        <v>44</v>
      </c>
      <c r="I17" s="46" t="s">
        <v>45</v>
      </c>
      <c r="J17" s="46">
        <v>32.832000000000001</v>
      </c>
      <c r="K17" s="14">
        <v>19</v>
      </c>
      <c r="L17" s="14">
        <v>750000</v>
      </c>
      <c r="M17" s="14">
        <f t="shared" si="0"/>
        <v>24624000</v>
      </c>
      <c r="R17" s="111"/>
    </row>
    <row r="18" spans="1:18" x14ac:dyDescent="0.25">
      <c r="A18" s="7">
        <v>3</v>
      </c>
      <c r="B18" s="48">
        <v>46203</v>
      </c>
      <c r="C18" s="14">
        <v>73872000</v>
      </c>
      <c r="D18" s="50" t="s">
        <v>91</v>
      </c>
      <c r="E18" s="14"/>
      <c r="F18" s="7">
        <f>[1]!Таблица21339902946[[#This Row],[ ]]</f>
        <v>12</v>
      </c>
      <c r="G18" s="47">
        <v>46200</v>
      </c>
      <c r="H18" s="46" t="s">
        <v>46</v>
      </c>
      <c r="I18" s="46" t="s">
        <v>45</v>
      </c>
      <c r="J18" s="46">
        <v>32.832000000000001</v>
      </c>
      <c r="K18" s="14">
        <v>19</v>
      </c>
      <c r="L18" s="14">
        <v>750000</v>
      </c>
      <c r="M18" s="14">
        <f t="shared" si="0"/>
        <v>24624000</v>
      </c>
    </row>
    <row r="19" spans="1:18" x14ac:dyDescent="0.25">
      <c r="A19" s="7">
        <v>4</v>
      </c>
      <c r="B19" s="48"/>
      <c r="C19" s="14"/>
      <c r="D19" s="50"/>
      <c r="E19" s="14"/>
      <c r="F19" s="7">
        <f>[1]!Таблица21339902946[[#This Row],[ ]]</f>
        <v>13</v>
      </c>
      <c r="G19" s="47">
        <v>46200</v>
      </c>
      <c r="H19" s="46" t="s">
        <v>47</v>
      </c>
      <c r="I19" s="46" t="s">
        <v>25</v>
      </c>
      <c r="J19" s="46">
        <v>32.832000000000001</v>
      </c>
      <c r="K19" s="14">
        <v>19</v>
      </c>
      <c r="L19" s="14">
        <v>750000</v>
      </c>
      <c r="M19" s="14">
        <f t="shared" si="0"/>
        <v>24624000</v>
      </c>
    </row>
    <row r="20" spans="1:18" x14ac:dyDescent="0.25">
      <c r="A20" s="7">
        <v>5</v>
      </c>
      <c r="B20" s="48"/>
      <c r="C20" s="14"/>
      <c r="D20" s="50"/>
      <c r="E20" s="14"/>
      <c r="F20" s="7">
        <f>[1]!Таблица21339902946[[#This Row],[ ]]</f>
        <v>14</v>
      </c>
      <c r="G20" s="47">
        <v>46200</v>
      </c>
      <c r="H20" s="46" t="s">
        <v>48</v>
      </c>
      <c r="I20" s="46" t="s">
        <v>25</v>
      </c>
      <c r="J20" s="46">
        <v>32.832000000000001</v>
      </c>
      <c r="K20" s="14">
        <v>19</v>
      </c>
      <c r="L20" s="14">
        <v>750000</v>
      </c>
      <c r="M20" s="14">
        <f>J20*L20</f>
        <v>24624000</v>
      </c>
      <c r="R20" s="111"/>
    </row>
    <row r="21" spans="1:18" ht="15.75" x14ac:dyDescent="0.25">
      <c r="A21" s="8"/>
      <c r="B21" s="8"/>
      <c r="C21" s="14">
        <f>C18+C17+C16</f>
        <v>121824000</v>
      </c>
      <c r="D21" s="14"/>
      <c r="E21" s="14"/>
      <c r="F21" s="8"/>
      <c r="G21" s="48"/>
      <c r="H21" s="7"/>
      <c r="I21" s="7"/>
      <c r="J21" s="7"/>
      <c r="K21" s="14">
        <f>SUM(K16:K20)</f>
        <v>94</v>
      </c>
      <c r="L21" s="104"/>
      <c r="M21" s="105">
        <f>SUM(M16:M20)</f>
        <v>121824000</v>
      </c>
    </row>
    <row r="23" spans="1:18" x14ac:dyDescent="0.25">
      <c r="P23" s="111">
        <f>K15+K5</f>
        <v>132</v>
      </c>
    </row>
    <row r="24" spans="1:18" x14ac:dyDescent="0.25">
      <c r="R24" s="111"/>
    </row>
    <row r="25" spans="1:18" x14ac:dyDescent="0.25">
      <c r="M25">
        <f>J16*L16</f>
        <v>23328000</v>
      </c>
    </row>
    <row r="28" spans="1:18" x14ac:dyDescent="0.25">
      <c r="Q28" s="111"/>
    </row>
    <row r="29" spans="1:18" x14ac:dyDescent="0.25">
      <c r="Q29" s="111"/>
    </row>
    <row r="30" spans="1:18" x14ac:dyDescent="0.25">
      <c r="Q30" s="111"/>
    </row>
  </sheetData>
  <mergeCells count="29">
    <mergeCell ref="A11:E11"/>
    <mergeCell ref="H13:H15"/>
    <mergeCell ref="I13:I15"/>
    <mergeCell ref="J13:J15"/>
    <mergeCell ref="K13:K14"/>
    <mergeCell ref="L13:L15"/>
    <mergeCell ref="M13:M14"/>
    <mergeCell ref="A12:B12"/>
    <mergeCell ref="C12:D12"/>
    <mergeCell ref="F12:G12"/>
    <mergeCell ref="A13:A15"/>
    <mergeCell ref="B13:B15"/>
    <mergeCell ref="E13:E14"/>
    <mergeCell ref="F13:F15"/>
    <mergeCell ref="G13:G15"/>
    <mergeCell ref="H3:H5"/>
    <mergeCell ref="I3:I5"/>
    <mergeCell ref="J3:J5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</mergeCells>
  <hyperlinks>
    <hyperlink ref="D1" location="'Свод Завод'!R4" display="3-Сулаймон Ога Хазарасп" xr:uid="{EFDD5D41-478C-4775-BA97-5CDBB9CA034D}"/>
  </hyperlink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F73F-C0EC-46C3-BC8C-26690835B68D}">
  <dimension ref="A1:P21"/>
  <sheetViews>
    <sheetView workbookViewId="0">
      <selection activeCell="J15" sqref="J15"/>
    </sheetView>
  </sheetViews>
  <sheetFormatPr defaultRowHeight="15" x14ac:dyDescent="0.25"/>
  <cols>
    <col min="1" max="1" width="5.5703125" bestFit="1" customWidth="1"/>
    <col min="2" max="2" width="11.28515625" bestFit="1" customWidth="1"/>
    <col min="3" max="3" width="14.140625" bestFit="1" customWidth="1"/>
    <col min="4" max="4" width="26.85546875" bestFit="1" customWidth="1"/>
    <col min="6" max="6" width="6.7109375" bestFit="1" customWidth="1"/>
    <col min="7" max="7" width="11.28515625" bestFit="1" customWidth="1"/>
    <col min="8" max="8" width="21.7109375" bestFit="1" customWidth="1"/>
    <col min="9" max="9" width="13.42578125" bestFit="1" customWidth="1"/>
    <col min="13" max="13" width="14.140625" bestFit="1" customWidth="1"/>
  </cols>
  <sheetData>
    <row r="1" spans="1:16" ht="18" x14ac:dyDescent="0.25">
      <c r="A1" s="83"/>
      <c r="B1" s="82"/>
      <c r="C1" s="81" t="s">
        <v>71</v>
      </c>
      <c r="D1" s="85" t="s">
        <v>86</v>
      </c>
      <c r="E1" s="79"/>
      <c r="F1" s="1"/>
      <c r="G1" s="1"/>
      <c r="H1" s="1"/>
      <c r="I1" s="1"/>
      <c r="J1" s="1"/>
      <c r="K1" s="1"/>
      <c r="L1" s="1"/>
      <c r="M1" s="1"/>
    </row>
    <row r="2" spans="1:16" ht="20.25" x14ac:dyDescent="0.25">
      <c r="A2" s="78" t="s">
        <v>79</v>
      </c>
      <c r="B2" s="78"/>
      <c r="C2" s="77"/>
      <c r="D2" s="77"/>
      <c r="E2" s="76"/>
      <c r="F2" s="86">
        <f>Таблица2133990294[[#Totals],[2]]+-Таблица2133990294[[#Totals],[16]]</f>
        <v>0</v>
      </c>
      <c r="G2" s="87"/>
      <c r="H2" s="1"/>
      <c r="I2" s="1"/>
      <c r="J2" s="1"/>
      <c r="K2" s="58">
        <f>K5</f>
        <v>37</v>
      </c>
      <c r="L2" s="1"/>
      <c r="M2" s="1"/>
    </row>
    <row r="3" spans="1:16" ht="28.5" x14ac:dyDescent="0.25">
      <c r="A3" s="64" t="s">
        <v>76</v>
      </c>
      <c r="B3" s="64" t="s">
        <v>75</v>
      </c>
      <c r="C3" s="88" t="s">
        <v>72</v>
      </c>
      <c r="D3" s="88" t="s">
        <v>82</v>
      </c>
      <c r="E3" s="72" t="s">
        <v>77</v>
      </c>
      <c r="F3" s="60" t="s">
        <v>76</v>
      </c>
      <c r="G3" s="60" t="s">
        <v>75</v>
      </c>
      <c r="H3" s="60" t="s">
        <v>74</v>
      </c>
      <c r="I3" s="70" t="s">
        <v>6</v>
      </c>
      <c r="J3" s="71" t="s">
        <v>7</v>
      </c>
      <c r="K3" s="71" t="s">
        <v>73</v>
      </c>
      <c r="L3" s="60" t="s">
        <v>83</v>
      </c>
      <c r="M3" s="70" t="s">
        <v>72</v>
      </c>
    </row>
    <row r="4" spans="1:16" x14ac:dyDescent="0.25">
      <c r="A4" s="64"/>
      <c r="B4" s="64"/>
      <c r="C4" s="69"/>
      <c r="D4" s="68"/>
      <c r="E4" s="67"/>
      <c r="F4" s="60"/>
      <c r="G4" s="60"/>
      <c r="H4" s="60"/>
      <c r="I4" s="65"/>
      <c r="J4" s="65"/>
      <c r="K4" s="66"/>
      <c r="L4" s="60"/>
      <c r="M4" s="59"/>
    </row>
    <row r="5" spans="1:16" ht="15.75" x14ac:dyDescent="0.25">
      <c r="A5" s="64"/>
      <c r="B5" s="64"/>
      <c r="C5" s="89">
        <f>Таблица2133990294[[#Totals],[2]]</f>
        <v>47952000</v>
      </c>
      <c r="D5" s="62"/>
      <c r="E5" s="61">
        <f>SUM(Таблица2133990294[4])</f>
        <v>0</v>
      </c>
      <c r="F5" s="60"/>
      <c r="G5" s="60"/>
      <c r="H5" s="60"/>
      <c r="I5" s="59"/>
      <c r="J5" s="59"/>
      <c r="K5" s="58">
        <f>Таблица2133990294[[#Totals],[1132]]</f>
        <v>37</v>
      </c>
      <c r="L5" s="60"/>
      <c r="M5" s="90">
        <f>Таблица2133990294[[#Totals],[16]]</f>
        <v>47952000</v>
      </c>
    </row>
    <row r="6" spans="1:16" x14ac:dyDescent="0.25">
      <c r="A6" s="57" t="s">
        <v>71</v>
      </c>
      <c r="B6" s="56" t="s">
        <v>70</v>
      </c>
      <c r="C6" s="56" t="s">
        <v>69</v>
      </c>
      <c r="D6" s="56" t="s">
        <v>68</v>
      </c>
      <c r="E6" s="56" t="s">
        <v>67</v>
      </c>
      <c r="F6" s="56" t="s">
        <v>66</v>
      </c>
      <c r="G6" s="56" t="s">
        <v>65</v>
      </c>
      <c r="H6" s="56" t="s">
        <v>64</v>
      </c>
      <c r="I6" s="56" t="s">
        <v>63</v>
      </c>
      <c r="J6" s="56" t="s">
        <v>62</v>
      </c>
      <c r="K6" s="56" t="s">
        <v>61</v>
      </c>
      <c r="L6" s="56" t="s">
        <v>60</v>
      </c>
      <c r="M6" s="56" t="s">
        <v>59</v>
      </c>
    </row>
    <row r="7" spans="1:16" x14ac:dyDescent="0.25">
      <c r="A7" s="49">
        <v>1</v>
      </c>
      <c r="B7" s="47">
        <v>46202</v>
      </c>
      <c r="C7" s="55">
        <v>47952000</v>
      </c>
      <c r="D7" s="50" t="s">
        <v>87</v>
      </c>
      <c r="E7" s="14"/>
      <c r="F7" s="7">
        <f>Таблица2133990294[[#This Row],[ ]]</f>
        <v>1</v>
      </c>
      <c r="G7" s="50">
        <v>46198</v>
      </c>
      <c r="H7" s="54" t="s">
        <v>42</v>
      </c>
      <c r="I7" s="53" t="s">
        <v>25</v>
      </c>
      <c r="J7" s="52">
        <v>32.832000000000001</v>
      </c>
      <c r="K7" s="51">
        <v>19</v>
      </c>
      <c r="L7" s="45">
        <v>750000</v>
      </c>
      <c r="M7" s="14">
        <f>Таблица2133990294[[#This Row],[113]]*Таблица2133990294[[#This Row],[15]]</f>
        <v>24624000</v>
      </c>
    </row>
    <row r="8" spans="1:16" x14ac:dyDescent="0.25">
      <c r="A8" s="49">
        <v>2</v>
      </c>
      <c r="B8" s="48"/>
      <c r="C8" s="14"/>
      <c r="D8" s="50"/>
      <c r="E8" s="14"/>
      <c r="F8" s="7">
        <f>Таблица2133990294[[#This Row],[ ]]</f>
        <v>2</v>
      </c>
      <c r="G8" s="47">
        <v>46198</v>
      </c>
      <c r="H8" s="46" t="s">
        <v>43</v>
      </c>
      <c r="I8" s="46" t="s">
        <v>25</v>
      </c>
      <c r="J8" s="46">
        <v>31.103999999999999</v>
      </c>
      <c r="K8" s="14">
        <v>18</v>
      </c>
      <c r="L8" s="45">
        <v>750000</v>
      </c>
      <c r="M8" s="14">
        <f>Таблица2133990294[[#This Row],[113]]*Таблица2133990294[[#This Row],[15]]</f>
        <v>23328000</v>
      </c>
    </row>
    <row r="9" spans="1:16" x14ac:dyDescent="0.25">
      <c r="A9" s="44"/>
      <c r="B9" s="8"/>
      <c r="C9" s="14">
        <f>SUBTOTAL(109,Таблица2133990294[2])</f>
        <v>47952000</v>
      </c>
      <c r="D9" s="14"/>
      <c r="E9" s="43"/>
      <c r="F9" s="42"/>
      <c r="G9" s="41"/>
      <c r="H9" s="40"/>
      <c r="I9" s="40"/>
      <c r="J9" s="40"/>
      <c r="K9" s="40">
        <f>SUBTOTAL(109,Таблица2133990294[1132])</f>
        <v>37</v>
      </c>
      <c r="L9" s="38"/>
      <c r="M9" s="38">
        <f>SUBTOTAL(109,Таблица2133990294[16])</f>
        <v>47952000</v>
      </c>
    </row>
    <row r="14" spans="1:16" x14ac:dyDescent="0.25">
      <c r="P14" s="111">
        <f>F2</f>
        <v>0</v>
      </c>
    </row>
    <row r="21" spans="16:16" x14ac:dyDescent="0.25">
      <c r="P21" s="111">
        <f>K5</f>
        <v>37</v>
      </c>
    </row>
  </sheetData>
  <mergeCells count="14">
    <mergeCell ref="H3:H5"/>
    <mergeCell ref="I3:I5"/>
    <mergeCell ref="J3:J5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</mergeCells>
  <hyperlinks>
    <hyperlink ref="D1" location="'Свод Завод'!A1" display="1-Индира Расулбек" xr:uid="{B79D37A9-9379-456E-9B03-9159FBE9D2A0}"/>
  </hyperlink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09BF-FFF0-441A-8809-A72D87F80BBA}">
  <dimension ref="A1:T51"/>
  <sheetViews>
    <sheetView topLeftCell="A3" workbookViewId="0">
      <selection activeCell="S18" sqref="S18"/>
    </sheetView>
  </sheetViews>
  <sheetFormatPr defaultRowHeight="15" x14ac:dyDescent="0.25"/>
  <cols>
    <col min="1" max="1" width="5.5703125" bestFit="1" customWidth="1"/>
    <col min="2" max="2" width="11.28515625" bestFit="1" customWidth="1"/>
    <col min="3" max="3" width="12.7109375" bestFit="1" customWidth="1"/>
    <col min="4" max="4" width="28.85546875" bestFit="1" customWidth="1"/>
    <col min="5" max="5" width="18.140625" bestFit="1" customWidth="1"/>
    <col min="7" max="7" width="11.28515625" bestFit="1" customWidth="1"/>
    <col min="8" max="8" width="12.85546875" bestFit="1" customWidth="1"/>
    <col min="9" max="9" width="13.42578125" bestFit="1" customWidth="1"/>
    <col min="10" max="10" width="9" bestFit="1" customWidth="1"/>
    <col min="11" max="11" width="10.140625" bestFit="1" customWidth="1"/>
    <col min="12" max="12" width="8.42578125" bestFit="1" customWidth="1"/>
    <col min="13" max="13" width="12.42578125" bestFit="1" customWidth="1"/>
    <col min="15" max="15" width="9.85546875" bestFit="1" customWidth="1"/>
    <col min="16" max="16" width="10.85546875" bestFit="1" customWidth="1"/>
    <col min="17" max="17" width="11.5703125" bestFit="1" customWidth="1"/>
    <col min="20" max="20" width="9.85546875" bestFit="1" customWidth="1"/>
  </cols>
  <sheetData>
    <row r="1" spans="1:16" ht="15.75" x14ac:dyDescent="0.25">
      <c r="A1" s="83"/>
      <c r="B1" s="82"/>
      <c r="C1" s="81"/>
      <c r="D1" s="80" t="s">
        <v>80</v>
      </c>
      <c r="E1" s="79"/>
      <c r="F1" s="1"/>
      <c r="G1" s="1"/>
      <c r="H1" s="1"/>
      <c r="I1" s="1"/>
      <c r="J1" s="1"/>
      <c r="K1" s="1"/>
      <c r="L1" s="1"/>
      <c r="M1" s="1"/>
    </row>
    <row r="2" spans="1:16" ht="15.75" x14ac:dyDescent="0.25">
      <c r="A2" s="78" t="s">
        <v>79</v>
      </c>
      <c r="B2" s="78"/>
      <c r="C2" s="77"/>
      <c r="D2" s="77"/>
      <c r="E2" s="76"/>
      <c r="F2" s="75">
        <f>Таблица2133990[[#Totals],[2]]+-Таблица2133990[[#Totals],[16]]</f>
        <v>1.6896001994609833E-2</v>
      </c>
      <c r="G2" s="75"/>
      <c r="H2" s="1"/>
      <c r="I2" s="1"/>
      <c r="J2" s="1"/>
      <c r="K2" s="58">
        <f>K5</f>
        <v>36</v>
      </c>
      <c r="L2" s="1"/>
      <c r="M2" s="1"/>
    </row>
    <row r="3" spans="1:16" x14ac:dyDescent="0.25">
      <c r="A3" s="64" t="s">
        <v>76</v>
      </c>
      <c r="B3" s="64" t="s">
        <v>75</v>
      </c>
      <c r="C3" s="74" t="s">
        <v>72</v>
      </c>
      <c r="D3" s="73" t="s">
        <v>78</v>
      </c>
      <c r="E3" s="72" t="s">
        <v>77</v>
      </c>
      <c r="F3" s="60" t="s">
        <v>76</v>
      </c>
      <c r="G3" s="60" t="s">
        <v>75</v>
      </c>
      <c r="H3" s="60" t="s">
        <v>74</v>
      </c>
      <c r="I3" s="70" t="s">
        <v>6</v>
      </c>
      <c r="J3" s="71" t="s">
        <v>7</v>
      </c>
      <c r="K3" s="71" t="s">
        <v>73</v>
      </c>
      <c r="L3" s="71" t="s">
        <v>14</v>
      </c>
      <c r="M3" s="70" t="s">
        <v>72</v>
      </c>
    </row>
    <row r="4" spans="1:16" x14ac:dyDescent="0.25">
      <c r="A4" s="64"/>
      <c r="B4" s="64"/>
      <c r="C4" s="69"/>
      <c r="D4" s="68"/>
      <c r="E4" s="67"/>
      <c r="F4" s="60"/>
      <c r="G4" s="60"/>
      <c r="H4" s="60"/>
      <c r="I4" s="65"/>
      <c r="J4" s="65"/>
      <c r="K4" s="66"/>
      <c r="L4" s="65"/>
      <c r="M4" s="65"/>
    </row>
    <row r="5" spans="1:16" x14ac:dyDescent="0.25">
      <c r="A5" s="64"/>
      <c r="B5" s="64"/>
      <c r="C5" s="63">
        <f>Таблица2133990[[#Totals],[2]]</f>
        <v>45570000</v>
      </c>
      <c r="D5" s="62"/>
      <c r="E5" s="61">
        <f>SUM(Таблица2133990[4])</f>
        <v>0</v>
      </c>
      <c r="F5" s="60"/>
      <c r="G5" s="60"/>
      <c r="H5" s="60"/>
      <c r="I5" s="59"/>
      <c r="J5" s="59"/>
      <c r="K5" s="58">
        <f>Таблица2133990[[#Totals],[1132]]</f>
        <v>36</v>
      </c>
      <c r="L5" s="59"/>
      <c r="M5" s="58">
        <f>Таблица2133990[[#Totals],[16]]</f>
        <v>45569999.983103998</v>
      </c>
    </row>
    <row r="6" spans="1:16" x14ac:dyDescent="0.25">
      <c r="A6" s="57" t="s">
        <v>71</v>
      </c>
      <c r="B6" s="56" t="s">
        <v>70</v>
      </c>
      <c r="C6" s="56" t="s">
        <v>69</v>
      </c>
      <c r="D6" s="56" t="s">
        <v>68</v>
      </c>
      <c r="E6" s="56" t="s">
        <v>67</v>
      </c>
      <c r="F6" s="56" t="s">
        <v>66</v>
      </c>
      <c r="G6" s="56" t="s">
        <v>65</v>
      </c>
      <c r="H6" s="56" t="s">
        <v>64</v>
      </c>
      <c r="I6" s="56" t="s">
        <v>63</v>
      </c>
      <c r="J6" s="56" t="s">
        <v>62</v>
      </c>
      <c r="K6" s="56" t="s">
        <v>61</v>
      </c>
      <c r="L6" s="56" t="s">
        <v>60</v>
      </c>
      <c r="M6" s="56" t="s">
        <v>59</v>
      </c>
    </row>
    <row r="7" spans="1:16" x14ac:dyDescent="0.25">
      <c r="A7" s="49">
        <v>1</v>
      </c>
      <c r="B7" s="47">
        <v>46198</v>
      </c>
      <c r="C7" s="55">
        <v>45570000</v>
      </c>
      <c r="D7" s="50" t="s">
        <v>58</v>
      </c>
      <c r="E7" s="14"/>
      <c r="F7" s="7">
        <f>Таблица2133990[[#This Row],[ ]]</f>
        <v>1</v>
      </c>
      <c r="G7" s="50">
        <v>46197</v>
      </c>
      <c r="H7" s="54" t="s">
        <v>24</v>
      </c>
      <c r="I7" s="53" t="s">
        <v>25</v>
      </c>
      <c r="J7" s="52">
        <v>31.103999999999999</v>
      </c>
      <c r="K7" s="51">
        <v>18</v>
      </c>
      <c r="L7" s="14">
        <v>732542.43799999997</v>
      </c>
      <c r="M7" s="14">
        <f>Таблица2133990[[#This Row],[113]]*(Таблица2133990[[#This Row],[15]])</f>
        <v>22784999.991551999</v>
      </c>
      <c r="O7" s="111">
        <f>K2+K12+K23+K32+K43</f>
        <v>168</v>
      </c>
    </row>
    <row r="8" spans="1:16" x14ac:dyDescent="0.25">
      <c r="A8" s="49">
        <v>2</v>
      </c>
      <c r="B8" s="48"/>
      <c r="C8" s="14"/>
      <c r="D8" s="50"/>
      <c r="E8" s="14"/>
      <c r="F8" s="7">
        <f>Таблица2133990[[#This Row],[ ]]</f>
        <v>2</v>
      </c>
      <c r="G8" s="47">
        <v>46197</v>
      </c>
      <c r="H8" s="46" t="s">
        <v>28</v>
      </c>
      <c r="I8" s="46" t="s">
        <v>25</v>
      </c>
      <c r="J8" s="46">
        <v>31.103999999999999</v>
      </c>
      <c r="K8" s="14">
        <v>18</v>
      </c>
      <c r="L8" s="14">
        <v>732542.43799999997</v>
      </c>
      <c r="M8" s="14">
        <f>Таблица2133990[[#This Row],[113]]*(Таблица2133990[[#This Row],[15]])</f>
        <v>22784999.991551999</v>
      </c>
    </row>
    <row r="9" spans="1:16" x14ac:dyDescent="0.25">
      <c r="A9" s="44"/>
      <c r="B9" s="42"/>
      <c r="C9" s="43">
        <f>SUBTOTAL(109,Таблица2133990[2])</f>
        <v>45570000</v>
      </c>
      <c r="D9" s="43"/>
      <c r="E9" s="43"/>
      <c r="F9" s="42"/>
      <c r="G9" s="41"/>
      <c r="H9" s="40"/>
      <c r="I9" s="40"/>
      <c r="J9" s="40"/>
      <c r="K9" s="39">
        <f>SUBTOTAL(109,Таблица2133990[1132])</f>
        <v>36</v>
      </c>
      <c r="L9" s="38"/>
      <c r="M9" s="38">
        <f>SUBTOTAL(109,Таблица2133990[16])</f>
        <v>45569999.983103998</v>
      </c>
    </row>
    <row r="11" spans="1:16" ht="18" x14ac:dyDescent="0.25">
      <c r="A11" s="83"/>
      <c r="B11" s="82"/>
      <c r="C11" s="81" t="s">
        <v>71</v>
      </c>
      <c r="D11" s="85" t="s">
        <v>81</v>
      </c>
      <c r="E11" s="79"/>
      <c r="F11" s="1"/>
      <c r="G11" s="1"/>
      <c r="H11" s="1"/>
      <c r="I11" s="1"/>
      <c r="J11" s="1"/>
      <c r="K11" s="1"/>
      <c r="L11" s="1"/>
      <c r="M11" s="1"/>
    </row>
    <row r="12" spans="1:16" ht="20.25" x14ac:dyDescent="0.25">
      <c r="A12" s="78" t="s">
        <v>79</v>
      </c>
      <c r="B12" s="78"/>
      <c r="C12" s="77"/>
      <c r="D12" s="77"/>
      <c r="E12" s="76"/>
      <c r="F12" s="86">
        <f>Таблица213399029[[#Totals],[2]]+-Таблица213399029[[#Totals],[16]]</f>
        <v>-72394560</v>
      </c>
      <c r="G12" s="87"/>
      <c r="H12" s="1"/>
      <c r="I12" s="1"/>
      <c r="J12" s="1"/>
      <c r="K12" s="58">
        <f>K15</f>
        <v>57</v>
      </c>
      <c r="L12" s="1"/>
      <c r="M12" s="1"/>
    </row>
    <row r="13" spans="1:16" ht="15" customHeight="1" x14ac:dyDescent="0.25">
      <c r="A13" s="64" t="s">
        <v>76</v>
      </c>
      <c r="B13" s="64" t="s">
        <v>75</v>
      </c>
      <c r="C13" s="88" t="s">
        <v>72</v>
      </c>
      <c r="D13" s="88" t="s">
        <v>82</v>
      </c>
      <c r="E13" s="72" t="s">
        <v>77</v>
      </c>
      <c r="F13" s="60" t="s">
        <v>76</v>
      </c>
      <c r="G13" s="60" t="s">
        <v>75</v>
      </c>
      <c r="H13" s="60" t="s">
        <v>74</v>
      </c>
      <c r="I13" s="70" t="s">
        <v>6</v>
      </c>
      <c r="J13" s="71" t="s">
        <v>7</v>
      </c>
      <c r="K13" s="71" t="s">
        <v>73</v>
      </c>
      <c r="L13" s="60" t="s">
        <v>83</v>
      </c>
      <c r="M13" s="70" t="s">
        <v>72</v>
      </c>
    </row>
    <row r="14" spans="1:16" x14ac:dyDescent="0.25">
      <c r="A14" s="64"/>
      <c r="B14" s="64"/>
      <c r="C14" s="69"/>
      <c r="D14" s="68"/>
      <c r="E14" s="67"/>
      <c r="F14" s="60"/>
      <c r="G14" s="60"/>
      <c r="H14" s="60"/>
      <c r="I14" s="65"/>
      <c r="J14" s="65"/>
      <c r="K14" s="66"/>
      <c r="L14" s="60"/>
      <c r="M14" s="59"/>
      <c r="P14" s="111">
        <f>M5+M15+M26+M35+M46</f>
        <v>209833679.98310399</v>
      </c>
    </row>
    <row r="15" spans="1:16" ht="15.75" x14ac:dyDescent="0.25">
      <c r="A15" s="64"/>
      <c r="B15" s="64"/>
      <c r="C15" s="89">
        <f>Таблица213399029[[#Totals],[2]]</f>
        <v>0</v>
      </c>
      <c r="D15" s="62"/>
      <c r="E15" s="61">
        <f>SUM(Таблица213399029[4])</f>
        <v>0</v>
      </c>
      <c r="F15" s="60"/>
      <c r="G15" s="60"/>
      <c r="H15" s="60"/>
      <c r="I15" s="59"/>
      <c r="J15" s="59"/>
      <c r="K15" s="58">
        <f>Таблица213399029[[#Totals],[1132]]</f>
        <v>57</v>
      </c>
      <c r="L15" s="60"/>
      <c r="M15" s="90">
        <f>Таблица213399029[[#Totals],[16]]</f>
        <v>72394560</v>
      </c>
      <c r="P15" s="111">
        <f>C5+C15+C26+C35+C46</f>
        <v>68273000</v>
      </c>
    </row>
    <row r="16" spans="1:16" x14ac:dyDescent="0.25">
      <c r="A16" s="57" t="s">
        <v>71</v>
      </c>
      <c r="B16" s="56" t="s">
        <v>70</v>
      </c>
      <c r="C16" s="56" t="s">
        <v>69</v>
      </c>
      <c r="D16" s="56" t="s">
        <v>68</v>
      </c>
      <c r="E16" s="56" t="s">
        <v>67</v>
      </c>
      <c r="F16" s="56" t="s">
        <v>66</v>
      </c>
      <c r="G16" s="56" t="s">
        <v>65</v>
      </c>
      <c r="H16" s="56" t="s">
        <v>64</v>
      </c>
      <c r="I16" s="56" t="s">
        <v>63</v>
      </c>
      <c r="J16" s="56" t="s">
        <v>62</v>
      </c>
      <c r="K16" s="56" t="s">
        <v>61</v>
      </c>
      <c r="L16" s="56" t="s">
        <v>60</v>
      </c>
      <c r="M16" s="56" t="s">
        <v>59</v>
      </c>
    </row>
    <row r="17" spans="1:17" x14ac:dyDescent="0.25">
      <c r="A17" s="49">
        <v>1</v>
      </c>
      <c r="B17" s="47"/>
      <c r="C17" s="55"/>
      <c r="D17" s="50"/>
      <c r="E17" s="14"/>
      <c r="F17" s="7">
        <f>Таблица213399029[[#This Row],[ ]]</f>
        <v>1</v>
      </c>
      <c r="G17" s="50">
        <v>46198</v>
      </c>
      <c r="H17" s="54" t="s">
        <v>37</v>
      </c>
      <c r="I17" s="53" t="s">
        <v>25</v>
      </c>
      <c r="J17" s="52">
        <v>32.832000000000001</v>
      </c>
      <c r="K17" s="51">
        <v>19</v>
      </c>
      <c r="L17" s="7">
        <v>735000</v>
      </c>
      <c r="M17" s="14">
        <f>Таблица213399029[[#This Row],[113]]*Таблица213399029[[#This Row],[15]]</f>
        <v>24131520</v>
      </c>
    </row>
    <row r="18" spans="1:17" x14ac:dyDescent="0.25">
      <c r="A18" s="49">
        <v>2</v>
      </c>
      <c r="B18" s="48"/>
      <c r="C18" s="14"/>
      <c r="D18" s="50"/>
      <c r="E18" s="14"/>
      <c r="F18" s="7">
        <f>Таблица213399029[[#This Row],[ ]]</f>
        <v>2</v>
      </c>
      <c r="G18" s="47">
        <v>46198</v>
      </c>
      <c r="H18" s="46" t="s">
        <v>38</v>
      </c>
      <c r="I18" s="46" t="s">
        <v>25</v>
      </c>
      <c r="J18" s="46">
        <v>32.832000000000001</v>
      </c>
      <c r="K18" s="14">
        <v>19</v>
      </c>
      <c r="L18" s="45">
        <v>735000</v>
      </c>
      <c r="M18" s="14">
        <f>Таблица213399029[[#This Row],[113]]*Таблица213399029[[#This Row],[15]]</f>
        <v>24131520</v>
      </c>
    </row>
    <row r="19" spans="1:17" x14ac:dyDescent="0.25">
      <c r="A19" s="49">
        <v>3</v>
      </c>
      <c r="B19" s="48"/>
      <c r="C19" s="14"/>
      <c r="D19" s="50"/>
      <c r="E19" s="14"/>
      <c r="F19" s="7">
        <f>Таблица213399029[[#This Row],[ ]]</f>
        <v>3</v>
      </c>
      <c r="G19" s="47">
        <v>46198</v>
      </c>
      <c r="H19" s="46" t="s">
        <v>39</v>
      </c>
      <c r="I19" s="46" t="s">
        <v>25</v>
      </c>
      <c r="J19" s="46">
        <v>32.832000000000001</v>
      </c>
      <c r="K19" s="14">
        <v>19</v>
      </c>
      <c r="L19" s="45">
        <v>735000</v>
      </c>
      <c r="M19" s="14">
        <f>Таблица213399029[[#This Row],[113]]*Таблица213399029[[#This Row],[15]]</f>
        <v>24131520</v>
      </c>
    </row>
    <row r="20" spans="1:17" x14ac:dyDescent="0.25">
      <c r="A20" s="44"/>
      <c r="B20" s="8"/>
      <c r="C20" s="14">
        <f>SUBTOTAL(109,Таблица213399029[2])</f>
        <v>0</v>
      </c>
      <c r="D20" s="14"/>
      <c r="E20" s="43"/>
      <c r="F20" s="42"/>
      <c r="G20" s="41"/>
      <c r="H20" s="40"/>
      <c r="I20" s="40"/>
      <c r="J20" s="40"/>
      <c r="K20" s="40">
        <f>SUBTOTAL(109,Таблица213399029[1132])</f>
        <v>57</v>
      </c>
      <c r="L20" s="38"/>
      <c r="M20" s="38">
        <f>SUBTOTAL(109,Таблица213399029[16])</f>
        <v>72394560</v>
      </c>
      <c r="Q20" s="111">
        <f>P15-P14</f>
        <v>-141560679.98310399</v>
      </c>
    </row>
    <row r="22" spans="1:17" ht="15.75" x14ac:dyDescent="0.25">
      <c r="A22" s="83"/>
      <c r="B22" s="82"/>
      <c r="C22" s="81" t="s">
        <v>71</v>
      </c>
      <c r="D22" s="91" t="s">
        <v>84</v>
      </c>
      <c r="E22" s="79"/>
      <c r="F22" s="1"/>
      <c r="G22" s="1"/>
      <c r="H22" s="1"/>
      <c r="I22" s="1"/>
      <c r="J22" s="1"/>
      <c r="K22" s="1"/>
      <c r="L22" s="1"/>
      <c r="M22" s="1"/>
    </row>
    <row r="23" spans="1:17" ht="20.25" x14ac:dyDescent="0.25">
      <c r="A23" s="78" t="s">
        <v>79</v>
      </c>
      <c r="B23" s="78"/>
      <c r="C23" s="77"/>
      <c r="D23" s="77"/>
      <c r="E23" s="76"/>
      <c r="F23" s="86">
        <f>Таблица2133990291011[[#Totals],[2]]+-Таблица2133990291011[[#Totals],[16]]</f>
        <v>-24131520</v>
      </c>
      <c r="G23" s="87"/>
      <c r="H23" s="1"/>
      <c r="I23" s="1"/>
      <c r="J23" s="1"/>
      <c r="K23" s="58">
        <f>K26</f>
        <v>19</v>
      </c>
      <c r="L23" s="1"/>
      <c r="M23" s="1"/>
    </row>
    <row r="24" spans="1:17" ht="15" customHeight="1" x14ac:dyDescent="0.25">
      <c r="A24" s="64" t="s">
        <v>76</v>
      </c>
      <c r="B24" s="64" t="s">
        <v>75</v>
      </c>
      <c r="C24" s="88" t="s">
        <v>72</v>
      </c>
      <c r="D24" s="88" t="s">
        <v>82</v>
      </c>
      <c r="E24" s="72" t="s">
        <v>77</v>
      </c>
      <c r="F24" s="60" t="s">
        <v>76</v>
      </c>
      <c r="G24" s="60" t="s">
        <v>75</v>
      </c>
      <c r="H24" s="60" t="s">
        <v>74</v>
      </c>
      <c r="I24" s="70" t="s">
        <v>6</v>
      </c>
      <c r="J24" s="71" t="s">
        <v>7</v>
      </c>
      <c r="K24" s="71" t="s">
        <v>73</v>
      </c>
      <c r="L24" s="60" t="s">
        <v>83</v>
      </c>
      <c r="M24" s="70" t="s">
        <v>72</v>
      </c>
    </row>
    <row r="25" spans="1:17" x14ac:dyDescent="0.25">
      <c r="A25" s="64"/>
      <c r="B25" s="64"/>
      <c r="C25" s="69"/>
      <c r="D25" s="68"/>
      <c r="E25" s="67"/>
      <c r="F25" s="60"/>
      <c r="G25" s="60"/>
      <c r="H25" s="60"/>
      <c r="I25" s="65"/>
      <c r="J25" s="65"/>
      <c r="K25" s="66"/>
      <c r="L25" s="60"/>
      <c r="M25" s="59"/>
    </row>
    <row r="26" spans="1:17" ht="15.75" x14ac:dyDescent="0.25">
      <c r="A26" s="64"/>
      <c r="B26" s="64"/>
      <c r="C26" s="89">
        <f>Таблица2133990291011[[#Totals],[2]]</f>
        <v>0</v>
      </c>
      <c r="D26" s="62"/>
      <c r="E26" s="61">
        <f>SUM(Таблица2133990291011[4])</f>
        <v>0</v>
      </c>
      <c r="F26" s="60"/>
      <c r="G26" s="60"/>
      <c r="H26" s="60"/>
      <c r="I26" s="59"/>
      <c r="J26" s="59"/>
      <c r="K26" s="58">
        <f>Таблица2133990291011[[#Totals],[1132]]</f>
        <v>19</v>
      </c>
      <c r="L26" s="60"/>
      <c r="M26" s="90">
        <f>Таблица2133990291011[[#Totals],[16]]</f>
        <v>24131520</v>
      </c>
    </row>
    <row r="27" spans="1:17" x14ac:dyDescent="0.25">
      <c r="A27" s="57" t="s">
        <v>71</v>
      </c>
      <c r="B27" s="56" t="s">
        <v>70</v>
      </c>
      <c r="C27" s="56" t="s">
        <v>69</v>
      </c>
      <c r="D27" s="56" t="s">
        <v>68</v>
      </c>
      <c r="E27" s="56" t="s">
        <v>67</v>
      </c>
      <c r="F27" s="56" t="s">
        <v>66</v>
      </c>
      <c r="G27" s="56" t="s">
        <v>65</v>
      </c>
      <c r="H27" s="56" t="s">
        <v>64</v>
      </c>
      <c r="I27" s="56" t="s">
        <v>63</v>
      </c>
      <c r="J27" s="56" t="s">
        <v>62</v>
      </c>
      <c r="K27" s="56" t="s">
        <v>61</v>
      </c>
      <c r="L27" s="56" t="s">
        <v>60</v>
      </c>
      <c r="M27" s="56" t="s">
        <v>59</v>
      </c>
    </row>
    <row r="28" spans="1:17" x14ac:dyDescent="0.25">
      <c r="A28" s="49">
        <v>1</v>
      </c>
      <c r="B28" s="47"/>
      <c r="C28" s="55"/>
      <c r="D28" s="50"/>
      <c r="E28" s="14"/>
      <c r="F28" s="7">
        <f>Таблица2133990291011[[#This Row],[ ]]</f>
        <v>1</v>
      </c>
      <c r="G28" s="50">
        <v>46203</v>
      </c>
      <c r="H28" s="54" t="s">
        <v>57</v>
      </c>
      <c r="I28" s="53" t="s">
        <v>25</v>
      </c>
      <c r="J28" s="52">
        <v>32.832000000000001</v>
      </c>
      <c r="K28" s="51">
        <v>19</v>
      </c>
      <c r="L28" s="7">
        <v>735000</v>
      </c>
      <c r="M28" s="14">
        <f>Таблица2133990291011[[#This Row],[113]]*Таблица2133990291011[[#This Row],[15]]</f>
        <v>24131520</v>
      </c>
    </row>
    <row r="29" spans="1:17" x14ac:dyDescent="0.25">
      <c r="A29" s="44"/>
      <c r="B29" s="8"/>
      <c r="C29" s="14">
        <f>SUBTOTAL(109,Таблица2133990291011[2])</f>
        <v>0</v>
      </c>
      <c r="D29" s="14"/>
      <c r="E29" s="43"/>
      <c r="F29" s="42"/>
      <c r="G29" s="41"/>
      <c r="H29" s="40"/>
      <c r="I29" s="40"/>
      <c r="J29" s="40"/>
      <c r="K29" s="40">
        <f>SUBTOTAL(109,Таблица2133990291011[1132])</f>
        <v>19</v>
      </c>
      <c r="L29" s="38"/>
      <c r="M29" s="38">
        <f>SUBTOTAL(109,Таблица2133990291011[16])</f>
        <v>24131520</v>
      </c>
    </row>
    <row r="31" spans="1:17" ht="18" x14ac:dyDescent="0.25">
      <c r="A31" s="92"/>
      <c r="B31" s="92"/>
      <c r="C31" s="93" t="s">
        <v>71</v>
      </c>
      <c r="D31" s="94" t="s">
        <v>85</v>
      </c>
      <c r="E31" s="79"/>
      <c r="F31" s="1"/>
      <c r="G31" s="1"/>
      <c r="H31" s="1"/>
      <c r="I31" s="1"/>
      <c r="J31" s="1"/>
      <c r="K31" s="1"/>
      <c r="L31" s="1"/>
      <c r="M31" s="1"/>
    </row>
    <row r="32" spans="1:17" ht="18" x14ac:dyDescent="0.25">
      <c r="A32" s="95" t="s">
        <v>79</v>
      </c>
      <c r="B32" s="95"/>
      <c r="C32" s="96"/>
      <c r="D32" s="96"/>
      <c r="E32" s="76"/>
      <c r="F32" s="97">
        <f>Таблица213399028[[#Totals],[2]]+-Таблица213399028[[#Totals],[16]]</f>
        <v>-67737600</v>
      </c>
      <c r="G32" s="97"/>
      <c r="H32" s="1"/>
      <c r="I32" s="1"/>
      <c r="J32" s="1"/>
      <c r="K32" s="58">
        <f>K35</f>
        <v>56</v>
      </c>
      <c r="L32" s="1"/>
      <c r="M32" s="1"/>
    </row>
    <row r="33" spans="1:17" ht="15" customHeight="1" x14ac:dyDescent="0.25">
      <c r="A33" s="64" t="s">
        <v>76</v>
      </c>
      <c r="B33" s="64" t="s">
        <v>75</v>
      </c>
      <c r="C33" s="88" t="s">
        <v>72</v>
      </c>
      <c r="D33" s="88" t="s">
        <v>82</v>
      </c>
      <c r="E33" s="72" t="s">
        <v>77</v>
      </c>
      <c r="F33" s="70" t="s">
        <v>76</v>
      </c>
      <c r="G33" s="60" t="s">
        <v>75</v>
      </c>
      <c r="H33" s="60" t="s">
        <v>74</v>
      </c>
      <c r="I33" s="70" t="s">
        <v>6</v>
      </c>
      <c r="J33" s="71" t="s">
        <v>7</v>
      </c>
      <c r="K33" s="71" t="s">
        <v>73</v>
      </c>
      <c r="L33" s="60" t="s">
        <v>83</v>
      </c>
      <c r="M33" s="70" t="s">
        <v>72</v>
      </c>
    </row>
    <row r="34" spans="1:17" x14ac:dyDescent="0.25">
      <c r="A34" s="64"/>
      <c r="B34" s="64"/>
      <c r="C34" s="69"/>
      <c r="D34" s="68"/>
      <c r="E34" s="67"/>
      <c r="F34" s="65"/>
      <c r="G34" s="60"/>
      <c r="H34" s="60"/>
      <c r="I34" s="65"/>
      <c r="J34" s="65"/>
      <c r="K34" s="66"/>
      <c r="L34" s="60"/>
      <c r="M34" s="59"/>
    </row>
    <row r="35" spans="1:17" ht="15.75" x14ac:dyDescent="0.25">
      <c r="A35" s="64"/>
      <c r="B35" s="64"/>
      <c r="C35" s="89">
        <f>Таблица213399028[[#Totals],[2]]</f>
        <v>0</v>
      </c>
      <c r="D35" s="62"/>
      <c r="E35" s="61">
        <f>SUM(Таблица213399028[4])</f>
        <v>0</v>
      </c>
      <c r="F35" s="59"/>
      <c r="G35" s="60"/>
      <c r="H35" s="60"/>
      <c r="I35" s="59"/>
      <c r="J35" s="59"/>
      <c r="K35" s="58">
        <f>Таблица213399028[[#Totals],[1132]]</f>
        <v>56</v>
      </c>
      <c r="L35" s="60"/>
      <c r="M35" s="90">
        <f>Таблица213399028[[#Totals],[16]]</f>
        <v>67737600</v>
      </c>
    </row>
    <row r="36" spans="1:17" x14ac:dyDescent="0.25">
      <c r="A36" s="57" t="s">
        <v>71</v>
      </c>
      <c r="B36" s="56" t="s">
        <v>70</v>
      </c>
      <c r="C36" s="56" t="s">
        <v>69</v>
      </c>
      <c r="D36" s="56" t="s">
        <v>68</v>
      </c>
      <c r="E36" s="56" t="s">
        <v>67</v>
      </c>
      <c r="F36" s="56" t="s">
        <v>66</v>
      </c>
      <c r="G36" s="56" t="s">
        <v>65</v>
      </c>
      <c r="H36" s="56" t="s">
        <v>64</v>
      </c>
      <c r="I36" s="56" t="s">
        <v>63</v>
      </c>
      <c r="J36" s="56" t="s">
        <v>62</v>
      </c>
      <c r="K36" s="56" t="s">
        <v>61</v>
      </c>
      <c r="L36" s="56" t="s">
        <v>60</v>
      </c>
      <c r="M36" s="56" t="s">
        <v>59</v>
      </c>
    </row>
    <row r="37" spans="1:17" x14ac:dyDescent="0.25">
      <c r="A37" s="49">
        <v>1</v>
      </c>
      <c r="B37" s="47"/>
      <c r="C37" s="55"/>
      <c r="D37" s="50"/>
      <c r="E37" s="14"/>
      <c r="F37" s="7">
        <f>Таблица213399028[[#This Row],[ ]]</f>
        <v>1</v>
      </c>
      <c r="G37" s="50">
        <v>46197</v>
      </c>
      <c r="H37" s="54" t="s">
        <v>30</v>
      </c>
      <c r="I37" s="53" t="s">
        <v>25</v>
      </c>
      <c r="J37" s="52">
        <v>31.103999999999999</v>
      </c>
      <c r="K37" s="51">
        <v>18</v>
      </c>
      <c r="L37" s="7">
        <v>700000</v>
      </c>
      <c r="M37" s="14">
        <f>Таблица213399028[[#This Row],[113]]*Таблица213399028[[#This Row],[15]]</f>
        <v>21772800</v>
      </c>
      <c r="Q37" s="111">
        <f>F2+F12+F23+F32+F43</f>
        <v>-141560679.98310399</v>
      </c>
    </row>
    <row r="38" spans="1:17" x14ac:dyDescent="0.25">
      <c r="A38" s="49">
        <v>2</v>
      </c>
      <c r="B38" s="48"/>
      <c r="C38" s="14"/>
      <c r="D38" s="50"/>
      <c r="E38" s="14"/>
      <c r="F38" s="7">
        <f>Таблица213399028[[#This Row],[ ]]</f>
        <v>2</v>
      </c>
      <c r="G38" s="47">
        <v>46197</v>
      </c>
      <c r="H38" s="46" t="s">
        <v>34</v>
      </c>
      <c r="I38" s="46" t="s">
        <v>25</v>
      </c>
      <c r="J38" s="46">
        <v>32.832000000000001</v>
      </c>
      <c r="K38" s="14">
        <v>19</v>
      </c>
      <c r="L38" s="45">
        <v>700000</v>
      </c>
      <c r="M38" s="14">
        <f>Таблица213399028[[#This Row],[113]]*Таблица213399028[[#This Row],[15]]</f>
        <v>22982400</v>
      </c>
    </row>
    <row r="39" spans="1:17" x14ac:dyDescent="0.25">
      <c r="A39" s="49">
        <v>3</v>
      </c>
      <c r="B39" s="48"/>
      <c r="C39" s="14"/>
      <c r="D39" s="50"/>
      <c r="E39" s="14"/>
      <c r="F39" s="7">
        <f>Таблица213399028[[#This Row],[ ]]</f>
        <v>3</v>
      </c>
      <c r="G39" s="47">
        <v>46198</v>
      </c>
      <c r="H39" s="46" t="s">
        <v>35</v>
      </c>
      <c r="I39" s="46" t="s">
        <v>25</v>
      </c>
      <c r="J39" s="46">
        <v>32.832000000000001</v>
      </c>
      <c r="K39" s="14">
        <v>19</v>
      </c>
      <c r="L39" s="45">
        <v>700000</v>
      </c>
      <c r="M39" s="14">
        <f>Таблица213399028[[#This Row],[113]]*Таблица213399028[[#This Row],[15]]</f>
        <v>22982400</v>
      </c>
    </row>
    <row r="40" spans="1:17" x14ac:dyDescent="0.25">
      <c r="A40" s="44"/>
      <c r="B40" s="42"/>
      <c r="C40" s="43">
        <f>SUBTOTAL(109,Таблица213399028[2])</f>
        <v>0</v>
      </c>
      <c r="D40" s="43"/>
      <c r="E40" s="43"/>
      <c r="F40" s="42"/>
      <c r="G40" s="41"/>
      <c r="H40" s="40"/>
      <c r="I40" s="40"/>
      <c r="J40" s="40"/>
      <c r="K40" s="40">
        <f>SUBTOTAL(109,Таблица213399028[1132])</f>
        <v>56</v>
      </c>
      <c r="L40" s="38"/>
      <c r="M40" s="38">
        <f>SUBTOTAL(109,Таблица213399028[16])</f>
        <v>67737600</v>
      </c>
    </row>
    <row r="42" spans="1:17" ht="18" x14ac:dyDescent="0.25">
      <c r="A42" s="92"/>
      <c r="B42" s="92"/>
      <c r="C42" s="93" t="s">
        <v>71</v>
      </c>
      <c r="D42" s="94" t="s">
        <v>97</v>
      </c>
      <c r="E42" s="79"/>
      <c r="F42" s="1"/>
      <c r="G42" s="1"/>
      <c r="H42" s="1"/>
      <c r="I42" s="1"/>
      <c r="J42" s="1"/>
      <c r="K42" s="1"/>
      <c r="L42" s="1"/>
      <c r="M42" s="1"/>
    </row>
    <row r="43" spans="1:17" ht="18" x14ac:dyDescent="0.25">
      <c r="A43" s="95" t="s">
        <v>79</v>
      </c>
      <c r="B43" s="95"/>
      <c r="C43" s="96"/>
      <c r="D43" s="96"/>
      <c r="E43" s="76"/>
      <c r="F43" s="97">
        <f>Таблица21339902816[[#Totals],[2]]+-Таблица21339902816[[#Totals],[16]]</f>
        <v>22703000</v>
      </c>
      <c r="G43" s="97"/>
      <c r="H43" s="1"/>
      <c r="I43" s="1"/>
      <c r="J43" s="1"/>
      <c r="K43" s="58">
        <f>K46</f>
        <v>0</v>
      </c>
      <c r="L43" s="1"/>
      <c r="M43" s="1"/>
    </row>
    <row r="44" spans="1:17" x14ac:dyDescent="0.25">
      <c r="A44" s="64" t="s">
        <v>76</v>
      </c>
      <c r="B44" s="64" t="s">
        <v>75</v>
      </c>
      <c r="C44" s="88" t="s">
        <v>72</v>
      </c>
      <c r="D44" s="88" t="s">
        <v>82</v>
      </c>
      <c r="E44" s="72" t="s">
        <v>77</v>
      </c>
      <c r="F44" s="70" t="s">
        <v>76</v>
      </c>
      <c r="G44" s="60" t="s">
        <v>75</v>
      </c>
      <c r="H44" s="60" t="s">
        <v>74</v>
      </c>
      <c r="I44" s="70" t="s">
        <v>6</v>
      </c>
      <c r="J44" s="71" t="s">
        <v>7</v>
      </c>
      <c r="K44" s="71" t="s">
        <v>73</v>
      </c>
      <c r="L44" s="60" t="s">
        <v>83</v>
      </c>
      <c r="M44" s="70" t="s">
        <v>72</v>
      </c>
    </row>
    <row r="45" spans="1:17" x14ac:dyDescent="0.25">
      <c r="A45" s="64"/>
      <c r="B45" s="64"/>
      <c r="C45" s="69"/>
      <c r="D45" s="68"/>
      <c r="E45" s="67"/>
      <c r="F45" s="65"/>
      <c r="G45" s="60"/>
      <c r="H45" s="60"/>
      <c r="I45" s="65"/>
      <c r="J45" s="65"/>
      <c r="K45" s="66"/>
      <c r="L45" s="60"/>
      <c r="M45" s="59"/>
      <c r="Q45" s="111"/>
    </row>
    <row r="46" spans="1:17" ht="15.75" x14ac:dyDescent="0.25">
      <c r="A46" s="64"/>
      <c r="B46" s="64"/>
      <c r="C46" s="89">
        <f>Таблица21339902816[[#Totals],[2]]</f>
        <v>22703000</v>
      </c>
      <c r="D46" s="62"/>
      <c r="E46" s="61">
        <f>SUM(Таблица21339902816[4])</f>
        <v>0</v>
      </c>
      <c r="F46" s="59"/>
      <c r="G46" s="60"/>
      <c r="H46" s="60"/>
      <c r="I46" s="59"/>
      <c r="J46" s="59"/>
      <c r="K46" s="58">
        <f>Таблица21339902816[[#Totals],[1132]]</f>
        <v>0</v>
      </c>
      <c r="L46" s="60"/>
      <c r="M46" s="90">
        <f>Таблица21339902816[[#Totals],[16]]</f>
        <v>0</v>
      </c>
      <c r="O46" s="111"/>
    </row>
    <row r="47" spans="1:17" x14ac:dyDescent="0.25">
      <c r="A47" s="57" t="s">
        <v>71</v>
      </c>
      <c r="B47" s="56" t="s">
        <v>70</v>
      </c>
      <c r="C47" s="56" t="s">
        <v>69</v>
      </c>
      <c r="D47" s="56" t="s">
        <v>68</v>
      </c>
      <c r="E47" s="56" t="s">
        <v>67</v>
      </c>
      <c r="F47" s="56" t="s">
        <v>66</v>
      </c>
      <c r="G47" s="56" t="s">
        <v>65</v>
      </c>
      <c r="H47" s="56" t="s">
        <v>64</v>
      </c>
      <c r="I47" s="56" t="s">
        <v>63</v>
      </c>
      <c r="J47" s="56" t="s">
        <v>62</v>
      </c>
      <c r="K47" s="56" t="s">
        <v>61</v>
      </c>
      <c r="L47" s="56" t="s">
        <v>60</v>
      </c>
      <c r="M47" s="56" t="s">
        <v>59</v>
      </c>
    </row>
    <row r="48" spans="1:17" x14ac:dyDescent="0.25">
      <c r="A48" s="49">
        <v>1</v>
      </c>
      <c r="B48" s="47">
        <v>46203</v>
      </c>
      <c r="C48" s="55">
        <v>22703000</v>
      </c>
      <c r="D48" s="50" t="s">
        <v>96</v>
      </c>
      <c r="E48" s="14"/>
      <c r="F48" s="7"/>
      <c r="G48" s="50"/>
      <c r="H48" s="54"/>
      <c r="I48" s="53"/>
      <c r="J48" s="52"/>
      <c r="K48" s="51"/>
      <c r="L48" s="7"/>
      <c r="M48" s="14"/>
    </row>
    <row r="49" spans="1:20" x14ac:dyDescent="0.25">
      <c r="A49" s="44"/>
      <c r="B49" s="42"/>
      <c r="C49" s="43">
        <f>SUBTOTAL(109,Таблица21339902816[2])</f>
        <v>22703000</v>
      </c>
      <c r="D49" s="43"/>
      <c r="E49" s="43"/>
      <c r="F49" s="42"/>
      <c r="G49" s="41"/>
      <c r="H49" s="40"/>
      <c r="I49" s="40"/>
      <c r="J49" s="40"/>
      <c r="K49" s="40">
        <f>SUBTOTAL(109,Таблица21339902816[1132])</f>
        <v>0</v>
      </c>
      <c r="L49" s="38"/>
      <c r="M49" s="38">
        <f>SUBTOTAL(109,Таблица21339902816[16])</f>
        <v>0</v>
      </c>
      <c r="O49" s="111"/>
    </row>
    <row r="50" spans="1:20" x14ac:dyDescent="0.25">
      <c r="T50" s="111"/>
    </row>
    <row r="51" spans="1:20" x14ac:dyDescent="0.25">
      <c r="T51" s="111"/>
    </row>
  </sheetData>
  <mergeCells count="70">
    <mergeCell ref="I44:I46"/>
    <mergeCell ref="J44:J46"/>
    <mergeCell ref="K44:K45"/>
    <mergeCell ref="L44:L46"/>
    <mergeCell ref="M44:M45"/>
    <mergeCell ref="A44:A46"/>
    <mergeCell ref="B44:B46"/>
    <mergeCell ref="E44:E45"/>
    <mergeCell ref="F44:F46"/>
    <mergeCell ref="G44:G46"/>
    <mergeCell ref="H44:H46"/>
    <mergeCell ref="I33:I35"/>
    <mergeCell ref="J33:J35"/>
    <mergeCell ref="K33:K34"/>
    <mergeCell ref="L33:L35"/>
    <mergeCell ref="M33:M34"/>
    <mergeCell ref="A43:B43"/>
    <mergeCell ref="C43:D43"/>
    <mergeCell ref="F43:G43"/>
    <mergeCell ref="A33:A35"/>
    <mergeCell ref="B33:B35"/>
    <mergeCell ref="E33:E34"/>
    <mergeCell ref="F33:F35"/>
    <mergeCell ref="G33:G35"/>
    <mergeCell ref="H33:H35"/>
    <mergeCell ref="I24:I26"/>
    <mergeCell ref="J24:J26"/>
    <mergeCell ref="K24:K25"/>
    <mergeCell ref="L24:L26"/>
    <mergeCell ref="M24:M25"/>
    <mergeCell ref="A32:B32"/>
    <mergeCell ref="C32:D32"/>
    <mergeCell ref="F32:G32"/>
    <mergeCell ref="A24:A26"/>
    <mergeCell ref="B24:B26"/>
    <mergeCell ref="E24:E25"/>
    <mergeCell ref="F24:F26"/>
    <mergeCell ref="G24:G26"/>
    <mergeCell ref="H24:H26"/>
    <mergeCell ref="I13:I15"/>
    <mergeCell ref="J13:J15"/>
    <mergeCell ref="K13:K14"/>
    <mergeCell ref="L13:L15"/>
    <mergeCell ref="M13:M14"/>
    <mergeCell ref="A23:B23"/>
    <mergeCell ref="C23:D23"/>
    <mergeCell ref="F23:G23"/>
    <mergeCell ref="A13:A15"/>
    <mergeCell ref="B13:B15"/>
    <mergeCell ref="E13:E14"/>
    <mergeCell ref="F13:F15"/>
    <mergeCell ref="G13:G15"/>
    <mergeCell ref="H13:H15"/>
    <mergeCell ref="G3:G5"/>
    <mergeCell ref="H3:H5"/>
    <mergeCell ref="I3:I5"/>
    <mergeCell ref="J3:J5"/>
    <mergeCell ref="A12:B12"/>
    <mergeCell ref="C12:D12"/>
    <mergeCell ref="F12:G12"/>
    <mergeCell ref="L3:L5"/>
    <mergeCell ref="M3:M4"/>
    <mergeCell ref="A2:B2"/>
    <mergeCell ref="C2:D2"/>
    <mergeCell ref="A3:A5"/>
    <mergeCell ref="B3:B5"/>
    <mergeCell ref="E3:E4"/>
    <mergeCell ref="F2:G2"/>
    <mergeCell ref="K3:K4"/>
    <mergeCell ref="F3:F5"/>
  </mergeCells>
  <hyperlinks>
    <hyperlink ref="D11" location="'Свод Завод'!A1" display="1-Индира Расулбек" xr:uid="{E5F5E9C8-3040-48BA-8CFD-65F11FE3F1D0}"/>
    <hyperlink ref="D22" location="'Свод Завод'!A1" display="1-Индира Расулбек" xr:uid="{58A757B4-9BCD-46F0-A727-80A2BFC6A001}"/>
    <hyperlink ref="D31" location="'Свод Завод'!A1" display="1-Инвест Холдинг" xr:uid="{6B8BDF19-6CA0-4695-A6C8-6E5630DFDB39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Шохрух ога</vt:lpstr>
      <vt:lpstr>Зафар ога</vt:lpstr>
      <vt:lpstr>Арслон ога</vt:lpstr>
      <vt:lpstr>Жамол 22-22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2026-07-16T20:58:52Z</dcterms:modified>
</cp:coreProperties>
</file>