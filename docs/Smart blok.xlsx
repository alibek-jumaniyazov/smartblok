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Лист1" sheetId="1" r:id="rId1"/>
    <sheet name="Сардор ога" sheetId="3" r:id="rId2"/>
    <sheet name="Темур " sheetId="4" r:id="rId3"/>
    <sheet name="Шохрух ога" sheetId="6" r:id="rId4"/>
    <sheet name="Зафар ога" sheetId="5" r:id="rId5"/>
    <sheet name="Арслон ога" sheetId="7" r:id="rId6"/>
    <sheet name="Жамол 22-22" sheetId="8" r:id="rId7"/>
  </sheets>
  <definedNames>
    <definedName name="_xlnm._FilterDatabase" localSheetId="0" hidden="1">Лист1!$A$3:$X$174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<sst xmlns="http://schemas.openxmlformats.org/spreadsheetml/2006/main" count="3030" uniqueCount="326">
  <si>
    <t>В-о</t>
  </si>
  <si>
    <t>Поставшик</t>
  </si>
  <si>
    <t>Агент</t>
  </si>
  <si>
    <t>Клиент</t>
  </si>
  <si>
    <t xml:space="preserve">Дата </t>
  </si>
  <si>
    <t>№ авто</t>
  </si>
  <si>
    <t>Размер</t>
  </si>
  <si>
    <t>Блок
 Куб</t>
  </si>
  <si>
    <t>Цена 
Приход</t>
  </si>
  <si>
    <t>Сумма 
Приход</t>
  </si>
  <si>
    <t>Поддон
Шт</t>
  </si>
  <si>
    <t>Цена
Поддон</t>
  </si>
  <si>
    <t>Сумма Поддон</t>
  </si>
  <si>
    <t>Блок+
Поддон</t>
  </si>
  <si>
    <t>Цена
 Продажа</t>
  </si>
  <si>
    <t>Разница</t>
  </si>
  <si>
    <t>ИЗОХ</t>
  </si>
  <si>
    <t>Сумма 
Продажа</t>
  </si>
  <si>
    <t>Расход 
Авто</t>
  </si>
  <si>
    <t>Общая прибль</t>
  </si>
  <si>
    <t>Авто услу барлдми?</t>
  </si>
  <si>
    <t>Соф фойда</t>
  </si>
  <si>
    <t>Завотга толов</t>
  </si>
  <si>
    <t>тўлов тури</t>
  </si>
  <si>
    <t>Газоблок</t>
  </si>
  <si>
    <t>Жамол 22-22</t>
  </si>
  <si>
    <t>Урганч Тамирлаш</t>
  </si>
  <si>
    <t>95 G 851 NA</t>
  </si>
  <si>
    <t>600x300x200</t>
  </si>
  <si>
    <t>Фойда</t>
  </si>
  <si>
    <t>Туланди</t>
  </si>
  <si>
    <t>Банк</t>
  </si>
  <si>
    <t>40 Y 173 KB</t>
  </si>
  <si>
    <t>Инвест Холдинг</t>
  </si>
  <si>
    <t>90 X 700 CA</t>
  </si>
  <si>
    <t>Зафар ога</t>
  </si>
  <si>
    <t>Сулаймон Ога Хазарасп</t>
  </si>
  <si>
    <t>90 G 991 FA</t>
  </si>
  <si>
    <t>90 G 429 CA</t>
  </si>
  <si>
    <t>30 N 113 MB</t>
  </si>
  <si>
    <t>Нормат Умидбек</t>
  </si>
  <si>
    <t>50 R 575 CB</t>
  </si>
  <si>
    <t>30 784 WBA</t>
  </si>
  <si>
    <t>VI-004-KT</t>
  </si>
  <si>
    <t>Арслон ога</t>
  </si>
  <si>
    <t>Гофур Хазорасп</t>
  </si>
  <si>
    <t>01 U 917 XC</t>
  </si>
  <si>
    <t>95 194 LBA</t>
  </si>
  <si>
    <t>40 W 910 SB</t>
  </si>
  <si>
    <t>600x300x100</t>
  </si>
  <si>
    <t>90 Z 688 AB</t>
  </si>
  <si>
    <t>95 617 MBA</t>
  </si>
  <si>
    <t>40 148 ECA</t>
  </si>
  <si>
    <t>Шохрух ога</t>
  </si>
  <si>
    <t>Гайрат Штб</t>
  </si>
  <si>
    <t>90 919 LBA</t>
  </si>
  <si>
    <t>Рустам Шпик</t>
  </si>
  <si>
    <t>90 273 QBA</t>
  </si>
  <si>
    <t>Мурод ога Урганч</t>
  </si>
  <si>
    <t>85 L 868 PA</t>
  </si>
  <si>
    <t>Ирригатсия темир бетон</t>
  </si>
  <si>
    <t>25 Q 068 OA</t>
  </si>
  <si>
    <t>Фидато Гроуп</t>
  </si>
  <si>
    <t>90 682 FBA</t>
  </si>
  <si>
    <t>Хонкага</t>
  </si>
  <si>
    <t>80 M 667 YA</t>
  </si>
  <si>
    <t>90 206 HBA</t>
  </si>
  <si>
    <t>90 L 027 DA</t>
  </si>
  <si>
    <t>90 015 WAA</t>
  </si>
  <si>
    <t>70 Y 119 GB</t>
  </si>
  <si>
    <t>90 S 954 OA</t>
  </si>
  <si>
    <t>40 F 105 RB</t>
  </si>
  <si>
    <t>Урганч сити</t>
  </si>
  <si>
    <t>90 K 295 QA</t>
  </si>
  <si>
    <t>90 452 PBA</t>
  </si>
  <si>
    <t>90 306 FBA</t>
  </si>
  <si>
    <t>90 N 831 HA</t>
  </si>
  <si>
    <t>90 255 FBA</t>
  </si>
  <si>
    <t>40 E 471 SB</t>
  </si>
  <si>
    <t>80 N 441 DB</t>
  </si>
  <si>
    <t>Темур</t>
  </si>
  <si>
    <t>Жасур Версал</t>
  </si>
  <si>
    <t>80 C 385 CB</t>
  </si>
  <si>
    <t>90 734 МВА</t>
  </si>
  <si>
    <t>Сарвар ога Шовот</t>
  </si>
  <si>
    <t>Мустофо Машал</t>
  </si>
  <si>
    <t>40 O 636 TB</t>
  </si>
  <si>
    <t>Шиддат маналит</t>
  </si>
  <si>
    <t>85 L 457 HA</t>
  </si>
  <si>
    <t>600x300x250</t>
  </si>
  <si>
    <t>95 N 260 OA</t>
  </si>
  <si>
    <t>95 C 626 SA</t>
  </si>
  <si>
    <t>90 Z 410 ZZ</t>
  </si>
  <si>
    <t>95 512 DBA</t>
  </si>
  <si>
    <t>80 801 UBA</t>
  </si>
  <si>
    <t>Сардор ога</t>
  </si>
  <si>
    <t>Уткир мини</t>
  </si>
  <si>
    <t>95 693 GBA</t>
  </si>
  <si>
    <t>90 N 972 QA</t>
  </si>
  <si>
    <t>600x240x200</t>
  </si>
  <si>
    <t>Отабек дамирчи</t>
  </si>
  <si>
    <t>90 340 FBA</t>
  </si>
  <si>
    <t>90 779 EBA</t>
  </si>
  <si>
    <t>95 G 198 SA</t>
  </si>
  <si>
    <t>80 726 ACA</t>
  </si>
  <si>
    <t>Одилбек ога Эра хоус</t>
  </si>
  <si>
    <t>90 S 196 AB</t>
  </si>
  <si>
    <t>95 A 242 TA</t>
  </si>
  <si>
    <t>Журат Хонка</t>
  </si>
  <si>
    <t>95 B 760 QA</t>
  </si>
  <si>
    <t>Бунёдкор</t>
  </si>
  <si>
    <t>30 N 341 SB</t>
  </si>
  <si>
    <t>90 388 CBA</t>
  </si>
  <si>
    <t>Нахт клент Арслон</t>
  </si>
  <si>
    <t>Нахт</t>
  </si>
  <si>
    <t>01 C 487 CB</t>
  </si>
  <si>
    <t>90 L 555 TA</t>
  </si>
  <si>
    <t>90 M 660 LA</t>
  </si>
  <si>
    <t>95 O 144 GA</t>
  </si>
  <si>
    <t>95 641 MBA</t>
  </si>
  <si>
    <t>90 358 MBA</t>
  </si>
  <si>
    <t>Элликкала Бостон</t>
  </si>
  <si>
    <t>95 F 702 GA</t>
  </si>
  <si>
    <t>Инноватцион</t>
  </si>
  <si>
    <t>Мамун Университети</t>
  </si>
  <si>
    <t>90 999 EBA</t>
  </si>
  <si>
    <t>90 924 LBA</t>
  </si>
  <si>
    <t>50 E 093 GB</t>
  </si>
  <si>
    <t>75 084 GBA</t>
  </si>
  <si>
    <t>70 M 307 HB</t>
  </si>
  <si>
    <t>30 100 MAN</t>
  </si>
  <si>
    <t>25 S 005 FA</t>
  </si>
  <si>
    <t>80 591 FCA</t>
  </si>
  <si>
    <t>90 K 034 BB</t>
  </si>
  <si>
    <t>95 044 WAA</t>
  </si>
  <si>
    <t>Нахт клент Сардор</t>
  </si>
  <si>
    <t>90 699 EBA</t>
  </si>
  <si>
    <t>90 L 243 NA</t>
  </si>
  <si>
    <t>01 F 620 EB</t>
  </si>
  <si>
    <t>Жамол 009</t>
  </si>
  <si>
    <t>50 A 888 FB</t>
  </si>
  <si>
    <t>01 329 KMA</t>
  </si>
  <si>
    <t>40 C 022 MB</t>
  </si>
  <si>
    <t>Сохил буйи Уткир ога</t>
  </si>
  <si>
    <t>90 X 309 TA</t>
  </si>
  <si>
    <t>30 791 WBA</t>
  </si>
  <si>
    <t>90 195 JBA</t>
  </si>
  <si>
    <t>90 536 GBA</t>
  </si>
  <si>
    <t>95 450 HBA</t>
  </si>
  <si>
    <t>Сув газ монтаж</t>
  </si>
  <si>
    <t>90 F 942 MA</t>
  </si>
  <si>
    <t>90 S 893 AB</t>
  </si>
  <si>
    <t>  40 J 346 UB</t>
  </si>
  <si>
    <t>90 Z 712 OA</t>
  </si>
  <si>
    <t>Фм хоус</t>
  </si>
  <si>
    <t>95 626 MBA</t>
  </si>
  <si>
    <t>95 582 PBQ</t>
  </si>
  <si>
    <t>80 С 385 СВ</t>
  </si>
  <si>
    <t>95 С 757 KA</t>
  </si>
  <si>
    <t>Уткир ога Шовот</t>
  </si>
  <si>
    <t>90 431 FBA</t>
  </si>
  <si>
    <t>10 L 842 MB</t>
  </si>
  <si>
    <t>01 G 750 MB</t>
  </si>
  <si>
    <t>80 N 328 TA</t>
  </si>
  <si>
    <t>80 F 962 EB</t>
  </si>
  <si>
    <t>80 M 572 EB</t>
  </si>
  <si>
    <t>Сулаймон ога Хазарасп</t>
  </si>
  <si>
    <t>90 563 WAA</t>
  </si>
  <si>
    <t>95 088 EBA</t>
  </si>
  <si>
    <t>80 R 918 DB</t>
  </si>
  <si>
    <t>95 590 DBA</t>
  </si>
  <si>
    <t>90 G 899 CA</t>
  </si>
  <si>
    <t>95 L 400 KA</t>
  </si>
  <si>
    <t>90 504 IBW</t>
  </si>
  <si>
    <t>40 Х 410 SA</t>
  </si>
  <si>
    <t>80 R 261 EB</t>
  </si>
  <si>
    <t>Мактаб</t>
  </si>
  <si>
    <t>95 438 MBA</t>
  </si>
  <si>
    <t>95 437 MBA</t>
  </si>
  <si>
    <t>95 P 513 UA</t>
  </si>
  <si>
    <t>Сохил буйи Уткир</t>
  </si>
  <si>
    <t>90 427 MBA</t>
  </si>
  <si>
    <t>30 S 312 RB</t>
  </si>
  <si>
    <t>95 T 324 SA</t>
  </si>
  <si>
    <t>90 500 EBA</t>
  </si>
  <si>
    <t>30 U 875 TB</t>
  </si>
  <si>
    <t>90 P 417 AB</t>
  </si>
  <si>
    <t>600x300x150</t>
  </si>
  <si>
    <t>90 Y 785 PA</t>
  </si>
  <si>
    <t>90 C 071 VA</t>
  </si>
  <si>
    <t>90 М 600 ММ</t>
  </si>
  <si>
    <t>80 780 LBA</t>
  </si>
  <si>
    <t>Кувондик курувчи</t>
  </si>
  <si>
    <t>80 Q 804 QA</t>
  </si>
  <si>
    <t>90 293 LBA</t>
  </si>
  <si>
    <t>90 473 PBA</t>
  </si>
  <si>
    <t>95 472 DBA</t>
  </si>
  <si>
    <t>90 S 550 SS</t>
  </si>
  <si>
    <t>90 692 АВА</t>
  </si>
  <si>
    <t>01 L 445 PC</t>
  </si>
  <si>
    <t>Расход</t>
  </si>
  <si>
    <t>Приход</t>
  </si>
  <si>
    <t>Ост</t>
  </si>
  <si>
    <t>Паддон сони</t>
  </si>
  <si>
    <t>Утказилган пул</t>
  </si>
  <si>
    <t xml:space="preserve">Завод </t>
  </si>
  <si>
    <t>Олинган</t>
  </si>
  <si>
    <t>Берилган</t>
  </si>
  <si>
    <t>банк</t>
  </si>
  <si>
    <t>Клик</t>
  </si>
  <si>
    <t>Жами</t>
  </si>
  <si>
    <t xml:space="preserve"> </t>
  </si>
  <si>
    <t>6-Уткир мини</t>
  </si>
  <si>
    <t>Клент шопрга барди:</t>
  </si>
  <si>
    <t>шопр учун барди</t>
  </si>
  <si>
    <t>ID-Клиента</t>
  </si>
  <si>
    <t>№</t>
  </si>
  <si>
    <t>Дата</t>
  </si>
  <si>
    <t>Сумма</t>
  </si>
  <si>
    <t>Примечание</t>
  </si>
  <si>
    <t>Возврат паддон</t>
  </si>
  <si>
    <t>Авто</t>
  </si>
  <si>
    <t>Поддон 
Шт</t>
  </si>
  <si>
    <t>От</t>
  </si>
  <si>
    <t>1</t>
  </si>
  <si>
    <t>2</t>
  </si>
  <si>
    <t>3</t>
  </si>
  <si>
    <t>4</t>
  </si>
  <si>
    <t>9</t>
  </si>
  <si>
    <t>10</t>
  </si>
  <si>
    <t>11</t>
  </si>
  <si>
    <t>114</t>
  </si>
  <si>
    <t>113</t>
  </si>
  <si>
    <t>1132</t>
  </si>
  <si>
    <t>15</t>
  </si>
  <si>
    <t>16</t>
  </si>
  <si>
    <t>Коровул курилиш монтаж</t>
  </si>
  <si>
    <t>6-Отабек дамирчи</t>
  </si>
  <si>
    <t>17</t>
  </si>
  <si>
    <t>"Qodiriy Construction" Масъулияти Чекланган Жамият</t>
  </si>
  <si>
    <t>Qodiriy Construction Масъулияти Чекланган Жамият</t>
  </si>
  <si>
    <t>6-Мамун Университети</t>
  </si>
  <si>
    <t>6-нахт клент Сардор</t>
  </si>
  <si>
    <t>6-Сохил буйи Уткир ога</t>
  </si>
  <si>
    <t>600х240х200</t>
  </si>
  <si>
    <t>"URGANCH QURILISH TRANS" МЧЖ</t>
  </si>
  <si>
    <t>6-Фм хоус</t>
  </si>
  <si>
    <t>SMART UPSTARTS Xususiy korxonasi</t>
  </si>
  <si>
    <t>6-Музаффар 0010</t>
  </si>
  <si>
    <t>OOO "NAZARBOY-JASUR QURILISH"</t>
  </si>
  <si>
    <t>5-Жасур Версал</t>
  </si>
  <si>
    <t>Jamshidbek Jasmina House</t>
  </si>
  <si>
    <t>VERSAL YANGI UYLAR MCHJ</t>
  </si>
  <si>
    <t>5-Мустафо машал</t>
  </si>
  <si>
    <t>"SHUKR BARAKA" MCHJ</t>
  </si>
  <si>
    <t>``SHUKR BARAKA``MCHJ</t>
  </si>
  <si>
    <t>5-Одилбек Ера хоус</t>
  </si>
  <si>
    <t>"ERA MOTOR'S" MCHJ</t>
  </si>
  <si>
    <t>ERA MOTOR'S MCHJ</t>
  </si>
  <si>
    <t>ERA MOTOR`S MCHJ</t>
  </si>
  <si>
    <t>5-Журат ога хонка</t>
  </si>
  <si>
    <t>"VATANPARVARLIK YOSHLAR KELAJAGI" MCHJ</t>
  </si>
  <si>
    <t>VATANPARVARLIK YOSHLAR KELAJAKI</t>
  </si>
  <si>
    <t>5-Мактаб</t>
  </si>
  <si>
    <t>STAR KIDS PLUS МЧЖ Cчет ссудных обязательствАнкет</t>
  </si>
  <si>
    <t>bargani yoq, lekin qizil bob yotmasligi uchun</t>
  </si>
  <si>
    <t>4-Рустам Шпик</t>
  </si>
  <si>
    <t>"Ифтихор" хусусий корхонаси</t>
  </si>
  <si>
    <t>ЧП "RSULBEK"</t>
  </si>
  <si>
    <t>4-Гайрат Штб</t>
  </si>
  <si>
    <t>Шовот темур битон хусусий корхонаси</t>
  </si>
  <si>
    <t>4-Элликкала Бостон</t>
  </si>
  <si>
    <t>3-Бунёдкор</t>
  </si>
  <si>
    <t>"БУНЕДКОР" МЧЖ</t>
  </si>
  <si>
    <t>3-Газ сув монтаж</t>
  </si>
  <si>
    <t>Сув газ монтаж таъмир х\к</t>
  </si>
  <si>
    <t>4-Жамол 009</t>
  </si>
  <si>
    <t>18</t>
  </si>
  <si>
    <t>Бзадан</t>
  </si>
  <si>
    <t>3-Мурод ога Урганч</t>
  </si>
  <si>
    <t>"Ulgircha savdo diyor" MCHJ</t>
  </si>
  <si>
    <t>3-Сулаймон Ога Хазарасп</t>
  </si>
  <si>
    <t>HAZORASP MUHAMMAD</t>
  </si>
  <si>
    <t>"A-SIA HOUSE" MCHJ</t>
  </si>
  <si>
    <t>Xazorasp Ipoteka Qurilish мчж</t>
  </si>
  <si>
    <t>JAHON QILICH OOO</t>
  </si>
  <si>
    <t>HAZORASP BINOKOR USTA MChJ</t>
  </si>
  <si>
    <t>HOZORASP MUHAMMAD XO'JAM CHJ</t>
  </si>
  <si>
    <t>OOO QILICH-AMIN-NIYAZ</t>
  </si>
  <si>
    <t>OOO HAZORASP UNIVERSAL MEGA STROY</t>
  </si>
  <si>
    <t>XAZORASP IPOTEKA QURILISH масьулияти чекланган жамияти</t>
  </si>
  <si>
    <t>HAZORASP MUHAMMAD XO'JA MChJ</t>
  </si>
  <si>
    <t>3-Сарвар ога Шовот</t>
  </si>
  <si>
    <t>XIVA SAYQAL MCHJ</t>
  </si>
  <si>
    <t>Шопир пули 5%</t>
  </si>
  <si>
    <t>3-Уктир ога Шовот</t>
  </si>
  <si>
    <t>SHOVOT METOL COMPOSIT mchj</t>
  </si>
  <si>
    <t>3-Бахтиёр ога Янгибозор</t>
  </si>
  <si>
    <t>OOO XORAZM AVTOGAZ TAMINOT</t>
  </si>
  <si>
    <t>2-Гофур Хазорасп</t>
  </si>
  <si>
    <t>"EZVIZ CITY"Mchj</t>
  </si>
  <si>
    <t>"DOMEX GROUP" Mchj</t>
  </si>
  <si>
    <t>2-Шиддат маналит</t>
  </si>
  <si>
    <t>SHIDDAT MONOLIT MCHJ</t>
  </si>
  <si>
    <t>SHIDDAT MONOLIT MCHJ бир машин газаблок даставка учун ташоди</t>
  </si>
  <si>
    <t>Важ</t>
  </si>
  <si>
    <t>2-Нахт клент Арслон</t>
  </si>
  <si>
    <t>Нахт клиент</t>
  </si>
  <si>
    <t>Клентни Ози Шовйор</t>
  </si>
  <si>
    <t>2-Кувондик курувчи</t>
  </si>
  <si>
    <t>OOO "MEGA STAR INVEST BUILDING"</t>
  </si>
  <si>
    <t>1-Урганч Тамирлаш</t>
  </si>
  <si>
    <t>Перемечание</t>
  </si>
  <si>
    <t>URGANCH TA'MIRLASH масьулияти чекланган жамият</t>
  </si>
  <si>
    <t>1-Нормат Умидбек</t>
  </si>
  <si>
    <t>NORMAT UMIDBEK MCHJ</t>
  </si>
  <si>
    <t>1-Ирригатсия темир бетон</t>
  </si>
  <si>
    <t>1-Инвест Холдинг</t>
  </si>
  <si>
    <t>Хоразм Инвест Холдинг</t>
  </si>
  <si>
    <t>1-Фидато Груп</t>
  </si>
  <si>
    <t>OOO "FIDATO GROUP"</t>
  </si>
  <si>
    <t>ООО "FIDATO GROUP"</t>
  </si>
  <si>
    <t>1-Хонкага</t>
  </si>
  <si>
    <t>ЧП "SHOXZODBEK SULAYMON"</t>
  </si>
  <si>
    <t>1-Инноватцион</t>
  </si>
  <si>
    <t>1-Урганч сити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</si>
</sst>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* #\.##0.00\ &quot;₽&quot;_-;\-* #\.##0.00\ &quot;₽&quot;_-;_-* \-??\ &quot;₽&quot;_-;_-@_-"/>
    <numFmt numFmtId="177" formatCode="_-* #\.##0\ &quot;₽&quot;_-;\-* #\.##0\ &quot;₽&quot;_-;_-* \-\ &quot;₽&quot;_-;_-@_-"/>
    <numFmt numFmtId="178" formatCode="dd\.mm\.yyyy"/>
    <numFmt numFmtId="179" formatCode="#,##0.000"/>
    <numFmt numFmtId="180" formatCode="mmm\.yy"/>
  </numFmts>
  <fonts count="46">
    <font>
      <sz val="11"/>
      <color theme="1"/>
      <name val="Calibri"/>
      <charset val="134"/>
      <scheme val="minor"/>
    </font>
    <font>
      <sz val="11"/>
      <color theme="1"/>
      <name val="Arial"/>
      <charset val="204"/>
    </font>
    <font>
      <b/>
      <u/>
      <sz val="12"/>
      <name val="Calibri"/>
      <charset val="134"/>
      <scheme val="minor"/>
    </font>
    <font>
      <sz val="11"/>
      <name val="Arial"/>
      <charset val="204"/>
    </font>
    <font>
      <b/>
      <sz val="12"/>
      <color theme="1"/>
      <name val="Arial"/>
      <charset val="204"/>
    </font>
    <font>
      <b/>
      <sz val="11"/>
      <color theme="1"/>
      <name val="Arial"/>
      <charset val="204"/>
    </font>
    <font>
      <sz val="12"/>
      <name val="Arial"/>
      <charset val="204"/>
    </font>
    <font>
      <b/>
      <u/>
      <sz val="14"/>
      <name val="Arial"/>
      <charset val="204"/>
    </font>
    <font>
      <b/>
      <sz val="16"/>
      <color theme="1"/>
      <name val="Arial"/>
      <charset val="204"/>
    </font>
    <font>
      <b/>
      <u/>
      <sz val="11"/>
      <name val="Arial"/>
      <charset val="204"/>
    </font>
    <font>
      <b/>
      <sz val="14"/>
      <color theme="1"/>
      <name val="Arial"/>
      <charset val="204"/>
    </font>
    <font>
      <b/>
      <sz val="14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4"/>
      <color theme="1"/>
      <name val="Arial"/>
      <charset val="204"/>
    </font>
    <font>
      <sz val="14"/>
      <color rgb="FFFF0000"/>
      <name val="Arial"/>
      <charset val="204"/>
    </font>
    <font>
      <sz val="11"/>
      <color theme="0"/>
      <name val="Arial"/>
      <charset val="204"/>
    </font>
    <font>
      <b/>
      <sz val="11"/>
      <color theme="0"/>
      <name val="Arial"/>
      <charset val="204"/>
    </font>
    <font>
      <b/>
      <sz val="11"/>
      <name val="Arial"/>
      <charset val="204"/>
    </font>
    <font>
      <b/>
      <sz val="11"/>
      <color rgb="FFFF0000"/>
      <name val="Arial"/>
      <charset val="204"/>
    </font>
    <font>
      <sz val="11"/>
      <color rgb="FFFF0000"/>
      <name val="Arial"/>
      <charset val="204"/>
    </font>
    <font>
      <sz val="11"/>
      <color theme="1" tint="0.0499893185216834"/>
      <name val="Arial"/>
      <charset val="204"/>
    </font>
    <font>
      <b/>
      <sz val="11"/>
      <color theme="1"/>
      <name val="Calibri"/>
      <charset val="20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theme="10"/>
      <name val="Calibri"/>
      <charset val="204"/>
      <scheme val="minor"/>
    </font>
    <font>
      <sz val="10"/>
      <name val="Arial"/>
      <charset val="204"/>
    </font>
    <font>
      <sz val="11"/>
      <color theme="1"/>
      <name val="Calibri"/>
      <charset val="204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3" tint="0.89999084444715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43" fontId="0" fillId="0" borderId="0" applyFont="0" applyFill="0" applyBorder="0" applyAlignment="0" applyProtection="0"/>
    <xf numFmtId="176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/>
    <xf numFmtId="177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18" borderId="17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8" applyNumberFormat="0" applyFill="0" applyAlignment="0" applyProtection="0">
      <alignment vertical="center"/>
    </xf>
    <xf numFmtId="0" fontId="30" fillId="0" borderId="18" applyNumberFormat="0" applyFill="0" applyAlignment="0" applyProtection="0">
      <alignment vertical="center"/>
    </xf>
    <xf numFmtId="0" fontId="31" fillId="0" borderId="19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9" borderId="20" applyNumberFormat="0" applyAlignment="0" applyProtection="0">
      <alignment vertical="center"/>
    </xf>
    <xf numFmtId="0" fontId="33" fillId="20" borderId="21" applyNumberFormat="0" applyAlignment="0" applyProtection="0">
      <alignment vertical="center"/>
    </xf>
    <xf numFmtId="0" fontId="34" fillId="20" borderId="20" applyNumberFormat="0" applyAlignment="0" applyProtection="0">
      <alignment vertical="center"/>
    </xf>
    <xf numFmtId="0" fontId="35" fillId="21" borderId="22" applyNumberFormat="0" applyAlignment="0" applyProtection="0">
      <alignment vertical="center"/>
    </xf>
    <xf numFmtId="0" fontId="36" fillId="0" borderId="23" applyNumberFormat="0" applyFill="0" applyAlignment="0" applyProtection="0">
      <alignment vertical="center"/>
    </xf>
    <xf numFmtId="0" fontId="37" fillId="0" borderId="24" applyNumberFormat="0" applyFill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2" fillId="43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  <xf numFmtId="0" fontId="42" fillId="46" borderId="0" applyNumberFormat="0" applyBorder="0" applyAlignment="0" applyProtection="0">
      <alignment vertical="center"/>
    </xf>
    <xf numFmtId="0" fontId="42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3" fillId="0" borderId="0" applyNumberFormat="0" applyFill="0" applyBorder="0" applyAlignment="0" applyProtection="0"/>
    <xf numFmtId="0" fontId="44" fillId="0" borderId="0"/>
    <xf numFmtId="0" fontId="45" fillId="0" borderId="0"/>
    <xf numFmtId="41" fontId="45" fillId="0" borderId="0" applyFont="0" applyFill="0" applyBorder="0" applyAlignment="0" applyProtection="0"/>
    <xf numFmtId="43" fontId="45" fillId="0" borderId="0" applyFont="0" applyFill="0" applyBorder="0" applyAlignment="0" applyProtection="0"/>
  </cellStyleXfs>
  <cellXfs count="208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2" xfId="0" applyFont="1" applyFill="1" applyBorder="1" applyAlignment="1">
      <alignment horizontal="center"/>
    </xf>
    <xf numFmtId="0" fontId="2" fillId="2" borderId="3" xfId="49" applyFont="1" applyFill="1" applyBorder="1" applyAlignment="1">
      <alignment horizontal="center"/>
    </xf>
    <xf numFmtId="0" fontId="2" fillId="2" borderId="0" xfId="49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2" borderId="4" xfId="49" applyFont="1" applyFill="1" applyBorder="1" applyAlignment="1">
      <alignment horizontal="center"/>
    </xf>
    <xf numFmtId="3" fontId="4" fillId="3" borderId="5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 wrapText="1"/>
    </xf>
    <xf numFmtId="3" fontId="1" fillId="3" borderId="5" xfId="0" applyNumberFormat="1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vertical="center" wrapText="1"/>
    </xf>
    <xf numFmtId="1" fontId="1" fillId="3" borderId="6" xfId="0" applyNumberFormat="1" applyFont="1" applyFill="1" applyBorder="1" applyAlignment="1">
      <alignment vertical="center" wrapText="1"/>
    </xf>
    <xf numFmtId="0" fontId="1" fillId="4" borderId="4" xfId="0" applyFont="1" applyFill="1" applyBorder="1" applyAlignment="1">
      <alignment horizontal="center" vertical="center"/>
    </xf>
    <xf numFmtId="3" fontId="5" fillId="3" borderId="5" xfId="0" applyNumberFormat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178" fontId="1" fillId="0" borderId="4" xfId="0" applyNumberFormat="1" applyFont="1" applyBorder="1"/>
    <xf numFmtId="3" fontId="1" fillId="0" borderId="7" xfId="0" applyNumberFormat="1" applyFont="1" applyBorder="1" applyAlignment="1">
      <alignment horizontal="center" vertical="center"/>
    </xf>
    <xf numFmtId="178" fontId="1" fillId="0" borderId="5" xfId="0" applyNumberFormat="1" applyFont="1" applyBorder="1" applyAlignment="1">
      <alignment horizontal="center" vertical="center"/>
    </xf>
    <xf numFmtId="3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78" fontId="3" fillId="0" borderId="5" xfId="50" applyNumberFormat="1" applyFont="1" applyBorder="1" applyAlignment="1">
      <alignment horizontal="center" vertical="center"/>
    </xf>
    <xf numFmtId="2" fontId="3" fillId="0" borderId="10" xfId="4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center" vertical="center"/>
    </xf>
    <xf numFmtId="178" fontId="3" fillId="0" borderId="5" xfId="0" applyNumberFormat="1" applyFont="1" applyBorder="1" applyAlignment="1">
      <alignment horizontal="center" vertical="center"/>
    </xf>
    <xf numFmtId="3" fontId="6" fillId="0" borderId="1" xfId="1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8" fontId="1" fillId="0" borderId="5" xfId="0" applyNumberFormat="1" applyFont="1" applyBorder="1" applyAlignment="1">
      <alignment horizontal="center"/>
    </xf>
    <xf numFmtId="3" fontId="3" fillId="0" borderId="5" xfId="0" applyNumberFormat="1" applyFont="1" applyBorder="1" applyAlignment="1">
      <alignment horizontal="center" vertical="center"/>
    </xf>
    <xf numFmtId="178" fontId="1" fillId="0" borderId="5" xfId="0" applyNumberFormat="1" applyFont="1" applyBorder="1"/>
    <xf numFmtId="0" fontId="1" fillId="0" borderId="11" xfId="0" applyFont="1" applyBorder="1"/>
    <xf numFmtId="0" fontId="1" fillId="0" borderId="6" xfId="0" applyFont="1" applyBorder="1"/>
    <xf numFmtId="3" fontId="1" fillId="0" borderId="12" xfId="0" applyNumberFormat="1" applyFont="1" applyBorder="1" applyAlignment="1">
      <alignment horizontal="center" vertical="center"/>
    </xf>
    <xf numFmtId="178" fontId="1" fillId="0" borderId="6" xfId="0" applyNumberFormat="1" applyFont="1" applyBorder="1"/>
    <xf numFmtId="0" fontId="1" fillId="0" borderId="6" xfId="0" applyFont="1" applyBorder="1" applyAlignment="1">
      <alignment horizontal="center" vertical="center"/>
    </xf>
    <xf numFmtId="3" fontId="1" fillId="0" borderId="6" xfId="0" applyNumberFormat="1" applyFont="1" applyBorder="1" applyAlignment="1">
      <alignment horizontal="center" vertical="center"/>
    </xf>
    <xf numFmtId="3" fontId="1" fillId="0" borderId="6" xfId="0" applyNumberFormat="1" applyFont="1" applyBorder="1"/>
    <xf numFmtId="0" fontId="7" fillId="2" borderId="3" xfId="49" applyFont="1" applyFill="1" applyBorder="1" applyAlignment="1">
      <alignment horizontal="center"/>
    </xf>
    <xf numFmtId="3" fontId="8" fillId="3" borderId="7" xfId="0" applyNumberFormat="1" applyFont="1" applyFill="1" applyBorder="1" applyAlignment="1">
      <alignment horizontal="center" vertical="center"/>
    </xf>
    <xf numFmtId="3" fontId="8" fillId="3" borderId="13" xfId="0" applyNumberFormat="1" applyFont="1" applyFill="1" applyBorder="1" applyAlignment="1">
      <alignment horizontal="center" vertical="center"/>
    </xf>
    <xf numFmtId="3" fontId="4" fillId="3" borderId="5" xfId="0" applyNumberFormat="1" applyFont="1" applyFill="1" applyBorder="1" applyAlignment="1">
      <alignment horizontal="center" vertical="center" wrapText="1"/>
    </xf>
    <xf numFmtId="3" fontId="6" fillId="0" borderId="5" xfId="1" applyNumberFormat="1" applyFont="1" applyFill="1" applyBorder="1" applyAlignment="1">
      <alignment horizontal="center" vertical="center" wrapText="1"/>
    </xf>
    <xf numFmtId="0" fontId="1" fillId="0" borderId="5" xfId="0" applyFont="1" applyBorder="1"/>
    <xf numFmtId="0" fontId="9" fillId="2" borderId="3" xfId="49" applyFont="1" applyFill="1" applyBorder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7" fillId="2" borderId="11" xfId="49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3" fillId="2" borderId="5" xfId="49" applyFont="1" applyFill="1" applyBorder="1" applyAlignment="1">
      <alignment horizontal="center"/>
    </xf>
    <xf numFmtId="3" fontId="10" fillId="3" borderId="5" xfId="0" applyNumberFormat="1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3" fontId="1" fillId="5" borderId="5" xfId="0" applyNumberFormat="1" applyFont="1" applyFill="1" applyBorder="1" applyAlignment="1">
      <alignment horizontal="center" vertical="center"/>
    </xf>
    <xf numFmtId="3" fontId="1" fillId="6" borderId="5" xfId="0" applyNumberFormat="1" applyFont="1" applyFill="1" applyBorder="1" applyAlignment="1">
      <alignment horizontal="center" vertical="center"/>
    </xf>
    <xf numFmtId="3" fontId="1" fillId="3" borderId="5" xfId="0" applyNumberFormat="1" applyFont="1" applyFill="1" applyBorder="1" applyAlignment="1">
      <alignment horizontal="center" vertical="center"/>
    </xf>
    <xf numFmtId="3" fontId="1" fillId="4" borderId="5" xfId="0" applyNumberFormat="1" applyFont="1" applyFill="1" applyBorder="1" applyAlignment="1">
      <alignment horizontal="center" vertical="center"/>
    </xf>
    <xf numFmtId="0" fontId="11" fillId="2" borderId="3" xfId="49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 vertical="center" wrapText="1"/>
    </xf>
    <xf numFmtId="179" fontId="5" fillId="3" borderId="5" xfId="0" applyNumberFormat="1" applyFont="1" applyFill="1" applyBorder="1" applyAlignment="1">
      <alignment horizontal="center" vertical="center"/>
    </xf>
    <xf numFmtId="2" fontId="3" fillId="0" borderId="5" xfId="4" applyNumberFormat="1" applyFont="1" applyFill="1" applyBorder="1" applyAlignment="1">
      <alignment horizontal="center" vertical="center"/>
    </xf>
    <xf numFmtId="0" fontId="3" fillId="0" borderId="5" xfId="1" applyNumberFormat="1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3" fontId="6" fillId="3" borderId="5" xfId="1" applyNumberFormat="1" applyFont="1" applyFill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178" fontId="1" fillId="7" borderId="5" xfId="0" applyNumberFormat="1" applyFont="1" applyFill="1" applyBorder="1"/>
    <xf numFmtId="3" fontId="1" fillId="7" borderId="5" xfId="0" applyNumberFormat="1" applyFont="1" applyFill="1" applyBorder="1" applyAlignment="1">
      <alignment horizontal="center" vertical="center"/>
    </xf>
    <xf numFmtId="178" fontId="1" fillId="7" borderId="5" xfId="0" applyNumberFormat="1" applyFont="1" applyFill="1" applyBorder="1" applyAlignment="1">
      <alignment horizontal="center" vertical="center"/>
    </xf>
    <xf numFmtId="0" fontId="12" fillId="2" borderId="3" xfId="49" applyFont="1" applyFill="1" applyBorder="1" applyAlignment="1">
      <alignment horizontal="center"/>
    </xf>
    <xf numFmtId="178" fontId="3" fillId="0" borderId="5" xfId="0" applyNumberFormat="1" applyFont="1" applyBorder="1" applyAlignment="1">
      <alignment horizontal="center"/>
    </xf>
    <xf numFmtId="3" fontId="6" fillId="0" borderId="5" xfId="1" applyNumberFormat="1" applyFont="1" applyFill="1" applyBorder="1" applyAlignment="1">
      <alignment horizontal="center" wrapText="1"/>
    </xf>
    <xf numFmtId="178" fontId="3" fillId="0" borderId="5" xfId="50" applyNumberFormat="1" applyFont="1" applyBorder="1" applyAlignment="1">
      <alignment horizontal="center"/>
    </xf>
    <xf numFmtId="3" fontId="3" fillId="0" borderId="4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3" fontId="1" fillId="0" borderId="5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3" fontId="3" fillId="0" borderId="5" xfId="0" applyNumberFormat="1" applyFont="1" applyBorder="1" applyAlignment="1">
      <alignment horizontal="center"/>
    </xf>
    <xf numFmtId="178" fontId="3" fillId="3" borderId="5" xfId="0" applyNumberFormat="1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3" fontId="1" fillId="0" borderId="0" xfId="0" applyNumberFormat="1" applyFont="1"/>
    <xf numFmtId="178" fontId="3" fillId="0" borderId="6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13" fillId="2" borderId="3" xfId="49" applyFont="1" applyFill="1" applyBorder="1" applyAlignment="1">
      <alignment horizontal="center"/>
    </xf>
    <xf numFmtId="179" fontId="1" fillId="0" borderId="0" xfId="0" applyNumberFormat="1" applyFont="1"/>
    <xf numFmtId="3" fontId="14" fillId="0" borderId="0" xfId="0" applyNumberFormat="1" applyFont="1" applyAlignment="1">
      <alignment horizontal="center" vertical="center"/>
    </xf>
    <xf numFmtId="179" fontId="15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6" fillId="8" borderId="9" xfId="50" applyNumberFormat="1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178" fontId="17" fillId="8" borderId="5" xfId="0" applyNumberFormat="1" applyFont="1" applyFill="1" applyBorder="1" applyAlignment="1">
      <alignment horizontal="center" vertical="center" wrapText="1"/>
    </xf>
    <xf numFmtId="0" fontId="18" fillId="9" borderId="5" xfId="0" applyFont="1" applyFill="1" applyBorder="1" applyAlignment="1">
      <alignment horizontal="center" vertical="center" wrapText="1"/>
    </xf>
    <xf numFmtId="3" fontId="18" fillId="10" borderId="5" xfId="0" applyNumberFormat="1" applyFont="1" applyFill="1" applyBorder="1" applyAlignment="1">
      <alignment horizontal="center" vertical="center" wrapText="1"/>
    </xf>
    <xf numFmtId="0" fontId="18" fillId="10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7" fillId="5" borderId="5" xfId="0" applyFont="1" applyFill="1" applyBorder="1" applyAlignment="1">
      <alignment horizontal="center" vertical="center" wrapText="1"/>
    </xf>
    <xf numFmtId="0" fontId="18" fillId="3" borderId="5" xfId="0" applyFont="1" applyFill="1" applyBorder="1" applyAlignment="1">
      <alignment horizontal="center" vertical="center" wrapText="1"/>
    </xf>
    <xf numFmtId="0" fontId="1" fillId="11" borderId="5" xfId="0" applyFont="1" applyFill="1" applyBorder="1"/>
    <xf numFmtId="178" fontId="1" fillId="11" borderId="5" xfId="0" applyNumberFormat="1" applyFont="1" applyFill="1" applyBorder="1" applyAlignment="1">
      <alignment horizontal="center" vertical="center"/>
    </xf>
    <xf numFmtId="0" fontId="20" fillId="11" borderId="5" xfId="0" applyFont="1" applyFill="1" applyBorder="1" applyAlignment="1">
      <alignment horizontal="center" vertical="center"/>
    </xf>
    <xf numFmtId="3" fontId="1" fillId="9" borderId="5" xfId="0" applyNumberFormat="1" applyFont="1" applyFill="1" applyBorder="1" applyAlignment="1">
      <alignment horizontal="center" vertical="center"/>
    </xf>
    <xf numFmtId="179" fontId="20" fillId="9" borderId="5" xfId="0" applyNumberFormat="1" applyFont="1" applyFill="1" applyBorder="1" applyAlignment="1">
      <alignment horizontal="center" vertical="center"/>
    </xf>
    <xf numFmtId="3" fontId="1" fillId="10" borderId="5" xfId="0" applyNumberFormat="1" applyFont="1" applyFill="1" applyBorder="1" applyAlignment="1">
      <alignment horizontal="center" vertical="center"/>
    </xf>
    <xf numFmtId="3" fontId="21" fillId="0" borderId="5" xfId="0" applyNumberFormat="1" applyFont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3" borderId="5" xfId="0" applyFont="1" applyFill="1" applyBorder="1"/>
    <xf numFmtId="178" fontId="1" fillId="3" borderId="5" xfId="0" applyNumberFormat="1" applyFont="1" applyFill="1" applyBorder="1" applyAlignment="1">
      <alignment horizontal="center" vertical="center"/>
    </xf>
    <xf numFmtId="0" fontId="20" fillId="3" borderId="5" xfId="0" applyFont="1" applyFill="1" applyBorder="1" applyAlignment="1">
      <alignment horizontal="center" vertical="center"/>
    </xf>
    <xf numFmtId="0" fontId="1" fillId="6" borderId="5" xfId="0" applyFont="1" applyFill="1" applyBorder="1"/>
    <xf numFmtId="178" fontId="1" fillId="6" borderId="5" xfId="0" applyNumberFormat="1" applyFont="1" applyFill="1" applyBorder="1" applyAlignment="1">
      <alignment horizontal="center" vertical="center"/>
    </xf>
    <xf numFmtId="0" fontId="20" fillId="6" borderId="5" xfId="0" applyFont="1" applyFill="1" applyBorder="1" applyAlignment="1">
      <alignment horizontal="center" vertical="center"/>
    </xf>
    <xf numFmtId="0" fontId="1" fillId="12" borderId="5" xfId="0" applyFont="1" applyFill="1" applyBorder="1"/>
    <xf numFmtId="178" fontId="1" fillId="12" borderId="5" xfId="0" applyNumberFormat="1" applyFont="1" applyFill="1" applyBorder="1" applyAlignment="1">
      <alignment horizontal="center" vertical="center"/>
    </xf>
    <xf numFmtId="0" fontId="20" fillId="12" borderId="5" xfId="0" applyFont="1" applyFill="1" applyBorder="1" applyAlignment="1">
      <alignment horizontal="center" vertical="center"/>
    </xf>
    <xf numFmtId="0" fontId="3" fillId="11" borderId="5" xfId="0" applyFont="1" applyFill="1" applyBorder="1" applyAlignment="1">
      <alignment horizontal="center" vertical="center"/>
    </xf>
    <xf numFmtId="3" fontId="1" fillId="13" borderId="5" xfId="0" applyNumberFormat="1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3" fontId="3" fillId="14" borderId="5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>
      <alignment horizontal="center" vertical="center"/>
    </xf>
    <xf numFmtId="178" fontId="3" fillId="11" borderId="5" xfId="0" applyNumberFormat="1" applyFont="1" applyFill="1" applyBorder="1" applyAlignment="1">
      <alignment horizontal="center" vertical="center"/>
    </xf>
    <xf numFmtId="0" fontId="3" fillId="12" borderId="5" xfId="0" applyFont="1" applyFill="1" applyBorder="1" applyAlignment="1">
      <alignment horizontal="center" vertical="center"/>
    </xf>
    <xf numFmtId="0" fontId="1" fillId="15" borderId="5" xfId="0" applyFont="1" applyFill="1" applyBorder="1"/>
    <xf numFmtId="178" fontId="1" fillId="15" borderId="5" xfId="0" applyNumberFormat="1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178" fontId="1" fillId="6" borderId="5" xfId="0" applyNumberFormat="1" applyFont="1" applyFill="1" applyBorder="1" applyAlignment="1">
      <alignment horizontal="center"/>
    </xf>
    <xf numFmtId="3" fontId="1" fillId="2" borderId="5" xfId="0" applyNumberFormat="1" applyFont="1" applyFill="1" applyBorder="1" applyAlignment="1">
      <alignment horizontal="center" vertical="center"/>
    </xf>
    <xf numFmtId="3" fontId="3" fillId="13" borderId="5" xfId="0" applyNumberFormat="1" applyFont="1" applyFill="1" applyBorder="1" applyAlignment="1">
      <alignment horizontal="center" vertical="center"/>
    </xf>
    <xf numFmtId="3" fontId="1" fillId="14" borderId="5" xfId="0" applyNumberFormat="1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3" borderId="6" xfId="0" applyFont="1" applyFill="1" applyBorder="1"/>
    <xf numFmtId="178" fontId="1" fillId="3" borderId="6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3" fontId="1" fillId="9" borderId="6" xfId="0" applyNumberFormat="1" applyFont="1" applyFill="1" applyBorder="1" applyAlignment="1">
      <alignment horizontal="center" vertical="center"/>
    </xf>
    <xf numFmtId="179" fontId="20" fillId="9" borderId="6" xfId="0" applyNumberFormat="1" applyFont="1" applyFill="1" applyBorder="1" applyAlignment="1">
      <alignment horizontal="center" vertical="center"/>
    </xf>
    <xf numFmtId="3" fontId="1" fillId="10" borderId="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13" borderId="6" xfId="0" applyNumberFormat="1" applyFont="1" applyFill="1" applyBorder="1" applyAlignment="1">
      <alignment horizontal="center" vertical="center"/>
    </xf>
    <xf numFmtId="179" fontId="1" fillId="9" borderId="5" xfId="0" applyNumberFormat="1" applyFont="1" applyFill="1" applyBorder="1" applyAlignment="1">
      <alignment horizontal="center" vertical="center"/>
    </xf>
    <xf numFmtId="0" fontId="1" fillId="15" borderId="5" xfId="51" applyFont="1" applyFill="1" applyBorder="1"/>
    <xf numFmtId="178" fontId="1" fillId="15" borderId="5" xfId="51" applyNumberFormat="1" applyFont="1" applyFill="1" applyBorder="1" applyAlignment="1">
      <alignment horizontal="center" vertical="center"/>
    </xf>
    <xf numFmtId="0" fontId="1" fillId="15" borderId="5" xfId="51" applyFont="1" applyFill="1" applyBorder="1" applyAlignment="1">
      <alignment horizontal="center" vertical="center"/>
    </xf>
    <xf numFmtId="3" fontId="1" fillId="9" borderId="5" xfId="51" applyNumberFormat="1" applyFont="1" applyFill="1" applyBorder="1" applyAlignment="1">
      <alignment horizontal="center" vertical="center"/>
    </xf>
    <xf numFmtId="179" fontId="1" fillId="9" borderId="5" xfId="51" applyNumberFormat="1" applyFont="1" applyFill="1" applyBorder="1" applyAlignment="1">
      <alignment horizontal="center" vertical="center"/>
    </xf>
    <xf numFmtId="3" fontId="1" fillId="10" borderId="5" xfId="51" applyNumberFormat="1" applyFont="1" applyFill="1" applyBorder="1" applyAlignment="1">
      <alignment horizontal="center" vertical="center"/>
    </xf>
    <xf numFmtId="3" fontId="1" fillId="3" borderId="5" xfId="51" applyNumberFormat="1" applyFont="1" applyFill="1" applyBorder="1" applyAlignment="1">
      <alignment horizontal="center" vertical="center"/>
    </xf>
    <xf numFmtId="3" fontId="1" fillId="0" borderId="5" xfId="51" applyNumberFormat="1" applyFont="1" applyBorder="1" applyAlignment="1">
      <alignment horizontal="center" vertical="center"/>
    </xf>
    <xf numFmtId="0" fontId="1" fillId="0" borderId="5" xfId="51" applyFont="1" applyBorder="1"/>
    <xf numFmtId="178" fontId="1" fillId="0" borderId="5" xfId="51" applyNumberFormat="1" applyFont="1" applyBorder="1" applyAlignment="1">
      <alignment horizontal="center" vertical="center"/>
    </xf>
    <xf numFmtId="0" fontId="1" fillId="0" borderId="5" xfId="51" applyFont="1" applyBorder="1" applyAlignment="1">
      <alignment horizontal="center" vertical="center"/>
    </xf>
    <xf numFmtId="0" fontId="1" fillId="3" borderId="5" xfId="51" applyFont="1" applyFill="1" applyBorder="1"/>
    <xf numFmtId="178" fontId="1" fillId="3" borderId="5" xfId="51" applyNumberFormat="1" applyFont="1" applyFill="1" applyBorder="1" applyAlignment="1">
      <alignment horizontal="center" vertical="center"/>
    </xf>
    <xf numFmtId="0" fontId="1" fillId="3" borderId="5" xfId="51" applyFont="1" applyFill="1" applyBorder="1" applyAlignment="1">
      <alignment horizontal="center" vertical="center"/>
    </xf>
    <xf numFmtId="0" fontId="1" fillId="12" borderId="5" xfId="51" applyFont="1" applyFill="1" applyBorder="1"/>
    <xf numFmtId="178" fontId="1" fillId="12" borderId="5" xfId="51" applyNumberFormat="1" applyFont="1" applyFill="1" applyBorder="1" applyAlignment="1">
      <alignment horizontal="center" vertical="center"/>
    </xf>
    <xf numFmtId="0" fontId="1" fillId="12" borderId="5" xfId="51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0" fillId="0" borderId="5" xfId="0" applyBorder="1"/>
    <xf numFmtId="2" fontId="1" fillId="0" borderId="5" xfId="0" applyNumberFormat="1" applyFont="1" applyBorder="1" applyAlignment="1">
      <alignment horizontal="center" vertical="center"/>
    </xf>
    <xf numFmtId="3" fontId="0" fillId="0" borderId="0" xfId="0" applyNumberFormat="1"/>
    <xf numFmtId="0" fontId="22" fillId="16" borderId="4" xfId="0" applyFont="1" applyFill="1" applyBorder="1" applyAlignment="1">
      <alignment horizontal="center" vertical="center"/>
    </xf>
    <xf numFmtId="0" fontId="22" fillId="16" borderId="4" xfId="0" applyFont="1" applyFill="1" applyBorder="1"/>
    <xf numFmtId="0" fontId="22" fillId="16" borderId="7" xfId="0" applyFont="1" applyFill="1" applyBorder="1" applyAlignment="1">
      <alignment horizontal="center"/>
    </xf>
    <xf numFmtId="0" fontId="22" fillId="16" borderId="8" xfId="0" applyFont="1" applyFill="1" applyBorder="1" applyAlignment="1">
      <alignment horizontal="center"/>
    </xf>
    <xf numFmtId="0" fontId="22" fillId="4" borderId="7" xfId="0" applyFont="1" applyFill="1" applyBorder="1" applyAlignment="1">
      <alignment horizontal="center" vertical="center"/>
    </xf>
    <xf numFmtId="0" fontId="22" fillId="4" borderId="8" xfId="0" applyFont="1" applyFill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178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 vertical="center"/>
    </xf>
    <xf numFmtId="3" fontId="22" fillId="0" borderId="5" xfId="0" applyNumberFormat="1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" fillId="15" borderId="5" xfId="0" applyFont="1" applyFill="1" applyBorder="1" applyAlignment="1">
      <alignment horizontal="center"/>
    </xf>
    <xf numFmtId="0" fontId="0" fillId="17" borderId="5" xfId="0" applyFill="1" applyBorder="1" applyAlignment="1">
      <alignment horizontal="center" vertical="center"/>
    </xf>
    <xf numFmtId="0" fontId="0" fillId="17" borderId="5" xfId="0" applyFill="1" applyBorder="1"/>
    <xf numFmtId="3" fontId="0" fillId="17" borderId="5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2" fillId="17" borderId="15" xfId="0" applyFont="1" applyFill="1" applyBorder="1" applyAlignment="1">
      <alignment horizontal="center"/>
    </xf>
    <xf numFmtId="0" fontId="22" fillId="17" borderId="16" xfId="0" applyFont="1" applyFill="1" applyBorder="1" applyAlignment="1">
      <alignment horizontal="center"/>
    </xf>
    <xf numFmtId="3" fontId="22" fillId="17" borderId="5" xfId="0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/>
    </xf>
    <xf numFmtId="3" fontId="22" fillId="0" borderId="0" xfId="0" applyNumberFormat="1" applyFont="1" applyAlignment="1">
      <alignment horizontal="center" vertic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78" fontId="0" fillId="0" borderId="0" xfId="0" applyNumberFormat="1" applyAlignment="1">
      <alignment horizontal="center"/>
    </xf>
    <xf numFmtId="180" fontId="0" fillId="0" borderId="0" xfId="0" applyNumberFormat="1"/>
  </cellXfs>
  <cellStyles count="54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Гиперссылка 2" xfId="49"/>
    <cellStyle name="Обычный 2" xfId="50"/>
    <cellStyle name="Обычный 3" xfId="51"/>
    <cellStyle name="Финансовый [0] 2" xfId="52"/>
    <cellStyle name="Финансовый 2" xfId="53"/>
  </cellStyles>
  <dxfs count="468"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  <u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theme="1"/>
      </font>
      <numFmt numFmtId="3" formatCode="#,##0"/>
      <alignment horizontal="center" vertical="center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0" formatCode="General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numFmt numFmtId="58" formatCode="dd/mm/yyyy"/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strike val="0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scheme val="none"/>
        <charset val="204"/>
        <family val="2"/>
        <b val="0"/>
        <i val="0"/>
        <strike val="0"/>
        <u val="none"/>
        <sz val="11"/>
        <color auto="1"/>
      </font>
      <numFmt numFmtId="3" formatCode="#,##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Таблица213399029467813161718" displayName="Таблица213399029467813161718" ref="A6:M12" totalsRowCount="1">
  <autoFilter xmlns:etc="http://www.wps.cn/officeDocument/2017/etCustomData" ref="A6:M11" etc:filterBottomFollowUsedRange="0"/>
  <tableColumns count="13">
    <tableColumn id="1" name=" " dataDxfId="2"/>
    <tableColumn id="2" name="1" dataDxfId="3"/>
    <tableColumn id="3" name="2" dataDxfId="4" totalsRowFunction="sum"/>
    <tableColumn id="4" name="3" dataDxfId="5"/>
    <tableColumn id="5" name="4" dataDxfId="6"/>
    <tableColumn id="10" name="9" dataDxfId="7">
      <calculatedColumnFormula>Таблица213399029467813161718[[#This Row],[ ]]</calculatedColumnFormula>
    </tableColumn>
    <tableColumn id="11" name="10" dataDxfId="8"/>
    <tableColumn id="12" name="11" dataDxfId="9"/>
    <tableColumn id="40" name="114" dataDxfId="10"/>
    <tableColumn id="39" name="113" dataDxfId="11"/>
    <tableColumn id="41" name="1132" dataDxfId="12" totalsRowFunction="sum"/>
    <tableColumn id="36" name="15" dataDxfId="13"/>
    <tableColumn id="35" name="16" dataDxfId="14" totalsRowFunction="sum">
      <calculatedColumnFormula>Таблица213399029467813161718[[#This Row],[113]]*Таблица213399029467813161718[[#This Row],[15]]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Таблица2133990294678131617" displayName="Таблица2133990294678131617" ref="A19:N31" totalsRowCount="1">
  <autoFilter xmlns:etc="http://www.wps.cn/officeDocument/2017/etCustomData" ref="A19:N30" etc:filterBottomFollowUsedRange="0"/>
  <tableColumns count="14">
    <tableColumn id="1" name=" " dataDxfId="15"/>
    <tableColumn id="2" name="1" dataDxfId="16"/>
    <tableColumn id="3" name="2" dataDxfId="17" totalsRowFunction="sum"/>
    <tableColumn id="4" name="3" dataDxfId="18"/>
    <tableColumn id="5" name="4" dataDxfId="19"/>
    <tableColumn id="10" name="9" dataDxfId="20">
      <calculatedColumnFormula>Таблица2133990294678131617[[#This Row],[ ]]</calculatedColumnFormula>
    </tableColumn>
    <tableColumn id="11" name="10" dataDxfId="21"/>
    <tableColumn id="12" name="11" dataDxfId="22"/>
    <tableColumn id="40" name="114" dataDxfId="23"/>
    <tableColumn id="39" name="113" dataDxfId="24"/>
    <tableColumn id="41" name="1132" dataDxfId="25" totalsRowFunction="sum"/>
    <tableColumn id="36" name="15" dataDxfId="26"/>
    <tableColumn id="35" name="16" dataDxfId="27" totalsRowFunction="sum">
      <calculatedColumnFormula>Таблица2133990294678131617[[#This Row],[113]]*Таблица2133990294678131617[[#This Row],[15]]</calculatedColumnFormula>
    </tableColumn>
    <tableColumn id="6" name="17" dataDxfId="2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Таблица21339902946781316172122" displayName="Таблица21339902946781316172122" ref="A38:N44" totalsRowCount="1">
  <autoFilter xmlns:etc="http://www.wps.cn/officeDocument/2017/etCustomData" ref="A38:N43" etc:filterBottomFollowUsedRange="0"/>
  <tableColumns count="14">
    <tableColumn id="1" name=" " dataDxfId="29"/>
    <tableColumn id="2" name="1" dataDxfId="30"/>
    <tableColumn id="3" name="2" dataDxfId="31" totalsRowFunction="sum"/>
    <tableColumn id="4" name="3" dataDxfId="32"/>
    <tableColumn id="5" name="4" dataDxfId="33"/>
    <tableColumn id="10" name="9" dataDxfId="34">
      <calculatedColumnFormula>Таблица21339902946781316172122[[#This Row],[ ]]</calculatedColumnFormula>
    </tableColumn>
    <tableColumn id="11" name="10" dataDxfId="35"/>
    <tableColumn id="12" name="11" dataDxfId="36"/>
    <tableColumn id="40" name="114" dataDxfId="37"/>
    <tableColumn id="39" name="113" dataDxfId="38"/>
    <tableColumn id="41" name="1132" dataDxfId="39" totalsRowFunction="sum"/>
    <tableColumn id="36" name="15" dataDxfId="40"/>
    <tableColumn id="35" name="16" dataDxfId="41" totalsRowFunction="sum">
      <calculatedColumnFormula>Таблица21339902946781316172122[[#This Row],[113]]*Таблица21339902946781316172122[[#This Row],[15]]</calculatedColumnFormula>
    </tableColumn>
    <tableColumn id="6" name="17" dataDxfId="42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id="4" name="Таблица213399029467813161721222324" displayName="Таблица213399029467813161721222324" ref="A51:M58" totalsRowCount="1">
  <autoFilter xmlns:etc="http://www.wps.cn/officeDocument/2017/etCustomData" ref="A51:M57" etc:filterBottomFollowUsedRange="0"/>
  <tableColumns count="13">
    <tableColumn id="1" name=" " dataDxfId="43"/>
    <tableColumn id="2" name="1" dataDxfId="44"/>
    <tableColumn id="3" name="2" dataDxfId="45" totalsRowFunction="sum"/>
    <tableColumn id="4" name="3" dataDxfId="46"/>
    <tableColumn id="5" name="4" dataDxfId="47"/>
    <tableColumn id="10" name="9" dataDxfId="48">
      <calculatedColumnFormula>Таблица213399029467813161721222324[[#This Row],[ ]]</calculatedColumnFormula>
    </tableColumn>
    <tableColumn id="11" name="10" dataDxfId="49"/>
    <tableColumn id="12" name="11" dataDxfId="50"/>
    <tableColumn id="40" name="114" dataDxfId="51"/>
    <tableColumn id="39" name="113" dataDxfId="52"/>
    <tableColumn id="41" name="1132" dataDxfId="53" totalsRowFunction="sum"/>
    <tableColumn id="36" name="15" dataDxfId="54"/>
    <tableColumn id="35" name="16" dataDxfId="55" totalsRowFunction="sum">
      <calculatedColumnFormula>Таблица213399029467813161721222324[[#This Row],[113]]*Таблица213399029467813161721222324[[#This Row],[15]]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id="5" name="Таблица2133990294678131617212223242530" displayName="Таблица2133990294678131617212223242530" ref="A65:M75" totalsRowCount="1">
  <autoFilter xmlns:etc="http://www.wps.cn/officeDocument/2017/etCustomData" ref="A65:M74" etc:filterBottomFollowUsedRange="0"/>
  <tableColumns count="13">
    <tableColumn id="1" name=" " dataDxfId="56"/>
    <tableColumn id="2" name="1" dataDxfId="57"/>
    <tableColumn id="3" name="2" dataDxfId="58" totalsRowFunction="sum"/>
    <tableColumn id="4" name="3" dataDxfId="59"/>
    <tableColumn id="5" name="4" dataDxfId="60"/>
    <tableColumn id="10" name="9" dataDxfId="61">
      <calculatedColumnFormula>Таблица2133990294678131617212223242530[[#This Row],[ ]]</calculatedColumnFormula>
    </tableColumn>
    <tableColumn id="11" name="10" dataDxfId="62"/>
    <tableColumn id="12" name="11" dataDxfId="63"/>
    <tableColumn id="40" name="114" dataDxfId="64"/>
    <tableColumn id="39" name="113" dataDxfId="65"/>
    <tableColumn id="41" name="1132" dataDxfId="66" totalsRowFunction="sum"/>
    <tableColumn id="36" name="15" dataDxfId="67"/>
    <tableColumn id="35" name="16" dataDxfId="68" totalsRowFunction="sum">
      <calculatedColumnFormula>Таблица2133990294678131617212223242530[[#This Row],[113]]*Таблица2133990294678131617212223242530[[#This Row],[15]]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id="6" name="Таблица213399029467813161721222324253031" displayName="Таблица213399029467813161721222324253031" ref="A82:M89" totalsRowCount="1">
  <autoFilter xmlns:etc="http://www.wps.cn/officeDocument/2017/etCustomData" ref="A82:M88" etc:filterBottomFollowUsedRange="0"/>
  <tableColumns count="13">
    <tableColumn id="1" name=" " dataDxfId="69"/>
    <tableColumn id="2" name="1" dataDxfId="70"/>
    <tableColumn id="3" name="2" dataDxfId="71" totalsRowFunction="sum"/>
    <tableColumn id="4" name="3" dataDxfId="72"/>
    <tableColumn id="5" name="4" dataDxfId="73"/>
    <tableColumn id="10" name="9" dataDxfId="74">
      <calculatedColumnFormula>Таблица213399029467813161721222324253031[[#This Row],[ ]]</calculatedColumnFormula>
    </tableColumn>
    <tableColumn id="11" name="10" dataDxfId="75"/>
    <tableColumn id="12" name="11" dataDxfId="76"/>
    <tableColumn id="40" name="114" dataDxfId="77"/>
    <tableColumn id="39" name="113" dataDxfId="78"/>
    <tableColumn id="41" name="1132" dataDxfId="79" totalsRowFunction="sum"/>
    <tableColumn id="36" name="15" dataDxfId="80"/>
    <tableColumn id="35" name="16" dataDxfId="81" totalsRowFunction="sum">
      <calculatedColumnFormula>Таблица213399029467813161721222324253031[[#This Row],[113]]*Таблица213399029467813161721222324253031[[#This Row],[15]]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id="7" name="Таблица21339902946781316172122232425303142" displayName="Таблица21339902946781316172122232425303142" ref="A96:M99" totalsRowCount="1">
  <autoFilter xmlns:etc="http://www.wps.cn/officeDocument/2017/etCustomData" ref="A96:M98" etc:filterBottomFollowUsedRange="0"/>
  <tableColumns count="13">
    <tableColumn id="1" name=" " dataDxfId="82"/>
    <tableColumn id="2" name="1" dataDxfId="83"/>
    <tableColumn id="3" name="2" dataDxfId="84" totalsRowFunction="sum"/>
    <tableColumn id="4" name="3" dataDxfId="85"/>
    <tableColumn id="5" name="4" dataDxfId="86"/>
    <tableColumn id="10" name="9" dataDxfId="87">
      <calculatedColumnFormula>Таблица21339902946781316172122232425303142[[#This Row],[ ]]</calculatedColumnFormula>
    </tableColumn>
    <tableColumn id="11" name="10" dataDxfId="88"/>
    <tableColumn id="12" name="11" dataDxfId="89"/>
    <tableColumn id="40" name="114" dataDxfId="90"/>
    <tableColumn id="39" name="113" dataDxfId="91"/>
    <tableColumn id="41" name="1132" dataDxfId="92" totalsRowFunction="sum"/>
    <tableColumn id="36" name="15" dataDxfId="93"/>
    <tableColumn id="35" name="16" dataDxfId="94" totalsRowFunction="sum">
      <calculatedColumnFormula>Таблица21339902946781316172122232425303142[[#This Row],[113]]*Таблица21339902946781316172122232425303142[[#This Row],[15]]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id="8" name="Таблица213399029467813" displayName="Таблица213399029467813" ref="A6:N28" totalsRowCount="1">
  <autoFilter xmlns:etc="http://www.wps.cn/officeDocument/2017/etCustomData" ref="A6:N27" etc:filterBottomFollowUsedRange="0"/>
  <tableColumns count="14">
    <tableColumn id="1" name=" " dataDxfId="95"/>
    <tableColumn id="2" name="1" dataDxfId="96"/>
    <tableColumn id="3" name="2" dataDxfId="97" totalsRowFunction="sum"/>
    <tableColumn id="4" name="3" dataDxfId="98"/>
    <tableColumn id="5" name="4" dataDxfId="99"/>
    <tableColumn id="10" name="9" dataDxfId="100">
      <calculatedColumnFormula>Таблица213399029467813[[#This Row],[ ]]</calculatedColumnFormula>
    </tableColumn>
    <tableColumn id="11" name="10" dataDxfId="101"/>
    <tableColumn id="12" name="11" dataDxfId="102"/>
    <tableColumn id="40" name="114" dataDxfId="103"/>
    <tableColumn id="39" name="113" dataDxfId="104"/>
    <tableColumn id="41" name="1132" dataDxfId="105" totalsRowFunction="sum"/>
    <tableColumn id="36" name="15" dataDxfId="106"/>
    <tableColumn id="35" name="16" dataDxfId="107" totalsRowFunction="sum">
      <calculatedColumnFormula>Таблица213399029467813[[#This Row],[113]]*Таблица213399029467813[[#This Row],[15]]</calculatedColumnFormula>
    </tableColumn>
    <tableColumn id="6" name="17" dataDxfId="108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id="9" name="Таблица21339902946781316" displayName="Таблица21339902946781316" ref="A35:M46" totalsRowCount="1">
  <autoFilter xmlns:etc="http://www.wps.cn/officeDocument/2017/etCustomData" ref="A35:M45" etc:filterBottomFollowUsedRange="0"/>
  <tableColumns count="13">
    <tableColumn id="1" name=" " dataDxfId="109"/>
    <tableColumn id="2" name="1" dataDxfId="110"/>
    <tableColumn id="3" name="2" dataDxfId="111" totalsRowFunction="sum"/>
    <tableColumn id="4" name="3" dataDxfId="112"/>
    <tableColumn id="5" name="4" dataDxfId="113"/>
    <tableColumn id="10" name="9" dataDxfId="114">
      <calculatedColumnFormula>Таблица21339902946781316[[#This Row],[ ]]</calculatedColumnFormula>
    </tableColumn>
    <tableColumn id="11" name="10" dataDxfId="115"/>
    <tableColumn id="12" name="11" dataDxfId="116"/>
    <tableColumn id="40" name="114" dataDxfId="117"/>
    <tableColumn id="39" name="113" dataDxfId="118"/>
    <tableColumn id="41" name="1132" dataDxfId="119" totalsRowFunction="sum"/>
    <tableColumn id="36" name="15" dataDxfId="120"/>
    <tableColumn id="35" name="16" dataDxfId="121" totalsRowFunction="sum">
      <calculatedColumnFormula>Таблица21339902946781316[[#This Row],[113]]*Таблица21339902946781316[[#This Row],[15]]</calculatedColumnFormula>
    </tableColumn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id="10" name="Таблица2133990294678131619" displayName="Таблица2133990294678131619" ref="A53:N70" totalsRowCount="1">
  <autoFilter xmlns:etc="http://www.wps.cn/officeDocument/2017/etCustomData" ref="A53:N69" etc:filterBottomFollowUsedRange="0"/>
  <tableColumns count="14">
    <tableColumn id="1" name=" " dataDxfId="122"/>
    <tableColumn id="2" name="1" dataDxfId="123"/>
    <tableColumn id="3" name="2" dataDxfId="124" totalsRowFunction="sum"/>
    <tableColumn id="4" name="3" dataDxfId="125"/>
    <tableColumn id="5" name="4" dataDxfId="126"/>
    <tableColumn id="10" name="9" dataDxfId="127">
      <calculatedColumnFormula>Таблица2133990294678131619[[#This Row],[ ]]</calculatedColumnFormula>
    </tableColumn>
    <tableColumn id="11" name="10" dataDxfId="128"/>
    <tableColumn id="12" name="11" dataDxfId="129"/>
    <tableColumn id="40" name="114" dataDxfId="130"/>
    <tableColumn id="39" name="113" dataDxfId="131"/>
    <tableColumn id="41" name="1132" dataDxfId="132" totalsRowFunction="sum"/>
    <tableColumn id="36" name="15" dataDxfId="133"/>
    <tableColumn id="35" name="16" dataDxfId="134" totalsRowFunction="sum">
      <calculatedColumnFormula>Таблица2133990294678131619[[#This Row],[113]]*Таблица2133990294678131619[[#This Row],[15]]</calculatedColumnFormula>
    </tableColumn>
    <tableColumn id="6" name="17" dataDxfId="135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id="11" name="Таблица213399029467813161721" displayName="Таблица213399029467813161721" ref="A77:M87" totalsRowCount="1">
  <autoFilter xmlns:etc="http://www.wps.cn/officeDocument/2017/etCustomData" ref="A77:M86" etc:filterBottomFollowUsedRange="0"/>
  <tableColumns count="13">
    <tableColumn id="1" name=" " dataDxfId="136"/>
    <tableColumn id="2" name="1" dataDxfId="137"/>
    <tableColumn id="3" name="2" dataDxfId="138" totalsRowFunction="sum"/>
    <tableColumn id="4" name="3" dataDxfId="139"/>
    <tableColumn id="5" name="4" dataDxfId="140"/>
    <tableColumn id="10" name="9" dataDxfId="141">
      <calculatedColumnFormula>Таблица213399029467813161721[[#This Row],[ ]]</calculatedColumnFormula>
    </tableColumn>
    <tableColumn id="11" name="10" dataDxfId="142"/>
    <tableColumn id="12" name="11" dataDxfId="143"/>
    <tableColumn id="40" name="114" dataDxfId="144"/>
    <tableColumn id="39" name="113" dataDxfId="145"/>
    <tableColumn id="41" name="1132" dataDxfId="146" totalsRowFunction="sum"/>
    <tableColumn id="36" name="15" dataDxfId="147"/>
    <tableColumn id="35" name="16" dataDxfId="148" totalsRowFunction="sum">
      <calculatedColumnFormula>Таблица213399029467813161721[[#This Row],[113]]*Таблица213399029467813161721[[#This Row],[15]]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id="12" name="Таблица213399029467813161721222324253031323334353637" displayName="Таблица213399029467813161721222324253031323334353637" ref="A94:M99" totalsRowCount="1">
  <autoFilter xmlns:etc="http://www.wps.cn/officeDocument/2017/etCustomData" ref="A94:M98" etc:filterBottomFollowUsedRange="0"/>
  <tableColumns count="13">
    <tableColumn id="1" name=" " dataDxfId="149"/>
    <tableColumn id="2" name="1" dataDxfId="150"/>
    <tableColumn id="3" name="2" dataDxfId="151" totalsRowFunction="sum"/>
    <tableColumn id="4" name="3" dataDxfId="152"/>
    <tableColumn id="5" name="4" dataDxfId="153"/>
    <tableColumn id="10" name="9" dataDxfId="154">
      <calculatedColumnFormula>Таблица213399029467813161721222324253031323334353637[[#This Row],[ ]]</calculatedColumnFormula>
    </tableColumn>
    <tableColumn id="11" name="10" dataDxfId="155"/>
    <tableColumn id="12" name="11" dataDxfId="156"/>
    <tableColumn id="40" name="114" dataDxfId="157"/>
    <tableColumn id="39" name="113" dataDxfId="158"/>
    <tableColumn id="41" name="1132" dataDxfId="159" totalsRowFunction="sum"/>
    <tableColumn id="36" name="15" dataDxfId="160"/>
    <tableColumn id="35" name="16" dataDxfId="161" totalsRowFunction="sum">
      <calculatedColumnFormula>Таблица213399029467813161721222324253031323334353637[[#This Row],[113]]*Таблица213399029467813161721222324253031323334353637[[#This Row],[15]]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id="14" name="Таблица2133990294678" displayName="Таблица2133990294678" ref="A6:M18" totalsRowCount="1">
  <autoFilter xmlns:etc="http://www.wps.cn/officeDocument/2017/etCustomData" ref="A6:M17" etc:filterBottomFollowUsedRange="0"/>
  <tableColumns count="13">
    <tableColumn id="1" name=" " dataDxfId="162"/>
    <tableColumn id="2" name="1" dataDxfId="163"/>
    <tableColumn id="3" name="2" dataDxfId="164" totalsRowFunction="sum"/>
    <tableColumn id="4" name="3" dataDxfId="165"/>
    <tableColumn id="5" name="4" dataDxfId="166"/>
    <tableColumn id="10" name="9" dataDxfId="167">
      <calculatedColumnFormula>Таблица2133990294678[[#This Row],[ ]]</calculatedColumnFormula>
    </tableColumn>
    <tableColumn id="11" name="10" dataDxfId="168"/>
    <tableColumn id="12" name="11" dataDxfId="169"/>
    <tableColumn id="40" name="114" dataDxfId="170"/>
    <tableColumn id="39" name="113" dataDxfId="171"/>
    <tableColumn id="41" name="1132" dataDxfId="172" totalsRowFunction="sum"/>
    <tableColumn id="36" name="15" dataDxfId="173"/>
    <tableColumn id="35" name="16" dataDxfId="174" totalsRowFunction="sum">
      <calculatedColumnFormula>Таблица2133990294678[[#This Row],[113]]*Таблица2133990294678[[#This Row],[15]]</calculatedColumnFormula>
    </tableColumn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id="15" name="Таблица213399029467" displayName="Таблица213399029467" ref="A25:M29" totalsRowCount="1">
  <autoFilter xmlns:etc="http://www.wps.cn/officeDocument/2017/etCustomData" ref="A25:M28" etc:filterBottomFollowUsedRange="0"/>
  <tableColumns count="13">
    <tableColumn id="1" name=" " dataDxfId="175"/>
    <tableColumn id="2" name="1" dataDxfId="176"/>
    <tableColumn id="3" name="2" dataDxfId="177" totalsRowFunction="sum"/>
    <tableColumn id="4" name="3" dataDxfId="178"/>
    <tableColumn id="5" name="4" dataDxfId="179"/>
    <tableColumn id="10" name="9" dataDxfId="180">
      <calculatedColumnFormula>Таблица213399029467[[#This Row],[ ]]</calculatedColumnFormula>
    </tableColumn>
    <tableColumn id="11" name="10" dataDxfId="181"/>
    <tableColumn id="12" name="11" dataDxfId="182"/>
    <tableColumn id="40" name="114" dataDxfId="183"/>
    <tableColumn id="39" name="113" dataDxfId="184"/>
    <tableColumn id="41" name="1132" dataDxfId="185" totalsRowFunction="sum"/>
    <tableColumn id="36" name="15" dataDxfId="186"/>
    <tableColumn id="35" name="16" dataDxfId="187" totalsRowFunction="sum">
      <calculatedColumnFormula>Таблица213399029467[[#This Row],[113]]*Таблица213399029467[[#This Row],[15]]</calculatedColumnFormula>
    </tableColumn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id="16" name="Таблица213399029467826" displayName="Таблица213399029467826" ref="A36:M43" totalsRowCount="1">
  <autoFilter xmlns:etc="http://www.wps.cn/officeDocument/2017/etCustomData" ref="A36:M42" etc:filterBottomFollowUsedRange="0"/>
  <tableColumns count="13">
    <tableColumn id="1" name=" " dataDxfId="188"/>
    <tableColumn id="2" name="1" dataDxfId="189"/>
    <tableColumn id="3" name="2" dataDxfId="190" totalsRowFunction="sum"/>
    <tableColumn id="4" name="3" dataDxfId="191"/>
    <tableColumn id="5" name="4" dataDxfId="192"/>
    <tableColumn id="10" name="9" dataDxfId="193">
      <calculatedColumnFormula>Таблица213399029467826[[#This Row],[ ]]</calculatedColumnFormula>
    </tableColumn>
    <tableColumn id="11" name="10" dataDxfId="194"/>
    <tableColumn id="12" name="11" dataDxfId="195"/>
    <tableColumn id="40" name="114" dataDxfId="196"/>
    <tableColumn id="39" name="113" dataDxfId="197"/>
    <tableColumn id="41" name="1132" dataDxfId="198" totalsRowFunction="sum"/>
    <tableColumn id="36" name="15" dataDxfId="199"/>
    <tableColumn id="35" name="16" dataDxfId="200" totalsRowFunction="sum">
      <calculatedColumnFormula>Таблица213399029467826[[#This Row],[113]]*Таблица213399029467826[[#This Row],[15]]</calculatedColumnFormula>
    </tableColumn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id="17" name="Таблица21339902946781316172122232425303132333435" displayName="Таблица21339902946781316172122232425303132333435" ref="A50:M55" totalsRowCount="1">
  <autoFilter xmlns:etc="http://www.wps.cn/officeDocument/2017/etCustomData" ref="A50:M54" etc:filterBottomFollowUsedRange="0"/>
  <tableColumns count="13">
    <tableColumn id="1" name=" " dataDxfId="201"/>
    <tableColumn id="2" name="1" dataDxfId="202"/>
    <tableColumn id="3" name="2" dataDxfId="203" totalsRowFunction="sum"/>
    <tableColumn id="4" name="3" dataDxfId="204"/>
    <tableColumn id="5" name="4" dataDxfId="205"/>
    <tableColumn id="10" name="9" dataDxfId="206">
      <calculatedColumnFormula>Таблица21339902946781316172122232425303132333435[[#This Row],[ ]]</calculatedColumnFormula>
    </tableColumn>
    <tableColumn id="11" name="10" dataDxfId="207"/>
    <tableColumn id="12" name="11" dataDxfId="208"/>
    <tableColumn id="40" name="114" dataDxfId="209"/>
    <tableColumn id="39" name="113" dataDxfId="210"/>
    <tableColumn id="41" name="1132" dataDxfId="211" totalsRowFunction="sum"/>
    <tableColumn id="36" name="15" dataDxfId="212"/>
    <tableColumn id="35" name="16" dataDxfId="213" totalsRowFunction="sum">
      <calculatedColumnFormula>Таблица21339902946781316172122232425303132333435[[#This Row],[113]]*Таблица21339902946781316172122232425303132333435[[#This Row],[15]]</calculatedColumnFormula>
    </tableColumn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id="18" name="Таблица2133990294678131617212223242530313233343536" displayName="Таблица2133990294678131617212223242530313233343536" ref="A62:M66" totalsRowCount="1">
  <autoFilter xmlns:etc="http://www.wps.cn/officeDocument/2017/etCustomData" ref="A62:M65" etc:filterBottomFollowUsedRange="0"/>
  <tableColumns count="13">
    <tableColumn id="1" name=" " dataDxfId="214"/>
    <tableColumn id="2" name="1" dataDxfId="215"/>
    <tableColumn id="3" name="2" dataDxfId="216" totalsRowFunction="sum"/>
    <tableColumn id="4" name="3" dataDxfId="217"/>
    <tableColumn id="5" name="4" dataDxfId="218"/>
    <tableColumn id="10" name="9" dataDxfId="219">
      <calculatedColumnFormula>Таблица2133990294678131617212223242530313233343536[[#This Row],[ ]]</calculatedColumnFormula>
    </tableColumn>
    <tableColumn id="11" name="10" dataDxfId="220"/>
    <tableColumn id="12" name="11" dataDxfId="221"/>
    <tableColumn id="40" name="114" dataDxfId="222"/>
    <tableColumn id="39" name="113" dataDxfId="223"/>
    <tableColumn id="41" name="1132" dataDxfId="224" totalsRowFunction="sum"/>
    <tableColumn id="36" name="15" dataDxfId="225"/>
    <tableColumn id="35" name="16" dataDxfId="226" totalsRowFunction="sum">
      <calculatedColumnFormula>Таблица2133990294678131617212223242530313233343536[[#This Row],[113]]*Таблица2133990294678131617212223242530313233343536[[#This Row],[15]]</calculatedColumnFormula>
    </tableColumn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id="19" name="Таблица21339902946781316172122232425" displayName="Таблица21339902946781316172122232425" ref="A73:O79" totalsRowCount="1">
  <autoFilter xmlns:etc="http://www.wps.cn/officeDocument/2017/etCustomData" ref="A73:O78" etc:filterBottomFollowUsedRange="0"/>
  <tableColumns count="15">
    <tableColumn id="1" name=" " dataDxfId="227"/>
    <tableColumn id="2" name="1" dataDxfId="228"/>
    <tableColumn id="3" name="2" dataDxfId="229" totalsRowFunction="sum"/>
    <tableColumn id="4" name="3" dataDxfId="230"/>
    <tableColumn id="5" name="4" dataDxfId="231"/>
    <tableColumn id="10" name="9" dataDxfId="232">
      <calculatedColumnFormula>Таблица21339902946781316172122232425[[#This Row],[ ]]</calculatedColumnFormula>
    </tableColumn>
    <tableColumn id="11" name="10" dataDxfId="233"/>
    <tableColumn id="12" name="11" dataDxfId="234"/>
    <tableColumn id="40" name="114" dataDxfId="235"/>
    <tableColumn id="39" name="113" dataDxfId="236"/>
    <tableColumn id="41" name="1132" dataDxfId="237" totalsRowFunction="sum"/>
    <tableColumn id="36" name="15" dataDxfId="238"/>
    <tableColumn id="35" name="16" dataDxfId="239" totalsRowFunction="sum">
      <calculatedColumnFormula>Таблица21339902946781316172122232425[[#This Row],[113]]*Таблица21339902946781316172122232425[[#This Row],[15]]</calculatedColumnFormula>
    </tableColumn>
    <tableColumn id="6" name="17" dataDxfId="240"/>
    <tableColumn id="7" name="18" dataDxfId="241"/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id="20" name="Таблица213399029469" displayName="Таблица213399029469" ref="A6:M10" totalsRowCount="1">
  <autoFilter xmlns:etc="http://www.wps.cn/officeDocument/2017/etCustomData" ref="A6:M9" etc:filterBottomFollowUsedRange="0"/>
  <tableColumns count="13">
    <tableColumn id="1" name=" " dataDxfId="242"/>
    <tableColumn id="2" name="1" dataDxfId="243"/>
    <tableColumn id="3" name="2" dataDxfId="244" totalsRowFunction="sum"/>
    <tableColumn id="4" name="3" dataDxfId="245"/>
    <tableColumn id="5" name="4" dataDxfId="246"/>
    <tableColumn id="10" name="9" dataDxfId="247">
      <calculatedColumnFormula>Таблица213399029469[[#This Row],[ ]]</calculatedColumnFormula>
    </tableColumn>
    <tableColumn id="11" name="10" dataDxfId="248"/>
    <tableColumn id="12" name="11" dataDxfId="249"/>
    <tableColumn id="40" name="114" dataDxfId="250"/>
    <tableColumn id="39" name="113" dataDxfId="251"/>
    <tableColumn id="41" name="1132" dataDxfId="252" totalsRowFunction="sum"/>
    <tableColumn id="36" name="15" dataDxfId="253"/>
    <tableColumn id="35" name="16" dataDxfId="254" totalsRowFunction="sum">
      <calculatedColumnFormula>Таблица213399029469[[#This Row],[113]]*Таблица213399029469[[#This Row],[15]]</calculatedColumnFormula>
    </tableColumn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id="21" name="Таблица21339902946" displayName="Таблица21339902946" ref="A17:N55" totalsRowCount="1">
  <autoFilter xmlns:etc="http://www.wps.cn/officeDocument/2017/etCustomData" ref="A17:N54" etc:filterBottomFollowUsedRange="0"/>
  <tableColumns count="14">
    <tableColumn id="1" name=" " dataDxfId="255"/>
    <tableColumn id="2" name="1" dataDxfId="256"/>
    <tableColumn id="3" name="2" dataDxfId="257" totalsRowFunction="sum"/>
    <tableColumn id="4" name="3" dataDxfId="258"/>
    <tableColumn id="5" name="4" dataDxfId="259"/>
    <tableColumn id="10" name="9" dataDxfId="260">
      <calculatedColumnFormula>Таблица21339902946[[#This Row],[ ]]</calculatedColumnFormula>
    </tableColumn>
    <tableColumn id="11" name="10" dataDxfId="261"/>
    <tableColumn id="12" name="11" dataDxfId="262"/>
    <tableColumn id="40" name="114" dataDxfId="263"/>
    <tableColumn id="39" name="113" dataDxfId="264"/>
    <tableColumn id="41" name="1132" dataDxfId="265" totalsRowFunction="sum"/>
    <tableColumn id="36" name="15" dataDxfId="266"/>
    <tableColumn id="35" name="16" dataDxfId="267" totalsRowFunction="sum">
      <calculatedColumnFormula>Таблица21339902946[[#This Row],[113]]*Таблица21339902946[[#This Row],[15]]</calculatedColumnFormula>
    </tableColumn>
    <tableColumn id="6" name="17" dataDxfId="268"/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id="22" name="Таблица21339902946915" displayName="Таблица21339902946915" ref="A62:N69" totalsRowCount="1">
  <autoFilter xmlns:etc="http://www.wps.cn/officeDocument/2017/etCustomData" ref="A62:N68" etc:filterBottomFollowUsedRange="0"/>
  <tableColumns count="14">
    <tableColumn id="1" name=" " dataDxfId="269"/>
    <tableColumn id="2" name="1" dataDxfId="270"/>
    <tableColumn id="3" name="2" dataDxfId="271" totalsRowFunction="sum"/>
    <tableColumn id="4" name="3" dataDxfId="272"/>
    <tableColumn id="5" name="4" dataDxfId="273"/>
    <tableColumn id="10" name="9" dataDxfId="274">
      <calculatedColumnFormula>Таблица21339902946915[[#This Row],[ ]]</calculatedColumnFormula>
    </tableColumn>
    <tableColumn id="11" name="10" dataDxfId="275"/>
    <tableColumn id="12" name="11" dataDxfId="276"/>
    <tableColumn id="40" name="114" dataDxfId="277"/>
    <tableColumn id="39" name="113" dataDxfId="278"/>
    <tableColumn id="41" name="1132" dataDxfId="279" totalsRowFunction="sum"/>
    <tableColumn id="36" name="15" dataDxfId="280"/>
    <tableColumn id="35" name="16" dataDxfId="281" totalsRowFunction="sum">
      <calculatedColumnFormula>Таблица21339902946915[[#This Row],[113]]*Таблица21339902946915[[#This Row],[15]]</calculatedColumnFormula>
    </tableColumn>
    <tableColumn id="6" name="17" dataDxfId="282"/>
  </tableColumns>
  <tableStyleInfo name="TableStyleLight8" showFirstColumn="0" showLastColumn="0" showRowStripes="1" showColumnStripes="0"/>
</table>
</file>

<file path=xl/tables/table22.xml><?xml version="1.0" encoding="utf-8"?>
<table xmlns="http://schemas.openxmlformats.org/spreadsheetml/2006/main" id="23" name="Таблица2133990294678131617212223" displayName="Таблица2133990294678131617212223" ref="A76:N81" totalsRowCount="1">
  <autoFilter xmlns:etc="http://www.wps.cn/officeDocument/2017/etCustomData" ref="A76:N80" etc:filterBottomFollowUsedRange="0"/>
  <tableColumns count="14">
    <tableColumn id="1" name=" " dataDxfId="283"/>
    <tableColumn id="2" name="1" dataDxfId="284"/>
    <tableColumn id="3" name="2" dataDxfId="285" totalsRowFunction="sum"/>
    <tableColumn id="4" name="3" dataDxfId="286"/>
    <tableColumn id="5" name="4" dataDxfId="287"/>
    <tableColumn id="10" name="9" dataDxfId="288">
      <calculatedColumnFormula>Таблица2133990294678131617212223[[#This Row],[ ]]</calculatedColumnFormula>
    </tableColumn>
    <tableColumn id="11" name="10" dataDxfId="289"/>
    <tableColumn id="12" name="11" dataDxfId="290"/>
    <tableColumn id="40" name="114" dataDxfId="291"/>
    <tableColumn id="39" name="113" dataDxfId="292"/>
    <tableColumn id="41" name="1132" dataDxfId="293" totalsRowFunction="sum"/>
    <tableColumn id="36" name="15" dataDxfId="294"/>
    <tableColumn id="35" name="16" dataDxfId="295" totalsRowFunction="sum">
      <calculatedColumnFormula>Таблица2133990294678131617212223[[#This Row],[113]]*Таблица2133990294678131617212223[[#This Row],[15]]</calculatedColumnFormula>
    </tableColumn>
    <tableColumn id="6" name="17" dataDxfId="296"/>
  </tableColumns>
  <tableStyleInfo name="TableStyleLight8" showFirstColumn="0" showLastColumn="0" showRowStripes="1" showColumnStripes="0"/>
</table>
</file>

<file path=xl/tables/table23.xml><?xml version="1.0" encoding="utf-8"?>
<table xmlns="http://schemas.openxmlformats.org/spreadsheetml/2006/main" id="24" name="Таблица213399029467813161721222341" displayName="Таблица213399029467813161721222341" ref="A88:N91" totalsRowCount="1">
  <autoFilter xmlns:etc="http://www.wps.cn/officeDocument/2017/etCustomData" ref="A88:N90" etc:filterBottomFollowUsedRange="0"/>
  <tableColumns count="14">
    <tableColumn id="1" name=" " dataDxfId="297"/>
    <tableColumn id="2" name="1" dataDxfId="298"/>
    <tableColumn id="3" name="2" dataDxfId="299" totalsRowFunction="sum"/>
    <tableColumn id="4" name="3" dataDxfId="300"/>
    <tableColumn id="5" name="4" dataDxfId="301"/>
    <tableColumn id="10" name="9" dataDxfId="302">
      <calculatedColumnFormula>Таблица213399029467813161721222341[[#This Row],[ ]]</calculatedColumnFormula>
    </tableColumn>
    <tableColumn id="11" name="10" dataDxfId="303"/>
    <tableColumn id="12" name="11" dataDxfId="304"/>
    <tableColumn id="40" name="114" dataDxfId="305"/>
    <tableColumn id="39" name="113" dataDxfId="306"/>
    <tableColumn id="41" name="1132" dataDxfId="307" totalsRowFunction="sum"/>
    <tableColumn id="36" name="15" dataDxfId="308"/>
    <tableColumn id="35" name="16" dataDxfId="309" totalsRowFunction="sum">
      <calculatedColumnFormula>Таблица213399029467813161721222341[[#This Row],[113]]*Таблица213399029467813161721222341[[#This Row],[15]]</calculatedColumnFormula>
    </tableColumn>
    <tableColumn id="6" name="17" dataDxfId="310"/>
  </tableColumns>
  <tableStyleInfo name="TableStyleLight8" showFirstColumn="0" showLastColumn="0" showRowStripes="1" showColumnStripes="0"/>
</table>
</file>

<file path=xl/tables/table24.xml><?xml version="1.0" encoding="utf-8"?>
<table xmlns="http://schemas.openxmlformats.org/spreadsheetml/2006/main" id="25" name="Таблица2133990294" displayName="Таблица2133990294" ref="A6:M13" totalsRowCount="1">
  <autoFilter xmlns:etc="http://www.wps.cn/officeDocument/2017/etCustomData" ref="A6:M12" etc:filterBottomFollowUsedRange="0"/>
  <tableColumns count="13">
    <tableColumn id="1" name=" " dataDxfId="311"/>
    <tableColumn id="2" name="1" dataDxfId="312"/>
    <tableColumn id="3" name="2" dataDxfId="313" totalsRowFunction="sum"/>
    <tableColumn id="4" name="3" dataDxfId="314"/>
    <tableColumn id="5" name="4" dataDxfId="315"/>
    <tableColumn id="10" name="9" dataDxfId="316">
      <calculatedColumnFormula>Таблица2133990294[[#This Row],[ ]]</calculatedColumnFormula>
    </tableColumn>
    <tableColumn id="11" name="10" dataDxfId="317"/>
    <tableColumn id="12" name="11" dataDxfId="318"/>
    <tableColumn id="40" name="114" dataDxfId="319"/>
    <tableColumn id="39" name="113" dataDxfId="320"/>
    <tableColumn id="41" name="1132" dataDxfId="321" totalsRowFunction="sum"/>
    <tableColumn id="36" name="15" dataDxfId="322"/>
    <tableColumn id="35" name="16" dataDxfId="323" totalsRowFunction="sum">
      <calculatedColumnFormula>Таблица2133990294[[#This Row],[113]]*Таблица2133990294[[#This Row],[15]]</calculatedColumnFormula>
    </tableColumn>
  </tableColumns>
  <tableStyleInfo name="TableStyleLight8" showFirstColumn="0" showLastColumn="0" showRowStripes="1" showColumnStripes="0"/>
</table>
</file>

<file path=xl/tables/table25.xml><?xml version="1.0" encoding="utf-8"?>
<table xmlns="http://schemas.openxmlformats.org/spreadsheetml/2006/main" id="26" name="Таблица213399029414" displayName="Таблица213399029414" ref="A20:M31" totalsRowCount="1">
  <autoFilter xmlns:etc="http://www.wps.cn/officeDocument/2017/etCustomData" ref="A20:M30" etc:filterBottomFollowUsedRange="0"/>
  <tableColumns count="13">
    <tableColumn id="1" name=" " dataDxfId="324"/>
    <tableColumn id="2" name="1" dataDxfId="325"/>
    <tableColumn id="3" name="2" dataDxfId="326" totalsRowFunction="sum"/>
    <tableColumn id="4" name="3" dataDxfId="327"/>
    <tableColumn id="5" name="4" dataDxfId="328"/>
    <tableColumn id="10" name="9" dataDxfId="329">
      <calculatedColumnFormula>Таблица213399029414[[#This Row],[ ]]</calculatedColumnFormula>
    </tableColumn>
    <tableColumn id="11" name="10" dataDxfId="330"/>
    <tableColumn id="12" name="11" dataDxfId="331"/>
    <tableColumn id="40" name="114" dataDxfId="332"/>
    <tableColumn id="39" name="113" dataDxfId="333"/>
    <tableColumn id="41" name="1132" dataDxfId="334" totalsRowFunction="sum"/>
    <tableColumn id="36" name="15" dataDxfId="335"/>
    <tableColumn id="35" name="16" dataDxfId="336" totalsRowFunction="sum">
      <calculatedColumnFormula>Таблица213399029414[[#This Row],[113]]*Таблица213399029414[[#This Row],[15]]</calculatedColumnFormula>
    </tableColumn>
  </tableColumns>
  <tableStyleInfo name="TableStyleLight8" showFirstColumn="0" showLastColumn="0" showRowStripes="1" showColumnStripes="0"/>
</table>
</file>

<file path=xl/tables/table26.xml><?xml version="1.0" encoding="utf-8"?>
<table xmlns="http://schemas.openxmlformats.org/spreadsheetml/2006/main" id="27" name="Таблица21339902946781316172122232425303132" displayName="Таблица21339902946781316172122232425303132" ref="A38:M42" totalsRowCount="1">
  <autoFilter xmlns:etc="http://www.wps.cn/officeDocument/2017/etCustomData" ref="A38:M41" etc:filterBottomFollowUsedRange="0"/>
  <tableColumns count="13">
    <tableColumn id="1" name=" " dataDxfId="337"/>
    <tableColumn id="2" name="1" dataDxfId="338"/>
    <tableColumn id="3" name="2" dataDxfId="339" totalsRowFunction="sum"/>
    <tableColumn id="4" name="3" dataDxfId="340"/>
    <tableColumn id="5" name="4" dataDxfId="341"/>
    <tableColumn id="10" name="9" dataDxfId="342">
      <calculatedColumnFormula>Таблица21339902946781316172122232425303132[[#This Row],[ ]]</calculatedColumnFormula>
    </tableColumn>
    <tableColumn id="11" name="10" dataDxfId="343"/>
    <tableColumn id="12" name="11" dataDxfId="344"/>
    <tableColumn id="40" name="114" dataDxfId="345"/>
    <tableColumn id="39" name="113" dataDxfId="346"/>
    <tableColumn id="41" name="1132" dataDxfId="347" totalsRowFunction="sum"/>
    <tableColumn id="36" name="15" dataDxfId="348"/>
    <tableColumn id="35" name="16" dataDxfId="349" totalsRowFunction="sum">
      <calculatedColumnFormula>Таблица21339902946781316172122232425303132[[#This Row],[113]]*Таблица21339902946781316172122232425303132[[#This Row],[15]]</calculatedColumnFormula>
    </tableColumn>
  </tableColumns>
  <tableStyleInfo name="TableStyleLight8" showFirstColumn="0" showLastColumn="0" showRowStripes="1" showColumnStripes="0"/>
</table>
</file>

<file path=xl/tables/table27.xml><?xml version="1.0" encoding="utf-8"?>
<table xmlns="http://schemas.openxmlformats.org/spreadsheetml/2006/main" id="28" name="Таблица21339902941440" displayName="Таблица21339902941440" ref="A49:M53" totalsRowCount="1">
  <autoFilter xmlns:etc="http://www.wps.cn/officeDocument/2017/etCustomData" ref="A49:M52" etc:filterBottomFollowUsedRange="0"/>
  <tableColumns count="13">
    <tableColumn id="1" name=" " dataDxfId="350"/>
    <tableColumn id="2" name="1" dataDxfId="351"/>
    <tableColumn id="3" name="2" dataDxfId="352" totalsRowFunction="sum"/>
    <tableColumn id="4" name="3" dataDxfId="353"/>
    <tableColumn id="5" name="4" dataDxfId="354"/>
    <tableColumn id="10" name="9" dataDxfId="355">
      <calculatedColumnFormula>Таблица21339902941440[[#This Row],[ ]]</calculatedColumnFormula>
    </tableColumn>
    <tableColumn id="11" name="10" dataDxfId="356"/>
    <tableColumn id="12" name="11" dataDxfId="357"/>
    <tableColumn id="40" name="114" dataDxfId="358"/>
    <tableColumn id="39" name="113" dataDxfId="359"/>
    <tableColumn id="41" name="1132" dataDxfId="360" totalsRowFunction="sum"/>
    <tableColumn id="36" name="15" dataDxfId="361"/>
    <tableColumn id="35" name="16" dataDxfId="362" totalsRowFunction="sum">
      <calculatedColumnFormula>Таблица21339902941440[[#This Row],[113]]*Таблица21339902941440[[#This Row],[15]]</calculatedColumnFormula>
    </tableColumn>
  </tableColumns>
  <tableStyleInfo name="TableStyleLight8" showFirstColumn="0" showLastColumn="0" showRowStripes="1" showColumnStripes="0"/>
</table>
</file>

<file path=xl/tables/table28.xml><?xml version="1.0" encoding="utf-8"?>
<table xmlns="http://schemas.openxmlformats.org/spreadsheetml/2006/main" id="29" name="Таблица2133990" displayName="Таблица2133990" ref="A6:M12" totalsRowCount="1">
  <autoFilter xmlns:etc="http://www.wps.cn/officeDocument/2017/etCustomData" ref="A6:M11" etc:filterBottomFollowUsedRange="0"/>
  <tableColumns count="13">
    <tableColumn id="1" name=" " dataDxfId="363"/>
    <tableColumn id="2" name="1" dataDxfId="364"/>
    <tableColumn id="3" name="2" dataDxfId="365" totalsRowFunction="sum"/>
    <tableColumn id="4" name="3" dataDxfId="366"/>
    <tableColumn id="5" name="4" dataDxfId="367"/>
    <tableColumn id="10" name="9" dataDxfId="368">
      <calculatedColumnFormula>Таблица2133990[[#This Row],[ ]]</calculatedColumnFormula>
    </tableColumn>
    <tableColumn id="11" name="10" dataDxfId="369"/>
    <tableColumn id="12" name="11" dataDxfId="370"/>
    <tableColumn id="40" name="114" dataDxfId="371"/>
    <tableColumn id="39" name="113" dataDxfId="372"/>
    <tableColumn id="41" name="1132" dataDxfId="373" totalsRowFunction="sum"/>
    <tableColumn id="36" name="15" dataDxfId="374"/>
    <tableColumn id="35" name="16" dataDxfId="375" totalsRowFunction="sum">
      <calculatedColumnFormula>Таблица2133990[[#This Row],[113]]*(Таблица2133990[[#This Row],[15]])</calculatedColumnFormula>
    </tableColumn>
  </tableColumns>
  <tableStyleInfo name="TableStyleLight8" showFirstColumn="0" showLastColumn="0" showRowStripes="1" showColumnStripes="0"/>
</table>
</file>

<file path=xl/tables/table29.xml><?xml version="1.0" encoding="utf-8"?>
<table xmlns="http://schemas.openxmlformats.org/spreadsheetml/2006/main" id="30" name="Таблица213399029" displayName="Таблица213399029" ref="A19:M27" totalsRowCount="1">
  <autoFilter xmlns:etc="http://www.wps.cn/officeDocument/2017/etCustomData" ref="A19:M26" etc:filterBottomFollowUsedRange="0"/>
  <tableColumns count="13">
    <tableColumn id="1" name=" " dataDxfId="376"/>
    <tableColumn id="2" name="1" dataDxfId="377"/>
    <tableColumn id="3" name="2" dataDxfId="378" totalsRowFunction="sum"/>
    <tableColumn id="4" name="3" dataDxfId="379"/>
    <tableColumn id="5" name="4" dataDxfId="380"/>
    <tableColumn id="10" name="9" dataDxfId="381">
      <calculatedColumnFormula>Таблица213399029[[#This Row],[ ]]</calculatedColumnFormula>
    </tableColumn>
    <tableColumn id="11" name="10" dataDxfId="382"/>
    <tableColumn id="12" name="11" dataDxfId="383"/>
    <tableColumn id="40" name="114" dataDxfId="384"/>
    <tableColumn id="39" name="113" dataDxfId="385"/>
    <tableColumn id="41" name="1132" dataDxfId="386" totalsRowFunction="sum"/>
    <tableColumn id="36" name="15" dataDxfId="387"/>
    <tableColumn id="35" name="16" dataDxfId="388" totalsRowFunction="sum">
      <calculatedColumnFormula>Таблица213399029[[#This Row],[113]]*Таблица213399029[[#This Row],[15]]</calculatedColumnFormula>
    </tableColumn>
  </tableColumns>
  <tableStyleInfo name="TableStyleLight8" showFirstColumn="0" showLastColumn="0" showRowStripes="1" showColumnStripes="0"/>
</table>
</file>

<file path=xl/tables/table30.xml><?xml version="1.0" encoding="utf-8"?>
<table xmlns="http://schemas.openxmlformats.org/spreadsheetml/2006/main" id="31" name="Таблица2133990291011" displayName="Таблица2133990291011" ref="A34:M37" totalsRowCount="1">
  <autoFilter xmlns:etc="http://www.wps.cn/officeDocument/2017/etCustomData" ref="A34:M36" etc:filterBottomFollowUsedRange="0"/>
  <tableColumns count="13">
    <tableColumn id="1" name=" " dataDxfId="389"/>
    <tableColumn id="2" name="1" dataDxfId="390"/>
    <tableColumn id="3" name="2" dataDxfId="391" totalsRowFunction="sum"/>
    <tableColumn id="4" name="3" dataDxfId="392"/>
    <tableColumn id="5" name="4" dataDxfId="393"/>
    <tableColumn id="10" name="9" dataDxfId="394">
      <calculatedColumnFormula>Таблица2133990291011[[#This Row],[ ]]</calculatedColumnFormula>
    </tableColumn>
    <tableColumn id="11" name="10" dataDxfId="395"/>
    <tableColumn id="12" name="11" dataDxfId="396"/>
    <tableColumn id="40" name="114" dataDxfId="397"/>
    <tableColumn id="39" name="113" dataDxfId="398"/>
    <tableColumn id="41" name="1132" dataDxfId="399" totalsRowFunction="sum"/>
    <tableColumn id="36" name="15" dataDxfId="400"/>
    <tableColumn id="35" name="16" dataDxfId="401" totalsRowFunction="sum">
      <calculatedColumnFormula>Таблица2133990291011[[#This Row],[113]]*Таблица2133990291011[[#This Row],[15]]</calculatedColumnFormula>
    </tableColumn>
  </tableColumns>
  <tableStyleInfo name="TableStyleLight8" showFirstColumn="0" showLastColumn="0" showRowStripes="1" showColumnStripes="0"/>
</table>
</file>

<file path=xl/tables/table31.xml><?xml version="1.0" encoding="utf-8"?>
<table xmlns="http://schemas.openxmlformats.org/spreadsheetml/2006/main" id="32" name="Таблица213399028" displayName="Таблица213399028" ref="A44:M49" totalsRowCount="1">
  <autoFilter xmlns:etc="http://www.wps.cn/officeDocument/2017/etCustomData" ref="A44:M48" etc:filterBottomFollowUsedRange="0"/>
  <tableColumns count="13">
    <tableColumn id="1" name=" " dataDxfId="402"/>
    <tableColumn id="2" name="1" dataDxfId="403"/>
    <tableColumn id="3" name="2" dataDxfId="404" totalsRowFunction="sum"/>
    <tableColumn id="4" name="3" dataDxfId="405"/>
    <tableColumn id="5" name="4" dataDxfId="406"/>
    <tableColumn id="10" name="9" dataDxfId="407">
      <calculatedColumnFormula>Таблица213399028[[#This Row],[ ]]</calculatedColumnFormula>
    </tableColumn>
    <tableColumn id="11" name="10" dataDxfId="408"/>
    <tableColumn id="12" name="11" dataDxfId="409"/>
    <tableColumn id="40" name="114" dataDxfId="410"/>
    <tableColumn id="39" name="113" dataDxfId="411"/>
    <tableColumn id="41" name="1132" dataDxfId="412" totalsRowFunction="sum"/>
    <tableColumn id="36" name="15" dataDxfId="413"/>
    <tableColumn id="35" name="16" dataDxfId="414" totalsRowFunction="sum">
      <calculatedColumnFormula>Таблица213399028[[#This Row],[113]]*Таблица213399028[[#This Row],[15]]</calculatedColumnFormula>
    </tableColumn>
  </tableColumns>
  <tableStyleInfo name="TableStyleLight8" showFirstColumn="0" showLastColumn="0" showRowStripes="1" showColumnStripes="0"/>
</table>
</file>

<file path=xl/tables/table32.xml><?xml version="1.0" encoding="utf-8"?>
<table xmlns="http://schemas.openxmlformats.org/spreadsheetml/2006/main" id="33" name="Таблица21339902910" displayName="Таблица21339902910" ref="A56:N66" totalsRowCount="1">
  <autoFilter xmlns:etc="http://www.wps.cn/officeDocument/2017/etCustomData" ref="A56:N65" etc:filterBottomFollowUsedRange="0"/>
  <tableColumns count="14">
    <tableColumn id="1" name=" " dataDxfId="415"/>
    <tableColumn id="2" name="1" dataDxfId="416"/>
    <tableColumn id="3" name="2" dataDxfId="417" totalsRowFunction="sum"/>
    <tableColumn id="4" name="3" dataDxfId="418"/>
    <tableColumn id="5" name="4" dataDxfId="419"/>
    <tableColumn id="10" name="9" dataDxfId="420">
      <calculatedColumnFormula>Таблица21339902910[[#This Row],[ ]]</calculatedColumnFormula>
    </tableColumn>
    <tableColumn id="11" name="10" dataDxfId="421"/>
    <tableColumn id="12" name="11" dataDxfId="422"/>
    <tableColumn id="40" name="114" dataDxfId="423"/>
    <tableColumn id="39" name="113" dataDxfId="424"/>
    <tableColumn id="41" name="1132" dataDxfId="425" totalsRowFunction="sum"/>
    <tableColumn id="36" name="15" dataDxfId="426"/>
    <tableColumn id="35" name="16" dataDxfId="427" totalsRowFunction="sum">
      <calculatedColumnFormula>Таблица21339902910[[#This Row],[113]]*Таблица21339902910[[#This Row],[15]]</calculatedColumnFormula>
    </tableColumn>
    <tableColumn id="6" name="17" dataDxfId="428"/>
  </tableColumns>
  <tableStyleInfo name="TableStyleLight8" showFirstColumn="0" showLastColumn="0" showRowStripes="1" showColumnStripes="0"/>
</table>
</file>

<file path=xl/tables/table33.xml><?xml version="1.0" encoding="utf-8"?>
<table xmlns="http://schemas.openxmlformats.org/spreadsheetml/2006/main" id="34" name="Таблица2133990291012" displayName="Таблица2133990291012" ref="A73:M78" totalsRowCount="1">
  <autoFilter xmlns:etc="http://www.wps.cn/officeDocument/2017/etCustomData" ref="A73:M77" etc:filterBottomFollowUsedRange="0"/>
  <tableColumns count="13">
    <tableColumn id="1" name=" " dataDxfId="429"/>
    <tableColumn id="2" name="1" dataDxfId="430"/>
    <tableColumn id="3" name="2" dataDxfId="431" totalsRowFunction="sum"/>
    <tableColumn id="4" name="3" dataDxfId="432"/>
    <tableColumn id="5" name="4" dataDxfId="433"/>
    <tableColumn id="10" name="9" dataDxfId="434">
      <calculatedColumnFormula>Таблица2133990291012[[#This Row],[ ]]</calculatedColumnFormula>
    </tableColumn>
    <tableColumn id="11" name="10" dataDxfId="435"/>
    <tableColumn id="12" name="11" dataDxfId="436"/>
    <tableColumn id="40" name="114" dataDxfId="437"/>
    <tableColumn id="39" name="113" dataDxfId="438"/>
    <tableColumn id="41" name="1132" dataDxfId="439" totalsRowFunction="sum"/>
    <tableColumn id="36" name="15" dataDxfId="440"/>
    <tableColumn id="35" name="16" dataDxfId="441" totalsRowFunction="sum">
      <calculatedColumnFormula>Таблица2133990291012[[#This Row],[113]]*Таблица2133990291012[[#This Row],[15]]</calculatedColumnFormula>
    </tableColumn>
  </tableColumns>
  <tableStyleInfo name="TableStyleLight8" showFirstColumn="0" showLastColumn="0" showRowStripes="1" showColumnStripes="0"/>
</table>
</file>

<file path=xl/tables/table34.xml><?xml version="1.0" encoding="utf-8"?>
<table xmlns="http://schemas.openxmlformats.org/spreadsheetml/2006/main" id="35" name="Таблица2133990294678131617212223242530313233" displayName="Таблица2133990294678131617212223242530313233" ref="A85:M96" totalsRowCount="1">
  <autoFilter xmlns:etc="http://www.wps.cn/officeDocument/2017/etCustomData" ref="A85:M95" etc:filterBottomFollowUsedRange="0"/>
  <tableColumns count="13">
    <tableColumn id="1" name=" " dataDxfId="442"/>
    <tableColumn id="2" name="1" dataDxfId="443"/>
    <tableColumn id="3" name="2" dataDxfId="444" totalsRowFunction="sum"/>
    <tableColumn id="4" name="3" dataDxfId="445"/>
    <tableColumn id="5" name="4" dataDxfId="446"/>
    <tableColumn id="10" name="9" dataDxfId="447">
      <calculatedColumnFormula>Таблица2133990294678131617212223242530313233[[#This Row],[ ]]</calculatedColumnFormula>
    </tableColumn>
    <tableColumn id="11" name="10" dataDxfId="448"/>
    <tableColumn id="12" name="11" dataDxfId="449"/>
    <tableColumn id="40" name="114" dataDxfId="450"/>
    <tableColumn id="39" name="113" dataDxfId="451"/>
    <tableColumn id="41" name="1132" dataDxfId="452" totalsRowFunction="sum"/>
    <tableColumn id="36" name="15" dataDxfId="453"/>
    <tableColumn id="35" name="16" dataDxfId="454" totalsRowFunction="sum">
      <calculatedColumnFormula>Таблица2133990294678131617212223242530313233[[#This Row],[113]]*Таблица2133990294678131617212223242530313233[[#This Row],[15]]</calculatedColumnFormula>
    </tableColumn>
  </tableColumns>
  <tableStyleInfo name="TableStyleLight8" showFirstColumn="0" showLastColumn="0" showRowStripes="1" showColumnStripes="0"/>
</table>
</file>

<file path=xl/tables/table35.xml><?xml version="1.0" encoding="utf-8"?>
<table xmlns="http://schemas.openxmlformats.org/spreadsheetml/2006/main" id="36" name="Таблица213399029467813161721222324253031323334" displayName="Таблица213399029467813161721222324253031323334" ref="A103:M111" totalsRowCount="1">
  <autoFilter xmlns:etc="http://www.wps.cn/officeDocument/2017/etCustomData" ref="A103:M110" etc:filterBottomFollowUsedRange="0"/>
  <tableColumns count="13">
    <tableColumn id="1" name=" " dataDxfId="455"/>
    <tableColumn id="2" name="1" dataDxfId="456"/>
    <tableColumn id="3" name="2" dataDxfId="457" totalsRowFunction="sum"/>
    <tableColumn id="4" name="3" dataDxfId="458"/>
    <tableColumn id="5" name="4" dataDxfId="459"/>
    <tableColumn id="10" name="9" dataDxfId="460">
      <calculatedColumnFormula>Таблица213399029467813161721222324253031323334[[#This Row],[ ]]</calculatedColumnFormula>
    </tableColumn>
    <tableColumn id="11" name="10" dataDxfId="461"/>
    <tableColumn id="12" name="11" dataDxfId="462"/>
    <tableColumn id="40" name="114" dataDxfId="463"/>
    <tableColumn id="39" name="113" dataDxfId="464"/>
    <tableColumn id="41" name="1132" dataDxfId="465" totalsRowFunction="sum"/>
    <tableColumn id="36" name="15" dataDxfId="466"/>
    <tableColumn id="35" name="16" dataDxfId="467" totalsRowFunction="sum">
      <calculatedColumnFormula>Таблица213399029467813161721222324253031323334[[#This Row],[113]]*Таблица213399029467813161721222324253031323334[[#This Row],[15]]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7" Type="http://schemas.openxmlformats.org/officeDocument/2006/relationships/table" Target="../tables/table7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table" Target="../tables/table12.xml"/><Relationship Id="rId4" Type="http://schemas.openxmlformats.org/officeDocument/2006/relationships/table" Target="../tables/table11.xml"/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4.xml.rels><?xml version="1.0" encoding="UTF-8" standalone="yes"?>
<Relationships xmlns="http://schemas.openxmlformats.org/package/2006/relationships"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5" Type="http://schemas.openxmlformats.org/officeDocument/2006/relationships/table" Target="../tables/table23.xml"/><Relationship Id="rId4" Type="http://schemas.openxmlformats.org/officeDocument/2006/relationships/table" Target="../tables/table22.xml"/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6.xml.rels><?xml version="1.0" encoding="UTF-8" standalone="yes"?>
<Relationships xmlns="http://schemas.openxmlformats.org/package/2006/relationships"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.xml"/><Relationship Id="rId7" Type="http://schemas.openxmlformats.org/officeDocument/2006/relationships/table" Target="../tables/table34.xml"/><Relationship Id="rId6" Type="http://schemas.openxmlformats.org/officeDocument/2006/relationships/table" Target="../tables/table33.xml"/><Relationship Id="rId5" Type="http://schemas.openxmlformats.org/officeDocument/2006/relationships/table" Target="../tables/table32.xml"/><Relationship Id="rId4" Type="http://schemas.openxmlformats.org/officeDocument/2006/relationships/table" Target="../tables/table31.xml"/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47"/>
  <sheetViews>
    <sheetView tabSelected="1" zoomScale="85" zoomScaleNormal="85" topLeftCell="D147" workbookViewId="0">
      <selection activeCell="R182" sqref="R182"/>
    </sheetView>
  </sheetViews>
  <sheetFormatPr defaultColWidth="9" defaultRowHeight="15"/>
  <cols>
    <col min="1" max="1" width="8.54285714285714" customWidth="1"/>
    <col min="2" max="2" width="10" customWidth="1"/>
    <col min="3" max="3" width="13.9047619047619" customWidth="1"/>
    <col min="4" max="4" width="25.5428571428571" customWidth="1"/>
    <col min="5" max="6" width="13.5428571428571" customWidth="1"/>
    <col min="7" max="7" width="13.4571428571429" customWidth="1"/>
    <col min="8" max="8" width="13.9047619047619" customWidth="1"/>
    <col min="9" max="9" width="15.1809523809524" customWidth="1"/>
    <col min="10" max="10" width="19.4571428571429" customWidth="1"/>
    <col min="11" max="11" width="14.4571428571429" customWidth="1"/>
    <col min="12" max="12" width="13.3619047619048" customWidth="1"/>
    <col min="13" max="13" width="21.4571428571429" customWidth="1"/>
    <col min="14" max="14" width="17" customWidth="1"/>
    <col min="15" max="15" width="14.8190476190476" customWidth="1"/>
    <col min="16" max="16" width="11.0857142857143" customWidth="1"/>
    <col min="17" max="17" width="13.5428571428571" customWidth="1"/>
    <col min="18" max="18" width="19.4571428571429" customWidth="1"/>
    <col min="19" max="19" width="15.4571428571429" customWidth="1"/>
    <col min="20" max="20" width="17" customWidth="1"/>
    <col min="21" max="21" width="11.1809523809524" customWidth="1"/>
    <col min="22" max="22" width="15.4571428571429" customWidth="1"/>
    <col min="23" max="23" width="12.3619047619048" customWidth="1"/>
  </cols>
  <sheetData>
    <row r="1" spans="1:24">
      <c r="A1" s="1"/>
      <c r="B1" s="1"/>
      <c r="C1" s="1"/>
      <c r="D1" s="1"/>
      <c r="E1" s="92"/>
      <c r="F1" s="92"/>
      <c r="G1" s="92"/>
      <c r="H1" s="97"/>
      <c r="I1" s="1"/>
      <c r="J1" s="1"/>
      <c r="K1" s="92"/>
      <c r="L1" s="1"/>
      <c r="M1" s="1"/>
      <c r="N1" s="1"/>
      <c r="O1" s="1"/>
      <c r="P1" s="1"/>
      <c r="Q1" s="1"/>
      <c r="R1" s="1"/>
      <c r="S1" s="1"/>
      <c r="T1" s="1"/>
      <c r="U1" s="1"/>
    </row>
    <row r="2" ht="18" spans="1:24">
      <c r="A2" s="98"/>
      <c r="B2" s="98"/>
      <c r="C2" s="98"/>
      <c r="D2" s="98"/>
      <c r="E2" s="98"/>
      <c r="F2" s="98"/>
      <c r="G2" s="98"/>
      <c r="H2" s="99"/>
      <c r="I2" s="98"/>
      <c r="J2" s="100"/>
      <c r="K2" s="100"/>
      <c r="L2" s="98"/>
      <c r="M2" s="98"/>
      <c r="N2" s="98"/>
      <c r="O2" s="98"/>
      <c r="P2" s="98"/>
      <c r="Q2" s="98"/>
      <c r="R2" s="98"/>
      <c r="S2" s="98"/>
      <c r="T2" s="98"/>
      <c r="U2" s="98"/>
    </row>
    <row r="3" ht="29.25" customHeight="1" spans="1:24">
      <c r="A3" s="101" t="s">
        <v>0</v>
      </c>
      <c r="B3" s="102" t="s">
        <v>1</v>
      </c>
      <c r="C3" s="102" t="s">
        <v>2</v>
      </c>
      <c r="D3" s="103" t="s">
        <v>3</v>
      </c>
      <c r="E3" s="104" t="s">
        <v>4</v>
      </c>
      <c r="F3" s="103" t="s">
        <v>5</v>
      </c>
      <c r="G3" s="105" t="s">
        <v>6</v>
      </c>
      <c r="H3" s="105" t="s">
        <v>7</v>
      </c>
      <c r="I3" s="105" t="s">
        <v>8</v>
      </c>
      <c r="J3" s="103" t="s">
        <v>9</v>
      </c>
      <c r="K3" s="106" t="s">
        <v>10</v>
      </c>
      <c r="L3" s="107" t="s">
        <v>11</v>
      </c>
      <c r="M3" s="103" t="s">
        <v>12</v>
      </c>
      <c r="N3" s="103" t="s">
        <v>13</v>
      </c>
      <c r="O3" s="108" t="s">
        <v>14</v>
      </c>
      <c r="P3" s="103" t="s">
        <v>15</v>
      </c>
      <c r="Q3" s="103" t="s">
        <v>16</v>
      </c>
      <c r="R3" s="109" t="s">
        <v>17</v>
      </c>
      <c r="S3" s="110" t="s">
        <v>18</v>
      </c>
      <c r="T3" s="103" t="s">
        <v>19</v>
      </c>
      <c r="U3" s="103" t="s">
        <v>20</v>
      </c>
      <c r="V3" s="103" t="s">
        <v>21</v>
      </c>
      <c r="W3" s="103" t="s">
        <v>22</v>
      </c>
      <c r="X3" s="103" t="s">
        <v>23</v>
      </c>
    </row>
    <row r="4" spans="1:24">
      <c r="A4" s="34">
        <v>1</v>
      </c>
      <c r="B4" s="57" t="s">
        <v>24</v>
      </c>
      <c r="C4" s="111" t="s">
        <v>25</v>
      </c>
      <c r="D4" s="111" t="s">
        <v>26</v>
      </c>
      <c r="E4" s="112">
        <v>46197</v>
      </c>
      <c r="F4" s="113" t="s">
        <v>27</v>
      </c>
      <c r="G4" s="114" t="s">
        <v>28</v>
      </c>
      <c r="H4" s="115">
        <v>31.104</v>
      </c>
      <c r="I4" s="114">
        <v>500000</v>
      </c>
      <c r="J4" s="33">
        <f>H4*I4</f>
        <v>15552000</v>
      </c>
      <c r="K4" s="116">
        <v>18</v>
      </c>
      <c r="L4" s="116">
        <v>130000</v>
      </c>
      <c r="M4" s="33">
        <f>K4*L4</f>
        <v>2340000</v>
      </c>
      <c r="N4" s="33">
        <f>J4+M4</f>
        <v>17892000</v>
      </c>
      <c r="O4" s="68">
        <v>732542.438</v>
      </c>
      <c r="P4" s="33">
        <f>O4-I4</f>
        <v>232542.438</v>
      </c>
      <c r="Q4" s="33" t="s">
        <v>29</v>
      </c>
      <c r="R4" s="33">
        <f>O4*H4</f>
        <v>22784999.991552</v>
      </c>
      <c r="S4" s="117">
        <v>2000000</v>
      </c>
      <c r="T4" s="33">
        <f>R4-J4</f>
        <v>7232999.991552</v>
      </c>
      <c r="U4" s="34" t="s">
        <v>30</v>
      </c>
      <c r="V4" s="33">
        <f>T4-S4</f>
        <v>5232999.991552</v>
      </c>
      <c r="W4" s="118">
        <v>15552000</v>
      </c>
      <c r="X4" s="119" t="s">
        <v>31</v>
      </c>
    </row>
    <row r="5" spans="1:24">
      <c r="A5" s="34">
        <f>A4+1</f>
        <v>2</v>
      </c>
      <c r="B5" s="57" t="s">
        <v>24</v>
      </c>
      <c r="C5" s="111" t="s">
        <v>25</v>
      </c>
      <c r="D5" s="111" t="s">
        <v>26</v>
      </c>
      <c r="E5" s="112">
        <v>46197</v>
      </c>
      <c r="F5" s="113" t="s">
        <v>32</v>
      </c>
      <c r="G5" s="114" t="s">
        <v>28</v>
      </c>
      <c r="H5" s="115">
        <v>31.104</v>
      </c>
      <c r="I5" s="114">
        <v>500000</v>
      </c>
      <c r="J5" s="33">
        <f t="shared" ref="J5:J68" si="0">H5*I5</f>
        <v>15552000</v>
      </c>
      <c r="K5" s="116">
        <v>18</v>
      </c>
      <c r="L5" s="116">
        <v>130000</v>
      </c>
      <c r="M5" s="33">
        <f t="shared" ref="M5:M68" si="1">K5*L5</f>
        <v>2340000</v>
      </c>
      <c r="N5" s="33">
        <f t="shared" ref="N5:N68" si="2">J5+M5</f>
        <v>17892000</v>
      </c>
      <c r="O5" s="68">
        <v>732542.438</v>
      </c>
      <c r="P5" s="33">
        <f t="shared" ref="P5:P68" si="3">O5-I5</f>
        <v>232542.438</v>
      </c>
      <c r="Q5" s="33" t="s">
        <v>29</v>
      </c>
      <c r="R5" s="33">
        <f t="shared" ref="R5:R68" si="4">O5*H5</f>
        <v>22784999.991552</v>
      </c>
      <c r="S5" s="117">
        <v>2000000</v>
      </c>
      <c r="T5" s="33">
        <f t="shared" ref="T5:T68" si="5">R5-J5</f>
        <v>7232999.991552</v>
      </c>
      <c r="U5" s="34" t="s">
        <v>30</v>
      </c>
      <c r="V5" s="33">
        <f t="shared" ref="V5:V68" si="6">T5-S5</f>
        <v>5232999.991552</v>
      </c>
      <c r="W5" s="118">
        <v>15552000</v>
      </c>
      <c r="X5" s="119" t="s">
        <v>31</v>
      </c>
    </row>
    <row r="6" spans="1:24">
      <c r="A6" s="34">
        <f t="shared" ref="A6:A24" si="7">A5+1</f>
        <v>3</v>
      </c>
      <c r="B6" s="57" t="s">
        <v>24</v>
      </c>
      <c r="C6" s="111" t="s">
        <v>25</v>
      </c>
      <c r="D6" s="111" t="s">
        <v>33</v>
      </c>
      <c r="E6" s="112">
        <v>46197</v>
      </c>
      <c r="F6" s="113" t="s">
        <v>34</v>
      </c>
      <c r="G6" s="114" t="s">
        <v>28</v>
      </c>
      <c r="H6" s="115">
        <v>31.104</v>
      </c>
      <c r="I6" s="114">
        <v>500000</v>
      </c>
      <c r="J6" s="33">
        <f t="shared" si="0"/>
        <v>15552000</v>
      </c>
      <c r="K6" s="116">
        <v>18</v>
      </c>
      <c r="L6" s="116">
        <v>130000</v>
      </c>
      <c r="M6" s="33">
        <f t="shared" si="1"/>
        <v>2340000</v>
      </c>
      <c r="N6" s="33">
        <f t="shared" si="2"/>
        <v>17892000</v>
      </c>
      <c r="O6" s="68">
        <v>700000</v>
      </c>
      <c r="P6" s="33">
        <f t="shared" si="3"/>
        <v>200000</v>
      </c>
      <c r="Q6" s="33" t="s">
        <v>29</v>
      </c>
      <c r="R6" s="33">
        <f t="shared" si="4"/>
        <v>21772800</v>
      </c>
      <c r="S6" s="117">
        <v>2000000</v>
      </c>
      <c r="T6" s="33">
        <f t="shared" si="5"/>
        <v>6220800</v>
      </c>
      <c r="U6" s="34" t="s">
        <v>30</v>
      </c>
      <c r="V6" s="33">
        <f t="shared" si="6"/>
        <v>4220800</v>
      </c>
      <c r="W6" s="118">
        <v>15552000</v>
      </c>
      <c r="X6" s="119" t="s">
        <v>31</v>
      </c>
    </row>
    <row r="7" spans="1:24">
      <c r="A7" s="34">
        <f t="shared" si="7"/>
        <v>4</v>
      </c>
      <c r="B7" s="57" t="s">
        <v>24</v>
      </c>
      <c r="C7" s="120" t="s">
        <v>35</v>
      </c>
      <c r="D7" s="120" t="s">
        <v>36</v>
      </c>
      <c r="E7" s="121">
        <v>46197</v>
      </c>
      <c r="F7" s="122" t="s">
        <v>37</v>
      </c>
      <c r="G7" s="114" t="s">
        <v>28</v>
      </c>
      <c r="H7" s="115">
        <v>31.104</v>
      </c>
      <c r="I7" s="114">
        <v>500000</v>
      </c>
      <c r="J7" s="33">
        <f t="shared" si="0"/>
        <v>15552000</v>
      </c>
      <c r="K7" s="116">
        <v>18</v>
      </c>
      <c r="L7" s="116">
        <v>130000</v>
      </c>
      <c r="M7" s="33">
        <f t="shared" si="1"/>
        <v>2340000</v>
      </c>
      <c r="N7" s="33">
        <f t="shared" si="2"/>
        <v>17892000</v>
      </c>
      <c r="O7" s="68">
        <v>750000</v>
      </c>
      <c r="P7" s="33">
        <f t="shared" si="3"/>
        <v>250000</v>
      </c>
      <c r="Q7" s="33" t="s">
        <v>29</v>
      </c>
      <c r="R7" s="33">
        <f t="shared" si="4"/>
        <v>23328000</v>
      </c>
      <c r="S7" s="117">
        <v>2000000</v>
      </c>
      <c r="T7" s="33">
        <f t="shared" si="5"/>
        <v>7776000</v>
      </c>
      <c r="U7" s="34" t="s">
        <v>30</v>
      </c>
      <c r="V7" s="33">
        <f t="shared" si="6"/>
        <v>5776000</v>
      </c>
      <c r="W7" s="118">
        <v>15552000</v>
      </c>
      <c r="X7" s="119" t="s">
        <v>31</v>
      </c>
    </row>
    <row r="8" spans="1:24">
      <c r="A8" s="34">
        <f t="shared" si="7"/>
        <v>5</v>
      </c>
      <c r="B8" s="57" t="s">
        <v>24</v>
      </c>
      <c r="C8" s="111" t="s">
        <v>25</v>
      </c>
      <c r="D8" s="111" t="s">
        <v>33</v>
      </c>
      <c r="E8" s="112">
        <v>46197</v>
      </c>
      <c r="F8" s="113" t="s">
        <v>38</v>
      </c>
      <c r="G8" s="114" t="s">
        <v>28</v>
      </c>
      <c r="H8" s="115">
        <v>32.832</v>
      </c>
      <c r="I8" s="114">
        <v>500000</v>
      </c>
      <c r="J8" s="33">
        <f t="shared" si="0"/>
        <v>16416000</v>
      </c>
      <c r="K8" s="116">
        <v>19</v>
      </c>
      <c r="L8" s="116">
        <v>130000</v>
      </c>
      <c r="M8" s="33">
        <f t="shared" si="1"/>
        <v>2470000</v>
      </c>
      <c r="N8" s="33">
        <f t="shared" si="2"/>
        <v>18886000</v>
      </c>
      <c r="O8" s="68">
        <v>700000</v>
      </c>
      <c r="P8" s="33">
        <f t="shared" si="3"/>
        <v>200000</v>
      </c>
      <c r="Q8" s="33" t="s">
        <v>29</v>
      </c>
      <c r="R8" s="33">
        <f t="shared" si="4"/>
        <v>22982400</v>
      </c>
      <c r="S8" s="117">
        <v>2000000</v>
      </c>
      <c r="T8" s="33">
        <f t="shared" si="5"/>
        <v>6566400</v>
      </c>
      <c r="U8" s="34" t="s">
        <v>30</v>
      </c>
      <c r="V8" s="33">
        <f t="shared" si="6"/>
        <v>4566400</v>
      </c>
      <c r="W8" s="118">
        <v>16416000</v>
      </c>
      <c r="X8" s="119" t="s">
        <v>31</v>
      </c>
    </row>
    <row r="9" spans="1:24">
      <c r="A9" s="34">
        <f t="shared" si="7"/>
        <v>6</v>
      </c>
      <c r="B9" s="57" t="s">
        <v>24</v>
      </c>
      <c r="C9" s="111" t="s">
        <v>25</v>
      </c>
      <c r="D9" s="111" t="s">
        <v>33</v>
      </c>
      <c r="E9" s="112">
        <v>46198</v>
      </c>
      <c r="F9" s="113" t="s">
        <v>39</v>
      </c>
      <c r="G9" s="114" t="s">
        <v>28</v>
      </c>
      <c r="H9" s="115">
        <v>32.832</v>
      </c>
      <c r="I9" s="114">
        <v>500000</v>
      </c>
      <c r="J9" s="33">
        <f t="shared" si="0"/>
        <v>16416000</v>
      </c>
      <c r="K9" s="116">
        <v>19</v>
      </c>
      <c r="L9" s="116">
        <v>130000</v>
      </c>
      <c r="M9" s="33">
        <f t="shared" si="1"/>
        <v>2470000</v>
      </c>
      <c r="N9" s="33">
        <f t="shared" si="2"/>
        <v>18886000</v>
      </c>
      <c r="O9" s="68">
        <v>700000</v>
      </c>
      <c r="P9" s="33">
        <f t="shared" si="3"/>
        <v>200000</v>
      </c>
      <c r="Q9" s="33" t="s">
        <v>29</v>
      </c>
      <c r="R9" s="33">
        <f t="shared" si="4"/>
        <v>22982400</v>
      </c>
      <c r="S9" s="117">
        <v>2000000</v>
      </c>
      <c r="T9" s="33">
        <f t="shared" si="5"/>
        <v>6566400</v>
      </c>
      <c r="U9" s="34" t="s">
        <v>30</v>
      </c>
      <c r="V9" s="33">
        <f t="shared" si="6"/>
        <v>4566400</v>
      </c>
      <c r="W9" s="118">
        <v>16416000</v>
      </c>
      <c r="X9" s="119" t="s">
        <v>31</v>
      </c>
    </row>
    <row r="10" spans="1:24">
      <c r="A10" s="34">
        <f t="shared" si="7"/>
        <v>7</v>
      </c>
      <c r="B10" s="57" t="s">
        <v>24</v>
      </c>
      <c r="C10" s="111" t="s">
        <v>25</v>
      </c>
      <c r="D10" s="111" t="s">
        <v>40</v>
      </c>
      <c r="E10" s="112">
        <v>46198</v>
      </c>
      <c r="F10" s="113" t="s">
        <v>41</v>
      </c>
      <c r="G10" s="114" t="s">
        <v>28</v>
      </c>
      <c r="H10" s="115">
        <v>32.832</v>
      </c>
      <c r="I10" s="114">
        <v>500000</v>
      </c>
      <c r="J10" s="33">
        <f t="shared" si="0"/>
        <v>16416000</v>
      </c>
      <c r="K10" s="116">
        <v>19</v>
      </c>
      <c r="L10" s="116">
        <v>130000</v>
      </c>
      <c r="M10" s="33">
        <f t="shared" si="1"/>
        <v>2470000</v>
      </c>
      <c r="N10" s="33">
        <f t="shared" si="2"/>
        <v>18886000</v>
      </c>
      <c r="O10" s="68">
        <v>735000</v>
      </c>
      <c r="P10" s="33">
        <f t="shared" si="3"/>
        <v>235000</v>
      </c>
      <c r="Q10" s="33" t="s">
        <v>29</v>
      </c>
      <c r="R10" s="33">
        <f t="shared" si="4"/>
        <v>24131520</v>
      </c>
      <c r="S10" s="117">
        <v>2000000</v>
      </c>
      <c r="T10" s="33">
        <f t="shared" si="5"/>
        <v>7715520</v>
      </c>
      <c r="U10" s="34" t="s">
        <v>30</v>
      </c>
      <c r="V10" s="33">
        <f t="shared" si="6"/>
        <v>5715520</v>
      </c>
      <c r="W10" s="118">
        <v>16416000</v>
      </c>
      <c r="X10" s="119" t="s">
        <v>31</v>
      </c>
    </row>
    <row r="11" spans="1:24">
      <c r="A11" s="34">
        <f t="shared" si="7"/>
        <v>8</v>
      </c>
      <c r="B11" s="57" t="s">
        <v>24</v>
      </c>
      <c r="C11" s="111" t="s">
        <v>25</v>
      </c>
      <c r="D11" s="111" t="s">
        <v>40</v>
      </c>
      <c r="E11" s="112">
        <v>46198</v>
      </c>
      <c r="F11" s="113" t="s">
        <v>42</v>
      </c>
      <c r="G11" s="114" t="s">
        <v>28</v>
      </c>
      <c r="H11" s="115">
        <v>32.832</v>
      </c>
      <c r="I11" s="114">
        <v>500000</v>
      </c>
      <c r="J11" s="33">
        <f t="shared" si="0"/>
        <v>16416000</v>
      </c>
      <c r="K11" s="116">
        <v>19</v>
      </c>
      <c r="L11" s="116">
        <v>130000</v>
      </c>
      <c r="M11" s="33">
        <f t="shared" si="1"/>
        <v>2470000</v>
      </c>
      <c r="N11" s="33">
        <f t="shared" si="2"/>
        <v>18886000</v>
      </c>
      <c r="O11" s="68">
        <v>735000</v>
      </c>
      <c r="P11" s="33">
        <f t="shared" si="3"/>
        <v>235000</v>
      </c>
      <c r="Q11" s="33" t="s">
        <v>29</v>
      </c>
      <c r="R11" s="33">
        <f t="shared" si="4"/>
        <v>24131520</v>
      </c>
      <c r="S11" s="117">
        <v>2000000</v>
      </c>
      <c r="T11" s="33">
        <f t="shared" si="5"/>
        <v>7715520</v>
      </c>
      <c r="U11" s="34" t="s">
        <v>30</v>
      </c>
      <c r="V11" s="33">
        <f t="shared" si="6"/>
        <v>5715520</v>
      </c>
      <c r="W11" s="118">
        <v>16416000</v>
      </c>
      <c r="X11" s="119" t="s">
        <v>31</v>
      </c>
    </row>
    <row r="12" spans="1:24">
      <c r="A12" s="34">
        <f t="shared" si="7"/>
        <v>9</v>
      </c>
      <c r="B12" s="57" t="s">
        <v>24</v>
      </c>
      <c r="C12" s="111" t="s">
        <v>25</v>
      </c>
      <c r="D12" s="111" t="s">
        <v>40</v>
      </c>
      <c r="E12" s="112">
        <v>46198</v>
      </c>
      <c r="F12" s="113" t="s">
        <v>43</v>
      </c>
      <c r="G12" s="114" t="s">
        <v>28</v>
      </c>
      <c r="H12" s="115">
        <v>32.832</v>
      </c>
      <c r="I12" s="114">
        <v>500000</v>
      </c>
      <c r="J12" s="33">
        <f t="shared" si="0"/>
        <v>16416000</v>
      </c>
      <c r="K12" s="116">
        <v>19</v>
      </c>
      <c r="L12" s="116">
        <v>130000</v>
      </c>
      <c r="M12" s="33">
        <f t="shared" si="1"/>
        <v>2470000</v>
      </c>
      <c r="N12" s="33">
        <f t="shared" si="2"/>
        <v>18886000</v>
      </c>
      <c r="O12" s="68">
        <v>735000</v>
      </c>
      <c r="P12" s="33">
        <f t="shared" si="3"/>
        <v>235000</v>
      </c>
      <c r="Q12" s="33" t="s">
        <v>29</v>
      </c>
      <c r="R12" s="33">
        <f t="shared" si="4"/>
        <v>24131520</v>
      </c>
      <c r="S12" s="117">
        <v>2000000</v>
      </c>
      <c r="T12" s="33">
        <f t="shared" si="5"/>
        <v>7715520</v>
      </c>
      <c r="U12" s="34" t="s">
        <v>30</v>
      </c>
      <c r="V12" s="33">
        <f t="shared" si="6"/>
        <v>5715520</v>
      </c>
      <c r="W12" s="118">
        <v>16416000</v>
      </c>
      <c r="X12" s="119" t="s">
        <v>31</v>
      </c>
    </row>
    <row r="13" spans="1:24">
      <c r="A13" s="34">
        <f t="shared" si="7"/>
        <v>10</v>
      </c>
      <c r="B13" s="57" t="s">
        <v>24</v>
      </c>
      <c r="C13" s="123" t="s">
        <v>44</v>
      </c>
      <c r="D13" s="123" t="s">
        <v>45</v>
      </c>
      <c r="E13" s="124">
        <v>46198</v>
      </c>
      <c r="F13" s="125" t="s">
        <v>46</v>
      </c>
      <c r="G13" s="114" t="s">
        <v>28</v>
      </c>
      <c r="H13" s="115">
        <v>32.832</v>
      </c>
      <c r="I13" s="114">
        <v>500000</v>
      </c>
      <c r="J13" s="33">
        <f t="shared" si="0"/>
        <v>16416000</v>
      </c>
      <c r="K13" s="116">
        <v>19</v>
      </c>
      <c r="L13" s="116">
        <v>130000</v>
      </c>
      <c r="M13" s="33">
        <f t="shared" si="1"/>
        <v>2470000</v>
      </c>
      <c r="N13" s="33">
        <f t="shared" si="2"/>
        <v>18886000</v>
      </c>
      <c r="O13" s="68">
        <v>750000</v>
      </c>
      <c r="P13" s="33">
        <f t="shared" si="3"/>
        <v>250000</v>
      </c>
      <c r="Q13" s="33" t="s">
        <v>29</v>
      </c>
      <c r="R13" s="33">
        <f t="shared" si="4"/>
        <v>24624000</v>
      </c>
      <c r="S13" s="117">
        <v>2500000</v>
      </c>
      <c r="T13" s="33">
        <f t="shared" si="5"/>
        <v>8208000</v>
      </c>
      <c r="U13" s="34" t="s">
        <v>30</v>
      </c>
      <c r="V13" s="33">
        <f t="shared" si="6"/>
        <v>5708000</v>
      </c>
      <c r="W13" s="118">
        <v>16416000</v>
      </c>
      <c r="X13" s="119" t="s">
        <v>31</v>
      </c>
    </row>
    <row r="14" spans="1:24">
      <c r="A14" s="34">
        <f t="shared" si="7"/>
        <v>11</v>
      </c>
      <c r="B14" s="57" t="s">
        <v>24</v>
      </c>
      <c r="C14" s="123" t="s">
        <v>44</v>
      </c>
      <c r="D14" s="123" t="s">
        <v>45</v>
      </c>
      <c r="E14" s="124">
        <v>46198</v>
      </c>
      <c r="F14" s="125" t="s">
        <v>47</v>
      </c>
      <c r="G14" s="114" t="s">
        <v>28</v>
      </c>
      <c r="H14" s="115">
        <v>31.104</v>
      </c>
      <c r="I14" s="114">
        <v>500000</v>
      </c>
      <c r="J14" s="33">
        <f t="shared" si="0"/>
        <v>15552000</v>
      </c>
      <c r="K14" s="116">
        <v>18</v>
      </c>
      <c r="L14" s="116">
        <v>130000</v>
      </c>
      <c r="M14" s="33">
        <f t="shared" si="1"/>
        <v>2340000</v>
      </c>
      <c r="N14" s="33">
        <f t="shared" si="2"/>
        <v>17892000</v>
      </c>
      <c r="O14" s="68">
        <v>750000</v>
      </c>
      <c r="P14" s="33">
        <f t="shared" si="3"/>
        <v>250000</v>
      </c>
      <c r="Q14" s="33" t="s">
        <v>29</v>
      </c>
      <c r="R14" s="33">
        <f t="shared" si="4"/>
        <v>23328000</v>
      </c>
      <c r="S14" s="117">
        <v>2500000</v>
      </c>
      <c r="T14" s="33">
        <f t="shared" si="5"/>
        <v>7776000</v>
      </c>
      <c r="U14" s="34" t="s">
        <v>30</v>
      </c>
      <c r="V14" s="33">
        <f t="shared" si="6"/>
        <v>5276000</v>
      </c>
      <c r="W14" s="118">
        <v>15552000</v>
      </c>
      <c r="X14" s="119" t="s">
        <v>31</v>
      </c>
    </row>
    <row r="15" spans="1:24">
      <c r="A15" s="34">
        <f t="shared" si="7"/>
        <v>12</v>
      </c>
      <c r="B15" s="57" t="s">
        <v>24</v>
      </c>
      <c r="C15" s="120" t="s">
        <v>35</v>
      </c>
      <c r="D15" s="120" t="s">
        <v>36</v>
      </c>
      <c r="E15" s="121">
        <v>46200</v>
      </c>
      <c r="F15" s="122" t="s">
        <v>48</v>
      </c>
      <c r="G15" s="114" t="s">
        <v>49</v>
      </c>
      <c r="H15" s="115">
        <v>32.832</v>
      </c>
      <c r="I15" s="114">
        <v>500000</v>
      </c>
      <c r="J15" s="33">
        <f t="shared" si="0"/>
        <v>16416000</v>
      </c>
      <c r="K15" s="116">
        <v>19</v>
      </c>
      <c r="L15" s="116">
        <v>130000</v>
      </c>
      <c r="M15" s="33">
        <f t="shared" si="1"/>
        <v>2470000</v>
      </c>
      <c r="N15" s="33">
        <f t="shared" si="2"/>
        <v>18886000</v>
      </c>
      <c r="O15" s="68">
        <v>750000</v>
      </c>
      <c r="P15" s="33">
        <f t="shared" si="3"/>
        <v>250000</v>
      </c>
      <c r="Q15" s="33" t="s">
        <v>29</v>
      </c>
      <c r="R15" s="33">
        <f t="shared" si="4"/>
        <v>24624000</v>
      </c>
      <c r="S15" s="117">
        <v>2500000</v>
      </c>
      <c r="T15" s="33">
        <f t="shared" si="5"/>
        <v>8208000</v>
      </c>
      <c r="U15" s="34" t="s">
        <v>30</v>
      </c>
      <c r="V15" s="33">
        <f t="shared" si="6"/>
        <v>5708000</v>
      </c>
      <c r="W15" s="118">
        <v>16416000</v>
      </c>
      <c r="X15" s="119" t="s">
        <v>31</v>
      </c>
    </row>
    <row r="16" spans="1:24">
      <c r="A16" s="34">
        <f t="shared" si="7"/>
        <v>13</v>
      </c>
      <c r="B16" s="57" t="s">
        <v>24</v>
      </c>
      <c r="C16" s="120" t="s">
        <v>35</v>
      </c>
      <c r="D16" s="120" t="s">
        <v>36</v>
      </c>
      <c r="E16" s="121">
        <v>46200</v>
      </c>
      <c r="F16" s="122" t="s">
        <v>50</v>
      </c>
      <c r="G16" s="114" t="s">
        <v>49</v>
      </c>
      <c r="H16" s="115">
        <v>32.832</v>
      </c>
      <c r="I16" s="114">
        <v>500000</v>
      </c>
      <c r="J16" s="33">
        <f t="shared" si="0"/>
        <v>16416000</v>
      </c>
      <c r="K16" s="116">
        <v>19</v>
      </c>
      <c r="L16" s="116">
        <v>130000</v>
      </c>
      <c r="M16" s="33">
        <f t="shared" si="1"/>
        <v>2470000</v>
      </c>
      <c r="N16" s="33">
        <f t="shared" si="2"/>
        <v>18886000</v>
      </c>
      <c r="O16" s="68">
        <v>750000</v>
      </c>
      <c r="P16" s="33">
        <f t="shared" si="3"/>
        <v>250000</v>
      </c>
      <c r="Q16" s="33" t="s">
        <v>29</v>
      </c>
      <c r="R16" s="33">
        <f t="shared" si="4"/>
        <v>24624000</v>
      </c>
      <c r="S16" s="117">
        <v>2000000</v>
      </c>
      <c r="T16" s="33">
        <f t="shared" si="5"/>
        <v>8208000</v>
      </c>
      <c r="U16" s="34" t="s">
        <v>30</v>
      </c>
      <c r="V16" s="33">
        <f t="shared" si="6"/>
        <v>6208000</v>
      </c>
      <c r="W16" s="118">
        <v>16416000</v>
      </c>
      <c r="X16" s="119" t="s">
        <v>31</v>
      </c>
    </row>
    <row r="17" spans="1:24">
      <c r="A17" s="34">
        <f t="shared" si="7"/>
        <v>14</v>
      </c>
      <c r="B17" s="57" t="s">
        <v>24</v>
      </c>
      <c r="C17" s="120" t="s">
        <v>35</v>
      </c>
      <c r="D17" s="120" t="s">
        <v>36</v>
      </c>
      <c r="E17" s="121">
        <v>46200</v>
      </c>
      <c r="F17" s="122" t="s">
        <v>51</v>
      </c>
      <c r="G17" s="114" t="s">
        <v>28</v>
      </c>
      <c r="H17" s="115">
        <v>32.832</v>
      </c>
      <c r="I17" s="114">
        <v>500000</v>
      </c>
      <c r="J17" s="33">
        <f t="shared" si="0"/>
        <v>16416000</v>
      </c>
      <c r="K17" s="116">
        <v>19</v>
      </c>
      <c r="L17" s="116">
        <v>130000</v>
      </c>
      <c r="M17" s="33">
        <f t="shared" si="1"/>
        <v>2470000</v>
      </c>
      <c r="N17" s="33">
        <f t="shared" si="2"/>
        <v>18886000</v>
      </c>
      <c r="O17" s="68">
        <v>750000</v>
      </c>
      <c r="P17" s="33">
        <f t="shared" si="3"/>
        <v>250000</v>
      </c>
      <c r="Q17" s="33" t="s">
        <v>29</v>
      </c>
      <c r="R17" s="33">
        <f t="shared" si="4"/>
        <v>24624000</v>
      </c>
      <c r="S17" s="117">
        <v>2000000</v>
      </c>
      <c r="T17" s="33">
        <f t="shared" si="5"/>
        <v>8208000</v>
      </c>
      <c r="U17" s="34" t="s">
        <v>30</v>
      </c>
      <c r="V17" s="33">
        <f t="shared" si="6"/>
        <v>6208000</v>
      </c>
      <c r="W17" s="118">
        <v>16416000</v>
      </c>
      <c r="X17" s="119" t="s">
        <v>31</v>
      </c>
    </row>
    <row r="18" spans="1:24">
      <c r="A18" s="34">
        <f t="shared" si="7"/>
        <v>15</v>
      </c>
      <c r="B18" s="57" t="s">
        <v>24</v>
      </c>
      <c r="C18" s="120" t="s">
        <v>35</v>
      </c>
      <c r="D18" s="120" t="s">
        <v>36</v>
      </c>
      <c r="E18" s="121">
        <v>46200</v>
      </c>
      <c r="F18" s="122" t="s">
        <v>52</v>
      </c>
      <c r="G18" s="114" t="s">
        <v>28</v>
      </c>
      <c r="H18" s="115">
        <v>32.832</v>
      </c>
      <c r="I18" s="114">
        <v>500000</v>
      </c>
      <c r="J18" s="33">
        <f t="shared" si="0"/>
        <v>16416000</v>
      </c>
      <c r="K18" s="116">
        <v>19</v>
      </c>
      <c r="L18" s="116">
        <v>130000</v>
      </c>
      <c r="M18" s="33">
        <f t="shared" si="1"/>
        <v>2470000</v>
      </c>
      <c r="N18" s="33">
        <f t="shared" si="2"/>
        <v>18886000</v>
      </c>
      <c r="O18" s="68">
        <v>750000</v>
      </c>
      <c r="P18" s="33">
        <f t="shared" si="3"/>
        <v>250000</v>
      </c>
      <c r="Q18" s="33" t="s">
        <v>29</v>
      </c>
      <c r="R18" s="33">
        <f t="shared" si="4"/>
        <v>24624000</v>
      </c>
      <c r="S18" s="117">
        <v>2000000</v>
      </c>
      <c r="T18" s="33">
        <f t="shared" si="5"/>
        <v>8208000</v>
      </c>
      <c r="U18" s="34" t="s">
        <v>30</v>
      </c>
      <c r="V18" s="33">
        <f t="shared" si="6"/>
        <v>6208000</v>
      </c>
      <c r="W18" s="118">
        <v>16416000</v>
      </c>
      <c r="X18" s="119" t="s">
        <v>31</v>
      </c>
    </row>
    <row r="19" spans="1:24">
      <c r="A19" s="34">
        <f t="shared" si="7"/>
        <v>16</v>
      </c>
      <c r="B19" s="57" t="s">
        <v>24</v>
      </c>
      <c r="C19" s="126" t="s">
        <v>53</v>
      </c>
      <c r="D19" s="126" t="s">
        <v>54</v>
      </c>
      <c r="E19" s="127">
        <v>46200</v>
      </c>
      <c r="F19" s="128" t="s">
        <v>55</v>
      </c>
      <c r="G19" s="114" t="s">
        <v>28</v>
      </c>
      <c r="H19" s="115">
        <v>32.832</v>
      </c>
      <c r="I19" s="114">
        <v>500000</v>
      </c>
      <c r="J19" s="33">
        <f t="shared" si="0"/>
        <v>16416000</v>
      </c>
      <c r="K19" s="116">
        <v>19</v>
      </c>
      <c r="L19" s="116">
        <v>130000</v>
      </c>
      <c r="M19" s="33">
        <f t="shared" si="1"/>
        <v>2470000</v>
      </c>
      <c r="N19" s="33">
        <f t="shared" si="2"/>
        <v>18886000</v>
      </c>
      <c r="O19" s="68">
        <v>760000</v>
      </c>
      <c r="P19" s="33">
        <f t="shared" si="3"/>
        <v>260000</v>
      </c>
      <c r="Q19" s="33" t="s">
        <v>29</v>
      </c>
      <c r="R19" s="33">
        <f t="shared" si="4"/>
        <v>24952320</v>
      </c>
      <c r="S19" s="117">
        <v>2000000</v>
      </c>
      <c r="T19" s="33">
        <f t="shared" si="5"/>
        <v>8536320</v>
      </c>
      <c r="U19" s="34" t="s">
        <v>30</v>
      </c>
      <c r="V19" s="33">
        <f t="shared" si="6"/>
        <v>6536320</v>
      </c>
      <c r="W19" s="118">
        <v>16416000</v>
      </c>
      <c r="X19" s="119" t="s">
        <v>31</v>
      </c>
    </row>
    <row r="20" spans="1:24">
      <c r="A20" s="34">
        <f t="shared" si="7"/>
        <v>17</v>
      </c>
      <c r="B20" s="57" t="s">
        <v>24</v>
      </c>
      <c r="C20" s="126" t="s">
        <v>53</v>
      </c>
      <c r="D20" s="126" t="s">
        <v>56</v>
      </c>
      <c r="E20" s="127">
        <v>46200</v>
      </c>
      <c r="F20" s="128" t="s">
        <v>34</v>
      </c>
      <c r="G20" s="114" t="s">
        <v>28</v>
      </c>
      <c r="H20" s="115">
        <v>32.832</v>
      </c>
      <c r="I20" s="114">
        <v>500000</v>
      </c>
      <c r="J20" s="33">
        <f t="shared" si="0"/>
        <v>16416000</v>
      </c>
      <c r="K20" s="116">
        <v>19</v>
      </c>
      <c r="L20" s="116">
        <v>130000</v>
      </c>
      <c r="M20" s="33">
        <f t="shared" si="1"/>
        <v>2470000</v>
      </c>
      <c r="N20" s="33">
        <f t="shared" si="2"/>
        <v>18886000</v>
      </c>
      <c r="O20" s="68">
        <v>729928.1</v>
      </c>
      <c r="P20" s="33">
        <f t="shared" si="3"/>
        <v>229928.1</v>
      </c>
      <c r="Q20" s="33" t="s">
        <v>29</v>
      </c>
      <c r="R20" s="33">
        <f t="shared" si="4"/>
        <v>23964999.3792</v>
      </c>
      <c r="S20" s="117">
        <v>2000000</v>
      </c>
      <c r="T20" s="33">
        <f t="shared" si="5"/>
        <v>7548999.3792</v>
      </c>
      <c r="U20" s="34" t="s">
        <v>30</v>
      </c>
      <c r="V20" s="33">
        <f t="shared" si="6"/>
        <v>5548999.3792</v>
      </c>
      <c r="W20" s="118">
        <v>16416000</v>
      </c>
      <c r="X20" s="119" t="s">
        <v>31</v>
      </c>
    </row>
    <row r="21" spans="1:24">
      <c r="A21" s="34">
        <f t="shared" si="7"/>
        <v>18</v>
      </c>
      <c r="B21" s="57" t="s">
        <v>24</v>
      </c>
      <c r="C21" s="126" t="s">
        <v>53</v>
      </c>
      <c r="D21" s="126" t="s">
        <v>54</v>
      </c>
      <c r="E21" s="127">
        <v>46201</v>
      </c>
      <c r="F21" s="128" t="s">
        <v>57</v>
      </c>
      <c r="G21" s="114" t="s">
        <v>28</v>
      </c>
      <c r="H21" s="115">
        <v>32.832</v>
      </c>
      <c r="I21" s="114">
        <v>500000</v>
      </c>
      <c r="J21" s="33">
        <f t="shared" si="0"/>
        <v>16416000</v>
      </c>
      <c r="K21" s="116">
        <v>19</v>
      </c>
      <c r="L21" s="116">
        <v>130000</v>
      </c>
      <c r="M21" s="33">
        <f t="shared" si="1"/>
        <v>2470000</v>
      </c>
      <c r="N21" s="33">
        <f t="shared" si="2"/>
        <v>18886000</v>
      </c>
      <c r="O21" s="68">
        <v>760000</v>
      </c>
      <c r="P21" s="33">
        <f t="shared" si="3"/>
        <v>260000</v>
      </c>
      <c r="Q21" s="33" t="s">
        <v>29</v>
      </c>
      <c r="R21" s="33">
        <f t="shared" si="4"/>
        <v>24952320</v>
      </c>
      <c r="S21" s="117">
        <v>2000000</v>
      </c>
      <c r="T21" s="33">
        <f t="shared" si="5"/>
        <v>8536320</v>
      </c>
      <c r="U21" s="34" t="s">
        <v>30</v>
      </c>
      <c r="V21" s="33">
        <f t="shared" si="6"/>
        <v>6536320</v>
      </c>
      <c r="W21" s="118">
        <v>16416000</v>
      </c>
      <c r="X21" s="119" t="s">
        <v>31</v>
      </c>
    </row>
    <row r="22" spans="1:24">
      <c r="A22" s="34">
        <f t="shared" si="7"/>
        <v>19</v>
      </c>
      <c r="B22" s="57" t="s">
        <v>24</v>
      </c>
      <c r="C22" s="120" t="s">
        <v>35</v>
      </c>
      <c r="D22" s="120" t="s">
        <v>58</v>
      </c>
      <c r="E22" s="121">
        <v>46203</v>
      </c>
      <c r="F22" s="91" t="s">
        <v>52</v>
      </c>
      <c r="G22" s="114" t="s">
        <v>28</v>
      </c>
      <c r="H22" s="115">
        <v>32.832</v>
      </c>
      <c r="I22" s="114">
        <v>500000</v>
      </c>
      <c r="J22" s="33">
        <f t="shared" si="0"/>
        <v>16416000</v>
      </c>
      <c r="K22" s="116">
        <v>19</v>
      </c>
      <c r="L22" s="116">
        <v>130000</v>
      </c>
      <c r="M22" s="33">
        <f t="shared" si="1"/>
        <v>2470000</v>
      </c>
      <c r="N22" s="33">
        <f t="shared" si="2"/>
        <v>18886000</v>
      </c>
      <c r="O22" s="68">
        <v>730000</v>
      </c>
      <c r="P22" s="33">
        <f t="shared" si="3"/>
        <v>230000</v>
      </c>
      <c r="Q22" s="33" t="s">
        <v>29</v>
      </c>
      <c r="R22" s="33">
        <f t="shared" si="4"/>
        <v>23967360</v>
      </c>
      <c r="S22" s="117">
        <v>2000000</v>
      </c>
      <c r="T22" s="33">
        <f t="shared" si="5"/>
        <v>7551360</v>
      </c>
      <c r="U22" s="34" t="s">
        <v>30</v>
      </c>
      <c r="V22" s="33">
        <f t="shared" si="6"/>
        <v>5551360</v>
      </c>
      <c r="W22" s="118">
        <v>16416000</v>
      </c>
      <c r="X22" s="119" t="s">
        <v>31</v>
      </c>
    </row>
    <row r="23" spans="1:24">
      <c r="A23" s="34">
        <f t="shared" si="7"/>
        <v>20</v>
      </c>
      <c r="B23" s="57" t="s">
        <v>24</v>
      </c>
      <c r="C23" s="120" t="s">
        <v>35</v>
      </c>
      <c r="D23" s="120" t="s">
        <v>58</v>
      </c>
      <c r="E23" s="121">
        <v>46203</v>
      </c>
      <c r="F23" s="91" t="s">
        <v>59</v>
      </c>
      <c r="G23" s="114" t="s">
        <v>28</v>
      </c>
      <c r="H23" s="115">
        <v>32.832</v>
      </c>
      <c r="I23" s="114">
        <v>500000</v>
      </c>
      <c r="J23" s="33">
        <f t="shared" si="0"/>
        <v>16416000</v>
      </c>
      <c r="K23" s="116">
        <v>19</v>
      </c>
      <c r="L23" s="116">
        <v>130000</v>
      </c>
      <c r="M23" s="33">
        <f t="shared" si="1"/>
        <v>2470000</v>
      </c>
      <c r="N23" s="33">
        <f t="shared" si="2"/>
        <v>18886000</v>
      </c>
      <c r="O23" s="68">
        <v>730000</v>
      </c>
      <c r="P23" s="33">
        <f t="shared" si="3"/>
        <v>230000</v>
      </c>
      <c r="Q23" s="33" t="s">
        <v>29</v>
      </c>
      <c r="R23" s="33">
        <f t="shared" si="4"/>
        <v>23967360</v>
      </c>
      <c r="S23" s="117">
        <v>2000000</v>
      </c>
      <c r="T23" s="33">
        <f t="shared" si="5"/>
        <v>7551360</v>
      </c>
      <c r="U23" s="34" t="s">
        <v>30</v>
      </c>
      <c r="V23" s="33">
        <f t="shared" si="6"/>
        <v>5551360</v>
      </c>
      <c r="W23" s="118">
        <v>16416000</v>
      </c>
      <c r="X23" s="119" t="s">
        <v>31</v>
      </c>
    </row>
    <row r="24" spans="1:24">
      <c r="A24" s="34">
        <f t="shared" si="7"/>
        <v>21</v>
      </c>
      <c r="B24" s="57" t="s">
        <v>24</v>
      </c>
      <c r="C24" s="111" t="s">
        <v>25</v>
      </c>
      <c r="D24" s="111" t="s">
        <v>60</v>
      </c>
      <c r="E24" s="112">
        <v>46203</v>
      </c>
      <c r="F24" s="129" t="s">
        <v>61</v>
      </c>
      <c r="G24" s="114" t="s">
        <v>28</v>
      </c>
      <c r="H24" s="115">
        <v>32.832</v>
      </c>
      <c r="I24" s="114">
        <v>500000</v>
      </c>
      <c r="J24" s="33">
        <f t="shared" si="0"/>
        <v>16416000</v>
      </c>
      <c r="K24" s="116">
        <v>19</v>
      </c>
      <c r="L24" s="116">
        <v>130000</v>
      </c>
      <c r="M24" s="33">
        <f t="shared" si="1"/>
        <v>2470000</v>
      </c>
      <c r="N24" s="33">
        <f t="shared" si="2"/>
        <v>18886000</v>
      </c>
      <c r="O24" s="68">
        <v>735000</v>
      </c>
      <c r="P24" s="33">
        <f t="shared" si="3"/>
        <v>235000</v>
      </c>
      <c r="Q24" s="33" t="s">
        <v>29</v>
      </c>
      <c r="R24" s="33">
        <f t="shared" si="4"/>
        <v>24131520</v>
      </c>
      <c r="S24" s="117">
        <v>2000000</v>
      </c>
      <c r="T24" s="33">
        <f t="shared" si="5"/>
        <v>7715520</v>
      </c>
      <c r="U24" s="34" t="s">
        <v>30</v>
      </c>
      <c r="V24" s="33">
        <f t="shared" si="6"/>
        <v>5715520</v>
      </c>
      <c r="W24" s="118">
        <v>16416000</v>
      </c>
      <c r="X24" s="119" t="s">
        <v>31</v>
      </c>
    </row>
    <row r="25" spans="1:24">
      <c r="A25" s="34">
        <v>22</v>
      </c>
      <c r="B25" s="57" t="s">
        <v>24</v>
      </c>
      <c r="C25" s="111" t="s">
        <v>25</v>
      </c>
      <c r="D25" s="111" t="s">
        <v>62</v>
      </c>
      <c r="E25" s="112">
        <v>46204</v>
      </c>
      <c r="F25" s="129" t="s">
        <v>63</v>
      </c>
      <c r="G25" s="114" t="s">
        <v>28</v>
      </c>
      <c r="H25" s="115">
        <v>32.832</v>
      </c>
      <c r="I25" s="130">
        <v>500000</v>
      </c>
      <c r="J25" s="33">
        <f t="shared" si="0"/>
        <v>16416000</v>
      </c>
      <c r="K25" s="116">
        <v>19</v>
      </c>
      <c r="L25" s="116">
        <v>130000</v>
      </c>
      <c r="M25" s="33">
        <f t="shared" si="1"/>
        <v>2470000</v>
      </c>
      <c r="N25" s="33">
        <f t="shared" si="2"/>
        <v>18886000</v>
      </c>
      <c r="O25" s="68">
        <v>730000</v>
      </c>
      <c r="P25" s="33">
        <f t="shared" si="3"/>
        <v>230000</v>
      </c>
      <c r="Q25" s="33" t="s">
        <v>29</v>
      </c>
      <c r="R25" s="33">
        <f t="shared" si="4"/>
        <v>23967360</v>
      </c>
      <c r="S25" s="117">
        <v>2000000</v>
      </c>
      <c r="T25" s="33">
        <f t="shared" si="5"/>
        <v>7551360</v>
      </c>
      <c r="U25" s="34" t="s">
        <v>30</v>
      </c>
      <c r="V25" s="33">
        <f t="shared" si="6"/>
        <v>5551360</v>
      </c>
      <c r="W25" s="118">
        <v>16416000</v>
      </c>
      <c r="X25" s="119" t="s">
        <v>31</v>
      </c>
    </row>
    <row r="26" spans="1:24">
      <c r="A26" s="34">
        <f>A25+1</f>
        <v>23</v>
      </c>
      <c r="B26" s="57" t="s">
        <v>24</v>
      </c>
      <c r="C26" s="111" t="s">
        <v>25</v>
      </c>
      <c r="D26" s="111" t="s">
        <v>64</v>
      </c>
      <c r="E26" s="112">
        <v>46204</v>
      </c>
      <c r="F26" s="129" t="s">
        <v>65</v>
      </c>
      <c r="G26" s="114" t="s">
        <v>28</v>
      </c>
      <c r="H26" s="115">
        <v>32.832</v>
      </c>
      <c r="I26" s="130">
        <v>500000</v>
      </c>
      <c r="J26" s="33">
        <f t="shared" si="0"/>
        <v>16416000</v>
      </c>
      <c r="K26" s="116">
        <v>19</v>
      </c>
      <c r="L26" s="116">
        <v>130000</v>
      </c>
      <c r="M26" s="33">
        <f t="shared" si="1"/>
        <v>2470000</v>
      </c>
      <c r="N26" s="33">
        <f t="shared" si="2"/>
        <v>18886000</v>
      </c>
      <c r="O26" s="68">
        <v>730000</v>
      </c>
      <c r="P26" s="33">
        <f t="shared" si="3"/>
        <v>230000</v>
      </c>
      <c r="Q26" s="33" t="s">
        <v>29</v>
      </c>
      <c r="R26" s="33">
        <f t="shared" si="4"/>
        <v>23967360</v>
      </c>
      <c r="S26" s="43">
        <v>2500000</v>
      </c>
      <c r="T26" s="33">
        <f t="shared" si="5"/>
        <v>7551360</v>
      </c>
      <c r="U26" s="34" t="s">
        <v>30</v>
      </c>
      <c r="V26" s="33">
        <f t="shared" si="6"/>
        <v>5051360</v>
      </c>
      <c r="W26" s="118">
        <v>16416000</v>
      </c>
      <c r="X26" s="119" t="s">
        <v>31</v>
      </c>
    </row>
    <row r="27" spans="1:24">
      <c r="A27" s="34">
        <f t="shared" ref="A27:A90" si="8">A26+1</f>
        <v>24</v>
      </c>
      <c r="B27" s="57" t="s">
        <v>24</v>
      </c>
      <c r="C27" s="123" t="s">
        <v>44</v>
      </c>
      <c r="D27" s="123" t="s">
        <v>45</v>
      </c>
      <c r="E27" s="124">
        <v>46204</v>
      </c>
      <c r="F27" s="131" t="s">
        <v>66</v>
      </c>
      <c r="G27" s="114" t="s">
        <v>28</v>
      </c>
      <c r="H27" s="115">
        <v>32.832</v>
      </c>
      <c r="I27" s="130">
        <v>500000</v>
      </c>
      <c r="J27" s="33">
        <f t="shared" si="0"/>
        <v>16416000</v>
      </c>
      <c r="K27" s="116">
        <v>19</v>
      </c>
      <c r="L27" s="116">
        <v>130000</v>
      </c>
      <c r="M27" s="33">
        <f t="shared" si="1"/>
        <v>2470000</v>
      </c>
      <c r="N27" s="33">
        <f t="shared" si="2"/>
        <v>18886000</v>
      </c>
      <c r="O27" s="68">
        <v>750000</v>
      </c>
      <c r="P27" s="33">
        <f t="shared" si="3"/>
        <v>250000</v>
      </c>
      <c r="Q27" s="33" t="s">
        <v>29</v>
      </c>
      <c r="R27" s="33">
        <f t="shared" si="4"/>
        <v>24624000</v>
      </c>
      <c r="S27" s="132">
        <v>2500000</v>
      </c>
      <c r="T27" s="33">
        <f t="shared" si="5"/>
        <v>8208000</v>
      </c>
      <c r="U27" s="34" t="s">
        <v>30</v>
      </c>
      <c r="V27" s="33">
        <f t="shared" si="6"/>
        <v>5708000</v>
      </c>
      <c r="W27" s="118">
        <v>16416000</v>
      </c>
      <c r="X27" s="119" t="s">
        <v>31</v>
      </c>
    </row>
    <row r="28" spans="1:24">
      <c r="A28" s="34">
        <f t="shared" si="8"/>
        <v>25</v>
      </c>
      <c r="B28" s="57" t="s">
        <v>24</v>
      </c>
      <c r="C28" s="120" t="s">
        <v>35</v>
      </c>
      <c r="D28" s="120" t="s">
        <v>36</v>
      </c>
      <c r="E28" s="121">
        <v>46204</v>
      </c>
      <c r="F28" s="91" t="s">
        <v>67</v>
      </c>
      <c r="G28" s="114" t="s">
        <v>28</v>
      </c>
      <c r="H28" s="115">
        <v>32.832</v>
      </c>
      <c r="I28" s="130">
        <v>500000</v>
      </c>
      <c r="J28" s="33">
        <f t="shared" si="0"/>
        <v>16416000</v>
      </c>
      <c r="K28" s="116">
        <v>19</v>
      </c>
      <c r="L28" s="116">
        <v>130000</v>
      </c>
      <c r="M28" s="33">
        <f t="shared" si="1"/>
        <v>2470000</v>
      </c>
      <c r="N28" s="33">
        <f t="shared" si="2"/>
        <v>18886000</v>
      </c>
      <c r="O28" s="68">
        <v>750000</v>
      </c>
      <c r="P28" s="33">
        <f t="shared" si="3"/>
        <v>250000</v>
      </c>
      <c r="Q28" s="33" t="s">
        <v>29</v>
      </c>
      <c r="R28" s="33">
        <f t="shared" si="4"/>
        <v>24624000</v>
      </c>
      <c r="S28" s="133">
        <v>2500000</v>
      </c>
      <c r="T28" s="33">
        <f t="shared" si="5"/>
        <v>8208000</v>
      </c>
      <c r="U28" s="34" t="s">
        <v>30</v>
      </c>
      <c r="V28" s="33">
        <f t="shared" si="6"/>
        <v>5708000</v>
      </c>
      <c r="W28" s="118">
        <v>16416000</v>
      </c>
      <c r="X28" s="119" t="s">
        <v>31</v>
      </c>
    </row>
    <row r="29" spans="1:24">
      <c r="A29" s="34">
        <f t="shared" si="8"/>
        <v>26</v>
      </c>
      <c r="B29" s="57" t="s">
        <v>24</v>
      </c>
      <c r="C29" s="123" t="s">
        <v>44</v>
      </c>
      <c r="D29" s="123" t="s">
        <v>45</v>
      </c>
      <c r="E29" s="124">
        <v>46204</v>
      </c>
      <c r="F29" s="131" t="s">
        <v>68</v>
      </c>
      <c r="G29" s="114" t="s">
        <v>49</v>
      </c>
      <c r="H29" s="115">
        <v>32.832</v>
      </c>
      <c r="I29" s="130">
        <v>500000</v>
      </c>
      <c r="J29" s="33">
        <f t="shared" si="0"/>
        <v>16416000</v>
      </c>
      <c r="K29" s="116">
        <v>19</v>
      </c>
      <c r="L29" s="116">
        <v>130000</v>
      </c>
      <c r="M29" s="33">
        <f t="shared" si="1"/>
        <v>2470000</v>
      </c>
      <c r="N29" s="33">
        <f t="shared" si="2"/>
        <v>18886000</v>
      </c>
      <c r="O29" s="68">
        <v>750000</v>
      </c>
      <c r="P29" s="33">
        <f t="shared" si="3"/>
        <v>250000</v>
      </c>
      <c r="Q29" s="33" t="s">
        <v>29</v>
      </c>
      <c r="R29" s="33">
        <f t="shared" si="4"/>
        <v>24624000</v>
      </c>
      <c r="S29" s="132">
        <v>2550000</v>
      </c>
      <c r="T29" s="33">
        <f t="shared" si="5"/>
        <v>8208000</v>
      </c>
      <c r="U29" s="34" t="s">
        <v>30</v>
      </c>
      <c r="V29" s="33">
        <f t="shared" si="6"/>
        <v>5658000</v>
      </c>
      <c r="W29" s="118">
        <v>16416000</v>
      </c>
      <c r="X29" s="119" t="s">
        <v>31</v>
      </c>
    </row>
    <row r="30" spans="1:24">
      <c r="A30" s="34">
        <f t="shared" si="8"/>
        <v>27</v>
      </c>
      <c r="B30" s="57" t="s">
        <v>24</v>
      </c>
      <c r="C30" s="123" t="s">
        <v>44</v>
      </c>
      <c r="D30" s="123" t="s">
        <v>45</v>
      </c>
      <c r="E30" s="124">
        <v>46204</v>
      </c>
      <c r="F30" s="131" t="s">
        <v>69</v>
      </c>
      <c r="G30" s="114" t="s">
        <v>49</v>
      </c>
      <c r="H30" s="115">
        <v>32.832</v>
      </c>
      <c r="I30" s="130">
        <v>500000</v>
      </c>
      <c r="J30" s="33">
        <f t="shared" si="0"/>
        <v>16416000</v>
      </c>
      <c r="K30" s="116">
        <v>19</v>
      </c>
      <c r="L30" s="116">
        <v>130000</v>
      </c>
      <c r="M30" s="33">
        <f t="shared" si="1"/>
        <v>2470000</v>
      </c>
      <c r="N30" s="33">
        <f t="shared" si="2"/>
        <v>18886000</v>
      </c>
      <c r="O30" s="68">
        <v>750000</v>
      </c>
      <c r="P30" s="33">
        <f t="shared" si="3"/>
        <v>250000</v>
      </c>
      <c r="Q30" s="33" t="s">
        <v>29</v>
      </c>
      <c r="R30" s="33">
        <f t="shared" si="4"/>
        <v>24624000</v>
      </c>
      <c r="S30" s="132">
        <v>2550000</v>
      </c>
      <c r="T30" s="33">
        <f t="shared" si="5"/>
        <v>8208000</v>
      </c>
      <c r="U30" s="34" t="s">
        <v>30</v>
      </c>
      <c r="V30" s="33">
        <f t="shared" si="6"/>
        <v>5658000</v>
      </c>
      <c r="W30" s="118">
        <v>16416000</v>
      </c>
      <c r="X30" s="119" t="s">
        <v>31</v>
      </c>
    </row>
    <row r="31" spans="1:24">
      <c r="A31" s="34">
        <f t="shared" si="8"/>
        <v>28</v>
      </c>
      <c r="B31" s="57" t="s">
        <v>24</v>
      </c>
      <c r="C31" s="111" t="s">
        <v>25</v>
      </c>
      <c r="D31" s="111" t="s">
        <v>62</v>
      </c>
      <c r="E31" s="112">
        <v>46205</v>
      </c>
      <c r="F31" s="129" t="s">
        <v>70</v>
      </c>
      <c r="G31" s="114" t="s">
        <v>49</v>
      </c>
      <c r="H31" s="115">
        <v>32.832</v>
      </c>
      <c r="I31" s="114">
        <v>593750</v>
      </c>
      <c r="J31" s="33">
        <f t="shared" si="0"/>
        <v>19494000</v>
      </c>
      <c r="K31" s="116">
        <v>19</v>
      </c>
      <c r="L31" s="116">
        <v>130000</v>
      </c>
      <c r="M31" s="33">
        <f t="shared" si="1"/>
        <v>2470000</v>
      </c>
      <c r="N31" s="33">
        <f t="shared" si="2"/>
        <v>21964000</v>
      </c>
      <c r="O31" s="68">
        <v>730000</v>
      </c>
      <c r="P31" s="33">
        <f t="shared" si="3"/>
        <v>136250</v>
      </c>
      <c r="Q31" s="33" t="s">
        <v>29</v>
      </c>
      <c r="R31" s="33">
        <f t="shared" si="4"/>
        <v>23967360</v>
      </c>
      <c r="S31" s="33">
        <v>2000000</v>
      </c>
      <c r="T31" s="33">
        <f t="shared" si="5"/>
        <v>4473360</v>
      </c>
      <c r="U31" s="34" t="s">
        <v>30</v>
      </c>
      <c r="V31" s="33">
        <f t="shared" si="6"/>
        <v>2473360</v>
      </c>
      <c r="W31" s="118">
        <v>19494000</v>
      </c>
      <c r="X31" s="119" t="s">
        <v>31</v>
      </c>
    </row>
    <row r="32" spans="1:24">
      <c r="A32" s="34">
        <f t="shared" si="8"/>
        <v>29</v>
      </c>
      <c r="B32" s="57" t="s">
        <v>24</v>
      </c>
      <c r="C32" s="111" t="s">
        <v>25</v>
      </c>
      <c r="D32" s="111" t="s">
        <v>64</v>
      </c>
      <c r="E32" s="112">
        <v>46206</v>
      </c>
      <c r="F32" s="134" t="s">
        <v>71</v>
      </c>
      <c r="G32" s="114" t="s">
        <v>28</v>
      </c>
      <c r="H32" s="115">
        <v>32.832</v>
      </c>
      <c r="I32" s="114">
        <v>593750</v>
      </c>
      <c r="J32" s="33">
        <f t="shared" si="0"/>
        <v>19494000</v>
      </c>
      <c r="K32" s="116">
        <v>19</v>
      </c>
      <c r="L32" s="116">
        <v>130000</v>
      </c>
      <c r="M32" s="33">
        <f t="shared" si="1"/>
        <v>2470000</v>
      </c>
      <c r="N32" s="33">
        <f t="shared" si="2"/>
        <v>21964000</v>
      </c>
      <c r="O32" s="68">
        <v>700000</v>
      </c>
      <c r="P32" s="33">
        <f t="shared" si="3"/>
        <v>106250</v>
      </c>
      <c r="Q32" s="33" t="s">
        <v>29</v>
      </c>
      <c r="R32" s="33">
        <f t="shared" si="4"/>
        <v>22982400</v>
      </c>
      <c r="S32" s="33">
        <v>2000000</v>
      </c>
      <c r="T32" s="33">
        <f t="shared" si="5"/>
        <v>3488400</v>
      </c>
      <c r="U32" s="34" t="s">
        <v>30</v>
      </c>
      <c r="V32" s="33">
        <f t="shared" si="6"/>
        <v>1488400</v>
      </c>
      <c r="W32" s="118">
        <v>19494000</v>
      </c>
      <c r="X32" s="119" t="s">
        <v>31</v>
      </c>
    </row>
    <row r="33" spans="1:24">
      <c r="A33" s="34">
        <f t="shared" si="8"/>
        <v>30</v>
      </c>
      <c r="B33" s="57" t="s">
        <v>24</v>
      </c>
      <c r="C33" s="111" t="s">
        <v>25</v>
      </c>
      <c r="D33" s="111" t="s">
        <v>72</v>
      </c>
      <c r="E33" s="112">
        <v>46206</v>
      </c>
      <c r="F33" s="134" t="s">
        <v>73</v>
      </c>
      <c r="G33" s="114" t="s">
        <v>28</v>
      </c>
      <c r="H33" s="115">
        <v>32.832</v>
      </c>
      <c r="I33" s="114">
        <v>593750</v>
      </c>
      <c r="J33" s="33">
        <f t="shared" si="0"/>
        <v>19494000</v>
      </c>
      <c r="K33" s="116">
        <v>19</v>
      </c>
      <c r="L33" s="116">
        <v>130000</v>
      </c>
      <c r="M33" s="33">
        <f t="shared" si="1"/>
        <v>2470000</v>
      </c>
      <c r="N33" s="33">
        <f t="shared" si="2"/>
        <v>21964000</v>
      </c>
      <c r="O33" s="68">
        <v>700000</v>
      </c>
      <c r="P33" s="33">
        <f t="shared" si="3"/>
        <v>106250</v>
      </c>
      <c r="Q33" s="33" t="s">
        <v>29</v>
      </c>
      <c r="R33" s="33">
        <f t="shared" si="4"/>
        <v>22982400</v>
      </c>
      <c r="S33" s="33">
        <v>2000000</v>
      </c>
      <c r="T33" s="33">
        <f t="shared" si="5"/>
        <v>3488400</v>
      </c>
      <c r="U33" s="34" t="s">
        <v>30</v>
      </c>
      <c r="V33" s="33">
        <f t="shared" si="6"/>
        <v>1488400</v>
      </c>
      <c r="W33" s="118">
        <v>19494000</v>
      </c>
      <c r="X33" s="119" t="s">
        <v>31</v>
      </c>
    </row>
    <row r="34" spans="1:24">
      <c r="A34" s="34">
        <f t="shared" si="8"/>
        <v>31</v>
      </c>
      <c r="B34" s="57" t="s">
        <v>24</v>
      </c>
      <c r="C34" s="126" t="s">
        <v>53</v>
      </c>
      <c r="D34" s="126" t="s">
        <v>56</v>
      </c>
      <c r="E34" s="127">
        <v>46206</v>
      </c>
      <c r="F34" s="135" t="s">
        <v>68</v>
      </c>
      <c r="G34" s="114" t="s">
        <v>28</v>
      </c>
      <c r="H34" s="115">
        <v>32.832</v>
      </c>
      <c r="I34" s="114">
        <v>593750</v>
      </c>
      <c r="J34" s="33">
        <f t="shared" si="0"/>
        <v>19494000</v>
      </c>
      <c r="K34" s="116">
        <v>19</v>
      </c>
      <c r="L34" s="116">
        <v>130000</v>
      </c>
      <c r="M34" s="33">
        <f t="shared" si="1"/>
        <v>2470000</v>
      </c>
      <c r="N34" s="33">
        <f t="shared" si="2"/>
        <v>21964000</v>
      </c>
      <c r="O34" s="68">
        <v>700000</v>
      </c>
      <c r="P34" s="33">
        <f t="shared" si="3"/>
        <v>106250</v>
      </c>
      <c r="Q34" s="33" t="s">
        <v>29</v>
      </c>
      <c r="R34" s="33">
        <f t="shared" si="4"/>
        <v>22982400</v>
      </c>
      <c r="S34" s="130">
        <v>2000000</v>
      </c>
      <c r="T34" s="33">
        <f t="shared" si="5"/>
        <v>3488400</v>
      </c>
      <c r="U34" s="34" t="s">
        <v>30</v>
      </c>
      <c r="V34" s="33">
        <f t="shared" si="6"/>
        <v>1488400</v>
      </c>
      <c r="W34" s="118">
        <v>19494000</v>
      </c>
      <c r="X34" s="119" t="s">
        <v>31</v>
      </c>
    </row>
    <row r="35" spans="1:24">
      <c r="A35" s="34">
        <f t="shared" si="8"/>
        <v>32</v>
      </c>
      <c r="B35" s="57" t="s">
        <v>24</v>
      </c>
      <c r="C35" s="120" t="s">
        <v>35</v>
      </c>
      <c r="D35" s="120" t="s">
        <v>36</v>
      </c>
      <c r="E35" s="121">
        <v>46206</v>
      </c>
      <c r="F35" s="91" t="s">
        <v>74</v>
      </c>
      <c r="G35" s="114" t="s">
        <v>28</v>
      </c>
      <c r="H35" s="115">
        <v>32.832</v>
      </c>
      <c r="I35" s="114">
        <v>593750</v>
      </c>
      <c r="J35" s="33">
        <f t="shared" si="0"/>
        <v>19494000</v>
      </c>
      <c r="K35" s="116">
        <v>19</v>
      </c>
      <c r="L35" s="116">
        <v>130000</v>
      </c>
      <c r="M35" s="33">
        <f t="shared" si="1"/>
        <v>2470000</v>
      </c>
      <c r="N35" s="33">
        <f t="shared" si="2"/>
        <v>21964000</v>
      </c>
      <c r="O35" s="68">
        <v>700000</v>
      </c>
      <c r="P35" s="33">
        <f t="shared" si="3"/>
        <v>106250</v>
      </c>
      <c r="Q35" s="33" t="s">
        <v>29</v>
      </c>
      <c r="R35" s="33">
        <f t="shared" si="4"/>
        <v>22982400</v>
      </c>
      <c r="S35" s="130">
        <v>2500000</v>
      </c>
      <c r="T35" s="33">
        <f t="shared" si="5"/>
        <v>3488400</v>
      </c>
      <c r="U35" s="34" t="s">
        <v>30</v>
      </c>
      <c r="V35" s="33">
        <f t="shared" si="6"/>
        <v>988400</v>
      </c>
      <c r="W35" s="118">
        <v>19494000</v>
      </c>
      <c r="X35" s="119" t="s">
        <v>31</v>
      </c>
    </row>
    <row r="36" spans="1:24">
      <c r="A36" s="34">
        <f t="shared" si="8"/>
        <v>33</v>
      </c>
      <c r="B36" s="57" t="s">
        <v>24</v>
      </c>
      <c r="C36" s="126" t="s">
        <v>53</v>
      </c>
      <c r="D36" s="126" t="s">
        <v>56</v>
      </c>
      <c r="E36" s="127">
        <v>46206</v>
      </c>
      <c r="F36" s="135" t="s">
        <v>75</v>
      </c>
      <c r="G36" s="114" t="s">
        <v>28</v>
      </c>
      <c r="H36" s="115">
        <v>32.832</v>
      </c>
      <c r="I36" s="114">
        <v>593750</v>
      </c>
      <c r="J36" s="33">
        <f t="shared" si="0"/>
        <v>19494000</v>
      </c>
      <c r="K36" s="116">
        <v>19</v>
      </c>
      <c r="L36" s="116">
        <v>130000</v>
      </c>
      <c r="M36" s="33">
        <f t="shared" si="1"/>
        <v>2470000</v>
      </c>
      <c r="N36" s="33">
        <f t="shared" si="2"/>
        <v>21964000</v>
      </c>
      <c r="O36" s="68">
        <v>700000</v>
      </c>
      <c r="P36" s="33">
        <f t="shared" si="3"/>
        <v>106250</v>
      </c>
      <c r="Q36" s="33" t="s">
        <v>29</v>
      </c>
      <c r="R36" s="33">
        <f t="shared" si="4"/>
        <v>22982400</v>
      </c>
      <c r="S36" s="130">
        <v>2000000</v>
      </c>
      <c r="T36" s="33">
        <f t="shared" si="5"/>
        <v>3488400</v>
      </c>
      <c r="U36" s="34" t="s">
        <v>30</v>
      </c>
      <c r="V36" s="33">
        <f t="shared" si="6"/>
        <v>1488400</v>
      </c>
      <c r="W36" s="118">
        <v>19494000</v>
      </c>
      <c r="X36" s="119" t="s">
        <v>31</v>
      </c>
    </row>
    <row r="37" spans="1:24">
      <c r="A37" s="34">
        <f t="shared" si="8"/>
        <v>34</v>
      </c>
      <c r="B37" s="57" t="s">
        <v>24</v>
      </c>
      <c r="C37" s="111" t="s">
        <v>25</v>
      </c>
      <c r="D37" s="111" t="s">
        <v>72</v>
      </c>
      <c r="E37" s="112">
        <v>46206</v>
      </c>
      <c r="F37" s="134" t="s">
        <v>76</v>
      </c>
      <c r="G37" s="114" t="s">
        <v>28</v>
      </c>
      <c r="H37" s="115">
        <v>32.832</v>
      </c>
      <c r="I37" s="114">
        <v>593750</v>
      </c>
      <c r="J37" s="33">
        <f t="shared" si="0"/>
        <v>19494000</v>
      </c>
      <c r="K37" s="116">
        <v>19</v>
      </c>
      <c r="L37" s="116">
        <v>130000</v>
      </c>
      <c r="M37" s="33">
        <f t="shared" si="1"/>
        <v>2470000</v>
      </c>
      <c r="N37" s="33">
        <f t="shared" si="2"/>
        <v>21964000</v>
      </c>
      <c r="O37" s="68">
        <v>700000</v>
      </c>
      <c r="P37" s="33">
        <f t="shared" si="3"/>
        <v>106250</v>
      </c>
      <c r="Q37" s="33" t="s">
        <v>29</v>
      </c>
      <c r="R37" s="33">
        <f t="shared" si="4"/>
        <v>22982400</v>
      </c>
      <c r="S37" s="33">
        <v>2000000</v>
      </c>
      <c r="T37" s="33">
        <f t="shared" si="5"/>
        <v>3488400</v>
      </c>
      <c r="U37" s="34" t="s">
        <v>30</v>
      </c>
      <c r="V37" s="33">
        <f t="shared" si="6"/>
        <v>1488400</v>
      </c>
      <c r="W37" s="118">
        <v>19494000</v>
      </c>
      <c r="X37" s="119" t="s">
        <v>31</v>
      </c>
    </row>
    <row r="38" spans="1:24">
      <c r="A38" s="34">
        <f t="shared" si="8"/>
        <v>35</v>
      </c>
      <c r="B38" s="57" t="s">
        <v>24</v>
      </c>
      <c r="C38" s="111" t="s">
        <v>25</v>
      </c>
      <c r="D38" s="111" t="s">
        <v>72</v>
      </c>
      <c r="E38" s="112">
        <v>46206</v>
      </c>
      <c r="F38" s="134" t="s">
        <v>77</v>
      </c>
      <c r="G38" s="114" t="s">
        <v>28</v>
      </c>
      <c r="H38" s="115">
        <v>32.832</v>
      </c>
      <c r="I38" s="114">
        <v>593750</v>
      </c>
      <c r="J38" s="33">
        <f t="shared" si="0"/>
        <v>19494000</v>
      </c>
      <c r="K38" s="116">
        <v>19</v>
      </c>
      <c r="L38" s="116">
        <v>130000</v>
      </c>
      <c r="M38" s="33">
        <f t="shared" si="1"/>
        <v>2470000</v>
      </c>
      <c r="N38" s="33">
        <f t="shared" si="2"/>
        <v>21964000</v>
      </c>
      <c r="O38" s="68">
        <v>700000</v>
      </c>
      <c r="P38" s="33">
        <f t="shared" si="3"/>
        <v>106250</v>
      </c>
      <c r="Q38" s="33" t="s">
        <v>29</v>
      </c>
      <c r="R38" s="33">
        <f t="shared" si="4"/>
        <v>22982400</v>
      </c>
      <c r="S38" s="33">
        <v>2000000</v>
      </c>
      <c r="T38" s="33">
        <f t="shared" si="5"/>
        <v>3488400</v>
      </c>
      <c r="U38" s="34" t="s">
        <v>30</v>
      </c>
      <c r="V38" s="33">
        <f t="shared" si="6"/>
        <v>1488400</v>
      </c>
      <c r="W38" s="118">
        <v>19494000</v>
      </c>
      <c r="X38" s="119" t="s">
        <v>31</v>
      </c>
    </row>
    <row r="39" spans="1:24">
      <c r="A39" s="34">
        <f t="shared" si="8"/>
        <v>36</v>
      </c>
      <c r="B39" s="57" t="s">
        <v>24</v>
      </c>
      <c r="C39" s="120" t="s">
        <v>35</v>
      </c>
      <c r="D39" s="120" t="s">
        <v>36</v>
      </c>
      <c r="E39" s="121">
        <v>46206</v>
      </c>
      <c r="F39" s="91" t="s">
        <v>78</v>
      </c>
      <c r="G39" s="114" t="s">
        <v>49</v>
      </c>
      <c r="H39" s="115">
        <v>32.832</v>
      </c>
      <c r="I39" s="114">
        <v>593750</v>
      </c>
      <c r="J39" s="33">
        <f t="shared" si="0"/>
        <v>19494000</v>
      </c>
      <c r="K39" s="116">
        <v>19</v>
      </c>
      <c r="L39" s="116">
        <v>130000</v>
      </c>
      <c r="M39" s="33">
        <f t="shared" si="1"/>
        <v>2470000</v>
      </c>
      <c r="N39" s="33">
        <f t="shared" si="2"/>
        <v>21964000</v>
      </c>
      <c r="O39" s="68">
        <v>700000</v>
      </c>
      <c r="P39" s="33">
        <f t="shared" si="3"/>
        <v>106250</v>
      </c>
      <c r="Q39" s="33" t="s">
        <v>29</v>
      </c>
      <c r="R39" s="33">
        <f t="shared" si="4"/>
        <v>22982400</v>
      </c>
      <c r="S39" s="130">
        <v>2500000</v>
      </c>
      <c r="T39" s="33">
        <f t="shared" si="5"/>
        <v>3488400</v>
      </c>
      <c r="U39" s="34" t="s">
        <v>30</v>
      </c>
      <c r="V39" s="33">
        <f t="shared" si="6"/>
        <v>988400</v>
      </c>
      <c r="W39" s="118">
        <v>19494000</v>
      </c>
      <c r="X39" s="119" t="s">
        <v>31</v>
      </c>
    </row>
    <row r="40" spans="1:24">
      <c r="A40" s="34">
        <f t="shared" si="8"/>
        <v>37</v>
      </c>
      <c r="B40" s="57" t="s">
        <v>24</v>
      </c>
      <c r="C40" s="120" t="s">
        <v>35</v>
      </c>
      <c r="D40" s="120" t="s">
        <v>36</v>
      </c>
      <c r="E40" s="121">
        <v>46206</v>
      </c>
      <c r="F40" s="91" t="s">
        <v>79</v>
      </c>
      <c r="G40" s="114" t="s">
        <v>28</v>
      </c>
      <c r="H40" s="115">
        <v>32.832</v>
      </c>
      <c r="I40" s="114">
        <v>593750</v>
      </c>
      <c r="J40" s="33">
        <f t="shared" si="0"/>
        <v>19494000</v>
      </c>
      <c r="K40" s="116">
        <v>19</v>
      </c>
      <c r="L40" s="116">
        <v>130000</v>
      </c>
      <c r="M40" s="33">
        <f t="shared" si="1"/>
        <v>2470000</v>
      </c>
      <c r="N40" s="33">
        <f t="shared" si="2"/>
        <v>21964000</v>
      </c>
      <c r="O40" s="68">
        <v>700000</v>
      </c>
      <c r="P40" s="33">
        <f t="shared" si="3"/>
        <v>106250</v>
      </c>
      <c r="Q40" s="33" t="s">
        <v>29</v>
      </c>
      <c r="R40" s="33">
        <f t="shared" si="4"/>
        <v>22982400</v>
      </c>
      <c r="S40" s="130">
        <v>2500000</v>
      </c>
      <c r="T40" s="33">
        <f t="shared" si="5"/>
        <v>3488400</v>
      </c>
      <c r="U40" s="34" t="s">
        <v>30</v>
      </c>
      <c r="V40" s="33">
        <f t="shared" si="6"/>
        <v>988400</v>
      </c>
      <c r="W40" s="118">
        <v>19494000</v>
      </c>
      <c r="X40" s="119" t="s">
        <v>31</v>
      </c>
    </row>
    <row r="41" spans="1:24">
      <c r="A41" s="34">
        <f t="shared" si="8"/>
        <v>38</v>
      </c>
      <c r="B41" s="57" t="s">
        <v>24</v>
      </c>
      <c r="C41" s="136" t="s">
        <v>80</v>
      </c>
      <c r="D41" s="136" t="s">
        <v>81</v>
      </c>
      <c r="E41" s="137">
        <v>46206</v>
      </c>
      <c r="F41" s="138" t="s">
        <v>82</v>
      </c>
      <c r="G41" s="114" t="s">
        <v>28</v>
      </c>
      <c r="H41" s="115">
        <v>32.832</v>
      </c>
      <c r="I41" s="114">
        <v>593750</v>
      </c>
      <c r="J41" s="33">
        <f t="shared" si="0"/>
        <v>19494000</v>
      </c>
      <c r="K41" s="116">
        <v>19</v>
      </c>
      <c r="L41" s="116">
        <v>130000</v>
      </c>
      <c r="M41" s="33">
        <f t="shared" si="1"/>
        <v>2470000</v>
      </c>
      <c r="N41" s="33">
        <f t="shared" si="2"/>
        <v>21964000</v>
      </c>
      <c r="O41" s="68">
        <v>700000</v>
      </c>
      <c r="P41" s="33">
        <f t="shared" si="3"/>
        <v>106250</v>
      </c>
      <c r="Q41" s="33" t="s">
        <v>29</v>
      </c>
      <c r="R41" s="33">
        <f t="shared" si="4"/>
        <v>22982400</v>
      </c>
      <c r="S41" s="130">
        <v>2000000</v>
      </c>
      <c r="T41" s="33">
        <f t="shared" si="5"/>
        <v>3488400</v>
      </c>
      <c r="U41" s="34" t="s">
        <v>30</v>
      </c>
      <c r="V41" s="33">
        <f t="shared" si="6"/>
        <v>1488400</v>
      </c>
      <c r="W41" s="118">
        <v>19494000</v>
      </c>
      <c r="X41" s="119" t="s">
        <v>31</v>
      </c>
    </row>
    <row r="42" spans="1:24">
      <c r="A42" s="34">
        <f t="shared" si="8"/>
        <v>39</v>
      </c>
      <c r="B42" s="57" t="s">
        <v>24</v>
      </c>
      <c r="C42" s="136" t="s">
        <v>80</v>
      </c>
      <c r="D42" s="136" t="s">
        <v>81</v>
      </c>
      <c r="E42" s="137">
        <v>46206</v>
      </c>
      <c r="F42" s="138" t="s">
        <v>70</v>
      </c>
      <c r="G42" s="114" t="s">
        <v>28</v>
      </c>
      <c r="H42" s="115">
        <v>32.832</v>
      </c>
      <c r="I42" s="114">
        <v>593750</v>
      </c>
      <c r="J42" s="33">
        <f t="shared" si="0"/>
        <v>19494000</v>
      </c>
      <c r="K42" s="116">
        <v>19</v>
      </c>
      <c r="L42" s="116">
        <v>130000</v>
      </c>
      <c r="M42" s="33">
        <f t="shared" si="1"/>
        <v>2470000</v>
      </c>
      <c r="N42" s="33">
        <f t="shared" si="2"/>
        <v>21964000</v>
      </c>
      <c r="O42" s="68">
        <v>700000</v>
      </c>
      <c r="P42" s="33">
        <f t="shared" si="3"/>
        <v>106250</v>
      </c>
      <c r="Q42" s="33" t="s">
        <v>29</v>
      </c>
      <c r="R42" s="33">
        <f t="shared" si="4"/>
        <v>22982400</v>
      </c>
      <c r="S42" s="130">
        <v>2000000</v>
      </c>
      <c r="T42" s="33">
        <f t="shared" si="5"/>
        <v>3488400</v>
      </c>
      <c r="U42" s="34" t="s">
        <v>30</v>
      </c>
      <c r="V42" s="33">
        <f t="shared" si="6"/>
        <v>1488400</v>
      </c>
      <c r="W42" s="118">
        <v>19494000</v>
      </c>
      <c r="X42" s="119" t="s">
        <v>31</v>
      </c>
    </row>
    <row r="43" spans="1:24">
      <c r="A43" s="34">
        <f t="shared" si="8"/>
        <v>40</v>
      </c>
      <c r="B43" s="57" t="s">
        <v>24</v>
      </c>
      <c r="C43" s="136" t="s">
        <v>80</v>
      </c>
      <c r="D43" s="136" t="s">
        <v>81</v>
      </c>
      <c r="E43" s="137">
        <v>46206</v>
      </c>
      <c r="F43" s="138" t="s">
        <v>83</v>
      </c>
      <c r="G43" s="114" t="s">
        <v>49</v>
      </c>
      <c r="H43" s="115">
        <v>32.832</v>
      </c>
      <c r="I43" s="114">
        <v>593750</v>
      </c>
      <c r="J43" s="33">
        <f t="shared" si="0"/>
        <v>19494000</v>
      </c>
      <c r="K43" s="116">
        <v>19</v>
      </c>
      <c r="L43" s="116">
        <v>130000</v>
      </c>
      <c r="M43" s="33">
        <f t="shared" si="1"/>
        <v>2470000</v>
      </c>
      <c r="N43" s="33">
        <f t="shared" si="2"/>
        <v>21964000</v>
      </c>
      <c r="O43" s="68">
        <v>700000</v>
      </c>
      <c r="P43" s="33">
        <f t="shared" si="3"/>
        <v>106250</v>
      </c>
      <c r="Q43" s="33" t="s">
        <v>29</v>
      </c>
      <c r="R43" s="33">
        <f t="shared" si="4"/>
        <v>22982400</v>
      </c>
      <c r="S43" s="130">
        <v>2000000</v>
      </c>
      <c r="T43" s="33">
        <f t="shared" si="5"/>
        <v>3488400</v>
      </c>
      <c r="U43" s="34" t="s">
        <v>30</v>
      </c>
      <c r="V43" s="33">
        <f t="shared" si="6"/>
        <v>1488400</v>
      </c>
      <c r="W43" s="118">
        <v>19494000</v>
      </c>
      <c r="X43" s="119" t="s">
        <v>31</v>
      </c>
    </row>
    <row r="44" spans="1:24">
      <c r="A44" s="34">
        <f t="shared" si="8"/>
        <v>41</v>
      </c>
      <c r="B44" s="57" t="s">
        <v>24</v>
      </c>
      <c r="C44" s="120" t="s">
        <v>35</v>
      </c>
      <c r="D44" s="120" t="s">
        <v>84</v>
      </c>
      <c r="E44" s="121">
        <v>46209</v>
      </c>
      <c r="F44" s="91" t="s">
        <v>68</v>
      </c>
      <c r="G44" s="114" t="s">
        <v>28</v>
      </c>
      <c r="H44" s="115">
        <v>32.832</v>
      </c>
      <c r="I44" s="114">
        <v>593750</v>
      </c>
      <c r="J44" s="33">
        <f t="shared" si="0"/>
        <v>19494000</v>
      </c>
      <c r="K44" s="116">
        <v>19</v>
      </c>
      <c r="L44" s="116">
        <v>130000</v>
      </c>
      <c r="M44" s="33">
        <f t="shared" si="1"/>
        <v>2470000</v>
      </c>
      <c r="N44" s="33">
        <f t="shared" si="2"/>
        <v>21964000</v>
      </c>
      <c r="O44" s="68">
        <v>700000</v>
      </c>
      <c r="P44" s="33">
        <f t="shared" si="3"/>
        <v>106250</v>
      </c>
      <c r="Q44" s="33" t="s">
        <v>29</v>
      </c>
      <c r="R44" s="33">
        <f t="shared" si="4"/>
        <v>22982400</v>
      </c>
      <c r="S44" s="130">
        <v>2000000</v>
      </c>
      <c r="T44" s="33">
        <f t="shared" si="5"/>
        <v>3488400</v>
      </c>
      <c r="U44" s="34" t="s">
        <v>30</v>
      </c>
      <c r="V44" s="33">
        <f t="shared" si="6"/>
        <v>1488400</v>
      </c>
      <c r="W44" s="118">
        <v>19494000</v>
      </c>
      <c r="X44" s="119" t="s">
        <v>31</v>
      </c>
    </row>
    <row r="45" spans="1:24">
      <c r="A45" s="34">
        <f t="shared" si="8"/>
        <v>42</v>
      </c>
      <c r="B45" s="57" t="s">
        <v>24</v>
      </c>
      <c r="C45" s="136" t="s">
        <v>80</v>
      </c>
      <c r="D45" s="136" t="s">
        <v>85</v>
      </c>
      <c r="E45" s="137">
        <v>46209</v>
      </c>
      <c r="F45" s="138" t="s">
        <v>86</v>
      </c>
      <c r="G45" s="114" t="s">
        <v>28</v>
      </c>
      <c r="H45" s="115">
        <v>32.832</v>
      </c>
      <c r="I45" s="114">
        <v>593750</v>
      </c>
      <c r="J45" s="33">
        <f t="shared" si="0"/>
        <v>19494000</v>
      </c>
      <c r="K45" s="116">
        <v>19</v>
      </c>
      <c r="L45" s="116">
        <v>130000</v>
      </c>
      <c r="M45" s="33">
        <f t="shared" si="1"/>
        <v>2470000</v>
      </c>
      <c r="N45" s="33">
        <f t="shared" si="2"/>
        <v>21964000</v>
      </c>
      <c r="O45" s="68">
        <v>700000</v>
      </c>
      <c r="P45" s="33">
        <f t="shared" si="3"/>
        <v>106250</v>
      </c>
      <c r="Q45" s="33" t="s">
        <v>29</v>
      </c>
      <c r="R45" s="33">
        <f t="shared" si="4"/>
        <v>22982400</v>
      </c>
      <c r="S45" s="130">
        <v>2000000</v>
      </c>
      <c r="T45" s="33">
        <f t="shared" si="5"/>
        <v>3488400</v>
      </c>
      <c r="U45" s="34" t="s">
        <v>30</v>
      </c>
      <c r="V45" s="33">
        <f t="shared" si="6"/>
        <v>1488400</v>
      </c>
      <c r="W45" s="118">
        <v>19494000</v>
      </c>
      <c r="X45" s="119" t="s">
        <v>31</v>
      </c>
    </row>
    <row r="46" spans="1:24">
      <c r="A46" s="34">
        <f t="shared" si="8"/>
        <v>43</v>
      </c>
      <c r="B46" s="57" t="s">
        <v>24</v>
      </c>
      <c r="C46" s="123" t="s">
        <v>44</v>
      </c>
      <c r="D46" s="123" t="s">
        <v>87</v>
      </c>
      <c r="E46" s="139">
        <v>46209</v>
      </c>
      <c r="F46" s="123" t="s">
        <v>88</v>
      </c>
      <c r="G46" s="114" t="s">
        <v>89</v>
      </c>
      <c r="H46" s="115">
        <v>22.464</v>
      </c>
      <c r="I46" s="114">
        <v>593750</v>
      </c>
      <c r="J46" s="33">
        <f t="shared" si="0"/>
        <v>13338000</v>
      </c>
      <c r="K46" s="116">
        <v>13</v>
      </c>
      <c r="L46" s="116">
        <v>130000</v>
      </c>
      <c r="M46" s="33">
        <f t="shared" si="1"/>
        <v>1690000</v>
      </c>
      <c r="N46" s="33">
        <f t="shared" si="2"/>
        <v>15028000</v>
      </c>
      <c r="O46" s="68">
        <v>700000</v>
      </c>
      <c r="P46" s="33">
        <f t="shared" si="3"/>
        <v>106250</v>
      </c>
      <c r="Q46" s="33" t="s">
        <v>29</v>
      </c>
      <c r="R46" s="33">
        <f t="shared" si="4"/>
        <v>15724800</v>
      </c>
      <c r="S46" s="140">
        <v>1000000</v>
      </c>
      <c r="T46" s="33">
        <f t="shared" si="5"/>
        <v>2386800</v>
      </c>
      <c r="U46" s="34" t="s">
        <v>30</v>
      </c>
      <c r="V46" s="33">
        <f t="shared" si="6"/>
        <v>1386800</v>
      </c>
      <c r="W46" s="118">
        <v>13338000</v>
      </c>
      <c r="X46" s="119" t="s">
        <v>31</v>
      </c>
    </row>
    <row r="47" spans="1:24">
      <c r="A47" s="34">
        <f t="shared" si="8"/>
        <v>44</v>
      </c>
      <c r="B47" s="57" t="s">
        <v>24</v>
      </c>
      <c r="C47" s="123" t="s">
        <v>44</v>
      </c>
      <c r="D47" s="123" t="s">
        <v>87</v>
      </c>
      <c r="E47" s="139">
        <v>46209</v>
      </c>
      <c r="F47" s="123" t="s">
        <v>88</v>
      </c>
      <c r="G47" s="33" t="s">
        <v>28</v>
      </c>
      <c r="H47" s="115">
        <v>10.368</v>
      </c>
      <c r="I47" s="114">
        <v>593750</v>
      </c>
      <c r="J47" s="33">
        <f t="shared" si="0"/>
        <v>6156000</v>
      </c>
      <c r="K47" s="116">
        <v>6</v>
      </c>
      <c r="L47" s="116">
        <v>130000</v>
      </c>
      <c r="M47" s="33">
        <f t="shared" si="1"/>
        <v>780000</v>
      </c>
      <c r="N47" s="33">
        <f t="shared" si="2"/>
        <v>6936000</v>
      </c>
      <c r="O47" s="68">
        <v>700000</v>
      </c>
      <c r="P47" s="33">
        <f t="shared" si="3"/>
        <v>106250</v>
      </c>
      <c r="Q47" s="33" t="s">
        <v>29</v>
      </c>
      <c r="R47" s="33">
        <f t="shared" si="4"/>
        <v>7257600</v>
      </c>
      <c r="S47" s="140">
        <v>1000000</v>
      </c>
      <c r="T47" s="33">
        <f t="shared" si="5"/>
        <v>1101600</v>
      </c>
      <c r="U47" s="34" t="s">
        <v>30</v>
      </c>
      <c r="V47" s="33">
        <f t="shared" si="6"/>
        <v>101600</v>
      </c>
      <c r="W47" s="118">
        <v>6156000</v>
      </c>
      <c r="X47" s="119" t="s">
        <v>31</v>
      </c>
    </row>
    <row r="48" spans="1:24">
      <c r="A48" s="34">
        <f t="shared" si="8"/>
        <v>45</v>
      </c>
      <c r="B48" s="57" t="s">
        <v>24</v>
      </c>
      <c r="C48" s="120" t="s">
        <v>35</v>
      </c>
      <c r="D48" s="120" t="s">
        <v>36</v>
      </c>
      <c r="E48" s="121">
        <v>46209</v>
      </c>
      <c r="F48" s="91" t="s">
        <v>90</v>
      </c>
      <c r="G48" s="114" t="s">
        <v>28</v>
      </c>
      <c r="H48" s="115">
        <v>32.832</v>
      </c>
      <c r="I48" s="114">
        <v>593750</v>
      </c>
      <c r="J48" s="33">
        <f t="shared" si="0"/>
        <v>19494000</v>
      </c>
      <c r="K48" s="116">
        <v>19</v>
      </c>
      <c r="L48" s="116">
        <v>130000</v>
      </c>
      <c r="M48" s="33">
        <f t="shared" si="1"/>
        <v>2470000</v>
      </c>
      <c r="N48" s="33">
        <f t="shared" si="2"/>
        <v>21964000</v>
      </c>
      <c r="O48" s="68">
        <v>700000</v>
      </c>
      <c r="P48" s="33">
        <f t="shared" si="3"/>
        <v>106250</v>
      </c>
      <c r="Q48" s="33" t="s">
        <v>29</v>
      </c>
      <c r="R48" s="33">
        <f t="shared" si="4"/>
        <v>22982400</v>
      </c>
      <c r="S48" s="130">
        <v>2000000</v>
      </c>
      <c r="T48" s="33">
        <f t="shared" si="5"/>
        <v>3488400</v>
      </c>
      <c r="U48" s="34" t="s">
        <v>30</v>
      </c>
      <c r="V48" s="33">
        <f t="shared" si="6"/>
        <v>1488400</v>
      </c>
      <c r="W48" s="118">
        <v>19494000</v>
      </c>
      <c r="X48" s="119" t="s">
        <v>31</v>
      </c>
    </row>
    <row r="49" spans="1:24">
      <c r="A49" s="34">
        <f t="shared" si="8"/>
        <v>46</v>
      </c>
      <c r="B49" s="57" t="s">
        <v>24</v>
      </c>
      <c r="C49" s="136" t="s">
        <v>80</v>
      </c>
      <c r="D49" s="136" t="s">
        <v>81</v>
      </c>
      <c r="E49" s="137">
        <v>46209</v>
      </c>
      <c r="F49" s="138" t="s">
        <v>91</v>
      </c>
      <c r="G49" s="114" t="s">
        <v>49</v>
      </c>
      <c r="H49" s="115">
        <v>32.832</v>
      </c>
      <c r="I49" s="114">
        <v>593750</v>
      </c>
      <c r="J49" s="33">
        <f t="shared" si="0"/>
        <v>19494000</v>
      </c>
      <c r="K49" s="116">
        <v>19</v>
      </c>
      <c r="L49" s="116">
        <v>130000</v>
      </c>
      <c r="M49" s="33">
        <f t="shared" si="1"/>
        <v>2470000</v>
      </c>
      <c r="N49" s="33">
        <f t="shared" si="2"/>
        <v>21964000</v>
      </c>
      <c r="O49" s="68">
        <v>700000</v>
      </c>
      <c r="P49" s="33">
        <f t="shared" si="3"/>
        <v>106250</v>
      </c>
      <c r="Q49" s="33" t="s">
        <v>29</v>
      </c>
      <c r="R49" s="33">
        <f t="shared" si="4"/>
        <v>22982400</v>
      </c>
      <c r="S49" s="130">
        <v>2000000</v>
      </c>
      <c r="T49" s="33">
        <f t="shared" si="5"/>
        <v>3488400</v>
      </c>
      <c r="U49" s="34" t="s">
        <v>30</v>
      </c>
      <c r="V49" s="33">
        <f t="shared" si="6"/>
        <v>1488400</v>
      </c>
      <c r="W49" s="118">
        <v>19494000</v>
      </c>
      <c r="X49" s="119" t="s">
        <v>31</v>
      </c>
    </row>
    <row r="50" spans="1:24">
      <c r="A50" s="34">
        <f t="shared" si="8"/>
        <v>47</v>
      </c>
      <c r="B50" s="57" t="s">
        <v>24</v>
      </c>
      <c r="C50" s="136" t="s">
        <v>80</v>
      </c>
      <c r="D50" s="136" t="s">
        <v>81</v>
      </c>
      <c r="E50" s="137">
        <v>46210</v>
      </c>
      <c r="F50" s="138" t="s">
        <v>92</v>
      </c>
      <c r="G50" s="114" t="s">
        <v>49</v>
      </c>
      <c r="H50" s="115">
        <v>32.832</v>
      </c>
      <c r="I50" s="114">
        <v>593750</v>
      </c>
      <c r="J50" s="33">
        <f t="shared" si="0"/>
        <v>19494000</v>
      </c>
      <c r="K50" s="116">
        <v>19</v>
      </c>
      <c r="L50" s="116">
        <v>130000</v>
      </c>
      <c r="M50" s="33">
        <f t="shared" si="1"/>
        <v>2470000</v>
      </c>
      <c r="N50" s="33">
        <f t="shared" si="2"/>
        <v>21964000</v>
      </c>
      <c r="O50" s="68">
        <v>700000</v>
      </c>
      <c r="P50" s="33">
        <f t="shared" si="3"/>
        <v>106250</v>
      </c>
      <c r="Q50" s="33" t="s">
        <v>29</v>
      </c>
      <c r="R50" s="33">
        <f t="shared" si="4"/>
        <v>22982400</v>
      </c>
      <c r="S50" s="130">
        <v>2000000</v>
      </c>
      <c r="T50" s="33">
        <f t="shared" si="5"/>
        <v>3488400</v>
      </c>
      <c r="U50" s="34" t="s">
        <v>30</v>
      </c>
      <c r="V50" s="33">
        <f t="shared" si="6"/>
        <v>1488400</v>
      </c>
      <c r="W50" s="118">
        <v>19494000</v>
      </c>
      <c r="X50" s="119" t="s">
        <v>31</v>
      </c>
    </row>
    <row r="51" spans="1:24">
      <c r="A51" s="34">
        <f t="shared" si="8"/>
        <v>48</v>
      </c>
      <c r="B51" s="57" t="s">
        <v>24</v>
      </c>
      <c r="C51" s="120" t="s">
        <v>35</v>
      </c>
      <c r="D51" s="120" t="s">
        <v>36</v>
      </c>
      <c r="E51" s="121">
        <v>46210</v>
      </c>
      <c r="F51" s="91" t="s">
        <v>93</v>
      </c>
      <c r="G51" s="114" t="s">
        <v>28</v>
      </c>
      <c r="H51" s="115">
        <v>32.832</v>
      </c>
      <c r="I51" s="114">
        <v>593750</v>
      </c>
      <c r="J51" s="33">
        <f t="shared" si="0"/>
        <v>19494000</v>
      </c>
      <c r="K51" s="116">
        <v>19</v>
      </c>
      <c r="L51" s="116">
        <v>130000</v>
      </c>
      <c r="M51" s="33">
        <f t="shared" si="1"/>
        <v>2470000</v>
      </c>
      <c r="N51" s="33">
        <f t="shared" si="2"/>
        <v>21964000</v>
      </c>
      <c r="O51" s="68">
        <v>700000</v>
      </c>
      <c r="P51" s="33">
        <f t="shared" si="3"/>
        <v>106250</v>
      </c>
      <c r="Q51" s="33" t="s">
        <v>29</v>
      </c>
      <c r="R51" s="33">
        <f t="shared" si="4"/>
        <v>22982400</v>
      </c>
      <c r="S51" s="130">
        <v>2000000</v>
      </c>
      <c r="T51" s="33">
        <f t="shared" si="5"/>
        <v>3488400</v>
      </c>
      <c r="U51" s="34" t="s">
        <v>30</v>
      </c>
      <c r="V51" s="33">
        <f t="shared" si="6"/>
        <v>1488400</v>
      </c>
      <c r="W51" s="118">
        <v>19494000</v>
      </c>
      <c r="X51" s="119" t="s">
        <v>31</v>
      </c>
    </row>
    <row r="52" spans="1:24">
      <c r="A52" s="34">
        <f t="shared" si="8"/>
        <v>49</v>
      </c>
      <c r="B52" s="57" t="s">
        <v>24</v>
      </c>
      <c r="C52" s="120" t="s">
        <v>35</v>
      </c>
      <c r="D52" s="120" t="s">
        <v>36</v>
      </c>
      <c r="E52" s="121">
        <v>46210</v>
      </c>
      <c r="F52" s="91" t="s">
        <v>68</v>
      </c>
      <c r="G52" s="114" t="s">
        <v>28</v>
      </c>
      <c r="H52" s="115">
        <v>32.832</v>
      </c>
      <c r="I52" s="114">
        <v>593750</v>
      </c>
      <c r="J52" s="33">
        <f t="shared" si="0"/>
        <v>19494000</v>
      </c>
      <c r="K52" s="116">
        <v>19</v>
      </c>
      <c r="L52" s="116">
        <v>130000</v>
      </c>
      <c r="M52" s="33">
        <f t="shared" si="1"/>
        <v>2470000</v>
      </c>
      <c r="N52" s="33">
        <f t="shared" si="2"/>
        <v>21964000</v>
      </c>
      <c r="O52" s="68">
        <v>700000</v>
      </c>
      <c r="P52" s="33">
        <f t="shared" si="3"/>
        <v>106250</v>
      </c>
      <c r="Q52" s="33" t="s">
        <v>29</v>
      </c>
      <c r="R52" s="33">
        <f t="shared" si="4"/>
        <v>22982400</v>
      </c>
      <c r="S52" s="130">
        <v>2500000</v>
      </c>
      <c r="T52" s="33">
        <f t="shared" si="5"/>
        <v>3488400</v>
      </c>
      <c r="U52" s="34" t="s">
        <v>30</v>
      </c>
      <c r="V52" s="33">
        <f t="shared" si="6"/>
        <v>988400</v>
      </c>
      <c r="W52" s="118">
        <v>19494000</v>
      </c>
      <c r="X52" s="119" t="s">
        <v>31</v>
      </c>
    </row>
    <row r="53" spans="1:24">
      <c r="A53" s="34">
        <f t="shared" si="8"/>
        <v>50</v>
      </c>
      <c r="B53" s="57" t="s">
        <v>24</v>
      </c>
      <c r="C53" s="120" t="s">
        <v>35</v>
      </c>
      <c r="D53" s="120" t="s">
        <v>36</v>
      </c>
      <c r="E53" s="121">
        <v>46210</v>
      </c>
      <c r="F53" s="91" t="s">
        <v>94</v>
      </c>
      <c r="G53" s="114" t="s">
        <v>28</v>
      </c>
      <c r="H53" s="115">
        <v>32.832</v>
      </c>
      <c r="I53" s="114">
        <v>593750</v>
      </c>
      <c r="J53" s="33">
        <f t="shared" si="0"/>
        <v>19494000</v>
      </c>
      <c r="K53" s="116">
        <v>19</v>
      </c>
      <c r="L53" s="116">
        <v>130000</v>
      </c>
      <c r="M53" s="33">
        <f t="shared" si="1"/>
        <v>2470000</v>
      </c>
      <c r="N53" s="33">
        <f t="shared" si="2"/>
        <v>21964000</v>
      </c>
      <c r="O53" s="68">
        <v>700000</v>
      </c>
      <c r="P53" s="33">
        <f t="shared" si="3"/>
        <v>106250</v>
      </c>
      <c r="Q53" s="33" t="s">
        <v>29</v>
      </c>
      <c r="R53" s="33">
        <f t="shared" si="4"/>
        <v>22982400</v>
      </c>
      <c r="S53" s="130">
        <v>2500000</v>
      </c>
      <c r="T53" s="33">
        <f t="shared" si="5"/>
        <v>3488400</v>
      </c>
      <c r="U53" s="34" t="s">
        <v>30</v>
      </c>
      <c r="V53" s="33">
        <f t="shared" si="6"/>
        <v>988400</v>
      </c>
      <c r="W53" s="118">
        <v>19494000</v>
      </c>
      <c r="X53" s="119" t="s">
        <v>31</v>
      </c>
    </row>
    <row r="54" spans="1:24">
      <c r="A54" s="34">
        <f t="shared" si="8"/>
        <v>51</v>
      </c>
      <c r="B54" s="57" t="s">
        <v>24</v>
      </c>
      <c r="C54" s="57" t="s">
        <v>95</v>
      </c>
      <c r="D54" s="57" t="s">
        <v>96</v>
      </c>
      <c r="E54" s="32">
        <v>46210</v>
      </c>
      <c r="F54" s="41" t="s">
        <v>97</v>
      </c>
      <c r="G54" s="114" t="s">
        <v>49</v>
      </c>
      <c r="H54" s="115">
        <v>32.832</v>
      </c>
      <c r="I54" s="114">
        <v>593750</v>
      </c>
      <c r="J54" s="33">
        <f t="shared" si="0"/>
        <v>19494000</v>
      </c>
      <c r="K54" s="116">
        <v>19</v>
      </c>
      <c r="L54" s="116">
        <v>130000</v>
      </c>
      <c r="M54" s="33">
        <f t="shared" si="1"/>
        <v>2470000</v>
      </c>
      <c r="N54" s="33">
        <f t="shared" si="2"/>
        <v>21964000</v>
      </c>
      <c r="O54" s="68">
        <v>700000</v>
      </c>
      <c r="P54" s="33">
        <f t="shared" si="3"/>
        <v>106250</v>
      </c>
      <c r="Q54" s="33" t="s">
        <v>29</v>
      </c>
      <c r="R54" s="33">
        <f t="shared" si="4"/>
        <v>22982400</v>
      </c>
      <c r="S54" s="130">
        <v>2000000</v>
      </c>
      <c r="T54" s="33">
        <f t="shared" si="5"/>
        <v>3488400</v>
      </c>
      <c r="U54" s="34" t="s">
        <v>30</v>
      </c>
      <c r="V54" s="33">
        <f t="shared" si="6"/>
        <v>1488400</v>
      </c>
      <c r="W54" s="118">
        <v>19494000</v>
      </c>
      <c r="X54" s="119" t="s">
        <v>31</v>
      </c>
    </row>
    <row r="55" spans="1:24">
      <c r="A55" s="34">
        <f t="shared" si="8"/>
        <v>52</v>
      </c>
      <c r="B55" s="57" t="s">
        <v>24</v>
      </c>
      <c r="C55" s="111" t="s">
        <v>25</v>
      </c>
      <c r="D55" s="111" t="s">
        <v>62</v>
      </c>
      <c r="E55" s="112">
        <v>46210</v>
      </c>
      <c r="F55" s="129" t="s">
        <v>98</v>
      </c>
      <c r="G55" s="114" t="s">
        <v>99</v>
      </c>
      <c r="H55" s="115">
        <v>32.832</v>
      </c>
      <c r="I55" s="130">
        <v>565250</v>
      </c>
      <c r="J55" s="33">
        <f t="shared" si="0"/>
        <v>18558288</v>
      </c>
      <c r="K55" s="116">
        <v>19</v>
      </c>
      <c r="L55" s="116">
        <v>130000</v>
      </c>
      <c r="M55" s="33">
        <f t="shared" si="1"/>
        <v>2470000</v>
      </c>
      <c r="N55" s="33">
        <f t="shared" si="2"/>
        <v>21028288</v>
      </c>
      <c r="O55" s="68">
        <v>700000</v>
      </c>
      <c r="P55" s="33">
        <f t="shared" si="3"/>
        <v>134750</v>
      </c>
      <c r="Q55" s="33" t="s">
        <v>29</v>
      </c>
      <c r="R55" s="33">
        <f t="shared" si="4"/>
        <v>22982400</v>
      </c>
      <c r="S55" s="141">
        <v>2000000</v>
      </c>
      <c r="T55" s="33">
        <f t="shared" si="5"/>
        <v>4424112</v>
      </c>
      <c r="U55" s="34" t="s">
        <v>30</v>
      </c>
      <c r="V55" s="33">
        <f t="shared" si="6"/>
        <v>2424112</v>
      </c>
      <c r="W55" s="118">
        <v>18558288</v>
      </c>
      <c r="X55" s="119" t="s">
        <v>31</v>
      </c>
    </row>
    <row r="56" spans="1:24">
      <c r="A56" s="34">
        <f t="shared" si="8"/>
        <v>53</v>
      </c>
      <c r="B56" s="57" t="s">
        <v>24</v>
      </c>
      <c r="C56" s="57" t="s">
        <v>95</v>
      </c>
      <c r="D56" s="57" t="s">
        <v>100</v>
      </c>
      <c r="E56" s="32">
        <v>46210</v>
      </c>
      <c r="F56" s="41" t="s">
        <v>101</v>
      </c>
      <c r="G56" s="114" t="s">
        <v>49</v>
      </c>
      <c r="H56" s="115">
        <v>32.832</v>
      </c>
      <c r="I56" s="114">
        <v>593750</v>
      </c>
      <c r="J56" s="33">
        <f t="shared" si="0"/>
        <v>19494000</v>
      </c>
      <c r="K56" s="116">
        <v>19</v>
      </c>
      <c r="L56" s="116">
        <v>130000</v>
      </c>
      <c r="M56" s="33">
        <f t="shared" si="1"/>
        <v>2470000</v>
      </c>
      <c r="N56" s="33">
        <f t="shared" si="2"/>
        <v>21964000</v>
      </c>
      <c r="O56" s="68">
        <v>700000</v>
      </c>
      <c r="P56" s="33">
        <f t="shared" si="3"/>
        <v>106250</v>
      </c>
      <c r="Q56" s="33" t="s">
        <v>29</v>
      </c>
      <c r="R56" s="33">
        <f t="shared" si="4"/>
        <v>22982400</v>
      </c>
      <c r="S56" s="130">
        <v>2200000</v>
      </c>
      <c r="T56" s="33">
        <f t="shared" si="5"/>
        <v>3488400</v>
      </c>
      <c r="U56" s="34" t="s">
        <v>30</v>
      </c>
      <c r="V56" s="33">
        <f t="shared" si="6"/>
        <v>1288400</v>
      </c>
      <c r="W56" s="118">
        <v>19494000</v>
      </c>
      <c r="X56" s="119" t="s">
        <v>31</v>
      </c>
    </row>
    <row r="57" spans="1:24">
      <c r="A57" s="34">
        <f t="shared" si="8"/>
        <v>54</v>
      </c>
      <c r="B57" s="57" t="s">
        <v>24</v>
      </c>
      <c r="C57" s="57" t="s">
        <v>95</v>
      </c>
      <c r="D57" s="57" t="s">
        <v>96</v>
      </c>
      <c r="E57" s="32">
        <v>46211</v>
      </c>
      <c r="F57" s="41" t="s">
        <v>102</v>
      </c>
      <c r="G57" s="114" t="s">
        <v>28</v>
      </c>
      <c r="H57" s="115">
        <v>32.832</v>
      </c>
      <c r="I57" s="114">
        <v>593750</v>
      </c>
      <c r="J57" s="33">
        <f t="shared" si="0"/>
        <v>19494000</v>
      </c>
      <c r="K57" s="116">
        <v>19</v>
      </c>
      <c r="L57" s="116">
        <v>130000</v>
      </c>
      <c r="M57" s="33">
        <f t="shared" si="1"/>
        <v>2470000</v>
      </c>
      <c r="N57" s="33">
        <f t="shared" si="2"/>
        <v>21964000</v>
      </c>
      <c r="O57" s="68">
        <v>700000</v>
      </c>
      <c r="P57" s="33">
        <f t="shared" si="3"/>
        <v>106250</v>
      </c>
      <c r="Q57" s="33" t="s">
        <v>29</v>
      </c>
      <c r="R57" s="33">
        <f t="shared" si="4"/>
        <v>22982400</v>
      </c>
      <c r="S57" s="130">
        <v>2000000</v>
      </c>
      <c r="T57" s="33">
        <f t="shared" si="5"/>
        <v>3488400</v>
      </c>
      <c r="U57" s="34" t="s">
        <v>30</v>
      </c>
      <c r="V57" s="33">
        <f t="shared" si="6"/>
        <v>1488400</v>
      </c>
      <c r="W57" s="118">
        <v>19494000</v>
      </c>
      <c r="X57" s="119" t="s">
        <v>31</v>
      </c>
    </row>
    <row r="58" spans="1:24">
      <c r="A58" s="34">
        <f t="shared" si="8"/>
        <v>55</v>
      </c>
      <c r="B58" s="57" t="s">
        <v>24</v>
      </c>
      <c r="C58" s="136" t="s">
        <v>80</v>
      </c>
      <c r="D58" s="136" t="s">
        <v>81</v>
      </c>
      <c r="E58" s="137">
        <v>46211</v>
      </c>
      <c r="F58" s="138" t="s">
        <v>103</v>
      </c>
      <c r="G58" s="114" t="s">
        <v>28</v>
      </c>
      <c r="H58" s="115">
        <v>32.832</v>
      </c>
      <c r="I58" s="114">
        <v>593750</v>
      </c>
      <c r="J58" s="33">
        <f t="shared" si="0"/>
        <v>19494000</v>
      </c>
      <c r="K58" s="116">
        <v>19</v>
      </c>
      <c r="L58" s="116">
        <v>130000</v>
      </c>
      <c r="M58" s="33">
        <f t="shared" si="1"/>
        <v>2470000</v>
      </c>
      <c r="N58" s="33">
        <f t="shared" si="2"/>
        <v>21964000</v>
      </c>
      <c r="O58" s="68">
        <v>700000</v>
      </c>
      <c r="P58" s="33">
        <f t="shared" si="3"/>
        <v>106250</v>
      </c>
      <c r="Q58" s="33" t="s">
        <v>29</v>
      </c>
      <c r="R58" s="33">
        <f t="shared" si="4"/>
        <v>22982400</v>
      </c>
      <c r="S58" s="130">
        <v>2000000</v>
      </c>
      <c r="T58" s="33">
        <f t="shared" si="5"/>
        <v>3488400</v>
      </c>
      <c r="U58" s="34" t="s">
        <v>30</v>
      </c>
      <c r="V58" s="33">
        <f t="shared" si="6"/>
        <v>1488400</v>
      </c>
      <c r="W58" s="118">
        <v>19494000</v>
      </c>
      <c r="X58" s="119" t="s">
        <v>31</v>
      </c>
    </row>
    <row r="59" spans="1:24">
      <c r="A59" s="34">
        <f t="shared" si="8"/>
        <v>56</v>
      </c>
      <c r="B59" s="57" t="s">
        <v>24</v>
      </c>
      <c r="C59" s="120" t="s">
        <v>35</v>
      </c>
      <c r="D59" s="120" t="s">
        <v>36</v>
      </c>
      <c r="E59" s="121">
        <v>46211</v>
      </c>
      <c r="F59" s="91" t="s">
        <v>104</v>
      </c>
      <c r="G59" s="114" t="s">
        <v>28</v>
      </c>
      <c r="H59" s="115">
        <v>32.832</v>
      </c>
      <c r="I59" s="114">
        <v>593750</v>
      </c>
      <c r="J59" s="33">
        <f t="shared" si="0"/>
        <v>19494000</v>
      </c>
      <c r="K59" s="116">
        <v>19</v>
      </c>
      <c r="L59" s="116">
        <v>130000</v>
      </c>
      <c r="M59" s="33">
        <f t="shared" si="1"/>
        <v>2470000</v>
      </c>
      <c r="N59" s="33">
        <f t="shared" si="2"/>
        <v>21964000</v>
      </c>
      <c r="O59" s="68">
        <v>700000</v>
      </c>
      <c r="P59" s="33">
        <f t="shared" si="3"/>
        <v>106250</v>
      </c>
      <c r="Q59" s="33" t="s">
        <v>29</v>
      </c>
      <c r="R59" s="33">
        <f t="shared" si="4"/>
        <v>22982400</v>
      </c>
      <c r="S59" s="130">
        <v>2500000</v>
      </c>
      <c r="T59" s="33">
        <f t="shared" si="5"/>
        <v>3488400</v>
      </c>
      <c r="U59" s="34" t="s">
        <v>30</v>
      </c>
      <c r="V59" s="33">
        <f t="shared" si="6"/>
        <v>988400</v>
      </c>
      <c r="W59" s="118">
        <v>19494000</v>
      </c>
      <c r="X59" s="119" t="s">
        <v>31</v>
      </c>
    </row>
    <row r="60" spans="1:24">
      <c r="A60" s="34">
        <f t="shared" si="8"/>
        <v>57</v>
      </c>
      <c r="B60" s="57" t="s">
        <v>24</v>
      </c>
      <c r="C60" s="136" t="s">
        <v>80</v>
      </c>
      <c r="D60" s="136" t="s">
        <v>105</v>
      </c>
      <c r="E60" s="137">
        <v>46212</v>
      </c>
      <c r="F60" s="138" t="s">
        <v>82</v>
      </c>
      <c r="G60" s="114" t="s">
        <v>49</v>
      </c>
      <c r="H60" s="115">
        <v>32.832</v>
      </c>
      <c r="I60" s="114">
        <v>593750</v>
      </c>
      <c r="J60" s="33">
        <f t="shared" si="0"/>
        <v>19494000</v>
      </c>
      <c r="K60" s="116">
        <v>19</v>
      </c>
      <c r="L60" s="116">
        <v>130000</v>
      </c>
      <c r="M60" s="33">
        <f t="shared" si="1"/>
        <v>2470000</v>
      </c>
      <c r="N60" s="33">
        <f t="shared" si="2"/>
        <v>21964000</v>
      </c>
      <c r="O60" s="68">
        <v>700000</v>
      </c>
      <c r="P60" s="33">
        <f t="shared" si="3"/>
        <v>106250</v>
      </c>
      <c r="Q60" s="33" t="s">
        <v>29</v>
      </c>
      <c r="R60" s="33">
        <f t="shared" si="4"/>
        <v>22982400</v>
      </c>
      <c r="S60" s="130">
        <v>2000000</v>
      </c>
      <c r="T60" s="33">
        <f t="shared" si="5"/>
        <v>3488400</v>
      </c>
      <c r="U60" s="34" t="s">
        <v>30</v>
      </c>
      <c r="V60" s="33">
        <f t="shared" si="6"/>
        <v>1488400</v>
      </c>
      <c r="W60" s="118">
        <v>19494000</v>
      </c>
      <c r="X60" s="119" t="s">
        <v>31</v>
      </c>
    </row>
    <row r="61" spans="1:24">
      <c r="A61" s="34">
        <f t="shared" si="8"/>
        <v>58</v>
      </c>
      <c r="B61" s="57" t="s">
        <v>24</v>
      </c>
      <c r="C61" s="111" t="s">
        <v>25</v>
      </c>
      <c r="D61" s="111" t="s">
        <v>62</v>
      </c>
      <c r="E61" s="112">
        <v>46212</v>
      </c>
      <c r="F61" s="129" t="s">
        <v>47</v>
      </c>
      <c r="G61" s="114" t="s">
        <v>99</v>
      </c>
      <c r="H61" s="115">
        <v>32.832</v>
      </c>
      <c r="I61" s="130">
        <v>565250</v>
      </c>
      <c r="J61" s="33">
        <f t="shared" si="0"/>
        <v>18558288</v>
      </c>
      <c r="K61" s="116">
        <v>19</v>
      </c>
      <c r="L61" s="116">
        <v>130000</v>
      </c>
      <c r="M61" s="33">
        <f t="shared" si="1"/>
        <v>2470000</v>
      </c>
      <c r="N61" s="33">
        <f t="shared" si="2"/>
        <v>21028288</v>
      </c>
      <c r="O61" s="68">
        <v>700000</v>
      </c>
      <c r="P61" s="33">
        <f t="shared" si="3"/>
        <v>134750</v>
      </c>
      <c r="Q61" s="33" t="s">
        <v>29</v>
      </c>
      <c r="R61" s="33">
        <f t="shared" si="4"/>
        <v>22982400</v>
      </c>
      <c r="S61" s="141">
        <v>2200000</v>
      </c>
      <c r="T61" s="33">
        <f t="shared" si="5"/>
        <v>4424112</v>
      </c>
      <c r="U61" s="34" t="s">
        <v>30</v>
      </c>
      <c r="V61" s="33">
        <f t="shared" si="6"/>
        <v>2224112</v>
      </c>
      <c r="W61" s="118">
        <v>18558288</v>
      </c>
      <c r="X61" s="119" t="s">
        <v>31</v>
      </c>
    </row>
    <row r="62" spans="1:24">
      <c r="A62" s="34">
        <f t="shared" si="8"/>
        <v>59</v>
      </c>
      <c r="B62" s="57" t="s">
        <v>24</v>
      </c>
      <c r="C62" s="136" t="s">
        <v>80</v>
      </c>
      <c r="D62" s="136" t="s">
        <v>105</v>
      </c>
      <c r="E62" s="137">
        <v>46213</v>
      </c>
      <c r="F62" s="138" t="s">
        <v>106</v>
      </c>
      <c r="G62" s="114" t="s">
        <v>28</v>
      </c>
      <c r="H62" s="115">
        <v>32.832</v>
      </c>
      <c r="I62" s="114">
        <v>593750</v>
      </c>
      <c r="J62" s="33">
        <f t="shared" si="0"/>
        <v>19494000</v>
      </c>
      <c r="K62" s="116">
        <v>19</v>
      </c>
      <c r="L62" s="116">
        <v>130000</v>
      </c>
      <c r="M62" s="33">
        <f t="shared" si="1"/>
        <v>2470000</v>
      </c>
      <c r="N62" s="33">
        <f t="shared" si="2"/>
        <v>21964000</v>
      </c>
      <c r="O62" s="68">
        <v>700000</v>
      </c>
      <c r="P62" s="33">
        <f t="shared" si="3"/>
        <v>106250</v>
      </c>
      <c r="Q62" s="33" t="s">
        <v>29</v>
      </c>
      <c r="R62" s="33">
        <f t="shared" si="4"/>
        <v>22982400</v>
      </c>
      <c r="S62" s="130">
        <v>2200000</v>
      </c>
      <c r="T62" s="33">
        <f t="shared" si="5"/>
        <v>3488400</v>
      </c>
      <c r="U62" s="34" t="s">
        <v>30</v>
      </c>
      <c r="V62" s="33">
        <f t="shared" si="6"/>
        <v>1288400</v>
      </c>
      <c r="W62" s="118">
        <v>19494000</v>
      </c>
      <c r="X62" s="119" t="s">
        <v>31</v>
      </c>
    </row>
    <row r="63" spans="1:24">
      <c r="A63" s="34">
        <f t="shared" si="8"/>
        <v>60</v>
      </c>
      <c r="B63" s="57" t="s">
        <v>24</v>
      </c>
      <c r="C63" s="136" t="s">
        <v>80</v>
      </c>
      <c r="D63" s="136" t="s">
        <v>85</v>
      </c>
      <c r="E63" s="137">
        <v>46213</v>
      </c>
      <c r="F63" s="138" t="s">
        <v>107</v>
      </c>
      <c r="G63" s="114" t="s">
        <v>49</v>
      </c>
      <c r="H63" s="115">
        <v>32.832</v>
      </c>
      <c r="I63" s="114">
        <v>593750</v>
      </c>
      <c r="J63" s="33">
        <f t="shared" si="0"/>
        <v>19494000</v>
      </c>
      <c r="K63" s="116">
        <v>19</v>
      </c>
      <c r="L63" s="116">
        <v>130000</v>
      </c>
      <c r="M63" s="33">
        <f t="shared" si="1"/>
        <v>2470000</v>
      </c>
      <c r="N63" s="33">
        <f t="shared" si="2"/>
        <v>21964000</v>
      </c>
      <c r="O63" s="68">
        <v>700000</v>
      </c>
      <c r="P63" s="33">
        <f t="shared" si="3"/>
        <v>106250</v>
      </c>
      <c r="Q63" s="33" t="s">
        <v>29</v>
      </c>
      <c r="R63" s="33">
        <f t="shared" si="4"/>
        <v>22982400</v>
      </c>
      <c r="S63" s="130">
        <v>2200000</v>
      </c>
      <c r="T63" s="33">
        <f t="shared" si="5"/>
        <v>3488400</v>
      </c>
      <c r="U63" s="34" t="s">
        <v>30</v>
      </c>
      <c r="V63" s="33">
        <f t="shared" si="6"/>
        <v>1288400</v>
      </c>
      <c r="W63" s="118">
        <v>19494000</v>
      </c>
      <c r="X63" s="119" t="s">
        <v>31</v>
      </c>
    </row>
    <row r="64" spans="1:24">
      <c r="A64" s="34">
        <f>A67+1</f>
        <v>64</v>
      </c>
      <c r="B64" s="57" t="s">
        <v>24</v>
      </c>
      <c r="C64" s="136" t="s">
        <v>80</v>
      </c>
      <c r="D64" s="136" t="s">
        <v>108</v>
      </c>
      <c r="E64" s="137">
        <v>46213</v>
      </c>
      <c r="F64" s="138" t="s">
        <v>109</v>
      </c>
      <c r="G64" s="114" t="s">
        <v>28</v>
      </c>
      <c r="H64" s="115">
        <v>32.832</v>
      </c>
      <c r="I64" s="114">
        <v>593750</v>
      </c>
      <c r="J64" s="33">
        <f t="shared" si="0"/>
        <v>19494000</v>
      </c>
      <c r="K64" s="116">
        <v>19</v>
      </c>
      <c r="L64" s="116">
        <v>130000</v>
      </c>
      <c r="M64" s="33">
        <f t="shared" si="1"/>
        <v>2470000</v>
      </c>
      <c r="N64" s="33">
        <f t="shared" si="2"/>
        <v>21964000</v>
      </c>
      <c r="O64" s="68">
        <v>700000</v>
      </c>
      <c r="P64" s="33">
        <f t="shared" si="3"/>
        <v>106250</v>
      </c>
      <c r="Q64" s="33" t="s">
        <v>29</v>
      </c>
      <c r="R64" s="33">
        <f t="shared" si="4"/>
        <v>22982400</v>
      </c>
      <c r="S64" s="130">
        <v>2300000</v>
      </c>
      <c r="T64" s="33">
        <f t="shared" si="5"/>
        <v>3488400</v>
      </c>
      <c r="U64" s="34" t="s">
        <v>30</v>
      </c>
      <c r="V64" s="33">
        <f t="shared" si="6"/>
        <v>1188400</v>
      </c>
      <c r="W64" s="118">
        <v>19494000</v>
      </c>
      <c r="X64" s="119" t="s">
        <v>31</v>
      </c>
    </row>
    <row r="65" spans="1:24">
      <c r="A65" s="34">
        <f>A63+1</f>
        <v>61</v>
      </c>
      <c r="B65" s="57" t="s">
        <v>24</v>
      </c>
      <c r="C65" s="111" t="s">
        <v>25</v>
      </c>
      <c r="D65" s="111" t="s">
        <v>72</v>
      </c>
      <c r="E65" s="112">
        <v>46214</v>
      </c>
      <c r="F65" s="129" t="s">
        <v>82</v>
      </c>
      <c r="G65" s="114" t="s">
        <v>99</v>
      </c>
      <c r="H65" s="115">
        <v>32.832</v>
      </c>
      <c r="I65" s="130">
        <v>565250</v>
      </c>
      <c r="J65" s="33">
        <f t="shared" si="0"/>
        <v>18558288</v>
      </c>
      <c r="K65" s="116">
        <v>19</v>
      </c>
      <c r="L65" s="116">
        <v>130000</v>
      </c>
      <c r="M65" s="33">
        <f t="shared" si="1"/>
        <v>2470000</v>
      </c>
      <c r="N65" s="33">
        <f t="shared" si="2"/>
        <v>21028288</v>
      </c>
      <c r="O65" s="68">
        <v>700000</v>
      </c>
      <c r="P65" s="33">
        <f t="shared" si="3"/>
        <v>134750</v>
      </c>
      <c r="Q65" s="33" t="s">
        <v>29</v>
      </c>
      <c r="R65" s="33">
        <f t="shared" si="4"/>
        <v>22982400</v>
      </c>
      <c r="S65" s="43">
        <v>2500000</v>
      </c>
      <c r="T65" s="33">
        <f t="shared" si="5"/>
        <v>4424112</v>
      </c>
      <c r="U65" s="34" t="s">
        <v>30</v>
      </c>
      <c r="V65" s="33">
        <f t="shared" si="6"/>
        <v>1924112</v>
      </c>
      <c r="W65" s="118">
        <v>18558288</v>
      </c>
      <c r="X65" s="119" t="s">
        <v>31</v>
      </c>
    </row>
    <row r="66" spans="1:24">
      <c r="A66" s="34">
        <f t="shared" si="8"/>
        <v>62</v>
      </c>
      <c r="B66" s="57" t="s">
        <v>24</v>
      </c>
      <c r="C66" s="126" t="s">
        <v>53</v>
      </c>
      <c r="D66" s="126" t="s">
        <v>110</v>
      </c>
      <c r="E66" s="127">
        <v>46214</v>
      </c>
      <c r="F66" s="135" t="s">
        <v>111</v>
      </c>
      <c r="G66" s="114" t="s">
        <v>28</v>
      </c>
      <c r="H66" s="115">
        <v>32.832</v>
      </c>
      <c r="I66" s="114">
        <v>593750</v>
      </c>
      <c r="J66" s="33">
        <f t="shared" si="0"/>
        <v>19494000</v>
      </c>
      <c r="K66" s="116">
        <v>19</v>
      </c>
      <c r="L66" s="116">
        <v>130000</v>
      </c>
      <c r="M66" s="33">
        <f t="shared" si="1"/>
        <v>2470000</v>
      </c>
      <c r="N66" s="33">
        <f t="shared" si="2"/>
        <v>21964000</v>
      </c>
      <c r="O66" s="68">
        <v>700000</v>
      </c>
      <c r="P66" s="33">
        <f t="shared" si="3"/>
        <v>106250</v>
      </c>
      <c r="Q66" s="33" t="s">
        <v>29</v>
      </c>
      <c r="R66" s="33">
        <f t="shared" si="4"/>
        <v>22982400</v>
      </c>
      <c r="S66" s="130">
        <v>2500000</v>
      </c>
      <c r="T66" s="33">
        <f t="shared" si="5"/>
        <v>3488400</v>
      </c>
      <c r="U66" s="34" t="s">
        <v>30</v>
      </c>
      <c r="V66" s="33">
        <f t="shared" si="6"/>
        <v>988400</v>
      </c>
      <c r="W66" s="118">
        <v>19494000</v>
      </c>
      <c r="X66" s="119" t="s">
        <v>31</v>
      </c>
    </row>
    <row r="67" spans="1:24">
      <c r="A67" s="34">
        <f t="shared" si="8"/>
        <v>63</v>
      </c>
      <c r="B67" s="57" t="s">
        <v>24</v>
      </c>
      <c r="C67" s="120" t="s">
        <v>35</v>
      </c>
      <c r="D67" s="120" t="s">
        <v>36</v>
      </c>
      <c r="E67" s="121">
        <v>46214</v>
      </c>
      <c r="F67" s="91" t="s">
        <v>112</v>
      </c>
      <c r="G67" s="114" t="s">
        <v>28</v>
      </c>
      <c r="H67" s="115">
        <v>32.832</v>
      </c>
      <c r="I67" s="114">
        <v>593750</v>
      </c>
      <c r="J67" s="33">
        <f t="shared" si="0"/>
        <v>19494000</v>
      </c>
      <c r="K67" s="116">
        <v>19</v>
      </c>
      <c r="L67" s="116">
        <v>130000</v>
      </c>
      <c r="M67" s="33">
        <f t="shared" si="1"/>
        <v>2470000</v>
      </c>
      <c r="N67" s="33">
        <f t="shared" si="2"/>
        <v>21964000</v>
      </c>
      <c r="O67" s="68">
        <v>700000</v>
      </c>
      <c r="P67" s="33">
        <f t="shared" si="3"/>
        <v>106250</v>
      </c>
      <c r="Q67" s="33" t="s">
        <v>29</v>
      </c>
      <c r="R67" s="33">
        <f t="shared" si="4"/>
        <v>22982400</v>
      </c>
      <c r="S67" s="130">
        <v>2200000</v>
      </c>
      <c r="T67" s="33">
        <f t="shared" si="5"/>
        <v>3488400</v>
      </c>
      <c r="U67" s="34" t="s">
        <v>30</v>
      </c>
      <c r="V67" s="33">
        <f t="shared" si="6"/>
        <v>1288400</v>
      </c>
      <c r="W67" s="118">
        <v>19494000</v>
      </c>
      <c r="X67" s="119" t="s">
        <v>31</v>
      </c>
    </row>
    <row r="68" spans="1:24">
      <c r="A68" s="34">
        <f>A64+1</f>
        <v>65</v>
      </c>
      <c r="B68" s="57" t="s">
        <v>24</v>
      </c>
      <c r="C68" s="123" t="s">
        <v>44</v>
      </c>
      <c r="D68" s="123" t="s">
        <v>113</v>
      </c>
      <c r="E68" s="139">
        <v>46211</v>
      </c>
      <c r="F68" s="123" t="s">
        <v>37</v>
      </c>
      <c r="G68" s="114" t="s">
        <v>28</v>
      </c>
      <c r="H68" s="115">
        <v>34.56</v>
      </c>
      <c r="I68" s="130">
        <v>517750</v>
      </c>
      <c r="J68" s="33">
        <f t="shared" si="0"/>
        <v>17893440</v>
      </c>
      <c r="K68" s="116">
        <v>20</v>
      </c>
      <c r="L68" s="116">
        <v>130000</v>
      </c>
      <c r="M68" s="33">
        <f t="shared" si="1"/>
        <v>2600000</v>
      </c>
      <c r="N68" s="33">
        <f t="shared" si="2"/>
        <v>20493440</v>
      </c>
      <c r="O68" s="68">
        <v>700000</v>
      </c>
      <c r="P68" s="33">
        <f t="shared" si="3"/>
        <v>182250</v>
      </c>
      <c r="Q68" s="33" t="s">
        <v>29</v>
      </c>
      <c r="R68" s="33">
        <f t="shared" si="4"/>
        <v>24192000</v>
      </c>
      <c r="S68" s="130">
        <v>2000000</v>
      </c>
      <c r="T68" s="33">
        <f t="shared" si="5"/>
        <v>6298560</v>
      </c>
      <c r="U68" s="34" t="s">
        <v>30</v>
      </c>
      <c r="V68" s="33">
        <f t="shared" si="6"/>
        <v>4298560</v>
      </c>
      <c r="W68" s="118">
        <v>17893440</v>
      </c>
      <c r="X68" s="119" t="s">
        <v>114</v>
      </c>
    </row>
    <row r="69" spans="1:24">
      <c r="A69" s="34">
        <f t="shared" si="8"/>
        <v>66</v>
      </c>
      <c r="B69" s="57" t="s">
        <v>24</v>
      </c>
      <c r="C69" s="123" t="s">
        <v>44</v>
      </c>
      <c r="D69" s="123" t="s">
        <v>87</v>
      </c>
      <c r="E69" s="139">
        <v>46212</v>
      </c>
      <c r="F69" s="123" t="s">
        <v>115</v>
      </c>
      <c r="G69" s="114" t="s">
        <v>49</v>
      </c>
      <c r="H69" s="115">
        <v>32.832</v>
      </c>
      <c r="I69" s="114">
        <v>593750</v>
      </c>
      <c r="J69" s="33">
        <f t="shared" ref="J69:J132" si="9">H69*I69</f>
        <v>19494000</v>
      </c>
      <c r="K69" s="116">
        <v>19</v>
      </c>
      <c r="L69" s="116">
        <v>130000</v>
      </c>
      <c r="M69" s="33">
        <f t="shared" ref="M69:M132" si="10">K69*L69</f>
        <v>2470000</v>
      </c>
      <c r="N69" s="33">
        <f t="shared" ref="N69:N132" si="11">J69+M69</f>
        <v>21964000</v>
      </c>
      <c r="O69" s="68">
        <v>700000</v>
      </c>
      <c r="P69" s="33">
        <f t="shared" ref="P69:P132" si="12">O69-I69</f>
        <v>106250</v>
      </c>
      <c r="Q69" s="33" t="s">
        <v>29</v>
      </c>
      <c r="R69" s="33">
        <f t="shared" ref="R69:R132" si="13">O69*H69</f>
        <v>22982400</v>
      </c>
      <c r="S69" s="142">
        <v>1</v>
      </c>
      <c r="T69" s="33">
        <f t="shared" ref="T69:T132" si="14">R69-J69</f>
        <v>3488400</v>
      </c>
      <c r="U69" s="34" t="s">
        <v>30</v>
      </c>
      <c r="V69" s="33">
        <f t="shared" ref="V69:V132" si="15">T69-S69</f>
        <v>3488399</v>
      </c>
      <c r="W69" s="118">
        <v>19494000</v>
      </c>
      <c r="X69" s="119" t="s">
        <v>31</v>
      </c>
    </row>
    <row r="70" spans="1:24">
      <c r="A70" s="34">
        <f t="shared" si="8"/>
        <v>67</v>
      </c>
      <c r="B70" s="57" t="s">
        <v>24</v>
      </c>
      <c r="C70" s="123" t="s">
        <v>44</v>
      </c>
      <c r="D70" s="123" t="s">
        <v>87</v>
      </c>
      <c r="E70" s="139">
        <v>46212</v>
      </c>
      <c r="F70" s="123" t="s">
        <v>116</v>
      </c>
      <c r="G70" s="114" t="s">
        <v>99</v>
      </c>
      <c r="H70" s="115">
        <v>32.832</v>
      </c>
      <c r="I70" s="130">
        <v>565250</v>
      </c>
      <c r="J70" s="33">
        <f t="shared" si="9"/>
        <v>18558288</v>
      </c>
      <c r="K70" s="116">
        <v>19</v>
      </c>
      <c r="L70" s="116">
        <v>130000</v>
      </c>
      <c r="M70" s="33">
        <f t="shared" si="10"/>
        <v>2470000</v>
      </c>
      <c r="N70" s="33">
        <f t="shared" si="11"/>
        <v>21028288</v>
      </c>
      <c r="O70" s="68">
        <v>700000</v>
      </c>
      <c r="P70" s="33">
        <f t="shared" si="12"/>
        <v>134750</v>
      </c>
      <c r="Q70" s="33" t="s">
        <v>29</v>
      </c>
      <c r="R70" s="33">
        <f t="shared" si="13"/>
        <v>22982400</v>
      </c>
      <c r="S70" s="142">
        <v>1</v>
      </c>
      <c r="T70" s="33">
        <f t="shared" si="14"/>
        <v>4424112</v>
      </c>
      <c r="U70" s="34" t="s">
        <v>30</v>
      </c>
      <c r="V70" s="33">
        <f t="shared" si="15"/>
        <v>4424111</v>
      </c>
      <c r="W70" s="118">
        <v>18558288</v>
      </c>
      <c r="X70" s="119" t="s">
        <v>31</v>
      </c>
    </row>
    <row r="71" spans="1:24">
      <c r="A71" s="34">
        <f t="shared" si="8"/>
        <v>68</v>
      </c>
      <c r="B71" s="57" t="s">
        <v>24</v>
      </c>
      <c r="C71" s="126" t="s">
        <v>53</v>
      </c>
      <c r="D71" s="126" t="s">
        <v>56</v>
      </c>
      <c r="E71" s="127">
        <v>46214</v>
      </c>
      <c r="F71" s="135" t="s">
        <v>74</v>
      </c>
      <c r="G71" s="114" t="s">
        <v>28</v>
      </c>
      <c r="H71" s="115">
        <v>32.832</v>
      </c>
      <c r="I71" s="114">
        <v>593750</v>
      </c>
      <c r="J71" s="33">
        <f t="shared" si="9"/>
        <v>19494000</v>
      </c>
      <c r="K71" s="116">
        <v>19</v>
      </c>
      <c r="L71" s="116">
        <v>130000</v>
      </c>
      <c r="M71" s="33">
        <f t="shared" si="10"/>
        <v>2470000</v>
      </c>
      <c r="N71" s="33">
        <f t="shared" si="11"/>
        <v>21964000</v>
      </c>
      <c r="O71" s="68">
        <v>700000</v>
      </c>
      <c r="P71" s="33">
        <f t="shared" si="12"/>
        <v>106250</v>
      </c>
      <c r="Q71" s="33" t="s">
        <v>29</v>
      </c>
      <c r="R71" s="33">
        <f t="shared" si="13"/>
        <v>22982400</v>
      </c>
      <c r="S71" s="130">
        <v>2200000</v>
      </c>
      <c r="T71" s="33">
        <f t="shared" si="14"/>
        <v>3488400</v>
      </c>
      <c r="U71" s="34" t="s">
        <v>30</v>
      </c>
      <c r="V71" s="33">
        <f t="shared" si="15"/>
        <v>1288400</v>
      </c>
      <c r="W71" s="118">
        <v>19494000</v>
      </c>
      <c r="X71" s="119" t="s">
        <v>31</v>
      </c>
    </row>
    <row r="72" spans="1:24">
      <c r="A72" s="34">
        <f t="shared" si="8"/>
        <v>69</v>
      </c>
      <c r="B72" s="57" t="s">
        <v>24</v>
      </c>
      <c r="C72" s="57" t="s">
        <v>95</v>
      </c>
      <c r="D72" s="57" t="s">
        <v>100</v>
      </c>
      <c r="E72" s="32">
        <v>46214</v>
      </c>
      <c r="F72" s="41" t="s">
        <v>117</v>
      </c>
      <c r="G72" s="114" t="s">
        <v>28</v>
      </c>
      <c r="H72" s="115">
        <v>32.832</v>
      </c>
      <c r="I72" s="114">
        <v>593750</v>
      </c>
      <c r="J72" s="33">
        <f t="shared" si="9"/>
        <v>19494000</v>
      </c>
      <c r="K72" s="116">
        <v>19</v>
      </c>
      <c r="L72" s="116">
        <v>130000</v>
      </c>
      <c r="M72" s="33">
        <f t="shared" si="10"/>
        <v>2470000</v>
      </c>
      <c r="N72" s="33">
        <f t="shared" si="11"/>
        <v>21964000</v>
      </c>
      <c r="O72" s="68">
        <v>700000</v>
      </c>
      <c r="P72" s="33">
        <f t="shared" si="12"/>
        <v>106250</v>
      </c>
      <c r="Q72" s="33" t="s">
        <v>29</v>
      </c>
      <c r="R72" s="33">
        <f t="shared" si="13"/>
        <v>22982400</v>
      </c>
      <c r="S72" s="130">
        <v>2500000</v>
      </c>
      <c r="T72" s="33">
        <f t="shared" si="14"/>
        <v>3488400</v>
      </c>
      <c r="U72" s="34" t="s">
        <v>30</v>
      </c>
      <c r="V72" s="33">
        <f t="shared" si="15"/>
        <v>988400</v>
      </c>
      <c r="W72" s="118">
        <v>19494000</v>
      </c>
      <c r="X72" s="119" t="s">
        <v>31</v>
      </c>
    </row>
    <row r="73" spans="1:24">
      <c r="A73" s="34">
        <f t="shared" si="8"/>
        <v>70</v>
      </c>
      <c r="B73" s="57" t="s">
        <v>24</v>
      </c>
      <c r="C73" s="136" t="s">
        <v>80</v>
      </c>
      <c r="D73" s="136" t="s">
        <v>81</v>
      </c>
      <c r="E73" s="137">
        <v>46214</v>
      </c>
      <c r="F73" s="138" t="s">
        <v>118</v>
      </c>
      <c r="G73" s="114" t="s">
        <v>28</v>
      </c>
      <c r="H73" s="115">
        <v>32.832</v>
      </c>
      <c r="I73" s="114">
        <v>593750</v>
      </c>
      <c r="J73" s="33">
        <f t="shared" si="9"/>
        <v>19494000</v>
      </c>
      <c r="K73" s="116">
        <v>19</v>
      </c>
      <c r="L73" s="116">
        <v>130000</v>
      </c>
      <c r="M73" s="33">
        <f t="shared" si="10"/>
        <v>2470000</v>
      </c>
      <c r="N73" s="33">
        <f t="shared" si="11"/>
        <v>21964000</v>
      </c>
      <c r="O73" s="68">
        <v>700000</v>
      </c>
      <c r="P73" s="33">
        <f t="shared" si="12"/>
        <v>106250</v>
      </c>
      <c r="Q73" s="33" t="s">
        <v>29</v>
      </c>
      <c r="R73" s="33">
        <f t="shared" si="13"/>
        <v>22982400</v>
      </c>
      <c r="S73" s="130">
        <v>2200000</v>
      </c>
      <c r="T73" s="33">
        <f t="shared" si="14"/>
        <v>3488400</v>
      </c>
      <c r="U73" s="34" t="s">
        <v>30</v>
      </c>
      <c r="V73" s="33">
        <f t="shared" si="15"/>
        <v>1288400</v>
      </c>
      <c r="W73" s="118">
        <v>19494000</v>
      </c>
      <c r="X73" s="119" t="s">
        <v>31</v>
      </c>
    </row>
    <row r="74" spans="1:24">
      <c r="A74" s="34">
        <f t="shared" si="8"/>
        <v>71</v>
      </c>
      <c r="B74" s="57" t="s">
        <v>24</v>
      </c>
      <c r="C74" s="126" t="s">
        <v>53</v>
      </c>
      <c r="D74" s="126" t="s">
        <v>56</v>
      </c>
      <c r="E74" s="127">
        <v>46214</v>
      </c>
      <c r="F74" s="135" t="s">
        <v>119</v>
      </c>
      <c r="G74" s="114" t="s">
        <v>28</v>
      </c>
      <c r="H74" s="115">
        <v>32.832</v>
      </c>
      <c r="I74" s="114">
        <v>593750</v>
      </c>
      <c r="J74" s="33">
        <f t="shared" si="9"/>
        <v>19494000</v>
      </c>
      <c r="K74" s="116">
        <v>19</v>
      </c>
      <c r="L74" s="116">
        <v>130000</v>
      </c>
      <c r="M74" s="33">
        <f t="shared" si="10"/>
        <v>2470000</v>
      </c>
      <c r="N74" s="33">
        <f t="shared" si="11"/>
        <v>21964000</v>
      </c>
      <c r="O74" s="68">
        <v>700000</v>
      </c>
      <c r="P74" s="33">
        <f t="shared" si="12"/>
        <v>106250</v>
      </c>
      <c r="Q74" s="33" t="s">
        <v>29</v>
      </c>
      <c r="R74" s="33">
        <f t="shared" si="13"/>
        <v>22982400</v>
      </c>
      <c r="S74" s="130">
        <v>2200000</v>
      </c>
      <c r="T74" s="33">
        <f t="shared" si="14"/>
        <v>3488400</v>
      </c>
      <c r="U74" s="34" t="s">
        <v>30</v>
      </c>
      <c r="V74" s="33">
        <f t="shared" si="15"/>
        <v>1288400</v>
      </c>
      <c r="W74" s="118">
        <v>19494000</v>
      </c>
      <c r="X74" s="119" t="s">
        <v>31</v>
      </c>
    </row>
    <row r="75" spans="1:24">
      <c r="A75" s="34">
        <f t="shared" si="8"/>
        <v>72</v>
      </c>
      <c r="B75" s="57" t="s">
        <v>24</v>
      </c>
      <c r="C75" s="120" t="s">
        <v>35</v>
      </c>
      <c r="D75" s="120" t="s">
        <v>36</v>
      </c>
      <c r="E75" s="121">
        <v>46214</v>
      </c>
      <c r="F75" s="75" t="s">
        <v>120</v>
      </c>
      <c r="G75" s="114" t="s">
        <v>49</v>
      </c>
      <c r="H75" s="115">
        <v>32.832</v>
      </c>
      <c r="I75" s="114">
        <v>593750</v>
      </c>
      <c r="J75" s="33">
        <f t="shared" si="9"/>
        <v>19494000</v>
      </c>
      <c r="K75" s="116">
        <v>19</v>
      </c>
      <c r="L75" s="116">
        <v>130000</v>
      </c>
      <c r="M75" s="33">
        <f t="shared" si="10"/>
        <v>2470000</v>
      </c>
      <c r="N75" s="33">
        <f t="shared" si="11"/>
        <v>21964000</v>
      </c>
      <c r="O75" s="68">
        <v>700000</v>
      </c>
      <c r="P75" s="33">
        <f t="shared" si="12"/>
        <v>106250</v>
      </c>
      <c r="Q75" s="33" t="s">
        <v>29</v>
      </c>
      <c r="R75" s="33">
        <f t="shared" si="13"/>
        <v>22982400</v>
      </c>
      <c r="S75" s="130">
        <v>2200000</v>
      </c>
      <c r="T75" s="33">
        <f t="shared" si="14"/>
        <v>3488400</v>
      </c>
      <c r="U75" s="34" t="s">
        <v>30</v>
      </c>
      <c r="V75" s="33">
        <f t="shared" si="15"/>
        <v>1288400</v>
      </c>
      <c r="W75" s="118">
        <v>19494000</v>
      </c>
      <c r="X75" s="119" t="s">
        <v>31</v>
      </c>
    </row>
    <row r="76" spans="1:24">
      <c r="A76" s="34">
        <f t="shared" si="8"/>
        <v>73</v>
      </c>
      <c r="B76" s="57" t="s">
        <v>24</v>
      </c>
      <c r="C76" s="120" t="s">
        <v>35</v>
      </c>
      <c r="D76" s="120" t="s">
        <v>84</v>
      </c>
      <c r="E76" s="121">
        <v>46214</v>
      </c>
      <c r="F76" s="91" t="s">
        <v>68</v>
      </c>
      <c r="G76" s="114" t="s">
        <v>28</v>
      </c>
      <c r="H76" s="115">
        <v>32.832</v>
      </c>
      <c r="I76" s="114">
        <v>593750</v>
      </c>
      <c r="J76" s="33">
        <f t="shared" si="9"/>
        <v>19494000</v>
      </c>
      <c r="K76" s="116">
        <v>19</v>
      </c>
      <c r="L76" s="116">
        <v>130000</v>
      </c>
      <c r="M76" s="33">
        <f t="shared" si="10"/>
        <v>2470000</v>
      </c>
      <c r="N76" s="33">
        <f t="shared" si="11"/>
        <v>21964000</v>
      </c>
      <c r="O76" s="68">
        <v>700000</v>
      </c>
      <c r="P76" s="33">
        <f t="shared" si="12"/>
        <v>106250</v>
      </c>
      <c r="Q76" s="33" t="s">
        <v>29</v>
      </c>
      <c r="R76" s="33">
        <f t="shared" si="13"/>
        <v>22982400</v>
      </c>
      <c r="S76" s="140">
        <v>2200000</v>
      </c>
      <c r="T76" s="33">
        <f t="shared" si="14"/>
        <v>3488400</v>
      </c>
      <c r="U76" s="34" t="s">
        <v>30</v>
      </c>
      <c r="V76" s="33">
        <f t="shared" si="15"/>
        <v>1288400</v>
      </c>
      <c r="W76" s="118">
        <v>19494000</v>
      </c>
      <c r="X76" s="119" t="s">
        <v>31</v>
      </c>
    </row>
    <row r="77" spans="1:24">
      <c r="A77" s="34">
        <f t="shared" si="8"/>
        <v>74</v>
      </c>
      <c r="B77" s="57" t="s">
        <v>24</v>
      </c>
      <c r="C77" s="126" t="s">
        <v>53</v>
      </c>
      <c r="D77" s="143" t="s">
        <v>121</v>
      </c>
      <c r="E77" s="127">
        <v>46215</v>
      </c>
      <c r="F77" s="126" t="s">
        <v>122</v>
      </c>
      <c r="G77" s="114" t="s">
        <v>28</v>
      </c>
      <c r="H77" s="115">
        <v>32.832</v>
      </c>
      <c r="I77" s="130">
        <v>517750</v>
      </c>
      <c r="J77" s="33">
        <f t="shared" si="9"/>
        <v>16998768</v>
      </c>
      <c r="K77" s="116">
        <v>19</v>
      </c>
      <c r="L77" s="116">
        <v>130000</v>
      </c>
      <c r="M77" s="33">
        <f t="shared" si="10"/>
        <v>2470000</v>
      </c>
      <c r="N77" s="33">
        <f t="shared" si="11"/>
        <v>19468768</v>
      </c>
      <c r="O77" s="68">
        <v>700000</v>
      </c>
      <c r="P77" s="33">
        <f t="shared" si="12"/>
        <v>182250</v>
      </c>
      <c r="Q77" s="33" t="s">
        <v>29</v>
      </c>
      <c r="R77" s="33">
        <f t="shared" si="13"/>
        <v>22982400</v>
      </c>
      <c r="S77" s="33">
        <v>2600000</v>
      </c>
      <c r="T77" s="33">
        <f t="shared" si="14"/>
        <v>5983632</v>
      </c>
      <c r="U77" s="34" t="s">
        <v>30</v>
      </c>
      <c r="V77" s="33">
        <f t="shared" si="15"/>
        <v>3383632</v>
      </c>
      <c r="W77" s="118">
        <v>16998768</v>
      </c>
      <c r="X77" s="119" t="s">
        <v>114</v>
      </c>
    </row>
    <row r="78" spans="1:24">
      <c r="A78" s="34">
        <f t="shared" si="8"/>
        <v>75</v>
      </c>
      <c r="B78" s="57" t="s">
        <v>24</v>
      </c>
      <c r="C78" s="111" t="s">
        <v>25</v>
      </c>
      <c r="D78" s="111" t="s">
        <v>123</v>
      </c>
      <c r="E78" s="112">
        <v>46215</v>
      </c>
      <c r="F78" s="129" t="s">
        <v>88</v>
      </c>
      <c r="G78" s="114" t="s">
        <v>28</v>
      </c>
      <c r="H78" s="115">
        <v>32.832</v>
      </c>
      <c r="I78" s="114">
        <v>593750</v>
      </c>
      <c r="J78" s="33">
        <f t="shared" si="9"/>
        <v>19494000</v>
      </c>
      <c r="K78" s="116">
        <v>19</v>
      </c>
      <c r="L78" s="116">
        <v>130000</v>
      </c>
      <c r="M78" s="33">
        <f t="shared" si="10"/>
        <v>2470000</v>
      </c>
      <c r="N78" s="33">
        <f t="shared" si="11"/>
        <v>21964000</v>
      </c>
      <c r="O78" s="68">
        <v>700000</v>
      </c>
      <c r="P78" s="33">
        <f t="shared" si="12"/>
        <v>106250</v>
      </c>
      <c r="Q78" s="33" t="s">
        <v>29</v>
      </c>
      <c r="R78" s="33">
        <f t="shared" si="13"/>
        <v>22982400</v>
      </c>
      <c r="S78" s="33">
        <v>2200000</v>
      </c>
      <c r="T78" s="33">
        <f t="shared" si="14"/>
        <v>3488400</v>
      </c>
      <c r="U78" s="34" t="s">
        <v>30</v>
      </c>
      <c r="V78" s="33">
        <f t="shared" si="15"/>
        <v>1288400</v>
      </c>
      <c r="W78" s="118">
        <v>19494000</v>
      </c>
      <c r="X78" s="119" t="s">
        <v>31</v>
      </c>
    </row>
    <row r="79" spans="1:24">
      <c r="A79" s="34">
        <f t="shared" si="8"/>
        <v>76</v>
      </c>
      <c r="B79" s="57" t="s">
        <v>24</v>
      </c>
      <c r="C79" s="57" t="s">
        <v>95</v>
      </c>
      <c r="D79" s="57" t="s">
        <v>124</v>
      </c>
      <c r="E79" s="32">
        <v>46215</v>
      </c>
      <c r="F79" s="41" t="s">
        <v>125</v>
      </c>
      <c r="G79" s="114" t="s">
        <v>28</v>
      </c>
      <c r="H79" s="115">
        <v>32.832</v>
      </c>
      <c r="I79" s="114">
        <v>593750</v>
      </c>
      <c r="J79" s="33">
        <f t="shared" si="9"/>
        <v>19494000</v>
      </c>
      <c r="K79" s="116">
        <v>19</v>
      </c>
      <c r="L79" s="116">
        <v>130000</v>
      </c>
      <c r="M79" s="33">
        <f t="shared" si="10"/>
        <v>2470000</v>
      </c>
      <c r="N79" s="33">
        <f t="shared" si="11"/>
        <v>21964000</v>
      </c>
      <c r="O79" s="68">
        <v>700000</v>
      </c>
      <c r="P79" s="33">
        <f t="shared" si="12"/>
        <v>106250</v>
      </c>
      <c r="Q79" s="33" t="s">
        <v>29</v>
      </c>
      <c r="R79" s="33">
        <f t="shared" si="13"/>
        <v>22982400</v>
      </c>
      <c r="S79" s="33">
        <v>2200000</v>
      </c>
      <c r="T79" s="33">
        <f t="shared" si="14"/>
        <v>3488400</v>
      </c>
      <c r="U79" s="34" t="s">
        <v>30</v>
      </c>
      <c r="V79" s="33">
        <f t="shared" si="15"/>
        <v>1288400</v>
      </c>
      <c r="W79" s="118">
        <v>19494000</v>
      </c>
      <c r="X79" s="119" t="s">
        <v>31</v>
      </c>
    </row>
    <row r="80" spans="1:24">
      <c r="A80" s="34">
        <f t="shared" si="8"/>
        <v>77</v>
      </c>
      <c r="B80" s="57" t="s">
        <v>24</v>
      </c>
      <c r="C80" s="57" t="s">
        <v>95</v>
      </c>
      <c r="D80" s="57" t="s">
        <v>124</v>
      </c>
      <c r="E80" s="32">
        <v>46216</v>
      </c>
      <c r="F80" s="41" t="s">
        <v>126</v>
      </c>
      <c r="G80" s="114" t="s">
        <v>49</v>
      </c>
      <c r="H80" s="115">
        <v>32.832</v>
      </c>
      <c r="I80" s="114">
        <v>593750</v>
      </c>
      <c r="J80" s="33">
        <f t="shared" si="9"/>
        <v>19494000</v>
      </c>
      <c r="K80" s="116">
        <v>19</v>
      </c>
      <c r="L80" s="116">
        <v>130000</v>
      </c>
      <c r="M80" s="33">
        <f t="shared" si="10"/>
        <v>2470000</v>
      </c>
      <c r="N80" s="33">
        <f t="shared" si="11"/>
        <v>21964000</v>
      </c>
      <c r="O80" s="68">
        <v>700000</v>
      </c>
      <c r="P80" s="33">
        <f t="shared" si="12"/>
        <v>106250</v>
      </c>
      <c r="Q80" s="33" t="s">
        <v>29</v>
      </c>
      <c r="R80" s="33">
        <f t="shared" si="13"/>
        <v>22982400</v>
      </c>
      <c r="S80" s="33">
        <v>2200000</v>
      </c>
      <c r="T80" s="33">
        <f t="shared" si="14"/>
        <v>3488400</v>
      </c>
      <c r="U80" s="34" t="s">
        <v>30</v>
      </c>
      <c r="V80" s="33">
        <f t="shared" si="15"/>
        <v>1288400</v>
      </c>
      <c r="W80" s="118">
        <v>19494000</v>
      </c>
      <c r="X80" s="119" t="s">
        <v>31</v>
      </c>
    </row>
    <row r="81" spans="1:24">
      <c r="A81" s="34">
        <f t="shared" si="8"/>
        <v>78</v>
      </c>
      <c r="B81" s="57" t="s">
        <v>24</v>
      </c>
      <c r="C81" s="120" t="s">
        <v>35</v>
      </c>
      <c r="D81" s="120" t="s">
        <v>36</v>
      </c>
      <c r="E81" s="121">
        <v>46216</v>
      </c>
      <c r="F81" s="144" t="s">
        <v>127</v>
      </c>
      <c r="G81" s="114" t="s">
        <v>28</v>
      </c>
      <c r="H81" s="115">
        <v>32.832</v>
      </c>
      <c r="I81" s="114">
        <v>593750</v>
      </c>
      <c r="J81" s="33">
        <f t="shared" si="9"/>
        <v>19494000</v>
      </c>
      <c r="K81" s="116">
        <v>19</v>
      </c>
      <c r="L81" s="116">
        <v>130000</v>
      </c>
      <c r="M81" s="33">
        <f t="shared" si="10"/>
        <v>2470000</v>
      </c>
      <c r="N81" s="33">
        <f t="shared" si="11"/>
        <v>21964000</v>
      </c>
      <c r="O81" s="68">
        <v>700000</v>
      </c>
      <c r="P81" s="33">
        <f t="shared" si="12"/>
        <v>106250</v>
      </c>
      <c r="Q81" s="33" t="s">
        <v>29</v>
      </c>
      <c r="R81" s="33">
        <f t="shared" si="13"/>
        <v>22982400</v>
      </c>
      <c r="S81" s="130">
        <v>2500000</v>
      </c>
      <c r="T81" s="33">
        <f t="shared" si="14"/>
        <v>3488400</v>
      </c>
      <c r="U81" s="34" t="s">
        <v>30</v>
      </c>
      <c r="V81" s="33">
        <f t="shared" si="15"/>
        <v>988400</v>
      </c>
      <c r="W81" s="118">
        <v>19494000</v>
      </c>
      <c r="X81" s="119" t="s">
        <v>31</v>
      </c>
    </row>
    <row r="82" spans="1:24">
      <c r="A82" s="34">
        <f t="shared" si="8"/>
        <v>79</v>
      </c>
      <c r="B82" s="57" t="s">
        <v>24</v>
      </c>
      <c r="C82" s="120" t="s">
        <v>35</v>
      </c>
      <c r="D82" s="120" t="s">
        <v>84</v>
      </c>
      <c r="E82" s="121">
        <v>46217</v>
      </c>
      <c r="F82" s="144" t="s">
        <v>128</v>
      </c>
      <c r="G82" s="114" t="s">
        <v>49</v>
      </c>
      <c r="H82" s="115">
        <v>32.832</v>
      </c>
      <c r="I82" s="114">
        <v>593750</v>
      </c>
      <c r="J82" s="33">
        <f t="shared" si="9"/>
        <v>19494000</v>
      </c>
      <c r="K82" s="116">
        <v>19</v>
      </c>
      <c r="L82" s="116">
        <v>130000</v>
      </c>
      <c r="M82" s="33">
        <f t="shared" si="10"/>
        <v>2470000</v>
      </c>
      <c r="N82" s="33">
        <f t="shared" si="11"/>
        <v>21964000</v>
      </c>
      <c r="O82" s="68">
        <v>700000</v>
      </c>
      <c r="P82" s="33">
        <f t="shared" si="12"/>
        <v>106250</v>
      </c>
      <c r="Q82" s="33" t="s">
        <v>29</v>
      </c>
      <c r="R82" s="33">
        <f t="shared" si="13"/>
        <v>22982400</v>
      </c>
      <c r="S82" s="140">
        <v>2500000</v>
      </c>
      <c r="T82" s="33">
        <f t="shared" si="14"/>
        <v>3488400</v>
      </c>
      <c r="U82" s="34" t="s">
        <v>30</v>
      </c>
      <c r="V82" s="33">
        <f t="shared" si="15"/>
        <v>988400</v>
      </c>
      <c r="W82" s="118">
        <v>19494000</v>
      </c>
      <c r="X82" s="119" t="s">
        <v>31</v>
      </c>
    </row>
    <row r="83" spans="1:24">
      <c r="A83" s="34">
        <f t="shared" si="8"/>
        <v>80</v>
      </c>
      <c r="B83" s="57" t="s">
        <v>24</v>
      </c>
      <c r="C83" s="136" t="s">
        <v>80</v>
      </c>
      <c r="D83" s="136" t="s">
        <v>81</v>
      </c>
      <c r="E83" s="137">
        <v>46216</v>
      </c>
      <c r="F83" s="145" t="s">
        <v>129</v>
      </c>
      <c r="G83" s="114" t="s">
        <v>49</v>
      </c>
      <c r="H83" s="115">
        <v>32.832</v>
      </c>
      <c r="I83" s="114">
        <v>593750</v>
      </c>
      <c r="J83" s="33">
        <f t="shared" si="9"/>
        <v>19494000</v>
      </c>
      <c r="K83" s="116">
        <v>19</v>
      </c>
      <c r="L83" s="116">
        <v>130000</v>
      </c>
      <c r="M83" s="33">
        <f t="shared" si="10"/>
        <v>2470000</v>
      </c>
      <c r="N83" s="33">
        <f t="shared" si="11"/>
        <v>21964000</v>
      </c>
      <c r="O83" s="68">
        <v>700000</v>
      </c>
      <c r="P83" s="33">
        <f t="shared" si="12"/>
        <v>106250</v>
      </c>
      <c r="Q83" s="33" t="s">
        <v>29</v>
      </c>
      <c r="R83" s="33">
        <f t="shared" si="13"/>
        <v>22982400</v>
      </c>
      <c r="S83" s="130">
        <v>2200000</v>
      </c>
      <c r="T83" s="33">
        <f t="shared" si="14"/>
        <v>3488400</v>
      </c>
      <c r="U83" s="34" t="s">
        <v>30</v>
      </c>
      <c r="V83" s="33">
        <f t="shared" si="15"/>
        <v>1288400</v>
      </c>
      <c r="W83" s="118">
        <v>19494000</v>
      </c>
      <c r="X83" s="119" t="s">
        <v>31</v>
      </c>
    </row>
    <row r="84" spans="1:24">
      <c r="A84" s="34">
        <f t="shared" si="8"/>
        <v>81</v>
      </c>
      <c r="B84" s="57" t="s">
        <v>24</v>
      </c>
      <c r="C84" s="136" t="s">
        <v>80</v>
      </c>
      <c r="D84" s="136" t="s">
        <v>81</v>
      </c>
      <c r="E84" s="137">
        <v>46216</v>
      </c>
      <c r="F84" s="145" t="s">
        <v>122</v>
      </c>
      <c r="G84" s="114" t="s">
        <v>28</v>
      </c>
      <c r="H84" s="115">
        <v>32.832</v>
      </c>
      <c r="I84" s="114">
        <v>593750</v>
      </c>
      <c r="J84" s="33">
        <f t="shared" si="9"/>
        <v>19494000</v>
      </c>
      <c r="K84" s="116">
        <v>19</v>
      </c>
      <c r="L84" s="116">
        <v>130000</v>
      </c>
      <c r="M84" s="33">
        <f t="shared" si="10"/>
        <v>2470000</v>
      </c>
      <c r="N84" s="33">
        <f t="shared" si="11"/>
        <v>21964000</v>
      </c>
      <c r="O84" s="68">
        <v>700000</v>
      </c>
      <c r="P84" s="33">
        <f t="shared" si="12"/>
        <v>106250</v>
      </c>
      <c r="Q84" s="33" t="s">
        <v>29</v>
      </c>
      <c r="R84" s="33">
        <f t="shared" si="13"/>
        <v>22982400</v>
      </c>
      <c r="S84" s="130">
        <v>2200000</v>
      </c>
      <c r="T84" s="33">
        <f t="shared" si="14"/>
        <v>3488400</v>
      </c>
      <c r="U84" s="34" t="s">
        <v>30</v>
      </c>
      <c r="V84" s="33">
        <f t="shared" si="15"/>
        <v>1288400</v>
      </c>
      <c r="W84" s="118">
        <v>19494000</v>
      </c>
      <c r="X84" s="119" t="s">
        <v>31</v>
      </c>
    </row>
    <row r="85" spans="1:24">
      <c r="A85" s="34">
        <f t="shared" si="8"/>
        <v>82</v>
      </c>
      <c r="B85" s="57" t="s">
        <v>24</v>
      </c>
      <c r="C85" s="136" t="s">
        <v>80</v>
      </c>
      <c r="D85" s="136" t="s">
        <v>105</v>
      </c>
      <c r="E85" s="137">
        <v>46216</v>
      </c>
      <c r="F85" s="145" t="s">
        <v>130</v>
      </c>
      <c r="G85" s="114" t="s">
        <v>28</v>
      </c>
      <c r="H85" s="115">
        <v>32.832</v>
      </c>
      <c r="I85" s="114">
        <v>593750</v>
      </c>
      <c r="J85" s="33">
        <f t="shared" si="9"/>
        <v>19494000</v>
      </c>
      <c r="K85" s="116">
        <v>19</v>
      </c>
      <c r="L85" s="116">
        <v>130000</v>
      </c>
      <c r="M85" s="33">
        <f t="shared" si="10"/>
        <v>2470000</v>
      </c>
      <c r="N85" s="33">
        <f t="shared" si="11"/>
        <v>21964000</v>
      </c>
      <c r="O85" s="68">
        <v>700000</v>
      </c>
      <c r="P85" s="33">
        <f t="shared" si="12"/>
        <v>106250</v>
      </c>
      <c r="Q85" s="33" t="s">
        <v>29</v>
      </c>
      <c r="R85" s="33">
        <f t="shared" si="13"/>
        <v>22982400</v>
      </c>
      <c r="S85" s="130">
        <v>2300000</v>
      </c>
      <c r="T85" s="33">
        <f t="shared" si="14"/>
        <v>3488400</v>
      </c>
      <c r="U85" s="34" t="s">
        <v>30</v>
      </c>
      <c r="V85" s="33">
        <f t="shared" si="15"/>
        <v>1188400</v>
      </c>
      <c r="W85" s="118">
        <v>19494000</v>
      </c>
      <c r="X85" s="119" t="s">
        <v>31</v>
      </c>
    </row>
    <row r="86" spans="1:24">
      <c r="A86" s="34">
        <f t="shared" si="8"/>
        <v>83</v>
      </c>
      <c r="B86" s="57" t="s">
        <v>24</v>
      </c>
      <c r="C86" s="136" t="s">
        <v>80</v>
      </c>
      <c r="D86" s="136" t="s">
        <v>105</v>
      </c>
      <c r="E86" s="137">
        <v>46217</v>
      </c>
      <c r="F86" s="145" t="s">
        <v>131</v>
      </c>
      <c r="G86" s="114" t="s">
        <v>28</v>
      </c>
      <c r="H86" s="115">
        <v>32.832</v>
      </c>
      <c r="I86" s="114">
        <v>593750</v>
      </c>
      <c r="J86" s="33">
        <f t="shared" si="9"/>
        <v>19494000</v>
      </c>
      <c r="K86" s="116">
        <v>19</v>
      </c>
      <c r="L86" s="116">
        <v>130000</v>
      </c>
      <c r="M86" s="33">
        <f t="shared" si="10"/>
        <v>2470000</v>
      </c>
      <c r="N86" s="33">
        <f t="shared" si="11"/>
        <v>21964000</v>
      </c>
      <c r="O86" s="68">
        <v>700000</v>
      </c>
      <c r="P86" s="33">
        <f t="shared" si="12"/>
        <v>106250</v>
      </c>
      <c r="Q86" s="33" t="s">
        <v>29</v>
      </c>
      <c r="R86" s="33">
        <f t="shared" si="13"/>
        <v>22982400</v>
      </c>
      <c r="S86" s="130">
        <v>2300000</v>
      </c>
      <c r="T86" s="33">
        <f t="shared" si="14"/>
        <v>3488400</v>
      </c>
      <c r="U86" s="34" t="s">
        <v>30</v>
      </c>
      <c r="V86" s="33">
        <f t="shared" si="15"/>
        <v>1188400</v>
      </c>
      <c r="W86" s="118">
        <v>19494000</v>
      </c>
      <c r="X86" s="119" t="s">
        <v>31</v>
      </c>
    </row>
    <row r="87" spans="1:24">
      <c r="A87" s="34">
        <f t="shared" si="8"/>
        <v>84</v>
      </c>
      <c r="B87" s="57" t="s">
        <v>24</v>
      </c>
      <c r="C87" s="111" t="s">
        <v>25</v>
      </c>
      <c r="D87" s="111" t="s">
        <v>123</v>
      </c>
      <c r="E87" s="112">
        <v>46216</v>
      </c>
      <c r="F87" s="146" t="s">
        <v>132</v>
      </c>
      <c r="G87" s="114" t="s">
        <v>28</v>
      </c>
      <c r="H87" s="115">
        <v>32.832</v>
      </c>
      <c r="I87" s="114">
        <v>593750</v>
      </c>
      <c r="J87" s="33">
        <f t="shared" si="9"/>
        <v>19494000</v>
      </c>
      <c r="K87" s="116">
        <v>19</v>
      </c>
      <c r="L87" s="116">
        <v>130000</v>
      </c>
      <c r="M87" s="33">
        <f t="shared" si="10"/>
        <v>2470000</v>
      </c>
      <c r="N87" s="33">
        <f t="shared" si="11"/>
        <v>21964000</v>
      </c>
      <c r="O87" s="68">
        <v>700000</v>
      </c>
      <c r="P87" s="33">
        <f t="shared" si="12"/>
        <v>106250</v>
      </c>
      <c r="Q87" s="33" t="s">
        <v>29</v>
      </c>
      <c r="R87" s="33">
        <f t="shared" si="13"/>
        <v>22982400</v>
      </c>
      <c r="S87" s="33">
        <v>2500000</v>
      </c>
      <c r="T87" s="33">
        <f t="shared" si="14"/>
        <v>3488400</v>
      </c>
      <c r="U87" s="34" t="s">
        <v>30</v>
      </c>
      <c r="V87" s="33">
        <f t="shared" si="15"/>
        <v>988400</v>
      </c>
      <c r="W87" s="118">
        <v>19494000</v>
      </c>
      <c r="X87" s="119" t="s">
        <v>31</v>
      </c>
    </row>
    <row r="88" spans="1:24">
      <c r="A88" s="34">
        <f t="shared" si="8"/>
        <v>85</v>
      </c>
      <c r="B88" s="57" t="s">
        <v>24</v>
      </c>
      <c r="C88" s="111" t="s">
        <v>25</v>
      </c>
      <c r="D88" s="111" t="s">
        <v>72</v>
      </c>
      <c r="E88" s="112">
        <v>46216</v>
      </c>
      <c r="F88" s="146" t="s">
        <v>133</v>
      </c>
      <c r="G88" s="114" t="s">
        <v>28</v>
      </c>
      <c r="H88" s="115">
        <v>32.832</v>
      </c>
      <c r="I88" s="114">
        <v>593750</v>
      </c>
      <c r="J88" s="33">
        <f t="shared" si="9"/>
        <v>19494000</v>
      </c>
      <c r="K88" s="116">
        <v>19</v>
      </c>
      <c r="L88" s="116">
        <v>130000</v>
      </c>
      <c r="M88" s="33">
        <f t="shared" si="10"/>
        <v>2470000</v>
      </c>
      <c r="N88" s="33">
        <f t="shared" si="11"/>
        <v>21964000</v>
      </c>
      <c r="O88" s="68">
        <v>700000</v>
      </c>
      <c r="P88" s="33">
        <f t="shared" si="12"/>
        <v>106250</v>
      </c>
      <c r="Q88" s="33" t="s">
        <v>29</v>
      </c>
      <c r="R88" s="33">
        <f t="shared" si="13"/>
        <v>22982400</v>
      </c>
      <c r="S88" s="33">
        <v>2500000</v>
      </c>
      <c r="T88" s="33">
        <f t="shared" si="14"/>
        <v>3488400</v>
      </c>
      <c r="U88" s="34" t="s">
        <v>30</v>
      </c>
      <c r="V88" s="33">
        <f t="shared" si="15"/>
        <v>988400</v>
      </c>
      <c r="W88" s="118">
        <v>19494000</v>
      </c>
      <c r="X88" s="119" t="s">
        <v>31</v>
      </c>
    </row>
    <row r="89" spans="1:24">
      <c r="A89" s="34">
        <f t="shared" si="8"/>
        <v>86</v>
      </c>
      <c r="B89" s="57" t="s">
        <v>24</v>
      </c>
      <c r="C89" s="111" t="s">
        <v>25</v>
      </c>
      <c r="D89" s="111" t="s">
        <v>40</v>
      </c>
      <c r="E89" s="112">
        <v>46216</v>
      </c>
      <c r="F89" s="146" t="s">
        <v>134</v>
      </c>
      <c r="G89" s="114" t="s">
        <v>28</v>
      </c>
      <c r="H89" s="115">
        <v>32.832</v>
      </c>
      <c r="I89" s="114">
        <v>593750</v>
      </c>
      <c r="J89" s="33">
        <f t="shared" si="9"/>
        <v>19494000</v>
      </c>
      <c r="K89" s="116">
        <v>19</v>
      </c>
      <c r="L89" s="116">
        <v>130000</v>
      </c>
      <c r="M89" s="33">
        <f t="shared" si="10"/>
        <v>2470000</v>
      </c>
      <c r="N89" s="33">
        <f t="shared" si="11"/>
        <v>21964000</v>
      </c>
      <c r="O89" s="68">
        <v>700000</v>
      </c>
      <c r="P89" s="33">
        <f t="shared" si="12"/>
        <v>106250</v>
      </c>
      <c r="Q89" s="33" t="s">
        <v>29</v>
      </c>
      <c r="R89" s="33">
        <f t="shared" si="13"/>
        <v>22982400</v>
      </c>
      <c r="S89" s="33">
        <v>2400000</v>
      </c>
      <c r="T89" s="33">
        <f t="shared" si="14"/>
        <v>3488400</v>
      </c>
      <c r="U89" s="34" t="s">
        <v>30</v>
      </c>
      <c r="V89" s="33">
        <f t="shared" si="15"/>
        <v>1088400</v>
      </c>
      <c r="W89" s="118">
        <v>19494000</v>
      </c>
      <c r="X89" s="119" t="s">
        <v>31</v>
      </c>
    </row>
    <row r="90" spans="1:24">
      <c r="A90" s="34">
        <f t="shared" si="8"/>
        <v>87</v>
      </c>
      <c r="B90" s="57" t="s">
        <v>24</v>
      </c>
      <c r="C90" s="57" t="s">
        <v>95</v>
      </c>
      <c r="D90" s="57" t="s">
        <v>135</v>
      </c>
      <c r="E90" s="32">
        <v>46216</v>
      </c>
      <c r="F90" s="34" t="s">
        <v>136</v>
      </c>
      <c r="G90" s="114" t="s">
        <v>28</v>
      </c>
      <c r="H90" s="115">
        <v>25.92</v>
      </c>
      <c r="I90" s="130">
        <v>517750</v>
      </c>
      <c r="J90" s="33">
        <f t="shared" si="9"/>
        <v>13420080</v>
      </c>
      <c r="K90" s="116">
        <v>15</v>
      </c>
      <c r="L90" s="116">
        <v>130000</v>
      </c>
      <c r="M90" s="33">
        <f t="shared" si="10"/>
        <v>1950000</v>
      </c>
      <c r="N90" s="33">
        <f t="shared" si="11"/>
        <v>15370080</v>
      </c>
      <c r="O90" s="68">
        <v>700000</v>
      </c>
      <c r="P90" s="33">
        <f t="shared" si="12"/>
        <v>182250</v>
      </c>
      <c r="Q90" s="33" t="s">
        <v>29</v>
      </c>
      <c r="R90" s="33">
        <f t="shared" si="13"/>
        <v>18144000</v>
      </c>
      <c r="S90" s="130">
        <v>2250000</v>
      </c>
      <c r="T90" s="33">
        <f t="shared" si="14"/>
        <v>4723920</v>
      </c>
      <c r="U90" s="34" t="s">
        <v>30</v>
      </c>
      <c r="V90" s="33">
        <f t="shared" si="15"/>
        <v>2473920</v>
      </c>
      <c r="W90" s="118">
        <v>4109024</v>
      </c>
      <c r="X90" s="119" t="s">
        <v>114</v>
      </c>
    </row>
    <row r="91" spans="1:24">
      <c r="A91" s="34">
        <f t="shared" ref="A91:A116" si="16">A90+1</f>
        <v>88</v>
      </c>
      <c r="B91" s="57" t="s">
        <v>24</v>
      </c>
      <c r="C91" s="111" t="s">
        <v>25</v>
      </c>
      <c r="D91" s="111" t="s">
        <v>40</v>
      </c>
      <c r="E91" s="112">
        <v>46216</v>
      </c>
      <c r="F91" s="147" t="s">
        <v>136</v>
      </c>
      <c r="G91" s="114" t="s">
        <v>28</v>
      </c>
      <c r="H91" s="115">
        <v>6.912</v>
      </c>
      <c r="I91" s="114">
        <v>593750</v>
      </c>
      <c r="J91" s="33">
        <f t="shared" si="9"/>
        <v>4104000</v>
      </c>
      <c r="K91" s="116">
        <v>4</v>
      </c>
      <c r="L91" s="116">
        <v>130000</v>
      </c>
      <c r="M91" s="33">
        <f t="shared" si="10"/>
        <v>520000</v>
      </c>
      <c r="N91" s="33">
        <f t="shared" si="11"/>
        <v>4624000</v>
      </c>
      <c r="O91" s="68">
        <v>700000</v>
      </c>
      <c r="P91" s="33">
        <f t="shared" si="12"/>
        <v>106250</v>
      </c>
      <c r="Q91" s="33" t="s">
        <v>29</v>
      </c>
      <c r="R91" s="33">
        <f t="shared" si="13"/>
        <v>4838400</v>
      </c>
      <c r="S91" s="33">
        <v>450000</v>
      </c>
      <c r="T91" s="33">
        <f t="shared" si="14"/>
        <v>734400</v>
      </c>
      <c r="U91" s="34" t="s">
        <v>30</v>
      </c>
      <c r="V91" s="33">
        <f t="shared" si="15"/>
        <v>284400</v>
      </c>
      <c r="W91" s="118">
        <v>4104000</v>
      </c>
      <c r="X91" s="119" t="s">
        <v>31</v>
      </c>
    </row>
    <row r="92" spans="1:24">
      <c r="A92" s="34">
        <f t="shared" si="16"/>
        <v>89</v>
      </c>
      <c r="B92" s="57" t="s">
        <v>24</v>
      </c>
      <c r="C92" s="126" t="s">
        <v>53</v>
      </c>
      <c r="D92" s="126" t="s">
        <v>110</v>
      </c>
      <c r="E92" s="127">
        <v>46217</v>
      </c>
      <c r="F92" s="148" t="s">
        <v>137</v>
      </c>
      <c r="G92" s="114" t="s">
        <v>28</v>
      </c>
      <c r="H92" s="115">
        <v>32.832</v>
      </c>
      <c r="I92" s="114">
        <v>593750</v>
      </c>
      <c r="J92" s="33">
        <f t="shared" si="9"/>
        <v>19494000</v>
      </c>
      <c r="K92" s="116">
        <v>19</v>
      </c>
      <c r="L92" s="116">
        <v>130000</v>
      </c>
      <c r="M92" s="33">
        <f t="shared" si="10"/>
        <v>2470000</v>
      </c>
      <c r="N92" s="33">
        <f t="shared" si="11"/>
        <v>21964000</v>
      </c>
      <c r="O92" s="68">
        <v>700000</v>
      </c>
      <c r="P92" s="33">
        <f t="shared" si="12"/>
        <v>106250</v>
      </c>
      <c r="Q92" s="33" t="s">
        <v>29</v>
      </c>
      <c r="R92" s="33">
        <f t="shared" si="13"/>
        <v>22982400</v>
      </c>
      <c r="S92" s="130">
        <v>2500000</v>
      </c>
      <c r="T92" s="33">
        <f t="shared" si="14"/>
        <v>3488400</v>
      </c>
      <c r="U92" s="34" t="s">
        <v>30</v>
      </c>
      <c r="V92" s="33">
        <f t="shared" si="15"/>
        <v>988400</v>
      </c>
      <c r="W92" s="118">
        <v>19494000</v>
      </c>
      <c r="X92" s="119" t="s">
        <v>31</v>
      </c>
    </row>
    <row r="93" spans="1:24">
      <c r="A93" s="34">
        <f t="shared" si="16"/>
        <v>90</v>
      </c>
      <c r="B93" s="57" t="s">
        <v>24</v>
      </c>
      <c r="C93" s="111" t="s">
        <v>25</v>
      </c>
      <c r="D93" s="111" t="s">
        <v>40</v>
      </c>
      <c r="E93" s="112">
        <v>46217</v>
      </c>
      <c r="F93" s="147" t="s">
        <v>138</v>
      </c>
      <c r="G93" s="114" t="s">
        <v>28</v>
      </c>
      <c r="H93" s="115">
        <v>32.832</v>
      </c>
      <c r="I93" s="114">
        <v>593750</v>
      </c>
      <c r="J93" s="33">
        <f t="shared" si="9"/>
        <v>19494000</v>
      </c>
      <c r="K93" s="116">
        <v>19</v>
      </c>
      <c r="L93" s="116">
        <v>130000</v>
      </c>
      <c r="M93" s="33">
        <f t="shared" si="10"/>
        <v>2470000</v>
      </c>
      <c r="N93" s="33">
        <f t="shared" si="11"/>
        <v>21964000</v>
      </c>
      <c r="O93" s="68">
        <v>700000</v>
      </c>
      <c r="P93" s="33">
        <f t="shared" si="12"/>
        <v>106250</v>
      </c>
      <c r="Q93" s="33" t="s">
        <v>29</v>
      </c>
      <c r="R93" s="33">
        <f t="shared" si="13"/>
        <v>22982400</v>
      </c>
      <c r="S93" s="33">
        <v>2500000</v>
      </c>
      <c r="T93" s="33">
        <f t="shared" si="14"/>
        <v>3488400</v>
      </c>
      <c r="U93" s="34" t="s">
        <v>30</v>
      </c>
      <c r="V93" s="33">
        <f t="shared" si="15"/>
        <v>988400</v>
      </c>
      <c r="W93" s="118">
        <v>19494000</v>
      </c>
      <c r="X93" s="119" t="s">
        <v>31</v>
      </c>
    </row>
    <row r="94" spans="1:24">
      <c r="A94" s="34">
        <f t="shared" si="16"/>
        <v>91</v>
      </c>
      <c r="B94" s="57" t="s">
        <v>24</v>
      </c>
      <c r="C94" s="126" t="s">
        <v>53</v>
      </c>
      <c r="D94" s="126" t="s">
        <v>139</v>
      </c>
      <c r="E94" s="127">
        <v>46217</v>
      </c>
      <c r="F94" s="135" t="s">
        <v>140</v>
      </c>
      <c r="G94" s="114" t="s">
        <v>99</v>
      </c>
      <c r="H94" s="115">
        <v>32.832</v>
      </c>
      <c r="I94" s="130">
        <v>489250</v>
      </c>
      <c r="J94" s="33">
        <f t="shared" si="9"/>
        <v>16063056</v>
      </c>
      <c r="K94" s="116">
        <v>19</v>
      </c>
      <c r="L94" s="116">
        <v>130000</v>
      </c>
      <c r="M94" s="33">
        <f t="shared" si="10"/>
        <v>2470000</v>
      </c>
      <c r="N94" s="33">
        <f t="shared" si="11"/>
        <v>18533056</v>
      </c>
      <c r="O94" s="68">
        <v>700000</v>
      </c>
      <c r="P94" s="33">
        <f t="shared" si="12"/>
        <v>210750</v>
      </c>
      <c r="Q94" s="33" t="s">
        <v>29</v>
      </c>
      <c r="R94" s="33">
        <f t="shared" si="13"/>
        <v>22982400</v>
      </c>
      <c r="S94" s="33">
        <v>2500000</v>
      </c>
      <c r="T94" s="33">
        <f t="shared" si="14"/>
        <v>6919344</v>
      </c>
      <c r="U94" s="34" t="s">
        <v>30</v>
      </c>
      <c r="V94" s="33">
        <f t="shared" si="15"/>
        <v>4419344</v>
      </c>
      <c r="W94" s="118">
        <v>0</v>
      </c>
      <c r="X94" s="119" t="s">
        <v>114</v>
      </c>
    </row>
    <row r="95" spans="1:24">
      <c r="A95" s="34">
        <f t="shared" si="16"/>
        <v>92</v>
      </c>
      <c r="B95" s="57" t="s">
        <v>24</v>
      </c>
      <c r="C95" s="136" t="s">
        <v>80</v>
      </c>
      <c r="D95" s="136" t="s">
        <v>81</v>
      </c>
      <c r="E95" s="137">
        <v>46217</v>
      </c>
      <c r="F95" s="145" t="s">
        <v>141</v>
      </c>
      <c r="G95" s="114" t="s">
        <v>28</v>
      </c>
      <c r="H95" s="115">
        <v>32.832</v>
      </c>
      <c r="I95" s="114">
        <v>593750</v>
      </c>
      <c r="J95" s="33">
        <f t="shared" si="9"/>
        <v>19494000</v>
      </c>
      <c r="K95" s="116">
        <v>19</v>
      </c>
      <c r="L95" s="116">
        <v>130000</v>
      </c>
      <c r="M95" s="33">
        <f t="shared" si="10"/>
        <v>2470000</v>
      </c>
      <c r="N95" s="33">
        <f t="shared" si="11"/>
        <v>21964000</v>
      </c>
      <c r="O95" s="68">
        <v>700000</v>
      </c>
      <c r="P95" s="33">
        <f t="shared" si="12"/>
        <v>106250</v>
      </c>
      <c r="Q95" s="33" t="s">
        <v>29</v>
      </c>
      <c r="R95" s="33">
        <f t="shared" si="13"/>
        <v>22982400</v>
      </c>
      <c r="S95" s="130">
        <v>2500000</v>
      </c>
      <c r="T95" s="33">
        <f t="shared" si="14"/>
        <v>3488400</v>
      </c>
      <c r="U95" s="34" t="s">
        <v>30</v>
      </c>
      <c r="V95" s="33">
        <f t="shared" si="15"/>
        <v>988400</v>
      </c>
      <c r="W95" s="118">
        <v>19494000</v>
      </c>
      <c r="X95" s="119" t="s">
        <v>31</v>
      </c>
    </row>
    <row r="96" spans="1:24">
      <c r="A96" s="34">
        <f t="shared" si="16"/>
        <v>93</v>
      </c>
      <c r="B96" s="57" t="s">
        <v>24</v>
      </c>
      <c r="C96" s="126" t="s">
        <v>53</v>
      </c>
      <c r="D96" s="126" t="s">
        <v>139</v>
      </c>
      <c r="E96" s="127">
        <v>46217</v>
      </c>
      <c r="F96" s="135" t="s">
        <v>142</v>
      </c>
      <c r="G96" s="114" t="s">
        <v>99</v>
      </c>
      <c r="H96" s="115">
        <v>32.832</v>
      </c>
      <c r="I96" s="130">
        <v>489250</v>
      </c>
      <c r="J96" s="33">
        <f t="shared" si="9"/>
        <v>16063056</v>
      </c>
      <c r="K96" s="116">
        <v>19</v>
      </c>
      <c r="L96" s="116">
        <v>130000</v>
      </c>
      <c r="M96" s="33">
        <f t="shared" si="10"/>
        <v>2470000</v>
      </c>
      <c r="N96" s="33">
        <f t="shared" si="11"/>
        <v>18533056</v>
      </c>
      <c r="O96" s="68">
        <v>700000</v>
      </c>
      <c r="P96" s="33">
        <f t="shared" si="12"/>
        <v>210750</v>
      </c>
      <c r="Q96" s="33" t="s">
        <v>29</v>
      </c>
      <c r="R96" s="33">
        <f t="shared" si="13"/>
        <v>22982400</v>
      </c>
      <c r="S96" s="33">
        <v>2500000</v>
      </c>
      <c r="T96" s="33">
        <f t="shared" si="14"/>
        <v>6919344</v>
      </c>
      <c r="U96" s="34" t="s">
        <v>30</v>
      </c>
      <c r="V96" s="33">
        <f t="shared" si="15"/>
        <v>4419344</v>
      </c>
      <c r="W96" s="118">
        <v>0</v>
      </c>
      <c r="X96" s="119" t="s">
        <v>114</v>
      </c>
    </row>
    <row r="97" spans="1:24">
      <c r="A97" s="34">
        <f t="shared" si="16"/>
        <v>94</v>
      </c>
      <c r="B97" s="57" t="s">
        <v>24</v>
      </c>
      <c r="C97" s="57" t="s">
        <v>95</v>
      </c>
      <c r="D97" s="57" t="s">
        <v>143</v>
      </c>
      <c r="E97" s="32">
        <v>46217</v>
      </c>
      <c r="F97" s="34" t="s">
        <v>67</v>
      </c>
      <c r="G97" s="114" t="s">
        <v>99</v>
      </c>
      <c r="H97" s="115">
        <v>32.832</v>
      </c>
      <c r="I97" s="130">
        <v>565250</v>
      </c>
      <c r="J97" s="33">
        <f t="shared" si="9"/>
        <v>18558288</v>
      </c>
      <c r="K97" s="116">
        <v>19</v>
      </c>
      <c r="L97" s="116">
        <v>130000</v>
      </c>
      <c r="M97" s="33">
        <f t="shared" si="10"/>
        <v>2470000</v>
      </c>
      <c r="N97" s="33">
        <f t="shared" si="11"/>
        <v>21028288</v>
      </c>
      <c r="O97" s="68">
        <v>700000</v>
      </c>
      <c r="P97" s="33">
        <f t="shared" si="12"/>
        <v>134750</v>
      </c>
      <c r="Q97" s="33" t="s">
        <v>29</v>
      </c>
      <c r="R97" s="33">
        <f t="shared" si="13"/>
        <v>22982400</v>
      </c>
      <c r="S97" s="130">
        <v>2500000</v>
      </c>
      <c r="T97" s="33">
        <f t="shared" si="14"/>
        <v>4424112</v>
      </c>
      <c r="U97" s="34" t="s">
        <v>30</v>
      </c>
      <c r="V97" s="33">
        <f t="shared" si="15"/>
        <v>1924112</v>
      </c>
      <c r="W97" s="118">
        <v>18558288</v>
      </c>
      <c r="X97" s="119" t="s">
        <v>31</v>
      </c>
    </row>
    <row r="98" spans="1:24">
      <c r="A98" s="34">
        <f t="shared" si="16"/>
        <v>95</v>
      </c>
      <c r="B98" s="57" t="s">
        <v>24</v>
      </c>
      <c r="C98" s="57" t="s">
        <v>95</v>
      </c>
      <c r="D98" s="57" t="s">
        <v>143</v>
      </c>
      <c r="E98" s="32">
        <v>46217</v>
      </c>
      <c r="F98" s="34" t="s">
        <v>144</v>
      </c>
      <c r="G98" s="114" t="s">
        <v>99</v>
      </c>
      <c r="H98" s="115">
        <v>32.832</v>
      </c>
      <c r="I98" s="130">
        <v>565250</v>
      </c>
      <c r="J98" s="33">
        <f t="shared" si="9"/>
        <v>18558288</v>
      </c>
      <c r="K98" s="116">
        <v>19</v>
      </c>
      <c r="L98" s="116">
        <v>130000</v>
      </c>
      <c r="M98" s="33">
        <f t="shared" si="10"/>
        <v>2470000</v>
      </c>
      <c r="N98" s="33">
        <f t="shared" si="11"/>
        <v>21028288</v>
      </c>
      <c r="O98" s="68">
        <v>700000</v>
      </c>
      <c r="P98" s="33">
        <f t="shared" si="12"/>
        <v>134750</v>
      </c>
      <c r="Q98" s="33" t="s">
        <v>29</v>
      </c>
      <c r="R98" s="33">
        <f t="shared" si="13"/>
        <v>22982400</v>
      </c>
      <c r="S98" s="130">
        <v>2500000</v>
      </c>
      <c r="T98" s="33">
        <f t="shared" si="14"/>
        <v>4424112</v>
      </c>
      <c r="U98" s="34" t="s">
        <v>30</v>
      </c>
      <c r="V98" s="33">
        <f t="shared" si="15"/>
        <v>1924112</v>
      </c>
      <c r="W98" s="118">
        <v>18558288</v>
      </c>
      <c r="X98" s="119" t="s">
        <v>31</v>
      </c>
    </row>
    <row r="99" spans="1:24">
      <c r="A99" s="34">
        <f t="shared" si="16"/>
        <v>96</v>
      </c>
      <c r="B99" s="57" t="s">
        <v>24</v>
      </c>
      <c r="C99" s="126" t="s">
        <v>53</v>
      </c>
      <c r="D99" s="126" t="s">
        <v>139</v>
      </c>
      <c r="E99" s="127">
        <v>46217</v>
      </c>
      <c r="F99" s="135" t="s">
        <v>145</v>
      </c>
      <c r="G99" s="114" t="s">
        <v>99</v>
      </c>
      <c r="H99" s="115">
        <v>32.832</v>
      </c>
      <c r="I99" s="130">
        <v>489250</v>
      </c>
      <c r="J99" s="33">
        <f t="shared" si="9"/>
        <v>16063056</v>
      </c>
      <c r="K99" s="116">
        <v>19</v>
      </c>
      <c r="L99" s="116">
        <v>130000</v>
      </c>
      <c r="M99" s="33">
        <f t="shared" si="10"/>
        <v>2470000</v>
      </c>
      <c r="N99" s="33">
        <f t="shared" si="11"/>
        <v>18533056</v>
      </c>
      <c r="O99" s="68">
        <v>700000</v>
      </c>
      <c r="P99" s="33">
        <f t="shared" si="12"/>
        <v>210750</v>
      </c>
      <c r="Q99" s="33" t="s">
        <v>29</v>
      </c>
      <c r="R99" s="33">
        <f t="shared" si="13"/>
        <v>22982400</v>
      </c>
      <c r="S99" s="33">
        <v>2500000</v>
      </c>
      <c r="T99" s="33">
        <f t="shared" si="14"/>
        <v>6919344</v>
      </c>
      <c r="U99" s="34" t="s">
        <v>30</v>
      </c>
      <c r="V99" s="33">
        <f t="shared" si="15"/>
        <v>4419344</v>
      </c>
      <c r="W99" s="118">
        <v>0</v>
      </c>
      <c r="X99" s="119" t="s">
        <v>114</v>
      </c>
    </row>
    <row r="100" spans="1:24">
      <c r="A100" s="34">
        <f t="shared" si="16"/>
        <v>97</v>
      </c>
      <c r="B100" s="57" t="s">
        <v>24</v>
      </c>
      <c r="C100" s="136" t="s">
        <v>80</v>
      </c>
      <c r="D100" s="136" t="s">
        <v>81</v>
      </c>
      <c r="E100" s="137">
        <v>46218</v>
      </c>
      <c r="F100" s="145" t="s">
        <v>146</v>
      </c>
      <c r="G100" s="114" t="s">
        <v>28</v>
      </c>
      <c r="H100" s="115">
        <v>32.832</v>
      </c>
      <c r="I100" s="114">
        <v>593750</v>
      </c>
      <c r="J100" s="33">
        <f t="shared" si="9"/>
        <v>19494000</v>
      </c>
      <c r="K100" s="116">
        <v>19</v>
      </c>
      <c r="L100" s="116">
        <v>130000</v>
      </c>
      <c r="M100" s="33">
        <f t="shared" si="10"/>
        <v>2470000</v>
      </c>
      <c r="N100" s="33">
        <f t="shared" si="11"/>
        <v>21964000</v>
      </c>
      <c r="O100" s="68">
        <v>700000</v>
      </c>
      <c r="P100" s="33">
        <f t="shared" si="12"/>
        <v>106250</v>
      </c>
      <c r="Q100" s="33" t="s">
        <v>29</v>
      </c>
      <c r="R100" s="33">
        <f t="shared" si="13"/>
        <v>22982400</v>
      </c>
      <c r="S100" s="130">
        <v>2500000</v>
      </c>
      <c r="T100" s="33">
        <f t="shared" si="14"/>
        <v>3488400</v>
      </c>
      <c r="U100" s="34" t="s">
        <v>30</v>
      </c>
      <c r="V100" s="33">
        <f t="shared" si="15"/>
        <v>988400</v>
      </c>
      <c r="W100" s="118">
        <v>19494000</v>
      </c>
      <c r="X100" s="119" t="s">
        <v>31</v>
      </c>
    </row>
    <row r="101" spans="1:24">
      <c r="A101" s="34">
        <f t="shared" si="16"/>
        <v>98</v>
      </c>
      <c r="B101" s="57" t="s">
        <v>24</v>
      </c>
      <c r="C101" s="111" t="s">
        <v>25</v>
      </c>
      <c r="D101" s="111" t="s">
        <v>72</v>
      </c>
      <c r="E101" s="112">
        <v>46218</v>
      </c>
      <c r="F101" s="147" t="s">
        <v>147</v>
      </c>
      <c r="G101" s="114" t="s">
        <v>99</v>
      </c>
      <c r="H101" s="115">
        <v>32.832</v>
      </c>
      <c r="I101" s="130">
        <v>565250</v>
      </c>
      <c r="J101" s="33">
        <f t="shared" si="9"/>
        <v>18558288</v>
      </c>
      <c r="K101" s="116">
        <v>19</v>
      </c>
      <c r="L101" s="116">
        <v>130000</v>
      </c>
      <c r="M101" s="33">
        <f t="shared" si="10"/>
        <v>2470000</v>
      </c>
      <c r="N101" s="33">
        <f t="shared" si="11"/>
        <v>21028288</v>
      </c>
      <c r="O101" s="68">
        <v>700000</v>
      </c>
      <c r="P101" s="33">
        <f t="shared" si="12"/>
        <v>134750</v>
      </c>
      <c r="Q101" s="33" t="s">
        <v>29</v>
      </c>
      <c r="R101" s="33">
        <f t="shared" si="13"/>
        <v>22982400</v>
      </c>
      <c r="S101" s="33">
        <v>2500000</v>
      </c>
      <c r="T101" s="33">
        <f t="shared" si="14"/>
        <v>4424112</v>
      </c>
      <c r="U101" s="34" t="s">
        <v>30</v>
      </c>
      <c r="V101" s="33">
        <f t="shared" si="15"/>
        <v>1924112</v>
      </c>
      <c r="W101" s="118">
        <v>18558288</v>
      </c>
      <c r="X101" s="119" t="s">
        <v>31</v>
      </c>
    </row>
    <row r="102" spans="1:24">
      <c r="A102" s="34">
        <f t="shared" si="16"/>
        <v>99</v>
      </c>
      <c r="B102" s="57" t="s">
        <v>24</v>
      </c>
      <c r="C102" s="126" t="s">
        <v>53</v>
      </c>
      <c r="D102" s="126" t="s">
        <v>139</v>
      </c>
      <c r="E102" s="127">
        <v>46218</v>
      </c>
      <c r="F102" s="135" t="s">
        <v>133</v>
      </c>
      <c r="G102" s="114" t="s">
        <v>99</v>
      </c>
      <c r="H102" s="115">
        <v>32.832</v>
      </c>
      <c r="I102" s="130">
        <v>489250</v>
      </c>
      <c r="J102" s="33">
        <f t="shared" si="9"/>
        <v>16063056</v>
      </c>
      <c r="K102" s="116">
        <v>19</v>
      </c>
      <c r="L102" s="116">
        <v>130000</v>
      </c>
      <c r="M102" s="33">
        <f t="shared" si="10"/>
        <v>2470000</v>
      </c>
      <c r="N102" s="33">
        <f t="shared" si="11"/>
        <v>18533056</v>
      </c>
      <c r="O102" s="68">
        <v>700000</v>
      </c>
      <c r="P102" s="33">
        <f t="shared" si="12"/>
        <v>210750</v>
      </c>
      <c r="Q102" s="33" t="s">
        <v>29</v>
      </c>
      <c r="R102" s="33">
        <f t="shared" si="13"/>
        <v>22982400</v>
      </c>
      <c r="S102" s="33">
        <v>2500000</v>
      </c>
      <c r="T102" s="33">
        <f t="shared" si="14"/>
        <v>6919344</v>
      </c>
      <c r="U102" s="34" t="s">
        <v>30</v>
      </c>
      <c r="V102" s="33">
        <f t="shared" si="15"/>
        <v>4419344</v>
      </c>
      <c r="W102" s="118">
        <v>0</v>
      </c>
      <c r="X102" s="119" t="s">
        <v>114</v>
      </c>
    </row>
    <row r="103" spans="1:24">
      <c r="A103" s="34">
        <f t="shared" si="16"/>
        <v>100</v>
      </c>
      <c r="B103" s="57" t="s">
        <v>24</v>
      </c>
      <c r="C103" s="136" t="s">
        <v>80</v>
      </c>
      <c r="D103" s="136" t="s">
        <v>108</v>
      </c>
      <c r="E103" s="137">
        <v>46218</v>
      </c>
      <c r="F103" s="145" t="s">
        <v>148</v>
      </c>
      <c r="G103" s="114" t="s">
        <v>28</v>
      </c>
      <c r="H103" s="115">
        <v>32.832</v>
      </c>
      <c r="I103" s="114">
        <v>593750</v>
      </c>
      <c r="J103" s="33">
        <f t="shared" si="9"/>
        <v>19494000</v>
      </c>
      <c r="K103" s="116">
        <v>19</v>
      </c>
      <c r="L103" s="116">
        <v>130000</v>
      </c>
      <c r="M103" s="33">
        <f t="shared" si="10"/>
        <v>2470000</v>
      </c>
      <c r="N103" s="33">
        <f t="shared" si="11"/>
        <v>21964000</v>
      </c>
      <c r="O103" s="68">
        <v>700000</v>
      </c>
      <c r="P103" s="33">
        <f t="shared" si="12"/>
        <v>106250</v>
      </c>
      <c r="Q103" s="33" t="s">
        <v>29</v>
      </c>
      <c r="R103" s="33">
        <f t="shared" si="13"/>
        <v>22982400</v>
      </c>
      <c r="S103" s="130">
        <v>2500000</v>
      </c>
      <c r="T103" s="33">
        <f t="shared" si="14"/>
        <v>3488400</v>
      </c>
      <c r="U103" s="34" t="s">
        <v>30</v>
      </c>
      <c r="V103" s="33">
        <f t="shared" si="15"/>
        <v>988400</v>
      </c>
      <c r="W103" s="118">
        <v>19494000</v>
      </c>
      <c r="X103" s="119" t="s">
        <v>31</v>
      </c>
    </row>
    <row r="104" spans="1:24">
      <c r="A104" s="34">
        <f t="shared" si="16"/>
        <v>101</v>
      </c>
      <c r="B104" s="57" t="s">
        <v>24</v>
      </c>
      <c r="C104" s="126" t="s">
        <v>53</v>
      </c>
      <c r="D104" s="126" t="s">
        <v>149</v>
      </c>
      <c r="E104" s="127">
        <v>46218</v>
      </c>
      <c r="F104" s="148" t="s">
        <v>150</v>
      </c>
      <c r="G104" s="114" t="s">
        <v>99</v>
      </c>
      <c r="H104" s="115">
        <v>19.008</v>
      </c>
      <c r="I104" s="130">
        <v>565250</v>
      </c>
      <c r="J104" s="33">
        <f t="shared" si="9"/>
        <v>10744272</v>
      </c>
      <c r="K104" s="116">
        <v>11</v>
      </c>
      <c r="L104" s="116">
        <v>130000</v>
      </c>
      <c r="M104" s="33">
        <f t="shared" si="10"/>
        <v>1430000</v>
      </c>
      <c r="N104" s="33">
        <f t="shared" si="11"/>
        <v>12174272</v>
      </c>
      <c r="O104" s="68">
        <v>700000</v>
      </c>
      <c r="P104" s="33">
        <f t="shared" si="12"/>
        <v>134750</v>
      </c>
      <c r="Q104" s="33" t="s">
        <v>29</v>
      </c>
      <c r="R104" s="33">
        <f t="shared" si="13"/>
        <v>13305600</v>
      </c>
      <c r="S104" s="130">
        <v>2500000</v>
      </c>
      <c r="T104" s="33">
        <f t="shared" si="14"/>
        <v>2561328</v>
      </c>
      <c r="U104" s="34" t="s">
        <v>30</v>
      </c>
      <c r="V104" s="33">
        <f t="shared" si="15"/>
        <v>61328</v>
      </c>
      <c r="W104" s="118">
        <v>10744272</v>
      </c>
      <c r="X104" s="119" t="s">
        <v>31</v>
      </c>
    </row>
    <row r="105" spans="1:24">
      <c r="A105" s="34">
        <f t="shared" si="16"/>
        <v>102</v>
      </c>
      <c r="B105" s="57" t="s">
        <v>24</v>
      </c>
      <c r="C105" s="126" t="s">
        <v>53</v>
      </c>
      <c r="D105" s="126" t="s">
        <v>110</v>
      </c>
      <c r="E105" s="127">
        <v>46218</v>
      </c>
      <c r="F105" s="148" t="s">
        <v>150</v>
      </c>
      <c r="G105" s="114" t="s">
        <v>99</v>
      </c>
      <c r="H105" s="115">
        <v>13.824</v>
      </c>
      <c r="I105" s="130">
        <v>565250</v>
      </c>
      <c r="J105" s="33">
        <f t="shared" si="9"/>
        <v>7814016</v>
      </c>
      <c r="K105" s="116">
        <v>8</v>
      </c>
      <c r="L105" s="116">
        <v>130000</v>
      </c>
      <c r="M105" s="33">
        <f t="shared" si="10"/>
        <v>1040000</v>
      </c>
      <c r="N105" s="33">
        <f t="shared" si="11"/>
        <v>8854016</v>
      </c>
      <c r="O105" s="68">
        <v>700000</v>
      </c>
      <c r="P105" s="33">
        <f t="shared" si="12"/>
        <v>134750</v>
      </c>
      <c r="Q105" s="33" t="s">
        <v>29</v>
      </c>
      <c r="R105" s="33">
        <f t="shared" si="13"/>
        <v>9676800</v>
      </c>
      <c r="S105" s="33">
        <v>0</v>
      </c>
      <c r="T105" s="33">
        <f t="shared" si="14"/>
        <v>1862784</v>
      </c>
      <c r="U105" s="34" t="s">
        <v>30</v>
      </c>
      <c r="V105" s="33">
        <f t="shared" si="15"/>
        <v>1862784</v>
      </c>
      <c r="W105" s="118">
        <v>7814016</v>
      </c>
      <c r="X105" s="119" t="s">
        <v>31</v>
      </c>
    </row>
    <row r="106" spans="1:24">
      <c r="A106" s="34">
        <f t="shared" si="16"/>
        <v>103</v>
      </c>
      <c r="B106" s="57" t="s">
        <v>24</v>
      </c>
      <c r="C106" s="111" t="s">
        <v>25</v>
      </c>
      <c r="D106" s="111" t="s">
        <v>123</v>
      </c>
      <c r="E106" s="112">
        <v>46218</v>
      </c>
      <c r="F106" s="147" t="s">
        <v>151</v>
      </c>
      <c r="G106" s="114" t="s">
        <v>99</v>
      </c>
      <c r="H106" s="115">
        <v>32.832</v>
      </c>
      <c r="I106" s="130">
        <v>565250</v>
      </c>
      <c r="J106" s="33">
        <f t="shared" si="9"/>
        <v>18558288</v>
      </c>
      <c r="K106" s="116">
        <v>19</v>
      </c>
      <c r="L106" s="116">
        <v>130000</v>
      </c>
      <c r="M106" s="33">
        <f t="shared" si="10"/>
        <v>2470000</v>
      </c>
      <c r="N106" s="33">
        <f t="shared" si="11"/>
        <v>21028288</v>
      </c>
      <c r="O106" s="68">
        <v>700000</v>
      </c>
      <c r="P106" s="33">
        <f t="shared" si="12"/>
        <v>134750</v>
      </c>
      <c r="Q106" s="33" t="s">
        <v>29</v>
      </c>
      <c r="R106" s="33">
        <f t="shared" si="13"/>
        <v>22982400</v>
      </c>
      <c r="S106" s="33">
        <v>2500000</v>
      </c>
      <c r="T106" s="33">
        <f t="shared" si="14"/>
        <v>4424112</v>
      </c>
      <c r="U106" s="34" t="s">
        <v>30</v>
      </c>
      <c r="V106" s="33">
        <f t="shared" si="15"/>
        <v>1924112</v>
      </c>
      <c r="W106" s="118">
        <v>18558288</v>
      </c>
      <c r="X106" s="119" t="s">
        <v>31</v>
      </c>
    </row>
    <row r="107" spans="1:24">
      <c r="A107" s="34">
        <f t="shared" si="16"/>
        <v>104</v>
      </c>
      <c r="B107" s="57" t="s">
        <v>24</v>
      </c>
      <c r="C107" s="111" t="s">
        <v>25</v>
      </c>
      <c r="D107" s="111" t="s">
        <v>123</v>
      </c>
      <c r="E107" s="112">
        <v>46218</v>
      </c>
      <c r="F107" s="147" t="s">
        <v>152</v>
      </c>
      <c r="G107" s="114" t="s">
        <v>99</v>
      </c>
      <c r="H107" s="115">
        <v>32.832</v>
      </c>
      <c r="I107" s="130">
        <v>565250</v>
      </c>
      <c r="J107" s="33">
        <f t="shared" si="9"/>
        <v>18558288</v>
      </c>
      <c r="K107" s="116">
        <v>19</v>
      </c>
      <c r="L107" s="116">
        <v>130000</v>
      </c>
      <c r="M107" s="33">
        <f t="shared" si="10"/>
        <v>2470000</v>
      </c>
      <c r="N107" s="33">
        <f t="shared" si="11"/>
        <v>21028288</v>
      </c>
      <c r="O107" s="68">
        <v>700000</v>
      </c>
      <c r="P107" s="33">
        <f t="shared" si="12"/>
        <v>134750</v>
      </c>
      <c r="Q107" s="33" t="s">
        <v>29</v>
      </c>
      <c r="R107" s="33">
        <f t="shared" si="13"/>
        <v>22982400</v>
      </c>
      <c r="S107" s="33">
        <v>2500000</v>
      </c>
      <c r="T107" s="33">
        <f t="shared" si="14"/>
        <v>4424112</v>
      </c>
      <c r="U107" s="34" t="s">
        <v>30</v>
      </c>
      <c r="V107" s="33">
        <f t="shared" si="15"/>
        <v>1924112</v>
      </c>
      <c r="W107" s="118">
        <v>18558288</v>
      </c>
      <c r="X107" s="119" t="s">
        <v>31</v>
      </c>
    </row>
    <row r="108" spans="1:24">
      <c r="A108" s="34">
        <f t="shared" si="16"/>
        <v>105</v>
      </c>
      <c r="B108" s="57" t="s">
        <v>24</v>
      </c>
      <c r="C108" s="111" t="s">
        <v>25</v>
      </c>
      <c r="D108" s="111" t="s">
        <v>123</v>
      </c>
      <c r="E108" s="112">
        <v>46218</v>
      </c>
      <c r="F108" s="147" t="s">
        <v>153</v>
      </c>
      <c r="G108" s="114" t="s">
        <v>99</v>
      </c>
      <c r="H108" s="115">
        <v>32.832</v>
      </c>
      <c r="I108" s="130">
        <v>565250</v>
      </c>
      <c r="J108" s="33">
        <f t="shared" si="9"/>
        <v>18558288</v>
      </c>
      <c r="K108" s="116">
        <v>19</v>
      </c>
      <c r="L108" s="116">
        <v>130000</v>
      </c>
      <c r="M108" s="33">
        <f t="shared" si="10"/>
        <v>2470000</v>
      </c>
      <c r="N108" s="33">
        <f t="shared" si="11"/>
        <v>21028288</v>
      </c>
      <c r="O108" s="68">
        <v>700000</v>
      </c>
      <c r="P108" s="33">
        <f t="shared" si="12"/>
        <v>134750</v>
      </c>
      <c r="Q108" s="33" t="s">
        <v>29</v>
      </c>
      <c r="R108" s="33">
        <f t="shared" si="13"/>
        <v>22982400</v>
      </c>
      <c r="S108" s="33">
        <v>2500000</v>
      </c>
      <c r="T108" s="33">
        <f t="shared" si="14"/>
        <v>4424112</v>
      </c>
      <c r="U108" s="34" t="s">
        <v>30</v>
      </c>
      <c r="V108" s="33">
        <f t="shared" si="15"/>
        <v>1924112</v>
      </c>
      <c r="W108" s="118">
        <v>18558288</v>
      </c>
      <c r="X108" s="119" t="s">
        <v>31</v>
      </c>
    </row>
    <row r="109" spans="1:24">
      <c r="A109" s="34">
        <f t="shared" si="16"/>
        <v>106</v>
      </c>
      <c r="B109" s="57" t="s">
        <v>24</v>
      </c>
      <c r="C109" s="111" t="s">
        <v>25</v>
      </c>
      <c r="D109" s="111" t="s">
        <v>123</v>
      </c>
      <c r="E109" s="112">
        <v>46219</v>
      </c>
      <c r="F109" s="147" t="s">
        <v>138</v>
      </c>
      <c r="G109" s="114" t="s">
        <v>99</v>
      </c>
      <c r="H109" s="115">
        <v>32.832</v>
      </c>
      <c r="I109" s="130">
        <v>565250</v>
      </c>
      <c r="J109" s="33">
        <f t="shared" si="9"/>
        <v>18558288</v>
      </c>
      <c r="K109" s="116">
        <v>19</v>
      </c>
      <c r="L109" s="116">
        <v>130000</v>
      </c>
      <c r="M109" s="33">
        <f t="shared" si="10"/>
        <v>2470000</v>
      </c>
      <c r="N109" s="33">
        <f t="shared" si="11"/>
        <v>21028288</v>
      </c>
      <c r="O109" s="68">
        <v>700000</v>
      </c>
      <c r="P109" s="33">
        <f t="shared" si="12"/>
        <v>134750</v>
      </c>
      <c r="Q109" s="33" t="s">
        <v>29</v>
      </c>
      <c r="R109" s="33">
        <f t="shared" si="13"/>
        <v>22982400</v>
      </c>
      <c r="S109" s="33">
        <v>2500000</v>
      </c>
      <c r="T109" s="33">
        <f t="shared" si="14"/>
        <v>4424112</v>
      </c>
      <c r="U109" s="34" t="s">
        <v>30</v>
      </c>
      <c r="V109" s="33">
        <f t="shared" si="15"/>
        <v>1924112</v>
      </c>
      <c r="W109" s="118">
        <v>18558288</v>
      </c>
      <c r="X109" s="119" t="s">
        <v>31</v>
      </c>
    </row>
    <row r="110" spans="1:24">
      <c r="A110" s="34">
        <f t="shared" si="16"/>
        <v>107</v>
      </c>
      <c r="B110" s="57" t="s">
        <v>24</v>
      </c>
      <c r="C110" s="111" t="s">
        <v>25</v>
      </c>
      <c r="D110" s="111" t="s">
        <v>62</v>
      </c>
      <c r="E110" s="112">
        <v>46219</v>
      </c>
      <c r="F110" s="147" t="s">
        <v>91</v>
      </c>
      <c r="G110" s="114" t="s">
        <v>99</v>
      </c>
      <c r="H110" s="115">
        <v>32.832</v>
      </c>
      <c r="I110" s="130">
        <v>565250</v>
      </c>
      <c r="J110" s="33">
        <f t="shared" si="9"/>
        <v>18558288</v>
      </c>
      <c r="K110" s="116">
        <v>19</v>
      </c>
      <c r="L110" s="116">
        <v>130000</v>
      </c>
      <c r="M110" s="33">
        <f t="shared" si="10"/>
        <v>2470000</v>
      </c>
      <c r="N110" s="33">
        <f t="shared" si="11"/>
        <v>21028288</v>
      </c>
      <c r="O110" s="68">
        <v>700000</v>
      </c>
      <c r="P110" s="33">
        <f t="shared" si="12"/>
        <v>134750</v>
      </c>
      <c r="Q110" s="33" t="s">
        <v>29</v>
      </c>
      <c r="R110" s="33">
        <f t="shared" si="13"/>
        <v>22982400</v>
      </c>
      <c r="S110" s="130">
        <v>2500000</v>
      </c>
      <c r="T110" s="33">
        <f t="shared" si="14"/>
        <v>4424112</v>
      </c>
      <c r="U110" s="34" t="s">
        <v>30</v>
      </c>
      <c r="V110" s="33">
        <f t="shared" si="15"/>
        <v>1924112</v>
      </c>
      <c r="W110" s="118">
        <v>18558288</v>
      </c>
      <c r="X110" s="119" t="s">
        <v>31</v>
      </c>
    </row>
    <row r="111" spans="1:24">
      <c r="A111" s="34">
        <f t="shared" si="16"/>
        <v>108</v>
      </c>
      <c r="B111" s="57" t="s">
        <v>24</v>
      </c>
      <c r="C111" s="57" t="s">
        <v>95</v>
      </c>
      <c r="D111" s="57" t="s">
        <v>154</v>
      </c>
      <c r="E111" s="32">
        <v>46219</v>
      </c>
      <c r="F111" s="34" t="s">
        <v>155</v>
      </c>
      <c r="G111" s="114" t="s">
        <v>99</v>
      </c>
      <c r="H111" s="115">
        <v>32.832</v>
      </c>
      <c r="I111" s="130">
        <v>565250</v>
      </c>
      <c r="J111" s="33">
        <f t="shared" si="9"/>
        <v>18558288</v>
      </c>
      <c r="K111" s="116">
        <v>19</v>
      </c>
      <c r="L111" s="116">
        <v>130000</v>
      </c>
      <c r="M111" s="33">
        <f t="shared" si="10"/>
        <v>2470000</v>
      </c>
      <c r="N111" s="33">
        <f t="shared" si="11"/>
        <v>21028288</v>
      </c>
      <c r="O111" s="68">
        <v>700000</v>
      </c>
      <c r="P111" s="33">
        <f t="shared" si="12"/>
        <v>134750</v>
      </c>
      <c r="Q111" s="33" t="s">
        <v>29</v>
      </c>
      <c r="R111" s="33">
        <f t="shared" si="13"/>
        <v>22982400</v>
      </c>
      <c r="S111" s="130">
        <v>2500000</v>
      </c>
      <c r="T111" s="33">
        <f t="shared" si="14"/>
        <v>4424112</v>
      </c>
      <c r="U111" s="34" t="s">
        <v>30</v>
      </c>
      <c r="V111" s="33">
        <f t="shared" si="15"/>
        <v>1924112</v>
      </c>
      <c r="W111" s="118">
        <v>18558288</v>
      </c>
      <c r="X111" s="119" t="s">
        <v>31</v>
      </c>
    </row>
    <row r="112" spans="1:24">
      <c r="A112" s="34">
        <f t="shared" si="16"/>
        <v>109</v>
      </c>
      <c r="B112" s="57" t="s">
        <v>24</v>
      </c>
      <c r="C112" s="136" t="s">
        <v>80</v>
      </c>
      <c r="D112" s="136" t="s">
        <v>81</v>
      </c>
      <c r="E112" s="137">
        <v>46219</v>
      </c>
      <c r="F112" s="145" t="s">
        <v>156</v>
      </c>
      <c r="G112" s="114" t="s">
        <v>28</v>
      </c>
      <c r="H112" s="115">
        <v>32.832</v>
      </c>
      <c r="I112" s="114">
        <v>593750</v>
      </c>
      <c r="J112" s="33">
        <f t="shared" si="9"/>
        <v>19494000</v>
      </c>
      <c r="K112" s="116">
        <v>19</v>
      </c>
      <c r="L112" s="116">
        <v>130000</v>
      </c>
      <c r="M112" s="33">
        <f t="shared" si="10"/>
        <v>2470000</v>
      </c>
      <c r="N112" s="33">
        <f t="shared" si="11"/>
        <v>21964000</v>
      </c>
      <c r="O112" s="68">
        <v>700000</v>
      </c>
      <c r="P112" s="33">
        <f t="shared" si="12"/>
        <v>106250</v>
      </c>
      <c r="Q112" s="33" t="s">
        <v>29</v>
      </c>
      <c r="R112" s="33">
        <f t="shared" si="13"/>
        <v>22982400</v>
      </c>
      <c r="S112" s="130">
        <v>2500000</v>
      </c>
      <c r="T112" s="33">
        <f t="shared" si="14"/>
        <v>3488400</v>
      </c>
      <c r="U112" s="34" t="s">
        <v>30</v>
      </c>
      <c r="V112" s="33">
        <f t="shared" si="15"/>
        <v>988400</v>
      </c>
      <c r="W112" s="118">
        <v>19494000</v>
      </c>
      <c r="X112" s="119" t="s">
        <v>31</v>
      </c>
    </row>
    <row r="113" spans="1:24">
      <c r="A113" s="34">
        <f t="shared" si="16"/>
        <v>110</v>
      </c>
      <c r="B113" s="57" t="s">
        <v>24</v>
      </c>
      <c r="C113" s="136" t="s">
        <v>80</v>
      </c>
      <c r="D113" s="136" t="s">
        <v>81</v>
      </c>
      <c r="E113" s="137">
        <v>46219</v>
      </c>
      <c r="F113" s="145" t="s">
        <v>122</v>
      </c>
      <c r="G113" s="114" t="s">
        <v>28</v>
      </c>
      <c r="H113" s="115">
        <v>32.832</v>
      </c>
      <c r="I113" s="114">
        <v>593750</v>
      </c>
      <c r="J113" s="33">
        <f t="shared" si="9"/>
        <v>19494000</v>
      </c>
      <c r="K113" s="116">
        <v>19</v>
      </c>
      <c r="L113" s="116">
        <v>130000</v>
      </c>
      <c r="M113" s="33">
        <f t="shared" si="10"/>
        <v>2470000</v>
      </c>
      <c r="N113" s="33">
        <f t="shared" si="11"/>
        <v>21964000</v>
      </c>
      <c r="O113" s="68">
        <v>700000</v>
      </c>
      <c r="P113" s="33">
        <f t="shared" si="12"/>
        <v>106250</v>
      </c>
      <c r="Q113" s="33" t="s">
        <v>29</v>
      </c>
      <c r="R113" s="33">
        <f t="shared" si="13"/>
        <v>22982400</v>
      </c>
      <c r="S113" s="130">
        <v>2500000</v>
      </c>
      <c r="T113" s="33">
        <f t="shared" si="14"/>
        <v>3488400</v>
      </c>
      <c r="U113" s="34" t="s">
        <v>30</v>
      </c>
      <c r="V113" s="33">
        <f t="shared" si="15"/>
        <v>988400</v>
      </c>
      <c r="W113" s="118">
        <v>19494000</v>
      </c>
      <c r="X113" s="119" t="s">
        <v>31</v>
      </c>
    </row>
    <row r="114" spans="1:24">
      <c r="A114" s="34">
        <f t="shared" si="16"/>
        <v>111</v>
      </c>
      <c r="B114" s="57" t="s">
        <v>24</v>
      </c>
      <c r="C114" s="136" t="s">
        <v>80</v>
      </c>
      <c r="D114" s="136" t="s">
        <v>105</v>
      </c>
      <c r="E114" s="137">
        <v>46219</v>
      </c>
      <c r="F114" s="145" t="s">
        <v>157</v>
      </c>
      <c r="G114" s="114" t="s">
        <v>28</v>
      </c>
      <c r="H114" s="115">
        <v>32.832</v>
      </c>
      <c r="I114" s="114">
        <v>593750</v>
      </c>
      <c r="J114" s="33">
        <f t="shared" si="9"/>
        <v>19494000</v>
      </c>
      <c r="K114" s="116">
        <v>19</v>
      </c>
      <c r="L114" s="116">
        <v>130000</v>
      </c>
      <c r="M114" s="33">
        <f t="shared" si="10"/>
        <v>2470000</v>
      </c>
      <c r="N114" s="33">
        <f t="shared" si="11"/>
        <v>21964000</v>
      </c>
      <c r="O114" s="68">
        <v>700000</v>
      </c>
      <c r="P114" s="33">
        <f t="shared" si="12"/>
        <v>106250</v>
      </c>
      <c r="Q114" s="33" t="s">
        <v>29</v>
      </c>
      <c r="R114" s="33">
        <f t="shared" si="13"/>
        <v>22982400</v>
      </c>
      <c r="S114" s="130">
        <v>2500000</v>
      </c>
      <c r="T114" s="33">
        <f t="shared" si="14"/>
        <v>3488400</v>
      </c>
      <c r="U114" s="34" t="s">
        <v>30</v>
      </c>
      <c r="V114" s="33">
        <f t="shared" si="15"/>
        <v>988400</v>
      </c>
      <c r="W114" s="118">
        <v>19494000</v>
      </c>
      <c r="X114" s="119" t="s">
        <v>31</v>
      </c>
    </row>
    <row r="115" spans="1:24">
      <c r="A115" s="34">
        <f t="shared" si="16"/>
        <v>112</v>
      </c>
      <c r="B115" s="57" t="s">
        <v>24</v>
      </c>
      <c r="C115" s="120" t="s">
        <v>35</v>
      </c>
      <c r="D115" s="120" t="s">
        <v>36</v>
      </c>
      <c r="E115" s="121">
        <v>46219</v>
      </c>
      <c r="F115" s="144" t="s">
        <v>158</v>
      </c>
      <c r="G115" s="114" t="s">
        <v>28</v>
      </c>
      <c r="H115" s="115">
        <v>32.832</v>
      </c>
      <c r="I115" s="114">
        <v>593750</v>
      </c>
      <c r="J115" s="33">
        <f t="shared" si="9"/>
        <v>19494000</v>
      </c>
      <c r="K115" s="116">
        <v>19</v>
      </c>
      <c r="L115" s="116">
        <v>130000</v>
      </c>
      <c r="M115" s="33">
        <f t="shared" si="10"/>
        <v>2470000</v>
      </c>
      <c r="N115" s="33">
        <f t="shared" si="11"/>
        <v>21964000</v>
      </c>
      <c r="O115" s="68">
        <v>700000</v>
      </c>
      <c r="P115" s="33">
        <f t="shared" si="12"/>
        <v>106250</v>
      </c>
      <c r="Q115" s="33" t="s">
        <v>29</v>
      </c>
      <c r="R115" s="33">
        <f t="shared" si="13"/>
        <v>22982400</v>
      </c>
      <c r="S115" s="130">
        <v>2500000</v>
      </c>
      <c r="T115" s="33">
        <f t="shared" si="14"/>
        <v>3488400</v>
      </c>
      <c r="U115" s="34" t="s">
        <v>30</v>
      </c>
      <c r="V115" s="33">
        <f t="shared" si="15"/>
        <v>988400</v>
      </c>
      <c r="W115" s="118">
        <v>19494000</v>
      </c>
      <c r="X115" s="119" t="s">
        <v>31</v>
      </c>
    </row>
    <row r="116" spans="1:24">
      <c r="A116" s="49">
        <f t="shared" si="16"/>
        <v>113</v>
      </c>
      <c r="B116" s="46" t="s">
        <v>24</v>
      </c>
      <c r="C116" s="149" t="s">
        <v>35</v>
      </c>
      <c r="D116" s="149" t="s">
        <v>159</v>
      </c>
      <c r="E116" s="150">
        <v>46219</v>
      </c>
      <c r="F116" s="151" t="s">
        <v>160</v>
      </c>
      <c r="G116" s="152" t="s">
        <v>28</v>
      </c>
      <c r="H116" s="153">
        <v>32.832</v>
      </c>
      <c r="I116" s="152">
        <v>593750</v>
      </c>
      <c r="J116" s="50">
        <f t="shared" si="9"/>
        <v>19494000</v>
      </c>
      <c r="K116" s="154">
        <v>19</v>
      </c>
      <c r="L116" s="154">
        <v>130000</v>
      </c>
      <c r="M116" s="50">
        <f t="shared" si="10"/>
        <v>2470000</v>
      </c>
      <c r="N116" s="50">
        <f t="shared" si="11"/>
        <v>21964000</v>
      </c>
      <c r="O116" s="155">
        <v>700000</v>
      </c>
      <c r="P116" s="33">
        <f t="shared" si="12"/>
        <v>106250</v>
      </c>
      <c r="Q116" s="50" t="s">
        <v>29</v>
      </c>
      <c r="R116" s="33">
        <f t="shared" si="13"/>
        <v>22982400</v>
      </c>
      <c r="S116" s="156">
        <v>2500000</v>
      </c>
      <c r="T116" s="50">
        <f t="shared" si="14"/>
        <v>3488400</v>
      </c>
      <c r="U116" s="49" t="s">
        <v>30</v>
      </c>
      <c r="V116" s="50">
        <f t="shared" si="15"/>
        <v>988400</v>
      </c>
      <c r="W116" s="118">
        <v>19494000</v>
      </c>
      <c r="X116" s="119" t="s">
        <v>31</v>
      </c>
    </row>
    <row r="117" spans="1:24">
      <c r="A117" s="49">
        <f t="shared" ref="A117:A173" si="17">A116+1</f>
        <v>114</v>
      </c>
      <c r="B117" s="57" t="s">
        <v>24</v>
      </c>
      <c r="C117" s="136" t="s">
        <v>80</v>
      </c>
      <c r="D117" s="136" t="s">
        <v>105</v>
      </c>
      <c r="E117" s="137">
        <v>46220</v>
      </c>
      <c r="F117" s="145" t="s">
        <v>65</v>
      </c>
      <c r="G117" s="114" t="s">
        <v>28</v>
      </c>
      <c r="H117" s="115">
        <v>32.832</v>
      </c>
      <c r="I117" s="114">
        <v>593750</v>
      </c>
      <c r="J117" s="50">
        <f t="shared" si="9"/>
        <v>19494000</v>
      </c>
      <c r="K117" s="116">
        <v>19</v>
      </c>
      <c r="L117" s="116">
        <v>130000</v>
      </c>
      <c r="M117" s="50">
        <f t="shared" si="10"/>
        <v>2470000</v>
      </c>
      <c r="N117" s="50">
        <f t="shared" si="11"/>
        <v>21964000</v>
      </c>
      <c r="O117" s="68">
        <v>700000</v>
      </c>
      <c r="P117" s="33">
        <f t="shared" si="12"/>
        <v>106250</v>
      </c>
      <c r="Q117" s="33" t="s">
        <v>29</v>
      </c>
      <c r="R117" s="33">
        <f t="shared" si="13"/>
        <v>22982400</v>
      </c>
      <c r="S117" s="130">
        <v>2500000</v>
      </c>
      <c r="T117" s="50">
        <f t="shared" si="14"/>
        <v>3488400</v>
      </c>
      <c r="U117" s="49" t="s">
        <v>30</v>
      </c>
      <c r="V117" s="50">
        <f t="shared" si="15"/>
        <v>988400</v>
      </c>
      <c r="W117" s="118">
        <v>19494000</v>
      </c>
      <c r="X117" s="119" t="s">
        <v>31</v>
      </c>
    </row>
    <row r="118" spans="1:24">
      <c r="A118" s="49">
        <f t="shared" si="17"/>
        <v>115</v>
      </c>
      <c r="B118" s="57" t="s">
        <v>24</v>
      </c>
      <c r="C118" s="57" t="s">
        <v>95</v>
      </c>
      <c r="D118" s="57" t="s">
        <v>100</v>
      </c>
      <c r="E118" s="32">
        <v>46220</v>
      </c>
      <c r="F118" s="34" t="s">
        <v>161</v>
      </c>
      <c r="G118" s="114" t="s">
        <v>28</v>
      </c>
      <c r="H118" s="115">
        <v>32.832</v>
      </c>
      <c r="I118" s="114">
        <v>593750</v>
      </c>
      <c r="J118" s="50">
        <f t="shared" si="9"/>
        <v>19494000</v>
      </c>
      <c r="K118" s="116">
        <v>19</v>
      </c>
      <c r="L118" s="116">
        <v>130000</v>
      </c>
      <c r="M118" s="50">
        <f t="shared" si="10"/>
        <v>2470000</v>
      </c>
      <c r="N118" s="50">
        <f t="shared" si="11"/>
        <v>21964000</v>
      </c>
      <c r="O118" s="68">
        <v>700000</v>
      </c>
      <c r="P118" s="33">
        <f t="shared" si="12"/>
        <v>106250</v>
      </c>
      <c r="Q118" s="33" t="s">
        <v>29</v>
      </c>
      <c r="R118" s="33">
        <f t="shared" si="13"/>
        <v>22982400</v>
      </c>
      <c r="S118" s="130">
        <v>2500000</v>
      </c>
      <c r="T118" s="50">
        <f t="shared" si="14"/>
        <v>3488400</v>
      </c>
      <c r="U118" s="49" t="s">
        <v>30</v>
      </c>
      <c r="V118" s="50">
        <f t="shared" si="15"/>
        <v>988400</v>
      </c>
      <c r="W118" s="118">
        <v>19494000</v>
      </c>
      <c r="X118" s="119" t="s">
        <v>31</v>
      </c>
    </row>
    <row r="119" spans="1:24">
      <c r="A119" s="49">
        <f t="shared" si="17"/>
        <v>116</v>
      </c>
      <c r="B119" s="57" t="s">
        <v>24</v>
      </c>
      <c r="C119" s="57" t="s">
        <v>95</v>
      </c>
      <c r="D119" s="57" t="s">
        <v>154</v>
      </c>
      <c r="E119" s="32">
        <v>46220</v>
      </c>
      <c r="F119" s="34" t="s">
        <v>162</v>
      </c>
      <c r="G119" s="114" t="s">
        <v>49</v>
      </c>
      <c r="H119" s="115">
        <v>20.736</v>
      </c>
      <c r="I119" s="114">
        <v>593750</v>
      </c>
      <c r="J119" s="50">
        <f t="shared" si="9"/>
        <v>12312000</v>
      </c>
      <c r="K119" s="116">
        <v>12</v>
      </c>
      <c r="L119" s="116">
        <v>130000</v>
      </c>
      <c r="M119" s="50">
        <f t="shared" si="10"/>
        <v>1560000</v>
      </c>
      <c r="N119" s="50">
        <f t="shared" si="11"/>
        <v>13872000</v>
      </c>
      <c r="O119" s="68">
        <v>700000</v>
      </c>
      <c r="P119" s="33">
        <f t="shared" si="12"/>
        <v>106250</v>
      </c>
      <c r="Q119" s="33" t="s">
        <v>29</v>
      </c>
      <c r="R119" s="33">
        <f t="shared" si="13"/>
        <v>14515200</v>
      </c>
      <c r="S119" s="130">
        <v>1250000</v>
      </c>
      <c r="T119" s="50">
        <f t="shared" si="14"/>
        <v>2203200</v>
      </c>
      <c r="U119" s="49" t="s">
        <v>30</v>
      </c>
      <c r="V119" s="50">
        <f t="shared" si="15"/>
        <v>953200</v>
      </c>
      <c r="W119" s="118">
        <v>12312000</v>
      </c>
      <c r="X119" s="119" t="s">
        <v>31</v>
      </c>
    </row>
    <row r="120" spans="1:24">
      <c r="A120" s="49">
        <f t="shared" si="17"/>
        <v>117</v>
      </c>
      <c r="B120" s="57" t="s">
        <v>24</v>
      </c>
      <c r="C120" s="123" t="s">
        <v>44</v>
      </c>
      <c r="D120" s="123" t="s">
        <v>87</v>
      </c>
      <c r="E120" s="139">
        <v>46220</v>
      </c>
      <c r="F120" s="123" t="s">
        <v>163</v>
      </c>
      <c r="G120" s="114" t="s">
        <v>28</v>
      </c>
      <c r="H120" s="115">
        <v>32.832</v>
      </c>
      <c r="I120" s="114">
        <v>593750</v>
      </c>
      <c r="J120" s="50">
        <f t="shared" si="9"/>
        <v>19494000</v>
      </c>
      <c r="K120" s="116">
        <v>19</v>
      </c>
      <c r="L120" s="116">
        <v>130000</v>
      </c>
      <c r="M120" s="50">
        <f t="shared" si="10"/>
        <v>2470000</v>
      </c>
      <c r="N120" s="50">
        <f t="shared" si="11"/>
        <v>21964000</v>
      </c>
      <c r="O120" s="68">
        <v>700000</v>
      </c>
      <c r="P120" s="33">
        <f t="shared" si="12"/>
        <v>106250</v>
      </c>
      <c r="Q120" s="33" t="s">
        <v>29</v>
      </c>
      <c r="R120" s="33">
        <f t="shared" si="13"/>
        <v>22982400</v>
      </c>
      <c r="S120" s="130">
        <v>2500000</v>
      </c>
      <c r="T120" s="50">
        <f t="shared" si="14"/>
        <v>3488400</v>
      </c>
      <c r="U120" s="49" t="s">
        <v>30</v>
      </c>
      <c r="V120" s="50">
        <f t="shared" si="15"/>
        <v>988400</v>
      </c>
      <c r="W120" s="118">
        <v>19494000</v>
      </c>
      <c r="X120" s="119" t="s">
        <v>31</v>
      </c>
    </row>
    <row r="121" spans="1:24">
      <c r="A121" s="49">
        <f t="shared" si="17"/>
        <v>118</v>
      </c>
      <c r="B121" s="57" t="s">
        <v>24</v>
      </c>
      <c r="C121" s="136" t="s">
        <v>80</v>
      </c>
      <c r="D121" s="136" t="s">
        <v>81</v>
      </c>
      <c r="E121" s="137">
        <v>46220</v>
      </c>
      <c r="F121" s="145" t="s">
        <v>164</v>
      </c>
      <c r="G121" s="114" t="s">
        <v>28</v>
      </c>
      <c r="H121" s="115">
        <v>32.832</v>
      </c>
      <c r="I121" s="114">
        <v>593750</v>
      </c>
      <c r="J121" s="50">
        <f t="shared" si="9"/>
        <v>19494000</v>
      </c>
      <c r="K121" s="116">
        <v>19</v>
      </c>
      <c r="L121" s="116">
        <v>130000</v>
      </c>
      <c r="M121" s="50">
        <f t="shared" si="10"/>
        <v>2470000</v>
      </c>
      <c r="N121" s="50">
        <f t="shared" si="11"/>
        <v>21964000</v>
      </c>
      <c r="O121" s="68">
        <v>700000</v>
      </c>
      <c r="P121" s="33">
        <f t="shared" si="12"/>
        <v>106250</v>
      </c>
      <c r="Q121" s="33" t="s">
        <v>29</v>
      </c>
      <c r="R121" s="33">
        <f t="shared" si="13"/>
        <v>22982400</v>
      </c>
      <c r="S121" s="130">
        <v>2500000</v>
      </c>
      <c r="T121" s="50">
        <f t="shared" si="14"/>
        <v>3488400</v>
      </c>
      <c r="U121" s="49" t="s">
        <v>30</v>
      </c>
      <c r="V121" s="50">
        <f t="shared" si="15"/>
        <v>988400</v>
      </c>
      <c r="W121" s="118">
        <v>19494000</v>
      </c>
      <c r="X121" s="119" t="s">
        <v>31</v>
      </c>
    </row>
    <row r="122" spans="1:24">
      <c r="A122" s="49">
        <f t="shared" si="17"/>
        <v>119</v>
      </c>
      <c r="B122" s="57" t="s">
        <v>24</v>
      </c>
      <c r="C122" s="136" t="s">
        <v>80</v>
      </c>
      <c r="D122" s="136" t="s">
        <v>81</v>
      </c>
      <c r="E122" s="137">
        <v>46220</v>
      </c>
      <c r="F122" s="145" t="s">
        <v>165</v>
      </c>
      <c r="G122" s="114" t="s">
        <v>28</v>
      </c>
      <c r="H122" s="115">
        <v>32.832</v>
      </c>
      <c r="I122" s="114">
        <v>593750</v>
      </c>
      <c r="J122" s="50">
        <f t="shared" si="9"/>
        <v>19494000</v>
      </c>
      <c r="K122" s="116">
        <v>19</v>
      </c>
      <c r="L122" s="116">
        <v>130000</v>
      </c>
      <c r="M122" s="50">
        <f t="shared" si="10"/>
        <v>2470000</v>
      </c>
      <c r="N122" s="50">
        <f t="shared" si="11"/>
        <v>21964000</v>
      </c>
      <c r="O122" s="68">
        <v>700000</v>
      </c>
      <c r="P122" s="33">
        <f t="shared" si="12"/>
        <v>106250</v>
      </c>
      <c r="Q122" s="33" t="s">
        <v>29</v>
      </c>
      <c r="R122" s="33">
        <f t="shared" si="13"/>
        <v>22982400</v>
      </c>
      <c r="S122" s="130">
        <v>2500000</v>
      </c>
      <c r="T122" s="50">
        <f t="shared" si="14"/>
        <v>3488400</v>
      </c>
      <c r="U122" s="49" t="s">
        <v>30</v>
      </c>
      <c r="V122" s="50">
        <f t="shared" si="15"/>
        <v>988400</v>
      </c>
      <c r="W122" s="118">
        <v>19494000</v>
      </c>
      <c r="X122" s="119" t="s">
        <v>31</v>
      </c>
    </row>
    <row r="123" spans="1:24">
      <c r="A123" s="49">
        <f t="shared" si="17"/>
        <v>120</v>
      </c>
      <c r="B123" s="57" t="s">
        <v>24</v>
      </c>
      <c r="C123" s="120" t="s">
        <v>35</v>
      </c>
      <c r="D123" s="120" t="s">
        <v>166</v>
      </c>
      <c r="E123" s="121">
        <v>46220</v>
      </c>
      <c r="F123" s="144" t="s">
        <v>167</v>
      </c>
      <c r="G123" s="114" t="s">
        <v>28</v>
      </c>
      <c r="H123" s="115">
        <v>32.832</v>
      </c>
      <c r="I123" s="114">
        <v>593750</v>
      </c>
      <c r="J123" s="50">
        <f t="shared" si="9"/>
        <v>19494000</v>
      </c>
      <c r="K123" s="116">
        <v>19</v>
      </c>
      <c r="L123" s="116">
        <v>130000</v>
      </c>
      <c r="M123" s="50">
        <f t="shared" si="10"/>
        <v>2470000</v>
      </c>
      <c r="N123" s="50">
        <f t="shared" si="11"/>
        <v>21964000</v>
      </c>
      <c r="O123" s="68">
        <v>700000</v>
      </c>
      <c r="P123" s="33">
        <f t="shared" si="12"/>
        <v>106250</v>
      </c>
      <c r="Q123" s="33" t="s">
        <v>29</v>
      </c>
      <c r="R123" s="33">
        <f t="shared" si="13"/>
        <v>22982400</v>
      </c>
      <c r="S123" s="130">
        <v>2500000</v>
      </c>
      <c r="T123" s="50">
        <f t="shared" si="14"/>
        <v>3488400</v>
      </c>
      <c r="U123" s="49" t="s">
        <v>30</v>
      </c>
      <c r="V123" s="50">
        <f t="shared" si="15"/>
        <v>988400</v>
      </c>
      <c r="W123" s="118">
        <v>19494000</v>
      </c>
      <c r="X123" s="119" t="s">
        <v>31</v>
      </c>
    </row>
    <row r="124" spans="1:24">
      <c r="A124" s="49">
        <f t="shared" si="17"/>
        <v>121</v>
      </c>
      <c r="B124" s="57" t="s">
        <v>24</v>
      </c>
      <c r="C124" s="136" t="s">
        <v>80</v>
      </c>
      <c r="D124" s="136" t="s">
        <v>81</v>
      </c>
      <c r="E124" s="137">
        <v>46221</v>
      </c>
      <c r="F124" s="145" t="s">
        <v>168</v>
      </c>
      <c r="G124" s="114" t="s">
        <v>49</v>
      </c>
      <c r="H124" s="115">
        <v>32.832</v>
      </c>
      <c r="I124" s="114">
        <v>593750</v>
      </c>
      <c r="J124" s="50">
        <f t="shared" si="9"/>
        <v>19494000</v>
      </c>
      <c r="K124" s="116">
        <v>19</v>
      </c>
      <c r="L124" s="116">
        <v>130000</v>
      </c>
      <c r="M124" s="50">
        <f t="shared" si="10"/>
        <v>2470000</v>
      </c>
      <c r="N124" s="50">
        <f t="shared" si="11"/>
        <v>21964000</v>
      </c>
      <c r="O124" s="68">
        <v>700000</v>
      </c>
      <c r="P124" s="33">
        <f t="shared" si="12"/>
        <v>106250</v>
      </c>
      <c r="Q124" s="33" t="s">
        <v>29</v>
      </c>
      <c r="R124" s="33">
        <f t="shared" si="13"/>
        <v>22982400</v>
      </c>
      <c r="S124" s="130">
        <v>2500000</v>
      </c>
      <c r="T124" s="50">
        <f t="shared" si="14"/>
        <v>3488400</v>
      </c>
      <c r="U124" s="49" t="s">
        <v>30</v>
      </c>
      <c r="V124" s="50">
        <f t="shared" si="15"/>
        <v>988400</v>
      </c>
      <c r="W124" s="118">
        <v>19494000</v>
      </c>
      <c r="X124" s="119" t="s">
        <v>31</v>
      </c>
    </row>
    <row r="125" spans="1:24">
      <c r="A125" s="49">
        <f t="shared" si="17"/>
        <v>122</v>
      </c>
      <c r="B125" s="57" t="s">
        <v>24</v>
      </c>
      <c r="C125" s="126" t="s">
        <v>53</v>
      </c>
      <c r="D125" s="126" t="s">
        <v>56</v>
      </c>
      <c r="E125" s="127">
        <v>46221</v>
      </c>
      <c r="F125" s="148" t="s">
        <v>138</v>
      </c>
      <c r="G125" s="114" t="s">
        <v>28</v>
      </c>
      <c r="H125" s="115">
        <v>32.832</v>
      </c>
      <c r="I125" s="114">
        <v>593750</v>
      </c>
      <c r="J125" s="50">
        <f t="shared" si="9"/>
        <v>19494000</v>
      </c>
      <c r="K125" s="116">
        <v>19</v>
      </c>
      <c r="L125" s="116">
        <v>130000</v>
      </c>
      <c r="M125" s="50">
        <f t="shared" si="10"/>
        <v>2470000</v>
      </c>
      <c r="N125" s="50">
        <f t="shared" si="11"/>
        <v>21964000</v>
      </c>
      <c r="O125" s="68">
        <v>700000</v>
      </c>
      <c r="P125" s="33">
        <f t="shared" si="12"/>
        <v>106250</v>
      </c>
      <c r="Q125" s="33" t="s">
        <v>29</v>
      </c>
      <c r="R125" s="33">
        <f t="shared" si="13"/>
        <v>22982400</v>
      </c>
      <c r="S125" s="130">
        <v>2500000</v>
      </c>
      <c r="T125" s="50">
        <f t="shared" si="14"/>
        <v>3488400</v>
      </c>
      <c r="U125" s="49" t="s">
        <v>30</v>
      </c>
      <c r="V125" s="50">
        <f t="shared" si="15"/>
        <v>988400</v>
      </c>
      <c r="W125" s="118">
        <v>19494000</v>
      </c>
      <c r="X125" s="119" t="s">
        <v>31</v>
      </c>
    </row>
    <row r="126" spans="1:24">
      <c r="A126" s="49">
        <f t="shared" si="17"/>
        <v>123</v>
      </c>
      <c r="B126" s="57" t="s">
        <v>24</v>
      </c>
      <c r="C126" s="57" t="s">
        <v>95</v>
      </c>
      <c r="D126" s="57" t="s">
        <v>100</v>
      </c>
      <c r="E126" s="32">
        <v>46221</v>
      </c>
      <c r="F126" s="34" t="s">
        <v>133</v>
      </c>
      <c r="G126" s="114" t="s">
        <v>28</v>
      </c>
      <c r="H126" s="115">
        <v>32.832</v>
      </c>
      <c r="I126" s="114">
        <v>593750</v>
      </c>
      <c r="J126" s="50">
        <f t="shared" si="9"/>
        <v>19494000</v>
      </c>
      <c r="K126" s="116">
        <v>19</v>
      </c>
      <c r="L126" s="116">
        <v>130000</v>
      </c>
      <c r="M126" s="50">
        <f t="shared" si="10"/>
        <v>2470000</v>
      </c>
      <c r="N126" s="50">
        <f t="shared" si="11"/>
        <v>21964000</v>
      </c>
      <c r="O126" s="68">
        <v>700000</v>
      </c>
      <c r="P126" s="33">
        <f t="shared" si="12"/>
        <v>106250</v>
      </c>
      <c r="Q126" s="33" t="s">
        <v>29</v>
      </c>
      <c r="R126" s="33">
        <f t="shared" si="13"/>
        <v>22982400</v>
      </c>
      <c r="S126" s="130">
        <v>2500000</v>
      </c>
      <c r="T126" s="50">
        <f t="shared" si="14"/>
        <v>3488400</v>
      </c>
      <c r="U126" s="49" t="s">
        <v>30</v>
      </c>
      <c r="V126" s="50">
        <f t="shared" si="15"/>
        <v>988400</v>
      </c>
      <c r="W126" s="118">
        <v>19494000</v>
      </c>
      <c r="X126" s="119" t="s">
        <v>31</v>
      </c>
    </row>
    <row r="127" spans="1:24">
      <c r="A127" s="49">
        <f t="shared" si="17"/>
        <v>124</v>
      </c>
      <c r="B127" s="57" t="s">
        <v>24</v>
      </c>
      <c r="C127" s="57" t="s">
        <v>95</v>
      </c>
      <c r="D127" s="57" t="s">
        <v>100</v>
      </c>
      <c r="E127" s="32">
        <v>46221</v>
      </c>
      <c r="F127" s="34" t="s">
        <v>169</v>
      </c>
      <c r="G127" s="114" t="s">
        <v>28</v>
      </c>
      <c r="H127" s="115">
        <v>32.832</v>
      </c>
      <c r="I127" s="114">
        <v>593750</v>
      </c>
      <c r="J127" s="50">
        <f t="shared" si="9"/>
        <v>19494000</v>
      </c>
      <c r="K127" s="116">
        <v>19</v>
      </c>
      <c r="L127" s="116">
        <v>130000</v>
      </c>
      <c r="M127" s="50">
        <f t="shared" si="10"/>
        <v>2470000</v>
      </c>
      <c r="N127" s="50">
        <f t="shared" si="11"/>
        <v>21964000</v>
      </c>
      <c r="O127" s="68">
        <v>700000</v>
      </c>
      <c r="P127" s="33">
        <f t="shared" si="12"/>
        <v>106250</v>
      </c>
      <c r="Q127" s="33" t="s">
        <v>29</v>
      </c>
      <c r="R127" s="33">
        <f t="shared" si="13"/>
        <v>22982400</v>
      </c>
      <c r="S127" s="130">
        <v>2500000</v>
      </c>
      <c r="T127" s="50">
        <f t="shared" si="14"/>
        <v>3488400</v>
      </c>
      <c r="U127" s="49" t="s">
        <v>30</v>
      </c>
      <c r="V127" s="50">
        <f t="shared" si="15"/>
        <v>988400</v>
      </c>
      <c r="W127" s="118">
        <v>19494000</v>
      </c>
      <c r="X127" s="119" t="s">
        <v>31</v>
      </c>
    </row>
    <row r="128" spans="1:24">
      <c r="A128" s="49">
        <f t="shared" si="17"/>
        <v>125</v>
      </c>
      <c r="B128" s="57" t="s">
        <v>24</v>
      </c>
      <c r="C128" s="120" t="s">
        <v>35</v>
      </c>
      <c r="D128" s="120" t="s">
        <v>166</v>
      </c>
      <c r="E128" s="121">
        <v>46221</v>
      </c>
      <c r="F128" s="144" t="s">
        <v>170</v>
      </c>
      <c r="G128" s="114" t="s">
        <v>28</v>
      </c>
      <c r="H128" s="115">
        <v>32.832</v>
      </c>
      <c r="I128" s="114">
        <v>593750</v>
      </c>
      <c r="J128" s="50">
        <f t="shared" si="9"/>
        <v>19494000</v>
      </c>
      <c r="K128" s="116">
        <v>19</v>
      </c>
      <c r="L128" s="116">
        <v>130000</v>
      </c>
      <c r="M128" s="50">
        <f t="shared" si="10"/>
        <v>2470000</v>
      </c>
      <c r="N128" s="50">
        <f t="shared" si="11"/>
        <v>21964000</v>
      </c>
      <c r="O128" s="68">
        <v>700000</v>
      </c>
      <c r="P128" s="33">
        <f t="shared" si="12"/>
        <v>106250</v>
      </c>
      <c r="Q128" s="33" t="s">
        <v>29</v>
      </c>
      <c r="R128" s="33">
        <f t="shared" si="13"/>
        <v>22982400</v>
      </c>
      <c r="S128" s="130">
        <v>2500000</v>
      </c>
      <c r="T128" s="50">
        <f t="shared" si="14"/>
        <v>3488400</v>
      </c>
      <c r="U128" s="49" t="s">
        <v>30</v>
      </c>
      <c r="V128" s="50">
        <f t="shared" si="15"/>
        <v>988400</v>
      </c>
      <c r="W128" s="118">
        <v>19494000</v>
      </c>
      <c r="X128" s="119" t="s">
        <v>31</v>
      </c>
    </row>
    <row r="129" spans="1:24">
      <c r="A129" s="49">
        <f t="shared" si="17"/>
        <v>126</v>
      </c>
      <c r="B129" s="57" t="s">
        <v>24</v>
      </c>
      <c r="C129" s="126" t="s">
        <v>53</v>
      </c>
      <c r="D129" s="126" t="s">
        <v>56</v>
      </c>
      <c r="E129" s="127">
        <v>46221</v>
      </c>
      <c r="F129" s="148" t="s">
        <v>171</v>
      </c>
      <c r="G129" s="114" t="s">
        <v>49</v>
      </c>
      <c r="H129" s="115">
        <v>32.832</v>
      </c>
      <c r="I129" s="114">
        <v>593750</v>
      </c>
      <c r="J129" s="50">
        <f t="shared" si="9"/>
        <v>19494000</v>
      </c>
      <c r="K129" s="116">
        <v>19</v>
      </c>
      <c r="L129" s="116">
        <v>130000</v>
      </c>
      <c r="M129" s="50">
        <f t="shared" si="10"/>
        <v>2470000</v>
      </c>
      <c r="N129" s="50">
        <f t="shared" si="11"/>
        <v>21964000</v>
      </c>
      <c r="O129" s="68">
        <v>700000</v>
      </c>
      <c r="P129" s="33">
        <f t="shared" si="12"/>
        <v>106250</v>
      </c>
      <c r="Q129" s="33" t="s">
        <v>29</v>
      </c>
      <c r="R129" s="33">
        <f t="shared" si="13"/>
        <v>22982400</v>
      </c>
      <c r="S129" s="130">
        <v>2500000</v>
      </c>
      <c r="T129" s="50">
        <f t="shared" si="14"/>
        <v>3488400</v>
      </c>
      <c r="U129" s="49" t="s">
        <v>30</v>
      </c>
      <c r="V129" s="50">
        <f t="shared" si="15"/>
        <v>988400</v>
      </c>
      <c r="W129" s="118">
        <v>19494000</v>
      </c>
      <c r="X129" s="119" t="s">
        <v>31</v>
      </c>
    </row>
    <row r="130" spans="1:24">
      <c r="A130" s="49">
        <f t="shared" si="17"/>
        <v>127</v>
      </c>
      <c r="B130" s="57" t="s">
        <v>24</v>
      </c>
      <c r="C130" s="126" t="s">
        <v>53</v>
      </c>
      <c r="D130" s="126" t="s">
        <v>56</v>
      </c>
      <c r="E130" s="127">
        <v>46221</v>
      </c>
      <c r="F130" s="148" t="s">
        <v>172</v>
      </c>
      <c r="G130" s="114" t="s">
        <v>28</v>
      </c>
      <c r="H130" s="115">
        <v>32.832</v>
      </c>
      <c r="I130" s="114">
        <v>593750</v>
      </c>
      <c r="J130" s="50">
        <f t="shared" si="9"/>
        <v>19494000</v>
      </c>
      <c r="K130" s="116">
        <v>19</v>
      </c>
      <c r="L130" s="116">
        <v>130000</v>
      </c>
      <c r="M130" s="50">
        <f t="shared" si="10"/>
        <v>2470000</v>
      </c>
      <c r="N130" s="50">
        <f t="shared" si="11"/>
        <v>21964000</v>
      </c>
      <c r="O130" s="68">
        <v>700000</v>
      </c>
      <c r="P130" s="33">
        <f t="shared" si="12"/>
        <v>106250</v>
      </c>
      <c r="Q130" s="33" t="s">
        <v>29</v>
      </c>
      <c r="R130" s="33">
        <f t="shared" si="13"/>
        <v>22982400</v>
      </c>
      <c r="S130" s="130">
        <v>2500000</v>
      </c>
      <c r="T130" s="50">
        <f t="shared" si="14"/>
        <v>3488400</v>
      </c>
      <c r="U130" s="49" t="s">
        <v>30</v>
      </c>
      <c r="V130" s="50">
        <f t="shared" si="15"/>
        <v>988400</v>
      </c>
      <c r="W130" s="118">
        <v>19494000</v>
      </c>
      <c r="X130" s="119" t="s">
        <v>31</v>
      </c>
    </row>
    <row r="131" spans="1:24">
      <c r="A131" s="49">
        <f t="shared" si="17"/>
        <v>128</v>
      </c>
      <c r="B131" s="57" t="s">
        <v>24</v>
      </c>
      <c r="C131" s="136" t="s">
        <v>80</v>
      </c>
      <c r="D131" s="136" t="s">
        <v>108</v>
      </c>
      <c r="E131" s="137">
        <v>46221</v>
      </c>
      <c r="F131" s="145" t="s">
        <v>173</v>
      </c>
      <c r="G131" s="114" t="s">
        <v>28</v>
      </c>
      <c r="H131" s="115">
        <v>32.832</v>
      </c>
      <c r="I131" s="114">
        <v>593750</v>
      </c>
      <c r="J131" s="50">
        <f t="shared" si="9"/>
        <v>19494000</v>
      </c>
      <c r="K131" s="116">
        <v>19</v>
      </c>
      <c r="L131" s="116">
        <v>130000</v>
      </c>
      <c r="M131" s="50">
        <f t="shared" si="10"/>
        <v>2470000</v>
      </c>
      <c r="N131" s="50">
        <f t="shared" si="11"/>
        <v>21964000</v>
      </c>
      <c r="O131" s="68">
        <v>700000</v>
      </c>
      <c r="P131" s="33">
        <f t="shared" si="12"/>
        <v>106250</v>
      </c>
      <c r="Q131" s="33" t="s">
        <v>29</v>
      </c>
      <c r="R131" s="33">
        <f t="shared" si="13"/>
        <v>22982400</v>
      </c>
      <c r="S131" s="130">
        <v>2500000</v>
      </c>
      <c r="T131" s="50">
        <f t="shared" si="14"/>
        <v>3488400</v>
      </c>
      <c r="U131" s="49" t="s">
        <v>30</v>
      </c>
      <c r="V131" s="50">
        <f t="shared" si="15"/>
        <v>988400</v>
      </c>
      <c r="W131" s="118">
        <v>19494000</v>
      </c>
      <c r="X131" s="119" t="s">
        <v>31</v>
      </c>
    </row>
    <row r="132" spans="1:24">
      <c r="A132" s="49">
        <f t="shared" si="17"/>
        <v>129</v>
      </c>
      <c r="B132" s="57" t="s">
        <v>24</v>
      </c>
      <c r="C132" s="120" t="s">
        <v>35</v>
      </c>
      <c r="D132" s="120" t="s">
        <v>159</v>
      </c>
      <c r="E132" s="121">
        <v>46221</v>
      </c>
      <c r="F132" s="144" t="s">
        <v>174</v>
      </c>
      <c r="G132" s="114" t="s">
        <v>49</v>
      </c>
      <c r="H132" s="115">
        <v>32.832</v>
      </c>
      <c r="I132" s="114">
        <v>593750</v>
      </c>
      <c r="J132" s="50">
        <f t="shared" si="9"/>
        <v>19494000</v>
      </c>
      <c r="K132" s="116">
        <v>19</v>
      </c>
      <c r="L132" s="116">
        <v>130000</v>
      </c>
      <c r="M132" s="50">
        <f t="shared" si="10"/>
        <v>2470000</v>
      </c>
      <c r="N132" s="50">
        <f t="shared" si="11"/>
        <v>21964000</v>
      </c>
      <c r="O132" s="68">
        <v>700000</v>
      </c>
      <c r="P132" s="33">
        <f t="shared" si="12"/>
        <v>106250</v>
      </c>
      <c r="Q132" s="33" t="s">
        <v>29</v>
      </c>
      <c r="R132" s="33">
        <f t="shared" si="13"/>
        <v>22982400</v>
      </c>
      <c r="S132" s="130">
        <v>2500000</v>
      </c>
      <c r="T132" s="50">
        <f t="shared" si="14"/>
        <v>3488400</v>
      </c>
      <c r="U132" s="49" t="s">
        <v>30</v>
      </c>
      <c r="V132" s="50">
        <f t="shared" si="15"/>
        <v>988400</v>
      </c>
      <c r="W132" s="118">
        <v>19494000</v>
      </c>
      <c r="X132" s="119" t="s">
        <v>31</v>
      </c>
    </row>
    <row r="133" spans="1:24">
      <c r="A133" s="49">
        <f t="shared" si="17"/>
        <v>130</v>
      </c>
      <c r="B133" s="57" t="s">
        <v>24</v>
      </c>
      <c r="C133" s="136" t="s">
        <v>80</v>
      </c>
      <c r="D133" s="136" t="s">
        <v>81</v>
      </c>
      <c r="E133" s="137">
        <v>46221</v>
      </c>
      <c r="F133" s="145" t="s">
        <v>50</v>
      </c>
      <c r="G133" s="114" t="s">
        <v>49</v>
      </c>
      <c r="H133" s="115">
        <v>32.832</v>
      </c>
      <c r="I133" s="114">
        <v>593750</v>
      </c>
      <c r="J133" s="50">
        <f t="shared" ref="J133:J173" si="18">H133*I133</f>
        <v>19494000</v>
      </c>
      <c r="K133" s="116">
        <v>19</v>
      </c>
      <c r="L133" s="116">
        <v>130000</v>
      </c>
      <c r="M133" s="50">
        <f t="shared" ref="M133:M173" si="19">K133*L133</f>
        <v>2470000</v>
      </c>
      <c r="N133" s="50">
        <f t="shared" ref="N133:N173" si="20">J133+M133</f>
        <v>21964000</v>
      </c>
      <c r="O133" s="68">
        <v>700000</v>
      </c>
      <c r="P133" s="33">
        <f t="shared" ref="P133:P173" si="21">O133-I133</f>
        <v>106250</v>
      </c>
      <c r="Q133" s="33" t="s">
        <v>29</v>
      </c>
      <c r="R133" s="33">
        <f t="shared" ref="R133:R147" si="22">O133*H133</f>
        <v>22982400</v>
      </c>
      <c r="S133" s="130">
        <v>2500000</v>
      </c>
      <c r="T133" s="50">
        <f t="shared" ref="T133:T173" si="23">R133-J133</f>
        <v>3488400</v>
      </c>
      <c r="U133" s="49" t="s">
        <v>30</v>
      </c>
      <c r="V133" s="50">
        <f t="shared" ref="V133:V173" si="24">T133-S133</f>
        <v>988400</v>
      </c>
      <c r="W133" s="118">
        <v>19494000</v>
      </c>
      <c r="X133" s="119" t="s">
        <v>31</v>
      </c>
    </row>
    <row r="134" spans="1:24">
      <c r="A134" s="49">
        <f t="shared" si="17"/>
        <v>131</v>
      </c>
      <c r="B134" s="57" t="s">
        <v>24</v>
      </c>
      <c r="C134" s="120" t="s">
        <v>35</v>
      </c>
      <c r="D134" s="120" t="s">
        <v>166</v>
      </c>
      <c r="E134" s="121">
        <v>46221</v>
      </c>
      <c r="F134" s="144" t="s">
        <v>175</v>
      </c>
      <c r="G134" s="114" t="s">
        <v>28</v>
      </c>
      <c r="H134" s="115">
        <v>32.832</v>
      </c>
      <c r="I134" s="114">
        <v>593750</v>
      </c>
      <c r="J134" s="50">
        <f t="shared" si="18"/>
        <v>19494000</v>
      </c>
      <c r="K134" s="116">
        <v>19</v>
      </c>
      <c r="L134" s="116">
        <v>130000</v>
      </c>
      <c r="M134" s="50">
        <f t="shared" si="19"/>
        <v>2470000</v>
      </c>
      <c r="N134" s="50">
        <f t="shared" si="20"/>
        <v>21964000</v>
      </c>
      <c r="O134" s="68">
        <v>700000</v>
      </c>
      <c r="P134" s="33">
        <f t="shared" si="21"/>
        <v>106250</v>
      </c>
      <c r="Q134" s="33" t="s">
        <v>29</v>
      </c>
      <c r="R134" s="33">
        <f t="shared" si="22"/>
        <v>22982400</v>
      </c>
      <c r="S134" s="130">
        <v>2500000</v>
      </c>
      <c r="T134" s="50">
        <f t="shared" si="23"/>
        <v>3488400</v>
      </c>
      <c r="U134" s="49" t="s">
        <v>30</v>
      </c>
      <c r="V134" s="50">
        <f t="shared" si="24"/>
        <v>988400</v>
      </c>
      <c r="W134" s="118">
        <v>19494000</v>
      </c>
      <c r="X134" s="119" t="s">
        <v>31</v>
      </c>
    </row>
    <row r="135" spans="1:24">
      <c r="A135" s="49">
        <f t="shared" si="17"/>
        <v>132</v>
      </c>
      <c r="B135" s="57" t="s">
        <v>24</v>
      </c>
      <c r="C135" s="136" t="s">
        <v>80</v>
      </c>
      <c r="D135" s="136" t="s">
        <v>81</v>
      </c>
      <c r="E135" s="137">
        <v>46223</v>
      </c>
      <c r="F135" s="145" t="s">
        <v>138</v>
      </c>
      <c r="G135" s="114" t="s">
        <v>28</v>
      </c>
      <c r="H135" s="115">
        <v>32.832</v>
      </c>
      <c r="I135" s="114">
        <v>593750</v>
      </c>
      <c r="J135" s="50">
        <f t="shared" si="18"/>
        <v>19494000</v>
      </c>
      <c r="K135" s="116">
        <v>19</v>
      </c>
      <c r="L135" s="116">
        <v>130000</v>
      </c>
      <c r="M135" s="50">
        <f t="shared" si="19"/>
        <v>2470000</v>
      </c>
      <c r="N135" s="50">
        <f t="shared" si="20"/>
        <v>21964000</v>
      </c>
      <c r="O135" s="68">
        <v>700000</v>
      </c>
      <c r="P135" s="33">
        <f t="shared" si="21"/>
        <v>106250</v>
      </c>
      <c r="Q135" s="33" t="s">
        <v>29</v>
      </c>
      <c r="R135" s="33">
        <f t="shared" si="22"/>
        <v>22982400</v>
      </c>
      <c r="S135" s="130">
        <v>2500000</v>
      </c>
      <c r="T135" s="50">
        <f t="shared" si="23"/>
        <v>3488400</v>
      </c>
      <c r="U135" s="49" t="s">
        <v>30</v>
      </c>
      <c r="V135" s="50">
        <f t="shared" si="24"/>
        <v>988400</v>
      </c>
      <c r="W135" s="118">
        <v>19494000</v>
      </c>
      <c r="X135" s="119" t="s">
        <v>31</v>
      </c>
    </row>
    <row r="136" spans="1:24">
      <c r="A136" s="49">
        <f t="shared" si="17"/>
        <v>133</v>
      </c>
      <c r="B136" s="57" t="s">
        <v>24</v>
      </c>
      <c r="C136" s="120" t="s">
        <v>35</v>
      </c>
      <c r="D136" s="120" t="s">
        <v>166</v>
      </c>
      <c r="E136" s="121">
        <v>46223</v>
      </c>
      <c r="F136" s="144" t="s">
        <v>88</v>
      </c>
      <c r="G136" s="114" t="s">
        <v>49</v>
      </c>
      <c r="H136" s="115">
        <v>32.832</v>
      </c>
      <c r="I136" s="114">
        <v>593750</v>
      </c>
      <c r="J136" s="50">
        <f t="shared" si="18"/>
        <v>19494000</v>
      </c>
      <c r="K136" s="116">
        <v>19</v>
      </c>
      <c r="L136" s="116">
        <v>130000</v>
      </c>
      <c r="M136" s="50">
        <f t="shared" si="19"/>
        <v>2470000</v>
      </c>
      <c r="N136" s="50">
        <f t="shared" si="20"/>
        <v>21964000</v>
      </c>
      <c r="O136" s="68">
        <v>700000</v>
      </c>
      <c r="P136" s="33">
        <f t="shared" si="21"/>
        <v>106250</v>
      </c>
      <c r="Q136" s="33" t="s">
        <v>29</v>
      </c>
      <c r="R136" s="33">
        <f t="shared" si="22"/>
        <v>22982400</v>
      </c>
      <c r="S136" s="130">
        <v>2500000</v>
      </c>
      <c r="T136" s="50">
        <f t="shared" si="23"/>
        <v>3488400</v>
      </c>
      <c r="U136" s="49" t="s">
        <v>30</v>
      </c>
      <c r="V136" s="50">
        <f t="shared" si="24"/>
        <v>988400</v>
      </c>
      <c r="W136" s="118">
        <v>19494000</v>
      </c>
      <c r="X136" s="119" t="s">
        <v>31</v>
      </c>
    </row>
    <row r="137" spans="1:24">
      <c r="A137" s="49">
        <f t="shared" si="17"/>
        <v>134</v>
      </c>
      <c r="B137" s="57" t="s">
        <v>24</v>
      </c>
      <c r="C137" s="136" t="s">
        <v>80</v>
      </c>
      <c r="D137" s="136" t="s">
        <v>176</v>
      </c>
      <c r="E137" s="137">
        <v>46223</v>
      </c>
      <c r="F137" s="145" t="s">
        <v>177</v>
      </c>
      <c r="G137" s="114" t="s">
        <v>28</v>
      </c>
      <c r="H137" s="115">
        <v>20.736</v>
      </c>
      <c r="I137" s="114">
        <v>593750</v>
      </c>
      <c r="J137" s="50">
        <f t="shared" si="18"/>
        <v>12312000</v>
      </c>
      <c r="K137" s="116">
        <v>12</v>
      </c>
      <c r="L137" s="116">
        <v>130000</v>
      </c>
      <c r="M137" s="50">
        <f t="shared" si="19"/>
        <v>1560000</v>
      </c>
      <c r="N137" s="50">
        <f t="shared" si="20"/>
        <v>13872000</v>
      </c>
      <c r="O137" s="68">
        <v>700000</v>
      </c>
      <c r="P137" s="33">
        <f t="shared" si="21"/>
        <v>106250</v>
      </c>
      <c r="Q137" s="33" t="s">
        <v>29</v>
      </c>
      <c r="R137" s="33">
        <f t="shared" si="22"/>
        <v>14515200</v>
      </c>
      <c r="S137" s="130">
        <v>1580000</v>
      </c>
      <c r="T137" s="50">
        <f t="shared" si="23"/>
        <v>2203200</v>
      </c>
      <c r="U137" s="49" t="s">
        <v>30</v>
      </c>
      <c r="V137" s="50">
        <f t="shared" si="24"/>
        <v>623200</v>
      </c>
      <c r="W137" s="118">
        <v>12312000</v>
      </c>
      <c r="X137" s="119" t="s">
        <v>31</v>
      </c>
    </row>
    <row r="138" spans="1:24">
      <c r="A138" s="49">
        <f t="shared" si="17"/>
        <v>135</v>
      </c>
      <c r="B138" s="57" t="s">
        <v>24</v>
      </c>
      <c r="C138" s="136" t="s">
        <v>80</v>
      </c>
      <c r="D138" s="136" t="s">
        <v>85</v>
      </c>
      <c r="E138" s="137">
        <v>46223</v>
      </c>
      <c r="F138" s="145" t="s">
        <v>178</v>
      </c>
      <c r="G138" s="114" t="s">
        <v>49</v>
      </c>
      <c r="H138" s="115">
        <v>32.832</v>
      </c>
      <c r="I138" s="114">
        <v>593750</v>
      </c>
      <c r="J138" s="50">
        <f t="shared" si="18"/>
        <v>19494000</v>
      </c>
      <c r="K138" s="116">
        <v>19</v>
      </c>
      <c r="L138" s="116">
        <v>130000</v>
      </c>
      <c r="M138" s="50">
        <f t="shared" si="19"/>
        <v>2470000</v>
      </c>
      <c r="N138" s="50">
        <f t="shared" si="20"/>
        <v>21964000</v>
      </c>
      <c r="O138" s="68">
        <v>700000</v>
      </c>
      <c r="P138" s="33">
        <f t="shared" si="21"/>
        <v>106250</v>
      </c>
      <c r="Q138" s="33" t="s">
        <v>29</v>
      </c>
      <c r="R138" s="33">
        <f t="shared" si="22"/>
        <v>22982400</v>
      </c>
      <c r="S138" s="130">
        <v>2500000</v>
      </c>
      <c r="T138" s="50">
        <f t="shared" si="23"/>
        <v>3488400</v>
      </c>
      <c r="U138" s="49" t="s">
        <v>30</v>
      </c>
      <c r="V138" s="50">
        <f t="shared" si="24"/>
        <v>988400</v>
      </c>
      <c r="W138" s="118">
        <v>19494000</v>
      </c>
      <c r="X138" s="119" t="s">
        <v>31</v>
      </c>
    </row>
    <row r="139" spans="1:24">
      <c r="A139" s="49">
        <f t="shared" si="17"/>
        <v>136</v>
      </c>
      <c r="B139" s="57" t="s">
        <v>24</v>
      </c>
      <c r="C139" s="120" t="s">
        <v>35</v>
      </c>
      <c r="D139" s="120" t="s">
        <v>166</v>
      </c>
      <c r="E139" s="121">
        <v>46223</v>
      </c>
      <c r="F139" s="144" t="s">
        <v>179</v>
      </c>
      <c r="G139" s="114" t="s">
        <v>28</v>
      </c>
      <c r="H139" s="115">
        <v>32.832</v>
      </c>
      <c r="I139" s="114">
        <v>593750</v>
      </c>
      <c r="J139" s="50">
        <f t="shared" si="18"/>
        <v>19494000</v>
      </c>
      <c r="K139" s="116">
        <v>19</v>
      </c>
      <c r="L139" s="116">
        <v>130000</v>
      </c>
      <c r="M139" s="50">
        <f t="shared" si="19"/>
        <v>2470000</v>
      </c>
      <c r="N139" s="50">
        <f t="shared" si="20"/>
        <v>21964000</v>
      </c>
      <c r="O139" s="68">
        <v>700000</v>
      </c>
      <c r="P139" s="33">
        <f t="shared" si="21"/>
        <v>106250</v>
      </c>
      <c r="Q139" s="33" t="s">
        <v>29</v>
      </c>
      <c r="R139" s="33">
        <f t="shared" si="22"/>
        <v>22982400</v>
      </c>
      <c r="S139" s="130">
        <v>2500000</v>
      </c>
      <c r="T139" s="50">
        <f t="shared" si="23"/>
        <v>3488400</v>
      </c>
      <c r="U139" s="49" t="s">
        <v>30</v>
      </c>
      <c r="V139" s="50">
        <f t="shared" si="24"/>
        <v>988400</v>
      </c>
      <c r="W139" s="118">
        <v>19494000</v>
      </c>
      <c r="X139" s="119" t="s">
        <v>31</v>
      </c>
    </row>
    <row r="140" spans="1:24">
      <c r="A140" s="49">
        <f t="shared" si="17"/>
        <v>137</v>
      </c>
      <c r="B140" s="57" t="s">
        <v>24</v>
      </c>
      <c r="C140" s="57" t="s">
        <v>95</v>
      </c>
      <c r="D140" s="57" t="s">
        <v>135</v>
      </c>
      <c r="E140" s="32">
        <v>46223</v>
      </c>
      <c r="F140" s="34" t="s">
        <v>133</v>
      </c>
      <c r="G140" s="114" t="s">
        <v>28</v>
      </c>
      <c r="H140" s="115">
        <v>22.464</v>
      </c>
      <c r="I140" s="130">
        <v>517750</v>
      </c>
      <c r="J140" s="50">
        <f t="shared" si="18"/>
        <v>11630736</v>
      </c>
      <c r="K140" s="68">
        <v>13</v>
      </c>
      <c r="L140" s="116">
        <v>130000</v>
      </c>
      <c r="M140" s="50">
        <f t="shared" si="19"/>
        <v>1690000</v>
      </c>
      <c r="N140" s="50">
        <f t="shared" si="20"/>
        <v>13320736</v>
      </c>
      <c r="O140" s="68">
        <v>700000</v>
      </c>
      <c r="P140" s="33">
        <f t="shared" si="21"/>
        <v>182250</v>
      </c>
      <c r="Q140" s="33" t="s">
        <v>29</v>
      </c>
      <c r="R140" s="33">
        <f t="shared" si="22"/>
        <v>15724800</v>
      </c>
      <c r="S140" s="130">
        <v>1700000</v>
      </c>
      <c r="T140" s="50">
        <f t="shared" si="23"/>
        <v>4094064</v>
      </c>
      <c r="U140" s="49" t="s">
        <v>30</v>
      </c>
      <c r="V140" s="50">
        <f t="shared" si="24"/>
        <v>2394064</v>
      </c>
      <c r="W140" s="118">
        <v>0</v>
      </c>
      <c r="X140" s="119" t="s">
        <v>114</v>
      </c>
    </row>
    <row r="141" spans="1:24">
      <c r="A141" s="49">
        <f t="shared" si="17"/>
        <v>138</v>
      </c>
      <c r="B141" s="57" t="s">
        <v>24</v>
      </c>
      <c r="C141" s="126" t="s">
        <v>53</v>
      </c>
      <c r="D141" s="126" t="s">
        <v>56</v>
      </c>
      <c r="E141" s="127">
        <v>46223</v>
      </c>
      <c r="F141" s="148" t="s">
        <v>133</v>
      </c>
      <c r="G141" s="114" t="s">
        <v>28</v>
      </c>
      <c r="H141" s="115">
        <f>H139-H140</f>
        <v>10.368</v>
      </c>
      <c r="I141" s="114">
        <v>593750</v>
      </c>
      <c r="J141" s="50">
        <f t="shared" si="18"/>
        <v>6156000</v>
      </c>
      <c r="K141" s="68">
        <v>6</v>
      </c>
      <c r="L141" s="116">
        <v>130000</v>
      </c>
      <c r="M141" s="50">
        <f t="shared" si="19"/>
        <v>780000</v>
      </c>
      <c r="N141" s="50">
        <f t="shared" si="20"/>
        <v>6936000</v>
      </c>
      <c r="O141" s="68">
        <v>700000</v>
      </c>
      <c r="P141" s="33">
        <f t="shared" si="21"/>
        <v>106250</v>
      </c>
      <c r="Q141" s="33" t="s">
        <v>29</v>
      </c>
      <c r="R141" s="33">
        <f t="shared" si="22"/>
        <v>7257600</v>
      </c>
      <c r="S141" s="33">
        <v>800000</v>
      </c>
      <c r="T141" s="50">
        <f t="shared" si="23"/>
        <v>1101600</v>
      </c>
      <c r="U141" s="49" t="s">
        <v>30</v>
      </c>
      <c r="V141" s="50">
        <f t="shared" si="24"/>
        <v>301600.000000001</v>
      </c>
      <c r="W141" s="118">
        <v>6156000</v>
      </c>
      <c r="X141" s="119" t="s">
        <v>31</v>
      </c>
    </row>
    <row r="142" spans="1:24">
      <c r="A142" s="49">
        <f t="shared" si="17"/>
        <v>139</v>
      </c>
      <c r="B142" s="57" t="s">
        <v>24</v>
      </c>
      <c r="C142" s="57" t="s">
        <v>95</v>
      </c>
      <c r="D142" s="57" t="s">
        <v>180</v>
      </c>
      <c r="E142" s="32">
        <v>46224</v>
      </c>
      <c r="F142" s="34" t="s">
        <v>181</v>
      </c>
      <c r="G142" s="114" t="s">
        <v>99</v>
      </c>
      <c r="H142" s="157">
        <v>32.832</v>
      </c>
      <c r="I142" s="130">
        <v>565250</v>
      </c>
      <c r="J142" s="50">
        <f t="shared" si="18"/>
        <v>18558288</v>
      </c>
      <c r="K142" s="116">
        <v>19</v>
      </c>
      <c r="L142" s="116">
        <v>130000</v>
      </c>
      <c r="M142" s="50">
        <f t="shared" si="19"/>
        <v>2470000</v>
      </c>
      <c r="N142" s="50">
        <f t="shared" si="20"/>
        <v>21028288</v>
      </c>
      <c r="O142" s="68">
        <v>700000</v>
      </c>
      <c r="P142" s="33">
        <f t="shared" si="21"/>
        <v>134750</v>
      </c>
      <c r="Q142" s="33" t="s">
        <v>29</v>
      </c>
      <c r="R142" s="33">
        <f t="shared" si="22"/>
        <v>22982400</v>
      </c>
      <c r="S142" s="130">
        <v>2500000</v>
      </c>
      <c r="T142" s="50">
        <f t="shared" si="23"/>
        <v>4424112</v>
      </c>
      <c r="U142" s="49" t="s">
        <v>30</v>
      </c>
      <c r="V142" s="50">
        <f t="shared" si="24"/>
        <v>1924112</v>
      </c>
      <c r="W142" s="118">
        <v>18558288</v>
      </c>
      <c r="X142" s="119" t="s">
        <v>31</v>
      </c>
    </row>
    <row r="143" spans="1:24">
      <c r="A143" s="49">
        <f t="shared" si="17"/>
        <v>140</v>
      </c>
      <c r="B143" s="57" t="s">
        <v>24</v>
      </c>
      <c r="C143" s="136" t="s">
        <v>80</v>
      </c>
      <c r="D143" s="136" t="s">
        <v>105</v>
      </c>
      <c r="E143" s="137">
        <v>46224</v>
      </c>
      <c r="F143" s="145" t="s">
        <v>138</v>
      </c>
      <c r="G143" s="114" t="s">
        <v>28</v>
      </c>
      <c r="H143" s="157">
        <v>32.832</v>
      </c>
      <c r="I143" s="114">
        <v>593750</v>
      </c>
      <c r="J143" s="50">
        <f t="shared" si="18"/>
        <v>19494000</v>
      </c>
      <c r="K143" s="116">
        <v>19</v>
      </c>
      <c r="L143" s="116">
        <v>130000</v>
      </c>
      <c r="M143" s="50">
        <f t="shared" si="19"/>
        <v>2470000</v>
      </c>
      <c r="N143" s="50">
        <f t="shared" si="20"/>
        <v>21964000</v>
      </c>
      <c r="O143" s="68">
        <v>700000</v>
      </c>
      <c r="P143" s="33">
        <f t="shared" si="21"/>
        <v>106250</v>
      </c>
      <c r="Q143" s="33" t="s">
        <v>29</v>
      </c>
      <c r="R143" s="33">
        <f t="shared" si="22"/>
        <v>22982400</v>
      </c>
      <c r="S143" s="130">
        <v>2500000</v>
      </c>
      <c r="T143" s="50">
        <f t="shared" si="23"/>
        <v>3488400</v>
      </c>
      <c r="U143" s="49" t="s">
        <v>30</v>
      </c>
      <c r="V143" s="50">
        <f t="shared" si="24"/>
        <v>988400</v>
      </c>
      <c r="W143" s="118">
        <v>19494000</v>
      </c>
      <c r="X143" s="119" t="s">
        <v>31</v>
      </c>
    </row>
    <row r="144" spans="1:24">
      <c r="A144" s="49">
        <f t="shared" si="17"/>
        <v>141</v>
      </c>
      <c r="B144" s="57" t="s">
        <v>24</v>
      </c>
      <c r="C144" s="111" t="s">
        <v>25</v>
      </c>
      <c r="D144" s="111" t="s">
        <v>123</v>
      </c>
      <c r="E144" s="112">
        <v>46224</v>
      </c>
      <c r="F144" s="147" t="s">
        <v>182</v>
      </c>
      <c r="G144" s="114" t="s">
        <v>99</v>
      </c>
      <c r="H144" s="157">
        <v>32.832</v>
      </c>
      <c r="I144" s="130">
        <v>565250</v>
      </c>
      <c r="J144" s="50">
        <f t="shared" si="18"/>
        <v>18558288</v>
      </c>
      <c r="K144" s="116">
        <v>19</v>
      </c>
      <c r="L144" s="116">
        <v>130000</v>
      </c>
      <c r="M144" s="50">
        <f t="shared" si="19"/>
        <v>2470000</v>
      </c>
      <c r="N144" s="50">
        <f t="shared" si="20"/>
        <v>21028288</v>
      </c>
      <c r="O144" s="68">
        <v>700000</v>
      </c>
      <c r="P144" s="33">
        <f t="shared" si="21"/>
        <v>134750</v>
      </c>
      <c r="Q144" s="33" t="s">
        <v>29</v>
      </c>
      <c r="R144" s="33">
        <f t="shared" si="22"/>
        <v>22982400</v>
      </c>
      <c r="S144" s="33">
        <v>2500000</v>
      </c>
      <c r="T144" s="50">
        <f t="shared" si="23"/>
        <v>4424112</v>
      </c>
      <c r="U144" s="49" t="s">
        <v>30</v>
      </c>
      <c r="V144" s="50">
        <f t="shared" si="24"/>
        <v>1924112</v>
      </c>
      <c r="W144" s="118">
        <v>18558288</v>
      </c>
      <c r="X144" s="119" t="s">
        <v>31</v>
      </c>
    </row>
    <row r="145" spans="1:24">
      <c r="A145" s="49">
        <f t="shared" si="17"/>
        <v>142</v>
      </c>
      <c r="B145" s="57" t="s">
        <v>24</v>
      </c>
      <c r="C145" s="57" t="s">
        <v>95</v>
      </c>
      <c r="D145" s="57" t="s">
        <v>154</v>
      </c>
      <c r="E145" s="32">
        <v>46224</v>
      </c>
      <c r="F145" s="34" t="s">
        <v>70</v>
      </c>
      <c r="G145" s="114" t="s">
        <v>99</v>
      </c>
      <c r="H145" s="157">
        <v>25.92</v>
      </c>
      <c r="I145" s="130">
        <v>489250</v>
      </c>
      <c r="J145" s="50">
        <f t="shared" si="18"/>
        <v>12681360</v>
      </c>
      <c r="K145" s="68">
        <v>15</v>
      </c>
      <c r="L145" s="116">
        <v>130000</v>
      </c>
      <c r="M145" s="50">
        <f t="shared" si="19"/>
        <v>1950000</v>
      </c>
      <c r="N145" s="50">
        <f t="shared" si="20"/>
        <v>14631360</v>
      </c>
      <c r="O145" s="68">
        <v>707716.05</v>
      </c>
      <c r="P145" s="33">
        <f t="shared" si="21"/>
        <v>218466.05</v>
      </c>
      <c r="Q145" s="33" t="s">
        <v>29</v>
      </c>
      <c r="R145" s="33">
        <f t="shared" si="22"/>
        <v>18344000.016</v>
      </c>
      <c r="S145" s="33">
        <v>2170000</v>
      </c>
      <c r="T145" s="50">
        <f t="shared" si="23"/>
        <v>5662640.016</v>
      </c>
      <c r="U145" s="49" t="s">
        <v>30</v>
      </c>
      <c r="V145" s="50">
        <f t="shared" si="24"/>
        <v>3492640.016</v>
      </c>
      <c r="W145" s="118">
        <v>0</v>
      </c>
      <c r="X145" s="119" t="s">
        <v>114</v>
      </c>
    </row>
    <row r="146" spans="1:24">
      <c r="A146" s="49">
        <f t="shared" si="17"/>
        <v>143</v>
      </c>
      <c r="B146" s="57" t="s">
        <v>24</v>
      </c>
      <c r="C146" s="111" t="s">
        <v>25</v>
      </c>
      <c r="D146" s="111" t="s">
        <v>123</v>
      </c>
      <c r="E146" s="112">
        <v>46224</v>
      </c>
      <c r="F146" s="147" t="s">
        <v>70</v>
      </c>
      <c r="G146" s="114" t="s">
        <v>99</v>
      </c>
      <c r="H146" s="157">
        <v>5.184</v>
      </c>
      <c r="I146" s="130">
        <v>565250</v>
      </c>
      <c r="J146" s="50">
        <f t="shared" si="18"/>
        <v>2930256</v>
      </c>
      <c r="K146" s="68">
        <v>3</v>
      </c>
      <c r="L146" s="116">
        <v>130000</v>
      </c>
      <c r="M146" s="50">
        <f t="shared" si="19"/>
        <v>390000</v>
      </c>
      <c r="N146" s="50">
        <f t="shared" si="20"/>
        <v>3320256</v>
      </c>
      <c r="O146" s="68">
        <v>700000</v>
      </c>
      <c r="P146" s="33">
        <f t="shared" si="21"/>
        <v>134750</v>
      </c>
      <c r="Q146" s="33" t="s">
        <v>29</v>
      </c>
      <c r="R146" s="33">
        <f t="shared" si="22"/>
        <v>3628800</v>
      </c>
      <c r="S146" s="33">
        <v>500000</v>
      </c>
      <c r="T146" s="50">
        <f t="shared" si="23"/>
        <v>698544</v>
      </c>
      <c r="U146" s="49" t="s">
        <v>30</v>
      </c>
      <c r="V146" s="50">
        <f t="shared" si="24"/>
        <v>198544</v>
      </c>
      <c r="W146" s="118">
        <v>2930256</v>
      </c>
      <c r="X146" s="119" t="s">
        <v>31</v>
      </c>
    </row>
    <row r="147" spans="1:24">
      <c r="A147" s="49">
        <f t="shared" si="17"/>
        <v>144</v>
      </c>
      <c r="B147" s="57" t="s">
        <v>24</v>
      </c>
      <c r="C147" s="111" t="s">
        <v>25</v>
      </c>
      <c r="D147" s="111" t="s">
        <v>123</v>
      </c>
      <c r="E147" s="112">
        <v>46224</v>
      </c>
      <c r="F147" s="147" t="s">
        <v>70</v>
      </c>
      <c r="G147" s="114" t="s">
        <v>49</v>
      </c>
      <c r="H147" s="157">
        <v>1.728</v>
      </c>
      <c r="I147" s="114">
        <v>593750</v>
      </c>
      <c r="J147" s="50">
        <f t="shared" si="18"/>
        <v>1026000</v>
      </c>
      <c r="K147" s="68">
        <v>1</v>
      </c>
      <c r="L147" s="116">
        <v>130000</v>
      </c>
      <c r="M147" s="50">
        <f t="shared" si="19"/>
        <v>130000</v>
      </c>
      <c r="N147" s="50">
        <f t="shared" si="20"/>
        <v>1156000</v>
      </c>
      <c r="O147" s="68">
        <v>700000</v>
      </c>
      <c r="P147" s="33">
        <f t="shared" si="21"/>
        <v>106250</v>
      </c>
      <c r="Q147" s="33" t="s">
        <v>29</v>
      </c>
      <c r="R147" s="33">
        <f t="shared" si="22"/>
        <v>1209600</v>
      </c>
      <c r="S147" s="33">
        <v>0</v>
      </c>
      <c r="T147" s="50">
        <f t="shared" si="23"/>
        <v>183600</v>
      </c>
      <c r="U147" s="49" t="s">
        <v>30</v>
      </c>
      <c r="V147" s="50">
        <f t="shared" si="24"/>
        <v>183600</v>
      </c>
      <c r="W147" s="118">
        <v>1026000</v>
      </c>
      <c r="X147" s="119" t="s">
        <v>31</v>
      </c>
    </row>
    <row r="148" spans="1:24">
      <c r="A148" s="49">
        <f t="shared" si="17"/>
        <v>145</v>
      </c>
      <c r="B148" s="57" t="s">
        <v>24</v>
      </c>
      <c r="C148" s="158" t="s">
        <v>80</v>
      </c>
      <c r="D148" s="158" t="s">
        <v>105</v>
      </c>
      <c r="E148" s="159">
        <v>46226</v>
      </c>
      <c r="F148" s="160" t="s">
        <v>138</v>
      </c>
      <c r="G148" s="161" t="s">
        <v>49</v>
      </c>
      <c r="H148" s="162">
        <v>32.832</v>
      </c>
      <c r="I148" s="161">
        <v>593750</v>
      </c>
      <c r="J148" s="50">
        <f t="shared" si="18"/>
        <v>19494000</v>
      </c>
      <c r="K148" s="163">
        <v>19</v>
      </c>
      <c r="L148" s="163">
        <v>130000</v>
      </c>
      <c r="M148" s="50">
        <f t="shared" si="19"/>
        <v>2470000</v>
      </c>
      <c r="N148" s="50">
        <f t="shared" si="20"/>
        <v>21964000</v>
      </c>
      <c r="O148" s="164">
        <v>700000</v>
      </c>
      <c r="P148" s="33">
        <f t="shared" si="21"/>
        <v>106250</v>
      </c>
      <c r="Q148" s="165" t="s">
        <v>29</v>
      </c>
      <c r="R148" s="165">
        <v>22982400</v>
      </c>
      <c r="S148" s="130">
        <v>2500000</v>
      </c>
      <c r="T148" s="50">
        <f t="shared" si="23"/>
        <v>3488400</v>
      </c>
      <c r="U148" s="49" t="s">
        <v>30</v>
      </c>
      <c r="V148" s="50">
        <f t="shared" si="24"/>
        <v>988400</v>
      </c>
      <c r="W148" s="118">
        <v>19494000</v>
      </c>
      <c r="X148" s="119" t="s">
        <v>31</v>
      </c>
    </row>
    <row r="149" spans="1:24">
      <c r="A149" s="49">
        <f t="shared" si="17"/>
        <v>146</v>
      </c>
      <c r="B149" s="57" t="s">
        <v>24</v>
      </c>
      <c r="C149" s="166" t="s">
        <v>95</v>
      </c>
      <c r="D149" s="166" t="s">
        <v>124</v>
      </c>
      <c r="E149" s="167">
        <v>46226</v>
      </c>
      <c r="F149" s="168" t="s">
        <v>183</v>
      </c>
      <c r="G149" s="161" t="s">
        <v>49</v>
      </c>
      <c r="H149" s="162">
        <v>32.832</v>
      </c>
      <c r="I149" s="161">
        <v>593750</v>
      </c>
      <c r="J149" s="50">
        <f t="shared" si="18"/>
        <v>19494000</v>
      </c>
      <c r="K149" s="163">
        <v>19</v>
      </c>
      <c r="L149" s="163">
        <v>130000</v>
      </c>
      <c r="M149" s="50">
        <f t="shared" si="19"/>
        <v>2470000</v>
      </c>
      <c r="N149" s="50">
        <f t="shared" si="20"/>
        <v>21964000</v>
      </c>
      <c r="O149" s="164">
        <v>700000</v>
      </c>
      <c r="P149" s="33">
        <f t="shared" si="21"/>
        <v>106250</v>
      </c>
      <c r="Q149" s="165" t="s">
        <v>29</v>
      </c>
      <c r="R149" s="165">
        <v>22982400</v>
      </c>
      <c r="S149" s="130">
        <v>2500000</v>
      </c>
      <c r="T149" s="50">
        <f t="shared" si="23"/>
        <v>3488400</v>
      </c>
      <c r="U149" s="49" t="s">
        <v>30</v>
      </c>
      <c r="V149" s="50">
        <f t="shared" si="24"/>
        <v>988400</v>
      </c>
      <c r="W149" s="118">
        <v>19494000</v>
      </c>
      <c r="X149" s="119" t="s">
        <v>31</v>
      </c>
    </row>
    <row r="150" spans="1:24">
      <c r="A150" s="49">
        <f t="shared" si="17"/>
        <v>147</v>
      </c>
      <c r="B150" s="57" t="s">
        <v>24</v>
      </c>
      <c r="C150" s="166" t="s">
        <v>95</v>
      </c>
      <c r="D150" s="166" t="s">
        <v>180</v>
      </c>
      <c r="E150" s="167">
        <v>46226</v>
      </c>
      <c r="F150" s="168" t="s">
        <v>184</v>
      </c>
      <c r="G150" s="161" t="s">
        <v>49</v>
      </c>
      <c r="H150" s="162">
        <v>32.832</v>
      </c>
      <c r="I150" s="161">
        <v>593750</v>
      </c>
      <c r="J150" s="50">
        <f t="shared" si="18"/>
        <v>19494000</v>
      </c>
      <c r="K150" s="163">
        <v>19</v>
      </c>
      <c r="L150" s="163">
        <v>130000</v>
      </c>
      <c r="M150" s="50">
        <f t="shared" si="19"/>
        <v>2470000</v>
      </c>
      <c r="N150" s="50">
        <f t="shared" si="20"/>
        <v>21964000</v>
      </c>
      <c r="O150" s="164">
        <v>700000</v>
      </c>
      <c r="P150" s="33">
        <f t="shared" si="21"/>
        <v>106250</v>
      </c>
      <c r="Q150" s="165" t="s">
        <v>29</v>
      </c>
      <c r="R150" s="165">
        <v>22982400</v>
      </c>
      <c r="S150" s="130">
        <v>2500000</v>
      </c>
      <c r="T150" s="50">
        <f t="shared" si="23"/>
        <v>3488400</v>
      </c>
      <c r="U150" s="49" t="s">
        <v>30</v>
      </c>
      <c r="V150" s="50">
        <f t="shared" si="24"/>
        <v>988400</v>
      </c>
      <c r="W150" s="118">
        <v>19494000</v>
      </c>
      <c r="X150" s="119" t="s">
        <v>31</v>
      </c>
    </row>
    <row r="151" spans="1:24">
      <c r="A151" s="49">
        <f t="shared" si="17"/>
        <v>148</v>
      </c>
      <c r="B151" s="57" t="s">
        <v>24</v>
      </c>
      <c r="C151" s="169" t="s">
        <v>35</v>
      </c>
      <c r="D151" s="169" t="s">
        <v>166</v>
      </c>
      <c r="E151" s="170">
        <v>46226</v>
      </c>
      <c r="F151" s="171" t="s">
        <v>185</v>
      </c>
      <c r="G151" s="161" t="s">
        <v>28</v>
      </c>
      <c r="H151" s="162">
        <v>32.832</v>
      </c>
      <c r="I151" s="161">
        <v>593750</v>
      </c>
      <c r="J151" s="50">
        <f t="shared" si="18"/>
        <v>19494000</v>
      </c>
      <c r="K151" s="163">
        <v>19</v>
      </c>
      <c r="L151" s="163">
        <v>130000</v>
      </c>
      <c r="M151" s="50">
        <f t="shared" si="19"/>
        <v>2470000</v>
      </c>
      <c r="N151" s="50">
        <f t="shared" si="20"/>
        <v>21964000</v>
      </c>
      <c r="O151" s="164">
        <v>700000</v>
      </c>
      <c r="P151" s="33">
        <f t="shared" si="21"/>
        <v>106250</v>
      </c>
      <c r="Q151" s="165" t="s">
        <v>29</v>
      </c>
      <c r="R151" s="165">
        <v>22982400</v>
      </c>
      <c r="S151" s="130">
        <v>2500000</v>
      </c>
      <c r="T151" s="50">
        <f t="shared" si="23"/>
        <v>3488400</v>
      </c>
      <c r="U151" s="49" t="s">
        <v>30</v>
      </c>
      <c r="V151" s="50">
        <f t="shared" si="24"/>
        <v>988400</v>
      </c>
      <c r="W151" s="118">
        <v>19494000</v>
      </c>
      <c r="X151" s="119" t="s">
        <v>31</v>
      </c>
    </row>
    <row r="152" spans="1:24">
      <c r="A152" s="49">
        <f t="shared" si="17"/>
        <v>149</v>
      </c>
      <c r="B152" s="57" t="s">
        <v>24</v>
      </c>
      <c r="C152" s="172" t="s">
        <v>53</v>
      </c>
      <c r="D152" s="143" t="s">
        <v>121</v>
      </c>
      <c r="E152" s="173">
        <v>46226</v>
      </c>
      <c r="F152" s="174" t="s">
        <v>186</v>
      </c>
      <c r="G152" s="161" t="s">
        <v>28</v>
      </c>
      <c r="H152" s="162">
        <v>32.832</v>
      </c>
      <c r="I152" s="130">
        <v>517750</v>
      </c>
      <c r="J152" s="50">
        <f t="shared" si="18"/>
        <v>16998768</v>
      </c>
      <c r="K152" s="163">
        <v>19</v>
      </c>
      <c r="L152" s="163">
        <v>130000</v>
      </c>
      <c r="M152" s="50">
        <f t="shared" si="19"/>
        <v>2470000</v>
      </c>
      <c r="N152" s="50">
        <f t="shared" si="20"/>
        <v>19468768</v>
      </c>
      <c r="O152" s="164">
        <v>700000</v>
      </c>
      <c r="P152" s="33">
        <f t="shared" si="21"/>
        <v>182250</v>
      </c>
      <c r="Q152" s="165" t="s">
        <v>29</v>
      </c>
      <c r="R152" s="165">
        <v>22982400</v>
      </c>
      <c r="S152" s="130">
        <v>2500000</v>
      </c>
      <c r="T152" s="50">
        <f t="shared" si="23"/>
        <v>5983632</v>
      </c>
      <c r="U152" s="49" t="s">
        <v>30</v>
      </c>
      <c r="V152" s="50">
        <f t="shared" si="24"/>
        <v>3483632</v>
      </c>
      <c r="W152" s="118">
        <v>16998768</v>
      </c>
      <c r="X152" s="119" t="s">
        <v>114</v>
      </c>
    </row>
    <row r="153" spans="1:24">
      <c r="A153" s="49">
        <f t="shared" si="17"/>
        <v>150</v>
      </c>
      <c r="B153" s="57" t="s">
        <v>24</v>
      </c>
      <c r="C153" s="120" t="s">
        <v>35</v>
      </c>
      <c r="D153" s="120" t="s">
        <v>166</v>
      </c>
      <c r="E153" s="121">
        <v>46227</v>
      </c>
      <c r="F153" s="144" t="s">
        <v>119</v>
      </c>
      <c r="G153" s="114" t="s">
        <v>187</v>
      </c>
      <c r="H153" s="157">
        <v>32.832</v>
      </c>
      <c r="I153" s="114">
        <v>593750</v>
      </c>
      <c r="J153" s="50">
        <f t="shared" si="18"/>
        <v>19494000</v>
      </c>
      <c r="K153" s="116">
        <v>19</v>
      </c>
      <c r="L153" s="116">
        <v>130000</v>
      </c>
      <c r="M153" s="50">
        <f t="shared" si="19"/>
        <v>2470000</v>
      </c>
      <c r="N153" s="50">
        <f t="shared" si="20"/>
        <v>21964000</v>
      </c>
      <c r="O153" s="68">
        <v>700000</v>
      </c>
      <c r="P153" s="33">
        <f t="shared" si="21"/>
        <v>106250</v>
      </c>
      <c r="Q153" s="33" t="s">
        <v>29</v>
      </c>
      <c r="R153" s="165">
        <v>22982400</v>
      </c>
      <c r="S153" s="130">
        <v>2500000</v>
      </c>
      <c r="T153" s="50">
        <f t="shared" si="23"/>
        <v>3488400</v>
      </c>
      <c r="U153" s="49" t="s">
        <v>30</v>
      </c>
      <c r="V153" s="50">
        <f t="shared" si="24"/>
        <v>988400</v>
      </c>
      <c r="W153" s="118">
        <v>19494000</v>
      </c>
      <c r="X153" s="119" t="s">
        <v>31</v>
      </c>
    </row>
    <row r="154" spans="1:24">
      <c r="A154" s="49">
        <f t="shared" si="17"/>
        <v>151</v>
      </c>
      <c r="B154" s="57" t="s">
        <v>24</v>
      </c>
      <c r="C154" s="120" t="s">
        <v>35</v>
      </c>
      <c r="D154" s="120" t="s">
        <v>166</v>
      </c>
      <c r="E154" s="121">
        <v>46228</v>
      </c>
      <c r="F154" s="144" t="s">
        <v>171</v>
      </c>
      <c r="G154" s="114" t="s">
        <v>28</v>
      </c>
      <c r="H154" s="157">
        <v>32.832</v>
      </c>
      <c r="I154" s="114">
        <v>593750</v>
      </c>
      <c r="J154" s="50">
        <f t="shared" si="18"/>
        <v>19494000</v>
      </c>
      <c r="K154" s="116">
        <v>19</v>
      </c>
      <c r="L154" s="116">
        <v>130000</v>
      </c>
      <c r="M154" s="50">
        <f t="shared" si="19"/>
        <v>2470000</v>
      </c>
      <c r="N154" s="50">
        <f t="shared" si="20"/>
        <v>21964000</v>
      </c>
      <c r="O154" s="68">
        <v>700000</v>
      </c>
      <c r="P154" s="33">
        <f t="shared" si="21"/>
        <v>106250</v>
      </c>
      <c r="Q154" s="33" t="s">
        <v>29</v>
      </c>
      <c r="R154" s="165">
        <v>22982400</v>
      </c>
      <c r="S154" s="130">
        <v>2500000</v>
      </c>
      <c r="T154" s="50">
        <f t="shared" si="23"/>
        <v>3488400</v>
      </c>
      <c r="U154" s="49" t="s">
        <v>30</v>
      </c>
      <c r="V154" s="50">
        <f t="shared" si="24"/>
        <v>988400</v>
      </c>
      <c r="W154" s="118">
        <v>19494000</v>
      </c>
      <c r="X154" s="119" t="s">
        <v>31</v>
      </c>
    </row>
    <row r="155" spans="1:24">
      <c r="A155" s="49">
        <f t="shared" si="17"/>
        <v>152</v>
      </c>
      <c r="B155" s="57" t="s">
        <v>24</v>
      </c>
      <c r="C155" s="57" t="s">
        <v>95</v>
      </c>
      <c r="D155" s="57" t="s">
        <v>180</v>
      </c>
      <c r="E155" s="32">
        <v>46228</v>
      </c>
      <c r="F155" s="34" t="s">
        <v>70</v>
      </c>
      <c r="G155" s="114" t="s">
        <v>28</v>
      </c>
      <c r="H155" s="157">
        <v>32.832</v>
      </c>
      <c r="I155" s="114">
        <v>593750</v>
      </c>
      <c r="J155" s="50">
        <f t="shared" si="18"/>
        <v>19494000</v>
      </c>
      <c r="K155" s="116">
        <v>19</v>
      </c>
      <c r="L155" s="116">
        <v>130000</v>
      </c>
      <c r="M155" s="50">
        <f t="shared" si="19"/>
        <v>2470000</v>
      </c>
      <c r="N155" s="50">
        <f t="shared" si="20"/>
        <v>21964000</v>
      </c>
      <c r="O155" s="68">
        <v>700000</v>
      </c>
      <c r="P155" s="33">
        <f t="shared" si="21"/>
        <v>106250</v>
      </c>
      <c r="Q155" s="33" t="s">
        <v>29</v>
      </c>
      <c r="R155" s="165">
        <v>22982400</v>
      </c>
      <c r="S155" s="130">
        <v>2500000</v>
      </c>
      <c r="T155" s="50">
        <f t="shared" si="23"/>
        <v>3488400</v>
      </c>
      <c r="U155" s="49" t="s">
        <v>30</v>
      </c>
      <c r="V155" s="50">
        <f t="shared" si="24"/>
        <v>988400</v>
      </c>
      <c r="W155" s="118">
        <v>19494000</v>
      </c>
      <c r="X155" s="119" t="s">
        <v>31</v>
      </c>
    </row>
    <row r="156" spans="1:24">
      <c r="A156" s="49">
        <f t="shared" si="17"/>
        <v>153</v>
      </c>
      <c r="B156" s="57" t="s">
        <v>24</v>
      </c>
      <c r="C156" s="123" t="s">
        <v>44</v>
      </c>
      <c r="D156" s="123" t="s">
        <v>87</v>
      </c>
      <c r="E156" s="124">
        <v>46228</v>
      </c>
      <c r="F156" s="175" t="s">
        <v>138</v>
      </c>
      <c r="G156" s="114" t="s">
        <v>89</v>
      </c>
      <c r="H156" s="157">
        <v>34.2</v>
      </c>
      <c r="I156" s="114">
        <v>593750</v>
      </c>
      <c r="J156" s="50">
        <f t="shared" si="18"/>
        <v>20306250</v>
      </c>
      <c r="K156" s="116">
        <v>19</v>
      </c>
      <c r="L156" s="116">
        <v>130000</v>
      </c>
      <c r="M156" s="50">
        <f t="shared" si="19"/>
        <v>2470000</v>
      </c>
      <c r="N156" s="50">
        <f t="shared" si="20"/>
        <v>22776250</v>
      </c>
      <c r="O156" s="68">
        <v>700000</v>
      </c>
      <c r="P156" s="33">
        <f t="shared" si="21"/>
        <v>106250</v>
      </c>
      <c r="Q156" s="33" t="s">
        <v>29</v>
      </c>
      <c r="R156" s="33">
        <f t="shared" ref="R156" si="25">O156*H156</f>
        <v>23940000</v>
      </c>
      <c r="S156" s="130">
        <v>2500000</v>
      </c>
      <c r="T156" s="50">
        <f t="shared" si="23"/>
        <v>3633750</v>
      </c>
      <c r="U156" s="49" t="s">
        <v>30</v>
      </c>
      <c r="V156" s="50">
        <f t="shared" si="24"/>
        <v>1133750</v>
      </c>
      <c r="W156" s="118">
        <v>20306250</v>
      </c>
      <c r="X156" s="119" t="s">
        <v>31</v>
      </c>
    </row>
    <row r="157" spans="1:24">
      <c r="A157" s="49">
        <f t="shared" si="17"/>
        <v>154</v>
      </c>
      <c r="B157" s="57" t="s">
        <v>24</v>
      </c>
      <c r="C157" s="126" t="s">
        <v>53</v>
      </c>
      <c r="D157" s="126" t="s">
        <v>56</v>
      </c>
      <c r="E157" s="127">
        <v>46228</v>
      </c>
      <c r="F157" s="148" t="s">
        <v>188</v>
      </c>
      <c r="G157" s="114" t="s">
        <v>49</v>
      </c>
      <c r="H157" s="157">
        <v>32.832</v>
      </c>
      <c r="I157" s="114">
        <v>593750</v>
      </c>
      <c r="J157" s="50">
        <f t="shared" si="18"/>
        <v>19494000</v>
      </c>
      <c r="K157" s="116">
        <v>19</v>
      </c>
      <c r="L157" s="116">
        <v>130000</v>
      </c>
      <c r="M157" s="50">
        <f t="shared" si="19"/>
        <v>2470000</v>
      </c>
      <c r="N157" s="50">
        <f t="shared" si="20"/>
        <v>21964000</v>
      </c>
      <c r="O157" s="68">
        <v>700000</v>
      </c>
      <c r="P157" s="33">
        <f t="shared" si="21"/>
        <v>106250</v>
      </c>
      <c r="Q157" s="33" t="s">
        <v>29</v>
      </c>
      <c r="R157" s="165">
        <v>22982400</v>
      </c>
      <c r="S157" s="130">
        <v>2500000</v>
      </c>
      <c r="T157" s="50">
        <f t="shared" si="23"/>
        <v>3488400</v>
      </c>
      <c r="U157" s="49" t="s">
        <v>30</v>
      </c>
      <c r="V157" s="50">
        <f t="shared" si="24"/>
        <v>988400</v>
      </c>
      <c r="W157" s="118">
        <v>19494000</v>
      </c>
      <c r="X157" s="119" t="s">
        <v>31</v>
      </c>
    </row>
    <row r="158" spans="1:24">
      <c r="A158" s="49">
        <f t="shared" si="17"/>
        <v>155</v>
      </c>
      <c r="B158" s="57" t="s">
        <v>24</v>
      </c>
      <c r="C158" s="57" t="s">
        <v>95</v>
      </c>
      <c r="D158" s="57" t="s">
        <v>124</v>
      </c>
      <c r="E158" s="32">
        <v>46228</v>
      </c>
      <c r="F158" s="34" t="s">
        <v>189</v>
      </c>
      <c r="G158" s="114" t="s">
        <v>49</v>
      </c>
      <c r="H158" s="157">
        <v>32.832</v>
      </c>
      <c r="I158" s="114">
        <v>593750</v>
      </c>
      <c r="J158" s="50">
        <f t="shared" si="18"/>
        <v>19494000</v>
      </c>
      <c r="K158" s="116">
        <v>19</v>
      </c>
      <c r="L158" s="116">
        <v>130000</v>
      </c>
      <c r="M158" s="50">
        <f t="shared" si="19"/>
        <v>2470000</v>
      </c>
      <c r="N158" s="50">
        <f t="shared" si="20"/>
        <v>21964000</v>
      </c>
      <c r="O158" s="68">
        <v>700000</v>
      </c>
      <c r="P158" s="33">
        <f t="shared" si="21"/>
        <v>106250</v>
      </c>
      <c r="Q158" s="33" t="s">
        <v>29</v>
      </c>
      <c r="R158" s="165">
        <v>22982400</v>
      </c>
      <c r="S158" s="130">
        <v>2500000</v>
      </c>
      <c r="T158" s="50">
        <f t="shared" si="23"/>
        <v>3488400</v>
      </c>
      <c r="U158" s="49" t="s">
        <v>30</v>
      </c>
      <c r="V158" s="50">
        <f t="shared" si="24"/>
        <v>988400</v>
      </c>
      <c r="W158" s="118">
        <v>19494000</v>
      </c>
      <c r="X158" s="119" t="s">
        <v>31</v>
      </c>
    </row>
    <row r="159" spans="1:24">
      <c r="A159" s="49">
        <f t="shared" si="17"/>
        <v>156</v>
      </c>
      <c r="B159" s="57" t="s">
        <v>24</v>
      </c>
      <c r="C159" s="123" t="s">
        <v>44</v>
      </c>
      <c r="D159" s="123" t="s">
        <v>87</v>
      </c>
      <c r="E159" s="124">
        <v>46228</v>
      </c>
      <c r="F159" s="175" t="s">
        <v>190</v>
      </c>
      <c r="G159" s="114" t="s">
        <v>89</v>
      </c>
      <c r="H159" s="157">
        <v>32.4</v>
      </c>
      <c r="I159" s="114">
        <v>593750</v>
      </c>
      <c r="J159" s="50">
        <f t="shared" si="18"/>
        <v>19237500</v>
      </c>
      <c r="K159" s="68">
        <v>18</v>
      </c>
      <c r="L159" s="116">
        <v>130000</v>
      </c>
      <c r="M159" s="50">
        <f t="shared" si="19"/>
        <v>2340000</v>
      </c>
      <c r="N159" s="50">
        <f t="shared" si="20"/>
        <v>21577500</v>
      </c>
      <c r="O159" s="68">
        <v>700000</v>
      </c>
      <c r="P159" s="33">
        <f t="shared" si="21"/>
        <v>106250</v>
      </c>
      <c r="Q159" s="33" t="s">
        <v>29</v>
      </c>
      <c r="R159" s="33">
        <f t="shared" ref="R159:R160" si="26">O159*H159</f>
        <v>22680000</v>
      </c>
      <c r="S159" s="130">
        <v>2500000</v>
      </c>
      <c r="T159" s="50">
        <f t="shared" si="23"/>
        <v>3442500</v>
      </c>
      <c r="U159" s="49" t="s">
        <v>30</v>
      </c>
      <c r="V159" s="50">
        <f t="shared" si="24"/>
        <v>942500</v>
      </c>
      <c r="W159" s="118">
        <v>19237500</v>
      </c>
      <c r="X159" s="119" t="s">
        <v>31</v>
      </c>
    </row>
    <row r="160" spans="1:24">
      <c r="A160" s="49">
        <f t="shared" si="17"/>
        <v>157</v>
      </c>
      <c r="B160" s="57" t="s">
        <v>24</v>
      </c>
      <c r="C160" s="123" t="s">
        <v>44</v>
      </c>
      <c r="D160" s="123" t="s">
        <v>87</v>
      </c>
      <c r="E160" s="124">
        <v>46228</v>
      </c>
      <c r="F160" s="175" t="s">
        <v>190</v>
      </c>
      <c r="G160" s="114" t="s">
        <v>49</v>
      </c>
      <c r="H160" s="157">
        <v>1.728</v>
      </c>
      <c r="I160" s="114">
        <v>593750</v>
      </c>
      <c r="J160" s="50">
        <f t="shared" si="18"/>
        <v>1026000</v>
      </c>
      <c r="K160" s="68">
        <v>1</v>
      </c>
      <c r="L160" s="116">
        <v>130000</v>
      </c>
      <c r="M160" s="50">
        <f t="shared" si="19"/>
        <v>130000</v>
      </c>
      <c r="N160" s="50">
        <f t="shared" si="20"/>
        <v>1156000</v>
      </c>
      <c r="O160" s="68">
        <v>700000</v>
      </c>
      <c r="P160" s="33">
        <f t="shared" si="21"/>
        <v>106250</v>
      </c>
      <c r="Q160" s="33" t="s">
        <v>29</v>
      </c>
      <c r="R160" s="33">
        <f t="shared" si="26"/>
        <v>1209600</v>
      </c>
      <c r="S160" s="130">
        <v>0</v>
      </c>
      <c r="T160" s="50">
        <f t="shared" si="23"/>
        <v>183600</v>
      </c>
      <c r="U160" s="49" t="s">
        <v>30</v>
      </c>
      <c r="V160" s="50">
        <f t="shared" si="24"/>
        <v>183600</v>
      </c>
      <c r="W160" s="118">
        <v>1026000</v>
      </c>
      <c r="X160" s="119" t="s">
        <v>31</v>
      </c>
    </row>
    <row r="161" spans="1:24">
      <c r="A161" s="49">
        <f t="shared" si="17"/>
        <v>158</v>
      </c>
      <c r="B161" s="57" t="s">
        <v>24</v>
      </c>
      <c r="C161" s="136" t="s">
        <v>80</v>
      </c>
      <c r="D161" s="136" t="s">
        <v>108</v>
      </c>
      <c r="E161" s="137">
        <v>46229</v>
      </c>
      <c r="F161" s="145" t="s">
        <v>191</v>
      </c>
      <c r="G161" s="114" t="s">
        <v>28</v>
      </c>
      <c r="H161" s="157">
        <v>32.832</v>
      </c>
      <c r="I161" s="114">
        <v>593750</v>
      </c>
      <c r="J161" s="50">
        <f t="shared" si="18"/>
        <v>19494000</v>
      </c>
      <c r="K161" s="116">
        <v>19</v>
      </c>
      <c r="L161" s="116">
        <v>130000</v>
      </c>
      <c r="M161" s="50">
        <f t="shared" si="19"/>
        <v>2470000</v>
      </c>
      <c r="N161" s="50">
        <f t="shared" si="20"/>
        <v>21964000</v>
      </c>
      <c r="O161" s="68">
        <v>700000</v>
      </c>
      <c r="P161" s="33">
        <f t="shared" si="21"/>
        <v>106250</v>
      </c>
      <c r="Q161" s="33" t="s">
        <v>29</v>
      </c>
      <c r="R161" s="165">
        <v>22982400</v>
      </c>
      <c r="S161" s="130">
        <v>2500000</v>
      </c>
      <c r="T161" s="50">
        <f t="shared" si="23"/>
        <v>3488400</v>
      </c>
      <c r="U161" s="49" t="s">
        <v>30</v>
      </c>
      <c r="V161" s="50">
        <f t="shared" si="24"/>
        <v>988400</v>
      </c>
      <c r="W161" s="118">
        <v>19494000</v>
      </c>
      <c r="X161" s="119" t="s">
        <v>31</v>
      </c>
    </row>
    <row r="162" spans="1:24">
      <c r="A162" s="49">
        <f t="shared" si="17"/>
        <v>159</v>
      </c>
      <c r="B162" s="57" t="s">
        <v>24</v>
      </c>
      <c r="C162" s="123" t="s">
        <v>44</v>
      </c>
      <c r="D162" s="123" t="s">
        <v>192</v>
      </c>
      <c r="E162" s="124">
        <v>46229</v>
      </c>
      <c r="F162" s="175" t="s">
        <v>88</v>
      </c>
      <c r="G162" s="114" t="s">
        <v>187</v>
      </c>
      <c r="H162" s="157">
        <v>32.832</v>
      </c>
      <c r="I162" s="114">
        <v>593750</v>
      </c>
      <c r="J162" s="50">
        <f t="shared" si="18"/>
        <v>19494000</v>
      </c>
      <c r="K162" s="116">
        <v>19</v>
      </c>
      <c r="L162" s="116">
        <v>130000</v>
      </c>
      <c r="M162" s="50">
        <f t="shared" si="19"/>
        <v>2470000</v>
      </c>
      <c r="N162" s="50">
        <f t="shared" si="20"/>
        <v>21964000</v>
      </c>
      <c r="O162" s="68">
        <v>700000</v>
      </c>
      <c r="P162" s="33">
        <f t="shared" si="21"/>
        <v>106250</v>
      </c>
      <c r="Q162" s="33" t="s">
        <v>29</v>
      </c>
      <c r="R162" s="165">
        <v>22982400</v>
      </c>
      <c r="S162" s="130">
        <v>2500000</v>
      </c>
      <c r="T162" s="50">
        <f t="shared" si="23"/>
        <v>3488400</v>
      </c>
      <c r="U162" s="49" t="s">
        <v>30</v>
      </c>
      <c r="V162" s="50">
        <f t="shared" si="24"/>
        <v>988400</v>
      </c>
      <c r="W162" s="118">
        <v>19494000</v>
      </c>
      <c r="X162" s="119" t="s">
        <v>31</v>
      </c>
    </row>
    <row r="163" spans="1:24">
      <c r="A163" s="49">
        <f t="shared" si="17"/>
        <v>160</v>
      </c>
      <c r="B163" s="57" t="s">
        <v>24</v>
      </c>
      <c r="C163" s="120" t="s">
        <v>35</v>
      </c>
      <c r="D163" s="120" t="s">
        <v>166</v>
      </c>
      <c r="E163" s="121">
        <v>46229</v>
      </c>
      <c r="F163" s="144" t="s">
        <v>67</v>
      </c>
      <c r="G163" s="114" t="s">
        <v>28</v>
      </c>
      <c r="H163" s="157">
        <v>32.832</v>
      </c>
      <c r="I163" s="114">
        <v>593750</v>
      </c>
      <c r="J163" s="50">
        <f t="shared" si="18"/>
        <v>19494000</v>
      </c>
      <c r="K163" s="116">
        <v>19</v>
      </c>
      <c r="L163" s="116">
        <v>130000</v>
      </c>
      <c r="M163" s="50">
        <f t="shared" si="19"/>
        <v>2470000</v>
      </c>
      <c r="N163" s="50">
        <f t="shared" si="20"/>
        <v>21964000</v>
      </c>
      <c r="O163" s="68">
        <v>700000</v>
      </c>
      <c r="P163" s="33">
        <f t="shared" si="21"/>
        <v>106250</v>
      </c>
      <c r="Q163" s="33" t="s">
        <v>29</v>
      </c>
      <c r="R163" s="165">
        <v>22982400</v>
      </c>
      <c r="S163" s="130">
        <v>2500000</v>
      </c>
      <c r="T163" s="50">
        <f t="shared" si="23"/>
        <v>3488400</v>
      </c>
      <c r="U163" s="49" t="s">
        <v>30</v>
      </c>
      <c r="V163" s="50">
        <f t="shared" si="24"/>
        <v>988400</v>
      </c>
      <c r="W163" s="118">
        <v>19494000</v>
      </c>
      <c r="X163" s="119" t="s">
        <v>31</v>
      </c>
    </row>
    <row r="164" spans="1:24">
      <c r="A164" s="49">
        <f t="shared" si="17"/>
        <v>161</v>
      </c>
      <c r="B164" s="57" t="s">
        <v>24</v>
      </c>
      <c r="C164" s="111" t="s">
        <v>25</v>
      </c>
      <c r="D164" s="111" t="s">
        <v>64</v>
      </c>
      <c r="E164" s="112">
        <v>46229</v>
      </c>
      <c r="F164" s="147" t="s">
        <v>193</v>
      </c>
      <c r="G164" s="114" t="s">
        <v>49</v>
      </c>
      <c r="H164" s="157">
        <v>32.832</v>
      </c>
      <c r="I164" s="114">
        <v>593750</v>
      </c>
      <c r="J164" s="50">
        <f t="shared" si="18"/>
        <v>19494000</v>
      </c>
      <c r="K164" s="116">
        <v>19</v>
      </c>
      <c r="L164" s="116">
        <v>130000</v>
      </c>
      <c r="M164" s="50">
        <f t="shared" si="19"/>
        <v>2470000</v>
      </c>
      <c r="N164" s="50">
        <f t="shared" si="20"/>
        <v>21964000</v>
      </c>
      <c r="O164" s="68">
        <v>700000</v>
      </c>
      <c r="P164" s="33">
        <f t="shared" si="21"/>
        <v>106250</v>
      </c>
      <c r="Q164" s="33" t="s">
        <v>29</v>
      </c>
      <c r="R164" s="165">
        <v>22982400</v>
      </c>
      <c r="S164" s="33">
        <v>2700000</v>
      </c>
      <c r="T164" s="50">
        <f t="shared" si="23"/>
        <v>3488400</v>
      </c>
      <c r="U164" s="49" t="s">
        <v>30</v>
      </c>
      <c r="V164" s="50">
        <f t="shared" si="24"/>
        <v>788400</v>
      </c>
      <c r="W164" s="118">
        <v>19494000</v>
      </c>
      <c r="X164" s="119" t="s">
        <v>31</v>
      </c>
    </row>
    <row r="165" spans="1:24">
      <c r="A165" s="49">
        <f t="shared" si="17"/>
        <v>162</v>
      </c>
      <c r="B165" s="57" t="s">
        <v>24</v>
      </c>
      <c r="C165" s="136" t="s">
        <v>80</v>
      </c>
      <c r="D165" s="136" t="s">
        <v>105</v>
      </c>
      <c r="E165" s="137">
        <v>46230</v>
      </c>
      <c r="F165" s="145" t="s">
        <v>194</v>
      </c>
      <c r="G165" s="114" t="s">
        <v>49</v>
      </c>
      <c r="H165" s="157">
        <v>32.832</v>
      </c>
      <c r="I165" s="114">
        <v>593750</v>
      </c>
      <c r="J165" s="50">
        <f t="shared" si="18"/>
        <v>19494000</v>
      </c>
      <c r="K165" s="116">
        <v>19</v>
      </c>
      <c r="L165" s="116">
        <v>130000</v>
      </c>
      <c r="M165" s="50">
        <f t="shared" si="19"/>
        <v>2470000</v>
      </c>
      <c r="N165" s="50">
        <f t="shared" si="20"/>
        <v>21964000</v>
      </c>
      <c r="O165" s="68">
        <v>700000</v>
      </c>
      <c r="P165" s="33">
        <f t="shared" si="21"/>
        <v>106250</v>
      </c>
      <c r="Q165" s="33" t="s">
        <v>29</v>
      </c>
      <c r="R165" s="165">
        <v>22982400</v>
      </c>
      <c r="S165" s="130">
        <v>2500000</v>
      </c>
      <c r="T165" s="50">
        <f t="shared" si="23"/>
        <v>3488400</v>
      </c>
      <c r="U165" s="49" t="s">
        <v>30</v>
      </c>
      <c r="V165" s="50">
        <f t="shared" si="24"/>
        <v>988400</v>
      </c>
      <c r="W165" s="118">
        <v>19494000</v>
      </c>
      <c r="X165" s="119" t="s">
        <v>31</v>
      </c>
    </row>
    <row r="166" spans="1:24">
      <c r="A166" s="49">
        <f t="shared" si="17"/>
        <v>163</v>
      </c>
      <c r="B166" s="57" t="s">
        <v>24</v>
      </c>
      <c r="C166" s="136" t="s">
        <v>80</v>
      </c>
      <c r="D166" s="136" t="s">
        <v>81</v>
      </c>
      <c r="E166" s="137">
        <v>46230</v>
      </c>
      <c r="F166" s="145" t="s">
        <v>195</v>
      </c>
      <c r="G166" s="114" t="s">
        <v>49</v>
      </c>
      <c r="H166" s="157">
        <v>32.832</v>
      </c>
      <c r="I166" s="114">
        <v>593750</v>
      </c>
      <c r="J166" s="50">
        <f t="shared" si="18"/>
        <v>19494000</v>
      </c>
      <c r="K166" s="116">
        <v>19</v>
      </c>
      <c r="L166" s="116">
        <v>130000</v>
      </c>
      <c r="M166" s="50">
        <f t="shared" si="19"/>
        <v>2470000</v>
      </c>
      <c r="N166" s="50">
        <f t="shared" si="20"/>
        <v>21964000</v>
      </c>
      <c r="O166" s="68">
        <v>700000</v>
      </c>
      <c r="P166" s="33">
        <f t="shared" si="21"/>
        <v>106250</v>
      </c>
      <c r="Q166" s="33" t="s">
        <v>29</v>
      </c>
      <c r="R166" s="165">
        <v>22982400</v>
      </c>
      <c r="S166" s="130">
        <v>2500000</v>
      </c>
      <c r="T166" s="50">
        <f t="shared" si="23"/>
        <v>3488400</v>
      </c>
      <c r="U166" s="49" t="s">
        <v>30</v>
      </c>
      <c r="V166" s="50">
        <f t="shared" si="24"/>
        <v>988400</v>
      </c>
      <c r="W166" s="118">
        <v>19494000</v>
      </c>
      <c r="X166" s="119" t="s">
        <v>31</v>
      </c>
    </row>
    <row r="167" spans="1:24">
      <c r="A167" s="49">
        <f t="shared" si="17"/>
        <v>164</v>
      </c>
      <c r="B167" s="57" t="s">
        <v>24</v>
      </c>
      <c r="C167" s="120" t="s">
        <v>35</v>
      </c>
      <c r="D167" s="120" t="s">
        <v>166</v>
      </c>
      <c r="E167" s="121">
        <v>46230</v>
      </c>
      <c r="F167" s="144" t="s">
        <v>196</v>
      </c>
      <c r="G167" s="114" t="s">
        <v>28</v>
      </c>
      <c r="H167" s="157">
        <v>32.832</v>
      </c>
      <c r="I167" s="114">
        <v>593750</v>
      </c>
      <c r="J167" s="50">
        <f t="shared" si="18"/>
        <v>19494000</v>
      </c>
      <c r="K167" s="116">
        <v>19</v>
      </c>
      <c r="L167" s="116">
        <v>130000</v>
      </c>
      <c r="M167" s="50">
        <f t="shared" si="19"/>
        <v>2470000</v>
      </c>
      <c r="N167" s="50">
        <f t="shared" si="20"/>
        <v>21964000</v>
      </c>
      <c r="O167" s="68">
        <v>700000</v>
      </c>
      <c r="P167" s="33">
        <f t="shared" si="21"/>
        <v>106250</v>
      </c>
      <c r="Q167" s="33" t="s">
        <v>29</v>
      </c>
      <c r="R167" s="165">
        <v>22982400</v>
      </c>
      <c r="S167" s="130">
        <v>2500000</v>
      </c>
      <c r="T167" s="50">
        <f t="shared" si="23"/>
        <v>3488400</v>
      </c>
      <c r="U167" s="49" t="s">
        <v>30</v>
      </c>
      <c r="V167" s="50">
        <f t="shared" si="24"/>
        <v>988400</v>
      </c>
      <c r="W167" s="118">
        <v>19494000</v>
      </c>
      <c r="X167" s="119" t="s">
        <v>31</v>
      </c>
    </row>
    <row r="168" spans="1:24">
      <c r="A168" s="49">
        <f t="shared" si="17"/>
        <v>165</v>
      </c>
      <c r="B168" s="57" t="s">
        <v>24</v>
      </c>
      <c r="C168" s="57" t="s">
        <v>95</v>
      </c>
      <c r="D168" s="57" t="s">
        <v>100</v>
      </c>
      <c r="E168" s="32">
        <v>46230</v>
      </c>
      <c r="F168" s="34" t="s">
        <v>197</v>
      </c>
      <c r="G168" s="114" t="s">
        <v>28</v>
      </c>
      <c r="H168" s="157">
        <v>32.832</v>
      </c>
      <c r="I168" s="114">
        <v>593750</v>
      </c>
      <c r="J168" s="50">
        <f t="shared" si="18"/>
        <v>19494000</v>
      </c>
      <c r="K168" s="116">
        <v>19</v>
      </c>
      <c r="L168" s="116">
        <v>130000</v>
      </c>
      <c r="M168" s="50">
        <f t="shared" si="19"/>
        <v>2470000</v>
      </c>
      <c r="N168" s="50">
        <f t="shared" si="20"/>
        <v>21964000</v>
      </c>
      <c r="O168" s="68">
        <v>700000</v>
      </c>
      <c r="P168" s="33">
        <f t="shared" si="21"/>
        <v>106250</v>
      </c>
      <c r="Q168" s="33" t="s">
        <v>29</v>
      </c>
      <c r="R168" s="165">
        <v>22982400</v>
      </c>
      <c r="S168" s="130">
        <v>2500000</v>
      </c>
      <c r="T168" s="50">
        <f t="shared" si="23"/>
        <v>3488400</v>
      </c>
      <c r="U168" s="49" t="s">
        <v>30</v>
      </c>
      <c r="V168" s="50">
        <f t="shared" si="24"/>
        <v>988400</v>
      </c>
      <c r="W168" s="118">
        <v>19494000</v>
      </c>
      <c r="X168" s="119" t="s">
        <v>31</v>
      </c>
    </row>
    <row r="169" spans="1:24">
      <c r="A169" s="49">
        <f t="shared" si="17"/>
        <v>166</v>
      </c>
      <c r="B169" s="57" t="s">
        <v>24</v>
      </c>
      <c r="C169" s="136" t="s">
        <v>80</v>
      </c>
      <c r="D169" s="136" t="s">
        <v>85</v>
      </c>
      <c r="E169" s="137">
        <v>46230</v>
      </c>
      <c r="F169" s="145" t="s">
        <v>119</v>
      </c>
      <c r="G169" s="114" t="s">
        <v>28</v>
      </c>
      <c r="H169" s="157">
        <v>32.832</v>
      </c>
      <c r="I169" s="114">
        <v>593750</v>
      </c>
      <c r="J169" s="50">
        <f t="shared" si="18"/>
        <v>19494000</v>
      </c>
      <c r="K169" s="116">
        <v>19</v>
      </c>
      <c r="L169" s="116">
        <v>130000</v>
      </c>
      <c r="M169" s="50">
        <f t="shared" si="19"/>
        <v>2470000</v>
      </c>
      <c r="N169" s="50">
        <f t="shared" si="20"/>
        <v>21964000</v>
      </c>
      <c r="O169" s="68">
        <v>700000</v>
      </c>
      <c r="P169" s="33">
        <f t="shared" si="21"/>
        <v>106250</v>
      </c>
      <c r="Q169" s="33" t="s">
        <v>29</v>
      </c>
      <c r="R169" s="165">
        <v>22982400</v>
      </c>
      <c r="S169" s="130">
        <v>2500000</v>
      </c>
      <c r="T169" s="50">
        <f t="shared" si="23"/>
        <v>3488400</v>
      </c>
      <c r="U169" s="49" t="s">
        <v>30</v>
      </c>
      <c r="V169" s="50">
        <f t="shared" si="24"/>
        <v>988400</v>
      </c>
      <c r="W169" s="118">
        <v>19494000</v>
      </c>
      <c r="X169" s="119" t="s">
        <v>31</v>
      </c>
    </row>
    <row r="170" spans="1:24">
      <c r="A170" s="49">
        <f t="shared" si="17"/>
        <v>167</v>
      </c>
      <c r="B170" s="57" t="s">
        <v>24</v>
      </c>
      <c r="C170" s="136" t="s">
        <v>80</v>
      </c>
      <c r="D170" s="136" t="s">
        <v>108</v>
      </c>
      <c r="E170" s="137">
        <v>46231</v>
      </c>
      <c r="F170" s="145" t="s">
        <v>138</v>
      </c>
      <c r="G170" s="114" t="s">
        <v>28</v>
      </c>
      <c r="H170" s="157">
        <v>32.832</v>
      </c>
      <c r="I170" s="114">
        <v>593750</v>
      </c>
      <c r="J170" s="50">
        <f t="shared" si="18"/>
        <v>19494000</v>
      </c>
      <c r="K170" s="116">
        <v>19</v>
      </c>
      <c r="L170" s="116">
        <v>130000</v>
      </c>
      <c r="M170" s="50">
        <f t="shared" si="19"/>
        <v>2470000</v>
      </c>
      <c r="N170" s="50">
        <f t="shared" si="20"/>
        <v>21964000</v>
      </c>
      <c r="O170" s="68">
        <v>700000</v>
      </c>
      <c r="P170" s="33">
        <f t="shared" si="21"/>
        <v>106250</v>
      </c>
      <c r="Q170" s="33" t="s">
        <v>29</v>
      </c>
      <c r="R170" s="165">
        <v>22982400</v>
      </c>
      <c r="S170" s="130">
        <v>2500000</v>
      </c>
      <c r="T170" s="50">
        <f t="shared" si="23"/>
        <v>3488400</v>
      </c>
      <c r="U170" s="49" t="s">
        <v>30</v>
      </c>
      <c r="V170" s="50">
        <f t="shared" si="24"/>
        <v>988400</v>
      </c>
      <c r="W170" s="118">
        <v>19494000</v>
      </c>
      <c r="X170" s="119" t="s">
        <v>31</v>
      </c>
    </row>
    <row r="171" spans="1:24">
      <c r="A171" s="49">
        <f t="shared" si="17"/>
        <v>168</v>
      </c>
      <c r="B171" s="57" t="s">
        <v>24</v>
      </c>
      <c r="C171" s="120" t="s">
        <v>35</v>
      </c>
      <c r="D171" s="120" t="s">
        <v>166</v>
      </c>
      <c r="E171" s="121">
        <v>46231</v>
      </c>
      <c r="F171" s="144" t="s">
        <v>198</v>
      </c>
      <c r="G171" s="114" t="s">
        <v>28</v>
      </c>
      <c r="H171" s="157">
        <v>32.832</v>
      </c>
      <c r="I171" s="114">
        <v>593750</v>
      </c>
      <c r="J171" s="50">
        <f t="shared" si="18"/>
        <v>19494000</v>
      </c>
      <c r="K171" s="116">
        <v>19</v>
      </c>
      <c r="L171" s="116">
        <v>130000</v>
      </c>
      <c r="M171" s="50">
        <f t="shared" si="19"/>
        <v>2470000</v>
      </c>
      <c r="N171" s="50">
        <f t="shared" si="20"/>
        <v>21964000</v>
      </c>
      <c r="O171" s="68">
        <v>700000</v>
      </c>
      <c r="P171" s="33">
        <f t="shared" si="21"/>
        <v>106250</v>
      </c>
      <c r="Q171" s="33" t="s">
        <v>29</v>
      </c>
      <c r="R171" s="165">
        <v>22982400</v>
      </c>
      <c r="S171" s="130">
        <v>2500000</v>
      </c>
      <c r="T171" s="50">
        <f t="shared" si="23"/>
        <v>3488400</v>
      </c>
      <c r="U171" s="49" t="s">
        <v>30</v>
      </c>
      <c r="V171" s="50">
        <f t="shared" si="24"/>
        <v>988400</v>
      </c>
      <c r="W171" s="118">
        <v>19494000</v>
      </c>
      <c r="X171" s="119" t="s">
        <v>31</v>
      </c>
    </row>
    <row r="172" spans="1:24">
      <c r="A172" s="49">
        <f t="shared" si="17"/>
        <v>169</v>
      </c>
      <c r="B172" s="57" t="s">
        <v>24</v>
      </c>
      <c r="C172" s="136" t="s">
        <v>80</v>
      </c>
      <c r="D172" s="136" t="s">
        <v>81</v>
      </c>
      <c r="E172" s="137">
        <v>46231</v>
      </c>
      <c r="F172" s="145" t="s">
        <v>148</v>
      </c>
      <c r="G172" s="114" t="s">
        <v>49</v>
      </c>
      <c r="H172" s="157">
        <v>32.832</v>
      </c>
      <c r="I172" s="114">
        <v>593750</v>
      </c>
      <c r="J172" s="50">
        <f t="shared" si="18"/>
        <v>19494000</v>
      </c>
      <c r="K172" s="116">
        <v>19</v>
      </c>
      <c r="L172" s="116">
        <v>130000</v>
      </c>
      <c r="M172" s="50">
        <f t="shared" si="19"/>
        <v>2470000</v>
      </c>
      <c r="N172" s="50">
        <f t="shared" si="20"/>
        <v>21964000</v>
      </c>
      <c r="O172" s="68">
        <v>700000</v>
      </c>
      <c r="P172" s="33">
        <f t="shared" si="21"/>
        <v>106250</v>
      </c>
      <c r="Q172" s="33" t="s">
        <v>29</v>
      </c>
      <c r="R172" s="165">
        <v>22982400</v>
      </c>
      <c r="S172" s="130">
        <v>2500000</v>
      </c>
      <c r="T172" s="50">
        <f t="shared" si="23"/>
        <v>3488400</v>
      </c>
      <c r="U172" s="49" t="s">
        <v>30</v>
      </c>
      <c r="V172" s="50">
        <f t="shared" si="24"/>
        <v>988400</v>
      </c>
      <c r="W172" s="118">
        <v>19494000</v>
      </c>
      <c r="X172" s="119" t="s">
        <v>31</v>
      </c>
    </row>
    <row r="173" spans="1:24">
      <c r="A173" s="49">
        <f t="shared" si="17"/>
        <v>170</v>
      </c>
      <c r="B173" s="57" t="s">
        <v>24</v>
      </c>
      <c r="C173" s="57" t="s">
        <v>95</v>
      </c>
      <c r="D173" s="57" t="s">
        <v>100</v>
      </c>
      <c r="E173" s="32">
        <v>46231</v>
      </c>
      <c r="F173" s="34" t="s">
        <v>199</v>
      </c>
      <c r="G173" s="114" t="s">
        <v>28</v>
      </c>
      <c r="H173" s="157">
        <v>32.832</v>
      </c>
      <c r="I173" s="114">
        <v>593750</v>
      </c>
      <c r="J173" s="50">
        <f t="shared" si="18"/>
        <v>19494000</v>
      </c>
      <c r="K173" s="116">
        <v>19</v>
      </c>
      <c r="L173" s="116">
        <v>130000</v>
      </c>
      <c r="M173" s="50">
        <f t="shared" si="19"/>
        <v>2470000</v>
      </c>
      <c r="N173" s="50">
        <f t="shared" si="20"/>
        <v>21964000</v>
      </c>
      <c r="O173" s="68">
        <v>700000</v>
      </c>
      <c r="P173" s="33">
        <f t="shared" si="21"/>
        <v>106250</v>
      </c>
      <c r="Q173" s="33" t="s">
        <v>29</v>
      </c>
      <c r="R173" s="165">
        <v>22982400</v>
      </c>
      <c r="S173" s="130">
        <v>2500000</v>
      </c>
      <c r="T173" s="50">
        <f t="shared" si="23"/>
        <v>3488400</v>
      </c>
      <c r="U173" s="49" t="s">
        <v>30</v>
      </c>
      <c r="V173" s="50">
        <f t="shared" si="24"/>
        <v>988400</v>
      </c>
      <c r="W173" s="118">
        <v>19494000</v>
      </c>
      <c r="X173" s="119" t="s">
        <v>31</v>
      </c>
    </row>
    <row r="174" spans="1:24">
      <c r="A174" s="49"/>
      <c r="B174" s="57"/>
      <c r="C174" s="176"/>
      <c r="D174" s="176"/>
      <c r="E174" s="176"/>
      <c r="F174" s="176"/>
      <c r="G174" s="176"/>
      <c r="H174" s="177">
        <f>SUM(H4:H173)</f>
        <v>5323.17600000001</v>
      </c>
      <c r="I174" s="33"/>
      <c r="J174" s="33">
        <f>SUM(J4:J173)</f>
        <v>3035493990</v>
      </c>
      <c r="K174" s="33">
        <f>SUM(K4:K173)</f>
        <v>3079</v>
      </c>
      <c r="L174" s="33"/>
      <c r="M174" s="33">
        <f>SUM(M4:M173)</f>
        <v>400270000</v>
      </c>
      <c r="N174" s="33">
        <f>SUM(N4:N173)</f>
        <v>3435763990</v>
      </c>
      <c r="O174" s="33"/>
      <c r="P174" s="33"/>
      <c r="Q174" s="33"/>
      <c r="R174" s="33">
        <f>SUM(R4:R173)</f>
        <v>3760776119.3783</v>
      </c>
      <c r="S174" s="33">
        <f>SUM(S4:S173)</f>
        <v>374900002</v>
      </c>
      <c r="T174" s="33">
        <f>SUM(T4:T173)</f>
        <v>725282129.378304</v>
      </c>
      <c r="U174" s="33"/>
      <c r="V174" s="33">
        <f>SUM(V4:V173)</f>
        <v>350382127.378304</v>
      </c>
      <c r="W174" s="178">
        <f>SUM(W4:W173)</f>
        <v>2937618614</v>
      </c>
    </row>
    <row r="177" spans="3:19">
      <c r="C177" s="179" t="s">
        <v>2</v>
      </c>
      <c r="D177" s="179" t="s">
        <v>200</v>
      </c>
      <c r="E177" s="179" t="s">
        <v>201</v>
      </c>
      <c r="F177" s="179" t="s">
        <v>202</v>
      </c>
      <c r="G177" s="180" t="s">
        <v>203</v>
      </c>
      <c r="J177" s="181" t="s">
        <v>204</v>
      </c>
      <c r="K177" s="182"/>
      <c r="M177" s="183" t="s">
        <v>205</v>
      </c>
      <c r="N177" s="184"/>
    </row>
    <row r="178" spans="3:19">
      <c r="C178" s="147" t="s">
        <v>25</v>
      </c>
      <c r="D178" s="185">
        <f>'Жамол 22-22'!M102+'Жамол 22-22'!M84+'Жамол 22-22'!M72+'Жамол 22-22'!M55+'Жамол 22-22'!M43+'Жамол 22-22'!M33+'Жамол 22-22'!M18+'Жамол 22-22'!M5</f>
        <v>751060559.983104</v>
      </c>
      <c r="E178" s="185">
        <f>'Жамол 22-22'!C5+'Жамол 22-22'!C18+'Жамол 22-22'!C33+'Жамол 22-22'!C43+'Жамол 22-22'!C55+'Жамол 22-22'!C72+'Жамол 22-22'!C84+'Жамол 22-22'!C102</f>
        <v>650896560</v>
      </c>
      <c r="F178" s="185">
        <f>D178-E178</f>
        <v>100163999.983104</v>
      </c>
      <c r="G178" s="185">
        <f>'Жамол 22-22'!K5+'Жамол 22-22'!K18+'Жамол 22-22'!K33+'Жамол 22-22'!K43+'Жамол 22-22'!K55+'Жамол 22-22'!K72+'Жамол 22-22'!K84+'Жамол 22-22'!K102</f>
        <v>613</v>
      </c>
      <c r="J178" s="186">
        <v>46198</v>
      </c>
      <c r="K178" s="187" t="s">
        <v>31</v>
      </c>
      <c r="L178" s="188">
        <v>23328000</v>
      </c>
      <c r="M178" s="189" t="s">
        <v>206</v>
      </c>
      <c r="N178" s="189" t="s">
        <v>207</v>
      </c>
      <c r="S178" s="1"/>
    </row>
    <row r="179" spans="3:19">
      <c r="C179" s="144" t="s">
        <v>35</v>
      </c>
      <c r="D179" s="185">
        <f>'Зафар ога'!M5+'Зафар ога'!M16+'Зафар ога'!M61+'Зафар ога'!M75+'Зафар ога'!M87</f>
        <v>837889920</v>
      </c>
      <c r="E179" s="185">
        <f>'Зафар ога'!C5+'Зафар ога'!C16+'Зафар ога'!C61+'Зафар ога'!C75+'Зафар ога'!C87</f>
        <v>993372920</v>
      </c>
      <c r="F179" s="185">
        <f t="shared" ref="F179:F183" si="27">D179-E179</f>
        <v>-155483000</v>
      </c>
      <c r="G179" s="185">
        <f>'Зафар ога'!K5+'Зафар ога'!K16+'Зафар ога'!K61+'Зафар ога'!K75+'Зафар ога'!K87</f>
        <v>683</v>
      </c>
      <c r="J179" s="186">
        <v>46198</v>
      </c>
      <c r="K179" s="187" t="s">
        <v>31</v>
      </c>
      <c r="L179" s="188">
        <v>45570000</v>
      </c>
      <c r="M179" s="185">
        <f>J174</f>
        <v>3035493990</v>
      </c>
      <c r="N179" s="185">
        <f>L201</f>
        <v>3427089420</v>
      </c>
      <c r="S179" s="1"/>
    </row>
    <row r="180" spans="3:19">
      <c r="C180" s="148" t="s">
        <v>53</v>
      </c>
      <c r="D180" s="185">
        <f>'Шохрух ога'!M5+'Шохрух ога'!M24+'Шохрух ога'!M35+'Шохрух ога'!M49+'Шохрух ога'!M61+'Шохрух ога'!M72</f>
        <v>471828039.3792</v>
      </c>
      <c r="E180" s="185">
        <f>'Шохрух ога'!C5+'Шохрух ога'!C24+'Шохрух ога'!C35+'Шохрух ога'!C49+'Шохрух ога'!C61+'Шохрух ога'!C72</f>
        <v>350342440</v>
      </c>
      <c r="F180" s="185">
        <f t="shared" si="27"/>
        <v>121485599.3792</v>
      </c>
      <c r="G180" s="185">
        <f>'Шохрух ога'!K5+'Шохрух ога'!K24+'Шохрух ога'!K35+'Шохрух ога'!K49+'Шохрух ога'!K61+'Шохрух ога'!K72</f>
        <v>386</v>
      </c>
      <c r="J180" s="186">
        <v>46202</v>
      </c>
      <c r="K180" s="187" t="s">
        <v>31</v>
      </c>
      <c r="L180" s="188">
        <v>23965900</v>
      </c>
      <c r="M180" s="190">
        <f>N179-M179</f>
        <v>391595430</v>
      </c>
      <c r="N180" s="191"/>
      <c r="S180" s="1"/>
    </row>
    <row r="181" spans="3:19">
      <c r="C181" s="175" t="s">
        <v>44</v>
      </c>
      <c r="D181" s="185">
        <f>'Арслон ога'!M5+'Арслон ога'!M19+'Арслон ога'!M37+'Арслон ога'!M48</f>
        <v>308757600</v>
      </c>
      <c r="E181" s="185">
        <f>'Арслон ога'!C5+'Арслон ога'!C19+'Арслон ога'!C37+'Арслон ога'!C48</f>
        <v>306592600</v>
      </c>
      <c r="F181" s="185">
        <f t="shared" si="27"/>
        <v>2165000</v>
      </c>
      <c r="G181" s="185">
        <f>'Арслон ога'!K5+'Арслон ога'!K19+'Арслон ога'!K37+'Арслон ога'!K48</f>
        <v>247</v>
      </c>
      <c r="J181" s="186">
        <v>46202</v>
      </c>
      <c r="K181" s="187" t="s">
        <v>31</v>
      </c>
      <c r="L181" s="188">
        <v>24624000</v>
      </c>
      <c r="M181" s="187" t="s">
        <v>114</v>
      </c>
      <c r="N181" s="187" t="s">
        <v>208</v>
      </c>
      <c r="S181" s="1"/>
    </row>
    <row r="182" spans="3:19">
      <c r="C182" s="192" t="s">
        <v>80</v>
      </c>
      <c r="D182" s="185">
        <f>'Темур '!M5+'Темур '!M34+'Темур '!M52+'Темур '!M76+'Темур '!M93</f>
        <v>887846400</v>
      </c>
      <c r="E182" s="185">
        <f>'Темур '!C5+'Темур '!C34+'Темур '!C52+'Темур '!C76+'Темур '!C93</f>
        <v>950246400</v>
      </c>
      <c r="F182" s="185">
        <f t="shared" si="27"/>
        <v>-62400000</v>
      </c>
      <c r="G182" s="185">
        <f>'Темур '!K5+'Темур '!K34+'Темур '!K52+'Темур '!K76+'Темур '!K93</f>
        <v>734</v>
      </c>
      <c r="J182" s="186">
        <v>46202</v>
      </c>
      <c r="K182" s="187" t="s">
        <v>31</v>
      </c>
      <c r="L182" s="188">
        <v>47952000</v>
      </c>
      <c r="M182" s="188">
        <v>0</v>
      </c>
      <c r="N182" s="188">
        <v>391595430</v>
      </c>
    </row>
    <row r="183" spans="3:19">
      <c r="C183" s="193" t="s">
        <v>95</v>
      </c>
      <c r="D183" s="185">
        <f>'Сардор ога'!M5+'Сардор ога'!M18+'Сардор ога'!M37+'Сардор ога'!M50+'Сардор ога'!M64+'Сардор ога'!M81+'Сардор ога'!M95</f>
        <v>503393600.016</v>
      </c>
      <c r="E183" s="185">
        <f>'Сардор ога'!C5+'Сардор ога'!C18+'Сардор ога'!C37+'Сардор ога'!C50+'Сардор ога'!C64+'Сардор ога'!C81+'Сардор ога'!C95</f>
        <v>604125100</v>
      </c>
      <c r="F183" s="185">
        <f t="shared" si="27"/>
        <v>-100731499.984</v>
      </c>
      <c r="G183" s="185">
        <f>'Сардор ога'!K5+'Сардор ога'!K18+'Сардор ога'!K37+'Сардор ога'!K50+'Сардор ога'!K64+'Сардор ога'!K81+'Сардор ога'!K95</f>
        <v>416</v>
      </c>
      <c r="J183" s="186">
        <v>46203</v>
      </c>
      <c r="K183" s="187" t="s">
        <v>31</v>
      </c>
      <c r="L183" s="188">
        <v>22703000</v>
      </c>
    </row>
    <row r="184" spans="3:19">
      <c r="C184" s="194"/>
      <c r="D184" s="195">
        <f>SUM(D178:D183)</f>
        <v>3760776119.3783</v>
      </c>
      <c r="E184" s="195">
        <f>SUM(E178:E183)</f>
        <v>3855576020</v>
      </c>
      <c r="F184" s="195">
        <f>SUM(F178:F183)</f>
        <v>-94799900.621696</v>
      </c>
      <c r="G184" s="195">
        <f>SUM(G178:G183)</f>
        <v>3079</v>
      </c>
      <c r="J184" s="186">
        <v>46203</v>
      </c>
      <c r="K184" s="187" t="s">
        <v>31</v>
      </c>
      <c r="L184" s="188">
        <v>23872000</v>
      </c>
      <c r="P184" s="178"/>
    </row>
    <row r="185" spans="3:19">
      <c r="D185" s="178"/>
      <c r="J185" s="186">
        <v>46203</v>
      </c>
      <c r="K185" s="187" t="s">
        <v>31</v>
      </c>
      <c r="L185" s="188">
        <v>50000000</v>
      </c>
      <c r="M185" s="178"/>
      <c r="P185" s="178"/>
    </row>
    <row r="186" spans="3:19">
      <c r="E186" s="178"/>
      <c r="J186" s="186">
        <v>46204</v>
      </c>
      <c r="K186" s="187" t="s">
        <v>31</v>
      </c>
      <c r="L186" s="188">
        <v>25231000</v>
      </c>
    </row>
    <row r="187" spans="3:19">
      <c r="E187" s="178"/>
      <c r="J187" s="186">
        <v>46205</v>
      </c>
      <c r="K187" s="187" t="s">
        <v>31</v>
      </c>
      <c r="L187" s="188">
        <v>67737600</v>
      </c>
    </row>
    <row r="188" spans="3:19">
      <c r="E188" s="178"/>
      <c r="J188" s="186">
        <v>46205</v>
      </c>
      <c r="K188" s="187" t="s">
        <v>31</v>
      </c>
      <c r="L188" s="188">
        <v>72394560</v>
      </c>
    </row>
    <row r="189" spans="3:19">
      <c r="D189" s="178"/>
      <c r="E189" s="178"/>
      <c r="F189" s="178"/>
      <c r="G189" s="178"/>
      <c r="J189" s="186">
        <v>46205</v>
      </c>
      <c r="K189" s="187" t="s">
        <v>31</v>
      </c>
      <c r="L189" s="188">
        <v>73872000</v>
      </c>
    </row>
    <row r="190" spans="3:19">
      <c r="E190" s="178"/>
      <c r="J190" s="186">
        <v>46206</v>
      </c>
      <c r="K190" s="187" t="s">
        <v>31</v>
      </c>
      <c r="L190" s="188">
        <v>47934720</v>
      </c>
    </row>
    <row r="191" spans="3:19">
      <c r="E191" s="178"/>
      <c r="J191" s="186">
        <v>46206</v>
      </c>
      <c r="K191" s="187" t="s">
        <v>31</v>
      </c>
      <c r="L191" s="188">
        <v>49904640</v>
      </c>
    </row>
    <row r="192" spans="3:19">
      <c r="E192" s="178"/>
      <c r="J192" s="186">
        <v>46206</v>
      </c>
      <c r="K192" s="187" t="s">
        <v>31</v>
      </c>
      <c r="L192" s="188">
        <v>50000000</v>
      </c>
    </row>
    <row r="193" spans="5:18">
      <c r="E193" s="178"/>
      <c r="J193" s="186">
        <v>46206</v>
      </c>
      <c r="K193" s="187" t="s">
        <v>31</v>
      </c>
      <c r="L193" s="188">
        <v>506000000</v>
      </c>
    </row>
    <row r="194" spans="5:18">
      <c r="E194" s="178"/>
      <c r="J194" s="186">
        <v>46206</v>
      </c>
      <c r="K194" s="187" t="s">
        <v>31</v>
      </c>
      <c r="L194" s="188">
        <v>890000000</v>
      </c>
    </row>
    <row r="195" spans="5:18">
      <c r="E195" s="178"/>
      <c r="J195" s="186">
        <v>46206</v>
      </c>
      <c r="K195" s="187" t="s">
        <v>114</v>
      </c>
      <c r="L195" s="188">
        <v>6000000</v>
      </c>
    </row>
    <row r="196" spans="5:18">
      <c r="E196" s="178"/>
      <c r="J196" s="186">
        <v>46213</v>
      </c>
      <c r="K196" s="187" t="s">
        <v>209</v>
      </c>
      <c r="L196" s="188">
        <v>50000000</v>
      </c>
      <c r="M196" s="119"/>
      <c r="N196" s="118"/>
    </row>
    <row r="197" spans="5:18">
      <c r="E197" s="178"/>
      <c r="J197" s="186">
        <v>46213</v>
      </c>
      <c r="K197" s="187" t="s">
        <v>31</v>
      </c>
      <c r="L197" s="188">
        <v>300000000</v>
      </c>
    </row>
    <row r="198" spans="5:18">
      <c r="E198" s="178"/>
      <c r="J198" s="186">
        <v>46220</v>
      </c>
      <c r="K198" s="187" t="s">
        <v>31</v>
      </c>
      <c r="L198" s="188">
        <v>626000000</v>
      </c>
    </row>
    <row r="199" spans="5:18">
      <c r="E199" s="178"/>
      <c r="J199" s="186">
        <v>46227</v>
      </c>
      <c r="K199" s="187" t="s">
        <v>31</v>
      </c>
      <c r="L199" s="188">
        <v>200000000</v>
      </c>
      <c r="Q199" s="196"/>
    </row>
    <row r="200" spans="5:18">
      <c r="E200" s="178"/>
      <c r="J200" s="186">
        <v>46231</v>
      </c>
      <c r="K200" s="187" t="s">
        <v>31</v>
      </c>
      <c r="L200" s="188">
        <v>200000000</v>
      </c>
      <c r="Q200" s="197"/>
    </row>
    <row r="201" spans="5:18">
      <c r="J201" s="198" t="s">
        <v>210</v>
      </c>
      <c r="K201" s="199"/>
      <c r="L201" s="200">
        <f>SUM(L178:L200)</f>
        <v>3427089420</v>
      </c>
      <c r="Q201" s="201"/>
    </row>
    <row r="202" spans="5:18">
      <c r="Q202" s="202"/>
    </row>
    <row r="204" spans="5:18">
      <c r="M204" s="178"/>
    </row>
    <row r="207" spans="5:18">
      <c r="G207" s="196"/>
      <c r="H207" s="196"/>
      <c r="I207" s="196"/>
      <c r="J207" s="196"/>
      <c r="K207" s="203"/>
      <c r="N207" s="204"/>
      <c r="O207" s="204"/>
      <c r="Q207" s="178"/>
      <c r="R207" s="196"/>
    </row>
    <row r="208" spans="5:18">
      <c r="G208" s="205"/>
      <c r="H208" s="201"/>
      <c r="I208" s="201"/>
      <c r="J208" s="201"/>
      <c r="K208" s="201"/>
      <c r="N208" s="206"/>
      <c r="O208" s="118"/>
      <c r="R208" s="197"/>
    </row>
    <row r="209" spans="7:21">
      <c r="G209" s="205"/>
      <c r="H209" s="201"/>
      <c r="I209" s="201"/>
      <c r="J209" s="201"/>
      <c r="K209" s="201"/>
      <c r="N209" s="206"/>
      <c r="O209" s="118"/>
      <c r="R209" s="201"/>
    </row>
    <row r="210" spans="7:21">
      <c r="G210" s="205"/>
      <c r="H210" s="201"/>
      <c r="I210" s="201"/>
      <c r="J210" s="201"/>
      <c r="K210" s="201"/>
      <c r="N210" s="206"/>
      <c r="O210" s="118"/>
      <c r="R210" s="196"/>
    </row>
    <row r="211" spans="7:21">
      <c r="G211" s="205"/>
      <c r="H211" s="201"/>
      <c r="I211" s="201"/>
      <c r="J211" s="201"/>
      <c r="K211" s="201"/>
      <c r="N211" s="206"/>
      <c r="O211" s="118"/>
    </row>
    <row r="212" spans="7:21">
      <c r="H212" s="201"/>
      <c r="I212" s="201"/>
      <c r="J212" s="201"/>
      <c r="K212" s="201"/>
      <c r="N212" s="206"/>
      <c r="O212" s="118"/>
    </row>
    <row r="213" spans="7:21">
      <c r="G213" s="197"/>
      <c r="H213" s="201"/>
      <c r="I213" s="201"/>
      <c r="J213" s="201"/>
      <c r="K213" s="201"/>
      <c r="N213" s="206"/>
      <c r="O213" s="118"/>
      <c r="Q213" s="196"/>
    </row>
    <row r="214" spans="7:21">
      <c r="H214" s="201"/>
      <c r="I214" s="201"/>
      <c r="J214" s="201"/>
      <c r="K214" s="201"/>
      <c r="N214" s="206"/>
      <c r="O214" s="118"/>
      <c r="Q214" s="197"/>
    </row>
    <row r="215" spans="7:21">
      <c r="H215" s="178"/>
      <c r="N215" s="206"/>
      <c r="O215" s="118"/>
      <c r="Q215" s="201"/>
    </row>
    <row r="216" spans="7:21">
      <c r="I216" s="178"/>
      <c r="N216" s="206"/>
      <c r="O216" s="118"/>
      <c r="Q216" s="202"/>
    </row>
    <row r="217" spans="7:21">
      <c r="I217" s="178"/>
      <c r="N217" s="206"/>
      <c r="O217" s="118"/>
    </row>
    <row r="218" spans="7:21">
      <c r="I218" s="178"/>
      <c r="N218" s="206"/>
      <c r="O218" s="118"/>
    </row>
    <row r="220" spans="7:21">
      <c r="M220" s="207"/>
    </row>
    <row r="221" spans="7:21">
      <c r="G221" s="196"/>
      <c r="H221" s="196"/>
      <c r="I221" s="196"/>
      <c r="J221" s="196"/>
      <c r="K221" s="203"/>
      <c r="N221" s="204"/>
      <c r="O221" s="204"/>
      <c r="Q221" s="178"/>
      <c r="R221" s="196"/>
      <c r="T221" s="196"/>
      <c r="U221" s="196"/>
    </row>
    <row r="222" spans="7:21">
      <c r="G222" s="205"/>
      <c r="H222" s="201"/>
      <c r="I222" s="201"/>
      <c r="J222" s="201"/>
      <c r="K222" s="201"/>
      <c r="N222" s="206"/>
      <c r="O222" s="118"/>
      <c r="R222" s="197"/>
      <c r="T222" s="205"/>
      <c r="U222" s="201"/>
    </row>
    <row r="223" spans="7:21">
      <c r="G223" s="205"/>
      <c r="H223" s="201"/>
      <c r="I223" s="201"/>
      <c r="J223" s="201"/>
      <c r="K223" s="201"/>
      <c r="N223" s="206"/>
      <c r="O223" s="118"/>
      <c r="R223" s="201"/>
      <c r="T223" s="205"/>
      <c r="U223" s="201"/>
    </row>
    <row r="224" spans="7:21">
      <c r="G224" s="205"/>
      <c r="H224" s="201"/>
      <c r="I224" s="201"/>
      <c r="J224" s="201"/>
      <c r="K224" s="201"/>
      <c r="N224" s="206"/>
      <c r="O224" s="118"/>
      <c r="R224" s="196"/>
      <c r="T224" s="205"/>
      <c r="U224" s="201"/>
    </row>
    <row r="225" spans="7:21">
      <c r="G225" s="205"/>
      <c r="H225" s="201"/>
      <c r="I225" s="201"/>
      <c r="J225" s="201"/>
      <c r="K225" s="201"/>
      <c r="N225" s="206"/>
      <c r="O225" s="118"/>
      <c r="Q225" s="196"/>
      <c r="T225" s="205"/>
      <c r="U225" s="201"/>
    </row>
    <row r="226" spans="7:21">
      <c r="G226" s="205"/>
      <c r="H226" s="201"/>
      <c r="I226" s="201"/>
      <c r="J226" s="201"/>
      <c r="K226" s="201"/>
      <c r="N226" s="206"/>
      <c r="O226" s="118"/>
      <c r="Q226" s="197"/>
      <c r="T226" s="205"/>
      <c r="U226" s="201"/>
    </row>
    <row r="227" spans="7:21">
      <c r="G227" s="197"/>
      <c r="H227" s="201"/>
      <c r="I227" s="201"/>
      <c r="J227" s="201"/>
      <c r="K227" s="201"/>
      <c r="N227" s="206"/>
      <c r="O227" s="118"/>
      <c r="Q227" s="201"/>
      <c r="T227" s="197"/>
      <c r="U227" s="201"/>
    </row>
    <row r="228" spans="7:21">
      <c r="H228" s="201"/>
      <c r="I228" s="201"/>
      <c r="J228" s="201"/>
      <c r="K228" s="201"/>
      <c r="N228" s="206"/>
      <c r="O228" s="118"/>
      <c r="Q228" s="202"/>
      <c r="U228" s="201"/>
    </row>
    <row r="229" spans="7:21">
      <c r="H229" s="178"/>
      <c r="N229" s="206"/>
      <c r="O229" s="118"/>
      <c r="U229" s="178"/>
    </row>
    <row r="230" spans="7:21">
      <c r="I230" s="178"/>
      <c r="N230" s="206"/>
      <c r="O230" s="118"/>
    </row>
    <row r="231" spans="7:21">
      <c r="I231" s="178"/>
      <c r="N231" s="206"/>
      <c r="O231" s="118"/>
    </row>
    <row r="232" spans="7:21">
      <c r="I232" s="178"/>
      <c r="N232" s="206"/>
      <c r="O232" s="118"/>
    </row>
    <row r="233" spans="7:21">
      <c r="G233" s="196"/>
      <c r="H233" s="196"/>
      <c r="I233" s="196"/>
      <c r="J233" s="196"/>
      <c r="K233" s="203"/>
      <c r="N233" s="204"/>
      <c r="O233" s="204"/>
      <c r="Q233" s="178"/>
      <c r="R233" s="196"/>
      <c r="T233" s="196"/>
      <c r="U233" s="196"/>
    </row>
    <row r="234" spans="7:21">
      <c r="G234" s="205"/>
      <c r="H234" s="201"/>
      <c r="I234" s="201"/>
      <c r="J234" s="201"/>
      <c r="K234" s="201"/>
      <c r="N234" s="206"/>
      <c r="O234" s="118"/>
      <c r="R234" s="197"/>
      <c r="T234" s="205"/>
      <c r="U234" s="201"/>
    </row>
    <row r="235" spans="7:21">
      <c r="G235" s="205"/>
      <c r="H235" s="201"/>
      <c r="I235" s="201"/>
      <c r="J235" s="201"/>
      <c r="K235" s="201"/>
      <c r="N235" s="206"/>
      <c r="O235" s="118"/>
      <c r="R235" s="201"/>
      <c r="T235" s="205"/>
      <c r="U235" s="201"/>
    </row>
    <row r="236" spans="7:21">
      <c r="G236" s="205"/>
      <c r="H236" s="201"/>
      <c r="I236" s="201"/>
      <c r="J236" s="201"/>
      <c r="K236" s="201"/>
      <c r="N236" s="206"/>
      <c r="O236" s="118"/>
      <c r="R236" s="196"/>
      <c r="T236" s="205"/>
      <c r="U236" s="201"/>
    </row>
    <row r="237" spans="7:21">
      <c r="G237" s="205"/>
      <c r="H237" s="201"/>
      <c r="I237" s="201"/>
      <c r="J237" s="201"/>
      <c r="K237" s="201"/>
      <c r="N237" s="206"/>
      <c r="O237" s="118"/>
      <c r="Q237" s="196"/>
      <c r="T237" s="205"/>
      <c r="U237" s="201"/>
    </row>
    <row r="238" spans="7:21">
      <c r="G238" s="205"/>
      <c r="H238" s="201"/>
      <c r="I238" s="201"/>
      <c r="J238" s="201"/>
      <c r="K238" s="201"/>
      <c r="N238" s="206"/>
      <c r="O238" s="118"/>
      <c r="Q238" s="197"/>
      <c r="T238" s="205"/>
      <c r="U238" s="201"/>
    </row>
    <row r="239" spans="7:21">
      <c r="G239" s="197"/>
      <c r="H239" s="201"/>
      <c r="I239" s="201"/>
      <c r="J239" s="201"/>
      <c r="K239" s="201"/>
      <c r="N239" s="206"/>
      <c r="O239" s="118"/>
      <c r="Q239" s="201"/>
      <c r="T239" s="197"/>
      <c r="U239" s="201"/>
    </row>
    <row r="240" spans="7:21">
      <c r="H240" s="201"/>
      <c r="I240" s="201"/>
      <c r="J240" s="201"/>
      <c r="K240" s="201"/>
      <c r="N240" s="206"/>
      <c r="O240" s="118"/>
      <c r="U240" s="201"/>
    </row>
    <row r="241" spans="7:21">
      <c r="H241" s="178"/>
      <c r="N241" s="206"/>
      <c r="O241" s="118"/>
      <c r="U241" s="178"/>
    </row>
    <row r="242" spans="7:21">
      <c r="I242" s="178"/>
      <c r="N242" s="206"/>
      <c r="O242" s="118"/>
    </row>
    <row r="243" spans="7:21">
      <c r="I243" s="178"/>
      <c r="N243" s="206"/>
      <c r="O243" s="118"/>
    </row>
    <row r="244" spans="7:21">
      <c r="I244" s="178"/>
      <c r="N244" s="206"/>
      <c r="O244" s="118"/>
    </row>
    <row r="245" spans="7:21">
      <c r="G245" s="196"/>
      <c r="H245" s="196"/>
      <c r="I245" s="196"/>
      <c r="J245" s="196"/>
      <c r="K245" s="203"/>
      <c r="N245" s="204"/>
      <c r="O245" s="204"/>
      <c r="R245" s="196"/>
      <c r="T245" s="196"/>
      <c r="U245" s="196"/>
    </row>
    <row r="246" spans="7:21">
      <c r="G246" s="205"/>
      <c r="H246" s="201"/>
      <c r="I246" s="201"/>
      <c r="J246" s="201"/>
      <c r="K246" s="201"/>
      <c r="N246" s="206"/>
      <c r="O246" s="118"/>
      <c r="R246" s="197"/>
      <c r="T246" s="205"/>
      <c r="U246" s="201"/>
    </row>
    <row r="247" spans="7:21">
      <c r="G247" s="205"/>
      <c r="H247" s="201"/>
      <c r="I247" s="201"/>
      <c r="J247" s="201"/>
      <c r="K247" s="201"/>
      <c r="N247" s="206"/>
      <c r="O247" s="118"/>
      <c r="R247" s="201"/>
      <c r="T247" s="205"/>
      <c r="U247" s="201"/>
    </row>
  </sheetData>
  <autoFilter xmlns:etc="http://www.wps.cn/officeDocument/2017/etCustomData" ref="A3:X174" etc:filterBottomFollowUsedRange="0">
    <extLst/>
  </autoFilter>
  <mergeCells count="8">
    <mergeCell ref="J177:K177"/>
    <mergeCell ref="M177:N177"/>
    <mergeCell ref="M180:N180"/>
    <mergeCell ref="J201:K201"/>
    <mergeCell ref="N207:O207"/>
    <mergeCell ref="N221:O221"/>
    <mergeCell ref="N233:O233"/>
    <mergeCell ref="N245:O245"/>
  </mergeCells>
  <conditionalFormatting sqref="P4:P173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T3:T173">
    <cfRule type="cellIs" dxfId="1" priority="3" operator="lessThan">
      <formula>0</formula>
    </cfRule>
  </conditionalFormatting>
  <conditionalFormatting sqref="T4:T173">
    <cfRule type="cellIs" dxfId="0" priority="4" operator="greaterThan">
      <formula>0</formula>
    </cfRule>
  </conditionalFormatting>
  <conditionalFormatting sqref="V4:V173">
    <cfRule type="cellIs" dxfId="1" priority="13" operator="lessThan">
      <formula>0</formula>
    </cfRule>
    <cfRule type="cellIs" dxfId="0" priority="14" operator="greaterThan">
      <formula>0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9"/>
  <sheetViews>
    <sheetView workbookViewId="0">
      <selection activeCell="A1" sqref="A1"/>
    </sheetView>
  </sheetViews>
  <sheetFormatPr defaultColWidth="9.08571428571429" defaultRowHeight="14.25"/>
  <cols>
    <col min="1" max="1" width="6.54285714285714" style="1" customWidth="1"/>
    <col min="2" max="2" width="12.0857142857143" style="1" customWidth="1"/>
    <col min="3" max="3" width="13.4571428571429" style="1" customWidth="1"/>
    <col min="4" max="4" width="37.3619047619048" style="1" customWidth="1"/>
    <col min="5" max="5" width="20.4571428571429" style="1" customWidth="1"/>
    <col min="6" max="6" width="7.62857142857143" style="1" customWidth="1"/>
    <col min="7" max="7" width="11.5428571428571" style="1" customWidth="1"/>
    <col min="8" max="8" width="13.0857142857143" style="1" customWidth="1"/>
    <col min="9" max="9" width="13.5428571428571" style="1" customWidth="1"/>
    <col min="10" max="10" width="10" style="1" customWidth="1"/>
    <col min="11" max="11" width="11.3619047619048" style="1" customWidth="1"/>
    <col min="12" max="12" width="8.90476190476191" style="1" customWidth="1"/>
    <col min="13" max="13" width="13.4571428571429" style="1" customWidth="1"/>
    <col min="14" max="14" width="9.62857142857143" style="1" customWidth="1"/>
    <col min="15" max="16" width="9.08571428571429" style="1"/>
    <col min="17" max="17" width="11.0857142857143" style="1" customWidth="1"/>
    <col min="18" max="18" width="10.0857142857143" style="1" customWidth="1"/>
    <col min="19" max="16384" width="9.08571428571429" style="1"/>
  </cols>
  <sheetData>
    <row r="1" ht="18.75" spans="1:13">
      <c r="A1" s="2"/>
      <c r="B1" s="3"/>
      <c r="C1" s="4" t="s">
        <v>211</v>
      </c>
      <c r="D1" s="70" t="s">
        <v>212</v>
      </c>
      <c r="E1" s="6"/>
      <c r="H1" s="1" t="s">
        <v>213</v>
      </c>
      <c r="I1" s="92">
        <f>SUMIFS(C:C,D:D,J1)</f>
        <v>53004000</v>
      </c>
      <c r="J1" s="32" t="s">
        <v>214</v>
      </c>
    </row>
    <row r="2" ht="20.25" spans="1:13">
      <c r="A2" s="7" t="s">
        <v>215</v>
      </c>
      <c r="B2" s="7"/>
      <c r="C2" s="8"/>
      <c r="D2" s="8"/>
      <c r="E2" s="8"/>
      <c r="F2" s="53">
        <f>Таблица213399029467813161718[[#Totals],[2]]+-Таблица213399029467813161718[[#Totals],[16]]</f>
        <v>0</v>
      </c>
      <c r="G2" s="54"/>
    </row>
    <row r="3" spans="1:13">
      <c r="A3" s="10" t="s">
        <v>216</v>
      </c>
      <c r="B3" s="10" t="s">
        <v>217</v>
      </c>
      <c r="C3" s="10" t="s">
        <v>218</v>
      </c>
      <c r="D3" s="10" t="s">
        <v>219</v>
      </c>
      <c r="E3" s="13" t="s">
        <v>220</v>
      </c>
      <c r="F3" s="14" t="s">
        <v>216</v>
      </c>
      <c r="G3" s="14" t="s">
        <v>217</v>
      </c>
      <c r="H3" s="14" t="s">
        <v>221</v>
      </c>
      <c r="I3" s="15" t="s">
        <v>6</v>
      </c>
      <c r="J3" s="16" t="s">
        <v>7</v>
      </c>
      <c r="K3" s="16" t="s">
        <v>222</v>
      </c>
      <c r="L3" s="14" t="s">
        <v>223</v>
      </c>
      <c r="M3" s="15" t="s">
        <v>218</v>
      </c>
    </row>
    <row r="4" spans="1:13">
      <c r="A4" s="10"/>
      <c r="B4" s="10"/>
      <c r="C4" s="17"/>
      <c r="D4" s="18"/>
      <c r="E4" s="19"/>
      <c r="F4" s="14"/>
      <c r="G4" s="14"/>
      <c r="H4" s="14"/>
      <c r="I4" s="20"/>
      <c r="J4" s="71"/>
      <c r="K4" s="21"/>
      <c r="L4" s="14"/>
      <c r="M4" s="25"/>
    </row>
    <row r="5" ht="15.75" spans="1:13">
      <c r="A5" s="10"/>
      <c r="B5" s="10"/>
      <c r="C5" s="55">
        <f>Таблица213399029467813161718[[#Totals],[2]]</f>
        <v>45964800</v>
      </c>
      <c r="D5" s="23"/>
      <c r="E5" s="24">
        <f>SUM(Таблица213399029467813161718[4])</f>
        <v>0</v>
      </c>
      <c r="F5" s="14"/>
      <c r="G5" s="14"/>
      <c r="H5" s="14"/>
      <c r="I5" s="25"/>
      <c r="J5" s="72">
        <f>SUM(Таблица213399029467813161718[113])</f>
        <v>65.664</v>
      </c>
      <c r="K5" s="26">
        <f>Таблица213399029467813161718[[#Totals],[1132]]</f>
        <v>38</v>
      </c>
      <c r="L5" s="14"/>
      <c r="M5" s="9">
        <f>Таблица213399029467813161718[[#Totals],[16]]</f>
        <v>45964800</v>
      </c>
    </row>
    <row r="6" spans="1:13">
      <c r="A6" s="27" t="s">
        <v>211</v>
      </c>
      <c r="B6" s="28" t="s">
        <v>224</v>
      </c>
      <c r="C6" s="28" t="s">
        <v>225</v>
      </c>
      <c r="D6" s="28" t="s">
        <v>226</v>
      </c>
      <c r="E6" s="28" t="s">
        <v>227</v>
      </c>
      <c r="F6" s="28" t="s">
        <v>228</v>
      </c>
      <c r="G6" s="28" t="s">
        <v>229</v>
      </c>
      <c r="H6" s="28" t="s">
        <v>230</v>
      </c>
      <c r="I6" s="28" t="s">
        <v>231</v>
      </c>
      <c r="J6" s="28" t="s">
        <v>232</v>
      </c>
      <c r="K6" s="28" t="s">
        <v>233</v>
      </c>
      <c r="L6" s="28" t="s">
        <v>234</v>
      </c>
      <c r="M6" s="28" t="s">
        <v>235</v>
      </c>
    </row>
    <row r="7" ht="15" spans="1:13">
      <c r="A7" s="29">
        <v>1</v>
      </c>
      <c r="B7" s="39">
        <v>46210</v>
      </c>
      <c r="C7" s="56">
        <v>40000000</v>
      </c>
      <c r="D7" s="32" t="s">
        <v>236</v>
      </c>
      <c r="E7" s="33"/>
      <c r="F7" s="34">
        <f>Таблица213399029467813161718[[#This Row],[ ]]</f>
        <v>1</v>
      </c>
      <c r="G7" s="32">
        <v>46210</v>
      </c>
      <c r="H7" s="35" t="s">
        <v>97</v>
      </c>
      <c r="I7" s="36" t="s">
        <v>49</v>
      </c>
      <c r="J7" s="37">
        <v>32.832</v>
      </c>
      <c r="K7" s="38">
        <v>19</v>
      </c>
      <c r="L7" s="34">
        <v>700000</v>
      </c>
      <c r="M7" s="33">
        <f>Таблица213399029467813161718[[#This Row],[113]]*Таблица213399029467813161718[[#This Row],[15]]</f>
        <v>22982400</v>
      </c>
    </row>
    <row r="8" spans="1:13">
      <c r="A8" s="29">
        <v>2</v>
      </c>
      <c r="B8" s="39">
        <v>46210</v>
      </c>
      <c r="C8" s="33">
        <v>1964800</v>
      </c>
      <c r="D8" s="32" t="s">
        <v>236</v>
      </c>
      <c r="E8" s="33"/>
      <c r="F8" s="34">
        <f>Таблица213399029467813161718[[#This Row],[ ]]</f>
        <v>2</v>
      </c>
      <c r="G8" s="32">
        <v>46211</v>
      </c>
      <c r="H8" s="35" t="s">
        <v>102</v>
      </c>
      <c r="I8" s="36" t="s">
        <v>49</v>
      </c>
      <c r="J8" s="37">
        <v>32.832</v>
      </c>
      <c r="K8" s="38">
        <v>19</v>
      </c>
      <c r="L8" s="34">
        <v>700000</v>
      </c>
      <c r="M8" s="33">
        <f>Таблица213399029467813161718[[#This Row],[113]]*Таблица213399029467813161718[[#This Row],[15]]</f>
        <v>22982400</v>
      </c>
    </row>
    <row r="9" spans="1:13">
      <c r="A9" s="29">
        <v>3</v>
      </c>
      <c r="B9" s="44">
        <v>46180</v>
      </c>
      <c r="C9" s="33">
        <v>2000000</v>
      </c>
      <c r="D9" s="32" t="s">
        <v>214</v>
      </c>
      <c r="E9" s="33"/>
      <c r="F9" s="34">
        <f>Таблица213399029467813161718[[#This Row],[ ]]</f>
        <v>3</v>
      </c>
      <c r="G9" s="39"/>
      <c r="H9" s="41"/>
      <c r="I9" s="41"/>
      <c r="J9" s="41"/>
      <c r="K9" s="33"/>
      <c r="L9" s="43"/>
      <c r="M9" s="33">
        <f>Таблица213399029467813161718[[#This Row],[113]]*Таблица213399029467813161718[[#This Row],[15]]</f>
        <v>0</v>
      </c>
    </row>
    <row r="10" spans="1:13">
      <c r="A10" s="29">
        <v>4</v>
      </c>
      <c r="B10" s="44">
        <v>46211</v>
      </c>
      <c r="C10" s="33">
        <v>2000000</v>
      </c>
      <c r="D10" s="32" t="s">
        <v>214</v>
      </c>
      <c r="E10" s="33"/>
      <c r="F10" s="34">
        <f>Таблица213399029467813161718[[#This Row],[ ]]</f>
        <v>4</v>
      </c>
      <c r="G10" s="39"/>
      <c r="H10" s="41"/>
      <c r="I10" s="41"/>
      <c r="J10" s="41"/>
      <c r="K10" s="33"/>
      <c r="L10" s="43"/>
      <c r="M10" s="33">
        <f>Таблица213399029467813161718[[#This Row],[113]]*Таблица213399029467813161718[[#This Row],[15]]</f>
        <v>0</v>
      </c>
    </row>
    <row r="11" spans="1:13">
      <c r="A11" s="29">
        <v>5</v>
      </c>
      <c r="B11" s="44"/>
      <c r="C11" s="33"/>
      <c r="D11" s="33"/>
      <c r="E11" s="77"/>
      <c r="F11" s="34">
        <f>Таблица213399029467813161718[[#This Row],[ ]]</f>
        <v>5</v>
      </c>
      <c r="G11" s="39"/>
      <c r="H11" s="41"/>
      <c r="I11" s="41"/>
      <c r="J11" s="41"/>
      <c r="K11" s="43"/>
      <c r="L11" s="33"/>
      <c r="M11" s="33">
        <f>Таблица213399029467813161718[[#This Row],[113]]*Таблица213399029467813161718[[#This Row],[15]]</f>
        <v>0</v>
      </c>
    </row>
    <row r="12" spans="1:13">
      <c r="A12" s="45"/>
      <c r="B12" s="57"/>
      <c r="C12" s="33">
        <f>SUBTOTAL(109,Таблица213399029467813161718[2])</f>
        <v>45964800</v>
      </c>
      <c r="D12" s="33"/>
      <c r="E12" s="47"/>
      <c r="F12" s="46"/>
      <c r="G12" s="48"/>
      <c r="H12" s="49"/>
      <c r="I12" s="49"/>
      <c r="J12" s="49"/>
      <c r="K12" s="49">
        <f>SUBTOTAL(109,Таблица213399029467813161718[1132])</f>
        <v>38</v>
      </c>
      <c r="L12" s="51"/>
      <c r="M12" s="51">
        <f>SUBTOTAL(109,Таблица213399029467813161718[16])</f>
        <v>45964800</v>
      </c>
    </row>
    <row r="14" ht="18.75" spans="1:13">
      <c r="A14" s="2"/>
      <c r="B14" s="3"/>
      <c r="C14" s="4" t="s">
        <v>211</v>
      </c>
      <c r="D14" s="70" t="s">
        <v>237</v>
      </c>
      <c r="E14" s="6"/>
      <c r="H14" s="1" t="s">
        <v>213</v>
      </c>
      <c r="I14" s="92">
        <f>C21+C22</f>
        <v>4700000</v>
      </c>
      <c r="J14" s="32" t="s">
        <v>214</v>
      </c>
    </row>
    <row r="15" ht="20.25" spans="1:13">
      <c r="A15" s="7" t="s">
        <v>215</v>
      </c>
      <c r="B15" s="7"/>
      <c r="C15" s="8"/>
      <c r="D15" s="8"/>
      <c r="E15" s="8"/>
      <c r="F15" s="53">
        <f>Таблица2133990294678131617[[#Totals],[2]]+-Таблица2133990294678131617[[#Totals],[16]]</f>
        <v>1323200</v>
      </c>
      <c r="G15" s="54"/>
    </row>
    <row r="16" spans="1:13">
      <c r="A16" s="10" t="s">
        <v>216</v>
      </c>
      <c r="B16" s="10" t="s">
        <v>217</v>
      </c>
      <c r="C16" s="10" t="s">
        <v>218</v>
      </c>
      <c r="D16" s="10" t="s">
        <v>219</v>
      </c>
      <c r="E16" s="13" t="s">
        <v>220</v>
      </c>
      <c r="F16" s="14" t="s">
        <v>216</v>
      </c>
      <c r="G16" s="14" t="s">
        <v>217</v>
      </c>
      <c r="H16" s="14" t="s">
        <v>221</v>
      </c>
      <c r="I16" s="15" t="s">
        <v>6</v>
      </c>
      <c r="J16" s="16" t="s">
        <v>7</v>
      </c>
      <c r="K16" s="16" t="s">
        <v>222</v>
      </c>
      <c r="L16" s="14" t="s">
        <v>223</v>
      </c>
      <c r="M16" s="15" t="s">
        <v>218</v>
      </c>
    </row>
    <row r="17" spans="1:14">
      <c r="A17" s="10"/>
      <c r="B17" s="10"/>
      <c r="C17" s="17"/>
      <c r="D17" s="18"/>
      <c r="E17" s="19"/>
      <c r="F17" s="14"/>
      <c r="G17" s="14"/>
      <c r="H17" s="14"/>
      <c r="I17" s="20"/>
      <c r="J17" s="71"/>
      <c r="K17" s="21"/>
      <c r="L17" s="14"/>
      <c r="M17" s="25"/>
    </row>
    <row r="18" ht="15.75" spans="1:14">
      <c r="A18" s="10"/>
      <c r="B18" s="10"/>
      <c r="C18" s="55">
        <f>Таблица2133990294678131617[[#Totals],[2]]</f>
        <v>162200000</v>
      </c>
      <c r="D18" s="23"/>
      <c r="E18" s="24">
        <f>SUM(Таблица2133990294678131617[4])</f>
        <v>0</v>
      </c>
      <c r="F18" s="14"/>
      <c r="G18" s="14"/>
      <c r="H18" s="14"/>
      <c r="I18" s="25"/>
      <c r="J18" s="72">
        <f>SUM(Таблица2133990294678131617[113])</f>
        <v>229.824</v>
      </c>
      <c r="K18" s="26">
        <f>Таблица2133990294678131617[[#Totals],[1132]]</f>
        <v>133</v>
      </c>
      <c r="L18" s="14"/>
      <c r="M18" s="9">
        <f>Таблица2133990294678131617[[#Totals],[16]]</f>
        <v>160876800</v>
      </c>
    </row>
    <row r="19" spans="1:14">
      <c r="A19" s="27" t="s">
        <v>211</v>
      </c>
      <c r="B19" s="28" t="s">
        <v>224</v>
      </c>
      <c r="C19" s="28" t="s">
        <v>225</v>
      </c>
      <c r="D19" s="28" t="s">
        <v>226</v>
      </c>
      <c r="E19" s="28" t="s">
        <v>227</v>
      </c>
      <c r="F19" s="28" t="s">
        <v>228</v>
      </c>
      <c r="G19" s="28" t="s">
        <v>229</v>
      </c>
      <c r="H19" s="28" t="s">
        <v>230</v>
      </c>
      <c r="I19" s="28" t="s">
        <v>231</v>
      </c>
      <c r="J19" s="28" t="s">
        <v>232</v>
      </c>
      <c r="K19" s="28" t="s">
        <v>233</v>
      </c>
      <c r="L19" s="28" t="s">
        <v>234</v>
      </c>
      <c r="M19" s="28" t="s">
        <v>235</v>
      </c>
      <c r="N19" s="65" t="s">
        <v>238</v>
      </c>
    </row>
    <row r="20" ht="15" spans="1:14">
      <c r="A20" s="29">
        <v>1</v>
      </c>
      <c r="B20" s="39">
        <v>46212</v>
      </c>
      <c r="C20" s="56">
        <v>45000000</v>
      </c>
      <c r="D20" s="32" t="s">
        <v>239</v>
      </c>
      <c r="E20" s="33"/>
      <c r="F20" s="34">
        <f>Таблица2133990294678131617[[#This Row],[ ]]</f>
        <v>1</v>
      </c>
      <c r="G20" s="32">
        <v>46214</v>
      </c>
      <c r="H20" s="35" t="s">
        <v>117</v>
      </c>
      <c r="I20" s="36" t="s">
        <v>28</v>
      </c>
      <c r="J20" s="37">
        <v>32.832</v>
      </c>
      <c r="K20" s="38">
        <v>19</v>
      </c>
      <c r="L20" s="34">
        <v>700000</v>
      </c>
      <c r="M20" s="33">
        <f>Таблица2133990294678131617[[#This Row],[113]]*Таблица2133990294678131617[[#This Row],[15]]</f>
        <v>22982400</v>
      </c>
      <c r="N20" s="38">
        <v>2500000</v>
      </c>
    </row>
    <row r="21" spans="1:14">
      <c r="A21" s="29">
        <v>2</v>
      </c>
      <c r="B21" s="39">
        <v>46214</v>
      </c>
      <c r="C21" s="33">
        <v>2500000</v>
      </c>
      <c r="D21" s="32" t="s">
        <v>214</v>
      </c>
      <c r="E21" s="33"/>
      <c r="F21" s="34">
        <f>Таблица2133990294678131617[[#This Row],[ ]]</f>
        <v>2</v>
      </c>
      <c r="G21" s="39">
        <v>46210</v>
      </c>
      <c r="H21" s="41" t="s">
        <v>101</v>
      </c>
      <c r="I21" s="41" t="s">
        <v>49</v>
      </c>
      <c r="J21" s="41">
        <v>32.832</v>
      </c>
      <c r="K21" s="33">
        <v>19</v>
      </c>
      <c r="L21" s="43">
        <v>700000</v>
      </c>
      <c r="M21" s="33">
        <f>Таблица2133990294678131617[[#This Row],[113]]*Таблица2133990294678131617[[#This Row],[15]]</f>
        <v>22982400</v>
      </c>
      <c r="N21" s="43">
        <v>2200000</v>
      </c>
    </row>
    <row r="22" spans="1:14">
      <c r="A22" s="29">
        <v>3</v>
      </c>
      <c r="B22" s="42">
        <v>46210</v>
      </c>
      <c r="C22" s="33">
        <v>2200000</v>
      </c>
      <c r="D22" s="32" t="s">
        <v>214</v>
      </c>
      <c r="E22" s="33"/>
      <c r="F22" s="34">
        <f>Таблица2133990294678131617[[#This Row],[ ]]</f>
        <v>3</v>
      </c>
      <c r="G22" s="39">
        <v>46220</v>
      </c>
      <c r="H22" s="41" t="s">
        <v>161</v>
      </c>
      <c r="I22" s="41" t="s">
        <v>28</v>
      </c>
      <c r="J22" s="41">
        <v>32.832</v>
      </c>
      <c r="K22" s="33">
        <v>19</v>
      </c>
      <c r="L22" s="43">
        <v>700000</v>
      </c>
      <c r="M22" s="33">
        <f>Таблица2133990294678131617[[#This Row],[113]]*Таблица2133990294678131617[[#This Row],[15]]</f>
        <v>22982400</v>
      </c>
      <c r="N22" s="43">
        <v>2500000</v>
      </c>
    </row>
    <row r="23" spans="1:14">
      <c r="A23" s="29">
        <v>4</v>
      </c>
      <c r="B23" s="42">
        <v>46220</v>
      </c>
      <c r="C23" s="33">
        <v>2500000</v>
      </c>
      <c r="D23" s="32" t="s">
        <v>214</v>
      </c>
      <c r="E23" s="33"/>
      <c r="F23" s="34">
        <f>Таблица2133990294678131617[[#This Row],[ ]]</f>
        <v>4</v>
      </c>
      <c r="G23" s="39">
        <v>46221</v>
      </c>
      <c r="H23" s="41" t="s">
        <v>133</v>
      </c>
      <c r="I23" s="41" t="s">
        <v>28</v>
      </c>
      <c r="J23" s="41">
        <v>32.832</v>
      </c>
      <c r="K23" s="33">
        <v>19</v>
      </c>
      <c r="L23" s="43">
        <v>700000</v>
      </c>
      <c r="M23" s="33">
        <f>Таблица2133990294678131617[[#This Row],[113]]*Таблица2133990294678131617[[#This Row],[15]]</f>
        <v>22982400</v>
      </c>
      <c r="N23" s="43">
        <v>2500000</v>
      </c>
    </row>
    <row r="24" spans="1:14">
      <c r="A24" s="29">
        <v>5</v>
      </c>
      <c r="B24" s="42">
        <v>46220</v>
      </c>
      <c r="C24" s="33">
        <v>60000000</v>
      </c>
      <c r="D24" s="32" t="s">
        <v>240</v>
      </c>
      <c r="E24" s="33"/>
      <c r="F24" s="34">
        <f>Таблица2133990294678131617[[#This Row],[ ]]</f>
        <v>5</v>
      </c>
      <c r="G24" s="39">
        <v>46221</v>
      </c>
      <c r="H24" s="41" t="s">
        <v>169</v>
      </c>
      <c r="I24" s="41" t="s">
        <v>28</v>
      </c>
      <c r="J24" s="41">
        <v>32.832</v>
      </c>
      <c r="K24" s="33">
        <v>19</v>
      </c>
      <c r="L24" s="43">
        <v>700000</v>
      </c>
      <c r="M24" s="33">
        <f>Таблица2133990294678131617[[#This Row],[113]]*Таблица2133990294678131617[[#This Row],[15]]</f>
        <v>22982400</v>
      </c>
      <c r="N24" s="43">
        <v>2500000</v>
      </c>
    </row>
    <row r="25" spans="1:14">
      <c r="A25" s="29">
        <v>6</v>
      </c>
      <c r="B25" s="42">
        <v>46221</v>
      </c>
      <c r="C25" s="33">
        <v>5000000</v>
      </c>
      <c r="D25" s="32" t="s">
        <v>214</v>
      </c>
      <c r="E25" s="33"/>
      <c r="F25" s="34">
        <f>Таблица2133990294678131617[[#This Row],[ ]]</f>
        <v>6</v>
      </c>
      <c r="G25" s="39">
        <v>46230</v>
      </c>
      <c r="H25" s="41" t="s">
        <v>197</v>
      </c>
      <c r="I25" s="41" t="s">
        <v>28</v>
      </c>
      <c r="J25" s="41">
        <v>32.832</v>
      </c>
      <c r="K25" s="33">
        <v>19</v>
      </c>
      <c r="L25" s="43">
        <v>700000</v>
      </c>
      <c r="M25" s="33">
        <f>Таблица2133990294678131617[[#This Row],[113]]*Таблица2133990294678131617[[#This Row],[15]]</f>
        <v>22982400</v>
      </c>
      <c r="N25" s="43"/>
    </row>
    <row r="26" spans="1:14">
      <c r="A26" s="29">
        <v>7</v>
      </c>
      <c r="B26" s="44">
        <v>46227</v>
      </c>
      <c r="C26" s="33">
        <v>40000000</v>
      </c>
      <c r="D26" s="32" t="s">
        <v>239</v>
      </c>
      <c r="E26" s="33"/>
      <c r="F26" s="34">
        <f>Таблица2133990294678131617[[#This Row],[ ]]</f>
        <v>7</v>
      </c>
      <c r="G26" s="39">
        <v>46231</v>
      </c>
      <c r="H26" s="41" t="s">
        <v>199</v>
      </c>
      <c r="I26" s="41" t="s">
        <v>28</v>
      </c>
      <c r="J26" s="41">
        <v>32.832</v>
      </c>
      <c r="K26" s="43">
        <v>19</v>
      </c>
      <c r="L26" s="33">
        <v>700000</v>
      </c>
      <c r="M26" s="33">
        <f>Таблица2133990294678131617[[#This Row],[113]]*Таблица2133990294678131617[[#This Row],[15]]</f>
        <v>22982400</v>
      </c>
      <c r="N26" s="43"/>
    </row>
    <row r="27" spans="1:14">
      <c r="A27" s="29">
        <v>8</v>
      </c>
      <c r="B27" s="44">
        <v>46230</v>
      </c>
      <c r="C27" s="33">
        <v>2500000</v>
      </c>
      <c r="D27" s="32" t="s">
        <v>214</v>
      </c>
      <c r="E27" s="33"/>
      <c r="F27" s="34">
        <f>Таблица2133990294678131617[[#This Row],[ ]]</f>
        <v>8</v>
      </c>
      <c r="G27" s="39"/>
      <c r="H27" s="41"/>
      <c r="I27" s="41"/>
      <c r="J27" s="41"/>
      <c r="K27" s="43"/>
      <c r="L27" s="33"/>
      <c r="M27" s="33">
        <f>Таблица2133990294678131617[[#This Row],[113]]*Таблица2133990294678131617[[#This Row],[15]]</f>
        <v>0</v>
      </c>
      <c r="N27" s="43"/>
    </row>
    <row r="28" spans="1:14">
      <c r="A28" s="29">
        <v>9</v>
      </c>
      <c r="B28" s="39">
        <v>46231</v>
      </c>
      <c r="C28" s="33">
        <v>2500000</v>
      </c>
      <c r="D28" s="32" t="s">
        <v>214</v>
      </c>
      <c r="E28" s="33"/>
      <c r="F28" s="34">
        <f>Таблица2133990294678131617[[#This Row],[ ]]</f>
        <v>9</v>
      </c>
      <c r="G28" s="39"/>
      <c r="H28" s="41"/>
      <c r="I28" s="41"/>
      <c r="J28" s="41"/>
      <c r="K28" s="43"/>
      <c r="L28" s="33"/>
      <c r="M28" s="33">
        <f>Таблица2133990294678131617[[#This Row],[113]]*Таблица2133990294678131617[[#This Row],[15]]</f>
        <v>0</v>
      </c>
      <c r="N28" s="43"/>
    </row>
    <row r="29" spans="1:14">
      <c r="A29" s="29">
        <v>10</v>
      </c>
      <c r="B29" s="39"/>
      <c r="C29" s="33"/>
      <c r="D29" s="32"/>
      <c r="E29" s="33"/>
      <c r="F29" s="34">
        <f>Таблица2133990294678131617[[#This Row],[ ]]</f>
        <v>10</v>
      </c>
      <c r="G29" s="39"/>
      <c r="H29" s="41"/>
      <c r="I29" s="41"/>
      <c r="J29" s="41"/>
      <c r="K29" s="43"/>
      <c r="L29" s="33"/>
      <c r="M29" s="33">
        <f>Таблица2133990294678131617[[#This Row],[113]]*Таблица2133990294678131617[[#This Row],[15]]</f>
        <v>0</v>
      </c>
      <c r="N29" s="43"/>
    </row>
    <row r="30" spans="1:14">
      <c r="A30" s="29">
        <v>11</v>
      </c>
      <c r="B30" s="44"/>
      <c r="C30" s="33"/>
      <c r="D30" s="32"/>
      <c r="E30" s="47"/>
      <c r="F30" s="49">
        <f>Таблица2133990294678131617[[#This Row],[ ]]</f>
        <v>11</v>
      </c>
      <c r="G30" s="93"/>
      <c r="H30" s="94"/>
      <c r="I30" s="94"/>
      <c r="J30" s="94"/>
      <c r="K30" s="95"/>
      <c r="L30" s="50"/>
      <c r="M30" s="50">
        <f>Таблица2133990294678131617[[#This Row],[113]]*Таблица2133990294678131617[[#This Row],[15]]</f>
        <v>0</v>
      </c>
      <c r="N30" s="95"/>
    </row>
    <row r="31" spans="1:14">
      <c r="A31" s="45"/>
      <c r="B31" s="57"/>
      <c r="C31" s="33">
        <f>SUBTOTAL(109,Таблица2133990294678131617[2])</f>
        <v>162200000</v>
      </c>
      <c r="D31" s="33"/>
      <c r="E31" s="47"/>
      <c r="F31" s="46"/>
      <c r="G31" s="48"/>
      <c r="H31" s="49"/>
      <c r="I31" s="49"/>
      <c r="J31" s="49"/>
      <c r="K31" s="49">
        <f>SUBTOTAL(109,Таблица2133990294678131617[1132])</f>
        <v>133</v>
      </c>
      <c r="L31" s="51"/>
      <c r="M31" s="51">
        <f>SUBTOTAL(109,Таблица2133990294678131617[16])</f>
        <v>160876800</v>
      </c>
      <c r="N31" s="49"/>
    </row>
    <row r="33" ht="15.75" spans="1:14">
      <c r="A33" s="2"/>
      <c r="B33" s="3"/>
      <c r="C33" s="4" t="s">
        <v>211</v>
      </c>
      <c r="D33" s="96" t="s">
        <v>241</v>
      </c>
      <c r="E33" s="6"/>
      <c r="H33" s="1" t="s">
        <v>213</v>
      </c>
      <c r="I33" s="92">
        <f>C39</f>
        <v>4400000</v>
      </c>
      <c r="J33" s="32" t="s">
        <v>214</v>
      </c>
    </row>
    <row r="34" ht="20.25" spans="1:14">
      <c r="A34" s="7" t="s">
        <v>215</v>
      </c>
      <c r="B34" s="7"/>
      <c r="C34" s="8"/>
      <c r="D34" s="8"/>
      <c r="E34" s="8"/>
      <c r="F34" s="53">
        <f>Таблица21339902946781316172122[[#Totals],[2]]+-Таблица21339902946781316172122[[#Totals],[16]]</f>
        <v>17470400</v>
      </c>
      <c r="G34" s="54"/>
    </row>
    <row r="35" spans="1:14">
      <c r="A35" s="10" t="s">
        <v>216</v>
      </c>
      <c r="B35" s="10" t="s">
        <v>217</v>
      </c>
      <c r="C35" s="10" t="s">
        <v>218</v>
      </c>
      <c r="D35" s="10" t="s">
        <v>219</v>
      </c>
      <c r="E35" s="13" t="s">
        <v>220</v>
      </c>
      <c r="F35" s="14" t="s">
        <v>216</v>
      </c>
      <c r="G35" s="14" t="s">
        <v>217</v>
      </c>
      <c r="H35" s="14" t="s">
        <v>221</v>
      </c>
      <c r="I35" s="15" t="s">
        <v>6</v>
      </c>
      <c r="J35" s="16" t="s">
        <v>7</v>
      </c>
      <c r="K35" s="16" t="s">
        <v>222</v>
      </c>
      <c r="L35" s="14" t="s">
        <v>223</v>
      </c>
      <c r="M35" s="15" t="s">
        <v>218</v>
      </c>
    </row>
    <row r="36" spans="1:14">
      <c r="A36" s="10"/>
      <c r="B36" s="10"/>
      <c r="C36" s="17"/>
      <c r="D36" s="18"/>
      <c r="E36" s="19"/>
      <c r="F36" s="14"/>
      <c r="G36" s="14"/>
      <c r="H36" s="14"/>
      <c r="I36" s="20"/>
      <c r="J36" s="71"/>
      <c r="K36" s="21"/>
      <c r="L36" s="14"/>
      <c r="M36" s="25"/>
    </row>
    <row r="37" ht="15.75" spans="1:14">
      <c r="A37" s="10"/>
      <c r="B37" s="10"/>
      <c r="C37" s="55">
        <f>Таблица21339902946781316172122[[#Totals],[2]]</f>
        <v>109400000</v>
      </c>
      <c r="D37" s="23"/>
      <c r="E37" s="24">
        <f>SUM(Таблица21339902946781316172122[4])</f>
        <v>0</v>
      </c>
      <c r="F37" s="14"/>
      <c r="G37" s="14"/>
      <c r="H37" s="14"/>
      <c r="I37" s="25"/>
      <c r="J37" s="72">
        <f>SUM(Таблица21339902946781316172122[113])</f>
        <v>131.328</v>
      </c>
      <c r="K37" s="26">
        <f>Таблица21339902946781316172122[[#Totals],[1132]]</f>
        <v>76</v>
      </c>
      <c r="L37" s="14"/>
      <c r="M37" s="9">
        <f>Таблица21339902946781316172122[[#Totals],[16]]</f>
        <v>91929600</v>
      </c>
    </row>
    <row r="38" spans="1:14">
      <c r="A38" s="27" t="s">
        <v>211</v>
      </c>
      <c r="B38" s="28" t="s">
        <v>224</v>
      </c>
      <c r="C38" s="28" t="s">
        <v>225</v>
      </c>
      <c r="D38" s="28" t="s">
        <v>226</v>
      </c>
      <c r="E38" s="28" t="s">
        <v>227</v>
      </c>
      <c r="F38" s="28" t="s">
        <v>228</v>
      </c>
      <c r="G38" s="28" t="s">
        <v>229</v>
      </c>
      <c r="H38" s="28" t="s">
        <v>230</v>
      </c>
      <c r="I38" s="28" t="s">
        <v>231</v>
      </c>
      <c r="J38" s="28" t="s">
        <v>232</v>
      </c>
      <c r="K38" s="28" t="s">
        <v>233</v>
      </c>
      <c r="L38" s="28" t="s">
        <v>234</v>
      </c>
      <c r="M38" s="28" t="s">
        <v>235</v>
      </c>
      <c r="N38" s="65" t="s">
        <v>238</v>
      </c>
    </row>
    <row r="39" ht="15" spans="1:14">
      <c r="A39" s="29">
        <v>1</v>
      </c>
      <c r="B39" s="39">
        <v>46215</v>
      </c>
      <c r="C39" s="56">
        <v>4400000</v>
      </c>
      <c r="D39" s="32" t="s">
        <v>214</v>
      </c>
      <c r="E39" s="33"/>
      <c r="F39" s="34">
        <f>Таблица21339902946781316172122[[#This Row],[ ]]</f>
        <v>1</v>
      </c>
      <c r="G39" s="32">
        <v>46215</v>
      </c>
      <c r="H39" s="35" t="s">
        <v>125</v>
      </c>
      <c r="I39" s="36" t="s">
        <v>28</v>
      </c>
      <c r="J39" s="37">
        <v>32.832</v>
      </c>
      <c r="K39" s="38">
        <v>19</v>
      </c>
      <c r="L39" s="34">
        <v>700000</v>
      </c>
      <c r="M39" s="33">
        <f>Таблица21339902946781316172122[[#This Row],[113]]*Таблица21339902946781316172122[[#This Row],[15]]</f>
        <v>22982400</v>
      </c>
      <c r="N39" s="38">
        <v>2200000</v>
      </c>
    </row>
    <row r="40" spans="1:14">
      <c r="A40" s="29">
        <v>2</v>
      </c>
      <c r="B40" s="39">
        <v>46216</v>
      </c>
      <c r="C40" s="33">
        <v>100000000</v>
      </c>
      <c r="D40" s="32" t="s">
        <v>124</v>
      </c>
      <c r="E40" s="33"/>
      <c r="F40" s="34">
        <f>Таблица21339902946781316172122[[#This Row],[ ]]</f>
        <v>2</v>
      </c>
      <c r="G40" s="39">
        <v>46216</v>
      </c>
      <c r="H40" s="41" t="s">
        <v>126</v>
      </c>
      <c r="I40" s="41" t="s">
        <v>49</v>
      </c>
      <c r="J40" s="41">
        <v>32.832</v>
      </c>
      <c r="K40" s="33">
        <v>19</v>
      </c>
      <c r="L40" s="43">
        <v>700000</v>
      </c>
      <c r="M40" s="33">
        <f>Таблица21339902946781316172122[[#This Row],[113]]*Таблица21339902946781316172122[[#This Row],[15]]</f>
        <v>22982400</v>
      </c>
      <c r="N40" s="43">
        <v>2200000</v>
      </c>
    </row>
    <row r="41" spans="1:14">
      <c r="A41" s="29">
        <v>3</v>
      </c>
      <c r="B41" s="44">
        <v>46226</v>
      </c>
      <c r="C41" s="33">
        <v>2500000</v>
      </c>
      <c r="D41" s="32" t="s">
        <v>214</v>
      </c>
      <c r="E41" s="33"/>
      <c r="F41" s="34">
        <f>Таблица21339902946781316172122[[#This Row],[ ]]</f>
        <v>3</v>
      </c>
      <c r="G41" s="39">
        <v>46226</v>
      </c>
      <c r="H41" s="41" t="s">
        <v>183</v>
      </c>
      <c r="I41" s="41" t="s">
        <v>49</v>
      </c>
      <c r="J41" s="41">
        <v>32.832</v>
      </c>
      <c r="K41" s="33">
        <v>19</v>
      </c>
      <c r="L41" s="43">
        <v>700000</v>
      </c>
      <c r="M41" s="33">
        <f>Таблица21339902946781316172122[[#This Row],[113]]*Таблица21339902946781316172122[[#This Row],[15]]</f>
        <v>22982400</v>
      </c>
      <c r="N41" s="43"/>
    </row>
    <row r="42" spans="1:14">
      <c r="A42" s="29">
        <v>4</v>
      </c>
      <c r="B42" s="39">
        <v>46228</v>
      </c>
      <c r="C42" s="33">
        <v>2500000</v>
      </c>
      <c r="D42" s="32" t="s">
        <v>214</v>
      </c>
      <c r="E42" s="33"/>
      <c r="F42" s="34">
        <f>Таблица21339902946781316172122[[#This Row],[ ]]</f>
        <v>4</v>
      </c>
      <c r="G42" s="39">
        <v>46228</v>
      </c>
      <c r="H42" s="41" t="s">
        <v>189</v>
      </c>
      <c r="I42" s="41" t="s">
        <v>49</v>
      </c>
      <c r="J42" s="41">
        <v>32.832</v>
      </c>
      <c r="K42" s="33">
        <v>19</v>
      </c>
      <c r="L42" s="43">
        <v>700000</v>
      </c>
      <c r="M42" s="33">
        <f>Таблица21339902946781316172122[[#This Row],[113]]*Таблица21339902946781316172122[[#This Row],[15]]</f>
        <v>22982400</v>
      </c>
      <c r="N42" s="43"/>
    </row>
    <row r="43" spans="1:14">
      <c r="A43" s="29">
        <v>5</v>
      </c>
      <c r="B43" s="44"/>
      <c r="C43" s="33"/>
      <c r="D43" s="32"/>
      <c r="E43" s="33"/>
      <c r="F43" s="34">
        <f>Таблица21339902946781316172122[[#This Row],[ ]]</f>
        <v>5</v>
      </c>
      <c r="G43" s="39"/>
      <c r="H43" s="41"/>
      <c r="I43" s="41"/>
      <c r="J43" s="41"/>
      <c r="K43" s="33"/>
      <c r="L43" s="43"/>
      <c r="M43" s="33">
        <f>Таблица21339902946781316172122[[#This Row],[113]]*Таблица21339902946781316172122[[#This Row],[15]]</f>
        <v>0</v>
      </c>
      <c r="N43" s="43"/>
    </row>
    <row r="44" spans="1:14">
      <c r="A44" s="45"/>
      <c r="B44" s="57"/>
      <c r="C44" s="33">
        <f>SUBTOTAL(109,Таблица21339902946781316172122[2])</f>
        <v>109400000</v>
      </c>
      <c r="D44" s="33"/>
      <c r="E44" s="47"/>
      <c r="F44" s="46"/>
      <c r="G44" s="48"/>
      <c r="H44" s="49"/>
      <c r="I44" s="49"/>
      <c r="J44" s="49"/>
      <c r="K44" s="49">
        <f>SUBTOTAL(109,Таблица21339902946781316172122[1132])</f>
        <v>76</v>
      </c>
      <c r="L44" s="51"/>
      <c r="M44" s="51">
        <f>SUBTOTAL(109,Таблица21339902946781316172122[16])</f>
        <v>91929600</v>
      </c>
      <c r="N44" s="49"/>
    </row>
    <row r="46" ht="18.75" spans="1:14">
      <c r="A46" s="2"/>
      <c r="B46" s="3"/>
      <c r="C46" s="4" t="s">
        <v>211</v>
      </c>
      <c r="D46" s="70" t="s">
        <v>242</v>
      </c>
      <c r="E46" s="6"/>
      <c r="H46" s="1" t="s">
        <v>213</v>
      </c>
      <c r="I46" s="1">
        <f>SUMIFS(C:C,D:D,J46)</f>
        <v>53004000</v>
      </c>
      <c r="J46" s="32" t="s">
        <v>214</v>
      </c>
    </row>
    <row r="47" ht="20.25" spans="1:14">
      <c r="A47" s="7" t="s">
        <v>215</v>
      </c>
      <c r="B47" s="7"/>
      <c r="C47" s="8"/>
      <c r="D47" s="8"/>
      <c r="E47" s="8"/>
      <c r="F47" s="53">
        <f>Таблица213399029467813161721222324[[#Totals],[2]]+-Таблица213399029467813161721222324[[#Totals],[16]]</f>
        <v>0</v>
      </c>
      <c r="G47" s="54"/>
    </row>
    <row r="48" spans="1:14">
      <c r="A48" s="10" t="s">
        <v>216</v>
      </c>
      <c r="B48" s="10" t="s">
        <v>217</v>
      </c>
      <c r="C48" s="10" t="s">
        <v>218</v>
      </c>
      <c r="D48" s="10" t="s">
        <v>219</v>
      </c>
      <c r="E48" s="13" t="s">
        <v>220</v>
      </c>
      <c r="F48" s="14" t="s">
        <v>216</v>
      </c>
      <c r="G48" s="14" t="s">
        <v>217</v>
      </c>
      <c r="H48" s="14" t="s">
        <v>221</v>
      </c>
      <c r="I48" s="15" t="s">
        <v>6</v>
      </c>
      <c r="J48" s="16" t="s">
        <v>7</v>
      </c>
      <c r="K48" s="16" t="s">
        <v>222</v>
      </c>
      <c r="L48" s="14" t="s">
        <v>223</v>
      </c>
      <c r="M48" s="15" t="s">
        <v>218</v>
      </c>
    </row>
    <row r="49" spans="1:13">
      <c r="A49" s="10"/>
      <c r="B49" s="10"/>
      <c r="C49" s="17"/>
      <c r="D49" s="18"/>
      <c r="E49" s="19"/>
      <c r="F49" s="14"/>
      <c r="G49" s="14"/>
      <c r="H49" s="14"/>
      <c r="I49" s="20"/>
      <c r="J49" s="71"/>
      <c r="K49" s="21"/>
      <c r="L49" s="14"/>
      <c r="M49" s="25"/>
    </row>
    <row r="50" ht="15.75" spans="1:13">
      <c r="A50" s="10"/>
      <c r="B50" s="10"/>
      <c r="C50" s="55">
        <f>Таблица213399029467813161721222324[[#Totals],[2]]</f>
        <v>33868800</v>
      </c>
      <c r="D50" s="23"/>
      <c r="E50" s="24">
        <f>SUM(Таблица213399029467813161721222324[4])</f>
        <v>0</v>
      </c>
      <c r="F50" s="14"/>
      <c r="G50" s="14"/>
      <c r="H50" s="14"/>
      <c r="I50" s="25"/>
      <c r="J50" s="72">
        <f>SUM(Таблица213399029467813161721222324[113])</f>
        <v>48.384</v>
      </c>
      <c r="K50" s="26">
        <f>Таблица213399029467813161721222324[[#Totals],[1132]]</f>
        <v>28</v>
      </c>
      <c r="L50" s="14"/>
      <c r="M50" s="9">
        <f>Таблица213399029467813161721222324[[#Totals],[16]]</f>
        <v>33868800</v>
      </c>
    </row>
    <row r="51" spans="1:13">
      <c r="A51" s="27" t="s">
        <v>211</v>
      </c>
      <c r="B51" s="28" t="s">
        <v>224</v>
      </c>
      <c r="C51" s="28" t="s">
        <v>225</v>
      </c>
      <c r="D51" s="28" t="s">
        <v>226</v>
      </c>
      <c r="E51" s="28" t="s">
        <v>227</v>
      </c>
      <c r="F51" s="28" t="s">
        <v>228</v>
      </c>
      <c r="G51" s="28" t="s">
        <v>229</v>
      </c>
      <c r="H51" s="28" t="s">
        <v>230</v>
      </c>
      <c r="I51" s="28" t="s">
        <v>231</v>
      </c>
      <c r="J51" s="28" t="s">
        <v>232</v>
      </c>
      <c r="K51" s="28" t="s">
        <v>233</v>
      </c>
      <c r="L51" s="28" t="s">
        <v>234</v>
      </c>
      <c r="M51" s="28" t="s">
        <v>235</v>
      </c>
    </row>
    <row r="52" ht="15" spans="1:13">
      <c r="A52" s="29">
        <v>1</v>
      </c>
      <c r="B52" s="39">
        <v>46216</v>
      </c>
      <c r="C52" s="56">
        <v>2254000</v>
      </c>
      <c r="D52" s="32" t="s">
        <v>214</v>
      </c>
      <c r="E52" s="33"/>
      <c r="F52" s="34">
        <f>Таблица213399029467813161721222324[[#This Row],[ ]]</f>
        <v>1</v>
      </c>
      <c r="G52" s="32">
        <v>46216</v>
      </c>
      <c r="H52" s="35" t="s">
        <v>136</v>
      </c>
      <c r="I52" s="36" t="s">
        <v>28</v>
      </c>
      <c r="J52" s="37">
        <v>25.92</v>
      </c>
      <c r="K52" s="38">
        <v>15</v>
      </c>
      <c r="L52" s="34">
        <v>700000</v>
      </c>
      <c r="M52" s="33">
        <f>Таблица213399029467813161721222324[[#This Row],[113]]*Таблица213399029467813161721222324[[#This Row],[15]]</f>
        <v>18144000</v>
      </c>
    </row>
    <row r="53" spans="1:13">
      <c r="A53" s="29">
        <v>2</v>
      </c>
      <c r="B53" s="39">
        <v>46217</v>
      </c>
      <c r="C53" s="33">
        <v>15890000</v>
      </c>
      <c r="D53" s="32" t="s">
        <v>114</v>
      </c>
      <c r="E53" s="33"/>
      <c r="F53" s="34">
        <f>Таблица213399029467813161721222324[[#This Row],[ ]]</f>
        <v>2</v>
      </c>
      <c r="G53" s="39">
        <v>46223</v>
      </c>
      <c r="H53" s="41" t="s">
        <v>133</v>
      </c>
      <c r="I53" s="41" t="s">
        <v>28</v>
      </c>
      <c r="J53" s="41">
        <v>22.464</v>
      </c>
      <c r="K53" s="33">
        <v>13</v>
      </c>
      <c r="L53" s="43">
        <v>700000</v>
      </c>
      <c r="M53" s="33">
        <f>Таблица213399029467813161721222324[[#This Row],[113]]*Таблица213399029467813161721222324[[#This Row],[15]]</f>
        <v>15724800</v>
      </c>
    </row>
    <row r="54" spans="1:13">
      <c r="A54" s="29">
        <v>3</v>
      </c>
      <c r="B54" s="44">
        <v>46223</v>
      </c>
      <c r="C54" s="33">
        <v>1700000</v>
      </c>
      <c r="D54" s="32" t="s">
        <v>214</v>
      </c>
      <c r="E54" s="33"/>
      <c r="F54" s="34">
        <f>Таблица213399029467813161721222324[[#This Row],[ ]]</f>
        <v>3</v>
      </c>
      <c r="G54" s="39"/>
      <c r="H54" s="41"/>
      <c r="I54" s="41"/>
      <c r="J54" s="41"/>
      <c r="K54" s="33"/>
      <c r="L54" s="43"/>
      <c r="M54" s="33">
        <f>Таблица213399029467813161721222324[[#This Row],[113]]*Таблица213399029467813161721222324[[#This Row],[15]]</f>
        <v>0</v>
      </c>
    </row>
    <row r="55" spans="1:13">
      <c r="A55" s="29">
        <v>4</v>
      </c>
      <c r="B55" s="44">
        <v>46223</v>
      </c>
      <c r="C55" s="33">
        <f>13225000+799800</f>
        <v>14024800</v>
      </c>
      <c r="D55" s="32" t="s">
        <v>114</v>
      </c>
      <c r="E55" s="33"/>
      <c r="F55" s="34">
        <f>Таблица213399029467813161721222324[[#This Row],[ ]]</f>
        <v>4</v>
      </c>
      <c r="G55" s="39"/>
      <c r="H55" s="41"/>
      <c r="I55" s="41"/>
      <c r="J55" s="41"/>
      <c r="K55" s="33"/>
      <c r="L55" s="43"/>
      <c r="M55" s="33">
        <f>Таблица213399029467813161721222324[[#This Row],[113]]*Таблица213399029467813161721222324[[#This Row],[15]]</f>
        <v>0</v>
      </c>
    </row>
    <row r="56" spans="1:13">
      <c r="A56" s="29">
        <v>5</v>
      </c>
      <c r="B56" s="44"/>
      <c r="C56" s="33"/>
      <c r="D56" s="32"/>
      <c r="E56" s="33"/>
      <c r="F56" s="34">
        <f>Таблица213399029467813161721222324[[#This Row],[ ]]</f>
        <v>5</v>
      </c>
      <c r="G56" s="39"/>
      <c r="H56" s="41"/>
      <c r="I56" s="41"/>
      <c r="J56" s="41"/>
      <c r="K56" s="33"/>
      <c r="L56" s="43"/>
      <c r="M56" s="33">
        <f>Таблица213399029467813161721222324[[#This Row],[113]]*Таблица213399029467813161721222324[[#This Row],[15]]</f>
        <v>0</v>
      </c>
    </row>
    <row r="57" spans="1:13">
      <c r="A57" s="29">
        <v>6</v>
      </c>
      <c r="B57" s="44"/>
      <c r="C57" s="33"/>
      <c r="D57" s="32"/>
      <c r="E57" s="47"/>
      <c r="F57" s="49">
        <f>Таблица213399029467813161721222324[[#This Row],[ ]]</f>
        <v>6</v>
      </c>
      <c r="G57" s="93"/>
      <c r="H57" s="94"/>
      <c r="I57" s="94"/>
      <c r="J57" s="94"/>
      <c r="K57" s="50"/>
      <c r="L57" s="95"/>
      <c r="M57" s="50">
        <f>Таблица213399029467813161721222324[[#This Row],[113]]*Таблица213399029467813161721222324[[#This Row],[15]]</f>
        <v>0</v>
      </c>
    </row>
    <row r="58" spans="1:13">
      <c r="A58" s="45"/>
      <c r="B58" s="57"/>
      <c r="C58" s="33">
        <f>SUBTOTAL(109,Таблица213399029467813161721222324[2])</f>
        <v>33868800</v>
      </c>
      <c r="D58" s="33"/>
      <c r="E58" s="47"/>
      <c r="F58" s="46"/>
      <c r="G58" s="48"/>
      <c r="H58" s="49"/>
      <c r="I58" s="49"/>
      <c r="J58" s="49"/>
      <c r="K58" s="49">
        <f>SUBTOTAL(109,Таблица213399029467813161721222324[1132])</f>
        <v>28</v>
      </c>
      <c r="L58" s="51"/>
      <c r="M58" s="51">
        <f>SUBTOTAL(109,Таблица213399029467813161721222324[16])</f>
        <v>33868800</v>
      </c>
    </row>
    <row r="60" ht="18.75" spans="1:13">
      <c r="A60" s="2"/>
      <c r="B60" s="3"/>
      <c r="C60" s="4" t="s">
        <v>211</v>
      </c>
      <c r="D60" s="70" t="s">
        <v>243</v>
      </c>
      <c r="E60" s="6"/>
      <c r="H60" s="1" t="s">
        <v>213</v>
      </c>
      <c r="I60" s="1">
        <f>SUMIFS(C:C,D:D,J60)</f>
        <v>53004000</v>
      </c>
      <c r="J60" s="32" t="s">
        <v>214</v>
      </c>
    </row>
    <row r="61" ht="20.25" spans="1:13">
      <c r="A61" s="7" t="s">
        <v>215</v>
      </c>
      <c r="B61" s="7"/>
      <c r="C61" s="8"/>
      <c r="D61" s="8"/>
      <c r="E61" s="8"/>
      <c r="F61" s="53">
        <f>Таблица2133990294678131617212223242530[[#Totals],[2]]+-Таблица2133990294678131617212223242530[[#Totals],[16]]</f>
        <v>500</v>
      </c>
      <c r="G61" s="54"/>
    </row>
    <row r="62" spans="1:13">
      <c r="A62" s="10" t="s">
        <v>216</v>
      </c>
      <c r="B62" s="10" t="s">
        <v>217</v>
      </c>
      <c r="C62" s="10" t="s">
        <v>218</v>
      </c>
      <c r="D62" s="10" t="s">
        <v>219</v>
      </c>
      <c r="E62" s="13" t="s">
        <v>220</v>
      </c>
      <c r="F62" s="14" t="s">
        <v>216</v>
      </c>
      <c r="G62" s="14" t="s">
        <v>217</v>
      </c>
      <c r="H62" s="14" t="s">
        <v>221</v>
      </c>
      <c r="I62" s="15" t="s">
        <v>6</v>
      </c>
      <c r="J62" s="16" t="s">
        <v>7</v>
      </c>
      <c r="K62" s="16" t="s">
        <v>222</v>
      </c>
      <c r="L62" s="14" t="s">
        <v>223</v>
      </c>
      <c r="M62" s="15" t="s">
        <v>218</v>
      </c>
    </row>
    <row r="63" spans="1:13">
      <c r="A63" s="10"/>
      <c r="B63" s="10"/>
      <c r="C63" s="17"/>
      <c r="D63" s="18"/>
      <c r="E63" s="19"/>
      <c r="F63" s="14"/>
      <c r="G63" s="14"/>
      <c r="H63" s="14"/>
      <c r="I63" s="20"/>
      <c r="J63" s="71"/>
      <c r="K63" s="21"/>
      <c r="L63" s="14"/>
      <c r="M63" s="25"/>
    </row>
    <row r="64" ht="15.75" spans="1:13">
      <c r="A64" s="10"/>
      <c r="B64" s="10"/>
      <c r="C64" s="55">
        <f>Таблица2133990294678131617212223242530[[#Totals],[2]]</f>
        <v>114912500</v>
      </c>
      <c r="D64" s="23"/>
      <c r="E64" s="24">
        <f>SUM(Таблица2133990294678131617212223242530[4])</f>
        <v>0</v>
      </c>
      <c r="F64" s="14"/>
      <c r="G64" s="14"/>
      <c r="H64" s="14"/>
      <c r="I64" s="25"/>
      <c r="J64" s="72">
        <f>SUM(Таблица2133990294678131617212223242530[113])</f>
        <v>164.16</v>
      </c>
      <c r="K64" s="26">
        <f>Таблица2133990294678131617212223242530[[#Totals],[1132]]</f>
        <v>95</v>
      </c>
      <c r="L64" s="14"/>
      <c r="M64" s="9">
        <f>Таблица2133990294678131617212223242530[[#Totals],[16]]</f>
        <v>114912000</v>
      </c>
    </row>
    <row r="65" spans="1:13">
      <c r="A65" s="27" t="s">
        <v>211</v>
      </c>
      <c r="B65" s="28" t="s">
        <v>224</v>
      </c>
      <c r="C65" s="28" t="s">
        <v>225</v>
      </c>
      <c r="D65" s="28" t="s">
        <v>226</v>
      </c>
      <c r="E65" s="28" t="s">
        <v>227</v>
      </c>
      <c r="F65" s="28" t="s">
        <v>228</v>
      </c>
      <c r="G65" s="28" t="s">
        <v>229</v>
      </c>
      <c r="H65" s="28" t="s">
        <v>230</v>
      </c>
      <c r="I65" s="28" t="s">
        <v>231</v>
      </c>
      <c r="J65" s="28" t="s">
        <v>232</v>
      </c>
      <c r="K65" s="28" t="s">
        <v>233</v>
      </c>
      <c r="L65" s="28" t="s">
        <v>234</v>
      </c>
      <c r="M65" s="28" t="s">
        <v>235</v>
      </c>
    </row>
    <row r="66" ht="15" spans="1:13">
      <c r="A66" s="29">
        <v>1</v>
      </c>
      <c r="B66" s="39">
        <v>46217</v>
      </c>
      <c r="C66" s="56">
        <v>5000000</v>
      </c>
      <c r="D66" s="32" t="s">
        <v>214</v>
      </c>
      <c r="E66" s="33"/>
      <c r="F66" s="34">
        <f>Таблица2133990294678131617212223242530[[#This Row],[ ]]</f>
        <v>1</v>
      </c>
      <c r="G66" s="32">
        <v>46217</v>
      </c>
      <c r="H66" s="35" t="s">
        <v>67</v>
      </c>
      <c r="I66" s="36" t="s">
        <v>244</v>
      </c>
      <c r="J66" s="37">
        <v>32.832</v>
      </c>
      <c r="K66" s="38">
        <v>19</v>
      </c>
      <c r="L66" s="34">
        <v>700000</v>
      </c>
      <c r="M66" s="33">
        <f>Таблица2133990294678131617212223242530[[#This Row],[113]]*Таблица2133990294678131617212223242530[[#This Row],[15]]</f>
        <v>22982400</v>
      </c>
    </row>
    <row r="67" spans="1:13">
      <c r="A67" s="29">
        <v>2</v>
      </c>
      <c r="B67" s="39">
        <v>46217</v>
      </c>
      <c r="C67" s="33">
        <v>40965000</v>
      </c>
      <c r="D67" s="32" t="s">
        <v>245</v>
      </c>
      <c r="E67" s="33"/>
      <c r="F67" s="34">
        <f>Таблица2133990294678131617212223242530[[#This Row],[ ]]</f>
        <v>2</v>
      </c>
      <c r="G67" s="39">
        <v>46217</v>
      </c>
      <c r="H67" s="41" t="s">
        <v>144</v>
      </c>
      <c r="I67" s="41" t="s">
        <v>244</v>
      </c>
      <c r="J67" s="41">
        <v>32.832</v>
      </c>
      <c r="K67" s="33">
        <v>19</v>
      </c>
      <c r="L67" s="43">
        <v>700000</v>
      </c>
      <c r="M67" s="33">
        <f>Таблица2133990294678131617212223242530[[#This Row],[113]]*Таблица2133990294678131617212223242530[[#This Row],[15]]</f>
        <v>22982400</v>
      </c>
    </row>
    <row r="68" spans="1:13">
      <c r="A68" s="29">
        <v>3</v>
      </c>
      <c r="B68" s="44">
        <v>46224</v>
      </c>
      <c r="C68" s="33">
        <v>40965000</v>
      </c>
      <c r="D68" s="32" t="s">
        <v>245</v>
      </c>
      <c r="E68" s="33"/>
      <c r="F68" s="34">
        <f>Таблица2133990294678131617212223242530[[#This Row],[ ]]</f>
        <v>3</v>
      </c>
      <c r="G68" s="39">
        <v>46224</v>
      </c>
      <c r="H68" s="41" t="s">
        <v>181</v>
      </c>
      <c r="I68" s="41" t="s">
        <v>99</v>
      </c>
      <c r="J68" s="41">
        <v>32.832</v>
      </c>
      <c r="K68" s="33">
        <v>19</v>
      </c>
      <c r="L68" s="43">
        <v>700000</v>
      </c>
      <c r="M68" s="33">
        <f>Таблица2133990294678131617212223242530[[#This Row],[113]]*Таблица2133990294678131617212223242530[[#This Row],[15]]</f>
        <v>22982400</v>
      </c>
    </row>
    <row r="69" spans="1:13">
      <c r="A69" s="29">
        <v>4</v>
      </c>
      <c r="B69" s="44">
        <v>46224</v>
      </c>
      <c r="C69" s="33">
        <v>2500000</v>
      </c>
      <c r="D69" s="32" t="s">
        <v>214</v>
      </c>
      <c r="E69" s="33"/>
      <c r="F69" s="34">
        <f>Таблица2133990294678131617212223242530[[#This Row],[ ]]</f>
        <v>4</v>
      </c>
      <c r="G69" s="39">
        <v>46226</v>
      </c>
      <c r="H69" s="41" t="s">
        <v>184</v>
      </c>
      <c r="I69" s="41" t="s">
        <v>49</v>
      </c>
      <c r="J69" s="41">
        <v>32.832</v>
      </c>
      <c r="K69" s="33">
        <v>19</v>
      </c>
      <c r="L69" s="43">
        <v>700000</v>
      </c>
      <c r="M69" s="33">
        <f>Таблица2133990294678131617212223242530[[#This Row],[113]]*Таблица2133990294678131617212223242530[[#This Row],[15]]</f>
        <v>22982400</v>
      </c>
    </row>
    <row r="70" spans="1:13">
      <c r="A70" s="29">
        <v>5</v>
      </c>
      <c r="B70" s="44">
        <v>46226</v>
      </c>
      <c r="C70" s="33">
        <v>2500000</v>
      </c>
      <c r="D70" s="32" t="s">
        <v>214</v>
      </c>
      <c r="E70" s="33"/>
      <c r="F70" s="34">
        <f>Таблица2133990294678131617212223242530[[#This Row],[ ]]</f>
        <v>5</v>
      </c>
      <c r="G70" s="39">
        <v>46228</v>
      </c>
      <c r="H70" s="41" t="s">
        <v>70</v>
      </c>
      <c r="I70" s="41" t="s">
        <v>28</v>
      </c>
      <c r="J70" s="41">
        <v>32.832</v>
      </c>
      <c r="K70" s="33">
        <v>19</v>
      </c>
      <c r="L70" s="43">
        <v>700000</v>
      </c>
      <c r="M70" s="33">
        <f>Таблица2133990294678131617212223242530[[#This Row],[113]]*Таблица2133990294678131617212223242530[[#This Row],[15]]</f>
        <v>22982400</v>
      </c>
    </row>
    <row r="71" spans="1:13">
      <c r="A71" s="29">
        <v>6</v>
      </c>
      <c r="B71" s="44">
        <v>46227</v>
      </c>
      <c r="C71" s="33">
        <v>20482500</v>
      </c>
      <c r="D71" s="32" t="s">
        <v>245</v>
      </c>
      <c r="E71" s="33"/>
      <c r="F71" s="34">
        <f>Таблица2133990294678131617212223242530[[#This Row],[ ]]</f>
        <v>6</v>
      </c>
      <c r="G71" s="39"/>
      <c r="H71" s="41"/>
      <c r="I71" s="41"/>
      <c r="J71" s="41"/>
      <c r="K71" s="33"/>
      <c r="L71" s="43"/>
      <c r="M71" s="33">
        <f>Таблица2133990294678131617212223242530[[#This Row],[113]]*Таблица2133990294678131617212223242530[[#This Row],[15]]</f>
        <v>0</v>
      </c>
    </row>
    <row r="72" spans="1:13">
      <c r="A72" s="29">
        <v>7</v>
      </c>
      <c r="B72" s="39">
        <v>46228</v>
      </c>
      <c r="C72" s="33">
        <v>2500000</v>
      </c>
      <c r="D72" s="32" t="s">
        <v>214</v>
      </c>
      <c r="E72" s="33"/>
      <c r="F72" s="34">
        <f>Таблица2133990294678131617212223242530[[#This Row],[ ]]</f>
        <v>7</v>
      </c>
      <c r="G72" s="39"/>
      <c r="H72" s="41"/>
      <c r="I72" s="41"/>
      <c r="J72" s="41"/>
      <c r="K72" s="43"/>
      <c r="L72" s="33"/>
      <c r="M72" s="33">
        <f>Таблица2133990294678131617212223242530[[#This Row],[113]]*Таблица2133990294678131617212223242530[[#This Row],[15]]</f>
        <v>0</v>
      </c>
    </row>
    <row r="73" spans="1:13">
      <c r="A73" s="29">
        <v>8</v>
      </c>
      <c r="B73" s="44"/>
      <c r="C73" s="33"/>
      <c r="D73" s="32"/>
      <c r="E73" s="33"/>
      <c r="F73" s="34">
        <f>Таблица2133990294678131617212223242530[[#This Row],[ ]]</f>
        <v>8</v>
      </c>
      <c r="G73" s="39"/>
      <c r="H73" s="41"/>
      <c r="I73" s="41"/>
      <c r="J73" s="41"/>
      <c r="K73" s="43"/>
      <c r="L73" s="33"/>
      <c r="M73" s="33">
        <f>Таблица2133990294678131617212223242530[[#This Row],[113]]*Таблица2133990294678131617212223242530[[#This Row],[15]]</f>
        <v>0</v>
      </c>
    </row>
    <row r="74" spans="1:13">
      <c r="A74" s="29">
        <v>9</v>
      </c>
      <c r="B74" s="44"/>
      <c r="C74" s="33"/>
      <c r="D74" s="32"/>
      <c r="E74" s="33"/>
      <c r="F74" s="34">
        <f>Таблица2133990294678131617212223242530[[#This Row],[ ]]</f>
        <v>9</v>
      </c>
      <c r="G74" s="39"/>
      <c r="H74" s="41"/>
      <c r="I74" s="41"/>
      <c r="J74" s="41"/>
      <c r="K74" s="43"/>
      <c r="L74" s="33"/>
      <c r="M74" s="33">
        <f>Таблица2133990294678131617212223242530[[#This Row],[113]]*Таблица2133990294678131617212223242530[[#This Row],[15]]</f>
        <v>0</v>
      </c>
    </row>
    <row r="75" spans="1:13">
      <c r="A75" s="45"/>
      <c r="B75" s="57"/>
      <c r="C75" s="33">
        <f>SUBTOTAL(109,Таблица2133990294678131617212223242530[2])</f>
        <v>114912500</v>
      </c>
      <c r="D75" s="33"/>
      <c r="E75" s="47"/>
      <c r="F75" s="46"/>
      <c r="G75" s="48"/>
      <c r="H75" s="49"/>
      <c r="I75" s="49"/>
      <c r="J75" s="49"/>
      <c r="K75" s="49">
        <f>SUBTOTAL(109,Таблица2133990294678131617212223242530[1132])</f>
        <v>95</v>
      </c>
      <c r="L75" s="51"/>
      <c r="M75" s="51">
        <f>SUBTOTAL(109,Таблица2133990294678131617212223242530[16])</f>
        <v>114912000</v>
      </c>
    </row>
    <row r="77" ht="18.75" spans="1:13">
      <c r="A77" s="2"/>
      <c r="B77" s="3"/>
      <c r="C77" s="4" t="s">
        <v>211</v>
      </c>
      <c r="D77" s="70" t="s">
        <v>246</v>
      </c>
      <c r="E77" s="6"/>
      <c r="H77" s="1" t="s">
        <v>213</v>
      </c>
      <c r="I77" s="1">
        <f>SUMIFS(C:C,D:D,J77)</f>
        <v>53004000</v>
      </c>
      <c r="J77" s="32" t="s">
        <v>214</v>
      </c>
    </row>
    <row r="78" ht="20.25" spans="1:13">
      <c r="A78" s="7" t="s">
        <v>215</v>
      </c>
      <c r="B78" s="7"/>
      <c r="C78" s="8"/>
      <c r="D78" s="8"/>
      <c r="E78" s="8"/>
      <c r="F78" s="53">
        <f>Таблица213399029467813161721222324253031[[#Totals],[2]]+-Таблица213399029467813161721222324253031[[#Totals],[16]]</f>
        <v>8399.98399999738</v>
      </c>
      <c r="G78" s="54"/>
    </row>
    <row r="79" spans="1:13">
      <c r="A79" s="10" t="s">
        <v>216</v>
      </c>
      <c r="B79" s="10" t="s">
        <v>217</v>
      </c>
      <c r="C79" s="10" t="s">
        <v>218</v>
      </c>
      <c r="D79" s="10" t="s">
        <v>219</v>
      </c>
      <c r="E79" s="13" t="s">
        <v>220</v>
      </c>
      <c r="F79" s="14" t="s">
        <v>216</v>
      </c>
      <c r="G79" s="14" t="s">
        <v>217</v>
      </c>
      <c r="H79" s="14" t="s">
        <v>221</v>
      </c>
      <c r="I79" s="15" t="s">
        <v>6</v>
      </c>
      <c r="J79" s="16" t="s">
        <v>7</v>
      </c>
      <c r="K79" s="16" t="s">
        <v>222</v>
      </c>
      <c r="L79" s="14" t="s">
        <v>223</v>
      </c>
      <c r="M79" s="15" t="s">
        <v>218</v>
      </c>
    </row>
    <row r="80" spans="1:13">
      <c r="A80" s="10"/>
      <c r="B80" s="10"/>
      <c r="C80" s="17"/>
      <c r="D80" s="18"/>
      <c r="E80" s="19"/>
      <c r="F80" s="14"/>
      <c r="G80" s="14"/>
      <c r="H80" s="14"/>
      <c r="I80" s="20"/>
      <c r="J80" s="71"/>
      <c r="K80" s="21"/>
      <c r="L80" s="14"/>
      <c r="M80" s="25"/>
    </row>
    <row r="81" ht="15.75" spans="1:13">
      <c r="A81" s="10"/>
      <c r="B81" s="10"/>
      <c r="C81" s="55">
        <f>Таблица213399029467813161721222324253031[[#Totals],[2]]</f>
        <v>55850000</v>
      </c>
      <c r="D81" s="23"/>
      <c r="E81" s="24">
        <f>SUM(Таблица213399029467813161721222324253031[4])</f>
        <v>0</v>
      </c>
      <c r="F81" s="14"/>
      <c r="G81" s="14"/>
      <c r="H81" s="14"/>
      <c r="I81" s="25"/>
      <c r="J81" s="72">
        <f>SUM(Таблица213399029467813161721222324253031[113])</f>
        <v>79.488</v>
      </c>
      <c r="K81" s="26">
        <f>Таблица213399029467813161721222324253031[[#Totals],[1132]]</f>
        <v>46</v>
      </c>
      <c r="L81" s="14"/>
      <c r="M81" s="9">
        <f>Таблица213399029467813161721222324253031[[#Totals],[16]]</f>
        <v>55841600.016</v>
      </c>
    </row>
    <row r="82" spans="1:13">
      <c r="A82" s="27" t="s">
        <v>211</v>
      </c>
      <c r="B82" s="28" t="s">
        <v>224</v>
      </c>
      <c r="C82" s="28" t="s">
        <v>225</v>
      </c>
      <c r="D82" s="28" t="s">
        <v>226</v>
      </c>
      <c r="E82" s="28" t="s">
        <v>227</v>
      </c>
      <c r="F82" s="28" t="s">
        <v>228</v>
      </c>
      <c r="G82" s="28" t="s">
        <v>229</v>
      </c>
      <c r="H82" s="28" t="s">
        <v>230</v>
      </c>
      <c r="I82" s="28" t="s">
        <v>231</v>
      </c>
      <c r="J82" s="28" t="s">
        <v>232</v>
      </c>
      <c r="K82" s="28" t="s">
        <v>233</v>
      </c>
      <c r="L82" s="28" t="s">
        <v>234</v>
      </c>
      <c r="M82" s="28" t="s">
        <v>235</v>
      </c>
    </row>
    <row r="83" ht="15" spans="1:13">
      <c r="A83" s="29">
        <v>1</v>
      </c>
      <c r="B83" s="39">
        <v>46219</v>
      </c>
      <c r="C83" s="56">
        <v>2500000</v>
      </c>
      <c r="D83" s="32" t="s">
        <v>214</v>
      </c>
      <c r="E83" s="33"/>
      <c r="F83" s="34">
        <f>Таблица213399029467813161721222324253031[[#This Row],[ ]]</f>
        <v>1</v>
      </c>
      <c r="G83" s="32">
        <v>46219</v>
      </c>
      <c r="H83" s="35" t="s">
        <v>155</v>
      </c>
      <c r="I83" s="36" t="s">
        <v>244</v>
      </c>
      <c r="J83" s="37">
        <v>32.832</v>
      </c>
      <c r="K83" s="38">
        <v>19</v>
      </c>
      <c r="L83" s="34">
        <v>700000</v>
      </c>
      <c r="M83" s="33">
        <f>Таблица213399029467813161721222324253031[[#This Row],[113]]*Таблица213399029467813161721222324253031[[#This Row],[15]]</f>
        <v>22982400</v>
      </c>
    </row>
    <row r="84" spans="1:13">
      <c r="A84" s="29">
        <v>2</v>
      </c>
      <c r="B84" s="39">
        <v>46220</v>
      </c>
      <c r="C84" s="33">
        <v>1250000</v>
      </c>
      <c r="D84" s="32" t="s">
        <v>214</v>
      </c>
      <c r="E84" s="33"/>
      <c r="F84" s="34">
        <f>Таблица213399029467813161721222324253031[[#This Row],[ ]]</f>
        <v>2</v>
      </c>
      <c r="G84" s="39">
        <v>46220</v>
      </c>
      <c r="H84" s="41" t="s">
        <v>162</v>
      </c>
      <c r="I84" s="41" t="s">
        <v>49</v>
      </c>
      <c r="J84" s="41">
        <v>20.736</v>
      </c>
      <c r="K84" s="33">
        <v>12</v>
      </c>
      <c r="L84" s="43">
        <v>700000</v>
      </c>
      <c r="M84" s="33">
        <f>Таблица213399029467813161721222324253031[[#This Row],[113]]*Таблица213399029467813161721222324253031[[#This Row],[15]]</f>
        <v>14515200</v>
      </c>
    </row>
    <row r="85" spans="1:13">
      <c r="A85" s="29">
        <v>3</v>
      </c>
      <c r="B85" s="44">
        <v>46219</v>
      </c>
      <c r="C85" s="33">
        <v>33750000</v>
      </c>
      <c r="D85" s="32" t="s">
        <v>247</v>
      </c>
      <c r="E85" s="33"/>
      <c r="F85" s="34">
        <f>Таблица213399029467813161721222324253031[[#This Row],[ ]]</f>
        <v>3</v>
      </c>
      <c r="G85" s="39">
        <v>46224</v>
      </c>
      <c r="H85" s="41" t="s">
        <v>70</v>
      </c>
      <c r="I85" s="41" t="s">
        <v>99</v>
      </c>
      <c r="J85" s="41">
        <v>25.92</v>
      </c>
      <c r="K85" s="33">
        <v>15</v>
      </c>
      <c r="L85" s="43">
        <v>707716.05</v>
      </c>
      <c r="M85" s="33">
        <f>Таблица213399029467813161721222324253031[[#This Row],[113]]*Таблица213399029467813161721222324253031[[#This Row],[15]]</f>
        <v>18344000.016</v>
      </c>
    </row>
    <row r="86" spans="1:13">
      <c r="A86" s="29">
        <v>4</v>
      </c>
      <c r="B86" s="44">
        <v>46224</v>
      </c>
      <c r="C86" s="33">
        <v>16150000</v>
      </c>
      <c r="D86" s="32" t="s">
        <v>114</v>
      </c>
      <c r="E86" s="33"/>
      <c r="F86" s="34">
        <f>Таблица213399029467813161721222324253031[[#This Row],[ ]]</f>
        <v>4</v>
      </c>
      <c r="G86" s="39"/>
      <c r="H86" s="41"/>
      <c r="I86" s="41"/>
      <c r="J86" s="41"/>
      <c r="K86" s="33"/>
      <c r="L86" s="43"/>
      <c r="M86" s="33">
        <f>Таблица213399029467813161721222324253031[[#This Row],[113]]*Таблица213399029467813161721222324253031[[#This Row],[15]]</f>
        <v>0</v>
      </c>
    </row>
    <row r="87" spans="1:13">
      <c r="A87" s="29">
        <v>5</v>
      </c>
      <c r="B87" s="44">
        <v>46224</v>
      </c>
      <c r="C87" s="33">
        <v>2200000</v>
      </c>
      <c r="D87" s="32" t="s">
        <v>214</v>
      </c>
      <c r="E87" s="33"/>
      <c r="F87" s="34">
        <f>Таблица213399029467813161721222324253031[[#This Row],[ ]]</f>
        <v>5</v>
      </c>
      <c r="G87" s="39"/>
      <c r="H87" s="41"/>
      <c r="I87" s="41"/>
      <c r="J87" s="41"/>
      <c r="K87" s="33"/>
      <c r="L87" s="43"/>
      <c r="M87" s="33">
        <f>Таблица213399029467813161721222324253031[[#This Row],[113]]*Таблица213399029467813161721222324253031[[#This Row],[15]]</f>
        <v>0</v>
      </c>
    </row>
    <row r="88" spans="1:13">
      <c r="A88" s="29">
        <v>6</v>
      </c>
      <c r="B88" s="44"/>
      <c r="C88" s="33"/>
      <c r="D88" s="32"/>
      <c r="E88" s="33"/>
      <c r="F88" s="34">
        <f>Таблица213399029467813161721222324253031[[#This Row],[ ]]</f>
        <v>6</v>
      </c>
      <c r="G88" s="39"/>
      <c r="H88" s="41"/>
      <c r="I88" s="41"/>
      <c r="J88" s="41"/>
      <c r="K88" s="33"/>
      <c r="L88" s="43"/>
      <c r="M88" s="33">
        <f>Таблица213399029467813161721222324253031[[#This Row],[113]]*Таблица213399029467813161721222324253031[[#This Row],[15]]</f>
        <v>0</v>
      </c>
    </row>
    <row r="89" spans="1:13">
      <c r="A89" s="45"/>
      <c r="B89" s="57"/>
      <c r="C89" s="33">
        <f>SUBTOTAL(109,Таблица213399029467813161721222324253031[2])</f>
        <v>55850000</v>
      </c>
      <c r="D89" s="33"/>
      <c r="E89" s="47"/>
      <c r="F89" s="46"/>
      <c r="G89" s="48"/>
      <c r="H89" s="49"/>
      <c r="I89" s="49"/>
      <c r="J89" s="49"/>
      <c r="K89" s="49">
        <f>SUBTOTAL(109,Таблица213399029467813161721222324253031[1132])</f>
        <v>46</v>
      </c>
      <c r="L89" s="51"/>
      <c r="M89" s="51">
        <f>SUBTOTAL(109,Таблица213399029467813161721222324253031[16])</f>
        <v>55841600.016</v>
      </c>
    </row>
    <row r="91" ht="18.75" spans="1:13">
      <c r="A91" s="2"/>
      <c r="B91" s="3"/>
      <c r="C91" s="4" t="s">
        <v>211</v>
      </c>
      <c r="D91" s="70" t="s">
        <v>248</v>
      </c>
      <c r="E91" s="6"/>
      <c r="H91" s="1" t="s">
        <v>213</v>
      </c>
      <c r="I91" s="1">
        <f>SUMIFS(C:C,D:D,J91)</f>
        <v>53004000</v>
      </c>
      <c r="J91" s="32" t="s">
        <v>214</v>
      </c>
    </row>
    <row r="92" ht="20.25" spans="1:13">
      <c r="A92" s="7" t="s">
        <v>215</v>
      </c>
      <c r="B92" s="7"/>
      <c r="C92" s="8"/>
      <c r="D92" s="8"/>
      <c r="E92" s="8"/>
      <c r="F92" s="53">
        <f>Таблица21339902946781316172122232425303142[[#Totals],[2]]+-Таблица21339902946781316172122232425303142[[#Totals],[16]]</f>
        <v>81929000</v>
      </c>
      <c r="G92" s="54"/>
    </row>
    <row r="93" spans="1:13">
      <c r="A93" s="10" t="s">
        <v>216</v>
      </c>
      <c r="B93" s="10" t="s">
        <v>217</v>
      </c>
      <c r="C93" s="10" t="s">
        <v>218</v>
      </c>
      <c r="D93" s="10" t="s">
        <v>219</v>
      </c>
      <c r="E93" s="13" t="s">
        <v>220</v>
      </c>
      <c r="F93" s="14" t="s">
        <v>216</v>
      </c>
      <c r="G93" s="14" t="s">
        <v>217</v>
      </c>
      <c r="H93" s="14" t="s">
        <v>221</v>
      </c>
      <c r="I93" s="15" t="s">
        <v>6</v>
      </c>
      <c r="J93" s="16" t="s">
        <v>7</v>
      </c>
      <c r="K93" s="16" t="s">
        <v>222</v>
      </c>
      <c r="L93" s="14" t="s">
        <v>223</v>
      </c>
      <c r="M93" s="15" t="s">
        <v>218</v>
      </c>
    </row>
    <row r="94" spans="1:13">
      <c r="A94" s="10"/>
      <c r="B94" s="10"/>
      <c r="C94" s="17"/>
      <c r="D94" s="18"/>
      <c r="E94" s="19"/>
      <c r="F94" s="14"/>
      <c r="G94" s="14"/>
      <c r="H94" s="14"/>
      <c r="I94" s="20"/>
      <c r="J94" s="71"/>
      <c r="K94" s="21"/>
      <c r="L94" s="14"/>
      <c r="M94" s="25"/>
    </row>
    <row r="95" ht="15.75" spans="1:13">
      <c r="A95" s="10"/>
      <c r="B95" s="10"/>
      <c r="C95" s="55">
        <f>Таблица21339902946781316172122232425303142[[#Totals],[2]]</f>
        <v>81929000</v>
      </c>
      <c r="D95" s="23"/>
      <c r="E95" s="24">
        <f>SUM(Таблица21339902946781316172122232425303142[4])</f>
        <v>0</v>
      </c>
      <c r="F95" s="14"/>
      <c r="G95" s="14"/>
      <c r="H95" s="14"/>
      <c r="I95" s="25"/>
      <c r="J95" s="72">
        <f>SUM(Таблица21339902946781316172122232425303142[113])</f>
        <v>0</v>
      </c>
      <c r="K95" s="26">
        <f>Таблица21339902946781316172122232425303142[[#Totals],[1132]]</f>
        <v>0</v>
      </c>
      <c r="L95" s="14"/>
      <c r="M95" s="9">
        <f>Таблица21339902946781316172122232425303142[[#Totals],[16]]</f>
        <v>0</v>
      </c>
    </row>
    <row r="96" spans="1:13">
      <c r="A96" s="27" t="s">
        <v>211</v>
      </c>
      <c r="B96" s="28" t="s">
        <v>224</v>
      </c>
      <c r="C96" s="28" t="s">
        <v>225</v>
      </c>
      <c r="D96" s="28" t="s">
        <v>226</v>
      </c>
      <c r="E96" s="28" t="s">
        <v>227</v>
      </c>
      <c r="F96" s="28" t="s">
        <v>228</v>
      </c>
      <c r="G96" s="28" t="s">
        <v>229</v>
      </c>
      <c r="H96" s="28" t="s">
        <v>230</v>
      </c>
      <c r="I96" s="28" t="s">
        <v>231</v>
      </c>
      <c r="J96" s="28" t="s">
        <v>232</v>
      </c>
      <c r="K96" s="28" t="s">
        <v>233</v>
      </c>
      <c r="L96" s="28" t="s">
        <v>234</v>
      </c>
      <c r="M96" s="28" t="s">
        <v>235</v>
      </c>
    </row>
    <row r="97" ht="15" spans="1:13">
      <c r="A97" s="29">
        <v>1</v>
      </c>
      <c r="B97" s="39">
        <v>46231</v>
      </c>
      <c r="C97" s="56">
        <v>81929000</v>
      </c>
      <c r="D97" s="32" t="s">
        <v>249</v>
      </c>
      <c r="E97" s="33"/>
      <c r="F97" s="34">
        <f>Таблица21339902946781316172122232425303142[[#This Row],[ ]]</f>
        <v>1</v>
      </c>
      <c r="G97" s="32"/>
      <c r="H97" s="35"/>
      <c r="I97" s="36"/>
      <c r="J97" s="37"/>
      <c r="K97" s="38"/>
      <c r="L97" s="34"/>
      <c r="M97" s="33">
        <f>Таблица21339902946781316172122232425303142[[#This Row],[113]]*Таблица21339902946781316172122232425303142[[#This Row],[15]]</f>
        <v>0</v>
      </c>
    </row>
    <row r="98" spans="1:13">
      <c r="A98" s="29">
        <v>2</v>
      </c>
      <c r="B98" s="39"/>
      <c r="C98" s="33"/>
      <c r="D98" s="32"/>
      <c r="E98" s="33"/>
      <c r="F98" s="34">
        <f>Таблица21339902946781316172122232425303142[[#This Row],[ ]]</f>
        <v>2</v>
      </c>
      <c r="G98" s="39"/>
      <c r="H98" s="41"/>
      <c r="I98" s="41"/>
      <c r="J98" s="41"/>
      <c r="K98" s="33"/>
      <c r="L98" s="43"/>
      <c r="M98" s="33">
        <f>Таблица21339902946781316172122232425303142[[#This Row],[113]]*Таблица21339902946781316172122232425303142[[#This Row],[15]]</f>
        <v>0</v>
      </c>
    </row>
    <row r="99" spans="1:13">
      <c r="A99" s="45"/>
      <c r="B99" s="57"/>
      <c r="C99" s="33">
        <f>SUBTOTAL(109,Таблица21339902946781316172122232425303142[2])</f>
        <v>81929000</v>
      </c>
      <c r="D99" s="33"/>
      <c r="E99" s="47"/>
      <c r="F99" s="46"/>
      <c r="G99" s="48"/>
      <c r="H99" s="49"/>
      <c r="I99" s="49"/>
      <c r="J99" s="49"/>
      <c r="K99" s="49">
        <f>SUBTOTAL(109,Таблица21339902946781316172122232425303142[1132])</f>
        <v>0</v>
      </c>
      <c r="L99" s="51"/>
      <c r="M99" s="51">
        <f>SUBTOTAL(109,Таблица21339902946781316172122232425303142[16])</f>
        <v>0</v>
      </c>
    </row>
  </sheetData>
  <mergeCells count="98">
    <mergeCell ref="A2:B2"/>
    <mergeCell ref="C2:D2"/>
    <mergeCell ref="F2:G2"/>
    <mergeCell ref="A15:B15"/>
    <mergeCell ref="C15:D15"/>
    <mergeCell ref="F15:G15"/>
    <mergeCell ref="A34:B34"/>
    <mergeCell ref="C34:D34"/>
    <mergeCell ref="F34:G34"/>
    <mergeCell ref="A47:B47"/>
    <mergeCell ref="C47:D47"/>
    <mergeCell ref="F47:G47"/>
    <mergeCell ref="A61:B61"/>
    <mergeCell ref="C61:D61"/>
    <mergeCell ref="F61:G61"/>
    <mergeCell ref="A78:B78"/>
    <mergeCell ref="C78:D78"/>
    <mergeCell ref="F78:G78"/>
    <mergeCell ref="A92:B92"/>
    <mergeCell ref="C92:D92"/>
    <mergeCell ref="F92:G92"/>
    <mergeCell ref="A3:A5"/>
    <mergeCell ref="A16:A18"/>
    <mergeCell ref="A35:A37"/>
    <mergeCell ref="A48:A50"/>
    <mergeCell ref="A62:A64"/>
    <mergeCell ref="A79:A81"/>
    <mergeCell ref="A93:A95"/>
    <mergeCell ref="B3:B5"/>
    <mergeCell ref="B16:B18"/>
    <mergeCell ref="B35:B37"/>
    <mergeCell ref="B48:B50"/>
    <mergeCell ref="B62:B64"/>
    <mergeCell ref="B79:B81"/>
    <mergeCell ref="B93:B95"/>
    <mergeCell ref="E3:E4"/>
    <mergeCell ref="E16:E17"/>
    <mergeCell ref="E35:E36"/>
    <mergeCell ref="E48:E49"/>
    <mergeCell ref="E62:E63"/>
    <mergeCell ref="E79:E80"/>
    <mergeCell ref="E93:E94"/>
    <mergeCell ref="F3:F5"/>
    <mergeCell ref="F16:F18"/>
    <mergeCell ref="F35:F37"/>
    <mergeCell ref="F48:F50"/>
    <mergeCell ref="F62:F64"/>
    <mergeCell ref="F79:F81"/>
    <mergeCell ref="F93:F95"/>
    <mergeCell ref="G3:G5"/>
    <mergeCell ref="G16:G18"/>
    <mergeCell ref="G35:G37"/>
    <mergeCell ref="G48:G50"/>
    <mergeCell ref="G62:G64"/>
    <mergeCell ref="G79:G81"/>
    <mergeCell ref="G93:G95"/>
    <mergeCell ref="H3:H5"/>
    <mergeCell ref="H16:H18"/>
    <mergeCell ref="H35:H37"/>
    <mergeCell ref="H48:H50"/>
    <mergeCell ref="H62:H64"/>
    <mergeCell ref="H79:H81"/>
    <mergeCell ref="H93:H95"/>
    <mergeCell ref="I3:I5"/>
    <mergeCell ref="I16:I18"/>
    <mergeCell ref="I35:I37"/>
    <mergeCell ref="I48:I50"/>
    <mergeCell ref="I62:I64"/>
    <mergeCell ref="I79:I81"/>
    <mergeCell ref="I93:I95"/>
    <mergeCell ref="J3:J4"/>
    <mergeCell ref="J16:J17"/>
    <mergeCell ref="J35:J36"/>
    <mergeCell ref="J48:J49"/>
    <mergeCell ref="J62:J63"/>
    <mergeCell ref="J79:J80"/>
    <mergeCell ref="J93:J94"/>
    <mergeCell ref="K3:K4"/>
    <mergeCell ref="K16:K17"/>
    <mergeCell ref="K35:K36"/>
    <mergeCell ref="K48:K49"/>
    <mergeCell ref="K62:K63"/>
    <mergeCell ref="K79:K80"/>
    <mergeCell ref="K93:K94"/>
    <mergeCell ref="L3:L5"/>
    <mergeCell ref="L16:L18"/>
    <mergeCell ref="L35:L37"/>
    <mergeCell ref="L48:L50"/>
    <mergeCell ref="L62:L64"/>
    <mergeCell ref="L79:L81"/>
    <mergeCell ref="L93:L95"/>
    <mergeCell ref="M3:M4"/>
    <mergeCell ref="M16:M17"/>
    <mergeCell ref="M35:M36"/>
    <mergeCell ref="M48:M49"/>
    <mergeCell ref="M62:M63"/>
    <mergeCell ref="M79:M80"/>
    <mergeCell ref="M93:M94"/>
  </mergeCells>
  <hyperlinks>
    <hyperlink ref="D1" location="'Свод Завод'!Y4" display="6-Уткир мини"/>
    <hyperlink ref="D14" location="'Свод Завод'!A1" display="6-Отабек дамирчи"/>
    <hyperlink ref="D33" location="'Свод Завод'!K17" display="6-Мамун Университети"/>
    <hyperlink ref="D46" location="'Свод Завод'!A1" display="6-нахт клент Сардор"/>
    <hyperlink ref="D60" location="'Свод Завод'!A1" display="6-Сохил буйи Уткир ога"/>
    <hyperlink ref="D77" location="'Свод Завод'!A1" display="6-Фм хоус"/>
    <hyperlink ref="D91" location="'Свод Завод'!A1" display="6-Музаффар 0010"/>
  </hyperlinks>
  <pageMargins left="0.7" right="0.7" top="0.75" bottom="0.75" header="0.3" footer="0.3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9"/>
  <sheetViews>
    <sheetView topLeftCell="A83" workbookViewId="0">
      <selection activeCell="B23" sqref="B23:D25"/>
    </sheetView>
  </sheetViews>
  <sheetFormatPr defaultColWidth="9.08571428571429" defaultRowHeight="14.25"/>
  <cols>
    <col min="1" max="1" width="6.54285714285714" style="1" customWidth="1"/>
    <col min="2" max="2" width="12.0857142857143" style="1" customWidth="1"/>
    <col min="3" max="3" width="14.0857142857143" style="1" customWidth="1"/>
    <col min="4" max="4" width="37.3619047619048" style="1" customWidth="1"/>
    <col min="5" max="5" width="20.4571428571429" style="1" customWidth="1"/>
    <col min="6" max="6" width="7.62857142857143" style="1" customWidth="1"/>
    <col min="7" max="7" width="11.5428571428571" style="1" customWidth="1"/>
    <col min="8" max="8" width="21.6285714285714" style="1" customWidth="1"/>
    <col min="9" max="9" width="13.4571428571429" style="1" customWidth="1"/>
    <col min="10" max="10" width="17.6285714285714" style="1" customWidth="1"/>
    <col min="11" max="11" width="11.3619047619048" style="1" customWidth="1"/>
    <col min="12" max="12" width="8.90476190476191" style="1" customWidth="1"/>
    <col min="13" max="13" width="14.0857142857143" style="1" customWidth="1"/>
    <col min="14" max="14" width="10.0857142857143" style="1" customWidth="1"/>
    <col min="15" max="16" width="9.08571428571429" style="1"/>
    <col min="17" max="17" width="11.0857142857143" style="1" customWidth="1"/>
    <col min="18" max="16384" width="9.08571428571429" style="1"/>
  </cols>
  <sheetData>
    <row r="1" ht="15.75" spans="1:14">
      <c r="A1" s="2"/>
      <c r="B1" s="3"/>
      <c r="C1" s="4" t="s">
        <v>211</v>
      </c>
      <c r="D1" s="81" t="s">
        <v>250</v>
      </c>
      <c r="E1" s="6"/>
      <c r="H1" s="1" t="s">
        <v>213</v>
      </c>
      <c r="I1" s="1">
        <f>SUMIFS(C:C,D:D,J1)</f>
        <v>90480000</v>
      </c>
      <c r="J1" s="32" t="s">
        <v>214</v>
      </c>
    </row>
    <row r="2" ht="20.25" spans="1:14">
      <c r="A2" s="7" t="s">
        <v>215</v>
      </c>
      <c r="B2" s="7"/>
      <c r="C2" s="8"/>
      <c r="D2" s="8"/>
      <c r="E2" s="8"/>
      <c r="F2" s="53">
        <f>Таблица213399029467813[[#Totals],[2]]+-Таблица213399029467813[[#Totals],[16]]</f>
        <v>0</v>
      </c>
      <c r="G2" s="54"/>
    </row>
    <row r="3" spans="1:14">
      <c r="A3" s="10" t="s">
        <v>216</v>
      </c>
      <c r="B3" s="10" t="s">
        <v>217</v>
      </c>
      <c r="C3" s="10" t="s">
        <v>218</v>
      </c>
      <c r="D3" s="10" t="s">
        <v>219</v>
      </c>
      <c r="E3" s="13" t="s">
        <v>220</v>
      </c>
      <c r="F3" s="14" t="s">
        <v>216</v>
      </c>
      <c r="G3" s="14" t="s">
        <v>217</v>
      </c>
      <c r="H3" s="14" t="s">
        <v>221</v>
      </c>
      <c r="I3" s="15" t="s">
        <v>6</v>
      </c>
      <c r="J3" s="16" t="s">
        <v>7</v>
      </c>
      <c r="K3" s="16" t="s">
        <v>222</v>
      </c>
      <c r="L3" s="14" t="s">
        <v>223</v>
      </c>
      <c r="M3" s="15" t="s">
        <v>218</v>
      </c>
    </row>
    <row r="4" spans="1:14">
      <c r="A4" s="10"/>
      <c r="B4" s="10"/>
      <c r="C4" s="17"/>
      <c r="D4" s="18"/>
      <c r="E4" s="19"/>
      <c r="F4" s="14"/>
      <c r="G4" s="14"/>
      <c r="H4" s="14"/>
      <c r="I4" s="20"/>
      <c r="J4" s="71"/>
      <c r="K4" s="21"/>
      <c r="L4" s="14"/>
      <c r="M4" s="25"/>
    </row>
    <row r="5" ht="15.75" spans="1:14">
      <c r="A5" s="10"/>
      <c r="B5" s="10"/>
      <c r="C5" s="55">
        <f>Таблица213399029467813[[#Totals],[2]]</f>
        <v>459648000</v>
      </c>
      <c r="D5" s="23"/>
      <c r="E5" s="24">
        <f>SUM(Таблица213399029467813[4])</f>
        <v>0</v>
      </c>
      <c r="F5" s="14"/>
      <c r="G5" s="14"/>
      <c r="H5" s="14"/>
      <c r="I5" s="25"/>
      <c r="J5" s="72">
        <f>SUM(Таблица213399029467813[113])</f>
        <v>656.64</v>
      </c>
      <c r="K5" s="26">
        <f>Таблица213399029467813[[#Totals],[1132]]</f>
        <v>380</v>
      </c>
      <c r="L5" s="14"/>
      <c r="M5" s="9">
        <f>Таблица213399029467813[[#Totals],[16]]</f>
        <v>459648000</v>
      </c>
    </row>
    <row r="6" spans="1:14">
      <c r="A6" s="27" t="s">
        <v>211</v>
      </c>
      <c r="B6" s="28" t="s">
        <v>224</v>
      </c>
      <c r="C6" s="28" t="s">
        <v>225</v>
      </c>
      <c r="D6" s="28" t="s">
        <v>226</v>
      </c>
      <c r="E6" s="28" t="s">
        <v>227</v>
      </c>
      <c r="F6" s="28" t="s">
        <v>228</v>
      </c>
      <c r="G6" s="28" t="s">
        <v>229</v>
      </c>
      <c r="H6" s="28" t="s">
        <v>230</v>
      </c>
      <c r="I6" s="28" t="s">
        <v>231</v>
      </c>
      <c r="J6" s="28" t="s">
        <v>232</v>
      </c>
      <c r="K6" s="28" t="s">
        <v>233</v>
      </c>
      <c r="L6" s="28" t="s">
        <v>234</v>
      </c>
      <c r="M6" s="28" t="s">
        <v>235</v>
      </c>
      <c r="N6" s="65" t="s">
        <v>238</v>
      </c>
    </row>
    <row r="7" ht="15" spans="1:14">
      <c r="A7" s="29">
        <v>1</v>
      </c>
      <c r="B7" s="82">
        <v>46207</v>
      </c>
      <c r="C7" s="83">
        <v>62947200</v>
      </c>
      <c r="D7" s="32" t="s">
        <v>251</v>
      </c>
      <c r="E7" s="33"/>
      <c r="F7" s="34">
        <f>Таблица213399029467813[[#This Row],[ ]]</f>
        <v>1</v>
      </c>
      <c r="G7" s="42">
        <v>46206</v>
      </c>
      <c r="H7" s="84" t="s">
        <v>82</v>
      </c>
      <c r="I7" s="36" t="s">
        <v>28</v>
      </c>
      <c r="J7" s="37">
        <v>32.832</v>
      </c>
      <c r="K7" s="85">
        <v>19</v>
      </c>
      <c r="L7" s="86">
        <v>700000</v>
      </c>
      <c r="M7" s="87">
        <f>Таблица213399029467813[[#This Row],[113]]*Таблица213399029467813[[#This Row],[15]]</f>
        <v>22982400</v>
      </c>
      <c r="N7" s="85"/>
    </row>
    <row r="8" spans="1:14">
      <c r="A8" s="29">
        <v>2</v>
      </c>
      <c r="B8" s="42">
        <v>46207</v>
      </c>
      <c r="C8" s="87">
        <v>6000000</v>
      </c>
      <c r="D8" s="32" t="s">
        <v>214</v>
      </c>
      <c r="E8" s="33"/>
      <c r="F8" s="34">
        <f>Таблица213399029467813[[#This Row],[ ]]</f>
        <v>2</v>
      </c>
      <c r="G8" s="82">
        <v>46206</v>
      </c>
      <c r="H8" s="88" t="s">
        <v>70</v>
      </c>
      <c r="I8" s="88" t="s">
        <v>28</v>
      </c>
      <c r="J8" s="88">
        <v>32.832</v>
      </c>
      <c r="K8" s="87">
        <v>19</v>
      </c>
      <c r="L8" s="89">
        <v>700000</v>
      </c>
      <c r="M8" s="87">
        <f>Таблица213399029467813[[#This Row],[113]]*Таблица213399029467813[[#This Row],[15]]</f>
        <v>22982400</v>
      </c>
      <c r="N8" s="89"/>
    </row>
    <row r="9" spans="1:14">
      <c r="A9" s="29">
        <v>3</v>
      </c>
      <c r="B9" s="42">
        <v>46209</v>
      </c>
      <c r="C9" s="87">
        <v>2000000</v>
      </c>
      <c r="D9" s="32" t="s">
        <v>214</v>
      </c>
      <c r="E9" s="33"/>
      <c r="F9" s="34">
        <f>Таблица213399029467813[[#This Row],[ ]]</f>
        <v>3</v>
      </c>
      <c r="G9" s="82">
        <v>46206</v>
      </c>
      <c r="H9" s="88" t="s">
        <v>83</v>
      </c>
      <c r="I9" s="88" t="s">
        <v>49</v>
      </c>
      <c r="J9" s="88">
        <v>32.832</v>
      </c>
      <c r="K9" s="87">
        <v>19</v>
      </c>
      <c r="L9" s="89">
        <v>700000</v>
      </c>
      <c r="M9" s="87">
        <f>Таблица213399029467813[[#This Row],[113]]*Таблица213399029467813[[#This Row],[15]]</f>
        <v>22982400</v>
      </c>
      <c r="N9" s="89"/>
    </row>
    <row r="10" ht="15" spans="1:14">
      <c r="A10" s="29">
        <v>4</v>
      </c>
      <c r="B10" s="82">
        <v>46207</v>
      </c>
      <c r="C10" s="83">
        <v>62947200</v>
      </c>
      <c r="D10" s="32" t="s">
        <v>251</v>
      </c>
      <c r="E10" s="33"/>
      <c r="F10" s="34">
        <f>Таблица213399029467813[[#This Row],[ ]]</f>
        <v>4</v>
      </c>
      <c r="G10" s="82">
        <v>46209</v>
      </c>
      <c r="H10" s="88" t="s">
        <v>91</v>
      </c>
      <c r="I10" s="88" t="s">
        <v>49</v>
      </c>
      <c r="J10" s="88">
        <v>32.832</v>
      </c>
      <c r="K10" s="87">
        <v>19</v>
      </c>
      <c r="L10" s="89">
        <v>700000</v>
      </c>
      <c r="M10" s="87">
        <f>Таблица213399029467813[[#This Row],[113]]*Таблица213399029467813[[#This Row],[15]]</f>
        <v>22982400</v>
      </c>
      <c r="N10" s="89"/>
    </row>
    <row r="11" spans="1:14">
      <c r="A11" s="29">
        <v>5</v>
      </c>
      <c r="B11" s="42">
        <v>46209</v>
      </c>
      <c r="C11" s="87">
        <v>4000000</v>
      </c>
      <c r="D11" s="32" t="s">
        <v>214</v>
      </c>
      <c r="E11" s="33"/>
      <c r="F11" s="34">
        <f>Таблица213399029467813[[#This Row],[ ]]</f>
        <v>5</v>
      </c>
      <c r="G11" s="82">
        <v>46210</v>
      </c>
      <c r="H11" s="88" t="s">
        <v>92</v>
      </c>
      <c r="I11" s="88" t="s">
        <v>49</v>
      </c>
      <c r="J11" s="88">
        <v>32.832</v>
      </c>
      <c r="K11" s="87">
        <v>19</v>
      </c>
      <c r="L11" s="89">
        <v>700000</v>
      </c>
      <c r="M11" s="87">
        <f>Таблица213399029467813[[#This Row],[113]]*Таблица213399029467813[[#This Row],[15]]</f>
        <v>22982400</v>
      </c>
      <c r="N11" s="89"/>
    </row>
    <row r="12" spans="1:14">
      <c r="A12" s="29">
        <v>6</v>
      </c>
      <c r="B12" s="42">
        <v>46216</v>
      </c>
      <c r="C12" s="87">
        <v>62347200</v>
      </c>
      <c r="D12" s="32" t="s">
        <v>251</v>
      </c>
      <c r="E12" s="33"/>
      <c r="F12" s="34">
        <f>Таблица213399029467813[[#This Row],[ ]]</f>
        <v>6</v>
      </c>
      <c r="G12" s="82">
        <v>46211</v>
      </c>
      <c r="H12" s="88" t="s">
        <v>103</v>
      </c>
      <c r="I12" s="88" t="s">
        <v>49</v>
      </c>
      <c r="J12" s="88">
        <v>32.832</v>
      </c>
      <c r="K12" s="87">
        <v>19</v>
      </c>
      <c r="L12" s="89">
        <v>700000</v>
      </c>
      <c r="M12" s="87">
        <f>Таблица213399029467813[[#This Row],[113]]*Таблица213399029467813[[#This Row],[15]]</f>
        <v>22982400</v>
      </c>
      <c r="N12" s="89"/>
    </row>
    <row r="13" spans="1:14">
      <c r="A13" s="29">
        <v>7</v>
      </c>
      <c r="B13" s="42">
        <v>46216</v>
      </c>
      <c r="C13" s="87">
        <v>6600000</v>
      </c>
      <c r="D13" s="32" t="s">
        <v>214</v>
      </c>
      <c r="E13" s="33"/>
      <c r="F13" s="34">
        <f>Таблица213399029467813[[#This Row],[ ]]</f>
        <v>7</v>
      </c>
      <c r="G13" s="82">
        <v>46214</v>
      </c>
      <c r="H13" s="88" t="s">
        <v>118</v>
      </c>
      <c r="I13" s="88" t="s">
        <v>28</v>
      </c>
      <c r="J13" s="88">
        <v>32.832</v>
      </c>
      <c r="K13" s="89">
        <v>19</v>
      </c>
      <c r="L13" s="87">
        <v>700000</v>
      </c>
      <c r="M13" s="87">
        <f>Таблица213399029467813[[#This Row],[113]]*Таблица213399029467813[[#This Row],[15]]</f>
        <v>22982400</v>
      </c>
      <c r="N13" s="89">
        <v>2200000</v>
      </c>
    </row>
    <row r="14" spans="1:14">
      <c r="A14" s="29">
        <v>8</v>
      </c>
      <c r="B14" s="42">
        <v>46218</v>
      </c>
      <c r="C14" s="87">
        <v>5000000</v>
      </c>
      <c r="D14" s="32" t="s">
        <v>214</v>
      </c>
      <c r="E14" s="33"/>
      <c r="F14" s="34">
        <f>Таблица213399029467813[[#This Row],[ ]]</f>
        <v>8</v>
      </c>
      <c r="G14" s="82">
        <v>46216</v>
      </c>
      <c r="H14" s="88" t="s">
        <v>129</v>
      </c>
      <c r="I14" s="88" t="s">
        <v>49</v>
      </c>
      <c r="J14" s="88">
        <v>32.832</v>
      </c>
      <c r="K14" s="89">
        <v>19</v>
      </c>
      <c r="L14" s="87">
        <v>700000</v>
      </c>
      <c r="M14" s="87">
        <f>Таблица213399029467813[[#This Row],[113]]*Таблица213399029467813[[#This Row],[15]]</f>
        <v>22982400</v>
      </c>
      <c r="N14" s="89">
        <v>2300000</v>
      </c>
    </row>
    <row r="15" spans="1:14">
      <c r="A15" s="29">
        <v>9</v>
      </c>
      <c r="B15" s="42">
        <v>46218</v>
      </c>
      <c r="C15" s="87">
        <v>184341600</v>
      </c>
      <c r="D15" s="32" t="s">
        <v>252</v>
      </c>
      <c r="E15" s="33"/>
      <c r="F15" s="34">
        <f>Таблица213399029467813[[#This Row],[ ]]</f>
        <v>9</v>
      </c>
      <c r="G15" s="82">
        <v>46216</v>
      </c>
      <c r="H15" s="88" t="s">
        <v>122</v>
      </c>
      <c r="I15" s="88" t="s">
        <v>28</v>
      </c>
      <c r="J15" s="88">
        <v>32.832</v>
      </c>
      <c r="K15" s="89">
        <v>19</v>
      </c>
      <c r="L15" s="87">
        <v>700000</v>
      </c>
      <c r="M15" s="87">
        <f>Таблица213399029467813[[#This Row],[113]]*Таблица213399029467813[[#This Row],[15]]</f>
        <v>22982400</v>
      </c>
      <c r="N15" s="89">
        <v>2300000</v>
      </c>
    </row>
    <row r="16" spans="1:14">
      <c r="A16" s="29">
        <v>10</v>
      </c>
      <c r="B16" s="42">
        <v>46219</v>
      </c>
      <c r="C16" s="87">
        <v>5000000</v>
      </c>
      <c r="D16" s="32" t="s">
        <v>214</v>
      </c>
      <c r="E16" s="33"/>
      <c r="F16" s="34">
        <f>Таблица213399029467813[[#This Row],[ ]]</f>
        <v>10</v>
      </c>
      <c r="G16" s="82">
        <v>46217</v>
      </c>
      <c r="H16" s="88" t="s">
        <v>141</v>
      </c>
      <c r="I16" s="88" t="s">
        <v>28</v>
      </c>
      <c r="J16" s="88">
        <v>32.832</v>
      </c>
      <c r="K16" s="89">
        <v>19</v>
      </c>
      <c r="L16" s="87">
        <v>700000</v>
      </c>
      <c r="M16" s="87">
        <f>Таблица213399029467813[[#This Row],[113]]*Таблица213399029467813[[#This Row],[15]]</f>
        <v>22982400</v>
      </c>
      <c r="N16" s="89">
        <v>2500000</v>
      </c>
    </row>
    <row r="17" spans="1:14">
      <c r="A17" s="29">
        <v>11</v>
      </c>
      <c r="B17" s="42">
        <v>46220</v>
      </c>
      <c r="C17" s="87">
        <v>5000000</v>
      </c>
      <c r="D17" s="32" t="s">
        <v>214</v>
      </c>
      <c r="E17" s="33"/>
      <c r="F17" s="34">
        <f>Таблица213399029467813[[#This Row],[ ]]</f>
        <v>11</v>
      </c>
      <c r="G17" s="82">
        <v>46218</v>
      </c>
      <c r="H17" s="88" t="s">
        <v>146</v>
      </c>
      <c r="I17" s="88" t="s">
        <v>28</v>
      </c>
      <c r="J17" s="88">
        <v>32.832</v>
      </c>
      <c r="K17" s="89">
        <v>19</v>
      </c>
      <c r="L17" s="87">
        <v>700000</v>
      </c>
      <c r="M17" s="87">
        <f>Таблица213399029467813[[#This Row],[113]]*Таблица213399029467813[[#This Row],[15]]</f>
        <v>22982400</v>
      </c>
      <c r="N17" s="89">
        <v>2500000</v>
      </c>
    </row>
    <row r="18" spans="1:14">
      <c r="A18" s="29">
        <v>12</v>
      </c>
      <c r="B18" s="44">
        <v>46221</v>
      </c>
      <c r="C18" s="87">
        <v>5000000</v>
      </c>
      <c r="D18" s="32" t="s">
        <v>214</v>
      </c>
      <c r="E18" s="33"/>
      <c r="F18" s="34">
        <f>Таблица213399029467813[[#This Row],[ ]]</f>
        <v>12</v>
      </c>
      <c r="G18" s="82">
        <v>46219</v>
      </c>
      <c r="H18" s="88" t="s">
        <v>156</v>
      </c>
      <c r="I18" s="88" t="s">
        <v>28</v>
      </c>
      <c r="J18" s="88">
        <v>32.832</v>
      </c>
      <c r="K18" s="89">
        <v>19</v>
      </c>
      <c r="L18" s="87">
        <v>700000</v>
      </c>
      <c r="M18" s="87">
        <f>Таблица213399029467813[[#This Row],[113]]*Таблица213399029467813[[#This Row],[15]]</f>
        <v>22982400</v>
      </c>
      <c r="N18" s="89">
        <v>2500000</v>
      </c>
    </row>
    <row r="19" spans="1:14">
      <c r="A19" s="29">
        <v>13</v>
      </c>
      <c r="B19" s="44">
        <v>46223</v>
      </c>
      <c r="C19" s="33">
        <v>2500000</v>
      </c>
      <c r="D19" s="32" t="s">
        <v>214</v>
      </c>
      <c r="E19" s="33"/>
      <c r="F19" s="34">
        <f>Таблица213399029467813[[#This Row],[ ]]</f>
        <v>13</v>
      </c>
      <c r="G19" s="82">
        <v>46219</v>
      </c>
      <c r="H19" s="88" t="s">
        <v>122</v>
      </c>
      <c r="I19" s="88" t="s">
        <v>28</v>
      </c>
      <c r="J19" s="88">
        <v>32.832</v>
      </c>
      <c r="K19" s="89">
        <v>19</v>
      </c>
      <c r="L19" s="87">
        <v>700000</v>
      </c>
      <c r="M19" s="87">
        <f>Таблица213399029467813[[#This Row],[113]]*Таблица213399029467813[[#This Row],[15]]</f>
        <v>22982400</v>
      </c>
      <c r="N19" s="89">
        <v>2500000</v>
      </c>
    </row>
    <row r="20" spans="1:14">
      <c r="A20" s="29">
        <v>14</v>
      </c>
      <c r="B20" s="44">
        <v>46230</v>
      </c>
      <c r="C20" s="33">
        <v>40964800</v>
      </c>
      <c r="D20" s="32" t="s">
        <v>252</v>
      </c>
      <c r="E20" s="33"/>
      <c r="F20" s="34">
        <f>Таблица213399029467813[[#This Row],[ ]]</f>
        <v>14</v>
      </c>
      <c r="G20" s="82">
        <v>46220</v>
      </c>
      <c r="H20" s="88" t="s">
        <v>164</v>
      </c>
      <c r="I20" s="88" t="s">
        <v>28</v>
      </c>
      <c r="J20" s="88">
        <v>32.832</v>
      </c>
      <c r="K20" s="89">
        <v>19</v>
      </c>
      <c r="L20" s="87">
        <v>700000</v>
      </c>
      <c r="M20" s="87">
        <f>Таблица213399029467813[[#This Row],[113]]*Таблица213399029467813[[#This Row],[15]]</f>
        <v>22982400</v>
      </c>
      <c r="N20" s="43">
        <v>2500000</v>
      </c>
    </row>
    <row r="21" spans="1:14">
      <c r="A21" s="29">
        <v>15</v>
      </c>
      <c r="B21" s="44">
        <v>46230</v>
      </c>
      <c r="C21" s="33">
        <v>2500000</v>
      </c>
      <c r="D21" s="32" t="s">
        <v>214</v>
      </c>
      <c r="E21" s="33"/>
      <c r="F21" s="34">
        <f>Таблица213399029467813[[#This Row],[ ]]</f>
        <v>15</v>
      </c>
      <c r="G21" s="39">
        <v>46220</v>
      </c>
      <c r="H21" s="41" t="s">
        <v>165</v>
      </c>
      <c r="I21" s="41" t="s">
        <v>28</v>
      </c>
      <c r="J21" s="41">
        <v>32.832</v>
      </c>
      <c r="K21" s="43">
        <v>19</v>
      </c>
      <c r="L21" s="33">
        <v>700000</v>
      </c>
      <c r="M21" s="87">
        <f>Таблица213399029467813[[#This Row],[113]]*Таблица213399029467813[[#This Row],[15]]</f>
        <v>22982400</v>
      </c>
      <c r="N21" s="89">
        <v>2500000</v>
      </c>
    </row>
    <row r="22" spans="1:14">
      <c r="A22" s="29">
        <v>16</v>
      </c>
      <c r="B22" s="44">
        <v>46231</v>
      </c>
      <c r="C22" s="33">
        <v>2500000</v>
      </c>
      <c r="D22" s="32" t="s">
        <v>214</v>
      </c>
      <c r="E22" s="33"/>
      <c r="F22" s="34">
        <f>Таблица213399029467813[[#This Row],[ ]]</f>
        <v>16</v>
      </c>
      <c r="G22" s="39">
        <v>46221</v>
      </c>
      <c r="H22" s="41" t="s">
        <v>168</v>
      </c>
      <c r="I22" s="41" t="s">
        <v>49</v>
      </c>
      <c r="J22" s="41">
        <v>32.832</v>
      </c>
      <c r="K22" s="43">
        <v>19</v>
      </c>
      <c r="L22" s="33">
        <v>700000</v>
      </c>
      <c r="M22" s="33">
        <f>Таблица213399029467813[[#This Row],[113]]*Таблица213399029467813[[#This Row],[15]]</f>
        <v>22982400</v>
      </c>
      <c r="N22" s="89">
        <v>2500000</v>
      </c>
    </row>
    <row r="23" spans="1:14">
      <c r="A23" s="29">
        <v>17</v>
      </c>
      <c r="B23" s="44"/>
      <c r="C23" s="33"/>
      <c r="D23" s="32"/>
      <c r="E23" s="33"/>
      <c r="F23" s="34">
        <f>Таблица213399029467813[[#This Row],[ ]]</f>
        <v>17</v>
      </c>
      <c r="G23" s="39">
        <v>46221</v>
      </c>
      <c r="H23" s="41" t="s">
        <v>50</v>
      </c>
      <c r="I23" s="41" t="s">
        <v>49</v>
      </c>
      <c r="J23" s="41">
        <v>32.832</v>
      </c>
      <c r="K23" s="43">
        <v>19</v>
      </c>
      <c r="L23" s="33">
        <v>700000</v>
      </c>
      <c r="M23" s="33">
        <f>Таблица213399029467813[[#This Row],[113]]*Таблица213399029467813[[#This Row],[15]]</f>
        <v>22982400</v>
      </c>
      <c r="N23" s="43">
        <v>2500000</v>
      </c>
    </row>
    <row r="24" spans="1:14">
      <c r="A24" s="29">
        <v>18</v>
      </c>
      <c r="B24" s="44"/>
      <c r="C24" s="33"/>
      <c r="D24" s="32"/>
      <c r="E24" s="33"/>
      <c r="F24" s="34">
        <f>Таблица213399029467813[[#This Row],[ ]]</f>
        <v>18</v>
      </c>
      <c r="G24" s="39">
        <v>46223</v>
      </c>
      <c r="H24" s="41" t="s">
        <v>138</v>
      </c>
      <c r="I24" s="41" t="s">
        <v>28</v>
      </c>
      <c r="J24" s="41">
        <v>32.832</v>
      </c>
      <c r="K24" s="43">
        <v>19</v>
      </c>
      <c r="L24" s="33">
        <v>700000</v>
      </c>
      <c r="M24" s="33">
        <f>Таблица213399029467813[[#This Row],[113]]*Таблица213399029467813[[#This Row],[15]]</f>
        <v>22982400</v>
      </c>
      <c r="N24" s="43">
        <v>2500000</v>
      </c>
    </row>
    <row r="25" spans="1:14">
      <c r="A25" s="29">
        <v>19</v>
      </c>
      <c r="B25" s="44"/>
      <c r="C25" s="33"/>
      <c r="D25" s="32"/>
      <c r="E25" s="33"/>
      <c r="F25" s="34">
        <f>Таблица213399029467813[[#This Row],[ ]]</f>
        <v>19</v>
      </c>
      <c r="G25" s="39">
        <v>46230</v>
      </c>
      <c r="H25" s="41" t="s">
        <v>195</v>
      </c>
      <c r="I25" s="41" t="s">
        <v>49</v>
      </c>
      <c r="J25" s="41">
        <v>32.832</v>
      </c>
      <c r="K25" s="43">
        <v>19</v>
      </c>
      <c r="L25" s="33">
        <v>700000</v>
      </c>
      <c r="M25" s="33">
        <f>Таблица213399029467813[[#This Row],[113]]*Таблица213399029467813[[#This Row],[15]]</f>
        <v>22982400</v>
      </c>
      <c r="N25" s="43"/>
    </row>
    <row r="26" spans="1:14">
      <c r="A26" s="29">
        <v>20</v>
      </c>
      <c r="B26" s="44"/>
      <c r="C26" s="33"/>
      <c r="D26" s="32"/>
      <c r="E26" s="33"/>
      <c r="F26" s="34">
        <f>Таблица213399029467813[[#This Row],[ ]]</f>
        <v>20</v>
      </c>
      <c r="G26" s="39">
        <v>46231</v>
      </c>
      <c r="H26" s="41" t="s">
        <v>148</v>
      </c>
      <c r="I26" s="41" t="s">
        <v>49</v>
      </c>
      <c r="J26" s="41">
        <v>32.832</v>
      </c>
      <c r="K26" s="43">
        <v>19</v>
      </c>
      <c r="L26" s="33">
        <v>700000</v>
      </c>
      <c r="M26" s="33">
        <f>Таблица213399029467813[[#This Row],[113]]*Таблица213399029467813[[#This Row],[15]]</f>
        <v>22982400</v>
      </c>
      <c r="N26" s="43"/>
    </row>
    <row r="27" spans="1:14">
      <c r="A27" s="29">
        <v>21</v>
      </c>
      <c r="B27" s="44"/>
      <c r="C27" s="33"/>
      <c r="D27" s="32"/>
      <c r="E27" s="33"/>
      <c r="F27" s="34">
        <f>Таблица213399029467813[[#This Row],[ ]]</f>
        <v>21</v>
      </c>
      <c r="G27" s="39"/>
      <c r="H27" s="41"/>
      <c r="I27" s="41"/>
      <c r="J27" s="41"/>
      <c r="K27" s="43"/>
      <c r="L27" s="33"/>
      <c r="M27" s="33">
        <f>Таблица213399029467813[[#This Row],[113]]*Таблица213399029467813[[#This Row],[15]]</f>
        <v>0</v>
      </c>
      <c r="N27" s="43"/>
    </row>
    <row r="28" spans="1:14">
      <c r="A28" s="45"/>
      <c r="B28" s="57"/>
      <c r="C28" s="33">
        <f>SUBTOTAL(109,Таблица213399029467813[2])</f>
        <v>459648000</v>
      </c>
      <c r="D28" s="33"/>
      <c r="E28" s="47"/>
      <c r="F28" s="46"/>
      <c r="G28" s="48"/>
      <c r="H28" s="49"/>
      <c r="I28" s="49"/>
      <c r="J28" s="49"/>
      <c r="K28" s="49">
        <f>SUBTOTAL(109,Таблица213399029467813[1132])</f>
        <v>380</v>
      </c>
      <c r="L28" s="51"/>
      <c r="M28" s="51">
        <f>SUBTOTAL(109,Таблица213399029467813[16])</f>
        <v>459648000</v>
      </c>
      <c r="N28" s="49"/>
    </row>
    <row r="30" ht="15.75" spans="1:14">
      <c r="A30" s="2"/>
      <c r="B30" s="3"/>
      <c r="C30" s="4" t="s">
        <v>211</v>
      </c>
      <c r="D30" s="81" t="s">
        <v>253</v>
      </c>
      <c r="E30" s="6"/>
      <c r="H30" s="1" t="s">
        <v>213</v>
      </c>
      <c r="I30" s="1">
        <f>SUMIFS(C:C,D:D,J30)</f>
        <v>90480000</v>
      </c>
      <c r="J30" s="32" t="s">
        <v>214</v>
      </c>
    </row>
    <row r="31" ht="20.25" spans="1:14">
      <c r="A31" s="7" t="s">
        <v>215</v>
      </c>
      <c r="B31" s="7"/>
      <c r="C31" s="8"/>
      <c r="D31" s="8"/>
      <c r="E31" s="8"/>
      <c r="F31" s="53">
        <f>Таблица21339902946781316[[#Totals],[2]]+-Таблица21339902946781316[[#Totals],[16]]</f>
        <v>752400</v>
      </c>
      <c r="G31" s="54"/>
    </row>
    <row r="32" spans="1:14">
      <c r="A32" s="10" t="s">
        <v>216</v>
      </c>
      <c r="B32" s="10" t="s">
        <v>217</v>
      </c>
      <c r="C32" s="10" t="s">
        <v>218</v>
      </c>
      <c r="D32" s="10" t="s">
        <v>219</v>
      </c>
      <c r="E32" s="13" t="s">
        <v>220</v>
      </c>
      <c r="F32" s="14" t="s">
        <v>216</v>
      </c>
      <c r="G32" s="14" t="s">
        <v>217</v>
      </c>
      <c r="H32" s="14" t="s">
        <v>221</v>
      </c>
      <c r="I32" s="15" t="s">
        <v>6</v>
      </c>
      <c r="J32" s="16" t="s">
        <v>7</v>
      </c>
      <c r="K32" s="16" t="s">
        <v>222</v>
      </c>
      <c r="L32" s="14" t="s">
        <v>223</v>
      </c>
      <c r="M32" s="15" t="s">
        <v>218</v>
      </c>
    </row>
    <row r="33" spans="1:13">
      <c r="A33" s="10"/>
      <c r="B33" s="10"/>
      <c r="C33" s="17"/>
      <c r="D33" s="18"/>
      <c r="E33" s="19"/>
      <c r="F33" s="14"/>
      <c r="G33" s="14"/>
      <c r="H33" s="14"/>
      <c r="I33" s="20"/>
      <c r="J33" s="71"/>
      <c r="K33" s="21"/>
      <c r="L33" s="14"/>
      <c r="M33" s="25"/>
    </row>
    <row r="34" ht="15.75" spans="1:13">
      <c r="A34" s="10"/>
      <c r="B34" s="10"/>
      <c r="C34" s="55">
        <f>Таблица21339902946781316[[#Totals],[2]]</f>
        <v>92682000</v>
      </c>
      <c r="D34" s="23"/>
      <c r="E34" s="24">
        <f>SUM(Таблица21339902946781316[4])</f>
        <v>0</v>
      </c>
      <c r="F34" s="14"/>
      <c r="G34" s="14"/>
      <c r="H34" s="14"/>
      <c r="I34" s="25"/>
      <c r="J34" s="72">
        <f>SUM(Таблица21339902946781316[113])</f>
        <v>131.328</v>
      </c>
      <c r="K34" s="26">
        <f>Таблица21339902946781316[[#Totals],[1132]]</f>
        <v>76</v>
      </c>
      <c r="L34" s="14"/>
      <c r="M34" s="9">
        <f>Таблица21339902946781316[[#Totals],[16]]</f>
        <v>91929600</v>
      </c>
    </row>
    <row r="35" spans="1:13">
      <c r="A35" s="27" t="s">
        <v>211</v>
      </c>
      <c r="B35" s="28" t="s">
        <v>224</v>
      </c>
      <c r="C35" s="28" t="s">
        <v>225</v>
      </c>
      <c r="D35" s="28" t="s">
        <v>226</v>
      </c>
      <c r="E35" s="28" t="s">
        <v>227</v>
      </c>
      <c r="F35" s="28" t="s">
        <v>228</v>
      </c>
      <c r="G35" s="28" t="s">
        <v>229</v>
      </c>
      <c r="H35" s="28" t="s">
        <v>230</v>
      </c>
      <c r="I35" s="28" t="s">
        <v>231</v>
      </c>
      <c r="J35" s="28" t="s">
        <v>232</v>
      </c>
      <c r="K35" s="28" t="s">
        <v>233</v>
      </c>
      <c r="L35" s="28" t="s">
        <v>234</v>
      </c>
      <c r="M35" s="28" t="s">
        <v>235</v>
      </c>
    </row>
    <row r="36" ht="15" spans="1:13">
      <c r="A36" s="29">
        <v>1</v>
      </c>
      <c r="B36" s="39">
        <v>46209</v>
      </c>
      <c r="C36" s="56">
        <v>21000000</v>
      </c>
      <c r="D36" s="32" t="s">
        <v>254</v>
      </c>
      <c r="E36" s="33"/>
      <c r="F36" s="34">
        <f>Таблица21339902946781316[[#This Row],[ ]]</f>
        <v>1</v>
      </c>
      <c r="G36" s="32">
        <v>46209</v>
      </c>
      <c r="H36" s="35" t="s">
        <v>86</v>
      </c>
      <c r="I36" s="36" t="s">
        <v>28</v>
      </c>
      <c r="J36" s="37">
        <v>32.832</v>
      </c>
      <c r="K36" s="38">
        <v>19</v>
      </c>
      <c r="L36" s="34">
        <v>700000</v>
      </c>
      <c r="M36" s="33">
        <f>Таблица21339902946781316[[#This Row],[113]]*Таблица21339902946781316[[#This Row],[15]]</f>
        <v>22982400</v>
      </c>
    </row>
    <row r="37" spans="1:13">
      <c r="A37" s="29">
        <v>2</v>
      </c>
      <c r="B37" s="39">
        <v>46209</v>
      </c>
      <c r="C37" s="33">
        <v>2000000</v>
      </c>
      <c r="D37" s="32" t="s">
        <v>214</v>
      </c>
      <c r="E37" s="33"/>
      <c r="F37" s="34">
        <f>Таблица21339902946781316[[#This Row],[ ]]</f>
        <v>2</v>
      </c>
      <c r="G37" s="39">
        <v>46213</v>
      </c>
      <c r="H37" s="41" t="s">
        <v>107</v>
      </c>
      <c r="I37" s="41" t="s">
        <v>49</v>
      </c>
      <c r="J37" s="41">
        <v>32.832</v>
      </c>
      <c r="K37" s="33">
        <v>19</v>
      </c>
      <c r="L37" s="43">
        <v>700000</v>
      </c>
      <c r="M37" s="33">
        <f>Таблица21339902946781316[[#This Row],[113]]*Таблица21339902946781316[[#This Row],[15]]</f>
        <v>22982400</v>
      </c>
    </row>
    <row r="38" spans="1:13">
      <c r="A38" s="29">
        <v>3</v>
      </c>
      <c r="B38" s="39">
        <v>46212</v>
      </c>
      <c r="C38" s="33">
        <v>21000000</v>
      </c>
      <c r="D38" s="32" t="s">
        <v>255</v>
      </c>
      <c r="E38" s="33"/>
      <c r="F38" s="34">
        <f>Таблица21339902946781316[[#This Row],[ ]]</f>
        <v>3</v>
      </c>
      <c r="G38" s="39">
        <v>46223</v>
      </c>
      <c r="H38" s="41" t="s">
        <v>178</v>
      </c>
      <c r="I38" s="41" t="s">
        <v>49</v>
      </c>
      <c r="J38" s="41">
        <v>32.832</v>
      </c>
      <c r="K38" s="33">
        <v>19</v>
      </c>
      <c r="L38" s="43">
        <v>700000</v>
      </c>
      <c r="M38" s="33">
        <f>Таблица21339902946781316[[#This Row],[113]]*Таблица21339902946781316[[#This Row],[15]]</f>
        <v>22982400</v>
      </c>
    </row>
    <row r="39" spans="1:13">
      <c r="A39" s="29">
        <v>4</v>
      </c>
      <c r="B39" s="39">
        <v>46213</v>
      </c>
      <c r="C39" s="33">
        <v>21000000</v>
      </c>
      <c r="D39" s="32" t="s">
        <v>255</v>
      </c>
      <c r="E39" s="33"/>
      <c r="F39" s="34">
        <f>Таблица21339902946781316[[#This Row],[ ]]</f>
        <v>4</v>
      </c>
      <c r="G39" s="39">
        <v>46230</v>
      </c>
      <c r="H39" s="41" t="s">
        <v>119</v>
      </c>
      <c r="I39" s="41" t="s">
        <v>28</v>
      </c>
      <c r="J39" s="41">
        <v>32.832</v>
      </c>
      <c r="K39" s="33">
        <v>19</v>
      </c>
      <c r="L39" s="43">
        <v>700000</v>
      </c>
      <c r="M39" s="33">
        <f>Таблица21339902946781316[[#This Row],[113]]*Таблица21339902946781316[[#This Row],[15]]</f>
        <v>22982400</v>
      </c>
    </row>
    <row r="40" spans="1:13">
      <c r="A40" s="29">
        <v>5</v>
      </c>
      <c r="B40" s="39">
        <v>46213</v>
      </c>
      <c r="C40" s="33">
        <v>2200000</v>
      </c>
      <c r="D40" s="32" t="s">
        <v>214</v>
      </c>
      <c r="E40" s="33"/>
      <c r="F40" s="34">
        <f>Таблица21339902946781316[[#This Row],[ ]]</f>
        <v>5</v>
      </c>
      <c r="G40" s="39"/>
      <c r="H40" s="41"/>
      <c r="I40" s="41"/>
      <c r="J40" s="41"/>
      <c r="K40" s="33"/>
      <c r="L40" s="43"/>
      <c r="M40" s="33">
        <f>Таблица21339902946781316[[#This Row],[113]]*Таблица21339902946781316[[#This Row],[15]]</f>
        <v>0</v>
      </c>
    </row>
    <row r="41" spans="1:13">
      <c r="A41" s="29">
        <v>6</v>
      </c>
      <c r="B41" s="39">
        <v>46223</v>
      </c>
      <c r="C41" s="33">
        <v>2500000</v>
      </c>
      <c r="D41" s="32" t="s">
        <v>214</v>
      </c>
      <c r="E41" s="33"/>
      <c r="F41" s="34">
        <f>Таблица21339902946781316[[#This Row],[ ]]</f>
        <v>6</v>
      </c>
      <c r="G41" s="39"/>
      <c r="H41" s="41"/>
      <c r="I41" s="41"/>
      <c r="J41" s="41"/>
      <c r="K41" s="33"/>
      <c r="L41" s="43"/>
      <c r="M41" s="33">
        <f>Таблица21339902946781316[[#This Row],[113]]*Таблица21339902946781316[[#This Row],[15]]</f>
        <v>0</v>
      </c>
    </row>
    <row r="42" spans="1:13">
      <c r="A42" s="29">
        <v>7</v>
      </c>
      <c r="B42" s="39">
        <v>46228</v>
      </c>
      <c r="C42" s="33">
        <v>20482000</v>
      </c>
      <c r="D42" s="32" t="s">
        <v>255</v>
      </c>
      <c r="E42" s="33"/>
      <c r="F42" s="34">
        <f>Таблица21339902946781316[[#This Row],[ ]]</f>
        <v>7</v>
      </c>
      <c r="G42" s="39"/>
      <c r="H42" s="41"/>
      <c r="I42" s="41"/>
      <c r="J42" s="41"/>
      <c r="K42" s="43"/>
      <c r="L42" s="33"/>
      <c r="M42" s="33">
        <f>Таблица21339902946781316[[#This Row],[113]]*Таблица21339902946781316[[#This Row],[15]]</f>
        <v>0</v>
      </c>
    </row>
    <row r="43" spans="1:13">
      <c r="A43" s="29">
        <v>8</v>
      </c>
      <c r="B43" s="39">
        <v>46230</v>
      </c>
      <c r="C43" s="33">
        <v>2500000</v>
      </c>
      <c r="D43" s="32" t="s">
        <v>214</v>
      </c>
      <c r="E43" s="33"/>
      <c r="F43" s="34">
        <f>Таблица21339902946781316[[#This Row],[ ]]</f>
        <v>8</v>
      </c>
      <c r="G43" s="39"/>
      <c r="H43" s="41"/>
      <c r="I43" s="41"/>
      <c r="J43" s="41"/>
      <c r="K43" s="43"/>
      <c r="L43" s="33"/>
      <c r="M43" s="33">
        <f>Таблица21339902946781316[[#This Row],[113]]*Таблица21339902946781316[[#This Row],[15]]</f>
        <v>0</v>
      </c>
    </row>
    <row r="44" spans="1:13">
      <c r="A44" s="29">
        <v>9</v>
      </c>
      <c r="B44" s="39"/>
      <c r="C44" s="33"/>
      <c r="D44" s="32"/>
      <c r="E44" s="33"/>
      <c r="F44" s="34">
        <f>Таблица21339902946781316[[#This Row],[ ]]</f>
        <v>9</v>
      </c>
      <c r="G44" s="39"/>
      <c r="H44" s="41"/>
      <c r="I44" s="41"/>
      <c r="J44" s="41"/>
      <c r="K44" s="43"/>
      <c r="L44" s="33"/>
      <c r="M44" s="33">
        <f>Таблица21339902946781316[[#This Row],[113]]*Таблица21339902946781316[[#This Row],[15]]</f>
        <v>0</v>
      </c>
    </row>
    <row r="45" spans="1:13">
      <c r="A45" s="29">
        <v>10</v>
      </c>
      <c r="B45" s="39"/>
      <c r="C45" s="33"/>
      <c r="D45" s="32"/>
      <c r="E45" s="33"/>
      <c r="F45" s="34">
        <f>Таблица21339902946781316[[#This Row],[ ]]</f>
        <v>10</v>
      </c>
      <c r="G45" s="39"/>
      <c r="H45" s="41"/>
      <c r="I45" s="41"/>
      <c r="J45" s="41"/>
      <c r="K45" s="43"/>
      <c r="L45" s="33"/>
      <c r="M45" s="33">
        <f>Таблица21339902946781316[[#This Row],[113]]*Таблица21339902946781316[[#This Row],[15]]</f>
        <v>0</v>
      </c>
    </row>
    <row r="46" spans="1:13">
      <c r="A46" s="45"/>
      <c r="B46" s="57"/>
      <c r="C46" s="33">
        <f>SUBTOTAL(109,Таблица21339902946781316[2])</f>
        <v>92682000</v>
      </c>
      <c r="D46" s="33"/>
      <c r="E46" s="47"/>
      <c r="F46" s="46"/>
      <c r="G46" s="48"/>
      <c r="H46" s="49"/>
      <c r="I46" s="49"/>
      <c r="J46" s="49"/>
      <c r="K46" s="49">
        <f>SUBTOTAL(109,Таблица21339902946781316[1132])</f>
        <v>76</v>
      </c>
      <c r="L46" s="51"/>
      <c r="M46" s="51">
        <f>SUBTOTAL(109,Таблица21339902946781316[16])</f>
        <v>91929600</v>
      </c>
    </row>
    <row r="48" ht="15.75" spans="1:13">
      <c r="A48" s="2"/>
      <c r="B48" s="3"/>
      <c r="C48" s="4" t="s">
        <v>211</v>
      </c>
      <c r="D48" s="81" t="s">
        <v>256</v>
      </c>
      <c r="E48" s="6"/>
      <c r="H48" s="1" t="s">
        <v>213</v>
      </c>
      <c r="I48" s="1">
        <f>SUMIFS(C:C,D:D,J48)</f>
        <v>90480000</v>
      </c>
      <c r="J48" s="32" t="s">
        <v>214</v>
      </c>
    </row>
    <row r="49" ht="20.25" spans="1:14">
      <c r="A49" s="7" t="s">
        <v>215</v>
      </c>
      <c r="B49" s="7"/>
      <c r="C49" s="8"/>
      <c r="D49" s="8"/>
      <c r="E49" s="8"/>
      <c r="F49" s="53">
        <f>Таблица2133990294678131619[[#Totals],[2]]+-Таблица2133990294678131619[[#Totals],[16]]</f>
        <v>20683200</v>
      </c>
      <c r="G49" s="54"/>
    </row>
    <row r="50" spans="1:14">
      <c r="A50" s="10" t="s">
        <v>216</v>
      </c>
      <c r="B50" s="10" t="s">
        <v>217</v>
      </c>
      <c r="C50" s="10" t="s">
        <v>218</v>
      </c>
      <c r="D50" s="10" t="s">
        <v>219</v>
      </c>
      <c r="E50" s="13" t="s">
        <v>220</v>
      </c>
      <c r="F50" s="14" t="s">
        <v>216</v>
      </c>
      <c r="G50" s="14" t="s">
        <v>217</v>
      </c>
      <c r="H50" s="14" t="s">
        <v>221</v>
      </c>
      <c r="I50" s="15" t="s">
        <v>6</v>
      </c>
      <c r="J50" s="16" t="s">
        <v>7</v>
      </c>
      <c r="K50" s="16" t="s">
        <v>222</v>
      </c>
      <c r="L50" s="14" t="s">
        <v>223</v>
      </c>
      <c r="M50" s="15" t="s">
        <v>218</v>
      </c>
    </row>
    <row r="51" spans="1:14">
      <c r="A51" s="10"/>
      <c r="B51" s="10"/>
      <c r="C51" s="17"/>
      <c r="D51" s="18"/>
      <c r="E51" s="19"/>
      <c r="F51" s="14"/>
      <c r="G51" s="14"/>
      <c r="H51" s="14"/>
      <c r="I51" s="20"/>
      <c r="J51" s="71"/>
      <c r="K51" s="21"/>
      <c r="L51" s="14"/>
      <c r="M51" s="25"/>
    </row>
    <row r="52" ht="15.75" spans="1:14">
      <c r="A52" s="10"/>
      <c r="B52" s="10"/>
      <c r="C52" s="55">
        <f>Таблица2133990294678131619[[#Totals],[2]]</f>
        <v>227524800</v>
      </c>
      <c r="D52" s="23"/>
      <c r="E52" s="24">
        <f>SUM(Таблица2133990294678131619[4])</f>
        <v>0</v>
      </c>
      <c r="F52" s="14"/>
      <c r="G52" s="14"/>
      <c r="H52" s="14"/>
      <c r="I52" s="25"/>
      <c r="J52" s="72">
        <f>SUM(Таблица2133990294678131619[113])</f>
        <v>295.488</v>
      </c>
      <c r="K52" s="26">
        <f>Таблица2133990294678131619[[#Totals],[1132]]</f>
        <v>171</v>
      </c>
      <c r="L52" s="14"/>
      <c r="M52" s="9">
        <f>Таблица2133990294678131619[[#Totals],[16]]</f>
        <v>206841600</v>
      </c>
    </row>
    <row r="53" spans="1:14">
      <c r="A53" s="27" t="s">
        <v>211</v>
      </c>
      <c r="B53" s="28" t="s">
        <v>224</v>
      </c>
      <c r="C53" s="28" t="s">
        <v>225</v>
      </c>
      <c r="D53" s="28" t="s">
        <v>226</v>
      </c>
      <c r="E53" s="28" t="s">
        <v>227</v>
      </c>
      <c r="F53" s="28" t="s">
        <v>228</v>
      </c>
      <c r="G53" s="28" t="s">
        <v>229</v>
      </c>
      <c r="H53" s="28" t="s">
        <v>230</v>
      </c>
      <c r="I53" s="28" t="s">
        <v>231</v>
      </c>
      <c r="J53" s="28" t="s">
        <v>232</v>
      </c>
      <c r="K53" s="28" t="s">
        <v>233</v>
      </c>
      <c r="L53" s="28" t="s">
        <v>234</v>
      </c>
      <c r="M53" s="28" t="s">
        <v>235</v>
      </c>
      <c r="N53" s="65" t="s">
        <v>238</v>
      </c>
    </row>
    <row r="54" spans="1:14">
      <c r="A54" s="29">
        <v>1</v>
      </c>
      <c r="B54" s="39">
        <v>46212</v>
      </c>
      <c r="C54" s="33">
        <v>41964800</v>
      </c>
      <c r="D54" s="32" t="s">
        <v>257</v>
      </c>
      <c r="E54" s="33"/>
      <c r="F54" s="34">
        <f>Таблица2133990294678131619[[#This Row],[ ]]</f>
        <v>1</v>
      </c>
      <c r="G54" s="90">
        <v>46212</v>
      </c>
      <c r="H54" s="91" t="s">
        <v>82</v>
      </c>
      <c r="I54" s="91" t="s">
        <v>49</v>
      </c>
      <c r="J54" s="41">
        <v>32.832</v>
      </c>
      <c r="K54" s="33">
        <v>19</v>
      </c>
      <c r="L54" s="43">
        <v>700000</v>
      </c>
      <c r="M54" s="33">
        <f>Таблица2133990294678131619[[#This Row],[113]]*Таблица2133990294678131619[[#This Row],[15]]</f>
        <v>22982400</v>
      </c>
      <c r="N54" s="38">
        <v>2000000</v>
      </c>
    </row>
    <row r="55" spans="1:14">
      <c r="A55" s="29">
        <v>2</v>
      </c>
      <c r="B55" s="39">
        <v>46216</v>
      </c>
      <c r="C55" s="33">
        <v>41365000</v>
      </c>
      <c r="D55" s="32" t="s">
        <v>258</v>
      </c>
      <c r="E55" s="33"/>
      <c r="F55" s="34">
        <f>Таблица2133990294678131619[[#This Row],[ ]]</f>
        <v>2</v>
      </c>
      <c r="G55" s="90">
        <v>46213</v>
      </c>
      <c r="H55" s="91" t="s">
        <v>106</v>
      </c>
      <c r="I55" s="91" t="s">
        <v>28</v>
      </c>
      <c r="J55" s="41">
        <v>32.832</v>
      </c>
      <c r="K55" s="33">
        <v>19</v>
      </c>
      <c r="L55" s="43">
        <v>700000</v>
      </c>
      <c r="M55" s="33">
        <f>Таблица2133990294678131619[[#This Row],[113]]*Таблица2133990294678131619[[#This Row],[15]]</f>
        <v>22982400</v>
      </c>
      <c r="N55" s="43">
        <v>2200000</v>
      </c>
    </row>
    <row r="56" spans="1:14">
      <c r="A56" s="29">
        <v>3</v>
      </c>
      <c r="B56" s="39">
        <v>46218</v>
      </c>
      <c r="C56" s="33">
        <v>40965000</v>
      </c>
      <c r="D56" s="32" t="s">
        <v>257</v>
      </c>
      <c r="E56" s="33"/>
      <c r="F56" s="34">
        <f>Таблица2133990294678131619[[#This Row],[ ]]</f>
        <v>3</v>
      </c>
      <c r="G56" s="39">
        <v>46216</v>
      </c>
      <c r="H56" s="41" t="s">
        <v>130</v>
      </c>
      <c r="I56" s="41" t="s">
        <v>28</v>
      </c>
      <c r="J56" s="41">
        <v>32.832</v>
      </c>
      <c r="K56" s="43">
        <v>19</v>
      </c>
      <c r="L56" s="43">
        <v>700000</v>
      </c>
      <c r="M56" s="43">
        <f>Таблица2133990294678131619[[#This Row],[113]]*Таблица2133990294678131619[[#This Row],[15]]</f>
        <v>22982400</v>
      </c>
      <c r="N56" s="43">
        <v>2300000</v>
      </c>
    </row>
    <row r="57" spans="1:14">
      <c r="A57" s="29">
        <v>4</v>
      </c>
      <c r="B57" s="39">
        <v>46212</v>
      </c>
      <c r="C57" s="33">
        <v>2000000</v>
      </c>
      <c r="D57" s="32" t="s">
        <v>214</v>
      </c>
      <c r="E57" s="33"/>
      <c r="F57" s="34">
        <f>Таблица2133990294678131619[[#This Row],[ ]]</f>
        <v>4</v>
      </c>
      <c r="G57" s="39">
        <v>46217</v>
      </c>
      <c r="H57" s="41" t="s">
        <v>131</v>
      </c>
      <c r="I57" s="41" t="s">
        <v>28</v>
      </c>
      <c r="J57" s="41">
        <v>32.832</v>
      </c>
      <c r="K57" s="43">
        <v>19</v>
      </c>
      <c r="L57" s="43">
        <v>700000</v>
      </c>
      <c r="M57" s="43">
        <f>Таблица2133990294678131619[[#This Row],[113]]*Таблица2133990294678131619[[#This Row],[15]]</f>
        <v>22982400</v>
      </c>
      <c r="N57" s="43">
        <v>2300000</v>
      </c>
    </row>
    <row r="58" spans="1:14">
      <c r="A58" s="29">
        <v>5</v>
      </c>
      <c r="B58" s="39">
        <v>46213</v>
      </c>
      <c r="C58" s="33">
        <v>2200000</v>
      </c>
      <c r="D58" s="32" t="s">
        <v>214</v>
      </c>
      <c r="E58" s="33"/>
      <c r="F58" s="34">
        <f>Таблица2133990294678131619[[#This Row],[ ]]</f>
        <v>5</v>
      </c>
      <c r="G58" s="39">
        <v>46219</v>
      </c>
      <c r="H58" s="41" t="s">
        <v>157</v>
      </c>
      <c r="I58" s="41" t="s">
        <v>28</v>
      </c>
      <c r="J58" s="41">
        <v>32.832</v>
      </c>
      <c r="K58" s="43">
        <v>19</v>
      </c>
      <c r="L58" s="43">
        <v>700000</v>
      </c>
      <c r="M58" s="43">
        <f>Таблица2133990294678131619[[#This Row],[113]]*Таблица2133990294678131619[[#This Row],[15]]</f>
        <v>22982400</v>
      </c>
      <c r="N58" s="43">
        <v>2500000</v>
      </c>
    </row>
    <row r="59" spans="1:14">
      <c r="A59" s="29">
        <v>6</v>
      </c>
      <c r="B59" s="39">
        <v>46216</v>
      </c>
      <c r="C59" s="33">
        <v>2300000</v>
      </c>
      <c r="D59" s="32" t="s">
        <v>214</v>
      </c>
      <c r="E59" s="33"/>
      <c r="F59" s="34">
        <f>Таблица2133990294678131619[[#This Row],[ ]]</f>
        <v>6</v>
      </c>
      <c r="G59" s="44">
        <v>46220</v>
      </c>
      <c r="H59" s="34" t="s">
        <v>65</v>
      </c>
      <c r="I59" s="41" t="s">
        <v>28</v>
      </c>
      <c r="J59" s="41">
        <v>32.832</v>
      </c>
      <c r="K59" s="43">
        <v>19</v>
      </c>
      <c r="L59" s="43">
        <v>700000</v>
      </c>
      <c r="M59" s="33">
        <f>Таблица2133990294678131619[[#This Row],[113]]*Таблица2133990294678131619[[#This Row],[15]]</f>
        <v>22982400</v>
      </c>
      <c r="N59" s="43">
        <v>2500000</v>
      </c>
    </row>
    <row r="60" spans="1:14">
      <c r="A60" s="29">
        <v>7</v>
      </c>
      <c r="B60" s="39">
        <v>46217</v>
      </c>
      <c r="C60" s="33">
        <v>2300000</v>
      </c>
      <c r="D60" s="32" t="s">
        <v>214</v>
      </c>
      <c r="E60" s="33"/>
      <c r="F60" s="34">
        <f>Таблица2133990294678131619[[#This Row],[ ]]</f>
        <v>7</v>
      </c>
      <c r="G60" s="44">
        <v>46224</v>
      </c>
      <c r="H60" s="34" t="s">
        <v>138</v>
      </c>
      <c r="I60" s="41" t="s">
        <v>28</v>
      </c>
      <c r="J60" s="41">
        <v>32.832</v>
      </c>
      <c r="K60" s="43">
        <v>19</v>
      </c>
      <c r="L60" s="43">
        <v>700000</v>
      </c>
      <c r="M60" s="33">
        <f>Таблица2133990294678131619[[#This Row],[113]]*Таблица2133990294678131619[[#This Row],[15]]</f>
        <v>22982400</v>
      </c>
      <c r="N60" s="43">
        <v>2500000</v>
      </c>
    </row>
    <row r="61" spans="1:14">
      <c r="A61" s="29">
        <v>8</v>
      </c>
      <c r="B61" s="39">
        <v>46219</v>
      </c>
      <c r="C61" s="33">
        <v>2500000</v>
      </c>
      <c r="D61" s="32" t="s">
        <v>214</v>
      </c>
      <c r="E61" s="33"/>
      <c r="F61" s="34">
        <f>Таблица2133990294678131619[[#This Row],[ ]]</f>
        <v>8</v>
      </c>
      <c r="G61" s="39">
        <v>46226</v>
      </c>
      <c r="H61" s="41" t="s">
        <v>138</v>
      </c>
      <c r="I61" s="41" t="s">
        <v>49</v>
      </c>
      <c r="J61" s="41">
        <v>32.832</v>
      </c>
      <c r="K61" s="43">
        <v>19</v>
      </c>
      <c r="L61" s="33">
        <v>700000</v>
      </c>
      <c r="M61" s="33">
        <f>Таблица2133990294678131619[[#This Row],[113]]*Таблица2133990294678131619[[#This Row],[15]]</f>
        <v>22982400</v>
      </c>
      <c r="N61" s="43">
        <v>2500000</v>
      </c>
    </row>
    <row r="62" spans="1:14">
      <c r="A62" s="29">
        <v>9</v>
      </c>
      <c r="B62" s="39">
        <v>46220</v>
      </c>
      <c r="C62" s="33">
        <v>2500000</v>
      </c>
      <c r="D62" s="32" t="s">
        <v>214</v>
      </c>
      <c r="E62" s="33"/>
      <c r="F62" s="34">
        <f>Таблица2133990294678131619[[#This Row],[ ]]</f>
        <v>9</v>
      </c>
      <c r="G62" s="39">
        <v>46230</v>
      </c>
      <c r="H62" s="41" t="s">
        <v>194</v>
      </c>
      <c r="I62" s="41" t="s">
        <v>49</v>
      </c>
      <c r="J62" s="41">
        <v>32.832</v>
      </c>
      <c r="K62" s="43">
        <v>19</v>
      </c>
      <c r="L62" s="33">
        <v>700000</v>
      </c>
      <c r="M62" s="33">
        <f>Таблица2133990294678131619[[#This Row],[113]]*Таблица2133990294678131619[[#This Row],[15]]</f>
        <v>22982400</v>
      </c>
      <c r="N62" s="43">
        <v>2500000</v>
      </c>
    </row>
    <row r="63" spans="1:14">
      <c r="A63" s="29">
        <v>10</v>
      </c>
      <c r="B63" s="44">
        <v>46223</v>
      </c>
      <c r="C63" s="33">
        <v>40965000</v>
      </c>
      <c r="D63" s="32" t="s">
        <v>259</v>
      </c>
      <c r="E63" s="33"/>
      <c r="F63" s="34">
        <f>Таблица2133990294678131619[[#This Row],[ ]]</f>
        <v>10</v>
      </c>
      <c r="G63" s="39"/>
      <c r="H63" s="41"/>
      <c r="I63" s="41"/>
      <c r="J63" s="41"/>
      <c r="K63" s="43"/>
      <c r="L63" s="33"/>
      <c r="M63" s="33">
        <f>Таблица2133990294678131619[[#This Row],[113]]*Таблица2133990294678131619[[#This Row],[15]]</f>
        <v>0</v>
      </c>
      <c r="N63" s="43"/>
    </row>
    <row r="64" spans="1:14">
      <c r="A64" s="29">
        <v>11</v>
      </c>
      <c r="B64" s="44">
        <v>46223</v>
      </c>
      <c r="C64" s="33">
        <v>2500000</v>
      </c>
      <c r="D64" s="32" t="s">
        <v>214</v>
      </c>
      <c r="E64" s="33"/>
      <c r="F64" s="34">
        <f>Таблица2133990294678131619[[#This Row],[ ]]</f>
        <v>11</v>
      </c>
      <c r="G64" s="39"/>
      <c r="H64" s="41"/>
      <c r="I64" s="41"/>
      <c r="J64" s="41"/>
      <c r="K64" s="43"/>
      <c r="L64" s="33"/>
      <c r="M64" s="33">
        <f>Таблица2133990294678131619[[#This Row],[113]]*Таблица2133990294678131619[[#This Row],[15]]</f>
        <v>0</v>
      </c>
      <c r="N64" s="43"/>
    </row>
    <row r="65" spans="1:14">
      <c r="A65" s="29">
        <v>12</v>
      </c>
      <c r="B65" s="44">
        <v>46226</v>
      </c>
      <c r="C65" s="33">
        <v>2500000</v>
      </c>
      <c r="D65" s="32" t="s">
        <v>214</v>
      </c>
      <c r="E65" s="33"/>
      <c r="F65" s="34">
        <f>Таблица2133990294678131619[[#This Row],[ ]]</f>
        <v>12</v>
      </c>
      <c r="G65" s="39"/>
      <c r="H65" s="41"/>
      <c r="I65" s="41"/>
      <c r="J65" s="41"/>
      <c r="K65" s="43"/>
      <c r="L65" s="33"/>
      <c r="M65" s="33">
        <f>Таблица2133990294678131619[[#This Row],[113]]*Таблица2133990294678131619[[#This Row],[15]]</f>
        <v>0</v>
      </c>
      <c r="N65" s="43"/>
    </row>
    <row r="66" spans="1:14">
      <c r="A66" s="29">
        <v>13</v>
      </c>
      <c r="B66" s="44">
        <v>46230</v>
      </c>
      <c r="C66" s="33">
        <v>40965000</v>
      </c>
      <c r="D66" s="32" t="s">
        <v>257</v>
      </c>
      <c r="E66" s="33"/>
      <c r="F66" s="34">
        <f>Таблица2133990294678131619[[#This Row],[ ]]</f>
        <v>13</v>
      </c>
      <c r="G66" s="39"/>
      <c r="H66" s="41"/>
      <c r="I66" s="41"/>
      <c r="J66" s="41"/>
      <c r="K66" s="43"/>
      <c r="L66" s="33"/>
      <c r="M66" s="33">
        <f>Таблица2133990294678131619[[#This Row],[113]]*Таблица2133990294678131619[[#This Row],[15]]</f>
        <v>0</v>
      </c>
      <c r="N66" s="43"/>
    </row>
    <row r="67" spans="1:14">
      <c r="A67" s="29">
        <v>14</v>
      </c>
      <c r="B67" s="44">
        <v>46230</v>
      </c>
      <c r="C67" s="33">
        <v>2500000</v>
      </c>
      <c r="D67" s="32" t="s">
        <v>214</v>
      </c>
      <c r="E67" s="33"/>
      <c r="F67" s="34">
        <f>Таблица2133990294678131619[[#This Row],[ ]]</f>
        <v>14</v>
      </c>
      <c r="G67" s="39"/>
      <c r="H67" s="41"/>
      <c r="I67" s="41"/>
      <c r="J67" s="41"/>
      <c r="K67" s="43"/>
      <c r="L67" s="33"/>
      <c r="M67" s="33">
        <f>Таблица2133990294678131619[[#This Row],[113]]*Таблица2133990294678131619[[#This Row],[15]]</f>
        <v>0</v>
      </c>
      <c r="N67" s="43"/>
    </row>
    <row r="68" spans="1:14">
      <c r="A68" s="29">
        <v>15</v>
      </c>
      <c r="B68" s="44"/>
      <c r="C68" s="33"/>
      <c r="D68" s="32"/>
      <c r="E68" s="33"/>
      <c r="F68" s="34">
        <f>Таблица2133990294678131619[[#This Row],[ ]]</f>
        <v>15</v>
      </c>
      <c r="G68" s="39"/>
      <c r="H68" s="41"/>
      <c r="I68" s="41"/>
      <c r="J68" s="41"/>
      <c r="K68" s="43"/>
      <c r="L68" s="33"/>
      <c r="M68" s="33">
        <f>Таблица2133990294678131619[[#This Row],[113]]*Таблица2133990294678131619[[#This Row],[15]]</f>
        <v>0</v>
      </c>
      <c r="N68" s="43"/>
    </row>
    <row r="69" spans="1:14">
      <c r="A69" s="29">
        <v>16</v>
      </c>
      <c r="B69" s="44"/>
      <c r="C69" s="33"/>
      <c r="D69" s="32"/>
      <c r="E69" s="33"/>
      <c r="F69" s="34">
        <f>Таблица2133990294678131619[[#This Row],[ ]]</f>
        <v>16</v>
      </c>
      <c r="G69" s="39"/>
      <c r="H69" s="41"/>
      <c r="I69" s="41"/>
      <c r="J69" s="41"/>
      <c r="K69" s="43"/>
      <c r="L69" s="33"/>
      <c r="M69" s="33">
        <f>Таблица2133990294678131619[[#This Row],[113]]*Таблица2133990294678131619[[#This Row],[15]]</f>
        <v>0</v>
      </c>
      <c r="N69" s="43"/>
    </row>
    <row r="70" spans="1:14">
      <c r="A70" s="45"/>
      <c r="B70" s="57"/>
      <c r="C70" s="33">
        <f>SUBTOTAL(109,Таблица2133990294678131619[2])</f>
        <v>227524800</v>
      </c>
      <c r="D70" s="33"/>
      <c r="E70" s="47"/>
      <c r="F70" s="46"/>
      <c r="G70" s="48"/>
      <c r="H70" s="49"/>
      <c r="I70" s="49"/>
      <c r="J70" s="49"/>
      <c r="K70" s="49">
        <f>SUBTOTAL(109,Таблица2133990294678131619[1132])</f>
        <v>171</v>
      </c>
      <c r="L70" s="51"/>
      <c r="M70" s="51">
        <f>SUBTOTAL(109,Таблица2133990294678131619[16])</f>
        <v>206841600</v>
      </c>
      <c r="N70" s="49"/>
    </row>
    <row r="72" ht="18.75" spans="1:14">
      <c r="A72" s="2"/>
      <c r="B72" s="3"/>
      <c r="C72" s="4" t="s">
        <v>211</v>
      </c>
      <c r="D72" s="70" t="s">
        <v>260</v>
      </c>
      <c r="E72" s="6"/>
      <c r="H72" s="1" t="s">
        <v>213</v>
      </c>
      <c r="I72" s="92">
        <f>SUMIFS(C:C,D:D,J72)</f>
        <v>90480000</v>
      </c>
      <c r="J72" s="32" t="s">
        <v>214</v>
      </c>
    </row>
    <row r="73" ht="20.25" spans="1:14">
      <c r="A73" s="7" t="s">
        <v>215</v>
      </c>
      <c r="B73" s="7"/>
      <c r="C73" s="8"/>
      <c r="D73" s="8"/>
      <c r="E73" s="8"/>
      <c r="F73" s="53">
        <f>Таблица213399029467813161721[[#Totals],[2]]+-Таблица213399029467813161721[[#Totals],[16]]</f>
        <v>40964400</v>
      </c>
      <c r="G73" s="54"/>
    </row>
    <row r="74" spans="1:14">
      <c r="A74" s="10" t="s">
        <v>216</v>
      </c>
      <c r="B74" s="10" t="s">
        <v>217</v>
      </c>
      <c r="C74" s="10" t="s">
        <v>218</v>
      </c>
      <c r="D74" s="10" t="s">
        <v>219</v>
      </c>
      <c r="E74" s="13" t="s">
        <v>220</v>
      </c>
      <c r="F74" s="14" t="s">
        <v>216</v>
      </c>
      <c r="G74" s="14" t="s">
        <v>217</v>
      </c>
      <c r="H74" s="14" t="s">
        <v>221</v>
      </c>
      <c r="I74" s="15" t="s">
        <v>6</v>
      </c>
      <c r="J74" s="16" t="s">
        <v>7</v>
      </c>
      <c r="K74" s="16" t="s">
        <v>222</v>
      </c>
      <c r="L74" s="14" t="s">
        <v>223</v>
      </c>
      <c r="M74" s="15" t="s">
        <v>218</v>
      </c>
    </row>
    <row r="75" spans="1:14">
      <c r="A75" s="10"/>
      <c r="B75" s="10"/>
      <c r="C75" s="17"/>
      <c r="D75" s="18"/>
      <c r="E75" s="19"/>
      <c r="F75" s="14"/>
      <c r="G75" s="14"/>
      <c r="H75" s="14"/>
      <c r="I75" s="20"/>
      <c r="J75" s="71"/>
      <c r="K75" s="21"/>
      <c r="L75" s="14"/>
      <c r="M75" s="25"/>
    </row>
    <row r="76" ht="15.75" spans="1:14">
      <c r="A76" s="10"/>
      <c r="B76" s="10"/>
      <c r="C76" s="55">
        <f>Таблица213399029467813161721[[#Totals],[2]]</f>
        <v>155876400</v>
      </c>
      <c r="D76" s="23"/>
      <c r="E76" s="24">
        <f>SUM(Таблица213399029467813161721[4])</f>
        <v>0</v>
      </c>
      <c r="F76" s="14"/>
      <c r="G76" s="14"/>
      <c r="H76" s="14"/>
      <c r="I76" s="25"/>
      <c r="J76" s="72">
        <f>SUM(Таблица213399029467813161721[113])</f>
        <v>164.16</v>
      </c>
      <c r="K76" s="26">
        <f>Таблица213399029467813161721[[#Totals],[1132]]</f>
        <v>95</v>
      </c>
      <c r="L76" s="14"/>
      <c r="M76" s="9">
        <f>Таблица213399029467813161721[[#Totals],[16]]</f>
        <v>114912000</v>
      </c>
    </row>
    <row r="77" spans="1:14">
      <c r="A77" s="27" t="s">
        <v>211</v>
      </c>
      <c r="B77" s="28" t="s">
        <v>224</v>
      </c>
      <c r="C77" s="28" t="s">
        <v>225</v>
      </c>
      <c r="D77" s="28" t="s">
        <v>226</v>
      </c>
      <c r="E77" s="28" t="s">
        <v>227</v>
      </c>
      <c r="F77" s="28" t="s">
        <v>228</v>
      </c>
      <c r="G77" s="28" t="s">
        <v>229</v>
      </c>
      <c r="H77" s="28" t="s">
        <v>230</v>
      </c>
      <c r="I77" s="28" t="s">
        <v>231</v>
      </c>
      <c r="J77" s="28" t="s">
        <v>232</v>
      </c>
      <c r="K77" s="28" t="s">
        <v>233</v>
      </c>
      <c r="L77" s="28" t="s">
        <v>234</v>
      </c>
      <c r="M77" s="28" t="s">
        <v>235</v>
      </c>
    </row>
    <row r="78" ht="15" spans="1:14">
      <c r="A78" s="29">
        <v>1</v>
      </c>
      <c r="B78" s="39">
        <v>46213</v>
      </c>
      <c r="C78" s="56">
        <v>20682000</v>
      </c>
      <c r="D78" s="32" t="s">
        <v>261</v>
      </c>
      <c r="E78" s="33"/>
      <c r="F78" s="34">
        <f>Таблица213399029467813161721[[#This Row],[ ]]</f>
        <v>1</v>
      </c>
      <c r="G78" s="32">
        <v>46213</v>
      </c>
      <c r="H78" s="35" t="s">
        <v>109</v>
      </c>
      <c r="I78" s="36" t="s">
        <v>28</v>
      </c>
      <c r="J78" s="37">
        <v>32.832</v>
      </c>
      <c r="K78" s="38">
        <v>19</v>
      </c>
      <c r="L78" s="34">
        <v>700000</v>
      </c>
      <c r="M78" s="33">
        <f>Таблица213399029467813161721[[#This Row],[113]]*Таблица213399029467813161721[[#This Row],[15]]</f>
        <v>22982400</v>
      </c>
    </row>
    <row r="79" spans="1:14">
      <c r="A79" s="29">
        <v>2</v>
      </c>
      <c r="B79" s="39">
        <v>46213</v>
      </c>
      <c r="C79" s="33">
        <v>2300000</v>
      </c>
      <c r="D79" s="32" t="s">
        <v>214</v>
      </c>
      <c r="E79" s="33"/>
      <c r="F79" s="34">
        <f>Таблица213399029467813161721[[#This Row],[ ]]</f>
        <v>2</v>
      </c>
      <c r="G79" s="39">
        <v>46218</v>
      </c>
      <c r="H79" s="41" t="s">
        <v>148</v>
      </c>
      <c r="I79" s="41" t="s">
        <v>28</v>
      </c>
      <c r="J79" s="41">
        <v>32.832</v>
      </c>
      <c r="K79" s="33">
        <v>19</v>
      </c>
      <c r="L79" s="43">
        <v>700000</v>
      </c>
      <c r="M79" s="33">
        <f>Таблица213399029467813161721[[#This Row],[113]]*Таблица213399029467813161721[[#This Row],[15]]</f>
        <v>22982400</v>
      </c>
    </row>
    <row r="80" spans="1:14">
      <c r="A80" s="29">
        <v>3</v>
      </c>
      <c r="B80" s="42">
        <v>46218</v>
      </c>
      <c r="C80" s="33">
        <v>61447200</v>
      </c>
      <c r="D80" s="32" t="s">
        <v>262</v>
      </c>
      <c r="E80" s="33"/>
      <c r="F80" s="34">
        <f>Таблица213399029467813161721[[#This Row],[ ]]</f>
        <v>3</v>
      </c>
      <c r="G80" s="39">
        <v>46221</v>
      </c>
      <c r="H80" s="41" t="s">
        <v>173</v>
      </c>
      <c r="I80" s="41" t="s">
        <v>28</v>
      </c>
      <c r="J80" s="41">
        <v>32.832</v>
      </c>
      <c r="K80" s="33">
        <v>19</v>
      </c>
      <c r="L80" s="43">
        <v>700000</v>
      </c>
      <c r="M80" s="33">
        <f>Таблица213399029467813161721[[#This Row],[113]]*Таблица213399029467813161721[[#This Row],[15]]</f>
        <v>22982400</v>
      </c>
    </row>
    <row r="81" spans="1:13">
      <c r="A81" s="29">
        <v>4</v>
      </c>
      <c r="B81" s="44">
        <v>46218</v>
      </c>
      <c r="C81" s="33">
        <v>2500000</v>
      </c>
      <c r="D81" s="32" t="s">
        <v>214</v>
      </c>
      <c r="E81" s="33"/>
      <c r="F81" s="34">
        <f>Таблица213399029467813161721[[#This Row],[ ]]</f>
        <v>4</v>
      </c>
      <c r="G81" s="39">
        <v>46229</v>
      </c>
      <c r="H81" s="41" t="s">
        <v>191</v>
      </c>
      <c r="I81" s="41" t="s">
        <v>28</v>
      </c>
      <c r="J81" s="41">
        <v>32.832</v>
      </c>
      <c r="K81" s="33">
        <v>19</v>
      </c>
      <c r="L81" s="43">
        <v>700000</v>
      </c>
      <c r="M81" s="33">
        <f>Таблица213399029467813161721[[#This Row],[113]]*Таблица213399029467813161721[[#This Row],[15]]</f>
        <v>22982400</v>
      </c>
    </row>
    <row r="82" spans="1:13">
      <c r="A82" s="29">
        <v>5</v>
      </c>
      <c r="B82" s="44">
        <v>46224</v>
      </c>
      <c r="C82" s="33">
        <v>61447200</v>
      </c>
      <c r="D82" s="32" t="s">
        <v>262</v>
      </c>
      <c r="E82" s="33"/>
      <c r="F82" s="34">
        <f>Таблица213399029467813161721[[#This Row],[ ]]</f>
        <v>5</v>
      </c>
      <c r="G82" s="39">
        <v>46231</v>
      </c>
      <c r="H82" s="41" t="s">
        <v>138</v>
      </c>
      <c r="I82" s="41" t="s">
        <v>28</v>
      </c>
      <c r="J82" s="41">
        <v>32.832</v>
      </c>
      <c r="K82" s="33">
        <v>19</v>
      </c>
      <c r="L82" s="43">
        <v>700000</v>
      </c>
      <c r="M82" s="33">
        <f>Таблица213399029467813161721[[#This Row],[113]]*Таблица213399029467813161721[[#This Row],[15]]</f>
        <v>22982400</v>
      </c>
    </row>
    <row r="83" spans="1:13">
      <c r="A83" s="29">
        <v>6</v>
      </c>
      <c r="B83" s="44">
        <v>46221</v>
      </c>
      <c r="C83" s="33">
        <v>2500000</v>
      </c>
      <c r="D83" s="32" t="s">
        <v>214</v>
      </c>
      <c r="E83" s="33"/>
      <c r="F83" s="34">
        <f>Таблица213399029467813161721[[#This Row],[ ]]</f>
        <v>6</v>
      </c>
      <c r="G83" s="39"/>
      <c r="H83" s="41"/>
      <c r="I83" s="41"/>
      <c r="J83" s="41"/>
      <c r="K83" s="33"/>
      <c r="L83" s="43"/>
      <c r="M83" s="33">
        <f>Таблица213399029467813161721[[#This Row],[113]]*Таблица213399029467813161721[[#This Row],[15]]</f>
        <v>0</v>
      </c>
    </row>
    <row r="84" spans="1:13">
      <c r="A84" s="29">
        <v>7</v>
      </c>
      <c r="B84" s="39">
        <v>46229</v>
      </c>
      <c r="C84" s="33">
        <v>2500000</v>
      </c>
      <c r="D84" s="32" t="s">
        <v>214</v>
      </c>
      <c r="E84" s="33"/>
      <c r="F84" s="34">
        <f>Таблица213399029467813161721[[#This Row],[ ]]</f>
        <v>7</v>
      </c>
      <c r="G84" s="39"/>
      <c r="H84" s="41"/>
      <c r="I84" s="41"/>
      <c r="J84" s="41"/>
      <c r="K84" s="43"/>
      <c r="L84" s="33"/>
      <c r="M84" s="33">
        <f>Таблица213399029467813161721[[#This Row],[113]]*Таблица213399029467813161721[[#This Row],[15]]</f>
        <v>0</v>
      </c>
    </row>
    <row r="85" spans="1:13">
      <c r="A85" s="29">
        <v>8</v>
      </c>
      <c r="B85" s="39">
        <v>46231</v>
      </c>
      <c r="C85" s="33">
        <v>2500000</v>
      </c>
      <c r="D85" s="32" t="s">
        <v>214</v>
      </c>
      <c r="E85" s="33"/>
      <c r="F85" s="34">
        <f>Таблица213399029467813161721[[#This Row],[ ]]</f>
        <v>8</v>
      </c>
      <c r="G85" s="39"/>
      <c r="H85" s="41"/>
      <c r="I85" s="41"/>
      <c r="J85" s="41"/>
      <c r="K85" s="43"/>
      <c r="L85" s="33"/>
      <c r="M85" s="33">
        <f>Таблица213399029467813161721[[#This Row],[113]]*Таблица213399029467813161721[[#This Row],[15]]</f>
        <v>0</v>
      </c>
    </row>
    <row r="86" spans="1:13">
      <c r="A86" s="29">
        <v>9</v>
      </c>
      <c r="B86" s="44"/>
      <c r="C86" s="33"/>
      <c r="D86" s="32"/>
      <c r="E86" s="33"/>
      <c r="F86" s="34">
        <f>Таблица213399029467813161721[[#This Row],[ ]]</f>
        <v>9</v>
      </c>
      <c r="G86" s="39"/>
      <c r="H86" s="41"/>
      <c r="I86" s="41"/>
      <c r="J86" s="41"/>
      <c r="K86" s="43"/>
      <c r="L86" s="33"/>
      <c r="M86" s="33">
        <f>Таблица213399029467813161721[[#This Row],[113]]*Таблица213399029467813161721[[#This Row],[15]]</f>
        <v>0</v>
      </c>
    </row>
    <row r="87" spans="1:13">
      <c r="A87" s="45"/>
      <c r="B87" s="57"/>
      <c r="C87" s="33">
        <f>SUBTOTAL(109,Таблица213399029467813161721[2])</f>
        <v>155876400</v>
      </c>
      <c r="D87" s="33"/>
      <c r="E87" s="47"/>
      <c r="F87" s="46"/>
      <c r="G87" s="48"/>
      <c r="H87" s="49"/>
      <c r="I87" s="49"/>
      <c r="J87" s="49"/>
      <c r="K87" s="49">
        <f>SUBTOTAL(109,Таблица213399029467813161721[1132])</f>
        <v>95</v>
      </c>
      <c r="L87" s="51"/>
      <c r="M87" s="51">
        <f>SUBTOTAL(109,Таблица213399029467813161721[16])</f>
        <v>114912000</v>
      </c>
    </row>
    <row r="89" ht="18.75" spans="1:13">
      <c r="A89" s="2"/>
      <c r="B89" s="3"/>
      <c r="C89" s="4" t="s">
        <v>211</v>
      </c>
      <c r="D89" s="70" t="s">
        <v>263</v>
      </c>
      <c r="E89" s="6"/>
      <c r="H89" s="1" t="s">
        <v>213</v>
      </c>
      <c r="I89" s="1">
        <f>SUMIFS(C:C,D:D,J89)</f>
        <v>90480000</v>
      </c>
      <c r="J89" s="32" t="s">
        <v>214</v>
      </c>
    </row>
    <row r="90" ht="20.25" spans="1:13">
      <c r="A90" s="7" t="s">
        <v>215</v>
      </c>
      <c r="B90" s="7"/>
      <c r="C90" s="8"/>
      <c r="D90" s="8"/>
      <c r="E90" s="8"/>
      <c r="F90" s="53">
        <f>Таблица213399029467813161721222324253031323334353637[[#Totals],[2]]+-Таблица213399029467813161721222324253031323334353637[[#Totals],[16]]</f>
        <v>0</v>
      </c>
      <c r="G90" s="54"/>
    </row>
    <row r="91" spans="1:13">
      <c r="A91" s="10" t="s">
        <v>216</v>
      </c>
      <c r="B91" s="10" t="s">
        <v>217</v>
      </c>
      <c r="C91" s="10" t="s">
        <v>218</v>
      </c>
      <c r="D91" s="10" t="s">
        <v>219</v>
      </c>
      <c r="E91" s="13" t="s">
        <v>220</v>
      </c>
      <c r="F91" s="14" t="s">
        <v>216</v>
      </c>
      <c r="G91" s="14" t="s">
        <v>217</v>
      </c>
      <c r="H91" s="14" t="s">
        <v>221</v>
      </c>
      <c r="I91" s="15" t="s">
        <v>6</v>
      </c>
      <c r="J91" s="16" t="s">
        <v>7</v>
      </c>
      <c r="K91" s="16" t="s">
        <v>222</v>
      </c>
      <c r="L91" s="14" t="s">
        <v>223</v>
      </c>
      <c r="M91" s="15" t="s">
        <v>218</v>
      </c>
    </row>
    <row r="92" spans="1:13">
      <c r="A92" s="10"/>
      <c r="B92" s="10"/>
      <c r="C92" s="17"/>
      <c r="D92" s="18"/>
      <c r="E92" s="19"/>
      <c r="F92" s="14"/>
      <c r="G92" s="14"/>
      <c r="H92" s="14"/>
      <c r="I92" s="20"/>
      <c r="J92" s="71"/>
      <c r="K92" s="21"/>
      <c r="L92" s="14"/>
      <c r="M92" s="25"/>
    </row>
    <row r="93" ht="15.75" spans="1:13">
      <c r="A93" s="10"/>
      <c r="B93" s="10"/>
      <c r="C93" s="55">
        <f>Таблица213399029467813161721222324253031323334353637[[#Totals],[2]]</f>
        <v>14515200</v>
      </c>
      <c r="D93" s="23"/>
      <c r="E93" s="24">
        <f>SUM(Таблица213399029467813161721222324253031323334353637[4])</f>
        <v>0</v>
      </c>
      <c r="F93" s="14"/>
      <c r="G93" s="14"/>
      <c r="H93" s="14"/>
      <c r="I93" s="25"/>
      <c r="J93" s="72">
        <f>SUM(Таблица213399029467813161721222324253031323334353637[113])</f>
        <v>20.736</v>
      </c>
      <c r="K93" s="26">
        <f>Таблица213399029467813161721222324253031323334353637[[#Totals],[1132]]</f>
        <v>12</v>
      </c>
      <c r="L93" s="14"/>
      <c r="M93" s="9">
        <f>Таблица213399029467813161721222324253031323334353637[[#Totals],[16]]</f>
        <v>14515200</v>
      </c>
    </row>
    <row r="94" spans="1:13">
      <c r="A94" s="27" t="s">
        <v>211</v>
      </c>
      <c r="B94" s="28" t="s">
        <v>224</v>
      </c>
      <c r="C94" s="28" t="s">
        <v>225</v>
      </c>
      <c r="D94" s="28" t="s">
        <v>226</v>
      </c>
      <c r="E94" s="28" t="s">
        <v>227</v>
      </c>
      <c r="F94" s="28" t="s">
        <v>228</v>
      </c>
      <c r="G94" s="28" t="s">
        <v>229</v>
      </c>
      <c r="H94" s="28" t="s">
        <v>230</v>
      </c>
      <c r="I94" s="28" t="s">
        <v>231</v>
      </c>
      <c r="J94" s="28" t="s">
        <v>232</v>
      </c>
      <c r="K94" s="28" t="s">
        <v>233</v>
      </c>
      <c r="L94" s="28" t="s">
        <v>234</v>
      </c>
      <c r="M94" s="28" t="s">
        <v>235</v>
      </c>
    </row>
    <row r="95" ht="15" spans="1:13">
      <c r="A95" s="29">
        <v>1</v>
      </c>
      <c r="B95" s="39">
        <v>46223</v>
      </c>
      <c r="C95" s="56">
        <v>12935000</v>
      </c>
      <c r="D95" s="32" t="s">
        <v>264</v>
      </c>
      <c r="E95" s="33"/>
      <c r="F95" s="34">
        <f>Таблица213399029467813161721222324253031323334353637[[#This Row],[ ]]</f>
        <v>1</v>
      </c>
      <c r="G95" s="32">
        <v>46223</v>
      </c>
      <c r="H95" s="35" t="s">
        <v>177</v>
      </c>
      <c r="I95" s="36" t="s">
        <v>28</v>
      </c>
      <c r="J95" s="37">
        <v>20.736</v>
      </c>
      <c r="K95" s="38">
        <v>12</v>
      </c>
      <c r="L95" s="34">
        <v>700000</v>
      </c>
      <c r="M95" s="33">
        <f>Таблица213399029467813161721222324253031323334353637[[#This Row],[113]]*Таблица213399029467813161721222324253031323334353637[[#This Row],[15]]</f>
        <v>14515200</v>
      </c>
    </row>
    <row r="96" spans="1:13">
      <c r="A96" s="29">
        <v>2</v>
      </c>
      <c r="B96" s="39">
        <v>46223</v>
      </c>
      <c r="C96" s="33">
        <v>1580000</v>
      </c>
      <c r="D96" s="32" t="s">
        <v>214</v>
      </c>
      <c r="E96" s="33"/>
      <c r="F96" s="34">
        <f>Таблица213399029467813161721222324253031323334353637[[#This Row],[ ]]</f>
        <v>2</v>
      </c>
      <c r="G96" s="39"/>
      <c r="H96" s="41"/>
      <c r="I96" s="41"/>
      <c r="J96" s="41"/>
      <c r="K96" s="33"/>
      <c r="L96" s="43"/>
      <c r="M96" s="33">
        <f>Таблица213399029467813161721222324253031323334353637[[#This Row],[113]]*Таблица213399029467813161721222324253031323334353637[[#This Row],[15]]</f>
        <v>0</v>
      </c>
    </row>
    <row r="97" spans="1:13">
      <c r="A97" s="29">
        <v>3</v>
      </c>
      <c r="B97" s="44">
        <v>46230</v>
      </c>
      <c r="C97" s="33">
        <v>200</v>
      </c>
      <c r="D97" s="32" t="s">
        <v>265</v>
      </c>
      <c r="E97" s="33"/>
      <c r="F97" s="34">
        <f>Таблица213399029467813161721222324253031323334353637[[#This Row],[ ]]</f>
        <v>3</v>
      </c>
      <c r="G97" s="39"/>
      <c r="H97" s="41"/>
      <c r="I97" s="41"/>
      <c r="J97" s="41"/>
      <c r="K97" s="33"/>
      <c r="L97" s="43"/>
      <c r="M97" s="33">
        <f>Таблица213399029467813161721222324253031323334353637[[#This Row],[113]]*Таблица213399029467813161721222324253031323334353637[[#This Row],[15]]</f>
        <v>0</v>
      </c>
    </row>
    <row r="98" spans="1:13">
      <c r="A98" s="29">
        <v>4</v>
      </c>
      <c r="B98" s="44"/>
      <c r="C98" s="33"/>
      <c r="D98" s="32"/>
      <c r="E98" s="33"/>
      <c r="F98" s="34">
        <f>Таблица213399029467813161721222324253031323334353637[[#This Row],[ ]]</f>
        <v>4</v>
      </c>
      <c r="G98" s="39"/>
      <c r="H98" s="41"/>
      <c r="I98" s="41"/>
      <c r="J98" s="41"/>
      <c r="K98" s="33"/>
      <c r="L98" s="43"/>
      <c r="M98" s="33">
        <f>Таблица213399029467813161721222324253031323334353637[[#This Row],[113]]*Таблица213399029467813161721222324253031323334353637[[#This Row],[15]]</f>
        <v>0</v>
      </c>
    </row>
    <row r="99" spans="1:13">
      <c r="A99" s="45"/>
      <c r="B99" s="57"/>
      <c r="C99" s="33">
        <f>SUBTOTAL(109,Таблица213399029467813161721222324253031323334353637[2])</f>
        <v>14515200</v>
      </c>
      <c r="D99" s="33"/>
      <c r="E99" s="47"/>
      <c r="F99" s="46"/>
      <c r="G99" s="48"/>
      <c r="H99" s="49"/>
      <c r="I99" s="49"/>
      <c r="J99" s="49"/>
      <c r="K99" s="49">
        <f>SUBTOTAL(109,Таблица213399029467813161721222324253031323334353637[1132])</f>
        <v>12</v>
      </c>
      <c r="L99" s="51"/>
      <c r="M99" s="51">
        <f>SUBTOTAL(109,Таблица213399029467813161721222324253031323334353637[16])</f>
        <v>14515200</v>
      </c>
    </row>
  </sheetData>
  <mergeCells count="70">
    <mergeCell ref="A2:B2"/>
    <mergeCell ref="C2:D2"/>
    <mergeCell ref="F2:G2"/>
    <mergeCell ref="A31:B31"/>
    <mergeCell ref="C31:D31"/>
    <mergeCell ref="F31:G31"/>
    <mergeCell ref="A49:B49"/>
    <mergeCell ref="C49:D49"/>
    <mergeCell ref="F49:G49"/>
    <mergeCell ref="A73:B73"/>
    <mergeCell ref="C73:D73"/>
    <mergeCell ref="F73:G73"/>
    <mergeCell ref="A90:B90"/>
    <mergeCell ref="C90:D90"/>
    <mergeCell ref="F90:G90"/>
    <mergeCell ref="A3:A5"/>
    <mergeCell ref="A32:A34"/>
    <mergeCell ref="A50:A52"/>
    <mergeCell ref="A74:A76"/>
    <mergeCell ref="A91:A93"/>
    <mergeCell ref="B3:B5"/>
    <mergeCell ref="B32:B34"/>
    <mergeCell ref="B50:B52"/>
    <mergeCell ref="B74:B76"/>
    <mergeCell ref="B91:B93"/>
    <mergeCell ref="E3:E4"/>
    <mergeCell ref="E32:E33"/>
    <mergeCell ref="E50:E51"/>
    <mergeCell ref="E74:E75"/>
    <mergeCell ref="E91:E92"/>
    <mergeCell ref="F3:F5"/>
    <mergeCell ref="F32:F34"/>
    <mergeCell ref="F50:F52"/>
    <mergeCell ref="F74:F76"/>
    <mergeCell ref="F91:F93"/>
    <mergeCell ref="G3:G5"/>
    <mergeCell ref="G32:G34"/>
    <mergeCell ref="G50:G52"/>
    <mergeCell ref="G74:G76"/>
    <mergeCell ref="G91:G93"/>
    <mergeCell ref="H3:H5"/>
    <mergeCell ref="H32:H34"/>
    <mergeCell ref="H50:H52"/>
    <mergeCell ref="H74:H76"/>
    <mergeCell ref="H91:H93"/>
    <mergeCell ref="I3:I5"/>
    <mergeCell ref="I32:I34"/>
    <mergeCell ref="I50:I52"/>
    <mergeCell ref="I74:I76"/>
    <mergeCell ref="I91:I93"/>
    <mergeCell ref="J3:J4"/>
    <mergeCell ref="J32:J33"/>
    <mergeCell ref="J50:J51"/>
    <mergeCell ref="J74:J75"/>
    <mergeCell ref="J91:J92"/>
    <mergeCell ref="K3:K4"/>
    <mergeCell ref="K32:K33"/>
    <mergeCell ref="K50:K51"/>
    <mergeCell ref="K74:K75"/>
    <mergeCell ref="K91:K92"/>
    <mergeCell ref="L3:L5"/>
    <mergeCell ref="L32:L34"/>
    <mergeCell ref="L50:L52"/>
    <mergeCell ref="L74:L76"/>
    <mergeCell ref="L91:L93"/>
    <mergeCell ref="M3:M4"/>
    <mergeCell ref="M32:M33"/>
    <mergeCell ref="M50:M51"/>
    <mergeCell ref="M74:M75"/>
    <mergeCell ref="M91:M92"/>
  </mergeCells>
  <hyperlinks>
    <hyperlink ref="D1" location="'Свод Завод'!D17" display="5-Жасур Версал"/>
    <hyperlink ref="D30" location="'Свод Завод'!D17" display="5-Мустафо машал"/>
    <hyperlink ref="D48" location="'Свод Завод'!D17" display="5-Одилбек Ера хоус"/>
    <hyperlink ref="D72" location="'Свод Завод'!A1" display="5-Журат ога хонка"/>
    <hyperlink ref="D89" location="'Свод Завод'!A1" display="5-Мактаб"/>
  </hyperlinks>
  <pageMargins left="0.7" right="0.7" top="0.75" bottom="0.75" header="0.3" footer="0.3"/>
  <headerFooter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9"/>
  <sheetViews>
    <sheetView workbookViewId="0">
      <selection activeCell="E78" sqref="B74:E78"/>
    </sheetView>
  </sheetViews>
  <sheetFormatPr defaultColWidth="9.08571428571429" defaultRowHeight="14.25"/>
  <cols>
    <col min="1" max="1" width="6.54285714285714" style="1" customWidth="1"/>
    <col min="2" max="2" width="12.0857142857143" style="1" customWidth="1"/>
    <col min="3" max="3" width="13.4571428571429" style="1" customWidth="1"/>
    <col min="4" max="4" width="37.3619047619048" style="1" customWidth="1"/>
    <col min="5" max="5" width="20.4571428571429" style="1" customWidth="1"/>
    <col min="6" max="6" width="7.62857142857143" style="1" customWidth="1"/>
    <col min="7" max="7" width="11.5428571428571" style="1" customWidth="1"/>
    <col min="8" max="8" width="13.0857142857143" style="1" customWidth="1"/>
    <col min="9" max="9" width="13.5428571428571" style="1" customWidth="1"/>
    <col min="10" max="10" width="10" style="1" customWidth="1"/>
    <col min="11" max="11" width="11.3619047619048" style="1" customWidth="1"/>
    <col min="12" max="12" width="8.90476190476191" style="1" customWidth="1"/>
    <col min="13" max="13" width="13.4571428571429" style="1" customWidth="1"/>
    <col min="14" max="14" width="9.62857142857143" style="1" customWidth="1"/>
    <col min="15" max="16" width="9.08571428571429" style="1"/>
    <col min="17" max="17" width="11.0857142857143" style="1" customWidth="1"/>
    <col min="18" max="16384" width="9.08571428571429" style="1"/>
  </cols>
  <sheetData>
    <row r="1" ht="18" customHeight="1" spans="1:13">
      <c r="A1" s="2"/>
      <c r="B1" s="3"/>
      <c r="C1" s="4" t="s">
        <v>211</v>
      </c>
      <c r="D1" s="70" t="s">
        <v>266</v>
      </c>
      <c r="E1" s="6"/>
      <c r="H1" s="1" t="s">
        <v>213</v>
      </c>
      <c r="I1" s="1">
        <f>SUMIFS(C:C,D:D,J1)</f>
        <v>30600000</v>
      </c>
      <c r="J1" s="32" t="s">
        <v>214</v>
      </c>
    </row>
    <row r="2" ht="20.25" spans="1:13">
      <c r="A2" s="7" t="s">
        <v>215</v>
      </c>
      <c r="B2" s="7"/>
      <c r="C2" s="8"/>
      <c r="D2" s="8"/>
      <c r="E2" s="8"/>
      <c r="F2" s="53">
        <f>Таблица2133990294678[[#Totals],[2]]+-Таблица2133990294678[[#Totals],[16]]</f>
        <v>-20882399.3792</v>
      </c>
      <c r="G2" s="54"/>
    </row>
    <row r="3" ht="15" customHeight="1" spans="1:13">
      <c r="A3" s="10" t="s">
        <v>216</v>
      </c>
      <c r="B3" s="10" t="s">
        <v>217</v>
      </c>
      <c r="C3" s="10" t="s">
        <v>218</v>
      </c>
      <c r="D3" s="10" t="s">
        <v>219</v>
      </c>
      <c r="E3" s="13" t="s">
        <v>220</v>
      </c>
      <c r="F3" s="14" t="s">
        <v>216</v>
      </c>
      <c r="G3" s="14" t="s">
        <v>217</v>
      </c>
      <c r="H3" s="14" t="s">
        <v>221</v>
      </c>
      <c r="I3" s="15" t="s">
        <v>6</v>
      </c>
      <c r="J3" s="16" t="s">
        <v>7</v>
      </c>
      <c r="K3" s="16" t="s">
        <v>222</v>
      </c>
      <c r="L3" s="14" t="s">
        <v>223</v>
      </c>
      <c r="M3" s="15" t="s">
        <v>218</v>
      </c>
    </row>
    <row r="4" spans="1:13">
      <c r="A4" s="10"/>
      <c r="B4" s="10"/>
      <c r="C4" s="17"/>
      <c r="D4" s="18"/>
      <c r="E4" s="19"/>
      <c r="F4" s="14"/>
      <c r="G4" s="14"/>
      <c r="H4" s="14"/>
      <c r="I4" s="20"/>
      <c r="J4" s="71"/>
      <c r="K4" s="21"/>
      <c r="L4" s="14"/>
      <c r="M4" s="25"/>
    </row>
    <row r="5" ht="15.75" spans="1:13">
      <c r="A5" s="10"/>
      <c r="B5" s="10"/>
      <c r="C5" s="55">
        <f>Таблица2133990294678[[#Totals],[2]]</f>
        <v>194199400</v>
      </c>
      <c r="D5" s="23"/>
      <c r="E5" s="24">
        <f>SUM(Таблица2133990294678[4])</f>
        <v>0</v>
      </c>
      <c r="F5" s="14"/>
      <c r="G5" s="14"/>
      <c r="H5" s="14"/>
      <c r="I5" s="25"/>
      <c r="J5" s="72">
        <f>SUM(Таблица2133990294678[113])</f>
        <v>305.856</v>
      </c>
      <c r="K5" s="26">
        <f>Таблица2133990294678[[#Totals],[1132]]</f>
        <v>177</v>
      </c>
      <c r="L5" s="14"/>
      <c r="M5" s="9">
        <f>Таблица2133990294678[[#Totals],[16]]</f>
        <v>215081799.3792</v>
      </c>
    </row>
    <row r="6" spans="1:13">
      <c r="A6" s="27" t="s">
        <v>211</v>
      </c>
      <c r="B6" s="28" t="s">
        <v>224</v>
      </c>
      <c r="C6" s="28" t="s">
        <v>225</v>
      </c>
      <c r="D6" s="28" t="s">
        <v>226</v>
      </c>
      <c r="E6" s="28" t="s">
        <v>227</v>
      </c>
      <c r="F6" s="28" t="s">
        <v>228</v>
      </c>
      <c r="G6" s="28" t="s">
        <v>229</v>
      </c>
      <c r="H6" s="28" t="s">
        <v>230</v>
      </c>
      <c r="I6" s="28" t="s">
        <v>231</v>
      </c>
      <c r="J6" s="28" t="s">
        <v>232</v>
      </c>
      <c r="K6" s="28" t="s">
        <v>233</v>
      </c>
      <c r="L6" s="28" t="s">
        <v>234</v>
      </c>
      <c r="M6" s="28" t="s">
        <v>235</v>
      </c>
    </row>
    <row r="7" ht="15" spans="1:13">
      <c r="A7" s="29">
        <v>1</v>
      </c>
      <c r="B7" s="39">
        <v>46202</v>
      </c>
      <c r="C7" s="56">
        <v>23965000</v>
      </c>
      <c r="D7" s="32" t="s">
        <v>267</v>
      </c>
      <c r="E7" s="33"/>
      <c r="F7" s="34">
        <f>Таблица2133990294678[[#This Row],[ ]]</f>
        <v>1</v>
      </c>
      <c r="G7" s="32">
        <v>46200</v>
      </c>
      <c r="H7" s="35" t="s">
        <v>34</v>
      </c>
      <c r="I7" s="36" t="s">
        <v>28</v>
      </c>
      <c r="J7" s="37">
        <v>32.832</v>
      </c>
      <c r="K7" s="38">
        <v>19</v>
      </c>
      <c r="L7" s="34">
        <v>729928.1</v>
      </c>
      <c r="M7" s="33">
        <f>Таблица2133990294678[[#This Row],[113]]*Таблица2133990294678[[#This Row],[15]]</f>
        <v>23964999.3792</v>
      </c>
    </row>
    <row r="8" spans="1:13">
      <c r="A8" s="29">
        <v>2</v>
      </c>
      <c r="B8" s="44">
        <v>46206</v>
      </c>
      <c r="C8" s="33">
        <v>41964800</v>
      </c>
      <c r="D8" s="32" t="s">
        <v>267</v>
      </c>
      <c r="E8" s="33"/>
      <c r="F8" s="34">
        <f>Таблица2133990294678[[#This Row],[ ]]</f>
        <v>2</v>
      </c>
      <c r="G8" s="39">
        <v>46206</v>
      </c>
      <c r="H8" s="41" t="s">
        <v>68</v>
      </c>
      <c r="I8" s="41" t="s">
        <v>28</v>
      </c>
      <c r="J8" s="41">
        <v>32.832</v>
      </c>
      <c r="K8" s="33">
        <v>19</v>
      </c>
      <c r="L8" s="43">
        <v>700000</v>
      </c>
      <c r="M8" s="33">
        <f>Таблица2133990294678[[#This Row],[113]]*Таблица2133990294678[[#This Row],[15]]</f>
        <v>22982400</v>
      </c>
    </row>
    <row r="9" spans="1:13">
      <c r="A9" s="29">
        <v>3</v>
      </c>
      <c r="B9" s="44">
        <v>46216</v>
      </c>
      <c r="C9" s="33">
        <v>41564800</v>
      </c>
      <c r="D9" s="32" t="s">
        <v>267</v>
      </c>
      <c r="E9" s="33"/>
      <c r="F9" s="34">
        <f>Таблица2133990294678[[#This Row],[ ]]</f>
        <v>3</v>
      </c>
      <c r="G9" s="39">
        <v>46206</v>
      </c>
      <c r="H9" s="41" t="s">
        <v>75</v>
      </c>
      <c r="I9" s="41" t="s">
        <v>28</v>
      </c>
      <c r="J9" s="41">
        <v>32.832</v>
      </c>
      <c r="K9" s="33">
        <v>19</v>
      </c>
      <c r="L9" s="43">
        <v>700000</v>
      </c>
      <c r="M9" s="33">
        <f>Таблица2133990294678[[#This Row],[113]]*Таблица2133990294678[[#This Row],[15]]</f>
        <v>22982400</v>
      </c>
    </row>
    <row r="10" spans="1:13">
      <c r="A10" s="29">
        <v>4</v>
      </c>
      <c r="B10" s="44">
        <v>46206</v>
      </c>
      <c r="C10" s="33">
        <v>4000000</v>
      </c>
      <c r="D10" s="32" t="s">
        <v>214</v>
      </c>
      <c r="E10" s="33"/>
      <c r="F10" s="34">
        <f>Таблица2133990294678[[#This Row],[ ]]</f>
        <v>4</v>
      </c>
      <c r="G10" s="39">
        <v>46214</v>
      </c>
      <c r="H10" s="41" t="s">
        <v>74</v>
      </c>
      <c r="I10" s="41" t="s">
        <v>28</v>
      </c>
      <c r="J10" s="41">
        <v>32.832</v>
      </c>
      <c r="K10" s="43">
        <v>19</v>
      </c>
      <c r="L10" s="33">
        <v>700000</v>
      </c>
      <c r="M10" s="33">
        <f>Таблица2133990294678[[#This Row],[113]]*Таблица2133990294678[[#This Row],[15]]</f>
        <v>22982400</v>
      </c>
    </row>
    <row r="11" spans="1:13">
      <c r="A11" s="29">
        <v>5</v>
      </c>
      <c r="B11" s="44">
        <v>46214</v>
      </c>
      <c r="C11" s="33">
        <v>4000000</v>
      </c>
      <c r="D11" s="32" t="s">
        <v>214</v>
      </c>
      <c r="E11" s="33"/>
      <c r="F11" s="34">
        <f>Таблица2133990294678[[#This Row],[ ]]</f>
        <v>5</v>
      </c>
      <c r="G11" s="39">
        <v>46214</v>
      </c>
      <c r="H11" s="41" t="s">
        <v>119</v>
      </c>
      <c r="I11" s="41" t="s">
        <v>28</v>
      </c>
      <c r="J11" s="41">
        <v>32.832</v>
      </c>
      <c r="K11" s="43">
        <v>19</v>
      </c>
      <c r="L11" s="33">
        <v>700000</v>
      </c>
      <c r="M11" s="33">
        <f>Таблица2133990294678[[#This Row],[113]]*Таблица2133990294678[[#This Row],[15]]</f>
        <v>22982400</v>
      </c>
    </row>
    <row r="12" spans="1:13">
      <c r="A12" s="29">
        <v>6</v>
      </c>
      <c r="B12" s="44">
        <v>46221</v>
      </c>
      <c r="C12" s="33">
        <v>7500000</v>
      </c>
      <c r="D12" s="32" t="s">
        <v>214</v>
      </c>
      <c r="E12" s="33"/>
      <c r="F12" s="34">
        <f>Таблица2133990294678[[#This Row],[ ]]</f>
        <v>6</v>
      </c>
      <c r="G12" s="39">
        <v>46221</v>
      </c>
      <c r="H12" s="41" t="s">
        <v>138</v>
      </c>
      <c r="I12" s="41" t="s">
        <v>28</v>
      </c>
      <c r="J12" s="41">
        <v>32.832</v>
      </c>
      <c r="K12" s="33">
        <v>19</v>
      </c>
      <c r="L12" s="43">
        <v>700000</v>
      </c>
      <c r="M12" s="33">
        <f>Таблица2133990294678[[#This Row],[113]]*Таблица2133990294678[[#This Row],[15]]</f>
        <v>22982400</v>
      </c>
    </row>
    <row r="13" spans="1:13">
      <c r="A13" s="29">
        <v>7</v>
      </c>
      <c r="B13" s="44">
        <v>46225</v>
      </c>
      <c r="C13" s="33">
        <v>40000000</v>
      </c>
      <c r="D13" s="32" t="s">
        <v>268</v>
      </c>
      <c r="E13" s="33"/>
      <c r="F13" s="34">
        <f>Таблица2133990294678[[#This Row],[ ]]</f>
        <v>7</v>
      </c>
      <c r="G13" s="39">
        <v>46221</v>
      </c>
      <c r="H13" s="41" t="s">
        <v>171</v>
      </c>
      <c r="I13" s="41" t="s">
        <v>49</v>
      </c>
      <c r="J13" s="41">
        <v>32.832</v>
      </c>
      <c r="K13" s="43">
        <v>19</v>
      </c>
      <c r="L13" s="33">
        <v>700000</v>
      </c>
      <c r="M13" s="33">
        <f>Таблица2133990294678[[#This Row],[113]]*Таблица2133990294678[[#This Row],[15]]</f>
        <v>22982400</v>
      </c>
    </row>
    <row r="14" spans="1:13">
      <c r="A14" s="29">
        <v>8</v>
      </c>
      <c r="B14" s="44"/>
      <c r="C14" s="33"/>
      <c r="D14" s="32" t="s">
        <v>267</v>
      </c>
      <c r="E14" s="33"/>
      <c r="F14" s="34">
        <f>Таблица2133990294678[[#This Row],[ ]]</f>
        <v>8</v>
      </c>
      <c r="G14" s="39">
        <v>46221</v>
      </c>
      <c r="H14" s="41" t="s">
        <v>172</v>
      </c>
      <c r="I14" s="41" t="s">
        <v>28</v>
      </c>
      <c r="J14" s="41">
        <v>32.832</v>
      </c>
      <c r="K14" s="43">
        <v>19</v>
      </c>
      <c r="L14" s="33">
        <v>700000</v>
      </c>
      <c r="M14" s="33">
        <f>Таблица2133990294678[[#This Row],[113]]*Таблица2133990294678[[#This Row],[15]]</f>
        <v>22982400</v>
      </c>
    </row>
    <row r="15" spans="1:13">
      <c r="A15" s="29">
        <v>9</v>
      </c>
      <c r="B15" s="44">
        <v>46227</v>
      </c>
      <c r="C15" s="33">
        <v>28704800</v>
      </c>
      <c r="D15" s="32" t="s">
        <v>267</v>
      </c>
      <c r="E15" s="33"/>
      <c r="F15" s="34">
        <f>Таблица2133990294678[[#This Row],[ ]]</f>
        <v>9</v>
      </c>
      <c r="G15" s="39">
        <v>46223</v>
      </c>
      <c r="H15" s="41" t="s">
        <v>133</v>
      </c>
      <c r="I15" s="41" t="s">
        <v>28</v>
      </c>
      <c r="J15" s="41">
        <v>10.368</v>
      </c>
      <c r="K15" s="43">
        <v>6</v>
      </c>
      <c r="L15" s="33">
        <v>700000</v>
      </c>
      <c r="M15" s="33">
        <f>Таблица2133990294678[[#This Row],[113]]*Таблица2133990294678[[#This Row],[15]]</f>
        <v>7257600</v>
      </c>
    </row>
    <row r="16" spans="1:13">
      <c r="A16" s="29">
        <v>10</v>
      </c>
      <c r="B16" s="39">
        <v>46228</v>
      </c>
      <c r="C16" s="33">
        <v>2500000</v>
      </c>
      <c r="D16" s="32" t="s">
        <v>214</v>
      </c>
      <c r="E16" s="33"/>
      <c r="F16" s="34">
        <f>Таблица2133990294678[[#This Row],[ ]]</f>
        <v>10</v>
      </c>
      <c r="G16" s="39">
        <v>46228</v>
      </c>
      <c r="H16" s="41" t="s">
        <v>188</v>
      </c>
      <c r="I16" s="41" t="s">
        <v>49</v>
      </c>
      <c r="J16" s="41">
        <v>32.832</v>
      </c>
      <c r="K16" s="43">
        <v>19</v>
      </c>
      <c r="L16" s="33">
        <v>700000</v>
      </c>
      <c r="M16" s="33">
        <f>Таблица2133990294678[[#This Row],[113]]*Таблица2133990294678[[#This Row],[15]]</f>
        <v>22982400</v>
      </c>
    </row>
    <row r="17" spans="1:13">
      <c r="A17" s="29">
        <v>11</v>
      </c>
      <c r="B17" s="44"/>
      <c r="C17" s="33"/>
      <c r="D17" s="32"/>
      <c r="E17" s="33"/>
      <c r="F17" s="34">
        <f>Таблица2133990294678[[#This Row],[ ]]</f>
        <v>11</v>
      </c>
      <c r="G17" s="39"/>
      <c r="H17" s="41"/>
      <c r="I17" s="41"/>
      <c r="J17" s="41"/>
      <c r="K17" s="43"/>
      <c r="L17" s="33"/>
      <c r="M17" s="33">
        <f>Таблица2133990294678[[#This Row],[113]]*Таблица2133990294678[[#This Row],[15]]</f>
        <v>0</v>
      </c>
    </row>
    <row r="18" spans="1:13">
      <c r="A18" s="45"/>
      <c r="B18" s="57"/>
      <c r="C18" s="33">
        <f>SUBTOTAL(109,Таблица2133990294678[2])</f>
        <v>194199400</v>
      </c>
      <c r="D18" s="33"/>
      <c r="E18" s="47"/>
      <c r="F18" s="46"/>
      <c r="G18" s="48"/>
      <c r="H18" s="49"/>
      <c r="I18" s="49"/>
      <c r="J18" s="49"/>
      <c r="K18" s="49">
        <f>SUBTOTAL(109,Таблица2133990294678[1132])</f>
        <v>177</v>
      </c>
      <c r="L18" s="51"/>
      <c r="M18" s="51">
        <f>SUBTOTAL(109,Таблица2133990294678[16])</f>
        <v>215081799.3792</v>
      </c>
    </row>
    <row r="20" ht="18.75" spans="1:13">
      <c r="A20" s="2"/>
      <c r="B20" s="3"/>
      <c r="C20" s="4" t="s">
        <v>211</v>
      </c>
      <c r="D20" s="70" t="s">
        <v>269</v>
      </c>
      <c r="E20" s="6"/>
      <c r="H20" s="1" t="s">
        <v>213</v>
      </c>
      <c r="I20" s="1">
        <f>SUMIFS(C:C,D:D,J20)</f>
        <v>30600000</v>
      </c>
      <c r="J20" s="32" t="s">
        <v>214</v>
      </c>
    </row>
    <row r="21" ht="20.25" spans="1:13">
      <c r="A21" s="7" t="s">
        <v>215</v>
      </c>
      <c r="B21" s="7"/>
      <c r="C21" s="8"/>
      <c r="D21" s="8"/>
      <c r="E21" s="8"/>
      <c r="F21" s="53">
        <f>Таблица213399029467[[#Totals],[2]]+-Таблица213399029467[[#Totals],[16]]</f>
        <v>0</v>
      </c>
      <c r="G21" s="54"/>
    </row>
    <row r="22" spans="1:13">
      <c r="A22" s="10" t="s">
        <v>216</v>
      </c>
      <c r="B22" s="10" t="s">
        <v>217</v>
      </c>
      <c r="C22" s="10" t="s">
        <v>218</v>
      </c>
      <c r="D22" s="10" t="s">
        <v>219</v>
      </c>
      <c r="E22" s="13" t="s">
        <v>220</v>
      </c>
      <c r="F22" s="14" t="s">
        <v>216</v>
      </c>
      <c r="G22" s="14" t="s">
        <v>217</v>
      </c>
      <c r="H22" s="14" t="s">
        <v>221</v>
      </c>
      <c r="I22" s="15" t="s">
        <v>6</v>
      </c>
      <c r="J22" s="16" t="s">
        <v>7</v>
      </c>
      <c r="K22" s="16" t="s">
        <v>222</v>
      </c>
      <c r="L22" s="14" t="s">
        <v>223</v>
      </c>
      <c r="M22" s="15" t="s">
        <v>218</v>
      </c>
    </row>
    <row r="23" spans="1:13">
      <c r="A23" s="10"/>
      <c r="B23" s="10"/>
      <c r="C23" s="17"/>
      <c r="D23" s="18"/>
      <c r="E23" s="19"/>
      <c r="F23" s="14"/>
      <c r="G23" s="14"/>
      <c r="H23" s="14"/>
      <c r="I23" s="20"/>
      <c r="J23" s="20"/>
      <c r="K23" s="21"/>
      <c r="L23" s="14"/>
      <c r="M23" s="25"/>
    </row>
    <row r="24" ht="15.75" spans="1:13">
      <c r="A24" s="10"/>
      <c r="B24" s="10"/>
      <c r="C24" s="55">
        <f>Таблица213399029467[[#Totals],[2]]</f>
        <v>49904640</v>
      </c>
      <c r="D24" s="23"/>
      <c r="E24" s="24">
        <f>SUM(Таблица213399029467[4])</f>
        <v>0</v>
      </c>
      <c r="F24" s="14"/>
      <c r="G24" s="14"/>
      <c r="H24" s="14"/>
      <c r="I24" s="25"/>
      <c r="J24" s="25"/>
      <c r="K24" s="26">
        <f>Таблица213399029467[[#Totals],[1132]]</f>
        <v>38</v>
      </c>
      <c r="L24" s="14"/>
      <c r="M24" s="9">
        <f>Таблица213399029467[[#Totals],[16]]</f>
        <v>49904640</v>
      </c>
    </row>
    <row r="25" spans="1:13">
      <c r="A25" s="27" t="s">
        <v>211</v>
      </c>
      <c r="B25" s="28" t="s">
        <v>224</v>
      </c>
      <c r="C25" s="28" t="s">
        <v>225</v>
      </c>
      <c r="D25" s="28" t="s">
        <v>226</v>
      </c>
      <c r="E25" s="28" t="s">
        <v>227</v>
      </c>
      <c r="F25" s="28" t="s">
        <v>228</v>
      </c>
      <c r="G25" s="28" t="s">
        <v>229</v>
      </c>
      <c r="H25" s="28" t="s">
        <v>230</v>
      </c>
      <c r="I25" s="28" t="s">
        <v>231</v>
      </c>
      <c r="J25" s="28" t="s">
        <v>232</v>
      </c>
      <c r="K25" s="28" t="s">
        <v>233</v>
      </c>
      <c r="L25" s="28" t="s">
        <v>234</v>
      </c>
      <c r="M25" s="28" t="s">
        <v>235</v>
      </c>
    </row>
    <row r="26" ht="15" spans="1:13">
      <c r="A26" s="29">
        <v>1</v>
      </c>
      <c r="B26" s="39">
        <v>46206</v>
      </c>
      <c r="C26" s="56">
        <v>49904640</v>
      </c>
      <c r="D26" s="32" t="s">
        <v>270</v>
      </c>
      <c r="E26" s="33"/>
      <c r="F26" s="34">
        <f>Таблица213399029467[[#This Row],[ ]]</f>
        <v>1</v>
      </c>
      <c r="G26" s="32">
        <v>46200</v>
      </c>
      <c r="H26" s="35" t="s">
        <v>55</v>
      </c>
      <c r="I26" s="36" t="s">
        <v>28</v>
      </c>
      <c r="J26" s="37">
        <v>32.832</v>
      </c>
      <c r="K26" s="38">
        <v>19</v>
      </c>
      <c r="L26" s="33">
        <v>760000</v>
      </c>
      <c r="M26" s="33">
        <f>Таблица213399029467[[#This Row],[113]]*Таблица213399029467[[#This Row],[15]]</f>
        <v>24952320</v>
      </c>
    </row>
    <row r="27" spans="1:13">
      <c r="A27" s="29">
        <f>A26+1</f>
        <v>2</v>
      </c>
      <c r="B27" s="44"/>
      <c r="C27" s="33"/>
      <c r="D27" s="32"/>
      <c r="E27" s="33"/>
      <c r="F27" s="34">
        <f>Таблица213399029467[[#This Row],[ ]]</f>
        <v>2</v>
      </c>
      <c r="G27" s="39">
        <v>46201</v>
      </c>
      <c r="H27" s="41" t="s">
        <v>57</v>
      </c>
      <c r="I27" s="41" t="s">
        <v>28</v>
      </c>
      <c r="J27" s="41">
        <v>32.832</v>
      </c>
      <c r="K27" s="33">
        <v>19</v>
      </c>
      <c r="L27" s="33">
        <v>760000</v>
      </c>
      <c r="M27" s="33">
        <f>Таблица213399029467[[#This Row],[113]]*Таблица213399029467[[#This Row],[15]]</f>
        <v>24952320</v>
      </c>
    </row>
    <row r="28" spans="1:13">
      <c r="A28" s="29">
        <f t="shared" ref="A28" si="0">A27+1</f>
        <v>3</v>
      </c>
      <c r="B28" s="44"/>
      <c r="C28" s="33"/>
      <c r="D28" s="32"/>
      <c r="E28" s="33"/>
      <c r="F28" s="34">
        <f>Таблица213399029467[[#This Row],[ ]]</f>
        <v>3</v>
      </c>
      <c r="G28" s="39"/>
      <c r="H28" s="41"/>
      <c r="I28" s="41"/>
      <c r="J28" s="41"/>
      <c r="K28" s="33"/>
      <c r="L28" s="33"/>
      <c r="M28" s="33">
        <f>Таблица213399029467[[#This Row],[113]]*Таблица213399029467[[#This Row],[15]]</f>
        <v>0</v>
      </c>
    </row>
    <row r="29" spans="1:13">
      <c r="A29" s="45"/>
      <c r="B29" s="46"/>
      <c r="C29" s="50">
        <f>SUBTOTAL(109,Таблица213399029467[2])</f>
        <v>49904640</v>
      </c>
      <c r="D29" s="50"/>
      <c r="E29" s="47"/>
      <c r="F29" s="46"/>
      <c r="G29" s="48"/>
      <c r="H29" s="49"/>
      <c r="I29" s="49"/>
      <c r="J29" s="49"/>
      <c r="K29" s="49">
        <f>SUBTOTAL(109,Таблица213399029467[1132])</f>
        <v>38</v>
      </c>
      <c r="L29" s="51"/>
      <c r="M29" s="51">
        <f>SUBTOTAL(109,Таблица213399029467[16])</f>
        <v>49904640</v>
      </c>
    </row>
    <row r="31" ht="18.75" spans="1:13">
      <c r="A31" s="2"/>
      <c r="B31" s="3"/>
      <c r="C31" s="4" t="s">
        <v>211</v>
      </c>
      <c r="D31" s="70" t="s">
        <v>271</v>
      </c>
      <c r="E31" s="6"/>
      <c r="H31" s="1" t="s">
        <v>213</v>
      </c>
      <c r="I31" s="1">
        <f>SUMIFS(C:C,D:D,J31)</f>
        <v>30600000</v>
      </c>
      <c r="J31" s="32" t="s">
        <v>214</v>
      </c>
    </row>
    <row r="32" ht="20.25" spans="1:13">
      <c r="A32" s="7" t="s">
        <v>215</v>
      </c>
      <c r="B32" s="7"/>
      <c r="C32" s="8"/>
      <c r="D32" s="8"/>
      <c r="E32" s="8"/>
      <c r="F32" s="53">
        <f>Таблица213399029467826[[#Totals],[2]]+-Таблица213399029467826[[#Totals],[16]]</f>
        <v>3200</v>
      </c>
      <c r="G32" s="54"/>
    </row>
    <row r="33" spans="1:13">
      <c r="A33" s="10" t="s">
        <v>216</v>
      </c>
      <c r="B33" s="10" t="s">
        <v>217</v>
      </c>
      <c r="C33" s="10" t="s">
        <v>218</v>
      </c>
      <c r="D33" s="10" t="s">
        <v>219</v>
      </c>
      <c r="E33" s="13" t="s">
        <v>220</v>
      </c>
      <c r="F33" s="14" t="s">
        <v>216</v>
      </c>
      <c r="G33" s="14" t="s">
        <v>217</v>
      </c>
      <c r="H33" s="14" t="s">
        <v>221</v>
      </c>
      <c r="I33" s="15" t="s">
        <v>6</v>
      </c>
      <c r="J33" s="16" t="s">
        <v>7</v>
      </c>
      <c r="K33" s="16" t="s">
        <v>222</v>
      </c>
      <c r="L33" s="14" t="s">
        <v>223</v>
      </c>
      <c r="M33" s="15" t="s">
        <v>218</v>
      </c>
    </row>
    <row r="34" spans="1:13">
      <c r="A34" s="10"/>
      <c r="B34" s="10"/>
      <c r="C34" s="17"/>
      <c r="D34" s="18"/>
      <c r="E34" s="19"/>
      <c r="F34" s="14"/>
      <c r="G34" s="14"/>
      <c r="H34" s="14"/>
      <c r="I34" s="20"/>
      <c r="J34" s="71"/>
      <c r="K34" s="21"/>
      <c r="L34" s="14"/>
      <c r="M34" s="25"/>
    </row>
    <row r="35" ht="15.75" spans="1:13">
      <c r="A35" s="10"/>
      <c r="B35" s="10"/>
      <c r="C35" s="55">
        <f>Таблица213399029467826[[#Totals],[2]]</f>
        <v>45968000</v>
      </c>
      <c r="D35" s="23"/>
      <c r="E35" s="24">
        <f>SUM(Таблица213399029467826[4])</f>
        <v>0</v>
      </c>
      <c r="F35" s="14"/>
      <c r="G35" s="14"/>
      <c r="H35" s="14"/>
      <c r="I35" s="25"/>
      <c r="J35" s="72">
        <f>SUM(Таблица213399029467826[113])</f>
        <v>65.664</v>
      </c>
      <c r="K35" s="26">
        <f>Таблица213399029467826[[#Totals],[1132]]</f>
        <v>38</v>
      </c>
      <c r="L35" s="14"/>
      <c r="M35" s="9">
        <f>Таблица213399029467826[[#Totals],[16]]</f>
        <v>45964800</v>
      </c>
    </row>
    <row r="36" spans="1:13">
      <c r="A36" s="27" t="s">
        <v>211</v>
      </c>
      <c r="B36" s="28" t="s">
        <v>224</v>
      </c>
      <c r="C36" s="28" t="s">
        <v>225</v>
      </c>
      <c r="D36" s="28" t="s">
        <v>226</v>
      </c>
      <c r="E36" s="28" t="s">
        <v>227</v>
      </c>
      <c r="F36" s="28" t="s">
        <v>228</v>
      </c>
      <c r="G36" s="28" t="s">
        <v>229</v>
      </c>
      <c r="H36" s="28" t="s">
        <v>230</v>
      </c>
      <c r="I36" s="28" t="s">
        <v>231</v>
      </c>
      <c r="J36" s="28" t="s">
        <v>232</v>
      </c>
      <c r="K36" s="28" t="s">
        <v>233</v>
      </c>
      <c r="L36" s="28" t="s">
        <v>234</v>
      </c>
      <c r="M36" s="28" t="s">
        <v>235</v>
      </c>
    </row>
    <row r="37" ht="15" spans="1:13">
      <c r="A37" s="29">
        <v>1</v>
      </c>
      <c r="B37" s="39">
        <v>46214</v>
      </c>
      <c r="C37" s="56">
        <v>30033000</v>
      </c>
      <c r="D37" s="32" t="s">
        <v>209</v>
      </c>
      <c r="E37" s="33"/>
      <c r="F37" s="34">
        <f>Таблица213399029467826[[#This Row],[ ]]</f>
        <v>1</v>
      </c>
      <c r="G37" s="32">
        <v>46185</v>
      </c>
      <c r="H37" s="35" t="s">
        <v>122</v>
      </c>
      <c r="I37" s="36" t="s">
        <v>28</v>
      </c>
      <c r="J37" s="37">
        <v>32.832</v>
      </c>
      <c r="K37" s="38">
        <v>19</v>
      </c>
      <c r="L37" s="33">
        <v>700000</v>
      </c>
      <c r="M37" s="33">
        <f>Таблица213399029467826[[#This Row],[113]]*Таблица213399029467826[[#This Row],[15]]</f>
        <v>22982400</v>
      </c>
    </row>
    <row r="38" spans="1:13">
      <c r="A38" s="29">
        <v>2</v>
      </c>
      <c r="B38" s="42">
        <v>46219</v>
      </c>
      <c r="C38" s="33">
        <v>10000000</v>
      </c>
      <c r="D38" s="32" t="s">
        <v>209</v>
      </c>
      <c r="E38" s="33"/>
      <c r="F38" s="34">
        <f>Таблица213399029467826[[#This Row],[ ]]</f>
        <v>2</v>
      </c>
      <c r="G38" s="39"/>
      <c r="H38" s="35"/>
      <c r="I38" s="36"/>
      <c r="J38" s="37"/>
      <c r="K38" s="38"/>
      <c r="L38" s="33"/>
      <c r="M38" s="33">
        <f>Таблица213399029467826[[#This Row],[113]]*Таблица213399029467826[[#This Row],[15]]</f>
        <v>0</v>
      </c>
    </row>
    <row r="39" spans="1:13">
      <c r="A39" s="29">
        <v>3</v>
      </c>
      <c r="B39" s="44">
        <v>46226</v>
      </c>
      <c r="C39" s="33">
        <v>2600000</v>
      </c>
      <c r="D39" s="32" t="s">
        <v>214</v>
      </c>
      <c r="E39" s="33"/>
      <c r="F39" s="34">
        <f>Таблица213399029467826[[#This Row],[ ]]</f>
        <v>3</v>
      </c>
      <c r="G39" s="39">
        <v>46226</v>
      </c>
      <c r="H39" s="41" t="s">
        <v>186</v>
      </c>
      <c r="I39" s="41" t="s">
        <v>28</v>
      </c>
      <c r="J39" s="41">
        <v>32.832</v>
      </c>
      <c r="K39" s="33">
        <v>19</v>
      </c>
      <c r="L39" s="43">
        <v>700000</v>
      </c>
      <c r="M39" s="33">
        <f>Таблица213399029467826[[#This Row],[113]]*Таблица213399029467826[[#This Row],[15]]</f>
        <v>22982400</v>
      </c>
    </row>
    <row r="40" spans="1:13">
      <c r="A40" s="29">
        <v>4</v>
      </c>
      <c r="B40" s="44">
        <v>46226</v>
      </c>
      <c r="C40" s="33">
        <v>2500000</v>
      </c>
      <c r="D40" s="32" t="s">
        <v>214</v>
      </c>
      <c r="E40" s="33"/>
      <c r="F40" s="34">
        <f>Таблица213399029467826[[#This Row],[ ]]</f>
        <v>4</v>
      </c>
      <c r="G40" s="39"/>
      <c r="H40" s="41"/>
      <c r="I40" s="41"/>
      <c r="J40" s="41"/>
      <c r="K40" s="33"/>
      <c r="L40" s="43"/>
      <c r="M40" s="33">
        <f>Таблица213399029467826[[#This Row],[113]]*Таблица213399029467826[[#This Row],[15]]</f>
        <v>0</v>
      </c>
    </row>
    <row r="41" spans="1:13">
      <c r="A41" s="29">
        <v>5</v>
      </c>
      <c r="B41" s="44">
        <v>46226</v>
      </c>
      <c r="C41" s="33">
        <v>835000</v>
      </c>
      <c r="D41" s="32" t="s">
        <v>114</v>
      </c>
      <c r="E41" s="33"/>
      <c r="F41" s="34">
        <f>Таблица213399029467826[[#This Row],[ ]]</f>
        <v>5</v>
      </c>
      <c r="G41" s="39"/>
      <c r="H41" s="41"/>
      <c r="I41" s="41"/>
      <c r="J41" s="41"/>
      <c r="K41" s="33"/>
      <c r="L41" s="43"/>
      <c r="M41" s="33">
        <f>Таблица213399029467826[[#This Row],[113]]*Таблица213399029467826[[#This Row],[15]]</f>
        <v>0</v>
      </c>
    </row>
    <row r="42" spans="1:13">
      <c r="A42" s="29">
        <v>6</v>
      </c>
      <c r="B42" s="44"/>
      <c r="C42" s="33"/>
      <c r="D42" s="32"/>
      <c r="E42" s="33"/>
      <c r="F42" s="34">
        <f>Таблица213399029467826[[#This Row],[ ]]</f>
        <v>6</v>
      </c>
      <c r="G42" s="39"/>
      <c r="H42" s="41"/>
      <c r="I42" s="41"/>
      <c r="J42" s="41"/>
      <c r="K42" s="33"/>
      <c r="L42" s="43"/>
      <c r="M42" s="33">
        <f>Таблица213399029467826[[#This Row],[113]]*Таблица213399029467826[[#This Row],[15]]</f>
        <v>0</v>
      </c>
    </row>
    <row r="43" spans="1:13">
      <c r="A43" s="45"/>
      <c r="B43" s="57"/>
      <c r="C43" s="33">
        <f>SUBTOTAL(109,Таблица213399029467826[2])</f>
        <v>45968000</v>
      </c>
      <c r="D43" s="33"/>
      <c r="E43" s="47"/>
      <c r="F43" s="46"/>
      <c r="G43" s="48"/>
      <c r="H43" s="49"/>
      <c r="I43" s="49"/>
      <c r="J43" s="49"/>
      <c r="K43" s="49">
        <f>SUBTOTAL(109,Таблица213399029467826[1132])</f>
        <v>38</v>
      </c>
      <c r="L43" s="51"/>
      <c r="M43" s="51">
        <f>SUBTOTAL(109,Таблица213399029467826[16])</f>
        <v>45964800</v>
      </c>
    </row>
    <row r="45" ht="18.75" spans="1:13">
      <c r="A45" s="2"/>
      <c r="B45" s="3"/>
      <c r="C45" s="4" t="s">
        <v>211</v>
      </c>
      <c r="D45" s="70" t="s">
        <v>272</v>
      </c>
      <c r="E45" s="6"/>
      <c r="H45" s="1" t="s">
        <v>213</v>
      </c>
      <c r="I45" s="1">
        <f>SUMIFS(C:C,D:D,J45)</f>
        <v>30600000</v>
      </c>
      <c r="J45" s="32" t="s">
        <v>214</v>
      </c>
    </row>
    <row r="46" ht="20.25" spans="1:13">
      <c r="A46" s="7" t="s">
        <v>215</v>
      </c>
      <c r="B46" s="7"/>
      <c r="C46" s="8"/>
      <c r="D46" s="8"/>
      <c r="E46" s="8"/>
      <c r="F46" s="53">
        <f>Таблица21339902946781316172122232425303132333435[[#Totals],[2]]+-Таблица21339902946781316172122232425303132333435[[#Totals],[16]]</f>
        <v>-8676800</v>
      </c>
      <c r="G46" s="54"/>
    </row>
    <row r="47" spans="1:13">
      <c r="A47" s="10" t="s">
        <v>216</v>
      </c>
      <c r="B47" s="10" t="s">
        <v>217</v>
      </c>
      <c r="C47" s="10" t="s">
        <v>218</v>
      </c>
      <c r="D47" s="10" t="s">
        <v>219</v>
      </c>
      <c r="E47" s="13" t="s">
        <v>220</v>
      </c>
      <c r="F47" s="14" t="s">
        <v>216</v>
      </c>
      <c r="G47" s="14" t="s">
        <v>217</v>
      </c>
      <c r="H47" s="14" t="s">
        <v>221</v>
      </c>
      <c r="I47" s="15" t="s">
        <v>6</v>
      </c>
      <c r="J47" s="16" t="s">
        <v>7</v>
      </c>
      <c r="K47" s="16" t="s">
        <v>222</v>
      </c>
      <c r="L47" s="14" t="s">
        <v>223</v>
      </c>
      <c r="M47" s="15" t="s">
        <v>218</v>
      </c>
    </row>
    <row r="48" spans="1:13">
      <c r="A48" s="10"/>
      <c r="B48" s="10"/>
      <c r="C48" s="17"/>
      <c r="D48" s="18"/>
      <c r="E48" s="19"/>
      <c r="F48" s="14"/>
      <c r="G48" s="14"/>
      <c r="H48" s="14"/>
      <c r="I48" s="20"/>
      <c r="J48" s="71"/>
      <c r="K48" s="21"/>
      <c r="L48" s="14"/>
      <c r="M48" s="25"/>
    </row>
    <row r="49" ht="15.75" spans="1:13">
      <c r="A49" s="10"/>
      <c r="B49" s="10"/>
      <c r="C49" s="55">
        <f>Таблица21339902946781316172122232425303132333435[[#Totals],[2]]</f>
        <v>46964800</v>
      </c>
      <c r="D49" s="23"/>
      <c r="E49" s="24">
        <f>SUM(Таблица21339902946781316172122232425303132333435[4])</f>
        <v>0</v>
      </c>
      <c r="F49" s="14"/>
      <c r="G49" s="14"/>
      <c r="H49" s="14"/>
      <c r="I49" s="25"/>
      <c r="J49" s="72">
        <f>SUM(Таблица21339902946781316172122232425303132333435[113])</f>
        <v>79.488</v>
      </c>
      <c r="K49" s="26">
        <f>Таблица21339902946781316172122232425303132333435[[#Totals],[1132]]</f>
        <v>46</v>
      </c>
      <c r="L49" s="14"/>
      <c r="M49" s="9">
        <f>Таблица21339902946781316172122232425303132333435[[#Totals],[16]]</f>
        <v>55641600</v>
      </c>
    </row>
    <row r="50" spans="1:13">
      <c r="A50" s="27" t="s">
        <v>211</v>
      </c>
      <c r="B50" s="28" t="s">
        <v>224</v>
      </c>
      <c r="C50" s="28" t="s">
        <v>225</v>
      </c>
      <c r="D50" s="28" t="s">
        <v>226</v>
      </c>
      <c r="E50" s="28" t="s">
        <v>227</v>
      </c>
      <c r="F50" s="28" t="s">
        <v>228</v>
      </c>
      <c r="G50" s="28" t="s">
        <v>229</v>
      </c>
      <c r="H50" s="28" t="s">
        <v>230</v>
      </c>
      <c r="I50" s="28" t="s">
        <v>231</v>
      </c>
      <c r="J50" s="28" t="s">
        <v>232</v>
      </c>
      <c r="K50" s="28" t="s">
        <v>233</v>
      </c>
      <c r="L50" s="28" t="s">
        <v>234</v>
      </c>
      <c r="M50" s="28" t="s">
        <v>235</v>
      </c>
    </row>
    <row r="51" ht="15" spans="1:13">
      <c r="A51" s="29">
        <v>1</v>
      </c>
      <c r="B51" s="39">
        <v>46210</v>
      </c>
      <c r="C51" s="56">
        <v>41964800</v>
      </c>
      <c r="D51" s="32" t="s">
        <v>273</v>
      </c>
      <c r="E51" s="33"/>
      <c r="F51" s="34">
        <f>Таблица21339902946781316172122232425303132333435[[#This Row],[ ]]</f>
        <v>1</v>
      </c>
      <c r="G51" s="32">
        <v>46214</v>
      </c>
      <c r="H51" s="35" t="s">
        <v>111</v>
      </c>
      <c r="I51" s="36" t="s">
        <v>28</v>
      </c>
      <c r="J51" s="37">
        <v>32.832</v>
      </c>
      <c r="K51" s="38">
        <v>19</v>
      </c>
      <c r="L51" s="34">
        <v>700000</v>
      </c>
      <c r="M51" s="33">
        <f>Таблица21339902946781316172122232425303132333435[[#This Row],[113]]*Таблица21339902946781316172122232425303132333435[[#This Row],[15]]</f>
        <v>22982400</v>
      </c>
    </row>
    <row r="52" spans="1:13">
      <c r="A52" s="29">
        <v>2</v>
      </c>
      <c r="B52" s="39">
        <v>46214</v>
      </c>
      <c r="C52" s="33">
        <v>2500000</v>
      </c>
      <c r="D52" s="32" t="s">
        <v>214</v>
      </c>
      <c r="E52" s="33"/>
      <c r="F52" s="34">
        <f>Таблица21339902946781316172122232425303132333435[[#This Row],[ ]]</f>
        <v>2</v>
      </c>
      <c r="G52" s="39">
        <v>46217</v>
      </c>
      <c r="H52" s="41" t="s">
        <v>137</v>
      </c>
      <c r="I52" s="41" t="s">
        <v>28</v>
      </c>
      <c r="J52" s="41">
        <v>32.832</v>
      </c>
      <c r="K52" s="33">
        <v>19</v>
      </c>
      <c r="L52" s="43">
        <v>700000</v>
      </c>
      <c r="M52" s="33">
        <f>Таблица21339902946781316172122232425303132333435[[#This Row],[113]]*Таблица21339902946781316172122232425303132333435[[#This Row],[15]]</f>
        <v>22982400</v>
      </c>
    </row>
    <row r="53" spans="1:13">
      <c r="A53" s="29">
        <v>3</v>
      </c>
      <c r="B53" s="44">
        <v>46217</v>
      </c>
      <c r="C53" s="33">
        <v>2500000</v>
      </c>
      <c r="D53" s="32" t="s">
        <v>214</v>
      </c>
      <c r="E53" s="33"/>
      <c r="F53" s="34">
        <f>Таблица21339902946781316172122232425303132333435[[#This Row],[ ]]</f>
        <v>3</v>
      </c>
      <c r="G53" s="39">
        <v>46218</v>
      </c>
      <c r="H53" s="41" t="s">
        <v>150</v>
      </c>
      <c r="I53" s="41" t="s">
        <v>99</v>
      </c>
      <c r="J53" s="41">
        <v>13.824</v>
      </c>
      <c r="K53" s="33">
        <v>8</v>
      </c>
      <c r="L53" s="43">
        <v>700000</v>
      </c>
      <c r="M53" s="33">
        <f>Таблица21339902946781316172122232425303132333435[[#This Row],[113]]*Таблица21339902946781316172122232425303132333435[[#This Row],[15]]</f>
        <v>9676800</v>
      </c>
    </row>
    <row r="54" spans="1:13">
      <c r="A54" s="29">
        <v>4</v>
      </c>
      <c r="B54" s="44"/>
      <c r="C54" s="33"/>
      <c r="D54" s="32"/>
      <c r="E54" s="33"/>
      <c r="F54" s="34">
        <f>Таблица21339902946781316172122232425303132333435[[#This Row],[ ]]</f>
        <v>4</v>
      </c>
      <c r="G54" s="39"/>
      <c r="H54" s="41"/>
      <c r="I54" s="41"/>
      <c r="J54" s="41"/>
      <c r="K54" s="33"/>
      <c r="L54" s="43"/>
      <c r="M54" s="33">
        <f>Таблица21339902946781316172122232425303132333435[[#This Row],[113]]*Таблица21339902946781316172122232425303132333435[[#This Row],[15]]</f>
        <v>0</v>
      </c>
    </row>
    <row r="55" spans="1:13">
      <c r="A55" s="45"/>
      <c r="B55" s="57"/>
      <c r="C55" s="33">
        <f>SUBTOTAL(109,Таблица21339902946781316172122232425303132333435[2])</f>
        <v>46964800</v>
      </c>
      <c r="D55" s="33"/>
      <c r="E55" s="47"/>
      <c r="F55" s="46"/>
      <c r="G55" s="48"/>
      <c r="H55" s="49"/>
      <c r="I55" s="49"/>
      <c r="J55" s="49"/>
      <c r="K55" s="49">
        <f>SUBTOTAL(109,Таблица21339902946781316172122232425303132333435[1132])</f>
        <v>46</v>
      </c>
      <c r="L55" s="51"/>
      <c r="M55" s="51">
        <f>SUBTOTAL(109,Таблица21339902946781316172122232425303132333435[16])</f>
        <v>55641600</v>
      </c>
    </row>
    <row r="57" ht="18.75" spans="1:13">
      <c r="A57" s="2"/>
      <c r="B57" s="3"/>
      <c r="C57" s="4" t="s">
        <v>211</v>
      </c>
      <c r="D57" s="70" t="s">
        <v>274</v>
      </c>
      <c r="E57" s="6"/>
      <c r="H57" s="1" t="s">
        <v>213</v>
      </c>
      <c r="I57" s="1">
        <f>SUMIFS(C:C,D:D,J57)</f>
        <v>30600000</v>
      </c>
      <c r="J57" s="32" t="s">
        <v>214</v>
      </c>
    </row>
    <row r="58" ht="20.25" spans="1:13">
      <c r="A58" s="7" t="s">
        <v>215</v>
      </c>
      <c r="B58" s="7"/>
      <c r="C58" s="8"/>
      <c r="D58" s="8"/>
      <c r="E58" s="8"/>
      <c r="F58" s="53">
        <f>Таблица2133990294678131617212223242530313233343536[[#Totals],[2]]+-Таблица2133990294678131617212223242530313233343536[[#Totals],[16]]</f>
        <v>0</v>
      </c>
      <c r="G58" s="54"/>
    </row>
    <row r="59" spans="1:13">
      <c r="A59" s="10" t="s">
        <v>216</v>
      </c>
      <c r="B59" s="10" t="s">
        <v>217</v>
      </c>
      <c r="C59" s="10" t="s">
        <v>218</v>
      </c>
      <c r="D59" s="10" t="s">
        <v>219</v>
      </c>
      <c r="E59" s="13" t="s">
        <v>220</v>
      </c>
      <c r="F59" s="14" t="s">
        <v>216</v>
      </c>
      <c r="G59" s="14" t="s">
        <v>217</v>
      </c>
      <c r="H59" s="14" t="s">
        <v>221</v>
      </c>
      <c r="I59" s="15" t="s">
        <v>6</v>
      </c>
      <c r="J59" s="16" t="s">
        <v>7</v>
      </c>
      <c r="K59" s="16" t="s">
        <v>222</v>
      </c>
      <c r="L59" s="14" t="s">
        <v>223</v>
      </c>
      <c r="M59" s="15" t="s">
        <v>218</v>
      </c>
    </row>
    <row r="60" spans="1:13">
      <c r="A60" s="10"/>
      <c r="B60" s="10"/>
      <c r="C60" s="17"/>
      <c r="D60" s="18"/>
      <c r="E60" s="19"/>
      <c r="F60" s="14"/>
      <c r="G60" s="14"/>
      <c r="H60" s="14"/>
      <c r="I60" s="20"/>
      <c r="J60" s="71"/>
      <c r="K60" s="21"/>
      <c r="L60" s="14"/>
      <c r="M60" s="25"/>
    </row>
    <row r="61" ht="15.75" spans="1:13">
      <c r="A61" s="10"/>
      <c r="B61" s="10"/>
      <c r="C61" s="55">
        <f>Таблица2133990294678131617212223242530313233343536[[#Totals],[2]]</f>
        <v>13305600</v>
      </c>
      <c r="D61" s="23"/>
      <c r="E61" s="24">
        <f>SUM(Таблица2133990294678131617212223242530313233343536[4])</f>
        <v>0</v>
      </c>
      <c r="F61" s="14"/>
      <c r="G61" s="14"/>
      <c r="H61" s="14"/>
      <c r="I61" s="25"/>
      <c r="J61" s="72">
        <f>SUM(Таблица2133990294678131617212223242530313233343536[113])</f>
        <v>19.008</v>
      </c>
      <c r="K61" s="26">
        <f>Таблица2133990294678131617212223242530313233343536[[#Totals],[1132]]</f>
        <v>11</v>
      </c>
      <c r="L61" s="14"/>
      <c r="M61" s="9">
        <f>Таблица2133990294678131617212223242530313233343536[[#Totals],[16]]</f>
        <v>13305600</v>
      </c>
    </row>
    <row r="62" spans="1:13">
      <c r="A62" s="27" t="s">
        <v>211</v>
      </c>
      <c r="B62" s="28" t="s">
        <v>224</v>
      </c>
      <c r="C62" s="28" t="s">
        <v>225</v>
      </c>
      <c r="D62" s="28" t="s">
        <v>226</v>
      </c>
      <c r="E62" s="28" t="s">
        <v>227</v>
      </c>
      <c r="F62" s="28" t="s">
        <v>228</v>
      </c>
      <c r="G62" s="28" t="s">
        <v>229</v>
      </c>
      <c r="H62" s="28" t="s">
        <v>230</v>
      </c>
      <c r="I62" s="28" t="s">
        <v>231</v>
      </c>
      <c r="J62" s="28" t="s">
        <v>232</v>
      </c>
      <c r="K62" s="28" t="s">
        <v>233</v>
      </c>
      <c r="L62" s="28" t="s">
        <v>234</v>
      </c>
      <c r="M62" s="28" t="s">
        <v>235</v>
      </c>
    </row>
    <row r="63" ht="15" spans="1:13">
      <c r="A63" s="29">
        <v>1</v>
      </c>
      <c r="B63" s="39">
        <v>46216</v>
      </c>
      <c r="C63" s="56">
        <v>10805600</v>
      </c>
      <c r="D63" s="32" t="s">
        <v>275</v>
      </c>
      <c r="E63" s="33"/>
      <c r="F63" s="34">
        <f>Таблица2133990294678131617212223242530313233343536[[#This Row],[ ]]</f>
        <v>1</v>
      </c>
      <c r="G63" s="32">
        <v>46218</v>
      </c>
      <c r="H63" s="35" t="s">
        <v>150</v>
      </c>
      <c r="I63" s="36" t="s">
        <v>99</v>
      </c>
      <c r="J63" s="37">
        <v>19.008</v>
      </c>
      <c r="K63" s="38">
        <v>11</v>
      </c>
      <c r="L63" s="34">
        <v>700000</v>
      </c>
      <c r="M63" s="33">
        <f>Таблица2133990294678131617212223242530313233343536[[#This Row],[113]]*Таблица2133990294678131617212223242530313233343536[[#This Row],[15]]</f>
        <v>13305600</v>
      </c>
    </row>
    <row r="64" spans="1:13">
      <c r="A64" s="29">
        <v>2</v>
      </c>
      <c r="B64" s="39">
        <v>46218</v>
      </c>
      <c r="C64" s="33">
        <v>2500000</v>
      </c>
      <c r="D64" s="32" t="s">
        <v>214</v>
      </c>
      <c r="E64" s="33"/>
      <c r="F64" s="34">
        <f>Таблица2133990294678131617212223242530313233343536[[#This Row],[ ]]</f>
        <v>2</v>
      </c>
      <c r="G64" s="39"/>
      <c r="H64" s="41"/>
      <c r="I64" s="41"/>
      <c r="J64" s="41"/>
      <c r="K64" s="33"/>
      <c r="L64" s="43"/>
      <c r="M64" s="33">
        <f>Таблица2133990294678131617212223242530313233343536[[#This Row],[113]]*Таблица2133990294678131617212223242530313233343536[[#This Row],[15]]</f>
        <v>0</v>
      </c>
    </row>
    <row r="65" spans="1:15">
      <c r="A65" s="29">
        <v>3</v>
      </c>
      <c r="B65" s="44"/>
      <c r="C65" s="33"/>
      <c r="D65" s="32"/>
      <c r="E65" s="33"/>
      <c r="F65" s="34">
        <f>Таблица2133990294678131617212223242530313233343536[[#This Row],[ ]]</f>
        <v>3</v>
      </c>
      <c r="G65" s="39"/>
      <c r="H65" s="41"/>
      <c r="I65" s="41"/>
      <c r="J65" s="41"/>
      <c r="K65" s="33"/>
      <c r="L65" s="43"/>
      <c r="M65" s="33">
        <f>Таблица2133990294678131617212223242530313233343536[[#This Row],[113]]*Таблица2133990294678131617212223242530313233343536[[#This Row],[15]]</f>
        <v>0</v>
      </c>
    </row>
    <row r="66" spans="1:15">
      <c r="A66" s="45"/>
      <c r="B66" s="57"/>
      <c r="C66" s="33">
        <f>SUBTOTAL(109,Таблица2133990294678131617212223242530313233343536[2])</f>
        <v>13305600</v>
      </c>
      <c r="D66" s="33"/>
      <c r="E66" s="47"/>
      <c r="F66" s="46"/>
      <c r="G66" s="48"/>
      <c r="H66" s="49"/>
      <c r="I66" s="49"/>
      <c r="J66" s="49"/>
      <c r="K66" s="49">
        <f>SUBTOTAL(109,Таблица2133990294678131617212223242530313233343536[1132])</f>
        <v>11</v>
      </c>
      <c r="L66" s="51"/>
      <c r="M66" s="51">
        <f>SUBTOTAL(109,Таблица2133990294678131617212223242530313233343536[16])</f>
        <v>13305600</v>
      </c>
    </row>
    <row r="68" ht="18.75" spans="1:15">
      <c r="A68" s="2"/>
      <c r="B68" s="3"/>
      <c r="C68" s="4" t="s">
        <v>211</v>
      </c>
      <c r="D68" s="70" t="s">
        <v>276</v>
      </c>
      <c r="E68" s="6"/>
      <c r="H68" s="1" t="s">
        <v>213</v>
      </c>
      <c r="I68" s="1">
        <f>SUMIFS(C:C,D:D,J68)</f>
        <v>30600000</v>
      </c>
      <c r="J68" s="32" t="s">
        <v>214</v>
      </c>
    </row>
    <row r="69" ht="20.25" spans="1:15">
      <c r="A69" s="7" t="s">
        <v>215</v>
      </c>
      <c r="B69" s="7"/>
      <c r="C69" s="8"/>
      <c r="D69" s="8"/>
      <c r="E69" s="8"/>
      <c r="F69" s="53">
        <f>Таблица21339902946781316172122232425[[#Totals],[2]]+-Таблица21339902946781316172122232425[[#Totals],[16]]</f>
        <v>-91929600</v>
      </c>
      <c r="G69" s="54"/>
    </row>
    <row r="70" spans="1:15">
      <c r="A70" s="10" t="s">
        <v>216</v>
      </c>
      <c r="B70" s="10" t="s">
        <v>217</v>
      </c>
      <c r="C70" s="10" t="s">
        <v>218</v>
      </c>
      <c r="D70" s="10" t="s">
        <v>219</v>
      </c>
      <c r="E70" s="13" t="s">
        <v>220</v>
      </c>
      <c r="F70" s="14" t="s">
        <v>216</v>
      </c>
      <c r="G70" s="14" t="s">
        <v>217</v>
      </c>
      <c r="H70" s="14" t="s">
        <v>221</v>
      </c>
      <c r="I70" s="15" t="s">
        <v>6</v>
      </c>
      <c r="J70" s="16" t="s">
        <v>7</v>
      </c>
      <c r="K70" s="16" t="s">
        <v>222</v>
      </c>
      <c r="L70" s="14" t="s">
        <v>223</v>
      </c>
      <c r="M70" s="15" t="s">
        <v>218</v>
      </c>
    </row>
    <row r="71" spans="1:15">
      <c r="A71" s="10"/>
      <c r="B71" s="10"/>
      <c r="C71" s="17"/>
      <c r="D71" s="18"/>
      <c r="E71" s="19"/>
      <c r="F71" s="14"/>
      <c r="G71" s="14"/>
      <c r="H71" s="14"/>
      <c r="I71" s="20"/>
      <c r="J71" s="71"/>
      <c r="K71" s="21"/>
      <c r="L71" s="14"/>
      <c r="M71" s="25"/>
    </row>
    <row r="72" ht="15.75" spans="1:15">
      <c r="A72" s="10"/>
      <c r="B72" s="10"/>
      <c r="C72" s="55">
        <f>Таблица21339902946781316172122232425[[#Totals],[2]]</f>
        <v>0</v>
      </c>
      <c r="D72" s="23"/>
      <c r="E72" s="24">
        <f>SUM(Таблица21339902946781316172122232425[4])</f>
        <v>0</v>
      </c>
      <c r="F72" s="14"/>
      <c r="G72" s="14"/>
      <c r="H72" s="14"/>
      <c r="I72" s="25"/>
      <c r="J72" s="72">
        <f>SUM(Таблица21339902946781316172122232425[113])</f>
        <v>131.328</v>
      </c>
      <c r="K72" s="26">
        <f>Таблица21339902946781316172122232425[[#Totals],[1132]]</f>
        <v>76</v>
      </c>
      <c r="L72" s="14"/>
      <c r="M72" s="9">
        <f>Таблица21339902946781316172122232425[[#Totals],[16]]</f>
        <v>91929600</v>
      </c>
    </row>
    <row r="73" spans="1:15">
      <c r="A73" s="27" t="s">
        <v>211</v>
      </c>
      <c r="B73" s="28" t="s">
        <v>224</v>
      </c>
      <c r="C73" s="28" t="s">
        <v>225</v>
      </c>
      <c r="D73" s="28" t="s">
        <v>226</v>
      </c>
      <c r="E73" s="28" t="s">
        <v>227</v>
      </c>
      <c r="F73" s="28" t="s">
        <v>228</v>
      </c>
      <c r="G73" s="28" t="s">
        <v>229</v>
      </c>
      <c r="H73" s="28" t="s">
        <v>230</v>
      </c>
      <c r="I73" s="28" t="s">
        <v>231</v>
      </c>
      <c r="J73" s="28" t="s">
        <v>232</v>
      </c>
      <c r="K73" s="28" t="s">
        <v>233</v>
      </c>
      <c r="L73" s="28" t="s">
        <v>234</v>
      </c>
      <c r="M73" s="28" t="s">
        <v>235</v>
      </c>
      <c r="N73" s="65" t="s">
        <v>238</v>
      </c>
      <c r="O73" s="65" t="s">
        <v>277</v>
      </c>
    </row>
    <row r="74" ht="15" spans="1:15">
      <c r="A74" s="29">
        <v>1</v>
      </c>
      <c r="B74" s="39"/>
      <c r="C74" s="56"/>
      <c r="D74" s="32"/>
      <c r="E74" s="33"/>
      <c r="F74" s="34">
        <f>Таблица21339902946781316172122232425[[#This Row],[ ]]</f>
        <v>1</v>
      </c>
      <c r="G74" s="32">
        <v>46217</v>
      </c>
      <c r="H74" s="35" t="s">
        <v>140</v>
      </c>
      <c r="I74" s="36" t="s">
        <v>244</v>
      </c>
      <c r="J74" s="37">
        <v>32.832</v>
      </c>
      <c r="K74" s="38">
        <v>19</v>
      </c>
      <c r="L74" s="34">
        <v>700000</v>
      </c>
      <c r="M74" s="33">
        <f>Таблица21339902946781316172122232425[[#This Row],[113]]*Таблица21339902946781316172122232425[[#This Row],[15]]</f>
        <v>22982400</v>
      </c>
      <c r="N74" s="38">
        <v>2500000</v>
      </c>
      <c r="O74" s="38" t="s">
        <v>278</v>
      </c>
    </row>
    <row r="75" spans="1:15">
      <c r="A75" s="29">
        <v>2</v>
      </c>
      <c r="B75" s="39"/>
      <c r="C75" s="33"/>
      <c r="D75" s="32"/>
      <c r="E75" s="33"/>
      <c r="F75" s="34">
        <f>Таблица21339902946781316172122232425[[#This Row],[ ]]</f>
        <v>2</v>
      </c>
      <c r="G75" s="39">
        <v>46217</v>
      </c>
      <c r="H75" s="41" t="s">
        <v>142</v>
      </c>
      <c r="I75" s="41" t="s">
        <v>244</v>
      </c>
      <c r="J75" s="41">
        <v>32.832</v>
      </c>
      <c r="K75" s="33">
        <v>19</v>
      </c>
      <c r="L75" s="43">
        <v>700000</v>
      </c>
      <c r="M75" s="33">
        <f>Таблица21339902946781316172122232425[[#This Row],[113]]*Таблица21339902946781316172122232425[[#This Row],[15]]</f>
        <v>22982400</v>
      </c>
      <c r="N75" s="38">
        <v>2500000</v>
      </c>
      <c r="O75" s="38" t="s">
        <v>278</v>
      </c>
    </row>
    <row r="76" spans="1:15">
      <c r="A76" s="29">
        <v>3</v>
      </c>
      <c r="B76" s="44"/>
      <c r="C76" s="33"/>
      <c r="D76" s="32"/>
      <c r="E76" s="33"/>
      <c r="F76" s="34">
        <f>Таблица21339902946781316172122232425[[#This Row],[ ]]</f>
        <v>3</v>
      </c>
      <c r="G76" s="39">
        <v>46217</v>
      </c>
      <c r="H76" s="41" t="s">
        <v>145</v>
      </c>
      <c r="I76" s="41" t="s">
        <v>244</v>
      </c>
      <c r="J76" s="41">
        <v>32.832</v>
      </c>
      <c r="K76" s="33">
        <v>19</v>
      </c>
      <c r="L76" s="43">
        <v>700000</v>
      </c>
      <c r="M76" s="33">
        <f>Таблица21339902946781316172122232425[[#This Row],[113]]*Таблица21339902946781316172122232425[[#This Row],[15]]</f>
        <v>22982400</v>
      </c>
      <c r="N76" s="38">
        <v>2500000</v>
      </c>
      <c r="O76" s="38" t="s">
        <v>278</v>
      </c>
    </row>
    <row r="77" spans="1:15">
      <c r="A77" s="29">
        <v>4</v>
      </c>
      <c r="B77" s="44"/>
      <c r="C77" s="33"/>
      <c r="D77" s="32"/>
      <c r="E77" s="33"/>
      <c r="F77" s="34">
        <f>Таблица21339902946781316172122232425[[#This Row],[ ]]</f>
        <v>4</v>
      </c>
      <c r="G77" s="39">
        <v>46218</v>
      </c>
      <c r="H77" s="41" t="s">
        <v>133</v>
      </c>
      <c r="I77" s="41" t="s">
        <v>244</v>
      </c>
      <c r="J77" s="41">
        <v>32.832</v>
      </c>
      <c r="K77" s="33">
        <v>19</v>
      </c>
      <c r="L77" s="43">
        <v>700000</v>
      </c>
      <c r="M77" s="33">
        <f>Таблица21339902946781316172122232425[[#This Row],[113]]*Таблица21339902946781316172122232425[[#This Row],[15]]</f>
        <v>22982400</v>
      </c>
      <c r="N77" s="38">
        <v>2500000</v>
      </c>
      <c r="O77" s="38" t="s">
        <v>278</v>
      </c>
    </row>
    <row r="78" spans="1:15">
      <c r="A78" s="29">
        <v>5</v>
      </c>
      <c r="B78" s="44"/>
      <c r="C78" s="33"/>
      <c r="D78" s="32"/>
      <c r="E78" s="33"/>
      <c r="F78" s="34">
        <f>Таблица21339902946781316172122232425[[#This Row],[ ]]</f>
        <v>5</v>
      </c>
      <c r="G78" s="39"/>
      <c r="H78" s="41"/>
      <c r="I78" s="41"/>
      <c r="J78" s="41"/>
      <c r="K78" s="33"/>
      <c r="L78" s="43"/>
      <c r="M78" s="33">
        <f>Таблица21339902946781316172122232425[[#This Row],[113]]*Таблица21339902946781316172122232425[[#This Row],[15]]</f>
        <v>0</v>
      </c>
      <c r="N78" s="43"/>
      <c r="O78" s="43"/>
    </row>
    <row r="79" spans="1:15">
      <c r="A79" s="45"/>
      <c r="B79" s="57"/>
      <c r="C79" s="33">
        <f>SUBTOTAL(109,Таблица21339902946781316172122232425[2])</f>
        <v>0</v>
      </c>
      <c r="D79" s="33"/>
      <c r="E79" s="47"/>
      <c r="F79" s="46"/>
      <c r="G79" s="48"/>
      <c r="H79" s="49"/>
      <c r="I79" s="49"/>
      <c r="J79" s="49"/>
      <c r="K79" s="49">
        <f>SUBTOTAL(109,Таблица21339902946781316172122232425[1132])</f>
        <v>76</v>
      </c>
      <c r="L79" s="51"/>
      <c r="M79" s="51">
        <f>SUBTOTAL(109,Таблица21339902946781316172122232425[16])</f>
        <v>91929600</v>
      </c>
      <c r="N79" s="49"/>
      <c r="O79" s="49"/>
    </row>
  </sheetData>
  <mergeCells count="84">
    <mergeCell ref="A2:B2"/>
    <mergeCell ref="C2:D2"/>
    <mergeCell ref="F2:G2"/>
    <mergeCell ref="A21:B21"/>
    <mergeCell ref="C21:D21"/>
    <mergeCell ref="F21:G21"/>
    <mergeCell ref="A32:B32"/>
    <mergeCell ref="C32:D32"/>
    <mergeCell ref="F32:G32"/>
    <mergeCell ref="A46:B46"/>
    <mergeCell ref="C46:D46"/>
    <mergeCell ref="F46:G46"/>
    <mergeCell ref="A58:B58"/>
    <mergeCell ref="C58:D58"/>
    <mergeCell ref="F58:G58"/>
    <mergeCell ref="A69:B69"/>
    <mergeCell ref="C69:D69"/>
    <mergeCell ref="F69:G69"/>
    <mergeCell ref="A3:A5"/>
    <mergeCell ref="A22:A24"/>
    <mergeCell ref="A33:A35"/>
    <mergeCell ref="A47:A49"/>
    <mergeCell ref="A59:A61"/>
    <mergeCell ref="A70:A72"/>
    <mergeCell ref="B3:B5"/>
    <mergeCell ref="B22:B24"/>
    <mergeCell ref="B33:B35"/>
    <mergeCell ref="B47:B49"/>
    <mergeCell ref="B59:B61"/>
    <mergeCell ref="B70:B72"/>
    <mergeCell ref="E3:E4"/>
    <mergeCell ref="E22:E23"/>
    <mergeCell ref="E33:E34"/>
    <mergeCell ref="E47:E48"/>
    <mergeCell ref="E59:E60"/>
    <mergeCell ref="E70:E71"/>
    <mergeCell ref="F3:F5"/>
    <mergeCell ref="F22:F24"/>
    <mergeCell ref="F33:F35"/>
    <mergeCell ref="F47:F49"/>
    <mergeCell ref="F59:F61"/>
    <mergeCell ref="F70:F72"/>
    <mergeCell ref="G3:G5"/>
    <mergeCell ref="G22:G24"/>
    <mergeCell ref="G33:G35"/>
    <mergeCell ref="G47:G49"/>
    <mergeCell ref="G59:G61"/>
    <mergeCell ref="G70:G72"/>
    <mergeCell ref="H3:H5"/>
    <mergeCell ref="H22:H24"/>
    <mergeCell ref="H33:H35"/>
    <mergeCell ref="H47:H49"/>
    <mergeCell ref="H59:H61"/>
    <mergeCell ref="H70:H72"/>
    <mergeCell ref="I3:I5"/>
    <mergeCell ref="I22:I24"/>
    <mergeCell ref="I33:I35"/>
    <mergeCell ref="I47:I49"/>
    <mergeCell ref="I59:I61"/>
    <mergeCell ref="I70:I72"/>
    <mergeCell ref="J3:J4"/>
    <mergeCell ref="J22:J24"/>
    <mergeCell ref="J33:J34"/>
    <mergeCell ref="J47:J48"/>
    <mergeCell ref="J59:J60"/>
    <mergeCell ref="J70:J71"/>
    <mergeCell ref="K3:K4"/>
    <mergeCell ref="K22:K23"/>
    <mergeCell ref="K33:K34"/>
    <mergeCell ref="K47:K48"/>
    <mergeCell ref="K59:K60"/>
    <mergeCell ref="K70:K71"/>
    <mergeCell ref="L3:L5"/>
    <mergeCell ref="L22:L24"/>
    <mergeCell ref="L33:L35"/>
    <mergeCell ref="L47:L49"/>
    <mergeCell ref="L59:L61"/>
    <mergeCell ref="L70:L72"/>
    <mergeCell ref="M3:M4"/>
    <mergeCell ref="M22:M23"/>
    <mergeCell ref="M33:M34"/>
    <mergeCell ref="M47:M48"/>
    <mergeCell ref="M59:M60"/>
    <mergeCell ref="M70:M71"/>
  </mergeCells>
  <hyperlinks>
    <hyperlink ref="D1" location="'Свод Завод'!Y4" display="4-Рустам Шпик"/>
    <hyperlink ref="D20" location="'Свод Завод'!Y4" display="4-Гайрат Штб"/>
    <hyperlink ref="D31" location="'Свод Завод'!A1" display="4-Элликкала Бостон"/>
    <hyperlink ref="D45" location="'Свод Завод'!A1" display="3-Бунёдкор"/>
    <hyperlink ref="D57" location="'Свод Завод'!A1" display="3-Газ сув монтаж"/>
    <hyperlink ref="D68" location="'Свод Завод'!A1" display="4-Жамол 009"/>
  </hyperlinks>
  <pageMargins left="0.7" right="0.7" top="0.75" bottom="0.75" header="0.3" footer="0.3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1"/>
  <sheetViews>
    <sheetView zoomScale="85" zoomScaleNormal="85" topLeftCell="A33" workbookViewId="0">
      <selection activeCell="D51" sqref="A51:N54"/>
    </sheetView>
  </sheetViews>
  <sheetFormatPr defaultColWidth="9.08571428571429" defaultRowHeight="14.25"/>
  <cols>
    <col min="1" max="1" width="6.54285714285714" style="1" customWidth="1"/>
    <col min="2" max="2" width="11.9047619047619" style="1" customWidth="1"/>
    <col min="3" max="3" width="12.9047619047619" style="1" customWidth="1"/>
    <col min="4" max="4" width="37.3619047619048" style="1" customWidth="1"/>
    <col min="5" max="5" width="20.4571428571429" style="1" customWidth="1"/>
    <col min="6" max="6" width="7.62857142857143" style="1" customWidth="1"/>
    <col min="7" max="7" width="11.5428571428571" style="1" customWidth="1"/>
    <col min="8" max="8" width="13.0857142857143" style="1" customWidth="1"/>
    <col min="9" max="9" width="13.5428571428571" style="1" customWidth="1"/>
    <col min="10" max="10" width="10" style="1" customWidth="1"/>
    <col min="11" max="11" width="11.3619047619048" style="1" customWidth="1"/>
    <col min="12" max="12" width="11.5428571428571" style="1" customWidth="1"/>
    <col min="13" max="13" width="14.3619047619048" style="1" customWidth="1"/>
    <col min="14" max="14" width="9.90476190476191" style="1" customWidth="1"/>
    <col min="15" max="16" width="9.08571428571429" style="1"/>
    <col min="17" max="17" width="11.0857142857143" style="1" customWidth="1"/>
    <col min="18" max="16384" width="9.08571428571429" style="1"/>
  </cols>
  <sheetData>
    <row r="1" ht="18.75" spans="1:13">
      <c r="A1" s="2"/>
      <c r="B1" s="3"/>
      <c r="C1" s="4" t="s">
        <v>211</v>
      </c>
      <c r="D1" s="70" t="s">
        <v>279</v>
      </c>
      <c r="E1" s="6"/>
      <c r="H1" s="1" t="s">
        <v>213</v>
      </c>
      <c r="I1" s="1">
        <f>SUMIFS(C:C,D:D,J1)</f>
        <v>62900000</v>
      </c>
      <c r="J1" s="32" t="s">
        <v>214</v>
      </c>
    </row>
    <row r="2" ht="20.25" spans="1:13">
      <c r="A2" s="7" t="s">
        <v>215</v>
      </c>
      <c r="B2" s="7"/>
      <c r="C2" s="8"/>
      <c r="D2" s="8"/>
      <c r="E2" s="8"/>
      <c r="F2" s="53">
        <f>Таблица213399029469[[#Totals],[2]]+-Таблица213399029469[[#Totals],[16]]</f>
        <v>0</v>
      </c>
      <c r="G2" s="54"/>
    </row>
    <row r="3" spans="1:13">
      <c r="A3" s="10" t="s">
        <v>216</v>
      </c>
      <c r="B3" s="10" t="s">
        <v>217</v>
      </c>
      <c r="C3" s="10" t="s">
        <v>218</v>
      </c>
      <c r="D3" s="10" t="s">
        <v>219</v>
      </c>
      <c r="E3" s="13" t="s">
        <v>220</v>
      </c>
      <c r="F3" s="14" t="s">
        <v>216</v>
      </c>
      <c r="G3" s="14" t="s">
        <v>217</v>
      </c>
      <c r="H3" s="14" t="s">
        <v>221</v>
      </c>
      <c r="I3" s="15" t="s">
        <v>6</v>
      </c>
      <c r="J3" s="16" t="s">
        <v>7</v>
      </c>
      <c r="K3" s="16" t="s">
        <v>222</v>
      </c>
      <c r="L3" s="14" t="s">
        <v>223</v>
      </c>
      <c r="M3" s="15" t="s">
        <v>218</v>
      </c>
    </row>
    <row r="4" spans="1:13">
      <c r="A4" s="10"/>
      <c r="B4" s="10"/>
      <c r="C4" s="17"/>
      <c r="D4" s="18"/>
      <c r="E4" s="19"/>
      <c r="F4" s="14"/>
      <c r="G4" s="14"/>
      <c r="H4" s="14"/>
      <c r="I4" s="20"/>
      <c r="J4" s="20"/>
      <c r="K4" s="21"/>
      <c r="L4" s="14"/>
      <c r="M4" s="25"/>
    </row>
    <row r="5" ht="15.75" spans="1:13">
      <c r="A5" s="10"/>
      <c r="B5" s="10"/>
      <c r="C5" s="55">
        <f>Таблица213399029469[[#Totals],[2]]</f>
        <v>47934720</v>
      </c>
      <c r="D5" s="23"/>
      <c r="E5" s="24">
        <f>SUM(Таблица213399029469[4])</f>
        <v>0</v>
      </c>
      <c r="F5" s="14"/>
      <c r="G5" s="14"/>
      <c r="H5" s="14"/>
      <c r="I5" s="25"/>
      <c r="J5" s="25"/>
      <c r="K5" s="26">
        <f>Таблица213399029469[[#Totals],[1132]]</f>
        <v>38</v>
      </c>
      <c r="L5" s="14"/>
      <c r="M5" s="9">
        <f>Таблица213399029469[[#Totals],[16]]</f>
        <v>47934720</v>
      </c>
    </row>
    <row r="6" spans="1:13">
      <c r="A6" s="27" t="s">
        <v>211</v>
      </c>
      <c r="B6" s="28" t="s">
        <v>224</v>
      </c>
      <c r="C6" s="28" t="s">
        <v>225</v>
      </c>
      <c r="D6" s="28" t="s">
        <v>226</v>
      </c>
      <c r="E6" s="28" t="s">
        <v>227</v>
      </c>
      <c r="F6" s="28" t="s">
        <v>228</v>
      </c>
      <c r="G6" s="28" t="s">
        <v>229</v>
      </c>
      <c r="H6" s="28" t="s">
        <v>230</v>
      </c>
      <c r="I6" s="28" t="s">
        <v>231</v>
      </c>
      <c r="J6" s="28" t="s">
        <v>232</v>
      </c>
      <c r="K6" s="28" t="s">
        <v>233</v>
      </c>
      <c r="L6" s="28" t="s">
        <v>234</v>
      </c>
      <c r="M6" s="28" t="s">
        <v>235</v>
      </c>
    </row>
    <row r="7" ht="15" spans="1:13">
      <c r="A7" s="29">
        <v>1</v>
      </c>
      <c r="B7" s="39">
        <v>46206</v>
      </c>
      <c r="C7" s="56">
        <v>47934720</v>
      </c>
      <c r="D7" s="32" t="s">
        <v>280</v>
      </c>
      <c r="E7" s="33"/>
      <c r="F7" s="34">
        <f>Таблица213399029469[[#This Row],[ ]]</f>
        <v>1</v>
      </c>
      <c r="G7" s="32">
        <v>46203</v>
      </c>
      <c r="H7" s="35" t="s">
        <v>52</v>
      </c>
      <c r="I7" s="36" t="s">
        <v>28</v>
      </c>
      <c r="J7" s="37">
        <v>32.832</v>
      </c>
      <c r="K7" s="38">
        <v>19</v>
      </c>
      <c r="L7" s="33">
        <v>730000</v>
      </c>
      <c r="M7" s="33">
        <f>Таблица213399029469[[#This Row],[113]]*Таблица213399029469[[#This Row],[15]]</f>
        <v>23967360</v>
      </c>
    </row>
    <row r="8" spans="1:13">
      <c r="A8" s="29">
        <v>2</v>
      </c>
      <c r="B8" s="44"/>
      <c r="C8" s="33"/>
      <c r="D8" s="32"/>
      <c r="E8" s="33"/>
      <c r="F8" s="34">
        <f>Таблица213399029469[[#This Row],[ ]]</f>
        <v>2</v>
      </c>
      <c r="G8" s="39">
        <v>46203</v>
      </c>
      <c r="H8" s="41" t="s">
        <v>59</v>
      </c>
      <c r="I8" s="41" t="s">
        <v>28</v>
      </c>
      <c r="J8" s="41">
        <v>32.832</v>
      </c>
      <c r="K8" s="33">
        <v>19</v>
      </c>
      <c r="L8" s="33">
        <v>730000</v>
      </c>
      <c r="M8" s="33">
        <f>Таблица213399029469[[#This Row],[113]]*Таблица213399029469[[#This Row],[15]]</f>
        <v>23967360</v>
      </c>
    </row>
    <row r="9" spans="1:13">
      <c r="A9" s="29">
        <v>3</v>
      </c>
      <c r="B9" s="44"/>
      <c r="C9" s="33"/>
      <c r="D9" s="32"/>
      <c r="E9" s="33"/>
      <c r="F9" s="34">
        <f>Таблица213399029469[[#This Row],[ ]]</f>
        <v>3</v>
      </c>
      <c r="G9" s="39"/>
      <c r="H9" s="41"/>
      <c r="I9" s="41"/>
      <c r="J9" s="41"/>
      <c r="K9" s="33"/>
      <c r="L9" s="43"/>
      <c r="M9" s="33">
        <f>Таблица213399029469[[#This Row],[113]]*Таблица213399029469[[#This Row],[15]]</f>
        <v>0</v>
      </c>
    </row>
    <row r="10" spans="1:13">
      <c r="A10" s="45"/>
      <c r="B10" s="57"/>
      <c r="C10" s="33">
        <f>SUBTOTAL(109,Таблица213399029469[2])</f>
        <v>47934720</v>
      </c>
      <c r="D10" s="33"/>
      <c r="E10" s="47"/>
      <c r="F10" s="46"/>
      <c r="G10" s="48"/>
      <c r="H10" s="49"/>
      <c r="I10" s="49"/>
      <c r="J10" s="49"/>
      <c r="K10" s="49">
        <f>SUBTOTAL(109,Таблица213399029469[1132])</f>
        <v>38</v>
      </c>
      <c r="L10" s="51"/>
      <c r="M10" s="51">
        <f>SUBTOTAL(109,Таблица213399029469[16])</f>
        <v>47934720</v>
      </c>
    </row>
    <row r="12" ht="18.75" spans="1:13">
      <c r="A12" s="2"/>
      <c r="B12" s="3"/>
      <c r="C12" s="4" t="s">
        <v>211</v>
      </c>
      <c r="D12" s="70" t="s">
        <v>281</v>
      </c>
      <c r="E12" s="6"/>
      <c r="H12" s="1" t="s">
        <v>213</v>
      </c>
      <c r="I12" s="1">
        <f>SUMIFS(C:C,D:D,J12)</f>
        <v>62900000</v>
      </c>
      <c r="J12" s="32" t="s">
        <v>214</v>
      </c>
    </row>
    <row r="13" ht="20.25" spans="1:13">
      <c r="A13" s="7" t="s">
        <v>215</v>
      </c>
      <c r="B13" s="7"/>
      <c r="C13" s="8"/>
      <c r="D13" s="8"/>
      <c r="E13" s="8"/>
      <c r="F13" s="53">
        <f>Таблица21339902946[[#Totals],[2]]+-Таблица21339902946[[#Totals],[16]]</f>
        <v>105483000</v>
      </c>
      <c r="G13" s="54"/>
    </row>
    <row r="14" spans="1:13">
      <c r="A14" s="10" t="s">
        <v>216</v>
      </c>
      <c r="B14" s="10" t="s">
        <v>217</v>
      </c>
      <c r="C14" s="10" t="s">
        <v>218</v>
      </c>
      <c r="D14" s="10" t="s">
        <v>219</v>
      </c>
      <c r="E14" s="13" t="s">
        <v>220</v>
      </c>
      <c r="F14" s="14" t="s">
        <v>216</v>
      </c>
      <c r="G14" s="14" t="s">
        <v>217</v>
      </c>
      <c r="H14" s="14" t="s">
        <v>221</v>
      </c>
      <c r="I14" s="15" t="s">
        <v>6</v>
      </c>
      <c r="J14" s="16" t="s">
        <v>7</v>
      </c>
      <c r="K14" s="16" t="s">
        <v>222</v>
      </c>
      <c r="L14" s="14" t="s">
        <v>223</v>
      </c>
      <c r="M14" s="15" t="s">
        <v>218</v>
      </c>
    </row>
    <row r="15" spans="1:13">
      <c r="A15" s="10"/>
      <c r="B15" s="10"/>
      <c r="C15" s="17"/>
      <c r="D15" s="18"/>
      <c r="E15" s="19"/>
      <c r="F15" s="14"/>
      <c r="G15" s="14"/>
      <c r="H15" s="14"/>
      <c r="I15" s="20"/>
      <c r="J15" s="20"/>
      <c r="K15" s="21"/>
      <c r="L15" s="14"/>
      <c r="M15" s="25"/>
    </row>
    <row r="16" ht="15.75" spans="1:13">
      <c r="A16" s="10"/>
      <c r="B16" s="10"/>
      <c r="C16" s="55">
        <f>Таблица21339902946[[#Totals],[2]]</f>
        <v>780526200</v>
      </c>
      <c r="D16" s="23"/>
      <c r="E16" s="24">
        <f>SUM(Таблица21339902946[4])</f>
        <v>0</v>
      </c>
      <c r="F16" s="14"/>
      <c r="G16" s="14"/>
      <c r="H16" s="14"/>
      <c r="I16" s="25"/>
      <c r="J16" s="25"/>
      <c r="K16" s="26">
        <f>Таблица21339902946[[#Totals],[1132]]</f>
        <v>550</v>
      </c>
      <c r="L16" s="14"/>
      <c r="M16" s="9">
        <f>Таблица21339902946[[#Totals],[16]]</f>
        <v>675043200</v>
      </c>
    </row>
    <row r="17" spans="1:14">
      <c r="A17" s="27" t="s">
        <v>211</v>
      </c>
      <c r="B17" s="28" t="s">
        <v>224</v>
      </c>
      <c r="C17" s="28" t="s">
        <v>225</v>
      </c>
      <c r="D17" s="28" t="s">
        <v>226</v>
      </c>
      <c r="E17" s="28" t="s">
        <v>227</v>
      </c>
      <c r="F17" s="28" t="s">
        <v>228</v>
      </c>
      <c r="G17" s="28" t="s">
        <v>229</v>
      </c>
      <c r="H17" s="28" t="s">
        <v>230</v>
      </c>
      <c r="I17" s="28" t="s">
        <v>231</v>
      </c>
      <c r="J17" s="28" t="s">
        <v>232</v>
      </c>
      <c r="K17" s="28" t="s">
        <v>233</v>
      </c>
      <c r="L17" s="28" t="s">
        <v>234</v>
      </c>
      <c r="M17" s="28" t="s">
        <v>235</v>
      </c>
      <c r="N17" s="65" t="s">
        <v>238</v>
      </c>
    </row>
    <row r="18" ht="15" spans="1:14">
      <c r="A18" s="29">
        <v>1</v>
      </c>
      <c r="B18" s="39">
        <v>46198</v>
      </c>
      <c r="C18" s="76">
        <v>23328000</v>
      </c>
      <c r="D18" s="32" t="s">
        <v>282</v>
      </c>
      <c r="E18" s="33"/>
      <c r="F18" s="34">
        <f>Таблица21339902946[[#This Row],[ ]]</f>
        <v>1</v>
      </c>
      <c r="G18" s="32">
        <v>46197</v>
      </c>
      <c r="H18" s="35" t="s">
        <v>37</v>
      </c>
      <c r="I18" s="36" t="s">
        <v>28</v>
      </c>
      <c r="J18" s="37">
        <v>31.104</v>
      </c>
      <c r="K18" s="38">
        <v>18</v>
      </c>
      <c r="L18" s="33">
        <v>750000</v>
      </c>
      <c r="M18" s="33">
        <f>Таблица21339902946[[#This Row],[113]]*Таблица21339902946[[#This Row],[15]]</f>
        <v>23328000</v>
      </c>
      <c r="N18" s="38"/>
    </row>
    <row r="19" spans="1:14">
      <c r="A19" s="29">
        <v>2</v>
      </c>
      <c r="B19" s="32">
        <v>46202</v>
      </c>
      <c r="C19" s="68">
        <v>24624000</v>
      </c>
      <c r="D19" s="32" t="s">
        <v>283</v>
      </c>
      <c r="E19" s="33"/>
      <c r="F19" s="34">
        <f>Таблица21339902946[[#This Row],[ ]]</f>
        <v>2</v>
      </c>
      <c r="G19" s="39">
        <v>46200</v>
      </c>
      <c r="H19" s="41" t="s">
        <v>48</v>
      </c>
      <c r="I19" s="41" t="s">
        <v>49</v>
      </c>
      <c r="J19" s="41">
        <v>32.832</v>
      </c>
      <c r="K19" s="33">
        <v>19</v>
      </c>
      <c r="L19" s="33">
        <v>750000</v>
      </c>
      <c r="M19" s="33">
        <f>Таблица21339902946[[#This Row],[113]]*Таблица21339902946[[#This Row],[15]]</f>
        <v>24624000</v>
      </c>
      <c r="N19" s="43"/>
    </row>
    <row r="20" spans="1:14">
      <c r="A20" s="29">
        <v>3</v>
      </c>
      <c r="B20" s="32">
        <v>46203</v>
      </c>
      <c r="C20" s="68">
        <v>73872000</v>
      </c>
      <c r="D20" s="32" t="s">
        <v>284</v>
      </c>
      <c r="E20" s="33"/>
      <c r="F20" s="34">
        <f>Таблица21339902946[[#This Row],[ ]]</f>
        <v>3</v>
      </c>
      <c r="G20" s="39">
        <v>46200</v>
      </c>
      <c r="H20" s="41" t="s">
        <v>50</v>
      </c>
      <c r="I20" s="41" t="s">
        <v>49</v>
      </c>
      <c r="J20" s="41">
        <v>32.832</v>
      </c>
      <c r="K20" s="33">
        <v>19</v>
      </c>
      <c r="L20" s="33">
        <v>750000</v>
      </c>
      <c r="M20" s="33">
        <f>Таблица21339902946[[#This Row],[113]]*Таблица21339902946[[#This Row],[15]]</f>
        <v>24624000</v>
      </c>
      <c r="N20" s="43"/>
    </row>
    <row r="21" spans="1:14">
      <c r="A21" s="29">
        <v>4</v>
      </c>
      <c r="B21" s="32">
        <v>46206</v>
      </c>
      <c r="C21" s="68">
        <v>24624000</v>
      </c>
      <c r="D21" s="32" t="s">
        <v>285</v>
      </c>
      <c r="E21" s="33"/>
      <c r="F21" s="34">
        <f>Таблица21339902946[[#This Row],[ ]]</f>
        <v>4</v>
      </c>
      <c r="G21" s="39">
        <v>46200</v>
      </c>
      <c r="H21" s="41" t="s">
        <v>51</v>
      </c>
      <c r="I21" s="41" t="s">
        <v>28</v>
      </c>
      <c r="J21" s="41">
        <v>32.832</v>
      </c>
      <c r="K21" s="33">
        <v>19</v>
      </c>
      <c r="L21" s="33">
        <v>750000</v>
      </c>
      <c r="M21" s="33">
        <f>Таблица21339902946[[#This Row],[113]]*Таблица21339902946[[#This Row],[15]]</f>
        <v>24624000</v>
      </c>
      <c r="N21" s="43"/>
    </row>
    <row r="22" spans="1:14">
      <c r="A22" s="29">
        <v>5</v>
      </c>
      <c r="B22" s="32">
        <v>46209</v>
      </c>
      <c r="C22" s="68">
        <v>61447200</v>
      </c>
      <c r="D22" s="32" t="s">
        <v>286</v>
      </c>
      <c r="E22" s="33"/>
      <c r="F22" s="34">
        <f>Таблица21339902946[[#This Row],[ ]]</f>
        <v>5</v>
      </c>
      <c r="G22" s="39">
        <v>46200</v>
      </c>
      <c r="H22" s="41" t="s">
        <v>52</v>
      </c>
      <c r="I22" s="41" t="s">
        <v>28</v>
      </c>
      <c r="J22" s="41">
        <v>32.832</v>
      </c>
      <c r="K22" s="33">
        <v>19</v>
      </c>
      <c r="L22" s="33">
        <v>750000</v>
      </c>
      <c r="M22" s="33">
        <f>Таблица21339902946[[#This Row],[113]]*Таблица21339902946[[#This Row],[15]]</f>
        <v>24624000</v>
      </c>
      <c r="N22" s="43"/>
    </row>
    <row r="23" spans="1:14">
      <c r="A23" s="29">
        <v>6</v>
      </c>
      <c r="B23" s="32">
        <v>46206</v>
      </c>
      <c r="C23" s="33">
        <v>7500000</v>
      </c>
      <c r="D23" s="32" t="s">
        <v>214</v>
      </c>
      <c r="E23" s="33"/>
      <c r="F23" s="34">
        <f>Таблица21339902946[[#This Row],[ ]]</f>
        <v>6</v>
      </c>
      <c r="G23" s="39">
        <v>46204</v>
      </c>
      <c r="H23" s="41" t="s">
        <v>67</v>
      </c>
      <c r="I23" s="41" t="s">
        <v>28</v>
      </c>
      <c r="J23" s="41">
        <v>32.832</v>
      </c>
      <c r="K23" s="33">
        <v>19</v>
      </c>
      <c r="L23" s="33">
        <v>750000</v>
      </c>
      <c r="M23" s="33">
        <f>Таблица21339902946[[#This Row],[113]]*Таблица21339902946[[#This Row],[15]]</f>
        <v>24624000</v>
      </c>
      <c r="N23" s="43"/>
    </row>
    <row r="24" spans="1:14">
      <c r="A24" s="29">
        <v>7</v>
      </c>
      <c r="B24" s="32">
        <v>46210</v>
      </c>
      <c r="C24" s="68">
        <v>41965000</v>
      </c>
      <c r="D24" s="32" t="s">
        <v>287</v>
      </c>
      <c r="E24" s="33"/>
      <c r="F24" s="34">
        <f>Таблица21339902946[[#This Row],[ ]]</f>
        <v>7</v>
      </c>
      <c r="G24" s="39">
        <v>46206</v>
      </c>
      <c r="H24" s="41" t="s">
        <v>74</v>
      </c>
      <c r="I24" s="41" t="s">
        <v>28</v>
      </c>
      <c r="J24" s="41">
        <v>32.832</v>
      </c>
      <c r="K24" s="43">
        <v>19</v>
      </c>
      <c r="L24" s="33">
        <v>700000</v>
      </c>
      <c r="M24" s="33">
        <f>Таблица21339902946[[#This Row],[113]]*Таблица21339902946[[#This Row],[15]]</f>
        <v>22982400</v>
      </c>
      <c r="N24" s="43">
        <v>2500000</v>
      </c>
    </row>
    <row r="25" spans="1:14">
      <c r="A25" s="29">
        <v>8</v>
      </c>
      <c r="B25" s="32">
        <v>46210</v>
      </c>
      <c r="C25" s="33">
        <v>4000000</v>
      </c>
      <c r="D25" s="32" t="s">
        <v>214</v>
      </c>
      <c r="E25" s="33"/>
      <c r="F25" s="34">
        <f>Таблица21339902946[[#This Row],[ ]]</f>
        <v>8</v>
      </c>
      <c r="G25" s="39">
        <v>46206</v>
      </c>
      <c r="H25" s="41" t="s">
        <v>78</v>
      </c>
      <c r="I25" s="41" t="s">
        <v>49</v>
      </c>
      <c r="J25" s="41">
        <v>32.832</v>
      </c>
      <c r="K25" s="43">
        <v>19</v>
      </c>
      <c r="L25" s="33">
        <v>700000</v>
      </c>
      <c r="M25" s="33">
        <f>Таблица21339902946[[#This Row],[113]]*Таблица21339902946[[#This Row],[15]]</f>
        <v>22982400</v>
      </c>
      <c r="N25" s="43">
        <v>2500000</v>
      </c>
    </row>
    <row r="26" spans="1:14">
      <c r="A26" s="29">
        <v>9</v>
      </c>
      <c r="B26" s="32">
        <v>46213</v>
      </c>
      <c r="C26" s="68">
        <v>20810000</v>
      </c>
      <c r="D26" s="32" t="s">
        <v>288</v>
      </c>
      <c r="E26" s="33"/>
      <c r="F26" s="34">
        <f>Таблица21339902946[[#This Row],[ ]]</f>
        <v>9</v>
      </c>
      <c r="G26" s="39">
        <v>46206</v>
      </c>
      <c r="H26" s="41" t="s">
        <v>79</v>
      </c>
      <c r="I26" s="41" t="s">
        <v>28</v>
      </c>
      <c r="J26" s="41">
        <v>32.832</v>
      </c>
      <c r="K26" s="43">
        <v>19</v>
      </c>
      <c r="L26" s="33">
        <v>700000</v>
      </c>
      <c r="M26" s="33">
        <f>Таблица21339902946[[#This Row],[113]]*Таблица21339902946[[#This Row],[15]]</f>
        <v>22982400</v>
      </c>
      <c r="N26" s="43">
        <v>2500000</v>
      </c>
    </row>
    <row r="27" spans="1:14">
      <c r="A27" s="29">
        <v>10</v>
      </c>
      <c r="B27" s="32">
        <v>46213</v>
      </c>
      <c r="C27" s="68">
        <v>46620000</v>
      </c>
      <c r="D27" s="32" t="s">
        <v>286</v>
      </c>
      <c r="E27" s="33"/>
      <c r="F27" s="34">
        <f>Таблица21339902946[[#This Row],[ ]]</f>
        <v>10</v>
      </c>
      <c r="G27" s="39">
        <v>46209</v>
      </c>
      <c r="H27" s="41" t="s">
        <v>90</v>
      </c>
      <c r="I27" s="41" t="s">
        <v>28</v>
      </c>
      <c r="J27" s="41">
        <v>32.832</v>
      </c>
      <c r="K27" s="43">
        <v>19</v>
      </c>
      <c r="L27" s="33">
        <v>700000</v>
      </c>
      <c r="M27" s="33">
        <f>Таблица21339902946[[#This Row],[113]]*Таблица21339902946[[#This Row],[15]]</f>
        <v>22982400</v>
      </c>
      <c r="N27" s="43">
        <v>2000000</v>
      </c>
    </row>
    <row r="28" spans="1:14">
      <c r="A28" s="29">
        <v>11</v>
      </c>
      <c r="B28" s="32">
        <v>46213</v>
      </c>
      <c r="C28" s="33">
        <v>7500000</v>
      </c>
      <c r="D28" s="32" t="s">
        <v>214</v>
      </c>
      <c r="E28" s="33"/>
      <c r="F28" s="34">
        <f>Таблица21339902946[[#This Row],[ ]]</f>
        <v>11</v>
      </c>
      <c r="G28" s="39">
        <v>46210</v>
      </c>
      <c r="H28" s="41" t="s">
        <v>93</v>
      </c>
      <c r="I28" s="41" t="s">
        <v>28</v>
      </c>
      <c r="J28" s="41">
        <v>32.832</v>
      </c>
      <c r="K28" s="43">
        <v>19</v>
      </c>
      <c r="L28" s="33">
        <v>700000</v>
      </c>
      <c r="M28" s="33">
        <f>Таблица21339902946[[#This Row],[113]]*Таблица21339902946[[#This Row],[15]]</f>
        <v>22982400</v>
      </c>
      <c r="N28" s="43">
        <v>2000000</v>
      </c>
    </row>
    <row r="29" spans="1:14">
      <c r="A29" s="29">
        <v>12</v>
      </c>
      <c r="B29" s="32">
        <v>46214</v>
      </c>
      <c r="C29" s="33">
        <v>4400000</v>
      </c>
      <c r="D29" s="32" t="s">
        <v>214</v>
      </c>
      <c r="E29" s="33"/>
      <c r="F29" s="34">
        <f>Таблица21339902946[[#This Row],[ ]]</f>
        <v>12</v>
      </c>
      <c r="G29" s="39">
        <v>46210</v>
      </c>
      <c r="H29" s="41" t="s">
        <v>94</v>
      </c>
      <c r="I29" s="41" t="s">
        <v>49</v>
      </c>
      <c r="J29" s="41">
        <v>32.832</v>
      </c>
      <c r="K29" s="43">
        <v>19</v>
      </c>
      <c r="L29" s="33">
        <v>700000</v>
      </c>
      <c r="M29" s="33">
        <f>Таблица21339902946[[#This Row],[113]]*Таблица21339902946[[#This Row],[15]]</f>
        <v>22982400</v>
      </c>
      <c r="N29" s="43">
        <v>2500000</v>
      </c>
    </row>
    <row r="30" spans="1:14">
      <c r="A30" s="29">
        <v>13</v>
      </c>
      <c r="B30" s="32">
        <v>46216</v>
      </c>
      <c r="C30" s="68">
        <v>23183000</v>
      </c>
      <c r="D30" s="41" t="s">
        <v>289</v>
      </c>
      <c r="E30" s="33"/>
      <c r="F30" s="34">
        <f>Таблица21339902946[[#This Row],[ ]]</f>
        <v>13</v>
      </c>
      <c r="G30" s="39">
        <v>46210</v>
      </c>
      <c r="H30" s="41" t="s">
        <v>68</v>
      </c>
      <c r="I30" s="41" t="s">
        <v>49</v>
      </c>
      <c r="J30" s="41">
        <v>32.832</v>
      </c>
      <c r="K30" s="43">
        <v>19</v>
      </c>
      <c r="L30" s="33">
        <v>700000</v>
      </c>
      <c r="M30" s="33">
        <f>Таблица21339902946[[#This Row],[113]]*Таблица21339902946[[#This Row],[15]]</f>
        <v>22982400</v>
      </c>
      <c r="N30" s="43">
        <v>2500000</v>
      </c>
    </row>
    <row r="31" spans="1:14">
      <c r="A31" s="29">
        <v>14</v>
      </c>
      <c r="B31" s="32">
        <v>46216</v>
      </c>
      <c r="C31" s="33">
        <v>2500000</v>
      </c>
      <c r="D31" s="32" t="s">
        <v>214</v>
      </c>
      <c r="E31" s="33"/>
      <c r="F31" s="34">
        <f>Таблица21339902946[[#This Row],[ ]]</f>
        <v>14</v>
      </c>
      <c r="G31" s="39">
        <v>46211</v>
      </c>
      <c r="H31" s="41" t="s">
        <v>104</v>
      </c>
      <c r="I31" s="41" t="s">
        <v>28</v>
      </c>
      <c r="J31" s="41">
        <v>32.832</v>
      </c>
      <c r="K31" s="43">
        <v>19</v>
      </c>
      <c r="L31" s="33">
        <v>700000</v>
      </c>
      <c r="M31" s="33">
        <f>Таблица21339902946[[#This Row],[113]]*Таблица21339902946[[#This Row],[15]]</f>
        <v>22982400</v>
      </c>
      <c r="N31" s="43">
        <v>2500000</v>
      </c>
    </row>
    <row r="32" spans="1:14">
      <c r="A32" s="29">
        <v>15</v>
      </c>
      <c r="B32" s="32">
        <v>46219</v>
      </c>
      <c r="C32" s="33">
        <v>2500000</v>
      </c>
      <c r="D32" s="32" t="s">
        <v>214</v>
      </c>
      <c r="E32" s="33"/>
      <c r="F32" s="34">
        <f>Таблица21339902946[[#This Row],[ ]]</f>
        <v>15</v>
      </c>
      <c r="G32" s="39">
        <v>46214</v>
      </c>
      <c r="H32" s="41" t="s">
        <v>112</v>
      </c>
      <c r="I32" s="41" t="s">
        <v>28</v>
      </c>
      <c r="J32" s="41">
        <v>32.832</v>
      </c>
      <c r="K32" s="43">
        <v>19</v>
      </c>
      <c r="L32" s="33">
        <v>700000</v>
      </c>
      <c r="M32" s="33">
        <f>Таблица21339902946[[#This Row],[113]]*Таблица21339902946[[#This Row],[15]]</f>
        <v>22982400</v>
      </c>
      <c r="N32" s="43">
        <v>2200000</v>
      </c>
    </row>
    <row r="33" spans="1:14">
      <c r="A33" s="29">
        <v>16</v>
      </c>
      <c r="B33" s="32">
        <v>46217</v>
      </c>
      <c r="C33" s="68">
        <v>24130000</v>
      </c>
      <c r="D33" s="32" t="s">
        <v>286</v>
      </c>
      <c r="E33" s="33"/>
      <c r="F33" s="34">
        <f>Таблица21339902946[[#This Row],[ ]]</f>
        <v>16</v>
      </c>
      <c r="G33" s="39">
        <v>46214</v>
      </c>
      <c r="H33" s="41" t="s">
        <v>120</v>
      </c>
      <c r="I33" s="41" t="s">
        <v>49</v>
      </c>
      <c r="J33" s="41">
        <v>32.832</v>
      </c>
      <c r="K33" s="43">
        <v>19</v>
      </c>
      <c r="L33" s="33">
        <v>700000</v>
      </c>
      <c r="M33" s="33">
        <f>Таблица21339902946[[#This Row],[113]]*Таблица21339902946[[#This Row],[15]]</f>
        <v>22982400</v>
      </c>
      <c r="N33" s="43">
        <v>2200000</v>
      </c>
    </row>
    <row r="34" spans="1:14">
      <c r="A34" s="29">
        <v>17</v>
      </c>
      <c r="B34" s="32">
        <v>46218</v>
      </c>
      <c r="C34" s="33">
        <v>70092000</v>
      </c>
      <c r="D34" s="33" t="s">
        <v>290</v>
      </c>
      <c r="E34" s="77"/>
      <c r="F34" s="34">
        <f>Таблица21339902946[[#This Row],[ ]]</f>
        <v>17</v>
      </c>
      <c r="G34" s="39">
        <v>46216</v>
      </c>
      <c r="H34" s="41" t="s">
        <v>127</v>
      </c>
      <c r="I34" s="41" t="s">
        <v>28</v>
      </c>
      <c r="J34" s="41">
        <v>32.832</v>
      </c>
      <c r="K34" s="43">
        <v>19</v>
      </c>
      <c r="L34" s="33">
        <v>700000</v>
      </c>
      <c r="M34" s="33">
        <f>Таблица21339902946[[#This Row],[113]]*Таблица21339902946[[#This Row],[15]]</f>
        <v>22982400</v>
      </c>
      <c r="N34" s="43">
        <v>2500000</v>
      </c>
    </row>
    <row r="35" spans="1:14">
      <c r="A35" s="29">
        <v>18</v>
      </c>
      <c r="B35" s="32">
        <v>46219</v>
      </c>
      <c r="C35" s="33">
        <v>23183000</v>
      </c>
      <c r="D35" s="33" t="s">
        <v>289</v>
      </c>
      <c r="E35" s="77"/>
      <c r="F35" s="34">
        <f>Таблица21339902946[[#This Row],[ ]]</f>
        <v>18</v>
      </c>
      <c r="G35" s="39">
        <v>46219</v>
      </c>
      <c r="H35" s="41" t="s">
        <v>158</v>
      </c>
      <c r="I35" s="41" t="s">
        <v>28</v>
      </c>
      <c r="J35" s="41">
        <v>32.832</v>
      </c>
      <c r="K35" s="43">
        <v>19</v>
      </c>
      <c r="L35" s="33">
        <v>700000</v>
      </c>
      <c r="M35" s="33">
        <f>Таблица21339902946[[#This Row],[113]]*Таблица21339902946[[#This Row],[15]]</f>
        <v>22982400</v>
      </c>
      <c r="N35" s="43">
        <v>2500000</v>
      </c>
    </row>
    <row r="36" spans="1:14">
      <c r="A36" s="29">
        <v>19</v>
      </c>
      <c r="B36" s="32">
        <v>46220</v>
      </c>
      <c r="C36" s="33">
        <v>2500000</v>
      </c>
      <c r="D36" s="32" t="s">
        <v>214</v>
      </c>
      <c r="E36" s="77"/>
      <c r="F36" s="34">
        <f>Таблица21339902946[[#This Row],[ ]]</f>
        <v>19</v>
      </c>
      <c r="G36" s="39">
        <v>46220</v>
      </c>
      <c r="H36" s="41" t="s">
        <v>167</v>
      </c>
      <c r="I36" s="41" t="s">
        <v>28</v>
      </c>
      <c r="J36" s="41">
        <v>32.832</v>
      </c>
      <c r="K36" s="43">
        <v>19</v>
      </c>
      <c r="L36" s="33">
        <v>700000</v>
      </c>
      <c r="M36" s="33">
        <f>Таблица21339902946[[#This Row],[113]]*Таблица21339902946[[#This Row],[15]]</f>
        <v>22982400</v>
      </c>
      <c r="N36" s="43">
        <v>2500000</v>
      </c>
    </row>
    <row r="37" spans="1:14">
      <c r="A37" s="29">
        <v>20</v>
      </c>
      <c r="B37" s="32">
        <v>46221</v>
      </c>
      <c r="C37" s="33">
        <v>5000000</v>
      </c>
      <c r="D37" s="32" t="s">
        <v>214</v>
      </c>
      <c r="E37" s="77"/>
      <c r="F37" s="34">
        <f>Таблица21339902946[[#This Row],[ ]]</f>
        <v>20</v>
      </c>
      <c r="G37" s="39">
        <v>46221</v>
      </c>
      <c r="H37" s="41" t="s">
        <v>170</v>
      </c>
      <c r="I37" s="41" t="s">
        <v>28</v>
      </c>
      <c r="J37" s="41">
        <v>32.832</v>
      </c>
      <c r="K37" s="43">
        <v>19</v>
      </c>
      <c r="L37" s="33">
        <v>700000</v>
      </c>
      <c r="M37" s="33">
        <f>Таблица21339902946[[#This Row],[113]]*Таблица21339902946[[#This Row],[15]]</f>
        <v>22982400</v>
      </c>
      <c r="N37" s="43">
        <v>2500000</v>
      </c>
    </row>
    <row r="38" spans="1:14">
      <c r="A38" s="29">
        <v>21</v>
      </c>
      <c r="B38" s="32">
        <v>46223</v>
      </c>
      <c r="C38" s="33">
        <v>71748000</v>
      </c>
      <c r="D38" s="33" t="s">
        <v>290</v>
      </c>
      <c r="E38" s="77"/>
      <c r="F38" s="34">
        <f>Таблица21339902946[[#This Row],[ ]]</f>
        <v>21</v>
      </c>
      <c r="G38" s="39">
        <v>46221</v>
      </c>
      <c r="H38" s="41" t="s">
        <v>175</v>
      </c>
      <c r="I38" s="41" t="s">
        <v>28</v>
      </c>
      <c r="J38" s="41">
        <v>32.832</v>
      </c>
      <c r="K38" s="43">
        <v>19</v>
      </c>
      <c r="L38" s="33">
        <v>700000</v>
      </c>
      <c r="M38" s="33">
        <f>Таблица21339902946[[#This Row],[113]]*Таблица21339902946[[#This Row],[15]]</f>
        <v>22982400</v>
      </c>
      <c r="N38" s="43">
        <v>2500000</v>
      </c>
    </row>
    <row r="39" spans="1:14">
      <c r="A39" s="29">
        <v>22</v>
      </c>
      <c r="B39" s="32">
        <v>46223</v>
      </c>
      <c r="C39" s="33">
        <v>2500000</v>
      </c>
      <c r="D39" s="32" t="s">
        <v>214</v>
      </c>
      <c r="E39" s="77"/>
      <c r="F39" s="34">
        <f>Таблица21339902946[[#This Row],[ ]]</f>
        <v>22</v>
      </c>
      <c r="G39" s="39">
        <v>46223</v>
      </c>
      <c r="H39" s="41" t="s">
        <v>88</v>
      </c>
      <c r="I39" s="41" t="s">
        <v>49</v>
      </c>
      <c r="J39" s="41">
        <v>32.832</v>
      </c>
      <c r="K39" s="43">
        <v>19</v>
      </c>
      <c r="L39" s="33">
        <v>700000</v>
      </c>
      <c r="M39" s="33">
        <f>Таблица21339902946[[#This Row],[113]]*Таблица21339902946[[#This Row],[15]]</f>
        <v>22982400</v>
      </c>
      <c r="N39" s="43">
        <v>2500000</v>
      </c>
    </row>
    <row r="40" spans="1:14">
      <c r="A40" s="29">
        <v>23</v>
      </c>
      <c r="B40" s="32">
        <v>46223</v>
      </c>
      <c r="C40" s="33">
        <v>2500000</v>
      </c>
      <c r="D40" s="32" t="s">
        <v>214</v>
      </c>
      <c r="E40" s="77"/>
      <c r="F40" s="34">
        <f>Таблица21339902946[[#This Row],[ ]]</f>
        <v>23</v>
      </c>
      <c r="G40" s="39">
        <v>46223</v>
      </c>
      <c r="H40" s="41" t="s">
        <v>179</v>
      </c>
      <c r="I40" s="41" t="s">
        <v>28</v>
      </c>
      <c r="J40" s="41">
        <v>32.832</v>
      </c>
      <c r="K40" s="43">
        <v>19</v>
      </c>
      <c r="L40" s="33">
        <v>700000</v>
      </c>
      <c r="M40" s="33">
        <f>Таблица21339902946[[#This Row],[113]]*Таблица21339902946[[#This Row],[15]]</f>
        <v>22982400</v>
      </c>
      <c r="N40" s="43">
        <v>2500000</v>
      </c>
    </row>
    <row r="41" spans="1:14">
      <c r="A41" s="29">
        <v>24</v>
      </c>
      <c r="B41" s="32">
        <v>46227</v>
      </c>
      <c r="C41" s="33">
        <v>2500000</v>
      </c>
      <c r="D41" s="32" t="s">
        <v>214</v>
      </c>
      <c r="E41" s="77"/>
      <c r="F41" s="34">
        <f>Таблица21339902946[[#This Row],[ ]]</f>
        <v>24</v>
      </c>
      <c r="G41" s="39">
        <v>46226</v>
      </c>
      <c r="H41" s="41" t="s">
        <v>185</v>
      </c>
      <c r="I41" s="41" t="s">
        <v>28</v>
      </c>
      <c r="J41" s="41">
        <v>32.832</v>
      </c>
      <c r="K41" s="43">
        <v>19</v>
      </c>
      <c r="L41" s="33">
        <v>700000</v>
      </c>
      <c r="M41" s="33">
        <f>Таблица21339902946[[#This Row],[113]]*Таблица21339902946[[#This Row],[15]]</f>
        <v>22982400</v>
      </c>
      <c r="N41" s="43"/>
    </row>
    <row r="42" spans="1:14">
      <c r="A42" s="29">
        <v>25</v>
      </c>
      <c r="B42" s="32">
        <v>46227</v>
      </c>
      <c r="C42" s="33">
        <v>25000000</v>
      </c>
      <c r="D42" s="33" t="s">
        <v>288</v>
      </c>
      <c r="E42" s="77"/>
      <c r="F42" s="34">
        <f>Таблица21339902946[[#This Row],[ ]]</f>
        <v>25</v>
      </c>
      <c r="G42" s="39">
        <v>46227</v>
      </c>
      <c r="H42" s="41" t="s">
        <v>119</v>
      </c>
      <c r="I42" s="41" t="s">
        <v>187</v>
      </c>
      <c r="J42" s="41">
        <v>32.832</v>
      </c>
      <c r="K42" s="43">
        <v>19</v>
      </c>
      <c r="L42" s="33">
        <v>700000</v>
      </c>
      <c r="M42" s="33">
        <f>Таблица21339902946[[#This Row],[113]]*Таблица21339902946[[#This Row],[15]]</f>
        <v>22982400</v>
      </c>
      <c r="N42" s="43"/>
    </row>
    <row r="43" spans="1:14">
      <c r="A43" s="29">
        <v>26</v>
      </c>
      <c r="B43" s="32">
        <v>46227</v>
      </c>
      <c r="C43" s="33">
        <v>20000000</v>
      </c>
      <c r="D43" s="33" t="s">
        <v>291</v>
      </c>
      <c r="E43" s="77"/>
      <c r="F43" s="34">
        <f>Таблица21339902946[[#This Row],[ ]]</f>
        <v>26</v>
      </c>
      <c r="G43" s="39">
        <v>46228</v>
      </c>
      <c r="H43" s="41" t="s">
        <v>171</v>
      </c>
      <c r="I43" s="41" t="s">
        <v>28</v>
      </c>
      <c r="J43" s="41">
        <v>32.832</v>
      </c>
      <c r="K43" s="43">
        <v>19</v>
      </c>
      <c r="L43" s="33">
        <v>700000</v>
      </c>
      <c r="M43" s="33">
        <f>Таблица21339902946[[#This Row],[113]]*Таблица21339902946[[#This Row],[15]]</f>
        <v>22982400</v>
      </c>
      <c r="N43" s="43"/>
    </row>
    <row r="44" spans="1:14">
      <c r="A44" s="29">
        <v>27</v>
      </c>
      <c r="B44" s="32">
        <v>46227</v>
      </c>
      <c r="C44" s="33">
        <v>50000000</v>
      </c>
      <c r="D44" s="33" t="s">
        <v>288</v>
      </c>
      <c r="E44" s="77"/>
      <c r="F44" s="34">
        <f>Таблица21339902946[[#This Row],[ ]]</f>
        <v>27</v>
      </c>
      <c r="G44" s="39">
        <v>46229</v>
      </c>
      <c r="H44" s="41" t="s">
        <v>67</v>
      </c>
      <c r="I44" s="41" t="s">
        <v>28</v>
      </c>
      <c r="J44" s="41">
        <v>32.832</v>
      </c>
      <c r="K44" s="43">
        <v>19</v>
      </c>
      <c r="L44" s="33">
        <v>700000</v>
      </c>
      <c r="M44" s="33">
        <f>Таблица21339902946[[#This Row],[113]]*Таблица21339902946[[#This Row],[15]]</f>
        <v>22982400</v>
      </c>
      <c r="N44" s="43"/>
    </row>
    <row r="45" spans="1:14">
      <c r="A45" s="29">
        <v>28</v>
      </c>
      <c r="B45" s="39">
        <v>46227</v>
      </c>
      <c r="C45" s="33">
        <v>2500000</v>
      </c>
      <c r="D45" s="32" t="s">
        <v>214</v>
      </c>
      <c r="E45" s="77"/>
      <c r="F45" s="34">
        <f>Таблица21339902946[[#This Row],[ ]]</f>
        <v>28</v>
      </c>
      <c r="G45" s="39">
        <v>46230</v>
      </c>
      <c r="H45" s="41" t="s">
        <v>196</v>
      </c>
      <c r="I45" s="41" t="s">
        <v>28</v>
      </c>
      <c r="J45" s="41">
        <v>32.832</v>
      </c>
      <c r="K45" s="43">
        <v>19</v>
      </c>
      <c r="L45" s="33">
        <v>700000</v>
      </c>
      <c r="M45" s="33">
        <f>Таблица21339902946[[#This Row],[113]]*Таблица21339902946[[#This Row],[15]]</f>
        <v>22982400</v>
      </c>
      <c r="N45" s="43"/>
    </row>
    <row r="46" spans="1:14">
      <c r="A46" s="29">
        <v>29</v>
      </c>
      <c r="B46" s="39">
        <v>46228</v>
      </c>
      <c r="C46" s="33">
        <v>2500000</v>
      </c>
      <c r="D46" s="32" t="s">
        <v>214</v>
      </c>
      <c r="E46" s="77"/>
      <c r="F46" s="34">
        <f>Таблица21339902946[[#This Row],[ ]]</f>
        <v>29</v>
      </c>
      <c r="G46" s="39">
        <v>46231</v>
      </c>
      <c r="H46" s="41" t="s">
        <v>198</v>
      </c>
      <c r="I46" s="41" t="s">
        <v>28</v>
      </c>
      <c r="J46" s="41">
        <v>32.832</v>
      </c>
      <c r="K46" s="43">
        <v>19</v>
      </c>
      <c r="L46" s="33">
        <v>700000</v>
      </c>
      <c r="M46" s="33">
        <f>Таблица21339902946[[#This Row],[113]]*Таблица21339902946[[#This Row],[15]]</f>
        <v>22982400</v>
      </c>
      <c r="N46" s="43"/>
    </row>
    <row r="47" spans="1:14">
      <c r="A47" s="29">
        <v>30</v>
      </c>
      <c r="B47" s="39">
        <v>46229</v>
      </c>
      <c r="C47" s="33">
        <v>2500000</v>
      </c>
      <c r="D47" s="32" t="s">
        <v>214</v>
      </c>
      <c r="E47" s="77"/>
      <c r="F47" s="34">
        <f>Таблица21339902946[[#This Row],[ ]]</f>
        <v>30</v>
      </c>
      <c r="G47" s="39"/>
      <c r="H47" s="41"/>
      <c r="I47" s="41"/>
      <c r="J47" s="41"/>
      <c r="K47" s="43"/>
      <c r="L47" s="33"/>
      <c r="M47" s="33">
        <f>Таблица21339902946[[#This Row],[113]]*Таблица21339902946[[#This Row],[15]]</f>
        <v>0</v>
      </c>
      <c r="N47" s="43"/>
    </row>
    <row r="48" spans="1:14">
      <c r="A48" s="29">
        <v>31</v>
      </c>
      <c r="B48" s="39">
        <v>46230</v>
      </c>
      <c r="C48" s="33">
        <v>2500000</v>
      </c>
      <c r="D48" s="32" t="s">
        <v>214</v>
      </c>
      <c r="E48" s="77"/>
      <c r="F48" s="34">
        <f>Таблица21339902946[[#This Row],[ ]]</f>
        <v>31</v>
      </c>
      <c r="G48" s="39"/>
      <c r="H48" s="41"/>
      <c r="I48" s="41"/>
      <c r="J48" s="41"/>
      <c r="K48" s="43"/>
      <c r="L48" s="33"/>
      <c r="M48" s="33">
        <f>Таблица21339902946[[#This Row],[113]]*Таблица21339902946[[#This Row],[15]]</f>
        <v>0</v>
      </c>
      <c r="N48" s="43"/>
    </row>
    <row r="49" spans="1:14">
      <c r="A49" s="29">
        <v>32</v>
      </c>
      <c r="B49" s="39">
        <v>46231</v>
      </c>
      <c r="C49" s="33">
        <v>2500000</v>
      </c>
      <c r="D49" s="32" t="s">
        <v>214</v>
      </c>
      <c r="E49" s="77"/>
      <c r="F49" s="34">
        <f>Таблица21339902946[[#This Row],[ ]]</f>
        <v>32</v>
      </c>
      <c r="G49" s="39"/>
      <c r="H49" s="41"/>
      <c r="I49" s="41"/>
      <c r="J49" s="41"/>
      <c r="K49" s="43"/>
      <c r="L49" s="33"/>
      <c r="M49" s="33">
        <f>Таблица21339902946[[#This Row],[113]]*Таблица21339902946[[#This Row],[15]]</f>
        <v>0</v>
      </c>
      <c r="N49" s="43"/>
    </row>
    <row r="50" spans="1:14">
      <c r="A50" s="29">
        <v>33</v>
      </c>
      <c r="B50" s="32">
        <v>46231</v>
      </c>
      <c r="C50" s="33">
        <v>100000000</v>
      </c>
      <c r="D50" s="33" t="s">
        <v>286</v>
      </c>
      <c r="E50" s="33"/>
      <c r="F50" s="34">
        <f>Таблица21339902946[[#This Row],[ ]]</f>
        <v>33</v>
      </c>
      <c r="G50" s="39"/>
      <c r="H50" s="41"/>
      <c r="I50" s="41"/>
      <c r="J50" s="41"/>
      <c r="K50" s="43"/>
      <c r="L50" s="33"/>
      <c r="M50" s="33">
        <f>Таблица21339902946[[#This Row],[113]]*Таблица21339902946[[#This Row],[15]]</f>
        <v>0</v>
      </c>
      <c r="N50" s="43"/>
    </row>
    <row r="51" spans="1:14">
      <c r="A51" s="29">
        <v>34</v>
      </c>
      <c r="B51" s="32"/>
      <c r="C51" s="33"/>
      <c r="D51" s="33"/>
      <c r="E51" s="77"/>
      <c r="F51" s="34">
        <f>Таблица21339902946[[#This Row],[ ]]</f>
        <v>34</v>
      </c>
      <c r="G51" s="39"/>
      <c r="H51" s="41"/>
      <c r="I51" s="41"/>
      <c r="J51" s="41"/>
      <c r="K51" s="43"/>
      <c r="L51" s="33"/>
      <c r="M51" s="33">
        <f>Таблица21339902946[[#This Row],[113]]*Таблица21339902946[[#This Row],[15]]</f>
        <v>0</v>
      </c>
      <c r="N51" s="43"/>
    </row>
    <row r="52" spans="1:14">
      <c r="A52" s="29">
        <v>35</v>
      </c>
      <c r="B52" s="32"/>
      <c r="C52" s="33"/>
      <c r="D52" s="33"/>
      <c r="E52" s="77"/>
      <c r="F52" s="34">
        <f>Таблица21339902946[[#This Row],[ ]]</f>
        <v>35</v>
      </c>
      <c r="G52" s="39"/>
      <c r="H52" s="41"/>
      <c r="I52" s="41"/>
      <c r="J52" s="41"/>
      <c r="K52" s="43"/>
      <c r="L52" s="33"/>
      <c r="M52" s="33">
        <f>Таблица21339902946[[#This Row],[113]]*Таблица21339902946[[#This Row],[15]]</f>
        <v>0</v>
      </c>
      <c r="N52" s="43"/>
    </row>
    <row r="53" spans="1:14">
      <c r="A53" s="29">
        <v>36</v>
      </c>
      <c r="B53" s="32"/>
      <c r="C53" s="33"/>
      <c r="D53" s="33"/>
      <c r="E53" s="77"/>
      <c r="F53" s="34">
        <f>Таблица21339902946[[#This Row],[ ]]</f>
        <v>36</v>
      </c>
      <c r="G53" s="39"/>
      <c r="H53" s="41"/>
      <c r="I53" s="41"/>
      <c r="J53" s="41"/>
      <c r="K53" s="43"/>
      <c r="L53" s="33"/>
      <c r="M53" s="33">
        <f>Таблица21339902946[[#This Row],[113]]*Таблица21339902946[[#This Row],[15]]</f>
        <v>0</v>
      </c>
      <c r="N53" s="43"/>
    </row>
    <row r="54" spans="1:14">
      <c r="A54" s="29">
        <v>37</v>
      </c>
      <c r="B54" s="32"/>
      <c r="C54" s="33"/>
      <c r="D54" s="33"/>
      <c r="E54" s="77"/>
      <c r="F54" s="34">
        <f>Таблица21339902946[[#This Row],[ ]]</f>
        <v>37</v>
      </c>
      <c r="G54" s="39"/>
      <c r="H54" s="41"/>
      <c r="I54" s="41"/>
      <c r="J54" s="41"/>
      <c r="K54" s="43"/>
      <c r="L54" s="33"/>
      <c r="M54" s="33">
        <f>Таблица21339902946[[#This Row],[113]]*Таблица21339902946[[#This Row],[15]]</f>
        <v>0</v>
      </c>
      <c r="N54" s="43"/>
    </row>
    <row r="55" spans="1:14">
      <c r="A55" s="45"/>
      <c r="B55" s="57"/>
      <c r="C55" s="33">
        <f>SUBTOTAL(109,Таблица21339902946[2])</f>
        <v>780526200</v>
      </c>
      <c r="D55" s="33"/>
      <c r="E55" s="47"/>
      <c r="F55" s="46"/>
      <c r="G55" s="48"/>
      <c r="H55" s="49"/>
      <c r="I55" s="49"/>
      <c r="J55" s="49"/>
      <c r="K55" s="49">
        <f>SUBTOTAL(109,Таблица21339902946[1132])</f>
        <v>550</v>
      </c>
      <c r="L55" s="51"/>
      <c r="M55" s="51">
        <f>SUBTOTAL(109,Таблица21339902946[16])</f>
        <v>675043200</v>
      </c>
      <c r="N55" s="49"/>
    </row>
    <row r="57" ht="18.75" spans="1:14">
      <c r="A57" s="2"/>
      <c r="B57" s="3"/>
      <c r="C57" s="4" t="s">
        <v>211</v>
      </c>
      <c r="D57" s="70" t="s">
        <v>292</v>
      </c>
      <c r="E57" s="6"/>
      <c r="H57" s="1" t="s">
        <v>213</v>
      </c>
      <c r="I57" s="1">
        <f>SUMIFS(C:C,D:D,J57)</f>
        <v>62900000</v>
      </c>
      <c r="J57" s="32" t="s">
        <v>214</v>
      </c>
    </row>
    <row r="58" ht="20.25" spans="1:14">
      <c r="A58" s="7" t="s">
        <v>215</v>
      </c>
      <c r="B58" s="7"/>
      <c r="C58" s="8"/>
      <c r="D58" s="8"/>
      <c r="E58" s="8"/>
      <c r="F58" s="53">
        <f>Таблица21339902946915[[#Totals],[2]]+-Таблица21339902946915[[#Totals],[16]]</f>
        <v>0</v>
      </c>
      <c r="G58" s="54"/>
    </row>
    <row r="59" spans="1:14">
      <c r="A59" s="10" t="s">
        <v>216</v>
      </c>
      <c r="B59" s="10" t="s">
        <v>217</v>
      </c>
      <c r="C59" s="10" t="s">
        <v>218</v>
      </c>
      <c r="D59" s="10" t="s">
        <v>219</v>
      </c>
      <c r="E59" s="13" t="s">
        <v>220</v>
      </c>
      <c r="F59" s="14" t="s">
        <v>216</v>
      </c>
      <c r="G59" s="14" t="s">
        <v>217</v>
      </c>
      <c r="H59" s="14" t="s">
        <v>221</v>
      </c>
      <c r="I59" s="15" t="s">
        <v>6</v>
      </c>
      <c r="J59" s="16" t="s">
        <v>7</v>
      </c>
      <c r="K59" s="16" t="s">
        <v>222</v>
      </c>
      <c r="L59" s="14" t="s">
        <v>223</v>
      </c>
      <c r="M59" s="15" t="s">
        <v>218</v>
      </c>
    </row>
    <row r="60" spans="1:14">
      <c r="A60" s="10"/>
      <c r="B60" s="10"/>
      <c r="C60" s="17"/>
      <c r="D60" s="18"/>
      <c r="E60" s="19"/>
      <c r="F60" s="14"/>
      <c r="G60" s="14"/>
      <c r="H60" s="14"/>
      <c r="I60" s="20"/>
      <c r="J60" s="20"/>
      <c r="K60" s="21"/>
      <c r="L60" s="14"/>
      <c r="M60" s="25"/>
    </row>
    <row r="61" ht="15.75" spans="1:14">
      <c r="A61" s="10"/>
      <c r="B61" s="10"/>
      <c r="C61" s="55">
        <f>Таблица21339902946915[[#Totals],[2]]</f>
        <v>68947200</v>
      </c>
      <c r="D61" s="23"/>
      <c r="E61" s="24">
        <f>SUM(Таблица21339902946915[4])</f>
        <v>0</v>
      </c>
      <c r="F61" s="14"/>
      <c r="G61" s="14"/>
      <c r="H61" s="14"/>
      <c r="I61" s="25"/>
      <c r="J61" s="25"/>
      <c r="K61" s="26">
        <f>Таблица21339902946915[[#Totals],[1132]]</f>
        <v>57</v>
      </c>
      <c r="L61" s="14"/>
      <c r="M61" s="9">
        <f>Таблица21339902946915[[#Totals],[16]]</f>
        <v>68947200</v>
      </c>
    </row>
    <row r="62" spans="1:14">
      <c r="A62" s="27" t="s">
        <v>211</v>
      </c>
      <c r="B62" s="28" t="s">
        <v>224</v>
      </c>
      <c r="C62" s="28" t="s">
        <v>225</v>
      </c>
      <c r="D62" s="28" t="s">
        <v>226</v>
      </c>
      <c r="E62" s="28" t="s">
        <v>227</v>
      </c>
      <c r="F62" s="28" t="s">
        <v>228</v>
      </c>
      <c r="G62" s="28" t="s">
        <v>229</v>
      </c>
      <c r="H62" s="28" t="s">
        <v>230</v>
      </c>
      <c r="I62" s="28" t="s">
        <v>231</v>
      </c>
      <c r="J62" s="28" t="s">
        <v>232</v>
      </c>
      <c r="K62" s="28" t="s">
        <v>233</v>
      </c>
      <c r="L62" s="28" t="s">
        <v>234</v>
      </c>
      <c r="M62" s="28" t="s">
        <v>235</v>
      </c>
      <c r="N62" s="65" t="s">
        <v>238</v>
      </c>
    </row>
    <row r="63" ht="15" spans="1:14">
      <c r="A63" s="29">
        <v>1</v>
      </c>
      <c r="B63" s="39">
        <v>46209</v>
      </c>
      <c r="C63" s="56">
        <v>20982400</v>
      </c>
      <c r="D63" s="32" t="s">
        <v>293</v>
      </c>
      <c r="E63" s="33"/>
      <c r="F63" s="34">
        <f>Таблица21339902946915[[#This Row],[ ]]</f>
        <v>1</v>
      </c>
      <c r="G63" s="32">
        <v>46209</v>
      </c>
      <c r="H63" s="35" t="s">
        <v>68</v>
      </c>
      <c r="I63" s="36" t="s">
        <v>28</v>
      </c>
      <c r="J63" s="37">
        <v>32.832</v>
      </c>
      <c r="K63" s="38">
        <v>19</v>
      </c>
      <c r="L63" s="33">
        <v>700000</v>
      </c>
      <c r="M63" s="33">
        <f>Таблица21339902946915[[#This Row],[113]]*Таблица21339902946915[[#This Row],[15]]</f>
        <v>22982400</v>
      </c>
      <c r="N63" s="38"/>
    </row>
    <row r="64" spans="1:14">
      <c r="A64" s="29">
        <v>2</v>
      </c>
      <c r="B64" s="39">
        <v>46209</v>
      </c>
      <c r="C64" s="33">
        <v>2000000</v>
      </c>
      <c r="D64" s="32" t="s">
        <v>214</v>
      </c>
      <c r="E64" s="33"/>
      <c r="F64" s="34">
        <f>Таблица21339902946915[[#This Row],[ ]]</f>
        <v>2</v>
      </c>
      <c r="G64" s="32">
        <v>46209</v>
      </c>
      <c r="H64" s="35" t="s">
        <v>68</v>
      </c>
      <c r="I64" s="36" t="s">
        <v>28</v>
      </c>
      <c r="J64" s="37">
        <v>32.832</v>
      </c>
      <c r="K64" s="38">
        <v>19</v>
      </c>
      <c r="L64" s="33">
        <v>700000</v>
      </c>
      <c r="M64" s="33">
        <f>Таблица21339902946915[[#This Row],[113]]*Таблица21339902946915[[#This Row],[15]]</f>
        <v>22982400</v>
      </c>
      <c r="N64" s="43">
        <v>2200000</v>
      </c>
    </row>
    <row r="65" spans="1:14">
      <c r="A65" s="29">
        <v>3</v>
      </c>
      <c r="B65" s="78">
        <v>46213</v>
      </c>
      <c r="C65" s="79">
        <v>41564800</v>
      </c>
      <c r="D65" s="80" t="s">
        <v>293</v>
      </c>
      <c r="E65" s="33"/>
      <c r="F65" s="34">
        <f>Таблица21339902946915[[#This Row],[ ]]</f>
        <v>3</v>
      </c>
      <c r="G65" s="32">
        <v>46217</v>
      </c>
      <c r="H65" s="35" t="s">
        <v>128</v>
      </c>
      <c r="I65" s="36" t="s">
        <v>49</v>
      </c>
      <c r="J65" s="37">
        <v>32.832</v>
      </c>
      <c r="K65" s="38">
        <v>19</v>
      </c>
      <c r="L65" s="33">
        <v>700000</v>
      </c>
      <c r="M65" s="33">
        <f>Таблица21339902946915[[#This Row],[113]]*Таблица21339902946915[[#This Row],[15]]</f>
        <v>22982400</v>
      </c>
      <c r="N65" s="43">
        <v>2500000</v>
      </c>
    </row>
    <row r="66" spans="1:14">
      <c r="A66" s="29">
        <v>4</v>
      </c>
      <c r="B66" s="78">
        <v>46213</v>
      </c>
      <c r="C66" s="79">
        <v>4620000</v>
      </c>
      <c r="D66" s="80" t="s">
        <v>293</v>
      </c>
      <c r="E66" s="33"/>
      <c r="F66" s="34">
        <f>Таблица21339902946915[[#This Row],[ ]]</f>
        <v>4</v>
      </c>
      <c r="G66" s="39"/>
      <c r="H66" s="41"/>
      <c r="I66" s="41"/>
      <c r="J66" s="41"/>
      <c r="K66" s="33"/>
      <c r="L66" s="43"/>
      <c r="M66" s="33">
        <f>Таблица21339902946915[[#This Row],[113]]*Таблица21339902946915[[#This Row],[15]]</f>
        <v>0</v>
      </c>
      <c r="N66" s="43"/>
    </row>
    <row r="67" spans="1:14">
      <c r="A67" s="29">
        <v>5</v>
      </c>
      <c r="B67" s="44">
        <v>46213</v>
      </c>
      <c r="C67" s="33">
        <v>-220000</v>
      </c>
      <c r="D67" s="32" t="s">
        <v>294</v>
      </c>
      <c r="E67" s="33"/>
      <c r="F67" s="34">
        <f>Таблица21339902946915[[#This Row],[ ]]</f>
        <v>5</v>
      </c>
      <c r="G67" s="39"/>
      <c r="H67" s="41"/>
      <c r="I67" s="41"/>
      <c r="J67" s="41"/>
      <c r="K67" s="33"/>
      <c r="L67" s="43"/>
      <c r="M67" s="33">
        <f>Таблица21339902946915[[#This Row],[113]]*Таблица21339902946915[[#This Row],[15]]</f>
        <v>0</v>
      </c>
      <c r="N67" s="43"/>
    </row>
    <row r="68" spans="1:14">
      <c r="A68" s="29">
        <v>6</v>
      </c>
      <c r="B68" s="44"/>
      <c r="C68" s="33"/>
      <c r="D68" s="32"/>
      <c r="E68" s="33"/>
      <c r="F68" s="34">
        <f>Таблица21339902946915[[#This Row],[ ]]</f>
        <v>6</v>
      </c>
      <c r="G68" s="39"/>
      <c r="H68" s="41"/>
      <c r="I68" s="41"/>
      <c r="J68" s="41"/>
      <c r="K68" s="33"/>
      <c r="L68" s="43"/>
      <c r="M68" s="33">
        <f>Таблица21339902946915[[#This Row],[113]]*Таблица21339902946915[[#This Row],[15]]</f>
        <v>0</v>
      </c>
      <c r="N68" s="43"/>
    </row>
    <row r="69" spans="1:14">
      <c r="A69" s="45"/>
      <c r="B69" s="57"/>
      <c r="C69" s="33">
        <f>SUBTOTAL(109,Таблица21339902946915[2])</f>
        <v>68947200</v>
      </c>
      <c r="D69" s="33"/>
      <c r="E69" s="47"/>
      <c r="F69" s="46"/>
      <c r="G69" s="48"/>
      <c r="H69" s="49"/>
      <c r="I69" s="49"/>
      <c r="J69" s="49"/>
      <c r="K69" s="49">
        <f>SUBTOTAL(109,Таблица21339902946915[1132])</f>
        <v>57</v>
      </c>
      <c r="L69" s="51"/>
      <c r="M69" s="51">
        <f>SUBTOTAL(109,Таблица21339902946915[16])</f>
        <v>68947200</v>
      </c>
      <c r="N69" s="49"/>
    </row>
    <row r="71" ht="15.75" spans="1:14">
      <c r="A71" s="2"/>
      <c r="B71" s="3"/>
      <c r="C71" s="4" t="s">
        <v>211</v>
      </c>
      <c r="D71" s="81" t="s">
        <v>295</v>
      </c>
      <c r="E71" s="6"/>
      <c r="H71" s="1" t="s">
        <v>213</v>
      </c>
      <c r="I71" s="1">
        <f>SUMIFS(C:C,D:D,J71)</f>
        <v>62900000</v>
      </c>
      <c r="J71" s="32" t="s">
        <v>214</v>
      </c>
    </row>
    <row r="72" ht="20.25" spans="1:14">
      <c r="A72" s="7" t="s">
        <v>215</v>
      </c>
      <c r="B72" s="7"/>
      <c r="C72" s="8"/>
      <c r="D72" s="8"/>
      <c r="E72" s="8"/>
      <c r="F72" s="53">
        <f>Таблица2133990294678131617212223[[#Totals],[2]]+-Таблица2133990294678131617212223[[#Totals],[16]]</f>
        <v>0</v>
      </c>
      <c r="G72" s="54"/>
    </row>
    <row r="73" spans="1:14">
      <c r="A73" s="10" t="s">
        <v>216</v>
      </c>
      <c r="B73" s="10" t="s">
        <v>217</v>
      </c>
      <c r="C73" s="10" t="s">
        <v>218</v>
      </c>
      <c r="D73" s="10" t="s">
        <v>219</v>
      </c>
      <c r="E73" s="13" t="s">
        <v>220</v>
      </c>
      <c r="F73" s="14" t="s">
        <v>216</v>
      </c>
      <c r="G73" s="14" t="s">
        <v>217</v>
      </c>
      <c r="H73" s="14" t="s">
        <v>221</v>
      </c>
      <c r="I73" s="15" t="s">
        <v>6</v>
      </c>
      <c r="J73" s="16" t="s">
        <v>7</v>
      </c>
      <c r="K73" s="16" t="s">
        <v>222</v>
      </c>
      <c r="L73" s="14" t="s">
        <v>223</v>
      </c>
      <c r="M73" s="15" t="s">
        <v>218</v>
      </c>
    </row>
    <row r="74" spans="1:14">
      <c r="A74" s="10"/>
      <c r="B74" s="10"/>
      <c r="C74" s="17"/>
      <c r="D74" s="18"/>
      <c r="E74" s="19"/>
      <c r="F74" s="14"/>
      <c r="G74" s="14"/>
      <c r="H74" s="14"/>
      <c r="I74" s="20"/>
      <c r="J74" s="71"/>
      <c r="K74" s="21"/>
      <c r="L74" s="14"/>
      <c r="M74" s="25"/>
    </row>
    <row r="75" ht="15.75" spans="1:14">
      <c r="A75" s="10"/>
      <c r="B75" s="10"/>
      <c r="C75" s="55">
        <f>Таблица2133990294678131617212223[[#Totals],[2]]</f>
        <v>45964800</v>
      </c>
      <c r="D75" s="23"/>
      <c r="E75" s="24">
        <f>SUM(Таблица2133990294678131617212223[4])</f>
        <v>0</v>
      </c>
      <c r="F75" s="14"/>
      <c r="G75" s="14"/>
      <c r="H75" s="14"/>
      <c r="I75" s="25"/>
      <c r="J75" s="72">
        <f>SUM(Таблица2133990294678131617212223[113])</f>
        <v>65.664</v>
      </c>
      <c r="K75" s="26">
        <f>Таблица2133990294678131617212223[[#Totals],[1132]]</f>
        <v>38</v>
      </c>
      <c r="L75" s="14"/>
      <c r="M75" s="9">
        <f>Таблица2133990294678131617212223[[#Totals],[16]]</f>
        <v>45964800</v>
      </c>
    </row>
    <row r="76" spans="1:14">
      <c r="A76" s="27" t="s">
        <v>211</v>
      </c>
      <c r="B76" s="28" t="s">
        <v>224</v>
      </c>
      <c r="C76" s="28" t="s">
        <v>225</v>
      </c>
      <c r="D76" s="28" t="s">
        <v>226</v>
      </c>
      <c r="E76" s="28" t="s">
        <v>227</v>
      </c>
      <c r="F76" s="28" t="s">
        <v>228</v>
      </c>
      <c r="G76" s="28" t="s">
        <v>229</v>
      </c>
      <c r="H76" s="28" t="s">
        <v>230</v>
      </c>
      <c r="I76" s="28" t="s">
        <v>231</v>
      </c>
      <c r="J76" s="28" t="s">
        <v>232</v>
      </c>
      <c r="K76" s="28" t="s">
        <v>233</v>
      </c>
      <c r="L76" s="28" t="s">
        <v>234</v>
      </c>
      <c r="M76" s="28" t="s">
        <v>235</v>
      </c>
      <c r="N76" s="65" t="s">
        <v>238</v>
      </c>
    </row>
    <row r="77" ht="15" spans="1:14">
      <c r="A77" s="29">
        <v>1</v>
      </c>
      <c r="B77" s="39">
        <v>46217</v>
      </c>
      <c r="C77" s="56">
        <v>40964800</v>
      </c>
      <c r="D77" s="32" t="s">
        <v>296</v>
      </c>
      <c r="E77" s="33"/>
      <c r="F77" s="34">
        <f>Таблица2133990294678131617212223[[#This Row],[ ]]</f>
        <v>1</v>
      </c>
      <c r="G77" s="32">
        <v>46219</v>
      </c>
      <c r="H77" s="35" t="s">
        <v>160</v>
      </c>
      <c r="I77" s="36" t="s">
        <v>28</v>
      </c>
      <c r="J77" s="37">
        <v>32.832</v>
      </c>
      <c r="K77" s="38">
        <v>19</v>
      </c>
      <c r="L77" s="34">
        <v>700000</v>
      </c>
      <c r="M77" s="33">
        <f>Таблица2133990294678131617212223[[#This Row],[113]]*Таблица2133990294678131617212223[[#This Row],[15]]</f>
        <v>22982400</v>
      </c>
      <c r="N77" s="38">
        <v>2500000</v>
      </c>
    </row>
    <row r="78" spans="1:14">
      <c r="A78" s="29">
        <v>2</v>
      </c>
      <c r="B78" s="39">
        <v>46219</v>
      </c>
      <c r="C78" s="33">
        <v>2500000</v>
      </c>
      <c r="D78" s="32" t="s">
        <v>214</v>
      </c>
      <c r="E78" s="33"/>
      <c r="F78" s="34">
        <f>Таблица2133990294678131617212223[[#This Row],[ ]]</f>
        <v>2</v>
      </c>
      <c r="G78" s="39">
        <v>46221</v>
      </c>
      <c r="H78" s="41" t="s">
        <v>174</v>
      </c>
      <c r="I78" s="41" t="s">
        <v>49</v>
      </c>
      <c r="J78" s="41">
        <v>32.832</v>
      </c>
      <c r="K78" s="33">
        <v>19</v>
      </c>
      <c r="L78" s="43">
        <v>700000</v>
      </c>
      <c r="M78" s="33">
        <f>Таблица2133990294678131617212223[[#This Row],[113]]*Таблица2133990294678131617212223[[#This Row],[15]]</f>
        <v>22982400</v>
      </c>
      <c r="N78" s="43">
        <v>2500000</v>
      </c>
    </row>
    <row r="79" spans="1:14">
      <c r="A79" s="29">
        <v>3</v>
      </c>
      <c r="B79" s="44">
        <v>46221</v>
      </c>
      <c r="C79" s="33">
        <v>2500000</v>
      </c>
      <c r="D79" s="32" t="s">
        <v>214</v>
      </c>
      <c r="E79" s="33"/>
      <c r="F79" s="34">
        <f>Таблица2133990294678131617212223[[#This Row],[ ]]</f>
        <v>3</v>
      </c>
      <c r="G79" s="39"/>
      <c r="H79" s="41"/>
      <c r="I79" s="41"/>
      <c r="J79" s="41"/>
      <c r="K79" s="33"/>
      <c r="L79" s="43"/>
      <c r="M79" s="33">
        <f>Таблица2133990294678131617212223[[#This Row],[113]]*Таблица2133990294678131617212223[[#This Row],[15]]</f>
        <v>0</v>
      </c>
      <c r="N79" s="43"/>
    </row>
    <row r="80" spans="1:14">
      <c r="A80" s="29">
        <v>4</v>
      </c>
      <c r="B80" s="44"/>
      <c r="C80" s="33"/>
      <c r="D80" s="32"/>
      <c r="E80" s="33"/>
      <c r="F80" s="34">
        <f>Таблица2133990294678131617212223[[#This Row],[ ]]</f>
        <v>4</v>
      </c>
      <c r="G80" s="39"/>
      <c r="H80" s="41"/>
      <c r="I80" s="41"/>
      <c r="J80" s="41"/>
      <c r="K80" s="33"/>
      <c r="L80" s="43"/>
      <c r="M80" s="33">
        <f>Таблица2133990294678131617212223[[#This Row],[113]]*Таблица2133990294678131617212223[[#This Row],[15]]</f>
        <v>0</v>
      </c>
      <c r="N80" s="43"/>
    </row>
    <row r="81" spans="1:14">
      <c r="A81" s="45"/>
      <c r="B81" s="57"/>
      <c r="C81" s="33">
        <f>SUBTOTAL(109,Таблица2133990294678131617212223[2])</f>
        <v>45964800</v>
      </c>
      <c r="D81" s="33"/>
      <c r="E81" s="47"/>
      <c r="F81" s="46"/>
      <c r="G81" s="48"/>
      <c r="H81" s="49"/>
      <c r="I81" s="49"/>
      <c r="J81" s="49"/>
      <c r="K81" s="49">
        <f>SUBTOTAL(109,Таблица2133990294678131617212223[1132])</f>
        <v>38</v>
      </c>
      <c r="L81" s="51"/>
      <c r="M81" s="51">
        <f>SUBTOTAL(109,Таблица2133990294678131617212223[16])</f>
        <v>45964800</v>
      </c>
      <c r="N81" s="49"/>
    </row>
    <row r="83" ht="15.75" spans="1:14">
      <c r="A83" s="2"/>
      <c r="B83" s="3"/>
      <c r="C83" s="4" t="s">
        <v>211</v>
      </c>
      <c r="D83" s="81" t="s">
        <v>297</v>
      </c>
      <c r="E83" s="6"/>
      <c r="H83" s="1" t="s">
        <v>213</v>
      </c>
      <c r="I83" s="1">
        <f>SUMIFS(C:C,D:D,J83)</f>
        <v>62900000</v>
      </c>
      <c r="J83" s="32" t="s">
        <v>214</v>
      </c>
    </row>
    <row r="84" ht="20.25" spans="1:14">
      <c r="A84" s="7" t="s">
        <v>215</v>
      </c>
      <c r="B84" s="7"/>
      <c r="C84" s="8"/>
      <c r="D84" s="8"/>
      <c r="E84" s="8"/>
      <c r="F84" s="53">
        <f>Таблица213399029467813161721222341[[#Totals],[2]]+-Таблица213399029467813161721222341[[#Totals],[16]]</f>
        <v>50000000</v>
      </c>
      <c r="G84" s="54"/>
    </row>
    <row r="85" spans="1:14">
      <c r="A85" s="10" t="s">
        <v>216</v>
      </c>
      <c r="B85" s="10" t="s">
        <v>217</v>
      </c>
      <c r="C85" s="10" t="s">
        <v>218</v>
      </c>
      <c r="D85" s="10" t="s">
        <v>219</v>
      </c>
      <c r="E85" s="13" t="s">
        <v>220</v>
      </c>
      <c r="F85" s="14" t="s">
        <v>216</v>
      </c>
      <c r="G85" s="14" t="s">
        <v>217</v>
      </c>
      <c r="H85" s="14" t="s">
        <v>221</v>
      </c>
      <c r="I85" s="15" t="s">
        <v>6</v>
      </c>
      <c r="J85" s="16" t="s">
        <v>7</v>
      </c>
      <c r="K85" s="16" t="s">
        <v>222</v>
      </c>
      <c r="L85" s="14" t="s">
        <v>223</v>
      </c>
      <c r="M85" s="15" t="s">
        <v>218</v>
      </c>
    </row>
    <row r="86" spans="1:14">
      <c r="A86" s="10"/>
      <c r="B86" s="10"/>
      <c r="C86" s="17"/>
      <c r="D86" s="18"/>
      <c r="E86" s="19"/>
      <c r="F86" s="14"/>
      <c r="G86" s="14"/>
      <c r="H86" s="14"/>
      <c r="I86" s="20"/>
      <c r="J86" s="71"/>
      <c r="K86" s="21"/>
      <c r="L86" s="14"/>
      <c r="M86" s="25"/>
    </row>
    <row r="87" ht="15.75" spans="1:14">
      <c r="A87" s="10"/>
      <c r="B87" s="10"/>
      <c r="C87" s="55">
        <f>Таблица213399029467813161721222341[[#Totals],[2]]</f>
        <v>50000000</v>
      </c>
      <c r="D87" s="23"/>
      <c r="E87" s="24">
        <f>SUM(Таблица213399029467813161721222341[4])</f>
        <v>0</v>
      </c>
      <c r="F87" s="14"/>
      <c r="G87" s="14"/>
      <c r="H87" s="14"/>
      <c r="I87" s="25"/>
      <c r="J87" s="72">
        <f>SUM(Таблица213399029467813161721222341[113])</f>
        <v>0</v>
      </c>
      <c r="K87" s="26">
        <f>Таблица213399029467813161721222341[[#Totals],[1132]]</f>
        <v>0</v>
      </c>
      <c r="L87" s="14"/>
      <c r="M87" s="9">
        <f>Таблица213399029467813161721222341[[#Totals],[16]]</f>
        <v>0</v>
      </c>
    </row>
    <row r="88" spans="1:14">
      <c r="A88" s="27" t="s">
        <v>211</v>
      </c>
      <c r="B88" s="28" t="s">
        <v>224</v>
      </c>
      <c r="C88" s="28" t="s">
        <v>225</v>
      </c>
      <c r="D88" s="28" t="s">
        <v>226</v>
      </c>
      <c r="E88" s="28" t="s">
        <v>227</v>
      </c>
      <c r="F88" s="28" t="s">
        <v>228</v>
      </c>
      <c r="G88" s="28" t="s">
        <v>229</v>
      </c>
      <c r="H88" s="28" t="s">
        <v>230</v>
      </c>
      <c r="I88" s="28" t="s">
        <v>231</v>
      </c>
      <c r="J88" s="28" t="s">
        <v>232</v>
      </c>
      <c r="K88" s="28" t="s">
        <v>233</v>
      </c>
      <c r="L88" s="28" t="s">
        <v>234</v>
      </c>
      <c r="M88" s="28" t="s">
        <v>235</v>
      </c>
      <c r="N88" s="65" t="s">
        <v>238</v>
      </c>
    </row>
    <row r="89" ht="15" spans="1:14">
      <c r="A89" s="29">
        <v>1</v>
      </c>
      <c r="B89" s="39">
        <v>46230</v>
      </c>
      <c r="C89" s="56">
        <v>50000000</v>
      </c>
      <c r="D89" s="32" t="s">
        <v>298</v>
      </c>
      <c r="E89" s="33"/>
      <c r="F89" s="34">
        <f>Таблица213399029467813161721222341[[#This Row],[ ]]</f>
        <v>1</v>
      </c>
      <c r="G89" s="32"/>
      <c r="H89" s="35"/>
      <c r="I89" s="36"/>
      <c r="J89" s="37"/>
      <c r="K89" s="38"/>
      <c r="L89" s="34"/>
      <c r="M89" s="33">
        <f>Таблица213399029467813161721222341[[#This Row],[113]]*Таблица213399029467813161721222341[[#This Row],[15]]</f>
        <v>0</v>
      </c>
      <c r="N89" s="38">
        <v>2500000</v>
      </c>
    </row>
    <row r="90" spans="1:14">
      <c r="A90" s="29">
        <v>2</v>
      </c>
      <c r="B90" s="39"/>
      <c r="C90" s="33"/>
      <c r="D90" s="32"/>
      <c r="E90" s="33"/>
      <c r="F90" s="34">
        <f>Таблица213399029467813161721222341[[#This Row],[ ]]</f>
        <v>2</v>
      </c>
      <c r="G90" s="39"/>
      <c r="H90" s="41"/>
      <c r="I90" s="41"/>
      <c r="J90" s="41"/>
      <c r="K90" s="33"/>
      <c r="L90" s="43"/>
      <c r="M90" s="33">
        <f>Таблица213399029467813161721222341[[#This Row],[113]]*Таблица213399029467813161721222341[[#This Row],[15]]</f>
        <v>0</v>
      </c>
      <c r="N90" s="43">
        <v>2500000</v>
      </c>
    </row>
    <row r="91" spans="1:14">
      <c r="A91" s="45"/>
      <c r="B91" s="57"/>
      <c r="C91" s="33">
        <f>SUBTOTAL(109,Таблица213399029467813161721222341[2])</f>
        <v>50000000</v>
      </c>
      <c r="D91" s="33"/>
      <c r="E91" s="47"/>
      <c r="F91" s="46"/>
      <c r="G91" s="48"/>
      <c r="H91" s="49"/>
      <c r="I91" s="49"/>
      <c r="J91" s="49"/>
      <c r="K91" s="49">
        <f>SUBTOTAL(109,Таблица213399029467813161721222341[1132])</f>
        <v>0</v>
      </c>
      <c r="L91" s="51"/>
      <c r="M91" s="51">
        <f>SUBTOTAL(109,Таблица213399029467813161721222341[16])</f>
        <v>0</v>
      </c>
      <c r="N91" s="49"/>
    </row>
  </sheetData>
  <mergeCells count="70">
    <mergeCell ref="A2:B2"/>
    <mergeCell ref="C2:D2"/>
    <mergeCell ref="F2:G2"/>
    <mergeCell ref="A13:B13"/>
    <mergeCell ref="C13:D13"/>
    <mergeCell ref="F13:G13"/>
    <mergeCell ref="A58:B58"/>
    <mergeCell ref="C58:D58"/>
    <mergeCell ref="F58:G58"/>
    <mergeCell ref="A72:B72"/>
    <mergeCell ref="C72:D72"/>
    <mergeCell ref="F72:G72"/>
    <mergeCell ref="A84:B84"/>
    <mergeCell ref="C84:D84"/>
    <mergeCell ref="F84:G84"/>
    <mergeCell ref="A3:A5"/>
    <mergeCell ref="A14:A16"/>
    <mergeCell ref="A59:A61"/>
    <mergeCell ref="A73:A75"/>
    <mergeCell ref="A85:A87"/>
    <mergeCell ref="B3:B5"/>
    <mergeCell ref="B14:B16"/>
    <mergeCell ref="B59:B61"/>
    <mergeCell ref="B73:B75"/>
    <mergeCell ref="B85:B87"/>
    <mergeCell ref="E3:E4"/>
    <mergeCell ref="E14:E15"/>
    <mergeCell ref="E59:E60"/>
    <mergeCell ref="E73:E74"/>
    <mergeCell ref="E85:E86"/>
    <mergeCell ref="F3:F5"/>
    <mergeCell ref="F14:F16"/>
    <mergeCell ref="F59:F61"/>
    <mergeCell ref="F73:F75"/>
    <mergeCell ref="F85:F87"/>
    <mergeCell ref="G3:G5"/>
    <mergeCell ref="G14:G16"/>
    <mergeCell ref="G59:G61"/>
    <mergeCell ref="G73:G75"/>
    <mergeCell ref="G85:G87"/>
    <mergeCell ref="H3:H5"/>
    <mergeCell ref="H14:H16"/>
    <mergeCell ref="H59:H61"/>
    <mergeCell ref="H73:H75"/>
    <mergeCell ref="H85:H87"/>
    <mergeCell ref="I3:I5"/>
    <mergeCell ref="I14:I16"/>
    <mergeCell ref="I59:I61"/>
    <mergeCell ref="I73:I75"/>
    <mergeCell ref="I85:I87"/>
    <mergeCell ref="J3:J5"/>
    <mergeCell ref="J14:J16"/>
    <mergeCell ref="J59:J61"/>
    <mergeCell ref="J73:J74"/>
    <mergeCell ref="J85:J86"/>
    <mergeCell ref="K3:K4"/>
    <mergeCell ref="K14:K15"/>
    <mergeCell ref="K59:K60"/>
    <mergeCell ref="K73:K74"/>
    <mergeCell ref="K85:K86"/>
    <mergeCell ref="L3:L5"/>
    <mergeCell ref="L14:L16"/>
    <mergeCell ref="L59:L61"/>
    <mergeCell ref="L73:L75"/>
    <mergeCell ref="L85:L87"/>
    <mergeCell ref="M3:M4"/>
    <mergeCell ref="M14:M15"/>
    <mergeCell ref="M59:M60"/>
    <mergeCell ref="M73:M74"/>
    <mergeCell ref="M85:M86"/>
  </mergeCells>
  <hyperlinks>
    <hyperlink ref="D1" location="'Свод Завод'!R4" display="3-Мурод ога Урганч"/>
    <hyperlink ref="D12" location="'Свод Завод'!R4" display="3-Сулаймон Ога Хазарасп"/>
    <hyperlink ref="D57" location="'Свод Завод'!R4" display="3-Сарвар ога Шовот"/>
    <hyperlink ref="D71" location="'Свод Завод'!R6" display="3-Уктир ога Шовот"/>
    <hyperlink ref="D83" location="'Свод Завод'!R6" display="3-Бахтиёр ога Янгибозор"/>
  </hyperlinks>
  <pageMargins left="0.7" right="0.7" top="0.75" bottom="0.75" header="0.3" footer="0.3"/>
  <headerFooter/>
  <tableParts count="5">
    <tablePart r:id="rId1"/>
    <tablePart r:id="rId2"/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3"/>
  <sheetViews>
    <sheetView workbookViewId="0">
      <selection activeCell="D52" sqref="D52"/>
    </sheetView>
  </sheetViews>
  <sheetFormatPr defaultColWidth="9.08571428571429" defaultRowHeight="14.25"/>
  <cols>
    <col min="1" max="1" width="6.54285714285714" style="1" customWidth="1"/>
    <col min="2" max="2" width="11.6285714285714" style="1" customWidth="1"/>
    <col min="3" max="3" width="14.0857142857143" style="1" customWidth="1"/>
    <col min="4" max="4" width="28.0857142857143" style="1" customWidth="1"/>
    <col min="5" max="5" width="20.4571428571429" style="1" customWidth="1"/>
    <col min="6" max="6" width="7.62857142857143" style="1" customWidth="1"/>
    <col min="7" max="7" width="11.5428571428571" style="1" customWidth="1"/>
    <col min="8" max="8" width="13.0857142857143" style="1" customWidth="1"/>
    <col min="9" max="9" width="13.5428571428571" style="1" customWidth="1"/>
    <col min="10" max="10" width="10" style="1" customWidth="1"/>
    <col min="11" max="11" width="11.3619047619048" style="1" customWidth="1"/>
    <col min="12" max="12" width="8.90476190476191" style="1" customWidth="1"/>
    <col min="13" max="13" width="14.0857142857143" style="1" customWidth="1"/>
    <col min="14" max="16" width="9.08571428571429" style="1"/>
    <col min="17" max="17" width="11.0857142857143" style="1" customWidth="1"/>
    <col min="18" max="16384" width="9.08571428571429" style="1"/>
  </cols>
  <sheetData>
    <row r="1" ht="18" spans="1:13">
      <c r="A1" s="2"/>
      <c r="B1" s="3"/>
      <c r="C1" s="4" t="s">
        <v>211</v>
      </c>
      <c r="D1" s="52" t="s">
        <v>299</v>
      </c>
      <c r="E1" s="6"/>
      <c r="H1" s="1" t="s">
        <v>213</v>
      </c>
      <c r="I1" s="1">
        <f>SUMIFS(C:C,D:D,J1)</f>
        <v>7500000</v>
      </c>
      <c r="J1" s="32" t="s">
        <v>214</v>
      </c>
    </row>
    <row r="2" ht="20.25" spans="1:13">
      <c r="A2" s="7" t="s">
        <v>215</v>
      </c>
      <c r="B2" s="7"/>
      <c r="C2" s="8"/>
      <c r="D2" s="8"/>
      <c r="E2" s="8"/>
      <c r="F2" s="53">
        <f>Таблица2133990294[[#Totals],[2]]+-Таблица2133990294[[#Totals],[16]]</f>
        <v>0</v>
      </c>
      <c r="G2" s="54"/>
    </row>
    <row r="3" spans="1:13">
      <c r="A3" s="10" t="s">
        <v>216</v>
      </c>
      <c r="B3" s="10" t="s">
        <v>217</v>
      </c>
      <c r="C3" s="10" t="s">
        <v>218</v>
      </c>
      <c r="D3" s="10" t="s">
        <v>219</v>
      </c>
      <c r="E3" s="13" t="s">
        <v>220</v>
      </c>
      <c r="F3" s="14" t="s">
        <v>216</v>
      </c>
      <c r="G3" s="14" t="s">
        <v>217</v>
      </c>
      <c r="H3" s="14" t="s">
        <v>221</v>
      </c>
      <c r="I3" s="15" t="s">
        <v>6</v>
      </c>
      <c r="J3" s="16" t="s">
        <v>7</v>
      </c>
      <c r="K3" s="16" t="s">
        <v>222</v>
      </c>
      <c r="L3" s="14" t="s">
        <v>223</v>
      </c>
      <c r="M3" s="15" t="s">
        <v>218</v>
      </c>
    </row>
    <row r="4" spans="1:13">
      <c r="A4" s="10"/>
      <c r="B4" s="10"/>
      <c r="C4" s="17"/>
      <c r="D4" s="18"/>
      <c r="E4" s="19"/>
      <c r="F4" s="14"/>
      <c r="G4" s="14"/>
      <c r="H4" s="14"/>
      <c r="I4" s="20"/>
      <c r="J4" s="20"/>
      <c r="K4" s="21"/>
      <c r="L4" s="14"/>
      <c r="M4" s="25"/>
    </row>
    <row r="5" ht="15.75" spans="1:13">
      <c r="A5" s="10"/>
      <c r="B5" s="10"/>
      <c r="C5" s="55">
        <f>Таблица2133990294[[#Totals],[2]]</f>
        <v>121824000</v>
      </c>
      <c r="D5" s="23"/>
      <c r="E5" s="24">
        <f>SUM(Таблица2133990294[4])</f>
        <v>0</v>
      </c>
      <c r="F5" s="14"/>
      <c r="G5" s="14"/>
      <c r="H5" s="14"/>
      <c r="I5" s="25"/>
      <c r="J5" s="25"/>
      <c r="K5" s="26">
        <f>Таблица2133990294[[#Totals],[1132]]</f>
        <v>94</v>
      </c>
      <c r="L5" s="14"/>
      <c r="M5" s="9">
        <f>Таблица2133990294[[#Totals],[16]]</f>
        <v>121824000</v>
      </c>
    </row>
    <row r="6" spans="1:13">
      <c r="A6" s="27" t="s">
        <v>211</v>
      </c>
      <c r="B6" s="28" t="s">
        <v>224</v>
      </c>
      <c r="C6" s="28" t="s">
        <v>225</v>
      </c>
      <c r="D6" s="28" t="s">
        <v>226</v>
      </c>
      <c r="E6" s="28" t="s">
        <v>227</v>
      </c>
      <c r="F6" s="28" t="s">
        <v>228</v>
      </c>
      <c r="G6" s="28" t="s">
        <v>229</v>
      </c>
      <c r="H6" s="28" t="s">
        <v>230</v>
      </c>
      <c r="I6" s="28" t="s">
        <v>231</v>
      </c>
      <c r="J6" s="28" t="s">
        <v>232</v>
      </c>
      <c r="K6" s="28" t="s">
        <v>233</v>
      </c>
      <c r="L6" s="28" t="s">
        <v>234</v>
      </c>
      <c r="M6" s="28" t="s">
        <v>235</v>
      </c>
    </row>
    <row r="7" ht="15" spans="1:13">
      <c r="A7" s="29">
        <v>1</v>
      </c>
      <c r="B7" s="39">
        <v>46202</v>
      </c>
      <c r="C7" s="56">
        <v>47952000</v>
      </c>
      <c r="D7" s="32" t="s">
        <v>300</v>
      </c>
      <c r="E7" s="33"/>
      <c r="F7" s="34">
        <f>Таблица2133990294[[#This Row],[ ]]</f>
        <v>1</v>
      </c>
      <c r="G7" s="32">
        <v>46198</v>
      </c>
      <c r="H7" s="35" t="s">
        <v>46</v>
      </c>
      <c r="I7" s="36" t="s">
        <v>28</v>
      </c>
      <c r="J7" s="37">
        <v>32.832</v>
      </c>
      <c r="K7" s="38">
        <v>19</v>
      </c>
      <c r="L7" s="43">
        <v>750000</v>
      </c>
      <c r="M7" s="33">
        <f>Таблица2133990294[[#This Row],[113]]*Таблица2133990294[[#This Row],[15]]</f>
        <v>24624000</v>
      </c>
    </row>
    <row r="8" spans="1:13">
      <c r="A8" s="29">
        <v>2</v>
      </c>
      <c r="B8" s="44">
        <v>46205</v>
      </c>
      <c r="C8" s="33">
        <v>73872000</v>
      </c>
      <c r="D8" s="32" t="s">
        <v>301</v>
      </c>
      <c r="E8" s="33"/>
      <c r="F8" s="34">
        <f>Таблица2133990294[[#This Row],[ ]]</f>
        <v>2</v>
      </c>
      <c r="G8" s="39">
        <v>46198</v>
      </c>
      <c r="H8" s="41" t="s">
        <v>47</v>
      </c>
      <c r="I8" s="41" t="s">
        <v>28</v>
      </c>
      <c r="J8" s="41">
        <v>31.104</v>
      </c>
      <c r="K8" s="33">
        <v>18</v>
      </c>
      <c r="L8" s="43">
        <v>750000</v>
      </c>
      <c r="M8" s="33">
        <f>Таблица2133990294[[#This Row],[113]]*Таблица2133990294[[#This Row],[15]]</f>
        <v>23328000</v>
      </c>
    </row>
    <row r="9" spans="1:13">
      <c r="A9" s="29">
        <v>3</v>
      </c>
      <c r="B9" s="44"/>
      <c r="C9" s="33"/>
      <c r="D9" s="32"/>
      <c r="E9" s="33"/>
      <c r="F9" s="34">
        <f>Таблица2133990294[[#This Row],[ ]]</f>
        <v>3</v>
      </c>
      <c r="G9" s="39">
        <v>46204</v>
      </c>
      <c r="H9" s="41" t="s">
        <v>66</v>
      </c>
      <c r="I9" s="41" t="s">
        <v>28</v>
      </c>
      <c r="J9" s="41">
        <v>32.832</v>
      </c>
      <c r="K9" s="33">
        <v>19</v>
      </c>
      <c r="L9" s="43">
        <v>750000</v>
      </c>
      <c r="M9" s="33">
        <f>Таблица2133990294[[#This Row],[113]]*Таблица2133990294[[#This Row],[15]]</f>
        <v>24624000</v>
      </c>
    </row>
    <row r="10" spans="1:13">
      <c r="A10" s="29">
        <v>4</v>
      </c>
      <c r="B10" s="44"/>
      <c r="C10" s="33"/>
      <c r="D10" s="32"/>
      <c r="E10" s="33"/>
      <c r="F10" s="34">
        <f>Таблица2133990294[[#This Row],[ ]]</f>
        <v>4</v>
      </c>
      <c r="G10" s="39">
        <v>46204</v>
      </c>
      <c r="H10" s="41" t="s">
        <v>68</v>
      </c>
      <c r="I10" s="41" t="s">
        <v>49</v>
      </c>
      <c r="J10" s="41">
        <v>32.832</v>
      </c>
      <c r="K10" s="33">
        <v>19</v>
      </c>
      <c r="L10" s="43">
        <v>750000</v>
      </c>
      <c r="M10" s="33">
        <f>Таблица2133990294[[#This Row],[113]]*Таблица2133990294[[#This Row],[15]]</f>
        <v>24624000</v>
      </c>
    </row>
    <row r="11" spans="1:13">
      <c r="A11" s="29">
        <v>5</v>
      </c>
      <c r="B11" s="44"/>
      <c r="C11" s="33"/>
      <c r="D11" s="32"/>
      <c r="E11" s="33"/>
      <c r="F11" s="34">
        <f>Таблица2133990294[[#This Row],[ ]]</f>
        <v>5</v>
      </c>
      <c r="G11" s="39">
        <v>46204</v>
      </c>
      <c r="H11" s="41" t="s">
        <v>69</v>
      </c>
      <c r="I11" s="41" t="s">
        <v>49</v>
      </c>
      <c r="J11" s="41">
        <v>32.832</v>
      </c>
      <c r="K11" s="33">
        <v>19</v>
      </c>
      <c r="L11" s="43">
        <v>750000</v>
      </c>
      <c r="M11" s="33">
        <f>Таблица2133990294[[#This Row],[113]]*Таблица2133990294[[#This Row],[15]]</f>
        <v>24624000</v>
      </c>
    </row>
    <row r="12" spans="1:13">
      <c r="A12" s="29">
        <v>6</v>
      </c>
      <c r="B12" s="44"/>
      <c r="C12" s="33"/>
      <c r="D12" s="32"/>
      <c r="E12" s="33"/>
      <c r="F12" s="34">
        <f>Таблица2133990294[[#This Row],[ ]]</f>
        <v>6</v>
      </c>
      <c r="G12" s="39"/>
      <c r="H12" s="41"/>
      <c r="I12" s="41"/>
      <c r="J12" s="41"/>
      <c r="K12" s="33"/>
      <c r="L12" s="43"/>
      <c r="M12" s="33">
        <f>Таблица2133990294[[#This Row],[113]]*Таблица2133990294[[#This Row],[15]]</f>
        <v>0</v>
      </c>
    </row>
    <row r="13" spans="1:13">
      <c r="A13" s="45"/>
      <c r="B13" s="57"/>
      <c r="C13" s="33">
        <f>SUBTOTAL(109,Таблица2133990294[2])</f>
        <v>121824000</v>
      </c>
      <c r="D13" s="33"/>
      <c r="E13" s="47"/>
      <c r="F13" s="46"/>
      <c r="G13" s="48"/>
      <c r="H13" s="49"/>
      <c r="I13" s="49"/>
      <c r="J13" s="49"/>
      <c r="K13" s="49">
        <f>SUBTOTAL(109,Таблица2133990294[1132])</f>
        <v>94</v>
      </c>
      <c r="L13" s="51"/>
      <c r="M13" s="51">
        <f>SUBTOTAL(109,Таблица2133990294[16])</f>
        <v>121824000</v>
      </c>
    </row>
    <row r="15" ht="18" spans="1:13">
      <c r="A15" s="2"/>
      <c r="B15" s="3"/>
      <c r="C15" s="4" t="s">
        <v>211</v>
      </c>
      <c r="D15" s="52" t="s">
        <v>302</v>
      </c>
      <c r="E15" s="6"/>
      <c r="H15" s="1" t="s">
        <v>213</v>
      </c>
      <c r="I15" s="1">
        <f>SUMIFS(C:C,D:D,J15)</f>
        <v>7500000</v>
      </c>
      <c r="J15" s="32" t="s">
        <v>214</v>
      </c>
    </row>
    <row r="16" ht="20.25" spans="1:13">
      <c r="A16" s="7" t="s">
        <v>215</v>
      </c>
      <c r="B16" s="7"/>
      <c r="C16" s="8"/>
      <c r="D16" s="8"/>
      <c r="E16" s="8"/>
      <c r="F16" s="53">
        <f>Таблица213399029414[[#Totals],[2]]+-Таблица213399029414[[#Totals],[16]]</f>
        <v>-2173000</v>
      </c>
      <c r="G16" s="54"/>
    </row>
    <row r="17" spans="1:13">
      <c r="A17" s="10" t="s">
        <v>216</v>
      </c>
      <c r="B17" s="10" t="s">
        <v>217</v>
      </c>
      <c r="C17" s="10" t="s">
        <v>218</v>
      </c>
      <c r="D17" s="10" t="s">
        <v>219</v>
      </c>
      <c r="E17" s="13" t="s">
        <v>220</v>
      </c>
      <c r="F17" s="14" t="s">
        <v>216</v>
      </c>
      <c r="G17" s="14" t="s">
        <v>217</v>
      </c>
      <c r="H17" s="14" t="s">
        <v>221</v>
      </c>
      <c r="I17" s="15" t="s">
        <v>6</v>
      </c>
      <c r="J17" s="16" t="s">
        <v>7</v>
      </c>
      <c r="K17" s="16" t="s">
        <v>222</v>
      </c>
      <c r="L17" s="14" t="s">
        <v>223</v>
      </c>
      <c r="M17" s="15" t="s">
        <v>218</v>
      </c>
    </row>
    <row r="18" spans="1:13">
      <c r="A18" s="10"/>
      <c r="B18" s="10"/>
      <c r="C18" s="17"/>
      <c r="D18" s="18"/>
      <c r="E18" s="19"/>
      <c r="F18" s="14"/>
      <c r="G18" s="14"/>
      <c r="H18" s="14"/>
      <c r="I18" s="20"/>
      <c r="J18" s="20"/>
      <c r="K18" s="21"/>
      <c r="L18" s="14"/>
      <c r="M18" s="25"/>
    </row>
    <row r="19" ht="15.75" spans="1:13">
      <c r="A19" s="10"/>
      <c r="B19" s="10"/>
      <c r="C19" s="55">
        <f>Таблица213399029414[[#Totals],[2]]</f>
        <v>137586200</v>
      </c>
      <c r="D19" s="23"/>
      <c r="E19" s="24">
        <f>SUM(Таблица213399029414[4])</f>
        <v>0</v>
      </c>
      <c r="F19" s="14"/>
      <c r="G19" s="14"/>
      <c r="H19" s="14"/>
      <c r="I19" s="25"/>
      <c r="J19" s="25"/>
      <c r="K19" s="26">
        <f>Таблица213399029414[[#Totals],[1132]]</f>
        <v>114</v>
      </c>
      <c r="L19" s="14"/>
      <c r="M19" s="9">
        <f>Таблица213399029414[[#Totals],[16]]</f>
        <v>139759200</v>
      </c>
    </row>
    <row r="20" spans="1:13">
      <c r="A20" s="27" t="s">
        <v>211</v>
      </c>
      <c r="B20" s="28" t="s">
        <v>224</v>
      </c>
      <c r="C20" s="28" t="s">
        <v>225</v>
      </c>
      <c r="D20" s="28" t="s">
        <v>226</v>
      </c>
      <c r="E20" s="28" t="s">
        <v>227</v>
      </c>
      <c r="F20" s="28" t="s">
        <v>228</v>
      </c>
      <c r="G20" s="28" t="s">
        <v>229</v>
      </c>
      <c r="H20" s="28" t="s">
        <v>230</v>
      </c>
      <c r="I20" s="28" t="s">
        <v>231</v>
      </c>
      <c r="J20" s="28" t="s">
        <v>232</v>
      </c>
      <c r="K20" s="28" t="s">
        <v>233</v>
      </c>
      <c r="L20" s="28" t="s">
        <v>234</v>
      </c>
      <c r="M20" s="28" t="s">
        <v>235</v>
      </c>
    </row>
    <row r="21" ht="15" spans="1:13">
      <c r="A21" s="29">
        <v>1</v>
      </c>
      <c r="B21" s="39">
        <v>46209</v>
      </c>
      <c r="C21" s="56">
        <v>20982400</v>
      </c>
      <c r="D21" s="32" t="s">
        <v>303</v>
      </c>
      <c r="E21" s="33"/>
      <c r="F21" s="34">
        <f>Таблица213399029414[[#This Row],[ ]]</f>
        <v>1</v>
      </c>
      <c r="G21" s="32">
        <v>46209</v>
      </c>
      <c r="H21" s="35" t="s">
        <v>88</v>
      </c>
      <c r="I21" s="36" t="s">
        <v>89</v>
      </c>
      <c r="J21" s="37">
        <v>22.464</v>
      </c>
      <c r="K21" s="38">
        <v>13</v>
      </c>
      <c r="L21" s="43">
        <v>700000</v>
      </c>
      <c r="M21" s="33">
        <f>Таблица213399029414[[#This Row],[113]]*Таблица213399029414[[#This Row],[15]]</f>
        <v>15724800</v>
      </c>
    </row>
    <row r="22" spans="1:13">
      <c r="A22" s="29">
        <v>2</v>
      </c>
      <c r="B22" s="44">
        <v>46209</v>
      </c>
      <c r="C22" s="33">
        <v>2100000</v>
      </c>
      <c r="D22" s="32" t="s">
        <v>304</v>
      </c>
      <c r="E22" s="33"/>
      <c r="F22" s="34">
        <f>Таблица213399029414[[#This Row],[ ]]</f>
        <v>2</v>
      </c>
      <c r="G22" s="39">
        <v>46209</v>
      </c>
      <c r="H22" s="41" t="s">
        <v>88</v>
      </c>
      <c r="I22" s="41" t="s">
        <v>28</v>
      </c>
      <c r="J22" s="41">
        <v>10.368</v>
      </c>
      <c r="K22" s="33">
        <v>6</v>
      </c>
      <c r="L22" s="43">
        <v>700000</v>
      </c>
      <c r="M22" s="33">
        <f>Таблица213399029414[[#This Row],[113]]*Таблица213399029414[[#This Row],[15]]</f>
        <v>7257600</v>
      </c>
    </row>
    <row r="23" spans="1:13">
      <c r="A23" s="29">
        <v>3</v>
      </c>
      <c r="B23" s="44">
        <v>46211</v>
      </c>
      <c r="C23" s="33">
        <v>63000000</v>
      </c>
      <c r="D23" s="32" t="s">
        <v>303</v>
      </c>
      <c r="E23" s="33"/>
      <c r="F23" s="34">
        <f>Таблица213399029414[[#This Row],[ ]]</f>
        <v>3</v>
      </c>
      <c r="G23" s="39">
        <v>46220</v>
      </c>
      <c r="H23" s="41" t="s">
        <v>163</v>
      </c>
      <c r="I23" s="41" t="s">
        <v>28</v>
      </c>
      <c r="J23" s="41">
        <v>32.832</v>
      </c>
      <c r="K23" s="33">
        <v>19</v>
      </c>
      <c r="L23" s="43">
        <v>700000</v>
      </c>
      <c r="M23" s="33">
        <f>Таблица213399029414[[#This Row],[113]]*Таблица213399029414[[#This Row],[15]]</f>
        <v>22982400</v>
      </c>
    </row>
    <row r="24" spans="1:13">
      <c r="A24" s="29">
        <v>4</v>
      </c>
      <c r="B24" s="44">
        <v>46220</v>
      </c>
      <c r="C24" s="33">
        <v>6603800</v>
      </c>
      <c r="D24" s="32" t="s">
        <v>303</v>
      </c>
      <c r="E24" s="33"/>
      <c r="F24" s="34">
        <f>Таблица213399029414[[#This Row],[ ]]</f>
        <v>4</v>
      </c>
      <c r="G24" s="39">
        <v>46212</v>
      </c>
      <c r="H24" s="41" t="s">
        <v>115</v>
      </c>
      <c r="I24" s="41" t="s">
        <v>49</v>
      </c>
      <c r="J24" s="41">
        <v>32.832</v>
      </c>
      <c r="K24" s="33">
        <v>19</v>
      </c>
      <c r="L24" s="43">
        <v>700000</v>
      </c>
      <c r="M24" s="33">
        <f>Таблица213399029414[[#This Row],[113]]*Таблица213399029414[[#This Row],[15]]</f>
        <v>22982400</v>
      </c>
    </row>
    <row r="25" spans="1:13">
      <c r="A25" s="29">
        <v>5</v>
      </c>
      <c r="B25" s="44">
        <v>46219</v>
      </c>
      <c r="C25" s="33">
        <v>-100000</v>
      </c>
      <c r="D25" s="32" t="s">
        <v>305</v>
      </c>
      <c r="E25" s="33"/>
      <c r="F25" s="34">
        <f>Таблица213399029414[[#This Row],[ ]]</f>
        <v>5</v>
      </c>
      <c r="G25" s="39">
        <v>46212</v>
      </c>
      <c r="H25" s="41" t="s">
        <v>116</v>
      </c>
      <c r="I25" s="41" t="s">
        <v>99</v>
      </c>
      <c r="J25" s="41">
        <v>32.832</v>
      </c>
      <c r="K25" s="33">
        <v>19</v>
      </c>
      <c r="L25" s="43">
        <v>700000</v>
      </c>
      <c r="M25" s="33">
        <f>Таблица213399029414[[#This Row],[113]]*Таблица213399029414[[#This Row],[15]]</f>
        <v>22982400</v>
      </c>
    </row>
    <row r="26" spans="1:13">
      <c r="A26" s="29">
        <v>6</v>
      </c>
      <c r="B26" s="44">
        <v>46224</v>
      </c>
      <c r="C26" s="33">
        <v>40000000</v>
      </c>
      <c r="D26" s="32" t="s">
        <v>303</v>
      </c>
      <c r="E26" s="33"/>
      <c r="F26" s="34">
        <f>Таблица213399029414[[#This Row],[ ]]</f>
        <v>6</v>
      </c>
      <c r="G26" s="39">
        <v>46228</v>
      </c>
      <c r="H26" s="41" t="s">
        <v>138</v>
      </c>
      <c r="I26" s="41" t="s">
        <v>89</v>
      </c>
      <c r="J26" s="41">
        <v>34.2</v>
      </c>
      <c r="K26" s="33">
        <v>19</v>
      </c>
      <c r="L26" s="43">
        <v>700000</v>
      </c>
      <c r="M26" s="33">
        <f>Таблица213399029414[[#This Row],[113]]*Таблица213399029414[[#This Row],[15]]</f>
        <v>23940000</v>
      </c>
    </row>
    <row r="27" spans="1:13">
      <c r="A27" s="29">
        <v>7</v>
      </c>
      <c r="B27" s="39">
        <v>46228</v>
      </c>
      <c r="C27" s="33">
        <v>2500000</v>
      </c>
      <c r="D27" s="32" t="s">
        <v>214</v>
      </c>
      <c r="E27" s="33"/>
      <c r="F27" s="34">
        <f>Таблица213399029414[[#This Row],[ ]]</f>
        <v>7</v>
      </c>
      <c r="G27" s="39">
        <v>46228</v>
      </c>
      <c r="H27" s="41" t="s">
        <v>190</v>
      </c>
      <c r="I27" s="41" t="s">
        <v>89</v>
      </c>
      <c r="J27" s="41">
        <v>32.4</v>
      </c>
      <c r="K27" s="75">
        <v>18</v>
      </c>
      <c r="L27" s="33">
        <v>700000</v>
      </c>
      <c r="M27" s="33">
        <f>Таблица213399029414[[#This Row],[113]]*Таблица213399029414[[#This Row],[15]]</f>
        <v>22680000</v>
      </c>
    </row>
    <row r="28" spans="1:13">
      <c r="A28" s="29">
        <v>8</v>
      </c>
      <c r="B28" s="39">
        <v>46228</v>
      </c>
      <c r="C28" s="33">
        <v>2500000</v>
      </c>
      <c r="D28" s="32" t="s">
        <v>214</v>
      </c>
      <c r="E28" s="33"/>
      <c r="F28" s="34">
        <f>Таблица213399029414[[#This Row],[ ]]</f>
        <v>8</v>
      </c>
      <c r="G28" s="39">
        <v>46228</v>
      </c>
      <c r="H28" s="41" t="s">
        <v>190</v>
      </c>
      <c r="I28" s="41" t="s">
        <v>49</v>
      </c>
      <c r="J28" s="41">
        <v>1.728</v>
      </c>
      <c r="K28" s="75">
        <v>1</v>
      </c>
      <c r="L28" s="33">
        <v>700000</v>
      </c>
      <c r="M28" s="33">
        <f>Таблица213399029414[[#This Row],[113]]*Таблица213399029414[[#This Row],[15]]</f>
        <v>1209600</v>
      </c>
    </row>
    <row r="29" spans="1:13">
      <c r="A29" s="29">
        <v>9</v>
      </c>
      <c r="B29" s="44"/>
      <c r="C29" s="33"/>
      <c r="D29" s="32"/>
      <c r="E29" s="33"/>
      <c r="F29" s="34">
        <f>Таблица213399029414[[#This Row],[ ]]</f>
        <v>9</v>
      </c>
      <c r="G29" s="39"/>
      <c r="H29" s="41"/>
      <c r="I29" s="41"/>
      <c r="J29" s="41"/>
      <c r="K29" s="43"/>
      <c r="L29" s="33"/>
      <c r="M29" s="33">
        <f>Таблица213399029414[[#This Row],[113]]*Таблица213399029414[[#This Row],[15]]</f>
        <v>0</v>
      </c>
    </row>
    <row r="30" spans="1:13">
      <c r="A30" s="29">
        <v>10</v>
      </c>
      <c r="B30" s="44"/>
      <c r="C30" s="33"/>
      <c r="D30" s="32"/>
      <c r="E30" s="33"/>
      <c r="F30" s="34">
        <f>Таблица213399029414[[#This Row],[ ]]</f>
        <v>10</v>
      </c>
      <c r="G30" s="39"/>
      <c r="H30" s="41"/>
      <c r="I30" s="41"/>
      <c r="J30" s="41"/>
      <c r="K30" s="43"/>
      <c r="L30" s="33"/>
      <c r="M30" s="33">
        <f>Таблица213399029414[[#This Row],[113]]*Таблица213399029414[[#This Row],[15]]</f>
        <v>0</v>
      </c>
    </row>
    <row r="31" spans="1:13">
      <c r="A31" s="45"/>
      <c r="B31" s="57"/>
      <c r="C31" s="33">
        <f>SUBTOTAL(109,Таблица213399029414[2])</f>
        <v>137586200</v>
      </c>
      <c r="D31" s="33"/>
      <c r="E31" s="47"/>
      <c r="F31" s="46"/>
      <c r="G31" s="48"/>
      <c r="H31" s="49"/>
      <c r="I31" s="49"/>
      <c r="J31" s="49"/>
      <c r="K31" s="49">
        <f>SUBTOTAL(109,Таблица213399029414[1132])</f>
        <v>114</v>
      </c>
      <c r="L31" s="51"/>
      <c r="M31" s="51">
        <f>SUBTOTAL(109,Таблица213399029414[16])</f>
        <v>139759200</v>
      </c>
    </row>
    <row r="33" ht="18.75" spans="1:13">
      <c r="A33" s="2"/>
      <c r="B33" s="3"/>
      <c r="C33" s="4" t="s">
        <v>211</v>
      </c>
      <c r="D33" s="70" t="s">
        <v>306</v>
      </c>
      <c r="E33" s="6"/>
      <c r="H33" s="1" t="s">
        <v>213</v>
      </c>
      <c r="I33" s="1">
        <f>SUMIFS(C:C,D:D,J33)</f>
        <v>7500000</v>
      </c>
      <c r="J33" s="32" t="s">
        <v>214</v>
      </c>
    </row>
    <row r="34" ht="20.25" spans="1:13">
      <c r="A34" s="7" t="s">
        <v>215</v>
      </c>
      <c r="B34" s="7"/>
      <c r="C34" s="8"/>
      <c r="D34" s="8"/>
      <c r="E34" s="8"/>
      <c r="F34" s="53">
        <f>Таблица21339902946781316172122232425303132[[#Totals],[2]]+-Таблица21339902946781316172122232425303132[[#Totals],[16]]</f>
        <v>8000</v>
      </c>
      <c r="G34" s="54"/>
    </row>
    <row r="35" spans="1:13">
      <c r="A35" s="10" t="s">
        <v>216</v>
      </c>
      <c r="B35" s="10" t="s">
        <v>217</v>
      </c>
      <c r="C35" s="10" t="s">
        <v>218</v>
      </c>
      <c r="D35" s="10" t="s">
        <v>219</v>
      </c>
      <c r="E35" s="13" t="s">
        <v>220</v>
      </c>
      <c r="F35" s="14" t="s">
        <v>216</v>
      </c>
      <c r="G35" s="14" t="s">
        <v>217</v>
      </c>
      <c r="H35" s="14" t="s">
        <v>221</v>
      </c>
      <c r="I35" s="15" t="s">
        <v>6</v>
      </c>
      <c r="J35" s="16" t="s">
        <v>7</v>
      </c>
      <c r="K35" s="16" t="s">
        <v>222</v>
      </c>
      <c r="L35" s="14" t="s">
        <v>223</v>
      </c>
      <c r="M35" s="15" t="s">
        <v>218</v>
      </c>
    </row>
    <row r="36" spans="1:13">
      <c r="A36" s="10"/>
      <c r="B36" s="10"/>
      <c r="C36" s="17"/>
      <c r="D36" s="18"/>
      <c r="E36" s="19"/>
      <c r="F36" s="14"/>
      <c r="G36" s="14"/>
      <c r="H36" s="14"/>
      <c r="I36" s="20"/>
      <c r="J36" s="71"/>
      <c r="K36" s="21"/>
      <c r="L36" s="14"/>
      <c r="M36" s="25"/>
    </row>
    <row r="37" ht="15.75" spans="1:13">
      <c r="A37" s="10"/>
      <c r="B37" s="10"/>
      <c r="C37" s="55">
        <f>Таблица21339902946781316172122232425303132[[#Totals],[2]]</f>
        <v>24200000</v>
      </c>
      <c r="D37" s="23"/>
      <c r="E37" s="24">
        <f>SUM(Таблица21339902946781316172122232425303132[4])</f>
        <v>0</v>
      </c>
      <c r="F37" s="14"/>
      <c r="G37" s="14"/>
      <c r="H37" s="14"/>
      <c r="I37" s="25"/>
      <c r="J37" s="72">
        <f>SUM(Таблица21339902946781316172122232425303132[113])</f>
        <v>34.56</v>
      </c>
      <c r="K37" s="26">
        <f>Таблица21339902946781316172122232425303132[[#Totals],[1132]]</f>
        <v>20</v>
      </c>
      <c r="L37" s="14"/>
      <c r="M37" s="9">
        <f>Таблица21339902946781316172122232425303132[[#Totals],[16]]</f>
        <v>24192000</v>
      </c>
    </row>
    <row r="38" spans="1:13">
      <c r="A38" s="27" t="s">
        <v>211</v>
      </c>
      <c r="B38" s="28" t="s">
        <v>224</v>
      </c>
      <c r="C38" s="28" t="s">
        <v>225</v>
      </c>
      <c r="D38" s="28" t="s">
        <v>226</v>
      </c>
      <c r="E38" s="28" t="s">
        <v>227</v>
      </c>
      <c r="F38" s="28" t="s">
        <v>228</v>
      </c>
      <c r="G38" s="28" t="s">
        <v>229</v>
      </c>
      <c r="H38" s="28" t="s">
        <v>230</v>
      </c>
      <c r="I38" s="28" t="s">
        <v>231</v>
      </c>
      <c r="J38" s="28" t="s">
        <v>232</v>
      </c>
      <c r="K38" s="28" t="s">
        <v>233</v>
      </c>
      <c r="L38" s="28" t="s">
        <v>234</v>
      </c>
      <c r="M38" s="28" t="s">
        <v>235</v>
      </c>
    </row>
    <row r="39" ht="15" spans="1:13">
      <c r="A39" s="29">
        <v>1</v>
      </c>
      <c r="B39" s="39">
        <v>46212</v>
      </c>
      <c r="C39" s="56">
        <v>22200000</v>
      </c>
      <c r="D39" s="32" t="s">
        <v>307</v>
      </c>
      <c r="E39" s="33"/>
      <c r="F39" s="34">
        <f>Таблица21339902946781316172122232425303132[[#This Row],[ ]]</f>
        <v>1</v>
      </c>
      <c r="G39" s="32">
        <v>46211</v>
      </c>
      <c r="H39" s="35" t="s">
        <v>37</v>
      </c>
      <c r="I39" s="36" t="s">
        <v>28</v>
      </c>
      <c r="J39" s="37">
        <v>34.56</v>
      </c>
      <c r="K39" s="38">
        <v>20</v>
      </c>
      <c r="L39" s="34">
        <v>700000</v>
      </c>
      <c r="M39" s="33">
        <f>Таблица21339902946781316172122232425303132[[#This Row],[113]]*Таблица21339902946781316172122232425303132[[#This Row],[15]]</f>
        <v>24192000</v>
      </c>
    </row>
    <row r="40" spans="1:13">
      <c r="A40" s="29">
        <v>2</v>
      </c>
      <c r="B40" s="39">
        <v>46221</v>
      </c>
      <c r="C40" s="33">
        <v>2000000</v>
      </c>
      <c r="D40" s="32" t="s">
        <v>308</v>
      </c>
      <c r="E40" s="33"/>
      <c r="F40" s="34">
        <f>Таблица21339902946781316172122232425303132[[#This Row],[ ]]</f>
        <v>2</v>
      </c>
      <c r="G40" s="39"/>
      <c r="H40" s="41"/>
      <c r="I40" s="41"/>
      <c r="J40" s="41"/>
      <c r="K40" s="33"/>
      <c r="L40" s="43"/>
      <c r="M40" s="33">
        <f>Таблица21339902946781316172122232425303132[[#This Row],[113]]*Таблица21339902946781316172122232425303132[[#This Row],[15]]</f>
        <v>0</v>
      </c>
    </row>
    <row r="41" spans="1:13">
      <c r="A41" s="29">
        <v>3</v>
      </c>
      <c r="B41" s="44"/>
      <c r="C41" s="33"/>
      <c r="D41" s="32"/>
      <c r="E41" s="33"/>
      <c r="F41" s="34">
        <f>Таблица21339902946781316172122232425303132[[#This Row],[ ]]</f>
        <v>3</v>
      </c>
      <c r="G41" s="39"/>
      <c r="H41" s="41"/>
      <c r="I41" s="41"/>
      <c r="J41" s="41"/>
      <c r="K41" s="33"/>
      <c r="L41" s="43"/>
      <c r="M41" s="33">
        <f>Таблица21339902946781316172122232425303132[[#This Row],[113]]*Таблица21339902946781316172122232425303132[[#This Row],[15]]</f>
        <v>0</v>
      </c>
    </row>
    <row r="42" spans="1:13">
      <c r="A42" s="45"/>
      <c r="B42" s="57"/>
      <c r="C42" s="33">
        <f>SUBTOTAL(109,Таблица21339902946781316172122232425303132[2])</f>
        <v>24200000</v>
      </c>
      <c r="D42" s="33"/>
      <c r="E42" s="47"/>
      <c r="F42" s="46"/>
      <c r="G42" s="48"/>
      <c r="H42" s="49"/>
      <c r="I42" s="49"/>
      <c r="J42" s="49"/>
      <c r="K42" s="49">
        <f>SUBTOTAL(109,Таблица21339902946781316172122232425303132[1132])</f>
        <v>20</v>
      </c>
      <c r="L42" s="51"/>
      <c r="M42" s="51">
        <f>SUBTOTAL(109,Таблица21339902946781316172122232425303132[16])</f>
        <v>24192000</v>
      </c>
    </row>
    <row r="44" ht="18" spans="1:13">
      <c r="A44" s="2"/>
      <c r="B44" s="3"/>
      <c r="C44" s="4" t="s">
        <v>211</v>
      </c>
      <c r="D44" s="52" t="s">
        <v>309</v>
      </c>
      <c r="E44" s="6"/>
      <c r="H44" s="1" t="s">
        <v>213</v>
      </c>
      <c r="I44" s="1">
        <f>SUMIFS(C:C,D:D,J44)</f>
        <v>7500000</v>
      </c>
      <c r="J44" s="32" t="s">
        <v>214</v>
      </c>
    </row>
    <row r="45" ht="20.25" spans="1:13">
      <c r="A45" s="7" t="s">
        <v>215</v>
      </c>
      <c r="B45" s="7"/>
      <c r="C45" s="8"/>
      <c r="D45" s="8"/>
      <c r="E45" s="8"/>
      <c r="F45" s="53">
        <f>Таблица21339902941440[[#Totals],[2]]+-Таблица21339902941440[[#Totals],[16]]</f>
        <v>0</v>
      </c>
      <c r="G45" s="54"/>
    </row>
    <row r="46" spans="1:13">
      <c r="A46" s="10" t="s">
        <v>216</v>
      </c>
      <c r="B46" s="10" t="s">
        <v>217</v>
      </c>
      <c r="C46" s="10" t="s">
        <v>218</v>
      </c>
      <c r="D46" s="10" t="s">
        <v>219</v>
      </c>
      <c r="E46" s="13" t="s">
        <v>220</v>
      </c>
      <c r="F46" s="14" t="s">
        <v>216</v>
      </c>
      <c r="G46" s="14" t="s">
        <v>217</v>
      </c>
      <c r="H46" s="14" t="s">
        <v>221</v>
      </c>
      <c r="I46" s="15" t="s">
        <v>6</v>
      </c>
      <c r="J46" s="16" t="s">
        <v>7</v>
      </c>
      <c r="K46" s="16" t="s">
        <v>222</v>
      </c>
      <c r="L46" s="14" t="s">
        <v>223</v>
      </c>
      <c r="M46" s="15" t="s">
        <v>218</v>
      </c>
    </row>
    <row r="47" spans="1:13">
      <c r="A47" s="10"/>
      <c r="B47" s="10"/>
      <c r="C47" s="17"/>
      <c r="D47" s="18"/>
      <c r="E47" s="19"/>
      <c r="F47" s="14"/>
      <c r="G47" s="14"/>
      <c r="H47" s="14"/>
      <c r="I47" s="20"/>
      <c r="J47" s="20"/>
      <c r="K47" s="21"/>
      <c r="L47" s="14"/>
      <c r="M47" s="25"/>
    </row>
    <row r="48" ht="15.75" spans="1:13">
      <c r="A48" s="10"/>
      <c r="B48" s="10"/>
      <c r="C48" s="55">
        <f>Таблица21339902941440[[#Totals],[2]]</f>
        <v>22982400</v>
      </c>
      <c r="D48" s="23"/>
      <c r="E48" s="24">
        <f>SUM(Таблица21339902941440[4])</f>
        <v>0</v>
      </c>
      <c r="F48" s="14"/>
      <c r="G48" s="14"/>
      <c r="H48" s="14"/>
      <c r="I48" s="25"/>
      <c r="J48" s="25"/>
      <c r="K48" s="26">
        <f>Таблица21339902941440[[#Totals],[1132]]</f>
        <v>19</v>
      </c>
      <c r="L48" s="14"/>
      <c r="M48" s="9">
        <f>Таблица21339902941440[[#Totals],[16]]</f>
        <v>22982400</v>
      </c>
    </row>
    <row r="49" spans="1:13">
      <c r="A49" s="27" t="s">
        <v>211</v>
      </c>
      <c r="B49" s="28" t="s">
        <v>224</v>
      </c>
      <c r="C49" s="28" t="s">
        <v>225</v>
      </c>
      <c r="D49" s="28" t="s">
        <v>226</v>
      </c>
      <c r="E49" s="28" t="s">
        <v>227</v>
      </c>
      <c r="F49" s="28" t="s">
        <v>228</v>
      </c>
      <c r="G49" s="28" t="s">
        <v>229</v>
      </c>
      <c r="H49" s="28" t="s">
        <v>230</v>
      </c>
      <c r="I49" s="28" t="s">
        <v>231</v>
      </c>
      <c r="J49" s="28" t="s">
        <v>232</v>
      </c>
      <c r="K49" s="28" t="s">
        <v>233</v>
      </c>
      <c r="L49" s="28" t="s">
        <v>234</v>
      </c>
      <c r="M49" s="28" t="s">
        <v>235</v>
      </c>
    </row>
    <row r="50" ht="15" spans="1:13">
      <c r="A50" s="29">
        <v>1</v>
      </c>
      <c r="B50" s="39">
        <v>46229</v>
      </c>
      <c r="C50" s="56">
        <v>2500000</v>
      </c>
      <c r="D50" s="32" t="s">
        <v>214</v>
      </c>
      <c r="E50" s="33"/>
      <c r="F50" s="34">
        <f>Таблица21339902941440[[#This Row],[ ]]</f>
        <v>1</v>
      </c>
      <c r="G50" s="32">
        <v>46229</v>
      </c>
      <c r="H50" s="35" t="s">
        <v>88</v>
      </c>
      <c r="I50" s="36" t="s">
        <v>187</v>
      </c>
      <c r="J50" s="37">
        <v>32.832</v>
      </c>
      <c r="K50" s="38">
        <v>19</v>
      </c>
      <c r="L50" s="43">
        <v>700000</v>
      </c>
      <c r="M50" s="33">
        <f>Таблица21339902941440[[#This Row],[113]]*Таблица21339902941440[[#This Row],[15]]</f>
        <v>22982400</v>
      </c>
    </row>
    <row r="51" spans="1:13">
      <c r="A51" s="29">
        <v>2</v>
      </c>
      <c r="B51" s="44">
        <v>46230</v>
      </c>
      <c r="C51" s="33">
        <v>20482400</v>
      </c>
      <c r="D51" s="32" t="s">
        <v>310</v>
      </c>
      <c r="E51" s="33"/>
      <c r="F51" s="34">
        <f>Таблица21339902941440[[#This Row],[ ]]</f>
        <v>2</v>
      </c>
      <c r="G51" s="39"/>
      <c r="H51" s="41"/>
      <c r="I51" s="41"/>
      <c r="J51" s="41"/>
      <c r="K51" s="33"/>
      <c r="L51" s="43"/>
      <c r="M51" s="33">
        <f>Таблица21339902941440[[#This Row],[113]]*Таблица21339902941440[[#This Row],[15]]</f>
        <v>0</v>
      </c>
    </row>
    <row r="52" spans="1:13">
      <c r="A52" s="29">
        <v>3</v>
      </c>
      <c r="B52" s="44"/>
      <c r="C52" s="33"/>
      <c r="D52" s="32"/>
      <c r="E52" s="33"/>
      <c r="F52" s="34">
        <f>Таблица21339902941440[[#This Row],[ ]]</f>
        <v>3</v>
      </c>
      <c r="G52" s="39"/>
      <c r="H52" s="41"/>
      <c r="I52" s="41"/>
      <c r="J52" s="41"/>
      <c r="K52" s="33"/>
      <c r="L52" s="43"/>
      <c r="M52" s="33">
        <f>Таблица21339902941440[[#This Row],[113]]*Таблица21339902941440[[#This Row],[15]]</f>
        <v>0</v>
      </c>
    </row>
    <row r="53" spans="1:13">
      <c r="A53" s="45"/>
      <c r="B53" s="57"/>
      <c r="C53" s="33">
        <f>SUBTOTAL(109,Таблица21339902941440[2])</f>
        <v>22982400</v>
      </c>
      <c r="D53" s="33"/>
      <c r="E53" s="47"/>
      <c r="F53" s="46"/>
      <c r="G53" s="48"/>
      <c r="H53" s="49"/>
      <c r="I53" s="49"/>
      <c r="J53" s="49"/>
      <c r="K53" s="49">
        <f>SUBTOTAL(109,Таблица21339902941440[1132])</f>
        <v>19</v>
      </c>
      <c r="L53" s="51"/>
      <c r="M53" s="51">
        <f>SUBTOTAL(109,Таблица21339902941440[16])</f>
        <v>22982400</v>
      </c>
    </row>
  </sheetData>
  <mergeCells count="56">
    <mergeCell ref="A2:B2"/>
    <mergeCell ref="C2:D2"/>
    <mergeCell ref="F2:G2"/>
    <mergeCell ref="A16:B16"/>
    <mergeCell ref="C16:D16"/>
    <mergeCell ref="F16:G16"/>
    <mergeCell ref="A34:B34"/>
    <mergeCell ref="C34:D34"/>
    <mergeCell ref="F34:G34"/>
    <mergeCell ref="A45:B45"/>
    <mergeCell ref="C45:D45"/>
    <mergeCell ref="F45:G45"/>
    <mergeCell ref="A3:A5"/>
    <mergeCell ref="A17:A19"/>
    <mergeCell ref="A35:A37"/>
    <mergeCell ref="A46:A48"/>
    <mergeCell ref="B3:B5"/>
    <mergeCell ref="B17:B19"/>
    <mergeCell ref="B35:B37"/>
    <mergeCell ref="B46:B48"/>
    <mergeCell ref="E3:E4"/>
    <mergeCell ref="E17:E18"/>
    <mergeCell ref="E35:E36"/>
    <mergeCell ref="E46:E47"/>
    <mergeCell ref="F3:F5"/>
    <mergeCell ref="F17:F19"/>
    <mergeCell ref="F35:F37"/>
    <mergeCell ref="F46:F48"/>
    <mergeCell ref="G3:G5"/>
    <mergeCell ref="G17:G19"/>
    <mergeCell ref="G35:G37"/>
    <mergeCell ref="G46:G48"/>
    <mergeCell ref="H3:H5"/>
    <mergeCell ref="H17:H19"/>
    <mergeCell ref="H35:H37"/>
    <mergeCell ref="H46:H48"/>
    <mergeCell ref="I3:I5"/>
    <mergeCell ref="I17:I19"/>
    <mergeCell ref="I35:I37"/>
    <mergeCell ref="I46:I48"/>
    <mergeCell ref="J3:J5"/>
    <mergeCell ref="J17:J19"/>
    <mergeCell ref="J35:J36"/>
    <mergeCell ref="J46:J48"/>
    <mergeCell ref="K3:K4"/>
    <mergeCell ref="K17:K18"/>
    <mergeCell ref="K35:K36"/>
    <mergeCell ref="K46:K47"/>
    <mergeCell ref="L3:L5"/>
    <mergeCell ref="L17:L19"/>
    <mergeCell ref="L35:L37"/>
    <mergeCell ref="L46:L48"/>
    <mergeCell ref="M3:M4"/>
    <mergeCell ref="M17:M18"/>
    <mergeCell ref="M35:M36"/>
    <mergeCell ref="M46:M47"/>
  </mergeCells>
  <hyperlinks>
    <hyperlink ref="D1" location="'Свод Завод'!A1" display="2-Гофур Хазорасп"/>
    <hyperlink ref="D15" location="'Свод Завод'!A1" display="2-Шиддат маналит"/>
    <hyperlink ref="D33" location="'Свод Завод'!A1" display="2-Нахт клент Арслон"/>
    <hyperlink ref="D44" location="'Свод Завод'!A1" display="2-Кувондик курувчи"/>
  </hyperlinks>
  <pageMargins left="0.7" right="0.7" top="0.75" bottom="0.75" header="0.3" footer="0.3"/>
  <headerFooter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1"/>
  <sheetViews>
    <sheetView workbookViewId="0">
      <selection activeCell="E46" sqref="D46:E46"/>
    </sheetView>
  </sheetViews>
  <sheetFormatPr defaultColWidth="9.08571428571429" defaultRowHeight="14.25"/>
  <cols>
    <col min="1" max="1" width="5.54285714285714" style="1" customWidth="1"/>
    <col min="2" max="2" width="11.9047619047619" style="1" customWidth="1"/>
    <col min="3" max="3" width="13.4571428571429" style="1" customWidth="1"/>
    <col min="4" max="4" width="24.4571428571429" style="1" customWidth="1"/>
    <col min="5" max="5" width="20.4571428571429" style="1" customWidth="1"/>
    <col min="6" max="6" width="6.62857142857143" style="1" customWidth="1"/>
    <col min="7" max="7" width="11.9047619047619" style="1" customWidth="1"/>
    <col min="8" max="8" width="12.6285714285714" style="1" customWidth="1"/>
    <col min="9" max="9" width="13.4571428571429" style="1" customWidth="1"/>
    <col min="10" max="10" width="9" style="1" customWidth="1"/>
    <col min="11" max="11" width="10.0857142857143" style="1" customWidth="1"/>
    <col min="12" max="12" width="11.9047619047619" style="1" customWidth="1"/>
    <col min="13" max="13" width="13" style="1" customWidth="1"/>
    <col min="14" max="14" width="10.8190476190476" style="1" customWidth="1"/>
    <col min="15" max="16" width="9.08571428571429" style="1"/>
    <col min="17" max="17" width="11.0857142857143" style="1" customWidth="1"/>
    <col min="18" max="16384" width="9.08571428571429" style="1"/>
  </cols>
  <sheetData>
    <row r="1" ht="15.75" spans="1:13">
      <c r="A1" s="2"/>
      <c r="B1" s="3"/>
      <c r="C1" s="4"/>
      <c r="D1" s="5" t="s">
        <v>311</v>
      </c>
      <c r="E1" s="6"/>
    </row>
    <row r="2" ht="15.75" spans="1:13">
      <c r="A2" s="7" t="s">
        <v>215</v>
      </c>
      <c r="B2" s="7"/>
      <c r="C2" s="8"/>
      <c r="D2" s="8"/>
      <c r="E2" s="8"/>
      <c r="F2" s="9">
        <f>Таблица2133990[[#Totals],[2]]+-Таблица2133990[[#Totals],[16]]</f>
        <v>245000000.016896</v>
      </c>
      <c r="G2" s="9"/>
    </row>
    <row r="3" ht="15" spans="1:13">
      <c r="A3" s="10" t="s">
        <v>216</v>
      </c>
      <c r="B3" s="10" t="s">
        <v>217</v>
      </c>
      <c r="C3" s="11" t="s">
        <v>218</v>
      </c>
      <c r="D3" s="12" t="s">
        <v>312</v>
      </c>
      <c r="E3" s="13" t="s">
        <v>220</v>
      </c>
      <c r="F3" s="14" t="s">
        <v>216</v>
      </c>
      <c r="G3" s="14" t="s">
        <v>217</v>
      </c>
      <c r="H3" s="14" t="s">
        <v>221</v>
      </c>
      <c r="I3" s="15" t="s">
        <v>6</v>
      </c>
      <c r="J3" s="16" t="s">
        <v>7</v>
      </c>
      <c r="K3" s="16" t="s">
        <v>222</v>
      </c>
      <c r="L3" s="16" t="s">
        <v>14</v>
      </c>
      <c r="M3" s="15" t="s">
        <v>218</v>
      </c>
    </row>
    <row r="4" spans="1:13">
      <c r="A4" s="10"/>
      <c r="B4" s="10"/>
      <c r="C4" s="17"/>
      <c r="D4" s="18"/>
      <c r="E4" s="19"/>
      <c r="F4" s="14"/>
      <c r="G4" s="14"/>
      <c r="H4" s="14"/>
      <c r="I4" s="20"/>
      <c r="J4" s="20"/>
      <c r="K4" s="21"/>
      <c r="L4" s="20"/>
      <c r="M4" s="20"/>
    </row>
    <row r="5" ht="15" spans="1:13">
      <c r="A5" s="10"/>
      <c r="B5" s="10"/>
      <c r="C5" s="22">
        <f>Таблица2133990[[#Totals],[2]]</f>
        <v>290570000</v>
      </c>
      <c r="D5" s="23"/>
      <c r="E5" s="24">
        <f>SUM(Таблица2133990[4])</f>
        <v>0</v>
      </c>
      <c r="F5" s="14"/>
      <c r="G5" s="14"/>
      <c r="H5" s="14"/>
      <c r="I5" s="25"/>
      <c r="J5" s="25"/>
      <c r="K5" s="26">
        <f>Таблица2133990[[#Totals],[1132]]</f>
        <v>36</v>
      </c>
      <c r="L5" s="25"/>
      <c r="M5" s="26">
        <f>Таблица2133990[[#Totals],[16]]</f>
        <v>45569999.983104</v>
      </c>
    </row>
    <row r="6" spans="1:13">
      <c r="A6" s="27" t="s">
        <v>211</v>
      </c>
      <c r="B6" s="28" t="s">
        <v>224</v>
      </c>
      <c r="C6" s="28" t="s">
        <v>225</v>
      </c>
      <c r="D6" s="28" t="s">
        <v>226</v>
      </c>
      <c r="E6" s="28" t="s">
        <v>227</v>
      </c>
      <c r="F6" s="28" t="s">
        <v>228</v>
      </c>
      <c r="G6" s="28" t="s">
        <v>229</v>
      </c>
      <c r="H6" s="28" t="s">
        <v>230</v>
      </c>
      <c r="I6" s="28" t="s">
        <v>231</v>
      </c>
      <c r="J6" s="28" t="s">
        <v>232</v>
      </c>
      <c r="K6" s="28" t="s">
        <v>233</v>
      </c>
      <c r="L6" s="28" t="s">
        <v>234</v>
      </c>
      <c r="M6" s="28" t="s">
        <v>235</v>
      </c>
    </row>
    <row r="7" spans="1:13">
      <c r="A7" s="29">
        <v>1</v>
      </c>
      <c r="B7" s="30">
        <v>46198</v>
      </c>
      <c r="C7" s="31">
        <v>45570000</v>
      </c>
      <c r="D7" s="32" t="s">
        <v>313</v>
      </c>
      <c r="E7" s="33"/>
      <c r="F7" s="34">
        <f>Таблица2133990[[#This Row],[ ]]</f>
        <v>1</v>
      </c>
      <c r="G7" s="32">
        <v>46197</v>
      </c>
      <c r="H7" s="35" t="s">
        <v>27</v>
      </c>
      <c r="I7" s="36" t="s">
        <v>28</v>
      </c>
      <c r="J7" s="37">
        <v>31.104</v>
      </c>
      <c r="K7" s="38">
        <v>18</v>
      </c>
      <c r="L7" s="33">
        <v>732542.438</v>
      </c>
      <c r="M7" s="33">
        <f>Таблица2133990[[#This Row],[113]]*(Таблица2133990[[#This Row],[15]])</f>
        <v>22784999.991552</v>
      </c>
    </row>
    <row r="8" ht="15" spans="1:13">
      <c r="A8" s="29">
        <v>2</v>
      </c>
      <c r="B8" s="39">
        <v>46206</v>
      </c>
      <c r="C8" s="40">
        <v>85000000</v>
      </c>
      <c r="D8" s="32" t="s">
        <v>313</v>
      </c>
      <c r="E8" s="33"/>
      <c r="F8" s="34">
        <f>Таблица2133990[[#This Row],[ ]]</f>
        <v>2</v>
      </c>
      <c r="G8" s="39">
        <v>46197</v>
      </c>
      <c r="H8" s="41" t="s">
        <v>32</v>
      </c>
      <c r="I8" s="41" t="s">
        <v>28</v>
      </c>
      <c r="J8" s="41">
        <v>31.104</v>
      </c>
      <c r="K8" s="33">
        <v>18</v>
      </c>
      <c r="L8" s="33">
        <v>732542.438</v>
      </c>
      <c r="M8" s="33">
        <f>Таблица2133990[[#This Row],[113]]*(Таблица2133990[[#This Row],[15]])</f>
        <v>22784999.991552</v>
      </c>
    </row>
    <row r="9" spans="1:13">
      <c r="A9" s="29">
        <v>3</v>
      </c>
      <c r="B9" s="42">
        <v>46218</v>
      </c>
      <c r="C9" s="33">
        <v>100000000</v>
      </c>
      <c r="D9" s="32" t="s">
        <v>313</v>
      </c>
      <c r="E9" s="33"/>
      <c r="F9" s="34">
        <f>Таблица2133990[[#This Row],[ ]]</f>
        <v>3</v>
      </c>
      <c r="G9" s="39"/>
      <c r="H9" s="41"/>
      <c r="I9" s="41"/>
      <c r="J9" s="41"/>
      <c r="K9" s="33"/>
      <c r="L9" s="43"/>
      <c r="M9" s="33">
        <f>Таблица2133990[[#This Row],[113]]*(Таблица2133990[[#This Row],[15]])</f>
        <v>0</v>
      </c>
    </row>
    <row r="10" spans="1:13">
      <c r="A10" s="29">
        <v>4</v>
      </c>
      <c r="B10" s="44">
        <v>46231</v>
      </c>
      <c r="C10" s="33">
        <v>60000000</v>
      </c>
      <c r="D10" s="32" t="s">
        <v>313</v>
      </c>
      <c r="E10" s="33"/>
      <c r="F10" s="34">
        <f>Таблица2133990[[#This Row],[ ]]</f>
        <v>4</v>
      </c>
      <c r="G10" s="39"/>
      <c r="H10" s="41"/>
      <c r="I10" s="41"/>
      <c r="J10" s="41"/>
      <c r="K10" s="33"/>
      <c r="L10" s="43"/>
      <c r="M10" s="33">
        <f>Таблица2133990[[#This Row],[113]]*(Таблица2133990[[#This Row],[15]])</f>
        <v>0</v>
      </c>
    </row>
    <row r="11" spans="1:13">
      <c r="A11" s="29">
        <v>5</v>
      </c>
      <c r="B11" s="44"/>
      <c r="C11" s="33"/>
      <c r="D11" s="32"/>
      <c r="E11" s="33"/>
      <c r="F11" s="34">
        <f>Таблица2133990[[#This Row],[ ]]</f>
        <v>5</v>
      </c>
      <c r="G11" s="39"/>
      <c r="H11" s="41"/>
      <c r="I11" s="41"/>
      <c r="J11" s="41"/>
      <c r="K11" s="33"/>
      <c r="L11" s="43"/>
      <c r="M11" s="33">
        <f>Таблица2133990[[#This Row],[113]]*(Таблица2133990[[#This Row],[15]])</f>
        <v>0</v>
      </c>
    </row>
    <row r="12" spans="1:13">
      <c r="A12" s="45"/>
      <c r="B12" s="46"/>
      <c r="C12" s="47">
        <f>SUBTOTAL(109,Таблица2133990[2])</f>
        <v>290570000</v>
      </c>
      <c r="D12" s="47"/>
      <c r="E12" s="47"/>
      <c r="F12" s="46"/>
      <c r="G12" s="48"/>
      <c r="H12" s="49"/>
      <c r="I12" s="49"/>
      <c r="J12" s="49"/>
      <c r="K12" s="50">
        <f>SUBTOTAL(109,Таблица2133990[1132])</f>
        <v>36</v>
      </c>
      <c r="L12" s="51"/>
      <c r="M12" s="51">
        <f>SUBTOTAL(109,Таблица2133990[16])</f>
        <v>45569999.983104</v>
      </c>
    </row>
    <row r="14" ht="18" spans="1:13">
      <c r="A14" s="2"/>
      <c r="B14" s="3"/>
      <c r="C14" s="4" t="s">
        <v>211</v>
      </c>
      <c r="D14" s="52" t="s">
        <v>314</v>
      </c>
      <c r="E14" s="6"/>
    </row>
    <row r="15" ht="20.25" spans="1:13">
      <c r="A15" s="7" t="s">
        <v>215</v>
      </c>
      <c r="B15" s="7"/>
      <c r="C15" s="8"/>
      <c r="D15" s="8"/>
      <c r="E15" s="8"/>
      <c r="F15" s="53">
        <f>Таблица213399029[[#Totals],[2]]+-Таблица213399029[[#Totals],[16]]</f>
        <v>-803200</v>
      </c>
      <c r="G15" s="54"/>
    </row>
    <row r="16" spans="1:13">
      <c r="A16" s="10" t="s">
        <v>216</v>
      </c>
      <c r="B16" s="10" t="s">
        <v>217</v>
      </c>
      <c r="C16" s="10" t="s">
        <v>218</v>
      </c>
      <c r="D16" s="10" t="s">
        <v>219</v>
      </c>
      <c r="E16" s="13" t="s">
        <v>220</v>
      </c>
      <c r="F16" s="14" t="s">
        <v>216</v>
      </c>
      <c r="G16" s="14" t="s">
        <v>217</v>
      </c>
      <c r="H16" s="14" t="s">
        <v>221</v>
      </c>
      <c r="I16" s="15" t="s">
        <v>6</v>
      </c>
      <c r="J16" s="16" t="s">
        <v>7</v>
      </c>
      <c r="K16" s="16" t="s">
        <v>222</v>
      </c>
      <c r="L16" s="14" t="s">
        <v>223</v>
      </c>
      <c r="M16" s="15" t="s">
        <v>218</v>
      </c>
    </row>
    <row r="17" spans="1:13">
      <c r="A17" s="10"/>
      <c r="B17" s="10"/>
      <c r="C17" s="17"/>
      <c r="D17" s="18"/>
      <c r="E17" s="19"/>
      <c r="F17" s="14"/>
      <c r="G17" s="14"/>
      <c r="H17" s="14"/>
      <c r="I17" s="20"/>
      <c r="J17" s="20"/>
      <c r="K17" s="21"/>
      <c r="L17" s="14"/>
      <c r="M17" s="25"/>
    </row>
    <row r="18" ht="15.75" spans="1:13">
      <c r="A18" s="10"/>
      <c r="B18" s="10"/>
      <c r="C18" s="55">
        <f>Таблица213399029[[#Totals],[2]]</f>
        <v>122394560</v>
      </c>
      <c r="D18" s="23"/>
      <c r="E18" s="24">
        <f>SUM(Таблица213399029[4])</f>
        <v>0</v>
      </c>
      <c r="F18" s="14"/>
      <c r="G18" s="14"/>
      <c r="H18" s="14"/>
      <c r="I18" s="25"/>
      <c r="J18" s="25"/>
      <c r="K18" s="26">
        <f>Таблица213399029[[#Totals],[1132]]</f>
        <v>99</v>
      </c>
      <c r="L18" s="14"/>
      <c r="M18" s="9">
        <f>Таблица213399029[[#Totals],[16]]</f>
        <v>123197760</v>
      </c>
    </row>
    <row r="19" spans="1:13">
      <c r="A19" s="27" t="s">
        <v>211</v>
      </c>
      <c r="B19" s="28" t="s">
        <v>224</v>
      </c>
      <c r="C19" s="28" t="s">
        <v>225</v>
      </c>
      <c r="D19" s="28" t="s">
        <v>226</v>
      </c>
      <c r="E19" s="28" t="s">
        <v>227</v>
      </c>
      <c r="F19" s="28" t="s">
        <v>228</v>
      </c>
      <c r="G19" s="28" t="s">
        <v>229</v>
      </c>
      <c r="H19" s="28" t="s">
        <v>230</v>
      </c>
      <c r="I19" s="28" t="s">
        <v>231</v>
      </c>
      <c r="J19" s="28" t="s">
        <v>232</v>
      </c>
      <c r="K19" s="28" t="s">
        <v>233</v>
      </c>
      <c r="L19" s="28" t="s">
        <v>234</v>
      </c>
      <c r="M19" s="28" t="s">
        <v>235</v>
      </c>
    </row>
    <row r="20" ht="15" spans="1:13">
      <c r="A20" s="29">
        <v>1</v>
      </c>
      <c r="B20" s="39">
        <v>46205</v>
      </c>
      <c r="C20" s="56">
        <v>72394560</v>
      </c>
      <c r="D20" s="32" t="s">
        <v>315</v>
      </c>
      <c r="E20" s="33"/>
      <c r="F20" s="34">
        <f>Таблица213399029[[#This Row],[ ]]</f>
        <v>1</v>
      </c>
      <c r="G20" s="32">
        <v>46198</v>
      </c>
      <c r="H20" s="35" t="s">
        <v>41</v>
      </c>
      <c r="I20" s="36" t="s">
        <v>28</v>
      </c>
      <c r="J20" s="37">
        <v>32.832</v>
      </c>
      <c r="K20" s="38">
        <v>19</v>
      </c>
      <c r="L20" s="34">
        <v>735000</v>
      </c>
      <c r="M20" s="33">
        <f>Таблица213399029[[#This Row],[113]]*Таблица213399029[[#This Row],[15]]</f>
        <v>24131520</v>
      </c>
    </row>
    <row r="21" spans="1:13">
      <c r="A21" s="29">
        <v>2</v>
      </c>
      <c r="B21" s="44">
        <v>46224</v>
      </c>
      <c r="C21" s="33">
        <v>50000000</v>
      </c>
      <c r="D21" s="32" t="s">
        <v>315</v>
      </c>
      <c r="E21" s="33"/>
      <c r="F21" s="34">
        <f>Таблица213399029[[#This Row],[ ]]</f>
        <v>2</v>
      </c>
      <c r="G21" s="39">
        <v>46198</v>
      </c>
      <c r="H21" s="41" t="s">
        <v>42</v>
      </c>
      <c r="I21" s="41" t="s">
        <v>28</v>
      </c>
      <c r="J21" s="41">
        <v>32.832</v>
      </c>
      <c r="K21" s="33">
        <v>19</v>
      </c>
      <c r="L21" s="43">
        <v>735000</v>
      </c>
      <c r="M21" s="33">
        <f>Таблица213399029[[#This Row],[113]]*Таблица213399029[[#This Row],[15]]</f>
        <v>24131520</v>
      </c>
    </row>
    <row r="22" spans="1:13">
      <c r="A22" s="29">
        <v>3</v>
      </c>
      <c r="B22" s="44"/>
      <c r="C22" s="33"/>
      <c r="D22" s="32"/>
      <c r="E22" s="33"/>
      <c r="F22" s="34">
        <f>Таблица213399029[[#This Row],[ ]]</f>
        <v>3</v>
      </c>
      <c r="G22" s="39">
        <v>46198</v>
      </c>
      <c r="H22" s="41" t="s">
        <v>43</v>
      </c>
      <c r="I22" s="41" t="s">
        <v>28</v>
      </c>
      <c r="J22" s="41">
        <v>32.832</v>
      </c>
      <c r="K22" s="33">
        <v>19</v>
      </c>
      <c r="L22" s="43">
        <v>735000</v>
      </c>
      <c r="M22" s="33">
        <f>Таблица213399029[[#This Row],[113]]*Таблица213399029[[#This Row],[15]]</f>
        <v>24131520</v>
      </c>
    </row>
    <row r="23" spans="1:13">
      <c r="A23" s="29">
        <v>4</v>
      </c>
      <c r="B23" s="44"/>
      <c r="C23" s="33"/>
      <c r="D23" s="32"/>
      <c r="E23" s="33"/>
      <c r="F23" s="34">
        <f>Таблица213399029[[#This Row],[ ]]</f>
        <v>4</v>
      </c>
      <c r="G23" s="39">
        <v>46216</v>
      </c>
      <c r="H23" s="41" t="s">
        <v>134</v>
      </c>
      <c r="I23" s="41" t="s">
        <v>28</v>
      </c>
      <c r="J23" s="41">
        <v>32.832</v>
      </c>
      <c r="K23" s="33">
        <v>19</v>
      </c>
      <c r="L23" s="43">
        <v>700000</v>
      </c>
      <c r="M23" s="33">
        <f>Таблица213399029[[#This Row],[113]]*Таблица213399029[[#This Row],[15]]</f>
        <v>22982400</v>
      </c>
    </row>
    <row r="24" spans="1:13">
      <c r="A24" s="29">
        <v>5</v>
      </c>
      <c r="B24" s="44"/>
      <c r="C24" s="33"/>
      <c r="D24" s="32"/>
      <c r="E24" s="33"/>
      <c r="F24" s="34">
        <f>Таблица213399029[[#This Row],[ ]]</f>
        <v>5</v>
      </c>
      <c r="G24" s="39">
        <v>46216</v>
      </c>
      <c r="H24" s="41" t="s">
        <v>136</v>
      </c>
      <c r="I24" s="41" t="s">
        <v>28</v>
      </c>
      <c r="J24" s="41">
        <v>6.912</v>
      </c>
      <c r="K24" s="33">
        <v>4</v>
      </c>
      <c r="L24" s="43">
        <v>700000</v>
      </c>
      <c r="M24" s="33">
        <f>Таблица213399029[[#This Row],[113]]*Таблица213399029[[#This Row],[15]]</f>
        <v>4838400</v>
      </c>
    </row>
    <row r="25" spans="1:13">
      <c r="A25" s="29">
        <v>6</v>
      </c>
      <c r="B25" s="44"/>
      <c r="C25" s="33"/>
      <c r="D25" s="32"/>
      <c r="E25" s="33"/>
      <c r="F25" s="34">
        <f>Таблица213399029[[#This Row],[ ]]</f>
        <v>6</v>
      </c>
      <c r="G25" s="39">
        <v>46217</v>
      </c>
      <c r="H25" s="41" t="s">
        <v>138</v>
      </c>
      <c r="I25" s="41" t="s">
        <v>28</v>
      </c>
      <c r="J25" s="41">
        <v>32.832</v>
      </c>
      <c r="K25" s="33">
        <v>19</v>
      </c>
      <c r="L25" s="43">
        <v>700000</v>
      </c>
      <c r="M25" s="33">
        <f>Таблица213399029[[#This Row],[113]]*Таблица213399029[[#This Row],[15]]</f>
        <v>22982400</v>
      </c>
    </row>
    <row r="26" spans="1:13">
      <c r="A26" s="29">
        <v>7</v>
      </c>
      <c r="B26" s="44"/>
      <c r="C26" s="33"/>
      <c r="D26" s="32"/>
      <c r="E26" s="33"/>
      <c r="F26" s="34">
        <f>Таблица213399029[[#This Row],[ ]]</f>
        <v>7</v>
      </c>
      <c r="G26" s="39"/>
      <c r="H26" s="41"/>
      <c r="I26" s="41"/>
      <c r="J26" s="41"/>
      <c r="K26" s="43"/>
      <c r="L26" s="33"/>
      <c r="M26" s="33">
        <f>Таблица213399029[[#This Row],[113]]*Таблица213399029[[#This Row],[15]]</f>
        <v>0</v>
      </c>
    </row>
    <row r="27" spans="1:13">
      <c r="A27" s="45"/>
      <c r="B27" s="57"/>
      <c r="C27" s="33">
        <f>SUBTOTAL(109,Таблица213399029[2])</f>
        <v>122394560</v>
      </c>
      <c r="D27" s="33"/>
      <c r="E27" s="47"/>
      <c r="F27" s="46"/>
      <c r="G27" s="48"/>
      <c r="H27" s="49"/>
      <c r="I27" s="49"/>
      <c r="J27" s="49"/>
      <c r="K27" s="49">
        <f>SUBTOTAL(109,Таблица213399029[1132])</f>
        <v>99</v>
      </c>
      <c r="L27" s="51"/>
      <c r="M27" s="51">
        <f>SUBTOTAL(109,Таблица213399029[16])</f>
        <v>123197760</v>
      </c>
    </row>
    <row r="29" ht="15.75" spans="1:13">
      <c r="A29" s="2"/>
      <c r="B29" s="3"/>
      <c r="C29" s="4" t="s">
        <v>211</v>
      </c>
      <c r="D29" s="58" t="s">
        <v>316</v>
      </c>
      <c r="E29" s="6"/>
    </row>
    <row r="30" ht="20.25" spans="1:13">
      <c r="A30" s="7" t="s">
        <v>215</v>
      </c>
      <c r="B30" s="7"/>
      <c r="C30" s="8"/>
      <c r="D30" s="8"/>
      <c r="E30" s="8"/>
      <c r="F30" s="53">
        <f>Таблица2133990291011[[#Totals],[2]]+-Таблица2133990291011[[#Totals],[16]]</f>
        <v>8700480</v>
      </c>
      <c r="G30" s="54"/>
    </row>
    <row r="31" spans="1:13">
      <c r="A31" s="10" t="s">
        <v>216</v>
      </c>
      <c r="B31" s="10" t="s">
        <v>217</v>
      </c>
      <c r="C31" s="10" t="s">
        <v>218</v>
      </c>
      <c r="D31" s="10" t="s">
        <v>219</v>
      </c>
      <c r="E31" s="13" t="s">
        <v>220</v>
      </c>
      <c r="F31" s="14" t="s">
        <v>216</v>
      </c>
      <c r="G31" s="14" t="s">
        <v>217</v>
      </c>
      <c r="H31" s="14" t="s">
        <v>221</v>
      </c>
      <c r="I31" s="15" t="s">
        <v>6</v>
      </c>
      <c r="J31" s="16" t="s">
        <v>7</v>
      </c>
      <c r="K31" s="16" t="s">
        <v>222</v>
      </c>
      <c r="L31" s="14" t="s">
        <v>223</v>
      </c>
      <c r="M31" s="15" t="s">
        <v>218</v>
      </c>
    </row>
    <row r="32" spans="1:13">
      <c r="A32" s="10"/>
      <c r="B32" s="10"/>
      <c r="C32" s="17"/>
      <c r="D32" s="18"/>
      <c r="E32" s="19"/>
      <c r="F32" s="14"/>
      <c r="G32" s="14"/>
      <c r="H32" s="14"/>
      <c r="I32" s="20"/>
      <c r="J32" s="20"/>
      <c r="K32" s="21"/>
      <c r="L32" s="14"/>
      <c r="M32" s="25"/>
    </row>
    <row r="33" ht="15.75" spans="1:13">
      <c r="A33" s="10"/>
      <c r="B33" s="10"/>
      <c r="C33" s="55">
        <f>Таблица2133990291011[[#Totals],[2]]</f>
        <v>32832000</v>
      </c>
      <c r="D33" s="23"/>
      <c r="E33" s="24">
        <f>SUM(Таблица2133990291011[4])</f>
        <v>0</v>
      </c>
      <c r="F33" s="14"/>
      <c r="G33" s="14"/>
      <c r="H33" s="14"/>
      <c r="I33" s="25"/>
      <c r="J33" s="25"/>
      <c r="K33" s="26">
        <f>Таблица2133990291011[[#Totals],[1132]]</f>
        <v>19</v>
      </c>
      <c r="L33" s="14"/>
      <c r="M33" s="9">
        <f>Таблица2133990291011[[#Totals],[16]]</f>
        <v>24131520</v>
      </c>
    </row>
    <row r="34" spans="1:13">
      <c r="A34" s="27" t="s">
        <v>211</v>
      </c>
      <c r="B34" s="28" t="s">
        <v>224</v>
      </c>
      <c r="C34" s="28" t="s">
        <v>225</v>
      </c>
      <c r="D34" s="28" t="s">
        <v>226</v>
      </c>
      <c r="E34" s="28" t="s">
        <v>227</v>
      </c>
      <c r="F34" s="28" t="s">
        <v>228</v>
      </c>
      <c r="G34" s="28" t="s">
        <v>229</v>
      </c>
      <c r="H34" s="28" t="s">
        <v>230</v>
      </c>
      <c r="I34" s="28" t="s">
        <v>231</v>
      </c>
      <c r="J34" s="28" t="s">
        <v>232</v>
      </c>
      <c r="K34" s="28" t="s">
        <v>233</v>
      </c>
      <c r="L34" s="28" t="s">
        <v>234</v>
      </c>
      <c r="M34" s="28" t="s">
        <v>235</v>
      </c>
    </row>
    <row r="35" ht="15" spans="1:13">
      <c r="A35" s="29">
        <v>1</v>
      </c>
      <c r="B35" s="39">
        <v>46211</v>
      </c>
      <c r="C35" s="56">
        <v>32832000</v>
      </c>
      <c r="D35" s="32" t="s">
        <v>60</v>
      </c>
      <c r="E35" s="33"/>
      <c r="F35" s="34">
        <f>Таблица2133990291011[[#This Row],[ ]]</f>
        <v>1</v>
      </c>
      <c r="G35" s="32">
        <v>46203</v>
      </c>
      <c r="H35" s="35" t="s">
        <v>61</v>
      </c>
      <c r="I35" s="36" t="s">
        <v>28</v>
      </c>
      <c r="J35" s="37">
        <v>32.832</v>
      </c>
      <c r="K35" s="38">
        <v>19</v>
      </c>
      <c r="L35" s="34">
        <v>735000</v>
      </c>
      <c r="M35" s="33">
        <f>Таблица2133990291011[[#This Row],[113]]*Таблица2133990291011[[#This Row],[15]]</f>
        <v>24131520</v>
      </c>
    </row>
    <row r="36" spans="1:13">
      <c r="A36" s="29">
        <v>2</v>
      </c>
      <c r="B36" s="44"/>
      <c r="C36" s="33"/>
      <c r="D36" s="32"/>
      <c r="E36" s="33"/>
      <c r="F36" s="34">
        <f>Таблица2133990291011[[#This Row],[ ]]</f>
        <v>2</v>
      </c>
      <c r="G36" s="39"/>
      <c r="H36" s="41"/>
      <c r="I36" s="41"/>
      <c r="J36" s="41"/>
      <c r="K36" s="33"/>
      <c r="L36" s="43"/>
      <c r="M36" s="33">
        <f>Таблица2133990291011[[#This Row],[113]]*Таблица2133990291011[[#This Row],[15]]</f>
        <v>0</v>
      </c>
    </row>
    <row r="37" spans="1:13">
      <c r="A37" s="45"/>
      <c r="B37" s="57"/>
      <c r="C37" s="33">
        <f>SUBTOTAL(109,Таблица2133990291011[2])</f>
        <v>32832000</v>
      </c>
      <c r="D37" s="33"/>
      <c r="E37" s="47"/>
      <c r="F37" s="46"/>
      <c r="G37" s="48"/>
      <c r="H37" s="49"/>
      <c r="I37" s="49"/>
      <c r="J37" s="49"/>
      <c r="K37" s="49">
        <f>SUBTOTAL(109,Таблица2133990291011[1132])</f>
        <v>19</v>
      </c>
      <c r="L37" s="51"/>
      <c r="M37" s="51">
        <f>SUBTOTAL(109,Таблица2133990291011[16])</f>
        <v>24131520</v>
      </c>
    </row>
    <row r="39" ht="18" spans="1:13">
      <c r="A39" s="59"/>
      <c r="B39" s="59"/>
      <c r="C39" s="60" t="s">
        <v>211</v>
      </c>
      <c r="D39" s="61" t="s">
        <v>317</v>
      </c>
      <c r="E39" s="6"/>
    </row>
    <row r="40" ht="18" spans="1:13">
      <c r="A40" s="62" t="s">
        <v>215</v>
      </c>
      <c r="B40" s="62"/>
      <c r="C40" s="63"/>
      <c r="D40" s="63"/>
      <c r="E40" s="8"/>
      <c r="F40" s="64">
        <f>Таблица213399028[[#Totals],[2]]+-Таблица213399028[[#Totals],[16]]</f>
        <v>0</v>
      </c>
      <c r="G40" s="64"/>
    </row>
    <row r="41" spans="1:13">
      <c r="A41" s="10" t="s">
        <v>216</v>
      </c>
      <c r="B41" s="10" t="s">
        <v>217</v>
      </c>
      <c r="C41" s="10" t="s">
        <v>218</v>
      </c>
      <c r="D41" s="10" t="s">
        <v>219</v>
      </c>
      <c r="E41" s="13" t="s">
        <v>220</v>
      </c>
      <c r="F41" s="15" t="s">
        <v>216</v>
      </c>
      <c r="G41" s="14" t="s">
        <v>217</v>
      </c>
      <c r="H41" s="14" t="s">
        <v>221</v>
      </c>
      <c r="I41" s="15" t="s">
        <v>6</v>
      </c>
      <c r="J41" s="16" t="s">
        <v>7</v>
      </c>
      <c r="K41" s="16" t="s">
        <v>222</v>
      </c>
      <c r="L41" s="14" t="s">
        <v>223</v>
      </c>
      <c r="M41" s="15" t="s">
        <v>218</v>
      </c>
    </row>
    <row r="42" spans="1:13">
      <c r="A42" s="10"/>
      <c r="B42" s="10"/>
      <c r="C42" s="17"/>
      <c r="D42" s="18"/>
      <c r="E42" s="19"/>
      <c r="F42" s="20"/>
      <c r="G42" s="14"/>
      <c r="H42" s="14"/>
      <c r="I42" s="20"/>
      <c r="J42" s="20"/>
      <c r="K42" s="21"/>
      <c r="L42" s="14"/>
      <c r="M42" s="25"/>
    </row>
    <row r="43" ht="15.75" spans="1:13">
      <c r="A43" s="10"/>
      <c r="B43" s="10"/>
      <c r="C43" s="55">
        <f>Таблица213399028[[#Totals],[2]]</f>
        <v>67737600</v>
      </c>
      <c r="D43" s="23"/>
      <c r="E43" s="24">
        <f>SUM(Таблица213399028[4])</f>
        <v>0</v>
      </c>
      <c r="F43" s="25"/>
      <c r="G43" s="14"/>
      <c r="H43" s="14"/>
      <c r="I43" s="25"/>
      <c r="J43" s="25"/>
      <c r="K43" s="26">
        <f>Таблица213399028[[#Totals],[1132]]</f>
        <v>56</v>
      </c>
      <c r="L43" s="14"/>
      <c r="M43" s="9">
        <f>Таблица213399028[[#Totals],[16]]</f>
        <v>67737600</v>
      </c>
    </row>
    <row r="44" spans="1:13">
      <c r="A44" s="27" t="s">
        <v>211</v>
      </c>
      <c r="B44" s="28" t="s">
        <v>224</v>
      </c>
      <c r="C44" s="28" t="s">
        <v>225</v>
      </c>
      <c r="D44" s="28" t="s">
        <v>226</v>
      </c>
      <c r="E44" s="28" t="s">
        <v>227</v>
      </c>
      <c r="F44" s="28" t="s">
        <v>228</v>
      </c>
      <c r="G44" s="28" t="s">
        <v>229</v>
      </c>
      <c r="H44" s="28" t="s">
        <v>230</v>
      </c>
      <c r="I44" s="28" t="s">
        <v>231</v>
      </c>
      <c r="J44" s="28" t="s">
        <v>232</v>
      </c>
      <c r="K44" s="28" t="s">
        <v>233</v>
      </c>
      <c r="L44" s="28" t="s">
        <v>234</v>
      </c>
      <c r="M44" s="28" t="s">
        <v>235</v>
      </c>
    </row>
    <row r="45" ht="15" spans="1:13">
      <c r="A45" s="29">
        <v>1</v>
      </c>
      <c r="B45" s="39">
        <v>46205</v>
      </c>
      <c r="C45" s="56">
        <v>67737600</v>
      </c>
      <c r="D45" s="32" t="s">
        <v>318</v>
      </c>
      <c r="E45" s="33"/>
      <c r="F45" s="34">
        <f>Таблица213399028[[#This Row],[ ]]</f>
        <v>1</v>
      </c>
      <c r="G45" s="32">
        <v>46197</v>
      </c>
      <c r="H45" s="35" t="s">
        <v>34</v>
      </c>
      <c r="I45" s="36" t="s">
        <v>28</v>
      </c>
      <c r="J45" s="37">
        <v>31.104</v>
      </c>
      <c r="K45" s="38">
        <v>18</v>
      </c>
      <c r="L45" s="34">
        <v>700000</v>
      </c>
      <c r="M45" s="33">
        <f>Таблица213399028[[#This Row],[113]]*Таблица213399028[[#This Row],[15]]</f>
        <v>21772800</v>
      </c>
    </row>
    <row r="46" spans="1:13">
      <c r="A46" s="29">
        <v>2</v>
      </c>
      <c r="B46" s="44"/>
      <c r="C46" s="33"/>
      <c r="D46" s="32"/>
      <c r="E46" s="33"/>
      <c r="F46" s="34">
        <f>Таблица213399028[[#This Row],[ ]]</f>
        <v>2</v>
      </c>
      <c r="G46" s="39">
        <v>46197</v>
      </c>
      <c r="H46" s="41" t="s">
        <v>38</v>
      </c>
      <c r="I46" s="41" t="s">
        <v>28</v>
      </c>
      <c r="J46" s="41">
        <v>32.832</v>
      </c>
      <c r="K46" s="33">
        <v>19</v>
      </c>
      <c r="L46" s="43">
        <v>700000</v>
      </c>
      <c r="M46" s="33">
        <f>Таблица213399028[[#This Row],[113]]*Таблица213399028[[#This Row],[15]]</f>
        <v>22982400</v>
      </c>
    </row>
    <row r="47" spans="1:13">
      <c r="A47" s="29">
        <v>3</v>
      </c>
      <c r="B47" s="44"/>
      <c r="C47" s="33"/>
      <c r="D47" s="32"/>
      <c r="E47" s="33"/>
      <c r="F47" s="34">
        <f>Таблица213399028[[#This Row],[ ]]</f>
        <v>3</v>
      </c>
      <c r="G47" s="39">
        <v>46198</v>
      </c>
      <c r="H47" s="41" t="s">
        <v>39</v>
      </c>
      <c r="I47" s="41" t="s">
        <v>28</v>
      </c>
      <c r="J47" s="41">
        <v>32.832</v>
      </c>
      <c r="K47" s="33">
        <v>19</v>
      </c>
      <c r="L47" s="43">
        <v>700000</v>
      </c>
      <c r="M47" s="33">
        <f>Таблица213399028[[#This Row],[113]]*Таблица213399028[[#This Row],[15]]</f>
        <v>22982400</v>
      </c>
    </row>
    <row r="48" spans="1:13">
      <c r="A48" s="29">
        <v>4</v>
      </c>
      <c r="B48" s="44"/>
      <c r="C48" s="33"/>
      <c r="D48" s="32"/>
      <c r="E48" s="33"/>
      <c r="F48" s="34">
        <f>Таблица213399028[[#This Row],[ ]]</f>
        <v>4</v>
      </c>
      <c r="G48" s="39"/>
      <c r="H48" s="41"/>
      <c r="I48" s="41"/>
      <c r="J48" s="41"/>
      <c r="K48" s="33"/>
      <c r="L48" s="43"/>
      <c r="M48" s="33">
        <f>Таблица213399028[[#This Row],[113]]*Таблица213399028[[#This Row],[15]]</f>
        <v>0</v>
      </c>
    </row>
    <row r="49" spans="1:14">
      <c r="A49" s="45"/>
      <c r="B49" s="46"/>
      <c r="C49" s="47">
        <f>SUBTOTAL(109,Таблица213399028[2])</f>
        <v>67737600</v>
      </c>
      <c r="D49" s="47"/>
      <c r="E49" s="47"/>
      <c r="F49" s="46"/>
      <c r="G49" s="48"/>
      <c r="H49" s="49"/>
      <c r="I49" s="49"/>
      <c r="J49" s="49"/>
      <c r="K49" s="49">
        <f>SUBTOTAL(109,Таблица213399028[1132])</f>
        <v>56</v>
      </c>
      <c r="L49" s="51"/>
      <c r="M49" s="51">
        <f>SUBTOTAL(109,Таблица213399028[16])</f>
        <v>67737600</v>
      </c>
    </row>
    <row r="51" ht="18" spans="1:14">
      <c r="A51" s="2"/>
      <c r="B51" s="3"/>
      <c r="C51" s="4" t="s">
        <v>211</v>
      </c>
      <c r="D51" s="52" t="s">
        <v>319</v>
      </c>
      <c r="E51" s="6"/>
    </row>
    <row r="52" ht="20.25" spans="1:14">
      <c r="A52" s="7" t="s">
        <v>215</v>
      </c>
      <c r="B52" s="7"/>
      <c r="C52" s="8"/>
      <c r="D52" s="8"/>
      <c r="E52" s="8"/>
      <c r="F52" s="53">
        <f>Таблица21339902910[[#Totals],[2]]+-Таблица21339902910[[#Totals],[16]]</f>
        <v>-1920</v>
      </c>
      <c r="G52" s="54"/>
    </row>
    <row r="53" spans="1:14">
      <c r="A53" s="10" t="s">
        <v>216</v>
      </c>
      <c r="B53" s="10" t="s">
        <v>217</v>
      </c>
      <c r="C53" s="10" t="s">
        <v>218</v>
      </c>
      <c r="D53" s="10" t="s">
        <v>219</v>
      </c>
      <c r="E53" s="13" t="s">
        <v>220</v>
      </c>
      <c r="F53" s="14" t="s">
        <v>216</v>
      </c>
      <c r="G53" s="14" t="s">
        <v>217</v>
      </c>
      <c r="H53" s="14" t="s">
        <v>221</v>
      </c>
      <c r="I53" s="15" t="s">
        <v>6</v>
      </c>
      <c r="J53" s="16" t="s">
        <v>7</v>
      </c>
      <c r="K53" s="16" t="s">
        <v>222</v>
      </c>
      <c r="L53" s="14" t="s">
        <v>223</v>
      </c>
      <c r="M53" s="15" t="s">
        <v>218</v>
      </c>
    </row>
    <row r="54" spans="1:14">
      <c r="A54" s="10"/>
      <c r="B54" s="10"/>
      <c r="C54" s="17"/>
      <c r="D54" s="18"/>
      <c r="E54" s="19"/>
      <c r="F54" s="14"/>
      <c r="G54" s="14"/>
      <c r="H54" s="14"/>
      <c r="I54" s="20"/>
      <c r="J54" s="20"/>
      <c r="K54" s="21"/>
      <c r="L54" s="14"/>
      <c r="M54" s="25"/>
    </row>
    <row r="55" ht="15.75" spans="1:14">
      <c r="A55" s="10"/>
      <c r="B55" s="10"/>
      <c r="C55" s="55">
        <f>Таблица21339902910[[#Totals],[2]]</f>
        <v>116880000</v>
      </c>
      <c r="D55" s="23"/>
      <c r="E55" s="24">
        <f>SUM(Таблица21339902910[4])</f>
        <v>0</v>
      </c>
      <c r="F55" s="14"/>
      <c r="G55" s="14"/>
      <c r="H55" s="14"/>
      <c r="I55" s="25"/>
      <c r="J55" s="25"/>
      <c r="K55" s="26">
        <f>Таблица21339902910[[#Totals],[1132]]</f>
        <v>95</v>
      </c>
      <c r="L55" s="14"/>
      <c r="M55" s="9">
        <f>Таблица21339902910[[#Totals],[16]]</f>
        <v>116881920</v>
      </c>
    </row>
    <row r="56" spans="1:14">
      <c r="A56" s="27" t="s">
        <v>211</v>
      </c>
      <c r="B56" s="28" t="s">
        <v>224</v>
      </c>
      <c r="C56" s="28" t="s">
        <v>225</v>
      </c>
      <c r="D56" s="28" t="s">
        <v>226</v>
      </c>
      <c r="E56" s="28" t="s">
        <v>227</v>
      </c>
      <c r="F56" s="28" t="s">
        <v>228</v>
      </c>
      <c r="G56" s="28" t="s">
        <v>229</v>
      </c>
      <c r="H56" s="28" t="s">
        <v>230</v>
      </c>
      <c r="I56" s="28" t="s">
        <v>231</v>
      </c>
      <c r="J56" s="28" t="s">
        <v>232</v>
      </c>
      <c r="K56" s="28" t="s">
        <v>233</v>
      </c>
      <c r="L56" s="28" t="s">
        <v>234</v>
      </c>
      <c r="M56" s="28" t="s">
        <v>235</v>
      </c>
      <c r="N56" s="65" t="s">
        <v>238</v>
      </c>
    </row>
    <row r="57" spans="1:14">
      <c r="A57" s="29">
        <v>1</v>
      </c>
      <c r="B57" s="44">
        <v>46203</v>
      </c>
      <c r="C57" s="66">
        <v>22703000</v>
      </c>
      <c r="D57" s="32" t="s">
        <v>320</v>
      </c>
      <c r="E57" s="33"/>
      <c r="F57" s="34">
        <f>Таблица21339902910[[#This Row],[ ]]</f>
        <v>1</v>
      </c>
      <c r="G57" s="32">
        <v>46204</v>
      </c>
      <c r="H57" s="35" t="s">
        <v>63</v>
      </c>
      <c r="I57" s="36" t="s">
        <v>28</v>
      </c>
      <c r="J57" s="37">
        <v>32.832</v>
      </c>
      <c r="K57" s="38">
        <v>19</v>
      </c>
      <c r="L57" s="33">
        <v>730000</v>
      </c>
      <c r="M57" s="66">
        <f>Таблица21339902910[[#This Row],[113]]*Таблица21339902910[[#This Row],[15]]</f>
        <v>23967360</v>
      </c>
      <c r="N57" s="38">
        <v>2000000</v>
      </c>
    </row>
    <row r="58" spans="1:14">
      <c r="A58" s="29">
        <v>2</v>
      </c>
      <c r="B58" s="44">
        <v>46204</v>
      </c>
      <c r="C58" s="66">
        <v>25231000</v>
      </c>
      <c r="D58" s="32" t="s">
        <v>321</v>
      </c>
      <c r="E58" s="33"/>
      <c r="F58" s="34">
        <f>Таблица21339902910[[#This Row],[ ]]</f>
        <v>2</v>
      </c>
      <c r="G58" s="39">
        <v>46205</v>
      </c>
      <c r="H58" s="41" t="s">
        <v>70</v>
      </c>
      <c r="I58" s="41" t="s">
        <v>49</v>
      </c>
      <c r="J58" s="41">
        <v>32.832</v>
      </c>
      <c r="K58" s="33">
        <v>19</v>
      </c>
      <c r="L58" s="43">
        <v>730000</v>
      </c>
      <c r="M58" s="66">
        <f>Таблица21339902910[[#This Row],[113]]*Таблица21339902910[[#This Row],[15]]</f>
        <v>23967360</v>
      </c>
      <c r="N58" s="43">
        <v>2000000</v>
      </c>
    </row>
    <row r="59" spans="1:14">
      <c r="A59" s="29">
        <v>3</v>
      </c>
      <c r="B59" s="44">
        <v>46241</v>
      </c>
      <c r="C59" s="67">
        <v>20982000</v>
      </c>
      <c r="D59" s="32" t="s">
        <v>321</v>
      </c>
      <c r="E59" s="33"/>
      <c r="F59" s="34">
        <f>Таблица21339902910[[#This Row],[ ]]</f>
        <v>3</v>
      </c>
      <c r="G59" s="39">
        <v>46210</v>
      </c>
      <c r="H59" s="41" t="s">
        <v>98</v>
      </c>
      <c r="I59" s="41" t="s">
        <v>99</v>
      </c>
      <c r="J59" s="41">
        <v>32.832</v>
      </c>
      <c r="K59" s="33">
        <v>19</v>
      </c>
      <c r="L59" s="43">
        <v>700000</v>
      </c>
      <c r="M59" s="67">
        <f>Таблица21339902910[[#This Row],[113]]*Таблица21339902910[[#This Row],[15]]</f>
        <v>22982400</v>
      </c>
      <c r="N59" s="43">
        <v>2000000</v>
      </c>
    </row>
    <row r="60" spans="1:14">
      <c r="A60" s="29">
        <v>4</v>
      </c>
      <c r="B60" s="44">
        <v>46241</v>
      </c>
      <c r="C60" s="67">
        <v>2000000</v>
      </c>
      <c r="D60" s="32" t="s">
        <v>214</v>
      </c>
      <c r="E60" s="33"/>
      <c r="F60" s="34">
        <f>Таблица21339902910[[#This Row],[ ]]</f>
        <v>4</v>
      </c>
      <c r="G60" s="39">
        <v>46212</v>
      </c>
      <c r="H60" s="41" t="s">
        <v>47</v>
      </c>
      <c r="I60" s="41" t="s">
        <v>99</v>
      </c>
      <c r="J60" s="41">
        <v>32.832</v>
      </c>
      <c r="K60" s="33">
        <v>19</v>
      </c>
      <c r="L60" s="43">
        <v>700000</v>
      </c>
      <c r="M60" s="68">
        <f>Таблица21339902910[[#This Row],[113]]*Таблица21339902910[[#This Row],[15]]</f>
        <v>22982400</v>
      </c>
      <c r="N60" s="43">
        <v>2200000</v>
      </c>
    </row>
    <row r="61" spans="1:14">
      <c r="A61" s="29">
        <v>5</v>
      </c>
      <c r="B61" s="44">
        <v>46212</v>
      </c>
      <c r="C61" s="68">
        <v>2200000</v>
      </c>
      <c r="D61" s="32" t="s">
        <v>214</v>
      </c>
      <c r="E61" s="33"/>
      <c r="F61" s="34">
        <f>Таблица21339902910[[#This Row],[ ]]</f>
        <v>5</v>
      </c>
      <c r="G61" s="39">
        <v>46219</v>
      </c>
      <c r="H61" s="41" t="s">
        <v>91</v>
      </c>
      <c r="I61" s="41" t="s">
        <v>99</v>
      </c>
      <c r="J61" s="41">
        <v>32.832</v>
      </c>
      <c r="K61" s="33">
        <v>19</v>
      </c>
      <c r="L61" s="43">
        <v>700000</v>
      </c>
      <c r="M61" s="69">
        <f>Таблица21339902910[[#This Row],[113]]*Таблица21339902910[[#This Row],[15]]</f>
        <v>22982400</v>
      </c>
      <c r="N61" s="43">
        <v>2500000</v>
      </c>
    </row>
    <row r="62" spans="1:14">
      <c r="A62" s="29">
        <v>6</v>
      </c>
      <c r="B62" s="44">
        <v>46216</v>
      </c>
      <c r="C62" s="68">
        <v>20782000</v>
      </c>
      <c r="D62" s="33" t="s">
        <v>321</v>
      </c>
      <c r="E62" s="33"/>
      <c r="F62" s="34">
        <f>Таблица21339902910[[#This Row],[ ]]</f>
        <v>6</v>
      </c>
      <c r="G62" s="44"/>
      <c r="H62" s="34"/>
      <c r="I62" s="41"/>
      <c r="J62" s="41"/>
      <c r="K62" s="43"/>
      <c r="L62" s="43"/>
      <c r="M62" s="33">
        <f>Таблица21339902910[[#This Row],[113]]*Таблица21339902910[[#This Row],[15]]</f>
        <v>0</v>
      </c>
      <c r="N62" s="43"/>
    </row>
    <row r="63" spans="1:14">
      <c r="A63" s="29">
        <v>7</v>
      </c>
      <c r="B63" s="44">
        <v>46219</v>
      </c>
      <c r="C63" s="69">
        <v>2500000</v>
      </c>
      <c r="D63" s="32" t="s">
        <v>214</v>
      </c>
      <c r="E63" s="33"/>
      <c r="F63" s="34">
        <f>Таблица21339902910[[#This Row],[ ]]</f>
        <v>7</v>
      </c>
      <c r="G63" s="39"/>
      <c r="H63" s="41"/>
      <c r="I63" s="41"/>
      <c r="J63" s="41"/>
      <c r="K63" s="43"/>
      <c r="L63" s="33"/>
      <c r="M63" s="33">
        <f>Таблица21339902910[[#This Row],[113]]*Таблица21339902910[[#This Row],[15]]</f>
        <v>0</v>
      </c>
      <c r="N63" s="43"/>
    </row>
    <row r="64" spans="1:14">
      <c r="A64" s="29">
        <v>8</v>
      </c>
      <c r="B64" s="44">
        <v>46220</v>
      </c>
      <c r="C64" s="69">
        <v>20482000</v>
      </c>
      <c r="D64" s="33" t="s">
        <v>321</v>
      </c>
      <c r="E64" s="33"/>
      <c r="F64" s="34">
        <f>Таблица21339902910[[#This Row],[ ]]</f>
        <v>8</v>
      </c>
      <c r="G64" s="39"/>
      <c r="H64" s="41"/>
      <c r="I64" s="41"/>
      <c r="J64" s="41"/>
      <c r="K64" s="43"/>
      <c r="L64" s="33"/>
      <c r="M64" s="33">
        <f>Таблица21339902910[[#This Row],[113]]*Таблица21339902910[[#This Row],[15]]</f>
        <v>0</v>
      </c>
      <c r="N64" s="43"/>
    </row>
    <row r="65" spans="1:14">
      <c r="A65" s="29">
        <v>9</v>
      </c>
      <c r="B65" s="57"/>
      <c r="C65" s="33"/>
      <c r="D65" s="33"/>
      <c r="E65" s="33"/>
      <c r="F65" s="34">
        <f>Таблица21339902910[[#This Row],[ ]]</f>
        <v>9</v>
      </c>
      <c r="G65" s="39"/>
      <c r="H65" s="41"/>
      <c r="I65" s="41"/>
      <c r="J65" s="41"/>
      <c r="K65" s="43"/>
      <c r="L65" s="33"/>
      <c r="M65" s="33">
        <f>Таблица21339902910[[#This Row],[113]]*Таблица21339902910[[#This Row],[15]]</f>
        <v>0</v>
      </c>
      <c r="N65" s="43"/>
    </row>
    <row r="66" spans="1:14">
      <c r="A66" s="45"/>
      <c r="B66" s="57"/>
      <c r="C66" s="33">
        <f>SUBTOTAL(109,Таблица21339902910[2])</f>
        <v>116880000</v>
      </c>
      <c r="D66" s="33"/>
      <c r="E66" s="47"/>
      <c r="F66" s="46"/>
      <c r="G66" s="48"/>
      <c r="H66" s="49"/>
      <c r="I66" s="49"/>
      <c r="J66" s="49"/>
      <c r="K66" s="49">
        <f>SUBTOTAL(109,Таблица21339902910[1132])</f>
        <v>95</v>
      </c>
      <c r="L66" s="51"/>
      <c r="M66" s="51">
        <f>SUBTOTAL(109,Таблица21339902910[16])</f>
        <v>116881920</v>
      </c>
      <c r="N66" s="49"/>
    </row>
    <row r="68" ht="18" spans="1:14">
      <c r="A68" s="2"/>
      <c r="B68" s="3"/>
      <c r="C68" s="4" t="s">
        <v>211</v>
      </c>
      <c r="D68" s="52" t="s">
        <v>322</v>
      </c>
      <c r="E68" s="6"/>
    </row>
    <row r="69" ht="20.25" spans="1:14">
      <c r="A69" s="7" t="s">
        <v>215</v>
      </c>
      <c r="B69" s="7"/>
      <c r="C69" s="8"/>
      <c r="D69" s="8"/>
      <c r="E69" s="8"/>
      <c r="F69" s="53">
        <f>Таблица2133990291012[[#Totals],[2]]+-Таблица2133990291012[[#Totals],[16]]</f>
        <v>-49449760</v>
      </c>
      <c r="G69" s="54"/>
    </row>
    <row r="70" spans="1:14">
      <c r="A70" s="10" t="s">
        <v>216</v>
      </c>
      <c r="B70" s="10" t="s">
        <v>217</v>
      </c>
      <c r="C70" s="10" t="s">
        <v>218</v>
      </c>
      <c r="D70" s="10" t="s">
        <v>219</v>
      </c>
      <c r="E70" s="13" t="s">
        <v>220</v>
      </c>
      <c r="F70" s="14" t="s">
        <v>216</v>
      </c>
      <c r="G70" s="14" t="s">
        <v>217</v>
      </c>
      <c r="H70" s="14" t="s">
        <v>221</v>
      </c>
      <c r="I70" s="15" t="s">
        <v>6</v>
      </c>
      <c r="J70" s="16" t="s">
        <v>7</v>
      </c>
      <c r="K70" s="16" t="s">
        <v>222</v>
      </c>
      <c r="L70" s="14" t="s">
        <v>223</v>
      </c>
      <c r="M70" s="15" t="s">
        <v>218</v>
      </c>
    </row>
    <row r="71" spans="1:14">
      <c r="A71" s="10"/>
      <c r="B71" s="10"/>
      <c r="C71" s="17"/>
      <c r="D71" s="18"/>
      <c r="E71" s="19"/>
      <c r="F71" s="14"/>
      <c r="G71" s="14"/>
      <c r="H71" s="14"/>
      <c r="I71" s="20"/>
      <c r="J71" s="20"/>
      <c r="K71" s="21"/>
      <c r="L71" s="14"/>
      <c r="M71" s="25"/>
    </row>
    <row r="72" ht="15.75" spans="1:14">
      <c r="A72" s="10"/>
      <c r="B72" s="10"/>
      <c r="C72" s="55">
        <f>Таблица2133990291012[[#Totals],[2]]</f>
        <v>20482400</v>
      </c>
      <c r="D72" s="23"/>
      <c r="E72" s="24">
        <f>SUM(Таблица2133990291012[4])</f>
        <v>0</v>
      </c>
      <c r="F72" s="14"/>
      <c r="G72" s="14"/>
      <c r="H72" s="14"/>
      <c r="I72" s="25"/>
      <c r="J72" s="25"/>
      <c r="K72" s="26">
        <f>Таблица2133990291012[[#Totals],[1132]]</f>
        <v>57</v>
      </c>
      <c r="L72" s="14"/>
      <c r="M72" s="9">
        <f>Таблица2133990291012[[#Totals],[16]]</f>
        <v>69932160</v>
      </c>
    </row>
    <row r="73" spans="1:14">
      <c r="A73" s="27" t="s">
        <v>211</v>
      </c>
      <c r="B73" s="28" t="s">
        <v>224</v>
      </c>
      <c r="C73" s="28" t="s">
        <v>225</v>
      </c>
      <c r="D73" s="28" t="s">
        <v>226</v>
      </c>
      <c r="E73" s="28" t="s">
        <v>227</v>
      </c>
      <c r="F73" s="28" t="s">
        <v>228</v>
      </c>
      <c r="G73" s="28" t="s">
        <v>229</v>
      </c>
      <c r="H73" s="28" t="s">
        <v>230</v>
      </c>
      <c r="I73" s="28" t="s">
        <v>231</v>
      </c>
      <c r="J73" s="28" t="s">
        <v>232</v>
      </c>
      <c r="K73" s="28" t="s">
        <v>233</v>
      </c>
      <c r="L73" s="28" t="s">
        <v>234</v>
      </c>
      <c r="M73" s="28" t="s">
        <v>235</v>
      </c>
    </row>
    <row r="74" ht="15" spans="1:14">
      <c r="A74" s="29">
        <v>1</v>
      </c>
      <c r="B74" s="39">
        <v>46230</v>
      </c>
      <c r="C74" s="56">
        <v>20482400</v>
      </c>
      <c r="D74" s="32" t="s">
        <v>323</v>
      </c>
      <c r="E74" s="33"/>
      <c r="F74" s="34">
        <f>Таблица2133990291012[[#This Row],[ ]]</f>
        <v>1</v>
      </c>
      <c r="G74" s="32">
        <v>46204</v>
      </c>
      <c r="H74" s="35" t="s">
        <v>65</v>
      </c>
      <c r="I74" s="36" t="s">
        <v>28</v>
      </c>
      <c r="J74" s="37">
        <v>32.832</v>
      </c>
      <c r="K74" s="38">
        <v>19</v>
      </c>
      <c r="L74" s="33">
        <v>730000</v>
      </c>
      <c r="M74" s="33">
        <f>Таблица2133990291012[[#This Row],[113]]*Таблица2133990291012[[#This Row],[15]]</f>
        <v>23967360</v>
      </c>
    </row>
    <row r="75" spans="1:14">
      <c r="A75" s="29">
        <v>2</v>
      </c>
      <c r="B75" s="44"/>
      <c r="C75" s="33"/>
      <c r="D75" s="32"/>
      <c r="E75" s="33"/>
      <c r="F75" s="34">
        <f>Таблица2133990291012[[#This Row],[ ]]</f>
        <v>2</v>
      </c>
      <c r="G75" s="39">
        <v>46206</v>
      </c>
      <c r="H75" s="41" t="s">
        <v>71</v>
      </c>
      <c r="I75" s="41" t="s">
        <v>28</v>
      </c>
      <c r="J75" s="41">
        <v>32.832</v>
      </c>
      <c r="K75" s="33">
        <v>19</v>
      </c>
      <c r="L75" s="43">
        <v>700000</v>
      </c>
      <c r="M75" s="33">
        <f>Таблица2133990291012[[#This Row],[113]]*Таблица2133990291012[[#This Row],[15]]</f>
        <v>22982400</v>
      </c>
    </row>
    <row r="76" spans="1:14">
      <c r="A76" s="29">
        <v>3</v>
      </c>
      <c r="B76" s="44"/>
      <c r="C76" s="33"/>
      <c r="D76" s="32"/>
      <c r="E76" s="33"/>
      <c r="F76" s="34">
        <f>Таблица2133990291012[[#This Row],[ ]]</f>
        <v>3</v>
      </c>
      <c r="G76" s="39">
        <v>46229</v>
      </c>
      <c r="H76" s="41" t="s">
        <v>193</v>
      </c>
      <c r="I76" s="41" t="s">
        <v>49</v>
      </c>
      <c r="J76" s="41">
        <v>32.832</v>
      </c>
      <c r="K76" s="33">
        <v>19</v>
      </c>
      <c r="L76" s="43">
        <v>700000</v>
      </c>
      <c r="M76" s="33">
        <f>Таблица2133990291012[[#This Row],[113]]*Таблица2133990291012[[#This Row],[15]]</f>
        <v>22982400</v>
      </c>
    </row>
    <row r="77" spans="1:14">
      <c r="A77" s="29">
        <v>4</v>
      </c>
      <c r="B77" s="44"/>
      <c r="C77" s="33"/>
      <c r="D77" s="32"/>
      <c r="E77" s="33"/>
      <c r="F77" s="34">
        <f>Таблица2133990291012[[#This Row],[ ]]</f>
        <v>4</v>
      </c>
      <c r="G77" s="39"/>
      <c r="H77" s="41"/>
      <c r="I77" s="41"/>
      <c r="J77" s="41"/>
      <c r="K77" s="33"/>
      <c r="L77" s="43"/>
      <c r="M77" s="33">
        <f>Таблица2133990291012[[#This Row],[113]]*Таблица2133990291012[[#This Row],[15]]</f>
        <v>0</v>
      </c>
    </row>
    <row r="78" spans="1:14">
      <c r="A78" s="45"/>
      <c r="B78" s="57"/>
      <c r="C78" s="33">
        <f>SUBTOTAL(109,Таблица2133990291012[2])</f>
        <v>20482400</v>
      </c>
      <c r="D78" s="33"/>
      <c r="E78" s="47"/>
      <c r="F78" s="46"/>
      <c r="G78" s="48"/>
      <c r="H78" s="49"/>
      <c r="I78" s="49"/>
      <c r="J78" s="49"/>
      <c r="K78" s="49">
        <f>SUBTOTAL(109,Таблица2133990291012[1132])</f>
        <v>57</v>
      </c>
      <c r="L78" s="51"/>
      <c r="M78" s="51">
        <f>SUBTOTAL(109,Таблица2133990291012[16])</f>
        <v>69932160</v>
      </c>
    </row>
    <row r="80" ht="18.75" spans="1:14">
      <c r="A80" s="2"/>
      <c r="B80" s="3"/>
      <c r="C80" s="4" t="s">
        <v>211</v>
      </c>
      <c r="D80" s="70" t="s">
        <v>324</v>
      </c>
      <c r="E80" s="6"/>
      <c r="H80" s="1" t="s">
        <v>213</v>
      </c>
      <c r="I80" s="1">
        <f>SUMIFS(C:C,D:D,J80)</f>
        <v>6700000</v>
      </c>
      <c r="J80" s="32" t="s">
        <v>214</v>
      </c>
    </row>
    <row r="81" ht="20.25" spans="1:13">
      <c r="A81" s="7" t="s">
        <v>215</v>
      </c>
      <c r="B81" s="7"/>
      <c r="C81" s="8"/>
      <c r="D81" s="8"/>
      <c r="E81" s="8"/>
      <c r="F81" s="53">
        <f>Таблица2133990294678131617212223242530313233[[#Totals],[2]]+-Таблица2133990294678131617212223242530313233[[#Totals],[16]]</f>
        <v>-165715200</v>
      </c>
      <c r="G81" s="54"/>
    </row>
    <row r="82" spans="1:13">
      <c r="A82" s="10" t="s">
        <v>216</v>
      </c>
      <c r="B82" s="10" t="s">
        <v>217</v>
      </c>
      <c r="C82" s="10" t="s">
        <v>218</v>
      </c>
      <c r="D82" s="10" t="s">
        <v>219</v>
      </c>
      <c r="E82" s="13" t="s">
        <v>220</v>
      </c>
      <c r="F82" s="14" t="s">
        <v>216</v>
      </c>
      <c r="G82" s="14" t="s">
        <v>217</v>
      </c>
      <c r="H82" s="14" t="s">
        <v>221</v>
      </c>
      <c r="I82" s="15" t="s">
        <v>6</v>
      </c>
      <c r="J82" s="16" t="s">
        <v>7</v>
      </c>
      <c r="K82" s="16" t="s">
        <v>222</v>
      </c>
      <c r="L82" s="14" t="s">
        <v>223</v>
      </c>
      <c r="M82" s="15" t="s">
        <v>218</v>
      </c>
    </row>
    <row r="83" spans="1:13">
      <c r="A83" s="10"/>
      <c r="B83" s="10"/>
      <c r="C83" s="17"/>
      <c r="D83" s="18"/>
      <c r="E83" s="19"/>
      <c r="F83" s="14"/>
      <c r="G83" s="14"/>
      <c r="H83" s="14"/>
      <c r="I83" s="20"/>
      <c r="J83" s="71"/>
      <c r="K83" s="21"/>
      <c r="L83" s="14"/>
      <c r="M83" s="25"/>
    </row>
    <row r="84" ht="15.75" spans="1:13">
      <c r="A84" s="10"/>
      <c r="B84" s="10"/>
      <c r="C84" s="55">
        <f>Таблица2133990294678131617212223242530313233[[#Totals],[2]]</f>
        <v>0</v>
      </c>
      <c r="D84" s="23"/>
      <c r="E84" s="24">
        <f>SUM(Таблица2133990294678131617212223242530313233[4])</f>
        <v>0</v>
      </c>
      <c r="F84" s="14"/>
      <c r="G84" s="14"/>
      <c r="H84" s="14"/>
      <c r="I84" s="25"/>
      <c r="J84" s="72">
        <f>SUM(Таблица2133990294678131617212223242530313233[113])</f>
        <v>236.736</v>
      </c>
      <c r="K84" s="26">
        <f>Таблица2133990294678131617212223242530313233[[#Totals],[1132]]</f>
        <v>137</v>
      </c>
      <c r="L84" s="14"/>
      <c r="M84" s="9">
        <f>Таблица2133990294678131617212223242530313233[[#Totals],[16]]</f>
        <v>165715200</v>
      </c>
    </row>
    <row r="85" spans="1:13">
      <c r="A85" s="27" t="s">
        <v>211</v>
      </c>
      <c r="B85" s="28" t="s">
        <v>224</v>
      </c>
      <c r="C85" s="28" t="s">
        <v>225</v>
      </c>
      <c r="D85" s="28" t="s">
        <v>226</v>
      </c>
      <c r="E85" s="28" t="s">
        <v>227</v>
      </c>
      <c r="F85" s="28" t="s">
        <v>228</v>
      </c>
      <c r="G85" s="28" t="s">
        <v>229</v>
      </c>
      <c r="H85" s="28" t="s">
        <v>230</v>
      </c>
      <c r="I85" s="28" t="s">
        <v>231</v>
      </c>
      <c r="J85" s="28" t="s">
        <v>232</v>
      </c>
      <c r="K85" s="28" t="s">
        <v>233</v>
      </c>
      <c r="L85" s="28" t="s">
        <v>234</v>
      </c>
      <c r="M85" s="28" t="s">
        <v>235</v>
      </c>
    </row>
    <row r="86" ht="15" spans="1:13">
      <c r="A86" s="29">
        <v>1</v>
      </c>
      <c r="B86" s="44"/>
      <c r="C86" s="56"/>
      <c r="D86" s="32"/>
      <c r="E86" s="33"/>
      <c r="F86" s="34">
        <f>Таблица2133990294678131617212223242530313233[[#This Row],[ ]]</f>
        <v>1</v>
      </c>
      <c r="G86" s="32">
        <v>46215</v>
      </c>
      <c r="H86" s="35" t="s">
        <v>88</v>
      </c>
      <c r="I86" s="36" t="s">
        <v>28</v>
      </c>
      <c r="J86" s="37">
        <v>32.832</v>
      </c>
      <c r="K86" s="38">
        <v>19</v>
      </c>
      <c r="L86" s="34">
        <v>700000</v>
      </c>
      <c r="M86" s="33">
        <f>Таблица2133990294678131617212223242530313233[[#This Row],[113]]*Таблица2133990294678131617212223242530313233[[#This Row],[15]]</f>
        <v>22982400</v>
      </c>
    </row>
    <row r="87" spans="1:13">
      <c r="A87" s="29">
        <v>2</v>
      </c>
      <c r="B87" s="39"/>
      <c r="C87" s="33"/>
      <c r="D87" s="32"/>
      <c r="E87" s="33"/>
      <c r="F87" s="34">
        <f>Таблица2133990294678131617212223242530313233[[#This Row],[ ]]</f>
        <v>2</v>
      </c>
      <c r="G87" s="39">
        <v>46216</v>
      </c>
      <c r="H87" s="41" t="s">
        <v>132</v>
      </c>
      <c r="I87" s="41" t="s">
        <v>28</v>
      </c>
      <c r="J87" s="41">
        <v>32.832</v>
      </c>
      <c r="K87" s="33">
        <v>19</v>
      </c>
      <c r="L87" s="43">
        <v>700000</v>
      </c>
      <c r="M87" s="33">
        <f>Таблица2133990294678131617212223242530313233[[#This Row],[113]]*Таблица2133990294678131617212223242530313233[[#This Row],[15]]</f>
        <v>22982400</v>
      </c>
    </row>
    <row r="88" spans="1:13">
      <c r="A88" s="29">
        <v>3</v>
      </c>
      <c r="B88" s="44"/>
      <c r="C88" s="33"/>
      <c r="D88" s="32"/>
      <c r="E88" s="33"/>
      <c r="F88" s="34">
        <f>Таблица2133990294678131617212223242530313233[[#This Row],[ ]]</f>
        <v>3</v>
      </c>
      <c r="G88" s="39">
        <v>46218</v>
      </c>
      <c r="H88" s="41" t="s">
        <v>151</v>
      </c>
      <c r="I88" s="41" t="s">
        <v>99</v>
      </c>
      <c r="J88" s="41">
        <v>32.832</v>
      </c>
      <c r="K88" s="33">
        <v>19</v>
      </c>
      <c r="L88" s="43">
        <v>700000</v>
      </c>
      <c r="M88" s="33">
        <f>Таблица2133990294678131617212223242530313233[[#This Row],[113]]*Таблица2133990294678131617212223242530313233[[#This Row],[15]]</f>
        <v>22982400</v>
      </c>
    </row>
    <row r="89" spans="1:13">
      <c r="A89" s="29">
        <v>4</v>
      </c>
      <c r="B89" s="44"/>
      <c r="C89" s="33"/>
      <c r="D89" s="32"/>
      <c r="E89" s="33"/>
      <c r="F89" s="34">
        <f>Таблица2133990294678131617212223242530313233[[#This Row],[ ]]</f>
        <v>4</v>
      </c>
      <c r="G89" s="39">
        <v>46218</v>
      </c>
      <c r="H89" s="41" t="s">
        <v>152</v>
      </c>
      <c r="I89" s="41" t="s">
        <v>99</v>
      </c>
      <c r="J89" s="41">
        <v>32.832</v>
      </c>
      <c r="K89" s="33">
        <v>19</v>
      </c>
      <c r="L89" s="43">
        <v>700000</v>
      </c>
      <c r="M89" s="33">
        <f>Таблица2133990294678131617212223242530313233[[#This Row],[113]]*Таблица2133990294678131617212223242530313233[[#This Row],[15]]</f>
        <v>22982400</v>
      </c>
    </row>
    <row r="90" spans="1:13">
      <c r="A90" s="29">
        <v>5</v>
      </c>
      <c r="B90" s="44"/>
      <c r="C90" s="33"/>
      <c r="D90" s="32"/>
      <c r="E90" s="33"/>
      <c r="F90" s="34">
        <f>Таблица2133990294678131617212223242530313233[[#This Row],[ ]]</f>
        <v>5</v>
      </c>
      <c r="G90" s="39">
        <v>46218</v>
      </c>
      <c r="H90" s="41" t="s">
        <v>153</v>
      </c>
      <c r="I90" s="41" t="s">
        <v>99</v>
      </c>
      <c r="J90" s="41">
        <v>32.832</v>
      </c>
      <c r="K90" s="33">
        <v>19</v>
      </c>
      <c r="L90" s="43">
        <v>700000</v>
      </c>
      <c r="M90" s="33">
        <f>Таблица2133990294678131617212223242530313233[[#This Row],[113]]*Таблица2133990294678131617212223242530313233[[#This Row],[15]]</f>
        <v>22982400</v>
      </c>
    </row>
    <row r="91" spans="1:13">
      <c r="A91" s="29">
        <v>6</v>
      </c>
      <c r="B91" s="44"/>
      <c r="C91" s="33"/>
      <c r="D91" s="32"/>
      <c r="E91" s="33"/>
      <c r="F91" s="34">
        <f>Таблица2133990294678131617212223242530313233[[#This Row],[ ]]</f>
        <v>6</v>
      </c>
      <c r="G91" s="39">
        <v>46219</v>
      </c>
      <c r="H91" s="41" t="s">
        <v>138</v>
      </c>
      <c r="I91" s="41" t="s">
        <v>99</v>
      </c>
      <c r="J91" s="41">
        <v>32.832</v>
      </c>
      <c r="K91" s="33">
        <v>19</v>
      </c>
      <c r="L91" s="43">
        <v>700000</v>
      </c>
      <c r="M91" s="33">
        <f>Таблица2133990294678131617212223242530313233[[#This Row],[113]]*Таблица2133990294678131617212223242530313233[[#This Row],[15]]</f>
        <v>22982400</v>
      </c>
    </row>
    <row r="92" spans="1:13">
      <c r="A92" s="29">
        <v>7</v>
      </c>
      <c r="B92" s="44"/>
      <c r="C92" s="33"/>
      <c r="D92" s="32"/>
      <c r="E92" s="33"/>
      <c r="F92" s="34">
        <f>Таблица2133990294678131617212223242530313233[[#This Row],[ ]]</f>
        <v>7</v>
      </c>
      <c r="G92" s="39">
        <v>46224</v>
      </c>
      <c r="H92" s="41" t="s">
        <v>182</v>
      </c>
      <c r="I92" s="41" t="s">
        <v>99</v>
      </c>
      <c r="J92" s="41">
        <v>32.832</v>
      </c>
      <c r="K92" s="43">
        <v>19</v>
      </c>
      <c r="L92" s="33">
        <v>700000</v>
      </c>
      <c r="M92" s="33">
        <f>Таблица2133990294678131617212223242530313233[[#This Row],[113]]*Таблица2133990294678131617212223242530313233[[#This Row],[15]]</f>
        <v>22982400</v>
      </c>
    </row>
    <row r="93" spans="1:13">
      <c r="A93" s="29">
        <v>8</v>
      </c>
      <c r="B93" s="44"/>
      <c r="C93" s="33"/>
      <c r="D93" s="32"/>
      <c r="E93" s="33"/>
      <c r="F93" s="34">
        <f>Таблица2133990294678131617212223242530313233[[#This Row],[ ]]</f>
        <v>8</v>
      </c>
      <c r="G93" s="39">
        <v>46224</v>
      </c>
      <c r="H93" s="41" t="s">
        <v>70</v>
      </c>
      <c r="I93" s="41" t="s">
        <v>99</v>
      </c>
      <c r="J93" s="41">
        <v>5.184</v>
      </c>
      <c r="K93" s="43">
        <v>3</v>
      </c>
      <c r="L93" s="33">
        <v>700000</v>
      </c>
      <c r="M93" s="33">
        <f>Таблица2133990294678131617212223242530313233[[#This Row],[113]]*Таблица2133990294678131617212223242530313233[[#This Row],[15]]</f>
        <v>3628800</v>
      </c>
    </row>
    <row r="94" spans="1:13">
      <c r="A94" s="29">
        <v>9</v>
      </c>
      <c r="B94" s="44"/>
      <c r="C94" s="33"/>
      <c r="D94" s="32"/>
      <c r="E94" s="33"/>
      <c r="F94" s="34">
        <f>Таблица2133990294678131617212223242530313233[[#This Row],[ ]]</f>
        <v>9</v>
      </c>
      <c r="G94" s="39">
        <v>46224</v>
      </c>
      <c r="H94" s="41" t="s">
        <v>70</v>
      </c>
      <c r="I94" s="41" t="s">
        <v>49</v>
      </c>
      <c r="J94" s="41">
        <v>1.728</v>
      </c>
      <c r="K94" s="43">
        <v>1</v>
      </c>
      <c r="L94" s="33">
        <v>700000</v>
      </c>
      <c r="M94" s="33">
        <f>Таблица2133990294678131617212223242530313233[[#This Row],[113]]*Таблица2133990294678131617212223242530313233[[#This Row],[15]]</f>
        <v>1209600</v>
      </c>
    </row>
    <row r="95" spans="1:13">
      <c r="A95" s="29">
        <v>10</v>
      </c>
      <c r="B95" s="44"/>
      <c r="C95" s="33"/>
      <c r="D95" s="32"/>
      <c r="E95" s="33"/>
      <c r="F95" s="34">
        <f>Таблица2133990294678131617212223242530313233[[#This Row],[ ]]</f>
        <v>10</v>
      </c>
      <c r="G95" s="39"/>
      <c r="H95" s="41"/>
      <c r="I95" s="41"/>
      <c r="J95" s="41"/>
      <c r="K95" s="43"/>
      <c r="L95" s="33"/>
      <c r="M95" s="33">
        <f>Таблица2133990294678131617212223242530313233[[#This Row],[113]]*Таблица2133990294678131617212223242530313233[[#This Row],[15]]</f>
        <v>0</v>
      </c>
    </row>
    <row r="96" spans="1:13">
      <c r="A96" s="45"/>
      <c r="B96" s="57"/>
      <c r="C96" s="33">
        <f>SUBTOTAL(109,Таблица2133990294678131617212223242530313233[2])</f>
        <v>0</v>
      </c>
      <c r="D96" s="33"/>
      <c r="E96" s="47"/>
      <c r="F96" s="46"/>
      <c r="G96" s="48"/>
      <c r="H96" s="49"/>
      <c r="I96" s="49"/>
      <c r="J96" s="49"/>
      <c r="K96" s="49">
        <f>SUBTOTAL(109,Таблица2133990294678131617212223242530313233[1132])</f>
        <v>137</v>
      </c>
      <c r="L96" s="51"/>
      <c r="M96" s="51">
        <f>SUBTOTAL(109,Таблица2133990294678131617212223242530313233[16])</f>
        <v>165715200</v>
      </c>
    </row>
    <row r="98" ht="18.75" spans="1:13">
      <c r="A98" s="2"/>
      <c r="B98" s="3"/>
      <c r="C98" s="4" t="s">
        <v>211</v>
      </c>
      <c r="D98" s="70" t="s">
        <v>325</v>
      </c>
      <c r="E98" s="6"/>
      <c r="H98" s="1" t="s">
        <v>213</v>
      </c>
      <c r="I98" s="1">
        <f>SUMIFS(C:C,D:D,J98)</f>
        <v>6700000</v>
      </c>
      <c r="J98" s="32" t="s">
        <v>214</v>
      </c>
    </row>
    <row r="99" ht="20.25" spans="1:13">
      <c r="A99" s="7" t="s">
        <v>215</v>
      </c>
      <c r="B99" s="7"/>
      <c r="C99" s="8"/>
      <c r="D99" s="8"/>
      <c r="E99" s="8"/>
      <c r="F99" s="53">
        <f>Таблица213399029467813161721222324253031323334[[#Totals],[2]]+-Таблица213399029467813161721222324253031323334[[#Totals],[16]]</f>
        <v>-137894400</v>
      </c>
      <c r="G99" s="54"/>
    </row>
    <row r="100" spans="1:13">
      <c r="A100" s="10" t="s">
        <v>216</v>
      </c>
      <c r="B100" s="10" t="s">
        <v>217</v>
      </c>
      <c r="C100" s="10" t="s">
        <v>218</v>
      </c>
      <c r="D100" s="10" t="s">
        <v>219</v>
      </c>
      <c r="E100" s="13" t="s">
        <v>220</v>
      </c>
      <c r="F100" s="14" t="s">
        <v>216</v>
      </c>
      <c r="G100" s="14" t="s">
        <v>217</v>
      </c>
      <c r="H100" s="14" t="s">
        <v>221</v>
      </c>
      <c r="I100" s="15" t="s">
        <v>6</v>
      </c>
      <c r="J100" s="16" t="s">
        <v>7</v>
      </c>
      <c r="K100" s="16" t="s">
        <v>222</v>
      </c>
      <c r="L100" s="14" t="s">
        <v>223</v>
      </c>
      <c r="M100" s="15" t="s">
        <v>218</v>
      </c>
    </row>
    <row r="101" spans="1:13">
      <c r="A101" s="10"/>
      <c r="B101" s="10"/>
      <c r="C101" s="17"/>
      <c r="D101" s="18"/>
      <c r="E101" s="19"/>
      <c r="F101" s="14"/>
      <c r="G101" s="14"/>
      <c r="H101" s="14"/>
      <c r="I101" s="20"/>
      <c r="J101" s="71"/>
      <c r="K101" s="21"/>
      <c r="L101" s="14"/>
      <c r="M101" s="25"/>
    </row>
    <row r="102" ht="15.75" spans="1:13">
      <c r="A102" s="10"/>
      <c r="B102" s="10"/>
      <c r="C102" s="55">
        <f>Таблица213399029467813161721222324253031323334[[#Totals],[2]]</f>
        <v>0</v>
      </c>
      <c r="D102" s="23"/>
      <c r="E102" s="24">
        <f>SUM(Таблица213399029467813161721222324253031323334[4])</f>
        <v>0</v>
      </c>
      <c r="F102" s="14"/>
      <c r="G102" s="14"/>
      <c r="H102" s="14"/>
      <c r="I102" s="25"/>
      <c r="J102" s="72">
        <f>SUM(Таблица213399029467813161721222324253031323334[113])</f>
        <v>196.992</v>
      </c>
      <c r="K102" s="26">
        <f>Таблица213399029467813161721222324253031323334[[#Totals],[1132]]</f>
        <v>114</v>
      </c>
      <c r="L102" s="14"/>
      <c r="M102" s="9">
        <f>Таблица213399029467813161721222324253031323334[[#Totals],[16]]</f>
        <v>137894400</v>
      </c>
    </row>
    <row r="103" spans="1:13">
      <c r="A103" s="27" t="s">
        <v>211</v>
      </c>
      <c r="B103" s="28" t="s">
        <v>224</v>
      </c>
      <c r="C103" s="28" t="s">
        <v>225</v>
      </c>
      <c r="D103" s="28" t="s">
        <v>226</v>
      </c>
      <c r="E103" s="28" t="s">
        <v>227</v>
      </c>
      <c r="F103" s="28" t="s">
        <v>228</v>
      </c>
      <c r="G103" s="28" t="s">
        <v>229</v>
      </c>
      <c r="H103" s="28" t="s">
        <v>230</v>
      </c>
      <c r="I103" s="28" t="s">
        <v>231</v>
      </c>
      <c r="J103" s="28" t="s">
        <v>232</v>
      </c>
      <c r="K103" s="28" t="s">
        <v>233</v>
      </c>
      <c r="L103" s="28" t="s">
        <v>234</v>
      </c>
      <c r="M103" s="28" t="s">
        <v>235</v>
      </c>
    </row>
    <row r="104" ht="15" spans="1:13">
      <c r="A104" s="29">
        <v>1</v>
      </c>
      <c r="B104" s="39"/>
      <c r="C104" s="56"/>
      <c r="D104" s="32"/>
      <c r="E104" s="33"/>
      <c r="F104" s="34">
        <f>Таблица213399029467813161721222324253031323334[[#This Row],[ ]]</f>
        <v>1</v>
      </c>
      <c r="G104" s="39">
        <v>46206</v>
      </c>
      <c r="H104" s="41" t="s">
        <v>73</v>
      </c>
      <c r="I104" s="41" t="s">
        <v>28</v>
      </c>
      <c r="J104" s="41">
        <v>32.832</v>
      </c>
      <c r="K104" s="33">
        <v>19</v>
      </c>
      <c r="L104" s="43">
        <v>700000</v>
      </c>
      <c r="M104" s="33">
        <f>Таблица213399029467813161721222324253031323334[[#This Row],[113]]*Таблица213399029467813161721222324253031323334[[#This Row],[15]]</f>
        <v>22982400</v>
      </c>
    </row>
    <row r="105" spans="1:13">
      <c r="A105" s="29">
        <v>2</v>
      </c>
      <c r="B105" s="39"/>
      <c r="C105" s="33"/>
      <c r="D105" s="32"/>
      <c r="E105" s="33"/>
      <c r="F105" s="34">
        <f>Таблица213399029467813161721222324253031323334[[#This Row],[ ]]</f>
        <v>2</v>
      </c>
      <c r="G105" s="32">
        <v>46206</v>
      </c>
      <c r="H105" s="35" t="s">
        <v>76</v>
      </c>
      <c r="I105" s="73" t="s">
        <v>28</v>
      </c>
      <c r="J105" s="74">
        <v>32.832</v>
      </c>
      <c r="K105" s="43">
        <v>19</v>
      </c>
      <c r="L105" s="43">
        <v>700000</v>
      </c>
      <c r="M105" s="33">
        <f>Таблица213399029467813161721222324253031323334[[#This Row],[113]]*Таблица213399029467813161721222324253031323334[[#This Row],[15]]</f>
        <v>22982400</v>
      </c>
    </row>
    <row r="106" spans="1:13">
      <c r="A106" s="29">
        <v>3</v>
      </c>
      <c r="B106" s="44"/>
      <c r="C106" s="33"/>
      <c r="D106" s="32"/>
      <c r="E106" s="33"/>
      <c r="F106" s="34">
        <f>Таблица213399029467813161721222324253031323334[[#This Row],[ ]]</f>
        <v>3</v>
      </c>
      <c r="G106" s="44">
        <v>46206</v>
      </c>
      <c r="H106" s="34" t="s">
        <v>77</v>
      </c>
      <c r="I106" s="41" t="s">
        <v>28</v>
      </c>
      <c r="J106" s="41">
        <v>32.832</v>
      </c>
      <c r="K106" s="43">
        <v>19</v>
      </c>
      <c r="L106" s="43">
        <v>700000</v>
      </c>
      <c r="M106" s="33">
        <f>Таблица213399029467813161721222324253031323334[[#This Row],[113]]*Таблица213399029467813161721222324253031323334[[#This Row],[15]]</f>
        <v>22982400</v>
      </c>
    </row>
    <row r="107" spans="1:13">
      <c r="A107" s="29">
        <v>4</v>
      </c>
      <c r="B107" s="44"/>
      <c r="C107" s="33"/>
      <c r="D107" s="32"/>
      <c r="E107" s="33"/>
      <c r="F107" s="34">
        <f>Таблица213399029467813161721222324253031323334[[#This Row],[ ]]</f>
        <v>4</v>
      </c>
      <c r="G107" s="39">
        <v>46214</v>
      </c>
      <c r="H107" s="41" t="s">
        <v>82</v>
      </c>
      <c r="I107" s="41" t="s">
        <v>99</v>
      </c>
      <c r="J107" s="41">
        <v>32.832</v>
      </c>
      <c r="K107" s="33">
        <v>19</v>
      </c>
      <c r="L107" s="43">
        <v>700000</v>
      </c>
      <c r="M107" s="33">
        <f>Таблица213399029467813161721222324253031323334[[#This Row],[113]]*Таблица213399029467813161721222324253031323334[[#This Row],[15]]</f>
        <v>22982400</v>
      </c>
    </row>
    <row r="108" spans="1:13">
      <c r="A108" s="29">
        <v>5</v>
      </c>
      <c r="B108" s="44"/>
      <c r="C108" s="33"/>
      <c r="D108" s="32"/>
      <c r="E108" s="33"/>
      <c r="F108" s="34">
        <f>Таблица213399029467813161721222324253031323334[[#This Row],[ ]]</f>
        <v>5</v>
      </c>
      <c r="G108" s="39">
        <v>46216</v>
      </c>
      <c r="H108" s="41" t="s">
        <v>133</v>
      </c>
      <c r="I108" s="41" t="s">
        <v>28</v>
      </c>
      <c r="J108" s="41">
        <v>32.832</v>
      </c>
      <c r="K108" s="33">
        <v>19</v>
      </c>
      <c r="L108" s="43">
        <v>700000</v>
      </c>
      <c r="M108" s="33">
        <f>Таблица213399029467813161721222324253031323334[[#This Row],[113]]*Таблица213399029467813161721222324253031323334[[#This Row],[15]]</f>
        <v>22982400</v>
      </c>
    </row>
    <row r="109" spans="1:13">
      <c r="A109" s="29">
        <v>6</v>
      </c>
      <c r="B109" s="44"/>
      <c r="C109" s="33"/>
      <c r="D109" s="32"/>
      <c r="E109" s="33"/>
      <c r="F109" s="34">
        <f>Таблица213399029467813161721222324253031323334[[#This Row],[ ]]</f>
        <v>6</v>
      </c>
      <c r="G109" s="39">
        <v>46218</v>
      </c>
      <c r="H109" s="41" t="s">
        <v>147</v>
      </c>
      <c r="I109" s="41" t="s">
        <v>99</v>
      </c>
      <c r="J109" s="41">
        <v>32.832</v>
      </c>
      <c r="K109" s="33">
        <v>19</v>
      </c>
      <c r="L109" s="43">
        <v>700000</v>
      </c>
      <c r="M109" s="33">
        <f>Таблица213399029467813161721222324253031323334[[#This Row],[113]]*Таблица213399029467813161721222324253031323334[[#This Row],[15]]</f>
        <v>22982400</v>
      </c>
    </row>
    <row r="110" spans="1:13">
      <c r="A110" s="29">
        <v>7</v>
      </c>
      <c r="B110" s="44"/>
      <c r="C110" s="33"/>
      <c r="D110" s="32"/>
      <c r="E110" s="33"/>
      <c r="F110" s="34">
        <f>Таблица213399029467813161721222324253031323334[[#This Row],[ ]]</f>
        <v>7</v>
      </c>
      <c r="G110" s="39"/>
      <c r="H110" s="41"/>
      <c r="I110" s="41"/>
      <c r="J110" s="41"/>
      <c r="K110" s="43"/>
      <c r="L110" s="33"/>
      <c r="M110" s="33">
        <f>Таблица213399029467813161721222324253031323334[[#This Row],[113]]*Таблица213399029467813161721222324253031323334[[#This Row],[15]]</f>
        <v>0</v>
      </c>
    </row>
    <row r="111" spans="1:13">
      <c r="A111" s="45"/>
      <c r="B111" s="57"/>
      <c r="C111" s="33">
        <f>SUBTOTAL(109,Таблица213399029467813161721222324253031323334[2])</f>
        <v>0</v>
      </c>
      <c r="D111" s="33"/>
      <c r="E111" s="47"/>
      <c r="F111" s="46"/>
      <c r="G111" s="48"/>
      <c r="H111" s="49"/>
      <c r="I111" s="49"/>
      <c r="J111" s="49"/>
      <c r="K111" s="49">
        <f>SUBTOTAL(109,Таблица213399029467813161721222324253031323334[1132])</f>
        <v>114</v>
      </c>
      <c r="L111" s="51"/>
      <c r="M111" s="51">
        <f>SUBTOTAL(109,Таблица213399029467813161721222324253031323334[16])</f>
        <v>137894400</v>
      </c>
    </row>
  </sheetData>
  <mergeCells count="112">
    <mergeCell ref="A2:B2"/>
    <mergeCell ref="C2:D2"/>
    <mergeCell ref="F2:G2"/>
    <mergeCell ref="A15:B15"/>
    <mergeCell ref="C15:D15"/>
    <mergeCell ref="F15:G15"/>
    <mergeCell ref="A30:B30"/>
    <mergeCell ref="C30:D30"/>
    <mergeCell ref="F30:G30"/>
    <mergeCell ref="A40:B40"/>
    <mergeCell ref="C40:D40"/>
    <mergeCell ref="F40:G40"/>
    <mergeCell ref="A52:B52"/>
    <mergeCell ref="C52:D52"/>
    <mergeCell ref="F52:G52"/>
    <mergeCell ref="A69:B69"/>
    <mergeCell ref="C69:D69"/>
    <mergeCell ref="F69:G69"/>
    <mergeCell ref="A81:B81"/>
    <mergeCell ref="C81:D81"/>
    <mergeCell ref="F81:G81"/>
    <mergeCell ref="A99:B99"/>
    <mergeCell ref="C99:D99"/>
    <mergeCell ref="F99:G99"/>
    <mergeCell ref="A3:A5"/>
    <mergeCell ref="A16:A18"/>
    <mergeCell ref="A31:A33"/>
    <mergeCell ref="A41:A43"/>
    <mergeCell ref="A53:A55"/>
    <mergeCell ref="A70:A72"/>
    <mergeCell ref="A82:A84"/>
    <mergeCell ref="A100:A102"/>
    <mergeCell ref="B3:B5"/>
    <mergeCell ref="B16:B18"/>
    <mergeCell ref="B31:B33"/>
    <mergeCell ref="B41:B43"/>
    <mergeCell ref="B53:B55"/>
    <mergeCell ref="B70:B72"/>
    <mergeCell ref="B82:B84"/>
    <mergeCell ref="B100:B102"/>
    <mergeCell ref="E3:E4"/>
    <mergeCell ref="E16:E17"/>
    <mergeCell ref="E31:E32"/>
    <mergeCell ref="E41:E42"/>
    <mergeCell ref="E53:E54"/>
    <mergeCell ref="E70:E71"/>
    <mergeCell ref="E82:E83"/>
    <mergeCell ref="E100:E101"/>
    <mergeCell ref="F3:F5"/>
    <mergeCell ref="F16:F18"/>
    <mergeCell ref="F31:F33"/>
    <mergeCell ref="F41:F43"/>
    <mergeCell ref="F53:F55"/>
    <mergeCell ref="F70:F72"/>
    <mergeCell ref="F82:F84"/>
    <mergeCell ref="F100:F102"/>
    <mergeCell ref="G3:G5"/>
    <mergeCell ref="G16:G18"/>
    <mergeCell ref="G31:G33"/>
    <mergeCell ref="G41:G43"/>
    <mergeCell ref="G53:G55"/>
    <mergeCell ref="G70:G72"/>
    <mergeCell ref="G82:G84"/>
    <mergeCell ref="G100:G102"/>
    <mergeCell ref="H3:H5"/>
    <mergeCell ref="H16:H18"/>
    <mergeCell ref="H31:H33"/>
    <mergeCell ref="H41:H43"/>
    <mergeCell ref="H53:H55"/>
    <mergeCell ref="H70:H72"/>
    <mergeCell ref="H82:H84"/>
    <mergeCell ref="H100:H102"/>
    <mergeCell ref="I3:I5"/>
    <mergeCell ref="I16:I18"/>
    <mergeCell ref="I31:I33"/>
    <mergeCell ref="I41:I43"/>
    <mergeCell ref="I53:I55"/>
    <mergeCell ref="I70:I72"/>
    <mergeCell ref="I82:I84"/>
    <mergeCell ref="I100:I102"/>
    <mergeCell ref="J3:J5"/>
    <mergeCell ref="J16:J18"/>
    <mergeCell ref="J31:J33"/>
    <mergeCell ref="J41:J43"/>
    <mergeCell ref="J53:J55"/>
    <mergeCell ref="J70:J72"/>
    <mergeCell ref="J82:J83"/>
    <mergeCell ref="J100:J101"/>
    <mergeCell ref="K3:K4"/>
    <mergeCell ref="K16:K17"/>
    <mergeCell ref="K31:K32"/>
    <mergeCell ref="K41:K42"/>
    <mergeCell ref="K53:K54"/>
    <mergeCell ref="K70:K71"/>
    <mergeCell ref="K82:K83"/>
    <mergeCell ref="K100:K101"/>
    <mergeCell ref="L3:L5"/>
    <mergeCell ref="L16:L18"/>
    <mergeCell ref="L31:L33"/>
    <mergeCell ref="L41:L43"/>
    <mergeCell ref="L53:L55"/>
    <mergeCell ref="L70:L72"/>
    <mergeCell ref="L82:L84"/>
    <mergeCell ref="L100:L102"/>
    <mergeCell ref="M3:M4"/>
    <mergeCell ref="M16:M17"/>
    <mergeCell ref="M31:M32"/>
    <mergeCell ref="M41:M42"/>
    <mergeCell ref="M53:M54"/>
    <mergeCell ref="M70:M71"/>
    <mergeCell ref="M82:M83"/>
    <mergeCell ref="M100:M101"/>
  </mergeCells>
  <hyperlinks>
    <hyperlink ref="D1" location="'Свод Завод'!A1" display="1-Урганч Тамирлаш"/>
    <hyperlink ref="D14" location="'Свод Завод'!A1" display="1-Нормат Умидбек"/>
    <hyperlink ref="D29" location="'Свод Завод'!A1" display="1-Ирригатсия темир бетон"/>
    <hyperlink ref="D39" location="'Свод Завод'!A1" display="1-Инвест Холдинг"/>
    <hyperlink ref="D51" location="'Свод Завод'!A1" display="1-Фидато Груп"/>
    <hyperlink ref="D68" location="'Свод Завод'!A1" display="1-Хонкага"/>
    <hyperlink ref="D80" location="'Свод Завод'!A1" display="1-Инноватцион"/>
    <hyperlink ref="D98" location="'Свод Завод'!A1" display="1-Урганч сити"/>
  </hyperlinks>
  <pageMargins left="0.7" right="0.7" top="0.75" bottom="0.75" header="0.3" footer="0.3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Лист1</vt:lpstr>
      <vt:lpstr>Сардор ога</vt:lpstr>
      <vt:lpstr>Темур </vt:lpstr>
      <vt:lpstr>Шохрух ога</vt:lpstr>
      <vt:lpstr>Зафар ога</vt:lpstr>
      <vt:lpstr>Арслон ога</vt:lpstr>
      <vt:lpstr>Жамол 22-22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mello</cp:lastModifiedBy>
  <dcterms:created xsi:type="dcterms:W3CDTF">2015-06-05T18:19:00Z</dcterms:created>
  <dcterms:modified xsi:type="dcterms:W3CDTF">2026-07-29T10:46:27Z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73F5F18600D541988A4BDE71136FB55C_12</vt:lpwstr>
  </property>
  <property fmtid="{D5CDD505-2E9C-101B-9397-08002B2CF9AE}" pid="3" name="KSOProductBuildVer">
    <vt:lpwstr>1049-12.1.0.27458</vt:lpwstr>
  </property>
  <property fmtid="{D5CDD505-2E9C-101B-9397-08002B2CF9AE}" pid="4" name="CalculationRule">
    <vt:i4>0</vt:i4>
  </property>
</Properties>
</file>