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1"/>
  </bookViews>
  <sheets>
    <sheet name="Лист1" sheetId="1" r:id="rId1"/>
    <sheet name="Сардор ога" sheetId="3" r:id="rId2"/>
    <sheet name="Темур " sheetId="4" r:id="rId3"/>
    <sheet name="Шохрух ога" sheetId="6" r:id="rId4"/>
    <sheet name="Зафар ога" sheetId="5" r:id="rId5"/>
    <sheet name="Арслон ога" sheetId="7" r:id="rId6"/>
    <sheet name="Жамол 22-22" sheetId="8" r:id="rId7"/>
  </sheets>
  <definedNames>
    <definedName name="_xlnm._FilterDatabase" localSheetId="0" hidden="1">Лист1!$A$3:$V$153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<sst xmlns="http://schemas.openxmlformats.org/spreadsheetml/2006/main" count="2443" uniqueCount="299">
  <si>
    <t>В-о</t>
  </si>
  <si>
    <t>Поставшик</t>
  </si>
  <si>
    <t>Агент</t>
  </si>
  <si>
    <t>Клиент</t>
  </si>
  <si>
    <t xml:space="preserve">Дата </t>
  </si>
  <si>
    <t>№ авто</t>
  </si>
  <si>
    <t>Размер</t>
  </si>
  <si>
    <t>Блок
 Куб</t>
  </si>
  <si>
    <t>Цена 
Приход</t>
  </si>
  <si>
    <t>Сумма 
Приход</t>
  </si>
  <si>
    <t>Поддон
Шт</t>
  </si>
  <si>
    <t>Цена
Поддон</t>
  </si>
  <si>
    <t>Сумма Поддон</t>
  </si>
  <si>
    <t>Блок+
Поддон</t>
  </si>
  <si>
    <t>Цена
 Продажа</t>
  </si>
  <si>
    <t>Разница</t>
  </si>
  <si>
    <t>ИЗОХ</t>
  </si>
  <si>
    <t>Сумма 
Продажа</t>
  </si>
  <si>
    <t>Расход 
Авто</t>
  </si>
  <si>
    <t>Общая прибль</t>
  </si>
  <si>
    <t>Авто услу барлдми?</t>
  </si>
  <si>
    <t>Соф фойда</t>
  </si>
  <si>
    <t>Газоблок</t>
  </si>
  <si>
    <t>Жамол 22-22</t>
  </si>
  <si>
    <t>Урганч Тамирлаш</t>
  </si>
  <si>
    <t>95 G 851 NA</t>
  </si>
  <si>
    <t>600x300x200</t>
  </si>
  <si>
    <t>Фойда</t>
  </si>
  <si>
    <t>Туланди</t>
  </si>
  <si>
    <t>40 Y 173 KB</t>
  </si>
  <si>
    <t>Инвест Холдинг</t>
  </si>
  <si>
    <t>90 X 700 CA</t>
  </si>
  <si>
    <t>Зафар ога</t>
  </si>
  <si>
    <t>Сулаймон Ога Хазарасп</t>
  </si>
  <si>
    <t>90 G 991 FA</t>
  </si>
  <si>
    <t>90 G 429 CA</t>
  </si>
  <si>
    <t>30 N 113 MB</t>
  </si>
  <si>
    <t>Нормат Умидбек</t>
  </si>
  <si>
    <t>50 R 575 CB</t>
  </si>
  <si>
    <t>30 784 WBA</t>
  </si>
  <si>
    <t>VI-004-KT</t>
  </si>
  <si>
    <t>Арслон ога</t>
  </si>
  <si>
    <t>Гофур Хазорасп</t>
  </si>
  <si>
    <t>01 U 917 XC</t>
  </si>
  <si>
    <t>95 194 LBA</t>
  </si>
  <si>
    <t>40 W 910 SB</t>
  </si>
  <si>
    <t>600x300x100</t>
  </si>
  <si>
    <t>90 Z 688 AB</t>
  </si>
  <si>
    <t>95 617 MBA</t>
  </si>
  <si>
    <t>40 148 ECA</t>
  </si>
  <si>
    <t>Шохрух ога</t>
  </si>
  <si>
    <t>Гайрат Штб</t>
  </si>
  <si>
    <t>90 919 LBA</t>
  </si>
  <si>
    <t>Рустам Шпик</t>
  </si>
  <si>
    <t>90 273 QBA</t>
  </si>
  <si>
    <t>Мурод ога Урганч</t>
  </si>
  <si>
    <t>85 L 868 PA</t>
  </si>
  <si>
    <t>Ирригатсия темир бетон</t>
  </si>
  <si>
    <t>25 Q 068 OA</t>
  </si>
  <si>
    <t>Фидато Гроуп</t>
  </si>
  <si>
    <t>90 682 FBA</t>
  </si>
  <si>
    <t>Хонкага</t>
  </si>
  <si>
    <t>80 M 667 YA</t>
  </si>
  <si>
    <t>90 206 HBA</t>
  </si>
  <si>
    <t>90 L 027 DA</t>
  </si>
  <si>
    <t>90 015 WAA</t>
  </si>
  <si>
    <t>70 Y 119 GB</t>
  </si>
  <si>
    <t>90 S 954 OA</t>
  </si>
  <si>
    <t>40 F 105 RB</t>
  </si>
  <si>
    <t>Урганч сити</t>
  </si>
  <si>
    <t>90 K 295 QA</t>
  </si>
  <si>
    <t>90 452 PBA</t>
  </si>
  <si>
    <t>90 306 FBA</t>
  </si>
  <si>
    <t>90 N 831 HA</t>
  </si>
  <si>
    <t>90 255 FBA</t>
  </si>
  <si>
    <t>40 E 471 SB</t>
  </si>
  <si>
    <t>80 N 441 DB</t>
  </si>
  <si>
    <t>Темур</t>
  </si>
  <si>
    <t>Жасур Версал</t>
  </si>
  <si>
    <t>80 C 385 CB</t>
  </si>
  <si>
    <t>90 734 МВА</t>
  </si>
  <si>
    <t>Сарвар ога Шовот</t>
  </si>
  <si>
    <t>Мустофо Машал</t>
  </si>
  <si>
    <t>40 O 636 TB</t>
  </si>
  <si>
    <t>Шиддат моналит</t>
  </si>
  <si>
    <t>85 L 457 HA</t>
  </si>
  <si>
    <t>600x300x250</t>
  </si>
  <si>
    <t>95 N 260 OA</t>
  </si>
  <si>
    <t>95 C 626 SA</t>
  </si>
  <si>
    <t>90 Z 410 ZZ</t>
  </si>
  <si>
    <t>95 512 DBA</t>
  </si>
  <si>
    <t>80 801 UBA</t>
  </si>
  <si>
    <t>Сардор ога</t>
  </si>
  <si>
    <t>Уткир мини</t>
  </si>
  <si>
    <t>95 693 GBA</t>
  </si>
  <si>
    <t>90 N 972 QA</t>
  </si>
  <si>
    <t>600x240x200</t>
  </si>
  <si>
    <t>Отабек дамирчи</t>
  </si>
  <si>
    <t>90 340 FBA</t>
  </si>
  <si>
    <t>90 779 EBA</t>
  </si>
  <si>
    <t>95 G 198 SA</t>
  </si>
  <si>
    <t>80 726 ACA</t>
  </si>
  <si>
    <t>Одилбек ога Эра хоус</t>
  </si>
  <si>
    <t>90 S 196 AB</t>
  </si>
  <si>
    <t>95 A 242 TA</t>
  </si>
  <si>
    <t>Журат Хонка</t>
  </si>
  <si>
    <t>95 B 760 QA</t>
  </si>
  <si>
    <t>Бунёдкор</t>
  </si>
  <si>
    <t>30 N 341 SB</t>
  </si>
  <si>
    <t>90 388 CBA</t>
  </si>
  <si>
    <t>Нахт клент Арслон</t>
  </si>
  <si>
    <t>01 C 487 CB</t>
  </si>
  <si>
    <t>90 L 555 TA</t>
  </si>
  <si>
    <t>90 M 660 LA</t>
  </si>
  <si>
    <t>95 O 144 GA</t>
  </si>
  <si>
    <t>95 641 MBA</t>
  </si>
  <si>
    <t>90 358 MBA</t>
  </si>
  <si>
    <t>Элликкала Бостон</t>
  </si>
  <si>
    <t>95 F 702 GA</t>
  </si>
  <si>
    <t>Инноватцион</t>
  </si>
  <si>
    <t>Мамун Университети</t>
  </si>
  <si>
    <t>90 999 EBA</t>
  </si>
  <si>
    <t>90 924 LBA</t>
  </si>
  <si>
    <t>50 E 093 GB</t>
  </si>
  <si>
    <t>75 084 GBA</t>
  </si>
  <si>
    <t>70 M 307 HB</t>
  </si>
  <si>
    <t>30 100 MAN</t>
  </si>
  <si>
    <t>25 S 005 FA</t>
  </si>
  <si>
    <t>80 591 FCA</t>
  </si>
  <si>
    <t>90 K 034 BB</t>
  </si>
  <si>
    <t>95 044 WAA</t>
  </si>
  <si>
    <t>Нахт клент Сардор</t>
  </si>
  <si>
    <t>90 699 EBA</t>
  </si>
  <si>
    <t>90 L 243 NA</t>
  </si>
  <si>
    <t>01 F 620 EB</t>
  </si>
  <si>
    <t>Жамол 009</t>
  </si>
  <si>
    <t>50 A 888 FB</t>
  </si>
  <si>
    <t>01 329 KMA</t>
  </si>
  <si>
    <t>40 C 022 MB</t>
  </si>
  <si>
    <t>Сохил буйи Уткир ога</t>
  </si>
  <si>
    <t>90 X 309 TA</t>
  </si>
  <si>
    <t>30 791 WBA</t>
  </si>
  <si>
    <t>90 195 JBA</t>
  </si>
  <si>
    <t>90 536 GBA</t>
  </si>
  <si>
    <t>95 450 HBA</t>
  </si>
  <si>
    <t>Сув газ монтаж</t>
  </si>
  <si>
    <t>90 F 942 MA</t>
  </si>
  <si>
    <t>90 S 893 AB</t>
  </si>
  <si>
    <t>  40 J 346 UB</t>
  </si>
  <si>
    <t>90 Z 712 OA</t>
  </si>
  <si>
    <t>Фм хоус</t>
  </si>
  <si>
    <t>95 626 MBA</t>
  </si>
  <si>
    <t>95 582 PBQ</t>
  </si>
  <si>
    <t>80 С 385 СВ</t>
  </si>
  <si>
    <t>95 С 757 KA</t>
  </si>
  <si>
    <t>Уткир ога Шовот</t>
  </si>
  <si>
    <t>90 431 FBA</t>
  </si>
  <si>
    <t>10 L 842 MB</t>
  </si>
  <si>
    <t>01 G 750 MB</t>
  </si>
  <si>
    <t>80 N 328 TA</t>
  </si>
  <si>
    <t>80 F 962 EB</t>
  </si>
  <si>
    <t>80 M 572 EB</t>
  </si>
  <si>
    <t>Сулаймон ога Хазарасп</t>
  </si>
  <si>
    <t>90 563 WAA</t>
  </si>
  <si>
    <t>95 088 EBA</t>
  </si>
  <si>
    <t>80 R 918 DB</t>
  </si>
  <si>
    <t>95 590 DBA</t>
  </si>
  <si>
    <t>90 G 899 CA</t>
  </si>
  <si>
    <t>95 L 400 KA</t>
  </si>
  <si>
    <t>90 504 IBW</t>
  </si>
  <si>
    <t>40 Х 410 SA</t>
  </si>
  <si>
    <t>80 R 261 EB</t>
  </si>
  <si>
    <t>Мактаб</t>
  </si>
  <si>
    <t>95 438 MBA</t>
  </si>
  <si>
    <t>95 437 MBA</t>
  </si>
  <si>
    <t>95 P 513 UA</t>
  </si>
  <si>
    <t>Сохил буйи Уткир</t>
  </si>
  <si>
    <t>90 427 MBA</t>
  </si>
  <si>
    <t>30 S 312 RB</t>
  </si>
  <si>
    <t>95 T 324 SA</t>
  </si>
  <si>
    <t>90 500 EBA</t>
  </si>
  <si>
    <t>30 U 875 TB</t>
  </si>
  <si>
    <t>90 P 417 AB</t>
  </si>
  <si>
    <t>Расход</t>
  </si>
  <si>
    <t>Приход</t>
  </si>
  <si>
    <t>Ост</t>
  </si>
  <si>
    <t>Паддон сони</t>
  </si>
  <si>
    <t>Утказилган пул</t>
  </si>
  <si>
    <t xml:space="preserve">Завод </t>
  </si>
  <si>
    <t>Олинган</t>
  </si>
  <si>
    <t>Берилган</t>
  </si>
  <si>
    <t>Жами</t>
  </si>
  <si>
    <t xml:space="preserve"> </t>
  </si>
  <si>
    <t>6-Уткир мини</t>
  </si>
  <si>
    <t>ID-Клиента</t>
  </si>
  <si>
    <t>№</t>
  </si>
  <si>
    <t>Дата</t>
  </si>
  <si>
    <t>Сумма</t>
  </si>
  <si>
    <t>Примечание</t>
  </si>
  <si>
    <t>Возврат паддон</t>
  </si>
  <si>
    <t>Авто</t>
  </si>
  <si>
    <t>Поддон 
Шт</t>
  </si>
  <si>
    <t>От</t>
  </si>
  <si>
    <t>1</t>
  </si>
  <si>
    <t>2</t>
  </si>
  <si>
    <t>3</t>
  </si>
  <si>
    <t>4</t>
  </si>
  <si>
    <t>9</t>
  </si>
  <si>
    <t>10</t>
  </si>
  <si>
    <t>11</t>
  </si>
  <si>
    <t>114</t>
  </si>
  <si>
    <t>113</t>
  </si>
  <si>
    <t>1132</t>
  </si>
  <si>
    <t>15</t>
  </si>
  <si>
    <t>16</t>
  </si>
  <si>
    <t>Коровул курилиш монтаж</t>
  </si>
  <si>
    <t>шопр учун барди</t>
  </si>
  <si>
    <t>6-Отабек дамирчи</t>
  </si>
  <si>
    <t>17</t>
  </si>
  <si>
    <t>"Qodiriy Construction" Масъулияти Чекланган Жамият</t>
  </si>
  <si>
    <t>Qodiriy Construction Масъулияти Чекланган Жамият</t>
  </si>
  <si>
    <t>6-Мамун Университети</t>
  </si>
  <si>
    <t>6-Нахт клент Сардор</t>
  </si>
  <si>
    <t>Нахт</t>
  </si>
  <si>
    <t>6-Жамол 009</t>
  </si>
  <si>
    <t>18</t>
  </si>
  <si>
    <t>600х240х200</t>
  </si>
  <si>
    <t>Бзадан</t>
  </si>
  <si>
    <t>6-Сохил буйи Уткир ога</t>
  </si>
  <si>
    <t>"URGANCH QURILISH TRANS" МЧЖ</t>
  </si>
  <si>
    <t>6-Фм хоус</t>
  </si>
  <si>
    <t>SMART UPSTARTS Xususiy korxonasi</t>
  </si>
  <si>
    <t>5-Жасур Версал</t>
  </si>
  <si>
    <t>Jamshidbek Jasmina House</t>
  </si>
  <si>
    <t>VERSAL YANGI UYLAR MCHJ</t>
  </si>
  <si>
    <t>5-Мустафо машал</t>
  </si>
  <si>
    <t>"SHUKR BARAKA" MCHJ</t>
  </si>
  <si>
    <t>``SHUKR BARAKA``MCHJ</t>
  </si>
  <si>
    <t>5-Одилбек Ера хоус</t>
  </si>
  <si>
    <t>"ERA MOTOR'S" MCHJ</t>
  </si>
  <si>
    <t>ERA MOTOR'S MCHJ</t>
  </si>
  <si>
    <t>ERA MOTOR`S MCHJ</t>
  </si>
  <si>
    <t>5-Журат ога хонка</t>
  </si>
  <si>
    <t>"VATANPARVARLIK YOSHLAR KELAJAGI" MCHJ</t>
  </si>
  <si>
    <t>VATANPARVARLIK YOSHLAR KELAJAKI</t>
  </si>
  <si>
    <t>5-Мактаб</t>
  </si>
  <si>
    <t>STAR KIDS PLUS МЧЖ Cчет ссудных обязательствАнкет</t>
  </si>
  <si>
    <t>4-Рустам Шпик</t>
  </si>
  <si>
    <t>"Ифтихор" хусусий корхонаси</t>
  </si>
  <si>
    <t>ЧП "RSULBEK"</t>
  </si>
  <si>
    <t>4-Гайрат Штб</t>
  </si>
  <si>
    <t>Шовот темур битон хусусий корхонаси</t>
  </si>
  <si>
    <t>4-Элликкала Бостон</t>
  </si>
  <si>
    <t>Клик</t>
  </si>
  <si>
    <t>3-Бунёдкор</t>
  </si>
  <si>
    <t>"БУНЕДКОР" МЧЖ</t>
  </si>
  <si>
    <t>3-Сув газ монтаж</t>
  </si>
  <si>
    <t>Сув газ монтаж таъмир х\к</t>
  </si>
  <si>
    <t>3-Мурод ога Урганч</t>
  </si>
  <si>
    <t>"Ulgircha savdo diyor" MCHJ</t>
  </si>
  <si>
    <t xml:space="preserve"> 3-Сулаймон Ога Хазарасп</t>
  </si>
  <si>
    <t>HAZORASP MUHAMMAD</t>
  </si>
  <si>
    <t>"A-SIA HOUSE" MCHJ</t>
  </si>
  <si>
    <t>Xazorasp Ipoteka Qurilish мчж</t>
  </si>
  <si>
    <t>JAHON QILICH OOO</t>
  </si>
  <si>
    <t>HAZORASP BINOKOR USTA MChJ</t>
  </si>
  <si>
    <t>HOZORASP MUHAMMAD XO'JAM CHJ</t>
  </si>
  <si>
    <t>OOO QILICH-AMIN-NIYAZ</t>
  </si>
  <si>
    <t>OOO HAZORASP UNIVERSAL MEGA STROY</t>
  </si>
  <si>
    <t>XAZORASP IPOTEKA QURILISH масьулияти чекланган жамияти</t>
  </si>
  <si>
    <t>30 U 872 TB</t>
  </si>
  <si>
    <t>3-Сарвар ога Шовот</t>
  </si>
  <si>
    <t>XIVA SAYQAL MCHJ</t>
  </si>
  <si>
    <t>Шопир пули 5%</t>
  </si>
  <si>
    <t>3-Уктир ога Шовот</t>
  </si>
  <si>
    <t>SHOVOT METOL COMPOSIT mchj</t>
  </si>
  <si>
    <t>2-Гофур Хазорасп</t>
  </si>
  <si>
    <t>"EZVIZ CITY"Mchj</t>
  </si>
  <si>
    <t>"DOMEX GROUP" Mchj</t>
  </si>
  <si>
    <t>2-Шиддат маналит</t>
  </si>
  <si>
    <t>SHIDDAT MONOLIT MCHJ</t>
  </si>
  <si>
    <t>SHIDDAT MONOLIT MCHJ бир машин газаблок даставка учун ташоди</t>
  </si>
  <si>
    <t>Важ</t>
  </si>
  <si>
    <t>2-Нахт клент Арслон</t>
  </si>
  <si>
    <t>Клентни Ози Шовйор</t>
  </si>
  <si>
    <t>1-Урганч Тамирлаш</t>
  </si>
  <si>
    <t>Перемечание</t>
  </si>
  <si>
    <t>URGANCH TA'MIRLASH масьулияти чекланган жамият</t>
  </si>
  <si>
    <t>1-Нормат Умидбек</t>
  </si>
  <si>
    <t>NORMAT UMIDBEK MCHJ</t>
  </si>
  <si>
    <t>1-Ирригатсия темир бетон</t>
  </si>
  <si>
    <t>1-Инвест Холдинг</t>
  </si>
  <si>
    <t>Хоразм Инвест Холдинг</t>
  </si>
  <si>
    <t>1-Фидато Гроуп</t>
  </si>
  <si>
    <t>OOO "FIDATO GROUP"</t>
  </si>
  <si>
    <t>ООО "FIDATO GROUP"</t>
  </si>
  <si>
    <t>1-Хонкага</t>
  </si>
  <si>
    <t>1-Инноватцион</t>
  </si>
  <si>
    <t>1-Урганч сити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</si>
</sst>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* #\.##0.00\ &quot;₽&quot;_-;\-* #\.##0.00\ &quot;₽&quot;_-;_-* \-??\ &quot;₽&quot;_-;_-@_-"/>
    <numFmt numFmtId="177" formatCode="_-* #\.##0\ &quot;₽&quot;_-;\-* #\.##0\ &quot;₽&quot;_-;_-* \-\ &quot;₽&quot;_-;_-@_-"/>
    <numFmt numFmtId="178" formatCode="dd\.mm\.yyyy"/>
    <numFmt numFmtId="179" formatCode="#,##0.000"/>
    <numFmt numFmtId="180" formatCode="mmm\.yy"/>
  </numFmts>
  <fonts count="43">
    <font>
      <sz val="11"/>
      <color theme="1"/>
      <name val="Calibri"/>
      <charset val="134"/>
      <scheme val="minor"/>
    </font>
    <font>
      <sz val="11"/>
      <color theme="1"/>
      <name val="Arial"/>
      <charset val="204"/>
    </font>
    <font>
      <b/>
      <u/>
      <sz val="12"/>
      <name val="Calibri"/>
      <charset val="134"/>
      <scheme val="minor"/>
    </font>
    <font>
      <sz val="11"/>
      <name val="Arial"/>
      <charset val="204"/>
    </font>
    <font>
      <b/>
      <sz val="12"/>
      <color theme="1"/>
      <name val="Arial"/>
      <charset val="204"/>
    </font>
    <font>
      <b/>
      <sz val="11"/>
      <color theme="1"/>
      <name val="Arial"/>
      <charset val="204"/>
    </font>
    <font>
      <sz val="12"/>
      <name val="Arial"/>
      <charset val="204"/>
    </font>
    <font>
      <b/>
      <u/>
      <sz val="14"/>
      <name val="Arial"/>
      <charset val="204"/>
    </font>
    <font>
      <b/>
      <sz val="16"/>
      <color theme="1"/>
      <name val="Arial"/>
      <charset val="204"/>
    </font>
    <font>
      <b/>
      <u/>
      <sz val="11"/>
      <name val="Arial"/>
      <charset val="204"/>
    </font>
    <font>
      <b/>
      <sz val="14"/>
      <color theme="1"/>
      <name val="Arial"/>
      <charset val="204"/>
    </font>
    <font>
      <b/>
      <sz val="14"/>
      <name val="Calibri"/>
      <charset val="134"/>
      <scheme val="minor"/>
    </font>
    <font>
      <sz val="14"/>
      <color theme="1"/>
      <name val="Arial"/>
      <charset val="204"/>
    </font>
    <font>
      <sz val="14"/>
      <color rgb="FFFF0000"/>
      <name val="Arial"/>
      <charset val="204"/>
    </font>
    <font>
      <sz val="11"/>
      <color theme="0"/>
      <name val="Arial"/>
      <charset val="204"/>
    </font>
    <font>
      <b/>
      <sz val="11"/>
      <color theme="0"/>
      <name val="Arial"/>
      <charset val="204"/>
    </font>
    <font>
      <b/>
      <sz val="11"/>
      <name val="Arial"/>
      <charset val="204"/>
    </font>
    <font>
      <b/>
      <sz val="11"/>
      <color rgb="FFFF0000"/>
      <name val="Arial"/>
      <charset val="204"/>
    </font>
    <font>
      <sz val="11"/>
      <color rgb="FFFF0000"/>
      <name val="Arial"/>
      <charset val="204"/>
    </font>
    <font>
      <sz val="11"/>
      <color theme="1" tint="0.0499893185216834"/>
      <name val="Arial"/>
      <charset val="204"/>
    </font>
    <font>
      <b/>
      <sz val="11"/>
      <color theme="1"/>
      <name val="Calibri"/>
      <charset val="204"/>
      <scheme val="minor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theme="10"/>
      <name val="Calibri"/>
      <charset val="204"/>
      <scheme val="minor"/>
    </font>
    <font>
      <sz val="10"/>
      <name val="Arial"/>
      <charset val="204"/>
    </font>
    <font>
      <sz val="11"/>
      <color theme="1"/>
      <name val="Calibri"/>
      <charset val="204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3" tint="0.89999084444715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/>
    <xf numFmtId="43" fontId="0" fillId="0" borderId="0" applyFont="0" applyFill="0" applyBorder="0" applyAlignment="0" applyProtection="0"/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>
      <alignment vertical="center"/>
    </xf>
    <xf numFmtId="0" fontId="0" fillId="18" borderId="16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0" borderId="17" applyNumberFormat="0" applyFill="0" applyAlignment="0" applyProtection="0">
      <alignment vertical="center"/>
    </xf>
    <xf numFmtId="0" fontId="28" fillId="0" borderId="18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9" borderId="19" applyNumberFormat="0" applyAlignment="0" applyProtection="0">
      <alignment vertical="center"/>
    </xf>
    <xf numFmtId="0" fontId="30" fillId="20" borderId="20" applyNumberFormat="0" applyAlignment="0" applyProtection="0">
      <alignment vertical="center"/>
    </xf>
    <xf numFmtId="0" fontId="31" fillId="20" borderId="19" applyNumberFormat="0" applyAlignment="0" applyProtection="0">
      <alignment vertical="center"/>
    </xf>
    <xf numFmtId="0" fontId="32" fillId="21" borderId="21" applyNumberFormat="0" applyAlignment="0" applyProtection="0">
      <alignment vertical="center"/>
    </xf>
    <xf numFmtId="0" fontId="33" fillId="0" borderId="22" applyNumberFormat="0" applyFill="0" applyAlignment="0" applyProtection="0">
      <alignment vertical="center"/>
    </xf>
    <xf numFmtId="0" fontId="34" fillId="0" borderId="23" applyNumberFormat="0" applyFill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9" fillId="8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8" fillId="4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38" fillId="9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9" fillId="10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8" fillId="40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38" fillId="41" borderId="0" applyNumberFormat="0" applyBorder="0" applyAlignment="0" applyProtection="0">
      <alignment vertical="center"/>
    </xf>
    <xf numFmtId="0" fontId="40" fillId="0" borderId="0" applyNumberFormat="0" applyFill="0" applyBorder="0" applyAlignment="0" applyProtection="0"/>
    <xf numFmtId="0" fontId="41" fillId="0" borderId="0"/>
    <xf numFmtId="0" fontId="42" fillId="0" borderId="0"/>
    <xf numFmtId="41" fontId="42" fillId="0" borderId="0" applyFont="0" applyFill="0" applyBorder="0" applyAlignment="0" applyProtection="0"/>
    <xf numFmtId="43" fontId="42" fillId="0" borderId="0" applyFont="0" applyFill="0" applyBorder="0" applyAlignment="0" applyProtection="0"/>
  </cellStyleXfs>
  <cellXfs count="231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2" xfId="0" applyFont="1" applyFill="1" applyBorder="1" applyAlignment="1">
      <alignment horizontal="center"/>
    </xf>
    <xf numFmtId="0" fontId="2" fillId="2" borderId="3" xfId="6" applyFont="1" applyFill="1" applyBorder="1" applyAlignment="1">
      <alignment horizontal="center"/>
    </xf>
    <xf numFmtId="0" fontId="2" fillId="2" borderId="0" xfId="6" applyFont="1" applyFill="1" applyBorder="1" applyAlignment="1">
      <alignment horizontal="center"/>
    </xf>
    <xf numFmtId="0" fontId="1" fillId="0" borderId="0" xfId="0" applyFont="1"/>
    <xf numFmtId="0" fontId="1" fillId="2" borderId="4" xfId="0" applyFont="1" applyFill="1" applyBorder="1" applyAlignment="1">
      <alignment horizontal="center"/>
    </xf>
    <xf numFmtId="0" fontId="3" fillId="2" borderId="4" xfId="6" applyFont="1" applyFill="1" applyBorder="1" applyAlignment="1">
      <alignment horizontal="center"/>
    </xf>
    <xf numFmtId="3" fontId="4" fillId="3" borderId="5" xfId="0" applyNumberFormat="1" applyFont="1" applyFill="1" applyBorder="1" applyAlignment="1">
      <alignment horizontal="center" vertical="center"/>
    </xf>
    <xf numFmtId="3" fontId="5" fillId="3" borderId="5" xfId="0" applyNumberFormat="1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vertical="center"/>
    </xf>
    <xf numFmtId="0" fontId="1" fillId="4" borderId="8" xfId="0" applyFont="1" applyFill="1" applyBorder="1" applyAlignment="1">
      <alignment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 wrapText="1"/>
    </xf>
    <xf numFmtId="3" fontId="1" fillId="3" borderId="5" xfId="0" applyNumberFormat="1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vertical="center" wrapText="1"/>
    </xf>
    <xf numFmtId="1" fontId="1" fillId="3" borderId="6" xfId="0" applyNumberFormat="1" applyFont="1" applyFill="1" applyBorder="1" applyAlignment="1">
      <alignment vertical="center" wrapText="1"/>
    </xf>
    <xf numFmtId="0" fontId="1" fillId="4" borderId="4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178" fontId="3" fillId="0" borderId="5" xfId="0" applyNumberFormat="1" applyFont="1" applyBorder="1" applyAlignment="1">
      <alignment horizontal="center" vertical="center"/>
    </xf>
    <xf numFmtId="3" fontId="6" fillId="0" borderId="5" xfId="1" applyNumberFormat="1" applyFont="1" applyFill="1" applyBorder="1" applyAlignment="1">
      <alignment horizontal="center" vertical="center" wrapText="1"/>
    </xf>
    <xf numFmtId="178" fontId="1" fillId="0" borderId="5" xfId="0" applyNumberFormat="1" applyFont="1" applyBorder="1" applyAlignment="1">
      <alignment horizontal="center" vertical="center"/>
    </xf>
    <xf numFmtId="3" fontId="1" fillId="0" borderId="5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78" fontId="3" fillId="0" borderId="5" xfId="50" applyNumberFormat="1" applyFont="1" applyBorder="1" applyAlignment="1">
      <alignment horizontal="center" vertical="center"/>
    </xf>
    <xf numFmtId="2" fontId="3" fillId="0" borderId="10" xfId="4" applyNumberFormat="1" applyFont="1" applyBorder="1" applyAlignment="1">
      <alignment horizontal="center"/>
    </xf>
    <xf numFmtId="0" fontId="3" fillId="0" borderId="10" xfId="1" applyNumberFormat="1" applyFont="1" applyBorder="1" applyAlignment="1">
      <alignment horizontal="center"/>
    </xf>
    <xf numFmtId="3" fontId="3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178" fontId="1" fillId="0" borderId="5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3" fontId="3" fillId="0" borderId="5" xfId="0" applyNumberFormat="1" applyFont="1" applyBorder="1" applyAlignment="1">
      <alignment horizontal="center" vertical="center"/>
    </xf>
    <xf numFmtId="3" fontId="1" fillId="0" borderId="6" xfId="0" applyNumberFormat="1" applyFont="1" applyBorder="1" applyAlignment="1">
      <alignment horizontal="center" vertical="center"/>
    </xf>
    <xf numFmtId="178" fontId="1" fillId="0" borderId="6" xfId="0" applyNumberFormat="1" applyFont="1" applyBorder="1"/>
    <xf numFmtId="178" fontId="1" fillId="0" borderId="12" xfId="0" applyNumberFormat="1" applyFont="1" applyBorder="1" applyAlignment="1">
      <alignment horizontal="center" vertical="center"/>
    </xf>
    <xf numFmtId="0" fontId="1" fillId="0" borderId="11" xfId="0" applyFont="1" applyBorder="1"/>
    <xf numFmtId="0" fontId="1" fillId="0" borderId="6" xfId="0" applyFont="1" applyBorder="1"/>
    <xf numFmtId="3" fontId="1" fillId="0" borderId="6" xfId="0" applyNumberFormat="1" applyFont="1" applyBorder="1"/>
    <xf numFmtId="0" fontId="7" fillId="2" borderId="3" xfId="6" applyFont="1" applyFill="1" applyBorder="1" applyAlignment="1">
      <alignment horizontal="center"/>
    </xf>
    <xf numFmtId="3" fontId="8" fillId="3" borderId="7" xfId="0" applyNumberFormat="1" applyFont="1" applyFill="1" applyBorder="1" applyAlignment="1">
      <alignment horizontal="center" vertical="center"/>
    </xf>
    <xf numFmtId="3" fontId="8" fillId="3" borderId="13" xfId="0" applyNumberFormat="1" applyFont="1" applyFill="1" applyBorder="1" applyAlignment="1">
      <alignment horizontal="center" vertical="center"/>
    </xf>
    <xf numFmtId="3" fontId="4" fillId="3" borderId="5" xfId="0" applyNumberFormat="1" applyFont="1" applyFill="1" applyBorder="1" applyAlignment="1">
      <alignment horizontal="center" vertical="center" wrapText="1"/>
    </xf>
    <xf numFmtId="178" fontId="1" fillId="0" borderId="5" xfId="0" applyNumberFormat="1" applyFont="1" applyBorder="1"/>
    <xf numFmtId="178" fontId="3" fillId="0" borderId="6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1" fillId="0" borderId="5" xfId="0" applyFont="1" applyBorder="1"/>
    <xf numFmtId="0" fontId="9" fillId="2" borderId="3" xfId="6" applyFont="1" applyFill="1" applyBorder="1" applyAlignment="1">
      <alignment horizontal="center"/>
    </xf>
    <xf numFmtId="178" fontId="1" fillId="0" borderId="6" xfId="0" applyNumberFormat="1" applyFont="1" applyBorder="1" applyAlignment="1">
      <alignment horizontal="center" vertical="center"/>
    </xf>
    <xf numFmtId="178" fontId="3" fillId="0" borderId="6" xfId="50" applyNumberFormat="1" applyFont="1" applyBorder="1" applyAlignment="1">
      <alignment horizontal="center" vertical="center"/>
    </xf>
    <xf numFmtId="2" fontId="3" fillId="0" borderId="9" xfId="4" applyNumberFormat="1" applyFont="1" applyBorder="1" applyAlignment="1">
      <alignment horizontal="center"/>
    </xf>
    <xf numFmtId="0" fontId="3" fillId="0" borderId="9" xfId="1" applyNumberFormat="1" applyFont="1" applyBorder="1" applyAlignment="1">
      <alignment horizontal="center"/>
    </xf>
    <xf numFmtId="3" fontId="3" fillId="0" borderId="9" xfId="0" applyNumberFormat="1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7" fillId="2" borderId="11" xfId="6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3" fillId="2" borderId="5" xfId="6" applyFont="1" applyFill="1" applyBorder="1" applyAlignment="1">
      <alignment horizontal="center"/>
    </xf>
    <xf numFmtId="3" fontId="10" fillId="3" borderId="5" xfId="0" applyNumberFormat="1" applyFont="1" applyFill="1" applyBorder="1" applyAlignment="1">
      <alignment horizontal="center" vertical="center"/>
    </xf>
    <xf numFmtId="3" fontId="0" fillId="0" borderId="0" xfId="0" applyNumberFormat="1"/>
    <xf numFmtId="3" fontId="1" fillId="0" borderId="5" xfId="0" applyNumberFormat="1" applyFont="1" applyFill="1" applyBorder="1" applyAlignment="1">
      <alignment horizontal="center" vertical="center"/>
    </xf>
    <xf numFmtId="3" fontId="1" fillId="0" borderId="6" xfId="0" applyNumberFormat="1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3" fontId="1" fillId="0" borderId="9" xfId="0" applyNumberFormat="1" applyFont="1" applyBorder="1" applyAlignment="1">
      <alignment horizontal="center" vertical="center"/>
    </xf>
    <xf numFmtId="2" fontId="3" fillId="0" borderId="4" xfId="4" applyNumberFormat="1" applyFont="1" applyBorder="1" applyAlignment="1">
      <alignment horizontal="center"/>
    </xf>
    <xf numFmtId="0" fontId="3" fillId="0" borderId="4" xfId="1" applyNumberFormat="1" applyFont="1" applyBorder="1" applyAlignment="1">
      <alignment horizontal="center"/>
    </xf>
    <xf numFmtId="0" fontId="11" fillId="2" borderId="3" xfId="6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 vertical="center" wrapText="1"/>
    </xf>
    <xf numFmtId="179" fontId="5" fillId="3" borderId="5" xfId="0" applyNumberFormat="1" applyFont="1" applyFill="1" applyBorder="1" applyAlignment="1">
      <alignment horizontal="center" vertical="center"/>
    </xf>
    <xf numFmtId="3" fontId="3" fillId="0" borderId="10" xfId="0" applyNumberFormat="1" applyFont="1" applyBorder="1" applyAlignment="1">
      <alignment horizontal="center" vertical="center"/>
    </xf>
    <xf numFmtId="0" fontId="4" fillId="2" borderId="14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3" fontId="5" fillId="3" borderId="6" xfId="0" applyNumberFormat="1" applyFont="1" applyFill="1" applyBorder="1" applyAlignment="1">
      <alignment horizontal="center" vertical="center"/>
    </xf>
    <xf numFmtId="3" fontId="4" fillId="3" borderId="6" xfId="0" applyNumberFormat="1" applyFont="1" applyFill="1" applyBorder="1" applyAlignment="1">
      <alignment horizontal="center" vertical="center" wrapText="1"/>
    </xf>
    <xf numFmtId="3" fontId="4" fillId="3" borderId="6" xfId="0" applyNumberFormat="1" applyFont="1" applyFill="1" applyBorder="1" applyAlignment="1">
      <alignment horizontal="center" vertical="center"/>
    </xf>
    <xf numFmtId="2" fontId="3" fillId="0" borderId="5" xfId="4" applyNumberFormat="1" applyFont="1" applyBorder="1" applyAlignment="1">
      <alignment horizontal="center"/>
    </xf>
    <xf numFmtId="0" fontId="3" fillId="0" borderId="5" xfId="1" applyNumberFormat="1" applyFont="1" applyBorder="1" applyAlignment="1">
      <alignment horizontal="center"/>
    </xf>
    <xf numFmtId="3" fontId="1" fillId="3" borderId="5" xfId="0" applyNumberFormat="1" applyFont="1" applyFill="1" applyBorder="1" applyAlignment="1">
      <alignment horizontal="center" vertical="center"/>
    </xf>
    <xf numFmtId="3" fontId="1" fillId="0" borderId="5" xfId="0" applyNumberFormat="1" applyFont="1" applyBorder="1"/>
    <xf numFmtId="3" fontId="4" fillId="0" borderId="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178" fontId="1" fillId="5" borderId="5" xfId="0" applyNumberFormat="1" applyFont="1" applyFill="1" applyBorder="1"/>
    <xf numFmtId="3" fontId="1" fillId="5" borderId="5" xfId="0" applyNumberFormat="1" applyFont="1" applyFill="1" applyBorder="1" applyAlignment="1">
      <alignment horizontal="center" vertical="center"/>
    </xf>
    <xf numFmtId="178" fontId="1" fillId="5" borderId="5" xfId="0" applyNumberFormat="1" applyFont="1" applyFill="1" applyBorder="1" applyAlignment="1">
      <alignment horizontal="center" vertical="center"/>
    </xf>
    <xf numFmtId="178" fontId="1" fillId="0" borderId="5" xfId="0" applyNumberFormat="1" applyFont="1" applyFill="1" applyBorder="1"/>
    <xf numFmtId="0" fontId="1" fillId="0" borderId="5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3" fontId="3" fillId="0" borderId="5" xfId="0" applyNumberFormat="1" applyFont="1" applyFill="1" applyBorder="1" applyAlignment="1">
      <alignment horizontal="center" vertical="center"/>
    </xf>
    <xf numFmtId="178" fontId="3" fillId="0" borderId="5" xfId="0" applyNumberFormat="1" applyFont="1" applyBorder="1" applyAlignment="1">
      <alignment horizontal="center"/>
    </xf>
    <xf numFmtId="3" fontId="6" fillId="0" borderId="5" xfId="1" applyNumberFormat="1" applyFont="1" applyFill="1" applyBorder="1" applyAlignment="1">
      <alignment horizontal="center" wrapText="1"/>
    </xf>
    <xf numFmtId="178" fontId="3" fillId="0" borderId="5" xfId="50" applyNumberFormat="1" applyFont="1" applyBorder="1" applyAlignment="1">
      <alignment horizontal="center"/>
    </xf>
    <xf numFmtId="3" fontId="3" fillId="0" borderId="4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3" fontId="1" fillId="0" borderId="5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3" fontId="3" fillId="0" borderId="5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178" fontId="3" fillId="0" borderId="6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3" fontId="1" fillId="0" borderId="0" xfId="0" applyNumberFormat="1" applyFont="1"/>
    <xf numFmtId="178" fontId="3" fillId="3" borderId="5" xfId="0" applyNumberFormat="1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178" fontId="1" fillId="0" borderId="5" xfId="0" applyNumberFormat="1" applyFont="1" applyFill="1" applyBorder="1" applyAlignment="1">
      <alignment horizontal="center"/>
    </xf>
    <xf numFmtId="178" fontId="3" fillId="0" borderId="5" xfId="0" applyNumberFormat="1" applyFont="1" applyFill="1" applyBorder="1" applyAlignment="1">
      <alignment horizontal="center" vertical="center"/>
    </xf>
    <xf numFmtId="3" fontId="6" fillId="0" borderId="5" xfId="1" applyNumberFormat="1" applyFont="1" applyFill="1" applyBorder="1" applyAlignment="1">
      <alignment horizontal="center" vertical="center"/>
    </xf>
    <xf numFmtId="0" fontId="0" fillId="0" borderId="0" xfId="0" applyFill="1"/>
    <xf numFmtId="179" fontId="1" fillId="0" borderId="0" xfId="0" applyNumberFormat="1" applyFont="1"/>
    <xf numFmtId="3" fontId="12" fillId="0" borderId="0" xfId="0" applyNumberFormat="1" applyFont="1" applyAlignment="1">
      <alignment horizontal="center" vertical="center"/>
    </xf>
    <xf numFmtId="179" fontId="13" fillId="0" borderId="0" xfId="0" applyNumberFormat="1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3" fontId="14" fillId="6" borderId="9" xfId="50" applyNumberFormat="1" applyFont="1" applyFill="1" applyBorder="1" applyAlignment="1">
      <alignment horizontal="center" vertical="center" wrapText="1"/>
    </xf>
    <xf numFmtId="0" fontId="15" fillId="6" borderId="14" xfId="0" applyFont="1" applyFill="1" applyBorder="1" applyAlignment="1">
      <alignment horizontal="center" vertical="center" wrapText="1"/>
    </xf>
    <xf numFmtId="0" fontId="15" fillId="6" borderId="5" xfId="0" applyFont="1" applyFill="1" applyBorder="1" applyAlignment="1">
      <alignment horizontal="center" vertical="center" wrapText="1"/>
    </xf>
    <xf numFmtId="178" fontId="15" fillId="6" borderId="5" xfId="0" applyNumberFormat="1" applyFont="1" applyFill="1" applyBorder="1" applyAlignment="1">
      <alignment horizontal="center" vertical="center" wrapText="1"/>
    </xf>
    <xf numFmtId="0" fontId="16" fillId="7" borderId="5" xfId="0" applyFont="1" applyFill="1" applyBorder="1" applyAlignment="1">
      <alignment horizontal="center" vertical="center" wrapText="1"/>
    </xf>
    <xf numFmtId="3" fontId="16" fillId="8" borderId="5" xfId="0" applyNumberFormat="1" applyFont="1" applyFill="1" applyBorder="1" applyAlignment="1">
      <alignment horizontal="center" vertical="center" wrapText="1"/>
    </xf>
    <xf numFmtId="0" fontId="16" fillId="8" borderId="5" xfId="0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5" fillId="9" borderId="5" xfId="0" applyFont="1" applyFill="1" applyBorder="1" applyAlignment="1">
      <alignment horizontal="center" vertical="center" wrapText="1"/>
    </xf>
    <xf numFmtId="0" fontId="16" fillId="3" borderId="5" xfId="0" applyFont="1" applyFill="1" applyBorder="1" applyAlignment="1">
      <alignment horizontal="center" vertical="center" wrapText="1"/>
    </xf>
    <xf numFmtId="0" fontId="1" fillId="10" borderId="5" xfId="0" applyFont="1" applyFill="1" applyBorder="1"/>
    <xf numFmtId="178" fontId="1" fillId="10" borderId="5" xfId="0" applyNumberFormat="1" applyFont="1" applyFill="1" applyBorder="1" applyAlignment="1">
      <alignment horizontal="center" vertical="center"/>
    </xf>
    <xf numFmtId="0" fontId="18" fillId="10" borderId="5" xfId="0" applyFont="1" applyFill="1" applyBorder="1" applyAlignment="1">
      <alignment horizontal="center" vertical="center"/>
    </xf>
    <xf numFmtId="3" fontId="1" fillId="7" borderId="5" xfId="0" applyNumberFormat="1" applyFont="1" applyFill="1" applyBorder="1" applyAlignment="1">
      <alignment horizontal="center" vertical="center"/>
    </xf>
    <xf numFmtId="179" fontId="18" fillId="7" borderId="5" xfId="0" applyNumberFormat="1" applyFont="1" applyFill="1" applyBorder="1" applyAlignment="1">
      <alignment horizontal="center" vertical="center"/>
    </xf>
    <xf numFmtId="3" fontId="1" fillId="8" borderId="5" xfId="0" applyNumberFormat="1" applyFont="1" applyFill="1" applyBorder="1" applyAlignment="1">
      <alignment horizontal="center" vertical="center"/>
    </xf>
    <xf numFmtId="3" fontId="19" fillId="0" borderId="5" xfId="0" applyNumberFormat="1" applyFont="1" applyFill="1" applyBorder="1" applyAlignment="1">
      <alignment horizontal="center" vertical="center"/>
    </xf>
    <xf numFmtId="0" fontId="1" fillId="3" borderId="5" xfId="0" applyFont="1" applyFill="1" applyBorder="1"/>
    <xf numFmtId="178" fontId="1" fillId="3" borderId="5" xfId="0" applyNumberFormat="1" applyFont="1" applyFill="1" applyBorder="1" applyAlignment="1">
      <alignment horizontal="center" vertical="center"/>
    </xf>
    <xf numFmtId="0" fontId="18" fillId="3" borderId="5" xfId="0" applyFont="1" applyFill="1" applyBorder="1" applyAlignment="1">
      <alignment horizontal="center" vertical="center"/>
    </xf>
    <xf numFmtId="0" fontId="1" fillId="11" borderId="5" xfId="0" applyFont="1" applyFill="1" applyBorder="1"/>
    <xf numFmtId="178" fontId="1" fillId="11" borderId="5" xfId="0" applyNumberFormat="1" applyFont="1" applyFill="1" applyBorder="1" applyAlignment="1">
      <alignment horizontal="center" vertical="center"/>
    </xf>
    <xf numFmtId="0" fontId="18" fillId="11" borderId="5" xfId="0" applyFont="1" applyFill="1" applyBorder="1" applyAlignment="1">
      <alignment horizontal="center" vertical="center"/>
    </xf>
    <xf numFmtId="0" fontId="1" fillId="12" borderId="5" xfId="0" applyFont="1" applyFill="1" applyBorder="1"/>
    <xf numFmtId="178" fontId="1" fillId="12" borderId="5" xfId="0" applyNumberFormat="1" applyFont="1" applyFill="1" applyBorder="1" applyAlignment="1">
      <alignment horizontal="center" vertical="center"/>
    </xf>
    <xf numFmtId="0" fontId="18" fillId="12" borderId="5" xfId="0" applyFont="1" applyFill="1" applyBorder="1" applyAlignment="1">
      <alignment horizontal="center" vertical="center"/>
    </xf>
    <xf numFmtId="0" fontId="3" fillId="10" borderId="5" xfId="0" applyFont="1" applyFill="1" applyBorder="1" applyAlignment="1">
      <alignment horizontal="center" vertical="center"/>
    </xf>
    <xf numFmtId="3" fontId="1" fillId="13" borderId="5" xfId="0" applyNumberFormat="1" applyFont="1" applyFill="1" applyBorder="1" applyAlignment="1">
      <alignment horizontal="center" vertical="center"/>
    </xf>
    <xf numFmtId="0" fontId="3" fillId="11" borderId="5" xfId="0" applyFont="1" applyFill="1" applyBorder="1" applyAlignment="1">
      <alignment horizontal="center" vertical="center"/>
    </xf>
    <xf numFmtId="3" fontId="3" fillId="14" borderId="5" xfId="0" applyNumberFormat="1" applyFont="1" applyFill="1" applyBorder="1" applyAlignment="1">
      <alignment horizontal="center" vertical="center"/>
    </xf>
    <xf numFmtId="3" fontId="19" fillId="13" borderId="5" xfId="0" applyNumberFormat="1" applyFont="1" applyFill="1" applyBorder="1" applyAlignment="1">
      <alignment horizontal="center" vertical="center"/>
    </xf>
    <xf numFmtId="178" fontId="3" fillId="10" borderId="5" xfId="0" applyNumberFormat="1" applyFont="1" applyFill="1" applyBorder="1" applyAlignment="1">
      <alignment horizontal="center" vertical="center"/>
    </xf>
    <xf numFmtId="0" fontId="3" fillId="12" borderId="5" xfId="0" applyFont="1" applyFill="1" applyBorder="1" applyAlignment="1">
      <alignment horizontal="center" vertical="center"/>
    </xf>
    <xf numFmtId="0" fontId="1" fillId="15" borderId="5" xfId="0" applyFont="1" applyFill="1" applyBorder="1"/>
    <xf numFmtId="178" fontId="1" fillId="15" borderId="5" xfId="0" applyNumberFormat="1" applyFont="1" applyFill="1" applyBorder="1" applyAlignment="1">
      <alignment horizontal="center" vertical="center"/>
    </xf>
    <xf numFmtId="0" fontId="3" fillId="15" borderId="5" xfId="0" applyFont="1" applyFill="1" applyBorder="1" applyAlignment="1">
      <alignment horizontal="center" vertical="center"/>
    </xf>
    <xf numFmtId="178" fontId="1" fillId="11" borderId="5" xfId="0" applyNumberFormat="1" applyFont="1" applyFill="1" applyBorder="1" applyAlignment="1">
      <alignment horizontal="center"/>
    </xf>
    <xf numFmtId="3" fontId="1" fillId="2" borderId="5" xfId="0" applyNumberFormat="1" applyFont="1" applyFill="1" applyBorder="1" applyAlignment="1">
      <alignment horizontal="center" vertical="center"/>
    </xf>
    <xf numFmtId="0" fontId="1" fillId="0" borderId="5" xfId="0" applyFont="1" applyFill="1" applyBorder="1"/>
    <xf numFmtId="3" fontId="3" fillId="13" borderId="5" xfId="0" applyNumberFormat="1" applyFont="1" applyFill="1" applyBorder="1" applyAlignment="1">
      <alignment horizontal="center" vertical="center"/>
    </xf>
    <xf numFmtId="3" fontId="1" fillId="14" borderId="5" xfId="0" applyNumberFormat="1" applyFont="1" applyFill="1" applyBorder="1" applyAlignment="1">
      <alignment horizontal="center" vertical="center"/>
    </xf>
    <xf numFmtId="3" fontId="3" fillId="3" borderId="5" xfId="0" applyNumberFormat="1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center" vertical="center"/>
    </xf>
    <xf numFmtId="0" fontId="1" fillId="15" borderId="5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3" borderId="6" xfId="0" applyFont="1" applyFill="1" applyBorder="1"/>
    <xf numFmtId="178" fontId="1" fillId="3" borderId="6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3" fontId="1" fillId="7" borderId="6" xfId="0" applyNumberFormat="1" applyFont="1" applyFill="1" applyBorder="1" applyAlignment="1">
      <alignment horizontal="center" vertical="center"/>
    </xf>
    <xf numFmtId="179" fontId="18" fillId="7" borderId="6" xfId="0" applyNumberFormat="1" applyFont="1" applyFill="1" applyBorder="1" applyAlignment="1">
      <alignment horizontal="center" vertical="center"/>
    </xf>
    <xf numFmtId="3" fontId="1" fillId="8" borderId="6" xfId="0" applyNumberFormat="1" applyFont="1" applyFill="1" applyBorder="1" applyAlignment="1">
      <alignment horizontal="center" vertical="center"/>
    </xf>
    <xf numFmtId="3" fontId="1" fillId="3" borderId="6" xfId="0" applyNumberFormat="1" applyFont="1" applyFill="1" applyBorder="1" applyAlignment="1">
      <alignment horizontal="center" vertical="center"/>
    </xf>
    <xf numFmtId="3" fontId="1" fillId="13" borderId="6" xfId="0" applyNumberFormat="1" applyFont="1" applyFill="1" applyBorder="1" applyAlignment="1">
      <alignment horizontal="center" vertical="center"/>
    </xf>
    <xf numFmtId="179" fontId="1" fillId="7" borderId="5" xfId="0" applyNumberFormat="1" applyFont="1" applyFill="1" applyBorder="1" applyAlignment="1">
      <alignment horizontal="center" vertical="center"/>
    </xf>
    <xf numFmtId="0" fontId="1" fillId="15" borderId="5" xfId="51" applyFont="1" applyFill="1" applyBorder="1"/>
    <xf numFmtId="178" fontId="1" fillId="15" borderId="5" xfId="51" applyNumberFormat="1" applyFont="1" applyFill="1" applyBorder="1" applyAlignment="1">
      <alignment horizontal="center" vertical="center"/>
    </xf>
    <xf numFmtId="0" fontId="1" fillId="15" borderId="5" xfId="51" applyFont="1" applyFill="1" applyBorder="1" applyAlignment="1">
      <alignment horizontal="center" vertical="center"/>
    </xf>
    <xf numFmtId="3" fontId="1" fillId="7" borderId="5" xfId="51" applyNumberFormat="1" applyFont="1" applyFill="1" applyBorder="1" applyAlignment="1">
      <alignment horizontal="center" vertical="center"/>
    </xf>
    <xf numFmtId="179" fontId="1" fillId="7" borderId="5" xfId="51" applyNumberFormat="1" applyFont="1" applyFill="1" applyBorder="1" applyAlignment="1">
      <alignment horizontal="center" vertical="center"/>
    </xf>
    <xf numFmtId="3" fontId="1" fillId="8" borderId="5" xfId="51" applyNumberFormat="1" applyFont="1" applyFill="1" applyBorder="1" applyAlignment="1">
      <alignment horizontal="center" vertical="center"/>
    </xf>
    <xf numFmtId="3" fontId="1" fillId="3" borderId="5" xfId="51" applyNumberFormat="1" applyFont="1" applyFill="1" applyBorder="1" applyAlignment="1">
      <alignment horizontal="center" vertical="center"/>
    </xf>
    <xf numFmtId="3" fontId="1" fillId="0" borderId="5" xfId="51" applyNumberFormat="1" applyFont="1" applyBorder="1" applyAlignment="1">
      <alignment horizontal="center" vertical="center"/>
    </xf>
    <xf numFmtId="0" fontId="1" fillId="0" borderId="5" xfId="51" applyFont="1" applyBorder="1"/>
    <xf numFmtId="178" fontId="1" fillId="0" borderId="5" xfId="51" applyNumberFormat="1" applyFont="1" applyBorder="1" applyAlignment="1">
      <alignment horizontal="center" vertical="center"/>
    </xf>
    <xf numFmtId="0" fontId="1" fillId="0" borderId="5" xfId="51" applyFont="1" applyBorder="1" applyAlignment="1">
      <alignment horizontal="center" vertical="center"/>
    </xf>
    <xf numFmtId="0" fontId="1" fillId="3" borderId="5" xfId="51" applyFont="1" applyFill="1" applyBorder="1"/>
    <xf numFmtId="178" fontId="1" fillId="3" borderId="5" xfId="51" applyNumberFormat="1" applyFont="1" applyFill="1" applyBorder="1" applyAlignment="1">
      <alignment horizontal="center" vertical="center"/>
    </xf>
    <xf numFmtId="0" fontId="1" fillId="3" borderId="5" xfId="51" applyFont="1" applyFill="1" applyBorder="1" applyAlignment="1">
      <alignment horizontal="center" vertical="center"/>
    </xf>
    <xf numFmtId="0" fontId="1" fillId="12" borderId="5" xfId="51" applyFont="1" applyFill="1" applyBorder="1"/>
    <xf numFmtId="178" fontId="1" fillId="12" borderId="5" xfId="51" applyNumberFormat="1" applyFont="1" applyFill="1" applyBorder="1" applyAlignment="1">
      <alignment horizontal="center" vertical="center"/>
    </xf>
    <xf numFmtId="0" fontId="1" fillId="12" borderId="5" xfId="51" applyFont="1" applyFill="1" applyBorder="1" applyAlignment="1">
      <alignment horizontal="center" vertical="center"/>
    </xf>
    <xf numFmtId="0" fontId="0" fillId="0" borderId="5" xfId="0" applyBorder="1"/>
    <xf numFmtId="2" fontId="1" fillId="0" borderId="5" xfId="0" applyNumberFormat="1" applyFont="1" applyFill="1" applyBorder="1" applyAlignment="1">
      <alignment horizontal="center" vertical="center"/>
    </xf>
    <xf numFmtId="0" fontId="20" fillId="16" borderId="4" xfId="0" applyFont="1" applyFill="1" applyBorder="1" applyAlignment="1">
      <alignment horizontal="center" vertical="center"/>
    </xf>
    <xf numFmtId="0" fontId="20" fillId="16" borderId="4" xfId="0" applyFont="1" applyFill="1" applyBorder="1"/>
    <xf numFmtId="0" fontId="20" fillId="16" borderId="7" xfId="0" applyFont="1" applyFill="1" applyBorder="1" applyAlignment="1">
      <alignment horizontal="center"/>
    </xf>
    <xf numFmtId="0" fontId="20" fillId="16" borderId="8" xfId="0" applyFont="1" applyFill="1" applyBorder="1" applyAlignment="1">
      <alignment horizontal="center"/>
    </xf>
    <xf numFmtId="0" fontId="20" fillId="4" borderId="7" xfId="0" applyFont="1" applyFill="1" applyBorder="1" applyAlignment="1">
      <alignment horizontal="center" vertical="center"/>
    </xf>
    <xf numFmtId="0" fontId="20" fillId="4" borderId="8" xfId="0" applyFont="1" applyFill="1" applyBorder="1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178" fontId="0" fillId="0" borderId="5" xfId="0" applyNumberFormat="1" applyBorder="1" applyAlignment="1">
      <alignment horizontal="center"/>
    </xf>
    <xf numFmtId="3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center" vertical="center"/>
    </xf>
    <xf numFmtId="3" fontId="20" fillId="0" borderId="5" xfId="0" applyNumberFormat="1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15" borderId="5" xfId="0" applyFont="1" applyFill="1" applyBorder="1" applyAlignment="1">
      <alignment horizontal="center"/>
    </xf>
    <xf numFmtId="0" fontId="0" fillId="17" borderId="5" xfId="0" applyFill="1" applyBorder="1" applyAlignment="1">
      <alignment horizontal="center" vertical="center"/>
    </xf>
    <xf numFmtId="0" fontId="0" fillId="17" borderId="5" xfId="0" applyFill="1" applyBorder="1"/>
    <xf numFmtId="3" fontId="0" fillId="17" borderId="5" xfId="0" applyNumberFormat="1" applyFill="1" applyBorder="1" applyAlignment="1">
      <alignment horizontal="center" vertical="center"/>
    </xf>
    <xf numFmtId="0" fontId="0" fillId="0" borderId="0" xfId="0" applyFill="1" applyBorder="1"/>
    <xf numFmtId="0" fontId="20" fillId="17" borderId="5" xfId="0" applyFont="1" applyFill="1" applyBorder="1" applyAlignment="1">
      <alignment horizontal="center"/>
    </xf>
    <xf numFmtId="3" fontId="20" fillId="17" borderId="5" xfId="0" applyNumberFormat="1" applyFont="1" applyFill="1" applyBorder="1" applyAlignment="1">
      <alignment horizontal="center"/>
    </xf>
    <xf numFmtId="0" fontId="20" fillId="0" borderId="0" xfId="0" applyFont="1" applyFill="1" applyBorder="1" applyAlignment="1">
      <alignment horizontal="center" vertical="center"/>
    </xf>
    <xf numFmtId="0" fontId="20" fillId="0" borderId="0" xfId="0" applyFont="1" applyFill="1" applyBorder="1"/>
    <xf numFmtId="0" fontId="20" fillId="0" borderId="0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3" fontId="0" fillId="0" borderId="0" xfId="0" applyNumberFormat="1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/>
    </xf>
    <xf numFmtId="3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vertical="center"/>
    </xf>
    <xf numFmtId="3" fontId="20" fillId="0" borderId="0" xfId="0" applyNumberFormat="1" applyFont="1" applyFill="1" applyBorder="1" applyAlignment="1">
      <alignment horizontal="center" vertical="center"/>
    </xf>
    <xf numFmtId="3" fontId="0" fillId="0" borderId="0" xfId="0" applyNumberFormat="1" applyFill="1" applyBorder="1"/>
    <xf numFmtId="180" fontId="0" fillId="0" borderId="0" xfId="0" applyNumberFormat="1" applyFill="1" applyBorder="1"/>
  </cellXfs>
  <cellStyles count="54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Гиперссылка 2" xfId="49"/>
    <cellStyle name="Обычный 2" xfId="50"/>
    <cellStyle name="Обычный 3" xfId="51"/>
    <cellStyle name="Финансовый [0] 2" xfId="52"/>
    <cellStyle name="Финансовый 2" xfId="53"/>
  </cellStyles>
  <dxfs count="413"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37" name="Таблица213399029467813161718" displayName="Таблица213399029467813161718" ref="A6:M12" totalsRowCount="1">
  <autoFilter xmlns:etc="http://www.wps.cn/officeDocument/2017/etCustomData" ref="A6:M11" etc:filterBottomFollowUsedRange="0"/>
  <tableColumns count="13">
    <tableColumn id="1" name=" " dataDxfId="2"/>
    <tableColumn id="2" name="1" dataDxfId="3"/>
    <tableColumn id="3" name="2" dataDxfId="4" totalsRowFunction="sum"/>
    <tableColumn id="4" name="3" dataDxfId="5"/>
    <tableColumn id="5" name="4" dataDxfId="6"/>
    <tableColumn id="10" name="9" dataDxfId="7">
      <calculatedColumnFormula>Таблица213399029467813161718[[#This Row],[ ]]</calculatedColumnFormula>
    </tableColumn>
    <tableColumn id="11" name="10" dataDxfId="8"/>
    <tableColumn id="12" name="11" dataDxfId="9"/>
    <tableColumn id="40" name="114" dataDxfId="10"/>
    <tableColumn id="39" name="113" dataDxfId="11"/>
    <tableColumn id="41" name="1132" dataDxfId="12" totalsRowFunction="sum"/>
    <tableColumn id="36" name="15" dataDxfId="13"/>
    <tableColumn id="35" name="16" dataDxfId="14" totalsRowFunction="sum">
      <calculatedColumnFormula>Таблица213399029467813161718[[#This Row],[113]]*Таблица213399029467813161718[[#This Row],[15]]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38" name="Таблица2133990294678131617" displayName="Таблица2133990294678131617" ref="A19:N26" totalsRowCount="1">
  <autoFilter xmlns:etc="http://www.wps.cn/officeDocument/2017/etCustomData" ref="A19:N25" etc:filterBottomFollowUsedRange="0"/>
  <tableColumns count="14">
    <tableColumn id="1" name=" " dataDxfId="15"/>
    <tableColumn id="2" name="1" dataDxfId="16"/>
    <tableColumn id="3" name="2" dataDxfId="17" totalsRowFunction="sum"/>
    <tableColumn id="4" name="3" dataDxfId="18"/>
    <tableColumn id="5" name="4" dataDxfId="19"/>
    <tableColumn id="10" name="9" dataDxfId="20">
      <calculatedColumnFormula>Таблица2133990294678131617[[#This Row],[ ]]</calculatedColumnFormula>
    </tableColumn>
    <tableColumn id="11" name="10" dataDxfId="21"/>
    <tableColumn id="12" name="11" dataDxfId="22"/>
    <tableColumn id="40" name="114" dataDxfId="23"/>
    <tableColumn id="39" name="113" dataDxfId="24"/>
    <tableColumn id="41" name="1132" dataDxfId="25" totalsRowFunction="sum"/>
    <tableColumn id="36" name="15" dataDxfId="26"/>
    <tableColumn id="35" name="16" dataDxfId="27" totalsRowFunction="sum">
      <calculatedColumnFormula>Таблица2133990294678131617[[#This Row],[113]]*Таблица2133990294678131617[[#This Row],[15]]</calculatedColumnFormula>
    </tableColumn>
    <tableColumn id="6" name="17" dataDxfId="2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9" name="Таблица21339902946781316172122" displayName="Таблица21339902946781316172122" ref="A33:N37" totalsRowCount="1">
  <autoFilter xmlns:etc="http://www.wps.cn/officeDocument/2017/etCustomData" ref="A33:N36" etc:filterBottomFollowUsedRange="0"/>
  <tableColumns count="14">
    <tableColumn id="1" name=" " dataDxfId="29"/>
    <tableColumn id="2" name="1" dataDxfId="30"/>
    <tableColumn id="3" name="2" dataDxfId="31" totalsRowFunction="sum"/>
    <tableColumn id="4" name="3" dataDxfId="32"/>
    <tableColumn id="5" name="4" dataDxfId="33"/>
    <tableColumn id="10" name="9" dataDxfId="34">
      <calculatedColumnFormula>Таблица21339902946781316172122[[#This Row],[ ]]</calculatedColumnFormula>
    </tableColumn>
    <tableColumn id="11" name="10" dataDxfId="35"/>
    <tableColumn id="12" name="11" dataDxfId="36"/>
    <tableColumn id="40" name="114" dataDxfId="37"/>
    <tableColumn id="39" name="113" dataDxfId="38"/>
    <tableColumn id="41" name="1132" dataDxfId="39" totalsRowFunction="sum"/>
    <tableColumn id="36" name="15" dataDxfId="40"/>
    <tableColumn id="35" name="16" dataDxfId="41" totalsRowFunction="sum">
      <calculatedColumnFormula>Таблица21339902946781316172122[[#This Row],[113]]*Таблица21339902946781316172122[[#This Row],[15]]</calculatedColumnFormula>
    </tableColumn>
    <tableColumn id="6" name="17" dataDxfId="42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id="40" name="Таблица213399029467813161721222324" displayName="Таблица213399029467813161721222324" ref="A44:M49" totalsRowCount="1">
  <autoFilter xmlns:etc="http://www.wps.cn/officeDocument/2017/etCustomData" ref="A44:M48" etc:filterBottomFollowUsedRange="0"/>
  <tableColumns count="13">
    <tableColumn id="1" name=" " dataDxfId="43"/>
    <tableColumn id="2" name="1" dataDxfId="44"/>
    <tableColumn id="3" name="2" dataDxfId="45" totalsRowFunction="sum"/>
    <tableColumn id="4" name="3" dataDxfId="46"/>
    <tableColumn id="5" name="4" dataDxfId="47"/>
    <tableColumn id="10" name="9" dataDxfId="48">
      <calculatedColumnFormula>Таблица213399029467813161721222324[[#This Row],[ ]]</calculatedColumnFormula>
    </tableColumn>
    <tableColumn id="11" name="10" dataDxfId="49"/>
    <tableColumn id="12" name="11" dataDxfId="50"/>
    <tableColumn id="40" name="114" dataDxfId="51"/>
    <tableColumn id="39" name="113" dataDxfId="52"/>
    <tableColumn id="41" name="1132" dataDxfId="53" totalsRowFunction="sum"/>
    <tableColumn id="36" name="15" dataDxfId="54"/>
    <tableColumn id="35" name="16" dataDxfId="55" totalsRowFunction="sum">
      <calculatedColumnFormula>Таблица213399029467813161721222324[[#This Row],[113]]*Таблица213399029467813161721222324[[#This Row],[15]]</calculatedColumn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id="41" name="Таблица21339902946781316172122232425" displayName="Таблица21339902946781316172122232425" ref="A56:O62" totalsRowCount="1">
  <autoFilter xmlns:etc="http://www.wps.cn/officeDocument/2017/etCustomData" ref="A56:O61" etc:filterBottomFollowUsedRange="0"/>
  <tableColumns count="15">
    <tableColumn id="1" name=" " dataDxfId="56"/>
    <tableColumn id="2" name="1" dataDxfId="57"/>
    <tableColumn id="3" name="2" dataDxfId="58" totalsRowFunction="sum"/>
    <tableColumn id="4" name="3" dataDxfId="59"/>
    <tableColumn id="5" name="4" dataDxfId="60"/>
    <tableColumn id="10" name="9" dataDxfId="61">
      <calculatedColumnFormula>Таблица21339902946781316172122232425[[#This Row],[ ]]</calculatedColumnFormula>
    </tableColumn>
    <tableColumn id="11" name="10" dataDxfId="62"/>
    <tableColumn id="12" name="11" dataDxfId="63"/>
    <tableColumn id="40" name="114" dataDxfId="64"/>
    <tableColumn id="39" name="113" dataDxfId="65"/>
    <tableColumn id="41" name="1132" dataDxfId="66" totalsRowFunction="sum"/>
    <tableColumn id="36" name="15" dataDxfId="67"/>
    <tableColumn id="35" name="16" dataDxfId="68" totalsRowFunction="sum">
      <calculatedColumnFormula>Таблица21339902946781316172122232425[[#This Row],[113]]*Таблица21339902946781316172122232425[[#This Row],[15]]</calculatedColumnFormula>
    </tableColumn>
    <tableColumn id="6" name="17" dataDxfId="69"/>
    <tableColumn id="7" name="18" dataDxfId="70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id="42" name="Таблица2133990294678131617212223242530" displayName="Таблица2133990294678131617212223242530" ref="A69:M75" totalsRowCount="1">
  <autoFilter xmlns:etc="http://www.wps.cn/officeDocument/2017/etCustomData" ref="A69:M74" etc:filterBottomFollowUsedRange="0"/>
  <tableColumns count="13">
    <tableColumn id="1" name=" " dataDxfId="71"/>
    <tableColumn id="2" name="1" dataDxfId="72"/>
    <tableColumn id="3" name="2" dataDxfId="73" totalsRowFunction="sum"/>
    <tableColumn id="4" name="3" dataDxfId="74"/>
    <tableColumn id="5" name="4" dataDxfId="75"/>
    <tableColumn id="10" name="9" dataDxfId="76">
      <calculatedColumnFormula>Таблица2133990294678131617212223242530[[#This Row],[ ]]</calculatedColumnFormula>
    </tableColumn>
    <tableColumn id="11" name="10" dataDxfId="77"/>
    <tableColumn id="12" name="11" dataDxfId="78"/>
    <tableColumn id="40" name="114" dataDxfId="79"/>
    <tableColumn id="39" name="113" dataDxfId="80"/>
    <tableColumn id="41" name="1132" dataDxfId="81" totalsRowFunction="sum"/>
    <tableColumn id="36" name="15" dataDxfId="82"/>
    <tableColumn id="35" name="16" dataDxfId="83" totalsRowFunction="sum">
      <calculatedColumnFormula>Таблица2133990294678131617212223242530[[#This Row],[113]]*Таблица2133990294678131617212223242530[[#This Row],[15]]</calculatedColumnFormula>
    </tableColumn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id="43" name="Таблица213399029467813161721222324253031" displayName="Таблица213399029467813161721222324253031" ref="A82:M87" totalsRowCount="1">
  <autoFilter xmlns:etc="http://www.wps.cn/officeDocument/2017/etCustomData" ref="A82:M86" etc:filterBottomFollowUsedRange="0"/>
  <tableColumns count="13">
    <tableColumn id="1" name=" " dataDxfId="84"/>
    <tableColumn id="2" name="1" dataDxfId="85"/>
    <tableColumn id="3" name="2" dataDxfId="86" totalsRowFunction="sum"/>
    <tableColumn id="4" name="3" dataDxfId="87"/>
    <tableColumn id="5" name="4" dataDxfId="88"/>
    <tableColumn id="10" name="9" dataDxfId="89">
      <calculatedColumnFormula>Таблица213399029467813161721222324253031[[#This Row],[ ]]</calculatedColumnFormula>
    </tableColumn>
    <tableColumn id="11" name="10" dataDxfId="90"/>
    <tableColumn id="12" name="11" dataDxfId="91"/>
    <tableColumn id="40" name="114" dataDxfId="92"/>
    <tableColumn id="39" name="113" dataDxfId="93"/>
    <tableColumn id="41" name="1132" dataDxfId="94" totalsRowFunction="sum"/>
    <tableColumn id="36" name="15" dataDxfId="95"/>
    <tableColumn id="35" name="16" dataDxfId="96" totalsRowFunction="sum">
      <calculatedColumnFormula>Таблица213399029467813161721222324253031[[#This Row],[113]]*Таблица213399029467813161721222324253031[[#This Row],[15]]</calculatedColumnFormula>
    </tableColumn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id="33" name="Таблица213399029467813" displayName="Таблица213399029467813" ref="A6:N26" totalsRowCount="1">
  <autoFilter xmlns:etc="http://www.wps.cn/officeDocument/2017/etCustomData" ref="A6:N25" etc:filterBottomFollowUsedRange="0"/>
  <tableColumns count="14">
    <tableColumn id="1" name=" " dataDxfId="97"/>
    <tableColumn id="2" name="1" dataDxfId="98"/>
    <tableColumn id="3" name="2" dataDxfId="99" totalsRowFunction="sum"/>
    <tableColumn id="4" name="3" dataDxfId="100"/>
    <tableColumn id="5" name="4" dataDxfId="101"/>
    <tableColumn id="10" name="9" dataDxfId="102">
      <calculatedColumnFormula>Таблица213399029467813[[#This Row],[ ]]</calculatedColumnFormula>
    </tableColumn>
    <tableColumn id="11" name="10" dataDxfId="103"/>
    <tableColumn id="12" name="11" dataDxfId="104"/>
    <tableColumn id="40" name="114" dataDxfId="105"/>
    <tableColumn id="39" name="113" dataDxfId="106"/>
    <tableColumn id="41" name="1132" dataDxfId="107" totalsRowFunction="sum"/>
    <tableColumn id="36" name="15" dataDxfId="108"/>
    <tableColumn id="35" name="16" dataDxfId="109" totalsRowFunction="sum">
      <calculatedColumnFormula>Таблица213399029467813[[#This Row],[113]]*Таблица213399029467813[[#This Row],[15]]</calculatedColumnFormula>
    </tableColumn>
    <tableColumn id="6" name="17" dataDxfId="110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id="34" name="Таблица21339902946781316" displayName="Таблица21339902946781316" ref="A33:M40" totalsRowCount="1">
  <autoFilter xmlns:etc="http://www.wps.cn/officeDocument/2017/etCustomData" ref="A33:M39" etc:filterBottomFollowUsedRange="0"/>
  <tableColumns count="13">
    <tableColumn id="1" name=" " dataDxfId="111"/>
    <tableColumn id="2" name="1" dataDxfId="112"/>
    <tableColumn id="3" name="2" dataDxfId="113" totalsRowFunction="sum"/>
    <tableColumn id="4" name="3" dataDxfId="114"/>
    <tableColumn id="5" name="4" dataDxfId="115"/>
    <tableColumn id="10" name="9" dataDxfId="116">
      <calculatedColumnFormula>Таблица21339902946781316[[#This Row],[ ]]</calculatedColumnFormula>
    </tableColumn>
    <tableColumn id="11" name="10" dataDxfId="117"/>
    <tableColumn id="12" name="11" dataDxfId="118"/>
    <tableColumn id="40" name="114" dataDxfId="119"/>
    <tableColumn id="39" name="113" dataDxfId="120"/>
    <tableColumn id="41" name="1132" dataDxfId="121" totalsRowFunction="sum"/>
    <tableColumn id="36" name="15" dataDxfId="122"/>
    <tableColumn id="35" name="16" dataDxfId="123" totalsRowFunction="sum">
      <calculatedColumnFormula>Таблица21339902946781316[[#This Row],[113]]*Таблица21339902946781316[[#This Row],[15]]</calculatedColumnFormula>
    </tableColumn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id="35" name="Таблица2133990294678131619" displayName="Таблица2133990294678131619" ref="A47:N60" totalsRowCount="1">
  <autoFilter xmlns:etc="http://www.wps.cn/officeDocument/2017/etCustomData" ref="A47:N59" etc:filterBottomFollowUsedRange="0"/>
  <tableColumns count="14">
    <tableColumn id="1" name=" " dataDxfId="124"/>
    <tableColumn id="2" name="1" dataDxfId="125"/>
    <tableColumn id="3" name="2" dataDxfId="126" totalsRowFunction="sum"/>
    <tableColumn id="4" name="3" dataDxfId="127"/>
    <tableColumn id="5" name="4" dataDxfId="128"/>
    <tableColumn id="10" name="9" dataDxfId="129">
      <calculatedColumnFormula>Таблица2133990294678131619[[#This Row],[ ]]</calculatedColumnFormula>
    </tableColumn>
    <tableColumn id="11" name="10" dataDxfId="130"/>
    <tableColumn id="12" name="11" dataDxfId="131"/>
    <tableColumn id="40" name="114" dataDxfId="132"/>
    <tableColumn id="39" name="113" dataDxfId="133"/>
    <tableColumn id="41" name="1132" dataDxfId="134" totalsRowFunction="sum"/>
    <tableColumn id="36" name="15" dataDxfId="135"/>
    <tableColumn id="35" name="16" dataDxfId="136" totalsRowFunction="sum">
      <calculatedColumnFormula>Таблица2133990294678131619[[#This Row],[113]]*Таблица2133990294678131619[[#This Row],[15]]</calculatedColumnFormula>
    </tableColumn>
    <tableColumn id="6" name="17" dataDxfId="137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id="36" name="Таблица213399029467813161721" displayName="Таблица213399029467813161721" ref="A67:M75" totalsRowCount="1">
  <autoFilter xmlns:etc="http://www.wps.cn/officeDocument/2017/etCustomData" ref="A67:M74" etc:filterBottomFollowUsedRange="0"/>
  <tableColumns count="13">
    <tableColumn id="1" name=" " dataDxfId="138"/>
    <tableColumn id="2" name="1" dataDxfId="139"/>
    <tableColumn id="3" name="2" dataDxfId="140" totalsRowFunction="sum"/>
    <tableColumn id="4" name="3" dataDxfId="141"/>
    <tableColumn id="5" name="4" dataDxfId="142"/>
    <tableColumn id="10" name="9" dataDxfId="143">
      <calculatedColumnFormula>Таблица213399029467813161721[[#This Row],[ ]]</calculatedColumnFormula>
    </tableColumn>
    <tableColumn id="11" name="10" dataDxfId="144"/>
    <tableColumn id="12" name="11" dataDxfId="145"/>
    <tableColumn id="40" name="114" dataDxfId="146"/>
    <tableColumn id="39" name="113" dataDxfId="147"/>
    <tableColumn id="41" name="1132" dataDxfId="148" totalsRowFunction="sum"/>
    <tableColumn id="36" name="15" dataDxfId="149"/>
    <tableColumn id="35" name="16" dataDxfId="150" totalsRowFunction="sum">
      <calculatedColumnFormula>Таблица213399029467813161721[[#This Row],[113]]*Таблица213399029467813161721[[#This Row],[15]]</calculatedColumnFormula>
    </tableColumn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id="1" name="Таблица2133990294678131617212" displayName="Таблица2133990294678131617212" ref="A82:M88" totalsRowCount="1">
  <autoFilter xmlns:etc="http://www.wps.cn/officeDocument/2017/etCustomData" ref="A82:M87" etc:filterBottomFollowUsedRange="0"/>
  <tableColumns count="13">
    <tableColumn id="1" name=" " dataDxfId="151"/>
    <tableColumn id="2" name="1" dataDxfId="152"/>
    <tableColumn id="3" name="2" dataDxfId="153" totalsRowFunction="sum"/>
    <tableColumn id="4" name="3" dataDxfId="154"/>
    <tableColumn id="5" name="4" dataDxfId="155"/>
    <tableColumn id="10" name="9" dataDxfId="156">
      <calculatedColumnFormula>Таблица2133990294678131617212[[#This Row],[ ]]</calculatedColumnFormula>
    </tableColumn>
    <tableColumn id="11" name="10" dataDxfId="157"/>
    <tableColumn id="12" name="11" dataDxfId="158"/>
    <tableColumn id="40" name="114" dataDxfId="159"/>
    <tableColumn id="39" name="113" dataDxfId="160"/>
    <tableColumn id="41" name="1132" dataDxfId="161" totalsRowFunction="sum"/>
    <tableColumn id="36" name="15" dataDxfId="162"/>
    <tableColumn id="35" name="16" dataDxfId="163" totalsRowFunction="sum">
      <calculatedColumnFormula>Таблица2133990294678131617212[[#This Row],[113]]*Таблица2133990294678131617212[[#This Row],[15]]</calculatedColumnFormula>
    </tableColumn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id="28" name="Таблица2133990294678" displayName="Таблица2133990294678" ref="A6:M17" totalsRowCount="1">
  <autoFilter xmlns:etc="http://www.wps.cn/officeDocument/2017/etCustomData" ref="A6:M16" etc:filterBottomFollowUsedRange="0"/>
  <tableColumns count="13">
    <tableColumn id="1" name=" " dataDxfId="164"/>
    <tableColumn id="2" name="1" dataDxfId="165"/>
    <tableColumn id="3" name="2" dataDxfId="166" totalsRowFunction="sum"/>
    <tableColumn id="4" name="3" dataDxfId="167"/>
    <tableColumn id="5" name="4" dataDxfId="168"/>
    <tableColumn id="10" name="9" dataDxfId="169">
      <calculatedColumnFormula>Таблица2133990294678[[#This Row],[ ]]</calculatedColumnFormula>
    </tableColumn>
    <tableColumn id="11" name="10" dataDxfId="170"/>
    <tableColumn id="12" name="11" dataDxfId="171"/>
    <tableColumn id="40" name="114" dataDxfId="172"/>
    <tableColumn id="39" name="113" dataDxfId="173"/>
    <tableColumn id="41" name="1132" dataDxfId="174" totalsRowFunction="sum"/>
    <tableColumn id="36" name="15" dataDxfId="175"/>
    <tableColumn id="35" name="16" dataDxfId="176" totalsRowFunction="sum">
      <calculatedColumnFormula>Таблица2133990294678[[#This Row],[113]]*Таблица2133990294678[[#This Row],[15]]</calculatedColumnFormula>
    </tableColumn>
  </tableColumns>
  <tableStyleInfo name="TableStyleLight8" showFirstColumn="0" showLastColumn="0" showRowStripes="1" showColumnStripes="0"/>
</table>
</file>

<file path=xl/tables/table14.xml><?xml version="1.0" encoding="utf-8"?>
<table xmlns="http://schemas.openxmlformats.org/spreadsheetml/2006/main" id="29" name="Таблица213399029467" displayName="Таблица213399029467" ref="A24:M27" totalsRowCount="1">
  <autoFilter xmlns:etc="http://www.wps.cn/officeDocument/2017/etCustomData" ref="A24:M26" etc:filterBottomFollowUsedRange="0"/>
  <tableColumns count="13">
    <tableColumn id="1" name=" " dataDxfId="177"/>
    <tableColumn id="2" name="1" dataDxfId="178"/>
    <tableColumn id="3" name="2" dataDxfId="179" totalsRowFunction="sum"/>
    <tableColumn id="4" name="3" dataDxfId="180"/>
    <tableColumn id="5" name="4" dataDxfId="181"/>
    <tableColumn id="10" name="9" dataDxfId="182">
      <calculatedColumnFormula>Таблица213399029467[[#This Row],[ ]]</calculatedColumnFormula>
    </tableColumn>
    <tableColumn id="11" name="10" dataDxfId="183"/>
    <tableColumn id="12" name="11" dataDxfId="184"/>
    <tableColumn id="40" name="114" dataDxfId="185"/>
    <tableColumn id="39" name="113" dataDxfId="186"/>
    <tableColumn id="41" name="1132" dataDxfId="187" totalsRowFunction="sum"/>
    <tableColumn id="36" name="15" dataDxfId="188"/>
    <tableColumn id="35" name="16" dataDxfId="189" totalsRowFunction="sum">
      <calculatedColumnFormula>Таблица213399029467[[#This Row],[113]]*Таблица213399029467[[#This Row],[15]]</calculatedColumnFormula>
    </tableColumn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id="30" name="Таблица213399029467826" displayName="Таблица213399029467826" ref="A34:M39" totalsRowCount="1">
  <autoFilter xmlns:etc="http://www.wps.cn/officeDocument/2017/etCustomData" ref="A34:M38" etc:filterBottomFollowUsedRange="0"/>
  <tableColumns count="13">
    <tableColumn id="1" name=" " dataDxfId="190"/>
    <tableColumn id="2" name="1" dataDxfId="191"/>
    <tableColumn id="3" name="2" dataDxfId="192" totalsRowFunction="sum"/>
    <tableColumn id="4" name="3" dataDxfId="193"/>
    <tableColumn id="5" name="4" dataDxfId="194"/>
    <tableColumn id="10" name="9" dataDxfId="195">
      <calculatedColumnFormula>Таблица213399029467826[[#This Row],[ ]]</calculatedColumnFormula>
    </tableColumn>
    <tableColumn id="11" name="10" dataDxfId="196"/>
    <tableColumn id="12" name="11" dataDxfId="197"/>
    <tableColumn id="40" name="114" dataDxfId="198"/>
    <tableColumn id="39" name="113" dataDxfId="199"/>
    <tableColumn id="41" name="1132" dataDxfId="200" totalsRowFunction="sum"/>
    <tableColumn id="36" name="15" dataDxfId="201"/>
    <tableColumn id="35" name="16" dataDxfId="202" totalsRowFunction="sum">
      <calculatedColumnFormula>Таблица213399029467826[[#This Row],[113]]*Таблица213399029467826[[#This Row],[15]]</calculatedColumnFormula>
    </tableColumn>
  </tableColumns>
  <tableStyleInfo name="TableStyleLight8" showFirstColumn="0" showLastColumn="0" showRowStripes="1" showColumnStripes="0"/>
</table>
</file>

<file path=xl/tables/table16.xml><?xml version="1.0" encoding="utf-8"?>
<table xmlns="http://schemas.openxmlformats.org/spreadsheetml/2006/main" id="31" name="Таблица21339902946781316172122232425303132333435" displayName="Таблица21339902946781316172122232425303132333435" ref="A46:M51" totalsRowCount="1">
  <autoFilter xmlns:etc="http://www.wps.cn/officeDocument/2017/etCustomData" ref="A46:M50" etc:filterBottomFollowUsedRange="0"/>
  <tableColumns count="13">
    <tableColumn id="1" name=" " dataDxfId="203"/>
    <tableColumn id="2" name="1" dataDxfId="204"/>
    <tableColumn id="3" name="2" dataDxfId="205" totalsRowFunction="sum"/>
    <tableColumn id="4" name="3" dataDxfId="206"/>
    <tableColumn id="5" name="4" dataDxfId="207"/>
    <tableColumn id="10" name="9" dataDxfId="208">
      <calculatedColumnFormula>Таблица21339902946781316172122232425303132333435[[#This Row],[ ]]</calculatedColumnFormula>
    </tableColumn>
    <tableColumn id="11" name="10" dataDxfId="209"/>
    <tableColumn id="12" name="11" dataDxfId="210"/>
    <tableColumn id="40" name="114" dataDxfId="211"/>
    <tableColumn id="39" name="113" dataDxfId="212"/>
    <tableColumn id="41" name="1132" dataDxfId="213" totalsRowFunction="sum"/>
    <tableColumn id="36" name="15" dataDxfId="214"/>
    <tableColumn id="35" name="16" dataDxfId="215" totalsRowFunction="sum">
      <calculatedColumnFormula>Таблица21339902946781316172122232425303132333435[[#This Row],[113]]*Таблица21339902946781316172122232425303132333435[[#This Row],[15]]</calculatedColumnFormula>
    </tableColumn>
  </tableColumns>
  <tableStyleInfo name="TableStyleLight8" showFirstColumn="0" showLastColumn="0" showRowStripes="1" showColumnStripes="0"/>
</table>
</file>

<file path=xl/tables/table17.xml><?xml version="1.0" encoding="utf-8"?>
<table xmlns="http://schemas.openxmlformats.org/spreadsheetml/2006/main" id="32" name="Таблица2133990294678131617212223242530313233343536" displayName="Таблица2133990294678131617212223242530313233343536" ref="A58:M62" totalsRowCount="1">
  <autoFilter xmlns:etc="http://www.wps.cn/officeDocument/2017/etCustomData" ref="A58:M61" etc:filterBottomFollowUsedRange="0"/>
  <tableColumns count="13">
    <tableColumn id="1" name=" " dataDxfId="216"/>
    <tableColumn id="2" name="1" dataDxfId="217"/>
    <tableColumn id="3" name="2" dataDxfId="218" totalsRowFunction="sum"/>
    <tableColumn id="4" name="3" dataDxfId="219"/>
    <tableColumn id="5" name="4" dataDxfId="220"/>
    <tableColumn id="10" name="9" dataDxfId="221">
      <calculatedColumnFormula>Таблица2133990294678131617212223242530313233343536[[#This Row],[ ]]</calculatedColumnFormula>
    </tableColumn>
    <tableColumn id="11" name="10" dataDxfId="222"/>
    <tableColumn id="12" name="11" dataDxfId="223"/>
    <tableColumn id="40" name="114" dataDxfId="224"/>
    <tableColumn id="39" name="113" dataDxfId="225"/>
    <tableColumn id="41" name="1132" dataDxfId="226" totalsRowFunction="sum"/>
    <tableColumn id="36" name="15" dataDxfId="227"/>
    <tableColumn id="35" name="16" dataDxfId="228" totalsRowFunction="sum">
      <calculatedColumnFormula>Таблица2133990294678131617212223242530313233343536[[#This Row],[113]]*Таблица2133990294678131617212223242530313233343536[[#This Row],[15]]</calculatedColumnFormula>
    </tableColumn>
  </tableColumns>
  <tableStyleInfo name="TableStyleLight8" showFirstColumn="0" showLastColumn="0" showRowStripes="1" showColumnStripes="0"/>
</table>
</file>

<file path=xl/tables/table18.xml><?xml version="1.0" encoding="utf-8"?>
<table xmlns="http://schemas.openxmlformats.org/spreadsheetml/2006/main" id="25" name="Таблица213399029469" displayName="Таблица213399029469" ref="A6:M9" totalsRowCount="1">
  <autoFilter xmlns:etc="http://www.wps.cn/officeDocument/2017/etCustomData" ref="A6:M8" etc:filterBottomFollowUsedRange="0"/>
  <tableColumns count="13">
    <tableColumn id="1" name=" " dataDxfId="229"/>
    <tableColumn id="2" name="1" dataDxfId="230"/>
    <tableColumn id="3" name="2" dataDxfId="231" totalsRowFunction="sum"/>
    <tableColumn id="4" name="3" dataDxfId="232"/>
    <tableColumn id="5" name="4" dataDxfId="233"/>
    <tableColumn id="10" name="9" dataDxfId="234">
      <calculatedColumnFormula>Таблица213399029469[[#This Row],[ ]]</calculatedColumnFormula>
    </tableColumn>
    <tableColumn id="11" name="10" dataDxfId="235"/>
    <tableColumn id="12" name="11" dataDxfId="236"/>
    <tableColumn id="40" name="114" dataDxfId="237"/>
    <tableColumn id="39" name="113" dataDxfId="238"/>
    <tableColumn id="41" name="1132" dataDxfId="239" totalsRowFunction="sum"/>
    <tableColumn id="36" name="15" dataDxfId="240"/>
    <tableColumn id="35" name="16" dataDxfId="241" totalsRowFunction="sum">
      <calculatedColumnFormula>Таблица213399029469[[#This Row],[113]]*Таблица213399029469[[#This Row],[15]]</calculatedColumnFormula>
    </tableColumn>
  </tableColumns>
  <tableStyleInfo name="TableStyleLight8" showFirstColumn="0" showLastColumn="0" showRowStripes="1" showColumnStripes="0"/>
</table>
</file>

<file path=xl/tables/table19.xml><?xml version="1.0" encoding="utf-8"?>
<table xmlns="http://schemas.openxmlformats.org/spreadsheetml/2006/main" id="26" name="Таблица21339902946915" displayName="Таблица21339902946915" ref="A48:N55" totalsRowCount="1">
  <autoFilter xmlns:etc="http://www.wps.cn/officeDocument/2017/etCustomData" ref="A48:N54" etc:filterBottomFollowUsedRange="0"/>
  <tableColumns count="14">
    <tableColumn id="1" name=" " dataDxfId="242"/>
    <tableColumn id="2" name="1" dataDxfId="243"/>
    <tableColumn id="3" name="2" dataDxfId="244" totalsRowFunction="sum"/>
    <tableColumn id="4" name="3" dataDxfId="245"/>
    <tableColumn id="5" name="4" dataDxfId="246"/>
    <tableColumn id="10" name="9" dataDxfId="247">
      <calculatedColumnFormula>Таблица21339902946915[[#This Row],[ ]]</calculatedColumnFormula>
    </tableColumn>
    <tableColumn id="11" name="10" dataDxfId="248"/>
    <tableColumn id="12" name="11" dataDxfId="249"/>
    <tableColumn id="40" name="114" dataDxfId="250"/>
    <tableColumn id="39" name="113" dataDxfId="251"/>
    <tableColumn id="41" name="1132" dataDxfId="252" totalsRowFunction="sum"/>
    <tableColumn id="36" name="15" dataDxfId="253"/>
    <tableColumn id="35" name="16" dataDxfId="254" totalsRowFunction="sum">
      <calculatedColumnFormula>Таблица21339902946915[[#This Row],[113]]*Таблица21339902946915[[#This Row],[15]]</calculatedColumnFormula>
    </tableColumn>
    <tableColumn id="6" name="17" dataDxfId="255"/>
  </tableColumns>
  <tableStyleInfo name="TableStyleLight8" showFirstColumn="0" showLastColumn="0" showRowStripes="1" showColumnStripes="0"/>
</table>
</file>

<file path=xl/tables/table20.xml><?xml version="1.0" encoding="utf-8"?>
<table xmlns="http://schemas.openxmlformats.org/spreadsheetml/2006/main" id="27" name="Таблица2133990294678131617212223" displayName="Таблица2133990294678131617212223" ref="A62:N66" totalsRowCount="1">
  <autoFilter xmlns:etc="http://www.wps.cn/officeDocument/2017/etCustomData" ref="A62:N65" etc:filterBottomFollowUsedRange="0"/>
  <tableColumns count="14">
    <tableColumn id="1" name=" " dataDxfId="256"/>
    <tableColumn id="2" name="1" dataDxfId="257"/>
    <tableColumn id="3" name="2" dataDxfId="258" totalsRowFunction="sum"/>
    <tableColumn id="4" name="3" dataDxfId="259"/>
    <tableColumn id="5" name="4" dataDxfId="260"/>
    <tableColumn id="10" name="9" dataDxfId="261">
      <calculatedColumnFormula>Таблица2133990294678131617212223[[#This Row],[ ]]</calculatedColumnFormula>
    </tableColumn>
    <tableColumn id="11" name="10" dataDxfId="262"/>
    <tableColumn id="12" name="11" dataDxfId="263"/>
    <tableColumn id="40" name="114" dataDxfId="264"/>
    <tableColumn id="39" name="113" dataDxfId="265"/>
    <tableColumn id="41" name="1132" dataDxfId="266" totalsRowFunction="sum"/>
    <tableColumn id="36" name="15" dataDxfId="267"/>
    <tableColumn id="35" name="16" dataDxfId="268" totalsRowFunction="sum">
      <calculatedColumnFormula>Таблица2133990294678131617212223[[#This Row],[113]]*Таблица2133990294678131617212223[[#This Row],[15]]</calculatedColumnFormula>
    </tableColumn>
    <tableColumn id="6" name="17" dataDxfId="269"/>
  </tableColumns>
  <tableStyleInfo name="TableStyleLight8" showFirstColumn="0" showLastColumn="0" showRowStripes="1" showColumnStripes="0"/>
</table>
</file>

<file path=xl/tables/table21.xml><?xml version="1.0" encoding="utf-8"?>
<table xmlns="http://schemas.openxmlformats.org/spreadsheetml/2006/main" id="22" name="Таблица2133990294" displayName="Таблица2133990294" ref="A6:M14" totalsRowCount="1">
  <autoFilter xmlns:etc="http://www.wps.cn/officeDocument/2017/etCustomData" ref="A6:M13" etc:filterBottomFollowUsedRange="0"/>
  <tableColumns count="13">
    <tableColumn id="1" name=" " dataDxfId="270"/>
    <tableColumn id="2" name="1" dataDxfId="271"/>
    <tableColumn id="3" name="2" dataDxfId="272" totalsRowFunction="sum"/>
    <tableColumn id="4" name="3" dataDxfId="273"/>
    <tableColumn id="5" name="4" dataDxfId="274"/>
    <tableColumn id="10" name="9" dataDxfId="275">
      <calculatedColumnFormula>Таблица2133990294[[#This Row],[ ]]</calculatedColumnFormula>
    </tableColumn>
    <tableColumn id="11" name="10" dataDxfId="276"/>
    <tableColumn id="12" name="11" dataDxfId="277"/>
    <tableColumn id="40" name="114" dataDxfId="278"/>
    <tableColumn id="39" name="113" dataDxfId="279"/>
    <tableColumn id="41" name="1132" dataDxfId="280" totalsRowFunction="sum"/>
    <tableColumn id="36" name="15" dataDxfId="281"/>
    <tableColumn id="35" name="16" dataDxfId="282" totalsRowFunction="sum">
      <calculatedColumnFormula>Таблица2133990294[[#This Row],[113]]*Таблица2133990294[[#This Row],[15]]</calculatedColumnFormula>
    </tableColumn>
  </tableColumns>
  <tableStyleInfo name="TableStyleLight8" showFirstColumn="0" showLastColumn="0" showRowStripes="1" showColumnStripes="0"/>
</table>
</file>

<file path=xl/tables/table22.xml><?xml version="1.0" encoding="utf-8"?>
<table xmlns="http://schemas.openxmlformats.org/spreadsheetml/2006/main" id="23" name="Таблица213399029414" displayName="Таблица213399029414" ref="A21:M30" totalsRowCount="1">
  <autoFilter xmlns:etc="http://www.wps.cn/officeDocument/2017/etCustomData" ref="A21:M29" etc:filterBottomFollowUsedRange="0"/>
  <tableColumns count="13">
    <tableColumn id="1" name=" " dataDxfId="283"/>
    <tableColumn id="2" name="1" dataDxfId="284"/>
    <tableColumn id="3" name="2" dataDxfId="285" totalsRowFunction="sum"/>
    <tableColumn id="4" name="3" dataDxfId="286"/>
    <tableColumn id="5" name="4" dataDxfId="287"/>
    <tableColumn id="10" name="9" dataDxfId="288">
      <calculatedColumnFormula>Таблица213399029414[[#This Row],[ ]]</calculatedColumnFormula>
    </tableColumn>
    <tableColumn id="11" name="10" dataDxfId="289"/>
    <tableColumn id="12" name="11" dataDxfId="290"/>
    <tableColumn id="40" name="114" dataDxfId="291"/>
    <tableColumn id="39" name="113" dataDxfId="292"/>
    <tableColumn id="41" name="1132" dataDxfId="293" totalsRowFunction="sum"/>
    <tableColumn id="36" name="15" dataDxfId="294"/>
    <tableColumn id="35" name="16" dataDxfId="295" totalsRowFunction="sum">
      <calculatedColumnFormula>Таблица213399029414[[#This Row],[113]]*Таблица213399029414[[#This Row],[15]]</calculatedColumnFormula>
    </tableColumn>
  </tableColumns>
  <tableStyleInfo name="TableStyleLight8" showFirstColumn="0" showLastColumn="0" showRowStripes="1" showColumnStripes="0"/>
</table>
</file>

<file path=xl/tables/table23.xml><?xml version="1.0" encoding="utf-8"?>
<table xmlns="http://schemas.openxmlformats.org/spreadsheetml/2006/main" id="24" name="Таблица21339902946781316172122232425303132" displayName="Таблица21339902946781316172122232425303132" ref="A37:M41" totalsRowCount="1">
  <autoFilter xmlns:etc="http://www.wps.cn/officeDocument/2017/etCustomData" ref="A37:M40" etc:filterBottomFollowUsedRange="0"/>
  <tableColumns count="13">
    <tableColumn id="1" name=" " dataDxfId="296"/>
    <tableColumn id="2" name="1" dataDxfId="297"/>
    <tableColumn id="3" name="2" dataDxfId="298" totalsRowFunction="sum"/>
    <tableColumn id="4" name="3" dataDxfId="299"/>
    <tableColumn id="5" name="4" dataDxfId="300"/>
    <tableColumn id="10" name="9" dataDxfId="301">
      <calculatedColumnFormula>Таблица21339902946781316172122232425303132[[#This Row],[ ]]</calculatedColumnFormula>
    </tableColumn>
    <tableColumn id="11" name="10" dataDxfId="302"/>
    <tableColumn id="12" name="11" dataDxfId="303"/>
    <tableColumn id="40" name="114" dataDxfId="304"/>
    <tableColumn id="39" name="113" dataDxfId="305"/>
    <tableColumn id="41" name="1132" dataDxfId="306" totalsRowFunction="sum"/>
    <tableColumn id="36" name="15" dataDxfId="307"/>
    <tableColumn id="35" name="16" dataDxfId="308" totalsRowFunction="sum">
      <calculatedColumnFormula>Таблица21339902946781316172122232425303132[[#This Row],[113]]*Таблица21339902946781316172122232425303132[[#This Row],[15]]</calculatedColumnFormula>
    </tableColumn>
  </tableColumns>
  <tableStyleInfo name="TableStyleLight8" showFirstColumn="0" showLastColumn="0" showRowStripes="1" showColumnStripes="0"/>
</table>
</file>

<file path=xl/tables/table24.xml><?xml version="1.0" encoding="utf-8"?>
<table xmlns="http://schemas.openxmlformats.org/spreadsheetml/2006/main" id="14" name="Таблица2133990" displayName="Таблица2133990" ref="A6:M11" totalsRowCount="1">
  <autoFilter xmlns:etc="http://www.wps.cn/officeDocument/2017/etCustomData" ref="A6:M10" etc:filterBottomFollowUsedRange="0"/>
  <tableColumns count="13">
    <tableColumn id="1" name=" " dataDxfId="309"/>
    <tableColumn id="2" name="1" dataDxfId="310"/>
    <tableColumn id="3" name="2" dataDxfId="311" totalsRowFunction="sum"/>
    <tableColumn id="4" name="3" dataDxfId="312"/>
    <tableColumn id="5" name="4" dataDxfId="313"/>
    <tableColumn id="10" name="9" dataDxfId="314">
      <calculatedColumnFormula>Таблица2133990[[#This Row],[ ]]</calculatedColumnFormula>
    </tableColumn>
    <tableColumn id="11" name="10" dataDxfId="315"/>
    <tableColumn id="12" name="11" dataDxfId="316"/>
    <tableColumn id="40" name="114" dataDxfId="317"/>
    <tableColumn id="39" name="113" dataDxfId="318"/>
    <tableColumn id="41" name="1132" dataDxfId="319" totalsRowFunction="sum"/>
    <tableColumn id="36" name="15" dataDxfId="320"/>
    <tableColumn id="35" name="16" dataDxfId="321" totalsRowFunction="sum">
      <calculatedColumnFormula>Таблица2133990[[#This Row],[113]]*(Таблица2133990[[#This Row],[15]])</calculatedColumnFormula>
    </tableColumn>
  </tableColumns>
  <tableStyleInfo name="TableStyleLight8" showFirstColumn="0" showLastColumn="0" showRowStripes="1" showColumnStripes="0"/>
</table>
</file>

<file path=xl/tables/table25.xml><?xml version="1.0" encoding="utf-8"?>
<table xmlns="http://schemas.openxmlformats.org/spreadsheetml/2006/main" id="15" name="Таблица213399029" displayName="Таблица213399029" ref="A18:M26" totalsRowCount="1">
  <autoFilter xmlns:etc="http://www.wps.cn/officeDocument/2017/etCustomData" ref="A18:M25" etc:filterBottomFollowUsedRange="0"/>
  <tableColumns count="13">
    <tableColumn id="1" name=" " dataDxfId="322"/>
    <tableColumn id="2" name="1" dataDxfId="323"/>
    <tableColumn id="3" name="2" dataDxfId="324" totalsRowFunction="sum"/>
    <tableColumn id="4" name="3" dataDxfId="325"/>
    <tableColumn id="5" name="4" dataDxfId="326"/>
    <tableColumn id="10" name="9" dataDxfId="327">
      <calculatedColumnFormula>Таблица213399029[[#This Row],[ ]]</calculatedColumnFormula>
    </tableColumn>
    <tableColumn id="11" name="10" dataDxfId="328"/>
    <tableColumn id="12" name="11" dataDxfId="329"/>
    <tableColumn id="40" name="114" dataDxfId="330"/>
    <tableColumn id="39" name="113" dataDxfId="331"/>
    <tableColumn id="41" name="1132" dataDxfId="332" totalsRowFunction="sum"/>
    <tableColumn id="36" name="15" dataDxfId="333"/>
    <tableColumn id="35" name="16" dataDxfId="334" totalsRowFunction="sum">
      <calculatedColumnFormula>Таблица213399029[[#This Row],[113]]*Таблица213399029[[#This Row],[15]]</calculatedColumnFormula>
    </tableColumn>
  </tableColumns>
  <tableStyleInfo name="TableStyleLight8" showFirstColumn="0" showLastColumn="0" showRowStripes="1" showColumnStripes="0"/>
</table>
</file>

<file path=xl/tables/table26.xml><?xml version="1.0" encoding="utf-8"?>
<table xmlns="http://schemas.openxmlformats.org/spreadsheetml/2006/main" id="16" name="Таблица2133990291011" displayName="Таблица2133990291011" ref="A33:M36" totalsRowCount="1">
  <autoFilter xmlns:etc="http://www.wps.cn/officeDocument/2017/etCustomData" ref="A33:M35" etc:filterBottomFollowUsedRange="0"/>
  <tableColumns count="13">
    <tableColumn id="1" name=" " dataDxfId="335"/>
    <tableColumn id="2" name="1" dataDxfId="336"/>
    <tableColumn id="3" name="2" dataDxfId="337" totalsRowFunction="sum"/>
    <tableColumn id="4" name="3" dataDxfId="338"/>
    <tableColumn id="5" name="4" dataDxfId="339"/>
    <tableColumn id="10" name="9" dataDxfId="340">
      <calculatedColumnFormula>Таблица2133990291011[[#This Row],[ ]]</calculatedColumnFormula>
    </tableColumn>
    <tableColumn id="11" name="10" dataDxfId="341"/>
    <tableColumn id="12" name="11" dataDxfId="342"/>
    <tableColumn id="40" name="114" dataDxfId="343"/>
    <tableColumn id="39" name="113" dataDxfId="344"/>
    <tableColumn id="41" name="1132" dataDxfId="345" totalsRowFunction="sum"/>
    <tableColumn id="36" name="15" dataDxfId="346"/>
    <tableColumn id="35" name="16" dataDxfId="347" totalsRowFunction="sum">
      <calculatedColumnFormula>Таблица2133990291011[[#This Row],[113]]*Таблица2133990291011[[#This Row],[15]]</calculatedColumnFormula>
    </tableColumn>
  </tableColumns>
  <tableStyleInfo name="TableStyleLight8" showFirstColumn="0" showLastColumn="0" showRowStripes="1" showColumnStripes="0"/>
</table>
</file>

<file path=xl/tables/table27.xml><?xml version="1.0" encoding="utf-8"?>
<table xmlns="http://schemas.openxmlformats.org/spreadsheetml/2006/main" id="17" name="Таблица213399028" displayName="Таблица213399028" ref="A43:M47" totalsRowCount="1">
  <autoFilter xmlns:etc="http://www.wps.cn/officeDocument/2017/etCustomData" ref="A43:M46" etc:filterBottomFollowUsedRange="0"/>
  <tableColumns count="13">
    <tableColumn id="1" name=" " dataDxfId="348"/>
    <tableColumn id="2" name="1" dataDxfId="349"/>
    <tableColumn id="3" name="2" dataDxfId="350" totalsRowFunction="sum"/>
    <tableColumn id="4" name="3" dataDxfId="351"/>
    <tableColumn id="5" name="4" dataDxfId="352"/>
    <tableColumn id="10" name="9" dataDxfId="353">
      <calculatedColumnFormula>Таблица213399028[[#This Row],[ ]]</calculatedColumnFormula>
    </tableColumn>
    <tableColumn id="11" name="10" dataDxfId="354"/>
    <tableColumn id="12" name="11" dataDxfId="355"/>
    <tableColumn id="40" name="114" dataDxfId="356"/>
    <tableColumn id="39" name="113" dataDxfId="357"/>
    <tableColumn id="41" name="1132" dataDxfId="358" totalsRowFunction="sum"/>
    <tableColumn id="36" name="15" dataDxfId="359"/>
    <tableColumn id="35" name="16" dataDxfId="360" totalsRowFunction="sum">
      <calculatedColumnFormula>Таблица213399028[[#This Row],[113]]*Таблица213399028[[#This Row],[15]]</calculatedColumnFormula>
    </tableColumn>
  </tableColumns>
  <tableStyleInfo name="TableStyleLight8" showFirstColumn="0" showLastColumn="0" showRowStripes="1" showColumnStripes="0"/>
</table>
</file>

<file path=xl/tables/table28.xml><?xml version="1.0" encoding="utf-8"?>
<table xmlns="http://schemas.openxmlformats.org/spreadsheetml/2006/main" id="18" name="Таблица21339902816" displayName="Таблица21339902816" ref="A54:M65" totalsRowCount="1">
  <autoFilter xmlns:etc="http://www.wps.cn/officeDocument/2017/etCustomData" ref="A54:M64" etc:filterBottomFollowUsedRange="0"/>
  <tableColumns count="13">
    <tableColumn id="1" name=" " dataDxfId="361"/>
    <tableColumn id="2" name="1" dataDxfId="362"/>
    <tableColumn id="3" name="2" dataDxfId="363" totalsRowFunction="sum"/>
    <tableColumn id="4" name="3" dataDxfId="364"/>
    <tableColumn id="5" name="4" dataDxfId="365"/>
    <tableColumn id="10" name="9" dataDxfId="366"/>
    <tableColumn id="11" name="10" dataDxfId="367"/>
    <tableColumn id="12" name="11" dataDxfId="368"/>
    <tableColumn id="40" name="114" dataDxfId="369"/>
    <tableColumn id="39" name="113" dataDxfId="370"/>
    <tableColumn id="41" name="1132" dataDxfId="371" totalsRowFunction="sum"/>
    <tableColumn id="36" name="15" dataDxfId="372"/>
    <tableColumn id="35" name="16" dataDxfId="373" totalsRowFunction="sum">
      <calculatedColumnFormula>Таблица21339902816[[#This Row],[15]]*Таблица21339902816[[#This Row],[113]]</calculatedColumnFormula>
    </tableColumn>
  </tableColumns>
  <tableStyleInfo name="TableStyleLight8" showFirstColumn="0" showLastColumn="0" showRowStripes="1" showColumnStripes="0"/>
</table>
</file>

<file path=xl/tables/table29.xml><?xml version="1.0" encoding="utf-8"?>
<table xmlns="http://schemas.openxmlformats.org/spreadsheetml/2006/main" id="19" name="Таблица2133990291012" displayName="Таблица2133990291012" ref="A72:M76" totalsRowCount="1">
  <autoFilter xmlns:etc="http://www.wps.cn/officeDocument/2017/etCustomData" ref="A72:M75" etc:filterBottomFollowUsedRange="0"/>
  <tableColumns count="13">
    <tableColumn id="1" name=" " dataDxfId="374"/>
    <tableColumn id="2" name="1" dataDxfId="375"/>
    <tableColumn id="3" name="2" dataDxfId="376" totalsRowFunction="sum"/>
    <tableColumn id="4" name="3" dataDxfId="377"/>
    <tableColumn id="5" name="4" dataDxfId="378"/>
    <tableColumn id="10" name="9" dataDxfId="379">
      <calculatedColumnFormula>Таблица2133990291012[[#This Row],[ ]]</calculatedColumnFormula>
    </tableColumn>
    <tableColumn id="11" name="10" dataDxfId="380"/>
    <tableColumn id="12" name="11" dataDxfId="381"/>
    <tableColumn id="40" name="114" dataDxfId="382"/>
    <tableColumn id="39" name="113" dataDxfId="383"/>
    <tableColumn id="41" name="1132" dataDxfId="384" totalsRowFunction="sum"/>
    <tableColumn id="36" name="15" dataDxfId="385"/>
    <tableColumn id="35" name="16" dataDxfId="386" totalsRowFunction="sum">
      <calculatedColumnFormula>Таблица2133990291012[[#This Row],[113]]*Таблица2133990291012[[#This Row],[15]]</calculatedColumnFormula>
    </tableColumn>
  </tableColumns>
  <tableStyleInfo name="TableStyleLight8" showFirstColumn="0" showLastColumn="0" showRowStripes="1" showColumnStripes="0"/>
</table>
</file>

<file path=xl/tables/table30.xml><?xml version="1.0" encoding="utf-8"?>
<table xmlns="http://schemas.openxmlformats.org/spreadsheetml/2006/main" id="20" name="Таблица2133990294678131617212223242530313233" displayName="Таблица2133990294678131617212223242530313233" ref="A83:M94" totalsRowCount="1">
  <autoFilter xmlns:etc="http://www.wps.cn/officeDocument/2017/etCustomData" ref="A83:M93" etc:filterBottomFollowUsedRange="0"/>
  <tableColumns count="13">
    <tableColumn id="1" name=" " dataDxfId="387"/>
    <tableColumn id="2" name="1" dataDxfId="388"/>
    <tableColumn id="3" name="2" dataDxfId="389" totalsRowFunction="sum"/>
    <tableColumn id="4" name="3" dataDxfId="390"/>
    <tableColumn id="5" name="4" dataDxfId="391"/>
    <tableColumn id="10" name="9" dataDxfId="392">
      <calculatedColumnFormula>Таблица2133990294678131617212223242530313233[[#This Row],[ ]]</calculatedColumnFormula>
    </tableColumn>
    <tableColumn id="11" name="10" dataDxfId="393"/>
    <tableColumn id="12" name="11" dataDxfId="394"/>
    <tableColumn id="40" name="114" dataDxfId="395"/>
    <tableColumn id="39" name="113" dataDxfId="396"/>
    <tableColumn id="41" name="1132" dataDxfId="397" totalsRowFunction="sum"/>
    <tableColumn id="36" name="15" dataDxfId="398"/>
    <tableColumn id="35" name="16" dataDxfId="399" totalsRowFunction="sum">
      <calculatedColumnFormula>Таблица2133990294678131617212223242530313233[[#This Row],[113]]*Таблица2133990294678131617212223242530313233[[#This Row],[15]]</calculatedColumnFormula>
    </tableColumn>
  </tableColumns>
  <tableStyleInfo name="TableStyleLight8" showFirstColumn="0" showLastColumn="0" showRowStripes="1" showColumnStripes="0"/>
</table>
</file>

<file path=xl/tables/table31.xml><?xml version="1.0" encoding="utf-8"?>
<table xmlns="http://schemas.openxmlformats.org/spreadsheetml/2006/main" id="21" name="Таблица213399029467813161721222324253031323334" displayName="Таблица213399029467813161721222324253031323334" ref="A101:M108" totalsRowCount="1">
  <autoFilter xmlns:etc="http://www.wps.cn/officeDocument/2017/etCustomData" ref="A101:M107" etc:filterBottomFollowUsedRange="0"/>
  <tableColumns count="13">
    <tableColumn id="1" name=" " dataDxfId="400"/>
    <tableColumn id="2" name="1" dataDxfId="401"/>
    <tableColumn id="3" name="2" dataDxfId="402" totalsRowFunction="sum"/>
    <tableColumn id="4" name="3" dataDxfId="403"/>
    <tableColumn id="5" name="4" dataDxfId="404"/>
    <tableColumn id="10" name="9" dataDxfId="405">
      <calculatedColumnFormula>Таблица213399029467813161721222324253031323334[[#This Row],[ ]]</calculatedColumnFormula>
    </tableColumn>
    <tableColumn id="11" name="10" dataDxfId="406"/>
    <tableColumn id="12" name="11" dataDxfId="407"/>
    <tableColumn id="40" name="114" dataDxfId="408"/>
    <tableColumn id="39" name="113" dataDxfId="409"/>
    <tableColumn id="41" name="1132" dataDxfId="410" totalsRowFunction="sum"/>
    <tableColumn id="36" name="15" dataDxfId="411"/>
    <tableColumn id="35" name="16" dataDxfId="412" totalsRowFunction="sum">
      <calculatedColumnFormula>Таблица213399029467813161721222324253031323334[[#This Row],[113]]*Таблица213399029467813161721222324253031323334[[#This Row],[15]]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7" Type="http://schemas.openxmlformats.org/officeDocument/2006/relationships/table" Target="../tables/table7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5" Type="http://schemas.openxmlformats.org/officeDocument/2006/relationships/table" Target="../tables/table12.xml"/><Relationship Id="rId4" Type="http://schemas.openxmlformats.org/officeDocument/2006/relationships/table" Target="../tables/table11.xml"/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4.xml.rels><?xml version="1.0" encoding="UTF-8" standalone="yes"?>
<Relationships xmlns="http://schemas.openxmlformats.org/package/2006/relationships"><Relationship Id="rId5" Type="http://schemas.openxmlformats.org/officeDocument/2006/relationships/table" Target="../tables/table17.xml"/><Relationship Id="rId4" Type="http://schemas.openxmlformats.org/officeDocument/2006/relationships/table" Target="../tables/table16.xml"/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7" Type="http://schemas.openxmlformats.org/officeDocument/2006/relationships/table" Target="../tables/table30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25"/>
  <sheetViews>
    <sheetView zoomScale="70" zoomScaleNormal="70" topLeftCell="C132" workbookViewId="0">
      <selection activeCell="I16" sqref="I16"/>
    </sheetView>
  </sheetViews>
  <sheetFormatPr defaultColWidth="9" defaultRowHeight="15"/>
  <cols>
    <col min="1" max="1" width="8.55238095238095" customWidth="1"/>
    <col min="2" max="2" width="10" customWidth="1"/>
    <col min="3" max="3" width="13.8857142857143" customWidth="1"/>
    <col min="4" max="4" width="25.552380952381" customWidth="1"/>
    <col min="5" max="6" width="13.552380952381" customWidth="1"/>
    <col min="7" max="7" width="13.4380952380952" customWidth="1"/>
    <col min="8" max="8" width="13.8857142857143" customWidth="1"/>
    <col min="9" max="9" width="15.2190476190476" customWidth="1"/>
    <col min="10" max="10" width="19.4380952380952" customWidth="1"/>
    <col min="11" max="11" width="14.4380952380952" customWidth="1"/>
    <col min="13" max="13" width="21.4380952380952" customWidth="1"/>
    <col min="14" max="14" width="17" customWidth="1"/>
    <col min="15" max="15" width="14.7809523809524" customWidth="1"/>
    <col min="16" max="16" width="11.1047619047619" customWidth="1"/>
    <col min="17" max="17" width="13.552380952381" customWidth="1"/>
    <col min="18" max="18" width="19.4380952380952" customWidth="1"/>
    <col min="19" max="19" width="15.4380952380952" customWidth="1"/>
    <col min="20" max="20" width="17" customWidth="1"/>
    <col min="21" max="21" width="11.2190476190476" customWidth="1"/>
    <col min="22" max="22" width="15.4380952380952" customWidth="1"/>
  </cols>
  <sheetData>
    <row r="1" spans="1:22">
      <c r="A1" s="6"/>
      <c r="B1" s="6"/>
      <c r="C1" s="6"/>
      <c r="D1" s="6"/>
      <c r="E1" s="113"/>
      <c r="F1" s="113"/>
      <c r="G1" s="113"/>
      <c r="H1" s="120"/>
      <c r="I1" s="6"/>
      <c r="J1" s="6"/>
      <c r="K1" s="113"/>
      <c r="L1" s="6"/>
      <c r="M1" s="6"/>
      <c r="N1" s="6"/>
      <c r="O1" s="6"/>
      <c r="P1" s="6"/>
      <c r="Q1" s="6"/>
      <c r="R1" s="6"/>
      <c r="S1" s="6"/>
      <c r="T1" s="6"/>
      <c r="U1" s="6"/>
    </row>
    <row r="2" ht="18" spans="1:22">
      <c r="A2" s="121"/>
      <c r="B2" s="121"/>
      <c r="C2" s="121"/>
      <c r="D2" s="121"/>
      <c r="E2" s="121"/>
      <c r="F2" s="121"/>
      <c r="G2" s="121"/>
      <c r="H2" s="122"/>
      <c r="I2" s="121"/>
      <c r="J2" s="123"/>
      <c r="K2" s="123"/>
      <c r="L2" s="121"/>
      <c r="M2" s="121"/>
      <c r="N2" s="121"/>
      <c r="O2" s="121"/>
      <c r="P2" s="121"/>
      <c r="Q2" s="121"/>
      <c r="R2" s="121"/>
      <c r="S2" s="121"/>
      <c r="T2" s="121"/>
      <c r="U2" s="121"/>
    </row>
    <row r="3" ht="29.25" customHeight="1" spans="1:22">
      <c r="A3" s="124" t="s">
        <v>0</v>
      </c>
      <c r="B3" s="125" t="s">
        <v>1</v>
      </c>
      <c r="C3" s="125" t="s">
        <v>2</v>
      </c>
      <c r="D3" s="126" t="s">
        <v>3</v>
      </c>
      <c r="E3" s="127" t="s">
        <v>4</v>
      </c>
      <c r="F3" s="126" t="s">
        <v>5</v>
      </c>
      <c r="G3" s="128" t="s">
        <v>6</v>
      </c>
      <c r="H3" s="128" t="s">
        <v>7</v>
      </c>
      <c r="I3" s="128" t="s">
        <v>8</v>
      </c>
      <c r="J3" s="126" t="s">
        <v>9</v>
      </c>
      <c r="K3" s="129" t="s">
        <v>10</v>
      </c>
      <c r="L3" s="130" t="s">
        <v>11</v>
      </c>
      <c r="M3" s="126" t="s">
        <v>12</v>
      </c>
      <c r="N3" s="126" t="s">
        <v>13</v>
      </c>
      <c r="O3" s="131" t="s">
        <v>14</v>
      </c>
      <c r="P3" s="126" t="s">
        <v>15</v>
      </c>
      <c r="Q3" s="126" t="s">
        <v>16</v>
      </c>
      <c r="R3" s="132" t="s">
        <v>17</v>
      </c>
      <c r="S3" s="133" t="s">
        <v>18</v>
      </c>
      <c r="T3" s="126" t="s">
        <v>19</v>
      </c>
      <c r="U3" s="126" t="s">
        <v>20</v>
      </c>
      <c r="V3" s="126" t="s">
        <v>21</v>
      </c>
    </row>
    <row r="4" spans="1:22">
      <c r="A4" s="34">
        <v>1</v>
      </c>
      <c r="B4" s="59" t="s">
        <v>22</v>
      </c>
      <c r="C4" s="134" t="s">
        <v>23</v>
      </c>
      <c r="D4" s="134" t="s">
        <v>24</v>
      </c>
      <c r="E4" s="135">
        <v>46197</v>
      </c>
      <c r="F4" s="136" t="s">
        <v>25</v>
      </c>
      <c r="G4" s="137" t="s">
        <v>26</v>
      </c>
      <c r="H4" s="138">
        <v>31.104</v>
      </c>
      <c r="I4" s="137">
        <v>500000</v>
      </c>
      <c r="J4" s="33">
        <f>H4*I4</f>
        <v>15552000</v>
      </c>
      <c r="K4" s="139">
        <v>18</v>
      </c>
      <c r="L4" s="139">
        <v>130000</v>
      </c>
      <c r="M4" s="33">
        <f>K4*L4</f>
        <v>2340000</v>
      </c>
      <c r="N4" s="33">
        <f>J4+M4</f>
        <v>17892000</v>
      </c>
      <c r="O4" s="90">
        <v>732542.438</v>
      </c>
      <c r="P4" s="33">
        <f>O4-I4</f>
        <v>232542.438</v>
      </c>
      <c r="Q4" s="33" t="s">
        <v>27</v>
      </c>
      <c r="R4" s="33">
        <f>O4*H4</f>
        <v>22784999.991552</v>
      </c>
      <c r="S4" s="140">
        <v>2000000</v>
      </c>
      <c r="T4" s="33">
        <f>R4-J4</f>
        <v>7232999.991552</v>
      </c>
      <c r="U4" s="34" t="s">
        <v>28</v>
      </c>
      <c r="V4" s="33">
        <f>T4-S4</f>
        <v>5232999.991552</v>
      </c>
    </row>
    <row r="5" spans="1:22">
      <c r="A5" s="34">
        <f>A4+1</f>
        <v>2</v>
      </c>
      <c r="B5" s="59" t="s">
        <v>22</v>
      </c>
      <c r="C5" s="134" t="s">
        <v>23</v>
      </c>
      <c r="D5" s="134" t="s">
        <v>24</v>
      </c>
      <c r="E5" s="135">
        <v>46197</v>
      </c>
      <c r="F5" s="136" t="s">
        <v>29</v>
      </c>
      <c r="G5" s="137" t="s">
        <v>26</v>
      </c>
      <c r="H5" s="138">
        <v>31.104</v>
      </c>
      <c r="I5" s="137">
        <v>500000</v>
      </c>
      <c r="J5" s="33">
        <f t="shared" ref="J5:J68" si="0">H5*I5</f>
        <v>15552000</v>
      </c>
      <c r="K5" s="139">
        <v>18</v>
      </c>
      <c r="L5" s="139">
        <v>130000</v>
      </c>
      <c r="M5" s="33">
        <f t="shared" ref="M5:M68" si="1">K5*L5</f>
        <v>2340000</v>
      </c>
      <c r="N5" s="33">
        <f t="shared" ref="N5:N68" si="2">J5+M5</f>
        <v>17892000</v>
      </c>
      <c r="O5" s="90">
        <v>732542.438</v>
      </c>
      <c r="P5" s="33">
        <f t="shared" ref="P5:P68" si="3">O5-I5</f>
        <v>232542.438</v>
      </c>
      <c r="Q5" s="33" t="s">
        <v>27</v>
      </c>
      <c r="R5" s="33">
        <f t="shared" ref="R5:R68" si="4">O5*H5</f>
        <v>22784999.991552</v>
      </c>
      <c r="S5" s="140">
        <v>2000000</v>
      </c>
      <c r="T5" s="33">
        <f t="shared" ref="T5:T68" si="5">R5-J5</f>
        <v>7232999.991552</v>
      </c>
      <c r="U5" s="34" t="s">
        <v>28</v>
      </c>
      <c r="V5" s="33">
        <f t="shared" ref="V5:V68" si="6">T5-S5</f>
        <v>5232999.991552</v>
      </c>
    </row>
    <row r="6" spans="1:22">
      <c r="A6" s="34">
        <f t="shared" ref="A6:A24" si="7">A5+1</f>
        <v>3</v>
      </c>
      <c r="B6" s="59" t="s">
        <v>22</v>
      </c>
      <c r="C6" s="134" t="s">
        <v>23</v>
      </c>
      <c r="D6" s="134" t="s">
        <v>30</v>
      </c>
      <c r="E6" s="135">
        <v>46197</v>
      </c>
      <c r="F6" s="136" t="s">
        <v>31</v>
      </c>
      <c r="G6" s="137" t="s">
        <v>26</v>
      </c>
      <c r="H6" s="138">
        <v>31.104</v>
      </c>
      <c r="I6" s="137">
        <v>500000</v>
      </c>
      <c r="J6" s="33">
        <f t="shared" si="0"/>
        <v>15552000</v>
      </c>
      <c r="K6" s="139">
        <v>18</v>
      </c>
      <c r="L6" s="139">
        <v>130000</v>
      </c>
      <c r="M6" s="33">
        <f t="shared" si="1"/>
        <v>2340000</v>
      </c>
      <c r="N6" s="33">
        <f t="shared" si="2"/>
        <v>17892000</v>
      </c>
      <c r="O6" s="90">
        <v>700000</v>
      </c>
      <c r="P6" s="33">
        <f t="shared" si="3"/>
        <v>200000</v>
      </c>
      <c r="Q6" s="33" t="s">
        <v>27</v>
      </c>
      <c r="R6" s="33">
        <f t="shared" si="4"/>
        <v>21772800</v>
      </c>
      <c r="S6" s="140">
        <v>2000000</v>
      </c>
      <c r="T6" s="33">
        <f t="shared" si="5"/>
        <v>6220800</v>
      </c>
      <c r="U6" s="34" t="s">
        <v>28</v>
      </c>
      <c r="V6" s="33">
        <f t="shared" si="6"/>
        <v>4220800</v>
      </c>
    </row>
    <row r="7" spans="1:22">
      <c r="A7" s="34">
        <f t="shared" si="7"/>
        <v>4</v>
      </c>
      <c r="B7" s="59" t="s">
        <v>22</v>
      </c>
      <c r="C7" s="141" t="s">
        <v>32</v>
      </c>
      <c r="D7" s="141" t="s">
        <v>33</v>
      </c>
      <c r="E7" s="142">
        <v>46197</v>
      </c>
      <c r="F7" s="143" t="s">
        <v>34</v>
      </c>
      <c r="G7" s="137" t="s">
        <v>26</v>
      </c>
      <c r="H7" s="138">
        <v>31.104</v>
      </c>
      <c r="I7" s="137">
        <v>500000</v>
      </c>
      <c r="J7" s="33">
        <f t="shared" si="0"/>
        <v>15552000</v>
      </c>
      <c r="K7" s="139">
        <v>18</v>
      </c>
      <c r="L7" s="139">
        <v>130000</v>
      </c>
      <c r="M7" s="33">
        <f t="shared" si="1"/>
        <v>2340000</v>
      </c>
      <c r="N7" s="33">
        <f t="shared" si="2"/>
        <v>17892000</v>
      </c>
      <c r="O7" s="90">
        <v>750000</v>
      </c>
      <c r="P7" s="33">
        <f t="shared" si="3"/>
        <v>250000</v>
      </c>
      <c r="Q7" s="33" t="s">
        <v>27</v>
      </c>
      <c r="R7" s="33">
        <f t="shared" si="4"/>
        <v>23328000</v>
      </c>
      <c r="S7" s="140">
        <v>2000000</v>
      </c>
      <c r="T7" s="33">
        <f t="shared" si="5"/>
        <v>7776000</v>
      </c>
      <c r="U7" s="34" t="s">
        <v>28</v>
      </c>
      <c r="V7" s="33">
        <f t="shared" si="6"/>
        <v>5776000</v>
      </c>
    </row>
    <row r="8" spans="1:22">
      <c r="A8" s="34">
        <f t="shared" si="7"/>
        <v>5</v>
      </c>
      <c r="B8" s="59" t="s">
        <v>22</v>
      </c>
      <c r="C8" s="134" t="s">
        <v>23</v>
      </c>
      <c r="D8" s="134" t="s">
        <v>30</v>
      </c>
      <c r="E8" s="135">
        <v>46197</v>
      </c>
      <c r="F8" s="136" t="s">
        <v>35</v>
      </c>
      <c r="G8" s="137" t="s">
        <v>26</v>
      </c>
      <c r="H8" s="138">
        <v>32.832</v>
      </c>
      <c r="I8" s="137">
        <v>500000</v>
      </c>
      <c r="J8" s="33">
        <f t="shared" si="0"/>
        <v>16416000</v>
      </c>
      <c r="K8" s="139">
        <v>19</v>
      </c>
      <c r="L8" s="139">
        <v>130000</v>
      </c>
      <c r="M8" s="33">
        <f t="shared" si="1"/>
        <v>2470000</v>
      </c>
      <c r="N8" s="33">
        <f t="shared" si="2"/>
        <v>18886000</v>
      </c>
      <c r="O8" s="90">
        <v>700000</v>
      </c>
      <c r="P8" s="33">
        <f t="shared" si="3"/>
        <v>200000</v>
      </c>
      <c r="Q8" s="33" t="s">
        <v>27</v>
      </c>
      <c r="R8" s="33">
        <f t="shared" si="4"/>
        <v>22982400</v>
      </c>
      <c r="S8" s="140">
        <v>2000000</v>
      </c>
      <c r="T8" s="33">
        <f t="shared" si="5"/>
        <v>6566400</v>
      </c>
      <c r="U8" s="34" t="s">
        <v>28</v>
      </c>
      <c r="V8" s="33">
        <f t="shared" si="6"/>
        <v>4566400</v>
      </c>
    </row>
    <row r="9" spans="1:22">
      <c r="A9" s="34">
        <f t="shared" si="7"/>
        <v>6</v>
      </c>
      <c r="B9" s="59" t="s">
        <v>22</v>
      </c>
      <c r="C9" s="134" t="s">
        <v>23</v>
      </c>
      <c r="D9" s="134" t="s">
        <v>30</v>
      </c>
      <c r="E9" s="135">
        <v>46198</v>
      </c>
      <c r="F9" s="136" t="s">
        <v>36</v>
      </c>
      <c r="G9" s="137" t="s">
        <v>26</v>
      </c>
      <c r="H9" s="138">
        <v>32.832</v>
      </c>
      <c r="I9" s="137">
        <v>500000</v>
      </c>
      <c r="J9" s="33">
        <f t="shared" si="0"/>
        <v>16416000</v>
      </c>
      <c r="K9" s="139">
        <v>19</v>
      </c>
      <c r="L9" s="139">
        <v>130000</v>
      </c>
      <c r="M9" s="33">
        <f t="shared" si="1"/>
        <v>2470000</v>
      </c>
      <c r="N9" s="33">
        <f t="shared" si="2"/>
        <v>18886000</v>
      </c>
      <c r="O9" s="90">
        <v>700000</v>
      </c>
      <c r="P9" s="33">
        <f t="shared" si="3"/>
        <v>200000</v>
      </c>
      <c r="Q9" s="33" t="s">
        <v>27</v>
      </c>
      <c r="R9" s="33">
        <f t="shared" si="4"/>
        <v>22982400</v>
      </c>
      <c r="S9" s="140">
        <v>2000000</v>
      </c>
      <c r="T9" s="33">
        <f t="shared" si="5"/>
        <v>6566400</v>
      </c>
      <c r="U9" s="34" t="s">
        <v>28</v>
      </c>
      <c r="V9" s="33">
        <f t="shared" si="6"/>
        <v>4566400</v>
      </c>
    </row>
    <row r="10" spans="1:22">
      <c r="A10" s="34">
        <f t="shared" si="7"/>
        <v>7</v>
      </c>
      <c r="B10" s="59" t="s">
        <v>22</v>
      </c>
      <c r="C10" s="134" t="s">
        <v>23</v>
      </c>
      <c r="D10" s="134" t="s">
        <v>37</v>
      </c>
      <c r="E10" s="135">
        <v>46198</v>
      </c>
      <c r="F10" s="136" t="s">
        <v>38</v>
      </c>
      <c r="G10" s="137" t="s">
        <v>26</v>
      </c>
      <c r="H10" s="138">
        <v>32.832</v>
      </c>
      <c r="I10" s="137">
        <v>500000</v>
      </c>
      <c r="J10" s="33">
        <f t="shared" si="0"/>
        <v>16416000</v>
      </c>
      <c r="K10" s="139">
        <v>19</v>
      </c>
      <c r="L10" s="139">
        <v>130000</v>
      </c>
      <c r="M10" s="33">
        <f t="shared" si="1"/>
        <v>2470000</v>
      </c>
      <c r="N10" s="33">
        <f t="shared" si="2"/>
        <v>18886000</v>
      </c>
      <c r="O10" s="90">
        <v>735000</v>
      </c>
      <c r="P10" s="33">
        <f t="shared" si="3"/>
        <v>235000</v>
      </c>
      <c r="Q10" s="33" t="s">
        <v>27</v>
      </c>
      <c r="R10" s="33">
        <f t="shared" si="4"/>
        <v>24131520</v>
      </c>
      <c r="S10" s="140">
        <v>2000000</v>
      </c>
      <c r="T10" s="33">
        <f t="shared" si="5"/>
        <v>7715520</v>
      </c>
      <c r="U10" s="34" t="s">
        <v>28</v>
      </c>
      <c r="V10" s="33">
        <f t="shared" si="6"/>
        <v>5715520</v>
      </c>
    </row>
    <row r="11" spans="1:22">
      <c r="A11" s="34">
        <f t="shared" si="7"/>
        <v>8</v>
      </c>
      <c r="B11" s="59" t="s">
        <v>22</v>
      </c>
      <c r="C11" s="134" t="s">
        <v>23</v>
      </c>
      <c r="D11" s="134" t="s">
        <v>37</v>
      </c>
      <c r="E11" s="135">
        <v>46198</v>
      </c>
      <c r="F11" s="136" t="s">
        <v>39</v>
      </c>
      <c r="G11" s="137" t="s">
        <v>26</v>
      </c>
      <c r="H11" s="138">
        <v>32.832</v>
      </c>
      <c r="I11" s="137">
        <v>500000</v>
      </c>
      <c r="J11" s="33">
        <f t="shared" si="0"/>
        <v>16416000</v>
      </c>
      <c r="K11" s="139">
        <v>19</v>
      </c>
      <c r="L11" s="139">
        <v>130000</v>
      </c>
      <c r="M11" s="33">
        <f t="shared" si="1"/>
        <v>2470000</v>
      </c>
      <c r="N11" s="33">
        <f t="shared" si="2"/>
        <v>18886000</v>
      </c>
      <c r="O11" s="90">
        <v>735000</v>
      </c>
      <c r="P11" s="33">
        <f t="shared" si="3"/>
        <v>235000</v>
      </c>
      <c r="Q11" s="33" t="s">
        <v>27</v>
      </c>
      <c r="R11" s="33">
        <f t="shared" si="4"/>
        <v>24131520</v>
      </c>
      <c r="S11" s="140">
        <v>2000000</v>
      </c>
      <c r="T11" s="33">
        <f t="shared" si="5"/>
        <v>7715520</v>
      </c>
      <c r="U11" s="34" t="s">
        <v>28</v>
      </c>
      <c r="V11" s="33">
        <f t="shared" si="6"/>
        <v>5715520</v>
      </c>
    </row>
    <row r="12" spans="1:22">
      <c r="A12" s="34">
        <f t="shared" si="7"/>
        <v>9</v>
      </c>
      <c r="B12" s="59" t="s">
        <v>22</v>
      </c>
      <c r="C12" s="134" t="s">
        <v>23</v>
      </c>
      <c r="D12" s="134" t="s">
        <v>37</v>
      </c>
      <c r="E12" s="135">
        <v>46198</v>
      </c>
      <c r="F12" s="136" t="s">
        <v>40</v>
      </c>
      <c r="G12" s="137" t="s">
        <v>26</v>
      </c>
      <c r="H12" s="138">
        <v>32.832</v>
      </c>
      <c r="I12" s="137">
        <v>500000</v>
      </c>
      <c r="J12" s="33">
        <f t="shared" si="0"/>
        <v>16416000</v>
      </c>
      <c r="K12" s="139">
        <v>19</v>
      </c>
      <c r="L12" s="139">
        <v>130000</v>
      </c>
      <c r="M12" s="33">
        <f t="shared" si="1"/>
        <v>2470000</v>
      </c>
      <c r="N12" s="33">
        <f t="shared" si="2"/>
        <v>18886000</v>
      </c>
      <c r="O12" s="90">
        <v>735000</v>
      </c>
      <c r="P12" s="33">
        <f t="shared" si="3"/>
        <v>235000</v>
      </c>
      <c r="Q12" s="33" t="s">
        <v>27</v>
      </c>
      <c r="R12" s="33">
        <f t="shared" si="4"/>
        <v>24131520</v>
      </c>
      <c r="S12" s="140">
        <v>2000000</v>
      </c>
      <c r="T12" s="33">
        <f t="shared" si="5"/>
        <v>7715520</v>
      </c>
      <c r="U12" s="34" t="s">
        <v>28</v>
      </c>
      <c r="V12" s="33">
        <f t="shared" si="6"/>
        <v>5715520</v>
      </c>
    </row>
    <row r="13" spans="1:22">
      <c r="A13" s="34">
        <f t="shared" si="7"/>
        <v>10</v>
      </c>
      <c r="B13" s="59" t="s">
        <v>22</v>
      </c>
      <c r="C13" s="144" t="s">
        <v>41</v>
      </c>
      <c r="D13" s="144" t="s">
        <v>42</v>
      </c>
      <c r="E13" s="145">
        <v>46198</v>
      </c>
      <c r="F13" s="146" t="s">
        <v>43</v>
      </c>
      <c r="G13" s="137" t="s">
        <v>26</v>
      </c>
      <c r="H13" s="138">
        <v>32.832</v>
      </c>
      <c r="I13" s="137">
        <v>500000</v>
      </c>
      <c r="J13" s="33">
        <f t="shared" si="0"/>
        <v>16416000</v>
      </c>
      <c r="K13" s="139">
        <v>19</v>
      </c>
      <c r="L13" s="139">
        <v>130000</v>
      </c>
      <c r="M13" s="33">
        <f t="shared" si="1"/>
        <v>2470000</v>
      </c>
      <c r="N13" s="33">
        <f t="shared" si="2"/>
        <v>18886000</v>
      </c>
      <c r="O13" s="90">
        <v>750000</v>
      </c>
      <c r="P13" s="33">
        <f t="shared" si="3"/>
        <v>250000</v>
      </c>
      <c r="Q13" s="33" t="s">
        <v>27</v>
      </c>
      <c r="R13" s="33">
        <f t="shared" si="4"/>
        <v>24624000</v>
      </c>
      <c r="S13" s="140">
        <v>2500000</v>
      </c>
      <c r="T13" s="33">
        <f t="shared" si="5"/>
        <v>8208000</v>
      </c>
      <c r="U13" s="34" t="s">
        <v>28</v>
      </c>
      <c r="V13" s="33">
        <f t="shared" si="6"/>
        <v>5708000</v>
      </c>
    </row>
    <row r="14" spans="1:22">
      <c r="A14" s="34">
        <f t="shared" si="7"/>
        <v>11</v>
      </c>
      <c r="B14" s="59" t="s">
        <v>22</v>
      </c>
      <c r="C14" s="144" t="s">
        <v>41</v>
      </c>
      <c r="D14" s="144" t="s">
        <v>42</v>
      </c>
      <c r="E14" s="145">
        <v>46198</v>
      </c>
      <c r="F14" s="146" t="s">
        <v>44</v>
      </c>
      <c r="G14" s="137" t="s">
        <v>26</v>
      </c>
      <c r="H14" s="138">
        <v>31.104</v>
      </c>
      <c r="I14" s="137">
        <v>500000</v>
      </c>
      <c r="J14" s="33">
        <f t="shared" si="0"/>
        <v>15552000</v>
      </c>
      <c r="K14" s="139">
        <v>18</v>
      </c>
      <c r="L14" s="139">
        <v>130000</v>
      </c>
      <c r="M14" s="33">
        <f t="shared" si="1"/>
        <v>2340000</v>
      </c>
      <c r="N14" s="33">
        <f t="shared" si="2"/>
        <v>17892000</v>
      </c>
      <c r="O14" s="90">
        <v>750000</v>
      </c>
      <c r="P14" s="33">
        <f t="shared" si="3"/>
        <v>250000</v>
      </c>
      <c r="Q14" s="33" t="s">
        <v>27</v>
      </c>
      <c r="R14" s="33">
        <f t="shared" si="4"/>
        <v>23328000</v>
      </c>
      <c r="S14" s="140">
        <v>2500000</v>
      </c>
      <c r="T14" s="33">
        <f t="shared" si="5"/>
        <v>7776000</v>
      </c>
      <c r="U14" s="34" t="s">
        <v>28</v>
      </c>
      <c r="V14" s="33">
        <f t="shared" si="6"/>
        <v>5276000</v>
      </c>
    </row>
    <row r="15" spans="1:22">
      <c r="A15" s="34">
        <f t="shared" si="7"/>
        <v>12</v>
      </c>
      <c r="B15" s="59" t="s">
        <v>22</v>
      </c>
      <c r="C15" s="141" t="s">
        <v>32</v>
      </c>
      <c r="D15" s="141" t="s">
        <v>33</v>
      </c>
      <c r="E15" s="142">
        <v>46200</v>
      </c>
      <c r="F15" s="143" t="s">
        <v>45</v>
      </c>
      <c r="G15" s="137" t="s">
        <v>46</v>
      </c>
      <c r="H15" s="138">
        <v>32.832</v>
      </c>
      <c r="I15" s="137">
        <v>500000</v>
      </c>
      <c r="J15" s="33">
        <f t="shared" si="0"/>
        <v>16416000</v>
      </c>
      <c r="K15" s="139">
        <v>19</v>
      </c>
      <c r="L15" s="139">
        <v>130000</v>
      </c>
      <c r="M15" s="33">
        <f t="shared" si="1"/>
        <v>2470000</v>
      </c>
      <c r="N15" s="33">
        <f t="shared" si="2"/>
        <v>18886000</v>
      </c>
      <c r="O15" s="90">
        <v>750000</v>
      </c>
      <c r="P15" s="33">
        <f t="shared" si="3"/>
        <v>250000</v>
      </c>
      <c r="Q15" s="33" t="s">
        <v>27</v>
      </c>
      <c r="R15" s="33">
        <f t="shared" si="4"/>
        <v>24624000</v>
      </c>
      <c r="S15" s="140">
        <v>2500000</v>
      </c>
      <c r="T15" s="33">
        <f t="shared" si="5"/>
        <v>8208000</v>
      </c>
      <c r="U15" s="34" t="s">
        <v>28</v>
      </c>
      <c r="V15" s="33">
        <f t="shared" si="6"/>
        <v>5708000</v>
      </c>
    </row>
    <row r="16" spans="1:22">
      <c r="A16" s="34">
        <f t="shared" si="7"/>
        <v>13</v>
      </c>
      <c r="B16" s="59" t="s">
        <v>22</v>
      </c>
      <c r="C16" s="141" t="s">
        <v>32</v>
      </c>
      <c r="D16" s="141" t="s">
        <v>33</v>
      </c>
      <c r="E16" s="142">
        <v>46200</v>
      </c>
      <c r="F16" s="143" t="s">
        <v>47</v>
      </c>
      <c r="G16" s="137" t="s">
        <v>46</v>
      </c>
      <c r="H16" s="138">
        <v>32.832</v>
      </c>
      <c r="I16" s="137">
        <v>500000</v>
      </c>
      <c r="J16" s="33">
        <f t="shared" si="0"/>
        <v>16416000</v>
      </c>
      <c r="K16" s="139">
        <v>19</v>
      </c>
      <c r="L16" s="139">
        <v>130000</v>
      </c>
      <c r="M16" s="33">
        <f t="shared" si="1"/>
        <v>2470000</v>
      </c>
      <c r="N16" s="33">
        <f t="shared" si="2"/>
        <v>18886000</v>
      </c>
      <c r="O16" s="90">
        <v>750000</v>
      </c>
      <c r="P16" s="33">
        <f t="shared" si="3"/>
        <v>250000</v>
      </c>
      <c r="Q16" s="33" t="s">
        <v>27</v>
      </c>
      <c r="R16" s="33">
        <f t="shared" si="4"/>
        <v>24624000</v>
      </c>
      <c r="S16" s="140">
        <v>2000000</v>
      </c>
      <c r="T16" s="33">
        <f t="shared" si="5"/>
        <v>8208000</v>
      </c>
      <c r="U16" s="34" t="s">
        <v>28</v>
      </c>
      <c r="V16" s="33">
        <f t="shared" si="6"/>
        <v>6208000</v>
      </c>
    </row>
    <row r="17" spans="1:22">
      <c r="A17" s="34">
        <f t="shared" si="7"/>
        <v>14</v>
      </c>
      <c r="B17" s="59" t="s">
        <v>22</v>
      </c>
      <c r="C17" s="141" t="s">
        <v>32</v>
      </c>
      <c r="D17" s="141" t="s">
        <v>33</v>
      </c>
      <c r="E17" s="142">
        <v>46200</v>
      </c>
      <c r="F17" s="143" t="s">
        <v>48</v>
      </c>
      <c r="G17" s="137" t="s">
        <v>26</v>
      </c>
      <c r="H17" s="138">
        <v>32.832</v>
      </c>
      <c r="I17" s="137">
        <v>500000</v>
      </c>
      <c r="J17" s="33">
        <f t="shared" si="0"/>
        <v>16416000</v>
      </c>
      <c r="K17" s="139">
        <v>19</v>
      </c>
      <c r="L17" s="139">
        <v>130000</v>
      </c>
      <c r="M17" s="33">
        <f t="shared" si="1"/>
        <v>2470000</v>
      </c>
      <c r="N17" s="33">
        <f t="shared" si="2"/>
        <v>18886000</v>
      </c>
      <c r="O17" s="90">
        <v>750000</v>
      </c>
      <c r="P17" s="33">
        <f t="shared" si="3"/>
        <v>250000</v>
      </c>
      <c r="Q17" s="33" t="s">
        <v>27</v>
      </c>
      <c r="R17" s="33">
        <f t="shared" si="4"/>
        <v>24624000</v>
      </c>
      <c r="S17" s="140">
        <v>2000000</v>
      </c>
      <c r="T17" s="33">
        <f t="shared" si="5"/>
        <v>8208000</v>
      </c>
      <c r="U17" s="34" t="s">
        <v>28</v>
      </c>
      <c r="V17" s="33">
        <f t="shared" si="6"/>
        <v>6208000</v>
      </c>
    </row>
    <row r="18" spans="1:22">
      <c r="A18" s="34">
        <f t="shared" si="7"/>
        <v>15</v>
      </c>
      <c r="B18" s="59" t="s">
        <v>22</v>
      </c>
      <c r="C18" s="141" t="s">
        <v>32</v>
      </c>
      <c r="D18" s="141" t="s">
        <v>33</v>
      </c>
      <c r="E18" s="142">
        <v>46200</v>
      </c>
      <c r="F18" s="143" t="s">
        <v>49</v>
      </c>
      <c r="G18" s="137" t="s">
        <v>26</v>
      </c>
      <c r="H18" s="138">
        <v>32.832</v>
      </c>
      <c r="I18" s="137">
        <v>500000</v>
      </c>
      <c r="J18" s="33">
        <f t="shared" si="0"/>
        <v>16416000</v>
      </c>
      <c r="K18" s="139">
        <v>19</v>
      </c>
      <c r="L18" s="139">
        <v>130000</v>
      </c>
      <c r="M18" s="33">
        <f t="shared" si="1"/>
        <v>2470000</v>
      </c>
      <c r="N18" s="33">
        <f t="shared" si="2"/>
        <v>18886000</v>
      </c>
      <c r="O18" s="90">
        <v>750000</v>
      </c>
      <c r="P18" s="33">
        <f t="shared" si="3"/>
        <v>250000</v>
      </c>
      <c r="Q18" s="33" t="s">
        <v>27</v>
      </c>
      <c r="R18" s="33">
        <f t="shared" si="4"/>
        <v>24624000</v>
      </c>
      <c r="S18" s="140">
        <v>2000000</v>
      </c>
      <c r="T18" s="33">
        <f t="shared" si="5"/>
        <v>8208000</v>
      </c>
      <c r="U18" s="34" t="s">
        <v>28</v>
      </c>
      <c r="V18" s="33">
        <f t="shared" si="6"/>
        <v>6208000</v>
      </c>
    </row>
    <row r="19" spans="1:22">
      <c r="A19" s="34">
        <f t="shared" si="7"/>
        <v>16</v>
      </c>
      <c r="B19" s="59" t="s">
        <v>22</v>
      </c>
      <c r="C19" s="147" t="s">
        <v>50</v>
      </c>
      <c r="D19" s="147" t="s">
        <v>51</v>
      </c>
      <c r="E19" s="148">
        <v>46200</v>
      </c>
      <c r="F19" s="149" t="s">
        <v>52</v>
      </c>
      <c r="G19" s="137" t="s">
        <v>26</v>
      </c>
      <c r="H19" s="138">
        <v>32.832</v>
      </c>
      <c r="I19" s="137">
        <v>500000</v>
      </c>
      <c r="J19" s="33">
        <f t="shared" si="0"/>
        <v>16416000</v>
      </c>
      <c r="K19" s="139">
        <v>19</v>
      </c>
      <c r="L19" s="139">
        <v>130000</v>
      </c>
      <c r="M19" s="33">
        <f t="shared" si="1"/>
        <v>2470000</v>
      </c>
      <c r="N19" s="33">
        <f t="shared" si="2"/>
        <v>18886000</v>
      </c>
      <c r="O19" s="90">
        <v>760000</v>
      </c>
      <c r="P19" s="33">
        <f t="shared" si="3"/>
        <v>260000</v>
      </c>
      <c r="Q19" s="33" t="s">
        <v>27</v>
      </c>
      <c r="R19" s="33">
        <f t="shared" si="4"/>
        <v>24952320</v>
      </c>
      <c r="S19" s="140">
        <v>2000000</v>
      </c>
      <c r="T19" s="33">
        <f t="shared" si="5"/>
        <v>8536320</v>
      </c>
      <c r="U19" s="34" t="s">
        <v>28</v>
      </c>
      <c r="V19" s="33">
        <f t="shared" si="6"/>
        <v>6536320</v>
      </c>
    </row>
    <row r="20" spans="1:22">
      <c r="A20" s="34">
        <f t="shared" si="7"/>
        <v>17</v>
      </c>
      <c r="B20" s="59" t="s">
        <v>22</v>
      </c>
      <c r="C20" s="147" t="s">
        <v>50</v>
      </c>
      <c r="D20" s="147" t="s">
        <v>53</v>
      </c>
      <c r="E20" s="148">
        <v>46200</v>
      </c>
      <c r="F20" s="149" t="s">
        <v>31</v>
      </c>
      <c r="G20" s="137" t="s">
        <v>26</v>
      </c>
      <c r="H20" s="138">
        <v>32.832</v>
      </c>
      <c r="I20" s="137">
        <v>500000</v>
      </c>
      <c r="J20" s="33">
        <f t="shared" si="0"/>
        <v>16416000</v>
      </c>
      <c r="K20" s="139">
        <v>19</v>
      </c>
      <c r="L20" s="139">
        <v>130000</v>
      </c>
      <c r="M20" s="33">
        <f t="shared" si="1"/>
        <v>2470000</v>
      </c>
      <c r="N20" s="33">
        <f t="shared" si="2"/>
        <v>18886000</v>
      </c>
      <c r="O20" s="90">
        <v>729928.1</v>
      </c>
      <c r="P20" s="33">
        <f t="shared" si="3"/>
        <v>229928.1</v>
      </c>
      <c r="Q20" s="33" t="s">
        <v>27</v>
      </c>
      <c r="R20" s="33">
        <f t="shared" si="4"/>
        <v>23964999.3792</v>
      </c>
      <c r="S20" s="140">
        <v>2000000</v>
      </c>
      <c r="T20" s="33">
        <f t="shared" si="5"/>
        <v>7548999.3792</v>
      </c>
      <c r="U20" s="34" t="s">
        <v>28</v>
      </c>
      <c r="V20" s="33">
        <f t="shared" si="6"/>
        <v>5548999.3792</v>
      </c>
    </row>
    <row r="21" spans="1:22">
      <c r="A21" s="34">
        <f t="shared" si="7"/>
        <v>18</v>
      </c>
      <c r="B21" s="59" t="s">
        <v>22</v>
      </c>
      <c r="C21" s="147" t="s">
        <v>50</v>
      </c>
      <c r="D21" s="147" t="s">
        <v>51</v>
      </c>
      <c r="E21" s="148">
        <v>46201</v>
      </c>
      <c r="F21" s="149" t="s">
        <v>54</v>
      </c>
      <c r="G21" s="137" t="s">
        <v>26</v>
      </c>
      <c r="H21" s="138">
        <v>32.832</v>
      </c>
      <c r="I21" s="137">
        <v>500000</v>
      </c>
      <c r="J21" s="33">
        <f t="shared" si="0"/>
        <v>16416000</v>
      </c>
      <c r="K21" s="139">
        <v>19</v>
      </c>
      <c r="L21" s="139">
        <v>130000</v>
      </c>
      <c r="M21" s="33">
        <f t="shared" si="1"/>
        <v>2470000</v>
      </c>
      <c r="N21" s="33">
        <f t="shared" si="2"/>
        <v>18886000</v>
      </c>
      <c r="O21" s="90">
        <v>760000</v>
      </c>
      <c r="P21" s="33">
        <f t="shared" si="3"/>
        <v>260000</v>
      </c>
      <c r="Q21" s="33" t="s">
        <v>27</v>
      </c>
      <c r="R21" s="33">
        <f t="shared" si="4"/>
        <v>24952320</v>
      </c>
      <c r="S21" s="140">
        <v>2000000</v>
      </c>
      <c r="T21" s="33">
        <f t="shared" si="5"/>
        <v>8536320</v>
      </c>
      <c r="U21" s="34" t="s">
        <v>28</v>
      </c>
      <c r="V21" s="33">
        <f t="shared" si="6"/>
        <v>6536320</v>
      </c>
    </row>
    <row r="22" spans="1:22">
      <c r="A22" s="34">
        <f t="shared" si="7"/>
        <v>19</v>
      </c>
      <c r="B22" s="59" t="s">
        <v>22</v>
      </c>
      <c r="C22" s="141" t="s">
        <v>32</v>
      </c>
      <c r="D22" s="141" t="s">
        <v>55</v>
      </c>
      <c r="E22" s="142">
        <v>46203</v>
      </c>
      <c r="F22" s="115" t="s">
        <v>49</v>
      </c>
      <c r="G22" s="137" t="s">
        <v>26</v>
      </c>
      <c r="H22" s="138">
        <v>32.832</v>
      </c>
      <c r="I22" s="137">
        <v>500000</v>
      </c>
      <c r="J22" s="33">
        <f t="shared" si="0"/>
        <v>16416000</v>
      </c>
      <c r="K22" s="139">
        <v>19</v>
      </c>
      <c r="L22" s="139">
        <v>130000</v>
      </c>
      <c r="M22" s="33">
        <f t="shared" si="1"/>
        <v>2470000</v>
      </c>
      <c r="N22" s="33">
        <f t="shared" si="2"/>
        <v>18886000</v>
      </c>
      <c r="O22" s="90">
        <v>730000</v>
      </c>
      <c r="P22" s="33">
        <f t="shared" si="3"/>
        <v>230000</v>
      </c>
      <c r="Q22" s="33" t="s">
        <v>27</v>
      </c>
      <c r="R22" s="33">
        <f t="shared" si="4"/>
        <v>23967360</v>
      </c>
      <c r="S22" s="140">
        <v>2000000</v>
      </c>
      <c r="T22" s="33">
        <f t="shared" si="5"/>
        <v>7551360</v>
      </c>
      <c r="U22" s="34" t="s">
        <v>28</v>
      </c>
      <c r="V22" s="33">
        <f t="shared" si="6"/>
        <v>5551360</v>
      </c>
    </row>
    <row r="23" spans="1:22">
      <c r="A23" s="34">
        <f t="shared" si="7"/>
        <v>20</v>
      </c>
      <c r="B23" s="59" t="s">
        <v>22</v>
      </c>
      <c r="C23" s="141" t="s">
        <v>32</v>
      </c>
      <c r="D23" s="141" t="s">
        <v>55</v>
      </c>
      <c r="E23" s="142">
        <v>46203</v>
      </c>
      <c r="F23" s="115" t="s">
        <v>56</v>
      </c>
      <c r="G23" s="137" t="s">
        <v>26</v>
      </c>
      <c r="H23" s="138">
        <v>32.832</v>
      </c>
      <c r="I23" s="137">
        <v>500000</v>
      </c>
      <c r="J23" s="33">
        <f t="shared" si="0"/>
        <v>16416000</v>
      </c>
      <c r="K23" s="139">
        <v>19</v>
      </c>
      <c r="L23" s="139">
        <v>130000</v>
      </c>
      <c r="M23" s="33">
        <f t="shared" si="1"/>
        <v>2470000</v>
      </c>
      <c r="N23" s="33">
        <f t="shared" si="2"/>
        <v>18886000</v>
      </c>
      <c r="O23" s="90">
        <v>730000</v>
      </c>
      <c r="P23" s="33">
        <f t="shared" si="3"/>
        <v>230000</v>
      </c>
      <c r="Q23" s="33" t="s">
        <v>27</v>
      </c>
      <c r="R23" s="33">
        <f t="shared" si="4"/>
        <v>23967360</v>
      </c>
      <c r="S23" s="140">
        <v>2000000</v>
      </c>
      <c r="T23" s="33">
        <f t="shared" si="5"/>
        <v>7551360</v>
      </c>
      <c r="U23" s="34" t="s">
        <v>28</v>
      </c>
      <c r="V23" s="33">
        <f t="shared" si="6"/>
        <v>5551360</v>
      </c>
    </row>
    <row r="24" spans="1:22">
      <c r="A24" s="34">
        <f t="shared" si="7"/>
        <v>21</v>
      </c>
      <c r="B24" s="59" t="s">
        <v>22</v>
      </c>
      <c r="C24" s="134" t="s">
        <v>23</v>
      </c>
      <c r="D24" s="134" t="s">
        <v>57</v>
      </c>
      <c r="E24" s="135">
        <v>46203</v>
      </c>
      <c r="F24" s="150" t="s">
        <v>58</v>
      </c>
      <c r="G24" s="137" t="s">
        <v>26</v>
      </c>
      <c r="H24" s="138">
        <v>32.832</v>
      </c>
      <c r="I24" s="137">
        <v>500000</v>
      </c>
      <c r="J24" s="33">
        <f t="shared" si="0"/>
        <v>16416000</v>
      </c>
      <c r="K24" s="139">
        <v>19</v>
      </c>
      <c r="L24" s="139">
        <v>130000</v>
      </c>
      <c r="M24" s="33">
        <f t="shared" si="1"/>
        <v>2470000</v>
      </c>
      <c r="N24" s="33">
        <f t="shared" si="2"/>
        <v>18886000</v>
      </c>
      <c r="O24" s="90">
        <v>735000</v>
      </c>
      <c r="P24" s="33">
        <f t="shared" si="3"/>
        <v>235000</v>
      </c>
      <c r="Q24" s="33" t="s">
        <v>27</v>
      </c>
      <c r="R24" s="33">
        <f t="shared" si="4"/>
        <v>24131520</v>
      </c>
      <c r="S24" s="140">
        <v>2000000</v>
      </c>
      <c r="T24" s="33">
        <f t="shared" si="5"/>
        <v>7715520</v>
      </c>
      <c r="U24" s="34" t="s">
        <v>28</v>
      </c>
      <c r="V24" s="33">
        <f t="shared" si="6"/>
        <v>5715520</v>
      </c>
    </row>
    <row r="25" spans="1:22">
      <c r="A25" s="34">
        <v>22</v>
      </c>
      <c r="B25" s="59" t="s">
        <v>22</v>
      </c>
      <c r="C25" s="134" t="s">
        <v>23</v>
      </c>
      <c r="D25" s="134" t="s">
        <v>59</v>
      </c>
      <c r="E25" s="135">
        <v>46204</v>
      </c>
      <c r="F25" s="150" t="s">
        <v>60</v>
      </c>
      <c r="G25" s="137" t="s">
        <v>26</v>
      </c>
      <c r="H25" s="138">
        <v>32.832</v>
      </c>
      <c r="I25" s="151">
        <v>500000</v>
      </c>
      <c r="J25" s="33">
        <f t="shared" si="0"/>
        <v>16416000</v>
      </c>
      <c r="K25" s="139">
        <v>19</v>
      </c>
      <c r="L25" s="139">
        <v>130000</v>
      </c>
      <c r="M25" s="33">
        <f t="shared" si="1"/>
        <v>2470000</v>
      </c>
      <c r="N25" s="33">
        <f t="shared" si="2"/>
        <v>18886000</v>
      </c>
      <c r="O25" s="90">
        <v>730000</v>
      </c>
      <c r="P25" s="33">
        <f t="shared" si="3"/>
        <v>230000</v>
      </c>
      <c r="Q25" s="33" t="s">
        <v>27</v>
      </c>
      <c r="R25" s="33">
        <f t="shared" si="4"/>
        <v>23967360</v>
      </c>
      <c r="S25" s="140">
        <v>2000000</v>
      </c>
      <c r="T25" s="33">
        <f t="shared" si="5"/>
        <v>7551360</v>
      </c>
      <c r="U25" s="34" t="s">
        <v>28</v>
      </c>
      <c r="V25" s="33">
        <f t="shared" si="6"/>
        <v>5551360</v>
      </c>
    </row>
    <row r="26" spans="1:22">
      <c r="A26" s="34">
        <f>A25+1</f>
        <v>23</v>
      </c>
      <c r="B26" s="59" t="s">
        <v>22</v>
      </c>
      <c r="C26" s="134" t="s">
        <v>23</v>
      </c>
      <c r="D26" s="134" t="s">
        <v>61</v>
      </c>
      <c r="E26" s="135">
        <v>46204</v>
      </c>
      <c r="F26" s="150" t="s">
        <v>62</v>
      </c>
      <c r="G26" s="137" t="s">
        <v>26</v>
      </c>
      <c r="H26" s="138">
        <v>32.832</v>
      </c>
      <c r="I26" s="151">
        <v>500000</v>
      </c>
      <c r="J26" s="33">
        <f t="shared" si="0"/>
        <v>16416000</v>
      </c>
      <c r="K26" s="139">
        <v>19</v>
      </c>
      <c r="L26" s="139">
        <v>130000</v>
      </c>
      <c r="M26" s="33">
        <f t="shared" si="1"/>
        <v>2470000</v>
      </c>
      <c r="N26" s="33">
        <f t="shared" si="2"/>
        <v>18886000</v>
      </c>
      <c r="O26" s="90">
        <v>730000</v>
      </c>
      <c r="P26" s="33">
        <f t="shared" si="3"/>
        <v>230000</v>
      </c>
      <c r="Q26" s="33" t="s">
        <v>27</v>
      </c>
      <c r="R26" s="33">
        <f t="shared" si="4"/>
        <v>23967360</v>
      </c>
      <c r="S26" s="44">
        <v>2500000</v>
      </c>
      <c r="T26" s="33">
        <f t="shared" si="5"/>
        <v>7551360</v>
      </c>
      <c r="U26" s="34" t="s">
        <v>28</v>
      </c>
      <c r="V26" s="33">
        <f t="shared" si="6"/>
        <v>5051360</v>
      </c>
    </row>
    <row r="27" spans="1:22">
      <c r="A27" s="34">
        <f t="shared" ref="A27:A90" si="8">A26+1</f>
        <v>24</v>
      </c>
      <c r="B27" s="59" t="s">
        <v>22</v>
      </c>
      <c r="C27" s="144" t="s">
        <v>41</v>
      </c>
      <c r="D27" s="144" t="s">
        <v>42</v>
      </c>
      <c r="E27" s="145">
        <v>46204</v>
      </c>
      <c r="F27" s="152" t="s">
        <v>63</v>
      </c>
      <c r="G27" s="137" t="s">
        <v>26</v>
      </c>
      <c r="H27" s="138">
        <v>32.832</v>
      </c>
      <c r="I27" s="151">
        <v>500000</v>
      </c>
      <c r="J27" s="33">
        <f t="shared" si="0"/>
        <v>16416000</v>
      </c>
      <c r="K27" s="139">
        <v>19</v>
      </c>
      <c r="L27" s="139">
        <v>130000</v>
      </c>
      <c r="M27" s="33">
        <f t="shared" si="1"/>
        <v>2470000</v>
      </c>
      <c r="N27" s="33">
        <f t="shared" si="2"/>
        <v>18886000</v>
      </c>
      <c r="O27" s="90">
        <v>750000</v>
      </c>
      <c r="P27" s="33">
        <f t="shared" si="3"/>
        <v>250000</v>
      </c>
      <c r="Q27" s="33" t="s">
        <v>27</v>
      </c>
      <c r="R27" s="33">
        <f t="shared" si="4"/>
        <v>24624000</v>
      </c>
      <c r="S27" s="153">
        <v>2500000</v>
      </c>
      <c r="T27" s="33">
        <f t="shared" si="5"/>
        <v>8208000</v>
      </c>
      <c r="U27" s="34" t="s">
        <v>28</v>
      </c>
      <c r="V27" s="33">
        <f t="shared" si="6"/>
        <v>5708000</v>
      </c>
    </row>
    <row r="28" spans="1:22">
      <c r="A28" s="34">
        <f t="shared" si="8"/>
        <v>25</v>
      </c>
      <c r="B28" s="59" t="s">
        <v>22</v>
      </c>
      <c r="C28" s="141" t="s">
        <v>32</v>
      </c>
      <c r="D28" s="141" t="s">
        <v>33</v>
      </c>
      <c r="E28" s="142">
        <v>46204</v>
      </c>
      <c r="F28" s="115" t="s">
        <v>64</v>
      </c>
      <c r="G28" s="137" t="s">
        <v>26</v>
      </c>
      <c r="H28" s="138">
        <v>32.832</v>
      </c>
      <c r="I28" s="151">
        <v>500000</v>
      </c>
      <c r="J28" s="33">
        <f t="shared" si="0"/>
        <v>16416000</v>
      </c>
      <c r="K28" s="139">
        <v>19</v>
      </c>
      <c r="L28" s="139">
        <v>130000</v>
      </c>
      <c r="M28" s="33">
        <f t="shared" si="1"/>
        <v>2470000</v>
      </c>
      <c r="N28" s="33">
        <f t="shared" si="2"/>
        <v>18886000</v>
      </c>
      <c r="O28" s="90">
        <v>750000</v>
      </c>
      <c r="P28" s="33">
        <f t="shared" si="3"/>
        <v>250000</v>
      </c>
      <c r="Q28" s="33" t="s">
        <v>27</v>
      </c>
      <c r="R28" s="33">
        <f t="shared" si="4"/>
        <v>24624000</v>
      </c>
      <c r="S28" s="154">
        <v>2500000</v>
      </c>
      <c r="T28" s="33">
        <f t="shared" si="5"/>
        <v>8208000</v>
      </c>
      <c r="U28" s="34" t="s">
        <v>28</v>
      </c>
      <c r="V28" s="33">
        <f t="shared" si="6"/>
        <v>5708000</v>
      </c>
    </row>
    <row r="29" spans="1:22">
      <c r="A29" s="34">
        <f t="shared" si="8"/>
        <v>26</v>
      </c>
      <c r="B29" s="59" t="s">
        <v>22</v>
      </c>
      <c r="C29" s="144" t="s">
        <v>41</v>
      </c>
      <c r="D29" s="144" t="s">
        <v>42</v>
      </c>
      <c r="E29" s="145">
        <v>46204</v>
      </c>
      <c r="F29" s="152" t="s">
        <v>65</v>
      </c>
      <c r="G29" s="137" t="s">
        <v>46</v>
      </c>
      <c r="H29" s="138">
        <v>32.832</v>
      </c>
      <c r="I29" s="151">
        <v>500000</v>
      </c>
      <c r="J29" s="33">
        <f t="shared" si="0"/>
        <v>16416000</v>
      </c>
      <c r="K29" s="139">
        <v>19</v>
      </c>
      <c r="L29" s="139">
        <v>130000</v>
      </c>
      <c r="M29" s="33">
        <f t="shared" si="1"/>
        <v>2470000</v>
      </c>
      <c r="N29" s="33">
        <f t="shared" si="2"/>
        <v>18886000</v>
      </c>
      <c r="O29" s="90">
        <v>750000</v>
      </c>
      <c r="P29" s="33">
        <f t="shared" si="3"/>
        <v>250000</v>
      </c>
      <c r="Q29" s="33" t="s">
        <v>27</v>
      </c>
      <c r="R29" s="33">
        <f t="shared" si="4"/>
        <v>24624000</v>
      </c>
      <c r="S29" s="153">
        <v>2550000</v>
      </c>
      <c r="T29" s="33">
        <f t="shared" si="5"/>
        <v>8208000</v>
      </c>
      <c r="U29" s="34" t="s">
        <v>28</v>
      </c>
      <c r="V29" s="33">
        <f t="shared" si="6"/>
        <v>5658000</v>
      </c>
    </row>
    <row r="30" spans="1:22">
      <c r="A30" s="34">
        <f t="shared" si="8"/>
        <v>27</v>
      </c>
      <c r="B30" s="59" t="s">
        <v>22</v>
      </c>
      <c r="C30" s="144" t="s">
        <v>41</v>
      </c>
      <c r="D30" s="144" t="s">
        <v>42</v>
      </c>
      <c r="E30" s="145">
        <v>46204</v>
      </c>
      <c r="F30" s="152" t="s">
        <v>66</v>
      </c>
      <c r="G30" s="137" t="s">
        <v>46</v>
      </c>
      <c r="H30" s="138">
        <v>32.832</v>
      </c>
      <c r="I30" s="151">
        <v>500000</v>
      </c>
      <c r="J30" s="33">
        <f t="shared" si="0"/>
        <v>16416000</v>
      </c>
      <c r="K30" s="139">
        <v>19</v>
      </c>
      <c r="L30" s="139">
        <v>130000</v>
      </c>
      <c r="M30" s="33">
        <f t="shared" si="1"/>
        <v>2470000</v>
      </c>
      <c r="N30" s="33">
        <f t="shared" si="2"/>
        <v>18886000</v>
      </c>
      <c r="O30" s="90">
        <v>750000</v>
      </c>
      <c r="P30" s="33">
        <f t="shared" si="3"/>
        <v>250000</v>
      </c>
      <c r="Q30" s="33" t="s">
        <v>27</v>
      </c>
      <c r="R30" s="33">
        <f t="shared" si="4"/>
        <v>24624000</v>
      </c>
      <c r="S30" s="153">
        <v>2550000</v>
      </c>
      <c r="T30" s="33">
        <f t="shared" si="5"/>
        <v>8208000</v>
      </c>
      <c r="U30" s="34" t="s">
        <v>28</v>
      </c>
      <c r="V30" s="33">
        <f t="shared" si="6"/>
        <v>5658000</v>
      </c>
    </row>
    <row r="31" spans="1:22">
      <c r="A31" s="34">
        <f t="shared" si="8"/>
        <v>28</v>
      </c>
      <c r="B31" s="59" t="s">
        <v>22</v>
      </c>
      <c r="C31" s="134" t="s">
        <v>23</v>
      </c>
      <c r="D31" s="134" t="s">
        <v>59</v>
      </c>
      <c r="E31" s="135">
        <v>46205</v>
      </c>
      <c r="F31" s="150" t="s">
        <v>67</v>
      </c>
      <c r="G31" s="137" t="s">
        <v>46</v>
      </c>
      <c r="H31" s="138">
        <v>32.832</v>
      </c>
      <c r="I31" s="137">
        <v>625000</v>
      </c>
      <c r="J31" s="33">
        <f t="shared" si="0"/>
        <v>20520000</v>
      </c>
      <c r="K31" s="139">
        <v>19</v>
      </c>
      <c r="L31" s="139">
        <v>130000</v>
      </c>
      <c r="M31" s="33">
        <f t="shared" si="1"/>
        <v>2470000</v>
      </c>
      <c r="N31" s="33">
        <f t="shared" si="2"/>
        <v>22990000</v>
      </c>
      <c r="O31" s="90">
        <v>730000</v>
      </c>
      <c r="P31" s="33">
        <f t="shared" si="3"/>
        <v>105000</v>
      </c>
      <c r="Q31" s="33" t="s">
        <v>27</v>
      </c>
      <c r="R31" s="33">
        <f t="shared" si="4"/>
        <v>23967360</v>
      </c>
      <c r="S31" s="73">
        <v>2000000</v>
      </c>
      <c r="T31" s="33">
        <f t="shared" si="5"/>
        <v>3447360</v>
      </c>
      <c r="U31" s="34" t="s">
        <v>28</v>
      </c>
      <c r="V31" s="33">
        <f t="shared" si="6"/>
        <v>1447360</v>
      </c>
    </row>
    <row r="32" spans="1:22">
      <c r="A32" s="34">
        <f t="shared" si="8"/>
        <v>29</v>
      </c>
      <c r="B32" s="59" t="s">
        <v>22</v>
      </c>
      <c r="C32" s="134" t="s">
        <v>23</v>
      </c>
      <c r="D32" s="134" t="s">
        <v>61</v>
      </c>
      <c r="E32" s="135">
        <v>46206</v>
      </c>
      <c r="F32" s="155" t="s">
        <v>68</v>
      </c>
      <c r="G32" s="137" t="s">
        <v>26</v>
      </c>
      <c r="H32" s="138">
        <v>32.832</v>
      </c>
      <c r="I32" s="137">
        <v>625000</v>
      </c>
      <c r="J32" s="33">
        <f t="shared" si="0"/>
        <v>20520000</v>
      </c>
      <c r="K32" s="139">
        <v>19</v>
      </c>
      <c r="L32" s="139">
        <v>130000</v>
      </c>
      <c r="M32" s="33">
        <f t="shared" si="1"/>
        <v>2470000</v>
      </c>
      <c r="N32" s="33">
        <f t="shared" si="2"/>
        <v>22990000</v>
      </c>
      <c r="O32" s="90">
        <v>700000</v>
      </c>
      <c r="P32" s="33">
        <f t="shared" si="3"/>
        <v>75000</v>
      </c>
      <c r="Q32" s="33" t="s">
        <v>27</v>
      </c>
      <c r="R32" s="33">
        <f t="shared" si="4"/>
        <v>22982400</v>
      </c>
      <c r="S32" s="33">
        <v>2000000</v>
      </c>
      <c r="T32" s="33">
        <f t="shared" si="5"/>
        <v>2462400</v>
      </c>
      <c r="U32" s="34" t="s">
        <v>28</v>
      </c>
      <c r="V32" s="33">
        <f t="shared" si="6"/>
        <v>462400</v>
      </c>
    </row>
    <row r="33" spans="1:22">
      <c r="A33" s="34">
        <f t="shared" si="8"/>
        <v>30</v>
      </c>
      <c r="B33" s="59" t="s">
        <v>22</v>
      </c>
      <c r="C33" s="134" t="s">
        <v>23</v>
      </c>
      <c r="D33" s="134" t="s">
        <v>69</v>
      </c>
      <c r="E33" s="135">
        <v>46206</v>
      </c>
      <c r="F33" s="155" t="s">
        <v>70</v>
      </c>
      <c r="G33" s="137" t="s">
        <v>26</v>
      </c>
      <c r="H33" s="138">
        <v>32.832</v>
      </c>
      <c r="I33" s="137">
        <v>625000</v>
      </c>
      <c r="J33" s="33">
        <f t="shared" si="0"/>
        <v>20520000</v>
      </c>
      <c r="K33" s="139">
        <v>19</v>
      </c>
      <c r="L33" s="139">
        <v>130000</v>
      </c>
      <c r="M33" s="33">
        <f t="shared" si="1"/>
        <v>2470000</v>
      </c>
      <c r="N33" s="33">
        <f t="shared" si="2"/>
        <v>22990000</v>
      </c>
      <c r="O33" s="90">
        <v>700000</v>
      </c>
      <c r="P33" s="33">
        <f t="shared" si="3"/>
        <v>75000</v>
      </c>
      <c r="Q33" s="33" t="s">
        <v>27</v>
      </c>
      <c r="R33" s="33">
        <f t="shared" si="4"/>
        <v>22982400</v>
      </c>
      <c r="S33" s="33">
        <v>2000000</v>
      </c>
      <c r="T33" s="33">
        <f t="shared" si="5"/>
        <v>2462400</v>
      </c>
      <c r="U33" s="34" t="s">
        <v>28</v>
      </c>
      <c r="V33" s="33">
        <f t="shared" si="6"/>
        <v>462400</v>
      </c>
    </row>
    <row r="34" spans="1:22">
      <c r="A34" s="34">
        <f t="shared" si="8"/>
        <v>31</v>
      </c>
      <c r="B34" s="59" t="s">
        <v>22</v>
      </c>
      <c r="C34" s="147" t="s">
        <v>50</v>
      </c>
      <c r="D34" s="147" t="s">
        <v>53</v>
      </c>
      <c r="E34" s="148">
        <v>46206</v>
      </c>
      <c r="F34" s="156" t="s">
        <v>65</v>
      </c>
      <c r="G34" s="137" t="s">
        <v>26</v>
      </c>
      <c r="H34" s="138">
        <v>32.832</v>
      </c>
      <c r="I34" s="137">
        <v>625000</v>
      </c>
      <c r="J34" s="33">
        <f t="shared" si="0"/>
        <v>20520000</v>
      </c>
      <c r="K34" s="139">
        <v>19</v>
      </c>
      <c r="L34" s="139">
        <v>130000</v>
      </c>
      <c r="M34" s="33">
        <f t="shared" si="1"/>
        <v>2470000</v>
      </c>
      <c r="N34" s="33">
        <f t="shared" si="2"/>
        <v>22990000</v>
      </c>
      <c r="O34" s="90">
        <v>700000</v>
      </c>
      <c r="P34" s="33">
        <f t="shared" si="3"/>
        <v>75000</v>
      </c>
      <c r="Q34" s="33" t="s">
        <v>27</v>
      </c>
      <c r="R34" s="33">
        <f t="shared" si="4"/>
        <v>22982400</v>
      </c>
      <c r="S34" s="151">
        <v>2000000</v>
      </c>
      <c r="T34" s="33">
        <f t="shared" si="5"/>
        <v>2462400</v>
      </c>
      <c r="U34" s="34" t="s">
        <v>28</v>
      </c>
      <c r="V34" s="33">
        <f t="shared" si="6"/>
        <v>462400</v>
      </c>
    </row>
    <row r="35" spans="1:22">
      <c r="A35" s="34">
        <f t="shared" si="8"/>
        <v>32</v>
      </c>
      <c r="B35" s="59" t="s">
        <v>22</v>
      </c>
      <c r="C35" s="141" t="s">
        <v>32</v>
      </c>
      <c r="D35" s="141" t="s">
        <v>33</v>
      </c>
      <c r="E35" s="142">
        <v>46206</v>
      </c>
      <c r="F35" s="115" t="s">
        <v>71</v>
      </c>
      <c r="G35" s="137" t="s">
        <v>26</v>
      </c>
      <c r="H35" s="138">
        <v>32.832</v>
      </c>
      <c r="I35" s="137">
        <v>625000</v>
      </c>
      <c r="J35" s="33">
        <f t="shared" si="0"/>
        <v>20520000</v>
      </c>
      <c r="K35" s="139">
        <v>19</v>
      </c>
      <c r="L35" s="139">
        <v>130000</v>
      </c>
      <c r="M35" s="33">
        <f t="shared" si="1"/>
        <v>2470000</v>
      </c>
      <c r="N35" s="33">
        <f t="shared" si="2"/>
        <v>22990000</v>
      </c>
      <c r="O35" s="90">
        <v>700000</v>
      </c>
      <c r="P35" s="33">
        <f t="shared" si="3"/>
        <v>75000</v>
      </c>
      <c r="Q35" s="33" t="s">
        <v>27</v>
      </c>
      <c r="R35" s="33">
        <f t="shared" si="4"/>
        <v>22982400</v>
      </c>
      <c r="S35" s="151">
        <v>2500000</v>
      </c>
      <c r="T35" s="33">
        <f t="shared" si="5"/>
        <v>2462400</v>
      </c>
      <c r="U35" s="34" t="s">
        <v>28</v>
      </c>
      <c r="V35" s="33">
        <f t="shared" si="6"/>
        <v>-37600</v>
      </c>
    </row>
    <row r="36" spans="1:22">
      <c r="A36" s="34">
        <f t="shared" si="8"/>
        <v>33</v>
      </c>
      <c r="B36" s="59" t="s">
        <v>22</v>
      </c>
      <c r="C36" s="147" t="s">
        <v>50</v>
      </c>
      <c r="D36" s="147" t="s">
        <v>53</v>
      </c>
      <c r="E36" s="148">
        <v>46206</v>
      </c>
      <c r="F36" s="156" t="s">
        <v>72</v>
      </c>
      <c r="G36" s="137" t="s">
        <v>26</v>
      </c>
      <c r="H36" s="138">
        <v>32.832</v>
      </c>
      <c r="I36" s="137">
        <v>625000</v>
      </c>
      <c r="J36" s="33">
        <f t="shared" si="0"/>
        <v>20520000</v>
      </c>
      <c r="K36" s="139">
        <v>19</v>
      </c>
      <c r="L36" s="139">
        <v>130000</v>
      </c>
      <c r="M36" s="33">
        <f t="shared" si="1"/>
        <v>2470000</v>
      </c>
      <c r="N36" s="33">
        <f t="shared" si="2"/>
        <v>22990000</v>
      </c>
      <c r="O36" s="90">
        <v>700000</v>
      </c>
      <c r="P36" s="33">
        <f t="shared" si="3"/>
        <v>75000</v>
      </c>
      <c r="Q36" s="33" t="s">
        <v>27</v>
      </c>
      <c r="R36" s="33">
        <f t="shared" si="4"/>
        <v>22982400</v>
      </c>
      <c r="S36" s="151">
        <v>2000000</v>
      </c>
      <c r="T36" s="33">
        <f t="shared" si="5"/>
        <v>2462400</v>
      </c>
      <c r="U36" s="34" t="s">
        <v>28</v>
      </c>
      <c r="V36" s="33">
        <f t="shared" si="6"/>
        <v>462400</v>
      </c>
    </row>
    <row r="37" spans="1:22">
      <c r="A37" s="34">
        <f t="shared" si="8"/>
        <v>34</v>
      </c>
      <c r="B37" s="59" t="s">
        <v>22</v>
      </c>
      <c r="C37" s="134" t="s">
        <v>23</v>
      </c>
      <c r="D37" s="134" t="s">
        <v>69</v>
      </c>
      <c r="E37" s="135">
        <v>46206</v>
      </c>
      <c r="F37" s="155" t="s">
        <v>73</v>
      </c>
      <c r="G37" s="137" t="s">
        <v>26</v>
      </c>
      <c r="H37" s="138">
        <v>32.832</v>
      </c>
      <c r="I37" s="137">
        <v>625000</v>
      </c>
      <c r="J37" s="33">
        <f t="shared" si="0"/>
        <v>20520000</v>
      </c>
      <c r="K37" s="139">
        <v>19</v>
      </c>
      <c r="L37" s="139">
        <v>130000</v>
      </c>
      <c r="M37" s="33">
        <f t="shared" si="1"/>
        <v>2470000</v>
      </c>
      <c r="N37" s="33">
        <f t="shared" si="2"/>
        <v>22990000</v>
      </c>
      <c r="O37" s="90">
        <v>700000</v>
      </c>
      <c r="P37" s="33">
        <f t="shared" si="3"/>
        <v>75000</v>
      </c>
      <c r="Q37" s="33" t="s">
        <v>27</v>
      </c>
      <c r="R37" s="33">
        <f t="shared" si="4"/>
        <v>22982400</v>
      </c>
      <c r="S37" s="33">
        <v>2000000</v>
      </c>
      <c r="T37" s="33">
        <f t="shared" si="5"/>
        <v>2462400</v>
      </c>
      <c r="U37" s="34" t="s">
        <v>28</v>
      </c>
      <c r="V37" s="33">
        <f t="shared" si="6"/>
        <v>462400</v>
      </c>
    </row>
    <row r="38" spans="1:22">
      <c r="A38" s="34">
        <f t="shared" si="8"/>
        <v>35</v>
      </c>
      <c r="B38" s="59" t="s">
        <v>22</v>
      </c>
      <c r="C38" s="134" t="s">
        <v>23</v>
      </c>
      <c r="D38" s="134" t="s">
        <v>69</v>
      </c>
      <c r="E38" s="135">
        <v>46206</v>
      </c>
      <c r="F38" s="155" t="s">
        <v>74</v>
      </c>
      <c r="G38" s="137" t="s">
        <v>26</v>
      </c>
      <c r="H38" s="138">
        <v>32.832</v>
      </c>
      <c r="I38" s="137">
        <v>625000</v>
      </c>
      <c r="J38" s="33">
        <f t="shared" si="0"/>
        <v>20520000</v>
      </c>
      <c r="K38" s="139">
        <v>19</v>
      </c>
      <c r="L38" s="139">
        <v>130000</v>
      </c>
      <c r="M38" s="33">
        <f t="shared" si="1"/>
        <v>2470000</v>
      </c>
      <c r="N38" s="33">
        <f t="shared" si="2"/>
        <v>22990000</v>
      </c>
      <c r="O38" s="90">
        <v>700000</v>
      </c>
      <c r="P38" s="33">
        <f t="shared" si="3"/>
        <v>75000</v>
      </c>
      <c r="Q38" s="33" t="s">
        <v>27</v>
      </c>
      <c r="R38" s="33">
        <f t="shared" si="4"/>
        <v>22982400</v>
      </c>
      <c r="S38" s="33">
        <v>2000000</v>
      </c>
      <c r="T38" s="33">
        <f t="shared" si="5"/>
        <v>2462400</v>
      </c>
      <c r="U38" s="34" t="s">
        <v>28</v>
      </c>
      <c r="V38" s="33">
        <f t="shared" si="6"/>
        <v>462400</v>
      </c>
    </row>
    <row r="39" spans="1:22">
      <c r="A39" s="34">
        <f t="shared" si="8"/>
        <v>36</v>
      </c>
      <c r="B39" s="59" t="s">
        <v>22</v>
      </c>
      <c r="C39" s="141" t="s">
        <v>32</v>
      </c>
      <c r="D39" s="141" t="s">
        <v>33</v>
      </c>
      <c r="E39" s="142">
        <v>46206</v>
      </c>
      <c r="F39" s="115" t="s">
        <v>75</v>
      </c>
      <c r="G39" s="137" t="s">
        <v>46</v>
      </c>
      <c r="H39" s="138">
        <v>32.832</v>
      </c>
      <c r="I39" s="137">
        <v>625000</v>
      </c>
      <c r="J39" s="33">
        <f t="shared" si="0"/>
        <v>20520000</v>
      </c>
      <c r="K39" s="139">
        <v>19</v>
      </c>
      <c r="L39" s="139">
        <v>130000</v>
      </c>
      <c r="M39" s="33">
        <f t="shared" si="1"/>
        <v>2470000</v>
      </c>
      <c r="N39" s="33">
        <f t="shared" si="2"/>
        <v>22990000</v>
      </c>
      <c r="O39" s="90">
        <v>700000</v>
      </c>
      <c r="P39" s="33">
        <f t="shared" si="3"/>
        <v>75000</v>
      </c>
      <c r="Q39" s="33" t="s">
        <v>27</v>
      </c>
      <c r="R39" s="33">
        <f t="shared" si="4"/>
        <v>22982400</v>
      </c>
      <c r="S39" s="151">
        <v>2500000</v>
      </c>
      <c r="T39" s="33">
        <f t="shared" si="5"/>
        <v>2462400</v>
      </c>
      <c r="U39" s="34" t="s">
        <v>28</v>
      </c>
      <c r="V39" s="33">
        <f t="shared" si="6"/>
        <v>-37600</v>
      </c>
    </row>
    <row r="40" spans="1:22">
      <c r="A40" s="34">
        <f t="shared" si="8"/>
        <v>37</v>
      </c>
      <c r="B40" s="59" t="s">
        <v>22</v>
      </c>
      <c r="C40" s="141" t="s">
        <v>32</v>
      </c>
      <c r="D40" s="141" t="s">
        <v>33</v>
      </c>
      <c r="E40" s="142">
        <v>46206</v>
      </c>
      <c r="F40" s="115" t="s">
        <v>76</v>
      </c>
      <c r="G40" s="137" t="s">
        <v>26</v>
      </c>
      <c r="H40" s="138">
        <v>32.832</v>
      </c>
      <c r="I40" s="137">
        <v>625000</v>
      </c>
      <c r="J40" s="33">
        <f t="shared" si="0"/>
        <v>20520000</v>
      </c>
      <c r="K40" s="139">
        <v>19</v>
      </c>
      <c r="L40" s="139">
        <v>130000</v>
      </c>
      <c r="M40" s="33">
        <f t="shared" si="1"/>
        <v>2470000</v>
      </c>
      <c r="N40" s="33">
        <f t="shared" si="2"/>
        <v>22990000</v>
      </c>
      <c r="O40" s="90">
        <v>700000</v>
      </c>
      <c r="P40" s="33">
        <f t="shared" si="3"/>
        <v>75000</v>
      </c>
      <c r="Q40" s="33" t="s">
        <v>27</v>
      </c>
      <c r="R40" s="33">
        <f t="shared" si="4"/>
        <v>22982400</v>
      </c>
      <c r="S40" s="151">
        <v>2500000</v>
      </c>
      <c r="T40" s="33">
        <f t="shared" si="5"/>
        <v>2462400</v>
      </c>
      <c r="U40" s="34" t="s">
        <v>28</v>
      </c>
      <c r="V40" s="33">
        <f t="shared" si="6"/>
        <v>-37600</v>
      </c>
    </row>
    <row r="41" spans="1:22">
      <c r="A41" s="34">
        <f t="shared" si="8"/>
        <v>38</v>
      </c>
      <c r="B41" s="59" t="s">
        <v>22</v>
      </c>
      <c r="C41" s="157" t="s">
        <v>77</v>
      </c>
      <c r="D41" s="157" t="s">
        <v>78</v>
      </c>
      <c r="E41" s="158">
        <v>46206</v>
      </c>
      <c r="F41" s="159" t="s">
        <v>79</v>
      </c>
      <c r="G41" s="137" t="s">
        <v>26</v>
      </c>
      <c r="H41" s="138">
        <v>32.832</v>
      </c>
      <c r="I41" s="137">
        <v>625000</v>
      </c>
      <c r="J41" s="33">
        <f t="shared" si="0"/>
        <v>20520000</v>
      </c>
      <c r="K41" s="139">
        <v>19</v>
      </c>
      <c r="L41" s="139">
        <v>130000</v>
      </c>
      <c r="M41" s="33">
        <f t="shared" si="1"/>
        <v>2470000</v>
      </c>
      <c r="N41" s="33">
        <f t="shared" si="2"/>
        <v>22990000</v>
      </c>
      <c r="O41" s="90">
        <v>700000</v>
      </c>
      <c r="P41" s="33">
        <f t="shared" si="3"/>
        <v>75000</v>
      </c>
      <c r="Q41" s="33" t="s">
        <v>27</v>
      </c>
      <c r="R41" s="33">
        <f t="shared" si="4"/>
        <v>22982400</v>
      </c>
      <c r="S41" s="151">
        <v>2000000</v>
      </c>
      <c r="T41" s="33">
        <f t="shared" si="5"/>
        <v>2462400</v>
      </c>
      <c r="U41" s="34" t="s">
        <v>28</v>
      </c>
      <c r="V41" s="33">
        <f t="shared" si="6"/>
        <v>462400</v>
      </c>
    </row>
    <row r="42" spans="1:22">
      <c r="A42" s="34">
        <f t="shared" si="8"/>
        <v>39</v>
      </c>
      <c r="B42" s="59" t="s">
        <v>22</v>
      </c>
      <c r="C42" s="157" t="s">
        <v>77</v>
      </c>
      <c r="D42" s="157" t="s">
        <v>78</v>
      </c>
      <c r="E42" s="158">
        <v>46206</v>
      </c>
      <c r="F42" s="159" t="s">
        <v>67</v>
      </c>
      <c r="G42" s="137" t="s">
        <v>26</v>
      </c>
      <c r="H42" s="138">
        <v>32.832</v>
      </c>
      <c r="I42" s="137">
        <v>625000</v>
      </c>
      <c r="J42" s="33">
        <f t="shared" si="0"/>
        <v>20520000</v>
      </c>
      <c r="K42" s="139">
        <v>19</v>
      </c>
      <c r="L42" s="139">
        <v>130000</v>
      </c>
      <c r="M42" s="33">
        <f t="shared" si="1"/>
        <v>2470000</v>
      </c>
      <c r="N42" s="33">
        <f t="shared" si="2"/>
        <v>22990000</v>
      </c>
      <c r="O42" s="90">
        <v>700000</v>
      </c>
      <c r="P42" s="33">
        <f t="shared" si="3"/>
        <v>75000</v>
      </c>
      <c r="Q42" s="33" t="s">
        <v>27</v>
      </c>
      <c r="R42" s="33">
        <f t="shared" si="4"/>
        <v>22982400</v>
      </c>
      <c r="S42" s="151">
        <v>2000000</v>
      </c>
      <c r="T42" s="33">
        <f t="shared" si="5"/>
        <v>2462400</v>
      </c>
      <c r="U42" s="34" t="s">
        <v>28</v>
      </c>
      <c r="V42" s="33">
        <f t="shared" si="6"/>
        <v>462400</v>
      </c>
    </row>
    <row r="43" spans="1:22">
      <c r="A43" s="34">
        <f t="shared" si="8"/>
        <v>40</v>
      </c>
      <c r="B43" s="59" t="s">
        <v>22</v>
      </c>
      <c r="C43" s="157" t="s">
        <v>77</v>
      </c>
      <c r="D43" s="157" t="s">
        <v>78</v>
      </c>
      <c r="E43" s="158">
        <v>46206</v>
      </c>
      <c r="F43" s="159" t="s">
        <v>80</v>
      </c>
      <c r="G43" s="137" t="s">
        <v>46</v>
      </c>
      <c r="H43" s="138">
        <v>32.832</v>
      </c>
      <c r="I43" s="137">
        <v>625000</v>
      </c>
      <c r="J43" s="33">
        <f t="shared" si="0"/>
        <v>20520000</v>
      </c>
      <c r="K43" s="139">
        <v>19</v>
      </c>
      <c r="L43" s="139">
        <v>130000</v>
      </c>
      <c r="M43" s="33">
        <f t="shared" si="1"/>
        <v>2470000</v>
      </c>
      <c r="N43" s="33">
        <f t="shared" si="2"/>
        <v>22990000</v>
      </c>
      <c r="O43" s="90">
        <v>700000</v>
      </c>
      <c r="P43" s="33">
        <f t="shared" si="3"/>
        <v>75000</v>
      </c>
      <c r="Q43" s="33" t="s">
        <v>27</v>
      </c>
      <c r="R43" s="33">
        <f t="shared" si="4"/>
        <v>22982400</v>
      </c>
      <c r="S43" s="151">
        <v>2000000</v>
      </c>
      <c r="T43" s="33">
        <f t="shared" si="5"/>
        <v>2462400</v>
      </c>
      <c r="U43" s="34" t="s">
        <v>28</v>
      </c>
      <c r="V43" s="33">
        <f t="shared" si="6"/>
        <v>462400</v>
      </c>
    </row>
    <row r="44" spans="1:22">
      <c r="A44" s="34">
        <f t="shared" si="8"/>
        <v>41</v>
      </c>
      <c r="B44" s="59" t="s">
        <v>22</v>
      </c>
      <c r="C44" s="141" t="s">
        <v>32</v>
      </c>
      <c r="D44" s="141" t="s">
        <v>81</v>
      </c>
      <c r="E44" s="142">
        <v>46209</v>
      </c>
      <c r="F44" s="115" t="s">
        <v>65</v>
      </c>
      <c r="G44" s="137" t="s">
        <v>26</v>
      </c>
      <c r="H44" s="138">
        <v>32.832</v>
      </c>
      <c r="I44" s="137">
        <v>625000</v>
      </c>
      <c r="J44" s="33">
        <f t="shared" si="0"/>
        <v>20520000</v>
      </c>
      <c r="K44" s="139">
        <v>19</v>
      </c>
      <c r="L44" s="139">
        <v>130000</v>
      </c>
      <c r="M44" s="33">
        <f t="shared" si="1"/>
        <v>2470000</v>
      </c>
      <c r="N44" s="33">
        <f t="shared" si="2"/>
        <v>22990000</v>
      </c>
      <c r="O44" s="90">
        <v>700000</v>
      </c>
      <c r="P44" s="33">
        <f t="shared" si="3"/>
        <v>75000</v>
      </c>
      <c r="Q44" s="33" t="s">
        <v>27</v>
      </c>
      <c r="R44" s="33">
        <f t="shared" si="4"/>
        <v>22982400</v>
      </c>
      <c r="S44" s="151">
        <v>2000000</v>
      </c>
      <c r="T44" s="33">
        <f t="shared" si="5"/>
        <v>2462400</v>
      </c>
      <c r="U44" s="34" t="s">
        <v>28</v>
      </c>
      <c r="V44" s="33">
        <f t="shared" si="6"/>
        <v>462400</v>
      </c>
    </row>
    <row r="45" spans="1:22">
      <c r="A45" s="34">
        <f t="shared" si="8"/>
        <v>42</v>
      </c>
      <c r="B45" s="59" t="s">
        <v>22</v>
      </c>
      <c r="C45" s="157" t="s">
        <v>77</v>
      </c>
      <c r="D45" s="157" t="s">
        <v>82</v>
      </c>
      <c r="E45" s="158">
        <v>46209</v>
      </c>
      <c r="F45" s="159" t="s">
        <v>83</v>
      </c>
      <c r="G45" s="137" t="s">
        <v>26</v>
      </c>
      <c r="H45" s="138">
        <v>32.832</v>
      </c>
      <c r="I45" s="137">
        <v>625000</v>
      </c>
      <c r="J45" s="33">
        <f t="shared" si="0"/>
        <v>20520000</v>
      </c>
      <c r="K45" s="139">
        <v>19</v>
      </c>
      <c r="L45" s="139">
        <v>130000</v>
      </c>
      <c r="M45" s="33">
        <f t="shared" si="1"/>
        <v>2470000</v>
      </c>
      <c r="N45" s="33">
        <f t="shared" si="2"/>
        <v>22990000</v>
      </c>
      <c r="O45" s="90">
        <v>700000</v>
      </c>
      <c r="P45" s="33">
        <f t="shared" si="3"/>
        <v>75000</v>
      </c>
      <c r="Q45" s="33" t="s">
        <v>27</v>
      </c>
      <c r="R45" s="33">
        <f t="shared" si="4"/>
        <v>22982400</v>
      </c>
      <c r="S45" s="151">
        <v>2000000</v>
      </c>
      <c r="T45" s="33">
        <f t="shared" si="5"/>
        <v>2462400</v>
      </c>
      <c r="U45" s="34" t="s">
        <v>28</v>
      </c>
      <c r="V45" s="33">
        <f t="shared" si="6"/>
        <v>462400</v>
      </c>
    </row>
    <row r="46" spans="1:22">
      <c r="A46" s="34">
        <f t="shared" si="8"/>
        <v>43</v>
      </c>
      <c r="B46" s="59" t="s">
        <v>22</v>
      </c>
      <c r="C46" s="144" t="s">
        <v>41</v>
      </c>
      <c r="D46" s="144" t="s">
        <v>84</v>
      </c>
      <c r="E46" s="160">
        <v>46209</v>
      </c>
      <c r="F46" s="144" t="s">
        <v>85</v>
      </c>
      <c r="G46" s="137" t="s">
        <v>86</v>
      </c>
      <c r="H46" s="138">
        <v>22.464</v>
      </c>
      <c r="I46" s="137">
        <v>625000</v>
      </c>
      <c r="J46" s="33">
        <f t="shared" si="0"/>
        <v>14040000</v>
      </c>
      <c r="K46" s="139">
        <v>13</v>
      </c>
      <c r="L46" s="139">
        <v>130000</v>
      </c>
      <c r="M46" s="33">
        <f t="shared" si="1"/>
        <v>1690000</v>
      </c>
      <c r="N46" s="33">
        <f t="shared" si="2"/>
        <v>15730000</v>
      </c>
      <c r="O46" s="90">
        <v>700000</v>
      </c>
      <c r="P46" s="33">
        <f t="shared" si="3"/>
        <v>75000</v>
      </c>
      <c r="Q46" s="33" t="s">
        <v>27</v>
      </c>
      <c r="R46" s="33">
        <f t="shared" si="4"/>
        <v>15724800</v>
      </c>
      <c r="S46" s="161">
        <v>1000000</v>
      </c>
      <c r="T46" s="33">
        <f t="shared" si="5"/>
        <v>1684800</v>
      </c>
      <c r="U46" s="34" t="s">
        <v>28</v>
      </c>
      <c r="V46" s="33">
        <f t="shared" si="6"/>
        <v>684799.999999998</v>
      </c>
    </row>
    <row r="47" s="119" customFormat="1" spans="1:22">
      <c r="A47" s="98">
        <f t="shared" si="8"/>
        <v>44</v>
      </c>
      <c r="B47" s="162" t="s">
        <v>22</v>
      </c>
      <c r="C47" s="162" t="s">
        <v>41</v>
      </c>
      <c r="D47" s="162" t="s">
        <v>84</v>
      </c>
      <c r="E47" s="116">
        <v>46209</v>
      </c>
      <c r="F47" s="162" t="s">
        <v>85</v>
      </c>
      <c r="G47" s="73" t="s">
        <v>26</v>
      </c>
      <c r="H47" s="138">
        <v>10.368</v>
      </c>
      <c r="I47" s="137">
        <v>625000</v>
      </c>
      <c r="J47" s="73">
        <f t="shared" si="0"/>
        <v>6480000</v>
      </c>
      <c r="K47" s="139">
        <v>6</v>
      </c>
      <c r="L47" s="139">
        <v>130000</v>
      </c>
      <c r="M47" s="73">
        <f t="shared" si="1"/>
        <v>780000</v>
      </c>
      <c r="N47" s="73">
        <f t="shared" si="2"/>
        <v>7260000</v>
      </c>
      <c r="O47" s="90">
        <v>700000</v>
      </c>
      <c r="P47" s="33">
        <f t="shared" si="3"/>
        <v>75000</v>
      </c>
      <c r="Q47" s="73" t="s">
        <v>27</v>
      </c>
      <c r="R47" s="73">
        <f t="shared" si="4"/>
        <v>7257600</v>
      </c>
      <c r="S47" s="161">
        <v>1000000</v>
      </c>
      <c r="T47" s="73">
        <f t="shared" si="5"/>
        <v>777600</v>
      </c>
      <c r="U47" s="98" t="s">
        <v>28</v>
      </c>
      <c r="V47" s="73">
        <f t="shared" si="6"/>
        <v>-222400</v>
      </c>
    </row>
    <row r="48" spans="1:22">
      <c r="A48" s="34">
        <f t="shared" si="8"/>
        <v>45</v>
      </c>
      <c r="B48" s="59" t="s">
        <v>22</v>
      </c>
      <c r="C48" s="141" t="s">
        <v>32</v>
      </c>
      <c r="D48" s="141" t="s">
        <v>33</v>
      </c>
      <c r="E48" s="142">
        <v>46209</v>
      </c>
      <c r="F48" s="115" t="s">
        <v>87</v>
      </c>
      <c r="G48" s="137" t="s">
        <v>26</v>
      </c>
      <c r="H48" s="138">
        <v>32.832</v>
      </c>
      <c r="I48" s="137">
        <v>625000</v>
      </c>
      <c r="J48" s="33">
        <f t="shared" si="0"/>
        <v>20520000</v>
      </c>
      <c r="K48" s="139">
        <v>19</v>
      </c>
      <c r="L48" s="139">
        <v>130000</v>
      </c>
      <c r="M48" s="33">
        <f t="shared" si="1"/>
        <v>2470000</v>
      </c>
      <c r="N48" s="33">
        <f t="shared" si="2"/>
        <v>22990000</v>
      </c>
      <c r="O48" s="90">
        <v>700000</v>
      </c>
      <c r="P48" s="33">
        <f t="shared" si="3"/>
        <v>75000</v>
      </c>
      <c r="Q48" s="33" t="s">
        <v>27</v>
      </c>
      <c r="R48" s="33">
        <f t="shared" si="4"/>
        <v>22982400</v>
      </c>
      <c r="S48" s="151">
        <v>2000000</v>
      </c>
      <c r="T48" s="33">
        <f t="shared" si="5"/>
        <v>2462400</v>
      </c>
      <c r="U48" s="34" t="s">
        <v>28</v>
      </c>
      <c r="V48" s="33">
        <f t="shared" si="6"/>
        <v>462400</v>
      </c>
    </row>
    <row r="49" spans="1:22">
      <c r="A49" s="34">
        <f t="shared" si="8"/>
        <v>46</v>
      </c>
      <c r="B49" s="59" t="s">
        <v>22</v>
      </c>
      <c r="C49" s="157" t="s">
        <v>77</v>
      </c>
      <c r="D49" s="157" t="s">
        <v>78</v>
      </c>
      <c r="E49" s="158">
        <v>46209</v>
      </c>
      <c r="F49" s="159" t="s">
        <v>88</v>
      </c>
      <c r="G49" s="137" t="s">
        <v>46</v>
      </c>
      <c r="H49" s="138">
        <v>32.832</v>
      </c>
      <c r="I49" s="137">
        <v>625000</v>
      </c>
      <c r="J49" s="33">
        <f t="shared" si="0"/>
        <v>20520000</v>
      </c>
      <c r="K49" s="139">
        <v>19</v>
      </c>
      <c r="L49" s="139">
        <v>130000</v>
      </c>
      <c r="M49" s="33">
        <f t="shared" si="1"/>
        <v>2470000</v>
      </c>
      <c r="N49" s="33">
        <f t="shared" si="2"/>
        <v>22990000</v>
      </c>
      <c r="O49" s="90">
        <v>700000</v>
      </c>
      <c r="P49" s="33">
        <f t="shared" si="3"/>
        <v>75000</v>
      </c>
      <c r="Q49" s="33" t="s">
        <v>27</v>
      </c>
      <c r="R49" s="33">
        <f t="shared" si="4"/>
        <v>22982400</v>
      </c>
      <c r="S49" s="151">
        <v>2000000</v>
      </c>
      <c r="T49" s="33">
        <f t="shared" si="5"/>
        <v>2462400</v>
      </c>
      <c r="U49" s="34" t="s">
        <v>28</v>
      </c>
      <c r="V49" s="33">
        <f t="shared" si="6"/>
        <v>462400</v>
      </c>
    </row>
    <row r="50" spans="1:22">
      <c r="A50" s="34">
        <f t="shared" si="8"/>
        <v>47</v>
      </c>
      <c r="B50" s="59" t="s">
        <v>22</v>
      </c>
      <c r="C50" s="157" t="s">
        <v>77</v>
      </c>
      <c r="D50" s="157" t="s">
        <v>78</v>
      </c>
      <c r="E50" s="158">
        <v>46210</v>
      </c>
      <c r="F50" s="159" t="s">
        <v>89</v>
      </c>
      <c r="G50" s="137" t="s">
        <v>46</v>
      </c>
      <c r="H50" s="138">
        <v>32.832</v>
      </c>
      <c r="I50" s="137">
        <v>625000</v>
      </c>
      <c r="J50" s="33">
        <f t="shared" si="0"/>
        <v>20520000</v>
      </c>
      <c r="K50" s="139">
        <v>19</v>
      </c>
      <c r="L50" s="139">
        <v>130000</v>
      </c>
      <c r="M50" s="33">
        <f t="shared" si="1"/>
        <v>2470000</v>
      </c>
      <c r="N50" s="33">
        <f t="shared" si="2"/>
        <v>22990000</v>
      </c>
      <c r="O50" s="90">
        <v>700000</v>
      </c>
      <c r="P50" s="33">
        <f t="shared" si="3"/>
        <v>75000</v>
      </c>
      <c r="Q50" s="33" t="s">
        <v>27</v>
      </c>
      <c r="R50" s="33">
        <f t="shared" si="4"/>
        <v>22982400</v>
      </c>
      <c r="S50" s="151">
        <v>2000000</v>
      </c>
      <c r="T50" s="33">
        <f t="shared" si="5"/>
        <v>2462400</v>
      </c>
      <c r="U50" s="34" t="s">
        <v>28</v>
      </c>
      <c r="V50" s="33">
        <f t="shared" si="6"/>
        <v>462400</v>
      </c>
    </row>
    <row r="51" spans="1:22">
      <c r="A51" s="34">
        <f t="shared" si="8"/>
        <v>48</v>
      </c>
      <c r="B51" s="59" t="s">
        <v>22</v>
      </c>
      <c r="C51" s="141" t="s">
        <v>32</v>
      </c>
      <c r="D51" s="141" t="s">
        <v>33</v>
      </c>
      <c r="E51" s="142">
        <v>46210</v>
      </c>
      <c r="F51" s="115" t="s">
        <v>90</v>
      </c>
      <c r="G51" s="137" t="s">
        <v>26</v>
      </c>
      <c r="H51" s="138">
        <v>32.832</v>
      </c>
      <c r="I51" s="137">
        <v>625000</v>
      </c>
      <c r="J51" s="33">
        <f t="shared" si="0"/>
        <v>20520000</v>
      </c>
      <c r="K51" s="139">
        <v>19</v>
      </c>
      <c r="L51" s="139">
        <v>130000</v>
      </c>
      <c r="M51" s="33">
        <f t="shared" si="1"/>
        <v>2470000</v>
      </c>
      <c r="N51" s="33">
        <f t="shared" si="2"/>
        <v>22990000</v>
      </c>
      <c r="O51" s="90">
        <v>700000</v>
      </c>
      <c r="P51" s="33">
        <f t="shared" si="3"/>
        <v>75000</v>
      </c>
      <c r="Q51" s="33" t="s">
        <v>27</v>
      </c>
      <c r="R51" s="33">
        <f t="shared" si="4"/>
        <v>22982400</v>
      </c>
      <c r="S51" s="151">
        <v>2000000</v>
      </c>
      <c r="T51" s="33">
        <f t="shared" si="5"/>
        <v>2462400</v>
      </c>
      <c r="U51" s="34" t="s">
        <v>28</v>
      </c>
      <c r="V51" s="33">
        <f t="shared" si="6"/>
        <v>462400</v>
      </c>
    </row>
    <row r="52" spans="1:22">
      <c r="A52" s="34">
        <f t="shared" si="8"/>
        <v>49</v>
      </c>
      <c r="B52" s="59" t="s">
        <v>22</v>
      </c>
      <c r="C52" s="141" t="s">
        <v>32</v>
      </c>
      <c r="D52" s="141" t="s">
        <v>33</v>
      </c>
      <c r="E52" s="142">
        <v>46210</v>
      </c>
      <c r="F52" s="115" t="s">
        <v>65</v>
      </c>
      <c r="G52" s="137" t="s">
        <v>26</v>
      </c>
      <c r="H52" s="138">
        <v>32.832</v>
      </c>
      <c r="I52" s="137">
        <v>625000</v>
      </c>
      <c r="J52" s="33">
        <f t="shared" si="0"/>
        <v>20520000</v>
      </c>
      <c r="K52" s="139">
        <v>19</v>
      </c>
      <c r="L52" s="139">
        <v>130000</v>
      </c>
      <c r="M52" s="33">
        <f t="shared" si="1"/>
        <v>2470000</v>
      </c>
      <c r="N52" s="33">
        <f t="shared" si="2"/>
        <v>22990000</v>
      </c>
      <c r="O52" s="90">
        <v>700000</v>
      </c>
      <c r="P52" s="33">
        <f t="shared" si="3"/>
        <v>75000</v>
      </c>
      <c r="Q52" s="33" t="s">
        <v>27</v>
      </c>
      <c r="R52" s="33">
        <f t="shared" si="4"/>
        <v>22982400</v>
      </c>
      <c r="S52" s="151">
        <v>2500000</v>
      </c>
      <c r="T52" s="33">
        <f t="shared" si="5"/>
        <v>2462400</v>
      </c>
      <c r="U52" s="34" t="s">
        <v>28</v>
      </c>
      <c r="V52" s="33">
        <f t="shared" si="6"/>
        <v>-37600</v>
      </c>
    </row>
    <row r="53" spans="1:22">
      <c r="A53" s="34">
        <f t="shared" si="8"/>
        <v>50</v>
      </c>
      <c r="B53" s="59" t="s">
        <v>22</v>
      </c>
      <c r="C53" s="141" t="s">
        <v>32</v>
      </c>
      <c r="D53" s="141" t="s">
        <v>33</v>
      </c>
      <c r="E53" s="142">
        <v>46210</v>
      </c>
      <c r="F53" s="115" t="s">
        <v>91</v>
      </c>
      <c r="G53" s="137" t="s">
        <v>26</v>
      </c>
      <c r="H53" s="138">
        <v>32.832</v>
      </c>
      <c r="I53" s="137">
        <v>625000</v>
      </c>
      <c r="J53" s="33">
        <f t="shared" si="0"/>
        <v>20520000</v>
      </c>
      <c r="K53" s="139">
        <v>19</v>
      </c>
      <c r="L53" s="139">
        <v>130000</v>
      </c>
      <c r="M53" s="33">
        <f t="shared" si="1"/>
        <v>2470000</v>
      </c>
      <c r="N53" s="33">
        <f t="shared" si="2"/>
        <v>22990000</v>
      </c>
      <c r="O53" s="90">
        <v>700000</v>
      </c>
      <c r="P53" s="33">
        <f t="shared" si="3"/>
        <v>75000</v>
      </c>
      <c r="Q53" s="33" t="s">
        <v>27</v>
      </c>
      <c r="R53" s="33">
        <f t="shared" si="4"/>
        <v>22982400</v>
      </c>
      <c r="S53" s="151">
        <v>2500000</v>
      </c>
      <c r="T53" s="33">
        <f t="shared" si="5"/>
        <v>2462400</v>
      </c>
      <c r="U53" s="34" t="s">
        <v>28</v>
      </c>
      <c r="V53" s="33">
        <f t="shared" si="6"/>
        <v>-37600</v>
      </c>
    </row>
    <row r="54" spans="1:22">
      <c r="A54" s="34">
        <f t="shared" si="8"/>
        <v>51</v>
      </c>
      <c r="B54" s="59" t="s">
        <v>22</v>
      </c>
      <c r="C54" s="59" t="s">
        <v>92</v>
      </c>
      <c r="D54" s="59" t="s">
        <v>93</v>
      </c>
      <c r="E54" s="32">
        <v>46210</v>
      </c>
      <c r="F54" s="39" t="s">
        <v>94</v>
      </c>
      <c r="G54" s="137" t="s">
        <v>46</v>
      </c>
      <c r="H54" s="138">
        <v>32.832</v>
      </c>
      <c r="I54" s="137">
        <v>625000</v>
      </c>
      <c r="J54" s="33">
        <f t="shared" si="0"/>
        <v>20520000</v>
      </c>
      <c r="K54" s="139">
        <v>19</v>
      </c>
      <c r="L54" s="139">
        <v>130000</v>
      </c>
      <c r="M54" s="33">
        <f t="shared" si="1"/>
        <v>2470000</v>
      </c>
      <c r="N54" s="33">
        <f t="shared" si="2"/>
        <v>22990000</v>
      </c>
      <c r="O54" s="90">
        <v>700000</v>
      </c>
      <c r="P54" s="33">
        <f t="shared" si="3"/>
        <v>75000</v>
      </c>
      <c r="Q54" s="33" t="s">
        <v>27</v>
      </c>
      <c r="R54" s="33">
        <f t="shared" si="4"/>
        <v>22982400</v>
      </c>
      <c r="S54" s="151">
        <v>2000000</v>
      </c>
      <c r="T54" s="33">
        <f t="shared" si="5"/>
        <v>2462400</v>
      </c>
      <c r="U54" s="34" t="s">
        <v>28</v>
      </c>
      <c r="V54" s="33">
        <f t="shared" si="6"/>
        <v>462400</v>
      </c>
    </row>
    <row r="55" spans="1:22">
      <c r="A55" s="34">
        <f t="shared" si="8"/>
        <v>52</v>
      </c>
      <c r="B55" s="59" t="s">
        <v>22</v>
      </c>
      <c r="C55" s="134" t="s">
        <v>23</v>
      </c>
      <c r="D55" s="134" t="s">
        <v>59</v>
      </c>
      <c r="E55" s="135">
        <v>46210</v>
      </c>
      <c r="F55" s="150" t="s">
        <v>95</v>
      </c>
      <c r="G55" s="137" t="s">
        <v>96</v>
      </c>
      <c r="H55" s="138">
        <v>32.832</v>
      </c>
      <c r="I55" s="151">
        <v>595000</v>
      </c>
      <c r="J55" s="33">
        <f t="shared" si="0"/>
        <v>19535040</v>
      </c>
      <c r="K55" s="139">
        <v>19</v>
      </c>
      <c r="L55" s="139">
        <v>130000</v>
      </c>
      <c r="M55" s="33">
        <f t="shared" si="1"/>
        <v>2470000</v>
      </c>
      <c r="N55" s="33">
        <f t="shared" si="2"/>
        <v>22005040</v>
      </c>
      <c r="O55" s="90">
        <v>700000</v>
      </c>
      <c r="P55" s="33">
        <f t="shared" si="3"/>
        <v>105000</v>
      </c>
      <c r="Q55" s="33" t="s">
        <v>27</v>
      </c>
      <c r="R55" s="33">
        <f t="shared" si="4"/>
        <v>22982400</v>
      </c>
      <c r="S55" s="163">
        <v>2000000</v>
      </c>
      <c r="T55" s="33">
        <f t="shared" si="5"/>
        <v>3447360</v>
      </c>
      <c r="U55" s="34" t="s">
        <v>28</v>
      </c>
      <c r="V55" s="33">
        <f t="shared" si="6"/>
        <v>1447360</v>
      </c>
    </row>
    <row r="56" spans="1:22">
      <c r="A56" s="34">
        <f t="shared" si="8"/>
        <v>53</v>
      </c>
      <c r="B56" s="59" t="s">
        <v>22</v>
      </c>
      <c r="C56" s="59" t="s">
        <v>92</v>
      </c>
      <c r="D56" s="59" t="s">
        <v>97</v>
      </c>
      <c r="E56" s="32">
        <v>46210</v>
      </c>
      <c r="F56" s="39" t="s">
        <v>98</v>
      </c>
      <c r="G56" s="137" t="s">
        <v>46</v>
      </c>
      <c r="H56" s="138">
        <v>32.832</v>
      </c>
      <c r="I56" s="137">
        <v>625000</v>
      </c>
      <c r="J56" s="33">
        <f t="shared" si="0"/>
        <v>20520000</v>
      </c>
      <c r="K56" s="139">
        <v>19</v>
      </c>
      <c r="L56" s="139">
        <v>130000</v>
      </c>
      <c r="M56" s="33">
        <f t="shared" si="1"/>
        <v>2470000</v>
      </c>
      <c r="N56" s="33">
        <f t="shared" si="2"/>
        <v>22990000</v>
      </c>
      <c r="O56" s="90">
        <v>700000</v>
      </c>
      <c r="P56" s="33">
        <f t="shared" si="3"/>
        <v>75000</v>
      </c>
      <c r="Q56" s="33" t="s">
        <v>27</v>
      </c>
      <c r="R56" s="33">
        <f t="shared" si="4"/>
        <v>22982400</v>
      </c>
      <c r="S56" s="151">
        <v>2200000</v>
      </c>
      <c r="T56" s="33">
        <f t="shared" si="5"/>
        <v>2462400</v>
      </c>
      <c r="U56" s="34" t="s">
        <v>28</v>
      </c>
      <c r="V56" s="33">
        <f t="shared" si="6"/>
        <v>262400</v>
      </c>
    </row>
    <row r="57" spans="1:22">
      <c r="A57" s="34">
        <f t="shared" si="8"/>
        <v>54</v>
      </c>
      <c r="B57" s="59" t="s">
        <v>22</v>
      </c>
      <c r="C57" s="59" t="s">
        <v>92</v>
      </c>
      <c r="D57" s="59" t="s">
        <v>93</v>
      </c>
      <c r="E57" s="32">
        <v>46211</v>
      </c>
      <c r="F57" s="39" t="s">
        <v>99</v>
      </c>
      <c r="G57" s="137" t="s">
        <v>26</v>
      </c>
      <c r="H57" s="138">
        <v>32.832</v>
      </c>
      <c r="I57" s="137">
        <v>625000</v>
      </c>
      <c r="J57" s="33">
        <f t="shared" si="0"/>
        <v>20520000</v>
      </c>
      <c r="K57" s="139">
        <v>19</v>
      </c>
      <c r="L57" s="139">
        <v>130000</v>
      </c>
      <c r="M57" s="33">
        <f t="shared" si="1"/>
        <v>2470000</v>
      </c>
      <c r="N57" s="33">
        <f t="shared" si="2"/>
        <v>22990000</v>
      </c>
      <c r="O57" s="90">
        <v>700000</v>
      </c>
      <c r="P57" s="33">
        <f t="shared" si="3"/>
        <v>75000</v>
      </c>
      <c r="Q57" s="33" t="s">
        <v>27</v>
      </c>
      <c r="R57" s="33">
        <f t="shared" si="4"/>
        <v>22982400</v>
      </c>
      <c r="S57" s="151">
        <v>2000000</v>
      </c>
      <c r="T57" s="33">
        <f t="shared" si="5"/>
        <v>2462400</v>
      </c>
      <c r="U57" s="34" t="s">
        <v>28</v>
      </c>
      <c r="V57" s="33">
        <f t="shared" si="6"/>
        <v>462400</v>
      </c>
    </row>
    <row r="58" spans="1:22">
      <c r="A58" s="34">
        <f t="shared" si="8"/>
        <v>55</v>
      </c>
      <c r="B58" s="59" t="s">
        <v>22</v>
      </c>
      <c r="C58" s="157" t="s">
        <v>77</v>
      </c>
      <c r="D58" s="157" t="s">
        <v>78</v>
      </c>
      <c r="E58" s="158">
        <v>46211</v>
      </c>
      <c r="F58" s="159" t="s">
        <v>100</v>
      </c>
      <c r="G58" s="137" t="s">
        <v>26</v>
      </c>
      <c r="H58" s="138">
        <v>32.832</v>
      </c>
      <c r="I58" s="137">
        <v>625000</v>
      </c>
      <c r="J58" s="33">
        <f t="shared" si="0"/>
        <v>20520000</v>
      </c>
      <c r="K58" s="139">
        <v>19</v>
      </c>
      <c r="L58" s="139">
        <v>130000</v>
      </c>
      <c r="M58" s="33">
        <f t="shared" si="1"/>
        <v>2470000</v>
      </c>
      <c r="N58" s="33">
        <f t="shared" si="2"/>
        <v>22990000</v>
      </c>
      <c r="O58" s="90">
        <v>700000</v>
      </c>
      <c r="P58" s="33">
        <f t="shared" si="3"/>
        <v>75000</v>
      </c>
      <c r="Q58" s="33" t="s">
        <v>27</v>
      </c>
      <c r="R58" s="33">
        <f t="shared" si="4"/>
        <v>22982400</v>
      </c>
      <c r="S58" s="151">
        <v>2000000</v>
      </c>
      <c r="T58" s="33">
        <f t="shared" si="5"/>
        <v>2462400</v>
      </c>
      <c r="U58" s="34" t="s">
        <v>28</v>
      </c>
      <c r="V58" s="33">
        <f t="shared" si="6"/>
        <v>462400</v>
      </c>
    </row>
    <row r="59" spans="1:22">
      <c r="A59" s="34">
        <f t="shared" si="8"/>
        <v>56</v>
      </c>
      <c r="B59" s="59" t="s">
        <v>22</v>
      </c>
      <c r="C59" s="141" t="s">
        <v>32</v>
      </c>
      <c r="D59" s="141" t="s">
        <v>33</v>
      </c>
      <c r="E59" s="142">
        <v>46211</v>
      </c>
      <c r="F59" s="115" t="s">
        <v>101</v>
      </c>
      <c r="G59" s="137" t="s">
        <v>26</v>
      </c>
      <c r="H59" s="138">
        <v>32.832</v>
      </c>
      <c r="I59" s="137">
        <v>625000</v>
      </c>
      <c r="J59" s="33">
        <f t="shared" si="0"/>
        <v>20520000</v>
      </c>
      <c r="K59" s="139">
        <v>19</v>
      </c>
      <c r="L59" s="139">
        <v>130000</v>
      </c>
      <c r="M59" s="33">
        <f t="shared" si="1"/>
        <v>2470000</v>
      </c>
      <c r="N59" s="33">
        <f t="shared" si="2"/>
        <v>22990000</v>
      </c>
      <c r="O59" s="90">
        <v>700000</v>
      </c>
      <c r="P59" s="33">
        <f t="shared" si="3"/>
        <v>75000</v>
      </c>
      <c r="Q59" s="33" t="s">
        <v>27</v>
      </c>
      <c r="R59" s="33">
        <f t="shared" si="4"/>
        <v>22982400</v>
      </c>
      <c r="S59" s="151">
        <v>2500000</v>
      </c>
      <c r="T59" s="33">
        <f t="shared" si="5"/>
        <v>2462400</v>
      </c>
      <c r="U59" s="34" t="s">
        <v>28</v>
      </c>
      <c r="V59" s="33">
        <f t="shared" si="6"/>
        <v>-37600</v>
      </c>
    </row>
    <row r="60" spans="1:22">
      <c r="A60" s="34">
        <f t="shared" si="8"/>
        <v>57</v>
      </c>
      <c r="B60" s="59" t="s">
        <v>22</v>
      </c>
      <c r="C60" s="157" t="s">
        <v>77</v>
      </c>
      <c r="D60" s="157" t="s">
        <v>102</v>
      </c>
      <c r="E60" s="158">
        <v>46212</v>
      </c>
      <c r="F60" s="159" t="s">
        <v>79</v>
      </c>
      <c r="G60" s="137" t="s">
        <v>46</v>
      </c>
      <c r="H60" s="138">
        <v>32.832</v>
      </c>
      <c r="I60" s="137">
        <v>625000</v>
      </c>
      <c r="J60" s="33">
        <f t="shared" si="0"/>
        <v>20520000</v>
      </c>
      <c r="K60" s="139">
        <v>19</v>
      </c>
      <c r="L60" s="139">
        <v>130000</v>
      </c>
      <c r="M60" s="33">
        <f t="shared" si="1"/>
        <v>2470000</v>
      </c>
      <c r="N60" s="33">
        <f t="shared" si="2"/>
        <v>22990000</v>
      </c>
      <c r="O60" s="90">
        <v>700000</v>
      </c>
      <c r="P60" s="33">
        <f t="shared" si="3"/>
        <v>75000</v>
      </c>
      <c r="Q60" s="33" t="s">
        <v>27</v>
      </c>
      <c r="R60" s="33">
        <f t="shared" si="4"/>
        <v>22982400</v>
      </c>
      <c r="S60" s="151">
        <v>2000000</v>
      </c>
      <c r="T60" s="33">
        <f t="shared" si="5"/>
        <v>2462400</v>
      </c>
      <c r="U60" s="34" t="s">
        <v>28</v>
      </c>
      <c r="V60" s="33">
        <f t="shared" si="6"/>
        <v>462400</v>
      </c>
    </row>
    <row r="61" spans="1:22">
      <c r="A61" s="34">
        <f t="shared" si="8"/>
        <v>58</v>
      </c>
      <c r="B61" s="59" t="s">
        <v>22</v>
      </c>
      <c r="C61" s="134" t="s">
        <v>23</v>
      </c>
      <c r="D61" s="134" t="s">
        <v>59</v>
      </c>
      <c r="E61" s="135">
        <v>46212</v>
      </c>
      <c r="F61" s="150" t="s">
        <v>44</v>
      </c>
      <c r="G61" s="137" t="s">
        <v>96</v>
      </c>
      <c r="H61" s="138">
        <v>32.832</v>
      </c>
      <c r="I61" s="151">
        <v>595000</v>
      </c>
      <c r="J61" s="33">
        <f t="shared" si="0"/>
        <v>19535040</v>
      </c>
      <c r="K61" s="139">
        <v>19</v>
      </c>
      <c r="L61" s="139">
        <v>130000</v>
      </c>
      <c r="M61" s="33">
        <f t="shared" si="1"/>
        <v>2470000</v>
      </c>
      <c r="N61" s="33">
        <f t="shared" si="2"/>
        <v>22005040</v>
      </c>
      <c r="O61" s="90">
        <v>700000</v>
      </c>
      <c r="P61" s="33">
        <f t="shared" si="3"/>
        <v>105000</v>
      </c>
      <c r="Q61" s="33" t="s">
        <v>27</v>
      </c>
      <c r="R61" s="33">
        <f t="shared" si="4"/>
        <v>22982400</v>
      </c>
      <c r="S61" s="163">
        <v>2200000</v>
      </c>
      <c r="T61" s="33">
        <f t="shared" si="5"/>
        <v>3447360</v>
      </c>
      <c r="U61" s="34" t="s">
        <v>28</v>
      </c>
      <c r="V61" s="33">
        <f t="shared" si="6"/>
        <v>1247360</v>
      </c>
    </row>
    <row r="62" spans="1:22">
      <c r="A62" s="34">
        <f t="shared" si="8"/>
        <v>59</v>
      </c>
      <c r="B62" s="59" t="s">
        <v>22</v>
      </c>
      <c r="C62" s="157" t="s">
        <v>77</v>
      </c>
      <c r="D62" s="157" t="s">
        <v>102</v>
      </c>
      <c r="E62" s="158">
        <v>46213</v>
      </c>
      <c r="F62" s="159" t="s">
        <v>103</v>
      </c>
      <c r="G62" s="137" t="s">
        <v>26</v>
      </c>
      <c r="H62" s="138">
        <v>32.832</v>
      </c>
      <c r="I62" s="137">
        <v>625000</v>
      </c>
      <c r="J62" s="33">
        <f t="shared" si="0"/>
        <v>20520000</v>
      </c>
      <c r="K62" s="139">
        <v>19</v>
      </c>
      <c r="L62" s="139">
        <v>130000</v>
      </c>
      <c r="M62" s="33">
        <f t="shared" si="1"/>
        <v>2470000</v>
      </c>
      <c r="N62" s="33">
        <f t="shared" si="2"/>
        <v>22990000</v>
      </c>
      <c r="O62" s="90">
        <v>700000</v>
      </c>
      <c r="P62" s="33">
        <f t="shared" si="3"/>
        <v>75000</v>
      </c>
      <c r="Q62" s="33" t="s">
        <v>27</v>
      </c>
      <c r="R62" s="33">
        <f t="shared" si="4"/>
        <v>22982400</v>
      </c>
      <c r="S62" s="151">
        <v>2200000</v>
      </c>
      <c r="T62" s="33">
        <f t="shared" si="5"/>
        <v>2462400</v>
      </c>
      <c r="U62" s="34" t="s">
        <v>28</v>
      </c>
      <c r="V62" s="33">
        <f t="shared" si="6"/>
        <v>262400</v>
      </c>
    </row>
    <row r="63" spans="1:22">
      <c r="A63" s="34">
        <f t="shared" si="8"/>
        <v>60</v>
      </c>
      <c r="B63" s="59" t="s">
        <v>22</v>
      </c>
      <c r="C63" s="157" t="s">
        <v>77</v>
      </c>
      <c r="D63" s="157" t="s">
        <v>82</v>
      </c>
      <c r="E63" s="158">
        <v>46213</v>
      </c>
      <c r="F63" s="159" t="s">
        <v>104</v>
      </c>
      <c r="G63" s="137" t="s">
        <v>46</v>
      </c>
      <c r="H63" s="138">
        <v>32.832</v>
      </c>
      <c r="I63" s="137">
        <v>625000</v>
      </c>
      <c r="J63" s="33">
        <f t="shared" si="0"/>
        <v>20520000</v>
      </c>
      <c r="K63" s="139">
        <v>19</v>
      </c>
      <c r="L63" s="139">
        <v>130000</v>
      </c>
      <c r="M63" s="33">
        <f t="shared" si="1"/>
        <v>2470000</v>
      </c>
      <c r="N63" s="33">
        <f t="shared" si="2"/>
        <v>22990000</v>
      </c>
      <c r="O63" s="90">
        <v>700000</v>
      </c>
      <c r="P63" s="33">
        <f t="shared" si="3"/>
        <v>75000</v>
      </c>
      <c r="Q63" s="33" t="s">
        <v>27</v>
      </c>
      <c r="R63" s="33">
        <f t="shared" si="4"/>
        <v>22982400</v>
      </c>
      <c r="S63" s="151">
        <v>2200000</v>
      </c>
      <c r="T63" s="33">
        <f t="shared" si="5"/>
        <v>2462400</v>
      </c>
      <c r="U63" s="34" t="s">
        <v>28</v>
      </c>
      <c r="V63" s="33">
        <f t="shared" si="6"/>
        <v>262400</v>
      </c>
    </row>
    <row r="64" spans="1:22">
      <c r="A64" s="34">
        <f>A67+1</f>
        <v>64</v>
      </c>
      <c r="B64" s="59" t="s">
        <v>22</v>
      </c>
      <c r="C64" s="157" t="s">
        <v>77</v>
      </c>
      <c r="D64" s="157" t="s">
        <v>105</v>
      </c>
      <c r="E64" s="158">
        <v>46213</v>
      </c>
      <c r="F64" s="159" t="s">
        <v>106</v>
      </c>
      <c r="G64" s="137" t="s">
        <v>26</v>
      </c>
      <c r="H64" s="138">
        <v>32.832</v>
      </c>
      <c r="I64" s="137">
        <v>625000</v>
      </c>
      <c r="J64" s="33">
        <f t="shared" si="0"/>
        <v>20520000</v>
      </c>
      <c r="K64" s="139">
        <v>19</v>
      </c>
      <c r="L64" s="139">
        <v>130000</v>
      </c>
      <c r="M64" s="33">
        <f t="shared" si="1"/>
        <v>2470000</v>
      </c>
      <c r="N64" s="33">
        <f t="shared" si="2"/>
        <v>22990000</v>
      </c>
      <c r="O64" s="90">
        <v>700000</v>
      </c>
      <c r="P64" s="33">
        <f t="shared" si="3"/>
        <v>75000</v>
      </c>
      <c r="Q64" s="33" t="s">
        <v>27</v>
      </c>
      <c r="R64" s="33">
        <f t="shared" si="4"/>
        <v>22982400</v>
      </c>
      <c r="S64" s="151">
        <v>2300000</v>
      </c>
      <c r="T64" s="33">
        <f t="shared" si="5"/>
        <v>2462400</v>
      </c>
      <c r="U64" s="34" t="s">
        <v>28</v>
      </c>
      <c r="V64" s="33">
        <f t="shared" si="6"/>
        <v>162400</v>
      </c>
    </row>
    <row r="65" spans="1:22">
      <c r="A65" s="34">
        <f>A63+1</f>
        <v>61</v>
      </c>
      <c r="B65" s="59" t="s">
        <v>22</v>
      </c>
      <c r="C65" s="134" t="s">
        <v>23</v>
      </c>
      <c r="D65" s="134" t="s">
        <v>69</v>
      </c>
      <c r="E65" s="135">
        <v>46214</v>
      </c>
      <c r="F65" s="150" t="s">
        <v>79</v>
      </c>
      <c r="G65" s="137" t="s">
        <v>96</v>
      </c>
      <c r="H65" s="138">
        <v>32.832</v>
      </c>
      <c r="I65" s="151">
        <v>595000</v>
      </c>
      <c r="J65" s="33">
        <f t="shared" si="0"/>
        <v>19535040</v>
      </c>
      <c r="K65" s="139">
        <v>19</v>
      </c>
      <c r="L65" s="139">
        <v>130000</v>
      </c>
      <c r="M65" s="33">
        <f t="shared" si="1"/>
        <v>2470000</v>
      </c>
      <c r="N65" s="33">
        <f t="shared" si="2"/>
        <v>22005040</v>
      </c>
      <c r="O65" s="90">
        <v>700000</v>
      </c>
      <c r="P65" s="33">
        <f t="shared" si="3"/>
        <v>105000</v>
      </c>
      <c r="Q65" s="33" t="s">
        <v>27</v>
      </c>
      <c r="R65" s="33">
        <f t="shared" si="4"/>
        <v>22982400</v>
      </c>
      <c r="S65" s="100">
        <v>2500000</v>
      </c>
      <c r="T65" s="33">
        <f t="shared" si="5"/>
        <v>3447360</v>
      </c>
      <c r="U65" s="34" t="s">
        <v>28</v>
      </c>
      <c r="V65" s="33">
        <f t="shared" si="6"/>
        <v>947360</v>
      </c>
    </row>
    <row r="66" spans="1:22">
      <c r="A66" s="34">
        <f t="shared" si="8"/>
        <v>62</v>
      </c>
      <c r="B66" s="59" t="s">
        <v>22</v>
      </c>
      <c r="C66" s="147" t="s">
        <v>50</v>
      </c>
      <c r="D66" s="147" t="s">
        <v>107</v>
      </c>
      <c r="E66" s="148">
        <v>46214</v>
      </c>
      <c r="F66" s="156" t="s">
        <v>108</v>
      </c>
      <c r="G66" s="137" t="s">
        <v>26</v>
      </c>
      <c r="H66" s="138">
        <v>32.832</v>
      </c>
      <c r="I66" s="137">
        <v>625000</v>
      </c>
      <c r="J66" s="33">
        <f t="shared" si="0"/>
        <v>20520000</v>
      </c>
      <c r="K66" s="139">
        <v>19</v>
      </c>
      <c r="L66" s="139">
        <v>130000</v>
      </c>
      <c r="M66" s="33">
        <f t="shared" si="1"/>
        <v>2470000</v>
      </c>
      <c r="N66" s="33">
        <f t="shared" si="2"/>
        <v>22990000</v>
      </c>
      <c r="O66" s="90">
        <v>700000</v>
      </c>
      <c r="P66" s="33">
        <f t="shared" si="3"/>
        <v>75000</v>
      </c>
      <c r="Q66" s="33" t="s">
        <v>27</v>
      </c>
      <c r="R66" s="33">
        <f t="shared" si="4"/>
        <v>22982400</v>
      </c>
      <c r="S66" s="151">
        <v>2500000</v>
      </c>
      <c r="T66" s="33">
        <f t="shared" si="5"/>
        <v>2462400</v>
      </c>
      <c r="U66" s="34" t="s">
        <v>28</v>
      </c>
      <c r="V66" s="33">
        <f t="shared" si="6"/>
        <v>-37600</v>
      </c>
    </row>
    <row r="67" spans="1:22">
      <c r="A67" s="34">
        <f t="shared" si="8"/>
        <v>63</v>
      </c>
      <c r="B67" s="59" t="s">
        <v>22</v>
      </c>
      <c r="C67" s="141" t="s">
        <v>32</v>
      </c>
      <c r="D67" s="141" t="s">
        <v>33</v>
      </c>
      <c r="E67" s="142">
        <v>46214</v>
      </c>
      <c r="F67" s="115" t="s">
        <v>109</v>
      </c>
      <c r="G67" s="137" t="s">
        <v>26</v>
      </c>
      <c r="H67" s="138">
        <v>32.832</v>
      </c>
      <c r="I67" s="137">
        <v>625000</v>
      </c>
      <c r="J67" s="33">
        <f t="shared" si="0"/>
        <v>20520000</v>
      </c>
      <c r="K67" s="139">
        <v>19</v>
      </c>
      <c r="L67" s="139">
        <v>130000</v>
      </c>
      <c r="M67" s="33">
        <f t="shared" si="1"/>
        <v>2470000</v>
      </c>
      <c r="N67" s="33">
        <f t="shared" si="2"/>
        <v>22990000</v>
      </c>
      <c r="O67" s="90">
        <v>700000</v>
      </c>
      <c r="P67" s="33">
        <f t="shared" si="3"/>
        <v>75000</v>
      </c>
      <c r="Q67" s="33" t="s">
        <v>27</v>
      </c>
      <c r="R67" s="33">
        <f t="shared" si="4"/>
        <v>22982400</v>
      </c>
      <c r="S67" s="151">
        <v>2200000</v>
      </c>
      <c r="T67" s="33">
        <f t="shared" si="5"/>
        <v>2462400</v>
      </c>
      <c r="U67" s="34" t="s">
        <v>28</v>
      </c>
      <c r="V67" s="33">
        <f t="shared" si="6"/>
        <v>262400</v>
      </c>
    </row>
    <row r="68" spans="1:22">
      <c r="A68" s="34">
        <f>A64+1</f>
        <v>65</v>
      </c>
      <c r="B68" s="59" t="s">
        <v>22</v>
      </c>
      <c r="C68" s="144" t="s">
        <v>41</v>
      </c>
      <c r="D68" s="144" t="s">
        <v>110</v>
      </c>
      <c r="E68" s="160">
        <v>46211</v>
      </c>
      <c r="F68" s="144" t="s">
        <v>34</v>
      </c>
      <c r="G68" s="137" t="s">
        <v>26</v>
      </c>
      <c r="H68" s="138">
        <v>34.56</v>
      </c>
      <c r="I68" s="151">
        <v>545000</v>
      </c>
      <c r="J68" s="33">
        <f t="shared" si="0"/>
        <v>18835200</v>
      </c>
      <c r="K68" s="139">
        <v>20</v>
      </c>
      <c r="L68" s="139">
        <v>130000</v>
      </c>
      <c r="M68" s="33">
        <f t="shared" si="1"/>
        <v>2600000</v>
      </c>
      <c r="N68" s="33">
        <f t="shared" si="2"/>
        <v>21435200</v>
      </c>
      <c r="O68" s="90">
        <v>700000</v>
      </c>
      <c r="P68" s="33">
        <f t="shared" si="3"/>
        <v>155000</v>
      </c>
      <c r="Q68" s="33" t="s">
        <v>27</v>
      </c>
      <c r="R68" s="33">
        <f t="shared" si="4"/>
        <v>24192000</v>
      </c>
      <c r="S68" s="151">
        <v>2000000</v>
      </c>
      <c r="T68" s="33">
        <f t="shared" si="5"/>
        <v>5356800</v>
      </c>
      <c r="U68" s="34" t="s">
        <v>28</v>
      </c>
      <c r="V68" s="33">
        <f t="shared" si="6"/>
        <v>3356800</v>
      </c>
    </row>
    <row r="69" spans="1:22">
      <c r="A69" s="34">
        <f t="shared" si="8"/>
        <v>66</v>
      </c>
      <c r="B69" s="59" t="s">
        <v>22</v>
      </c>
      <c r="C69" s="144" t="s">
        <v>41</v>
      </c>
      <c r="D69" s="144" t="s">
        <v>84</v>
      </c>
      <c r="E69" s="160">
        <v>46212</v>
      </c>
      <c r="F69" s="144" t="s">
        <v>111</v>
      </c>
      <c r="G69" s="137" t="s">
        <v>46</v>
      </c>
      <c r="H69" s="138">
        <v>32.832</v>
      </c>
      <c r="I69" s="137">
        <v>625000</v>
      </c>
      <c r="J69" s="33">
        <f t="shared" ref="J69:J132" si="9">H69*I69</f>
        <v>20520000</v>
      </c>
      <c r="K69" s="139">
        <v>19</v>
      </c>
      <c r="L69" s="139">
        <v>130000</v>
      </c>
      <c r="M69" s="33">
        <f t="shared" ref="M69:M132" si="10">K69*L69</f>
        <v>2470000</v>
      </c>
      <c r="N69" s="33">
        <f t="shared" ref="N69:N132" si="11">J69+M69</f>
        <v>22990000</v>
      </c>
      <c r="O69" s="90">
        <v>700000</v>
      </c>
      <c r="P69" s="33">
        <f t="shared" ref="P69:P132" si="12">O69-I69</f>
        <v>75000</v>
      </c>
      <c r="Q69" s="33" t="s">
        <v>27</v>
      </c>
      <c r="R69" s="33">
        <f t="shared" ref="R69:R132" si="13">O69*H69</f>
        <v>22982400</v>
      </c>
      <c r="S69" s="164">
        <v>1</v>
      </c>
      <c r="T69" s="33">
        <f t="shared" ref="T69:T132" si="14">R69-J69</f>
        <v>2462400</v>
      </c>
      <c r="U69" s="34" t="s">
        <v>28</v>
      </c>
      <c r="V69" s="33">
        <f t="shared" ref="V69:V132" si="15">T69-S69</f>
        <v>2462399</v>
      </c>
    </row>
    <row r="70" spans="1:22">
      <c r="A70" s="34">
        <f t="shared" si="8"/>
        <v>67</v>
      </c>
      <c r="B70" s="59" t="s">
        <v>22</v>
      </c>
      <c r="C70" s="144" t="s">
        <v>41</v>
      </c>
      <c r="D70" s="144" t="s">
        <v>84</v>
      </c>
      <c r="E70" s="160">
        <v>46212</v>
      </c>
      <c r="F70" s="144" t="s">
        <v>112</v>
      </c>
      <c r="G70" s="137" t="s">
        <v>96</v>
      </c>
      <c r="H70" s="138">
        <v>32.832</v>
      </c>
      <c r="I70" s="151">
        <v>595000</v>
      </c>
      <c r="J70" s="33">
        <f t="shared" si="9"/>
        <v>19535040</v>
      </c>
      <c r="K70" s="139">
        <v>19</v>
      </c>
      <c r="L70" s="139">
        <v>130000</v>
      </c>
      <c r="M70" s="33">
        <f t="shared" si="10"/>
        <v>2470000</v>
      </c>
      <c r="N70" s="33">
        <f t="shared" si="11"/>
        <v>22005040</v>
      </c>
      <c r="O70" s="90">
        <v>700000</v>
      </c>
      <c r="P70" s="33">
        <f t="shared" si="12"/>
        <v>105000</v>
      </c>
      <c r="Q70" s="33" t="s">
        <v>27</v>
      </c>
      <c r="R70" s="33">
        <f t="shared" si="13"/>
        <v>22982400</v>
      </c>
      <c r="S70" s="164">
        <v>1</v>
      </c>
      <c r="T70" s="33">
        <f t="shared" si="14"/>
        <v>3447360</v>
      </c>
      <c r="U70" s="34" t="s">
        <v>28</v>
      </c>
      <c r="V70" s="33">
        <f t="shared" si="15"/>
        <v>3447359</v>
      </c>
    </row>
    <row r="71" spans="1:22">
      <c r="A71" s="34">
        <f t="shared" si="8"/>
        <v>68</v>
      </c>
      <c r="B71" s="59" t="s">
        <v>22</v>
      </c>
      <c r="C71" s="147" t="s">
        <v>50</v>
      </c>
      <c r="D71" s="147" t="s">
        <v>53</v>
      </c>
      <c r="E71" s="148">
        <v>46214</v>
      </c>
      <c r="F71" s="156" t="s">
        <v>71</v>
      </c>
      <c r="G71" s="137" t="s">
        <v>26</v>
      </c>
      <c r="H71" s="138">
        <v>32.832</v>
      </c>
      <c r="I71" s="137">
        <v>625000</v>
      </c>
      <c r="J71" s="33">
        <f t="shared" si="9"/>
        <v>20520000</v>
      </c>
      <c r="K71" s="139">
        <v>19</v>
      </c>
      <c r="L71" s="139">
        <v>130000</v>
      </c>
      <c r="M71" s="33">
        <f t="shared" si="10"/>
        <v>2470000</v>
      </c>
      <c r="N71" s="33">
        <f t="shared" si="11"/>
        <v>22990000</v>
      </c>
      <c r="O71" s="90">
        <v>700000</v>
      </c>
      <c r="P71" s="33">
        <f t="shared" si="12"/>
        <v>75000</v>
      </c>
      <c r="Q71" s="33" t="s">
        <v>27</v>
      </c>
      <c r="R71" s="33">
        <f t="shared" si="13"/>
        <v>22982400</v>
      </c>
      <c r="S71" s="151">
        <v>2200000</v>
      </c>
      <c r="T71" s="33">
        <f t="shared" si="14"/>
        <v>2462400</v>
      </c>
      <c r="U71" s="34" t="s">
        <v>28</v>
      </c>
      <c r="V71" s="33">
        <f t="shared" si="15"/>
        <v>262400</v>
      </c>
    </row>
    <row r="72" spans="1:22">
      <c r="A72" s="34">
        <f t="shared" si="8"/>
        <v>69</v>
      </c>
      <c r="B72" s="59" t="s">
        <v>22</v>
      </c>
      <c r="C72" s="59" t="s">
        <v>92</v>
      </c>
      <c r="D72" s="59" t="s">
        <v>97</v>
      </c>
      <c r="E72" s="32">
        <v>46214</v>
      </c>
      <c r="F72" s="39" t="s">
        <v>113</v>
      </c>
      <c r="G72" s="137" t="s">
        <v>26</v>
      </c>
      <c r="H72" s="138">
        <v>32.832</v>
      </c>
      <c r="I72" s="137">
        <v>625000</v>
      </c>
      <c r="J72" s="33">
        <f t="shared" si="9"/>
        <v>20520000</v>
      </c>
      <c r="K72" s="139">
        <v>19</v>
      </c>
      <c r="L72" s="139">
        <v>130000</v>
      </c>
      <c r="M72" s="33">
        <f t="shared" si="10"/>
        <v>2470000</v>
      </c>
      <c r="N72" s="33">
        <f t="shared" si="11"/>
        <v>22990000</v>
      </c>
      <c r="O72" s="90">
        <v>700000</v>
      </c>
      <c r="P72" s="33">
        <f t="shared" si="12"/>
        <v>75000</v>
      </c>
      <c r="Q72" s="33" t="s">
        <v>27</v>
      </c>
      <c r="R72" s="33">
        <f t="shared" si="13"/>
        <v>22982400</v>
      </c>
      <c r="S72" s="151">
        <v>2500000</v>
      </c>
      <c r="T72" s="33">
        <f t="shared" si="14"/>
        <v>2462400</v>
      </c>
      <c r="U72" s="34" t="s">
        <v>28</v>
      </c>
      <c r="V72" s="33">
        <f t="shared" si="15"/>
        <v>-37600</v>
      </c>
    </row>
    <row r="73" spans="1:22">
      <c r="A73" s="34">
        <f t="shared" si="8"/>
        <v>70</v>
      </c>
      <c r="B73" s="59" t="s">
        <v>22</v>
      </c>
      <c r="C73" s="157" t="s">
        <v>77</v>
      </c>
      <c r="D73" s="157" t="s">
        <v>78</v>
      </c>
      <c r="E73" s="158">
        <v>46214</v>
      </c>
      <c r="F73" s="159" t="s">
        <v>114</v>
      </c>
      <c r="G73" s="137" t="s">
        <v>26</v>
      </c>
      <c r="H73" s="138">
        <v>32.832</v>
      </c>
      <c r="I73" s="137">
        <v>625000</v>
      </c>
      <c r="J73" s="33">
        <f t="shared" si="9"/>
        <v>20520000</v>
      </c>
      <c r="K73" s="139">
        <v>19</v>
      </c>
      <c r="L73" s="139">
        <v>130000</v>
      </c>
      <c r="M73" s="33">
        <f t="shared" si="10"/>
        <v>2470000</v>
      </c>
      <c r="N73" s="33">
        <f t="shared" si="11"/>
        <v>22990000</v>
      </c>
      <c r="O73" s="90">
        <v>700000</v>
      </c>
      <c r="P73" s="33">
        <f t="shared" si="12"/>
        <v>75000</v>
      </c>
      <c r="Q73" s="33" t="s">
        <v>27</v>
      </c>
      <c r="R73" s="33">
        <f t="shared" si="13"/>
        <v>22982400</v>
      </c>
      <c r="S73" s="151">
        <v>2200000</v>
      </c>
      <c r="T73" s="33">
        <f t="shared" si="14"/>
        <v>2462400</v>
      </c>
      <c r="U73" s="34" t="s">
        <v>28</v>
      </c>
      <c r="V73" s="33">
        <f t="shared" si="15"/>
        <v>262400</v>
      </c>
    </row>
    <row r="74" spans="1:22">
      <c r="A74" s="34">
        <f t="shared" si="8"/>
        <v>71</v>
      </c>
      <c r="B74" s="59" t="s">
        <v>22</v>
      </c>
      <c r="C74" s="147" t="s">
        <v>50</v>
      </c>
      <c r="D74" s="147" t="s">
        <v>53</v>
      </c>
      <c r="E74" s="148">
        <v>46214</v>
      </c>
      <c r="F74" s="147" t="s">
        <v>115</v>
      </c>
      <c r="G74" s="137" t="s">
        <v>26</v>
      </c>
      <c r="H74" s="138">
        <v>32.832</v>
      </c>
      <c r="I74" s="137">
        <v>625000</v>
      </c>
      <c r="J74" s="33">
        <f t="shared" si="9"/>
        <v>20520000</v>
      </c>
      <c r="K74" s="139">
        <v>19</v>
      </c>
      <c r="L74" s="139">
        <v>130000</v>
      </c>
      <c r="M74" s="33">
        <f t="shared" si="10"/>
        <v>2470000</v>
      </c>
      <c r="N74" s="33">
        <f t="shared" si="11"/>
        <v>22990000</v>
      </c>
      <c r="O74" s="90">
        <v>700000</v>
      </c>
      <c r="P74" s="33">
        <f t="shared" si="12"/>
        <v>75000</v>
      </c>
      <c r="Q74" s="33" t="s">
        <v>27</v>
      </c>
      <c r="R74" s="33">
        <f t="shared" si="13"/>
        <v>22982400</v>
      </c>
      <c r="S74" s="151">
        <v>2200000</v>
      </c>
      <c r="T74" s="33">
        <f t="shared" si="14"/>
        <v>2462400</v>
      </c>
      <c r="U74" s="34" t="s">
        <v>28</v>
      </c>
      <c r="V74" s="33">
        <f t="shared" si="15"/>
        <v>262400</v>
      </c>
    </row>
    <row r="75" spans="1:22">
      <c r="A75" s="34">
        <f t="shared" si="8"/>
        <v>72</v>
      </c>
      <c r="B75" s="59" t="s">
        <v>22</v>
      </c>
      <c r="C75" s="141" t="s">
        <v>32</v>
      </c>
      <c r="D75" s="141" t="s">
        <v>33</v>
      </c>
      <c r="E75" s="142">
        <v>46214</v>
      </c>
      <c r="F75" s="165" t="s">
        <v>116</v>
      </c>
      <c r="G75" s="137" t="s">
        <v>46</v>
      </c>
      <c r="H75" s="138">
        <v>32.832</v>
      </c>
      <c r="I75" s="137">
        <v>625000</v>
      </c>
      <c r="J75" s="33">
        <f t="shared" si="9"/>
        <v>20520000</v>
      </c>
      <c r="K75" s="139">
        <v>19</v>
      </c>
      <c r="L75" s="139">
        <v>130000</v>
      </c>
      <c r="M75" s="33">
        <f t="shared" si="10"/>
        <v>2470000</v>
      </c>
      <c r="N75" s="33">
        <f t="shared" si="11"/>
        <v>22990000</v>
      </c>
      <c r="O75" s="90">
        <v>700000</v>
      </c>
      <c r="P75" s="33">
        <f t="shared" si="12"/>
        <v>75000</v>
      </c>
      <c r="Q75" s="33" t="s">
        <v>27</v>
      </c>
      <c r="R75" s="33">
        <f t="shared" si="13"/>
        <v>22982400</v>
      </c>
      <c r="S75" s="151">
        <v>2200000</v>
      </c>
      <c r="T75" s="33">
        <f t="shared" si="14"/>
        <v>2462400</v>
      </c>
      <c r="U75" s="34" t="s">
        <v>28</v>
      </c>
      <c r="V75" s="33">
        <f t="shared" si="15"/>
        <v>262400</v>
      </c>
    </row>
    <row r="76" spans="1:22">
      <c r="A76" s="34">
        <f t="shared" si="8"/>
        <v>73</v>
      </c>
      <c r="B76" s="59" t="s">
        <v>22</v>
      </c>
      <c r="C76" s="141" t="s">
        <v>32</v>
      </c>
      <c r="D76" s="141" t="s">
        <v>81</v>
      </c>
      <c r="E76" s="142">
        <v>46214</v>
      </c>
      <c r="F76" s="115" t="s">
        <v>65</v>
      </c>
      <c r="G76" s="137" t="s">
        <v>26</v>
      </c>
      <c r="H76" s="138">
        <v>32.832</v>
      </c>
      <c r="I76" s="137">
        <v>625000</v>
      </c>
      <c r="J76" s="33">
        <f t="shared" si="9"/>
        <v>20520000</v>
      </c>
      <c r="K76" s="139">
        <v>19</v>
      </c>
      <c r="L76" s="139">
        <v>130000</v>
      </c>
      <c r="M76" s="33">
        <f t="shared" si="10"/>
        <v>2470000</v>
      </c>
      <c r="N76" s="33">
        <f t="shared" si="11"/>
        <v>22990000</v>
      </c>
      <c r="O76" s="90">
        <v>700000</v>
      </c>
      <c r="P76" s="33">
        <f t="shared" si="12"/>
        <v>75000</v>
      </c>
      <c r="Q76" s="33" t="s">
        <v>27</v>
      </c>
      <c r="R76" s="33">
        <f t="shared" si="13"/>
        <v>22982400</v>
      </c>
      <c r="S76" s="161">
        <v>2200000</v>
      </c>
      <c r="T76" s="33">
        <f t="shared" si="14"/>
        <v>2462400</v>
      </c>
      <c r="U76" s="34" t="s">
        <v>28</v>
      </c>
      <c r="V76" s="33">
        <f t="shared" si="15"/>
        <v>262400</v>
      </c>
    </row>
    <row r="77" spans="1:22">
      <c r="A77" s="34">
        <f t="shared" si="8"/>
        <v>74</v>
      </c>
      <c r="B77" s="59" t="s">
        <v>22</v>
      </c>
      <c r="C77" s="147" t="s">
        <v>50</v>
      </c>
      <c r="D77" s="166" t="s">
        <v>117</v>
      </c>
      <c r="E77" s="148">
        <v>46215</v>
      </c>
      <c r="F77" s="147" t="s">
        <v>118</v>
      </c>
      <c r="G77" s="137" t="s">
        <v>26</v>
      </c>
      <c r="H77" s="138">
        <v>32.832</v>
      </c>
      <c r="I77" s="151">
        <v>545000</v>
      </c>
      <c r="J77" s="33">
        <f t="shared" si="9"/>
        <v>17893440</v>
      </c>
      <c r="K77" s="139">
        <v>19</v>
      </c>
      <c r="L77" s="139">
        <v>130000</v>
      </c>
      <c r="M77" s="33">
        <f t="shared" si="10"/>
        <v>2470000</v>
      </c>
      <c r="N77" s="33">
        <f t="shared" si="11"/>
        <v>20363440</v>
      </c>
      <c r="O77" s="90">
        <v>700000</v>
      </c>
      <c r="P77" s="33">
        <f t="shared" si="12"/>
        <v>155000</v>
      </c>
      <c r="Q77" s="33" t="s">
        <v>27</v>
      </c>
      <c r="R77" s="33">
        <f t="shared" si="13"/>
        <v>22982400</v>
      </c>
      <c r="S77" s="33">
        <v>2600000</v>
      </c>
      <c r="T77" s="33">
        <f t="shared" si="14"/>
        <v>5088960</v>
      </c>
      <c r="U77" s="34" t="s">
        <v>28</v>
      </c>
      <c r="V77" s="33">
        <f t="shared" si="15"/>
        <v>2488960</v>
      </c>
    </row>
    <row r="78" spans="1:22">
      <c r="A78" s="34">
        <f t="shared" si="8"/>
        <v>75</v>
      </c>
      <c r="B78" s="59" t="s">
        <v>22</v>
      </c>
      <c r="C78" s="134" t="s">
        <v>23</v>
      </c>
      <c r="D78" s="134" t="s">
        <v>119</v>
      </c>
      <c r="E78" s="135">
        <v>46215</v>
      </c>
      <c r="F78" s="150" t="s">
        <v>85</v>
      </c>
      <c r="G78" s="137" t="s">
        <v>26</v>
      </c>
      <c r="H78" s="138">
        <v>32.832</v>
      </c>
      <c r="I78" s="137">
        <v>625000</v>
      </c>
      <c r="J78" s="33">
        <f t="shared" si="9"/>
        <v>20520000</v>
      </c>
      <c r="K78" s="139">
        <v>19</v>
      </c>
      <c r="L78" s="139">
        <v>130000</v>
      </c>
      <c r="M78" s="33">
        <f t="shared" si="10"/>
        <v>2470000</v>
      </c>
      <c r="N78" s="33">
        <f t="shared" si="11"/>
        <v>22990000</v>
      </c>
      <c r="O78" s="90">
        <v>700000</v>
      </c>
      <c r="P78" s="33">
        <f t="shared" si="12"/>
        <v>75000</v>
      </c>
      <c r="Q78" s="33" t="s">
        <v>27</v>
      </c>
      <c r="R78" s="33">
        <f t="shared" si="13"/>
        <v>22982400</v>
      </c>
      <c r="S78" s="33">
        <v>2200000</v>
      </c>
      <c r="T78" s="33">
        <f t="shared" si="14"/>
        <v>2462400</v>
      </c>
      <c r="U78" s="34" t="s">
        <v>28</v>
      </c>
      <c r="V78" s="33">
        <f t="shared" si="15"/>
        <v>262400</v>
      </c>
    </row>
    <row r="79" spans="1:22">
      <c r="A79" s="34">
        <f t="shared" si="8"/>
        <v>76</v>
      </c>
      <c r="B79" s="59" t="s">
        <v>22</v>
      </c>
      <c r="C79" s="59" t="s">
        <v>92</v>
      </c>
      <c r="D79" s="59" t="s">
        <v>120</v>
      </c>
      <c r="E79" s="32">
        <v>46215</v>
      </c>
      <c r="F79" s="39" t="s">
        <v>121</v>
      </c>
      <c r="G79" s="137" t="s">
        <v>26</v>
      </c>
      <c r="H79" s="138">
        <v>32.832</v>
      </c>
      <c r="I79" s="137">
        <v>625000</v>
      </c>
      <c r="J79" s="33">
        <f t="shared" si="9"/>
        <v>20520000</v>
      </c>
      <c r="K79" s="139">
        <v>19</v>
      </c>
      <c r="L79" s="139">
        <v>130000</v>
      </c>
      <c r="M79" s="33">
        <f t="shared" si="10"/>
        <v>2470000</v>
      </c>
      <c r="N79" s="33">
        <f t="shared" si="11"/>
        <v>22990000</v>
      </c>
      <c r="O79" s="90">
        <v>700000</v>
      </c>
      <c r="P79" s="33">
        <f t="shared" si="12"/>
        <v>75000</v>
      </c>
      <c r="Q79" s="33" t="s">
        <v>27</v>
      </c>
      <c r="R79" s="33">
        <f t="shared" si="13"/>
        <v>22982400</v>
      </c>
      <c r="S79" s="33">
        <v>2200000</v>
      </c>
      <c r="T79" s="33">
        <f t="shared" si="14"/>
        <v>2462400</v>
      </c>
      <c r="U79" s="34" t="s">
        <v>28</v>
      </c>
      <c r="V79" s="33">
        <f t="shared" si="15"/>
        <v>262400</v>
      </c>
    </row>
    <row r="80" spans="1:22">
      <c r="A80" s="34">
        <f t="shared" si="8"/>
        <v>77</v>
      </c>
      <c r="B80" s="59" t="s">
        <v>22</v>
      </c>
      <c r="C80" s="59" t="s">
        <v>92</v>
      </c>
      <c r="D80" s="59" t="s">
        <v>120</v>
      </c>
      <c r="E80" s="32">
        <v>46216</v>
      </c>
      <c r="F80" s="39" t="s">
        <v>122</v>
      </c>
      <c r="G80" s="137" t="s">
        <v>46</v>
      </c>
      <c r="H80" s="138">
        <v>32.832</v>
      </c>
      <c r="I80" s="137">
        <v>625000</v>
      </c>
      <c r="J80" s="33">
        <f t="shared" si="9"/>
        <v>20520000</v>
      </c>
      <c r="K80" s="139">
        <v>19</v>
      </c>
      <c r="L80" s="139">
        <v>130000</v>
      </c>
      <c r="M80" s="33">
        <f t="shared" si="10"/>
        <v>2470000</v>
      </c>
      <c r="N80" s="33">
        <f t="shared" si="11"/>
        <v>22990000</v>
      </c>
      <c r="O80" s="90">
        <v>700000</v>
      </c>
      <c r="P80" s="33">
        <f t="shared" si="12"/>
        <v>75000</v>
      </c>
      <c r="Q80" s="33" t="s">
        <v>27</v>
      </c>
      <c r="R80" s="33">
        <f t="shared" si="13"/>
        <v>22982400</v>
      </c>
      <c r="S80" s="33">
        <v>2200000</v>
      </c>
      <c r="T80" s="33">
        <f t="shared" si="14"/>
        <v>2462400</v>
      </c>
      <c r="U80" s="34" t="s">
        <v>28</v>
      </c>
      <c r="V80" s="33">
        <f t="shared" si="15"/>
        <v>262400</v>
      </c>
    </row>
    <row r="81" spans="1:22">
      <c r="A81" s="34">
        <f t="shared" si="8"/>
        <v>78</v>
      </c>
      <c r="B81" s="59" t="s">
        <v>22</v>
      </c>
      <c r="C81" s="141" t="s">
        <v>32</v>
      </c>
      <c r="D81" s="141" t="s">
        <v>33</v>
      </c>
      <c r="E81" s="142">
        <v>46216</v>
      </c>
      <c r="F81" s="167" t="s">
        <v>123</v>
      </c>
      <c r="G81" s="137" t="s">
        <v>26</v>
      </c>
      <c r="H81" s="138">
        <v>32.832</v>
      </c>
      <c r="I81" s="137">
        <v>625000</v>
      </c>
      <c r="J81" s="33">
        <f t="shared" si="9"/>
        <v>20520000</v>
      </c>
      <c r="K81" s="139">
        <v>19</v>
      </c>
      <c r="L81" s="139">
        <v>130000</v>
      </c>
      <c r="M81" s="33">
        <f t="shared" si="10"/>
        <v>2470000</v>
      </c>
      <c r="N81" s="33">
        <f t="shared" si="11"/>
        <v>22990000</v>
      </c>
      <c r="O81" s="90">
        <v>700000</v>
      </c>
      <c r="P81" s="33">
        <f t="shared" si="12"/>
        <v>75000</v>
      </c>
      <c r="Q81" s="33" t="s">
        <v>27</v>
      </c>
      <c r="R81" s="33">
        <f t="shared" si="13"/>
        <v>22982400</v>
      </c>
      <c r="S81" s="151">
        <v>2500000</v>
      </c>
      <c r="T81" s="33">
        <f t="shared" si="14"/>
        <v>2462400</v>
      </c>
      <c r="U81" s="34" t="s">
        <v>28</v>
      </c>
      <c r="V81" s="33">
        <f t="shared" si="15"/>
        <v>-37600</v>
      </c>
    </row>
    <row r="82" spans="1:22">
      <c r="A82" s="34">
        <f t="shared" si="8"/>
        <v>79</v>
      </c>
      <c r="B82" s="59" t="s">
        <v>22</v>
      </c>
      <c r="C82" s="141" t="s">
        <v>32</v>
      </c>
      <c r="D82" s="141" t="s">
        <v>81</v>
      </c>
      <c r="E82" s="142">
        <v>46217</v>
      </c>
      <c r="F82" s="167" t="s">
        <v>124</v>
      </c>
      <c r="G82" s="137" t="s">
        <v>46</v>
      </c>
      <c r="H82" s="138">
        <v>32.832</v>
      </c>
      <c r="I82" s="137">
        <v>625000</v>
      </c>
      <c r="J82" s="33">
        <f t="shared" si="9"/>
        <v>20520000</v>
      </c>
      <c r="K82" s="139">
        <v>19</v>
      </c>
      <c r="L82" s="139">
        <v>130000</v>
      </c>
      <c r="M82" s="33">
        <f t="shared" si="10"/>
        <v>2470000</v>
      </c>
      <c r="N82" s="33">
        <f t="shared" si="11"/>
        <v>22990000</v>
      </c>
      <c r="O82" s="90">
        <v>700000</v>
      </c>
      <c r="P82" s="33">
        <f t="shared" si="12"/>
        <v>75000</v>
      </c>
      <c r="Q82" s="33" t="s">
        <v>27</v>
      </c>
      <c r="R82" s="33">
        <f t="shared" si="13"/>
        <v>22982400</v>
      </c>
      <c r="S82" s="161">
        <v>2500000</v>
      </c>
      <c r="T82" s="33">
        <f t="shared" si="14"/>
        <v>2462400</v>
      </c>
      <c r="U82" s="34" t="s">
        <v>28</v>
      </c>
      <c r="V82" s="33">
        <f t="shared" si="15"/>
        <v>-37600</v>
      </c>
    </row>
    <row r="83" spans="1:22">
      <c r="A83" s="34">
        <f t="shared" si="8"/>
        <v>80</v>
      </c>
      <c r="B83" s="59" t="s">
        <v>22</v>
      </c>
      <c r="C83" s="157" t="s">
        <v>77</v>
      </c>
      <c r="D83" s="157" t="s">
        <v>78</v>
      </c>
      <c r="E83" s="158">
        <v>46216</v>
      </c>
      <c r="F83" s="168" t="s">
        <v>125</v>
      </c>
      <c r="G83" s="137" t="s">
        <v>46</v>
      </c>
      <c r="H83" s="138">
        <v>32.832</v>
      </c>
      <c r="I83" s="137">
        <v>625000</v>
      </c>
      <c r="J83" s="33">
        <f t="shared" si="9"/>
        <v>20520000</v>
      </c>
      <c r="K83" s="139">
        <v>19</v>
      </c>
      <c r="L83" s="139">
        <v>130000</v>
      </c>
      <c r="M83" s="33">
        <f t="shared" si="10"/>
        <v>2470000</v>
      </c>
      <c r="N83" s="33">
        <f t="shared" si="11"/>
        <v>22990000</v>
      </c>
      <c r="O83" s="90">
        <v>700000</v>
      </c>
      <c r="P83" s="33">
        <f t="shared" si="12"/>
        <v>75000</v>
      </c>
      <c r="Q83" s="33" t="s">
        <v>27</v>
      </c>
      <c r="R83" s="33">
        <f t="shared" si="13"/>
        <v>22982400</v>
      </c>
      <c r="S83" s="151">
        <v>2200000</v>
      </c>
      <c r="T83" s="33">
        <f t="shared" si="14"/>
        <v>2462400</v>
      </c>
      <c r="U83" s="34" t="s">
        <v>28</v>
      </c>
      <c r="V83" s="33">
        <f t="shared" si="15"/>
        <v>262400</v>
      </c>
    </row>
    <row r="84" spans="1:22">
      <c r="A84" s="34">
        <f t="shared" si="8"/>
        <v>81</v>
      </c>
      <c r="B84" s="59" t="s">
        <v>22</v>
      </c>
      <c r="C84" s="157" t="s">
        <v>77</v>
      </c>
      <c r="D84" s="157" t="s">
        <v>78</v>
      </c>
      <c r="E84" s="158">
        <v>46216</v>
      </c>
      <c r="F84" s="168" t="s">
        <v>118</v>
      </c>
      <c r="G84" s="137" t="s">
        <v>26</v>
      </c>
      <c r="H84" s="138">
        <v>32.832</v>
      </c>
      <c r="I84" s="137">
        <v>625000</v>
      </c>
      <c r="J84" s="33">
        <f t="shared" si="9"/>
        <v>20520000</v>
      </c>
      <c r="K84" s="139">
        <v>19</v>
      </c>
      <c r="L84" s="139">
        <v>130000</v>
      </c>
      <c r="M84" s="33">
        <f t="shared" si="10"/>
        <v>2470000</v>
      </c>
      <c r="N84" s="33">
        <f t="shared" si="11"/>
        <v>22990000</v>
      </c>
      <c r="O84" s="90">
        <v>700000</v>
      </c>
      <c r="P84" s="33">
        <f t="shared" si="12"/>
        <v>75000</v>
      </c>
      <c r="Q84" s="33" t="s">
        <v>27</v>
      </c>
      <c r="R84" s="33">
        <f t="shared" si="13"/>
        <v>22982400</v>
      </c>
      <c r="S84" s="151">
        <v>2200000</v>
      </c>
      <c r="T84" s="33">
        <f t="shared" si="14"/>
        <v>2462400</v>
      </c>
      <c r="U84" s="34" t="s">
        <v>28</v>
      </c>
      <c r="V84" s="33">
        <f t="shared" si="15"/>
        <v>262400</v>
      </c>
    </row>
    <row r="85" spans="1:22">
      <c r="A85" s="34">
        <f t="shared" si="8"/>
        <v>82</v>
      </c>
      <c r="B85" s="59" t="s">
        <v>22</v>
      </c>
      <c r="C85" s="157" t="s">
        <v>77</v>
      </c>
      <c r="D85" s="157" t="s">
        <v>102</v>
      </c>
      <c r="E85" s="158">
        <v>46216</v>
      </c>
      <c r="F85" s="168" t="s">
        <v>126</v>
      </c>
      <c r="G85" s="137" t="s">
        <v>26</v>
      </c>
      <c r="H85" s="138">
        <v>32.832</v>
      </c>
      <c r="I85" s="137">
        <v>625000</v>
      </c>
      <c r="J85" s="33">
        <f t="shared" si="9"/>
        <v>20520000</v>
      </c>
      <c r="K85" s="139">
        <v>19</v>
      </c>
      <c r="L85" s="139">
        <v>130000</v>
      </c>
      <c r="M85" s="33">
        <f t="shared" si="10"/>
        <v>2470000</v>
      </c>
      <c r="N85" s="33">
        <f t="shared" si="11"/>
        <v>22990000</v>
      </c>
      <c r="O85" s="90">
        <v>700000</v>
      </c>
      <c r="P85" s="33">
        <f t="shared" si="12"/>
        <v>75000</v>
      </c>
      <c r="Q85" s="33" t="s">
        <v>27</v>
      </c>
      <c r="R85" s="33">
        <f t="shared" si="13"/>
        <v>22982400</v>
      </c>
      <c r="S85" s="151">
        <v>2300000</v>
      </c>
      <c r="T85" s="33">
        <f t="shared" si="14"/>
        <v>2462400</v>
      </c>
      <c r="U85" s="34" t="s">
        <v>28</v>
      </c>
      <c r="V85" s="33">
        <f t="shared" si="15"/>
        <v>162400</v>
      </c>
    </row>
    <row r="86" spans="1:22">
      <c r="A86" s="34">
        <f t="shared" si="8"/>
        <v>83</v>
      </c>
      <c r="B86" s="59" t="s">
        <v>22</v>
      </c>
      <c r="C86" s="157" t="s">
        <v>77</v>
      </c>
      <c r="D86" s="157" t="s">
        <v>102</v>
      </c>
      <c r="E86" s="158">
        <v>46217</v>
      </c>
      <c r="F86" s="168" t="s">
        <v>127</v>
      </c>
      <c r="G86" s="137" t="s">
        <v>26</v>
      </c>
      <c r="H86" s="138">
        <v>32.832</v>
      </c>
      <c r="I86" s="137">
        <v>625000</v>
      </c>
      <c r="J86" s="33">
        <f t="shared" si="9"/>
        <v>20520000</v>
      </c>
      <c r="K86" s="139">
        <v>19</v>
      </c>
      <c r="L86" s="139">
        <v>130000</v>
      </c>
      <c r="M86" s="33">
        <f t="shared" si="10"/>
        <v>2470000</v>
      </c>
      <c r="N86" s="33">
        <f t="shared" si="11"/>
        <v>22990000</v>
      </c>
      <c r="O86" s="90">
        <v>700000</v>
      </c>
      <c r="P86" s="33">
        <f t="shared" si="12"/>
        <v>75000</v>
      </c>
      <c r="Q86" s="33" t="s">
        <v>27</v>
      </c>
      <c r="R86" s="33">
        <f t="shared" si="13"/>
        <v>22982400</v>
      </c>
      <c r="S86" s="151">
        <v>2300000</v>
      </c>
      <c r="T86" s="33">
        <f t="shared" si="14"/>
        <v>2462400</v>
      </c>
      <c r="U86" s="34" t="s">
        <v>28</v>
      </c>
      <c r="V86" s="33">
        <f t="shared" si="15"/>
        <v>162400</v>
      </c>
    </row>
    <row r="87" spans="1:22">
      <c r="A87" s="34">
        <f t="shared" si="8"/>
        <v>84</v>
      </c>
      <c r="B87" s="59" t="s">
        <v>22</v>
      </c>
      <c r="C87" s="134" t="s">
        <v>23</v>
      </c>
      <c r="D87" s="134" t="s">
        <v>119</v>
      </c>
      <c r="E87" s="135">
        <v>46216</v>
      </c>
      <c r="F87" s="169" t="s">
        <v>128</v>
      </c>
      <c r="G87" s="137" t="s">
        <v>26</v>
      </c>
      <c r="H87" s="138">
        <v>32.832</v>
      </c>
      <c r="I87" s="137">
        <v>625000</v>
      </c>
      <c r="J87" s="33">
        <f t="shared" si="9"/>
        <v>20520000</v>
      </c>
      <c r="K87" s="139">
        <v>19</v>
      </c>
      <c r="L87" s="139">
        <v>130000</v>
      </c>
      <c r="M87" s="33">
        <f t="shared" si="10"/>
        <v>2470000</v>
      </c>
      <c r="N87" s="33">
        <f t="shared" si="11"/>
        <v>22990000</v>
      </c>
      <c r="O87" s="90">
        <v>700000</v>
      </c>
      <c r="P87" s="33">
        <f t="shared" si="12"/>
        <v>75000</v>
      </c>
      <c r="Q87" s="33" t="s">
        <v>27</v>
      </c>
      <c r="R87" s="33">
        <f t="shared" si="13"/>
        <v>22982400</v>
      </c>
      <c r="S87" s="33">
        <v>2500000</v>
      </c>
      <c r="T87" s="33">
        <f t="shared" si="14"/>
        <v>2462400</v>
      </c>
      <c r="U87" s="34" t="s">
        <v>28</v>
      </c>
      <c r="V87" s="33">
        <f t="shared" si="15"/>
        <v>-37600</v>
      </c>
    </row>
    <row r="88" spans="1:22">
      <c r="A88" s="34">
        <f t="shared" si="8"/>
        <v>85</v>
      </c>
      <c r="B88" s="59" t="s">
        <v>22</v>
      </c>
      <c r="C88" s="134" t="s">
        <v>23</v>
      </c>
      <c r="D88" s="134" t="s">
        <v>69</v>
      </c>
      <c r="E88" s="135">
        <v>46216</v>
      </c>
      <c r="F88" s="169" t="s">
        <v>129</v>
      </c>
      <c r="G88" s="137" t="s">
        <v>26</v>
      </c>
      <c r="H88" s="138">
        <v>32.832</v>
      </c>
      <c r="I88" s="137">
        <v>625000</v>
      </c>
      <c r="J88" s="33">
        <f t="shared" si="9"/>
        <v>20520000</v>
      </c>
      <c r="K88" s="139">
        <v>19</v>
      </c>
      <c r="L88" s="139">
        <v>130000</v>
      </c>
      <c r="M88" s="33">
        <f t="shared" si="10"/>
        <v>2470000</v>
      </c>
      <c r="N88" s="33">
        <f t="shared" si="11"/>
        <v>22990000</v>
      </c>
      <c r="O88" s="90">
        <v>700000</v>
      </c>
      <c r="P88" s="33">
        <f t="shared" si="12"/>
        <v>75000</v>
      </c>
      <c r="Q88" s="33" t="s">
        <v>27</v>
      </c>
      <c r="R88" s="33">
        <f t="shared" si="13"/>
        <v>22982400</v>
      </c>
      <c r="S88" s="33">
        <v>2500000</v>
      </c>
      <c r="T88" s="33">
        <f t="shared" si="14"/>
        <v>2462400</v>
      </c>
      <c r="U88" s="34" t="s">
        <v>28</v>
      </c>
      <c r="V88" s="33">
        <f t="shared" si="15"/>
        <v>-37600</v>
      </c>
    </row>
    <row r="89" spans="1:22">
      <c r="A89" s="34">
        <f t="shared" si="8"/>
        <v>86</v>
      </c>
      <c r="B89" s="59" t="s">
        <v>22</v>
      </c>
      <c r="C89" s="134" t="s">
        <v>23</v>
      </c>
      <c r="D89" s="134" t="s">
        <v>37</v>
      </c>
      <c r="E89" s="135">
        <v>46216</v>
      </c>
      <c r="F89" s="169" t="s">
        <v>130</v>
      </c>
      <c r="G89" s="137" t="s">
        <v>26</v>
      </c>
      <c r="H89" s="138">
        <v>32.832</v>
      </c>
      <c r="I89" s="137">
        <v>625000</v>
      </c>
      <c r="J89" s="33">
        <f t="shared" si="9"/>
        <v>20520000</v>
      </c>
      <c r="K89" s="139">
        <v>19</v>
      </c>
      <c r="L89" s="139">
        <v>130000</v>
      </c>
      <c r="M89" s="33">
        <f t="shared" si="10"/>
        <v>2470000</v>
      </c>
      <c r="N89" s="33">
        <f t="shared" si="11"/>
        <v>22990000</v>
      </c>
      <c r="O89" s="90">
        <v>700000</v>
      </c>
      <c r="P89" s="33">
        <f t="shared" si="12"/>
        <v>75000</v>
      </c>
      <c r="Q89" s="33" t="s">
        <v>27</v>
      </c>
      <c r="R89" s="33">
        <f t="shared" si="13"/>
        <v>22982400</v>
      </c>
      <c r="S89" s="33">
        <v>2400000</v>
      </c>
      <c r="T89" s="33">
        <f t="shared" si="14"/>
        <v>2462400</v>
      </c>
      <c r="U89" s="34" t="s">
        <v>28</v>
      </c>
      <c r="V89" s="33">
        <f t="shared" si="15"/>
        <v>62400</v>
      </c>
    </row>
    <row r="90" spans="1:22">
      <c r="A90" s="34">
        <f t="shared" si="8"/>
        <v>87</v>
      </c>
      <c r="B90" s="59" t="s">
        <v>22</v>
      </c>
      <c r="C90" s="59" t="s">
        <v>92</v>
      </c>
      <c r="D90" s="59" t="s">
        <v>131</v>
      </c>
      <c r="E90" s="32">
        <v>46216</v>
      </c>
      <c r="F90" s="34" t="s">
        <v>132</v>
      </c>
      <c r="G90" s="137" t="s">
        <v>26</v>
      </c>
      <c r="H90" s="138">
        <v>25.92</v>
      </c>
      <c r="I90" s="151">
        <v>545000</v>
      </c>
      <c r="J90" s="33">
        <f t="shared" si="9"/>
        <v>14126400</v>
      </c>
      <c r="K90" s="139">
        <v>15</v>
      </c>
      <c r="L90" s="139">
        <v>130000</v>
      </c>
      <c r="M90" s="33">
        <f t="shared" si="10"/>
        <v>1950000</v>
      </c>
      <c r="N90" s="33">
        <f t="shared" si="11"/>
        <v>16076400</v>
      </c>
      <c r="O90" s="90">
        <v>700000</v>
      </c>
      <c r="P90" s="33">
        <f t="shared" si="12"/>
        <v>155000</v>
      </c>
      <c r="Q90" s="33" t="s">
        <v>27</v>
      </c>
      <c r="R90" s="33">
        <f t="shared" si="13"/>
        <v>18144000</v>
      </c>
      <c r="S90" s="151">
        <v>2250000</v>
      </c>
      <c r="T90" s="33">
        <f t="shared" si="14"/>
        <v>4017600</v>
      </c>
      <c r="U90" s="34" t="s">
        <v>28</v>
      </c>
      <c r="V90" s="33">
        <f t="shared" si="15"/>
        <v>1767600</v>
      </c>
    </row>
    <row r="91" spans="1:22">
      <c r="A91" s="34">
        <f t="shared" ref="A91:A116" si="16">A90+1</f>
        <v>88</v>
      </c>
      <c r="B91" s="59" t="s">
        <v>22</v>
      </c>
      <c r="C91" s="134" t="s">
        <v>23</v>
      </c>
      <c r="D91" s="134" t="s">
        <v>37</v>
      </c>
      <c r="E91" s="135">
        <v>46216</v>
      </c>
      <c r="F91" s="170" t="s">
        <v>132</v>
      </c>
      <c r="G91" s="137" t="s">
        <v>26</v>
      </c>
      <c r="H91" s="138">
        <v>6.912</v>
      </c>
      <c r="I91" s="151">
        <v>545000</v>
      </c>
      <c r="J91" s="33">
        <f t="shared" si="9"/>
        <v>3767040</v>
      </c>
      <c r="K91" s="139">
        <v>4</v>
      </c>
      <c r="L91" s="139">
        <v>130000</v>
      </c>
      <c r="M91" s="33">
        <f t="shared" si="10"/>
        <v>520000</v>
      </c>
      <c r="N91" s="33">
        <f t="shared" si="11"/>
        <v>4287040</v>
      </c>
      <c r="O91" s="90">
        <v>700000</v>
      </c>
      <c r="P91" s="33">
        <f t="shared" si="12"/>
        <v>155000</v>
      </c>
      <c r="Q91" s="33" t="s">
        <v>27</v>
      </c>
      <c r="R91" s="33">
        <f t="shared" si="13"/>
        <v>4838400</v>
      </c>
      <c r="S91" s="33">
        <v>450000</v>
      </c>
      <c r="T91" s="33">
        <f t="shared" si="14"/>
        <v>1071360</v>
      </c>
      <c r="U91" s="34" t="s">
        <v>28</v>
      </c>
      <c r="V91" s="33">
        <f t="shared" si="15"/>
        <v>621360</v>
      </c>
    </row>
    <row r="92" spans="1:22">
      <c r="A92" s="34">
        <f t="shared" si="16"/>
        <v>89</v>
      </c>
      <c r="B92" s="59" t="s">
        <v>22</v>
      </c>
      <c r="C92" s="147" t="s">
        <v>50</v>
      </c>
      <c r="D92" s="147" t="s">
        <v>107</v>
      </c>
      <c r="E92" s="148">
        <v>46217</v>
      </c>
      <c r="F92" s="171" t="s">
        <v>133</v>
      </c>
      <c r="G92" s="137" t="s">
        <v>26</v>
      </c>
      <c r="H92" s="138">
        <v>32.832</v>
      </c>
      <c r="I92" s="137">
        <v>625000</v>
      </c>
      <c r="J92" s="33">
        <f t="shared" si="9"/>
        <v>20520000</v>
      </c>
      <c r="K92" s="139">
        <v>19</v>
      </c>
      <c r="L92" s="139">
        <v>130000</v>
      </c>
      <c r="M92" s="33">
        <f t="shared" si="10"/>
        <v>2470000</v>
      </c>
      <c r="N92" s="33">
        <f t="shared" si="11"/>
        <v>22990000</v>
      </c>
      <c r="O92" s="90">
        <v>700000</v>
      </c>
      <c r="P92" s="33">
        <f t="shared" si="12"/>
        <v>75000</v>
      </c>
      <c r="Q92" s="33" t="s">
        <v>27</v>
      </c>
      <c r="R92" s="33">
        <f t="shared" si="13"/>
        <v>22982400</v>
      </c>
      <c r="S92" s="151">
        <v>2500000</v>
      </c>
      <c r="T92" s="33">
        <f t="shared" si="14"/>
        <v>2462400</v>
      </c>
      <c r="U92" s="34" t="s">
        <v>28</v>
      </c>
      <c r="V92" s="33">
        <f t="shared" si="15"/>
        <v>-37600</v>
      </c>
    </row>
    <row r="93" spans="1:22">
      <c r="A93" s="34">
        <f t="shared" si="16"/>
        <v>90</v>
      </c>
      <c r="B93" s="59" t="s">
        <v>22</v>
      </c>
      <c r="C93" s="134" t="s">
        <v>23</v>
      </c>
      <c r="D93" s="134" t="s">
        <v>37</v>
      </c>
      <c r="E93" s="135">
        <v>46217</v>
      </c>
      <c r="F93" s="170" t="s">
        <v>134</v>
      </c>
      <c r="G93" s="137" t="s">
        <v>26</v>
      </c>
      <c r="H93" s="138">
        <v>32.832</v>
      </c>
      <c r="I93" s="137">
        <v>625000</v>
      </c>
      <c r="J93" s="33">
        <f t="shared" si="9"/>
        <v>20520000</v>
      </c>
      <c r="K93" s="139">
        <v>19</v>
      </c>
      <c r="L93" s="139">
        <v>130000</v>
      </c>
      <c r="M93" s="33">
        <f t="shared" si="10"/>
        <v>2470000</v>
      </c>
      <c r="N93" s="33">
        <f t="shared" si="11"/>
        <v>22990000</v>
      </c>
      <c r="O93" s="90">
        <v>700000</v>
      </c>
      <c r="P93" s="33">
        <f t="shared" si="12"/>
        <v>75000</v>
      </c>
      <c r="Q93" s="33" t="s">
        <v>27</v>
      </c>
      <c r="R93" s="33">
        <f t="shared" si="13"/>
        <v>22982400</v>
      </c>
      <c r="S93" s="33">
        <v>2500000</v>
      </c>
      <c r="T93" s="33">
        <f t="shared" si="14"/>
        <v>2462400</v>
      </c>
      <c r="U93" s="34" t="s">
        <v>28</v>
      </c>
      <c r="V93" s="33">
        <f t="shared" si="15"/>
        <v>-37600</v>
      </c>
    </row>
    <row r="94" spans="1:22">
      <c r="A94" s="34">
        <f t="shared" si="16"/>
        <v>91</v>
      </c>
      <c r="B94" s="59" t="s">
        <v>22</v>
      </c>
      <c r="C94" s="59" t="s">
        <v>92</v>
      </c>
      <c r="D94" s="59" t="s">
        <v>135</v>
      </c>
      <c r="E94" s="32">
        <v>46217</v>
      </c>
      <c r="F94" s="34" t="s">
        <v>136</v>
      </c>
      <c r="G94" s="137" t="s">
        <v>96</v>
      </c>
      <c r="H94" s="138">
        <v>32.832</v>
      </c>
      <c r="I94" s="151">
        <v>595000</v>
      </c>
      <c r="J94" s="33">
        <f t="shared" si="9"/>
        <v>19535040</v>
      </c>
      <c r="K94" s="139">
        <v>19</v>
      </c>
      <c r="L94" s="139">
        <v>130000</v>
      </c>
      <c r="M94" s="33">
        <f t="shared" si="10"/>
        <v>2470000</v>
      </c>
      <c r="N94" s="33">
        <f t="shared" si="11"/>
        <v>22005040</v>
      </c>
      <c r="O94" s="90">
        <v>700000</v>
      </c>
      <c r="P94" s="33">
        <f t="shared" si="12"/>
        <v>105000</v>
      </c>
      <c r="Q94" s="33" t="s">
        <v>27</v>
      </c>
      <c r="R94" s="33">
        <f t="shared" si="13"/>
        <v>22982400</v>
      </c>
      <c r="S94" s="33">
        <v>2500000</v>
      </c>
      <c r="T94" s="33">
        <f t="shared" si="14"/>
        <v>3447360</v>
      </c>
      <c r="U94" s="34" t="s">
        <v>28</v>
      </c>
      <c r="V94" s="33">
        <f t="shared" si="15"/>
        <v>947360</v>
      </c>
    </row>
    <row r="95" spans="1:22">
      <c r="A95" s="34">
        <f t="shared" si="16"/>
        <v>92</v>
      </c>
      <c r="B95" s="59" t="s">
        <v>22</v>
      </c>
      <c r="C95" s="157" t="s">
        <v>77</v>
      </c>
      <c r="D95" s="157" t="s">
        <v>78</v>
      </c>
      <c r="E95" s="158">
        <v>46217</v>
      </c>
      <c r="F95" s="168" t="s">
        <v>137</v>
      </c>
      <c r="G95" s="137" t="s">
        <v>26</v>
      </c>
      <c r="H95" s="138">
        <v>32.832</v>
      </c>
      <c r="I95" s="137">
        <v>625000</v>
      </c>
      <c r="J95" s="33">
        <f t="shared" si="9"/>
        <v>20520000</v>
      </c>
      <c r="K95" s="139">
        <v>19</v>
      </c>
      <c r="L95" s="139">
        <v>130000</v>
      </c>
      <c r="M95" s="33">
        <f t="shared" si="10"/>
        <v>2470000</v>
      </c>
      <c r="N95" s="33">
        <f t="shared" si="11"/>
        <v>22990000</v>
      </c>
      <c r="O95" s="90">
        <v>700000</v>
      </c>
      <c r="P95" s="33">
        <f t="shared" si="12"/>
        <v>75000</v>
      </c>
      <c r="Q95" s="33" t="s">
        <v>27</v>
      </c>
      <c r="R95" s="33">
        <f t="shared" si="13"/>
        <v>22982400</v>
      </c>
      <c r="S95" s="151">
        <v>2500000</v>
      </c>
      <c r="T95" s="33">
        <f t="shared" si="14"/>
        <v>2462400</v>
      </c>
      <c r="U95" s="34" t="s">
        <v>28</v>
      </c>
      <c r="V95" s="33">
        <f t="shared" si="15"/>
        <v>-37600</v>
      </c>
    </row>
    <row r="96" spans="1:22">
      <c r="A96" s="34">
        <f t="shared" si="16"/>
        <v>93</v>
      </c>
      <c r="B96" s="59" t="s">
        <v>22</v>
      </c>
      <c r="C96" s="59" t="s">
        <v>92</v>
      </c>
      <c r="D96" s="59" t="s">
        <v>135</v>
      </c>
      <c r="E96" s="32">
        <v>46217</v>
      </c>
      <c r="F96" s="34" t="s">
        <v>138</v>
      </c>
      <c r="G96" s="137" t="s">
        <v>96</v>
      </c>
      <c r="H96" s="138">
        <v>32.832</v>
      </c>
      <c r="I96" s="151">
        <v>595000</v>
      </c>
      <c r="J96" s="33">
        <f t="shared" si="9"/>
        <v>19535040</v>
      </c>
      <c r="K96" s="139">
        <v>19</v>
      </c>
      <c r="L96" s="139">
        <v>130000</v>
      </c>
      <c r="M96" s="33">
        <f t="shared" si="10"/>
        <v>2470000</v>
      </c>
      <c r="N96" s="33">
        <f t="shared" si="11"/>
        <v>22005040</v>
      </c>
      <c r="O96" s="90">
        <v>700000</v>
      </c>
      <c r="P96" s="33">
        <f t="shared" si="12"/>
        <v>105000</v>
      </c>
      <c r="Q96" s="33" t="s">
        <v>27</v>
      </c>
      <c r="R96" s="33">
        <f t="shared" si="13"/>
        <v>22982400</v>
      </c>
      <c r="S96" s="33">
        <v>2500000</v>
      </c>
      <c r="T96" s="33">
        <f t="shared" si="14"/>
        <v>3447360</v>
      </c>
      <c r="U96" s="34" t="s">
        <v>28</v>
      </c>
      <c r="V96" s="33">
        <f t="shared" si="15"/>
        <v>947360</v>
      </c>
    </row>
    <row r="97" spans="1:22">
      <c r="A97" s="34">
        <f t="shared" si="16"/>
        <v>94</v>
      </c>
      <c r="B97" s="59" t="s">
        <v>22</v>
      </c>
      <c r="C97" s="59" t="s">
        <v>92</v>
      </c>
      <c r="D97" s="59" t="s">
        <v>139</v>
      </c>
      <c r="E97" s="32">
        <v>46217</v>
      </c>
      <c r="F97" s="34" t="s">
        <v>64</v>
      </c>
      <c r="G97" s="137" t="s">
        <v>96</v>
      </c>
      <c r="H97" s="138">
        <v>32.832</v>
      </c>
      <c r="I97" s="151">
        <v>595000</v>
      </c>
      <c r="J97" s="33">
        <f t="shared" si="9"/>
        <v>19535040</v>
      </c>
      <c r="K97" s="139">
        <v>19</v>
      </c>
      <c r="L97" s="139">
        <v>130000</v>
      </c>
      <c r="M97" s="33">
        <f t="shared" si="10"/>
        <v>2470000</v>
      </c>
      <c r="N97" s="33">
        <f t="shared" si="11"/>
        <v>22005040</v>
      </c>
      <c r="O97" s="90">
        <v>700000</v>
      </c>
      <c r="P97" s="33">
        <f t="shared" si="12"/>
        <v>105000</v>
      </c>
      <c r="Q97" s="33" t="s">
        <v>27</v>
      </c>
      <c r="R97" s="33">
        <f t="shared" si="13"/>
        <v>22982400</v>
      </c>
      <c r="S97" s="151">
        <v>2500000</v>
      </c>
      <c r="T97" s="33">
        <f t="shared" si="14"/>
        <v>3447360</v>
      </c>
      <c r="U97" s="34" t="s">
        <v>28</v>
      </c>
      <c r="V97" s="33">
        <f t="shared" si="15"/>
        <v>947360</v>
      </c>
    </row>
    <row r="98" spans="1:22">
      <c r="A98" s="34">
        <f t="shared" si="16"/>
        <v>95</v>
      </c>
      <c r="B98" s="59" t="s">
        <v>22</v>
      </c>
      <c r="C98" s="59" t="s">
        <v>92</v>
      </c>
      <c r="D98" s="59" t="s">
        <v>139</v>
      </c>
      <c r="E98" s="32">
        <v>46217</v>
      </c>
      <c r="F98" s="34" t="s">
        <v>140</v>
      </c>
      <c r="G98" s="137" t="s">
        <v>96</v>
      </c>
      <c r="H98" s="138">
        <v>32.832</v>
      </c>
      <c r="I98" s="151">
        <v>595000</v>
      </c>
      <c r="J98" s="33">
        <f t="shared" si="9"/>
        <v>19535040</v>
      </c>
      <c r="K98" s="139">
        <v>19</v>
      </c>
      <c r="L98" s="139">
        <v>130000</v>
      </c>
      <c r="M98" s="33">
        <f t="shared" si="10"/>
        <v>2470000</v>
      </c>
      <c r="N98" s="33">
        <f t="shared" si="11"/>
        <v>22005040</v>
      </c>
      <c r="O98" s="90">
        <v>700000</v>
      </c>
      <c r="P98" s="33">
        <f t="shared" si="12"/>
        <v>105000</v>
      </c>
      <c r="Q98" s="33" t="s">
        <v>27</v>
      </c>
      <c r="R98" s="33">
        <f t="shared" si="13"/>
        <v>22982400</v>
      </c>
      <c r="S98" s="151">
        <v>2500000</v>
      </c>
      <c r="T98" s="33">
        <f t="shared" si="14"/>
        <v>3447360</v>
      </c>
      <c r="U98" s="34" t="s">
        <v>28</v>
      </c>
      <c r="V98" s="33">
        <f t="shared" si="15"/>
        <v>947360</v>
      </c>
    </row>
    <row r="99" spans="1:22">
      <c r="A99" s="34">
        <f t="shared" si="16"/>
        <v>96</v>
      </c>
      <c r="B99" s="59" t="s">
        <v>22</v>
      </c>
      <c r="C99" s="59" t="s">
        <v>92</v>
      </c>
      <c r="D99" s="59" t="s">
        <v>135</v>
      </c>
      <c r="E99" s="32">
        <v>46217</v>
      </c>
      <c r="F99" s="34" t="s">
        <v>141</v>
      </c>
      <c r="G99" s="137" t="s">
        <v>96</v>
      </c>
      <c r="H99" s="138">
        <v>32.832</v>
      </c>
      <c r="I99" s="151">
        <v>595000</v>
      </c>
      <c r="J99" s="33">
        <f t="shared" si="9"/>
        <v>19535040</v>
      </c>
      <c r="K99" s="139">
        <v>19</v>
      </c>
      <c r="L99" s="139">
        <v>130000</v>
      </c>
      <c r="M99" s="33">
        <f t="shared" si="10"/>
        <v>2470000</v>
      </c>
      <c r="N99" s="33">
        <f t="shared" si="11"/>
        <v>22005040</v>
      </c>
      <c r="O99" s="90">
        <v>700000</v>
      </c>
      <c r="P99" s="33">
        <f t="shared" si="12"/>
        <v>105000</v>
      </c>
      <c r="Q99" s="33" t="s">
        <v>27</v>
      </c>
      <c r="R99" s="33">
        <f t="shared" si="13"/>
        <v>22982400</v>
      </c>
      <c r="S99" s="33">
        <v>2500000</v>
      </c>
      <c r="T99" s="33">
        <f t="shared" si="14"/>
        <v>3447360</v>
      </c>
      <c r="U99" s="34" t="s">
        <v>28</v>
      </c>
      <c r="V99" s="33">
        <f t="shared" si="15"/>
        <v>947360</v>
      </c>
    </row>
    <row r="100" spans="1:22">
      <c r="A100" s="34">
        <f t="shared" si="16"/>
        <v>97</v>
      </c>
      <c r="B100" s="59" t="s">
        <v>22</v>
      </c>
      <c r="C100" s="157" t="s">
        <v>77</v>
      </c>
      <c r="D100" s="157" t="s">
        <v>78</v>
      </c>
      <c r="E100" s="158">
        <v>46218</v>
      </c>
      <c r="F100" s="168" t="s">
        <v>142</v>
      </c>
      <c r="G100" s="137" t="s">
        <v>26</v>
      </c>
      <c r="H100" s="138">
        <v>32.832</v>
      </c>
      <c r="I100" s="137">
        <v>625000</v>
      </c>
      <c r="J100" s="33">
        <f t="shared" si="9"/>
        <v>20520000</v>
      </c>
      <c r="K100" s="139">
        <v>19</v>
      </c>
      <c r="L100" s="139">
        <v>130000</v>
      </c>
      <c r="M100" s="33">
        <f t="shared" si="10"/>
        <v>2470000</v>
      </c>
      <c r="N100" s="33">
        <f t="shared" si="11"/>
        <v>22990000</v>
      </c>
      <c r="O100" s="90">
        <v>700000</v>
      </c>
      <c r="P100" s="33">
        <f t="shared" si="12"/>
        <v>75000</v>
      </c>
      <c r="Q100" s="33" t="s">
        <v>27</v>
      </c>
      <c r="R100" s="33">
        <f t="shared" si="13"/>
        <v>22982400</v>
      </c>
      <c r="S100" s="151">
        <v>2500000</v>
      </c>
      <c r="T100" s="33">
        <f t="shared" si="14"/>
        <v>2462400</v>
      </c>
      <c r="U100" s="34" t="s">
        <v>28</v>
      </c>
      <c r="V100" s="33">
        <f t="shared" si="15"/>
        <v>-37600</v>
      </c>
    </row>
    <row r="101" spans="1:22">
      <c r="A101" s="34">
        <f t="shared" si="16"/>
        <v>98</v>
      </c>
      <c r="B101" s="59" t="s">
        <v>22</v>
      </c>
      <c r="C101" s="134" t="s">
        <v>23</v>
      </c>
      <c r="D101" s="134" t="s">
        <v>69</v>
      </c>
      <c r="E101" s="135">
        <v>46218</v>
      </c>
      <c r="F101" s="170" t="s">
        <v>143</v>
      </c>
      <c r="G101" s="137" t="s">
        <v>96</v>
      </c>
      <c r="H101" s="138">
        <v>32.832</v>
      </c>
      <c r="I101" s="151">
        <v>595000</v>
      </c>
      <c r="J101" s="33">
        <f t="shared" si="9"/>
        <v>19535040</v>
      </c>
      <c r="K101" s="139">
        <v>19</v>
      </c>
      <c r="L101" s="139">
        <v>130000</v>
      </c>
      <c r="M101" s="33">
        <f t="shared" si="10"/>
        <v>2470000</v>
      </c>
      <c r="N101" s="33">
        <f t="shared" si="11"/>
        <v>22005040</v>
      </c>
      <c r="O101" s="90">
        <v>700000</v>
      </c>
      <c r="P101" s="33">
        <f t="shared" si="12"/>
        <v>105000</v>
      </c>
      <c r="Q101" s="33" t="s">
        <v>27</v>
      </c>
      <c r="R101" s="33">
        <f t="shared" si="13"/>
        <v>22982400</v>
      </c>
      <c r="S101" s="33">
        <v>2500000</v>
      </c>
      <c r="T101" s="33">
        <f t="shared" si="14"/>
        <v>3447360</v>
      </c>
      <c r="U101" s="34" t="s">
        <v>28</v>
      </c>
      <c r="V101" s="33">
        <f t="shared" si="15"/>
        <v>947360</v>
      </c>
    </row>
    <row r="102" spans="1:22">
      <c r="A102" s="34">
        <f t="shared" si="16"/>
        <v>99</v>
      </c>
      <c r="B102" s="59" t="s">
        <v>22</v>
      </c>
      <c r="C102" s="59" t="s">
        <v>92</v>
      </c>
      <c r="D102" s="59" t="s">
        <v>135</v>
      </c>
      <c r="E102" s="32">
        <v>46218</v>
      </c>
      <c r="F102" s="34" t="s">
        <v>129</v>
      </c>
      <c r="G102" s="137" t="s">
        <v>96</v>
      </c>
      <c r="H102" s="138">
        <v>32.832</v>
      </c>
      <c r="I102" s="151">
        <v>595000</v>
      </c>
      <c r="J102" s="33">
        <f t="shared" si="9"/>
        <v>19535040</v>
      </c>
      <c r="K102" s="139">
        <v>19</v>
      </c>
      <c r="L102" s="139">
        <v>130000</v>
      </c>
      <c r="M102" s="33">
        <f t="shared" si="10"/>
        <v>2470000</v>
      </c>
      <c r="N102" s="33">
        <f t="shared" si="11"/>
        <v>22005040</v>
      </c>
      <c r="O102" s="90">
        <v>700000</v>
      </c>
      <c r="P102" s="33">
        <f t="shared" si="12"/>
        <v>105000</v>
      </c>
      <c r="Q102" s="33" t="s">
        <v>27</v>
      </c>
      <c r="R102" s="33">
        <f t="shared" si="13"/>
        <v>22982400</v>
      </c>
      <c r="S102" s="33">
        <v>2500000</v>
      </c>
      <c r="T102" s="33">
        <f t="shared" si="14"/>
        <v>3447360</v>
      </c>
      <c r="U102" s="34" t="s">
        <v>28</v>
      </c>
      <c r="V102" s="33">
        <f t="shared" si="15"/>
        <v>947360</v>
      </c>
    </row>
    <row r="103" spans="1:22">
      <c r="A103" s="34">
        <f t="shared" si="16"/>
        <v>100</v>
      </c>
      <c r="B103" s="59" t="s">
        <v>22</v>
      </c>
      <c r="C103" s="157" t="s">
        <v>77</v>
      </c>
      <c r="D103" s="157" t="s">
        <v>105</v>
      </c>
      <c r="E103" s="158">
        <v>46218</v>
      </c>
      <c r="F103" s="168" t="s">
        <v>144</v>
      </c>
      <c r="G103" s="137" t="s">
        <v>26</v>
      </c>
      <c r="H103" s="138">
        <v>32.832</v>
      </c>
      <c r="I103" s="137">
        <v>625000</v>
      </c>
      <c r="J103" s="33">
        <f t="shared" si="9"/>
        <v>20520000</v>
      </c>
      <c r="K103" s="139">
        <v>19</v>
      </c>
      <c r="L103" s="139">
        <v>130000</v>
      </c>
      <c r="M103" s="33">
        <f t="shared" si="10"/>
        <v>2470000</v>
      </c>
      <c r="N103" s="33">
        <f t="shared" si="11"/>
        <v>22990000</v>
      </c>
      <c r="O103" s="90">
        <v>700000</v>
      </c>
      <c r="P103" s="33">
        <f t="shared" si="12"/>
        <v>75000</v>
      </c>
      <c r="Q103" s="33" t="s">
        <v>27</v>
      </c>
      <c r="R103" s="33">
        <f t="shared" si="13"/>
        <v>22982400</v>
      </c>
      <c r="S103" s="151">
        <v>2500000</v>
      </c>
      <c r="T103" s="33">
        <f t="shared" si="14"/>
        <v>2462400</v>
      </c>
      <c r="U103" s="34" t="s">
        <v>28</v>
      </c>
      <c r="V103" s="33">
        <f t="shared" si="15"/>
        <v>-37600</v>
      </c>
    </row>
    <row r="104" spans="1:22">
      <c r="A104" s="34">
        <f t="shared" si="16"/>
        <v>101</v>
      </c>
      <c r="B104" s="59" t="s">
        <v>22</v>
      </c>
      <c r="C104" s="147" t="s">
        <v>50</v>
      </c>
      <c r="D104" s="147" t="s">
        <v>145</v>
      </c>
      <c r="E104" s="148">
        <v>46218</v>
      </c>
      <c r="F104" s="171" t="s">
        <v>146</v>
      </c>
      <c r="G104" s="137" t="s">
        <v>96</v>
      </c>
      <c r="H104" s="138">
        <v>19.008</v>
      </c>
      <c r="I104" s="151">
        <v>595000</v>
      </c>
      <c r="J104" s="33">
        <f t="shared" si="9"/>
        <v>11309760</v>
      </c>
      <c r="K104" s="139">
        <v>11</v>
      </c>
      <c r="L104" s="139">
        <v>130000</v>
      </c>
      <c r="M104" s="33">
        <f t="shared" si="10"/>
        <v>1430000</v>
      </c>
      <c r="N104" s="33">
        <f t="shared" si="11"/>
        <v>12739760</v>
      </c>
      <c r="O104" s="90">
        <v>700000</v>
      </c>
      <c r="P104" s="33">
        <f t="shared" si="12"/>
        <v>105000</v>
      </c>
      <c r="Q104" s="33" t="s">
        <v>27</v>
      </c>
      <c r="R104" s="33">
        <f t="shared" si="13"/>
        <v>13305600</v>
      </c>
      <c r="S104" s="151">
        <v>2500000</v>
      </c>
      <c r="T104" s="33">
        <f t="shared" si="14"/>
        <v>1995840</v>
      </c>
      <c r="U104" s="34" t="s">
        <v>28</v>
      </c>
      <c r="V104" s="33">
        <f t="shared" si="15"/>
        <v>-504160</v>
      </c>
    </row>
    <row r="105" spans="1:22">
      <c r="A105" s="34">
        <f t="shared" si="16"/>
        <v>102</v>
      </c>
      <c r="B105" s="59" t="s">
        <v>22</v>
      </c>
      <c r="C105" s="147" t="s">
        <v>50</v>
      </c>
      <c r="D105" s="147" t="s">
        <v>107</v>
      </c>
      <c r="E105" s="148">
        <v>46218</v>
      </c>
      <c r="F105" s="171" t="s">
        <v>146</v>
      </c>
      <c r="G105" s="137" t="s">
        <v>96</v>
      </c>
      <c r="H105" s="138">
        <v>13.824</v>
      </c>
      <c r="I105" s="151">
        <v>595000</v>
      </c>
      <c r="J105" s="33">
        <f t="shared" si="9"/>
        <v>8225280</v>
      </c>
      <c r="K105" s="139">
        <v>8</v>
      </c>
      <c r="L105" s="139">
        <v>130000</v>
      </c>
      <c r="M105" s="33">
        <f t="shared" si="10"/>
        <v>1040000</v>
      </c>
      <c r="N105" s="33">
        <f t="shared" si="11"/>
        <v>9265280</v>
      </c>
      <c r="O105" s="90">
        <v>700000</v>
      </c>
      <c r="P105" s="33">
        <f t="shared" si="12"/>
        <v>105000</v>
      </c>
      <c r="Q105" s="33" t="s">
        <v>27</v>
      </c>
      <c r="R105" s="33">
        <f t="shared" si="13"/>
        <v>9676800</v>
      </c>
      <c r="S105" s="33">
        <v>0</v>
      </c>
      <c r="T105" s="33">
        <f t="shared" si="14"/>
        <v>1451520</v>
      </c>
      <c r="U105" s="34" t="s">
        <v>28</v>
      </c>
      <c r="V105" s="33">
        <f t="shared" si="15"/>
        <v>1451520</v>
      </c>
    </row>
    <row r="106" spans="1:22">
      <c r="A106" s="34">
        <f t="shared" si="16"/>
        <v>103</v>
      </c>
      <c r="B106" s="59" t="s">
        <v>22</v>
      </c>
      <c r="C106" s="134" t="s">
        <v>23</v>
      </c>
      <c r="D106" s="134" t="s">
        <v>119</v>
      </c>
      <c r="E106" s="135">
        <v>46218</v>
      </c>
      <c r="F106" s="170" t="s">
        <v>147</v>
      </c>
      <c r="G106" s="137" t="s">
        <v>96</v>
      </c>
      <c r="H106" s="138">
        <v>32.832</v>
      </c>
      <c r="I106" s="151">
        <v>595000</v>
      </c>
      <c r="J106" s="33">
        <f t="shared" si="9"/>
        <v>19535040</v>
      </c>
      <c r="K106" s="139">
        <v>19</v>
      </c>
      <c r="L106" s="139">
        <v>130000</v>
      </c>
      <c r="M106" s="33">
        <f t="shared" si="10"/>
        <v>2470000</v>
      </c>
      <c r="N106" s="33">
        <f t="shared" si="11"/>
        <v>22005040</v>
      </c>
      <c r="O106" s="90">
        <v>700000</v>
      </c>
      <c r="P106" s="33">
        <f t="shared" si="12"/>
        <v>105000</v>
      </c>
      <c r="Q106" s="33" t="s">
        <v>27</v>
      </c>
      <c r="R106" s="33">
        <f t="shared" si="13"/>
        <v>22982400</v>
      </c>
      <c r="S106" s="33">
        <v>2500000</v>
      </c>
      <c r="T106" s="33">
        <f t="shared" si="14"/>
        <v>3447360</v>
      </c>
      <c r="U106" s="34" t="s">
        <v>28</v>
      </c>
      <c r="V106" s="33">
        <f t="shared" si="15"/>
        <v>947360</v>
      </c>
    </row>
    <row r="107" spans="1:22">
      <c r="A107" s="34">
        <f t="shared" si="16"/>
        <v>104</v>
      </c>
      <c r="B107" s="59" t="s">
        <v>22</v>
      </c>
      <c r="C107" s="134" t="s">
        <v>23</v>
      </c>
      <c r="D107" s="134" t="s">
        <v>119</v>
      </c>
      <c r="E107" s="135">
        <v>46218</v>
      </c>
      <c r="F107" s="170" t="s">
        <v>148</v>
      </c>
      <c r="G107" s="137" t="s">
        <v>96</v>
      </c>
      <c r="H107" s="138">
        <v>32.832</v>
      </c>
      <c r="I107" s="151">
        <v>595000</v>
      </c>
      <c r="J107" s="33">
        <f t="shared" si="9"/>
        <v>19535040</v>
      </c>
      <c r="K107" s="139">
        <v>19</v>
      </c>
      <c r="L107" s="139">
        <v>130000</v>
      </c>
      <c r="M107" s="33">
        <f t="shared" si="10"/>
        <v>2470000</v>
      </c>
      <c r="N107" s="33">
        <f t="shared" si="11"/>
        <v>22005040</v>
      </c>
      <c r="O107" s="90">
        <v>700000</v>
      </c>
      <c r="P107" s="33">
        <f t="shared" si="12"/>
        <v>105000</v>
      </c>
      <c r="Q107" s="33" t="s">
        <v>27</v>
      </c>
      <c r="R107" s="33">
        <f t="shared" si="13"/>
        <v>22982400</v>
      </c>
      <c r="S107" s="33">
        <v>2500000</v>
      </c>
      <c r="T107" s="33">
        <f t="shared" si="14"/>
        <v>3447360</v>
      </c>
      <c r="U107" s="34" t="s">
        <v>28</v>
      </c>
      <c r="V107" s="33">
        <f t="shared" si="15"/>
        <v>947360</v>
      </c>
    </row>
    <row r="108" spans="1:22">
      <c r="A108" s="34">
        <f t="shared" si="16"/>
        <v>105</v>
      </c>
      <c r="B108" s="59" t="s">
        <v>22</v>
      </c>
      <c r="C108" s="134" t="s">
        <v>23</v>
      </c>
      <c r="D108" s="134" t="s">
        <v>119</v>
      </c>
      <c r="E108" s="135">
        <v>46218</v>
      </c>
      <c r="F108" s="170" t="s">
        <v>149</v>
      </c>
      <c r="G108" s="137" t="s">
        <v>96</v>
      </c>
      <c r="H108" s="138">
        <v>32.832</v>
      </c>
      <c r="I108" s="151">
        <v>595000</v>
      </c>
      <c r="J108" s="33">
        <f t="shared" si="9"/>
        <v>19535040</v>
      </c>
      <c r="K108" s="139">
        <v>19</v>
      </c>
      <c r="L108" s="139">
        <v>130000</v>
      </c>
      <c r="M108" s="33">
        <f t="shared" si="10"/>
        <v>2470000</v>
      </c>
      <c r="N108" s="33">
        <f t="shared" si="11"/>
        <v>22005040</v>
      </c>
      <c r="O108" s="90">
        <v>700000</v>
      </c>
      <c r="P108" s="33">
        <f t="shared" si="12"/>
        <v>105000</v>
      </c>
      <c r="Q108" s="33" t="s">
        <v>27</v>
      </c>
      <c r="R108" s="33">
        <f t="shared" si="13"/>
        <v>22982400</v>
      </c>
      <c r="S108" s="33">
        <v>2500000</v>
      </c>
      <c r="T108" s="33">
        <f t="shared" si="14"/>
        <v>3447360</v>
      </c>
      <c r="U108" s="34" t="s">
        <v>28</v>
      </c>
      <c r="V108" s="33">
        <f t="shared" si="15"/>
        <v>947360</v>
      </c>
    </row>
    <row r="109" spans="1:22">
      <c r="A109" s="34">
        <f t="shared" si="16"/>
        <v>106</v>
      </c>
      <c r="B109" s="59" t="s">
        <v>22</v>
      </c>
      <c r="C109" s="134" t="s">
        <v>23</v>
      </c>
      <c r="D109" s="134" t="s">
        <v>119</v>
      </c>
      <c r="E109" s="135">
        <v>46219</v>
      </c>
      <c r="F109" s="170" t="s">
        <v>134</v>
      </c>
      <c r="G109" s="137" t="s">
        <v>96</v>
      </c>
      <c r="H109" s="138">
        <v>32.832</v>
      </c>
      <c r="I109" s="151">
        <v>595000</v>
      </c>
      <c r="J109" s="33">
        <f t="shared" si="9"/>
        <v>19535040</v>
      </c>
      <c r="K109" s="139">
        <v>19</v>
      </c>
      <c r="L109" s="139">
        <v>130000</v>
      </c>
      <c r="M109" s="33">
        <f t="shared" si="10"/>
        <v>2470000</v>
      </c>
      <c r="N109" s="33">
        <f t="shared" si="11"/>
        <v>22005040</v>
      </c>
      <c r="O109" s="90">
        <v>700000</v>
      </c>
      <c r="P109" s="33">
        <f t="shared" si="12"/>
        <v>105000</v>
      </c>
      <c r="Q109" s="33" t="s">
        <v>27</v>
      </c>
      <c r="R109" s="33">
        <f t="shared" si="13"/>
        <v>22982400</v>
      </c>
      <c r="S109" s="33">
        <v>2500000</v>
      </c>
      <c r="T109" s="33">
        <f t="shared" si="14"/>
        <v>3447360</v>
      </c>
      <c r="U109" s="34" t="s">
        <v>28</v>
      </c>
      <c r="V109" s="33">
        <f t="shared" si="15"/>
        <v>947360</v>
      </c>
    </row>
    <row r="110" spans="1:22">
      <c r="A110" s="34">
        <f t="shared" si="16"/>
        <v>107</v>
      </c>
      <c r="B110" s="59" t="s">
        <v>22</v>
      </c>
      <c r="C110" s="134" t="s">
        <v>23</v>
      </c>
      <c r="D110" s="134" t="s">
        <v>59</v>
      </c>
      <c r="E110" s="135">
        <v>46219</v>
      </c>
      <c r="F110" s="170" t="s">
        <v>88</v>
      </c>
      <c r="G110" s="137" t="s">
        <v>96</v>
      </c>
      <c r="H110" s="138">
        <v>32.832</v>
      </c>
      <c r="I110" s="151">
        <v>595000</v>
      </c>
      <c r="J110" s="33">
        <f t="shared" si="9"/>
        <v>19535040</v>
      </c>
      <c r="K110" s="139">
        <v>19</v>
      </c>
      <c r="L110" s="139">
        <v>130000</v>
      </c>
      <c r="M110" s="33">
        <f t="shared" si="10"/>
        <v>2470000</v>
      </c>
      <c r="N110" s="33">
        <f t="shared" si="11"/>
        <v>22005040</v>
      </c>
      <c r="O110" s="90">
        <v>700000</v>
      </c>
      <c r="P110" s="33">
        <f t="shared" si="12"/>
        <v>105000</v>
      </c>
      <c r="Q110" s="33" t="s">
        <v>27</v>
      </c>
      <c r="R110" s="33">
        <f t="shared" si="13"/>
        <v>22982400</v>
      </c>
      <c r="S110" s="151">
        <v>2500000</v>
      </c>
      <c r="T110" s="33">
        <f t="shared" si="14"/>
        <v>3447360</v>
      </c>
      <c r="U110" s="34" t="s">
        <v>28</v>
      </c>
      <c r="V110" s="33">
        <f t="shared" si="15"/>
        <v>947360</v>
      </c>
    </row>
    <row r="111" spans="1:22">
      <c r="A111" s="34">
        <f t="shared" si="16"/>
        <v>108</v>
      </c>
      <c r="B111" s="59" t="s">
        <v>22</v>
      </c>
      <c r="C111" s="59" t="s">
        <v>92</v>
      </c>
      <c r="D111" s="59" t="s">
        <v>150</v>
      </c>
      <c r="E111" s="32">
        <v>46219</v>
      </c>
      <c r="F111" s="34" t="s">
        <v>151</v>
      </c>
      <c r="G111" s="137" t="s">
        <v>96</v>
      </c>
      <c r="H111" s="138">
        <v>32.832</v>
      </c>
      <c r="I111" s="151">
        <v>595000</v>
      </c>
      <c r="J111" s="33">
        <f t="shared" si="9"/>
        <v>19535040</v>
      </c>
      <c r="K111" s="139">
        <v>19</v>
      </c>
      <c r="L111" s="139">
        <v>130000</v>
      </c>
      <c r="M111" s="33">
        <f t="shared" si="10"/>
        <v>2470000</v>
      </c>
      <c r="N111" s="33">
        <f t="shared" si="11"/>
        <v>22005040</v>
      </c>
      <c r="O111" s="90">
        <v>700000</v>
      </c>
      <c r="P111" s="33">
        <f t="shared" si="12"/>
        <v>105000</v>
      </c>
      <c r="Q111" s="33" t="s">
        <v>27</v>
      </c>
      <c r="R111" s="33">
        <f t="shared" si="13"/>
        <v>22982400</v>
      </c>
      <c r="S111" s="151">
        <v>2500000</v>
      </c>
      <c r="T111" s="33">
        <f t="shared" si="14"/>
        <v>3447360</v>
      </c>
      <c r="U111" s="34" t="s">
        <v>28</v>
      </c>
      <c r="V111" s="33">
        <f t="shared" si="15"/>
        <v>947360</v>
      </c>
    </row>
    <row r="112" spans="1:22">
      <c r="A112" s="34">
        <f t="shared" si="16"/>
        <v>109</v>
      </c>
      <c r="B112" s="59" t="s">
        <v>22</v>
      </c>
      <c r="C112" s="157" t="s">
        <v>77</v>
      </c>
      <c r="D112" s="157" t="s">
        <v>78</v>
      </c>
      <c r="E112" s="158">
        <v>46219</v>
      </c>
      <c r="F112" s="168" t="s">
        <v>152</v>
      </c>
      <c r="G112" s="137" t="s">
        <v>26</v>
      </c>
      <c r="H112" s="138">
        <v>32.832</v>
      </c>
      <c r="I112" s="137">
        <v>625000</v>
      </c>
      <c r="J112" s="33">
        <f t="shared" si="9"/>
        <v>20520000</v>
      </c>
      <c r="K112" s="139">
        <v>19</v>
      </c>
      <c r="L112" s="139">
        <v>130000</v>
      </c>
      <c r="M112" s="33">
        <f t="shared" si="10"/>
        <v>2470000</v>
      </c>
      <c r="N112" s="33">
        <f t="shared" si="11"/>
        <v>22990000</v>
      </c>
      <c r="O112" s="90">
        <v>700000</v>
      </c>
      <c r="P112" s="33">
        <f t="shared" si="12"/>
        <v>75000</v>
      </c>
      <c r="Q112" s="33" t="s">
        <v>27</v>
      </c>
      <c r="R112" s="33">
        <f t="shared" si="13"/>
        <v>22982400</v>
      </c>
      <c r="S112" s="151">
        <v>2500000</v>
      </c>
      <c r="T112" s="33">
        <f t="shared" si="14"/>
        <v>2462400</v>
      </c>
      <c r="U112" s="34" t="s">
        <v>28</v>
      </c>
      <c r="V112" s="33">
        <f t="shared" si="15"/>
        <v>-37600</v>
      </c>
    </row>
    <row r="113" spans="1:22">
      <c r="A113" s="34">
        <f t="shared" si="16"/>
        <v>110</v>
      </c>
      <c r="B113" s="59" t="s">
        <v>22</v>
      </c>
      <c r="C113" s="157" t="s">
        <v>77</v>
      </c>
      <c r="D113" s="157" t="s">
        <v>78</v>
      </c>
      <c r="E113" s="158">
        <v>46219</v>
      </c>
      <c r="F113" s="168" t="s">
        <v>118</v>
      </c>
      <c r="G113" s="137" t="s">
        <v>26</v>
      </c>
      <c r="H113" s="138">
        <v>32.832</v>
      </c>
      <c r="I113" s="137">
        <v>625000</v>
      </c>
      <c r="J113" s="33">
        <f t="shared" si="9"/>
        <v>20520000</v>
      </c>
      <c r="K113" s="139">
        <v>19</v>
      </c>
      <c r="L113" s="139">
        <v>130000</v>
      </c>
      <c r="M113" s="33">
        <f t="shared" si="10"/>
        <v>2470000</v>
      </c>
      <c r="N113" s="33">
        <f t="shared" si="11"/>
        <v>22990000</v>
      </c>
      <c r="O113" s="90">
        <v>700000</v>
      </c>
      <c r="P113" s="33">
        <f t="shared" si="12"/>
        <v>75000</v>
      </c>
      <c r="Q113" s="33" t="s">
        <v>27</v>
      </c>
      <c r="R113" s="33">
        <f t="shared" si="13"/>
        <v>22982400</v>
      </c>
      <c r="S113" s="151">
        <v>2500000</v>
      </c>
      <c r="T113" s="33">
        <f t="shared" si="14"/>
        <v>2462400</v>
      </c>
      <c r="U113" s="34" t="s">
        <v>28</v>
      </c>
      <c r="V113" s="33">
        <f t="shared" si="15"/>
        <v>-37600</v>
      </c>
    </row>
    <row r="114" spans="1:22">
      <c r="A114" s="34">
        <f t="shared" si="16"/>
        <v>111</v>
      </c>
      <c r="B114" s="59" t="s">
        <v>22</v>
      </c>
      <c r="C114" s="157" t="s">
        <v>77</v>
      </c>
      <c r="D114" s="157" t="s">
        <v>102</v>
      </c>
      <c r="E114" s="158">
        <v>46219</v>
      </c>
      <c r="F114" s="168" t="s">
        <v>153</v>
      </c>
      <c r="G114" s="137" t="s">
        <v>26</v>
      </c>
      <c r="H114" s="138">
        <v>32.832</v>
      </c>
      <c r="I114" s="137">
        <v>625000</v>
      </c>
      <c r="J114" s="33">
        <f t="shared" si="9"/>
        <v>20520000</v>
      </c>
      <c r="K114" s="139">
        <v>19</v>
      </c>
      <c r="L114" s="139">
        <v>130000</v>
      </c>
      <c r="M114" s="33">
        <f t="shared" si="10"/>
        <v>2470000</v>
      </c>
      <c r="N114" s="33">
        <f t="shared" si="11"/>
        <v>22990000</v>
      </c>
      <c r="O114" s="90">
        <v>700000</v>
      </c>
      <c r="P114" s="33">
        <f t="shared" si="12"/>
        <v>75000</v>
      </c>
      <c r="Q114" s="33" t="s">
        <v>27</v>
      </c>
      <c r="R114" s="33">
        <f t="shared" si="13"/>
        <v>22982400</v>
      </c>
      <c r="S114" s="151">
        <v>2500000</v>
      </c>
      <c r="T114" s="33">
        <f t="shared" si="14"/>
        <v>2462400</v>
      </c>
      <c r="U114" s="34" t="s">
        <v>28</v>
      </c>
      <c r="V114" s="33">
        <f t="shared" si="15"/>
        <v>-37600</v>
      </c>
    </row>
    <row r="115" spans="1:22">
      <c r="A115" s="34">
        <f t="shared" si="16"/>
        <v>112</v>
      </c>
      <c r="B115" s="59" t="s">
        <v>22</v>
      </c>
      <c r="C115" s="141" t="s">
        <v>32</v>
      </c>
      <c r="D115" s="141" t="s">
        <v>33</v>
      </c>
      <c r="E115" s="142">
        <v>46219</v>
      </c>
      <c r="F115" s="167" t="s">
        <v>154</v>
      </c>
      <c r="G115" s="137" t="s">
        <v>26</v>
      </c>
      <c r="H115" s="138">
        <v>32.832</v>
      </c>
      <c r="I115" s="137">
        <v>625000</v>
      </c>
      <c r="J115" s="33">
        <f t="shared" si="9"/>
        <v>20520000</v>
      </c>
      <c r="K115" s="139">
        <v>19</v>
      </c>
      <c r="L115" s="139">
        <v>130000</v>
      </c>
      <c r="M115" s="33">
        <f t="shared" si="10"/>
        <v>2470000</v>
      </c>
      <c r="N115" s="33">
        <f t="shared" si="11"/>
        <v>22990000</v>
      </c>
      <c r="O115" s="90">
        <v>700000</v>
      </c>
      <c r="P115" s="33">
        <f t="shared" si="12"/>
        <v>75000</v>
      </c>
      <c r="Q115" s="33" t="s">
        <v>27</v>
      </c>
      <c r="R115" s="33">
        <f t="shared" si="13"/>
        <v>22982400</v>
      </c>
      <c r="S115" s="151">
        <v>2500000</v>
      </c>
      <c r="T115" s="33">
        <f t="shared" si="14"/>
        <v>2462400</v>
      </c>
      <c r="U115" s="34" t="s">
        <v>28</v>
      </c>
      <c r="V115" s="33">
        <f t="shared" si="15"/>
        <v>-37600</v>
      </c>
    </row>
    <row r="116" spans="1:22">
      <c r="A116" s="43">
        <f t="shared" si="16"/>
        <v>113</v>
      </c>
      <c r="B116" s="49" t="s">
        <v>22</v>
      </c>
      <c r="C116" s="172" t="s">
        <v>32</v>
      </c>
      <c r="D116" s="172" t="s">
        <v>155</v>
      </c>
      <c r="E116" s="173">
        <v>46219</v>
      </c>
      <c r="F116" s="174" t="s">
        <v>156</v>
      </c>
      <c r="G116" s="175" t="s">
        <v>26</v>
      </c>
      <c r="H116" s="176">
        <v>32.832</v>
      </c>
      <c r="I116" s="175">
        <v>625000</v>
      </c>
      <c r="J116" s="45">
        <f t="shared" si="9"/>
        <v>20520000</v>
      </c>
      <c r="K116" s="177">
        <v>19</v>
      </c>
      <c r="L116" s="177">
        <v>130000</v>
      </c>
      <c r="M116" s="45">
        <f t="shared" si="10"/>
        <v>2470000</v>
      </c>
      <c r="N116" s="45">
        <f t="shared" si="11"/>
        <v>22990000</v>
      </c>
      <c r="O116" s="178">
        <v>700000</v>
      </c>
      <c r="P116" s="33">
        <f t="shared" si="12"/>
        <v>75000</v>
      </c>
      <c r="Q116" s="45" t="s">
        <v>27</v>
      </c>
      <c r="R116" s="33">
        <f t="shared" si="13"/>
        <v>22982400</v>
      </c>
      <c r="S116" s="179">
        <v>2500000</v>
      </c>
      <c r="T116" s="45">
        <f t="shared" si="14"/>
        <v>2462400</v>
      </c>
      <c r="U116" s="43" t="s">
        <v>28</v>
      </c>
      <c r="V116" s="45">
        <f t="shared" si="15"/>
        <v>-37600</v>
      </c>
    </row>
    <row r="117" spans="1:22">
      <c r="A117" s="43">
        <f t="shared" ref="A117:A153" si="17">A116+1</f>
        <v>114</v>
      </c>
      <c r="B117" s="59" t="s">
        <v>22</v>
      </c>
      <c r="C117" s="157" t="s">
        <v>77</v>
      </c>
      <c r="D117" s="157" t="s">
        <v>102</v>
      </c>
      <c r="E117" s="158">
        <v>46220</v>
      </c>
      <c r="F117" s="168" t="s">
        <v>62</v>
      </c>
      <c r="G117" s="137" t="s">
        <v>26</v>
      </c>
      <c r="H117" s="138">
        <v>32.832</v>
      </c>
      <c r="I117" s="137">
        <v>625000</v>
      </c>
      <c r="J117" s="45">
        <f t="shared" si="9"/>
        <v>20520000</v>
      </c>
      <c r="K117" s="139">
        <v>19</v>
      </c>
      <c r="L117" s="139">
        <v>130000</v>
      </c>
      <c r="M117" s="45">
        <f t="shared" si="10"/>
        <v>2470000</v>
      </c>
      <c r="N117" s="45">
        <f t="shared" si="11"/>
        <v>22990000</v>
      </c>
      <c r="O117" s="90">
        <v>700000</v>
      </c>
      <c r="P117" s="33">
        <f t="shared" si="12"/>
        <v>75000</v>
      </c>
      <c r="Q117" s="33" t="s">
        <v>27</v>
      </c>
      <c r="R117" s="33">
        <f t="shared" si="13"/>
        <v>22982400</v>
      </c>
      <c r="S117" s="151">
        <v>2500000</v>
      </c>
      <c r="T117" s="45">
        <f t="shared" si="14"/>
        <v>2462400</v>
      </c>
      <c r="U117" s="43" t="s">
        <v>28</v>
      </c>
      <c r="V117" s="45">
        <f t="shared" si="15"/>
        <v>-37600</v>
      </c>
    </row>
    <row r="118" spans="1:22">
      <c r="A118" s="43">
        <f t="shared" si="17"/>
        <v>115</v>
      </c>
      <c r="B118" s="59" t="s">
        <v>22</v>
      </c>
      <c r="C118" s="59" t="s">
        <v>92</v>
      </c>
      <c r="D118" s="59" t="s">
        <v>97</v>
      </c>
      <c r="E118" s="32">
        <v>46220</v>
      </c>
      <c r="F118" s="34" t="s">
        <v>157</v>
      </c>
      <c r="G118" s="137" t="s">
        <v>26</v>
      </c>
      <c r="H118" s="138">
        <v>32.832</v>
      </c>
      <c r="I118" s="137">
        <v>625000</v>
      </c>
      <c r="J118" s="45">
        <f t="shared" si="9"/>
        <v>20520000</v>
      </c>
      <c r="K118" s="139">
        <v>19</v>
      </c>
      <c r="L118" s="139">
        <v>130000</v>
      </c>
      <c r="M118" s="45">
        <f t="shared" si="10"/>
        <v>2470000</v>
      </c>
      <c r="N118" s="45">
        <f t="shared" si="11"/>
        <v>22990000</v>
      </c>
      <c r="O118" s="90">
        <v>700000</v>
      </c>
      <c r="P118" s="33">
        <f t="shared" si="12"/>
        <v>75000</v>
      </c>
      <c r="Q118" s="33" t="s">
        <v>27</v>
      </c>
      <c r="R118" s="33">
        <f t="shared" si="13"/>
        <v>22982400</v>
      </c>
      <c r="S118" s="151">
        <v>2500000</v>
      </c>
      <c r="T118" s="45">
        <f t="shared" si="14"/>
        <v>2462400</v>
      </c>
      <c r="U118" s="43" t="s">
        <v>28</v>
      </c>
      <c r="V118" s="45">
        <f t="shared" si="15"/>
        <v>-37600</v>
      </c>
    </row>
    <row r="119" spans="1:22">
      <c r="A119" s="43">
        <f t="shared" si="17"/>
        <v>116</v>
      </c>
      <c r="B119" s="59" t="s">
        <v>22</v>
      </c>
      <c r="C119" s="59" t="s">
        <v>92</v>
      </c>
      <c r="D119" s="59" t="s">
        <v>150</v>
      </c>
      <c r="E119" s="32">
        <v>46220</v>
      </c>
      <c r="F119" s="34" t="s">
        <v>158</v>
      </c>
      <c r="G119" s="137" t="s">
        <v>46</v>
      </c>
      <c r="H119" s="138">
        <v>20.736</v>
      </c>
      <c r="I119" s="137">
        <v>625000</v>
      </c>
      <c r="J119" s="45">
        <f t="shared" si="9"/>
        <v>12960000</v>
      </c>
      <c r="K119" s="139">
        <v>12</v>
      </c>
      <c r="L119" s="139">
        <v>130000</v>
      </c>
      <c r="M119" s="45">
        <f t="shared" si="10"/>
        <v>1560000</v>
      </c>
      <c r="N119" s="45">
        <f t="shared" si="11"/>
        <v>14520000</v>
      </c>
      <c r="O119" s="90">
        <v>700000</v>
      </c>
      <c r="P119" s="33">
        <f t="shared" si="12"/>
        <v>75000</v>
      </c>
      <c r="Q119" s="33" t="s">
        <v>27</v>
      </c>
      <c r="R119" s="33">
        <f t="shared" si="13"/>
        <v>14515200</v>
      </c>
      <c r="S119" s="151">
        <v>1250000</v>
      </c>
      <c r="T119" s="45">
        <f t="shared" si="14"/>
        <v>1555200</v>
      </c>
      <c r="U119" s="43" t="s">
        <v>28</v>
      </c>
      <c r="V119" s="45">
        <f t="shared" si="15"/>
        <v>305200</v>
      </c>
    </row>
    <row r="120" spans="1:22">
      <c r="A120" s="43">
        <f t="shared" si="17"/>
        <v>117</v>
      </c>
      <c r="B120" s="59" t="s">
        <v>22</v>
      </c>
      <c r="C120" s="144" t="s">
        <v>41</v>
      </c>
      <c r="D120" s="144" t="s">
        <v>84</v>
      </c>
      <c r="E120" s="160">
        <v>46220</v>
      </c>
      <c r="F120" s="144" t="s">
        <v>159</v>
      </c>
      <c r="G120" s="137" t="s">
        <v>26</v>
      </c>
      <c r="H120" s="138">
        <v>32.832</v>
      </c>
      <c r="I120" s="137">
        <v>625000</v>
      </c>
      <c r="J120" s="45">
        <f t="shared" si="9"/>
        <v>20520000</v>
      </c>
      <c r="K120" s="139">
        <v>19</v>
      </c>
      <c r="L120" s="139">
        <v>130000</v>
      </c>
      <c r="M120" s="45">
        <f t="shared" si="10"/>
        <v>2470000</v>
      </c>
      <c r="N120" s="45">
        <f t="shared" si="11"/>
        <v>22990000</v>
      </c>
      <c r="O120" s="90">
        <v>700000</v>
      </c>
      <c r="P120" s="33">
        <f t="shared" si="12"/>
        <v>75000</v>
      </c>
      <c r="Q120" s="33" t="s">
        <v>27</v>
      </c>
      <c r="R120" s="33">
        <f t="shared" si="13"/>
        <v>22982400</v>
      </c>
      <c r="S120" s="151">
        <v>2500000</v>
      </c>
      <c r="T120" s="45">
        <f t="shared" si="14"/>
        <v>2462400</v>
      </c>
      <c r="U120" s="43" t="s">
        <v>28</v>
      </c>
      <c r="V120" s="45">
        <f t="shared" si="15"/>
        <v>-37600</v>
      </c>
    </row>
    <row r="121" spans="1:22">
      <c r="A121" s="43">
        <f t="shared" si="17"/>
        <v>118</v>
      </c>
      <c r="B121" s="59" t="s">
        <v>22</v>
      </c>
      <c r="C121" s="157" t="s">
        <v>77</v>
      </c>
      <c r="D121" s="157" t="s">
        <v>78</v>
      </c>
      <c r="E121" s="158">
        <v>46220</v>
      </c>
      <c r="F121" s="168" t="s">
        <v>160</v>
      </c>
      <c r="G121" s="137" t="s">
        <v>26</v>
      </c>
      <c r="H121" s="138">
        <v>32.832</v>
      </c>
      <c r="I121" s="137">
        <v>625000</v>
      </c>
      <c r="J121" s="45">
        <f t="shared" si="9"/>
        <v>20520000</v>
      </c>
      <c r="K121" s="139">
        <v>19</v>
      </c>
      <c r="L121" s="139">
        <v>130000</v>
      </c>
      <c r="M121" s="45">
        <f t="shared" si="10"/>
        <v>2470000</v>
      </c>
      <c r="N121" s="45">
        <f t="shared" si="11"/>
        <v>22990000</v>
      </c>
      <c r="O121" s="90">
        <v>700000</v>
      </c>
      <c r="P121" s="33">
        <f t="shared" si="12"/>
        <v>75000</v>
      </c>
      <c r="Q121" s="33" t="s">
        <v>27</v>
      </c>
      <c r="R121" s="33">
        <f t="shared" si="13"/>
        <v>22982400</v>
      </c>
      <c r="S121" s="151">
        <v>2500000</v>
      </c>
      <c r="T121" s="45">
        <f t="shared" si="14"/>
        <v>2462400</v>
      </c>
      <c r="U121" s="43" t="s">
        <v>28</v>
      </c>
      <c r="V121" s="45">
        <f t="shared" si="15"/>
        <v>-37600</v>
      </c>
    </row>
    <row r="122" spans="1:22">
      <c r="A122" s="43">
        <f t="shared" si="17"/>
        <v>119</v>
      </c>
      <c r="B122" s="59" t="s">
        <v>22</v>
      </c>
      <c r="C122" s="157" t="s">
        <v>77</v>
      </c>
      <c r="D122" s="157" t="s">
        <v>78</v>
      </c>
      <c r="E122" s="158">
        <v>46220</v>
      </c>
      <c r="F122" s="168" t="s">
        <v>161</v>
      </c>
      <c r="G122" s="137" t="s">
        <v>26</v>
      </c>
      <c r="H122" s="138">
        <v>32.832</v>
      </c>
      <c r="I122" s="137">
        <v>625000</v>
      </c>
      <c r="J122" s="45">
        <f t="shared" si="9"/>
        <v>20520000</v>
      </c>
      <c r="K122" s="139">
        <v>19</v>
      </c>
      <c r="L122" s="139">
        <v>130000</v>
      </c>
      <c r="M122" s="45">
        <f t="shared" si="10"/>
        <v>2470000</v>
      </c>
      <c r="N122" s="45">
        <f t="shared" si="11"/>
        <v>22990000</v>
      </c>
      <c r="O122" s="90">
        <v>700000</v>
      </c>
      <c r="P122" s="33">
        <f t="shared" si="12"/>
        <v>75000</v>
      </c>
      <c r="Q122" s="33" t="s">
        <v>27</v>
      </c>
      <c r="R122" s="33">
        <f t="shared" si="13"/>
        <v>22982400</v>
      </c>
      <c r="S122" s="151">
        <v>2500000</v>
      </c>
      <c r="T122" s="45">
        <f t="shared" si="14"/>
        <v>2462400</v>
      </c>
      <c r="U122" s="43" t="s">
        <v>28</v>
      </c>
      <c r="V122" s="45">
        <f t="shared" si="15"/>
        <v>-37600</v>
      </c>
    </row>
    <row r="123" spans="1:22">
      <c r="A123" s="43">
        <f t="shared" si="17"/>
        <v>120</v>
      </c>
      <c r="B123" s="59" t="s">
        <v>22</v>
      </c>
      <c r="C123" s="141" t="s">
        <v>32</v>
      </c>
      <c r="D123" s="141" t="s">
        <v>162</v>
      </c>
      <c r="E123" s="142">
        <v>46220</v>
      </c>
      <c r="F123" s="167" t="s">
        <v>163</v>
      </c>
      <c r="G123" s="137" t="s">
        <v>26</v>
      </c>
      <c r="H123" s="138">
        <v>32.832</v>
      </c>
      <c r="I123" s="137">
        <v>625000</v>
      </c>
      <c r="J123" s="45">
        <f t="shared" si="9"/>
        <v>20520000</v>
      </c>
      <c r="K123" s="139">
        <v>19</v>
      </c>
      <c r="L123" s="139">
        <v>130000</v>
      </c>
      <c r="M123" s="45">
        <f t="shared" si="10"/>
        <v>2470000</v>
      </c>
      <c r="N123" s="45">
        <f t="shared" si="11"/>
        <v>22990000</v>
      </c>
      <c r="O123" s="90">
        <v>700000</v>
      </c>
      <c r="P123" s="33">
        <f t="shared" si="12"/>
        <v>75000</v>
      </c>
      <c r="Q123" s="33" t="s">
        <v>27</v>
      </c>
      <c r="R123" s="33">
        <f t="shared" si="13"/>
        <v>22982400</v>
      </c>
      <c r="S123" s="151">
        <v>2500000</v>
      </c>
      <c r="T123" s="45">
        <f t="shared" si="14"/>
        <v>2462400</v>
      </c>
      <c r="U123" s="43" t="s">
        <v>28</v>
      </c>
      <c r="V123" s="45">
        <f t="shared" si="15"/>
        <v>-37600</v>
      </c>
    </row>
    <row r="124" spans="1:22">
      <c r="A124" s="43">
        <f t="shared" si="17"/>
        <v>121</v>
      </c>
      <c r="B124" s="59" t="s">
        <v>22</v>
      </c>
      <c r="C124" s="157" t="s">
        <v>77</v>
      </c>
      <c r="D124" s="157" t="s">
        <v>78</v>
      </c>
      <c r="E124" s="158">
        <v>46221</v>
      </c>
      <c r="F124" s="168" t="s">
        <v>164</v>
      </c>
      <c r="G124" s="137" t="s">
        <v>46</v>
      </c>
      <c r="H124" s="138">
        <v>32.832</v>
      </c>
      <c r="I124" s="137">
        <v>625000</v>
      </c>
      <c r="J124" s="45">
        <f t="shared" si="9"/>
        <v>20520000</v>
      </c>
      <c r="K124" s="139">
        <v>19</v>
      </c>
      <c r="L124" s="139">
        <v>130000</v>
      </c>
      <c r="M124" s="45">
        <f t="shared" si="10"/>
        <v>2470000</v>
      </c>
      <c r="N124" s="45">
        <f t="shared" si="11"/>
        <v>22990000</v>
      </c>
      <c r="O124" s="90">
        <v>700000</v>
      </c>
      <c r="P124" s="33">
        <f t="shared" si="12"/>
        <v>75000</v>
      </c>
      <c r="Q124" s="33" t="s">
        <v>27</v>
      </c>
      <c r="R124" s="33">
        <f t="shared" si="13"/>
        <v>22982400</v>
      </c>
      <c r="S124" s="151">
        <v>2500000</v>
      </c>
      <c r="T124" s="45">
        <f t="shared" si="14"/>
        <v>2462400</v>
      </c>
      <c r="U124" s="43" t="s">
        <v>28</v>
      </c>
      <c r="V124" s="45">
        <f t="shared" si="15"/>
        <v>-37600</v>
      </c>
    </row>
    <row r="125" spans="1:22">
      <c r="A125" s="43">
        <f t="shared" si="17"/>
        <v>122</v>
      </c>
      <c r="B125" s="59" t="s">
        <v>22</v>
      </c>
      <c r="C125" s="147" t="s">
        <v>50</v>
      </c>
      <c r="D125" s="147" t="s">
        <v>53</v>
      </c>
      <c r="E125" s="148">
        <v>46221</v>
      </c>
      <c r="F125" s="171" t="s">
        <v>134</v>
      </c>
      <c r="G125" s="137" t="s">
        <v>26</v>
      </c>
      <c r="H125" s="138">
        <v>32.832</v>
      </c>
      <c r="I125" s="137">
        <v>625000</v>
      </c>
      <c r="J125" s="45">
        <f t="shared" si="9"/>
        <v>20520000</v>
      </c>
      <c r="K125" s="139">
        <v>19</v>
      </c>
      <c r="L125" s="139">
        <v>130000</v>
      </c>
      <c r="M125" s="45">
        <f t="shared" si="10"/>
        <v>2470000</v>
      </c>
      <c r="N125" s="45">
        <f t="shared" si="11"/>
        <v>22990000</v>
      </c>
      <c r="O125" s="90">
        <v>700000</v>
      </c>
      <c r="P125" s="33">
        <f t="shared" si="12"/>
        <v>75000</v>
      </c>
      <c r="Q125" s="33" t="s">
        <v>27</v>
      </c>
      <c r="R125" s="33">
        <f t="shared" si="13"/>
        <v>22982400</v>
      </c>
      <c r="S125" s="151">
        <v>2500000</v>
      </c>
      <c r="T125" s="45">
        <f t="shared" si="14"/>
        <v>2462400</v>
      </c>
      <c r="U125" s="43" t="s">
        <v>28</v>
      </c>
      <c r="V125" s="45">
        <f t="shared" si="15"/>
        <v>-37600</v>
      </c>
    </row>
    <row r="126" spans="1:22">
      <c r="A126" s="43">
        <f t="shared" si="17"/>
        <v>123</v>
      </c>
      <c r="B126" s="59" t="s">
        <v>22</v>
      </c>
      <c r="C126" s="59" t="s">
        <v>92</v>
      </c>
      <c r="D126" s="59" t="s">
        <v>97</v>
      </c>
      <c r="E126" s="32">
        <v>46221</v>
      </c>
      <c r="F126" s="34" t="s">
        <v>129</v>
      </c>
      <c r="G126" s="137" t="s">
        <v>26</v>
      </c>
      <c r="H126" s="138">
        <v>32.832</v>
      </c>
      <c r="I126" s="137">
        <v>625000</v>
      </c>
      <c r="J126" s="45">
        <f t="shared" si="9"/>
        <v>20520000</v>
      </c>
      <c r="K126" s="139">
        <v>19</v>
      </c>
      <c r="L126" s="139">
        <v>130000</v>
      </c>
      <c r="M126" s="45">
        <f t="shared" si="10"/>
        <v>2470000</v>
      </c>
      <c r="N126" s="45">
        <f t="shared" si="11"/>
        <v>22990000</v>
      </c>
      <c r="O126" s="90">
        <v>700000</v>
      </c>
      <c r="P126" s="33">
        <f t="shared" si="12"/>
        <v>75000</v>
      </c>
      <c r="Q126" s="33" t="s">
        <v>27</v>
      </c>
      <c r="R126" s="33">
        <f t="shared" si="13"/>
        <v>22982400</v>
      </c>
      <c r="S126" s="151">
        <v>2500000</v>
      </c>
      <c r="T126" s="45">
        <f t="shared" si="14"/>
        <v>2462400</v>
      </c>
      <c r="U126" s="43" t="s">
        <v>28</v>
      </c>
      <c r="V126" s="45">
        <f t="shared" si="15"/>
        <v>-37600</v>
      </c>
    </row>
    <row r="127" spans="1:22">
      <c r="A127" s="43">
        <f t="shared" si="17"/>
        <v>124</v>
      </c>
      <c r="B127" s="59" t="s">
        <v>22</v>
      </c>
      <c r="C127" s="59" t="s">
        <v>92</v>
      </c>
      <c r="D127" s="59" t="s">
        <v>97</v>
      </c>
      <c r="E127" s="32">
        <v>46221</v>
      </c>
      <c r="F127" s="34" t="s">
        <v>165</v>
      </c>
      <c r="G127" s="137" t="s">
        <v>26</v>
      </c>
      <c r="H127" s="138">
        <v>32.832</v>
      </c>
      <c r="I127" s="137">
        <v>625000</v>
      </c>
      <c r="J127" s="45">
        <f t="shared" si="9"/>
        <v>20520000</v>
      </c>
      <c r="K127" s="139">
        <v>19</v>
      </c>
      <c r="L127" s="139">
        <v>130000</v>
      </c>
      <c r="M127" s="45">
        <f t="shared" si="10"/>
        <v>2470000</v>
      </c>
      <c r="N127" s="45">
        <f t="shared" si="11"/>
        <v>22990000</v>
      </c>
      <c r="O127" s="90">
        <v>700000</v>
      </c>
      <c r="P127" s="33">
        <f t="shared" si="12"/>
        <v>75000</v>
      </c>
      <c r="Q127" s="33" t="s">
        <v>27</v>
      </c>
      <c r="R127" s="33">
        <f t="shared" si="13"/>
        <v>22982400</v>
      </c>
      <c r="S127" s="151">
        <v>2500000</v>
      </c>
      <c r="T127" s="45">
        <f t="shared" si="14"/>
        <v>2462400</v>
      </c>
      <c r="U127" s="43" t="s">
        <v>28</v>
      </c>
      <c r="V127" s="45">
        <f t="shared" si="15"/>
        <v>-37600</v>
      </c>
    </row>
    <row r="128" spans="1:22">
      <c r="A128" s="43">
        <f t="shared" si="17"/>
        <v>125</v>
      </c>
      <c r="B128" s="59" t="s">
        <v>22</v>
      </c>
      <c r="C128" s="141" t="s">
        <v>32</v>
      </c>
      <c r="D128" s="141" t="s">
        <v>162</v>
      </c>
      <c r="E128" s="142">
        <v>46221</v>
      </c>
      <c r="F128" s="167" t="s">
        <v>166</v>
      </c>
      <c r="G128" s="137" t="s">
        <v>26</v>
      </c>
      <c r="H128" s="138">
        <v>32.832</v>
      </c>
      <c r="I128" s="137">
        <v>625000</v>
      </c>
      <c r="J128" s="45">
        <f t="shared" si="9"/>
        <v>20520000</v>
      </c>
      <c r="K128" s="139">
        <v>19</v>
      </c>
      <c r="L128" s="139">
        <v>130000</v>
      </c>
      <c r="M128" s="45">
        <f t="shared" si="10"/>
        <v>2470000</v>
      </c>
      <c r="N128" s="45">
        <f t="shared" si="11"/>
        <v>22990000</v>
      </c>
      <c r="O128" s="90">
        <v>700000</v>
      </c>
      <c r="P128" s="33">
        <f t="shared" si="12"/>
        <v>75000</v>
      </c>
      <c r="Q128" s="33" t="s">
        <v>27</v>
      </c>
      <c r="R128" s="33">
        <f t="shared" si="13"/>
        <v>22982400</v>
      </c>
      <c r="S128" s="151">
        <v>2500000</v>
      </c>
      <c r="T128" s="45">
        <f t="shared" si="14"/>
        <v>2462400</v>
      </c>
      <c r="U128" s="43" t="s">
        <v>28</v>
      </c>
      <c r="V128" s="45">
        <f t="shared" si="15"/>
        <v>-37600</v>
      </c>
    </row>
    <row r="129" spans="1:22">
      <c r="A129" s="43">
        <f t="shared" si="17"/>
        <v>126</v>
      </c>
      <c r="B129" s="59" t="s">
        <v>22</v>
      </c>
      <c r="C129" s="147" t="s">
        <v>50</v>
      </c>
      <c r="D129" s="147" t="s">
        <v>53</v>
      </c>
      <c r="E129" s="148">
        <v>46221</v>
      </c>
      <c r="F129" s="171" t="s">
        <v>167</v>
      </c>
      <c r="G129" s="137" t="s">
        <v>46</v>
      </c>
      <c r="H129" s="138">
        <v>32.832</v>
      </c>
      <c r="I129" s="137">
        <v>625000</v>
      </c>
      <c r="J129" s="45">
        <f t="shared" si="9"/>
        <v>20520000</v>
      </c>
      <c r="K129" s="139">
        <v>19</v>
      </c>
      <c r="L129" s="139">
        <v>130000</v>
      </c>
      <c r="M129" s="45">
        <f t="shared" si="10"/>
        <v>2470000</v>
      </c>
      <c r="N129" s="45">
        <f t="shared" si="11"/>
        <v>22990000</v>
      </c>
      <c r="O129" s="90">
        <v>700000</v>
      </c>
      <c r="P129" s="33">
        <f t="shared" si="12"/>
        <v>75000</v>
      </c>
      <c r="Q129" s="33" t="s">
        <v>27</v>
      </c>
      <c r="R129" s="33">
        <f t="shared" si="13"/>
        <v>22982400</v>
      </c>
      <c r="S129" s="151">
        <v>2500000</v>
      </c>
      <c r="T129" s="45">
        <f t="shared" si="14"/>
        <v>2462400</v>
      </c>
      <c r="U129" s="43" t="s">
        <v>28</v>
      </c>
      <c r="V129" s="45">
        <f t="shared" si="15"/>
        <v>-37600</v>
      </c>
    </row>
    <row r="130" spans="1:22">
      <c r="A130" s="43">
        <f t="shared" si="17"/>
        <v>127</v>
      </c>
      <c r="B130" s="59" t="s">
        <v>22</v>
      </c>
      <c r="C130" s="147" t="s">
        <v>50</v>
      </c>
      <c r="D130" s="147" t="s">
        <v>53</v>
      </c>
      <c r="E130" s="148">
        <v>46221</v>
      </c>
      <c r="F130" s="171" t="s">
        <v>168</v>
      </c>
      <c r="G130" s="137" t="s">
        <v>26</v>
      </c>
      <c r="H130" s="138">
        <v>32.832</v>
      </c>
      <c r="I130" s="137">
        <v>625000</v>
      </c>
      <c r="J130" s="45">
        <f t="shared" si="9"/>
        <v>20520000</v>
      </c>
      <c r="K130" s="139">
        <v>19</v>
      </c>
      <c r="L130" s="139">
        <v>130000</v>
      </c>
      <c r="M130" s="45">
        <f t="shared" si="10"/>
        <v>2470000</v>
      </c>
      <c r="N130" s="45">
        <f t="shared" si="11"/>
        <v>22990000</v>
      </c>
      <c r="O130" s="90">
        <v>700000</v>
      </c>
      <c r="P130" s="33">
        <f t="shared" si="12"/>
        <v>75000</v>
      </c>
      <c r="Q130" s="33" t="s">
        <v>27</v>
      </c>
      <c r="R130" s="33">
        <f t="shared" si="13"/>
        <v>22982400</v>
      </c>
      <c r="S130" s="151">
        <v>2500000</v>
      </c>
      <c r="T130" s="45">
        <f t="shared" si="14"/>
        <v>2462400</v>
      </c>
      <c r="U130" s="43" t="s">
        <v>28</v>
      </c>
      <c r="V130" s="45">
        <f t="shared" si="15"/>
        <v>-37600</v>
      </c>
    </row>
    <row r="131" spans="1:22">
      <c r="A131" s="43">
        <f t="shared" si="17"/>
        <v>128</v>
      </c>
      <c r="B131" s="59" t="s">
        <v>22</v>
      </c>
      <c r="C131" s="157" t="s">
        <v>77</v>
      </c>
      <c r="D131" s="157" t="s">
        <v>105</v>
      </c>
      <c r="E131" s="158">
        <v>46221</v>
      </c>
      <c r="F131" s="168" t="s">
        <v>169</v>
      </c>
      <c r="G131" s="137" t="s">
        <v>26</v>
      </c>
      <c r="H131" s="138">
        <v>32.832</v>
      </c>
      <c r="I131" s="137">
        <v>625000</v>
      </c>
      <c r="J131" s="45">
        <f t="shared" si="9"/>
        <v>20520000</v>
      </c>
      <c r="K131" s="139">
        <v>19</v>
      </c>
      <c r="L131" s="139">
        <v>130000</v>
      </c>
      <c r="M131" s="45">
        <f t="shared" si="10"/>
        <v>2470000</v>
      </c>
      <c r="N131" s="45">
        <f t="shared" si="11"/>
        <v>22990000</v>
      </c>
      <c r="O131" s="90">
        <v>700000</v>
      </c>
      <c r="P131" s="33">
        <f t="shared" si="12"/>
        <v>75000</v>
      </c>
      <c r="Q131" s="33" t="s">
        <v>27</v>
      </c>
      <c r="R131" s="33">
        <f t="shared" si="13"/>
        <v>22982400</v>
      </c>
      <c r="S131" s="151">
        <v>2500000</v>
      </c>
      <c r="T131" s="45">
        <f t="shared" si="14"/>
        <v>2462400</v>
      </c>
      <c r="U131" s="43" t="s">
        <v>28</v>
      </c>
      <c r="V131" s="45">
        <f t="shared" si="15"/>
        <v>-37600</v>
      </c>
    </row>
    <row r="132" spans="1:22">
      <c r="A132" s="43">
        <f t="shared" si="17"/>
        <v>129</v>
      </c>
      <c r="B132" s="162" t="s">
        <v>22</v>
      </c>
      <c r="C132" s="141" t="s">
        <v>32</v>
      </c>
      <c r="D132" s="141" t="s">
        <v>155</v>
      </c>
      <c r="E132" s="142">
        <v>46221</v>
      </c>
      <c r="F132" s="167" t="s">
        <v>170</v>
      </c>
      <c r="G132" s="137" t="s">
        <v>46</v>
      </c>
      <c r="H132" s="138">
        <v>32.832</v>
      </c>
      <c r="I132" s="137">
        <v>625000</v>
      </c>
      <c r="J132" s="45">
        <f t="shared" si="9"/>
        <v>20520000</v>
      </c>
      <c r="K132" s="139">
        <v>19</v>
      </c>
      <c r="L132" s="139">
        <v>130000</v>
      </c>
      <c r="M132" s="45">
        <f t="shared" si="10"/>
        <v>2470000</v>
      </c>
      <c r="N132" s="45">
        <f t="shared" si="11"/>
        <v>22990000</v>
      </c>
      <c r="O132" s="90">
        <v>700000</v>
      </c>
      <c r="P132" s="33">
        <f t="shared" si="12"/>
        <v>75000</v>
      </c>
      <c r="Q132" s="33" t="s">
        <v>27</v>
      </c>
      <c r="R132" s="33">
        <f t="shared" si="13"/>
        <v>22982400</v>
      </c>
      <c r="S132" s="151">
        <v>2500000</v>
      </c>
      <c r="T132" s="45">
        <f t="shared" si="14"/>
        <v>2462400</v>
      </c>
      <c r="U132" s="43" t="s">
        <v>28</v>
      </c>
      <c r="V132" s="45">
        <f t="shared" si="15"/>
        <v>-37600</v>
      </c>
    </row>
    <row r="133" spans="1:22">
      <c r="A133" s="43">
        <f t="shared" si="17"/>
        <v>130</v>
      </c>
      <c r="B133" s="59" t="s">
        <v>22</v>
      </c>
      <c r="C133" s="157" t="s">
        <v>77</v>
      </c>
      <c r="D133" s="157" t="s">
        <v>78</v>
      </c>
      <c r="E133" s="158">
        <v>46221</v>
      </c>
      <c r="F133" s="168" t="s">
        <v>47</v>
      </c>
      <c r="G133" s="137" t="s">
        <v>46</v>
      </c>
      <c r="H133" s="138">
        <v>32.832</v>
      </c>
      <c r="I133" s="137">
        <v>625000</v>
      </c>
      <c r="J133" s="45">
        <f t="shared" ref="J133:J152" si="18">H133*I133</f>
        <v>20520000</v>
      </c>
      <c r="K133" s="139">
        <v>19</v>
      </c>
      <c r="L133" s="139">
        <v>130000</v>
      </c>
      <c r="M133" s="45">
        <f t="shared" ref="M133:M152" si="19">K133*L133</f>
        <v>2470000</v>
      </c>
      <c r="N133" s="45">
        <f t="shared" ref="N133:N152" si="20">J133+M133</f>
        <v>22990000</v>
      </c>
      <c r="O133" s="90">
        <v>700000</v>
      </c>
      <c r="P133" s="33">
        <f t="shared" ref="P133:P138" si="21">O133-I133</f>
        <v>75000</v>
      </c>
      <c r="Q133" s="33" t="s">
        <v>27</v>
      </c>
      <c r="R133" s="33">
        <f t="shared" ref="R133:R147" si="22">O133*H133</f>
        <v>22982400</v>
      </c>
      <c r="S133" s="151">
        <v>2500000</v>
      </c>
      <c r="T133" s="45">
        <f t="shared" ref="T133:T152" si="23">R133-J133</f>
        <v>2462400</v>
      </c>
      <c r="U133" s="43" t="s">
        <v>28</v>
      </c>
      <c r="V133" s="45">
        <f t="shared" ref="V133:V152" si="24">T133-S133</f>
        <v>-37600</v>
      </c>
    </row>
    <row r="134" spans="1:22">
      <c r="A134" s="43">
        <f t="shared" si="17"/>
        <v>131</v>
      </c>
      <c r="B134" s="59" t="s">
        <v>22</v>
      </c>
      <c r="C134" s="141" t="s">
        <v>32</v>
      </c>
      <c r="D134" s="141" t="s">
        <v>162</v>
      </c>
      <c r="E134" s="142">
        <v>46221</v>
      </c>
      <c r="F134" s="167" t="s">
        <v>171</v>
      </c>
      <c r="G134" s="137" t="s">
        <v>26</v>
      </c>
      <c r="H134" s="138">
        <v>32.832</v>
      </c>
      <c r="I134" s="137">
        <v>625000</v>
      </c>
      <c r="J134" s="45">
        <f t="shared" si="18"/>
        <v>20520000</v>
      </c>
      <c r="K134" s="139">
        <v>19</v>
      </c>
      <c r="L134" s="139">
        <v>130000</v>
      </c>
      <c r="M134" s="45">
        <f t="shared" si="19"/>
        <v>2470000</v>
      </c>
      <c r="N134" s="45">
        <f t="shared" si="20"/>
        <v>22990000</v>
      </c>
      <c r="O134" s="90">
        <v>700000</v>
      </c>
      <c r="P134" s="33">
        <f t="shared" si="21"/>
        <v>75000</v>
      </c>
      <c r="Q134" s="33" t="s">
        <v>27</v>
      </c>
      <c r="R134" s="33">
        <f t="shared" si="22"/>
        <v>22982400</v>
      </c>
      <c r="S134" s="151">
        <v>2500000</v>
      </c>
      <c r="T134" s="45">
        <f t="shared" si="23"/>
        <v>2462400</v>
      </c>
      <c r="U134" s="43" t="s">
        <v>28</v>
      </c>
      <c r="V134" s="45">
        <f t="shared" si="24"/>
        <v>-37600</v>
      </c>
    </row>
    <row r="135" spans="1:22">
      <c r="A135" s="43">
        <f t="shared" si="17"/>
        <v>132</v>
      </c>
      <c r="B135" s="59" t="s">
        <v>22</v>
      </c>
      <c r="C135" s="157" t="s">
        <v>77</v>
      </c>
      <c r="D135" s="157" t="s">
        <v>78</v>
      </c>
      <c r="E135" s="158">
        <v>46223</v>
      </c>
      <c r="F135" s="168" t="s">
        <v>134</v>
      </c>
      <c r="G135" s="137" t="s">
        <v>26</v>
      </c>
      <c r="H135" s="138">
        <v>32.832</v>
      </c>
      <c r="I135" s="137">
        <v>625000</v>
      </c>
      <c r="J135" s="45">
        <f t="shared" si="18"/>
        <v>20520000</v>
      </c>
      <c r="K135" s="139">
        <v>19</v>
      </c>
      <c r="L135" s="139">
        <v>130000</v>
      </c>
      <c r="M135" s="45">
        <f t="shared" si="19"/>
        <v>2470000</v>
      </c>
      <c r="N135" s="45">
        <f t="shared" si="20"/>
        <v>22990000</v>
      </c>
      <c r="O135" s="90">
        <v>700000</v>
      </c>
      <c r="P135" s="33">
        <f t="shared" si="21"/>
        <v>75000</v>
      </c>
      <c r="Q135" s="33" t="s">
        <v>27</v>
      </c>
      <c r="R135" s="33">
        <f t="shared" si="22"/>
        <v>22982400</v>
      </c>
      <c r="S135" s="151">
        <v>2500000</v>
      </c>
      <c r="T135" s="45">
        <f t="shared" si="23"/>
        <v>2462400</v>
      </c>
      <c r="U135" s="43" t="s">
        <v>28</v>
      </c>
      <c r="V135" s="45">
        <f t="shared" si="24"/>
        <v>-37600</v>
      </c>
    </row>
    <row r="136" spans="1:22">
      <c r="A136" s="43">
        <f t="shared" si="17"/>
        <v>133</v>
      </c>
      <c r="B136" s="59" t="s">
        <v>22</v>
      </c>
      <c r="C136" s="141" t="s">
        <v>32</v>
      </c>
      <c r="D136" s="141" t="s">
        <v>162</v>
      </c>
      <c r="E136" s="142">
        <v>46223</v>
      </c>
      <c r="F136" s="167" t="s">
        <v>85</v>
      </c>
      <c r="G136" s="137" t="s">
        <v>46</v>
      </c>
      <c r="H136" s="138">
        <v>32.832</v>
      </c>
      <c r="I136" s="137">
        <v>625000</v>
      </c>
      <c r="J136" s="45">
        <f t="shared" si="18"/>
        <v>20520000</v>
      </c>
      <c r="K136" s="139">
        <v>19</v>
      </c>
      <c r="L136" s="139">
        <v>130000</v>
      </c>
      <c r="M136" s="45">
        <f t="shared" si="19"/>
        <v>2470000</v>
      </c>
      <c r="N136" s="45">
        <f t="shared" si="20"/>
        <v>22990000</v>
      </c>
      <c r="O136" s="90">
        <v>700000</v>
      </c>
      <c r="P136" s="33">
        <f t="shared" si="21"/>
        <v>75000</v>
      </c>
      <c r="Q136" s="33" t="s">
        <v>27</v>
      </c>
      <c r="R136" s="33">
        <f t="shared" si="22"/>
        <v>22982400</v>
      </c>
      <c r="S136" s="151">
        <v>2500000</v>
      </c>
      <c r="T136" s="45">
        <f t="shared" si="23"/>
        <v>2462400</v>
      </c>
      <c r="U136" s="43" t="s">
        <v>28</v>
      </c>
      <c r="V136" s="45">
        <f t="shared" si="24"/>
        <v>-37600</v>
      </c>
    </row>
    <row r="137" spans="1:22">
      <c r="A137" s="43">
        <f t="shared" si="17"/>
        <v>134</v>
      </c>
      <c r="B137" s="59" t="s">
        <v>22</v>
      </c>
      <c r="C137" s="157" t="s">
        <v>77</v>
      </c>
      <c r="D137" s="157" t="s">
        <v>172</v>
      </c>
      <c r="E137" s="158">
        <v>46223</v>
      </c>
      <c r="F137" s="168" t="s">
        <v>173</v>
      </c>
      <c r="G137" s="137" t="s">
        <v>26</v>
      </c>
      <c r="H137" s="138">
        <v>20.736</v>
      </c>
      <c r="I137" s="137">
        <v>625000</v>
      </c>
      <c r="J137" s="45">
        <f t="shared" si="18"/>
        <v>12960000</v>
      </c>
      <c r="K137" s="139">
        <v>12</v>
      </c>
      <c r="L137" s="139">
        <v>130000</v>
      </c>
      <c r="M137" s="45">
        <f t="shared" si="19"/>
        <v>1560000</v>
      </c>
      <c r="N137" s="45">
        <f t="shared" si="20"/>
        <v>14520000</v>
      </c>
      <c r="O137" s="90">
        <v>700000</v>
      </c>
      <c r="P137" s="33">
        <f t="shared" si="21"/>
        <v>75000</v>
      </c>
      <c r="Q137" s="33" t="s">
        <v>27</v>
      </c>
      <c r="R137" s="33">
        <f t="shared" si="22"/>
        <v>14515200</v>
      </c>
      <c r="S137" s="151">
        <v>1580000</v>
      </c>
      <c r="T137" s="45">
        <f t="shared" si="23"/>
        <v>1555200</v>
      </c>
      <c r="U137" s="43" t="s">
        <v>28</v>
      </c>
      <c r="V137" s="45">
        <f t="shared" si="24"/>
        <v>-24800</v>
      </c>
    </row>
    <row r="138" spans="1:22">
      <c r="A138" s="43">
        <f t="shared" si="17"/>
        <v>135</v>
      </c>
      <c r="B138" s="59" t="s">
        <v>22</v>
      </c>
      <c r="C138" s="157" t="s">
        <v>77</v>
      </c>
      <c r="D138" s="157" t="s">
        <v>82</v>
      </c>
      <c r="E138" s="158">
        <v>46223</v>
      </c>
      <c r="F138" s="168" t="s">
        <v>174</v>
      </c>
      <c r="G138" s="137" t="s">
        <v>46</v>
      </c>
      <c r="H138" s="138">
        <v>32.832</v>
      </c>
      <c r="I138" s="137">
        <v>625000</v>
      </c>
      <c r="J138" s="45">
        <f t="shared" si="18"/>
        <v>20520000</v>
      </c>
      <c r="K138" s="139">
        <v>19</v>
      </c>
      <c r="L138" s="139">
        <v>130000</v>
      </c>
      <c r="M138" s="45">
        <f t="shared" si="19"/>
        <v>2470000</v>
      </c>
      <c r="N138" s="45">
        <f t="shared" si="20"/>
        <v>22990000</v>
      </c>
      <c r="O138" s="90">
        <v>700000</v>
      </c>
      <c r="P138" s="33">
        <f t="shared" si="21"/>
        <v>75000</v>
      </c>
      <c r="Q138" s="33" t="s">
        <v>27</v>
      </c>
      <c r="R138" s="33">
        <f t="shared" si="22"/>
        <v>22982400</v>
      </c>
      <c r="S138" s="151">
        <v>2500000</v>
      </c>
      <c r="T138" s="45">
        <f t="shared" si="23"/>
        <v>2462400</v>
      </c>
      <c r="U138" s="43" t="s">
        <v>28</v>
      </c>
      <c r="V138" s="45">
        <f t="shared" si="24"/>
        <v>-37600</v>
      </c>
    </row>
    <row r="139" spans="1:22">
      <c r="A139" s="43">
        <f t="shared" si="17"/>
        <v>136</v>
      </c>
      <c r="B139" s="59" t="s">
        <v>22</v>
      </c>
      <c r="C139" s="141" t="s">
        <v>32</v>
      </c>
      <c r="D139" s="141" t="s">
        <v>162</v>
      </c>
      <c r="E139" s="142">
        <v>46223</v>
      </c>
      <c r="F139" s="167" t="s">
        <v>175</v>
      </c>
      <c r="G139" s="137" t="s">
        <v>26</v>
      </c>
      <c r="H139" s="138">
        <v>32.832</v>
      </c>
      <c r="I139" s="137">
        <v>625000</v>
      </c>
      <c r="J139" s="45">
        <f t="shared" si="18"/>
        <v>20520000</v>
      </c>
      <c r="K139" s="139">
        <v>19</v>
      </c>
      <c r="L139" s="139">
        <v>130000</v>
      </c>
      <c r="M139" s="45">
        <f t="shared" si="19"/>
        <v>2470000</v>
      </c>
      <c r="N139" s="45">
        <f t="shared" si="20"/>
        <v>22990000</v>
      </c>
      <c r="O139" s="90">
        <v>700000</v>
      </c>
      <c r="P139" s="33">
        <f t="shared" ref="P139:P152" si="25">O139-I139</f>
        <v>75000</v>
      </c>
      <c r="Q139" s="33" t="s">
        <v>27</v>
      </c>
      <c r="R139" s="33">
        <f t="shared" si="22"/>
        <v>22982400</v>
      </c>
      <c r="S139" s="151">
        <v>2500000</v>
      </c>
      <c r="T139" s="45">
        <f t="shared" si="23"/>
        <v>2462400</v>
      </c>
      <c r="U139" s="43" t="s">
        <v>28</v>
      </c>
      <c r="V139" s="45">
        <f t="shared" si="24"/>
        <v>-37600</v>
      </c>
    </row>
    <row r="140" spans="1:22">
      <c r="A140" s="43">
        <f t="shared" si="17"/>
        <v>137</v>
      </c>
      <c r="B140" s="59" t="s">
        <v>22</v>
      </c>
      <c r="C140" s="59" t="s">
        <v>92</v>
      </c>
      <c r="D140" s="59" t="s">
        <v>131</v>
      </c>
      <c r="E140" s="32">
        <v>46223</v>
      </c>
      <c r="F140" s="34" t="s">
        <v>129</v>
      </c>
      <c r="G140" s="137" t="s">
        <v>26</v>
      </c>
      <c r="H140" s="138">
        <v>22.464</v>
      </c>
      <c r="I140" s="151">
        <v>545000</v>
      </c>
      <c r="J140" s="45">
        <f t="shared" si="18"/>
        <v>12242880</v>
      </c>
      <c r="K140" s="90">
        <v>13</v>
      </c>
      <c r="L140" s="139">
        <v>130000</v>
      </c>
      <c r="M140" s="45">
        <f t="shared" si="19"/>
        <v>1690000</v>
      </c>
      <c r="N140" s="45">
        <f t="shared" si="20"/>
        <v>13932880</v>
      </c>
      <c r="O140" s="90">
        <v>700000</v>
      </c>
      <c r="P140" s="33">
        <f t="shared" si="25"/>
        <v>155000</v>
      </c>
      <c r="Q140" s="33" t="s">
        <v>27</v>
      </c>
      <c r="R140" s="33">
        <f t="shared" si="22"/>
        <v>15724800</v>
      </c>
      <c r="S140" s="151">
        <v>1700000</v>
      </c>
      <c r="T140" s="45">
        <f t="shared" si="23"/>
        <v>3481920</v>
      </c>
      <c r="U140" s="43" t="s">
        <v>28</v>
      </c>
      <c r="V140" s="45">
        <f t="shared" si="24"/>
        <v>1781920</v>
      </c>
    </row>
    <row r="141" spans="1:22">
      <c r="A141" s="43">
        <f t="shared" si="17"/>
        <v>138</v>
      </c>
      <c r="B141" s="59" t="s">
        <v>22</v>
      </c>
      <c r="C141" s="147" t="s">
        <v>50</v>
      </c>
      <c r="D141" s="147" t="s">
        <v>53</v>
      </c>
      <c r="E141" s="148">
        <v>46223</v>
      </c>
      <c r="F141" s="171" t="s">
        <v>129</v>
      </c>
      <c r="G141" s="137" t="s">
        <v>26</v>
      </c>
      <c r="H141" s="138">
        <f>H139-H140</f>
        <v>10.368</v>
      </c>
      <c r="I141" s="137">
        <v>625000</v>
      </c>
      <c r="J141" s="45">
        <f t="shared" si="18"/>
        <v>6480000</v>
      </c>
      <c r="K141" s="90">
        <v>6</v>
      </c>
      <c r="L141" s="139">
        <v>130000</v>
      </c>
      <c r="M141" s="45">
        <f t="shared" si="19"/>
        <v>780000</v>
      </c>
      <c r="N141" s="45">
        <f t="shared" si="20"/>
        <v>7260000</v>
      </c>
      <c r="O141" s="90">
        <v>700000</v>
      </c>
      <c r="P141" s="33">
        <f t="shared" si="25"/>
        <v>75000</v>
      </c>
      <c r="Q141" s="33" t="s">
        <v>27</v>
      </c>
      <c r="R141" s="33">
        <f t="shared" si="22"/>
        <v>7257600</v>
      </c>
      <c r="S141" s="33">
        <v>800000</v>
      </c>
      <c r="T141" s="45">
        <f t="shared" si="23"/>
        <v>777600.000000001</v>
      </c>
      <c r="U141" s="43" t="s">
        <v>28</v>
      </c>
      <c r="V141" s="45">
        <f t="shared" si="24"/>
        <v>-22399.9999999991</v>
      </c>
    </row>
    <row r="142" spans="1:22">
      <c r="A142" s="43">
        <f t="shared" si="17"/>
        <v>139</v>
      </c>
      <c r="B142" s="59" t="s">
        <v>22</v>
      </c>
      <c r="C142" s="59" t="s">
        <v>92</v>
      </c>
      <c r="D142" s="59" t="s">
        <v>176</v>
      </c>
      <c r="E142" s="32">
        <v>46224</v>
      </c>
      <c r="F142" s="34" t="s">
        <v>177</v>
      </c>
      <c r="G142" s="137" t="s">
        <v>96</v>
      </c>
      <c r="H142" s="180">
        <v>32.832</v>
      </c>
      <c r="I142" s="151">
        <v>595000</v>
      </c>
      <c r="J142" s="45">
        <f t="shared" si="18"/>
        <v>19535040</v>
      </c>
      <c r="K142" s="139">
        <v>19</v>
      </c>
      <c r="L142" s="139">
        <v>130000</v>
      </c>
      <c r="M142" s="45">
        <f t="shared" si="19"/>
        <v>2470000</v>
      </c>
      <c r="N142" s="45">
        <f t="shared" si="20"/>
        <v>22005040</v>
      </c>
      <c r="O142" s="90">
        <v>700000</v>
      </c>
      <c r="P142" s="33">
        <f t="shared" si="25"/>
        <v>105000</v>
      </c>
      <c r="Q142" s="33" t="s">
        <v>27</v>
      </c>
      <c r="R142" s="33">
        <f t="shared" si="22"/>
        <v>22982400</v>
      </c>
      <c r="S142" s="151">
        <v>2500000</v>
      </c>
      <c r="T142" s="45">
        <f t="shared" si="23"/>
        <v>3447360</v>
      </c>
      <c r="U142" s="43" t="s">
        <v>28</v>
      </c>
      <c r="V142" s="45">
        <f t="shared" si="24"/>
        <v>947360</v>
      </c>
    </row>
    <row r="143" spans="1:22">
      <c r="A143" s="43">
        <f t="shared" si="17"/>
        <v>140</v>
      </c>
      <c r="B143" s="59" t="s">
        <v>22</v>
      </c>
      <c r="C143" s="157" t="s">
        <v>77</v>
      </c>
      <c r="D143" s="157" t="s">
        <v>102</v>
      </c>
      <c r="E143" s="158">
        <v>46224</v>
      </c>
      <c r="F143" s="168" t="s">
        <v>134</v>
      </c>
      <c r="G143" s="137" t="s">
        <v>26</v>
      </c>
      <c r="H143" s="180">
        <v>32.832</v>
      </c>
      <c r="I143" s="137">
        <v>625000</v>
      </c>
      <c r="J143" s="45">
        <f t="shared" si="18"/>
        <v>20520000</v>
      </c>
      <c r="K143" s="139">
        <v>19</v>
      </c>
      <c r="L143" s="139">
        <v>130000</v>
      </c>
      <c r="M143" s="45">
        <f t="shared" si="19"/>
        <v>2470000</v>
      </c>
      <c r="N143" s="45">
        <f t="shared" si="20"/>
        <v>22990000</v>
      </c>
      <c r="O143" s="90">
        <v>700000</v>
      </c>
      <c r="P143" s="33">
        <f t="shared" si="25"/>
        <v>75000</v>
      </c>
      <c r="Q143" s="33" t="s">
        <v>27</v>
      </c>
      <c r="R143" s="33">
        <f t="shared" si="22"/>
        <v>22982400</v>
      </c>
      <c r="S143" s="151">
        <v>2500000</v>
      </c>
      <c r="T143" s="45">
        <f t="shared" si="23"/>
        <v>2462400</v>
      </c>
      <c r="U143" s="43" t="s">
        <v>28</v>
      </c>
      <c r="V143" s="45">
        <f t="shared" si="24"/>
        <v>-37600</v>
      </c>
    </row>
    <row r="144" spans="1:22">
      <c r="A144" s="43">
        <f t="shared" si="17"/>
        <v>141</v>
      </c>
      <c r="B144" s="59" t="s">
        <v>22</v>
      </c>
      <c r="C144" s="134" t="s">
        <v>23</v>
      </c>
      <c r="D144" s="134" t="s">
        <v>119</v>
      </c>
      <c r="E144" s="135">
        <v>46224</v>
      </c>
      <c r="F144" s="170" t="s">
        <v>178</v>
      </c>
      <c r="G144" s="137" t="s">
        <v>96</v>
      </c>
      <c r="H144" s="180">
        <v>32.832</v>
      </c>
      <c r="I144" s="151">
        <v>595000</v>
      </c>
      <c r="J144" s="45">
        <f t="shared" si="18"/>
        <v>19535040</v>
      </c>
      <c r="K144" s="139">
        <v>19</v>
      </c>
      <c r="L144" s="139">
        <v>130000</v>
      </c>
      <c r="M144" s="45">
        <f t="shared" si="19"/>
        <v>2470000</v>
      </c>
      <c r="N144" s="45">
        <f t="shared" si="20"/>
        <v>22005040</v>
      </c>
      <c r="O144" s="90">
        <v>700000</v>
      </c>
      <c r="P144" s="33">
        <f t="shared" si="25"/>
        <v>105000</v>
      </c>
      <c r="Q144" s="33" t="s">
        <v>27</v>
      </c>
      <c r="R144" s="33">
        <f t="shared" si="22"/>
        <v>22982400</v>
      </c>
      <c r="S144" s="33">
        <v>2500000</v>
      </c>
      <c r="T144" s="45">
        <f t="shared" si="23"/>
        <v>3447360</v>
      </c>
      <c r="U144" s="43" t="s">
        <v>28</v>
      </c>
      <c r="V144" s="45">
        <f t="shared" si="24"/>
        <v>947360</v>
      </c>
    </row>
    <row r="145" spans="1:22">
      <c r="A145" s="43">
        <f t="shared" si="17"/>
        <v>142</v>
      </c>
      <c r="B145" s="59" t="s">
        <v>22</v>
      </c>
      <c r="C145" s="59" t="s">
        <v>92</v>
      </c>
      <c r="D145" s="59" t="s">
        <v>150</v>
      </c>
      <c r="E145" s="32">
        <v>46224</v>
      </c>
      <c r="F145" s="34" t="s">
        <v>67</v>
      </c>
      <c r="G145" s="137" t="s">
        <v>96</v>
      </c>
      <c r="H145" s="180">
        <v>25.92</v>
      </c>
      <c r="I145" s="151">
        <v>595000</v>
      </c>
      <c r="J145" s="45">
        <f t="shared" si="18"/>
        <v>15422400</v>
      </c>
      <c r="K145" s="90">
        <v>15</v>
      </c>
      <c r="L145" s="139">
        <v>130000</v>
      </c>
      <c r="M145" s="45">
        <f t="shared" si="19"/>
        <v>1950000</v>
      </c>
      <c r="N145" s="45">
        <f t="shared" si="20"/>
        <v>17372400</v>
      </c>
      <c r="O145" s="90">
        <v>707716.05</v>
      </c>
      <c r="P145" s="33">
        <f t="shared" si="25"/>
        <v>112716.05</v>
      </c>
      <c r="Q145" s="33" t="s">
        <v>27</v>
      </c>
      <c r="R145" s="33">
        <f t="shared" si="22"/>
        <v>18344000.016</v>
      </c>
      <c r="S145" s="33">
        <v>2170000</v>
      </c>
      <c r="T145" s="45">
        <f t="shared" si="23"/>
        <v>2921600.016</v>
      </c>
      <c r="U145" s="43" t="s">
        <v>28</v>
      </c>
      <c r="V145" s="45">
        <f t="shared" si="24"/>
        <v>751600.016000001</v>
      </c>
    </row>
    <row r="146" spans="1:22">
      <c r="A146" s="43">
        <f t="shared" si="17"/>
        <v>143</v>
      </c>
      <c r="B146" s="59" t="s">
        <v>22</v>
      </c>
      <c r="C146" s="134" t="s">
        <v>23</v>
      </c>
      <c r="D146" s="134" t="s">
        <v>119</v>
      </c>
      <c r="E146" s="135">
        <v>46224</v>
      </c>
      <c r="F146" s="170" t="s">
        <v>67</v>
      </c>
      <c r="G146" s="137" t="s">
        <v>96</v>
      </c>
      <c r="H146" s="180">
        <v>5.184</v>
      </c>
      <c r="I146" s="151">
        <v>595000</v>
      </c>
      <c r="J146" s="45">
        <f t="shared" si="18"/>
        <v>3084480</v>
      </c>
      <c r="K146" s="90">
        <v>3</v>
      </c>
      <c r="L146" s="139">
        <v>130000</v>
      </c>
      <c r="M146" s="45">
        <f t="shared" si="19"/>
        <v>390000</v>
      </c>
      <c r="N146" s="45">
        <f t="shared" si="20"/>
        <v>3474480</v>
      </c>
      <c r="O146" s="90">
        <v>700000</v>
      </c>
      <c r="P146" s="33">
        <f t="shared" si="25"/>
        <v>105000</v>
      </c>
      <c r="Q146" s="33" t="s">
        <v>27</v>
      </c>
      <c r="R146" s="33">
        <f t="shared" si="22"/>
        <v>3628800</v>
      </c>
      <c r="S146" s="33">
        <v>500000</v>
      </c>
      <c r="T146" s="45">
        <f t="shared" si="23"/>
        <v>544320</v>
      </c>
      <c r="U146" s="43" t="s">
        <v>28</v>
      </c>
      <c r="V146" s="45">
        <f t="shared" si="24"/>
        <v>44320</v>
      </c>
    </row>
    <row r="147" spans="1:22">
      <c r="A147" s="43">
        <f t="shared" si="17"/>
        <v>144</v>
      </c>
      <c r="B147" s="59" t="s">
        <v>22</v>
      </c>
      <c r="C147" s="134" t="s">
        <v>23</v>
      </c>
      <c r="D147" s="134" t="s">
        <v>119</v>
      </c>
      <c r="E147" s="135">
        <v>46224</v>
      </c>
      <c r="F147" s="170" t="s">
        <v>67</v>
      </c>
      <c r="G147" s="137" t="s">
        <v>46</v>
      </c>
      <c r="H147" s="180">
        <v>1.728</v>
      </c>
      <c r="I147" s="137">
        <v>625000</v>
      </c>
      <c r="J147" s="45">
        <f t="shared" si="18"/>
        <v>1080000</v>
      </c>
      <c r="K147" s="90">
        <v>1</v>
      </c>
      <c r="L147" s="139">
        <v>130000</v>
      </c>
      <c r="M147" s="45">
        <f t="shared" si="19"/>
        <v>130000</v>
      </c>
      <c r="N147" s="45">
        <f t="shared" si="20"/>
        <v>1210000</v>
      </c>
      <c r="O147" s="90">
        <v>700000</v>
      </c>
      <c r="P147" s="33">
        <f t="shared" si="25"/>
        <v>75000</v>
      </c>
      <c r="Q147" s="33" t="s">
        <v>27</v>
      </c>
      <c r="R147" s="33">
        <f t="shared" si="22"/>
        <v>1209600</v>
      </c>
      <c r="S147" s="33">
        <v>0</v>
      </c>
      <c r="T147" s="45">
        <f t="shared" si="23"/>
        <v>129600</v>
      </c>
      <c r="U147" s="43" t="s">
        <v>28</v>
      </c>
      <c r="V147" s="45">
        <f t="shared" si="24"/>
        <v>129600</v>
      </c>
    </row>
    <row r="148" spans="1:22">
      <c r="A148" s="43">
        <f t="shared" si="17"/>
        <v>145</v>
      </c>
      <c r="B148" s="59" t="s">
        <v>22</v>
      </c>
      <c r="C148" s="181" t="s">
        <v>77</v>
      </c>
      <c r="D148" s="181" t="s">
        <v>102</v>
      </c>
      <c r="E148" s="182">
        <v>46226</v>
      </c>
      <c r="F148" s="183" t="s">
        <v>134</v>
      </c>
      <c r="G148" s="184" t="s">
        <v>46</v>
      </c>
      <c r="H148" s="185">
        <v>32.832</v>
      </c>
      <c r="I148" s="184">
        <v>625000</v>
      </c>
      <c r="J148" s="45">
        <f t="shared" si="18"/>
        <v>20520000</v>
      </c>
      <c r="K148" s="186">
        <v>19</v>
      </c>
      <c r="L148" s="186">
        <v>130000</v>
      </c>
      <c r="M148" s="45">
        <f t="shared" si="19"/>
        <v>2470000</v>
      </c>
      <c r="N148" s="45">
        <f t="shared" si="20"/>
        <v>22990000</v>
      </c>
      <c r="O148" s="187">
        <v>700000</v>
      </c>
      <c r="P148" s="33">
        <f t="shared" si="25"/>
        <v>75000</v>
      </c>
      <c r="Q148" s="188" t="s">
        <v>27</v>
      </c>
      <c r="R148" s="188">
        <v>22982400</v>
      </c>
      <c r="S148" s="151">
        <v>2500000</v>
      </c>
      <c r="T148" s="45">
        <f t="shared" si="23"/>
        <v>2462400</v>
      </c>
      <c r="U148" s="43" t="s">
        <v>28</v>
      </c>
      <c r="V148" s="45">
        <f t="shared" si="24"/>
        <v>-37600</v>
      </c>
    </row>
    <row r="149" spans="1:22">
      <c r="A149" s="43">
        <f t="shared" si="17"/>
        <v>146</v>
      </c>
      <c r="B149" s="59" t="s">
        <v>22</v>
      </c>
      <c r="C149" s="189" t="s">
        <v>92</v>
      </c>
      <c r="D149" s="189" t="s">
        <v>120</v>
      </c>
      <c r="E149" s="190">
        <v>46226</v>
      </c>
      <c r="F149" s="191" t="s">
        <v>179</v>
      </c>
      <c r="G149" s="184" t="s">
        <v>46</v>
      </c>
      <c r="H149" s="185">
        <v>32.832</v>
      </c>
      <c r="I149" s="184">
        <v>625000</v>
      </c>
      <c r="J149" s="45">
        <f t="shared" si="18"/>
        <v>20520000</v>
      </c>
      <c r="K149" s="186">
        <v>19</v>
      </c>
      <c r="L149" s="186">
        <v>130000</v>
      </c>
      <c r="M149" s="45">
        <f t="shared" si="19"/>
        <v>2470000</v>
      </c>
      <c r="N149" s="45">
        <f t="shared" si="20"/>
        <v>22990000</v>
      </c>
      <c r="O149" s="187">
        <v>700000</v>
      </c>
      <c r="P149" s="33">
        <f t="shared" si="25"/>
        <v>75000</v>
      </c>
      <c r="Q149" s="188" t="s">
        <v>27</v>
      </c>
      <c r="R149" s="188">
        <v>22982400</v>
      </c>
      <c r="S149" s="151">
        <v>2500000</v>
      </c>
      <c r="T149" s="45">
        <f t="shared" si="23"/>
        <v>2462400</v>
      </c>
      <c r="U149" s="43" t="s">
        <v>28</v>
      </c>
      <c r="V149" s="45">
        <f t="shared" si="24"/>
        <v>-37600</v>
      </c>
    </row>
    <row r="150" spans="1:22">
      <c r="A150" s="43">
        <f t="shared" si="17"/>
        <v>147</v>
      </c>
      <c r="B150" s="59" t="s">
        <v>22</v>
      </c>
      <c r="C150" s="189" t="s">
        <v>92</v>
      </c>
      <c r="D150" s="189" t="s">
        <v>176</v>
      </c>
      <c r="E150" s="190">
        <v>46226</v>
      </c>
      <c r="F150" s="191" t="s">
        <v>180</v>
      </c>
      <c r="G150" s="184" t="s">
        <v>46</v>
      </c>
      <c r="H150" s="185">
        <v>32.832</v>
      </c>
      <c r="I150" s="184">
        <v>625000</v>
      </c>
      <c r="J150" s="45">
        <f t="shared" si="18"/>
        <v>20520000</v>
      </c>
      <c r="K150" s="186">
        <v>19</v>
      </c>
      <c r="L150" s="186">
        <v>130000</v>
      </c>
      <c r="M150" s="45">
        <f t="shared" si="19"/>
        <v>2470000</v>
      </c>
      <c r="N150" s="45">
        <f t="shared" si="20"/>
        <v>22990000</v>
      </c>
      <c r="O150" s="187">
        <v>700000</v>
      </c>
      <c r="P150" s="33">
        <f t="shared" si="25"/>
        <v>75000</v>
      </c>
      <c r="Q150" s="188" t="s">
        <v>27</v>
      </c>
      <c r="R150" s="188">
        <v>22982400</v>
      </c>
      <c r="S150" s="151">
        <v>2500000</v>
      </c>
      <c r="T150" s="45">
        <f t="shared" si="23"/>
        <v>2462400</v>
      </c>
      <c r="U150" s="43" t="s">
        <v>28</v>
      </c>
      <c r="V150" s="45">
        <f t="shared" si="24"/>
        <v>-37600</v>
      </c>
    </row>
    <row r="151" spans="1:22">
      <c r="A151" s="43">
        <f t="shared" si="17"/>
        <v>148</v>
      </c>
      <c r="B151" s="59" t="s">
        <v>22</v>
      </c>
      <c r="C151" s="192" t="s">
        <v>32</v>
      </c>
      <c r="D151" s="192" t="s">
        <v>162</v>
      </c>
      <c r="E151" s="193">
        <v>46226</v>
      </c>
      <c r="F151" s="194" t="s">
        <v>181</v>
      </c>
      <c r="G151" s="184" t="s">
        <v>26</v>
      </c>
      <c r="H151" s="185">
        <v>32.832</v>
      </c>
      <c r="I151" s="184">
        <v>625000</v>
      </c>
      <c r="J151" s="45">
        <f t="shared" si="18"/>
        <v>20520000</v>
      </c>
      <c r="K151" s="186">
        <v>19</v>
      </c>
      <c r="L151" s="186">
        <v>130000</v>
      </c>
      <c r="M151" s="45">
        <f t="shared" si="19"/>
        <v>2470000</v>
      </c>
      <c r="N151" s="45">
        <f t="shared" si="20"/>
        <v>22990000</v>
      </c>
      <c r="O151" s="187">
        <v>700000</v>
      </c>
      <c r="P151" s="33">
        <f t="shared" si="25"/>
        <v>75000</v>
      </c>
      <c r="Q151" s="188" t="s">
        <v>27</v>
      </c>
      <c r="R151" s="188">
        <v>22982400</v>
      </c>
      <c r="S151" s="151">
        <v>2500000</v>
      </c>
      <c r="T151" s="45">
        <f t="shared" si="23"/>
        <v>2462400</v>
      </c>
      <c r="U151" s="43" t="s">
        <v>28</v>
      </c>
      <c r="V151" s="45">
        <f t="shared" si="24"/>
        <v>-37600</v>
      </c>
    </row>
    <row r="152" spans="1:22">
      <c r="A152" s="43">
        <f t="shared" si="17"/>
        <v>149</v>
      </c>
      <c r="B152" s="59" t="s">
        <v>22</v>
      </c>
      <c r="C152" s="195" t="s">
        <v>50</v>
      </c>
      <c r="D152" s="166" t="s">
        <v>117</v>
      </c>
      <c r="E152" s="196">
        <v>46226</v>
      </c>
      <c r="F152" s="197" t="s">
        <v>182</v>
      </c>
      <c r="G152" s="184" t="s">
        <v>26</v>
      </c>
      <c r="H152" s="185">
        <v>32.832</v>
      </c>
      <c r="I152" s="184">
        <v>625000</v>
      </c>
      <c r="J152" s="45">
        <f t="shared" si="18"/>
        <v>20520000</v>
      </c>
      <c r="K152" s="186">
        <v>19</v>
      </c>
      <c r="L152" s="186">
        <v>130000</v>
      </c>
      <c r="M152" s="45">
        <f t="shared" si="19"/>
        <v>2470000</v>
      </c>
      <c r="N152" s="45">
        <f t="shared" si="20"/>
        <v>22990000</v>
      </c>
      <c r="O152" s="187">
        <v>700000</v>
      </c>
      <c r="P152" s="33">
        <f t="shared" si="25"/>
        <v>75000</v>
      </c>
      <c r="Q152" s="188" t="s">
        <v>27</v>
      </c>
      <c r="R152" s="188">
        <v>22982400</v>
      </c>
      <c r="S152" s="151">
        <v>2500000</v>
      </c>
      <c r="T152" s="45">
        <f t="shared" si="23"/>
        <v>2462400</v>
      </c>
      <c r="U152" s="43" t="s">
        <v>28</v>
      </c>
      <c r="V152" s="45">
        <f t="shared" si="24"/>
        <v>-37600</v>
      </c>
    </row>
    <row r="153" spans="1:22">
      <c r="A153" s="43"/>
      <c r="B153" s="59"/>
      <c r="C153" s="198"/>
      <c r="D153" s="198"/>
      <c r="E153" s="198"/>
      <c r="F153" s="198"/>
      <c r="G153" s="198"/>
      <c r="H153" s="199">
        <f>SUM(H4:H147)</f>
        <v>4499.712</v>
      </c>
      <c r="I153" s="73"/>
      <c r="J153" s="73">
        <f>SUM(J4:J152)</f>
        <v>2774744640</v>
      </c>
      <c r="K153" s="73">
        <f>SUM(K4:K152)</f>
        <v>2699</v>
      </c>
      <c r="L153" s="73"/>
      <c r="M153" s="73">
        <f>SUM(M4:M152)</f>
        <v>350870000</v>
      </c>
      <c r="N153" s="73">
        <f>SUM(N4:N152)</f>
        <v>3125614640</v>
      </c>
      <c r="O153" s="73"/>
      <c r="P153" s="73"/>
      <c r="Q153" s="73"/>
      <c r="R153" s="73">
        <f>SUM(R4:R152)</f>
        <v>3299263319.3783</v>
      </c>
      <c r="S153" s="73">
        <f>SUM(S4:S152)</f>
        <v>324700002</v>
      </c>
      <c r="T153" s="73">
        <f>SUM(T4:T116)</f>
        <v>440173719.362304</v>
      </c>
      <c r="U153" s="73"/>
      <c r="V153" s="73">
        <f>SUM(V4:V152)</f>
        <v>199818677.378304</v>
      </c>
    </row>
    <row r="156" spans="1:22">
      <c r="C156" s="200" t="s">
        <v>2</v>
      </c>
      <c r="D156" s="200" t="s">
        <v>183</v>
      </c>
      <c r="E156" s="200" t="s">
        <v>184</v>
      </c>
      <c r="F156" s="200" t="s">
        <v>185</v>
      </c>
      <c r="G156" s="201" t="s">
        <v>186</v>
      </c>
      <c r="J156" s="202" t="s">
        <v>187</v>
      </c>
      <c r="K156" s="203"/>
      <c r="M156" s="204" t="s">
        <v>188</v>
      </c>
      <c r="N156" s="205"/>
    </row>
    <row r="157" spans="1:22">
      <c r="C157" s="170" t="s">
        <v>23</v>
      </c>
      <c r="D157" s="206">
        <f>'Жамол 22-22'!M5+'Жамол 22-22'!M17+'Жамол 22-22'!M32+'Жамол 22-22'!M42+'Жамол 22-22'!M53+'Жамол 22-22'!M71+'Жамол 22-22'!M82+'Жамол 22-22'!M100</f>
        <v>728078159.983104</v>
      </c>
      <c r="E157" s="206">
        <f>'Жамол 22-22'!C5+'Жамол 22-22'!C17+'Жамол 22-22'!C32+'Жамол 22-22'!C42+'Жамол 22-22'!C53+'Жамол 22-22'!C71+'Жамол 22-22'!C82+'Жамол 22-22'!C100</f>
        <v>520414160</v>
      </c>
      <c r="F157" s="206">
        <f>D157-E157</f>
        <v>207663999.983104</v>
      </c>
      <c r="G157" s="206">
        <f>'Жамол 22-22'!K100+'Жамол 22-22'!K82+'Жамол 22-22'!K71+'Жамол 22-22'!K53+'Жамол 22-22'!K42+'Жамол 22-22'!K32+'Жамол 22-22'!K17+'Жамол 22-22'!K5</f>
        <v>594</v>
      </c>
      <c r="J157" s="207">
        <v>46198</v>
      </c>
      <c r="K157" s="208">
        <v>23328000</v>
      </c>
      <c r="M157" s="209" t="s">
        <v>189</v>
      </c>
      <c r="N157" s="209" t="s">
        <v>190</v>
      </c>
      <c r="S157" s="6"/>
    </row>
    <row r="158" spans="1:22">
      <c r="C158" s="167" t="s">
        <v>32</v>
      </c>
      <c r="D158" s="206">
        <f>'Зафар ога'!M5+'Зафар ога'!M15+'Зафар ога'!M47+'Зафар ога'!M61</f>
        <v>722977920</v>
      </c>
      <c r="E158" s="206">
        <f>'Зафар ога'!C5+'Зафар ога'!C15+'Зафар ога'!C47+'Зафар ога'!C61</f>
        <v>735872920</v>
      </c>
      <c r="F158" s="206">
        <f t="shared" ref="F158:F162" si="26">D158-E158</f>
        <v>-12895000</v>
      </c>
      <c r="G158" s="206">
        <f>'Зафар ога'!K5+'Зафар ога'!K15+'Зафар ога'!K47+'Зафар ога'!K61</f>
        <v>588</v>
      </c>
      <c r="J158" s="207">
        <v>46198</v>
      </c>
      <c r="K158" s="208">
        <v>45570000</v>
      </c>
      <c r="M158" s="206">
        <f>J153</f>
        <v>2774744640</v>
      </c>
      <c r="N158" s="206">
        <f>K178</f>
        <v>3027089420</v>
      </c>
      <c r="S158" s="6"/>
    </row>
    <row r="159" spans="1:22">
      <c r="C159" s="171" t="s">
        <v>50</v>
      </c>
      <c r="D159" s="206">
        <f>'Шохрух ога'!M5+'Шохрух ога'!M23+'Шохрух ога'!M33+'Шохрух ога'!M45+'Шохрух ога'!M57</f>
        <v>356916039.3792</v>
      </c>
      <c r="E159" s="206">
        <f>'Шохрух ога'!C5+'Шохрух ога'!C23+'Шохрух ога'!C33+'Шохрух ога'!C45+'Шохрух ога'!C57</f>
        <v>318302640</v>
      </c>
      <c r="F159" s="206">
        <f t="shared" si="26"/>
        <v>38613399.3792</v>
      </c>
      <c r="G159" s="206">
        <f>'Шохрух ога'!K57+'Шохрух ога'!K45+'Шохрух ога'!K33+'Шохрух ога'!K23+'Шохрух ога'!K2</f>
        <v>291</v>
      </c>
      <c r="J159" s="207">
        <v>46202</v>
      </c>
      <c r="K159" s="208">
        <v>23965900</v>
      </c>
      <c r="M159" s="210">
        <f>N158-M158</f>
        <v>252344780</v>
      </c>
      <c r="N159" s="211"/>
      <c r="S159" s="6"/>
    </row>
    <row r="160" spans="1:22">
      <c r="C160" s="212" t="s">
        <v>41</v>
      </c>
      <c r="D160" s="206">
        <f>'Арслон ога'!M5+'Арслон ога'!M20+'Арслон ога'!M36</f>
        <v>237945600</v>
      </c>
      <c r="E160" s="206">
        <f>'Арслон ога'!C36+'Арслон ога'!C20+'Арслон ога'!C5</f>
        <v>278610200</v>
      </c>
      <c r="F160" s="206">
        <f t="shared" si="26"/>
        <v>-40664600</v>
      </c>
      <c r="G160" s="206">
        <f>'Арслон ога'!K5+'Арслон ога'!K20+'Арслон ога'!K33</f>
        <v>190</v>
      </c>
      <c r="J160" s="207">
        <v>46202</v>
      </c>
      <c r="K160" s="208">
        <v>24624000</v>
      </c>
      <c r="S160" s="6"/>
    </row>
    <row r="161" spans="3:13">
      <c r="C161" s="213" t="s">
        <v>77</v>
      </c>
      <c r="D161" s="206">
        <f>'Темур '!M5+'Темур '!M32+'Темур '!M46+'Темур '!M66+'Темур '!M81</f>
        <v>749952000</v>
      </c>
      <c r="E161" s="206">
        <f>'Темур '!C5+'Темур '!C32+'Темур '!C46+'Темур '!C66+'Темур '!C81</f>
        <v>832834400</v>
      </c>
      <c r="F161" s="206">
        <f t="shared" si="26"/>
        <v>-82882400</v>
      </c>
      <c r="G161" s="206">
        <f>'Темур '!K66+'Темур '!K46+'Темур '!K32+'Темур '!K5+'Темур '!K78</f>
        <v>620</v>
      </c>
      <c r="J161" s="207">
        <v>46202</v>
      </c>
      <c r="K161" s="208">
        <v>47952000</v>
      </c>
    </row>
    <row r="162" spans="3:13">
      <c r="C162" s="214" t="s">
        <v>92</v>
      </c>
      <c r="D162" s="206">
        <f>'Сардор ога'!M5+'Сардор ога'!M18+'Сардор ога'!M32+'Сардор ога'!M43+'Сардор ога'!M55+'Сардор ога'!M68+'Сардор ога'!M81</f>
        <v>503393600.016</v>
      </c>
      <c r="E162" s="206">
        <f>'Сардор ога'!C5+'Сардор ога'!C18+'Сардор ога'!C32+'Сардор ога'!C43+'Сардор ога'!C55+'Сардор ога'!C68+'Сардор ога'!C81</f>
        <v>435563600</v>
      </c>
      <c r="F162" s="206">
        <f t="shared" si="26"/>
        <v>67830000.016</v>
      </c>
      <c r="G162" s="206">
        <f>'Сардор ога'!K2+'Сардор ога'!K15+'Сардор ога'!K29+'Сардор ога'!K40+'Сардор ога'!K52+'Сардор ога'!K65+'Сардор ога'!K78</f>
        <v>416</v>
      </c>
      <c r="J162" s="207">
        <v>46203</v>
      </c>
      <c r="K162" s="208">
        <v>22703000</v>
      </c>
    </row>
    <row r="163" spans="3:13">
      <c r="C163" s="215"/>
      <c r="D163" s="216">
        <f>SUM(D157:D162)</f>
        <v>3299263319.3783</v>
      </c>
      <c r="E163" s="216">
        <f>SUM(E157:E162)</f>
        <v>3121597920</v>
      </c>
      <c r="F163" s="216">
        <f>SUM(F157:F162)</f>
        <v>177665399.378304</v>
      </c>
      <c r="G163" s="216">
        <f>SUM(G157:G162)</f>
        <v>2699</v>
      </c>
      <c r="J163" s="207">
        <v>46203</v>
      </c>
      <c r="K163" s="208">
        <v>23872000</v>
      </c>
    </row>
    <row r="164" spans="3:13">
      <c r="D164" s="72"/>
      <c r="J164" s="207">
        <v>46203</v>
      </c>
      <c r="K164" s="208">
        <v>50000000</v>
      </c>
      <c r="M164" s="72"/>
    </row>
    <row r="165" spans="3:13">
      <c r="E165" s="72"/>
      <c r="J165" s="207">
        <v>46204</v>
      </c>
      <c r="K165" s="208">
        <v>25231000</v>
      </c>
    </row>
    <row r="166" spans="3:13">
      <c r="E166" s="72"/>
      <c r="J166" s="207">
        <v>46205</v>
      </c>
      <c r="K166" s="208">
        <v>67737600</v>
      </c>
    </row>
    <row r="167" spans="3:13">
      <c r="E167" s="72"/>
      <c r="J167" s="207">
        <v>46205</v>
      </c>
      <c r="K167" s="208">
        <v>72394560</v>
      </c>
    </row>
    <row r="168" spans="3:13">
      <c r="D168" s="72"/>
      <c r="E168" s="72"/>
      <c r="F168" s="72"/>
      <c r="G168" s="72"/>
      <c r="J168" s="207">
        <v>46205</v>
      </c>
      <c r="K168" s="208">
        <v>73872000</v>
      </c>
    </row>
    <row r="169" spans="3:13">
      <c r="E169" s="72"/>
      <c r="J169" s="207">
        <v>46206</v>
      </c>
      <c r="K169" s="208">
        <v>47934720</v>
      </c>
    </row>
    <row r="170" spans="3:13">
      <c r="E170" s="72"/>
      <c r="J170" s="207">
        <v>46206</v>
      </c>
      <c r="K170" s="208">
        <v>49904640</v>
      </c>
    </row>
    <row r="171" spans="3:13">
      <c r="E171" s="72"/>
      <c r="J171" s="207">
        <v>46206</v>
      </c>
      <c r="K171" s="208">
        <v>50000000</v>
      </c>
    </row>
    <row r="172" spans="3:13">
      <c r="E172" s="72"/>
      <c r="J172" s="207">
        <v>46206</v>
      </c>
      <c r="K172" s="208">
        <v>506000000</v>
      </c>
    </row>
    <row r="173" spans="3:13">
      <c r="E173" s="72"/>
      <c r="J173" s="207">
        <v>46206</v>
      </c>
      <c r="K173" s="208">
        <v>890000000</v>
      </c>
    </row>
    <row r="174" spans="3:13">
      <c r="E174" s="72"/>
      <c r="J174" s="207">
        <v>46213</v>
      </c>
      <c r="K174" s="208">
        <v>300000000</v>
      </c>
    </row>
    <row r="175" spans="3:13">
      <c r="E175" s="72"/>
      <c r="J175" s="207">
        <v>46220</v>
      </c>
      <c r="K175" s="208">
        <v>626000000</v>
      </c>
    </row>
    <row r="176" spans="3:13">
      <c r="J176" s="207">
        <v>46206</v>
      </c>
      <c r="K176" s="208">
        <v>6000000</v>
      </c>
    </row>
    <row r="177" spans="3:20">
      <c r="C177" s="217"/>
      <c r="D177" s="217"/>
      <c r="E177" s="217"/>
      <c r="F177" s="217"/>
      <c r="J177" s="207">
        <v>46213</v>
      </c>
      <c r="K177" s="208">
        <v>50000000</v>
      </c>
    </row>
    <row r="178" spans="3:20">
      <c r="J178" s="218" t="s">
        <v>191</v>
      </c>
      <c r="K178" s="219">
        <f>SUM(K157:K177)</f>
        <v>3027089420</v>
      </c>
    </row>
    <row r="179" spans="3:20">
      <c r="M179" s="72"/>
    </row>
    <row r="182" spans="3:20">
      <c r="F182" s="217"/>
      <c r="G182" s="220"/>
      <c r="H182" s="220"/>
      <c r="I182" s="220"/>
      <c r="J182" s="220"/>
      <c r="K182" s="221"/>
      <c r="L182" s="217"/>
      <c r="M182" s="217"/>
      <c r="N182" s="222"/>
      <c r="O182" s="222"/>
      <c r="P182" s="217"/>
      <c r="Q182" s="220"/>
      <c r="R182" s="220"/>
      <c r="S182" s="217"/>
      <c r="T182" s="217"/>
    </row>
    <row r="183" spans="3:20">
      <c r="F183" s="217"/>
      <c r="G183" s="223"/>
      <c r="H183" s="224"/>
      <c r="I183" s="224"/>
      <c r="J183" s="224"/>
      <c r="K183" s="224"/>
      <c r="L183" s="217"/>
      <c r="M183" s="217"/>
      <c r="N183" s="225"/>
      <c r="O183" s="226"/>
      <c r="P183" s="217"/>
      <c r="Q183" s="227"/>
      <c r="R183" s="227"/>
      <c r="S183" s="217"/>
      <c r="T183" s="217"/>
    </row>
    <row r="184" spans="3:20">
      <c r="F184" s="217"/>
      <c r="G184" s="223"/>
      <c r="H184" s="224"/>
      <c r="I184" s="224"/>
      <c r="J184" s="224"/>
      <c r="K184" s="224"/>
      <c r="L184" s="217"/>
      <c r="M184" s="217"/>
      <c r="N184" s="225"/>
      <c r="O184" s="226"/>
      <c r="P184" s="217"/>
      <c r="Q184" s="224"/>
      <c r="R184" s="224"/>
      <c r="S184" s="217"/>
      <c r="T184" s="217"/>
    </row>
    <row r="185" spans="3:20">
      <c r="F185" s="217"/>
      <c r="G185" s="223"/>
      <c r="H185" s="224"/>
      <c r="I185" s="224"/>
      <c r="J185" s="224"/>
      <c r="K185" s="224"/>
      <c r="L185" s="217"/>
      <c r="M185" s="217"/>
      <c r="N185" s="225"/>
      <c r="O185" s="226"/>
      <c r="P185" s="217"/>
      <c r="Q185" s="228"/>
      <c r="R185" s="220"/>
      <c r="S185" s="217"/>
      <c r="T185" s="217"/>
    </row>
    <row r="186" spans="3:20">
      <c r="F186" s="217"/>
      <c r="G186" s="223"/>
      <c r="H186" s="224"/>
      <c r="I186" s="224"/>
      <c r="J186" s="224"/>
      <c r="K186" s="224"/>
      <c r="L186" s="217"/>
      <c r="M186" s="217"/>
      <c r="N186" s="225"/>
      <c r="O186" s="226"/>
      <c r="P186" s="217"/>
      <c r="Q186" s="217"/>
      <c r="R186" s="217"/>
      <c r="S186" s="217"/>
      <c r="T186" s="217"/>
    </row>
    <row r="187" spans="3:20">
      <c r="F187" s="217"/>
      <c r="G187" s="217"/>
      <c r="H187" s="224"/>
      <c r="I187" s="224"/>
      <c r="J187" s="224"/>
      <c r="K187" s="224"/>
      <c r="L187" s="217"/>
      <c r="M187" s="217"/>
      <c r="N187" s="225"/>
      <c r="O187" s="226"/>
      <c r="P187" s="217"/>
      <c r="Q187" s="217"/>
      <c r="R187" s="217"/>
      <c r="S187" s="217"/>
      <c r="T187" s="217"/>
    </row>
    <row r="188" spans="3:20">
      <c r="F188" s="217"/>
      <c r="G188" s="227"/>
      <c r="H188" s="224"/>
      <c r="I188" s="224"/>
      <c r="J188" s="224"/>
      <c r="K188" s="224"/>
      <c r="L188" s="217"/>
      <c r="M188" s="217"/>
      <c r="N188" s="225"/>
      <c r="O188" s="226"/>
      <c r="P188" s="217"/>
      <c r="Q188" s="217"/>
      <c r="R188" s="217"/>
      <c r="S188" s="217"/>
      <c r="T188" s="217"/>
    </row>
    <row r="189" spans="3:20">
      <c r="F189" s="217"/>
      <c r="G189" s="217"/>
      <c r="H189" s="224"/>
      <c r="I189" s="224"/>
      <c r="J189" s="224"/>
      <c r="K189" s="224"/>
      <c r="L189" s="217"/>
      <c r="M189" s="217"/>
      <c r="N189" s="225"/>
      <c r="O189" s="226"/>
      <c r="P189" s="217"/>
      <c r="Q189" s="217"/>
      <c r="R189" s="217"/>
      <c r="S189" s="217"/>
      <c r="T189" s="217"/>
    </row>
    <row r="190" spans="3:20">
      <c r="F190" s="217"/>
      <c r="G190" s="217"/>
      <c r="H190" s="229"/>
      <c r="I190" s="217"/>
      <c r="J190" s="217"/>
      <c r="K190" s="217"/>
      <c r="L190" s="217"/>
      <c r="M190" s="217"/>
      <c r="N190" s="225"/>
      <c r="O190" s="226"/>
      <c r="P190" s="217"/>
      <c r="Q190" s="229"/>
      <c r="R190" s="217"/>
      <c r="S190" s="217"/>
      <c r="T190" s="217"/>
    </row>
    <row r="191" spans="3:20">
      <c r="F191" s="217"/>
      <c r="G191" s="217"/>
      <c r="H191" s="217"/>
      <c r="I191" s="229"/>
      <c r="J191" s="217"/>
      <c r="K191" s="217"/>
      <c r="L191" s="217"/>
      <c r="M191" s="217"/>
      <c r="N191" s="225"/>
      <c r="O191" s="226"/>
      <c r="P191" s="217"/>
      <c r="Q191" s="217"/>
      <c r="R191" s="217"/>
      <c r="S191" s="217"/>
      <c r="T191" s="217"/>
    </row>
    <row r="192" spans="3:20">
      <c r="F192" s="217"/>
      <c r="G192" s="217"/>
      <c r="H192" s="217"/>
      <c r="I192" s="229"/>
      <c r="J192" s="217"/>
      <c r="K192" s="217"/>
      <c r="L192" s="217"/>
      <c r="M192" s="217"/>
      <c r="N192" s="225"/>
      <c r="O192" s="226"/>
      <c r="P192" s="217"/>
      <c r="Q192" s="217"/>
      <c r="R192" s="217"/>
      <c r="S192" s="217"/>
      <c r="T192" s="217"/>
    </row>
    <row r="193" spans="6:23">
      <c r="F193" s="217"/>
      <c r="G193" s="217"/>
      <c r="H193" s="217"/>
      <c r="I193" s="229"/>
      <c r="J193" s="217"/>
      <c r="K193" s="217"/>
      <c r="L193" s="217"/>
      <c r="M193" s="217"/>
      <c r="N193" s="225"/>
      <c r="O193" s="226"/>
      <c r="P193" s="217"/>
      <c r="Q193" s="217"/>
      <c r="R193" s="217"/>
      <c r="S193" s="217"/>
      <c r="T193" s="217"/>
    </row>
    <row r="194" spans="6:23">
      <c r="F194" s="217"/>
      <c r="G194" s="217"/>
      <c r="H194" s="217"/>
      <c r="I194" s="217"/>
      <c r="J194" s="217"/>
      <c r="K194" s="217"/>
      <c r="L194" s="217"/>
      <c r="M194" s="217"/>
      <c r="N194" s="217"/>
      <c r="O194" s="217"/>
      <c r="P194" s="217"/>
      <c r="Q194" s="217"/>
      <c r="R194" s="217"/>
      <c r="S194" s="217"/>
      <c r="T194" s="217"/>
      <c r="U194" s="217"/>
      <c r="V194" s="217"/>
      <c r="W194" s="217"/>
    </row>
    <row r="195" spans="6:23">
      <c r="F195" s="217"/>
      <c r="G195" s="217"/>
      <c r="H195" s="217"/>
      <c r="I195" s="217"/>
      <c r="J195" s="217"/>
      <c r="K195" s="217"/>
      <c r="L195" s="217"/>
      <c r="M195" s="230"/>
      <c r="N195" s="217"/>
      <c r="O195" s="217"/>
      <c r="P195" s="217"/>
      <c r="Q195" s="217"/>
      <c r="R195" s="217"/>
      <c r="S195" s="217"/>
      <c r="T195" s="217"/>
      <c r="U195" s="217"/>
      <c r="V195" s="217"/>
      <c r="W195" s="217"/>
    </row>
    <row r="196" spans="6:23">
      <c r="F196" s="217"/>
      <c r="G196" s="220"/>
      <c r="H196" s="220"/>
      <c r="I196" s="220"/>
      <c r="J196" s="220"/>
      <c r="K196" s="221"/>
      <c r="L196" s="217"/>
      <c r="M196" s="217"/>
      <c r="N196" s="222"/>
      <c r="O196" s="222"/>
      <c r="P196" s="217"/>
      <c r="Q196" s="220"/>
      <c r="R196" s="220"/>
      <c r="S196" s="217"/>
      <c r="T196" s="220"/>
      <c r="U196" s="220"/>
      <c r="V196" s="217"/>
      <c r="W196" s="217"/>
    </row>
    <row r="197" spans="6:23">
      <c r="F197" s="217"/>
      <c r="G197" s="223"/>
      <c r="H197" s="224"/>
      <c r="I197" s="224"/>
      <c r="J197" s="224"/>
      <c r="K197" s="224"/>
      <c r="L197" s="217"/>
      <c r="M197" s="217"/>
      <c r="N197" s="225"/>
      <c r="O197" s="226"/>
      <c r="P197" s="217"/>
      <c r="Q197" s="227"/>
      <c r="R197" s="227"/>
      <c r="S197" s="217"/>
      <c r="T197" s="223"/>
      <c r="U197" s="224"/>
      <c r="V197" s="217"/>
      <c r="W197" s="217"/>
    </row>
    <row r="198" spans="6:23">
      <c r="F198" s="217"/>
      <c r="G198" s="223"/>
      <c r="H198" s="224"/>
      <c r="I198" s="224"/>
      <c r="J198" s="224"/>
      <c r="K198" s="224"/>
      <c r="L198" s="217"/>
      <c r="M198" s="217"/>
      <c r="N198" s="225"/>
      <c r="O198" s="226"/>
      <c r="P198" s="217"/>
      <c r="Q198" s="224"/>
      <c r="R198" s="224"/>
      <c r="S198" s="217"/>
      <c r="T198" s="223"/>
      <c r="U198" s="224"/>
      <c r="V198" s="217"/>
      <c r="W198" s="217"/>
    </row>
    <row r="199" spans="6:23">
      <c r="F199" s="217"/>
      <c r="G199" s="223"/>
      <c r="H199" s="224"/>
      <c r="I199" s="224"/>
      <c r="J199" s="224"/>
      <c r="K199" s="224"/>
      <c r="L199" s="217"/>
      <c r="M199" s="217"/>
      <c r="N199" s="225"/>
      <c r="O199" s="226"/>
      <c r="P199" s="217"/>
      <c r="Q199" s="228"/>
      <c r="R199" s="220"/>
      <c r="S199" s="217"/>
      <c r="T199" s="223"/>
      <c r="U199" s="224"/>
      <c r="V199" s="217"/>
      <c r="W199" s="217"/>
    </row>
    <row r="200" spans="6:23">
      <c r="F200" s="217"/>
      <c r="G200" s="223"/>
      <c r="H200" s="224"/>
      <c r="I200" s="224"/>
      <c r="J200" s="224"/>
      <c r="K200" s="224"/>
      <c r="L200" s="217"/>
      <c r="M200" s="217"/>
      <c r="N200" s="225"/>
      <c r="O200" s="226"/>
      <c r="P200" s="217"/>
      <c r="Q200" s="217"/>
      <c r="R200" s="217"/>
      <c r="S200" s="217"/>
      <c r="T200" s="223"/>
      <c r="U200" s="224"/>
      <c r="V200" s="217"/>
      <c r="W200" s="217"/>
    </row>
    <row r="201" spans="6:23">
      <c r="F201" s="217"/>
      <c r="G201" s="223"/>
      <c r="H201" s="224"/>
      <c r="I201" s="224"/>
      <c r="J201" s="224"/>
      <c r="K201" s="224"/>
      <c r="L201" s="217"/>
      <c r="M201" s="217"/>
      <c r="N201" s="225"/>
      <c r="O201" s="226"/>
      <c r="P201" s="217"/>
      <c r="Q201" s="217"/>
      <c r="R201" s="217"/>
      <c r="S201" s="217"/>
      <c r="T201" s="223"/>
      <c r="U201" s="224"/>
      <c r="V201" s="217"/>
      <c r="W201" s="217"/>
    </row>
    <row r="202" spans="6:23">
      <c r="F202" s="217"/>
      <c r="G202" s="227"/>
      <c r="H202" s="224"/>
      <c r="I202" s="224"/>
      <c r="J202" s="224"/>
      <c r="K202" s="224"/>
      <c r="L202" s="217"/>
      <c r="M202" s="217"/>
      <c r="N202" s="225"/>
      <c r="O202" s="226"/>
      <c r="P202" s="217"/>
      <c r="Q202" s="217"/>
      <c r="R202" s="217"/>
      <c r="S202" s="217"/>
      <c r="T202" s="227"/>
      <c r="U202" s="224"/>
      <c r="V202" s="217"/>
      <c r="W202" s="217"/>
    </row>
    <row r="203" spans="6:23">
      <c r="F203" s="217"/>
      <c r="G203" s="217"/>
      <c r="H203" s="224"/>
      <c r="I203" s="224"/>
      <c r="J203" s="224"/>
      <c r="K203" s="224"/>
      <c r="L203" s="217"/>
      <c r="M203" s="217"/>
      <c r="N203" s="225"/>
      <c r="O203" s="226"/>
      <c r="P203" s="217"/>
      <c r="Q203" s="217"/>
      <c r="R203" s="217"/>
      <c r="S203" s="217"/>
      <c r="T203" s="217"/>
      <c r="U203" s="224"/>
      <c r="V203" s="217"/>
      <c r="W203" s="217"/>
    </row>
    <row r="204" spans="6:23">
      <c r="F204" s="217"/>
      <c r="G204" s="217"/>
      <c r="H204" s="229"/>
      <c r="I204" s="217"/>
      <c r="J204" s="217"/>
      <c r="K204" s="217"/>
      <c r="L204" s="217"/>
      <c r="M204" s="217"/>
      <c r="N204" s="225"/>
      <c r="O204" s="226"/>
      <c r="P204" s="217"/>
      <c r="Q204" s="229"/>
      <c r="R204" s="217"/>
      <c r="S204" s="217"/>
      <c r="T204" s="217"/>
      <c r="U204" s="229"/>
      <c r="V204" s="217"/>
      <c r="W204" s="217"/>
    </row>
    <row r="205" spans="6:23">
      <c r="F205" s="217"/>
      <c r="G205" s="217"/>
      <c r="H205" s="217"/>
      <c r="I205" s="229"/>
      <c r="J205" s="217"/>
      <c r="K205" s="217"/>
      <c r="L205" s="217"/>
      <c r="M205" s="217"/>
      <c r="N205" s="225"/>
      <c r="O205" s="226"/>
      <c r="P205" s="217"/>
      <c r="Q205" s="217"/>
      <c r="R205" s="217"/>
      <c r="S205" s="217"/>
      <c r="T205" s="217"/>
      <c r="U205" s="217"/>
      <c r="V205" s="217"/>
      <c r="W205" s="217"/>
    </row>
    <row r="206" spans="6:23">
      <c r="F206" s="217"/>
      <c r="G206" s="217"/>
      <c r="H206" s="217"/>
      <c r="I206" s="229"/>
      <c r="J206" s="217"/>
      <c r="K206" s="217"/>
      <c r="L206" s="217"/>
      <c r="M206" s="217"/>
      <c r="N206" s="225"/>
      <c r="O206" s="226"/>
      <c r="P206" s="217"/>
      <c r="Q206" s="217"/>
      <c r="R206" s="217"/>
      <c r="S206" s="217"/>
      <c r="T206" s="217"/>
      <c r="U206" s="217"/>
      <c r="V206" s="217"/>
      <c r="W206" s="217"/>
    </row>
    <row r="207" spans="6:23">
      <c r="F207" s="217"/>
      <c r="G207" s="217"/>
      <c r="H207" s="217"/>
      <c r="I207" s="229"/>
      <c r="J207" s="217"/>
      <c r="K207" s="217"/>
      <c r="L207" s="217"/>
      <c r="M207" s="217"/>
      <c r="N207" s="225"/>
      <c r="O207" s="226"/>
      <c r="P207" s="217"/>
      <c r="Q207" s="217"/>
      <c r="R207" s="217"/>
      <c r="S207" s="217"/>
      <c r="T207" s="217"/>
      <c r="U207" s="217"/>
      <c r="V207" s="217"/>
      <c r="W207" s="217"/>
    </row>
    <row r="208" spans="6:23">
      <c r="F208" s="217"/>
      <c r="G208" s="220"/>
      <c r="H208" s="220"/>
      <c r="I208" s="220"/>
      <c r="J208" s="220"/>
      <c r="K208" s="221"/>
      <c r="L208" s="217"/>
      <c r="M208" s="217"/>
      <c r="N208" s="222"/>
      <c r="O208" s="222"/>
      <c r="P208" s="217"/>
      <c r="Q208" s="220"/>
      <c r="R208" s="220"/>
      <c r="S208" s="217"/>
      <c r="T208" s="220"/>
      <c r="U208" s="220"/>
      <c r="V208" s="217"/>
      <c r="W208" s="217"/>
    </row>
    <row r="209" spans="6:22">
      <c r="F209" s="217"/>
      <c r="G209" s="223"/>
      <c r="H209" s="224"/>
      <c r="I209" s="224"/>
      <c r="J209" s="224"/>
      <c r="K209" s="224"/>
      <c r="L209" s="217"/>
      <c r="M209" s="217"/>
      <c r="N209" s="225"/>
      <c r="O209" s="226"/>
      <c r="P209" s="217"/>
      <c r="Q209" s="227"/>
      <c r="R209" s="227"/>
      <c r="S209" s="217"/>
      <c r="T209" s="223"/>
      <c r="U209" s="224"/>
      <c r="V209" s="217"/>
    </row>
    <row r="210" spans="6:22">
      <c r="F210" s="217"/>
      <c r="G210" s="223"/>
      <c r="H210" s="224"/>
      <c r="I210" s="224"/>
      <c r="J210" s="224"/>
      <c r="K210" s="224"/>
      <c r="L210" s="217"/>
      <c r="M210" s="217"/>
      <c r="N210" s="225"/>
      <c r="O210" s="226"/>
      <c r="P210" s="217"/>
      <c r="Q210" s="224"/>
      <c r="R210" s="224"/>
      <c r="S210" s="217"/>
      <c r="T210" s="223"/>
      <c r="U210" s="224"/>
      <c r="V210" s="217"/>
    </row>
    <row r="211" spans="6:22">
      <c r="F211" s="217"/>
      <c r="G211" s="223"/>
      <c r="H211" s="224"/>
      <c r="I211" s="224"/>
      <c r="J211" s="224"/>
      <c r="K211" s="224"/>
      <c r="L211" s="217"/>
      <c r="M211" s="217"/>
      <c r="N211" s="225"/>
      <c r="O211" s="226"/>
      <c r="P211" s="217"/>
      <c r="Q211" s="228"/>
      <c r="R211" s="220"/>
      <c r="S211" s="217"/>
      <c r="T211" s="223"/>
      <c r="U211" s="224"/>
      <c r="V211" s="217"/>
    </row>
    <row r="212" spans="6:22">
      <c r="F212" s="217"/>
      <c r="G212" s="223"/>
      <c r="H212" s="224"/>
      <c r="I212" s="224"/>
      <c r="J212" s="224"/>
      <c r="K212" s="224"/>
      <c r="L212" s="217"/>
      <c r="M212" s="217"/>
      <c r="N212" s="225"/>
      <c r="O212" s="226"/>
      <c r="P212" s="217"/>
      <c r="Q212" s="217"/>
      <c r="R212" s="217"/>
      <c r="S212" s="217"/>
      <c r="T212" s="223"/>
      <c r="U212" s="224"/>
      <c r="V212" s="217"/>
    </row>
    <row r="213" spans="6:22">
      <c r="F213" s="217"/>
      <c r="G213" s="223"/>
      <c r="H213" s="224"/>
      <c r="I213" s="224"/>
      <c r="J213" s="224"/>
      <c r="K213" s="224"/>
      <c r="L213" s="217"/>
      <c r="M213" s="217"/>
      <c r="N213" s="225"/>
      <c r="O213" s="226"/>
      <c r="P213" s="217"/>
      <c r="Q213" s="217"/>
      <c r="R213" s="217"/>
      <c r="S213" s="217"/>
      <c r="T213" s="223"/>
      <c r="U213" s="224"/>
      <c r="V213" s="217"/>
    </row>
    <row r="214" spans="6:22">
      <c r="F214" s="217"/>
      <c r="G214" s="227"/>
      <c r="H214" s="224"/>
      <c r="I214" s="224"/>
      <c r="J214" s="224"/>
      <c r="K214" s="224"/>
      <c r="L214" s="217"/>
      <c r="M214" s="217"/>
      <c r="N214" s="225"/>
      <c r="O214" s="226"/>
      <c r="P214" s="217"/>
      <c r="Q214" s="217"/>
      <c r="R214" s="217"/>
      <c r="S214" s="217"/>
      <c r="T214" s="227"/>
      <c r="U214" s="224"/>
      <c r="V214" s="217"/>
    </row>
    <row r="215" spans="6:22">
      <c r="F215" s="217"/>
      <c r="G215" s="217"/>
      <c r="H215" s="224"/>
      <c r="I215" s="224"/>
      <c r="J215" s="224"/>
      <c r="K215" s="224"/>
      <c r="L215" s="217"/>
      <c r="M215" s="217"/>
      <c r="N215" s="225"/>
      <c r="O215" s="226"/>
      <c r="P215" s="217"/>
      <c r="Q215" s="217"/>
      <c r="R215" s="217"/>
      <c r="S215" s="217"/>
      <c r="T215" s="217"/>
      <c r="U215" s="224"/>
      <c r="V215" s="217"/>
    </row>
    <row r="216" spans="6:22">
      <c r="G216" s="217"/>
      <c r="H216" s="229"/>
      <c r="I216" s="217"/>
      <c r="J216" s="217"/>
      <c r="K216" s="217"/>
      <c r="L216" s="217"/>
      <c r="M216" s="217"/>
      <c r="N216" s="225"/>
      <c r="O216" s="226"/>
      <c r="P216" s="217"/>
      <c r="Q216" s="229"/>
      <c r="R216" s="217"/>
      <c r="S216" s="217"/>
      <c r="T216" s="217"/>
      <c r="U216" s="229"/>
      <c r="V216" s="217"/>
    </row>
    <row r="217" spans="6:22">
      <c r="G217" s="217"/>
      <c r="H217" s="217"/>
      <c r="I217" s="229"/>
      <c r="J217" s="217"/>
      <c r="K217" s="217"/>
      <c r="L217" s="217"/>
      <c r="M217" s="217"/>
      <c r="N217" s="225"/>
      <c r="O217" s="226"/>
      <c r="P217" s="217"/>
      <c r="Q217" s="217"/>
      <c r="R217" s="217"/>
      <c r="S217" s="217"/>
      <c r="T217" s="217"/>
      <c r="U217" s="217"/>
      <c r="V217" s="217"/>
    </row>
    <row r="218" spans="6:22">
      <c r="G218" s="217"/>
      <c r="H218" s="217"/>
      <c r="I218" s="229"/>
      <c r="J218" s="217"/>
      <c r="K218" s="217"/>
      <c r="L218" s="217"/>
      <c r="M218" s="217"/>
      <c r="N218" s="225"/>
      <c r="O218" s="226"/>
      <c r="P218" s="217"/>
      <c r="Q218" s="217"/>
      <c r="R218" s="217"/>
      <c r="S218" s="217"/>
      <c r="T218" s="217"/>
      <c r="U218" s="217"/>
      <c r="V218" s="217"/>
    </row>
    <row r="219" spans="6:22">
      <c r="G219" s="217"/>
      <c r="H219" s="217"/>
      <c r="I219" s="229"/>
      <c r="J219" s="217"/>
      <c r="K219" s="217"/>
      <c r="L219" s="217"/>
      <c r="M219" s="217"/>
      <c r="N219" s="225"/>
      <c r="O219" s="226"/>
      <c r="P219" s="217"/>
      <c r="Q219" s="217"/>
      <c r="R219" s="217"/>
      <c r="S219" s="217"/>
      <c r="T219" s="217"/>
      <c r="U219" s="217"/>
      <c r="V219" s="217"/>
    </row>
    <row r="220" spans="6:22">
      <c r="G220" s="220"/>
      <c r="H220" s="220"/>
      <c r="I220" s="220"/>
      <c r="J220" s="220"/>
      <c r="K220" s="221"/>
      <c r="L220" s="217"/>
      <c r="M220" s="217"/>
      <c r="N220" s="222"/>
      <c r="O220" s="222"/>
      <c r="P220" s="217"/>
      <c r="Q220" s="220"/>
      <c r="R220" s="220"/>
      <c r="S220" s="217"/>
      <c r="T220" s="220"/>
      <c r="U220" s="220"/>
      <c r="V220" s="217"/>
    </row>
    <row r="221" spans="6:22">
      <c r="G221" s="223"/>
      <c r="H221" s="224"/>
      <c r="I221" s="224"/>
      <c r="J221" s="224"/>
      <c r="K221" s="224"/>
      <c r="L221" s="217"/>
      <c r="M221" s="217"/>
      <c r="N221" s="225"/>
      <c r="O221" s="226"/>
      <c r="P221" s="217"/>
      <c r="Q221" s="227"/>
      <c r="R221" s="227"/>
      <c r="S221" s="217"/>
      <c r="T221" s="223"/>
      <c r="U221" s="224"/>
      <c r="V221" s="217"/>
    </row>
    <row r="222" spans="6:22">
      <c r="G222" s="223"/>
      <c r="H222" s="224"/>
      <c r="I222" s="224"/>
      <c r="J222" s="224"/>
      <c r="K222" s="224"/>
      <c r="L222" s="217"/>
      <c r="M222" s="217"/>
      <c r="N222" s="225"/>
      <c r="O222" s="226"/>
      <c r="P222" s="217"/>
      <c r="Q222" s="224"/>
      <c r="R222" s="224"/>
      <c r="S222" s="217"/>
      <c r="T222" s="223"/>
      <c r="U222" s="224"/>
      <c r="V222" s="217"/>
    </row>
    <row r="223" spans="6:22">
      <c r="G223" s="217"/>
      <c r="H223" s="217"/>
      <c r="I223" s="217"/>
      <c r="J223" s="217"/>
      <c r="K223" s="217"/>
      <c r="L223" s="217"/>
      <c r="M223" s="217"/>
      <c r="N223" s="217"/>
      <c r="O223" s="217"/>
      <c r="P223" s="217"/>
      <c r="Q223" s="217"/>
      <c r="R223" s="217"/>
      <c r="S223" s="217"/>
      <c r="T223" s="217"/>
      <c r="U223" s="217"/>
      <c r="V223" s="217"/>
    </row>
    <row r="224" spans="6:22">
      <c r="G224" s="217"/>
      <c r="H224" s="217"/>
      <c r="I224" s="217"/>
      <c r="J224" s="217"/>
      <c r="K224" s="217"/>
      <c r="L224" s="217"/>
      <c r="M224" s="217"/>
      <c r="N224" s="217"/>
      <c r="O224" s="217"/>
      <c r="P224" s="217"/>
      <c r="Q224" s="217"/>
      <c r="R224" s="217"/>
      <c r="S224" s="217"/>
      <c r="T224" s="217"/>
      <c r="U224" s="217"/>
      <c r="V224" s="217"/>
    </row>
    <row r="225" spans="7:22">
      <c r="G225" s="217"/>
      <c r="H225" s="217"/>
      <c r="I225" s="217"/>
      <c r="J225" s="217"/>
      <c r="K225" s="217"/>
      <c r="L225" s="217"/>
      <c r="M225" s="217"/>
      <c r="N225" s="217"/>
      <c r="O225" s="217"/>
      <c r="P225" s="217"/>
      <c r="Q225" s="217"/>
      <c r="R225" s="217"/>
      <c r="S225" s="217"/>
      <c r="T225" s="217"/>
      <c r="U225" s="217"/>
      <c r="V225" s="217"/>
    </row>
  </sheetData>
  <autoFilter xmlns:etc="http://www.wps.cn/officeDocument/2017/etCustomData" ref="A3:V153" etc:filterBottomFollowUsedRange="0">
    <extLst/>
  </autoFilter>
  <mergeCells count="14">
    <mergeCell ref="J156:K156"/>
    <mergeCell ref="M156:N156"/>
    <mergeCell ref="M159:N159"/>
    <mergeCell ref="N182:O182"/>
    <mergeCell ref="Q182:R182"/>
    <mergeCell ref="Q185:R185"/>
    <mergeCell ref="N196:O196"/>
    <mergeCell ref="Q196:R196"/>
    <mergeCell ref="Q199:R199"/>
    <mergeCell ref="N208:O208"/>
    <mergeCell ref="Q208:R208"/>
    <mergeCell ref="Q211:R211"/>
    <mergeCell ref="N220:O220"/>
    <mergeCell ref="Q220:R220"/>
  </mergeCells>
  <conditionalFormatting sqref="P4:P152">
    <cfRule type="cellIs" dxfId="0" priority="3" operator="greaterThan">
      <formula>0</formula>
    </cfRule>
    <cfRule type="cellIs" dxfId="1" priority="4" operator="lessThan">
      <formula>0</formula>
    </cfRule>
  </conditionalFormatting>
  <conditionalFormatting sqref="T3:T152">
    <cfRule type="cellIs" dxfId="1" priority="1" operator="lessThan">
      <formula>0</formula>
    </cfRule>
  </conditionalFormatting>
  <conditionalFormatting sqref="T4:T152">
    <cfRule type="cellIs" dxfId="0" priority="2" operator="greaterThan">
      <formula>0</formula>
    </cfRule>
  </conditionalFormatting>
  <conditionalFormatting sqref="V4:V152">
    <cfRule type="cellIs" dxfId="1" priority="11" operator="lessThan">
      <formula>0</formula>
    </cfRule>
    <cfRule type="cellIs" dxfId="0" priority="12" operator="greaterThan">
      <formula>0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7"/>
  <sheetViews>
    <sheetView tabSelected="1" topLeftCell="A20" workbookViewId="0">
      <selection activeCell="D16" sqref="D16"/>
    </sheetView>
  </sheetViews>
  <sheetFormatPr defaultColWidth="9.1047619047619" defaultRowHeight="14.25"/>
  <cols>
    <col min="1" max="1" width="6.55238095238095" style="6" customWidth="1"/>
    <col min="2" max="2" width="12.1047619047619" style="6" customWidth="1"/>
    <col min="3" max="3" width="13.4380952380952" style="6" customWidth="1"/>
    <col min="4" max="4" width="37.3333333333333" style="6" customWidth="1"/>
    <col min="5" max="5" width="20.4380952380952" style="6" customWidth="1"/>
    <col min="6" max="6" width="7.66666666666667" style="6" customWidth="1"/>
    <col min="7" max="7" width="11.552380952381" style="6" customWidth="1"/>
    <col min="8" max="8" width="13.1047619047619" style="6" customWidth="1"/>
    <col min="9" max="9" width="13.552380952381" style="6" customWidth="1"/>
    <col min="10" max="10" width="10" style="6" customWidth="1"/>
    <col min="11" max="11" width="11.3333333333333" style="6" customWidth="1"/>
    <col min="12" max="12" width="8.88571428571429" style="6" customWidth="1"/>
    <col min="13" max="13" width="13.4380952380952" style="6" customWidth="1"/>
    <col min="14" max="14" width="10.4380952380952" style="6" customWidth="1"/>
    <col min="15" max="16" width="9.1047619047619" style="6"/>
    <col min="17" max="17" width="11.1047619047619" style="6" customWidth="1"/>
    <col min="18" max="18" width="10.1047619047619" style="6" customWidth="1"/>
    <col min="19" max="16384" width="9.1047619047619" style="6"/>
  </cols>
  <sheetData>
    <row r="1" ht="18" customHeight="1" spans="1:13">
      <c r="A1" s="1"/>
      <c r="B1" s="2"/>
      <c r="C1" s="3" t="s">
        <v>192</v>
      </c>
      <c r="D1" s="79" t="s">
        <v>193</v>
      </c>
      <c r="E1" s="5"/>
    </row>
    <row r="2" ht="20.25" spans="1:13">
      <c r="A2" s="7" t="s">
        <v>194</v>
      </c>
      <c r="B2" s="7"/>
      <c r="C2" s="8"/>
      <c r="D2" s="8"/>
      <c r="E2" s="8"/>
      <c r="F2" s="52">
        <f>Таблица213399029467813161718[[#Totals],[2]]+-Таблица213399029467813161718[[#Totals],[16]]</f>
        <v>0</v>
      </c>
      <c r="G2" s="53"/>
      <c r="K2" s="10">
        <f>Таблица213399029467813161718[[#Totals],[1132]]</f>
        <v>38</v>
      </c>
    </row>
    <row r="3" ht="15" customHeight="1" spans="1:13">
      <c r="A3" s="11" t="s">
        <v>195</v>
      </c>
      <c r="B3" s="11" t="s">
        <v>196</v>
      </c>
      <c r="C3" s="11" t="s">
        <v>197</v>
      </c>
      <c r="D3" s="11" t="s">
        <v>198</v>
      </c>
      <c r="E3" s="14" t="s">
        <v>199</v>
      </c>
      <c r="F3" s="15" t="s">
        <v>195</v>
      </c>
      <c r="G3" s="15" t="s">
        <v>196</v>
      </c>
      <c r="H3" s="15" t="s">
        <v>200</v>
      </c>
      <c r="I3" s="16" t="s">
        <v>6</v>
      </c>
      <c r="J3" s="17" t="s">
        <v>7</v>
      </c>
      <c r="K3" s="17" t="s">
        <v>201</v>
      </c>
      <c r="L3" s="15" t="s">
        <v>202</v>
      </c>
      <c r="M3" s="16" t="s">
        <v>197</v>
      </c>
    </row>
    <row r="4" spans="1:13">
      <c r="A4" s="11"/>
      <c r="B4" s="11"/>
      <c r="C4" s="18"/>
      <c r="D4" s="19"/>
      <c r="E4" s="20"/>
      <c r="F4" s="15"/>
      <c r="G4" s="15"/>
      <c r="H4" s="15"/>
      <c r="I4" s="21"/>
      <c r="J4" s="80"/>
      <c r="K4" s="22"/>
      <c r="L4" s="15"/>
      <c r="M4" s="26"/>
    </row>
    <row r="5" ht="15.75" spans="1:13">
      <c r="A5" s="11"/>
      <c r="B5" s="11"/>
      <c r="C5" s="54">
        <f>Таблица213399029467813161718[[#Totals],[2]]</f>
        <v>45964800</v>
      </c>
      <c r="D5" s="24"/>
      <c r="E5" s="25">
        <f>SUM(Таблица213399029467813161718[4])</f>
        <v>0</v>
      </c>
      <c r="F5" s="15"/>
      <c r="G5" s="15"/>
      <c r="H5" s="15"/>
      <c r="I5" s="26"/>
      <c r="J5" s="81">
        <f>SUM(Таблица213399029467813161718[113])</f>
        <v>65.664</v>
      </c>
      <c r="K5" s="10">
        <f>Таблица213399029467813161718[[#Totals],[1132]]</f>
        <v>38</v>
      </c>
      <c r="L5" s="15"/>
      <c r="M5" s="9">
        <f>Таблица213399029467813161718[[#Totals],[16]]</f>
        <v>45964800</v>
      </c>
    </row>
    <row r="6" spans="1:13">
      <c r="A6" s="27" t="s">
        <v>192</v>
      </c>
      <c r="B6" s="28" t="s">
        <v>203</v>
      </c>
      <c r="C6" s="28" t="s">
        <v>204</v>
      </c>
      <c r="D6" s="28" t="s">
        <v>205</v>
      </c>
      <c r="E6" s="28" t="s">
        <v>206</v>
      </c>
      <c r="F6" s="28" t="s">
        <v>207</v>
      </c>
      <c r="G6" s="28" t="s">
        <v>208</v>
      </c>
      <c r="H6" s="28" t="s">
        <v>209</v>
      </c>
      <c r="I6" s="28" t="s">
        <v>210</v>
      </c>
      <c r="J6" s="28" t="s">
        <v>211</v>
      </c>
      <c r="K6" s="28" t="s">
        <v>212</v>
      </c>
      <c r="L6" s="28" t="s">
        <v>213</v>
      </c>
      <c r="M6" s="28" t="s">
        <v>214</v>
      </c>
    </row>
    <row r="7" ht="15" spans="1:13">
      <c r="A7" s="29">
        <v>1</v>
      </c>
      <c r="B7" s="30">
        <v>46210</v>
      </c>
      <c r="C7" s="31">
        <v>40000000</v>
      </c>
      <c r="D7" s="32" t="s">
        <v>215</v>
      </c>
      <c r="E7" s="33"/>
      <c r="F7" s="34">
        <f>Таблица213399029467813161718[[#This Row],[ ]]</f>
        <v>1</v>
      </c>
      <c r="G7" s="32">
        <v>46210</v>
      </c>
      <c r="H7" s="35" t="s">
        <v>94</v>
      </c>
      <c r="I7" s="36" t="s">
        <v>46</v>
      </c>
      <c r="J7" s="37">
        <v>32.832</v>
      </c>
      <c r="K7" s="38">
        <v>19</v>
      </c>
      <c r="L7" s="34">
        <v>700000</v>
      </c>
      <c r="M7" s="33">
        <f>Таблица213399029467813161718[[#This Row],[113]]*Таблица213399029467813161718[[#This Row],[15]]</f>
        <v>22982400</v>
      </c>
    </row>
    <row r="8" spans="1:13">
      <c r="A8" s="29">
        <v>2</v>
      </c>
      <c r="B8" s="30">
        <v>46210</v>
      </c>
      <c r="C8" s="33">
        <v>1964800</v>
      </c>
      <c r="D8" s="32" t="s">
        <v>215</v>
      </c>
      <c r="E8" s="33"/>
      <c r="F8" s="34">
        <f>Таблица213399029467813161718[[#This Row],[ ]]</f>
        <v>2</v>
      </c>
      <c r="G8" s="32">
        <v>46211</v>
      </c>
      <c r="H8" s="35" t="s">
        <v>99</v>
      </c>
      <c r="I8" s="36" t="s">
        <v>46</v>
      </c>
      <c r="J8" s="37">
        <v>32.832</v>
      </c>
      <c r="K8" s="38">
        <v>19</v>
      </c>
      <c r="L8" s="34">
        <v>700000</v>
      </c>
      <c r="M8" s="33">
        <f>Таблица213399029467813161718[[#This Row],[113]]*Таблица213399029467813161718[[#This Row],[15]]</f>
        <v>22982400</v>
      </c>
    </row>
    <row r="9" spans="1:13">
      <c r="A9" s="29">
        <v>3</v>
      </c>
      <c r="B9" s="41">
        <v>46180</v>
      </c>
      <c r="C9" s="33">
        <v>2000000</v>
      </c>
      <c r="D9" s="32" t="s">
        <v>216</v>
      </c>
      <c r="E9" s="33"/>
      <c r="F9" s="34">
        <f>Таблица213399029467813161718[[#This Row],[ ]]</f>
        <v>3</v>
      </c>
      <c r="G9" s="30"/>
      <c r="H9" s="39"/>
      <c r="I9" s="39"/>
      <c r="J9" s="39"/>
      <c r="K9" s="33"/>
      <c r="L9" s="44"/>
      <c r="M9" s="33">
        <f>Таблица213399029467813161718[[#This Row],[113]]*Таблица213399029467813161718[[#This Row],[15]]</f>
        <v>0</v>
      </c>
    </row>
    <row r="10" spans="1:13">
      <c r="A10" s="29">
        <v>4</v>
      </c>
      <c r="B10" s="41">
        <v>46211</v>
      </c>
      <c r="C10" s="33">
        <v>2000000</v>
      </c>
      <c r="D10" s="32" t="s">
        <v>216</v>
      </c>
      <c r="E10" s="33"/>
      <c r="F10" s="34">
        <f>Таблица213399029467813161718[[#This Row],[ ]]</f>
        <v>4</v>
      </c>
      <c r="G10" s="30"/>
      <c r="H10" s="39"/>
      <c r="I10" s="39"/>
      <c r="J10" s="39"/>
      <c r="K10" s="33"/>
      <c r="L10" s="44"/>
      <c r="M10" s="33">
        <f>Таблица213399029467813161718[[#This Row],[113]]*Таблица213399029467813161718[[#This Row],[15]]</f>
        <v>0</v>
      </c>
    </row>
    <row r="11" spans="1:13">
      <c r="A11" s="29">
        <v>5</v>
      </c>
      <c r="B11" s="55"/>
      <c r="C11" s="33"/>
      <c r="D11" s="32"/>
      <c r="E11" s="33"/>
      <c r="F11" s="34">
        <f>Таблица213399029467813161718[[#This Row],[ ]]</f>
        <v>5</v>
      </c>
      <c r="G11" s="30"/>
      <c r="H11" s="39"/>
      <c r="I11" s="39"/>
      <c r="J11" s="39"/>
      <c r="K11" s="33"/>
      <c r="L11" s="44"/>
      <c r="M11" s="33">
        <f>Таблица213399029467813161718[[#This Row],[113]]*Таблица213399029467813161718[[#This Row],[15]]</f>
        <v>0</v>
      </c>
    </row>
    <row r="12" spans="1:13">
      <c r="A12" s="48"/>
      <c r="B12" s="59"/>
      <c r="C12" s="33">
        <f>SUBTOTAL(109,Таблица213399029467813161718[2])</f>
        <v>45964800</v>
      </c>
      <c r="D12" s="33"/>
      <c r="E12" s="42"/>
      <c r="F12" s="49"/>
      <c r="G12" s="46"/>
      <c r="H12" s="43"/>
      <c r="I12" s="43"/>
      <c r="J12" s="43"/>
      <c r="K12" s="43">
        <f>SUBTOTAL(109,Таблица213399029467813161718[1132])</f>
        <v>38</v>
      </c>
      <c r="L12" s="50"/>
      <c r="M12" s="50">
        <f>SUBTOTAL(109,Таблица213399029467813161718[16])</f>
        <v>45964800</v>
      </c>
    </row>
    <row r="14" ht="18.75" spans="1:13">
      <c r="A14" s="1"/>
      <c r="B14" s="2"/>
      <c r="C14" s="3" t="s">
        <v>192</v>
      </c>
      <c r="D14" s="79" t="s">
        <v>217</v>
      </c>
      <c r="E14" s="5"/>
    </row>
    <row r="15" ht="20.25" spans="1:13">
      <c r="A15" s="7" t="s">
        <v>194</v>
      </c>
      <c r="B15" s="7"/>
      <c r="C15" s="8"/>
      <c r="D15" s="8"/>
      <c r="E15" s="8"/>
      <c r="F15" s="52">
        <f>Таблица2133990294678131617[[#Totals],[2]]+-Таблица2133990294678131617[[#Totals],[16]]</f>
        <v>2288000</v>
      </c>
      <c r="G15" s="53"/>
      <c r="K15" s="10">
        <f>K18</f>
        <v>95</v>
      </c>
    </row>
    <row r="16" spans="1:13">
      <c r="A16" s="11" t="s">
        <v>195</v>
      </c>
      <c r="B16" s="11" t="s">
        <v>196</v>
      </c>
      <c r="C16" s="11" t="s">
        <v>197</v>
      </c>
      <c r="D16" s="11" t="s">
        <v>198</v>
      </c>
      <c r="E16" s="14" t="s">
        <v>199</v>
      </c>
      <c r="F16" s="15" t="s">
        <v>195</v>
      </c>
      <c r="G16" s="15" t="s">
        <v>196</v>
      </c>
      <c r="H16" s="15" t="s">
        <v>200</v>
      </c>
      <c r="I16" s="16" t="s">
        <v>6</v>
      </c>
      <c r="J16" s="17" t="s">
        <v>7</v>
      </c>
      <c r="K16" s="17" t="s">
        <v>201</v>
      </c>
      <c r="L16" s="15" t="s">
        <v>202</v>
      </c>
      <c r="M16" s="16" t="s">
        <v>197</v>
      </c>
    </row>
    <row r="17" spans="1:14">
      <c r="A17" s="11"/>
      <c r="B17" s="11"/>
      <c r="C17" s="18"/>
      <c r="D17" s="19"/>
      <c r="E17" s="20"/>
      <c r="F17" s="15"/>
      <c r="G17" s="15"/>
      <c r="H17" s="15"/>
      <c r="I17" s="21"/>
      <c r="J17" s="80"/>
      <c r="K17" s="22"/>
      <c r="L17" s="15"/>
      <c r="M17" s="26"/>
    </row>
    <row r="18" ht="15.75" spans="1:14">
      <c r="A18" s="11"/>
      <c r="B18" s="11"/>
      <c r="C18" s="54">
        <f>Таблица2133990294678131617[[#Totals],[2]]</f>
        <v>117200000</v>
      </c>
      <c r="D18" s="24"/>
      <c r="E18" s="25">
        <f>SUM(Таблица2133990294678131617[4])</f>
        <v>0</v>
      </c>
      <c r="F18" s="15"/>
      <c r="G18" s="15"/>
      <c r="H18" s="15"/>
      <c r="I18" s="26"/>
      <c r="J18" s="81">
        <f>SUM(Таблица2133990294678131617[113])</f>
        <v>164.16</v>
      </c>
      <c r="K18" s="10">
        <f>Таблица2133990294678131617[[#Totals],[1132]]</f>
        <v>95</v>
      </c>
      <c r="L18" s="15"/>
      <c r="M18" s="9">
        <f>Таблица2133990294678131617[[#Totals],[16]]</f>
        <v>114912000</v>
      </c>
    </row>
    <row r="19" spans="1:14">
      <c r="A19" s="27" t="s">
        <v>192</v>
      </c>
      <c r="B19" s="28" t="s">
        <v>203</v>
      </c>
      <c r="C19" s="28" t="s">
        <v>204</v>
      </c>
      <c r="D19" s="28" t="s">
        <v>205</v>
      </c>
      <c r="E19" s="28" t="s">
        <v>206</v>
      </c>
      <c r="F19" s="28" t="s">
        <v>207</v>
      </c>
      <c r="G19" s="28" t="s">
        <v>208</v>
      </c>
      <c r="H19" s="28" t="s">
        <v>209</v>
      </c>
      <c r="I19" s="28" t="s">
        <v>210</v>
      </c>
      <c r="J19" s="28" t="s">
        <v>211</v>
      </c>
      <c r="K19" s="28" t="s">
        <v>212</v>
      </c>
      <c r="L19" s="28" t="s">
        <v>213</v>
      </c>
      <c r="M19" s="28" t="s">
        <v>214</v>
      </c>
      <c r="N19" s="93" t="s">
        <v>218</v>
      </c>
    </row>
    <row r="20" spans="1:14">
      <c r="A20" s="29">
        <v>1</v>
      </c>
      <c r="B20" s="41">
        <v>46210</v>
      </c>
      <c r="C20" s="33">
        <v>2200000</v>
      </c>
      <c r="D20" s="32" t="s">
        <v>216</v>
      </c>
      <c r="E20" s="33"/>
      <c r="F20" s="34">
        <f>Таблица2133990294678131617[[#This Row],[ ]]</f>
        <v>1</v>
      </c>
      <c r="G20" s="30">
        <v>46210</v>
      </c>
      <c r="H20" s="39" t="s">
        <v>98</v>
      </c>
      <c r="I20" s="39" t="s">
        <v>46</v>
      </c>
      <c r="J20" s="39">
        <v>32.832</v>
      </c>
      <c r="K20" s="33">
        <v>19</v>
      </c>
      <c r="L20" s="44">
        <v>700000</v>
      </c>
      <c r="M20" s="33">
        <f>Таблица2133990294678131617[[#This Row],[113]]*Таблица2133990294678131617[[#This Row],[15]]</f>
        <v>22982400</v>
      </c>
      <c r="N20" s="38">
        <v>2500000</v>
      </c>
    </row>
    <row r="21" ht="15" spans="1:14">
      <c r="A21" s="29">
        <v>2</v>
      </c>
      <c r="B21" s="117">
        <v>46212</v>
      </c>
      <c r="C21" s="118">
        <v>45000000</v>
      </c>
      <c r="D21" s="73" t="s">
        <v>219</v>
      </c>
      <c r="E21" s="33"/>
      <c r="F21" s="34">
        <f>Таблица2133990294678131617[[#This Row],[ ]]</f>
        <v>2</v>
      </c>
      <c r="G21" s="32">
        <v>46214</v>
      </c>
      <c r="H21" s="35" t="s">
        <v>113</v>
      </c>
      <c r="I21" s="36" t="s">
        <v>26</v>
      </c>
      <c r="J21" s="37">
        <v>32.832</v>
      </c>
      <c r="K21" s="38">
        <v>19</v>
      </c>
      <c r="L21" s="34">
        <v>700000</v>
      </c>
      <c r="M21" s="33">
        <f>Таблица2133990294678131617[[#This Row],[113]]*Таблица2133990294678131617[[#This Row],[15]]</f>
        <v>22982400</v>
      </c>
      <c r="N21" s="44">
        <v>2200000</v>
      </c>
    </row>
    <row r="22" spans="1:14">
      <c r="A22" s="29">
        <v>3</v>
      </c>
      <c r="B22" s="117">
        <v>46214</v>
      </c>
      <c r="C22" s="73">
        <v>2500000</v>
      </c>
      <c r="D22" s="32" t="s">
        <v>216</v>
      </c>
      <c r="E22" s="33"/>
      <c r="F22" s="34">
        <f>Таблица2133990294678131617[[#This Row],[ ]]</f>
        <v>3</v>
      </c>
      <c r="G22" s="30">
        <v>46220</v>
      </c>
      <c r="H22" s="39" t="s">
        <v>157</v>
      </c>
      <c r="I22" s="39" t="s">
        <v>26</v>
      </c>
      <c r="J22" s="39">
        <v>32.832</v>
      </c>
      <c r="K22" s="33">
        <v>19</v>
      </c>
      <c r="L22" s="44">
        <v>700000</v>
      </c>
      <c r="M22" s="33">
        <f>Таблица2133990294678131617[[#This Row],[113]]*Таблица2133990294678131617[[#This Row],[15]]</f>
        <v>22982400</v>
      </c>
      <c r="N22" s="44">
        <v>2500000</v>
      </c>
    </row>
    <row r="23" spans="1:14">
      <c r="A23" s="29">
        <v>4</v>
      </c>
      <c r="B23" s="41">
        <v>46220</v>
      </c>
      <c r="C23" s="33">
        <v>2500000</v>
      </c>
      <c r="D23" s="32" t="s">
        <v>216</v>
      </c>
      <c r="E23" s="33"/>
      <c r="F23" s="34">
        <f>Таблица2133990294678131617[[#This Row],[ ]]</f>
        <v>4</v>
      </c>
      <c r="G23" s="30">
        <v>46221</v>
      </c>
      <c r="H23" s="39" t="s">
        <v>129</v>
      </c>
      <c r="I23" s="39" t="s">
        <v>26</v>
      </c>
      <c r="J23" s="39">
        <v>32.832</v>
      </c>
      <c r="K23" s="33">
        <v>19</v>
      </c>
      <c r="L23" s="44">
        <v>700000</v>
      </c>
      <c r="M23" s="33">
        <f>Таблица2133990294678131617[[#This Row],[113]]*Таблица2133990294678131617[[#This Row],[15]]</f>
        <v>22982400</v>
      </c>
      <c r="N23" s="44">
        <v>2500000</v>
      </c>
    </row>
    <row r="24" spans="1:14">
      <c r="A24" s="29">
        <v>5</v>
      </c>
      <c r="B24" s="41">
        <v>46220</v>
      </c>
      <c r="C24" s="33">
        <v>60000000</v>
      </c>
      <c r="D24" s="32" t="s">
        <v>220</v>
      </c>
      <c r="E24" s="33"/>
      <c r="F24" s="34">
        <f>Таблица2133990294678131617[[#This Row],[ ]]</f>
        <v>5</v>
      </c>
      <c r="G24" s="30">
        <v>46221</v>
      </c>
      <c r="H24" s="39" t="s">
        <v>165</v>
      </c>
      <c r="I24" s="39" t="s">
        <v>26</v>
      </c>
      <c r="J24" s="39">
        <v>32.832</v>
      </c>
      <c r="K24" s="33">
        <v>19</v>
      </c>
      <c r="L24" s="44">
        <v>700000</v>
      </c>
      <c r="M24" s="33">
        <f>Таблица2133990294678131617[[#This Row],[113]]*Таблица2133990294678131617[[#This Row],[15]]</f>
        <v>22982400</v>
      </c>
      <c r="N24" s="44">
        <v>2500000</v>
      </c>
    </row>
    <row r="25" spans="1:14">
      <c r="A25" s="29">
        <v>6</v>
      </c>
      <c r="B25" s="41">
        <v>46221</v>
      </c>
      <c r="C25" s="33">
        <v>5000000</v>
      </c>
      <c r="D25" s="32" t="s">
        <v>216</v>
      </c>
      <c r="E25" s="33"/>
      <c r="F25" s="34">
        <f>Таблица2133990294678131617[[#This Row],[ ]]</f>
        <v>6</v>
      </c>
      <c r="G25" s="30"/>
      <c r="H25" s="39"/>
      <c r="I25" s="39"/>
      <c r="J25" s="39"/>
      <c r="K25" s="33"/>
      <c r="L25" s="44"/>
      <c r="M25" s="33">
        <f>Таблица2133990294678131617[[#This Row],[113]]*Таблица2133990294678131617[[#This Row],[15]]</f>
        <v>0</v>
      </c>
      <c r="N25" s="44"/>
    </row>
    <row r="26" spans="1:14">
      <c r="A26" s="48"/>
      <c r="B26" s="59"/>
      <c r="C26" s="33">
        <f>SUBTOTAL(109,Таблица2133990294678131617[2])</f>
        <v>117200000</v>
      </c>
      <c r="D26" s="33"/>
      <c r="E26" s="42"/>
      <c r="F26" s="49"/>
      <c r="G26" s="46"/>
      <c r="H26" s="43"/>
      <c r="I26" s="43"/>
      <c r="J26" s="43"/>
      <c r="K26" s="43">
        <f>SUBTOTAL(109,Таблица2133990294678131617[1132])</f>
        <v>95</v>
      </c>
      <c r="L26" s="50"/>
      <c r="M26" s="50">
        <f>SUBTOTAL(109,Таблица2133990294678131617[16])</f>
        <v>114912000</v>
      </c>
      <c r="N26" s="43"/>
    </row>
    <row r="28" ht="18.75" spans="1:14">
      <c r="A28" s="1"/>
      <c r="B28" s="2"/>
      <c r="C28" s="3" t="s">
        <v>192</v>
      </c>
      <c r="D28" s="79" t="s">
        <v>221</v>
      </c>
      <c r="E28" s="5"/>
    </row>
    <row r="29" ht="20.25" spans="1:14">
      <c r="A29" s="7" t="s">
        <v>194</v>
      </c>
      <c r="B29" s="7"/>
      <c r="C29" s="8"/>
      <c r="D29" s="8"/>
      <c r="E29" s="8"/>
      <c r="F29" s="52">
        <f>Таблица21339902946781316172122[[#Totals],[2]]+-Таблица21339902946781316172122[[#Totals],[16]]</f>
        <v>37952800</v>
      </c>
      <c r="G29" s="53"/>
      <c r="K29" s="10">
        <f>Таблица21339902946781316172122[[#Totals],[1132]]</f>
        <v>57</v>
      </c>
    </row>
    <row r="30" spans="1:14">
      <c r="A30" s="11" t="s">
        <v>195</v>
      </c>
      <c r="B30" s="11" t="s">
        <v>196</v>
      </c>
      <c r="C30" s="11" t="s">
        <v>197</v>
      </c>
      <c r="D30" s="11" t="s">
        <v>198</v>
      </c>
      <c r="E30" s="14" t="s">
        <v>199</v>
      </c>
      <c r="F30" s="15" t="s">
        <v>195</v>
      </c>
      <c r="G30" s="15" t="s">
        <v>196</v>
      </c>
      <c r="H30" s="15" t="s">
        <v>200</v>
      </c>
      <c r="I30" s="16" t="s">
        <v>6</v>
      </c>
      <c r="J30" s="17" t="s">
        <v>7</v>
      </c>
      <c r="K30" s="17" t="s">
        <v>201</v>
      </c>
      <c r="L30" s="15" t="s">
        <v>202</v>
      </c>
      <c r="M30" s="16" t="s">
        <v>197</v>
      </c>
    </row>
    <row r="31" spans="1:14">
      <c r="A31" s="11"/>
      <c r="B31" s="11"/>
      <c r="C31" s="18"/>
      <c r="D31" s="19"/>
      <c r="E31" s="20"/>
      <c r="F31" s="15"/>
      <c r="G31" s="15"/>
      <c r="H31" s="15"/>
      <c r="I31" s="21"/>
      <c r="J31" s="80"/>
      <c r="K31" s="22"/>
      <c r="L31" s="15"/>
      <c r="M31" s="26"/>
    </row>
    <row r="32" ht="15.75" spans="1:14">
      <c r="A32" s="11"/>
      <c r="B32" s="11"/>
      <c r="C32" s="54">
        <f>Таблица21339902946781316172122[[#Totals],[2]]</f>
        <v>106900000</v>
      </c>
      <c r="D32" s="24"/>
      <c r="E32" s="25">
        <f>SUM(Таблица21339902946781316172122[4])</f>
        <v>0</v>
      </c>
      <c r="F32" s="15"/>
      <c r="G32" s="15"/>
      <c r="H32" s="15"/>
      <c r="I32" s="26"/>
      <c r="J32" s="81">
        <f>SUM(Таблица21339902946781316172122[113])</f>
        <v>98.496</v>
      </c>
      <c r="K32" s="10">
        <f>Таблица21339902946781316172122[[#Totals],[1132]]</f>
        <v>57</v>
      </c>
      <c r="L32" s="15"/>
      <c r="M32" s="9">
        <f>Таблица21339902946781316172122[[#Totals],[16]]</f>
        <v>68947200</v>
      </c>
    </row>
    <row r="33" spans="1:14">
      <c r="A33" s="27" t="s">
        <v>192</v>
      </c>
      <c r="B33" s="28" t="s">
        <v>203</v>
      </c>
      <c r="C33" s="28" t="s">
        <v>204</v>
      </c>
      <c r="D33" s="28" t="s">
        <v>205</v>
      </c>
      <c r="E33" s="28" t="s">
        <v>206</v>
      </c>
      <c r="F33" s="28" t="s">
        <v>207</v>
      </c>
      <c r="G33" s="28" t="s">
        <v>208</v>
      </c>
      <c r="H33" s="28" t="s">
        <v>209</v>
      </c>
      <c r="I33" s="28" t="s">
        <v>210</v>
      </c>
      <c r="J33" s="28" t="s">
        <v>211</v>
      </c>
      <c r="K33" s="28" t="s">
        <v>212</v>
      </c>
      <c r="L33" s="28" t="s">
        <v>213</v>
      </c>
      <c r="M33" s="28" t="s">
        <v>214</v>
      </c>
      <c r="N33" s="93" t="s">
        <v>218</v>
      </c>
    </row>
    <row r="34" ht="15" spans="1:14">
      <c r="A34" s="29">
        <v>1</v>
      </c>
      <c r="B34" s="30">
        <v>46215</v>
      </c>
      <c r="C34" s="31">
        <v>4400000</v>
      </c>
      <c r="D34" s="32" t="s">
        <v>216</v>
      </c>
      <c r="E34" s="33"/>
      <c r="F34" s="34">
        <f>Таблица21339902946781316172122[[#This Row],[ ]]</f>
        <v>1</v>
      </c>
      <c r="G34" s="32">
        <v>46215</v>
      </c>
      <c r="H34" s="35" t="s">
        <v>121</v>
      </c>
      <c r="I34" s="36" t="s">
        <v>26</v>
      </c>
      <c r="J34" s="37">
        <v>32.832</v>
      </c>
      <c r="K34" s="38">
        <v>19</v>
      </c>
      <c r="L34" s="34">
        <v>700000</v>
      </c>
      <c r="M34" s="33">
        <f>Таблица21339902946781316172122[[#This Row],[113]]*Таблица21339902946781316172122[[#This Row],[15]]</f>
        <v>22982400</v>
      </c>
      <c r="N34" s="38">
        <v>2200000</v>
      </c>
    </row>
    <row r="35" spans="1:14">
      <c r="A35" s="29">
        <v>2</v>
      </c>
      <c r="B35" s="30">
        <v>46216</v>
      </c>
      <c r="C35" s="33">
        <v>100000000</v>
      </c>
      <c r="D35" s="32" t="s">
        <v>120</v>
      </c>
      <c r="E35" s="33"/>
      <c r="F35" s="34">
        <f>Таблица21339902946781316172122[[#This Row],[ ]]</f>
        <v>2</v>
      </c>
      <c r="G35" s="30">
        <v>46216</v>
      </c>
      <c r="H35" s="39" t="s">
        <v>122</v>
      </c>
      <c r="I35" s="39" t="s">
        <v>46</v>
      </c>
      <c r="J35" s="39">
        <v>32.832</v>
      </c>
      <c r="K35" s="33">
        <v>19</v>
      </c>
      <c r="L35" s="44">
        <v>700000</v>
      </c>
      <c r="M35" s="33">
        <f>Таблица21339902946781316172122[[#This Row],[113]]*Таблица21339902946781316172122[[#This Row],[15]]</f>
        <v>22982400</v>
      </c>
      <c r="N35" s="44">
        <v>2200000</v>
      </c>
    </row>
    <row r="36" spans="1:14">
      <c r="A36" s="29">
        <v>3</v>
      </c>
      <c r="B36" s="55">
        <v>46226</v>
      </c>
      <c r="C36" s="33">
        <v>2500000</v>
      </c>
      <c r="D36" s="32" t="s">
        <v>216</v>
      </c>
      <c r="E36" s="33"/>
      <c r="F36" s="34">
        <f>Таблица21339902946781316172122[[#This Row],[ ]]</f>
        <v>3</v>
      </c>
      <c r="G36" s="30">
        <v>46226</v>
      </c>
      <c r="H36" s="39" t="s">
        <v>179</v>
      </c>
      <c r="I36" s="39" t="s">
        <v>46</v>
      </c>
      <c r="J36" s="39">
        <v>32.832</v>
      </c>
      <c r="K36" s="33">
        <v>19</v>
      </c>
      <c r="L36" s="44">
        <v>700000</v>
      </c>
      <c r="M36" s="33">
        <f>Таблица21339902946781316172122[[#This Row],[113]]*Таблица21339902946781316172122[[#This Row],[15]]</f>
        <v>22982400</v>
      </c>
      <c r="N36" s="44"/>
    </row>
    <row r="37" spans="1:14">
      <c r="A37" s="48"/>
      <c r="B37" s="59"/>
      <c r="C37" s="33">
        <f>SUBTOTAL(109,Таблица21339902946781316172122[2])</f>
        <v>106900000</v>
      </c>
      <c r="D37" s="33"/>
      <c r="E37" s="42"/>
      <c r="F37" s="49"/>
      <c r="G37" s="46"/>
      <c r="H37" s="43"/>
      <c r="I37" s="43"/>
      <c r="J37" s="43"/>
      <c r="K37" s="43">
        <f>SUBTOTAL(109,Таблица21339902946781316172122[1132])</f>
        <v>57</v>
      </c>
      <c r="L37" s="50"/>
      <c r="M37" s="50">
        <f>SUBTOTAL(109,Таблица21339902946781316172122[16])</f>
        <v>68947200</v>
      </c>
      <c r="N37" s="43"/>
    </row>
    <row r="39" ht="18.75" spans="1:14">
      <c r="A39" s="1"/>
      <c r="B39" s="2"/>
      <c r="C39" s="3" t="s">
        <v>192</v>
      </c>
      <c r="D39" s="79" t="s">
        <v>222</v>
      </c>
      <c r="E39" s="5"/>
    </row>
    <row r="40" ht="20.25" spans="1:14">
      <c r="A40" s="7" t="s">
        <v>194</v>
      </c>
      <c r="B40" s="7"/>
      <c r="C40" s="8"/>
      <c r="D40" s="8"/>
      <c r="E40" s="8"/>
      <c r="F40" s="52">
        <f>Таблица213399029467813161721222324[[#Totals],[2]]+-Таблица213399029467813161721222324[[#Totals],[16]]</f>
        <v>0</v>
      </c>
      <c r="G40" s="53"/>
      <c r="K40" s="10">
        <f>Таблица213399029467813161721222324[[#Totals],[1132]]</f>
        <v>28</v>
      </c>
    </row>
    <row r="41" spans="1:14">
      <c r="A41" s="11" t="s">
        <v>195</v>
      </c>
      <c r="B41" s="11" t="s">
        <v>196</v>
      </c>
      <c r="C41" s="11" t="s">
        <v>197</v>
      </c>
      <c r="D41" s="11" t="s">
        <v>198</v>
      </c>
      <c r="E41" s="14" t="s">
        <v>199</v>
      </c>
      <c r="F41" s="15" t="s">
        <v>195</v>
      </c>
      <c r="G41" s="15" t="s">
        <v>196</v>
      </c>
      <c r="H41" s="15" t="s">
        <v>200</v>
      </c>
      <c r="I41" s="16" t="s">
        <v>6</v>
      </c>
      <c r="J41" s="17" t="s">
        <v>7</v>
      </c>
      <c r="K41" s="17" t="s">
        <v>201</v>
      </c>
      <c r="L41" s="15" t="s">
        <v>202</v>
      </c>
      <c r="M41" s="16" t="s">
        <v>197</v>
      </c>
    </row>
    <row r="42" spans="1:14">
      <c r="A42" s="11"/>
      <c r="B42" s="11"/>
      <c r="C42" s="18"/>
      <c r="D42" s="19"/>
      <c r="E42" s="20"/>
      <c r="F42" s="15"/>
      <c r="G42" s="15"/>
      <c r="H42" s="15"/>
      <c r="I42" s="21"/>
      <c r="J42" s="80"/>
      <c r="K42" s="22"/>
      <c r="L42" s="15"/>
      <c r="M42" s="26"/>
    </row>
    <row r="43" ht="15.75" spans="1:14">
      <c r="A43" s="11"/>
      <c r="B43" s="11"/>
      <c r="C43" s="54">
        <f>Таблица213399029467813161721222324[[#Totals],[2]]</f>
        <v>33868800</v>
      </c>
      <c r="D43" s="24"/>
      <c r="E43" s="25">
        <f>SUM(Таблица213399029467813161721222324[4])</f>
        <v>0</v>
      </c>
      <c r="F43" s="15"/>
      <c r="G43" s="15"/>
      <c r="H43" s="15"/>
      <c r="I43" s="26"/>
      <c r="J43" s="81">
        <f>SUM(Таблица213399029467813161721222324[113])</f>
        <v>48.384</v>
      </c>
      <c r="K43" s="10">
        <f>Таблица213399029467813161721222324[[#Totals],[1132]]</f>
        <v>28</v>
      </c>
      <c r="L43" s="15"/>
      <c r="M43" s="9">
        <f>Таблица213399029467813161721222324[[#Totals],[16]]</f>
        <v>33868800</v>
      </c>
    </row>
    <row r="44" spans="1:14">
      <c r="A44" s="27" t="s">
        <v>192</v>
      </c>
      <c r="B44" s="28" t="s">
        <v>203</v>
      </c>
      <c r="C44" s="28" t="s">
        <v>204</v>
      </c>
      <c r="D44" s="28" t="s">
        <v>205</v>
      </c>
      <c r="E44" s="28" t="s">
        <v>206</v>
      </c>
      <c r="F44" s="28" t="s">
        <v>207</v>
      </c>
      <c r="G44" s="28" t="s">
        <v>208</v>
      </c>
      <c r="H44" s="28" t="s">
        <v>209</v>
      </c>
      <c r="I44" s="28" t="s">
        <v>210</v>
      </c>
      <c r="J44" s="28" t="s">
        <v>211</v>
      </c>
      <c r="K44" s="28" t="s">
        <v>212</v>
      </c>
      <c r="L44" s="28" t="s">
        <v>213</v>
      </c>
      <c r="M44" s="28" t="s">
        <v>214</v>
      </c>
    </row>
    <row r="45" ht="15" spans="1:14">
      <c r="A45" s="29">
        <v>1</v>
      </c>
      <c r="B45" s="30">
        <v>46216</v>
      </c>
      <c r="C45" s="31">
        <v>2254000</v>
      </c>
      <c r="D45" s="32" t="s">
        <v>216</v>
      </c>
      <c r="E45" s="33"/>
      <c r="F45" s="34">
        <f>Таблица213399029467813161721222324[[#This Row],[ ]]</f>
        <v>1</v>
      </c>
      <c r="G45" s="32">
        <v>46216</v>
      </c>
      <c r="H45" s="35" t="s">
        <v>132</v>
      </c>
      <c r="I45" s="36" t="s">
        <v>26</v>
      </c>
      <c r="J45" s="37">
        <v>25.92</v>
      </c>
      <c r="K45" s="38">
        <v>15</v>
      </c>
      <c r="L45" s="34">
        <v>700000</v>
      </c>
      <c r="M45" s="33">
        <f>Таблица213399029467813161721222324[[#This Row],[113]]*Таблица213399029467813161721222324[[#This Row],[15]]</f>
        <v>18144000</v>
      </c>
    </row>
    <row r="46" spans="1:14">
      <c r="A46" s="29">
        <v>2</v>
      </c>
      <c r="B46" s="30">
        <v>46217</v>
      </c>
      <c r="C46" s="33">
        <v>15890000</v>
      </c>
      <c r="D46" s="32" t="s">
        <v>223</v>
      </c>
      <c r="E46" s="33"/>
      <c r="F46" s="34">
        <f>Таблица213399029467813161721222324[[#This Row],[ ]]</f>
        <v>2</v>
      </c>
      <c r="G46" s="30">
        <v>46223</v>
      </c>
      <c r="H46" s="39" t="s">
        <v>129</v>
      </c>
      <c r="I46" s="36" t="s">
        <v>26</v>
      </c>
      <c r="J46" s="39">
        <v>22.464</v>
      </c>
      <c r="K46" s="33">
        <v>13</v>
      </c>
      <c r="L46" s="44">
        <v>700000</v>
      </c>
      <c r="M46" s="33">
        <f>Таблица213399029467813161721222324[[#This Row],[113]]*Таблица213399029467813161721222324[[#This Row],[15]]</f>
        <v>15724800</v>
      </c>
    </row>
    <row r="47" spans="1:14">
      <c r="A47" s="29">
        <v>3</v>
      </c>
      <c r="B47" s="55">
        <v>46223</v>
      </c>
      <c r="C47" s="33">
        <v>1700000</v>
      </c>
      <c r="D47" s="32" t="s">
        <v>216</v>
      </c>
      <c r="E47" s="33"/>
      <c r="F47" s="34">
        <f>Таблица213399029467813161721222324[[#This Row],[ ]]</f>
        <v>3</v>
      </c>
      <c r="G47" s="30"/>
      <c r="H47" s="39"/>
      <c r="I47" s="39"/>
      <c r="J47" s="39"/>
      <c r="K47" s="33"/>
      <c r="L47" s="44"/>
      <c r="M47" s="33">
        <f>Таблица213399029467813161721222324[[#This Row],[113]]*Таблица213399029467813161721222324[[#This Row],[15]]</f>
        <v>0</v>
      </c>
    </row>
    <row r="48" spans="1:14">
      <c r="A48" s="40">
        <v>4</v>
      </c>
      <c r="B48" s="55">
        <v>46223</v>
      </c>
      <c r="C48" s="33">
        <v>14024800</v>
      </c>
      <c r="D48" s="32" t="s">
        <v>223</v>
      </c>
      <c r="E48" s="42"/>
      <c r="F48" s="43">
        <f>Таблица213399029467813161721222324[[#This Row],[ ]]</f>
        <v>4</v>
      </c>
      <c r="G48" s="56"/>
      <c r="H48" s="57"/>
      <c r="I48" s="57"/>
      <c r="J48" s="57"/>
      <c r="K48" s="45"/>
      <c r="L48" s="58"/>
      <c r="M48" s="45">
        <f>Таблица213399029467813161721222324[[#This Row],[113]]*Таблица213399029467813161721222324[[#This Row],[15]]</f>
        <v>0</v>
      </c>
    </row>
    <row r="49" spans="1:15">
      <c r="A49" s="48"/>
      <c r="B49" s="59"/>
      <c r="C49" s="33">
        <f>SUBTOTAL(109,Таблица213399029467813161721222324[2])</f>
        <v>33868800</v>
      </c>
      <c r="D49" s="33"/>
      <c r="E49" s="42"/>
      <c r="F49" s="49"/>
      <c r="G49" s="46"/>
      <c r="H49" s="43"/>
      <c r="I49" s="43"/>
      <c r="J49" s="43"/>
      <c r="K49" s="43">
        <f>SUBTOTAL(109,Таблица213399029467813161721222324[1132])</f>
        <v>28</v>
      </c>
      <c r="L49" s="50"/>
      <c r="M49" s="50">
        <f>SUBTOTAL(109,Таблица213399029467813161721222324[16])</f>
        <v>33868800</v>
      </c>
    </row>
    <row r="51" ht="18.75" spans="1:15">
      <c r="A51" s="1"/>
      <c r="B51" s="2"/>
      <c r="C51" s="3" t="s">
        <v>192</v>
      </c>
      <c r="D51" s="79" t="s">
        <v>224</v>
      </c>
      <c r="E51" s="5"/>
    </row>
    <row r="52" ht="20.25" spans="1:15">
      <c r="A52" s="7" t="s">
        <v>194</v>
      </c>
      <c r="B52" s="7"/>
      <c r="C52" s="8"/>
      <c r="D52" s="8"/>
      <c r="E52" s="8"/>
      <c r="F52" s="52">
        <f>Таблица21339902946781316172122232425[[#Totals],[2]]+-Таблица21339902946781316172122232425[[#Totals],[16]]</f>
        <v>-91929600</v>
      </c>
      <c r="G52" s="53"/>
      <c r="K52" s="10">
        <f>K55</f>
        <v>76</v>
      </c>
    </row>
    <row r="53" spans="1:15">
      <c r="A53" s="11" t="s">
        <v>195</v>
      </c>
      <c r="B53" s="11" t="s">
        <v>196</v>
      </c>
      <c r="C53" s="11" t="s">
        <v>197</v>
      </c>
      <c r="D53" s="11" t="s">
        <v>198</v>
      </c>
      <c r="E53" s="14" t="s">
        <v>199</v>
      </c>
      <c r="F53" s="15" t="s">
        <v>195</v>
      </c>
      <c r="G53" s="15" t="s">
        <v>196</v>
      </c>
      <c r="H53" s="15" t="s">
        <v>200</v>
      </c>
      <c r="I53" s="16" t="s">
        <v>6</v>
      </c>
      <c r="J53" s="17" t="s">
        <v>7</v>
      </c>
      <c r="K53" s="17" t="s">
        <v>201</v>
      </c>
      <c r="L53" s="15" t="s">
        <v>202</v>
      </c>
      <c r="M53" s="16" t="s">
        <v>197</v>
      </c>
    </row>
    <row r="54" spans="1:15">
      <c r="A54" s="11"/>
      <c r="B54" s="11"/>
      <c r="C54" s="18"/>
      <c r="D54" s="19"/>
      <c r="E54" s="20"/>
      <c r="F54" s="15"/>
      <c r="G54" s="15"/>
      <c r="H54" s="15"/>
      <c r="I54" s="21"/>
      <c r="J54" s="80"/>
      <c r="K54" s="22"/>
      <c r="L54" s="15"/>
      <c r="M54" s="26"/>
    </row>
    <row r="55" ht="15.75" spans="1:15">
      <c r="A55" s="11"/>
      <c r="B55" s="11"/>
      <c r="C55" s="54">
        <f>Таблица21339902946781316172122232425[[#Totals],[2]]</f>
        <v>0</v>
      </c>
      <c r="D55" s="24"/>
      <c r="E55" s="25">
        <f>SUM(Таблица21339902946781316172122232425[4])</f>
        <v>0</v>
      </c>
      <c r="F55" s="15"/>
      <c r="G55" s="15"/>
      <c r="H55" s="15"/>
      <c r="I55" s="26"/>
      <c r="J55" s="81">
        <f>SUM(Таблица21339902946781316172122232425[113])</f>
        <v>131.328</v>
      </c>
      <c r="K55" s="10">
        <f>Таблица21339902946781316172122232425[[#Totals],[1132]]</f>
        <v>76</v>
      </c>
      <c r="L55" s="15"/>
      <c r="M55" s="9">
        <f>Таблица21339902946781316172122232425[[#Totals],[16]]</f>
        <v>91929600</v>
      </c>
    </row>
    <row r="56" spans="1:15">
      <c r="A56" s="27" t="s">
        <v>192</v>
      </c>
      <c r="B56" s="28" t="s">
        <v>203</v>
      </c>
      <c r="C56" s="28" t="s">
        <v>204</v>
      </c>
      <c r="D56" s="28" t="s">
        <v>205</v>
      </c>
      <c r="E56" s="28" t="s">
        <v>206</v>
      </c>
      <c r="F56" s="28" t="s">
        <v>207</v>
      </c>
      <c r="G56" s="28" t="s">
        <v>208</v>
      </c>
      <c r="H56" s="28" t="s">
        <v>209</v>
      </c>
      <c r="I56" s="28" t="s">
        <v>210</v>
      </c>
      <c r="J56" s="28" t="s">
        <v>211</v>
      </c>
      <c r="K56" s="28" t="s">
        <v>212</v>
      </c>
      <c r="L56" s="28" t="s">
        <v>213</v>
      </c>
      <c r="M56" s="28" t="s">
        <v>214</v>
      </c>
      <c r="N56" s="93" t="s">
        <v>218</v>
      </c>
      <c r="O56" s="93" t="s">
        <v>225</v>
      </c>
    </row>
    <row r="57" ht="15" spans="1:15">
      <c r="A57" s="29">
        <v>1</v>
      </c>
      <c r="B57" s="30"/>
      <c r="C57" s="31"/>
      <c r="D57" s="32"/>
      <c r="E57" s="33"/>
      <c r="F57" s="34">
        <f>Таблица21339902946781316172122232425[[#This Row],[ ]]</f>
        <v>1</v>
      </c>
      <c r="G57" s="32">
        <v>46217</v>
      </c>
      <c r="H57" s="35" t="s">
        <v>136</v>
      </c>
      <c r="I57" s="36" t="s">
        <v>226</v>
      </c>
      <c r="J57" s="37">
        <v>32.832</v>
      </c>
      <c r="K57" s="38">
        <v>19</v>
      </c>
      <c r="L57" s="34">
        <v>700000</v>
      </c>
      <c r="M57" s="33">
        <f>Таблица21339902946781316172122232425[[#This Row],[113]]*Таблица21339902946781316172122232425[[#This Row],[15]]</f>
        <v>22982400</v>
      </c>
      <c r="N57" s="38">
        <v>2500000</v>
      </c>
      <c r="O57" s="38" t="s">
        <v>227</v>
      </c>
    </row>
    <row r="58" spans="1:15">
      <c r="A58" s="29">
        <v>2</v>
      </c>
      <c r="B58" s="30"/>
      <c r="C58" s="33"/>
      <c r="D58" s="32"/>
      <c r="E58" s="33"/>
      <c r="F58" s="34">
        <f>Таблица21339902946781316172122232425[[#This Row],[ ]]</f>
        <v>2</v>
      </c>
      <c r="G58" s="30">
        <v>46217</v>
      </c>
      <c r="H58" s="39" t="s">
        <v>138</v>
      </c>
      <c r="I58" s="39" t="s">
        <v>226</v>
      </c>
      <c r="J58" s="39">
        <v>32.832</v>
      </c>
      <c r="K58" s="33">
        <v>19</v>
      </c>
      <c r="L58" s="44">
        <v>700000</v>
      </c>
      <c r="M58" s="33">
        <f>Таблица21339902946781316172122232425[[#This Row],[113]]*Таблица21339902946781316172122232425[[#This Row],[15]]</f>
        <v>22982400</v>
      </c>
      <c r="N58" s="38">
        <v>2500000</v>
      </c>
      <c r="O58" s="38" t="s">
        <v>227</v>
      </c>
    </row>
    <row r="59" spans="1:15">
      <c r="A59" s="29">
        <v>3</v>
      </c>
      <c r="B59" s="55"/>
      <c r="C59" s="33"/>
      <c r="D59" s="32"/>
      <c r="E59" s="33"/>
      <c r="F59" s="34">
        <f>Таблица21339902946781316172122232425[[#This Row],[ ]]</f>
        <v>3</v>
      </c>
      <c r="G59" s="30">
        <v>46217</v>
      </c>
      <c r="H59" s="39" t="s">
        <v>141</v>
      </c>
      <c r="I59" s="39" t="s">
        <v>226</v>
      </c>
      <c r="J59" s="39">
        <v>32.832</v>
      </c>
      <c r="K59" s="33">
        <v>19</v>
      </c>
      <c r="L59" s="44">
        <v>700000</v>
      </c>
      <c r="M59" s="33">
        <f>Таблица21339902946781316172122232425[[#This Row],[113]]*Таблица21339902946781316172122232425[[#This Row],[15]]</f>
        <v>22982400</v>
      </c>
      <c r="N59" s="38">
        <v>2500000</v>
      </c>
      <c r="O59" s="38" t="s">
        <v>227</v>
      </c>
    </row>
    <row r="60" spans="1:15">
      <c r="A60" s="29">
        <v>4</v>
      </c>
      <c r="B60" s="55"/>
      <c r="C60" s="33"/>
      <c r="D60" s="32"/>
      <c r="E60" s="33"/>
      <c r="F60" s="34">
        <f>Таблица21339902946781316172122232425[[#This Row],[ ]]</f>
        <v>4</v>
      </c>
      <c r="G60" s="30">
        <v>46218</v>
      </c>
      <c r="H60" s="39" t="s">
        <v>129</v>
      </c>
      <c r="I60" s="39" t="s">
        <v>226</v>
      </c>
      <c r="J60" s="39">
        <v>32.832</v>
      </c>
      <c r="K60" s="33">
        <v>19</v>
      </c>
      <c r="L60" s="44">
        <v>700000</v>
      </c>
      <c r="M60" s="33">
        <f>Таблица21339902946781316172122232425[[#This Row],[113]]*Таблица21339902946781316172122232425[[#This Row],[15]]</f>
        <v>22982400</v>
      </c>
      <c r="N60" s="38">
        <v>2500000</v>
      </c>
      <c r="O60" s="38" t="s">
        <v>227</v>
      </c>
    </row>
    <row r="61" spans="1:15">
      <c r="A61" s="29">
        <v>5</v>
      </c>
      <c r="B61" s="55"/>
      <c r="C61" s="33"/>
      <c r="D61" s="32"/>
      <c r="E61" s="33"/>
      <c r="F61" s="34">
        <f>Таблица21339902946781316172122232425[[#This Row],[ ]]</f>
        <v>5</v>
      </c>
      <c r="G61" s="30"/>
      <c r="H61" s="39"/>
      <c r="I61" s="39"/>
      <c r="J61" s="39"/>
      <c r="K61" s="33"/>
      <c r="L61" s="44"/>
      <c r="M61" s="33">
        <f>Таблица21339902946781316172122232425[[#This Row],[113]]*Таблица21339902946781316172122232425[[#This Row],[15]]</f>
        <v>0</v>
      </c>
      <c r="N61" s="44"/>
      <c r="O61" s="44"/>
    </row>
    <row r="62" spans="1:15">
      <c r="A62" s="48"/>
      <c r="B62" s="59"/>
      <c r="C62" s="33">
        <f>SUBTOTAL(109,Таблица21339902946781316172122232425[2])</f>
        <v>0</v>
      </c>
      <c r="D62" s="33"/>
      <c r="E62" s="42"/>
      <c r="F62" s="49"/>
      <c r="G62" s="46"/>
      <c r="H62" s="43"/>
      <c r="I62" s="43"/>
      <c r="J62" s="43"/>
      <c r="K62" s="43">
        <f>SUBTOTAL(109,Таблица21339902946781316172122232425[1132])</f>
        <v>76</v>
      </c>
      <c r="L62" s="50"/>
      <c r="M62" s="50">
        <f>SUBTOTAL(109,Таблица21339902946781316172122232425[16])</f>
        <v>91929600</v>
      </c>
      <c r="N62" s="43"/>
      <c r="O62" s="43"/>
    </row>
    <row r="64" ht="18.75" spans="1:15">
      <c r="A64" s="1"/>
      <c r="B64" s="2"/>
      <c r="C64" s="3" t="s">
        <v>192</v>
      </c>
      <c r="D64" s="79" t="s">
        <v>228</v>
      </c>
      <c r="E64" s="5"/>
    </row>
    <row r="65" ht="20.25" spans="1:13">
      <c r="A65" s="7" t="s">
        <v>194</v>
      </c>
      <c r="B65" s="7"/>
      <c r="C65" s="8"/>
      <c r="D65" s="8"/>
      <c r="E65" s="8"/>
      <c r="F65" s="52">
        <f>Таблица2133990294678131617212223242530[[#Totals],[2]]+-Таблица2133990294678131617212223242530[[#Totals],[16]]</f>
        <v>400</v>
      </c>
      <c r="G65" s="53"/>
      <c r="K65" s="10">
        <f>K68</f>
        <v>76</v>
      </c>
    </row>
    <row r="66" spans="1:13">
      <c r="A66" s="11" t="s">
        <v>195</v>
      </c>
      <c r="B66" s="11" t="s">
        <v>196</v>
      </c>
      <c r="C66" s="11" t="s">
        <v>197</v>
      </c>
      <c r="D66" s="11" t="s">
        <v>198</v>
      </c>
      <c r="E66" s="14" t="s">
        <v>199</v>
      </c>
      <c r="F66" s="15" t="s">
        <v>195</v>
      </c>
      <c r="G66" s="15" t="s">
        <v>196</v>
      </c>
      <c r="H66" s="15" t="s">
        <v>200</v>
      </c>
      <c r="I66" s="16" t="s">
        <v>6</v>
      </c>
      <c r="J66" s="17" t="s">
        <v>7</v>
      </c>
      <c r="K66" s="17" t="s">
        <v>201</v>
      </c>
      <c r="L66" s="15" t="s">
        <v>202</v>
      </c>
      <c r="M66" s="16" t="s">
        <v>197</v>
      </c>
    </row>
    <row r="67" spans="1:13">
      <c r="A67" s="11"/>
      <c r="B67" s="11"/>
      <c r="C67" s="18"/>
      <c r="D67" s="19"/>
      <c r="E67" s="20"/>
      <c r="F67" s="15"/>
      <c r="G67" s="15"/>
      <c r="H67" s="15"/>
      <c r="I67" s="21"/>
      <c r="J67" s="80"/>
      <c r="K67" s="22"/>
      <c r="L67" s="15"/>
      <c r="M67" s="26"/>
    </row>
    <row r="68" ht="15.75" spans="1:13">
      <c r="A68" s="11"/>
      <c r="B68" s="11"/>
      <c r="C68" s="54">
        <f>Таблица2133990294678131617212223242530[[#Totals],[2]]</f>
        <v>91930000</v>
      </c>
      <c r="D68" s="24"/>
      <c r="E68" s="25">
        <f>SUM(Таблица2133990294678131617212223242530[4])</f>
        <v>0</v>
      </c>
      <c r="F68" s="15"/>
      <c r="G68" s="15"/>
      <c r="H68" s="15"/>
      <c r="I68" s="26"/>
      <c r="J68" s="81">
        <f>SUM(Таблица2133990294678131617212223242530[113])</f>
        <v>131.328</v>
      </c>
      <c r="K68" s="10">
        <f>Таблица2133990294678131617212223242530[[#Totals],[1132]]</f>
        <v>76</v>
      </c>
      <c r="L68" s="15"/>
      <c r="M68" s="9">
        <f>Таблица2133990294678131617212223242530[[#Totals],[16]]</f>
        <v>91929600</v>
      </c>
    </row>
    <row r="69" spans="1:13">
      <c r="A69" s="27" t="s">
        <v>192</v>
      </c>
      <c r="B69" s="28" t="s">
        <v>203</v>
      </c>
      <c r="C69" s="28" t="s">
        <v>204</v>
      </c>
      <c r="D69" s="28" t="s">
        <v>205</v>
      </c>
      <c r="E69" s="28" t="s">
        <v>206</v>
      </c>
      <c r="F69" s="28" t="s">
        <v>207</v>
      </c>
      <c r="G69" s="28" t="s">
        <v>208</v>
      </c>
      <c r="H69" s="28" t="s">
        <v>209</v>
      </c>
      <c r="I69" s="28" t="s">
        <v>210</v>
      </c>
      <c r="J69" s="28" t="s">
        <v>211</v>
      </c>
      <c r="K69" s="28" t="s">
        <v>212</v>
      </c>
      <c r="L69" s="28" t="s">
        <v>213</v>
      </c>
      <c r="M69" s="28" t="s">
        <v>214</v>
      </c>
    </row>
    <row r="70" ht="15" spans="1:13">
      <c r="A70" s="29">
        <v>1</v>
      </c>
      <c r="B70" s="30">
        <v>46217</v>
      </c>
      <c r="C70" s="31">
        <v>5000000</v>
      </c>
      <c r="D70" s="32" t="s">
        <v>216</v>
      </c>
      <c r="E70" s="33"/>
      <c r="F70" s="34">
        <f>Таблица2133990294678131617212223242530[[#This Row],[ ]]</f>
        <v>1</v>
      </c>
      <c r="G70" s="32">
        <v>46217</v>
      </c>
      <c r="H70" s="35" t="s">
        <v>64</v>
      </c>
      <c r="I70" s="36" t="s">
        <v>226</v>
      </c>
      <c r="J70" s="37">
        <v>32.832</v>
      </c>
      <c r="K70" s="38">
        <v>19</v>
      </c>
      <c r="L70" s="34">
        <v>700000</v>
      </c>
      <c r="M70" s="33">
        <f>Таблица2133990294678131617212223242530[[#This Row],[113]]*Таблица2133990294678131617212223242530[[#This Row],[15]]</f>
        <v>22982400</v>
      </c>
    </row>
    <row r="71" spans="1:13">
      <c r="A71" s="29">
        <v>2</v>
      </c>
      <c r="B71" s="30">
        <v>46217</v>
      </c>
      <c r="C71" s="33">
        <v>40965000</v>
      </c>
      <c r="D71" s="32" t="s">
        <v>229</v>
      </c>
      <c r="E71" s="33"/>
      <c r="F71" s="34">
        <f>Таблица2133990294678131617212223242530[[#This Row],[ ]]</f>
        <v>2</v>
      </c>
      <c r="G71" s="30">
        <v>46217</v>
      </c>
      <c r="H71" s="39" t="s">
        <v>140</v>
      </c>
      <c r="I71" s="39" t="s">
        <v>226</v>
      </c>
      <c r="J71" s="39">
        <v>32.832</v>
      </c>
      <c r="K71" s="33">
        <v>19</v>
      </c>
      <c r="L71" s="44">
        <v>700000</v>
      </c>
      <c r="M71" s="33">
        <f>Таблица2133990294678131617212223242530[[#This Row],[113]]*Таблица2133990294678131617212223242530[[#This Row],[15]]</f>
        <v>22982400</v>
      </c>
    </row>
    <row r="72" spans="1:13">
      <c r="A72" s="29">
        <v>3</v>
      </c>
      <c r="B72" s="55">
        <v>46224</v>
      </c>
      <c r="C72" s="33">
        <v>40965000</v>
      </c>
      <c r="D72" s="32" t="s">
        <v>229</v>
      </c>
      <c r="E72" s="33"/>
      <c r="F72" s="34">
        <f>Таблица2133990294678131617212223242530[[#This Row],[ ]]</f>
        <v>3</v>
      </c>
      <c r="G72" s="30">
        <v>46224</v>
      </c>
      <c r="H72" s="39" t="s">
        <v>177</v>
      </c>
      <c r="I72" s="39" t="s">
        <v>96</v>
      </c>
      <c r="J72" s="39">
        <v>32.832</v>
      </c>
      <c r="K72" s="33">
        <v>19</v>
      </c>
      <c r="L72" s="44">
        <v>700000</v>
      </c>
      <c r="M72" s="33">
        <f>Таблица2133990294678131617212223242530[[#This Row],[113]]*Таблица2133990294678131617212223242530[[#This Row],[15]]</f>
        <v>22982400</v>
      </c>
    </row>
    <row r="73" spans="1:13">
      <c r="A73" s="40">
        <v>4</v>
      </c>
      <c r="B73" s="55">
        <v>46224</v>
      </c>
      <c r="C73" s="33">
        <v>2500000</v>
      </c>
      <c r="D73" s="32" t="s">
        <v>216</v>
      </c>
      <c r="E73" s="42"/>
      <c r="F73" s="43">
        <f>Таблица2133990294678131617212223242530[[#This Row],[ ]]</f>
        <v>4</v>
      </c>
      <c r="G73" s="56">
        <v>46226</v>
      </c>
      <c r="H73" s="57" t="s">
        <v>180</v>
      </c>
      <c r="I73" s="39" t="s">
        <v>46</v>
      </c>
      <c r="J73" s="39">
        <v>32.832</v>
      </c>
      <c r="K73" s="33">
        <v>19</v>
      </c>
      <c r="L73" s="44">
        <v>700000</v>
      </c>
      <c r="M73" s="45">
        <f>Таблица2133990294678131617212223242530[[#This Row],[113]]*Таблица2133990294678131617212223242530[[#This Row],[15]]</f>
        <v>22982400</v>
      </c>
    </row>
    <row r="74" spans="1:13">
      <c r="A74" s="40">
        <v>5</v>
      </c>
      <c r="B74" s="55">
        <v>46226</v>
      </c>
      <c r="C74" s="33">
        <v>2500000</v>
      </c>
      <c r="D74" s="32" t="s">
        <v>216</v>
      </c>
      <c r="E74" s="42"/>
      <c r="F74" s="43">
        <f>Таблица2133990294678131617212223242530[[#This Row],[ ]]</f>
        <v>5</v>
      </c>
      <c r="G74" s="56"/>
      <c r="H74" s="57"/>
      <c r="I74" s="57"/>
      <c r="J74" s="57"/>
      <c r="K74" s="45"/>
      <c r="L74" s="58"/>
      <c r="M74" s="45">
        <f>Таблица2133990294678131617212223242530[[#This Row],[113]]*Таблица2133990294678131617212223242530[[#This Row],[15]]</f>
        <v>0</v>
      </c>
    </row>
    <row r="75" spans="1:13">
      <c r="A75" s="48"/>
      <c r="B75" s="59"/>
      <c r="C75" s="33">
        <f>SUBTOTAL(109,Таблица2133990294678131617212223242530[2])</f>
        <v>91930000</v>
      </c>
      <c r="D75" s="33"/>
      <c r="E75" s="42"/>
      <c r="F75" s="49"/>
      <c r="G75" s="46"/>
      <c r="H75" s="43"/>
      <c r="I75" s="43"/>
      <c r="J75" s="43"/>
      <c r="K75" s="43">
        <f>SUBTOTAL(109,Таблица2133990294678131617212223242530[1132])</f>
        <v>76</v>
      </c>
      <c r="L75" s="50"/>
      <c r="M75" s="50">
        <f>SUBTOTAL(109,Таблица2133990294678131617212223242530[16])</f>
        <v>91929600</v>
      </c>
    </row>
    <row r="77" ht="18.75" spans="1:13">
      <c r="A77" s="1"/>
      <c r="B77" s="2"/>
      <c r="C77" s="3" t="s">
        <v>192</v>
      </c>
      <c r="D77" s="79" t="s">
        <v>230</v>
      </c>
      <c r="E77" s="5"/>
    </row>
    <row r="78" ht="20.25" spans="1:13">
      <c r="A78" s="7" t="s">
        <v>194</v>
      </c>
      <c r="B78" s="7"/>
      <c r="C78" s="8"/>
      <c r="D78" s="8"/>
      <c r="E78" s="8"/>
      <c r="F78" s="52">
        <f>Таблица213399029467813161721222324253031[[#Totals],[2]]+-Таблица213399029467813161721222324253031[[#Totals],[16]]</f>
        <v>-16141600.016</v>
      </c>
      <c r="G78" s="53"/>
      <c r="K78" s="10">
        <f>K81</f>
        <v>46</v>
      </c>
    </row>
    <row r="79" spans="1:13">
      <c r="A79" s="11" t="s">
        <v>195</v>
      </c>
      <c r="B79" s="11" t="s">
        <v>196</v>
      </c>
      <c r="C79" s="11" t="s">
        <v>197</v>
      </c>
      <c r="D79" s="11" t="s">
        <v>198</v>
      </c>
      <c r="E79" s="14" t="s">
        <v>199</v>
      </c>
      <c r="F79" s="15" t="s">
        <v>195</v>
      </c>
      <c r="G79" s="15" t="s">
        <v>196</v>
      </c>
      <c r="H79" s="15" t="s">
        <v>200</v>
      </c>
      <c r="I79" s="16" t="s">
        <v>6</v>
      </c>
      <c r="J79" s="17" t="s">
        <v>7</v>
      </c>
      <c r="K79" s="17" t="s">
        <v>201</v>
      </c>
      <c r="L79" s="15" t="s">
        <v>202</v>
      </c>
      <c r="M79" s="16" t="s">
        <v>197</v>
      </c>
    </row>
    <row r="80" spans="1:13">
      <c r="A80" s="11"/>
      <c r="B80" s="11"/>
      <c r="C80" s="18"/>
      <c r="D80" s="19"/>
      <c r="E80" s="20"/>
      <c r="F80" s="15"/>
      <c r="G80" s="15"/>
      <c r="H80" s="15"/>
      <c r="I80" s="21"/>
      <c r="J80" s="80"/>
      <c r="K80" s="22"/>
      <c r="L80" s="15"/>
      <c r="M80" s="26"/>
    </row>
    <row r="81" ht="15.75" spans="1:13">
      <c r="A81" s="11"/>
      <c r="B81" s="11"/>
      <c r="C81" s="54">
        <f>Таблица213399029467813161721222324253031[[#Totals],[2]]</f>
        <v>39700000</v>
      </c>
      <c r="D81" s="24"/>
      <c r="E81" s="25">
        <f>SUM(Таблица213399029467813161721222324253031[4])</f>
        <v>0</v>
      </c>
      <c r="F81" s="15"/>
      <c r="G81" s="15"/>
      <c r="H81" s="15"/>
      <c r="I81" s="26"/>
      <c r="J81" s="81">
        <f>SUM(Таблица213399029467813161721222324253031[113])</f>
        <v>79.488</v>
      </c>
      <c r="K81" s="10">
        <f>Таблица213399029467813161721222324253031[[#Totals],[1132]]</f>
        <v>46</v>
      </c>
      <c r="L81" s="15"/>
      <c r="M81" s="9">
        <f>Таблица213399029467813161721222324253031[[#Totals],[16]]</f>
        <v>55841600.016</v>
      </c>
    </row>
    <row r="82" spans="1:13">
      <c r="A82" s="27" t="s">
        <v>192</v>
      </c>
      <c r="B82" s="28" t="s">
        <v>203</v>
      </c>
      <c r="C82" s="28" t="s">
        <v>204</v>
      </c>
      <c r="D82" s="28" t="s">
        <v>205</v>
      </c>
      <c r="E82" s="28" t="s">
        <v>206</v>
      </c>
      <c r="F82" s="28" t="s">
        <v>207</v>
      </c>
      <c r="G82" s="28" t="s">
        <v>208</v>
      </c>
      <c r="H82" s="28" t="s">
        <v>209</v>
      </c>
      <c r="I82" s="28" t="s">
        <v>210</v>
      </c>
      <c r="J82" s="28" t="s">
        <v>211</v>
      </c>
      <c r="K82" s="28" t="s">
        <v>212</v>
      </c>
      <c r="L82" s="28" t="s">
        <v>213</v>
      </c>
      <c r="M82" s="28" t="s">
        <v>214</v>
      </c>
    </row>
    <row r="83" ht="15" spans="1:13">
      <c r="A83" s="29">
        <v>1</v>
      </c>
      <c r="B83" s="30">
        <v>46219</v>
      </c>
      <c r="C83" s="31">
        <v>2500000</v>
      </c>
      <c r="D83" s="32" t="s">
        <v>216</v>
      </c>
      <c r="E83" s="33"/>
      <c r="F83" s="34">
        <f>Таблица213399029467813161721222324253031[[#This Row],[ ]]</f>
        <v>1</v>
      </c>
      <c r="G83" s="32">
        <v>46219</v>
      </c>
      <c r="H83" s="35" t="s">
        <v>151</v>
      </c>
      <c r="I83" s="36" t="s">
        <v>226</v>
      </c>
      <c r="J83" s="37">
        <v>32.832</v>
      </c>
      <c r="K83" s="38">
        <v>19</v>
      </c>
      <c r="L83" s="34">
        <v>700000</v>
      </c>
      <c r="M83" s="33">
        <f>Таблица213399029467813161721222324253031[[#This Row],[113]]*Таблица213399029467813161721222324253031[[#This Row],[15]]</f>
        <v>22982400</v>
      </c>
    </row>
    <row r="84" spans="1:13">
      <c r="A84" s="29">
        <v>2</v>
      </c>
      <c r="B84" s="55">
        <v>46219</v>
      </c>
      <c r="C84" s="33">
        <v>33750000</v>
      </c>
      <c r="D84" s="32" t="s">
        <v>231</v>
      </c>
      <c r="E84" s="33"/>
      <c r="F84" s="34">
        <f>Таблица213399029467813161721222324253031[[#This Row],[ ]]</f>
        <v>2</v>
      </c>
      <c r="G84" s="30">
        <v>46220</v>
      </c>
      <c r="H84" s="39" t="s">
        <v>158</v>
      </c>
      <c r="I84" s="39" t="s">
        <v>46</v>
      </c>
      <c r="J84" s="39">
        <v>20.736</v>
      </c>
      <c r="K84" s="33">
        <v>12</v>
      </c>
      <c r="L84" s="44">
        <v>700000</v>
      </c>
      <c r="M84" s="33">
        <f>Таблица213399029467813161721222324253031[[#This Row],[113]]*Таблица213399029467813161721222324253031[[#This Row],[15]]</f>
        <v>14515200</v>
      </c>
    </row>
    <row r="85" spans="1:13">
      <c r="A85" s="29">
        <v>3</v>
      </c>
      <c r="B85" s="30">
        <v>46219</v>
      </c>
      <c r="C85" s="33">
        <v>1250000</v>
      </c>
      <c r="D85" s="32" t="s">
        <v>216</v>
      </c>
      <c r="E85" s="33"/>
      <c r="F85" s="34">
        <f>Таблица213399029467813161721222324253031[[#This Row],[ ]]</f>
        <v>3</v>
      </c>
      <c r="G85" s="30">
        <v>46224</v>
      </c>
      <c r="H85" s="39" t="s">
        <v>67</v>
      </c>
      <c r="I85" s="39" t="s">
        <v>96</v>
      </c>
      <c r="J85" s="39">
        <v>25.92</v>
      </c>
      <c r="K85" s="33">
        <v>15</v>
      </c>
      <c r="L85" s="44">
        <v>707716.05</v>
      </c>
      <c r="M85" s="33">
        <f>Таблица213399029467813161721222324253031[[#This Row],[113]]*Таблица213399029467813161721222324253031[[#This Row],[15]]</f>
        <v>18344000.016</v>
      </c>
    </row>
    <row r="86" spans="1:13">
      <c r="A86" s="40">
        <v>4</v>
      </c>
      <c r="B86" s="30">
        <v>46224</v>
      </c>
      <c r="C86" s="33">
        <v>2200000</v>
      </c>
      <c r="D86" s="32" t="s">
        <v>216</v>
      </c>
      <c r="E86" s="42"/>
      <c r="F86" s="43">
        <f>Таблица213399029467813161721222324253031[[#This Row],[ ]]</f>
        <v>4</v>
      </c>
      <c r="G86" s="56"/>
      <c r="H86" s="57"/>
      <c r="I86" s="57"/>
      <c r="J86" s="57"/>
      <c r="K86" s="45"/>
      <c r="L86" s="58"/>
      <c r="M86" s="45">
        <f>Таблица213399029467813161721222324253031[[#This Row],[113]]*Таблица213399029467813161721222324253031[[#This Row],[15]]</f>
        <v>0</v>
      </c>
    </row>
    <row r="87" spans="1:13">
      <c r="A87" s="48"/>
      <c r="B87" s="59"/>
      <c r="C87" s="33">
        <f>SUBTOTAL(109,Таблица213399029467813161721222324253031[2])</f>
        <v>39700000</v>
      </c>
      <c r="D87" s="33"/>
      <c r="E87" s="42"/>
      <c r="F87" s="49"/>
      <c r="G87" s="46"/>
      <c r="H87" s="43"/>
      <c r="I87" s="43"/>
      <c r="J87" s="43"/>
      <c r="K87" s="43">
        <f>SUBTOTAL(109,Таблица213399029467813161721222324253031[1132])</f>
        <v>46</v>
      </c>
      <c r="L87" s="50"/>
      <c r="M87" s="50">
        <f>SUBTOTAL(109,Таблица213399029467813161721222324253031[16])</f>
        <v>55841600.016</v>
      </c>
    </row>
  </sheetData>
  <mergeCells count="98">
    <mergeCell ref="A2:B2"/>
    <mergeCell ref="C2:D2"/>
    <mergeCell ref="F2:G2"/>
    <mergeCell ref="A15:B15"/>
    <mergeCell ref="C15:D15"/>
    <mergeCell ref="F15:G15"/>
    <mergeCell ref="A29:B29"/>
    <mergeCell ref="C29:D29"/>
    <mergeCell ref="F29:G29"/>
    <mergeCell ref="A40:B40"/>
    <mergeCell ref="C40:D40"/>
    <mergeCell ref="F40:G40"/>
    <mergeCell ref="A52:B52"/>
    <mergeCell ref="C52:D52"/>
    <mergeCell ref="F52:G52"/>
    <mergeCell ref="A65:B65"/>
    <mergeCell ref="C65:D65"/>
    <mergeCell ref="F65:G65"/>
    <mergeCell ref="A78:B78"/>
    <mergeCell ref="C78:D78"/>
    <mergeCell ref="F78:G78"/>
    <mergeCell ref="A3:A5"/>
    <mergeCell ref="A16:A18"/>
    <mergeCell ref="A30:A32"/>
    <mergeCell ref="A41:A43"/>
    <mergeCell ref="A53:A55"/>
    <mergeCell ref="A66:A68"/>
    <mergeCell ref="A79:A81"/>
    <mergeCell ref="B3:B5"/>
    <mergeCell ref="B16:B18"/>
    <mergeCell ref="B30:B32"/>
    <mergeCell ref="B41:B43"/>
    <mergeCell ref="B53:B55"/>
    <mergeCell ref="B66:B68"/>
    <mergeCell ref="B79:B81"/>
    <mergeCell ref="E3:E4"/>
    <mergeCell ref="E16:E17"/>
    <mergeCell ref="E30:E31"/>
    <mergeCell ref="E41:E42"/>
    <mergeCell ref="E53:E54"/>
    <mergeCell ref="E66:E67"/>
    <mergeCell ref="E79:E80"/>
    <mergeCell ref="F3:F5"/>
    <mergeCell ref="F16:F18"/>
    <mergeCell ref="F30:F32"/>
    <mergeCell ref="F41:F43"/>
    <mergeCell ref="F53:F55"/>
    <mergeCell ref="F66:F68"/>
    <mergeCell ref="F79:F81"/>
    <mergeCell ref="G3:G5"/>
    <mergeCell ref="G16:G18"/>
    <mergeCell ref="G30:G32"/>
    <mergeCell ref="G41:G43"/>
    <mergeCell ref="G53:G55"/>
    <mergeCell ref="G66:G68"/>
    <mergeCell ref="G79:G81"/>
    <mergeCell ref="H3:H5"/>
    <mergeCell ref="H16:H18"/>
    <mergeCell ref="H30:H32"/>
    <mergeCell ref="H41:H43"/>
    <mergeCell ref="H53:H55"/>
    <mergeCell ref="H66:H68"/>
    <mergeCell ref="H79:H81"/>
    <mergeCell ref="I3:I5"/>
    <mergeCell ref="I16:I18"/>
    <mergeCell ref="I30:I32"/>
    <mergeCell ref="I41:I43"/>
    <mergeCell ref="I53:I55"/>
    <mergeCell ref="I66:I68"/>
    <mergeCell ref="I79:I81"/>
    <mergeCell ref="J3:J4"/>
    <mergeCell ref="J16:J17"/>
    <mergeCell ref="J30:J31"/>
    <mergeCell ref="J41:J42"/>
    <mergeCell ref="J53:J54"/>
    <mergeCell ref="J66:J67"/>
    <mergeCell ref="J79:J80"/>
    <mergeCell ref="K3:K4"/>
    <mergeCell ref="K16:K17"/>
    <mergeCell ref="K30:K31"/>
    <mergeCell ref="K41:K42"/>
    <mergeCell ref="K53:K54"/>
    <mergeCell ref="K66:K67"/>
    <mergeCell ref="K79:K80"/>
    <mergeCell ref="L3:L5"/>
    <mergeCell ref="L16:L18"/>
    <mergeCell ref="L30:L32"/>
    <mergeCell ref="L41:L43"/>
    <mergeCell ref="L53:L55"/>
    <mergeCell ref="L66:L68"/>
    <mergeCell ref="L79:L81"/>
    <mergeCell ref="M3:M4"/>
    <mergeCell ref="M16:M17"/>
    <mergeCell ref="M30:M31"/>
    <mergeCell ref="M41:M42"/>
    <mergeCell ref="M53:M54"/>
    <mergeCell ref="M66:M67"/>
    <mergeCell ref="M79:M80"/>
  </mergeCells>
  <hyperlinks>
    <hyperlink ref="D1" location="'Свод Завод'!Y4" display="6-Уткир мини"/>
    <hyperlink ref="D14" location="'Свод Завод'!A1" display="6-Отабек дамирчи"/>
    <hyperlink ref="D28" location="'Свод Завод'!A1" display="6-Мамун Университети"/>
    <hyperlink ref="D39" location="'Свод Завод'!A1" display="6-Нахт клент Сардор"/>
    <hyperlink ref="D51" location="'Свод Завод'!A1" display="6-Жамол 009"/>
    <hyperlink ref="D64" location="'Свод Завод'!A1" display="6-Сохил буйи Уткир ога"/>
    <hyperlink ref="D77" location="'Свод Завод'!A1" display="6-Фм хоус"/>
  </hyperlinks>
  <pageMargins left="0.7" right="0.7" top="0.75" bottom="0.75" header="0.3" footer="0.3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8"/>
  <sheetViews>
    <sheetView workbookViewId="0">
      <selection activeCell="G59" sqref="G59"/>
    </sheetView>
  </sheetViews>
  <sheetFormatPr defaultColWidth="9.1047619047619" defaultRowHeight="14.25"/>
  <cols>
    <col min="1" max="1" width="6.55238095238095" style="6" customWidth="1"/>
    <col min="2" max="2" width="12.1047619047619" style="6" customWidth="1"/>
    <col min="3" max="3" width="14.1047619047619" style="6" customWidth="1"/>
    <col min="4" max="4" width="37.3333333333333" style="6" customWidth="1"/>
    <col min="5" max="5" width="20.4380952380952" style="6" customWidth="1"/>
    <col min="6" max="6" width="7.66666666666667" style="6" customWidth="1"/>
    <col min="7" max="7" width="11.552380952381" style="6" customWidth="1"/>
    <col min="8" max="8" width="21.6666666666667" style="6" customWidth="1"/>
    <col min="9" max="9" width="13.4380952380952" style="6" customWidth="1"/>
    <col min="10" max="10" width="17.6666666666667" style="6" customWidth="1"/>
    <col min="11" max="11" width="11.3333333333333" style="6" customWidth="1"/>
    <col min="12" max="12" width="8.88571428571429" style="6" customWidth="1"/>
    <col min="13" max="13" width="14.1047619047619" style="6" customWidth="1"/>
    <col min="14" max="14" width="10.1047619047619" style="6" customWidth="1"/>
    <col min="15" max="16" width="9.1047619047619" style="6"/>
    <col min="17" max="17" width="11.1047619047619" style="6" customWidth="1"/>
    <col min="18" max="16384" width="9.1047619047619" style="6"/>
  </cols>
  <sheetData>
    <row r="1" ht="18" customHeight="1" spans="1:14">
      <c r="A1" s="1"/>
      <c r="B1" s="2"/>
      <c r="C1" s="3" t="s">
        <v>192</v>
      </c>
      <c r="D1" s="79" t="s">
        <v>232</v>
      </c>
      <c r="E1" s="5"/>
    </row>
    <row r="2" ht="20.25" spans="1:14">
      <c r="A2" s="7" t="s">
        <v>194</v>
      </c>
      <c r="B2" s="7"/>
      <c r="C2" s="8"/>
      <c r="D2" s="8"/>
      <c r="E2" s="8"/>
      <c r="F2" s="52">
        <f>Таблица213399029467813[[#Totals],[2]]+-Таблица213399029467813[[#Totals],[16]]</f>
        <v>0</v>
      </c>
      <c r="G2" s="53"/>
      <c r="K2" s="10">
        <f>K5</f>
        <v>342</v>
      </c>
    </row>
    <row r="3" ht="15" customHeight="1" spans="1:14">
      <c r="A3" s="11" t="s">
        <v>195</v>
      </c>
      <c r="B3" s="11" t="s">
        <v>196</v>
      </c>
      <c r="C3" s="11" t="s">
        <v>197</v>
      </c>
      <c r="D3" s="11" t="s">
        <v>198</v>
      </c>
      <c r="E3" s="14" t="s">
        <v>199</v>
      </c>
      <c r="F3" s="15" t="s">
        <v>195</v>
      </c>
      <c r="G3" s="15" t="s">
        <v>196</v>
      </c>
      <c r="H3" s="15" t="s">
        <v>200</v>
      </c>
      <c r="I3" s="16" t="s">
        <v>6</v>
      </c>
      <c r="J3" s="17" t="s">
        <v>7</v>
      </c>
      <c r="K3" s="17" t="s">
        <v>201</v>
      </c>
      <c r="L3" s="15" t="s">
        <v>202</v>
      </c>
      <c r="M3" s="16" t="s">
        <v>197</v>
      </c>
    </row>
    <row r="4" spans="1:14">
      <c r="A4" s="11"/>
      <c r="B4" s="11"/>
      <c r="C4" s="18"/>
      <c r="D4" s="19"/>
      <c r="E4" s="20"/>
      <c r="F4" s="15"/>
      <c r="G4" s="15"/>
      <c r="H4" s="15"/>
      <c r="I4" s="21"/>
      <c r="J4" s="80"/>
      <c r="K4" s="22"/>
      <c r="L4" s="15"/>
      <c r="M4" s="26"/>
    </row>
    <row r="5" ht="15.75" spans="1:14">
      <c r="A5" s="11"/>
      <c r="B5" s="11"/>
      <c r="C5" s="54">
        <f>Таблица213399029467813[[#Totals],[2]]</f>
        <v>413683200</v>
      </c>
      <c r="D5" s="24"/>
      <c r="E5" s="25">
        <f>SUM(Таблица213399029467813[4])</f>
        <v>0</v>
      </c>
      <c r="F5" s="15"/>
      <c r="G5" s="15"/>
      <c r="H5" s="15"/>
      <c r="I5" s="26"/>
      <c r="J5" s="81">
        <f>SUM(Таблица213399029467813[113])</f>
        <v>590.976</v>
      </c>
      <c r="K5" s="10">
        <f>Таблица213399029467813[[#Totals],[1132]]</f>
        <v>342</v>
      </c>
      <c r="L5" s="15"/>
      <c r="M5" s="9">
        <f>Таблица213399029467813[[#Totals],[16]]</f>
        <v>413683200</v>
      </c>
    </row>
    <row r="6" spans="1:14">
      <c r="A6" s="27" t="s">
        <v>192</v>
      </c>
      <c r="B6" s="28" t="s">
        <v>203</v>
      </c>
      <c r="C6" s="28" t="s">
        <v>204</v>
      </c>
      <c r="D6" s="28" t="s">
        <v>205</v>
      </c>
      <c r="E6" s="28" t="s">
        <v>206</v>
      </c>
      <c r="F6" s="28" t="s">
        <v>207</v>
      </c>
      <c r="G6" s="28" t="s">
        <v>208</v>
      </c>
      <c r="H6" s="28" t="s">
        <v>209</v>
      </c>
      <c r="I6" s="28" t="s">
        <v>210</v>
      </c>
      <c r="J6" s="28" t="s">
        <v>211</v>
      </c>
      <c r="K6" s="28" t="s">
        <v>212</v>
      </c>
      <c r="L6" s="28" t="s">
        <v>213</v>
      </c>
      <c r="M6" s="28" t="s">
        <v>214</v>
      </c>
      <c r="N6" s="93" t="s">
        <v>218</v>
      </c>
    </row>
    <row r="7" ht="15" spans="1:14">
      <c r="A7" s="29">
        <v>1</v>
      </c>
      <c r="B7" s="101">
        <v>46207</v>
      </c>
      <c r="C7" s="102">
        <v>62947200</v>
      </c>
      <c r="D7" s="32" t="s">
        <v>233</v>
      </c>
      <c r="E7" s="33"/>
      <c r="F7" s="34">
        <f>Таблица213399029467813[[#This Row],[ ]]</f>
        <v>1</v>
      </c>
      <c r="G7" s="41">
        <v>46206</v>
      </c>
      <c r="H7" s="103" t="s">
        <v>79</v>
      </c>
      <c r="I7" s="36" t="s">
        <v>26</v>
      </c>
      <c r="J7" s="37">
        <v>32.832</v>
      </c>
      <c r="K7" s="104">
        <v>19</v>
      </c>
      <c r="L7" s="105">
        <v>700000</v>
      </c>
      <c r="M7" s="106">
        <f>Таблица213399029467813[[#This Row],[113]]*Таблица213399029467813[[#This Row],[15]]</f>
        <v>22982400</v>
      </c>
      <c r="N7" s="104"/>
    </row>
    <row r="8" spans="1:14">
      <c r="A8" s="29">
        <v>2</v>
      </c>
      <c r="B8" s="41">
        <v>46207</v>
      </c>
      <c r="C8" s="106">
        <v>6000000</v>
      </c>
      <c r="D8" s="32" t="s">
        <v>216</v>
      </c>
      <c r="E8" s="33"/>
      <c r="F8" s="34">
        <f>Таблица213399029467813[[#This Row],[ ]]</f>
        <v>2</v>
      </c>
      <c r="G8" s="101">
        <v>46206</v>
      </c>
      <c r="H8" s="107" t="s">
        <v>67</v>
      </c>
      <c r="I8" s="107" t="s">
        <v>26</v>
      </c>
      <c r="J8" s="107">
        <v>32.832</v>
      </c>
      <c r="K8" s="106">
        <v>19</v>
      </c>
      <c r="L8" s="108">
        <v>700000</v>
      </c>
      <c r="M8" s="106">
        <f>Таблица213399029467813[[#This Row],[113]]*Таблица213399029467813[[#This Row],[15]]</f>
        <v>22982400</v>
      </c>
      <c r="N8" s="108"/>
    </row>
    <row r="9" spans="1:14">
      <c r="A9" s="29">
        <v>3</v>
      </c>
      <c r="B9" s="41">
        <v>46209</v>
      </c>
      <c r="C9" s="106">
        <v>2000000</v>
      </c>
      <c r="D9" s="32" t="s">
        <v>216</v>
      </c>
      <c r="E9" s="33"/>
      <c r="F9" s="34">
        <f>Таблица213399029467813[[#This Row],[ ]]</f>
        <v>3</v>
      </c>
      <c r="G9" s="101">
        <v>46206</v>
      </c>
      <c r="H9" s="107" t="s">
        <v>80</v>
      </c>
      <c r="I9" s="107" t="s">
        <v>46</v>
      </c>
      <c r="J9" s="107">
        <v>32.832</v>
      </c>
      <c r="K9" s="106">
        <v>19</v>
      </c>
      <c r="L9" s="108">
        <v>700000</v>
      </c>
      <c r="M9" s="106">
        <f>Таблица213399029467813[[#This Row],[113]]*Таблица213399029467813[[#This Row],[15]]</f>
        <v>22982400</v>
      </c>
      <c r="N9" s="108"/>
    </row>
    <row r="10" ht="15" spans="1:14">
      <c r="A10" s="29">
        <v>4</v>
      </c>
      <c r="B10" s="101">
        <v>46209</v>
      </c>
      <c r="C10" s="102">
        <v>62947200</v>
      </c>
      <c r="D10" s="32" t="s">
        <v>233</v>
      </c>
      <c r="E10" s="33"/>
      <c r="F10" s="34">
        <f>Таблица213399029467813[[#This Row],[ ]]</f>
        <v>4</v>
      </c>
      <c r="G10" s="101">
        <v>46209</v>
      </c>
      <c r="H10" s="107" t="s">
        <v>88</v>
      </c>
      <c r="I10" s="107" t="s">
        <v>46</v>
      </c>
      <c r="J10" s="107">
        <v>32.832</v>
      </c>
      <c r="K10" s="106">
        <v>19</v>
      </c>
      <c r="L10" s="108">
        <v>700000</v>
      </c>
      <c r="M10" s="106">
        <f>Таблица213399029467813[[#This Row],[113]]*Таблица213399029467813[[#This Row],[15]]</f>
        <v>22982400</v>
      </c>
      <c r="N10" s="108"/>
    </row>
    <row r="11" spans="1:14">
      <c r="A11" s="29">
        <v>5</v>
      </c>
      <c r="B11" s="41">
        <v>46209</v>
      </c>
      <c r="C11" s="106">
        <v>4000000</v>
      </c>
      <c r="D11" s="32" t="s">
        <v>216</v>
      </c>
      <c r="E11" s="33"/>
      <c r="F11" s="34">
        <f>Таблица213399029467813[[#This Row],[ ]]</f>
        <v>5</v>
      </c>
      <c r="G11" s="101">
        <v>46210</v>
      </c>
      <c r="H11" s="107" t="s">
        <v>89</v>
      </c>
      <c r="I11" s="107" t="s">
        <v>46</v>
      </c>
      <c r="J11" s="107">
        <v>32.832</v>
      </c>
      <c r="K11" s="106">
        <v>19</v>
      </c>
      <c r="L11" s="108">
        <v>700000</v>
      </c>
      <c r="M11" s="106">
        <f>Таблица213399029467813[[#This Row],[113]]*Таблица213399029467813[[#This Row],[15]]</f>
        <v>22982400</v>
      </c>
      <c r="N11" s="108"/>
    </row>
    <row r="12" spans="1:14">
      <c r="A12" s="29">
        <v>6</v>
      </c>
      <c r="B12" s="41">
        <v>46216</v>
      </c>
      <c r="C12" s="106">
        <v>62347200</v>
      </c>
      <c r="D12" s="32" t="s">
        <v>233</v>
      </c>
      <c r="E12" s="33"/>
      <c r="F12" s="34">
        <f>Таблица213399029467813[[#This Row],[ ]]</f>
        <v>6</v>
      </c>
      <c r="G12" s="101">
        <v>46211</v>
      </c>
      <c r="H12" s="107" t="s">
        <v>100</v>
      </c>
      <c r="I12" s="107" t="s">
        <v>46</v>
      </c>
      <c r="J12" s="107">
        <v>32.832</v>
      </c>
      <c r="K12" s="106">
        <v>19</v>
      </c>
      <c r="L12" s="108">
        <v>700000</v>
      </c>
      <c r="M12" s="106">
        <f>Таблица213399029467813[[#This Row],[113]]*Таблица213399029467813[[#This Row],[15]]</f>
        <v>22982400</v>
      </c>
      <c r="N12" s="108"/>
    </row>
    <row r="13" spans="1:14">
      <c r="A13" s="29">
        <v>7</v>
      </c>
      <c r="B13" s="41">
        <v>46216</v>
      </c>
      <c r="C13" s="106">
        <v>6600000</v>
      </c>
      <c r="D13" s="32" t="s">
        <v>216</v>
      </c>
      <c r="E13" s="33"/>
      <c r="F13" s="34">
        <f>Таблица213399029467813[[#This Row],[ ]]</f>
        <v>7</v>
      </c>
      <c r="G13" s="101">
        <v>46214</v>
      </c>
      <c r="H13" s="107" t="s">
        <v>114</v>
      </c>
      <c r="I13" s="107" t="s">
        <v>26</v>
      </c>
      <c r="J13" s="107">
        <v>32.832</v>
      </c>
      <c r="K13" s="108">
        <v>19</v>
      </c>
      <c r="L13" s="106">
        <v>700000</v>
      </c>
      <c r="M13" s="106">
        <f>Таблица213399029467813[[#This Row],[113]]*Таблица213399029467813[[#This Row],[15]]</f>
        <v>22982400</v>
      </c>
      <c r="N13" s="108">
        <v>2200000</v>
      </c>
    </row>
    <row r="14" spans="1:14">
      <c r="A14" s="29">
        <v>8</v>
      </c>
      <c r="B14" s="41">
        <v>46218</v>
      </c>
      <c r="C14" s="106">
        <v>5000000</v>
      </c>
      <c r="D14" s="32" t="s">
        <v>216</v>
      </c>
      <c r="E14" s="33"/>
      <c r="F14" s="34">
        <f>Таблица213399029467813[[#This Row],[ ]]</f>
        <v>8</v>
      </c>
      <c r="G14" s="101">
        <v>46216</v>
      </c>
      <c r="H14" s="107" t="s">
        <v>125</v>
      </c>
      <c r="I14" s="107" t="s">
        <v>46</v>
      </c>
      <c r="J14" s="107">
        <v>32.832</v>
      </c>
      <c r="K14" s="108">
        <v>19</v>
      </c>
      <c r="L14" s="106">
        <v>700000</v>
      </c>
      <c r="M14" s="106">
        <f>Таблица213399029467813[[#This Row],[113]]*Таблица213399029467813[[#This Row],[15]]</f>
        <v>22982400</v>
      </c>
      <c r="N14" s="108">
        <v>2200000</v>
      </c>
    </row>
    <row r="15" spans="1:14">
      <c r="A15" s="29">
        <v>9</v>
      </c>
      <c r="B15" s="41">
        <v>46218</v>
      </c>
      <c r="C15" s="106">
        <v>184341600</v>
      </c>
      <c r="D15" s="32" t="s">
        <v>234</v>
      </c>
      <c r="E15" s="33"/>
      <c r="F15" s="34">
        <f>Таблица213399029467813[[#This Row],[ ]]</f>
        <v>9</v>
      </c>
      <c r="G15" s="101">
        <v>46216</v>
      </c>
      <c r="H15" s="107" t="s">
        <v>118</v>
      </c>
      <c r="I15" s="107" t="s">
        <v>26</v>
      </c>
      <c r="J15" s="107">
        <v>32.832</v>
      </c>
      <c r="K15" s="108">
        <v>19</v>
      </c>
      <c r="L15" s="106">
        <v>700000</v>
      </c>
      <c r="M15" s="106">
        <f>Таблица213399029467813[[#This Row],[113]]*Таблица213399029467813[[#This Row],[15]]</f>
        <v>22982400</v>
      </c>
      <c r="N15" s="108">
        <v>2200000</v>
      </c>
    </row>
    <row r="16" spans="1:14">
      <c r="A16" s="29">
        <v>10</v>
      </c>
      <c r="B16" s="41">
        <v>46219</v>
      </c>
      <c r="C16" s="106">
        <v>5000000</v>
      </c>
      <c r="D16" s="32" t="s">
        <v>216</v>
      </c>
      <c r="E16" s="33"/>
      <c r="F16" s="34">
        <f>Таблица213399029467813[[#This Row],[ ]]</f>
        <v>10</v>
      </c>
      <c r="G16" s="101">
        <v>46217</v>
      </c>
      <c r="H16" s="107" t="s">
        <v>137</v>
      </c>
      <c r="I16" s="107" t="s">
        <v>26</v>
      </c>
      <c r="J16" s="107">
        <v>32.832</v>
      </c>
      <c r="K16" s="108">
        <v>19</v>
      </c>
      <c r="L16" s="106">
        <v>700000</v>
      </c>
      <c r="M16" s="106">
        <f>Таблица213399029467813[[#This Row],[113]]*Таблица213399029467813[[#This Row],[15]]</f>
        <v>22982400</v>
      </c>
      <c r="N16" s="108">
        <v>2500000</v>
      </c>
    </row>
    <row r="17" spans="1:14">
      <c r="A17" s="29">
        <v>11</v>
      </c>
      <c r="B17" s="41">
        <v>46220</v>
      </c>
      <c r="C17" s="106">
        <v>5000000</v>
      </c>
      <c r="D17" s="32" t="s">
        <v>216</v>
      </c>
      <c r="E17" s="33"/>
      <c r="F17" s="34">
        <f>Таблица213399029467813[[#This Row],[ ]]</f>
        <v>11</v>
      </c>
      <c r="G17" s="101">
        <v>46218</v>
      </c>
      <c r="H17" s="107" t="s">
        <v>142</v>
      </c>
      <c r="I17" s="107" t="s">
        <v>26</v>
      </c>
      <c r="J17" s="107">
        <v>32.832</v>
      </c>
      <c r="K17" s="108">
        <v>19</v>
      </c>
      <c r="L17" s="106">
        <v>700000</v>
      </c>
      <c r="M17" s="106">
        <f>Таблица213399029467813[[#This Row],[113]]*Таблица213399029467813[[#This Row],[15]]</f>
        <v>22982400</v>
      </c>
      <c r="N17" s="108">
        <v>2500000</v>
      </c>
    </row>
    <row r="18" spans="1:14">
      <c r="A18" s="29">
        <v>12</v>
      </c>
      <c r="B18" s="55">
        <v>46221</v>
      </c>
      <c r="C18" s="106">
        <v>5000000</v>
      </c>
      <c r="D18" s="32" t="s">
        <v>216</v>
      </c>
      <c r="E18" s="33"/>
      <c r="F18" s="34">
        <f>Таблица213399029467813[[#This Row],[ ]]</f>
        <v>12</v>
      </c>
      <c r="G18" s="101">
        <v>46219</v>
      </c>
      <c r="H18" s="107" t="s">
        <v>152</v>
      </c>
      <c r="I18" s="107" t="s">
        <v>26</v>
      </c>
      <c r="J18" s="107">
        <v>32.832</v>
      </c>
      <c r="K18" s="108">
        <v>19</v>
      </c>
      <c r="L18" s="106">
        <v>700000</v>
      </c>
      <c r="M18" s="106">
        <f>Таблица213399029467813[[#This Row],[113]]*Таблица213399029467813[[#This Row],[15]]</f>
        <v>22982400</v>
      </c>
      <c r="N18" s="108">
        <v>2500000</v>
      </c>
    </row>
    <row r="19" spans="1:14">
      <c r="A19" s="29">
        <v>13</v>
      </c>
      <c r="B19" s="55">
        <v>46223</v>
      </c>
      <c r="C19" s="33">
        <v>2500000</v>
      </c>
      <c r="D19" s="32" t="s">
        <v>216</v>
      </c>
      <c r="E19" s="33"/>
      <c r="F19" s="34">
        <f>Таблица213399029467813[[#This Row],[ ]]</f>
        <v>13</v>
      </c>
      <c r="G19" s="101">
        <v>46219</v>
      </c>
      <c r="H19" s="107" t="s">
        <v>118</v>
      </c>
      <c r="I19" s="107" t="s">
        <v>26</v>
      </c>
      <c r="J19" s="107">
        <v>32.832</v>
      </c>
      <c r="K19" s="108">
        <v>19</v>
      </c>
      <c r="L19" s="106">
        <v>700000</v>
      </c>
      <c r="M19" s="106">
        <f>Таблица213399029467813[[#This Row],[113]]*Таблица213399029467813[[#This Row],[15]]</f>
        <v>22982400</v>
      </c>
      <c r="N19" s="108">
        <v>2500000</v>
      </c>
    </row>
    <row r="20" spans="1:14">
      <c r="A20" s="40">
        <v>14</v>
      </c>
      <c r="B20" s="55"/>
      <c r="C20" s="33"/>
      <c r="D20" s="32"/>
      <c r="E20" s="42"/>
      <c r="F20" s="43">
        <f>Таблица213399029467813[[#This Row],[ ]]</f>
        <v>14</v>
      </c>
      <c r="G20" s="101">
        <v>46220</v>
      </c>
      <c r="H20" s="107" t="s">
        <v>160</v>
      </c>
      <c r="I20" s="107" t="s">
        <v>26</v>
      </c>
      <c r="J20" s="107">
        <v>32.832</v>
      </c>
      <c r="K20" s="108">
        <v>19</v>
      </c>
      <c r="L20" s="106">
        <v>700000</v>
      </c>
      <c r="M20" s="109">
        <f>Таблица213399029467813[[#This Row],[113]]*Таблица213399029467813[[#This Row],[15]]</f>
        <v>22982400</v>
      </c>
      <c r="N20" s="110"/>
    </row>
    <row r="21" spans="1:14">
      <c r="A21" s="40">
        <v>15</v>
      </c>
      <c r="B21" s="55"/>
      <c r="C21" s="33"/>
      <c r="D21" s="32"/>
      <c r="E21" s="42"/>
      <c r="F21" s="43">
        <f>Таблица213399029467813[[#This Row],[ ]]</f>
        <v>15</v>
      </c>
      <c r="G21" s="30">
        <v>46220</v>
      </c>
      <c r="H21" s="39" t="s">
        <v>161</v>
      </c>
      <c r="I21" s="39" t="s">
        <v>26</v>
      </c>
      <c r="J21" s="39">
        <v>32.832</v>
      </c>
      <c r="K21" s="44">
        <v>19</v>
      </c>
      <c r="L21" s="33">
        <v>700000</v>
      </c>
      <c r="M21" s="109">
        <f>Таблица213399029467813[[#This Row],[113]]*Таблица213399029467813[[#This Row],[15]]</f>
        <v>22982400</v>
      </c>
      <c r="N21" s="110"/>
    </row>
    <row r="22" spans="1:14">
      <c r="A22" s="40">
        <v>16</v>
      </c>
      <c r="B22" s="55"/>
      <c r="C22" s="33"/>
      <c r="D22" s="32"/>
      <c r="E22" s="42"/>
      <c r="F22" s="43">
        <f>Таблица213399029467813[[#This Row],[ ]]</f>
        <v>16</v>
      </c>
      <c r="G22" s="30">
        <v>46221</v>
      </c>
      <c r="H22" s="39" t="s">
        <v>164</v>
      </c>
      <c r="I22" s="39" t="s">
        <v>46</v>
      </c>
      <c r="J22" s="39">
        <v>32.832</v>
      </c>
      <c r="K22" s="44">
        <v>19</v>
      </c>
      <c r="L22" s="33">
        <v>700000</v>
      </c>
      <c r="M22" s="109">
        <f>Таблица213399029467813[[#This Row],[113]]*Таблица213399029467813[[#This Row],[15]]</f>
        <v>22982400</v>
      </c>
      <c r="N22" s="110"/>
    </row>
    <row r="23" spans="1:14">
      <c r="A23" s="40">
        <v>17</v>
      </c>
      <c r="B23" s="55"/>
      <c r="C23" s="33"/>
      <c r="D23" s="32"/>
      <c r="E23" s="42"/>
      <c r="F23" s="43">
        <f>Таблица213399029467813[[#This Row],[ ]]</f>
        <v>17</v>
      </c>
      <c r="G23" s="30">
        <v>46221</v>
      </c>
      <c r="H23" s="39" t="s">
        <v>47</v>
      </c>
      <c r="I23" s="39" t="s">
        <v>46</v>
      </c>
      <c r="J23" s="39">
        <v>32.832</v>
      </c>
      <c r="K23" s="44">
        <v>19</v>
      </c>
      <c r="L23" s="33">
        <v>700000</v>
      </c>
      <c r="M23" s="109">
        <f>Таблица213399029467813[[#This Row],[113]]*Таблица213399029467813[[#This Row],[15]]</f>
        <v>22982400</v>
      </c>
      <c r="N23" s="110"/>
    </row>
    <row r="24" spans="1:14">
      <c r="A24" s="40">
        <v>18</v>
      </c>
      <c r="B24" s="55"/>
      <c r="C24" s="33"/>
      <c r="D24" s="32"/>
      <c r="E24" s="42"/>
      <c r="F24" s="43">
        <f>Таблица213399029467813[[#This Row],[ ]]</f>
        <v>18</v>
      </c>
      <c r="G24" s="30">
        <v>46223</v>
      </c>
      <c r="H24" s="39" t="s">
        <v>134</v>
      </c>
      <c r="I24" s="39" t="s">
        <v>26</v>
      </c>
      <c r="J24" s="39">
        <v>32.832</v>
      </c>
      <c r="K24" s="44">
        <v>19</v>
      </c>
      <c r="L24" s="33">
        <v>700000</v>
      </c>
      <c r="M24" s="109">
        <f>Таблица213399029467813[[#This Row],[113]]*Таблица213399029467813[[#This Row],[15]]</f>
        <v>22982400</v>
      </c>
      <c r="N24" s="110"/>
    </row>
    <row r="25" spans="1:14">
      <c r="A25" s="40">
        <v>19</v>
      </c>
      <c r="B25" s="55"/>
      <c r="C25" s="33"/>
      <c r="D25" s="32"/>
      <c r="E25" s="42"/>
      <c r="F25" s="43">
        <f>Таблица213399029467813[[#This Row],[ ]]</f>
        <v>19</v>
      </c>
      <c r="G25" s="111"/>
      <c r="H25" s="112"/>
      <c r="I25" s="112"/>
      <c r="J25" s="112"/>
      <c r="K25" s="110"/>
      <c r="L25" s="109"/>
      <c r="M25" s="109">
        <f>Таблица213399029467813[[#This Row],[113]]*Таблица213399029467813[[#This Row],[15]]</f>
        <v>0</v>
      </c>
      <c r="N25" s="110"/>
    </row>
    <row r="26" spans="1:14">
      <c r="A26" s="48"/>
      <c r="B26" s="59"/>
      <c r="C26" s="33">
        <f>SUBTOTAL(109,Таблица213399029467813[2])</f>
        <v>413683200</v>
      </c>
      <c r="D26" s="33"/>
      <c r="E26" s="42"/>
      <c r="F26" s="49"/>
      <c r="G26" s="46"/>
      <c r="H26" s="43"/>
      <c r="I26" s="43"/>
      <c r="J26" s="43"/>
      <c r="K26" s="43">
        <f>SUBTOTAL(109,Таблица213399029467813[1132])</f>
        <v>342</v>
      </c>
      <c r="L26" s="50"/>
      <c r="M26" s="50">
        <f>SUBTOTAL(109,Таблица213399029467813[16])</f>
        <v>413683200</v>
      </c>
      <c r="N26" s="43"/>
    </row>
    <row r="28" ht="18.75" spans="1:14">
      <c r="A28" s="1"/>
      <c r="B28" s="2"/>
      <c r="C28" s="3" t="s">
        <v>192</v>
      </c>
      <c r="D28" s="79" t="s">
        <v>235</v>
      </c>
      <c r="E28" s="5"/>
      <c r="J28" s="113"/>
    </row>
    <row r="29" ht="20.25" spans="1:14">
      <c r="A29" s="7" t="s">
        <v>194</v>
      </c>
      <c r="B29" s="7"/>
      <c r="C29" s="8"/>
      <c r="D29" s="8"/>
      <c r="E29" s="8"/>
      <c r="F29" s="52">
        <f>Таблица21339902946781316[[#Totals],[2]]+-Таблица21339902946781316[[#Totals],[16]]</f>
        <v>752800</v>
      </c>
      <c r="G29" s="53"/>
      <c r="K29" s="10">
        <f>K32</f>
        <v>57</v>
      </c>
    </row>
    <row r="30" spans="1:14">
      <c r="A30" s="11" t="s">
        <v>195</v>
      </c>
      <c r="B30" s="11" t="s">
        <v>196</v>
      </c>
      <c r="C30" s="11" t="s">
        <v>197</v>
      </c>
      <c r="D30" s="11" t="s">
        <v>198</v>
      </c>
      <c r="E30" s="14" t="s">
        <v>199</v>
      </c>
      <c r="F30" s="15" t="s">
        <v>195</v>
      </c>
      <c r="G30" s="15" t="s">
        <v>196</v>
      </c>
      <c r="H30" s="15" t="s">
        <v>200</v>
      </c>
      <c r="I30" s="16" t="s">
        <v>6</v>
      </c>
      <c r="J30" s="17" t="s">
        <v>7</v>
      </c>
      <c r="K30" s="17" t="s">
        <v>201</v>
      </c>
      <c r="L30" s="15" t="s">
        <v>202</v>
      </c>
      <c r="M30" s="16" t="s">
        <v>197</v>
      </c>
    </row>
    <row r="31" spans="1:14">
      <c r="A31" s="11"/>
      <c r="B31" s="11"/>
      <c r="C31" s="18"/>
      <c r="D31" s="19"/>
      <c r="E31" s="20"/>
      <c r="F31" s="15"/>
      <c r="G31" s="15"/>
      <c r="H31" s="15"/>
      <c r="I31" s="21"/>
      <c r="J31" s="80"/>
      <c r="K31" s="22"/>
      <c r="L31" s="15"/>
      <c r="M31" s="26"/>
    </row>
    <row r="32" ht="15.75" spans="1:14">
      <c r="A32" s="11"/>
      <c r="B32" s="11"/>
      <c r="C32" s="54">
        <f>Таблица21339902946781316[[#Totals],[2]]</f>
        <v>69700000</v>
      </c>
      <c r="D32" s="24"/>
      <c r="E32" s="25">
        <f>SUM(Таблица21339902946781316[4])</f>
        <v>0</v>
      </c>
      <c r="F32" s="15"/>
      <c r="G32" s="15"/>
      <c r="H32" s="15"/>
      <c r="I32" s="26"/>
      <c r="J32" s="81">
        <f>SUM(Таблица21339902946781316[113])</f>
        <v>98.496</v>
      </c>
      <c r="K32" s="10">
        <f>Таблица21339902946781316[[#Totals],[1132]]</f>
        <v>57</v>
      </c>
      <c r="L32" s="15"/>
      <c r="M32" s="9">
        <f>Таблица21339902946781316[[#Totals],[16]]</f>
        <v>68947200</v>
      </c>
    </row>
    <row r="33" spans="1:14">
      <c r="A33" s="27" t="s">
        <v>192</v>
      </c>
      <c r="B33" s="28" t="s">
        <v>203</v>
      </c>
      <c r="C33" s="28" t="s">
        <v>204</v>
      </c>
      <c r="D33" s="28" t="s">
        <v>205</v>
      </c>
      <c r="E33" s="28" t="s">
        <v>206</v>
      </c>
      <c r="F33" s="28" t="s">
        <v>207</v>
      </c>
      <c r="G33" s="28" t="s">
        <v>208</v>
      </c>
      <c r="H33" s="28" t="s">
        <v>209</v>
      </c>
      <c r="I33" s="28" t="s">
        <v>210</v>
      </c>
      <c r="J33" s="28" t="s">
        <v>211</v>
      </c>
      <c r="K33" s="28" t="s">
        <v>212</v>
      </c>
      <c r="L33" s="28" t="s">
        <v>213</v>
      </c>
      <c r="M33" s="28" t="s">
        <v>214</v>
      </c>
    </row>
    <row r="34" ht="15" spans="1:14">
      <c r="A34" s="29">
        <v>1</v>
      </c>
      <c r="B34" s="30">
        <v>46209</v>
      </c>
      <c r="C34" s="31">
        <v>21000000</v>
      </c>
      <c r="D34" s="32" t="s">
        <v>236</v>
      </c>
      <c r="E34" s="33"/>
      <c r="F34" s="34">
        <f>Таблица21339902946781316[[#This Row],[ ]]</f>
        <v>1</v>
      </c>
      <c r="G34" s="32">
        <v>46209</v>
      </c>
      <c r="H34" s="35" t="s">
        <v>83</v>
      </c>
      <c r="I34" s="36" t="s">
        <v>26</v>
      </c>
      <c r="J34" s="37">
        <v>32.832</v>
      </c>
      <c r="K34" s="38">
        <v>19</v>
      </c>
      <c r="L34" s="34">
        <v>700000</v>
      </c>
      <c r="M34" s="33">
        <f>Таблица21339902946781316[[#This Row],[113]]*Таблица21339902946781316[[#This Row],[15]]</f>
        <v>22982400</v>
      </c>
    </row>
    <row r="35" spans="1:14">
      <c r="A35" s="29">
        <v>2</v>
      </c>
      <c r="B35" s="30">
        <v>46209</v>
      </c>
      <c r="C35" s="33">
        <v>2000000</v>
      </c>
      <c r="D35" s="32" t="s">
        <v>216</v>
      </c>
      <c r="E35" s="33"/>
      <c r="F35" s="34">
        <f>Таблица21339902946781316[[#This Row],[ ]]</f>
        <v>2</v>
      </c>
      <c r="G35" s="30">
        <v>46213</v>
      </c>
      <c r="H35" s="39" t="s">
        <v>104</v>
      </c>
      <c r="I35" s="39" t="s">
        <v>46</v>
      </c>
      <c r="J35" s="39">
        <v>32.832</v>
      </c>
      <c r="K35" s="33">
        <v>19</v>
      </c>
      <c r="L35" s="44">
        <v>700000</v>
      </c>
      <c r="M35" s="33">
        <f>Таблица21339902946781316[[#This Row],[113]]*Таблица21339902946781316[[#This Row],[15]]</f>
        <v>22982400</v>
      </c>
    </row>
    <row r="36" spans="1:14">
      <c r="A36" s="29">
        <v>3</v>
      </c>
      <c r="B36" s="30">
        <v>46212</v>
      </c>
      <c r="C36" s="33">
        <v>21000000</v>
      </c>
      <c r="D36" s="32" t="s">
        <v>237</v>
      </c>
      <c r="E36" s="33"/>
      <c r="F36" s="34">
        <f>Таблица21339902946781316[[#This Row],[ ]]</f>
        <v>3</v>
      </c>
      <c r="G36" s="30">
        <v>46223</v>
      </c>
      <c r="H36" s="39" t="s">
        <v>174</v>
      </c>
      <c r="I36" s="39" t="s">
        <v>46</v>
      </c>
      <c r="J36" s="39">
        <v>32.832</v>
      </c>
      <c r="K36" s="33">
        <v>19</v>
      </c>
      <c r="L36" s="44">
        <v>700000</v>
      </c>
      <c r="M36" s="33">
        <f>Таблица21339902946781316[[#This Row],[113]]*Таблица21339902946781316[[#This Row],[15]]</f>
        <v>22982400</v>
      </c>
    </row>
    <row r="37" spans="1:14">
      <c r="A37" s="29">
        <v>4</v>
      </c>
      <c r="B37" s="30">
        <v>46213</v>
      </c>
      <c r="C37" s="33">
        <v>21000000</v>
      </c>
      <c r="D37" s="32" t="s">
        <v>237</v>
      </c>
      <c r="E37" s="33"/>
      <c r="F37" s="34">
        <f>Таблица21339902946781316[[#This Row],[ ]]</f>
        <v>4</v>
      </c>
      <c r="G37" s="30"/>
      <c r="H37" s="39"/>
      <c r="I37" s="39"/>
      <c r="J37" s="39"/>
      <c r="K37" s="33"/>
      <c r="L37" s="44"/>
      <c r="M37" s="33">
        <f>Таблица21339902946781316[[#This Row],[113]]*Таблица21339902946781316[[#This Row],[15]]</f>
        <v>0</v>
      </c>
    </row>
    <row r="38" spans="1:14">
      <c r="A38" s="29">
        <v>5</v>
      </c>
      <c r="B38" s="30">
        <v>46213</v>
      </c>
      <c r="C38" s="33">
        <v>2200000</v>
      </c>
      <c r="D38" s="32" t="s">
        <v>216</v>
      </c>
      <c r="E38" s="33"/>
      <c r="F38" s="34">
        <f>Таблица21339902946781316[[#This Row],[ ]]</f>
        <v>5</v>
      </c>
      <c r="G38" s="30"/>
      <c r="H38" s="39"/>
      <c r="I38" s="39"/>
      <c r="J38" s="39"/>
      <c r="K38" s="33"/>
      <c r="L38" s="44"/>
      <c r="M38" s="33">
        <f>Таблица21339902946781316[[#This Row],[113]]*Таблица21339902946781316[[#This Row],[15]]</f>
        <v>0</v>
      </c>
    </row>
    <row r="39" spans="1:14">
      <c r="A39" s="29">
        <v>6</v>
      </c>
      <c r="B39" s="30">
        <v>46223</v>
      </c>
      <c r="C39" s="33">
        <v>2500000</v>
      </c>
      <c r="D39" s="32" t="s">
        <v>216</v>
      </c>
      <c r="E39" s="33"/>
      <c r="F39" s="34">
        <f>Таблица21339902946781316[[#This Row],[ ]]</f>
        <v>6</v>
      </c>
      <c r="G39" s="30"/>
      <c r="H39" s="39"/>
      <c r="I39" s="39"/>
      <c r="J39" s="39"/>
      <c r="K39" s="33"/>
      <c r="L39" s="44"/>
      <c r="M39" s="33">
        <f>Таблица21339902946781316[[#This Row],[113]]*Таблица21339902946781316[[#This Row],[15]]</f>
        <v>0</v>
      </c>
    </row>
    <row r="40" spans="1:14">
      <c r="A40" s="48"/>
      <c r="B40" s="59"/>
      <c r="C40" s="33">
        <f>SUBTOTAL(109,Таблица21339902946781316[2])</f>
        <v>69700000</v>
      </c>
      <c r="D40" s="33"/>
      <c r="E40" s="42"/>
      <c r="F40" s="49"/>
      <c r="G40" s="46"/>
      <c r="H40" s="43"/>
      <c r="I40" s="43"/>
      <c r="J40" s="43"/>
      <c r="K40" s="43">
        <f>SUBTOTAL(109,Таблица21339902946781316[1132])</f>
        <v>57</v>
      </c>
      <c r="L40" s="50"/>
      <c r="M40" s="50">
        <f>SUBTOTAL(109,Таблица21339902946781316[16])</f>
        <v>68947200</v>
      </c>
    </row>
    <row r="42" ht="18.75" spans="1:14">
      <c r="A42" s="1"/>
      <c r="B42" s="2"/>
      <c r="C42" s="3" t="s">
        <v>192</v>
      </c>
      <c r="D42" s="79" t="s">
        <v>238</v>
      </c>
      <c r="E42" s="5"/>
    </row>
    <row r="43" ht="20.25" spans="1:14">
      <c r="A43" s="7" t="s">
        <v>194</v>
      </c>
      <c r="B43" s="7"/>
      <c r="C43" s="8"/>
      <c r="D43" s="8"/>
      <c r="E43" s="8"/>
      <c r="F43" s="52">
        <f>Таблица2133990294678131619[[#Totals],[2]]+-Таблица2133990294678131619[[#Totals],[16]]</f>
        <v>200600</v>
      </c>
      <c r="G43" s="53"/>
      <c r="K43" s="10">
        <f>K46</f>
        <v>152</v>
      </c>
    </row>
    <row r="44" spans="1:14">
      <c r="A44" s="11" t="s">
        <v>195</v>
      </c>
      <c r="B44" s="11" t="s">
        <v>196</v>
      </c>
      <c r="C44" s="11" t="s">
        <v>197</v>
      </c>
      <c r="D44" s="11" t="s">
        <v>198</v>
      </c>
      <c r="E44" s="14" t="s">
        <v>199</v>
      </c>
      <c r="F44" s="15" t="s">
        <v>195</v>
      </c>
      <c r="G44" s="15" t="s">
        <v>196</v>
      </c>
      <c r="H44" s="15" t="s">
        <v>200</v>
      </c>
      <c r="I44" s="16" t="s">
        <v>6</v>
      </c>
      <c r="J44" s="17" t="s">
        <v>7</v>
      </c>
      <c r="K44" s="17" t="s">
        <v>201</v>
      </c>
      <c r="L44" s="15" t="s">
        <v>202</v>
      </c>
      <c r="M44" s="16" t="s">
        <v>197</v>
      </c>
    </row>
    <row r="45" spans="1:14">
      <c r="A45" s="11"/>
      <c r="B45" s="11"/>
      <c r="C45" s="18"/>
      <c r="D45" s="19"/>
      <c r="E45" s="20"/>
      <c r="F45" s="15"/>
      <c r="G45" s="15"/>
      <c r="H45" s="15"/>
      <c r="I45" s="21"/>
      <c r="J45" s="80"/>
      <c r="K45" s="22"/>
      <c r="L45" s="15"/>
      <c r="M45" s="26"/>
    </row>
    <row r="46" ht="15.75" spans="1:14">
      <c r="A46" s="11"/>
      <c r="B46" s="11"/>
      <c r="C46" s="54">
        <f>Таблица2133990294678131619[[#Totals],[2]]</f>
        <v>184059800</v>
      </c>
      <c r="D46" s="24"/>
      <c r="E46" s="25">
        <f>SUM(Таблица2133990294678131619[4])</f>
        <v>0</v>
      </c>
      <c r="F46" s="15"/>
      <c r="G46" s="15"/>
      <c r="H46" s="15"/>
      <c r="I46" s="26"/>
      <c r="J46" s="81">
        <f>SUM(Таблица2133990294678131619[113])</f>
        <v>262.656</v>
      </c>
      <c r="K46" s="10">
        <f>Таблица2133990294678131619[[#Totals],[1132]]</f>
        <v>152</v>
      </c>
      <c r="L46" s="15"/>
      <c r="M46" s="9">
        <f>Таблица2133990294678131619[[#Totals],[16]]</f>
        <v>183859200</v>
      </c>
    </row>
    <row r="47" spans="1:14">
      <c r="A47" s="27" t="s">
        <v>192</v>
      </c>
      <c r="B47" s="28" t="s">
        <v>203</v>
      </c>
      <c r="C47" s="28" t="s">
        <v>204</v>
      </c>
      <c r="D47" s="28" t="s">
        <v>205</v>
      </c>
      <c r="E47" s="28" t="s">
        <v>206</v>
      </c>
      <c r="F47" s="28" t="s">
        <v>207</v>
      </c>
      <c r="G47" s="28" t="s">
        <v>208</v>
      </c>
      <c r="H47" s="28" t="s">
        <v>209</v>
      </c>
      <c r="I47" s="28" t="s">
        <v>210</v>
      </c>
      <c r="J47" s="28" t="s">
        <v>211</v>
      </c>
      <c r="K47" s="28" t="s">
        <v>212</v>
      </c>
      <c r="L47" s="28" t="s">
        <v>213</v>
      </c>
      <c r="M47" s="28" t="s">
        <v>214</v>
      </c>
      <c r="N47" s="93" t="s">
        <v>218</v>
      </c>
    </row>
    <row r="48" spans="1:14">
      <c r="A48" s="29">
        <v>1</v>
      </c>
      <c r="B48" s="30">
        <v>46212</v>
      </c>
      <c r="C48" s="33">
        <v>41964800</v>
      </c>
      <c r="D48" s="32" t="s">
        <v>239</v>
      </c>
      <c r="E48" s="33"/>
      <c r="F48" s="34">
        <f>Таблица2133990294678131619[[#This Row],[ ]]</f>
        <v>1</v>
      </c>
      <c r="G48" s="114">
        <v>46212</v>
      </c>
      <c r="H48" s="115" t="s">
        <v>79</v>
      </c>
      <c r="I48" s="115" t="s">
        <v>46</v>
      </c>
      <c r="J48" s="39">
        <v>32.832</v>
      </c>
      <c r="K48" s="33">
        <v>19</v>
      </c>
      <c r="L48" s="44">
        <v>700000</v>
      </c>
      <c r="M48" s="33">
        <f>Таблица2133990294678131619[[#This Row],[113]]*Таблица2133990294678131619[[#This Row],[15]]</f>
        <v>22982400</v>
      </c>
      <c r="N48" s="38">
        <v>2000000</v>
      </c>
    </row>
    <row r="49" spans="1:14">
      <c r="A49" s="29">
        <v>2</v>
      </c>
      <c r="B49" s="30">
        <v>46212</v>
      </c>
      <c r="C49" s="33">
        <v>2000000</v>
      </c>
      <c r="D49" s="32" t="s">
        <v>216</v>
      </c>
      <c r="E49" s="33"/>
      <c r="F49" s="34">
        <f>Таблица2133990294678131619[[#This Row],[ ]]</f>
        <v>2</v>
      </c>
      <c r="G49" s="114">
        <v>46213</v>
      </c>
      <c r="H49" s="115" t="s">
        <v>103</v>
      </c>
      <c r="I49" s="115" t="s">
        <v>26</v>
      </c>
      <c r="J49" s="39">
        <v>32.832</v>
      </c>
      <c r="K49" s="33">
        <v>19</v>
      </c>
      <c r="L49" s="44">
        <v>700000</v>
      </c>
      <c r="M49" s="33">
        <f>Таблица2133990294678131619[[#This Row],[113]]*Таблица2133990294678131619[[#This Row],[15]]</f>
        <v>22982400</v>
      </c>
      <c r="N49" s="44">
        <v>2200000</v>
      </c>
    </row>
    <row r="50" spans="1:14">
      <c r="A50" s="29">
        <v>3</v>
      </c>
      <c r="B50" s="30">
        <v>46213</v>
      </c>
      <c r="C50" s="33">
        <v>2200000</v>
      </c>
      <c r="D50" s="32" t="s">
        <v>216</v>
      </c>
      <c r="E50" s="33"/>
      <c r="F50" s="34">
        <f>Таблица2133990294678131619[[#This Row],[ ]]</f>
        <v>3</v>
      </c>
      <c r="G50" s="30">
        <v>46216</v>
      </c>
      <c r="H50" s="39" t="s">
        <v>126</v>
      </c>
      <c r="I50" s="39" t="s">
        <v>26</v>
      </c>
      <c r="J50" s="39">
        <v>32.832</v>
      </c>
      <c r="K50" s="44">
        <v>19</v>
      </c>
      <c r="L50" s="44">
        <v>700000</v>
      </c>
      <c r="M50" s="44">
        <f>Таблица2133990294678131619[[#This Row],[113]]*Таблица2133990294678131619[[#This Row],[15]]</f>
        <v>22982400</v>
      </c>
      <c r="N50" s="44">
        <v>2300000</v>
      </c>
    </row>
    <row r="51" spans="1:14">
      <c r="A51" s="29">
        <v>4</v>
      </c>
      <c r="B51" s="30">
        <v>46216</v>
      </c>
      <c r="C51" s="33">
        <v>41365000</v>
      </c>
      <c r="D51" s="32" t="s">
        <v>240</v>
      </c>
      <c r="E51" s="33"/>
      <c r="F51" s="34">
        <f>Таблица2133990294678131619[[#This Row],[ ]]</f>
        <v>4</v>
      </c>
      <c r="G51" s="30">
        <v>46217</v>
      </c>
      <c r="H51" s="39" t="s">
        <v>127</v>
      </c>
      <c r="I51" s="39" t="s">
        <v>26</v>
      </c>
      <c r="J51" s="39">
        <v>32.832</v>
      </c>
      <c r="K51" s="44">
        <v>19</v>
      </c>
      <c r="L51" s="44">
        <v>700000</v>
      </c>
      <c r="M51" s="44">
        <f>Таблица2133990294678131619[[#This Row],[113]]*Таблица2133990294678131619[[#This Row],[15]]</f>
        <v>22982400</v>
      </c>
      <c r="N51" s="44">
        <v>2300000</v>
      </c>
    </row>
    <row r="52" spans="1:14">
      <c r="A52" s="29">
        <v>5</v>
      </c>
      <c r="B52" s="30">
        <v>46216</v>
      </c>
      <c r="C52" s="33">
        <v>2300000</v>
      </c>
      <c r="D52" s="33" t="s">
        <v>216</v>
      </c>
      <c r="E52" s="33"/>
      <c r="F52" s="34">
        <f>Таблица2133990294678131619[[#This Row],[ ]]</f>
        <v>5</v>
      </c>
      <c r="G52" s="30">
        <v>46219</v>
      </c>
      <c r="H52" s="39" t="s">
        <v>153</v>
      </c>
      <c r="I52" s="39" t="s">
        <v>26</v>
      </c>
      <c r="J52" s="39">
        <v>32.832</v>
      </c>
      <c r="K52" s="44">
        <v>19</v>
      </c>
      <c r="L52" s="44">
        <v>700000</v>
      </c>
      <c r="M52" s="44">
        <f>Таблица2133990294678131619[[#This Row],[113]]*Таблица2133990294678131619[[#This Row],[15]]</f>
        <v>22982400</v>
      </c>
      <c r="N52" s="44">
        <v>2500000</v>
      </c>
    </row>
    <row r="53" spans="1:14">
      <c r="A53" s="29">
        <v>6</v>
      </c>
      <c r="B53" s="30">
        <v>46217</v>
      </c>
      <c r="C53" s="33">
        <v>2300000</v>
      </c>
      <c r="D53" s="33" t="s">
        <v>216</v>
      </c>
      <c r="E53" s="33"/>
      <c r="F53" s="34">
        <f>Таблица2133990294678131619[[#This Row],[ ]]</f>
        <v>6</v>
      </c>
      <c r="G53" s="55">
        <v>46220</v>
      </c>
      <c r="H53" s="34" t="s">
        <v>62</v>
      </c>
      <c r="I53" s="39" t="s">
        <v>26</v>
      </c>
      <c r="J53" s="39">
        <v>32.832</v>
      </c>
      <c r="K53" s="44">
        <v>19</v>
      </c>
      <c r="L53" s="44">
        <v>700000</v>
      </c>
      <c r="M53" s="33">
        <f>Таблица2133990294678131619[[#This Row],[113]]*Таблица2133990294678131619[[#This Row],[15]]</f>
        <v>22982400</v>
      </c>
      <c r="N53" s="44"/>
    </row>
    <row r="54" spans="1:14">
      <c r="A54" s="29">
        <v>7</v>
      </c>
      <c r="B54" s="30">
        <v>46218</v>
      </c>
      <c r="C54" s="33">
        <v>40965000</v>
      </c>
      <c r="D54" s="33" t="s">
        <v>239</v>
      </c>
      <c r="E54" s="33"/>
      <c r="F54" s="34">
        <f>Таблица2133990294678131619[[#This Row],[ ]]</f>
        <v>7</v>
      </c>
      <c r="G54" s="55">
        <v>46224</v>
      </c>
      <c r="H54" s="34" t="s">
        <v>134</v>
      </c>
      <c r="I54" s="39" t="s">
        <v>26</v>
      </c>
      <c r="J54" s="39">
        <v>32.832</v>
      </c>
      <c r="K54" s="44">
        <v>19</v>
      </c>
      <c r="L54" s="44">
        <v>700000</v>
      </c>
      <c r="M54" s="33">
        <f>Таблица2133990294678131619[[#This Row],[113]]*Таблица2133990294678131619[[#This Row],[15]]</f>
        <v>22982400</v>
      </c>
      <c r="N54" s="44"/>
    </row>
    <row r="55" spans="1:14">
      <c r="A55" s="29">
        <v>8</v>
      </c>
      <c r="B55" s="30">
        <v>46219</v>
      </c>
      <c r="C55" s="33">
        <v>2500000</v>
      </c>
      <c r="D55" s="33" t="s">
        <v>216</v>
      </c>
      <c r="E55" s="33"/>
      <c r="F55" s="34">
        <f>Таблица2133990294678131619[[#This Row],[ ]]</f>
        <v>8</v>
      </c>
      <c r="G55" s="30">
        <v>46226</v>
      </c>
      <c r="H55" s="39" t="s">
        <v>134</v>
      </c>
      <c r="I55" s="39" t="s">
        <v>26</v>
      </c>
      <c r="J55" s="39">
        <v>32.832</v>
      </c>
      <c r="K55" s="44">
        <v>19</v>
      </c>
      <c r="L55" s="44">
        <v>700000</v>
      </c>
      <c r="M55" s="33">
        <f>Таблица2133990294678131619[[#This Row],[113]]*Таблица2133990294678131619[[#This Row],[15]]</f>
        <v>22982400</v>
      </c>
      <c r="N55" s="44"/>
    </row>
    <row r="56" spans="1:14">
      <c r="A56" s="29">
        <v>9</v>
      </c>
      <c r="B56" s="30">
        <v>46220</v>
      </c>
      <c r="C56" s="33">
        <v>2500000</v>
      </c>
      <c r="D56" s="32" t="s">
        <v>216</v>
      </c>
      <c r="E56" s="33"/>
      <c r="F56" s="34">
        <f>Таблица2133990294678131619[[#This Row],[ ]]</f>
        <v>9</v>
      </c>
      <c r="G56" s="30"/>
      <c r="H56" s="39"/>
      <c r="I56" s="39"/>
      <c r="J56" s="39"/>
      <c r="K56" s="44"/>
      <c r="L56" s="33"/>
      <c r="M56" s="33">
        <f>Таблица2133990294678131619[[#This Row],[113]]*Таблица2133990294678131619[[#This Row],[15]]</f>
        <v>0</v>
      </c>
      <c r="N56" s="44"/>
    </row>
    <row r="57" spans="1:14">
      <c r="A57" s="40">
        <v>10</v>
      </c>
      <c r="B57" s="55">
        <v>46223</v>
      </c>
      <c r="C57" s="33">
        <v>40965000</v>
      </c>
      <c r="D57" s="32" t="s">
        <v>241</v>
      </c>
      <c r="E57" s="42"/>
      <c r="F57" s="43">
        <f>Таблица2133990294678131619[[#This Row],[ ]]</f>
        <v>10</v>
      </c>
      <c r="G57" s="56"/>
      <c r="H57" s="57"/>
      <c r="I57" s="57"/>
      <c r="J57" s="57"/>
      <c r="K57" s="58"/>
      <c r="L57" s="45"/>
      <c r="M57" s="45">
        <f>Таблица2133990294678131619[[#This Row],[113]]*Таблица2133990294678131619[[#This Row],[15]]</f>
        <v>0</v>
      </c>
      <c r="N57" s="58"/>
    </row>
    <row r="58" spans="1:14">
      <c r="A58" s="40">
        <v>11</v>
      </c>
      <c r="B58" s="55">
        <v>46223</v>
      </c>
      <c r="C58" s="33">
        <v>2500000</v>
      </c>
      <c r="D58" s="32" t="s">
        <v>216</v>
      </c>
      <c r="E58" s="42"/>
      <c r="F58" s="43">
        <f>Таблица2133990294678131619[[#This Row],[ ]]</f>
        <v>11</v>
      </c>
      <c r="G58" s="56"/>
      <c r="H58" s="57"/>
      <c r="I58" s="57"/>
      <c r="J58" s="57"/>
      <c r="K58" s="58"/>
      <c r="L58" s="45"/>
      <c r="M58" s="45">
        <f>Таблица2133990294678131619[[#This Row],[113]]*Таблица2133990294678131619[[#This Row],[15]]</f>
        <v>0</v>
      </c>
      <c r="N58" s="58"/>
    </row>
    <row r="59" spans="1:14">
      <c r="A59" s="40">
        <v>12</v>
      </c>
      <c r="B59" s="55">
        <v>46226</v>
      </c>
      <c r="C59" s="33">
        <v>2500000</v>
      </c>
      <c r="D59" s="32" t="s">
        <v>216</v>
      </c>
      <c r="E59" s="42"/>
      <c r="F59" s="43">
        <f>Таблица2133990294678131619[[#This Row],[ ]]</f>
        <v>12</v>
      </c>
      <c r="G59" s="56"/>
      <c r="H59" s="57"/>
      <c r="I59" s="57"/>
      <c r="J59" s="57"/>
      <c r="K59" s="58"/>
      <c r="L59" s="45"/>
      <c r="M59" s="45">
        <f>Таблица2133990294678131619[[#This Row],[113]]*Таблица2133990294678131619[[#This Row],[15]]</f>
        <v>0</v>
      </c>
      <c r="N59" s="58"/>
    </row>
    <row r="60" spans="1:14">
      <c r="A60" s="48"/>
      <c r="B60" s="59"/>
      <c r="C60" s="33">
        <f>SUBTOTAL(109,Таблица2133990294678131619[2])</f>
        <v>184059800</v>
      </c>
      <c r="D60" s="33"/>
      <c r="E60" s="42"/>
      <c r="F60" s="49"/>
      <c r="G60" s="46"/>
      <c r="H60" s="43"/>
      <c r="I60" s="43"/>
      <c r="J60" s="43"/>
      <c r="K60" s="43">
        <f>SUBTOTAL(109,Таблица2133990294678131619[1132])</f>
        <v>152</v>
      </c>
      <c r="L60" s="50"/>
      <c r="M60" s="50">
        <f>SUBTOTAL(109,Таблица2133990294678131619[16])</f>
        <v>183859200</v>
      </c>
      <c r="N60" s="43"/>
    </row>
    <row r="62" ht="18.75" spans="1:14">
      <c r="A62" s="1"/>
      <c r="B62" s="2"/>
      <c r="C62" s="3" t="s">
        <v>192</v>
      </c>
      <c r="D62" s="79" t="s">
        <v>242</v>
      </c>
      <c r="E62" s="5"/>
    </row>
    <row r="63" ht="20.25" spans="1:14">
      <c r="A63" s="7" t="s">
        <v>194</v>
      </c>
      <c r="B63" s="7"/>
      <c r="C63" s="8"/>
      <c r="D63" s="8"/>
      <c r="E63" s="8"/>
      <c r="F63" s="52">
        <f>Таблица213399029467813161721[[#Totals],[2]]+-Таблица213399029467813161721[[#Totals],[16]]</f>
        <v>81929200</v>
      </c>
      <c r="G63" s="53"/>
      <c r="K63" s="10">
        <f>K66</f>
        <v>57</v>
      </c>
    </row>
    <row r="64" spans="1:14">
      <c r="A64" s="11" t="s">
        <v>195</v>
      </c>
      <c r="B64" s="11" t="s">
        <v>196</v>
      </c>
      <c r="C64" s="11" t="s">
        <v>197</v>
      </c>
      <c r="D64" s="11" t="s">
        <v>198</v>
      </c>
      <c r="E64" s="14" t="s">
        <v>199</v>
      </c>
      <c r="F64" s="15" t="s">
        <v>195</v>
      </c>
      <c r="G64" s="15" t="s">
        <v>196</v>
      </c>
      <c r="H64" s="15" t="s">
        <v>200</v>
      </c>
      <c r="I64" s="16" t="s">
        <v>6</v>
      </c>
      <c r="J64" s="17" t="s">
        <v>7</v>
      </c>
      <c r="K64" s="17" t="s">
        <v>201</v>
      </c>
      <c r="L64" s="15" t="s">
        <v>202</v>
      </c>
      <c r="M64" s="16" t="s">
        <v>197</v>
      </c>
    </row>
    <row r="65" spans="1:13">
      <c r="A65" s="11"/>
      <c r="B65" s="11"/>
      <c r="C65" s="18"/>
      <c r="D65" s="19"/>
      <c r="E65" s="20"/>
      <c r="F65" s="15"/>
      <c r="G65" s="15"/>
      <c r="H65" s="15"/>
      <c r="I65" s="21"/>
      <c r="J65" s="80"/>
      <c r="K65" s="22"/>
      <c r="L65" s="15"/>
      <c r="M65" s="26"/>
    </row>
    <row r="66" ht="15.75" spans="1:13">
      <c r="A66" s="11"/>
      <c r="B66" s="11"/>
      <c r="C66" s="54">
        <f>Таблица213399029467813161721[[#Totals],[2]]</f>
        <v>150876400</v>
      </c>
      <c r="D66" s="24"/>
      <c r="E66" s="25">
        <f>SUM(Таблица213399029467813161721[4])</f>
        <v>0</v>
      </c>
      <c r="F66" s="15"/>
      <c r="G66" s="15"/>
      <c r="H66" s="15"/>
      <c r="I66" s="26"/>
      <c r="J66" s="81">
        <f>SUM(Таблица213399029467813161721[113])</f>
        <v>98.496</v>
      </c>
      <c r="K66" s="10">
        <f>Таблица213399029467813161721[[#Totals],[1132]]</f>
        <v>57</v>
      </c>
      <c r="L66" s="15"/>
      <c r="M66" s="9">
        <f>Таблица213399029467813161721[[#Totals],[16]]</f>
        <v>68947200</v>
      </c>
    </row>
    <row r="67" spans="1:13">
      <c r="A67" s="27" t="s">
        <v>192</v>
      </c>
      <c r="B67" s="28" t="s">
        <v>203</v>
      </c>
      <c r="C67" s="28" t="s">
        <v>204</v>
      </c>
      <c r="D67" s="28" t="s">
        <v>205</v>
      </c>
      <c r="E67" s="28" t="s">
        <v>206</v>
      </c>
      <c r="F67" s="28" t="s">
        <v>207</v>
      </c>
      <c r="G67" s="28" t="s">
        <v>208</v>
      </c>
      <c r="H67" s="28" t="s">
        <v>209</v>
      </c>
      <c r="I67" s="28" t="s">
        <v>210</v>
      </c>
      <c r="J67" s="28" t="s">
        <v>211</v>
      </c>
      <c r="K67" s="28" t="s">
        <v>212</v>
      </c>
      <c r="L67" s="28" t="s">
        <v>213</v>
      </c>
      <c r="M67" s="28" t="s">
        <v>214</v>
      </c>
    </row>
    <row r="68" ht="15" spans="1:13">
      <c r="A68" s="29">
        <v>1</v>
      </c>
      <c r="B68" s="30">
        <v>46213</v>
      </c>
      <c r="C68" s="31">
        <v>20682000</v>
      </c>
      <c r="D68" s="32" t="s">
        <v>243</v>
      </c>
      <c r="E68" s="33"/>
      <c r="F68" s="34">
        <f>Таблица213399029467813161721[[#This Row],[ ]]</f>
        <v>1</v>
      </c>
      <c r="G68" s="32">
        <v>46213</v>
      </c>
      <c r="H68" s="35" t="s">
        <v>106</v>
      </c>
      <c r="I68" s="36" t="s">
        <v>26</v>
      </c>
      <c r="J68" s="37">
        <v>32.832</v>
      </c>
      <c r="K68" s="38">
        <v>19</v>
      </c>
      <c r="L68" s="34">
        <v>700000</v>
      </c>
      <c r="M68" s="33">
        <f>Таблица213399029467813161721[[#This Row],[113]]*Таблица213399029467813161721[[#This Row],[15]]</f>
        <v>22982400</v>
      </c>
    </row>
    <row r="69" spans="1:13">
      <c r="A69" s="29">
        <v>2</v>
      </c>
      <c r="B69" s="30">
        <v>46213</v>
      </c>
      <c r="C69" s="33">
        <v>2300000</v>
      </c>
      <c r="D69" s="32" t="s">
        <v>216</v>
      </c>
      <c r="E69" s="33"/>
      <c r="F69" s="34">
        <f>Таблица213399029467813161721[[#This Row],[ ]]</f>
        <v>2</v>
      </c>
      <c r="G69" s="30">
        <v>46218</v>
      </c>
      <c r="H69" s="39" t="s">
        <v>144</v>
      </c>
      <c r="I69" s="39" t="s">
        <v>26</v>
      </c>
      <c r="J69" s="39">
        <v>32.832</v>
      </c>
      <c r="K69" s="33">
        <v>19</v>
      </c>
      <c r="L69" s="44">
        <v>700000</v>
      </c>
      <c r="M69" s="33">
        <f>Таблица213399029467813161721[[#This Row],[113]]*Таблица213399029467813161721[[#This Row],[15]]</f>
        <v>22982400</v>
      </c>
    </row>
    <row r="70" spans="1:13">
      <c r="A70" s="29">
        <v>3</v>
      </c>
      <c r="B70" s="41">
        <v>46218</v>
      </c>
      <c r="C70" s="33">
        <v>61447200</v>
      </c>
      <c r="D70" s="32" t="s">
        <v>244</v>
      </c>
      <c r="E70" s="33"/>
      <c r="F70" s="34">
        <f>Таблица213399029467813161721[[#This Row],[ ]]</f>
        <v>3</v>
      </c>
      <c r="G70" s="30">
        <v>46221</v>
      </c>
      <c r="H70" s="39" t="s">
        <v>169</v>
      </c>
      <c r="I70" s="39" t="s">
        <v>26</v>
      </c>
      <c r="J70" s="39">
        <v>32.832</v>
      </c>
      <c r="K70" s="33">
        <v>19</v>
      </c>
      <c r="L70" s="44">
        <v>700000</v>
      </c>
      <c r="M70" s="33">
        <f>Таблица213399029467813161721[[#This Row],[113]]*Таблица213399029467813161721[[#This Row],[15]]</f>
        <v>22982400</v>
      </c>
    </row>
    <row r="71" spans="1:13">
      <c r="A71" s="29">
        <v>4</v>
      </c>
      <c r="B71" s="41">
        <v>46218</v>
      </c>
      <c r="C71" s="33">
        <v>2500000</v>
      </c>
      <c r="D71" s="32" t="s">
        <v>216</v>
      </c>
      <c r="E71" s="33"/>
      <c r="F71" s="34">
        <f>Таблица213399029467813161721[[#This Row],[ ]]</f>
        <v>4</v>
      </c>
      <c r="G71" s="30"/>
      <c r="H71" s="39"/>
      <c r="I71" s="39"/>
      <c r="J71" s="39"/>
      <c r="K71" s="33"/>
      <c r="L71" s="44"/>
      <c r="M71" s="33">
        <f>Таблица213399029467813161721[[#This Row],[113]]*Таблица213399029467813161721[[#This Row],[15]]</f>
        <v>0</v>
      </c>
    </row>
    <row r="72" spans="1:13">
      <c r="A72" s="29">
        <v>5</v>
      </c>
      <c r="B72" s="116">
        <v>46221</v>
      </c>
      <c r="C72" s="73">
        <v>2500000</v>
      </c>
      <c r="D72" s="32" t="s">
        <v>216</v>
      </c>
      <c r="E72" s="33"/>
      <c r="F72" s="34">
        <f>Таблица213399029467813161721[[#This Row],[ ]]</f>
        <v>5</v>
      </c>
      <c r="G72" s="30"/>
      <c r="H72" s="39"/>
      <c r="I72" s="39"/>
      <c r="J72" s="39"/>
      <c r="K72" s="33"/>
      <c r="L72" s="44"/>
      <c r="M72" s="33">
        <f>Таблица213399029467813161721[[#This Row],[113]]*Таблица213399029467813161721[[#This Row],[15]]</f>
        <v>0</v>
      </c>
    </row>
    <row r="73" spans="1:13">
      <c r="A73" s="40">
        <v>6</v>
      </c>
      <c r="B73" s="41">
        <v>46224</v>
      </c>
      <c r="C73" s="33">
        <v>61447200</v>
      </c>
      <c r="D73" s="32" t="s">
        <v>244</v>
      </c>
      <c r="E73" s="42"/>
      <c r="F73" s="43">
        <f>Таблица213399029467813161721[[#This Row],[ ]]</f>
        <v>6</v>
      </c>
      <c r="G73" s="56"/>
      <c r="H73" s="57"/>
      <c r="I73" s="57"/>
      <c r="J73" s="57"/>
      <c r="K73" s="45"/>
      <c r="L73" s="58"/>
      <c r="M73" s="45">
        <f>Таблица213399029467813161721[[#This Row],[113]]*Таблица213399029467813161721[[#This Row],[15]]</f>
        <v>0</v>
      </c>
    </row>
    <row r="74" spans="1:13">
      <c r="A74" s="40">
        <v>7</v>
      </c>
      <c r="B74" s="41"/>
      <c r="C74" s="33"/>
      <c r="D74" s="32"/>
      <c r="E74" s="42"/>
      <c r="F74" s="43">
        <f>Таблица213399029467813161721[[#This Row],[ ]]</f>
        <v>7</v>
      </c>
      <c r="G74" s="56"/>
      <c r="H74" s="57"/>
      <c r="I74" s="57"/>
      <c r="J74" s="57"/>
      <c r="K74" s="45"/>
      <c r="L74" s="58"/>
      <c r="M74" s="45">
        <f>Таблица213399029467813161721[[#This Row],[113]]*Таблица213399029467813161721[[#This Row],[15]]</f>
        <v>0</v>
      </c>
    </row>
    <row r="75" spans="1:13">
      <c r="A75" s="48"/>
      <c r="B75" s="59"/>
      <c r="C75" s="33">
        <f>SUBTOTAL(109,Таблица213399029467813161721[2])</f>
        <v>150876400</v>
      </c>
      <c r="D75" s="33"/>
      <c r="E75" s="42"/>
      <c r="F75" s="49"/>
      <c r="G75" s="46"/>
      <c r="H75" s="43"/>
      <c r="I75" s="43"/>
      <c r="J75" s="43"/>
      <c r="K75" s="43">
        <f>SUBTOTAL(109,Таблица213399029467813161721[1132])</f>
        <v>57</v>
      </c>
      <c r="L75" s="50"/>
      <c r="M75" s="50">
        <f>SUBTOTAL(109,Таблица213399029467813161721[16])</f>
        <v>68947200</v>
      </c>
    </row>
    <row r="77" ht="18.75" spans="1:13">
      <c r="A77" s="1"/>
      <c r="B77" s="2"/>
      <c r="C77" s="3" t="s">
        <v>192</v>
      </c>
      <c r="D77" s="79" t="s">
        <v>245</v>
      </c>
      <c r="E77" s="5"/>
    </row>
    <row r="78" ht="20.25" spans="1:13">
      <c r="A78" s="7" t="s">
        <v>194</v>
      </c>
      <c r="B78" s="7"/>
      <c r="C78" s="8"/>
      <c r="D78" s="8"/>
      <c r="E78" s="8"/>
      <c r="F78" s="52">
        <f>Таблица2133990294678131617212[[#Totals],[2]]+-Таблица2133990294678131617212[[#Totals],[16]]</f>
        <v>-200</v>
      </c>
      <c r="G78" s="53"/>
      <c r="K78" s="10">
        <f>K81</f>
        <v>12</v>
      </c>
    </row>
    <row r="79" spans="1:13">
      <c r="A79" s="11" t="s">
        <v>195</v>
      </c>
      <c r="B79" s="11" t="s">
        <v>196</v>
      </c>
      <c r="C79" s="11" t="s">
        <v>197</v>
      </c>
      <c r="D79" s="11" t="s">
        <v>198</v>
      </c>
      <c r="E79" s="14" t="s">
        <v>199</v>
      </c>
      <c r="F79" s="15" t="s">
        <v>195</v>
      </c>
      <c r="G79" s="15" t="s">
        <v>196</v>
      </c>
      <c r="H79" s="15" t="s">
        <v>200</v>
      </c>
      <c r="I79" s="16" t="s">
        <v>6</v>
      </c>
      <c r="J79" s="17" t="s">
        <v>7</v>
      </c>
      <c r="K79" s="17" t="s">
        <v>201</v>
      </c>
      <c r="L79" s="15" t="s">
        <v>202</v>
      </c>
      <c r="M79" s="16" t="s">
        <v>197</v>
      </c>
    </row>
    <row r="80" spans="1:13">
      <c r="A80" s="11"/>
      <c r="B80" s="11"/>
      <c r="C80" s="18"/>
      <c r="D80" s="19"/>
      <c r="E80" s="20"/>
      <c r="F80" s="15"/>
      <c r="G80" s="15"/>
      <c r="H80" s="15"/>
      <c r="I80" s="21"/>
      <c r="J80" s="80"/>
      <c r="K80" s="22"/>
      <c r="L80" s="15"/>
      <c r="M80" s="26"/>
    </row>
    <row r="81" ht="15.75" spans="1:13">
      <c r="A81" s="11"/>
      <c r="B81" s="11"/>
      <c r="C81" s="54">
        <f>Таблица2133990294678131617212[[#Totals],[2]]</f>
        <v>14515000</v>
      </c>
      <c r="D81" s="24"/>
      <c r="E81" s="25">
        <f>SUM(Таблица2133990294678131617212[4])</f>
        <v>0</v>
      </c>
      <c r="F81" s="15"/>
      <c r="G81" s="15"/>
      <c r="H81" s="15"/>
      <c r="I81" s="26"/>
      <c r="J81" s="81">
        <f>SUM(Таблица2133990294678131617212[113])</f>
        <v>20.736</v>
      </c>
      <c r="K81" s="10">
        <f>Таблица2133990294678131617212[[#Totals],[1132]]</f>
        <v>12</v>
      </c>
      <c r="L81" s="15"/>
      <c r="M81" s="9">
        <f>Таблица2133990294678131617212[[#Totals],[16]]</f>
        <v>14515200</v>
      </c>
    </row>
    <row r="82" spans="1:13">
      <c r="A82" s="27" t="s">
        <v>192</v>
      </c>
      <c r="B82" s="28" t="s">
        <v>203</v>
      </c>
      <c r="C82" s="28" t="s">
        <v>204</v>
      </c>
      <c r="D82" s="28" t="s">
        <v>205</v>
      </c>
      <c r="E82" s="28" t="s">
        <v>206</v>
      </c>
      <c r="F82" s="28" t="s">
        <v>207</v>
      </c>
      <c r="G82" s="28" t="s">
        <v>208</v>
      </c>
      <c r="H82" s="28" t="s">
        <v>209</v>
      </c>
      <c r="I82" s="28" t="s">
        <v>210</v>
      </c>
      <c r="J82" s="28" t="s">
        <v>211</v>
      </c>
      <c r="K82" s="28" t="s">
        <v>212</v>
      </c>
      <c r="L82" s="28" t="s">
        <v>213</v>
      </c>
      <c r="M82" s="28" t="s">
        <v>214</v>
      </c>
    </row>
    <row r="83" ht="15" spans="1:13">
      <c r="A83" s="29">
        <v>1</v>
      </c>
      <c r="B83" s="30">
        <v>46223</v>
      </c>
      <c r="C83" s="31">
        <v>12935000</v>
      </c>
      <c r="D83" s="32" t="s">
        <v>246</v>
      </c>
      <c r="E83" s="33"/>
      <c r="F83" s="34">
        <f>Таблица2133990294678131617212[[#This Row],[ ]]</f>
        <v>1</v>
      </c>
      <c r="G83" s="32">
        <v>46223</v>
      </c>
      <c r="H83" s="35" t="s">
        <v>173</v>
      </c>
      <c r="I83" s="36" t="s">
        <v>26</v>
      </c>
      <c r="J83" s="37">
        <v>20.736</v>
      </c>
      <c r="K83" s="38">
        <v>12</v>
      </c>
      <c r="L83" s="34">
        <v>700000</v>
      </c>
      <c r="M83" s="33">
        <f>Таблица2133990294678131617212[[#This Row],[113]]*Таблица2133990294678131617212[[#This Row],[15]]</f>
        <v>14515200</v>
      </c>
    </row>
    <row r="84" spans="1:13">
      <c r="A84" s="29">
        <v>2</v>
      </c>
      <c r="B84" s="30">
        <v>46223</v>
      </c>
      <c r="C84" s="33">
        <v>1580000</v>
      </c>
      <c r="D84" s="32" t="s">
        <v>216</v>
      </c>
      <c r="E84" s="33"/>
      <c r="F84" s="34">
        <f>Таблица2133990294678131617212[[#This Row],[ ]]</f>
        <v>2</v>
      </c>
      <c r="G84" s="30"/>
      <c r="H84" s="39"/>
      <c r="I84" s="39"/>
      <c r="J84" s="39"/>
      <c r="K84" s="33"/>
      <c r="L84" s="44"/>
      <c r="M84" s="33">
        <f>Таблица2133990294678131617212[[#This Row],[113]]*Таблица2133990294678131617212[[#This Row],[15]]</f>
        <v>0</v>
      </c>
    </row>
    <row r="85" spans="1:13">
      <c r="A85" s="29">
        <v>3</v>
      </c>
      <c r="B85" s="41"/>
      <c r="C85" s="33"/>
      <c r="D85" s="32"/>
      <c r="E85" s="33"/>
      <c r="F85" s="34">
        <f>Таблица2133990294678131617212[[#This Row],[ ]]</f>
        <v>3</v>
      </c>
      <c r="G85" s="30"/>
      <c r="H85" s="39"/>
      <c r="I85" s="39"/>
      <c r="J85" s="39"/>
      <c r="K85" s="33"/>
      <c r="L85" s="44"/>
      <c r="M85" s="33">
        <f>Таблица2133990294678131617212[[#This Row],[113]]*Таблица2133990294678131617212[[#This Row],[15]]</f>
        <v>0</v>
      </c>
    </row>
    <row r="86" spans="1:13">
      <c r="A86" s="29">
        <v>4</v>
      </c>
      <c r="B86" s="41"/>
      <c r="C86" s="33"/>
      <c r="D86" s="32"/>
      <c r="E86" s="33"/>
      <c r="F86" s="34">
        <f>Таблица2133990294678131617212[[#This Row],[ ]]</f>
        <v>4</v>
      </c>
      <c r="G86" s="30"/>
      <c r="H86" s="39"/>
      <c r="I86" s="39"/>
      <c r="J86" s="39"/>
      <c r="K86" s="33"/>
      <c r="L86" s="44"/>
      <c r="M86" s="33">
        <f>Таблица2133990294678131617212[[#This Row],[113]]*Таблица2133990294678131617212[[#This Row],[15]]</f>
        <v>0</v>
      </c>
    </row>
    <row r="87" spans="1:13">
      <c r="A87" s="29">
        <v>5</v>
      </c>
      <c r="B87" s="41"/>
      <c r="C87" s="33"/>
      <c r="D87" s="32"/>
      <c r="E87" s="33"/>
      <c r="F87" s="34">
        <f>Таблица2133990294678131617212[[#This Row],[ ]]</f>
        <v>5</v>
      </c>
      <c r="G87" s="30"/>
      <c r="H87" s="39"/>
      <c r="I87" s="39"/>
      <c r="J87" s="39"/>
      <c r="K87" s="33"/>
      <c r="L87" s="44"/>
      <c r="M87" s="33">
        <f>Таблица2133990294678131617212[[#This Row],[113]]*Таблица2133990294678131617212[[#This Row],[15]]</f>
        <v>0</v>
      </c>
    </row>
    <row r="88" spans="1:13">
      <c r="A88" s="48"/>
      <c r="B88" s="59"/>
      <c r="C88" s="33">
        <f>SUBTOTAL(109,Таблица2133990294678131617212[2])</f>
        <v>14515000</v>
      </c>
      <c r="D88" s="33"/>
      <c r="E88" s="42"/>
      <c r="F88" s="49"/>
      <c r="G88" s="46"/>
      <c r="H88" s="43"/>
      <c r="I88" s="43"/>
      <c r="J88" s="43"/>
      <c r="K88" s="43">
        <f>SUBTOTAL(109,Таблица2133990294678131617212[1132])</f>
        <v>12</v>
      </c>
      <c r="L88" s="50"/>
      <c r="M88" s="50">
        <f>SUBTOTAL(109,Таблица2133990294678131617212[16])</f>
        <v>14515200</v>
      </c>
    </row>
  </sheetData>
  <mergeCells count="70">
    <mergeCell ref="A2:B2"/>
    <mergeCell ref="C2:D2"/>
    <mergeCell ref="F2:G2"/>
    <mergeCell ref="A29:B29"/>
    <mergeCell ref="C29:D29"/>
    <mergeCell ref="F29:G29"/>
    <mergeCell ref="A43:B43"/>
    <mergeCell ref="C43:D43"/>
    <mergeCell ref="F43:G43"/>
    <mergeCell ref="A63:B63"/>
    <mergeCell ref="C63:D63"/>
    <mergeCell ref="F63:G63"/>
    <mergeCell ref="A78:B78"/>
    <mergeCell ref="C78:D78"/>
    <mergeCell ref="F78:G78"/>
    <mergeCell ref="A3:A5"/>
    <mergeCell ref="A30:A32"/>
    <mergeCell ref="A44:A46"/>
    <mergeCell ref="A64:A66"/>
    <mergeCell ref="A79:A81"/>
    <mergeCell ref="B3:B5"/>
    <mergeCell ref="B30:B32"/>
    <mergeCell ref="B44:B46"/>
    <mergeCell ref="B64:B66"/>
    <mergeCell ref="B79:B81"/>
    <mergeCell ref="E3:E4"/>
    <mergeCell ref="E30:E31"/>
    <mergeCell ref="E44:E45"/>
    <mergeCell ref="E64:E65"/>
    <mergeCell ref="E79:E80"/>
    <mergeCell ref="F3:F5"/>
    <mergeCell ref="F30:F32"/>
    <mergeCell ref="F44:F46"/>
    <mergeCell ref="F64:F66"/>
    <mergeCell ref="F79:F81"/>
    <mergeCell ref="G3:G5"/>
    <mergeCell ref="G30:G32"/>
    <mergeCell ref="G44:G46"/>
    <mergeCell ref="G64:G66"/>
    <mergeCell ref="G79:G81"/>
    <mergeCell ref="H3:H5"/>
    <mergeCell ref="H30:H32"/>
    <mergeCell ref="H44:H46"/>
    <mergeCell ref="H64:H66"/>
    <mergeCell ref="H79:H81"/>
    <mergeCell ref="I3:I5"/>
    <mergeCell ref="I30:I32"/>
    <mergeCell ref="I44:I46"/>
    <mergeCell ref="I64:I66"/>
    <mergeCell ref="I79:I81"/>
    <mergeCell ref="J3:J4"/>
    <mergeCell ref="J30:J31"/>
    <mergeCell ref="J44:J45"/>
    <mergeCell ref="J64:J65"/>
    <mergeCell ref="J79:J80"/>
    <mergeCell ref="K3:K4"/>
    <mergeCell ref="K30:K31"/>
    <mergeCell ref="K44:K45"/>
    <mergeCell ref="K64:K65"/>
    <mergeCell ref="K79:K80"/>
    <mergeCell ref="L3:L5"/>
    <mergeCell ref="L30:L32"/>
    <mergeCell ref="L44:L46"/>
    <mergeCell ref="L64:L66"/>
    <mergeCell ref="L79:L81"/>
    <mergeCell ref="M3:M4"/>
    <mergeCell ref="M30:M31"/>
    <mergeCell ref="M44:M45"/>
    <mergeCell ref="M64:M65"/>
    <mergeCell ref="M79:M80"/>
  </mergeCells>
  <hyperlinks>
    <hyperlink ref="D1" location="'Свод Завод'!Y4" display="5-Жасур Версал"/>
    <hyperlink ref="D28" location="'Свод Завод'!Y4" display="5-Мустафо машал"/>
    <hyperlink ref="D42" location="'Свод Завод'!Y4" display="5-Одилбек Ера хоус"/>
    <hyperlink ref="D62" location="'Свод Завод'!A1" display="5-Журат ога хонка"/>
    <hyperlink ref="D77" location="'Свод Завод'!A1" display="5-Мактаб"/>
  </hyperlinks>
  <pageMargins left="0.7" right="0.7" top="0.75" bottom="0.75" header="0.3" footer="0.3"/>
  <headerFooter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62"/>
  <sheetViews>
    <sheetView topLeftCell="A41" workbookViewId="0">
      <selection activeCell="D37" sqref="D37"/>
    </sheetView>
  </sheetViews>
  <sheetFormatPr defaultColWidth="9" defaultRowHeight="15"/>
  <cols>
    <col min="1" max="1" width="5.55238095238095" customWidth="1"/>
    <col min="2" max="2" width="11.3333333333333" customWidth="1"/>
    <col min="3" max="3" width="13.4380952380952" customWidth="1"/>
    <col min="4" max="4" width="30.4380952380952" customWidth="1"/>
    <col min="7" max="7" width="11.3333333333333" customWidth="1"/>
    <col min="8" max="8" width="21.6666666666667" customWidth="1"/>
    <col min="9" max="9" width="13.4380952380952" customWidth="1"/>
    <col min="10" max="10" width="17.6666666666667" customWidth="1"/>
    <col min="12" max="12" width="11" customWidth="1"/>
    <col min="13" max="13" width="16.2190476190476" customWidth="1"/>
    <col min="16" max="16" width="10.552380952381" customWidth="1"/>
  </cols>
  <sheetData>
    <row r="1" ht="18.75" spans="1:13">
      <c r="A1" s="1"/>
      <c r="B1" s="2"/>
      <c r="C1" s="3" t="s">
        <v>192</v>
      </c>
      <c r="D1" s="79" t="s">
        <v>247</v>
      </c>
      <c r="E1" s="5"/>
      <c r="F1" s="6"/>
      <c r="G1" s="6"/>
      <c r="H1" s="6"/>
      <c r="I1" s="6"/>
      <c r="J1" s="6"/>
      <c r="K1" s="6"/>
      <c r="L1" s="6"/>
      <c r="M1" s="6"/>
    </row>
    <row r="2" ht="20.25" spans="1:13">
      <c r="A2" s="7" t="s">
        <v>194</v>
      </c>
      <c r="B2" s="7"/>
      <c r="C2" s="8"/>
      <c r="D2" s="8"/>
      <c r="E2" s="8"/>
      <c r="F2" s="52">
        <f>Таблица2133990294678[[#Totals],[2]]+-Таблица2133990294678[[#Totals],[16]]</f>
        <v>-29104799.3792</v>
      </c>
      <c r="G2" s="53"/>
      <c r="H2" s="6"/>
      <c r="I2" s="6"/>
      <c r="J2" s="6"/>
      <c r="K2" s="10">
        <f>K5</f>
        <v>158</v>
      </c>
      <c r="L2" s="6"/>
      <c r="M2" s="6"/>
    </row>
    <row r="3" spans="1:13">
      <c r="A3" s="11" t="s">
        <v>195</v>
      </c>
      <c r="B3" s="11" t="s">
        <v>196</v>
      </c>
      <c r="C3" s="11" t="s">
        <v>197</v>
      </c>
      <c r="D3" s="11" t="s">
        <v>198</v>
      </c>
      <c r="E3" s="14" t="s">
        <v>199</v>
      </c>
      <c r="F3" s="15" t="s">
        <v>195</v>
      </c>
      <c r="G3" s="15" t="s">
        <v>196</v>
      </c>
      <c r="H3" s="15" t="s">
        <v>200</v>
      </c>
      <c r="I3" s="16" t="s">
        <v>6</v>
      </c>
      <c r="J3" s="17" t="s">
        <v>7</v>
      </c>
      <c r="K3" s="17" t="s">
        <v>201</v>
      </c>
      <c r="L3" s="15" t="s">
        <v>202</v>
      </c>
      <c r="M3" s="16" t="s">
        <v>197</v>
      </c>
    </row>
    <row r="4" spans="1:13">
      <c r="A4" s="11"/>
      <c r="B4" s="11"/>
      <c r="C4" s="18"/>
      <c r="D4" s="19"/>
      <c r="E4" s="20"/>
      <c r="F4" s="15"/>
      <c r="G4" s="15"/>
      <c r="H4" s="15"/>
      <c r="I4" s="21"/>
      <c r="J4" s="80"/>
      <c r="K4" s="22"/>
      <c r="L4" s="15"/>
      <c r="M4" s="26"/>
    </row>
    <row r="5" ht="15.75" spans="1:13">
      <c r="A5" s="11"/>
      <c r="B5" s="11"/>
      <c r="C5" s="54">
        <f>Таблица2133990294678[[#Totals],[2]]</f>
        <v>162994600</v>
      </c>
      <c r="D5" s="24"/>
      <c r="E5" s="25">
        <f>SUM(Таблица2133990294678[4])</f>
        <v>0</v>
      </c>
      <c r="F5" s="15"/>
      <c r="G5" s="15"/>
      <c r="H5" s="15"/>
      <c r="I5" s="26"/>
      <c r="J5" s="81">
        <f>SUM(Таблица2133990294678[113])</f>
        <v>273.024</v>
      </c>
      <c r="K5" s="10">
        <f>Таблица2133990294678[[#Totals],[1132]]</f>
        <v>158</v>
      </c>
      <c r="L5" s="15"/>
      <c r="M5" s="9">
        <f>Таблица2133990294678[[#Totals],[16]]</f>
        <v>192099399.3792</v>
      </c>
    </row>
    <row r="6" spans="1:13">
      <c r="A6" s="27" t="s">
        <v>192</v>
      </c>
      <c r="B6" s="28" t="s">
        <v>203</v>
      </c>
      <c r="C6" s="28" t="s">
        <v>204</v>
      </c>
      <c r="D6" s="28" t="s">
        <v>205</v>
      </c>
      <c r="E6" s="28" t="s">
        <v>206</v>
      </c>
      <c r="F6" s="28" t="s">
        <v>207</v>
      </c>
      <c r="G6" s="28" t="s">
        <v>208</v>
      </c>
      <c r="H6" s="28" t="s">
        <v>209</v>
      </c>
      <c r="I6" s="28" t="s">
        <v>210</v>
      </c>
      <c r="J6" s="28" t="s">
        <v>211</v>
      </c>
      <c r="K6" s="28" t="s">
        <v>212</v>
      </c>
      <c r="L6" s="28" t="s">
        <v>213</v>
      </c>
      <c r="M6" s="28" t="s">
        <v>214</v>
      </c>
    </row>
    <row r="7" spans="1:13">
      <c r="A7" s="29">
        <v>1</v>
      </c>
      <c r="B7" s="30">
        <v>46202</v>
      </c>
      <c r="C7" s="31">
        <v>23965000</v>
      </c>
      <c r="D7" s="32" t="s">
        <v>248</v>
      </c>
      <c r="E7" s="33"/>
      <c r="F7" s="34">
        <f>Таблица2133990294678[[#This Row],[ ]]</f>
        <v>1</v>
      </c>
      <c r="G7" s="32">
        <v>46200</v>
      </c>
      <c r="H7" s="35" t="s">
        <v>31</v>
      </c>
      <c r="I7" s="36" t="s">
        <v>26</v>
      </c>
      <c r="J7" s="37">
        <v>32.832</v>
      </c>
      <c r="K7" s="38">
        <v>19</v>
      </c>
      <c r="L7" s="33">
        <v>729928.1</v>
      </c>
      <c r="M7" s="33">
        <f>Таблица2133990294678[[#This Row],[113]]*Таблица2133990294678[[#This Row],[15]]</f>
        <v>23964999.3792</v>
      </c>
    </row>
    <row r="8" spans="1:13">
      <c r="A8" s="40">
        <v>2</v>
      </c>
      <c r="B8" s="55">
        <v>46206</v>
      </c>
      <c r="C8" s="33">
        <v>41964800</v>
      </c>
      <c r="D8" s="32" t="s">
        <v>248</v>
      </c>
      <c r="E8" s="42"/>
      <c r="F8" s="43">
        <f>Таблица2133990294678[[#This Row],[ ]]</f>
        <v>2</v>
      </c>
      <c r="G8" s="30">
        <v>46206</v>
      </c>
      <c r="H8" s="39" t="s">
        <v>65</v>
      </c>
      <c r="I8" s="39" t="s">
        <v>26</v>
      </c>
      <c r="J8" s="39">
        <v>32.832</v>
      </c>
      <c r="K8" s="33">
        <v>19</v>
      </c>
      <c r="L8" s="44">
        <v>700000</v>
      </c>
      <c r="M8" s="45">
        <f>Таблица2133990294678[[#This Row],[113]]*Таблица2133990294678[[#This Row],[15]]</f>
        <v>22982400</v>
      </c>
    </row>
    <row r="9" spans="1:13">
      <c r="A9" s="40">
        <v>3</v>
      </c>
      <c r="B9" s="55">
        <v>46216</v>
      </c>
      <c r="C9" s="33">
        <v>41564800</v>
      </c>
      <c r="D9" s="32" t="s">
        <v>248</v>
      </c>
      <c r="E9" s="42"/>
      <c r="F9" s="43">
        <f>Таблица2133990294678[[#This Row],[ ]]</f>
        <v>3</v>
      </c>
      <c r="G9" s="30">
        <v>46206</v>
      </c>
      <c r="H9" s="39" t="s">
        <v>72</v>
      </c>
      <c r="I9" s="39" t="s">
        <v>26</v>
      </c>
      <c r="J9" s="39">
        <v>32.832</v>
      </c>
      <c r="K9" s="33">
        <v>19</v>
      </c>
      <c r="L9" s="44">
        <v>700000</v>
      </c>
      <c r="M9" s="45">
        <f>Таблица2133990294678[[#This Row],[113]]*Таблица2133990294678[[#This Row],[15]]</f>
        <v>22982400</v>
      </c>
    </row>
    <row r="10" spans="1:13">
      <c r="A10" s="40">
        <v>4</v>
      </c>
      <c r="B10" s="55">
        <v>46206</v>
      </c>
      <c r="C10" s="33">
        <v>4000000</v>
      </c>
      <c r="D10" s="32" t="s">
        <v>216</v>
      </c>
      <c r="E10" s="42"/>
      <c r="F10" s="43">
        <f>Таблица2133990294678[[#This Row],[ ]]</f>
        <v>4</v>
      </c>
      <c r="G10" s="30">
        <v>46214</v>
      </c>
      <c r="H10" s="39" t="s">
        <v>71</v>
      </c>
      <c r="I10" s="39" t="s">
        <v>26</v>
      </c>
      <c r="J10" s="39">
        <v>32.832</v>
      </c>
      <c r="K10" s="44">
        <v>19</v>
      </c>
      <c r="L10" s="33">
        <v>700000</v>
      </c>
      <c r="M10" s="45">
        <f>Таблица2133990294678[[#This Row],[113]]*Таблица2133990294678[[#This Row],[15]]</f>
        <v>22982400</v>
      </c>
    </row>
    <row r="11" spans="1:13">
      <c r="A11" s="40">
        <v>5</v>
      </c>
      <c r="B11" s="55">
        <v>46214</v>
      </c>
      <c r="C11" s="33">
        <v>4000000</v>
      </c>
      <c r="D11" s="32" t="s">
        <v>216</v>
      </c>
      <c r="E11" s="42"/>
      <c r="F11" s="43">
        <f>Таблица2133990294678[[#This Row],[ ]]</f>
        <v>5</v>
      </c>
      <c r="G11" s="30">
        <v>46214</v>
      </c>
      <c r="H11" s="39" t="s">
        <v>115</v>
      </c>
      <c r="I11" s="39" t="s">
        <v>26</v>
      </c>
      <c r="J11" s="39">
        <v>32.832</v>
      </c>
      <c r="K11" s="44">
        <v>19</v>
      </c>
      <c r="L11" s="33">
        <v>700000</v>
      </c>
      <c r="M11" s="45">
        <f>Таблица2133990294678[[#This Row],[113]]*Таблица2133990294678[[#This Row],[15]]</f>
        <v>22982400</v>
      </c>
    </row>
    <row r="12" spans="1:13">
      <c r="A12" s="40">
        <v>6</v>
      </c>
      <c r="B12" s="55">
        <v>46221</v>
      </c>
      <c r="C12" s="33">
        <v>7500000</v>
      </c>
      <c r="D12" s="32" t="s">
        <v>216</v>
      </c>
      <c r="E12" s="42"/>
      <c r="F12" s="43">
        <f>Таблица2133990294678[[#This Row],[ ]]</f>
        <v>6</v>
      </c>
      <c r="G12" s="30">
        <v>46221</v>
      </c>
      <c r="H12" s="39" t="s">
        <v>134</v>
      </c>
      <c r="I12" s="39" t="s">
        <v>26</v>
      </c>
      <c r="J12" s="39">
        <v>32.832</v>
      </c>
      <c r="K12" s="33">
        <v>19</v>
      </c>
      <c r="L12" s="44">
        <v>700000</v>
      </c>
      <c r="M12" s="45">
        <f>Таблица2133990294678[[#This Row],[113]]*Таблица2133990294678[[#This Row],[15]]</f>
        <v>22982400</v>
      </c>
    </row>
    <row r="13" spans="1:13">
      <c r="A13" s="40">
        <v>7</v>
      </c>
      <c r="B13" s="55">
        <v>46225</v>
      </c>
      <c r="C13" s="33">
        <v>40000000</v>
      </c>
      <c r="D13" s="32" t="s">
        <v>249</v>
      </c>
      <c r="E13" s="42"/>
      <c r="F13" s="43">
        <f>Таблица2133990294678[[#This Row],[ ]]</f>
        <v>7</v>
      </c>
      <c r="G13" s="30">
        <v>46221</v>
      </c>
      <c r="H13" s="39" t="s">
        <v>167</v>
      </c>
      <c r="I13" s="39" t="s">
        <v>46</v>
      </c>
      <c r="J13" s="39">
        <v>32.832</v>
      </c>
      <c r="K13" s="44">
        <v>19</v>
      </c>
      <c r="L13" s="33">
        <v>700000</v>
      </c>
      <c r="M13" s="45">
        <f>Таблица2133990294678[[#This Row],[113]]*Таблица2133990294678[[#This Row],[15]]</f>
        <v>22982400</v>
      </c>
    </row>
    <row r="14" spans="1:13">
      <c r="A14" s="40">
        <v>8</v>
      </c>
      <c r="B14" s="55"/>
      <c r="C14" s="33"/>
      <c r="D14" s="32"/>
      <c r="E14" s="42"/>
      <c r="F14" s="43">
        <f>Таблица2133990294678[[#This Row],[ ]]</f>
        <v>8</v>
      </c>
      <c r="G14" s="30">
        <v>46221</v>
      </c>
      <c r="H14" s="39" t="s">
        <v>168</v>
      </c>
      <c r="I14" s="39" t="s">
        <v>26</v>
      </c>
      <c r="J14" s="39">
        <v>32.832</v>
      </c>
      <c r="K14" s="44">
        <v>19</v>
      </c>
      <c r="L14" s="33">
        <v>700000</v>
      </c>
      <c r="M14" s="45">
        <f>Таблица2133990294678[[#This Row],[113]]*Таблица2133990294678[[#This Row],[15]]</f>
        <v>22982400</v>
      </c>
    </row>
    <row r="15" spans="1:13">
      <c r="A15" s="40">
        <v>9</v>
      </c>
      <c r="B15" s="55"/>
      <c r="C15" s="33"/>
      <c r="D15" s="32"/>
      <c r="E15" s="42"/>
      <c r="F15" s="43">
        <f>Таблица2133990294678[[#This Row],[ ]]</f>
        <v>9</v>
      </c>
      <c r="G15" s="30">
        <v>46223</v>
      </c>
      <c r="H15" s="39" t="s">
        <v>129</v>
      </c>
      <c r="I15" s="39" t="s">
        <v>26</v>
      </c>
      <c r="J15" s="39">
        <v>10.368</v>
      </c>
      <c r="K15" s="44">
        <v>6</v>
      </c>
      <c r="L15" s="33">
        <v>700000</v>
      </c>
      <c r="M15" s="45">
        <f>Таблица2133990294678[[#This Row],[113]]*Таблица2133990294678[[#This Row],[15]]</f>
        <v>7257600</v>
      </c>
    </row>
    <row r="16" spans="1:13">
      <c r="A16" s="40">
        <v>10</v>
      </c>
      <c r="B16" s="55"/>
      <c r="C16" s="33"/>
      <c r="D16" s="32"/>
      <c r="E16" s="42"/>
      <c r="F16" s="43">
        <f>Таблица2133990294678[[#This Row],[ ]]</f>
        <v>10</v>
      </c>
      <c r="G16" s="56"/>
      <c r="H16" s="57"/>
      <c r="I16" s="57"/>
      <c r="J16" s="57"/>
      <c r="K16" s="58"/>
      <c r="L16" s="45"/>
      <c r="M16" s="45">
        <f>Таблица2133990294678[[#This Row],[113]]*Таблица2133990294678[[#This Row],[15]]</f>
        <v>0</v>
      </c>
    </row>
    <row r="17" spans="1:13">
      <c r="A17" s="48"/>
      <c r="B17" s="59"/>
      <c r="C17" s="33">
        <f>SUBTOTAL(109,Таблица2133990294678[2])</f>
        <v>162994600</v>
      </c>
      <c r="D17" s="33"/>
      <c r="E17" s="42"/>
      <c r="F17" s="49"/>
      <c r="G17" s="46"/>
      <c r="H17" s="43"/>
      <c r="I17" s="43"/>
      <c r="J17" s="43"/>
      <c r="K17" s="43">
        <f>SUBTOTAL(109,Таблица2133990294678[1132])</f>
        <v>158</v>
      </c>
      <c r="L17" s="50"/>
      <c r="M17" s="50">
        <f>SUBTOTAL(109,Таблица2133990294678[16])</f>
        <v>192099399.3792</v>
      </c>
    </row>
    <row r="18" spans="1:13">
      <c r="J18" s="6"/>
    </row>
    <row r="19" ht="18.75" spans="1:13">
      <c r="A19" s="1"/>
      <c r="B19" s="2"/>
      <c r="C19" s="3" t="s">
        <v>192</v>
      </c>
      <c r="D19" s="79" t="s">
        <v>250</v>
      </c>
      <c r="E19" s="5"/>
      <c r="F19" s="6"/>
      <c r="G19" s="6"/>
      <c r="H19" s="6"/>
      <c r="I19" s="6"/>
      <c r="J19" s="6"/>
      <c r="M19" s="6"/>
    </row>
    <row r="20" ht="20.25" spans="1:13">
      <c r="A20" s="7" t="s">
        <v>194</v>
      </c>
      <c r="B20" s="7"/>
      <c r="C20" s="8"/>
      <c r="D20" s="8"/>
      <c r="E20" s="8"/>
      <c r="F20" s="52">
        <f>Таблица213399029467[[#Totals],[2]]+-Таблица213399029467[[#Totals],[16]]</f>
        <v>0</v>
      </c>
      <c r="G20" s="53"/>
      <c r="H20" s="6"/>
      <c r="I20" s="6"/>
      <c r="J20" s="6"/>
      <c r="K20" s="10">
        <f>K23</f>
        <v>38</v>
      </c>
      <c r="L20" s="6"/>
      <c r="M20" s="6"/>
    </row>
    <row r="21" spans="1:13">
      <c r="A21" s="11" t="s">
        <v>195</v>
      </c>
      <c r="B21" s="11" t="s">
        <v>196</v>
      </c>
      <c r="C21" s="11" t="s">
        <v>197</v>
      </c>
      <c r="D21" s="11" t="s">
        <v>198</v>
      </c>
      <c r="E21" s="14" t="s">
        <v>199</v>
      </c>
      <c r="F21" s="15" t="s">
        <v>195</v>
      </c>
      <c r="G21" s="15" t="s">
        <v>196</v>
      </c>
      <c r="H21" s="15" t="s">
        <v>200</v>
      </c>
      <c r="I21" s="16" t="s">
        <v>6</v>
      </c>
      <c r="J21" s="17" t="s">
        <v>7</v>
      </c>
      <c r="K21" s="17" t="s">
        <v>201</v>
      </c>
      <c r="L21" s="15" t="s">
        <v>202</v>
      </c>
      <c r="M21" s="16" t="s">
        <v>197</v>
      </c>
    </row>
    <row r="22" spans="1:13">
      <c r="A22" s="11"/>
      <c r="B22" s="11"/>
      <c r="C22" s="18"/>
      <c r="D22" s="19"/>
      <c r="E22" s="20"/>
      <c r="F22" s="15"/>
      <c r="G22" s="15"/>
      <c r="H22" s="15"/>
      <c r="I22" s="21"/>
      <c r="J22" s="21"/>
      <c r="K22" s="22"/>
      <c r="L22" s="15"/>
      <c r="M22" s="26"/>
    </row>
    <row r="23" ht="15.75" spans="1:13">
      <c r="A23" s="11"/>
      <c r="B23" s="11"/>
      <c r="C23" s="54">
        <f>Таблица213399029467[[#Totals],[2]]</f>
        <v>49904640</v>
      </c>
      <c r="D23" s="24"/>
      <c r="E23" s="25">
        <f>SUM(Таблица213399029467[4])</f>
        <v>0</v>
      </c>
      <c r="F23" s="15"/>
      <c r="G23" s="15"/>
      <c r="H23" s="15"/>
      <c r="I23" s="26"/>
      <c r="J23" s="26"/>
      <c r="K23" s="10">
        <f>Таблица213399029467[[#Totals],[1132]]</f>
        <v>38</v>
      </c>
      <c r="L23" s="15"/>
      <c r="M23" s="9">
        <f>Таблица213399029467[[#Totals],[16]]</f>
        <v>49904640</v>
      </c>
    </row>
    <row r="24" spans="1:13">
      <c r="A24" s="27" t="s">
        <v>192</v>
      </c>
      <c r="B24" s="28" t="s">
        <v>203</v>
      </c>
      <c r="C24" s="28" t="s">
        <v>204</v>
      </c>
      <c r="D24" s="28" t="s">
        <v>205</v>
      </c>
      <c r="E24" s="28" t="s">
        <v>206</v>
      </c>
      <c r="F24" s="28" t="s">
        <v>207</v>
      </c>
      <c r="G24" s="28" t="s">
        <v>208</v>
      </c>
      <c r="H24" s="28" t="s">
        <v>209</v>
      </c>
      <c r="I24" s="28" t="s">
        <v>210</v>
      </c>
      <c r="J24" s="28" t="s">
        <v>211</v>
      </c>
      <c r="K24" s="28" t="s">
        <v>212</v>
      </c>
      <c r="L24" s="28" t="s">
        <v>213</v>
      </c>
      <c r="M24" s="28" t="s">
        <v>214</v>
      </c>
    </row>
    <row r="25" spans="1:13">
      <c r="A25" s="29">
        <v>1</v>
      </c>
      <c r="B25" s="30">
        <v>46206</v>
      </c>
      <c r="C25" s="31">
        <v>49904640</v>
      </c>
      <c r="D25" s="32" t="s">
        <v>251</v>
      </c>
      <c r="E25" s="33"/>
      <c r="F25" s="34">
        <f>Таблица213399029467[[#This Row],[ ]]</f>
        <v>1</v>
      </c>
      <c r="G25" s="32">
        <v>46200</v>
      </c>
      <c r="H25" s="35" t="s">
        <v>52</v>
      </c>
      <c r="I25" s="36" t="s">
        <v>26</v>
      </c>
      <c r="J25" s="37">
        <v>32.832</v>
      </c>
      <c r="K25" s="38">
        <v>19</v>
      </c>
      <c r="L25" s="33">
        <v>760000</v>
      </c>
      <c r="M25" s="33">
        <f>Таблица213399029467[[#This Row],[113]]*Таблица213399029467[[#This Row],[15]]</f>
        <v>24952320</v>
      </c>
    </row>
    <row r="26" spans="1:13">
      <c r="A26" s="29">
        <v>2</v>
      </c>
      <c r="B26" s="55"/>
      <c r="C26" s="33"/>
      <c r="D26" s="32"/>
      <c r="E26" s="33"/>
      <c r="F26" s="34">
        <f>Таблица213399029467[[#This Row],[ ]]</f>
        <v>2</v>
      </c>
      <c r="G26" s="30">
        <v>46201</v>
      </c>
      <c r="H26" s="39" t="s">
        <v>54</v>
      </c>
      <c r="I26" s="39" t="s">
        <v>26</v>
      </c>
      <c r="J26" s="39">
        <v>32.832</v>
      </c>
      <c r="K26" s="33">
        <v>19</v>
      </c>
      <c r="L26" s="33">
        <v>760000</v>
      </c>
      <c r="M26" s="33">
        <f>Таблица213399029467[[#This Row],[113]]*Таблица213399029467[[#This Row],[15]]</f>
        <v>24952320</v>
      </c>
    </row>
    <row r="27" spans="1:13">
      <c r="A27" s="48"/>
      <c r="B27" s="59"/>
      <c r="C27" s="33">
        <f>SUBTOTAL(109,Таблица213399029467[2])</f>
        <v>49904640</v>
      </c>
      <c r="D27" s="33"/>
      <c r="E27" s="42"/>
      <c r="F27" s="49"/>
      <c r="G27" s="46"/>
      <c r="H27" s="43"/>
      <c r="I27" s="43"/>
      <c r="J27" s="43"/>
      <c r="K27" s="43">
        <f>SUBTOTAL(109,Таблица213399029467[1132])</f>
        <v>38</v>
      </c>
      <c r="L27" s="50"/>
      <c r="M27" s="50">
        <f>SUBTOTAL(109,Таблица213399029467[16])</f>
        <v>49904640</v>
      </c>
    </row>
    <row r="29" ht="18.75" spans="1:13">
      <c r="A29" s="1"/>
      <c r="B29" s="2"/>
      <c r="C29" s="3" t="s">
        <v>192</v>
      </c>
      <c r="D29" s="79" t="s">
        <v>252</v>
      </c>
      <c r="E29" s="5"/>
      <c r="F29" s="6"/>
      <c r="G29" s="6"/>
      <c r="H29" s="6"/>
      <c r="I29" s="6"/>
      <c r="J29" s="6"/>
      <c r="K29" s="6"/>
      <c r="L29" s="6"/>
      <c r="M29" s="6"/>
    </row>
    <row r="30" ht="20.25" spans="1:13">
      <c r="A30" s="7" t="s">
        <v>194</v>
      </c>
      <c r="B30" s="7"/>
      <c r="C30" s="8"/>
      <c r="D30" s="8"/>
      <c r="E30" s="8"/>
      <c r="F30" s="52">
        <f>Таблица213399029467826[[#Totals],[2]]+-Таблица213399029467826[[#Totals],[16]]</f>
        <v>-831800</v>
      </c>
      <c r="G30" s="53"/>
      <c r="H30" s="6"/>
      <c r="I30" s="6"/>
      <c r="J30" s="6"/>
      <c r="K30" s="10">
        <f>Таблица213399029467826[[#Totals],[1132]]</f>
        <v>38</v>
      </c>
      <c r="L30" s="6"/>
      <c r="M30" s="6"/>
    </row>
    <row r="31" spans="1:13">
      <c r="A31" s="11" t="s">
        <v>195</v>
      </c>
      <c r="B31" s="11" t="s">
        <v>196</v>
      </c>
      <c r="C31" s="11" t="s">
        <v>197</v>
      </c>
      <c r="D31" s="11" t="s">
        <v>198</v>
      </c>
      <c r="E31" s="14" t="s">
        <v>199</v>
      </c>
      <c r="F31" s="15" t="s">
        <v>195</v>
      </c>
      <c r="G31" s="15" t="s">
        <v>196</v>
      </c>
      <c r="H31" s="15" t="s">
        <v>200</v>
      </c>
      <c r="I31" s="16" t="s">
        <v>6</v>
      </c>
      <c r="J31" s="17" t="s">
        <v>7</v>
      </c>
      <c r="K31" s="17" t="s">
        <v>201</v>
      </c>
      <c r="L31" s="15" t="s">
        <v>202</v>
      </c>
      <c r="M31" s="16" t="s">
        <v>197</v>
      </c>
    </row>
    <row r="32" spans="1:13">
      <c r="A32" s="11"/>
      <c r="B32" s="11"/>
      <c r="C32" s="18"/>
      <c r="D32" s="19"/>
      <c r="E32" s="20"/>
      <c r="F32" s="15"/>
      <c r="G32" s="15"/>
      <c r="H32" s="15"/>
      <c r="I32" s="21"/>
      <c r="J32" s="80"/>
      <c r="K32" s="22"/>
      <c r="L32" s="15"/>
      <c r="M32" s="26"/>
    </row>
    <row r="33" ht="15.75" spans="1:16">
      <c r="A33" s="11"/>
      <c r="B33" s="11"/>
      <c r="C33" s="54">
        <f>Таблица213399029467826[[#Totals],[2]]</f>
        <v>45133000</v>
      </c>
      <c r="D33" s="24"/>
      <c r="E33" s="25">
        <f>SUM(Таблица213399029467826[4])</f>
        <v>0</v>
      </c>
      <c r="F33" s="15"/>
      <c r="G33" s="15"/>
      <c r="H33" s="15"/>
      <c r="I33" s="26"/>
      <c r="J33" s="81">
        <f>SUM(Таблица213399029467826[113])</f>
        <v>65.664</v>
      </c>
      <c r="K33" s="10">
        <f>Таблица213399029467826[[#Totals],[1132]]</f>
        <v>38</v>
      </c>
      <c r="L33" s="15"/>
      <c r="M33" s="9">
        <f>Таблица213399029467826[[#Totals],[16]]</f>
        <v>45964800</v>
      </c>
    </row>
    <row r="34" spans="1:16">
      <c r="A34" s="27" t="s">
        <v>192</v>
      </c>
      <c r="B34" s="28" t="s">
        <v>203</v>
      </c>
      <c r="C34" s="28" t="s">
        <v>204</v>
      </c>
      <c r="D34" s="28" t="s">
        <v>205</v>
      </c>
      <c r="E34" s="28" t="s">
        <v>206</v>
      </c>
      <c r="F34" s="28" t="s">
        <v>207</v>
      </c>
      <c r="G34" s="28" t="s">
        <v>208</v>
      </c>
      <c r="H34" s="28" t="s">
        <v>209</v>
      </c>
      <c r="I34" s="28" t="s">
        <v>210</v>
      </c>
      <c r="J34" s="28" t="s">
        <v>211</v>
      </c>
      <c r="K34" s="28" t="s">
        <v>212</v>
      </c>
      <c r="L34" s="28" t="s">
        <v>213</v>
      </c>
      <c r="M34" s="28" t="s">
        <v>214</v>
      </c>
    </row>
    <row r="35" spans="1:16">
      <c r="A35" s="29">
        <v>1</v>
      </c>
      <c r="B35" s="30">
        <v>46214</v>
      </c>
      <c r="C35" s="31">
        <v>30033000</v>
      </c>
      <c r="D35" s="32" t="s">
        <v>253</v>
      </c>
      <c r="E35" s="33"/>
      <c r="F35" s="34">
        <f>Таблица213399029467826[[#This Row],[ ]]</f>
        <v>1</v>
      </c>
      <c r="G35" s="32">
        <v>46185</v>
      </c>
      <c r="H35" s="35" t="s">
        <v>118</v>
      </c>
      <c r="I35" s="36" t="s">
        <v>26</v>
      </c>
      <c r="J35" s="37">
        <v>32.832</v>
      </c>
      <c r="K35" s="38">
        <v>19</v>
      </c>
      <c r="L35" s="33">
        <v>700000</v>
      </c>
      <c r="M35" s="33">
        <f>Таблица213399029467826[[#This Row],[113]]*Таблица213399029467826[[#This Row],[15]]</f>
        <v>22982400</v>
      </c>
      <c r="P35" s="72"/>
    </row>
    <row r="36" spans="1:16">
      <c r="A36" s="29">
        <v>2</v>
      </c>
      <c r="B36" s="30">
        <v>46215</v>
      </c>
      <c r="C36" s="31">
        <v>2600000</v>
      </c>
      <c r="D36" s="32" t="s">
        <v>216</v>
      </c>
      <c r="E36" s="33"/>
      <c r="F36" s="34">
        <f>Таблица213399029467826[[#This Row],[ ]]</f>
        <v>2</v>
      </c>
      <c r="G36" s="30">
        <v>46226</v>
      </c>
      <c r="H36" s="39" t="s">
        <v>182</v>
      </c>
      <c r="I36" s="36" t="s">
        <v>26</v>
      </c>
      <c r="J36" s="37">
        <v>32.832</v>
      </c>
      <c r="K36" s="38">
        <v>19</v>
      </c>
      <c r="L36" s="33">
        <v>700000</v>
      </c>
      <c r="M36" s="33">
        <f>Таблица213399029467826[[#This Row],[113]]*Таблица213399029467826[[#This Row],[15]]</f>
        <v>22982400</v>
      </c>
      <c r="P36" s="72"/>
    </row>
    <row r="37" spans="1:16">
      <c r="A37" s="29">
        <v>3</v>
      </c>
      <c r="B37" s="41">
        <v>46219</v>
      </c>
      <c r="C37" s="33">
        <v>10000000</v>
      </c>
      <c r="D37" s="32" t="s">
        <v>253</v>
      </c>
      <c r="E37" s="33"/>
      <c r="F37" s="34">
        <f>Таблица213399029467826[[#This Row],[ ]]</f>
        <v>3</v>
      </c>
      <c r="G37" s="97"/>
      <c r="H37" s="98"/>
      <c r="I37" s="99"/>
      <c r="J37" s="99"/>
      <c r="K37" s="100"/>
      <c r="L37" s="100"/>
      <c r="M37" s="33">
        <f>Таблица213399029467826[[#This Row],[113]]*Таблица213399029467826[[#This Row],[15]]</f>
        <v>0</v>
      </c>
    </row>
    <row r="38" spans="1:16">
      <c r="A38" s="40">
        <v>4</v>
      </c>
      <c r="B38" s="41">
        <v>46226</v>
      </c>
      <c r="C38" s="33">
        <v>2500000</v>
      </c>
      <c r="D38" s="32" t="s">
        <v>216</v>
      </c>
      <c r="E38" s="42"/>
      <c r="F38" s="43">
        <f>Таблица213399029467826[[#This Row],[ ]]</f>
        <v>4</v>
      </c>
      <c r="G38" s="56"/>
      <c r="H38" s="57"/>
      <c r="I38" s="63"/>
      <c r="J38" s="64"/>
      <c r="K38" s="65"/>
      <c r="L38" s="45"/>
      <c r="M38" s="45">
        <f>Таблица213399029467826[[#This Row],[113]]*Таблица213399029467826[[#This Row],[15]]</f>
        <v>0</v>
      </c>
    </row>
    <row r="39" spans="1:16">
      <c r="A39" s="48"/>
      <c r="B39" s="59"/>
      <c r="C39" s="33">
        <f>SUBTOTAL(109,Таблица213399029467826[2])</f>
        <v>45133000</v>
      </c>
      <c r="D39" s="33"/>
      <c r="E39" s="42"/>
      <c r="F39" s="49"/>
      <c r="G39" s="46"/>
      <c r="H39" s="43"/>
      <c r="I39" s="43"/>
      <c r="J39" s="43"/>
      <c r="K39" s="43">
        <f>SUBTOTAL(109,Таблица213399029467826[1132])</f>
        <v>38</v>
      </c>
      <c r="L39" s="50"/>
      <c r="M39" s="50">
        <f>SUBTOTAL(109,Таблица213399029467826[16])</f>
        <v>45964800</v>
      </c>
    </row>
    <row r="40" spans="1:1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ht="18.75" spans="1:16">
      <c r="A41" s="1"/>
      <c r="B41" s="2"/>
      <c r="C41" s="3" t="s">
        <v>192</v>
      </c>
      <c r="D41" s="79" t="s">
        <v>254</v>
      </c>
      <c r="E41" s="5"/>
      <c r="F41" s="6"/>
      <c r="G41" s="6"/>
      <c r="H41" s="6"/>
      <c r="I41" s="6"/>
      <c r="J41" s="6"/>
      <c r="K41" s="6"/>
      <c r="L41" s="6"/>
      <c r="M41" s="6"/>
    </row>
    <row r="42" ht="20.25" spans="1:16">
      <c r="A42" s="7" t="s">
        <v>194</v>
      </c>
      <c r="B42" s="7"/>
      <c r="C42" s="8"/>
      <c r="D42" s="8"/>
      <c r="E42" s="8"/>
      <c r="F42" s="52">
        <f>Таблица21339902946781316172122232425303132333435[[#Totals],[2]]+-Таблица21339902946781316172122232425303132333435[[#Totals],[16]]</f>
        <v>-8676800</v>
      </c>
      <c r="G42" s="53"/>
      <c r="H42" s="6"/>
      <c r="I42" s="6"/>
      <c r="J42" s="6"/>
      <c r="K42" s="10">
        <f>Таблица21339902946781316172122232425303132333435[[#Totals],[1132]]</f>
        <v>46</v>
      </c>
      <c r="L42" s="6"/>
      <c r="M42" s="6"/>
    </row>
    <row r="43" spans="1:16">
      <c r="A43" s="11" t="s">
        <v>195</v>
      </c>
      <c r="B43" s="11" t="s">
        <v>196</v>
      </c>
      <c r="C43" s="11" t="s">
        <v>197</v>
      </c>
      <c r="D43" s="11" t="s">
        <v>198</v>
      </c>
      <c r="E43" s="14" t="s">
        <v>199</v>
      </c>
      <c r="F43" s="15" t="s">
        <v>195</v>
      </c>
      <c r="G43" s="15" t="s">
        <v>196</v>
      </c>
      <c r="H43" s="15" t="s">
        <v>200</v>
      </c>
      <c r="I43" s="16" t="s">
        <v>6</v>
      </c>
      <c r="J43" s="17" t="s">
        <v>7</v>
      </c>
      <c r="K43" s="17" t="s">
        <v>201</v>
      </c>
      <c r="L43" s="15" t="s">
        <v>202</v>
      </c>
      <c r="M43" s="16" t="s">
        <v>197</v>
      </c>
    </row>
    <row r="44" spans="1:16">
      <c r="A44" s="11"/>
      <c r="B44" s="11"/>
      <c r="C44" s="18"/>
      <c r="D44" s="19"/>
      <c r="E44" s="20"/>
      <c r="F44" s="15"/>
      <c r="G44" s="15"/>
      <c r="H44" s="15"/>
      <c r="I44" s="21"/>
      <c r="J44" s="80"/>
      <c r="K44" s="22"/>
      <c r="L44" s="15"/>
      <c r="M44" s="26"/>
    </row>
    <row r="45" ht="15.75" spans="1:16">
      <c r="A45" s="11"/>
      <c r="B45" s="11"/>
      <c r="C45" s="54">
        <f>Таблица21339902946781316172122232425303132333435[[#Totals],[2]]</f>
        <v>46964800</v>
      </c>
      <c r="D45" s="24"/>
      <c r="E45" s="25">
        <f>SUM(Таблица21339902946781316172122232425303132333435[4])</f>
        <v>0</v>
      </c>
      <c r="F45" s="15"/>
      <c r="G45" s="15"/>
      <c r="H45" s="15"/>
      <c r="I45" s="26"/>
      <c r="J45" s="81">
        <f>SUM(Таблица21339902946781316172122232425303132333435[113])</f>
        <v>79.488</v>
      </c>
      <c r="K45" s="10">
        <f>Таблица21339902946781316172122232425303132333435[[#Totals],[1132]]</f>
        <v>46</v>
      </c>
      <c r="L45" s="15"/>
      <c r="M45" s="9">
        <f>Таблица21339902946781316172122232425303132333435[[#Totals],[16]]</f>
        <v>55641600</v>
      </c>
    </row>
    <row r="46" spans="1:16">
      <c r="A46" s="27" t="s">
        <v>192</v>
      </c>
      <c r="B46" s="28" t="s">
        <v>203</v>
      </c>
      <c r="C46" s="28" t="s">
        <v>204</v>
      </c>
      <c r="D46" s="28" t="s">
        <v>205</v>
      </c>
      <c r="E46" s="28" t="s">
        <v>206</v>
      </c>
      <c r="F46" s="28" t="s">
        <v>207</v>
      </c>
      <c r="G46" s="28" t="s">
        <v>208</v>
      </c>
      <c r="H46" s="28" t="s">
        <v>209</v>
      </c>
      <c r="I46" s="28" t="s">
        <v>210</v>
      </c>
      <c r="J46" s="28" t="s">
        <v>211</v>
      </c>
      <c r="K46" s="28" t="s">
        <v>212</v>
      </c>
      <c r="L46" s="28" t="s">
        <v>213</v>
      </c>
      <c r="M46" s="28" t="s">
        <v>214</v>
      </c>
    </row>
    <row r="47" spans="1:16">
      <c r="A47" s="29">
        <v>1</v>
      </c>
      <c r="B47" s="30">
        <v>46210</v>
      </c>
      <c r="C47" s="31">
        <v>41964800</v>
      </c>
      <c r="D47" s="32" t="s">
        <v>255</v>
      </c>
      <c r="E47" s="33"/>
      <c r="F47" s="34">
        <f>Таблица21339902946781316172122232425303132333435[[#This Row],[ ]]</f>
        <v>1</v>
      </c>
      <c r="G47" s="32">
        <v>46214</v>
      </c>
      <c r="H47" s="35" t="s">
        <v>108</v>
      </c>
      <c r="I47" s="36" t="s">
        <v>26</v>
      </c>
      <c r="J47" s="37">
        <v>32.832</v>
      </c>
      <c r="K47" s="38">
        <v>19</v>
      </c>
      <c r="L47" s="34">
        <v>700000</v>
      </c>
      <c r="M47" s="33">
        <f>Таблица21339902946781316172122232425303132333435[[#This Row],[113]]*Таблица21339902946781316172122232425303132333435[[#This Row],[15]]</f>
        <v>22982400</v>
      </c>
    </row>
    <row r="48" spans="1:16">
      <c r="A48" s="29">
        <v>2</v>
      </c>
      <c r="B48" s="30">
        <v>46214</v>
      </c>
      <c r="C48" s="33">
        <v>2500000</v>
      </c>
      <c r="D48" s="32" t="s">
        <v>216</v>
      </c>
      <c r="E48" s="33"/>
      <c r="F48" s="34">
        <f>Таблица21339902946781316172122232425303132333435[[#This Row],[ ]]</f>
        <v>2</v>
      </c>
      <c r="G48" s="30">
        <v>46217</v>
      </c>
      <c r="H48" s="39" t="s">
        <v>133</v>
      </c>
      <c r="I48" s="39" t="s">
        <v>26</v>
      </c>
      <c r="J48" s="39">
        <v>32.832</v>
      </c>
      <c r="K48" s="33">
        <v>19</v>
      </c>
      <c r="L48" s="44">
        <v>700000</v>
      </c>
      <c r="M48" s="33">
        <f>Таблица21339902946781316172122232425303132333435[[#This Row],[113]]*Таблица21339902946781316172122232425303132333435[[#This Row],[15]]</f>
        <v>22982400</v>
      </c>
    </row>
    <row r="49" spans="1:13">
      <c r="A49" s="29">
        <v>3</v>
      </c>
      <c r="B49" s="55">
        <v>46217</v>
      </c>
      <c r="C49" s="33">
        <v>2500000</v>
      </c>
      <c r="D49" s="32" t="s">
        <v>216</v>
      </c>
      <c r="E49" s="33"/>
      <c r="F49" s="34">
        <f>Таблица21339902946781316172122232425303132333435[[#This Row],[ ]]</f>
        <v>3</v>
      </c>
      <c r="G49" s="30">
        <v>46218</v>
      </c>
      <c r="H49" s="39" t="s">
        <v>146</v>
      </c>
      <c r="I49" s="39" t="s">
        <v>96</v>
      </c>
      <c r="J49" s="39">
        <v>13.824</v>
      </c>
      <c r="K49" s="33">
        <v>8</v>
      </c>
      <c r="L49" s="44">
        <v>700000</v>
      </c>
      <c r="M49" s="33">
        <f>Таблица21339902946781316172122232425303132333435[[#This Row],[113]]*Таблица21339902946781316172122232425303132333435[[#This Row],[15]]</f>
        <v>9676800</v>
      </c>
    </row>
    <row r="50" spans="1:13">
      <c r="A50" s="29">
        <v>4</v>
      </c>
      <c r="B50" s="55"/>
      <c r="C50" s="33"/>
      <c r="D50" s="32"/>
      <c r="E50" s="33"/>
      <c r="F50" s="34">
        <f>Таблица21339902946781316172122232425303132333435[[#This Row],[ ]]</f>
        <v>4</v>
      </c>
      <c r="G50" s="30"/>
      <c r="H50" s="39"/>
      <c r="I50" s="39"/>
      <c r="J50" s="39"/>
      <c r="K50" s="33"/>
      <c r="L50" s="44"/>
      <c r="M50" s="33">
        <f>Таблица21339902946781316172122232425303132333435[[#This Row],[113]]*Таблица21339902946781316172122232425303132333435[[#This Row],[15]]</f>
        <v>0</v>
      </c>
    </row>
    <row r="51" spans="1:13">
      <c r="A51" s="48"/>
      <c r="B51" s="59"/>
      <c r="C51" s="33">
        <f>SUBTOTAL(109,Таблица21339902946781316172122232425303132333435[2])</f>
        <v>46964800</v>
      </c>
      <c r="D51" s="33"/>
      <c r="E51" s="42"/>
      <c r="F51" s="49"/>
      <c r="G51" s="46"/>
      <c r="H51" s="43"/>
      <c r="I51" s="43"/>
      <c r="J51" s="43"/>
      <c r="K51" s="43">
        <f>SUBTOTAL(109,Таблица21339902946781316172122232425303132333435[1132])</f>
        <v>46</v>
      </c>
      <c r="L51" s="50"/>
      <c r="M51" s="50">
        <f>SUBTOTAL(109,Таблица21339902946781316172122232425303132333435[16])</f>
        <v>55641600</v>
      </c>
    </row>
    <row r="52" spans="1:13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</row>
    <row r="53" ht="18.75" spans="1:13">
      <c r="A53" s="1"/>
      <c r="B53" s="2"/>
      <c r="C53" s="3" t="s">
        <v>192</v>
      </c>
      <c r="D53" s="79" t="s">
        <v>256</v>
      </c>
      <c r="E53" s="5"/>
      <c r="F53" s="6"/>
      <c r="G53" s="6"/>
      <c r="H53" s="6"/>
      <c r="I53" s="6"/>
      <c r="J53" s="6"/>
      <c r="K53" s="6"/>
      <c r="L53" s="6"/>
      <c r="M53" s="6"/>
    </row>
    <row r="54" ht="20.25" spans="1:13">
      <c r="A54" s="7" t="s">
        <v>194</v>
      </c>
      <c r="B54" s="7"/>
      <c r="C54" s="8"/>
      <c r="D54" s="8"/>
      <c r="E54" s="8"/>
      <c r="F54" s="52">
        <f>Таблица2133990294678131617212223242530313233343536[[#Totals],[2]]+-Таблица2133990294678131617212223242530313233343536[[#Totals],[16]]</f>
        <v>0</v>
      </c>
      <c r="G54" s="53"/>
      <c r="H54" s="6"/>
      <c r="I54" s="6"/>
      <c r="J54" s="6"/>
      <c r="K54" s="10">
        <f>Таблица2133990294678131617212223242530313233343536[[#Totals],[1132]]</f>
        <v>11</v>
      </c>
      <c r="L54" s="6"/>
      <c r="M54" s="6"/>
    </row>
    <row r="55" spans="1:13">
      <c r="A55" s="11" t="s">
        <v>195</v>
      </c>
      <c r="B55" s="11" t="s">
        <v>196</v>
      </c>
      <c r="C55" s="11" t="s">
        <v>197</v>
      </c>
      <c r="D55" s="11" t="s">
        <v>198</v>
      </c>
      <c r="E55" s="14" t="s">
        <v>199</v>
      </c>
      <c r="F55" s="15" t="s">
        <v>195</v>
      </c>
      <c r="G55" s="15" t="s">
        <v>196</v>
      </c>
      <c r="H55" s="15" t="s">
        <v>200</v>
      </c>
      <c r="I55" s="16" t="s">
        <v>6</v>
      </c>
      <c r="J55" s="17" t="s">
        <v>7</v>
      </c>
      <c r="K55" s="17" t="s">
        <v>201</v>
      </c>
      <c r="L55" s="15" t="s">
        <v>202</v>
      </c>
      <c r="M55" s="16" t="s">
        <v>197</v>
      </c>
    </row>
    <row r="56" spans="1:13">
      <c r="A56" s="11"/>
      <c r="B56" s="11"/>
      <c r="C56" s="18"/>
      <c r="D56" s="19"/>
      <c r="E56" s="20"/>
      <c r="F56" s="15"/>
      <c r="G56" s="15"/>
      <c r="H56" s="15"/>
      <c r="I56" s="21"/>
      <c r="J56" s="80"/>
      <c r="K56" s="22"/>
      <c r="L56" s="15"/>
      <c r="M56" s="26"/>
    </row>
    <row r="57" ht="15.75" spans="1:13">
      <c r="A57" s="11"/>
      <c r="B57" s="11"/>
      <c r="C57" s="54">
        <f>Таблица2133990294678131617212223242530313233343536[[#Totals],[2]]</f>
        <v>13305600</v>
      </c>
      <c r="D57" s="24"/>
      <c r="E57" s="25">
        <f>SUM(Таблица2133990294678131617212223242530313233343536[4])</f>
        <v>0</v>
      </c>
      <c r="F57" s="15"/>
      <c r="G57" s="15"/>
      <c r="H57" s="15"/>
      <c r="I57" s="26"/>
      <c r="J57" s="81">
        <f>SUM(Таблица2133990294678131617212223242530313233343536[113])</f>
        <v>19.008</v>
      </c>
      <c r="K57" s="10">
        <f>Таблица2133990294678131617212223242530313233343536[[#Totals],[1132]]</f>
        <v>11</v>
      </c>
      <c r="L57" s="15"/>
      <c r="M57" s="9">
        <f>Таблица2133990294678131617212223242530313233343536[[#Totals],[16]]</f>
        <v>13305600</v>
      </c>
    </row>
    <row r="58" spans="1:13">
      <c r="A58" s="27" t="s">
        <v>192</v>
      </c>
      <c r="B58" s="28" t="s">
        <v>203</v>
      </c>
      <c r="C58" s="28" t="s">
        <v>204</v>
      </c>
      <c r="D58" s="28" t="s">
        <v>205</v>
      </c>
      <c r="E58" s="28" t="s">
        <v>206</v>
      </c>
      <c r="F58" s="28" t="s">
        <v>207</v>
      </c>
      <c r="G58" s="28" t="s">
        <v>208</v>
      </c>
      <c r="H58" s="28" t="s">
        <v>209</v>
      </c>
      <c r="I58" s="28" t="s">
        <v>210</v>
      </c>
      <c r="J58" s="28" t="s">
        <v>211</v>
      </c>
      <c r="K58" s="28" t="s">
        <v>212</v>
      </c>
      <c r="L58" s="28" t="s">
        <v>213</v>
      </c>
      <c r="M58" s="28" t="s">
        <v>214</v>
      </c>
    </row>
    <row r="59" spans="1:13">
      <c r="A59" s="29">
        <v>1</v>
      </c>
      <c r="B59" s="30">
        <v>46216</v>
      </c>
      <c r="C59" s="31">
        <v>10805600</v>
      </c>
      <c r="D59" s="32" t="s">
        <v>257</v>
      </c>
      <c r="E59" s="33"/>
      <c r="F59" s="34">
        <f>Таблица2133990294678131617212223242530313233343536[[#This Row],[ ]]</f>
        <v>1</v>
      </c>
      <c r="G59" s="32">
        <v>46218</v>
      </c>
      <c r="H59" s="35" t="s">
        <v>146</v>
      </c>
      <c r="I59" s="36" t="s">
        <v>96</v>
      </c>
      <c r="J59" s="37">
        <v>19.008</v>
      </c>
      <c r="K59" s="38">
        <v>11</v>
      </c>
      <c r="L59" s="34">
        <v>700000</v>
      </c>
      <c r="M59" s="33">
        <f>Таблица2133990294678131617212223242530313233343536[[#This Row],[113]]*Таблица2133990294678131617212223242530313233343536[[#This Row],[15]]</f>
        <v>13305600</v>
      </c>
    </row>
    <row r="60" spans="1:13">
      <c r="A60" s="29">
        <v>2</v>
      </c>
      <c r="B60" s="30">
        <v>46218</v>
      </c>
      <c r="C60" s="33">
        <v>2500000</v>
      </c>
      <c r="D60" s="32" t="s">
        <v>216</v>
      </c>
      <c r="E60" s="33"/>
      <c r="F60" s="34">
        <f>Таблица2133990294678131617212223242530313233343536[[#This Row],[ ]]</f>
        <v>2</v>
      </c>
      <c r="G60" s="30"/>
      <c r="H60" s="39"/>
      <c r="I60" s="39"/>
      <c r="J60" s="39"/>
      <c r="K60" s="33"/>
      <c r="L60" s="44"/>
      <c r="M60" s="33">
        <f>Таблица2133990294678131617212223242530313233343536[[#This Row],[113]]*Таблица2133990294678131617212223242530313233343536[[#This Row],[15]]</f>
        <v>0</v>
      </c>
    </row>
    <row r="61" spans="1:13">
      <c r="A61" s="29">
        <v>3</v>
      </c>
      <c r="B61" s="55"/>
      <c r="C61" s="33"/>
      <c r="D61" s="32"/>
      <c r="E61" s="33"/>
      <c r="F61" s="34">
        <f>Таблица2133990294678131617212223242530313233343536[[#This Row],[ ]]</f>
        <v>3</v>
      </c>
      <c r="G61" s="30"/>
      <c r="H61" s="39"/>
      <c r="I61" s="39"/>
      <c r="J61" s="39"/>
      <c r="K61" s="33"/>
      <c r="L61" s="44"/>
      <c r="M61" s="33">
        <f>Таблица2133990294678131617212223242530313233343536[[#This Row],[113]]*Таблица2133990294678131617212223242530313233343536[[#This Row],[15]]</f>
        <v>0</v>
      </c>
    </row>
    <row r="62" spans="1:13">
      <c r="A62" s="48"/>
      <c r="B62" s="59"/>
      <c r="C62" s="33">
        <f>SUBTOTAL(109,Таблица2133990294678131617212223242530313233343536[2])</f>
        <v>13305600</v>
      </c>
      <c r="D62" s="33"/>
      <c r="E62" s="42"/>
      <c r="F62" s="49"/>
      <c r="G62" s="46"/>
      <c r="H62" s="43"/>
      <c r="I62" s="43"/>
      <c r="J62" s="43"/>
      <c r="K62" s="43">
        <f>SUBTOTAL(109,Таблица2133990294678131617212223242530313233343536[1132])</f>
        <v>11</v>
      </c>
      <c r="L62" s="50"/>
      <c r="M62" s="50">
        <f>SUBTOTAL(109,Таблица2133990294678131617212223242530313233343536[16])</f>
        <v>13305600</v>
      </c>
    </row>
  </sheetData>
  <mergeCells count="70">
    <mergeCell ref="A2:B2"/>
    <mergeCell ref="C2:D2"/>
    <mergeCell ref="F2:G2"/>
    <mergeCell ref="A20:B20"/>
    <mergeCell ref="C20:D20"/>
    <mergeCell ref="F20:G20"/>
    <mergeCell ref="A30:B30"/>
    <mergeCell ref="C30:D30"/>
    <mergeCell ref="F30:G30"/>
    <mergeCell ref="A42:B42"/>
    <mergeCell ref="C42:D42"/>
    <mergeCell ref="F42:G42"/>
    <mergeCell ref="A54:B54"/>
    <mergeCell ref="C54:D54"/>
    <mergeCell ref="F54:G54"/>
    <mergeCell ref="A3:A5"/>
    <mergeCell ref="A21:A23"/>
    <mergeCell ref="A31:A33"/>
    <mergeCell ref="A43:A45"/>
    <mergeCell ref="A55:A57"/>
    <mergeCell ref="B3:B5"/>
    <mergeCell ref="B21:B23"/>
    <mergeCell ref="B31:B33"/>
    <mergeCell ref="B43:B45"/>
    <mergeCell ref="B55:B57"/>
    <mergeCell ref="E3:E4"/>
    <mergeCell ref="E21:E22"/>
    <mergeCell ref="E31:E32"/>
    <mergeCell ref="E43:E44"/>
    <mergeCell ref="E55:E56"/>
    <mergeCell ref="F3:F5"/>
    <mergeCell ref="F21:F23"/>
    <mergeCell ref="F31:F33"/>
    <mergeCell ref="F43:F45"/>
    <mergeCell ref="F55:F57"/>
    <mergeCell ref="G3:G5"/>
    <mergeCell ref="G21:G23"/>
    <mergeCell ref="G31:G33"/>
    <mergeCell ref="G43:G45"/>
    <mergeCell ref="G55:G57"/>
    <mergeCell ref="H3:H5"/>
    <mergeCell ref="H21:H23"/>
    <mergeCell ref="H31:H33"/>
    <mergeCell ref="H43:H45"/>
    <mergeCell ref="H55:H57"/>
    <mergeCell ref="I3:I5"/>
    <mergeCell ref="I21:I23"/>
    <mergeCell ref="I31:I33"/>
    <mergeCell ref="I43:I45"/>
    <mergeCell ref="I55:I57"/>
    <mergeCell ref="J3:J4"/>
    <mergeCell ref="J21:J23"/>
    <mergeCell ref="J31:J32"/>
    <mergeCell ref="J43:J44"/>
    <mergeCell ref="J55:J56"/>
    <mergeCell ref="K3:K4"/>
    <mergeCell ref="K21:K22"/>
    <mergeCell ref="K31:K32"/>
    <mergeCell ref="K43:K44"/>
    <mergeCell ref="K55:K56"/>
    <mergeCell ref="L3:L5"/>
    <mergeCell ref="L21:L23"/>
    <mergeCell ref="L31:L33"/>
    <mergeCell ref="L43:L45"/>
    <mergeCell ref="L55:L57"/>
    <mergeCell ref="M3:M4"/>
    <mergeCell ref="M21:M22"/>
    <mergeCell ref="M31:M32"/>
    <mergeCell ref="M43:M44"/>
    <mergeCell ref="M55:M56"/>
  </mergeCells>
  <hyperlinks>
    <hyperlink ref="D1" location="'Свод Завод'!Y4" display="4-Рустам Шпик"/>
    <hyperlink ref="D19" location="'Свод Завод'!Y4" display="4-Гайрат Штб"/>
    <hyperlink ref="D29" location="'Свод Завод'!A1" display="4-Элликкала Бостон"/>
    <hyperlink ref="D41" location="'Свод Завод'!A1" display="3-Бунёдкор"/>
    <hyperlink ref="D53" location="'Свод Завод'!A1" display="3-Сув газ монтаж"/>
  </hyperlinks>
  <pageMargins left="0.7" right="0.7" top="0.75" bottom="0.75" header="0.3" footer="0.3"/>
  <headerFooter/>
  <tableParts count="5">
    <tablePart r:id="rId1"/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zoomScale="115" zoomScaleNormal="115" workbookViewId="0">
      <selection activeCell="R14" sqref="R14:S14"/>
    </sheetView>
  </sheetViews>
  <sheetFormatPr defaultColWidth="9" defaultRowHeight="15"/>
  <cols>
    <col min="1" max="1" width="5.55238095238095" customWidth="1"/>
    <col min="2" max="2" width="11.3333333333333" customWidth="1"/>
    <col min="3" max="3" width="14.1047619047619" customWidth="1"/>
    <col min="4" max="4" width="27.8857142857143" customWidth="1"/>
    <col min="5" max="5" width="17.2190476190476" customWidth="1"/>
    <col min="6" max="6" width="11.1047619047619" customWidth="1"/>
    <col min="7" max="7" width="11.3333333333333" customWidth="1"/>
    <col min="8" max="8" width="12.7809523809524" customWidth="1"/>
    <col min="9" max="9" width="13.4380952380952" customWidth="1"/>
    <col min="13" max="13" width="14.1047619047619" customWidth="1"/>
    <col min="14" max="14" width="12.2190476190476" customWidth="1"/>
    <col min="17" max="18" width="10.8857142857143" customWidth="1"/>
  </cols>
  <sheetData>
    <row r="1" ht="18.75" spans="1:18">
      <c r="A1" s="1"/>
      <c r="B1" s="2"/>
      <c r="C1" s="3" t="s">
        <v>192</v>
      </c>
      <c r="D1" s="79" t="s">
        <v>258</v>
      </c>
      <c r="E1" s="5"/>
      <c r="F1" s="6"/>
      <c r="G1" s="6"/>
      <c r="H1" s="6"/>
      <c r="I1" s="6"/>
      <c r="J1" s="6"/>
      <c r="K1" s="6"/>
      <c r="L1" s="6"/>
      <c r="M1" s="6"/>
    </row>
    <row r="2" ht="20.25" spans="1:18">
      <c r="A2" s="7" t="s">
        <v>194</v>
      </c>
      <c r="B2" s="7"/>
      <c r="C2" s="8"/>
      <c r="D2" s="8"/>
      <c r="E2" s="8"/>
      <c r="F2" s="52">
        <f>Таблица213399029469[[#Totals],[2]]+-Таблица213399029469[[#Totals],[16]]</f>
        <v>0</v>
      </c>
      <c r="G2" s="53"/>
      <c r="H2" s="6"/>
      <c r="I2" s="6"/>
      <c r="J2" s="6"/>
      <c r="K2" s="10">
        <f>K5</f>
        <v>38</v>
      </c>
      <c r="L2" s="6"/>
      <c r="M2" s="6"/>
    </row>
    <row r="3" spans="1:18">
      <c r="A3" s="11" t="s">
        <v>195</v>
      </c>
      <c r="B3" s="11" t="s">
        <v>196</v>
      </c>
      <c r="C3" s="11" t="s">
        <v>197</v>
      </c>
      <c r="D3" s="11" t="s">
        <v>198</v>
      </c>
      <c r="E3" s="14" t="s">
        <v>199</v>
      </c>
      <c r="F3" s="15" t="s">
        <v>195</v>
      </c>
      <c r="G3" s="15" t="s">
        <v>196</v>
      </c>
      <c r="H3" s="15" t="s">
        <v>200</v>
      </c>
      <c r="I3" s="16" t="s">
        <v>6</v>
      </c>
      <c r="J3" s="17" t="s">
        <v>7</v>
      </c>
      <c r="K3" s="17" t="s">
        <v>201</v>
      </c>
      <c r="L3" s="15" t="s">
        <v>202</v>
      </c>
      <c r="M3" s="16" t="s">
        <v>197</v>
      </c>
    </row>
    <row r="4" spans="1:18">
      <c r="A4" s="11"/>
      <c r="B4" s="11"/>
      <c r="C4" s="18"/>
      <c r="D4" s="19"/>
      <c r="E4" s="20"/>
      <c r="F4" s="15"/>
      <c r="G4" s="15"/>
      <c r="H4" s="15"/>
      <c r="I4" s="21"/>
      <c r="J4" s="21"/>
      <c r="K4" s="22"/>
      <c r="L4" s="15"/>
      <c r="M4" s="26"/>
    </row>
    <row r="5" ht="15.75" spans="1:18">
      <c r="A5" s="11"/>
      <c r="B5" s="11"/>
      <c r="C5" s="54">
        <f>Таблица213399029469[[#Totals],[2]]</f>
        <v>47934720</v>
      </c>
      <c r="D5" s="24"/>
      <c r="E5" s="25">
        <f>SUM(Таблица213399029469[4])</f>
        <v>0</v>
      </c>
      <c r="F5" s="15"/>
      <c r="G5" s="15"/>
      <c r="H5" s="15"/>
      <c r="I5" s="26"/>
      <c r="J5" s="26"/>
      <c r="K5" s="10">
        <f>Таблица213399029469[[#Totals],[1132]]</f>
        <v>38</v>
      </c>
      <c r="L5" s="15"/>
      <c r="M5" s="9">
        <f>Таблица213399029469[[#Totals],[16]]</f>
        <v>47934720</v>
      </c>
    </row>
    <row r="6" spans="1:18">
      <c r="A6" s="27" t="s">
        <v>192</v>
      </c>
      <c r="B6" s="28" t="s">
        <v>203</v>
      </c>
      <c r="C6" s="28" t="s">
        <v>204</v>
      </c>
      <c r="D6" s="28" t="s">
        <v>205</v>
      </c>
      <c r="E6" s="28" t="s">
        <v>206</v>
      </c>
      <c r="F6" s="28" t="s">
        <v>207</v>
      </c>
      <c r="G6" s="28" t="s">
        <v>208</v>
      </c>
      <c r="H6" s="28" t="s">
        <v>209</v>
      </c>
      <c r="I6" s="28" t="s">
        <v>210</v>
      </c>
      <c r="J6" s="28" t="s">
        <v>211</v>
      </c>
      <c r="K6" s="28" t="s">
        <v>212</v>
      </c>
      <c r="L6" s="28" t="s">
        <v>213</v>
      </c>
      <c r="M6" s="28" t="s">
        <v>214</v>
      </c>
    </row>
    <row r="7" spans="1:18">
      <c r="A7" s="29">
        <v>1</v>
      </c>
      <c r="B7" s="30">
        <v>46206</v>
      </c>
      <c r="C7" s="31">
        <v>47934720</v>
      </c>
      <c r="D7" s="32" t="s">
        <v>259</v>
      </c>
      <c r="E7" s="33"/>
      <c r="F7" s="34">
        <f>Таблица213399029469[[#This Row],[ ]]</f>
        <v>1</v>
      </c>
      <c r="G7" s="32">
        <v>46203</v>
      </c>
      <c r="H7" s="35" t="s">
        <v>49</v>
      </c>
      <c r="I7" s="36" t="s">
        <v>26</v>
      </c>
      <c r="J7" s="37">
        <v>32.832</v>
      </c>
      <c r="K7" s="38">
        <v>19</v>
      </c>
      <c r="L7" s="33">
        <v>730000</v>
      </c>
      <c r="M7" s="33">
        <f>Таблица213399029469[[#This Row],[113]]*Таблица213399029469[[#This Row],[15]]</f>
        <v>23967360</v>
      </c>
    </row>
    <row r="8" spans="1:18">
      <c r="A8" s="29">
        <v>2</v>
      </c>
      <c r="B8" s="55"/>
      <c r="C8" s="33"/>
      <c r="D8" s="32"/>
      <c r="E8" s="33"/>
      <c r="F8" s="34">
        <f>Таблица213399029469[[#This Row],[ ]]</f>
        <v>2</v>
      </c>
      <c r="G8" s="30">
        <v>46203</v>
      </c>
      <c r="H8" s="39" t="s">
        <v>56</v>
      </c>
      <c r="I8" s="39" t="s">
        <v>26</v>
      </c>
      <c r="J8" s="39">
        <v>32.832</v>
      </c>
      <c r="K8" s="33">
        <v>19</v>
      </c>
      <c r="L8" s="33">
        <v>730000</v>
      </c>
      <c r="M8" s="33">
        <f>Таблица213399029469[[#This Row],[113]]*Таблица213399029469[[#This Row],[15]]</f>
        <v>23967360</v>
      </c>
    </row>
    <row r="9" spans="1:18">
      <c r="A9" s="48"/>
      <c r="B9" s="59"/>
      <c r="C9" s="33">
        <f>SUBTOTAL(109,Таблица213399029469[2])</f>
        <v>47934720</v>
      </c>
      <c r="D9" s="33"/>
      <c r="E9" s="42"/>
      <c r="F9" s="49"/>
      <c r="G9" s="46"/>
      <c r="H9" s="43"/>
      <c r="I9" s="43"/>
      <c r="J9" s="43"/>
      <c r="K9" s="43">
        <f>SUBTOTAL(109,Таблица213399029469[1132])</f>
        <v>38</v>
      </c>
      <c r="L9" s="50"/>
      <c r="M9" s="50">
        <f>SUBTOTAL(109,Таблица213399029469[16])</f>
        <v>47934720</v>
      </c>
      <c r="Q9" s="72"/>
    </row>
    <row r="10" spans="1:18">
      <c r="R10" s="72"/>
    </row>
    <row r="11" ht="15.75" spans="1:18">
      <c r="A11" s="83" t="s">
        <v>260</v>
      </c>
      <c r="B11" s="84"/>
      <c r="C11" s="84"/>
      <c r="D11" s="84"/>
      <c r="E11" s="84"/>
      <c r="F11" s="6"/>
      <c r="G11" s="6"/>
      <c r="H11" s="6"/>
      <c r="I11" s="6"/>
      <c r="J11" s="6"/>
      <c r="K11" s="6"/>
      <c r="L11" s="6"/>
      <c r="M11" s="6"/>
    </row>
    <row r="12" ht="20.25" spans="1:18">
      <c r="A12" s="7" t="s">
        <v>194</v>
      </c>
      <c r="B12" s="7"/>
      <c r="C12" s="8"/>
      <c r="D12" s="8"/>
      <c r="E12" s="8"/>
      <c r="F12" s="52">
        <f>C15-M15</f>
        <v>12895000</v>
      </c>
      <c r="G12" s="53"/>
      <c r="H12" s="6"/>
      <c r="I12" s="6"/>
      <c r="J12" s="6"/>
      <c r="K12" s="85">
        <f>K15</f>
        <v>455</v>
      </c>
      <c r="L12" s="6"/>
      <c r="M12" s="6"/>
      <c r="Q12" s="72"/>
    </row>
    <row r="13" spans="1:18">
      <c r="A13" s="11" t="s">
        <v>195</v>
      </c>
      <c r="B13" s="11" t="s">
        <v>196</v>
      </c>
      <c r="C13" s="11" t="s">
        <v>197</v>
      </c>
      <c r="D13" s="11" t="s">
        <v>198</v>
      </c>
      <c r="E13" s="14" t="s">
        <v>199</v>
      </c>
      <c r="F13" s="15" t="s">
        <v>195</v>
      </c>
      <c r="G13" s="15" t="s">
        <v>196</v>
      </c>
      <c r="H13" s="15" t="s">
        <v>200</v>
      </c>
      <c r="I13" s="16" t="s">
        <v>6</v>
      </c>
      <c r="J13" s="17" t="s">
        <v>7</v>
      </c>
      <c r="K13" s="17" t="s">
        <v>201</v>
      </c>
      <c r="L13" s="15" t="s">
        <v>202</v>
      </c>
      <c r="M13" s="16" t="s">
        <v>197</v>
      </c>
      <c r="Q13" s="72"/>
      <c r="R13" s="72"/>
    </row>
    <row r="14" spans="1:18">
      <c r="A14" s="11"/>
      <c r="B14" s="11"/>
      <c r="C14" s="18"/>
      <c r="D14" s="19"/>
      <c r="E14" s="20"/>
      <c r="F14" s="15"/>
      <c r="G14" s="15"/>
      <c r="H14" s="15"/>
      <c r="I14" s="21"/>
      <c r="J14" s="21"/>
      <c r="K14" s="22"/>
      <c r="L14" s="15"/>
      <c r="M14" s="26"/>
      <c r="Q14" s="72"/>
    </row>
    <row r="15" ht="15.75" spans="1:18">
      <c r="A15" s="17"/>
      <c r="B15" s="17"/>
      <c r="C15" s="86">
        <f>C41</f>
        <v>573026200</v>
      </c>
      <c r="D15" s="24"/>
      <c r="E15" s="25">
        <f>SUM(Таблица213399029469[4])</f>
        <v>0</v>
      </c>
      <c r="F15" s="16"/>
      <c r="G15" s="16"/>
      <c r="H15" s="16"/>
      <c r="I15" s="21"/>
      <c r="J15" s="21"/>
      <c r="K15" s="85">
        <f>K41</f>
        <v>455</v>
      </c>
      <c r="L15" s="16"/>
      <c r="M15" s="87">
        <f>M41</f>
        <v>560131200</v>
      </c>
    </row>
    <row r="16" spans="1:18">
      <c r="A16" s="34">
        <v>1</v>
      </c>
      <c r="B16" s="30">
        <v>46198</v>
      </c>
      <c r="C16" s="31">
        <v>23328000</v>
      </c>
      <c r="D16" s="32" t="s">
        <v>261</v>
      </c>
      <c r="E16" s="33"/>
      <c r="F16" s="34">
        <f>A16</f>
        <v>1</v>
      </c>
      <c r="G16" s="32">
        <v>46197</v>
      </c>
      <c r="H16" s="35" t="s">
        <v>34</v>
      </c>
      <c r="I16" s="88" t="s">
        <v>26</v>
      </c>
      <c r="J16" s="89">
        <v>31.104</v>
      </c>
      <c r="K16" s="44">
        <v>18</v>
      </c>
      <c r="L16" s="33">
        <v>750000</v>
      </c>
      <c r="M16" s="33">
        <f t="shared" ref="M16:M20" si="0">J16*L16</f>
        <v>23328000</v>
      </c>
    </row>
    <row r="17" spans="1:18">
      <c r="A17" s="34">
        <v>2</v>
      </c>
      <c r="B17" s="55">
        <v>46202</v>
      </c>
      <c r="C17" s="33">
        <v>24624000</v>
      </c>
      <c r="D17" s="32" t="s">
        <v>262</v>
      </c>
      <c r="E17" s="33"/>
      <c r="F17" s="34">
        <f t="shared" ref="F17:F40" si="1">A17</f>
        <v>2</v>
      </c>
      <c r="G17" s="30">
        <v>46200</v>
      </c>
      <c r="H17" s="39" t="s">
        <v>45</v>
      </c>
      <c r="I17" s="39" t="s">
        <v>46</v>
      </c>
      <c r="J17" s="39">
        <v>32.832</v>
      </c>
      <c r="K17" s="33">
        <v>19</v>
      </c>
      <c r="L17" s="33">
        <v>750000</v>
      </c>
      <c r="M17" s="33">
        <f t="shared" si="0"/>
        <v>24624000</v>
      </c>
      <c r="R17" s="72"/>
    </row>
    <row r="18" spans="1:18">
      <c r="A18" s="34">
        <v>3</v>
      </c>
      <c r="B18" s="55">
        <v>46203</v>
      </c>
      <c r="C18" s="33">
        <v>73872000</v>
      </c>
      <c r="D18" s="32" t="s">
        <v>263</v>
      </c>
      <c r="E18" s="33"/>
      <c r="F18" s="34">
        <f t="shared" si="1"/>
        <v>3</v>
      </c>
      <c r="G18" s="30">
        <v>46200</v>
      </c>
      <c r="H18" s="39" t="s">
        <v>47</v>
      </c>
      <c r="I18" s="39" t="s">
        <v>46</v>
      </c>
      <c r="J18" s="39">
        <v>32.832</v>
      </c>
      <c r="K18" s="33">
        <v>19</v>
      </c>
      <c r="L18" s="33">
        <v>750000</v>
      </c>
      <c r="M18" s="33">
        <f t="shared" si="0"/>
        <v>24624000</v>
      </c>
    </row>
    <row r="19" spans="1:18">
      <c r="A19" s="34">
        <v>4</v>
      </c>
      <c r="B19" s="55">
        <v>46206</v>
      </c>
      <c r="C19" s="90">
        <v>24624000</v>
      </c>
      <c r="D19" s="32" t="s">
        <v>264</v>
      </c>
      <c r="E19" s="33"/>
      <c r="F19" s="34">
        <f t="shared" si="1"/>
        <v>4</v>
      </c>
      <c r="G19" s="30">
        <v>46200</v>
      </c>
      <c r="H19" s="39" t="s">
        <v>48</v>
      </c>
      <c r="I19" s="39" t="s">
        <v>26</v>
      </c>
      <c r="J19" s="39">
        <v>32.832</v>
      </c>
      <c r="K19" s="33">
        <v>19</v>
      </c>
      <c r="L19" s="33">
        <v>750000</v>
      </c>
      <c r="M19" s="33">
        <f t="shared" si="0"/>
        <v>24624000</v>
      </c>
    </row>
    <row r="20" spans="1:18">
      <c r="A20" s="34">
        <v>5</v>
      </c>
      <c r="B20" s="55">
        <v>46209</v>
      </c>
      <c r="C20" s="90">
        <v>61447200</v>
      </c>
      <c r="D20" s="32" t="s">
        <v>265</v>
      </c>
      <c r="E20" s="33"/>
      <c r="F20" s="34">
        <f t="shared" si="1"/>
        <v>5</v>
      </c>
      <c r="G20" s="30">
        <v>46200</v>
      </c>
      <c r="H20" s="39" t="s">
        <v>49</v>
      </c>
      <c r="I20" s="39" t="s">
        <v>26</v>
      </c>
      <c r="J20" s="39">
        <v>32.832</v>
      </c>
      <c r="K20" s="33">
        <v>19</v>
      </c>
      <c r="L20" s="33">
        <v>750000</v>
      </c>
      <c r="M20" s="33">
        <f t="shared" si="0"/>
        <v>24624000</v>
      </c>
      <c r="R20" s="72"/>
    </row>
    <row r="21" spans="1:18">
      <c r="A21" s="34">
        <v>6</v>
      </c>
      <c r="B21" s="55">
        <v>46206</v>
      </c>
      <c r="C21" s="33">
        <v>7500000</v>
      </c>
      <c r="D21" s="32" t="s">
        <v>216</v>
      </c>
      <c r="E21" s="33"/>
      <c r="F21" s="34">
        <f t="shared" si="1"/>
        <v>6</v>
      </c>
      <c r="G21" s="30">
        <v>46204</v>
      </c>
      <c r="H21" s="39" t="s">
        <v>64</v>
      </c>
      <c r="I21" s="39" t="s">
        <v>26</v>
      </c>
      <c r="J21" s="39">
        <v>32.832</v>
      </c>
      <c r="K21" s="33">
        <v>19</v>
      </c>
      <c r="L21" s="33">
        <v>750000</v>
      </c>
      <c r="M21" s="33">
        <f t="shared" ref="M21:M39" si="2">J21*L21</f>
        <v>24624000</v>
      </c>
      <c r="R21" s="72"/>
    </row>
    <row r="22" spans="1:18">
      <c r="A22" s="34">
        <v>7</v>
      </c>
      <c r="B22" s="55">
        <v>46210</v>
      </c>
      <c r="C22" s="90">
        <v>41965000</v>
      </c>
      <c r="D22" s="32" t="s">
        <v>266</v>
      </c>
      <c r="E22" s="33"/>
      <c r="F22" s="34">
        <f t="shared" si="1"/>
        <v>7</v>
      </c>
      <c r="G22" s="30">
        <v>46206</v>
      </c>
      <c r="H22" s="39" t="s">
        <v>71</v>
      </c>
      <c r="I22" s="39" t="s">
        <v>26</v>
      </c>
      <c r="J22" s="39">
        <v>32.832</v>
      </c>
      <c r="K22" s="44">
        <v>19</v>
      </c>
      <c r="L22" s="33">
        <v>700000</v>
      </c>
      <c r="M22" s="33">
        <f t="shared" si="2"/>
        <v>22982400</v>
      </c>
      <c r="R22" s="72"/>
    </row>
    <row r="23" spans="1:18">
      <c r="A23" s="34">
        <v>8</v>
      </c>
      <c r="B23" s="55">
        <v>46210</v>
      </c>
      <c r="C23" s="33">
        <v>4000000</v>
      </c>
      <c r="D23" s="32" t="s">
        <v>216</v>
      </c>
      <c r="E23" s="33"/>
      <c r="F23" s="34">
        <f t="shared" si="1"/>
        <v>8</v>
      </c>
      <c r="G23" s="30">
        <v>46206</v>
      </c>
      <c r="H23" s="39" t="s">
        <v>75</v>
      </c>
      <c r="I23" s="39" t="s">
        <v>46</v>
      </c>
      <c r="J23" s="39">
        <v>32.832</v>
      </c>
      <c r="K23" s="44">
        <v>19</v>
      </c>
      <c r="L23" s="44">
        <v>700000</v>
      </c>
      <c r="M23" s="33">
        <f t="shared" si="2"/>
        <v>22982400</v>
      </c>
      <c r="R23" s="72"/>
    </row>
    <row r="24" spans="1:18">
      <c r="A24" s="34">
        <v>9</v>
      </c>
      <c r="B24" s="55">
        <v>46213</v>
      </c>
      <c r="C24" s="90">
        <v>20810000</v>
      </c>
      <c r="D24" s="32" t="s">
        <v>267</v>
      </c>
      <c r="E24" s="33"/>
      <c r="F24" s="34">
        <f t="shared" si="1"/>
        <v>9</v>
      </c>
      <c r="G24" s="30">
        <v>46206</v>
      </c>
      <c r="H24" s="39" t="s">
        <v>76</v>
      </c>
      <c r="I24" s="39" t="s">
        <v>26</v>
      </c>
      <c r="J24" s="39">
        <v>32.832</v>
      </c>
      <c r="K24" s="44">
        <v>19</v>
      </c>
      <c r="L24" s="44">
        <v>700000</v>
      </c>
      <c r="M24" s="33">
        <f t="shared" si="2"/>
        <v>22982400</v>
      </c>
      <c r="R24" s="72"/>
    </row>
    <row r="25" spans="1:18">
      <c r="A25" s="34">
        <v>10</v>
      </c>
      <c r="B25" s="55">
        <v>46213</v>
      </c>
      <c r="C25" s="90">
        <v>46620000</v>
      </c>
      <c r="D25" s="32" t="s">
        <v>265</v>
      </c>
      <c r="E25" s="33"/>
      <c r="F25" s="34">
        <f t="shared" si="1"/>
        <v>10</v>
      </c>
      <c r="G25" s="30">
        <v>46209</v>
      </c>
      <c r="H25" s="39" t="s">
        <v>87</v>
      </c>
      <c r="I25" s="39" t="s">
        <v>26</v>
      </c>
      <c r="J25" s="39">
        <v>32.832</v>
      </c>
      <c r="K25" s="44">
        <v>19</v>
      </c>
      <c r="L25" s="44">
        <v>700000</v>
      </c>
      <c r="M25" s="33">
        <f t="shared" si="2"/>
        <v>22982400</v>
      </c>
      <c r="R25" s="72"/>
    </row>
    <row r="26" spans="1:18">
      <c r="A26" s="34">
        <v>11</v>
      </c>
      <c r="B26" s="55">
        <v>46213</v>
      </c>
      <c r="C26" s="33">
        <v>7500000</v>
      </c>
      <c r="D26" s="32" t="s">
        <v>216</v>
      </c>
      <c r="E26" s="33"/>
      <c r="F26" s="34">
        <f t="shared" si="1"/>
        <v>11</v>
      </c>
      <c r="G26" s="30">
        <v>46210</v>
      </c>
      <c r="H26" s="39" t="s">
        <v>90</v>
      </c>
      <c r="I26" s="39" t="s">
        <v>26</v>
      </c>
      <c r="J26" s="39">
        <v>32.832</v>
      </c>
      <c r="K26" s="44">
        <v>19</v>
      </c>
      <c r="L26" s="44">
        <v>700000</v>
      </c>
      <c r="M26" s="33">
        <f t="shared" si="2"/>
        <v>22982400</v>
      </c>
      <c r="R26" s="72"/>
    </row>
    <row r="27" spans="1:18">
      <c r="A27" s="34">
        <v>12</v>
      </c>
      <c r="B27" s="55">
        <v>46214</v>
      </c>
      <c r="C27" s="33">
        <v>4400000</v>
      </c>
      <c r="D27" s="32" t="s">
        <v>216</v>
      </c>
      <c r="E27" s="33"/>
      <c r="F27" s="34">
        <f t="shared" si="1"/>
        <v>12</v>
      </c>
      <c r="G27" s="30">
        <v>46210</v>
      </c>
      <c r="H27" s="39" t="s">
        <v>91</v>
      </c>
      <c r="I27" s="39" t="s">
        <v>46</v>
      </c>
      <c r="J27" s="39">
        <v>32.832</v>
      </c>
      <c r="K27" s="44">
        <v>19</v>
      </c>
      <c r="L27" s="44">
        <v>700000</v>
      </c>
      <c r="M27" s="33">
        <f t="shared" si="2"/>
        <v>22982400</v>
      </c>
      <c r="R27" s="72"/>
    </row>
    <row r="28" spans="1:18">
      <c r="A28" s="34">
        <v>13</v>
      </c>
      <c r="B28" s="55">
        <v>46216</v>
      </c>
      <c r="C28" s="90">
        <v>23183000</v>
      </c>
      <c r="D28" s="39" t="s">
        <v>268</v>
      </c>
      <c r="E28" s="33"/>
      <c r="F28" s="34">
        <f t="shared" si="1"/>
        <v>13</v>
      </c>
      <c r="G28" s="30">
        <v>46210</v>
      </c>
      <c r="H28" s="39" t="s">
        <v>65</v>
      </c>
      <c r="I28" s="39" t="s">
        <v>46</v>
      </c>
      <c r="J28" s="39">
        <v>32.832</v>
      </c>
      <c r="K28" s="44">
        <v>19</v>
      </c>
      <c r="L28" s="44">
        <v>700000</v>
      </c>
      <c r="M28" s="33">
        <f t="shared" si="2"/>
        <v>22982400</v>
      </c>
      <c r="R28" s="72"/>
    </row>
    <row r="29" spans="1:18">
      <c r="A29" s="34">
        <v>14</v>
      </c>
      <c r="B29" s="55">
        <v>46216</v>
      </c>
      <c r="C29" s="33">
        <v>2500000</v>
      </c>
      <c r="D29" s="32" t="s">
        <v>216</v>
      </c>
      <c r="E29" s="33"/>
      <c r="F29" s="34">
        <f t="shared" si="1"/>
        <v>14</v>
      </c>
      <c r="G29" s="30">
        <v>46211</v>
      </c>
      <c r="H29" s="39" t="s">
        <v>101</v>
      </c>
      <c r="I29" s="39" t="s">
        <v>26</v>
      </c>
      <c r="J29" s="39">
        <v>32.832</v>
      </c>
      <c r="K29" s="44">
        <v>19</v>
      </c>
      <c r="L29" s="44">
        <v>700000</v>
      </c>
      <c r="M29" s="33">
        <f t="shared" si="2"/>
        <v>22982400</v>
      </c>
      <c r="R29" s="72"/>
    </row>
    <row r="30" spans="1:18">
      <c r="A30" s="34">
        <v>15</v>
      </c>
      <c r="B30" s="55">
        <v>46219</v>
      </c>
      <c r="C30" s="33">
        <v>2500000</v>
      </c>
      <c r="D30" s="32" t="s">
        <v>216</v>
      </c>
      <c r="E30" s="33"/>
      <c r="F30" s="34">
        <f t="shared" si="1"/>
        <v>15</v>
      </c>
      <c r="G30" s="30">
        <v>46214</v>
      </c>
      <c r="H30" s="39" t="s">
        <v>109</v>
      </c>
      <c r="I30" s="39" t="s">
        <v>26</v>
      </c>
      <c r="J30" s="39">
        <v>32.832</v>
      </c>
      <c r="K30" s="44">
        <v>19</v>
      </c>
      <c r="L30" s="44">
        <v>700000</v>
      </c>
      <c r="M30" s="33">
        <f t="shared" si="2"/>
        <v>22982400</v>
      </c>
      <c r="R30" s="72"/>
    </row>
    <row r="31" spans="1:18">
      <c r="A31" s="34">
        <v>16</v>
      </c>
      <c r="B31" s="55">
        <v>46217</v>
      </c>
      <c r="C31" s="90">
        <v>24130000</v>
      </c>
      <c r="D31" s="32" t="s">
        <v>265</v>
      </c>
      <c r="E31" s="33"/>
      <c r="F31" s="34">
        <f t="shared" si="1"/>
        <v>16</v>
      </c>
      <c r="G31" s="30">
        <v>46214</v>
      </c>
      <c r="H31" s="39" t="s">
        <v>116</v>
      </c>
      <c r="I31" s="39" t="s">
        <v>46</v>
      </c>
      <c r="J31" s="39">
        <v>32.832</v>
      </c>
      <c r="K31" s="44">
        <v>19</v>
      </c>
      <c r="L31" s="44">
        <v>700000</v>
      </c>
      <c r="M31" s="33">
        <f t="shared" si="2"/>
        <v>22982400</v>
      </c>
      <c r="R31" s="72"/>
    </row>
    <row r="32" spans="1:18">
      <c r="A32" s="34">
        <v>17</v>
      </c>
      <c r="B32" s="55">
        <v>46218</v>
      </c>
      <c r="C32" s="33">
        <v>70092000</v>
      </c>
      <c r="D32" s="33" t="s">
        <v>269</v>
      </c>
      <c r="E32" s="33"/>
      <c r="F32" s="34">
        <f t="shared" si="1"/>
        <v>17</v>
      </c>
      <c r="G32" s="30">
        <v>46216</v>
      </c>
      <c r="H32" s="39" t="s">
        <v>123</v>
      </c>
      <c r="I32" s="39" t="s">
        <v>26</v>
      </c>
      <c r="J32" s="39">
        <v>32.832</v>
      </c>
      <c r="K32" s="44">
        <v>19</v>
      </c>
      <c r="L32" s="44">
        <v>700000</v>
      </c>
      <c r="M32" s="33">
        <f t="shared" si="2"/>
        <v>22982400</v>
      </c>
      <c r="R32" s="72"/>
    </row>
    <row r="33" spans="1:18">
      <c r="A33" s="34">
        <v>18</v>
      </c>
      <c r="B33" s="55">
        <v>46219</v>
      </c>
      <c r="C33" s="33">
        <v>23183000</v>
      </c>
      <c r="D33" s="33" t="s">
        <v>268</v>
      </c>
      <c r="E33" s="33"/>
      <c r="F33" s="34">
        <f t="shared" si="1"/>
        <v>18</v>
      </c>
      <c r="G33" s="30">
        <v>46219</v>
      </c>
      <c r="H33" s="39" t="s">
        <v>154</v>
      </c>
      <c r="I33" s="39" t="s">
        <v>26</v>
      </c>
      <c r="J33" s="39">
        <v>32.832</v>
      </c>
      <c r="K33" s="44">
        <v>19</v>
      </c>
      <c r="L33" s="44">
        <v>700000</v>
      </c>
      <c r="M33" s="33">
        <f t="shared" si="2"/>
        <v>22982400</v>
      </c>
      <c r="R33" s="72"/>
    </row>
    <row r="34" spans="1:18">
      <c r="A34" s="34">
        <v>19</v>
      </c>
      <c r="B34" s="55">
        <v>46220</v>
      </c>
      <c r="C34" s="33">
        <v>2500000</v>
      </c>
      <c r="D34" s="32" t="s">
        <v>216</v>
      </c>
      <c r="E34" s="33"/>
      <c r="F34" s="34">
        <f t="shared" si="1"/>
        <v>19</v>
      </c>
      <c r="G34" s="30">
        <v>46220</v>
      </c>
      <c r="H34" s="39" t="s">
        <v>163</v>
      </c>
      <c r="I34" s="39" t="s">
        <v>26</v>
      </c>
      <c r="J34" s="39">
        <v>32.832</v>
      </c>
      <c r="K34" s="44">
        <v>19</v>
      </c>
      <c r="L34" s="33">
        <v>700000</v>
      </c>
      <c r="M34" s="33">
        <f t="shared" si="2"/>
        <v>22982400</v>
      </c>
      <c r="R34" s="72"/>
    </row>
    <row r="35" spans="1:18">
      <c r="A35" s="34">
        <v>20</v>
      </c>
      <c r="B35" s="55">
        <v>46221</v>
      </c>
      <c r="C35" s="33">
        <v>5000000</v>
      </c>
      <c r="D35" s="32" t="s">
        <v>216</v>
      </c>
      <c r="E35" s="33"/>
      <c r="F35" s="34">
        <f t="shared" si="1"/>
        <v>20</v>
      </c>
      <c r="G35" s="30">
        <v>46221</v>
      </c>
      <c r="H35" s="39" t="s">
        <v>166</v>
      </c>
      <c r="I35" s="39" t="s">
        <v>26</v>
      </c>
      <c r="J35" s="39">
        <v>32.832</v>
      </c>
      <c r="K35" s="44">
        <v>19</v>
      </c>
      <c r="L35" s="33">
        <v>700000</v>
      </c>
      <c r="M35" s="33">
        <f t="shared" si="2"/>
        <v>22982400</v>
      </c>
      <c r="R35" s="72"/>
    </row>
    <row r="36" spans="1:18">
      <c r="A36" s="34">
        <v>21</v>
      </c>
      <c r="B36" s="55">
        <v>46223</v>
      </c>
      <c r="C36" s="33">
        <v>71748000</v>
      </c>
      <c r="D36" s="32" t="s">
        <v>269</v>
      </c>
      <c r="E36" s="33"/>
      <c r="F36" s="34">
        <f t="shared" si="1"/>
        <v>21</v>
      </c>
      <c r="G36" s="30">
        <v>46221</v>
      </c>
      <c r="H36" s="39" t="s">
        <v>171</v>
      </c>
      <c r="I36" s="39" t="s">
        <v>26</v>
      </c>
      <c r="J36" s="39">
        <v>32.832</v>
      </c>
      <c r="K36" s="44">
        <v>19</v>
      </c>
      <c r="L36" s="33">
        <v>700000</v>
      </c>
      <c r="M36" s="33">
        <f t="shared" si="2"/>
        <v>22982400</v>
      </c>
      <c r="R36" s="72"/>
    </row>
    <row r="37" spans="1:18">
      <c r="A37" s="34">
        <v>22</v>
      </c>
      <c r="B37" s="55">
        <v>46223</v>
      </c>
      <c r="C37" s="33">
        <v>2500000</v>
      </c>
      <c r="D37" s="32" t="s">
        <v>216</v>
      </c>
      <c r="E37" s="33"/>
      <c r="F37" s="34">
        <f t="shared" si="1"/>
        <v>22</v>
      </c>
      <c r="G37" s="30">
        <v>46223</v>
      </c>
      <c r="H37" s="39" t="s">
        <v>85</v>
      </c>
      <c r="I37" s="39" t="s">
        <v>46</v>
      </c>
      <c r="J37" s="39">
        <v>32.832</v>
      </c>
      <c r="K37" s="44">
        <v>19</v>
      </c>
      <c r="L37" s="33">
        <v>700000</v>
      </c>
      <c r="M37" s="33">
        <f t="shared" si="2"/>
        <v>22982400</v>
      </c>
      <c r="R37" s="72"/>
    </row>
    <row r="38" spans="1:18">
      <c r="A38" s="34">
        <v>23</v>
      </c>
      <c r="B38" s="55">
        <v>46223</v>
      </c>
      <c r="C38" s="33">
        <v>2500000</v>
      </c>
      <c r="D38" s="32" t="s">
        <v>216</v>
      </c>
      <c r="E38" s="33"/>
      <c r="F38" s="34">
        <f t="shared" si="1"/>
        <v>23</v>
      </c>
      <c r="G38" s="30">
        <v>46223</v>
      </c>
      <c r="H38" s="39" t="s">
        <v>175</v>
      </c>
      <c r="I38" s="39" t="s">
        <v>26</v>
      </c>
      <c r="J38" s="39">
        <v>32.832</v>
      </c>
      <c r="K38" s="44">
        <v>19</v>
      </c>
      <c r="L38" s="33">
        <v>700000</v>
      </c>
      <c r="M38" s="33">
        <f t="shared" si="2"/>
        <v>22982400</v>
      </c>
      <c r="R38" s="72"/>
    </row>
    <row r="39" spans="1:18">
      <c r="A39" s="34">
        <v>24</v>
      </c>
      <c r="B39" s="55">
        <v>46226</v>
      </c>
      <c r="C39" s="33">
        <v>2500000</v>
      </c>
      <c r="D39" s="32" t="s">
        <v>216</v>
      </c>
      <c r="E39" s="33"/>
      <c r="F39" s="34">
        <f t="shared" si="1"/>
        <v>24</v>
      </c>
      <c r="G39" s="30">
        <v>46226</v>
      </c>
      <c r="H39" s="39" t="s">
        <v>270</v>
      </c>
      <c r="I39" s="39" t="s">
        <v>26</v>
      </c>
      <c r="J39" s="39">
        <v>32.832</v>
      </c>
      <c r="K39" s="44">
        <v>19</v>
      </c>
      <c r="L39" s="33">
        <v>700000</v>
      </c>
      <c r="M39" s="33">
        <f t="shared" si="2"/>
        <v>22982400</v>
      </c>
      <c r="R39" s="72"/>
    </row>
    <row r="40" spans="1:18">
      <c r="A40" s="34">
        <v>25</v>
      </c>
      <c r="B40" s="55"/>
      <c r="C40" s="33"/>
      <c r="D40" s="32"/>
      <c r="E40" s="33"/>
      <c r="F40" s="34">
        <f t="shared" si="1"/>
        <v>25</v>
      </c>
      <c r="G40" s="30"/>
      <c r="H40" s="39"/>
      <c r="I40" s="39"/>
      <c r="J40" s="39"/>
      <c r="K40" s="44"/>
      <c r="L40" s="33"/>
      <c r="M40" s="33"/>
      <c r="R40" s="72"/>
    </row>
    <row r="41" ht="15.75" spans="1:18">
      <c r="A41" s="59"/>
      <c r="B41" s="59"/>
      <c r="C41" s="33">
        <f>SUM(C16:C39)</f>
        <v>573026200</v>
      </c>
      <c r="D41" s="33"/>
      <c r="E41" s="33"/>
      <c r="F41" s="59"/>
      <c r="G41" s="55"/>
      <c r="H41" s="34"/>
      <c r="I41" s="34"/>
      <c r="J41" s="34"/>
      <c r="K41" s="33">
        <f>SUM(K16:K39)</f>
        <v>455</v>
      </c>
      <c r="L41" s="91"/>
      <c r="M41" s="92">
        <f>SUM(M16:M39)</f>
        <v>560131200</v>
      </c>
    </row>
    <row r="43" ht="18.75" spans="1:18">
      <c r="A43" s="1"/>
      <c r="B43" s="2"/>
      <c r="C43" s="3" t="s">
        <v>192</v>
      </c>
      <c r="D43" s="79" t="s">
        <v>271</v>
      </c>
      <c r="E43" s="5"/>
      <c r="F43" s="6"/>
      <c r="G43" s="6"/>
      <c r="H43" s="6"/>
      <c r="I43" s="6"/>
      <c r="J43" s="6"/>
      <c r="K43" s="6"/>
      <c r="L43" s="6"/>
      <c r="M43" s="6"/>
      <c r="N43" s="6"/>
      <c r="O43" s="6"/>
      <c r="P43" s="72"/>
    </row>
    <row r="44" ht="20.25" spans="1:18">
      <c r="A44" s="7" t="s">
        <v>194</v>
      </c>
      <c r="B44" s="7"/>
      <c r="C44" s="8"/>
      <c r="D44" s="8"/>
      <c r="E44" s="8"/>
      <c r="F44" s="52">
        <f>Таблица21339902946915[[#Totals],[2]]+-Таблица21339902946915[[#Totals],[16]]</f>
        <v>0</v>
      </c>
      <c r="G44" s="53"/>
      <c r="H44" s="6"/>
      <c r="I44" s="6"/>
      <c r="J44" s="6"/>
      <c r="K44" s="10">
        <f>K47</f>
        <v>57</v>
      </c>
      <c r="L44" s="6"/>
      <c r="M44" s="6"/>
      <c r="N44" s="6"/>
      <c r="O44" s="6"/>
      <c r="R44" s="72"/>
    </row>
    <row r="45" spans="1:18">
      <c r="A45" s="11" t="s">
        <v>195</v>
      </c>
      <c r="B45" s="11" t="s">
        <v>196</v>
      </c>
      <c r="C45" s="11" t="s">
        <v>197</v>
      </c>
      <c r="D45" s="11" t="s">
        <v>198</v>
      </c>
      <c r="E45" s="14" t="s">
        <v>199</v>
      </c>
      <c r="F45" s="15" t="s">
        <v>195</v>
      </c>
      <c r="G45" s="15" t="s">
        <v>196</v>
      </c>
      <c r="H45" s="15" t="s">
        <v>200</v>
      </c>
      <c r="I45" s="16" t="s">
        <v>6</v>
      </c>
      <c r="J45" s="17" t="s">
        <v>7</v>
      </c>
      <c r="K45" s="17" t="s">
        <v>201</v>
      </c>
      <c r="L45" s="15" t="s">
        <v>202</v>
      </c>
      <c r="M45" s="16" t="s">
        <v>197</v>
      </c>
      <c r="N45" s="6"/>
      <c r="O45" s="6"/>
    </row>
    <row r="46" spans="1:18">
      <c r="A46" s="11"/>
      <c r="B46" s="11"/>
      <c r="C46" s="18"/>
      <c r="D46" s="19"/>
      <c r="E46" s="20"/>
      <c r="F46" s="15"/>
      <c r="G46" s="15"/>
      <c r="H46" s="15"/>
      <c r="I46" s="21"/>
      <c r="J46" s="21"/>
      <c r="K46" s="22"/>
      <c r="L46" s="15"/>
      <c r="M46" s="26"/>
      <c r="N46" s="6"/>
      <c r="O46" s="6"/>
    </row>
    <row r="47" ht="15.75" spans="1:18">
      <c r="A47" s="11"/>
      <c r="B47" s="11"/>
      <c r="C47" s="54">
        <f>Таблица21339902946915[[#Totals],[2]]</f>
        <v>68947200</v>
      </c>
      <c r="D47" s="24"/>
      <c r="E47" s="25">
        <f>SUM(Таблица21339902946915[4])</f>
        <v>0</v>
      </c>
      <c r="F47" s="15"/>
      <c r="G47" s="15"/>
      <c r="H47" s="15"/>
      <c r="I47" s="26"/>
      <c r="J47" s="26"/>
      <c r="K47" s="10">
        <f>Таблица21339902946915[[#Totals],[1132]]</f>
        <v>57</v>
      </c>
      <c r="L47" s="15"/>
      <c r="M47" s="9">
        <f>Таблица21339902946915[[#Totals],[16]]</f>
        <v>68947200</v>
      </c>
      <c r="N47" s="6"/>
      <c r="O47" s="6"/>
    </row>
    <row r="48" spans="1:18">
      <c r="A48" s="27" t="s">
        <v>192</v>
      </c>
      <c r="B48" s="28" t="s">
        <v>203</v>
      </c>
      <c r="C48" s="28" t="s">
        <v>204</v>
      </c>
      <c r="D48" s="28" t="s">
        <v>205</v>
      </c>
      <c r="E48" s="28" t="s">
        <v>206</v>
      </c>
      <c r="F48" s="28" t="s">
        <v>207</v>
      </c>
      <c r="G48" s="28" t="s">
        <v>208</v>
      </c>
      <c r="H48" s="28" t="s">
        <v>209</v>
      </c>
      <c r="I48" s="28" t="s">
        <v>210</v>
      </c>
      <c r="J48" s="28" t="s">
        <v>211</v>
      </c>
      <c r="K48" s="28" t="s">
        <v>212</v>
      </c>
      <c r="L48" s="28" t="s">
        <v>213</v>
      </c>
      <c r="M48" s="28" t="s">
        <v>214</v>
      </c>
      <c r="N48" s="93" t="s">
        <v>218</v>
      </c>
      <c r="O48" s="6"/>
      <c r="Q48" s="72"/>
    </row>
    <row r="49" spans="1:17">
      <c r="A49" s="29">
        <v>1</v>
      </c>
      <c r="B49" s="30">
        <v>46209</v>
      </c>
      <c r="C49" s="31">
        <v>20982400</v>
      </c>
      <c r="D49" s="32" t="s">
        <v>272</v>
      </c>
      <c r="E49" s="33"/>
      <c r="F49" s="34">
        <f>Таблица21339902946915[[#This Row],[ ]]</f>
        <v>1</v>
      </c>
      <c r="G49" s="32">
        <v>46209</v>
      </c>
      <c r="H49" s="35" t="s">
        <v>65</v>
      </c>
      <c r="I49" s="36" t="s">
        <v>26</v>
      </c>
      <c r="J49" s="37">
        <v>32.832</v>
      </c>
      <c r="K49" s="38">
        <v>19</v>
      </c>
      <c r="L49" s="33">
        <v>700000</v>
      </c>
      <c r="M49" s="33">
        <f>Таблица21339902946915[[#This Row],[113]]*Таблица21339902946915[[#This Row],[15]]</f>
        <v>22982400</v>
      </c>
      <c r="N49" s="38">
        <v>2000000</v>
      </c>
      <c r="O49" s="6"/>
      <c r="Q49" s="72"/>
    </row>
    <row r="50" spans="1:17">
      <c r="A50" s="29">
        <v>2</v>
      </c>
      <c r="B50" s="30">
        <v>46209</v>
      </c>
      <c r="C50" s="33">
        <v>2000000</v>
      </c>
      <c r="D50" s="32" t="s">
        <v>216</v>
      </c>
      <c r="E50" s="33"/>
      <c r="F50" s="34">
        <f>Таблица21339902946915[[#This Row],[ ]]</f>
        <v>2</v>
      </c>
      <c r="G50" s="32">
        <v>46209</v>
      </c>
      <c r="H50" s="35" t="s">
        <v>65</v>
      </c>
      <c r="I50" s="36" t="s">
        <v>26</v>
      </c>
      <c r="J50" s="37">
        <v>32.832</v>
      </c>
      <c r="K50" s="38">
        <v>19</v>
      </c>
      <c r="L50" s="33">
        <v>700000</v>
      </c>
      <c r="M50" s="33">
        <f>Таблица21339902946915[[#This Row],[113]]*Таблица21339902946915[[#This Row],[15]]</f>
        <v>22982400</v>
      </c>
      <c r="N50" s="44">
        <v>2200000</v>
      </c>
      <c r="O50" s="6"/>
      <c r="Q50" s="72"/>
    </row>
    <row r="51" spans="1:17">
      <c r="A51" s="29">
        <v>3</v>
      </c>
      <c r="B51" s="94">
        <v>46213</v>
      </c>
      <c r="C51" s="95">
        <v>41564800</v>
      </c>
      <c r="D51" s="96" t="s">
        <v>272</v>
      </c>
      <c r="E51" s="33"/>
      <c r="F51" s="34">
        <f>Таблица21339902946915[[#This Row],[ ]]</f>
        <v>3</v>
      </c>
      <c r="G51" s="32">
        <v>46217</v>
      </c>
      <c r="H51" s="35" t="s">
        <v>124</v>
      </c>
      <c r="I51" s="36" t="s">
        <v>46</v>
      </c>
      <c r="J51" s="37">
        <v>32.832</v>
      </c>
      <c r="K51" s="38">
        <v>19</v>
      </c>
      <c r="L51" s="33">
        <v>700000</v>
      </c>
      <c r="M51" s="33">
        <f>Таблица21339902946915[[#This Row],[113]]*Таблица21339902946915[[#This Row],[15]]</f>
        <v>22982400</v>
      </c>
      <c r="N51" s="44">
        <v>2500000</v>
      </c>
      <c r="O51" s="6"/>
    </row>
    <row r="52" spans="1:17">
      <c r="A52" s="29">
        <v>4</v>
      </c>
      <c r="B52" s="94">
        <v>46213</v>
      </c>
      <c r="C52" s="95">
        <v>4620000</v>
      </c>
      <c r="D52" s="96" t="s">
        <v>272</v>
      </c>
      <c r="E52" s="33"/>
      <c r="F52" s="34">
        <f>Таблица21339902946915[[#This Row],[ ]]</f>
        <v>4</v>
      </c>
      <c r="G52" s="30"/>
      <c r="H52" s="39"/>
      <c r="I52" s="39"/>
      <c r="J52" s="39"/>
      <c r="K52" s="33"/>
      <c r="L52" s="44"/>
      <c r="M52" s="33">
        <f>Таблица21339902946915[[#This Row],[113]]*Таблица21339902946915[[#This Row],[15]]</f>
        <v>0</v>
      </c>
      <c r="N52" s="44"/>
      <c r="O52" s="6"/>
    </row>
    <row r="53" spans="1:17">
      <c r="A53" s="29">
        <v>5</v>
      </c>
      <c r="B53" s="55">
        <v>46213</v>
      </c>
      <c r="C53" s="33">
        <v>-220000</v>
      </c>
      <c r="D53" s="32" t="s">
        <v>273</v>
      </c>
      <c r="E53" s="33"/>
      <c r="F53" s="34">
        <f>Таблица21339902946915[[#This Row],[ ]]</f>
        <v>5</v>
      </c>
      <c r="G53" s="30"/>
      <c r="H53" s="39"/>
      <c r="I53" s="39"/>
      <c r="J53" s="39"/>
      <c r="K53" s="33"/>
      <c r="L53" s="44"/>
      <c r="M53" s="33">
        <f>Таблица21339902946915[[#This Row],[113]]*Таблица21339902946915[[#This Row],[15]]</f>
        <v>0</v>
      </c>
      <c r="N53" s="44"/>
      <c r="O53" s="6"/>
    </row>
    <row r="54" spans="1:17">
      <c r="A54" s="29">
        <v>6</v>
      </c>
      <c r="B54" s="55"/>
      <c r="C54" s="33"/>
      <c r="D54" s="32"/>
      <c r="E54" s="33"/>
      <c r="F54" s="34">
        <f>Таблица21339902946915[[#This Row],[ ]]</f>
        <v>6</v>
      </c>
      <c r="G54" s="30"/>
      <c r="H54" s="39"/>
      <c r="I54" s="39"/>
      <c r="J54" s="39"/>
      <c r="K54" s="33"/>
      <c r="L54" s="44"/>
      <c r="M54" s="33">
        <f>Таблица21339902946915[[#This Row],[113]]*Таблица21339902946915[[#This Row],[15]]</f>
        <v>0</v>
      </c>
      <c r="N54" s="44"/>
      <c r="O54" s="6"/>
    </row>
    <row r="55" spans="1:17">
      <c r="A55" s="48"/>
      <c r="B55" s="59"/>
      <c r="C55" s="33">
        <f>SUBTOTAL(109,Таблица21339902946915[2])</f>
        <v>68947200</v>
      </c>
      <c r="D55" s="33"/>
      <c r="E55" s="42"/>
      <c r="F55" s="49"/>
      <c r="G55" s="46"/>
      <c r="H55" s="43"/>
      <c r="I55" s="43"/>
      <c r="J55" s="43"/>
      <c r="K55" s="43">
        <f>SUBTOTAL(109,Таблица21339902946915[1132])</f>
        <v>57</v>
      </c>
      <c r="L55" s="50"/>
      <c r="M55" s="50">
        <f>SUBTOTAL(109,Таблица21339902946915[16])</f>
        <v>68947200</v>
      </c>
      <c r="N55" s="43"/>
      <c r="O55" s="6"/>
    </row>
    <row r="56" spans="1:17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</row>
    <row r="57" ht="18.75" spans="1:17">
      <c r="A57" s="1"/>
      <c r="B57" s="2"/>
      <c r="C57" s="3" t="s">
        <v>192</v>
      </c>
      <c r="D57" s="79" t="s">
        <v>274</v>
      </c>
      <c r="E57" s="5"/>
      <c r="F57" s="6"/>
      <c r="G57" s="6"/>
      <c r="H57" s="6"/>
      <c r="I57" s="6"/>
      <c r="J57" s="6"/>
      <c r="K57" s="6"/>
      <c r="L57" s="6"/>
      <c r="M57" s="6"/>
      <c r="N57" s="6"/>
      <c r="O57" s="6"/>
    </row>
    <row r="58" ht="20.25" spans="1:17">
      <c r="A58" s="7" t="s">
        <v>194</v>
      </c>
      <c r="B58" s="7"/>
      <c r="C58" s="8"/>
      <c r="D58" s="8"/>
      <c r="E58" s="8"/>
      <c r="F58" s="52">
        <f>Таблица2133990294678131617212223[[#Totals],[2]]+-Таблица2133990294678131617212223[[#Totals],[16]]</f>
        <v>0</v>
      </c>
      <c r="G58" s="53"/>
      <c r="H58" s="6"/>
      <c r="I58" s="6"/>
      <c r="J58" s="6"/>
      <c r="K58" s="10">
        <f>K61</f>
        <v>38</v>
      </c>
      <c r="L58" s="6"/>
      <c r="M58" s="6"/>
      <c r="N58" s="6"/>
      <c r="O58" s="6"/>
    </row>
    <row r="59" spans="1:17">
      <c r="A59" s="11" t="s">
        <v>195</v>
      </c>
      <c r="B59" s="11" t="s">
        <v>196</v>
      </c>
      <c r="C59" s="11" t="s">
        <v>197</v>
      </c>
      <c r="D59" s="11" t="s">
        <v>198</v>
      </c>
      <c r="E59" s="14" t="s">
        <v>199</v>
      </c>
      <c r="F59" s="15" t="s">
        <v>195</v>
      </c>
      <c r="G59" s="15" t="s">
        <v>196</v>
      </c>
      <c r="H59" s="15" t="s">
        <v>200</v>
      </c>
      <c r="I59" s="16" t="s">
        <v>6</v>
      </c>
      <c r="J59" s="17" t="s">
        <v>7</v>
      </c>
      <c r="K59" s="17" t="s">
        <v>201</v>
      </c>
      <c r="L59" s="15" t="s">
        <v>202</v>
      </c>
      <c r="M59" s="16" t="s">
        <v>197</v>
      </c>
      <c r="N59" s="6"/>
      <c r="O59" s="6"/>
    </row>
    <row r="60" spans="1:17">
      <c r="A60" s="11"/>
      <c r="B60" s="11"/>
      <c r="C60" s="18"/>
      <c r="D60" s="19"/>
      <c r="E60" s="20"/>
      <c r="F60" s="15"/>
      <c r="G60" s="15"/>
      <c r="H60" s="15"/>
      <c r="I60" s="21"/>
      <c r="J60" s="80"/>
      <c r="K60" s="22"/>
      <c r="L60" s="15"/>
      <c r="M60" s="26"/>
      <c r="N60" s="6"/>
      <c r="O60" s="6"/>
    </row>
    <row r="61" ht="15.75" spans="1:17">
      <c r="A61" s="11"/>
      <c r="B61" s="11"/>
      <c r="C61" s="54">
        <f>Таблица2133990294678131617212223[[#Totals],[2]]</f>
        <v>45964800</v>
      </c>
      <c r="D61" s="24"/>
      <c r="E61" s="25">
        <f>SUM(Таблица2133990294678131617212223[4])</f>
        <v>0</v>
      </c>
      <c r="F61" s="15"/>
      <c r="G61" s="15"/>
      <c r="H61" s="15"/>
      <c r="I61" s="26"/>
      <c r="J61" s="81">
        <f>SUM(Таблица2133990294678131617212223[113])</f>
        <v>65.664</v>
      </c>
      <c r="K61" s="10">
        <f>Таблица2133990294678131617212223[[#Totals],[1132]]</f>
        <v>38</v>
      </c>
      <c r="L61" s="15"/>
      <c r="M61" s="9">
        <f>Таблица2133990294678131617212223[[#Totals],[16]]</f>
        <v>45964800</v>
      </c>
      <c r="N61" s="6"/>
      <c r="O61" s="6"/>
    </row>
    <row r="62" spans="1:17">
      <c r="A62" s="27" t="s">
        <v>192</v>
      </c>
      <c r="B62" s="28" t="s">
        <v>203</v>
      </c>
      <c r="C62" s="28" t="s">
        <v>204</v>
      </c>
      <c r="D62" s="28" t="s">
        <v>205</v>
      </c>
      <c r="E62" s="28" t="s">
        <v>206</v>
      </c>
      <c r="F62" s="28" t="s">
        <v>207</v>
      </c>
      <c r="G62" s="28" t="s">
        <v>208</v>
      </c>
      <c r="H62" s="28" t="s">
        <v>209</v>
      </c>
      <c r="I62" s="28" t="s">
        <v>210</v>
      </c>
      <c r="J62" s="28" t="s">
        <v>211</v>
      </c>
      <c r="K62" s="28" t="s">
        <v>212</v>
      </c>
      <c r="L62" s="28" t="s">
        <v>213</v>
      </c>
      <c r="M62" s="28" t="s">
        <v>214</v>
      </c>
      <c r="N62" s="93" t="s">
        <v>218</v>
      </c>
      <c r="O62" s="6"/>
    </row>
    <row r="63" spans="1:17">
      <c r="A63" s="29">
        <v>1</v>
      </c>
      <c r="B63" s="30">
        <v>46217</v>
      </c>
      <c r="C63" s="31">
        <v>40964800</v>
      </c>
      <c r="D63" s="32" t="s">
        <v>275</v>
      </c>
      <c r="E63" s="33"/>
      <c r="F63" s="34">
        <f>Таблица2133990294678131617212223[[#This Row],[ ]]</f>
        <v>1</v>
      </c>
      <c r="G63" s="32">
        <v>46219</v>
      </c>
      <c r="H63" s="35" t="s">
        <v>156</v>
      </c>
      <c r="I63" s="36" t="s">
        <v>26</v>
      </c>
      <c r="J63" s="37">
        <v>32.832</v>
      </c>
      <c r="K63" s="38">
        <v>19</v>
      </c>
      <c r="L63" s="34">
        <v>700000</v>
      </c>
      <c r="M63" s="33">
        <f>Таблица2133990294678131617212223[[#This Row],[113]]*Таблица2133990294678131617212223[[#This Row],[15]]</f>
        <v>22982400</v>
      </c>
      <c r="N63" s="38">
        <v>2500000</v>
      </c>
      <c r="O63" s="6"/>
    </row>
    <row r="64" spans="1:17">
      <c r="A64" s="29">
        <v>2</v>
      </c>
      <c r="B64" s="30">
        <v>46219</v>
      </c>
      <c r="C64" s="33">
        <v>2500000</v>
      </c>
      <c r="D64" s="32" t="s">
        <v>216</v>
      </c>
      <c r="E64" s="33"/>
      <c r="F64" s="34">
        <f>Таблица2133990294678131617212223[[#This Row],[ ]]</f>
        <v>2</v>
      </c>
      <c r="G64" s="30">
        <v>46221</v>
      </c>
      <c r="H64" s="39" t="s">
        <v>170</v>
      </c>
      <c r="I64" s="39" t="s">
        <v>46</v>
      </c>
      <c r="J64" s="39">
        <v>32.832</v>
      </c>
      <c r="K64" s="33">
        <v>19</v>
      </c>
      <c r="L64" s="44">
        <v>700000</v>
      </c>
      <c r="M64" s="33">
        <f>Таблица2133990294678131617212223[[#This Row],[113]]*Таблица2133990294678131617212223[[#This Row],[15]]</f>
        <v>22982400</v>
      </c>
      <c r="N64" s="44"/>
      <c r="O64" s="6"/>
    </row>
    <row r="65" spans="1:15">
      <c r="A65" s="29">
        <v>3</v>
      </c>
      <c r="B65" s="30">
        <v>46221</v>
      </c>
      <c r="C65" s="33">
        <v>2500000</v>
      </c>
      <c r="D65" s="32" t="s">
        <v>216</v>
      </c>
      <c r="E65" s="33"/>
      <c r="F65" s="34">
        <f>Таблица2133990294678131617212223[[#This Row],[ ]]</f>
        <v>3</v>
      </c>
      <c r="G65" s="30"/>
      <c r="H65" s="39"/>
      <c r="I65" s="39"/>
      <c r="J65" s="39"/>
      <c r="K65" s="33"/>
      <c r="L65" s="44"/>
      <c r="M65" s="33">
        <f>Таблица2133990294678131617212223[[#This Row],[113]]*Таблица2133990294678131617212223[[#This Row],[15]]</f>
        <v>0</v>
      </c>
      <c r="N65" s="44"/>
      <c r="O65" s="6"/>
    </row>
    <row r="66" spans="1:15">
      <c r="A66" s="48"/>
      <c r="B66" s="59"/>
      <c r="C66" s="33">
        <f>SUBTOTAL(109,Таблица2133990294678131617212223[2])</f>
        <v>45964800</v>
      </c>
      <c r="D66" s="33"/>
      <c r="E66" s="42"/>
      <c r="F66" s="49"/>
      <c r="G66" s="46"/>
      <c r="H66" s="43"/>
      <c r="I66" s="43"/>
      <c r="J66" s="43"/>
      <c r="K66" s="43">
        <f>SUBTOTAL(109,Таблица2133990294678131617212223[1132])</f>
        <v>38</v>
      </c>
      <c r="L66" s="50"/>
      <c r="M66" s="50">
        <f>SUBTOTAL(109,Таблица2133990294678131617212223[16])</f>
        <v>45964800</v>
      </c>
      <c r="N66" s="43"/>
      <c r="O66" s="6"/>
    </row>
    <row r="67" spans="1:1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</row>
  </sheetData>
  <mergeCells count="57">
    <mergeCell ref="A2:B2"/>
    <mergeCell ref="C2:D2"/>
    <mergeCell ref="F2:G2"/>
    <mergeCell ref="A11:E11"/>
    <mergeCell ref="A12:B12"/>
    <mergeCell ref="C12:D12"/>
    <mergeCell ref="F12:G12"/>
    <mergeCell ref="A44:B44"/>
    <mergeCell ref="C44:D44"/>
    <mergeCell ref="F44:G44"/>
    <mergeCell ref="A58:B58"/>
    <mergeCell ref="C58:D58"/>
    <mergeCell ref="F58:G58"/>
    <mergeCell ref="A3:A5"/>
    <mergeCell ref="A13:A15"/>
    <mergeCell ref="A45:A47"/>
    <mergeCell ref="A59:A61"/>
    <mergeCell ref="B3:B5"/>
    <mergeCell ref="B13:B15"/>
    <mergeCell ref="B45:B47"/>
    <mergeCell ref="B59:B61"/>
    <mergeCell ref="E3:E4"/>
    <mergeCell ref="E13:E14"/>
    <mergeCell ref="E45:E46"/>
    <mergeCell ref="E59:E60"/>
    <mergeCell ref="F3:F5"/>
    <mergeCell ref="F13:F15"/>
    <mergeCell ref="F45:F47"/>
    <mergeCell ref="F59:F61"/>
    <mergeCell ref="G3:G5"/>
    <mergeCell ref="G13:G15"/>
    <mergeCell ref="G45:G47"/>
    <mergeCell ref="G59:G61"/>
    <mergeCell ref="H3:H5"/>
    <mergeCell ref="H13:H15"/>
    <mergeCell ref="H45:H47"/>
    <mergeCell ref="H59:H61"/>
    <mergeCell ref="I3:I5"/>
    <mergeCell ref="I13:I15"/>
    <mergeCell ref="I45:I47"/>
    <mergeCell ref="I59:I61"/>
    <mergeCell ref="J3:J5"/>
    <mergeCell ref="J13:J15"/>
    <mergeCell ref="J45:J47"/>
    <mergeCell ref="J59:J60"/>
    <mergeCell ref="K3:K4"/>
    <mergeCell ref="K13:K14"/>
    <mergeCell ref="K45:K46"/>
    <mergeCell ref="K59:K60"/>
    <mergeCell ref="L3:L5"/>
    <mergeCell ref="L13:L15"/>
    <mergeCell ref="L45:L47"/>
    <mergeCell ref="L59:L61"/>
    <mergeCell ref="M3:M4"/>
    <mergeCell ref="M13:M14"/>
    <mergeCell ref="M45:M46"/>
    <mergeCell ref="M59:M60"/>
  </mergeCells>
  <hyperlinks>
    <hyperlink ref="D1" location="'Свод Завод'!R4" display="3-Мурод ога Урганч"/>
    <hyperlink ref="D43" location="'Свод Завод'!R4" display="3-Сарвар ога Шовот"/>
    <hyperlink ref="D57" location="'Свод Завод'!A1" display="3-Уктир ога Шовот"/>
  </hyperlinks>
  <pageMargins left="0.7" right="0.7" top="0.75" bottom="0.75" header="0.3" footer="0.3"/>
  <headerFooter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3"/>
  <sheetViews>
    <sheetView zoomScale="115" zoomScaleNormal="115" topLeftCell="A17" workbookViewId="0">
      <selection activeCell="D26" sqref="D26"/>
    </sheetView>
  </sheetViews>
  <sheetFormatPr defaultColWidth="9" defaultRowHeight="15"/>
  <cols>
    <col min="1" max="1" width="5.55238095238095" customWidth="1"/>
    <col min="2" max="2" width="11.3333333333333" customWidth="1"/>
    <col min="3" max="3" width="14.1047619047619" customWidth="1"/>
    <col min="4" max="4" width="26.8857142857143" customWidth="1"/>
    <col min="6" max="6" width="6.66666666666667" customWidth="1"/>
    <col min="7" max="7" width="11.3333333333333" customWidth="1"/>
    <col min="8" max="8" width="21.6666666666667" customWidth="1"/>
    <col min="9" max="9" width="13.4380952380952" customWidth="1"/>
    <col min="13" max="13" width="14.1047619047619" customWidth="1"/>
  </cols>
  <sheetData>
    <row r="1" ht="18" spans="1:13">
      <c r="A1" s="1"/>
      <c r="B1" s="2"/>
      <c r="C1" s="3" t="s">
        <v>192</v>
      </c>
      <c r="D1" s="51" t="s">
        <v>276</v>
      </c>
      <c r="E1" s="5"/>
      <c r="F1" s="6"/>
      <c r="G1" s="6"/>
      <c r="H1" s="6"/>
      <c r="I1" s="6"/>
      <c r="J1" s="6"/>
      <c r="K1" s="6"/>
      <c r="L1" s="6"/>
      <c r="M1" s="6"/>
    </row>
    <row r="2" ht="20.25" spans="1:13">
      <c r="A2" s="7" t="s">
        <v>194</v>
      </c>
      <c r="B2" s="7"/>
      <c r="C2" s="8"/>
      <c r="D2" s="8"/>
      <c r="E2" s="8"/>
      <c r="F2" s="52">
        <f>Таблица2133990294[[#Totals],[2]]+-Таблица2133990294[[#Totals],[16]]</f>
        <v>0</v>
      </c>
      <c r="G2" s="53"/>
      <c r="H2" s="6"/>
      <c r="I2" s="6"/>
      <c r="J2" s="6"/>
      <c r="K2" s="10">
        <f>K5</f>
        <v>94</v>
      </c>
      <c r="L2" s="6"/>
      <c r="M2" s="6"/>
    </row>
    <row r="3" spans="1:13">
      <c r="A3" s="11" t="s">
        <v>195</v>
      </c>
      <c r="B3" s="11" t="s">
        <v>196</v>
      </c>
      <c r="C3" s="11" t="s">
        <v>197</v>
      </c>
      <c r="D3" s="11" t="s">
        <v>198</v>
      </c>
      <c r="E3" s="14" t="s">
        <v>199</v>
      </c>
      <c r="F3" s="15" t="s">
        <v>195</v>
      </c>
      <c r="G3" s="15" t="s">
        <v>196</v>
      </c>
      <c r="H3" s="15" t="s">
        <v>200</v>
      </c>
      <c r="I3" s="16" t="s">
        <v>6</v>
      </c>
      <c r="J3" s="17" t="s">
        <v>7</v>
      </c>
      <c r="K3" s="17" t="s">
        <v>201</v>
      </c>
      <c r="L3" s="15" t="s">
        <v>202</v>
      </c>
      <c r="M3" s="16" t="s">
        <v>197</v>
      </c>
    </row>
    <row r="4" spans="1:13">
      <c r="A4" s="11"/>
      <c r="B4" s="11"/>
      <c r="C4" s="18"/>
      <c r="D4" s="19"/>
      <c r="E4" s="20"/>
      <c r="F4" s="15"/>
      <c r="G4" s="15"/>
      <c r="H4" s="15"/>
      <c r="I4" s="21"/>
      <c r="J4" s="21"/>
      <c r="K4" s="22"/>
      <c r="L4" s="15"/>
      <c r="M4" s="26"/>
    </row>
    <row r="5" ht="15.75" spans="1:13">
      <c r="A5" s="11"/>
      <c r="B5" s="11"/>
      <c r="C5" s="54">
        <f>Таблица2133990294[[#Totals],[2]]</f>
        <v>121824000</v>
      </c>
      <c r="D5" s="24"/>
      <c r="E5" s="25">
        <f>SUM(Таблица2133990294[4])</f>
        <v>0</v>
      </c>
      <c r="F5" s="15"/>
      <c r="G5" s="15"/>
      <c r="H5" s="15"/>
      <c r="I5" s="26"/>
      <c r="J5" s="26"/>
      <c r="K5" s="10">
        <f>Таблица2133990294[[#Totals],[1132]]</f>
        <v>94</v>
      </c>
      <c r="L5" s="15"/>
      <c r="M5" s="9">
        <f>Таблица2133990294[[#Totals],[16]]</f>
        <v>121824000</v>
      </c>
    </row>
    <row r="6" spans="1:13">
      <c r="A6" s="27" t="s">
        <v>192</v>
      </c>
      <c r="B6" s="28" t="s">
        <v>203</v>
      </c>
      <c r="C6" s="28" t="s">
        <v>204</v>
      </c>
      <c r="D6" s="28" t="s">
        <v>205</v>
      </c>
      <c r="E6" s="28" t="s">
        <v>206</v>
      </c>
      <c r="F6" s="28" t="s">
        <v>207</v>
      </c>
      <c r="G6" s="28" t="s">
        <v>208</v>
      </c>
      <c r="H6" s="28" t="s">
        <v>209</v>
      </c>
      <c r="I6" s="28" t="s">
        <v>210</v>
      </c>
      <c r="J6" s="28" t="s">
        <v>211</v>
      </c>
      <c r="K6" s="28" t="s">
        <v>212</v>
      </c>
      <c r="L6" s="28" t="s">
        <v>213</v>
      </c>
      <c r="M6" s="28" t="s">
        <v>214</v>
      </c>
    </row>
    <row r="7" spans="1:13">
      <c r="A7" s="29">
        <v>1</v>
      </c>
      <c r="B7" s="30">
        <v>46202</v>
      </c>
      <c r="C7" s="31">
        <v>47952000</v>
      </c>
      <c r="D7" s="32" t="s">
        <v>277</v>
      </c>
      <c r="E7" s="33"/>
      <c r="F7" s="34">
        <f>Таблица2133990294[[#This Row],[ ]]</f>
        <v>1</v>
      </c>
      <c r="G7" s="32">
        <v>46198</v>
      </c>
      <c r="H7" s="35" t="s">
        <v>43</v>
      </c>
      <c r="I7" s="36" t="s">
        <v>26</v>
      </c>
      <c r="J7" s="37">
        <v>32.832</v>
      </c>
      <c r="K7" s="38">
        <v>19</v>
      </c>
      <c r="L7" s="44">
        <v>750000</v>
      </c>
      <c r="M7" s="33">
        <f>Таблица2133990294[[#This Row],[113]]*Таблица2133990294[[#This Row],[15]]</f>
        <v>24624000</v>
      </c>
    </row>
    <row r="8" spans="1:13">
      <c r="A8" s="29">
        <v>2</v>
      </c>
      <c r="B8" s="55">
        <v>46205</v>
      </c>
      <c r="C8" s="33">
        <v>73872000</v>
      </c>
      <c r="D8" s="32" t="s">
        <v>278</v>
      </c>
      <c r="E8" s="33"/>
      <c r="F8" s="34">
        <f>Таблица2133990294[[#This Row],[ ]]</f>
        <v>2</v>
      </c>
      <c r="G8" s="30">
        <v>46198</v>
      </c>
      <c r="H8" s="39" t="s">
        <v>44</v>
      </c>
      <c r="I8" s="39" t="s">
        <v>26</v>
      </c>
      <c r="J8" s="39">
        <v>31.104</v>
      </c>
      <c r="K8" s="33">
        <v>18</v>
      </c>
      <c r="L8" s="44">
        <v>750000</v>
      </c>
      <c r="M8" s="33">
        <f>Таблица2133990294[[#This Row],[113]]*Таблица2133990294[[#This Row],[15]]</f>
        <v>23328000</v>
      </c>
    </row>
    <row r="9" spans="1:13">
      <c r="A9" s="40">
        <v>2</v>
      </c>
      <c r="B9" s="55"/>
      <c r="C9" s="33"/>
      <c r="D9" s="32"/>
      <c r="E9" s="42"/>
      <c r="F9" s="43">
        <f>Таблица2133990294[[#This Row],[ ]]</f>
        <v>2</v>
      </c>
      <c r="G9" s="30">
        <v>46204</v>
      </c>
      <c r="H9" s="39" t="s">
        <v>63</v>
      </c>
      <c r="I9" s="39" t="s">
        <v>26</v>
      </c>
      <c r="J9" s="39">
        <v>32.832</v>
      </c>
      <c r="K9" s="33">
        <v>19</v>
      </c>
      <c r="L9" s="44">
        <v>750000</v>
      </c>
      <c r="M9" s="45">
        <f>Таблица2133990294[[#This Row],[113]]*Таблица2133990294[[#This Row],[15]]</f>
        <v>24624000</v>
      </c>
    </row>
    <row r="10" spans="1:13">
      <c r="A10" s="40">
        <v>3</v>
      </c>
      <c r="B10" s="55"/>
      <c r="C10" s="33"/>
      <c r="D10" s="32"/>
      <c r="E10" s="42"/>
      <c r="F10" s="43">
        <f>Таблица2133990294[[#This Row],[ ]]</f>
        <v>3</v>
      </c>
      <c r="G10" s="30">
        <v>46204</v>
      </c>
      <c r="H10" s="39" t="s">
        <v>65</v>
      </c>
      <c r="I10" s="39" t="s">
        <v>46</v>
      </c>
      <c r="J10" s="39">
        <v>32.832</v>
      </c>
      <c r="K10" s="44">
        <v>19</v>
      </c>
      <c r="L10" s="44">
        <v>750000</v>
      </c>
      <c r="M10" s="45">
        <f>Таблица2133990294[[#This Row],[113]]*Таблица2133990294[[#This Row],[15]]</f>
        <v>24624000</v>
      </c>
    </row>
    <row r="11" spans="1:13">
      <c r="A11" s="40">
        <v>4</v>
      </c>
      <c r="B11" s="55"/>
      <c r="C11" s="33"/>
      <c r="D11" s="32"/>
      <c r="E11" s="42"/>
      <c r="F11" s="43">
        <f>Таблица2133990294[[#This Row],[ ]]</f>
        <v>4</v>
      </c>
      <c r="G11" s="30">
        <v>46204</v>
      </c>
      <c r="H11" s="39" t="s">
        <v>66</v>
      </c>
      <c r="I11" s="39" t="s">
        <v>46</v>
      </c>
      <c r="J11" s="39">
        <v>32.832</v>
      </c>
      <c r="K11" s="44">
        <v>19</v>
      </c>
      <c r="L11" s="44">
        <v>750000</v>
      </c>
      <c r="M11" s="45">
        <f>Таблица2133990294[[#This Row],[113]]*Таблица2133990294[[#This Row],[15]]</f>
        <v>24624000</v>
      </c>
    </row>
    <row r="12" spans="1:13">
      <c r="A12" s="40">
        <v>5</v>
      </c>
      <c r="B12" s="55"/>
      <c r="C12" s="33"/>
      <c r="D12" s="32"/>
      <c r="E12" s="42"/>
      <c r="F12" s="43">
        <f>Таблица2133990294[[#This Row],[ ]]</f>
        <v>5</v>
      </c>
      <c r="G12" s="56"/>
      <c r="H12" s="57"/>
      <c r="I12" s="57"/>
      <c r="J12" s="57"/>
      <c r="K12" s="45"/>
      <c r="L12" s="58"/>
      <c r="M12" s="45">
        <f>Таблица2133990294[[#This Row],[113]]*Таблица2133990294[[#This Row],[15]]</f>
        <v>0</v>
      </c>
    </row>
    <row r="13" spans="1:13">
      <c r="A13" s="40">
        <v>6</v>
      </c>
      <c r="B13" s="55"/>
      <c r="C13" s="33"/>
      <c r="D13" s="32"/>
      <c r="E13" s="42"/>
      <c r="F13" s="43">
        <f>Таблица2133990294[[#This Row],[ ]]</f>
        <v>6</v>
      </c>
      <c r="G13" s="56"/>
      <c r="H13" s="57"/>
      <c r="I13" s="57"/>
      <c r="J13" s="57"/>
      <c r="K13" s="45"/>
      <c r="L13" s="58"/>
      <c r="M13" s="45">
        <f>Таблица2133990294[[#This Row],[113]]*Таблица2133990294[[#This Row],[15]]</f>
        <v>0</v>
      </c>
    </row>
    <row r="14" spans="1:13">
      <c r="A14" s="48"/>
      <c r="B14" s="59"/>
      <c r="C14" s="33">
        <f>SUBTOTAL(109,Таблица2133990294[2])</f>
        <v>121824000</v>
      </c>
      <c r="D14" s="33"/>
      <c r="E14" s="42"/>
      <c r="F14" s="49"/>
      <c r="G14" s="46"/>
      <c r="H14" s="43"/>
      <c r="I14" s="43"/>
      <c r="J14" s="43"/>
      <c r="K14" s="43">
        <f>SUBTOTAL(109,Таблица2133990294[1132])</f>
        <v>94</v>
      </c>
      <c r="L14" s="50"/>
      <c r="M14" s="50">
        <f>SUBTOTAL(109,Таблица2133990294[16])</f>
        <v>121824000</v>
      </c>
    </row>
    <row r="16" ht="18" spans="1:13">
      <c r="A16" s="1"/>
      <c r="B16" s="2"/>
      <c r="C16" s="3" t="s">
        <v>192</v>
      </c>
      <c r="D16" s="51" t="s">
        <v>279</v>
      </c>
      <c r="E16" s="5"/>
      <c r="F16" s="6"/>
      <c r="G16" s="6"/>
      <c r="H16" s="6"/>
      <c r="I16" s="6"/>
      <c r="J16" s="6"/>
      <c r="K16" s="6"/>
      <c r="L16" s="6"/>
      <c r="M16" s="6"/>
    </row>
    <row r="17" ht="20.25" spans="1:16">
      <c r="A17" s="7" t="s">
        <v>194</v>
      </c>
      <c r="B17" s="7"/>
      <c r="C17" s="8"/>
      <c r="D17" s="8"/>
      <c r="E17" s="8"/>
      <c r="F17" s="52">
        <f>Таблица213399029414[[#Totals],[2]]+-Таблица213399029414[[#Totals],[16]]</f>
        <v>40656600</v>
      </c>
      <c r="G17" s="53"/>
      <c r="H17" s="6"/>
      <c r="I17" s="6"/>
      <c r="J17" s="6"/>
      <c r="K17" s="10">
        <f>K20</f>
        <v>76</v>
      </c>
      <c r="L17" s="6"/>
      <c r="M17" s="6"/>
    </row>
    <row r="18" spans="1:16">
      <c r="A18" s="11" t="s">
        <v>195</v>
      </c>
      <c r="B18" s="11" t="s">
        <v>196</v>
      </c>
      <c r="C18" s="11" t="s">
        <v>197</v>
      </c>
      <c r="D18" s="11" t="s">
        <v>198</v>
      </c>
      <c r="E18" s="14" t="s">
        <v>199</v>
      </c>
      <c r="F18" s="15" t="s">
        <v>195</v>
      </c>
      <c r="G18" s="15" t="s">
        <v>196</v>
      </c>
      <c r="H18" s="15" t="s">
        <v>200</v>
      </c>
      <c r="I18" s="16" t="s">
        <v>6</v>
      </c>
      <c r="J18" s="17" t="s">
        <v>7</v>
      </c>
      <c r="K18" s="17" t="s">
        <v>201</v>
      </c>
      <c r="L18" s="15" t="s">
        <v>202</v>
      </c>
      <c r="M18" s="16" t="s">
        <v>197</v>
      </c>
    </row>
    <row r="19" spans="1:16">
      <c r="A19" s="11"/>
      <c r="B19" s="11"/>
      <c r="C19" s="18"/>
      <c r="D19" s="19"/>
      <c r="E19" s="20"/>
      <c r="F19" s="15"/>
      <c r="G19" s="15"/>
      <c r="H19" s="15"/>
      <c r="I19" s="21"/>
      <c r="J19" s="21"/>
      <c r="K19" s="22"/>
      <c r="L19" s="15"/>
      <c r="M19" s="26"/>
      <c r="P19" s="72"/>
    </row>
    <row r="20" ht="15.75" spans="1:16">
      <c r="A20" s="11"/>
      <c r="B20" s="11"/>
      <c r="C20" s="54">
        <f>Таблица213399029414[[#Totals],[2]]</f>
        <v>132586200</v>
      </c>
      <c r="D20" s="24"/>
      <c r="E20" s="25">
        <f>SUM(Таблица213399029414[4])</f>
        <v>0</v>
      </c>
      <c r="F20" s="15"/>
      <c r="G20" s="15"/>
      <c r="H20" s="15"/>
      <c r="I20" s="26"/>
      <c r="J20" s="26"/>
      <c r="K20" s="10">
        <f>Таблица213399029414[[#Totals],[1132]]</f>
        <v>76</v>
      </c>
      <c r="L20" s="15"/>
      <c r="M20" s="9">
        <f>Таблица213399029414[[#Totals],[16]]</f>
        <v>91929600</v>
      </c>
    </row>
    <row r="21" spans="1:16">
      <c r="A21" s="27" t="s">
        <v>192</v>
      </c>
      <c r="B21" s="28" t="s">
        <v>203</v>
      </c>
      <c r="C21" s="28" t="s">
        <v>204</v>
      </c>
      <c r="D21" s="28" t="s">
        <v>205</v>
      </c>
      <c r="E21" s="28" t="s">
        <v>206</v>
      </c>
      <c r="F21" s="28" t="s">
        <v>207</v>
      </c>
      <c r="G21" s="28" t="s">
        <v>208</v>
      </c>
      <c r="H21" s="28" t="s">
        <v>209</v>
      </c>
      <c r="I21" s="28" t="s">
        <v>210</v>
      </c>
      <c r="J21" s="28" t="s">
        <v>211</v>
      </c>
      <c r="K21" s="28" t="s">
        <v>212</v>
      </c>
      <c r="L21" s="28" t="s">
        <v>213</v>
      </c>
      <c r="M21" s="28" t="s">
        <v>214</v>
      </c>
    </row>
    <row r="22" spans="1:16">
      <c r="A22" s="29">
        <v>1</v>
      </c>
      <c r="B22" s="30">
        <v>46209</v>
      </c>
      <c r="C22" s="31">
        <v>20982400</v>
      </c>
      <c r="D22" s="32" t="s">
        <v>280</v>
      </c>
      <c r="E22" s="33"/>
      <c r="F22" s="34">
        <f>Таблица213399029414[[#This Row],[ ]]</f>
        <v>1</v>
      </c>
      <c r="G22" s="32">
        <v>46209</v>
      </c>
      <c r="H22" s="35" t="s">
        <v>85</v>
      </c>
      <c r="I22" s="36" t="s">
        <v>86</v>
      </c>
      <c r="J22" s="37">
        <v>22.464</v>
      </c>
      <c r="K22" s="38">
        <v>13</v>
      </c>
      <c r="L22" s="44">
        <v>700000</v>
      </c>
      <c r="M22" s="33">
        <f>Таблица213399029414[[#This Row],[113]]*Таблица213399029414[[#This Row],[15]]</f>
        <v>15724800</v>
      </c>
    </row>
    <row r="23" spans="1:16">
      <c r="A23" s="29">
        <v>2</v>
      </c>
      <c r="B23" s="55">
        <v>46209</v>
      </c>
      <c r="C23" s="33">
        <v>2100000</v>
      </c>
      <c r="D23" s="32" t="s">
        <v>281</v>
      </c>
      <c r="E23" s="33"/>
      <c r="F23" s="34">
        <f>Таблица213399029414[[#This Row],[ ]]</f>
        <v>2</v>
      </c>
      <c r="G23" s="30">
        <v>46209</v>
      </c>
      <c r="H23" s="39" t="s">
        <v>85</v>
      </c>
      <c r="I23" s="39" t="s">
        <v>26</v>
      </c>
      <c r="J23" s="39">
        <v>10.368</v>
      </c>
      <c r="K23" s="33">
        <v>6</v>
      </c>
      <c r="L23" s="44">
        <v>700000</v>
      </c>
      <c r="M23" s="33">
        <f>Таблица213399029414[[#This Row],[113]]*Таблица213399029414[[#This Row],[15]]</f>
        <v>7257600</v>
      </c>
    </row>
    <row r="24" spans="1:16">
      <c r="A24" s="29">
        <v>3</v>
      </c>
      <c r="B24" s="55">
        <v>46211</v>
      </c>
      <c r="C24" s="33">
        <v>63000000</v>
      </c>
      <c r="D24" s="32" t="s">
        <v>280</v>
      </c>
      <c r="E24" s="33"/>
      <c r="F24" s="34">
        <f>Таблица213399029414[[#This Row],[ ]]</f>
        <v>3</v>
      </c>
      <c r="G24" s="30">
        <v>46220</v>
      </c>
      <c r="H24" s="39" t="s">
        <v>159</v>
      </c>
      <c r="I24" s="39" t="s">
        <v>26</v>
      </c>
      <c r="J24" s="39">
        <v>32.832</v>
      </c>
      <c r="K24" s="33">
        <v>19</v>
      </c>
      <c r="L24" s="44">
        <v>700000</v>
      </c>
      <c r="M24" s="33">
        <f>Таблица213399029414[[#This Row],[113]]*Таблица213399029414[[#This Row],[15]]</f>
        <v>22982400</v>
      </c>
    </row>
    <row r="25" spans="1:16">
      <c r="A25" s="29">
        <v>4</v>
      </c>
      <c r="B25" s="55">
        <v>46220</v>
      </c>
      <c r="C25" s="33">
        <v>6603800</v>
      </c>
      <c r="D25" s="32" t="s">
        <v>280</v>
      </c>
      <c r="E25" s="33"/>
      <c r="F25" s="34">
        <f>Таблица213399029414[[#This Row],[ ]]</f>
        <v>4</v>
      </c>
      <c r="G25" s="30">
        <v>46212</v>
      </c>
      <c r="H25" s="39" t="s">
        <v>111</v>
      </c>
      <c r="I25" s="39" t="s">
        <v>46</v>
      </c>
      <c r="J25" s="39">
        <v>32.832</v>
      </c>
      <c r="K25" s="33">
        <v>19</v>
      </c>
      <c r="L25" s="44">
        <v>700000</v>
      </c>
      <c r="M25" s="33">
        <f>Таблица213399029414[[#This Row],[113]]*Таблица213399029414[[#This Row],[15]]</f>
        <v>22982400</v>
      </c>
    </row>
    <row r="26" spans="1:16">
      <c r="A26" s="29">
        <v>5</v>
      </c>
      <c r="B26" s="55">
        <v>46219</v>
      </c>
      <c r="C26" s="33">
        <v>-100000</v>
      </c>
      <c r="D26" s="32" t="s">
        <v>282</v>
      </c>
      <c r="E26" s="33"/>
      <c r="F26" s="34">
        <f>Таблица213399029414[[#This Row],[ ]]</f>
        <v>5</v>
      </c>
      <c r="G26" s="30">
        <v>46212</v>
      </c>
      <c r="H26" s="39" t="s">
        <v>112</v>
      </c>
      <c r="I26" s="39" t="s">
        <v>96</v>
      </c>
      <c r="J26" s="39">
        <v>32.832</v>
      </c>
      <c r="K26" s="33">
        <v>19</v>
      </c>
      <c r="L26" s="44">
        <v>700000</v>
      </c>
      <c r="M26" s="33">
        <f>Таблица213399029414[[#This Row],[113]]*Таблица213399029414[[#This Row],[15]]</f>
        <v>22982400</v>
      </c>
      <c r="P26" s="72"/>
    </row>
    <row r="27" spans="1:16">
      <c r="A27" s="29">
        <v>6</v>
      </c>
      <c r="B27" s="55">
        <v>46224</v>
      </c>
      <c r="C27" s="33">
        <v>40000000</v>
      </c>
      <c r="D27" s="32" t="s">
        <v>280</v>
      </c>
      <c r="E27" s="33"/>
      <c r="F27" s="34">
        <f>Таблица213399029414[[#This Row],[ ]]</f>
        <v>6</v>
      </c>
      <c r="G27" s="30"/>
      <c r="H27" s="39"/>
      <c r="I27" s="39"/>
      <c r="J27" s="39"/>
      <c r="K27" s="33"/>
      <c r="L27" s="44"/>
      <c r="M27" s="33">
        <f>Таблица213399029414[[#This Row],[113]]*Таблица213399029414[[#This Row],[15]]</f>
        <v>0</v>
      </c>
    </row>
    <row r="28" spans="1:16">
      <c r="A28" s="40"/>
      <c r="B28" s="55"/>
      <c r="C28" s="33"/>
      <c r="D28" s="32"/>
      <c r="E28" s="42"/>
      <c r="F28" s="43">
        <f>Таблица213399029414[[#This Row],[ ]]</f>
        <v>0</v>
      </c>
      <c r="G28" s="56"/>
      <c r="H28" s="57"/>
      <c r="I28" s="57"/>
      <c r="J28" s="57"/>
      <c r="K28" s="45"/>
      <c r="L28" s="58"/>
      <c r="M28" s="45">
        <f>Таблица213399029414[[#This Row],[113]]*Таблица213399029414[[#This Row],[15]]</f>
        <v>0</v>
      </c>
    </row>
    <row r="29" spans="1:16">
      <c r="A29" s="40"/>
      <c r="B29" s="55"/>
      <c r="C29" s="33"/>
      <c r="D29" s="32"/>
      <c r="E29" s="42"/>
      <c r="F29" s="43">
        <f>Таблица213399029414[[#This Row],[ ]]</f>
        <v>0</v>
      </c>
      <c r="G29" s="56"/>
      <c r="H29" s="57"/>
      <c r="I29" s="57"/>
      <c r="J29" s="57"/>
      <c r="K29" s="45"/>
      <c r="L29" s="58"/>
      <c r="M29" s="45">
        <f>Таблица213399029414[[#This Row],[113]]*Таблица213399029414[[#This Row],[15]]</f>
        <v>0</v>
      </c>
    </row>
    <row r="30" spans="1:16">
      <c r="A30" s="48"/>
      <c r="B30" s="59"/>
      <c r="C30" s="33">
        <f>SUBTOTAL(109,Таблица213399029414[2])</f>
        <v>132586200</v>
      </c>
      <c r="D30" s="33"/>
      <c r="E30" s="42"/>
      <c r="F30" s="49"/>
      <c r="G30" s="46"/>
      <c r="H30" s="43"/>
      <c r="I30" s="43"/>
      <c r="J30" s="43"/>
      <c r="K30" s="43">
        <f>SUBTOTAL(109,Таблица213399029414[1132])</f>
        <v>76</v>
      </c>
      <c r="L30" s="50"/>
      <c r="M30" s="50">
        <f>SUBTOTAL(109,Таблица213399029414[16])</f>
        <v>91929600</v>
      </c>
    </row>
    <row r="31" spans="1:1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</row>
    <row r="32" ht="18.75" spans="1:16">
      <c r="A32" s="1"/>
      <c r="B32" s="2"/>
      <c r="C32" s="3" t="s">
        <v>192</v>
      </c>
      <c r="D32" s="79" t="s">
        <v>283</v>
      </c>
      <c r="E32" s="5"/>
      <c r="F32" s="6"/>
      <c r="G32" s="6"/>
      <c r="H32" s="6"/>
      <c r="I32" s="6"/>
      <c r="J32" s="6"/>
      <c r="K32" s="6"/>
      <c r="L32" s="6"/>
      <c r="M32" s="6"/>
    </row>
    <row r="33" ht="20.25" spans="1:13">
      <c r="A33" s="7" t="s">
        <v>194</v>
      </c>
      <c r="B33" s="7"/>
      <c r="C33" s="8"/>
      <c r="D33" s="8"/>
      <c r="E33" s="8"/>
      <c r="F33" s="52">
        <f>Таблица21339902946781316172122232425303132[[#Totals],[2]]+-Таблица21339902946781316172122232425303132[[#Totals],[16]]</f>
        <v>8000</v>
      </c>
      <c r="G33" s="53"/>
      <c r="H33" s="6"/>
      <c r="I33" s="6"/>
      <c r="J33" s="6"/>
      <c r="K33" s="10">
        <f>K36</f>
        <v>20</v>
      </c>
      <c r="L33" s="6"/>
      <c r="M33" s="6"/>
    </row>
    <row r="34" spans="1:13">
      <c r="A34" s="11" t="s">
        <v>195</v>
      </c>
      <c r="B34" s="11" t="s">
        <v>196</v>
      </c>
      <c r="C34" s="11" t="s">
        <v>197</v>
      </c>
      <c r="D34" s="11" t="s">
        <v>198</v>
      </c>
      <c r="E34" s="14" t="s">
        <v>199</v>
      </c>
      <c r="F34" s="15" t="s">
        <v>195</v>
      </c>
      <c r="G34" s="15" t="s">
        <v>196</v>
      </c>
      <c r="H34" s="15" t="s">
        <v>200</v>
      </c>
      <c r="I34" s="16" t="s">
        <v>6</v>
      </c>
      <c r="J34" s="17" t="s">
        <v>7</v>
      </c>
      <c r="K34" s="17" t="s">
        <v>201</v>
      </c>
      <c r="L34" s="15" t="s">
        <v>202</v>
      </c>
      <c r="M34" s="16" t="s">
        <v>197</v>
      </c>
    </row>
    <row r="35" spans="1:13">
      <c r="A35" s="11"/>
      <c r="B35" s="11"/>
      <c r="C35" s="18"/>
      <c r="D35" s="19"/>
      <c r="E35" s="20"/>
      <c r="F35" s="15"/>
      <c r="G35" s="15"/>
      <c r="H35" s="15"/>
      <c r="I35" s="21"/>
      <c r="J35" s="80"/>
      <c r="K35" s="22"/>
      <c r="L35" s="15"/>
      <c r="M35" s="26"/>
    </row>
    <row r="36" ht="15.75" spans="1:13">
      <c r="A36" s="11"/>
      <c r="B36" s="11"/>
      <c r="C36" s="54">
        <f>Таблица21339902946781316172122232425303132[[#Totals],[2]]</f>
        <v>24200000</v>
      </c>
      <c r="D36" s="24"/>
      <c r="E36" s="25">
        <f>SUM(Таблица21339902946781316172122232425303132[4])</f>
        <v>0</v>
      </c>
      <c r="F36" s="15"/>
      <c r="G36" s="15"/>
      <c r="H36" s="15"/>
      <c r="I36" s="26"/>
      <c r="J36" s="81">
        <f>SUM(Таблица21339902946781316172122232425303132[113])</f>
        <v>34.56</v>
      </c>
      <c r="K36" s="10">
        <f>Таблица21339902946781316172122232425303132[[#Totals],[1132]]</f>
        <v>20</v>
      </c>
      <c r="L36" s="15"/>
      <c r="M36" s="9">
        <f>Таблица21339902946781316172122232425303132[[#Totals],[16]]</f>
        <v>24192000</v>
      </c>
    </row>
    <row r="37" spans="1:13">
      <c r="A37" s="27" t="s">
        <v>192</v>
      </c>
      <c r="B37" s="28" t="s">
        <v>203</v>
      </c>
      <c r="C37" s="28" t="s">
        <v>204</v>
      </c>
      <c r="D37" s="28" t="s">
        <v>205</v>
      </c>
      <c r="E37" s="28" t="s">
        <v>206</v>
      </c>
      <c r="F37" s="28" t="s">
        <v>207</v>
      </c>
      <c r="G37" s="28" t="s">
        <v>208</v>
      </c>
      <c r="H37" s="28" t="s">
        <v>209</v>
      </c>
      <c r="I37" s="28" t="s">
        <v>210</v>
      </c>
      <c r="J37" s="28" t="s">
        <v>211</v>
      </c>
      <c r="K37" s="28" t="s">
        <v>212</v>
      </c>
      <c r="L37" s="28" t="s">
        <v>213</v>
      </c>
      <c r="M37" s="28" t="s">
        <v>214</v>
      </c>
    </row>
    <row r="38" spans="1:13">
      <c r="A38" s="29">
        <v>1</v>
      </c>
      <c r="B38" s="30">
        <v>46212</v>
      </c>
      <c r="C38" s="31">
        <v>22200000</v>
      </c>
      <c r="D38" s="32" t="s">
        <v>223</v>
      </c>
      <c r="E38" s="33"/>
      <c r="F38" s="34">
        <f>Таблица21339902946781316172122232425303132[[#This Row],[ ]]</f>
        <v>1</v>
      </c>
      <c r="G38" s="32">
        <v>46211</v>
      </c>
      <c r="H38" s="35" t="s">
        <v>34</v>
      </c>
      <c r="I38" s="36" t="s">
        <v>26</v>
      </c>
      <c r="J38" s="37">
        <v>34.56</v>
      </c>
      <c r="K38" s="38">
        <v>20</v>
      </c>
      <c r="L38" s="33">
        <v>700000</v>
      </c>
      <c r="M38" s="33">
        <f>Таблица21339902946781316172122232425303132[[#This Row],[113]]*Таблица21339902946781316172122232425303132[[#This Row],[15]]</f>
        <v>24192000</v>
      </c>
    </row>
    <row r="39" spans="1:13">
      <c r="A39" s="29">
        <v>2</v>
      </c>
      <c r="B39" s="30">
        <v>46211</v>
      </c>
      <c r="C39" s="33">
        <v>2000000</v>
      </c>
      <c r="D39" s="32" t="s">
        <v>284</v>
      </c>
      <c r="E39" s="33"/>
      <c r="F39" s="34">
        <f>Таблица21339902946781316172122232425303132[[#This Row],[ ]]</f>
        <v>2</v>
      </c>
      <c r="G39" s="30"/>
      <c r="H39" s="39"/>
      <c r="I39" s="39"/>
      <c r="J39" s="39"/>
      <c r="K39" s="33"/>
      <c r="L39" s="44"/>
      <c r="M39" s="33">
        <f>Таблица21339902946781316172122232425303132[[#This Row],[113]]*Таблица21339902946781316172122232425303132[[#This Row],[15]]</f>
        <v>0</v>
      </c>
    </row>
    <row r="40" spans="1:13">
      <c r="A40" s="29">
        <v>3</v>
      </c>
      <c r="B40" s="55"/>
      <c r="C40" s="33"/>
      <c r="D40" s="32"/>
      <c r="E40" s="33"/>
      <c r="F40" s="34">
        <f>Таблица21339902946781316172122232425303132[[#This Row],[ ]]</f>
        <v>3</v>
      </c>
      <c r="G40" s="30"/>
      <c r="H40" s="39"/>
      <c r="I40" s="39"/>
      <c r="J40" s="39"/>
      <c r="K40" s="33"/>
      <c r="L40" s="44"/>
      <c r="M40" s="33">
        <f>Таблица21339902946781316172122232425303132[[#This Row],[113]]*Таблица21339902946781316172122232425303132[[#This Row],[15]]</f>
        <v>0</v>
      </c>
    </row>
    <row r="41" spans="1:13">
      <c r="A41" s="48"/>
      <c r="B41" s="59"/>
      <c r="C41" s="33">
        <f>SUBTOTAL(109,Таблица21339902946781316172122232425303132[2])</f>
        <v>24200000</v>
      </c>
      <c r="D41" s="33"/>
      <c r="E41" s="42"/>
      <c r="F41" s="49"/>
      <c r="G41" s="46"/>
      <c r="H41" s="43"/>
      <c r="I41" s="43"/>
      <c r="J41" s="43"/>
      <c r="K41" s="43">
        <f>SUBTOTAL(109,Таблица21339902946781316172122232425303132[1132])</f>
        <v>20</v>
      </c>
      <c r="L41" s="50"/>
      <c r="M41" s="50">
        <f>SUBTOTAL(109,Таблица21339902946781316172122232425303132[16])</f>
        <v>24192000</v>
      </c>
    </row>
    <row r="42" spans="1:13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</row>
    <row r="43" spans="1:13">
      <c r="D43" s="72"/>
    </row>
  </sheetData>
  <mergeCells count="42">
    <mergeCell ref="A2:B2"/>
    <mergeCell ref="C2:D2"/>
    <mergeCell ref="F2:G2"/>
    <mergeCell ref="A17:B17"/>
    <mergeCell ref="C17:D17"/>
    <mergeCell ref="F17:G17"/>
    <mergeCell ref="A33:B33"/>
    <mergeCell ref="C33:D33"/>
    <mergeCell ref="F33:G33"/>
    <mergeCell ref="A3:A5"/>
    <mergeCell ref="A18:A20"/>
    <mergeCell ref="A34:A36"/>
    <mergeCell ref="B3:B5"/>
    <mergeCell ref="B18:B20"/>
    <mergeCell ref="B34:B36"/>
    <mergeCell ref="E3:E4"/>
    <mergeCell ref="E18:E19"/>
    <mergeCell ref="E34:E35"/>
    <mergeCell ref="F3:F5"/>
    <mergeCell ref="F18:F20"/>
    <mergeCell ref="F34:F36"/>
    <mergeCell ref="G3:G5"/>
    <mergeCell ref="G18:G20"/>
    <mergeCell ref="G34:G36"/>
    <mergeCell ref="H3:H5"/>
    <mergeCell ref="H18:H20"/>
    <mergeCell ref="H34:H36"/>
    <mergeCell ref="I3:I5"/>
    <mergeCell ref="I18:I20"/>
    <mergeCell ref="I34:I36"/>
    <mergeCell ref="J3:J5"/>
    <mergeCell ref="J18:J20"/>
    <mergeCell ref="J34:J35"/>
    <mergeCell ref="K3:K4"/>
    <mergeCell ref="K18:K19"/>
    <mergeCell ref="K34:K35"/>
    <mergeCell ref="L3:L5"/>
    <mergeCell ref="L18:L20"/>
    <mergeCell ref="L34:L36"/>
    <mergeCell ref="M3:M4"/>
    <mergeCell ref="M18:M19"/>
    <mergeCell ref="M34:M35"/>
  </mergeCells>
  <hyperlinks>
    <hyperlink ref="D1" location="'Свод Завод'!A1" display="2-Гофур Хазорасп"/>
    <hyperlink ref="D16" location="'Свод Завод'!A1" display="2-Шиддат маналит"/>
    <hyperlink ref="D32" location="'Свод Завод'!A1" display="2-Нахт клент Арслон"/>
  </hyperlinks>
  <pageMargins left="0.7" right="0.7" top="0.75" bottom="0.75" header="0.3" footer="0.3"/>
  <headerFooter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8"/>
  <sheetViews>
    <sheetView topLeftCell="A81" workbookViewId="0">
      <selection activeCell="D34" sqref="D34"/>
    </sheetView>
  </sheetViews>
  <sheetFormatPr defaultColWidth="9" defaultRowHeight="15"/>
  <cols>
    <col min="1" max="1" width="5.55238095238095" customWidth="1"/>
    <col min="2" max="2" width="11.3333333333333" customWidth="1"/>
    <col min="3" max="3" width="13.4380952380952" customWidth="1"/>
    <col min="4" max="4" width="28.8857142857143" customWidth="1"/>
    <col min="5" max="5" width="18.1047619047619" customWidth="1"/>
    <col min="7" max="7" width="11.3333333333333" customWidth="1"/>
    <col min="8" max="8" width="12.8857142857143" customWidth="1"/>
    <col min="9" max="9" width="13.4380952380952" customWidth="1"/>
    <col min="10" max="10" width="9" customWidth="1"/>
    <col min="11" max="11" width="10.1047619047619" customWidth="1"/>
    <col min="12" max="12" width="8.43809523809524" customWidth="1"/>
    <col min="13" max="13" width="13.4380952380952" customWidth="1"/>
    <col min="15" max="15" width="9.88571428571429" customWidth="1"/>
    <col min="16" max="16" width="10.8857142857143" customWidth="1"/>
    <col min="17" max="17" width="11.552380952381" customWidth="1"/>
    <col min="20" max="20" width="9.88571428571429" customWidth="1"/>
  </cols>
  <sheetData>
    <row r="1" ht="15.75" spans="1:13">
      <c r="A1" s="1"/>
      <c r="B1" s="2"/>
      <c r="C1" s="3"/>
      <c r="D1" s="4" t="s">
        <v>285</v>
      </c>
      <c r="E1" s="5"/>
      <c r="F1" s="6"/>
      <c r="G1" s="6"/>
      <c r="H1" s="6"/>
      <c r="I1" s="6"/>
      <c r="J1" s="6"/>
      <c r="K1" s="6"/>
      <c r="L1" s="6"/>
      <c r="M1" s="6"/>
    </row>
    <row r="2" ht="15.75" spans="1:13">
      <c r="A2" s="7" t="s">
        <v>194</v>
      </c>
      <c r="B2" s="7"/>
      <c r="C2" s="8"/>
      <c r="D2" s="8"/>
      <c r="E2" s="8"/>
      <c r="F2" s="9">
        <f>Таблица2133990[[#Totals],[2]]+-Таблица2133990[[#Totals],[16]]</f>
        <v>185000000.016896</v>
      </c>
      <c r="G2" s="9"/>
      <c r="H2" s="6"/>
      <c r="I2" s="6"/>
      <c r="J2" s="6"/>
      <c r="K2" s="10">
        <f>K5</f>
        <v>36</v>
      </c>
      <c r="L2" s="6"/>
      <c r="M2" s="6"/>
    </row>
    <row r="3" spans="1:13">
      <c r="A3" s="11" t="s">
        <v>195</v>
      </c>
      <c r="B3" s="11" t="s">
        <v>196</v>
      </c>
      <c r="C3" s="12" t="s">
        <v>197</v>
      </c>
      <c r="D3" s="13" t="s">
        <v>286</v>
      </c>
      <c r="E3" s="14" t="s">
        <v>199</v>
      </c>
      <c r="F3" s="15" t="s">
        <v>195</v>
      </c>
      <c r="G3" s="15" t="s">
        <v>196</v>
      </c>
      <c r="H3" s="15" t="s">
        <v>200</v>
      </c>
      <c r="I3" s="16" t="s">
        <v>6</v>
      </c>
      <c r="J3" s="17" t="s">
        <v>7</v>
      </c>
      <c r="K3" s="17" t="s">
        <v>201</v>
      </c>
      <c r="L3" s="17" t="s">
        <v>14</v>
      </c>
      <c r="M3" s="16" t="s">
        <v>197</v>
      </c>
    </row>
    <row r="4" spans="1:13">
      <c r="A4" s="11"/>
      <c r="B4" s="11"/>
      <c r="C4" s="18"/>
      <c r="D4" s="19"/>
      <c r="E4" s="20"/>
      <c r="F4" s="15"/>
      <c r="G4" s="15"/>
      <c r="H4" s="15"/>
      <c r="I4" s="21"/>
      <c r="J4" s="21"/>
      <c r="K4" s="22"/>
      <c r="L4" s="21"/>
      <c r="M4" s="21"/>
    </row>
    <row r="5" spans="1:13">
      <c r="A5" s="11"/>
      <c r="B5" s="11"/>
      <c r="C5" s="23">
        <f>Таблица2133990[[#Totals],[2]]</f>
        <v>230570000</v>
      </c>
      <c r="D5" s="24"/>
      <c r="E5" s="25">
        <f>SUM(Таблица2133990[4])</f>
        <v>0</v>
      </c>
      <c r="F5" s="15"/>
      <c r="G5" s="15"/>
      <c r="H5" s="15"/>
      <c r="I5" s="26"/>
      <c r="J5" s="26"/>
      <c r="K5" s="10">
        <f>Таблица2133990[[#Totals],[1132]]</f>
        <v>36</v>
      </c>
      <c r="L5" s="26"/>
      <c r="M5" s="10">
        <f>Таблица2133990[[#Totals],[16]]</f>
        <v>45569999.983104</v>
      </c>
    </row>
    <row r="6" spans="1:13">
      <c r="A6" s="27" t="s">
        <v>192</v>
      </c>
      <c r="B6" s="28" t="s">
        <v>203</v>
      </c>
      <c r="C6" s="28" t="s">
        <v>204</v>
      </c>
      <c r="D6" s="28" t="s">
        <v>205</v>
      </c>
      <c r="E6" s="28" t="s">
        <v>206</v>
      </c>
      <c r="F6" s="28" t="s">
        <v>207</v>
      </c>
      <c r="G6" s="28" t="s">
        <v>208</v>
      </c>
      <c r="H6" s="28" t="s">
        <v>209</v>
      </c>
      <c r="I6" s="28" t="s">
        <v>210</v>
      </c>
      <c r="J6" s="28" t="s">
        <v>211</v>
      </c>
      <c r="K6" s="28" t="s">
        <v>212</v>
      </c>
      <c r="L6" s="28" t="s">
        <v>213</v>
      </c>
      <c r="M6" s="28" t="s">
        <v>214</v>
      </c>
    </row>
    <row r="7" spans="1:13">
      <c r="A7" s="29">
        <v>1</v>
      </c>
      <c r="B7" s="30">
        <v>46198</v>
      </c>
      <c r="C7" s="31">
        <v>45570000</v>
      </c>
      <c r="D7" s="32" t="s">
        <v>287</v>
      </c>
      <c r="E7" s="33"/>
      <c r="F7" s="34">
        <f>Таблица2133990[[#This Row],[ ]]</f>
        <v>1</v>
      </c>
      <c r="G7" s="32">
        <v>46197</v>
      </c>
      <c r="H7" s="35" t="s">
        <v>25</v>
      </c>
      <c r="I7" s="36" t="s">
        <v>26</v>
      </c>
      <c r="J7" s="37">
        <v>31.104</v>
      </c>
      <c r="K7" s="38">
        <v>18</v>
      </c>
      <c r="L7" s="33">
        <v>732542.438</v>
      </c>
      <c r="M7" s="33">
        <f>Таблица2133990[[#This Row],[113]]*(Таблица2133990[[#This Row],[15]])</f>
        <v>22784999.991552</v>
      </c>
    </row>
    <row r="8" spans="1:13">
      <c r="A8" s="29">
        <v>2</v>
      </c>
      <c r="B8" s="30">
        <v>46206</v>
      </c>
      <c r="C8" s="31">
        <v>85000000</v>
      </c>
      <c r="D8" s="32" t="s">
        <v>287</v>
      </c>
      <c r="E8" s="33"/>
      <c r="F8" s="34">
        <f>Таблица2133990[[#This Row],[ ]]</f>
        <v>2</v>
      </c>
      <c r="G8" s="30">
        <v>46197</v>
      </c>
      <c r="H8" s="39" t="s">
        <v>29</v>
      </c>
      <c r="I8" s="39" t="s">
        <v>26</v>
      </c>
      <c r="J8" s="39">
        <v>31.104</v>
      </c>
      <c r="K8" s="33">
        <v>18</v>
      </c>
      <c r="L8" s="33">
        <v>732542.438</v>
      </c>
      <c r="M8" s="33">
        <f>Таблица2133990[[#This Row],[113]]*(Таблица2133990[[#This Row],[15]])</f>
        <v>22784999.991552</v>
      </c>
    </row>
    <row r="9" spans="1:13">
      <c r="A9" s="40">
        <v>3</v>
      </c>
      <c r="B9" s="41">
        <v>46218</v>
      </c>
      <c r="C9" s="33">
        <v>100000000</v>
      </c>
      <c r="D9" s="32" t="s">
        <v>287</v>
      </c>
      <c r="E9" s="42"/>
      <c r="F9" s="43">
        <f>Таблица2133990[[#This Row],[ ]]</f>
        <v>3</v>
      </c>
      <c r="G9" s="30"/>
      <c r="H9" s="39"/>
      <c r="I9" s="39"/>
      <c r="J9" s="39"/>
      <c r="K9" s="33"/>
      <c r="L9" s="44"/>
      <c r="M9" s="45">
        <f>Таблица2133990[[#This Row],[113]]*(Таблица2133990[[#This Row],[15]])</f>
        <v>0</v>
      </c>
    </row>
    <row r="10" spans="1:13">
      <c r="A10" s="40">
        <v>4</v>
      </c>
      <c r="B10" s="46"/>
      <c r="C10" s="42"/>
      <c r="D10" s="47"/>
      <c r="E10" s="42"/>
      <c r="F10" s="43">
        <f>Таблица2133990[[#This Row],[ ]]</f>
        <v>4</v>
      </c>
      <c r="G10" s="30"/>
      <c r="H10" s="39"/>
      <c r="I10" s="39"/>
      <c r="J10" s="39"/>
      <c r="K10" s="33"/>
      <c r="L10" s="44"/>
      <c r="M10" s="45">
        <f>Таблица2133990[[#This Row],[113]]*(Таблица2133990[[#This Row],[15]])</f>
        <v>0</v>
      </c>
    </row>
    <row r="11" spans="1:13">
      <c r="A11" s="48"/>
      <c r="B11" s="49"/>
      <c r="C11" s="42">
        <f>SUBTOTAL(109,Таблица2133990[2])</f>
        <v>230570000</v>
      </c>
      <c r="D11" s="42"/>
      <c r="E11" s="42"/>
      <c r="F11" s="49"/>
      <c r="G11" s="46"/>
      <c r="H11" s="43"/>
      <c r="I11" s="43"/>
      <c r="J11" s="43"/>
      <c r="K11" s="45">
        <f>SUBTOTAL(109,Таблица2133990[1132])</f>
        <v>36</v>
      </c>
      <c r="L11" s="50"/>
      <c r="M11" s="50">
        <f>SUBTOTAL(109,Таблица2133990[16])</f>
        <v>45569999.983104</v>
      </c>
    </row>
    <row r="13" ht="18" spans="1:13">
      <c r="A13" s="1"/>
      <c r="B13" s="2"/>
      <c r="C13" s="3" t="s">
        <v>192</v>
      </c>
      <c r="D13" s="51" t="s">
        <v>288</v>
      </c>
      <c r="E13" s="5"/>
      <c r="F13" s="6"/>
      <c r="G13" s="6"/>
      <c r="H13" s="6"/>
      <c r="I13" s="6"/>
      <c r="J13" s="6"/>
      <c r="K13" s="6"/>
      <c r="L13" s="6"/>
      <c r="M13" s="6"/>
    </row>
    <row r="14" ht="20.25" spans="1:13">
      <c r="A14" s="7" t="s">
        <v>194</v>
      </c>
      <c r="B14" s="7"/>
      <c r="C14" s="8"/>
      <c r="D14" s="8"/>
      <c r="E14" s="8"/>
      <c r="F14" s="52">
        <f>Таблица213399029[[#Totals],[2]]+-Таблица213399029[[#Totals],[16]]</f>
        <v>-50803200</v>
      </c>
      <c r="G14" s="53"/>
      <c r="H14" s="6"/>
      <c r="I14" s="6"/>
      <c r="J14" s="6"/>
      <c r="K14" s="10">
        <f>K17</f>
        <v>99</v>
      </c>
      <c r="L14" s="6"/>
      <c r="M14" s="6"/>
    </row>
    <row r="15" customHeight="1" spans="1:13">
      <c r="A15" s="11" t="s">
        <v>195</v>
      </c>
      <c r="B15" s="11" t="s">
        <v>196</v>
      </c>
      <c r="C15" s="11" t="s">
        <v>197</v>
      </c>
      <c r="D15" s="11" t="s">
        <v>198</v>
      </c>
      <c r="E15" s="14" t="s">
        <v>199</v>
      </c>
      <c r="F15" s="15" t="s">
        <v>195</v>
      </c>
      <c r="G15" s="15" t="s">
        <v>196</v>
      </c>
      <c r="H15" s="15" t="s">
        <v>200</v>
      </c>
      <c r="I15" s="16" t="s">
        <v>6</v>
      </c>
      <c r="J15" s="17" t="s">
        <v>7</v>
      </c>
      <c r="K15" s="17" t="s">
        <v>201</v>
      </c>
      <c r="L15" s="15" t="s">
        <v>202</v>
      </c>
      <c r="M15" s="16" t="s">
        <v>197</v>
      </c>
    </row>
    <row r="16" spans="1:13">
      <c r="A16" s="11"/>
      <c r="B16" s="11"/>
      <c r="C16" s="18"/>
      <c r="D16" s="19"/>
      <c r="E16" s="20"/>
      <c r="F16" s="15"/>
      <c r="G16" s="15"/>
      <c r="H16" s="15"/>
      <c r="I16" s="21"/>
      <c r="J16" s="21"/>
      <c r="K16" s="22"/>
      <c r="L16" s="15"/>
      <c r="M16" s="26"/>
    </row>
    <row r="17" ht="15.75" spans="1:13">
      <c r="A17" s="11"/>
      <c r="B17" s="11"/>
      <c r="C17" s="54">
        <f>Таблица213399029[[#Totals],[2]]</f>
        <v>72394560</v>
      </c>
      <c r="D17" s="24"/>
      <c r="E17" s="25">
        <f>SUM(Таблица213399029[4])</f>
        <v>0</v>
      </c>
      <c r="F17" s="15"/>
      <c r="G17" s="15"/>
      <c r="H17" s="15"/>
      <c r="I17" s="26"/>
      <c r="J17" s="26"/>
      <c r="K17" s="10">
        <f>Таблица213399029[[#Totals],[1132]]</f>
        <v>99</v>
      </c>
      <c r="L17" s="15"/>
      <c r="M17" s="9">
        <f>Таблица213399029[[#Totals],[16]]</f>
        <v>123197760</v>
      </c>
    </row>
    <row r="18" spans="1:13">
      <c r="A18" s="27" t="s">
        <v>192</v>
      </c>
      <c r="B18" s="28" t="s">
        <v>203</v>
      </c>
      <c r="C18" s="28" t="s">
        <v>204</v>
      </c>
      <c r="D18" s="28" t="s">
        <v>205</v>
      </c>
      <c r="E18" s="28" t="s">
        <v>206</v>
      </c>
      <c r="F18" s="28" t="s">
        <v>207</v>
      </c>
      <c r="G18" s="28" t="s">
        <v>208</v>
      </c>
      <c r="H18" s="28" t="s">
        <v>209</v>
      </c>
      <c r="I18" s="28" t="s">
        <v>210</v>
      </c>
      <c r="J18" s="28" t="s">
        <v>211</v>
      </c>
      <c r="K18" s="28" t="s">
        <v>212</v>
      </c>
      <c r="L18" s="28" t="s">
        <v>213</v>
      </c>
      <c r="M18" s="28" t="s">
        <v>214</v>
      </c>
    </row>
    <row r="19" spans="1:13">
      <c r="A19" s="29">
        <v>1</v>
      </c>
      <c r="B19" s="30">
        <v>46205</v>
      </c>
      <c r="C19" s="31">
        <v>72394560</v>
      </c>
      <c r="D19" s="32" t="s">
        <v>289</v>
      </c>
      <c r="E19" s="33"/>
      <c r="F19" s="34">
        <f>Таблица213399029[[#This Row],[ ]]</f>
        <v>1</v>
      </c>
      <c r="G19" s="32">
        <v>46198</v>
      </c>
      <c r="H19" s="35" t="s">
        <v>38</v>
      </c>
      <c r="I19" s="36" t="s">
        <v>26</v>
      </c>
      <c r="J19" s="37">
        <v>32.832</v>
      </c>
      <c r="K19" s="38">
        <v>19</v>
      </c>
      <c r="L19" s="34">
        <v>735000</v>
      </c>
      <c r="M19" s="33">
        <f>Таблица213399029[[#This Row],[113]]*Таблица213399029[[#This Row],[15]]</f>
        <v>24131520</v>
      </c>
    </row>
    <row r="20" spans="1:13">
      <c r="A20" s="29">
        <v>2</v>
      </c>
      <c r="B20" s="55"/>
      <c r="C20" s="33"/>
      <c r="D20" s="32"/>
      <c r="E20" s="33"/>
      <c r="F20" s="34">
        <f>Таблица213399029[[#This Row],[ ]]</f>
        <v>2</v>
      </c>
      <c r="G20" s="30">
        <v>46198</v>
      </c>
      <c r="H20" s="39" t="s">
        <v>39</v>
      </c>
      <c r="I20" s="39" t="s">
        <v>26</v>
      </c>
      <c r="J20" s="39">
        <v>32.832</v>
      </c>
      <c r="K20" s="33">
        <v>19</v>
      </c>
      <c r="L20" s="44">
        <v>735000</v>
      </c>
      <c r="M20" s="33">
        <f>Таблица213399029[[#This Row],[113]]*Таблица213399029[[#This Row],[15]]</f>
        <v>24131520</v>
      </c>
    </row>
    <row r="21" spans="1:13">
      <c r="A21" s="29">
        <v>3</v>
      </c>
      <c r="B21" s="55"/>
      <c r="C21" s="33"/>
      <c r="D21" s="32"/>
      <c r="E21" s="33"/>
      <c r="F21" s="34">
        <f>Таблица213399029[[#This Row],[ ]]</f>
        <v>3</v>
      </c>
      <c r="G21" s="30">
        <v>46198</v>
      </c>
      <c r="H21" s="39" t="s">
        <v>40</v>
      </c>
      <c r="I21" s="39" t="s">
        <v>26</v>
      </c>
      <c r="J21" s="39">
        <v>32.832</v>
      </c>
      <c r="K21" s="33">
        <v>19</v>
      </c>
      <c r="L21" s="44">
        <v>735000</v>
      </c>
      <c r="M21" s="33">
        <f>Таблица213399029[[#This Row],[113]]*Таблица213399029[[#This Row],[15]]</f>
        <v>24131520</v>
      </c>
    </row>
    <row r="22" spans="1:13">
      <c r="A22" s="40">
        <v>4</v>
      </c>
      <c r="B22" s="55"/>
      <c r="C22" s="33"/>
      <c r="D22" s="32"/>
      <c r="E22" s="42"/>
      <c r="F22" s="43">
        <f>Таблица213399029[[#This Row],[ ]]</f>
        <v>4</v>
      </c>
      <c r="G22" s="30">
        <v>46216</v>
      </c>
      <c r="H22" s="39" t="s">
        <v>130</v>
      </c>
      <c r="I22" s="39" t="s">
        <v>26</v>
      </c>
      <c r="J22" s="39">
        <v>32.832</v>
      </c>
      <c r="K22" s="33">
        <v>19</v>
      </c>
      <c r="L22" s="44">
        <v>700000</v>
      </c>
      <c r="M22" s="45">
        <f>Таблица213399029[[#This Row],[113]]*Таблица213399029[[#This Row],[15]]</f>
        <v>22982400</v>
      </c>
    </row>
    <row r="23" spans="1:13">
      <c r="A23" s="40">
        <v>5</v>
      </c>
      <c r="B23" s="55"/>
      <c r="C23" s="33"/>
      <c r="D23" s="32"/>
      <c r="E23" s="42"/>
      <c r="F23" s="43">
        <f>Таблица213399029[[#This Row],[ ]]</f>
        <v>5</v>
      </c>
      <c r="G23" s="30">
        <v>46216</v>
      </c>
      <c r="H23" s="39" t="s">
        <v>132</v>
      </c>
      <c r="I23" s="39" t="s">
        <v>26</v>
      </c>
      <c r="J23" s="39">
        <v>6.912</v>
      </c>
      <c r="K23" s="33">
        <v>4</v>
      </c>
      <c r="L23" s="44">
        <v>700000</v>
      </c>
      <c r="M23" s="45">
        <f>Таблица213399029[[#This Row],[113]]*Таблица213399029[[#This Row],[15]]</f>
        <v>4838400</v>
      </c>
    </row>
    <row r="24" spans="1:13">
      <c r="A24" s="40">
        <v>6</v>
      </c>
      <c r="B24" s="55"/>
      <c r="C24" s="33"/>
      <c r="D24" s="32"/>
      <c r="E24" s="42"/>
      <c r="F24" s="43">
        <f>Таблица213399029[[#This Row],[ ]]</f>
        <v>6</v>
      </c>
      <c r="G24" s="30">
        <v>46217</v>
      </c>
      <c r="H24" s="39" t="s">
        <v>134</v>
      </c>
      <c r="I24" s="39" t="s">
        <v>26</v>
      </c>
      <c r="J24" s="39">
        <v>32.832</v>
      </c>
      <c r="K24" s="33">
        <v>19</v>
      </c>
      <c r="L24" s="44">
        <v>700000</v>
      </c>
      <c r="M24" s="45">
        <f>Таблица213399029[[#This Row],[113]]*Таблица213399029[[#This Row],[15]]</f>
        <v>22982400</v>
      </c>
    </row>
    <row r="25" spans="1:13">
      <c r="A25" s="40">
        <v>7</v>
      </c>
      <c r="B25" s="55"/>
      <c r="C25" s="33"/>
      <c r="D25" s="32"/>
      <c r="E25" s="42"/>
      <c r="F25" s="43">
        <f>Таблица213399029[[#This Row],[ ]]</f>
        <v>7</v>
      </c>
      <c r="G25" s="56"/>
      <c r="H25" s="57"/>
      <c r="I25" s="57"/>
      <c r="J25" s="57"/>
      <c r="K25" s="45"/>
      <c r="L25" s="58"/>
      <c r="M25" s="45">
        <f>Таблица213399029[[#This Row],[113]]*Таблица213399029[[#This Row],[15]]</f>
        <v>0</v>
      </c>
    </row>
    <row r="26" spans="1:13">
      <c r="A26" s="48"/>
      <c r="B26" s="59"/>
      <c r="C26" s="33">
        <f>SUBTOTAL(109,Таблица213399029[2])</f>
        <v>72394560</v>
      </c>
      <c r="D26" s="33"/>
      <c r="E26" s="42"/>
      <c r="F26" s="49"/>
      <c r="G26" s="46"/>
      <c r="H26" s="43"/>
      <c r="I26" s="43"/>
      <c r="J26" s="43"/>
      <c r="K26" s="43">
        <f>SUBTOTAL(109,Таблица213399029[1132])</f>
        <v>99</v>
      </c>
      <c r="L26" s="50"/>
      <c r="M26" s="50">
        <f>SUBTOTAL(109,Таблица213399029[16])</f>
        <v>123197760</v>
      </c>
    </row>
    <row r="28" ht="15.75" spans="1:13">
      <c r="A28" s="1"/>
      <c r="B28" s="2"/>
      <c r="C28" s="3" t="s">
        <v>192</v>
      </c>
      <c r="D28" s="60" t="s">
        <v>290</v>
      </c>
      <c r="E28" s="5"/>
      <c r="F28" s="6"/>
      <c r="G28" s="6"/>
      <c r="H28" s="6"/>
      <c r="I28" s="6"/>
      <c r="J28" s="6"/>
      <c r="K28" s="6"/>
      <c r="L28" s="6"/>
      <c r="M28" s="6"/>
    </row>
    <row r="29" ht="20.25" spans="1:13">
      <c r="A29" s="7" t="s">
        <v>194</v>
      </c>
      <c r="B29" s="7"/>
      <c r="C29" s="8"/>
      <c r="D29" s="8"/>
      <c r="E29" s="8"/>
      <c r="F29" s="52">
        <f>Таблица2133990291011[[#Totals],[2]]+-Таблица2133990291011[[#Totals],[16]]</f>
        <v>8700480</v>
      </c>
      <c r="G29" s="53"/>
      <c r="H29" s="6"/>
      <c r="I29" s="6"/>
      <c r="J29" s="6"/>
      <c r="K29" s="10">
        <f>K32</f>
        <v>19</v>
      </c>
      <c r="L29" s="6"/>
      <c r="M29" s="6"/>
    </row>
    <row r="30" customHeight="1" spans="1:13">
      <c r="A30" s="11" t="s">
        <v>195</v>
      </c>
      <c r="B30" s="11" t="s">
        <v>196</v>
      </c>
      <c r="C30" s="11" t="s">
        <v>197</v>
      </c>
      <c r="D30" s="11" t="s">
        <v>198</v>
      </c>
      <c r="E30" s="14" t="s">
        <v>199</v>
      </c>
      <c r="F30" s="15" t="s">
        <v>195</v>
      </c>
      <c r="G30" s="15" t="s">
        <v>196</v>
      </c>
      <c r="H30" s="15" t="s">
        <v>200</v>
      </c>
      <c r="I30" s="16" t="s">
        <v>6</v>
      </c>
      <c r="J30" s="17" t="s">
        <v>7</v>
      </c>
      <c r="K30" s="17" t="s">
        <v>201</v>
      </c>
      <c r="L30" s="15" t="s">
        <v>202</v>
      </c>
      <c r="M30" s="16" t="s">
        <v>197</v>
      </c>
    </row>
    <row r="31" spans="1:13">
      <c r="A31" s="11"/>
      <c r="B31" s="11"/>
      <c r="C31" s="18"/>
      <c r="D31" s="19"/>
      <c r="E31" s="20"/>
      <c r="F31" s="15"/>
      <c r="G31" s="15"/>
      <c r="H31" s="15"/>
      <c r="I31" s="21"/>
      <c r="J31" s="21"/>
      <c r="K31" s="22"/>
      <c r="L31" s="15"/>
      <c r="M31" s="26"/>
    </row>
    <row r="32" ht="15.75" spans="1:13">
      <c r="A32" s="11"/>
      <c r="B32" s="11"/>
      <c r="C32" s="54">
        <f>Таблица2133990291011[[#Totals],[2]]</f>
        <v>32832000</v>
      </c>
      <c r="D32" s="24"/>
      <c r="E32" s="25">
        <f>SUM(Таблица2133990291011[4])</f>
        <v>0</v>
      </c>
      <c r="F32" s="15"/>
      <c r="G32" s="15"/>
      <c r="H32" s="15"/>
      <c r="I32" s="26"/>
      <c r="J32" s="26"/>
      <c r="K32" s="10">
        <f>Таблица2133990291011[[#Totals],[1132]]</f>
        <v>19</v>
      </c>
      <c r="L32" s="15"/>
      <c r="M32" s="9">
        <f>Таблица2133990291011[[#Totals],[16]]</f>
        <v>24131520</v>
      </c>
    </row>
    <row r="33" spans="1:13">
      <c r="A33" s="27" t="s">
        <v>192</v>
      </c>
      <c r="B33" s="28" t="s">
        <v>203</v>
      </c>
      <c r="C33" s="28" t="s">
        <v>204</v>
      </c>
      <c r="D33" s="28" t="s">
        <v>205</v>
      </c>
      <c r="E33" s="28" t="s">
        <v>206</v>
      </c>
      <c r="F33" s="28" t="s">
        <v>207</v>
      </c>
      <c r="G33" s="28" t="s">
        <v>208</v>
      </c>
      <c r="H33" s="28" t="s">
        <v>209</v>
      </c>
      <c r="I33" s="28" t="s">
        <v>210</v>
      </c>
      <c r="J33" s="28" t="s">
        <v>211</v>
      </c>
      <c r="K33" s="28" t="s">
        <v>212</v>
      </c>
      <c r="L33" s="28" t="s">
        <v>213</v>
      </c>
      <c r="M33" s="28" t="s">
        <v>214</v>
      </c>
    </row>
    <row r="34" spans="1:13">
      <c r="A34" s="29">
        <v>1</v>
      </c>
      <c r="B34" s="30">
        <v>46211</v>
      </c>
      <c r="C34" s="31">
        <v>32832000</v>
      </c>
      <c r="D34" s="32" t="s">
        <v>57</v>
      </c>
      <c r="E34" s="33"/>
      <c r="F34" s="34">
        <f>Таблица2133990291011[[#This Row],[ ]]</f>
        <v>1</v>
      </c>
      <c r="G34" s="32">
        <v>46203</v>
      </c>
      <c r="H34" s="35" t="s">
        <v>58</v>
      </c>
      <c r="I34" s="36" t="s">
        <v>26</v>
      </c>
      <c r="J34" s="37">
        <v>32.832</v>
      </c>
      <c r="K34" s="38">
        <v>19</v>
      </c>
      <c r="L34" s="34">
        <v>735000</v>
      </c>
      <c r="M34" s="33">
        <f>Таблица2133990291011[[#This Row],[113]]*Таблица2133990291011[[#This Row],[15]]</f>
        <v>24131520</v>
      </c>
    </row>
    <row r="35" spans="1:13">
      <c r="A35" s="40">
        <v>2</v>
      </c>
      <c r="B35" s="30"/>
      <c r="C35" s="31"/>
      <c r="D35" s="32"/>
      <c r="E35" s="42"/>
      <c r="F35" s="43">
        <f>Таблица2133990291011[[#This Row],[ ]]</f>
        <v>2</v>
      </c>
      <c r="G35" s="61"/>
      <c r="H35" s="62"/>
      <c r="I35" s="63"/>
      <c r="J35" s="64"/>
      <c r="K35" s="65"/>
      <c r="L35" s="43"/>
      <c r="M35" s="45">
        <f>Таблица2133990291011[[#This Row],[113]]*Таблица2133990291011[[#This Row],[15]]</f>
        <v>0</v>
      </c>
    </row>
    <row r="36" spans="1:13">
      <c r="A36" s="48"/>
      <c r="B36" s="59"/>
      <c r="C36" s="33">
        <f>SUBTOTAL(109,Таблица2133990291011[2])</f>
        <v>32832000</v>
      </c>
      <c r="D36" s="33"/>
      <c r="E36" s="42"/>
      <c r="F36" s="49"/>
      <c r="G36" s="46"/>
      <c r="H36" s="43"/>
      <c r="I36" s="43"/>
      <c r="J36" s="43"/>
      <c r="K36" s="43">
        <f>SUBTOTAL(109,Таблица2133990291011[1132])</f>
        <v>19</v>
      </c>
      <c r="L36" s="50"/>
      <c r="M36" s="50">
        <f>SUBTOTAL(109,Таблица2133990291011[16])</f>
        <v>24131520</v>
      </c>
    </row>
    <row r="38" ht="18" spans="1:13">
      <c r="A38" s="66"/>
      <c r="B38" s="66"/>
      <c r="C38" s="67" t="s">
        <v>192</v>
      </c>
      <c r="D38" s="68" t="s">
        <v>291</v>
      </c>
      <c r="E38" s="5"/>
      <c r="F38" s="6"/>
      <c r="G38" s="6"/>
      <c r="H38" s="6"/>
      <c r="I38" s="6"/>
      <c r="J38" s="6"/>
      <c r="K38" s="6"/>
      <c r="L38" s="6"/>
      <c r="M38" s="6"/>
    </row>
    <row r="39" ht="18" spans="1:13">
      <c r="A39" s="69" t="s">
        <v>194</v>
      </c>
      <c r="B39" s="69"/>
      <c r="C39" s="70"/>
      <c r="D39" s="70"/>
      <c r="E39" s="8"/>
      <c r="F39" s="71">
        <f>Таблица213399028[[#Totals],[2]]+-Таблица213399028[[#Totals],[16]]</f>
        <v>0</v>
      </c>
      <c r="G39" s="71"/>
      <c r="H39" s="6"/>
      <c r="I39" s="6"/>
      <c r="J39" s="6"/>
      <c r="K39" s="10">
        <f>K42</f>
        <v>56</v>
      </c>
      <c r="L39" s="6"/>
      <c r="M39" s="6"/>
    </row>
    <row r="40" customHeight="1" spans="1:13">
      <c r="A40" s="11" t="s">
        <v>195</v>
      </c>
      <c r="B40" s="11" t="s">
        <v>196</v>
      </c>
      <c r="C40" s="11" t="s">
        <v>197</v>
      </c>
      <c r="D40" s="11" t="s">
        <v>198</v>
      </c>
      <c r="E40" s="14" t="s">
        <v>199</v>
      </c>
      <c r="F40" s="16" t="s">
        <v>195</v>
      </c>
      <c r="G40" s="15" t="s">
        <v>196</v>
      </c>
      <c r="H40" s="15" t="s">
        <v>200</v>
      </c>
      <c r="I40" s="16" t="s">
        <v>6</v>
      </c>
      <c r="J40" s="17" t="s">
        <v>7</v>
      </c>
      <c r="K40" s="17" t="s">
        <v>201</v>
      </c>
      <c r="L40" s="15" t="s">
        <v>202</v>
      </c>
      <c r="M40" s="16" t="s">
        <v>197</v>
      </c>
    </row>
    <row r="41" spans="1:13">
      <c r="A41" s="11"/>
      <c r="B41" s="11"/>
      <c r="C41" s="18"/>
      <c r="D41" s="19"/>
      <c r="E41" s="20"/>
      <c r="F41" s="21"/>
      <c r="G41" s="15"/>
      <c r="H41" s="15"/>
      <c r="I41" s="21"/>
      <c r="J41" s="21"/>
      <c r="K41" s="22"/>
      <c r="L41" s="15"/>
      <c r="M41" s="26"/>
    </row>
    <row r="42" ht="15.75" spans="1:13">
      <c r="A42" s="11"/>
      <c r="B42" s="11"/>
      <c r="C42" s="54">
        <f>Таблица213399028[[#Totals],[2]]</f>
        <v>67737600</v>
      </c>
      <c r="D42" s="24"/>
      <c r="E42" s="25">
        <f>SUM(Таблица213399028[4])</f>
        <v>0</v>
      </c>
      <c r="F42" s="26"/>
      <c r="G42" s="15"/>
      <c r="H42" s="15"/>
      <c r="I42" s="26"/>
      <c r="J42" s="26"/>
      <c r="K42" s="10">
        <f>Таблица213399028[[#Totals],[1132]]</f>
        <v>56</v>
      </c>
      <c r="L42" s="15"/>
      <c r="M42" s="9">
        <f>Таблица213399028[[#Totals],[16]]</f>
        <v>67737600</v>
      </c>
    </row>
    <row r="43" spans="1:13">
      <c r="A43" s="27" t="s">
        <v>192</v>
      </c>
      <c r="B43" s="28" t="s">
        <v>203</v>
      </c>
      <c r="C43" s="28" t="s">
        <v>204</v>
      </c>
      <c r="D43" s="28" t="s">
        <v>205</v>
      </c>
      <c r="E43" s="28" t="s">
        <v>206</v>
      </c>
      <c r="F43" s="28" t="s">
        <v>207</v>
      </c>
      <c r="G43" s="28" t="s">
        <v>208</v>
      </c>
      <c r="H43" s="28" t="s">
        <v>209</v>
      </c>
      <c r="I43" s="28" t="s">
        <v>210</v>
      </c>
      <c r="J43" s="28" t="s">
        <v>211</v>
      </c>
      <c r="K43" s="28" t="s">
        <v>212</v>
      </c>
      <c r="L43" s="28" t="s">
        <v>213</v>
      </c>
      <c r="M43" s="28" t="s">
        <v>214</v>
      </c>
    </row>
    <row r="44" spans="1:13">
      <c r="A44" s="29">
        <v>1</v>
      </c>
      <c r="B44" s="30">
        <v>46205</v>
      </c>
      <c r="C44" s="31">
        <v>67737600</v>
      </c>
      <c r="D44" s="32" t="s">
        <v>292</v>
      </c>
      <c r="E44" s="33"/>
      <c r="F44" s="34">
        <f>Таблица213399028[[#This Row],[ ]]</f>
        <v>1</v>
      </c>
      <c r="G44" s="32">
        <v>46197</v>
      </c>
      <c r="H44" s="35" t="s">
        <v>31</v>
      </c>
      <c r="I44" s="36" t="s">
        <v>26</v>
      </c>
      <c r="J44" s="37">
        <v>31.104</v>
      </c>
      <c r="K44" s="38">
        <v>18</v>
      </c>
      <c r="L44" s="34">
        <v>700000</v>
      </c>
      <c r="M44" s="33">
        <f>Таблица213399028[[#This Row],[113]]*Таблица213399028[[#This Row],[15]]</f>
        <v>21772800</v>
      </c>
    </row>
    <row r="45" spans="1:13">
      <c r="A45" s="29">
        <v>2</v>
      </c>
      <c r="B45" s="55"/>
      <c r="C45" s="33"/>
      <c r="D45" s="32"/>
      <c r="E45" s="33"/>
      <c r="F45" s="34">
        <f>Таблица213399028[[#This Row],[ ]]</f>
        <v>2</v>
      </c>
      <c r="G45" s="30">
        <v>46197</v>
      </c>
      <c r="H45" s="39" t="s">
        <v>35</v>
      </c>
      <c r="I45" s="39" t="s">
        <v>26</v>
      </c>
      <c r="J45" s="39">
        <v>32.832</v>
      </c>
      <c r="K45" s="33">
        <v>19</v>
      </c>
      <c r="L45" s="44">
        <v>700000</v>
      </c>
      <c r="M45" s="33">
        <f>Таблица213399028[[#This Row],[113]]*Таблица213399028[[#This Row],[15]]</f>
        <v>22982400</v>
      </c>
    </row>
    <row r="46" spans="1:13">
      <c r="A46" s="29">
        <v>3</v>
      </c>
      <c r="B46" s="55"/>
      <c r="C46" s="33"/>
      <c r="D46" s="32"/>
      <c r="E46" s="33"/>
      <c r="F46" s="34">
        <f>Таблица213399028[[#This Row],[ ]]</f>
        <v>3</v>
      </c>
      <c r="G46" s="30">
        <v>46198</v>
      </c>
      <c r="H46" s="39" t="s">
        <v>36</v>
      </c>
      <c r="I46" s="39" t="s">
        <v>26</v>
      </c>
      <c r="J46" s="39">
        <v>32.832</v>
      </c>
      <c r="K46" s="33">
        <v>19</v>
      </c>
      <c r="L46" s="44">
        <v>700000</v>
      </c>
      <c r="M46" s="33">
        <f>Таблица213399028[[#This Row],[113]]*Таблица213399028[[#This Row],[15]]</f>
        <v>22982400</v>
      </c>
    </row>
    <row r="47" spans="1:13">
      <c r="A47" s="48"/>
      <c r="B47" s="49"/>
      <c r="C47" s="42">
        <f>SUBTOTAL(109,Таблица213399028[2])</f>
        <v>67737600</v>
      </c>
      <c r="D47" s="42"/>
      <c r="E47" s="42"/>
      <c r="F47" s="49"/>
      <c r="G47" s="46"/>
      <c r="H47" s="43"/>
      <c r="I47" s="43"/>
      <c r="J47" s="43"/>
      <c r="K47" s="43">
        <f>SUBTOTAL(109,Таблица213399028[1132])</f>
        <v>56</v>
      </c>
      <c r="L47" s="50"/>
      <c r="M47" s="50">
        <f>SUBTOTAL(109,Таблица213399028[16])</f>
        <v>67737600</v>
      </c>
    </row>
    <row r="49" ht="18" spans="1:17">
      <c r="A49" s="66"/>
      <c r="B49" s="66"/>
      <c r="C49" s="67" t="s">
        <v>192</v>
      </c>
      <c r="D49" s="68" t="s">
        <v>293</v>
      </c>
      <c r="E49" s="5"/>
      <c r="F49" s="6"/>
      <c r="G49" s="6"/>
      <c r="H49" s="6"/>
      <c r="I49" s="6"/>
      <c r="J49" s="6"/>
      <c r="K49" s="6"/>
      <c r="L49" s="6"/>
      <c r="M49" s="6"/>
    </row>
    <row r="50" ht="18" spans="1:17">
      <c r="A50" s="69" t="s">
        <v>194</v>
      </c>
      <c r="B50" s="69"/>
      <c r="C50" s="70"/>
      <c r="D50" s="70"/>
      <c r="E50" s="8"/>
      <c r="F50" s="71">
        <f>Таблица21339902816[[#Totals],[2]]+-Таблица21339902816[[#Totals],[16]]</f>
        <v>-1920</v>
      </c>
      <c r="G50" s="71"/>
      <c r="H50" s="6"/>
      <c r="I50" s="6"/>
      <c r="J50" s="6"/>
      <c r="K50" s="10">
        <f>K53</f>
        <v>95</v>
      </c>
      <c r="L50" s="6"/>
      <c r="M50" s="6"/>
    </row>
    <row r="51" spans="1:17">
      <c r="A51" s="11" t="s">
        <v>195</v>
      </c>
      <c r="B51" s="11" t="s">
        <v>196</v>
      </c>
      <c r="C51" s="11" t="s">
        <v>197</v>
      </c>
      <c r="D51" s="11" t="s">
        <v>198</v>
      </c>
      <c r="E51" s="14" t="s">
        <v>199</v>
      </c>
      <c r="F51" s="16" t="s">
        <v>195</v>
      </c>
      <c r="G51" s="15" t="s">
        <v>196</v>
      </c>
      <c r="H51" s="15" t="s">
        <v>200</v>
      </c>
      <c r="I51" s="16" t="s">
        <v>6</v>
      </c>
      <c r="J51" s="17" t="s">
        <v>7</v>
      </c>
      <c r="K51" s="17" t="s">
        <v>201</v>
      </c>
      <c r="L51" s="15" t="s">
        <v>202</v>
      </c>
      <c r="M51" s="16" t="s">
        <v>197</v>
      </c>
    </row>
    <row r="52" spans="1:17">
      <c r="A52" s="11"/>
      <c r="B52" s="11"/>
      <c r="C52" s="18"/>
      <c r="D52" s="19"/>
      <c r="E52" s="20"/>
      <c r="F52" s="21"/>
      <c r="G52" s="15"/>
      <c r="H52" s="15"/>
      <c r="I52" s="21"/>
      <c r="J52" s="21"/>
      <c r="K52" s="22"/>
      <c r="L52" s="15"/>
      <c r="M52" s="26"/>
    </row>
    <row r="53" ht="15.75" spans="1:17">
      <c r="A53" s="11"/>
      <c r="B53" s="11"/>
      <c r="C53" s="54">
        <f>Таблица21339902816[[#Totals],[2]]</f>
        <v>116880000</v>
      </c>
      <c r="D53" s="24"/>
      <c r="E53" s="25">
        <f>SUM(Таблица21339902816[4])</f>
        <v>0</v>
      </c>
      <c r="F53" s="26"/>
      <c r="G53" s="15"/>
      <c r="H53" s="15"/>
      <c r="I53" s="26"/>
      <c r="J53" s="26"/>
      <c r="K53" s="10">
        <f>Таблица21339902816[[#Totals],[1132]]</f>
        <v>95</v>
      </c>
      <c r="L53" s="15"/>
      <c r="M53" s="9">
        <f>Таблица21339902816[[#Totals],[16]]</f>
        <v>116881920</v>
      </c>
      <c r="Q53" s="72"/>
    </row>
    <row r="54" spans="1:17">
      <c r="A54" s="27" t="s">
        <v>192</v>
      </c>
      <c r="B54" s="28" t="s">
        <v>203</v>
      </c>
      <c r="C54" s="28" t="s">
        <v>204</v>
      </c>
      <c r="D54" s="28" t="s">
        <v>205</v>
      </c>
      <c r="E54" s="28" t="s">
        <v>206</v>
      </c>
      <c r="F54" s="28" t="s">
        <v>207</v>
      </c>
      <c r="G54" s="28" t="s">
        <v>208</v>
      </c>
      <c r="H54" s="28" t="s">
        <v>209</v>
      </c>
      <c r="I54" s="28" t="s">
        <v>210</v>
      </c>
      <c r="J54" s="28" t="s">
        <v>211</v>
      </c>
      <c r="K54" s="28" t="s">
        <v>212</v>
      </c>
      <c r="L54" s="28" t="s">
        <v>213</v>
      </c>
      <c r="M54" s="28" t="s">
        <v>214</v>
      </c>
      <c r="Q54" s="72"/>
    </row>
    <row r="55" spans="1:17">
      <c r="A55" s="29">
        <v>1</v>
      </c>
      <c r="B55" s="55">
        <v>46203</v>
      </c>
      <c r="C55" s="73">
        <v>22703000</v>
      </c>
      <c r="D55" s="32" t="s">
        <v>294</v>
      </c>
      <c r="E55" s="33"/>
      <c r="F55" s="34">
        <v>1</v>
      </c>
      <c r="G55" s="32">
        <v>46204</v>
      </c>
      <c r="H55" s="35" t="s">
        <v>60</v>
      </c>
      <c r="I55" s="36" t="s">
        <v>26</v>
      </c>
      <c r="J55" s="37">
        <v>32.832</v>
      </c>
      <c r="K55" s="38">
        <v>19</v>
      </c>
      <c r="L55" s="33">
        <v>730000</v>
      </c>
      <c r="M55" s="73">
        <f>Таблица21339902816[[#This Row],[15]]*Таблица21339902816[[#This Row],[113]]</f>
        <v>23967360</v>
      </c>
    </row>
    <row r="56" spans="1:17">
      <c r="A56" s="40">
        <v>2</v>
      </c>
      <c r="B56" s="55">
        <v>46204</v>
      </c>
      <c r="C56" s="73">
        <v>25231000</v>
      </c>
      <c r="D56" s="32" t="s">
        <v>295</v>
      </c>
      <c r="E56" s="42"/>
      <c r="F56" s="43">
        <v>2</v>
      </c>
      <c r="G56" s="30">
        <v>46205</v>
      </c>
      <c r="H56" s="39" t="s">
        <v>67</v>
      </c>
      <c r="I56" s="39" t="s">
        <v>46</v>
      </c>
      <c r="J56" s="39">
        <v>32.832</v>
      </c>
      <c r="K56" s="33">
        <v>19</v>
      </c>
      <c r="L56" s="44">
        <v>730000</v>
      </c>
      <c r="M56" s="74">
        <f>Таблица21339902816[[#This Row],[15]]*Таблица21339902816[[#This Row],[113]]</f>
        <v>23967360</v>
      </c>
    </row>
    <row r="57" spans="1:17">
      <c r="A57" s="40">
        <v>3</v>
      </c>
      <c r="B57" s="55">
        <v>46241</v>
      </c>
      <c r="C57" s="73">
        <v>20982000</v>
      </c>
      <c r="D57" s="32" t="s">
        <v>295</v>
      </c>
      <c r="E57" s="42"/>
      <c r="F57" s="43">
        <v>3</v>
      </c>
      <c r="G57" s="30">
        <v>46210</v>
      </c>
      <c r="H57" s="39" t="s">
        <v>95</v>
      </c>
      <c r="I57" s="39" t="s">
        <v>96</v>
      </c>
      <c r="J57" s="39">
        <v>32.832</v>
      </c>
      <c r="K57" s="33">
        <v>19</v>
      </c>
      <c r="L57" s="44">
        <v>700000</v>
      </c>
      <c r="M57" s="74">
        <f>Таблица21339902816[[#This Row],[15]]*Таблица21339902816[[#This Row],[113]]</f>
        <v>22982400</v>
      </c>
    </row>
    <row r="58" spans="1:17">
      <c r="A58" s="40">
        <v>4</v>
      </c>
      <c r="B58" s="55">
        <v>46241</v>
      </c>
      <c r="C58" s="73">
        <v>2000000</v>
      </c>
      <c r="D58" s="32" t="s">
        <v>216</v>
      </c>
      <c r="E58" s="42"/>
      <c r="F58" s="43">
        <v>4</v>
      </c>
      <c r="G58" s="30">
        <v>46212</v>
      </c>
      <c r="H58" s="39" t="s">
        <v>44</v>
      </c>
      <c r="I58" s="39" t="s">
        <v>96</v>
      </c>
      <c r="J58" s="39">
        <v>32.832</v>
      </c>
      <c r="K58" s="33">
        <v>19</v>
      </c>
      <c r="L58" s="44">
        <v>700000</v>
      </c>
      <c r="M58" s="74">
        <f>Таблица21339902816[[#This Row],[15]]*Таблица21339902816[[#This Row],[113]]</f>
        <v>22982400</v>
      </c>
    </row>
    <row r="59" spans="1:17">
      <c r="A59" s="40">
        <v>5</v>
      </c>
      <c r="B59" s="55">
        <v>46212</v>
      </c>
      <c r="C59" s="73">
        <v>2200000</v>
      </c>
      <c r="D59" s="32" t="s">
        <v>216</v>
      </c>
      <c r="E59" s="42"/>
      <c r="F59" s="43">
        <v>5</v>
      </c>
      <c r="G59" s="30">
        <v>46219</v>
      </c>
      <c r="H59" s="39" t="s">
        <v>88</v>
      </c>
      <c r="I59" s="39" t="s">
        <v>96</v>
      </c>
      <c r="J59" s="39">
        <v>32.832</v>
      </c>
      <c r="K59" s="33">
        <v>19</v>
      </c>
      <c r="L59" s="44">
        <v>700000</v>
      </c>
      <c r="M59" s="74">
        <f>Таблица21339902816[[#This Row],[15]]*Таблица21339902816[[#This Row],[113]]</f>
        <v>22982400</v>
      </c>
    </row>
    <row r="60" spans="1:17">
      <c r="A60" s="40">
        <v>6</v>
      </c>
      <c r="B60" s="55">
        <v>46216</v>
      </c>
      <c r="C60" s="73">
        <v>20782000</v>
      </c>
      <c r="D60" s="32" t="s">
        <v>295</v>
      </c>
      <c r="E60" s="42"/>
      <c r="F60" s="43">
        <v>6</v>
      </c>
      <c r="G60" s="30"/>
      <c r="H60" s="39"/>
      <c r="I60" s="39"/>
      <c r="J60" s="39"/>
      <c r="K60" s="33"/>
      <c r="L60" s="44"/>
      <c r="M60" s="45">
        <f>Таблица21339902816[[#This Row],[15]]*Таблица21339902816[[#This Row],[113]]</f>
        <v>0</v>
      </c>
    </row>
    <row r="61" spans="1:17">
      <c r="A61" s="40">
        <v>7</v>
      </c>
      <c r="B61" s="55">
        <v>46219</v>
      </c>
      <c r="C61" s="73">
        <v>2500000</v>
      </c>
      <c r="D61" s="32" t="s">
        <v>216</v>
      </c>
      <c r="E61" s="42"/>
      <c r="F61" s="43">
        <v>7</v>
      </c>
      <c r="G61" s="56"/>
      <c r="H61" s="57"/>
      <c r="I61" s="75"/>
      <c r="J61" s="75"/>
      <c r="K61" s="76"/>
      <c r="L61" s="58"/>
      <c r="M61" s="45">
        <f>Таблица21339902816[[#This Row],[15]]*Таблица21339902816[[#This Row],[113]]</f>
        <v>0</v>
      </c>
    </row>
    <row r="62" spans="1:17">
      <c r="A62" s="40">
        <v>8</v>
      </c>
      <c r="B62" s="55">
        <v>46220</v>
      </c>
      <c r="C62" s="73">
        <v>20482000</v>
      </c>
      <c r="D62" s="33" t="s">
        <v>295</v>
      </c>
      <c r="E62" s="42"/>
      <c r="F62" s="43">
        <v>8</v>
      </c>
      <c r="G62" s="61"/>
      <c r="H62" s="62"/>
      <c r="I62" s="63"/>
      <c r="J62" s="64"/>
      <c r="K62" s="65"/>
      <c r="L62" s="43"/>
      <c r="M62" s="45">
        <f>Таблица21339902816[[#This Row],[15]]*Таблица21339902816[[#This Row],[113]]</f>
        <v>0</v>
      </c>
    </row>
    <row r="63" spans="1:17">
      <c r="A63" s="40">
        <v>9</v>
      </c>
      <c r="B63" s="55"/>
      <c r="C63" s="73"/>
      <c r="D63" s="33"/>
      <c r="E63" s="42"/>
      <c r="F63" s="43">
        <v>9</v>
      </c>
      <c r="G63" s="61"/>
      <c r="H63" s="62"/>
      <c r="I63" s="63"/>
      <c r="J63" s="64"/>
      <c r="K63" s="65"/>
      <c r="L63" s="43"/>
      <c r="M63" s="45">
        <f>Таблица21339902816[[#This Row],[15]]*Таблица21339902816[[#This Row],[113]]</f>
        <v>0</v>
      </c>
    </row>
    <row r="64" spans="1:17">
      <c r="A64" s="40">
        <v>10</v>
      </c>
      <c r="B64" s="55"/>
      <c r="C64" s="73"/>
      <c r="D64" s="33"/>
      <c r="E64" s="42"/>
      <c r="F64" s="43">
        <v>10</v>
      </c>
      <c r="G64" s="61"/>
      <c r="H64" s="62"/>
      <c r="I64" s="63"/>
      <c r="J64" s="64"/>
      <c r="K64" s="65"/>
      <c r="L64" s="43"/>
      <c r="M64" s="45">
        <f>Таблица21339902816[[#This Row],[15]]*Таблица21339902816[[#This Row],[113]]</f>
        <v>0</v>
      </c>
    </row>
    <row r="65" spans="1:13">
      <c r="A65" s="48"/>
      <c r="B65" s="49"/>
      <c r="C65" s="42">
        <f>SUBTOTAL(109,Таблица21339902816[2])</f>
        <v>116880000</v>
      </c>
      <c r="D65" s="42"/>
      <c r="E65" s="42"/>
      <c r="F65" s="49"/>
      <c r="G65" s="46"/>
      <c r="H65" s="43"/>
      <c r="I65" s="43"/>
      <c r="J65" s="43"/>
      <c r="K65" s="43">
        <f>SUBTOTAL(109,Таблица21339902816[1132])</f>
        <v>95</v>
      </c>
      <c r="L65" s="50"/>
      <c r="M65" s="50">
        <f>SUBTOTAL(109,Таблица21339902816[16])</f>
        <v>116881920</v>
      </c>
    </row>
    <row r="67" ht="18" spans="1:13">
      <c r="A67" s="1"/>
      <c r="B67" s="2"/>
      <c r="C67" s="3" t="s">
        <v>192</v>
      </c>
      <c r="D67" s="51" t="s">
        <v>296</v>
      </c>
      <c r="E67" s="5"/>
      <c r="F67" s="6"/>
      <c r="G67" s="6"/>
      <c r="H67" s="6"/>
      <c r="I67" s="6"/>
      <c r="J67" s="6"/>
      <c r="K67" s="6"/>
      <c r="L67" s="6"/>
      <c r="M67" s="6"/>
    </row>
    <row r="68" ht="20.25" spans="1:13">
      <c r="A68" s="7" t="s">
        <v>194</v>
      </c>
      <c r="B68" s="7"/>
      <c r="C68" s="8"/>
      <c r="D68" s="8"/>
      <c r="E68" s="8"/>
      <c r="F68" s="52">
        <f>Таблица2133990291012[[#Totals],[2]]+-Таблица2133990291012[[#Totals],[16]]</f>
        <v>-46949760</v>
      </c>
      <c r="G68" s="53"/>
      <c r="H68" s="6"/>
      <c r="I68" s="6"/>
      <c r="J68" s="6"/>
      <c r="K68" s="10">
        <f>Таблица2133990291012[[#Totals],[1132]]</f>
        <v>38</v>
      </c>
      <c r="L68" s="6"/>
      <c r="M68" s="6"/>
    </row>
    <row r="69" spans="1:13">
      <c r="A69" s="11" t="s">
        <v>195</v>
      </c>
      <c r="B69" s="11" t="s">
        <v>196</v>
      </c>
      <c r="C69" s="11" t="s">
        <v>197</v>
      </c>
      <c r="D69" s="11" t="s">
        <v>198</v>
      </c>
      <c r="E69" s="14" t="s">
        <v>199</v>
      </c>
      <c r="F69" s="15" t="s">
        <v>195</v>
      </c>
      <c r="G69" s="15" t="s">
        <v>196</v>
      </c>
      <c r="H69" s="15" t="s">
        <v>200</v>
      </c>
      <c r="I69" s="16" t="s">
        <v>6</v>
      </c>
      <c r="J69" s="17" t="s">
        <v>7</v>
      </c>
      <c r="K69" s="17" t="s">
        <v>201</v>
      </c>
      <c r="L69" s="15" t="s">
        <v>202</v>
      </c>
      <c r="M69" s="16" t="s">
        <v>197</v>
      </c>
    </row>
    <row r="70" spans="1:13">
      <c r="A70" s="11"/>
      <c r="B70" s="11"/>
      <c r="C70" s="18"/>
      <c r="D70" s="19"/>
      <c r="E70" s="20"/>
      <c r="F70" s="15"/>
      <c r="G70" s="15"/>
      <c r="H70" s="15"/>
      <c r="I70" s="21"/>
      <c r="J70" s="21"/>
      <c r="K70" s="22"/>
      <c r="L70" s="15"/>
      <c r="M70" s="26"/>
    </row>
    <row r="71" ht="15.75" spans="1:13">
      <c r="A71" s="11"/>
      <c r="B71" s="11"/>
      <c r="C71" s="54">
        <f>Таблица2133990291012[[#Totals],[2]]</f>
        <v>0</v>
      </c>
      <c r="D71" s="24"/>
      <c r="E71" s="25">
        <f>SUM(Таблица2133990291012[4])</f>
        <v>0</v>
      </c>
      <c r="F71" s="15"/>
      <c r="G71" s="15"/>
      <c r="H71" s="15"/>
      <c r="I71" s="26"/>
      <c r="J71" s="26"/>
      <c r="K71" s="10">
        <f>Таблица2133990291012[[#Totals],[1132]]</f>
        <v>38</v>
      </c>
      <c r="L71" s="15"/>
      <c r="M71" s="9">
        <f>Таблица2133990291012[[#Totals],[16]]</f>
        <v>46949760</v>
      </c>
    </row>
    <row r="72" spans="1:13">
      <c r="A72" s="27" t="s">
        <v>192</v>
      </c>
      <c r="B72" s="28" t="s">
        <v>203</v>
      </c>
      <c r="C72" s="28" t="s">
        <v>204</v>
      </c>
      <c r="D72" s="28" t="s">
        <v>205</v>
      </c>
      <c r="E72" s="28" t="s">
        <v>206</v>
      </c>
      <c r="F72" s="28" t="s">
        <v>207</v>
      </c>
      <c r="G72" s="28" t="s">
        <v>208</v>
      </c>
      <c r="H72" s="28" t="s">
        <v>209</v>
      </c>
      <c r="I72" s="28" t="s">
        <v>210</v>
      </c>
      <c r="J72" s="28" t="s">
        <v>211</v>
      </c>
      <c r="K72" s="28" t="s">
        <v>212</v>
      </c>
      <c r="L72" s="28" t="s">
        <v>213</v>
      </c>
      <c r="M72" s="28" t="s">
        <v>214</v>
      </c>
    </row>
    <row r="73" spans="1:13">
      <c r="A73" s="29">
        <v>1</v>
      </c>
      <c r="B73" s="30"/>
      <c r="C73" s="31"/>
      <c r="D73" s="32"/>
      <c r="E73" s="33"/>
      <c r="F73" s="34">
        <f>Таблица2133990291012[[#This Row],[ ]]</f>
        <v>1</v>
      </c>
      <c r="G73" s="32">
        <v>46204</v>
      </c>
      <c r="H73" s="35" t="s">
        <v>62</v>
      </c>
      <c r="I73" s="36" t="s">
        <v>26</v>
      </c>
      <c r="J73" s="37">
        <v>32.832</v>
      </c>
      <c r="K73" s="38">
        <v>19</v>
      </c>
      <c r="L73" s="33">
        <v>730000</v>
      </c>
      <c r="M73" s="33">
        <f>Таблица2133990291012[[#This Row],[113]]*Таблица2133990291012[[#This Row],[15]]</f>
        <v>23967360</v>
      </c>
    </row>
    <row r="74" spans="1:13">
      <c r="A74" s="29">
        <v>2</v>
      </c>
      <c r="B74" s="30"/>
      <c r="C74" s="31"/>
      <c r="D74" s="32"/>
      <c r="E74" s="33"/>
      <c r="F74" s="34">
        <f>Таблица2133990291012[[#This Row],[ ]]</f>
        <v>2</v>
      </c>
      <c r="G74" s="32">
        <v>46206</v>
      </c>
      <c r="H74" s="35" t="s">
        <v>68</v>
      </c>
      <c r="I74" s="77" t="s">
        <v>26</v>
      </c>
      <c r="J74" s="78">
        <v>32.832</v>
      </c>
      <c r="K74" s="38">
        <v>19</v>
      </c>
      <c r="L74" s="33">
        <v>700000</v>
      </c>
      <c r="M74" s="33">
        <f>Таблица2133990291012[[#This Row],[113]]*Таблица2133990291012[[#This Row],[15]]</f>
        <v>22982400</v>
      </c>
    </row>
    <row r="75" spans="1:13">
      <c r="A75" s="29">
        <v>3</v>
      </c>
      <c r="B75" s="55"/>
      <c r="C75" s="33"/>
      <c r="D75" s="32"/>
      <c r="E75" s="33"/>
      <c r="F75" s="34">
        <f>Таблица2133990291012[[#This Row],[ ]]</f>
        <v>3</v>
      </c>
      <c r="G75" s="30"/>
      <c r="H75" s="39"/>
      <c r="I75" s="39"/>
      <c r="J75" s="39"/>
      <c r="K75" s="33"/>
      <c r="L75" s="44"/>
      <c r="M75" s="33">
        <f>Таблица2133990291012[[#This Row],[113]]*Таблица2133990291012[[#This Row],[15]]</f>
        <v>0</v>
      </c>
    </row>
    <row r="76" spans="1:13">
      <c r="A76" s="48"/>
      <c r="B76" s="59"/>
      <c r="C76" s="33">
        <f>SUBTOTAL(109,Таблица2133990291012[2])</f>
        <v>0</v>
      </c>
      <c r="D76" s="33"/>
      <c r="E76" s="42"/>
      <c r="F76" s="49"/>
      <c r="G76" s="46"/>
      <c r="H76" s="43"/>
      <c r="I76" s="43"/>
      <c r="J76" s="43"/>
      <c r="K76" s="43">
        <f>SUBTOTAL(109,Таблица2133990291012[1132])</f>
        <v>38</v>
      </c>
      <c r="L76" s="50"/>
      <c r="M76" s="50">
        <f>SUBTOTAL(109,Таблица2133990291012[16])</f>
        <v>46949760</v>
      </c>
    </row>
    <row r="77" spans="1:1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</row>
    <row r="78" ht="18.75" spans="1:13">
      <c r="A78" s="1"/>
      <c r="B78" s="2"/>
      <c r="C78" s="3" t="s">
        <v>192</v>
      </c>
      <c r="D78" s="79" t="s">
        <v>297</v>
      </c>
      <c r="E78" s="5"/>
      <c r="F78" s="6"/>
      <c r="G78" s="6"/>
      <c r="H78" s="6"/>
      <c r="I78" s="6"/>
      <c r="J78" s="6"/>
      <c r="K78" s="6"/>
      <c r="L78" s="6"/>
      <c r="M78" s="6"/>
    </row>
    <row r="79" ht="20.25" spans="1:13">
      <c r="A79" s="7" t="s">
        <v>194</v>
      </c>
      <c r="B79" s="7"/>
      <c r="C79" s="8"/>
      <c r="D79" s="8"/>
      <c r="E79" s="8"/>
      <c r="F79" s="52">
        <f>Таблица2133990294678131617212223242530313233[[#Totals],[2]]+-Таблица2133990294678131617212223242530313233[[#Totals],[16]]</f>
        <v>-165715200</v>
      </c>
      <c r="G79" s="53"/>
      <c r="H79" s="6"/>
      <c r="I79" s="6"/>
      <c r="J79" s="6"/>
      <c r="K79" s="10">
        <f>Таблица2133990294678131617212223242530313233[[#Totals],[1132]]</f>
        <v>137</v>
      </c>
      <c r="L79" s="6"/>
      <c r="M79" s="6"/>
    </row>
    <row r="80" spans="1:13">
      <c r="A80" s="11" t="s">
        <v>195</v>
      </c>
      <c r="B80" s="11" t="s">
        <v>196</v>
      </c>
      <c r="C80" s="11" t="s">
        <v>197</v>
      </c>
      <c r="D80" s="11" t="s">
        <v>198</v>
      </c>
      <c r="E80" s="14" t="s">
        <v>199</v>
      </c>
      <c r="F80" s="15" t="s">
        <v>195</v>
      </c>
      <c r="G80" s="15" t="s">
        <v>196</v>
      </c>
      <c r="H80" s="15" t="s">
        <v>200</v>
      </c>
      <c r="I80" s="16" t="s">
        <v>6</v>
      </c>
      <c r="J80" s="17" t="s">
        <v>7</v>
      </c>
      <c r="K80" s="17" t="s">
        <v>201</v>
      </c>
      <c r="L80" s="15" t="s">
        <v>202</v>
      </c>
      <c r="M80" s="16" t="s">
        <v>197</v>
      </c>
    </row>
    <row r="81" spans="1:13">
      <c r="A81" s="11"/>
      <c r="B81" s="11"/>
      <c r="C81" s="18"/>
      <c r="D81" s="19"/>
      <c r="E81" s="20"/>
      <c r="F81" s="15"/>
      <c r="G81" s="15"/>
      <c r="H81" s="15"/>
      <c r="I81" s="21"/>
      <c r="J81" s="80"/>
      <c r="K81" s="22"/>
      <c r="L81" s="15"/>
      <c r="M81" s="26"/>
    </row>
    <row r="82" ht="15.75" spans="1:13">
      <c r="A82" s="11"/>
      <c r="B82" s="11"/>
      <c r="C82" s="54">
        <f>Таблица2133990294678131617212223242530313233[[#Totals],[2]]</f>
        <v>0</v>
      </c>
      <c r="D82" s="24"/>
      <c r="E82" s="25">
        <f>SUM(Таблица2133990294678131617212223242530313233[4])</f>
        <v>0</v>
      </c>
      <c r="F82" s="15"/>
      <c r="G82" s="15"/>
      <c r="H82" s="15"/>
      <c r="I82" s="26"/>
      <c r="J82" s="81">
        <f>SUM(Таблица2133990294678131617212223242530313233[113])</f>
        <v>236.736</v>
      </c>
      <c r="K82" s="10">
        <f>Таблица2133990294678131617212223242530313233[[#Totals],[1132]]</f>
        <v>137</v>
      </c>
      <c r="L82" s="15"/>
      <c r="M82" s="9">
        <f>Таблица2133990294678131617212223242530313233[[#Totals],[16]]</f>
        <v>165715200</v>
      </c>
    </row>
    <row r="83" spans="1:13">
      <c r="A83" s="27" t="s">
        <v>192</v>
      </c>
      <c r="B83" s="28" t="s">
        <v>203</v>
      </c>
      <c r="C83" s="28" t="s">
        <v>204</v>
      </c>
      <c r="D83" s="28" t="s">
        <v>205</v>
      </c>
      <c r="E83" s="28" t="s">
        <v>206</v>
      </c>
      <c r="F83" s="28" t="s">
        <v>207</v>
      </c>
      <c r="G83" s="28" t="s">
        <v>208</v>
      </c>
      <c r="H83" s="28" t="s">
        <v>209</v>
      </c>
      <c r="I83" s="28" t="s">
        <v>210</v>
      </c>
      <c r="J83" s="28" t="s">
        <v>211</v>
      </c>
      <c r="K83" s="28" t="s">
        <v>212</v>
      </c>
      <c r="L83" s="28" t="s">
        <v>213</v>
      </c>
      <c r="M83" s="28" t="s">
        <v>214</v>
      </c>
    </row>
    <row r="84" spans="1:13">
      <c r="A84" s="29">
        <v>1</v>
      </c>
      <c r="B84" s="30"/>
      <c r="C84" s="31"/>
      <c r="D84" s="32"/>
      <c r="E84" s="33"/>
      <c r="F84" s="34">
        <f>Таблица2133990294678131617212223242530313233[[#This Row],[ ]]</f>
        <v>1</v>
      </c>
      <c r="G84" s="32">
        <v>46215</v>
      </c>
      <c r="H84" s="35" t="s">
        <v>85</v>
      </c>
      <c r="I84" s="36" t="s">
        <v>26</v>
      </c>
      <c r="J84" s="37">
        <v>32.832</v>
      </c>
      <c r="K84" s="38">
        <v>19</v>
      </c>
      <c r="L84" s="34">
        <v>700000</v>
      </c>
      <c r="M84" s="33">
        <f>Таблица2133990294678131617212223242530313233[[#This Row],[113]]*Таблица2133990294678131617212223242530313233[[#This Row],[15]]</f>
        <v>22982400</v>
      </c>
    </row>
    <row r="85" spans="1:13">
      <c r="A85" s="29">
        <v>2</v>
      </c>
      <c r="B85" s="30"/>
      <c r="C85" s="33"/>
      <c r="D85" s="32"/>
      <c r="E85" s="33"/>
      <c r="F85" s="34">
        <f>Таблица2133990294678131617212223242530313233[[#This Row],[ ]]</f>
        <v>2</v>
      </c>
      <c r="G85" s="30">
        <v>46216</v>
      </c>
      <c r="H85" s="39" t="s">
        <v>128</v>
      </c>
      <c r="I85" s="39" t="s">
        <v>26</v>
      </c>
      <c r="J85" s="39">
        <v>32.832</v>
      </c>
      <c r="K85" s="33">
        <v>19</v>
      </c>
      <c r="L85" s="44">
        <v>700000</v>
      </c>
      <c r="M85" s="33">
        <f>Таблица2133990294678131617212223242530313233[[#This Row],[113]]*Таблица2133990294678131617212223242530313233[[#This Row],[15]]</f>
        <v>22982400</v>
      </c>
    </row>
    <row r="86" spans="1:13">
      <c r="A86" s="29">
        <v>3</v>
      </c>
      <c r="B86" s="55"/>
      <c r="C86" s="33"/>
      <c r="D86" s="32"/>
      <c r="E86" s="33"/>
      <c r="F86" s="34">
        <f>Таблица2133990294678131617212223242530313233[[#This Row],[ ]]</f>
        <v>3</v>
      </c>
      <c r="G86" s="30">
        <v>46218</v>
      </c>
      <c r="H86" s="39" t="s">
        <v>147</v>
      </c>
      <c r="I86" s="39" t="s">
        <v>96</v>
      </c>
      <c r="J86" s="39">
        <v>32.832</v>
      </c>
      <c r="K86" s="33">
        <v>19</v>
      </c>
      <c r="L86" s="44">
        <v>700000</v>
      </c>
      <c r="M86" s="33">
        <f>Таблица2133990294678131617212223242530313233[[#This Row],[113]]*Таблица2133990294678131617212223242530313233[[#This Row],[15]]</f>
        <v>22982400</v>
      </c>
    </row>
    <row r="87" spans="1:13">
      <c r="A87" s="29">
        <v>4</v>
      </c>
      <c r="B87" s="55"/>
      <c r="C87" s="33"/>
      <c r="D87" s="32"/>
      <c r="E87" s="33"/>
      <c r="F87" s="34">
        <f>Таблица2133990294678131617212223242530313233[[#This Row],[ ]]</f>
        <v>4</v>
      </c>
      <c r="G87" s="30">
        <v>46218</v>
      </c>
      <c r="H87" s="39" t="s">
        <v>148</v>
      </c>
      <c r="I87" s="39" t="s">
        <v>96</v>
      </c>
      <c r="J87" s="39">
        <v>32.832</v>
      </c>
      <c r="K87" s="33">
        <v>19</v>
      </c>
      <c r="L87" s="44">
        <v>700000</v>
      </c>
      <c r="M87" s="33">
        <f>Таблица2133990294678131617212223242530313233[[#This Row],[113]]*Таблица2133990294678131617212223242530313233[[#This Row],[15]]</f>
        <v>22982400</v>
      </c>
    </row>
    <row r="88" spans="1:13">
      <c r="A88" s="29">
        <v>5</v>
      </c>
      <c r="B88" s="55"/>
      <c r="C88" s="33"/>
      <c r="D88" s="32"/>
      <c r="E88" s="33"/>
      <c r="F88" s="34">
        <f>Таблица2133990294678131617212223242530313233[[#This Row],[ ]]</f>
        <v>5</v>
      </c>
      <c r="G88" s="30">
        <v>46218</v>
      </c>
      <c r="H88" s="39" t="s">
        <v>149</v>
      </c>
      <c r="I88" s="39" t="s">
        <v>96</v>
      </c>
      <c r="J88" s="39">
        <v>32.832</v>
      </c>
      <c r="K88" s="33">
        <v>19</v>
      </c>
      <c r="L88" s="44">
        <v>700000</v>
      </c>
      <c r="M88" s="33">
        <f>Таблица2133990294678131617212223242530313233[[#This Row],[113]]*Таблица2133990294678131617212223242530313233[[#This Row],[15]]</f>
        <v>22982400</v>
      </c>
    </row>
    <row r="89" spans="1:13">
      <c r="A89" s="29">
        <v>6</v>
      </c>
      <c r="B89" s="55"/>
      <c r="C89" s="33"/>
      <c r="D89" s="32"/>
      <c r="E89" s="33"/>
      <c r="F89" s="34">
        <f>Таблица2133990294678131617212223242530313233[[#This Row],[ ]]</f>
        <v>6</v>
      </c>
      <c r="G89" s="30">
        <v>46219</v>
      </c>
      <c r="H89" s="39" t="s">
        <v>134</v>
      </c>
      <c r="I89" s="39" t="s">
        <v>96</v>
      </c>
      <c r="J89" s="39">
        <v>32.832</v>
      </c>
      <c r="K89" s="33">
        <v>19</v>
      </c>
      <c r="L89" s="44">
        <v>700000</v>
      </c>
      <c r="M89" s="33">
        <f>Таблица2133990294678131617212223242530313233[[#This Row],[113]]*Таблица2133990294678131617212223242530313233[[#This Row],[15]]</f>
        <v>22982400</v>
      </c>
    </row>
    <row r="90" spans="1:13">
      <c r="A90" s="29">
        <v>7</v>
      </c>
      <c r="B90" s="55"/>
      <c r="C90" s="33"/>
      <c r="D90" s="32"/>
      <c r="E90" s="33"/>
      <c r="F90" s="34">
        <f>Таблица2133990294678131617212223242530313233[[#This Row],[ ]]</f>
        <v>7</v>
      </c>
      <c r="G90" s="30">
        <v>46224</v>
      </c>
      <c r="H90" s="39" t="s">
        <v>178</v>
      </c>
      <c r="I90" s="39" t="s">
        <v>96</v>
      </c>
      <c r="J90" s="39">
        <v>32.832</v>
      </c>
      <c r="K90" s="44">
        <v>19</v>
      </c>
      <c r="L90" s="33">
        <v>700000</v>
      </c>
      <c r="M90" s="33">
        <f>Таблица2133990294678131617212223242530313233[[#This Row],[113]]*Таблица2133990294678131617212223242530313233[[#This Row],[15]]</f>
        <v>22982400</v>
      </c>
    </row>
    <row r="91" spans="1:13">
      <c r="A91" s="40"/>
      <c r="B91" s="55"/>
      <c r="C91" s="33"/>
      <c r="D91" s="32"/>
      <c r="E91" s="42"/>
      <c r="F91" s="43">
        <f>Таблица2133990294678131617212223242530313233[[#This Row],[ ]]</f>
        <v>0</v>
      </c>
      <c r="G91" s="30">
        <v>46224</v>
      </c>
      <c r="H91" s="39" t="s">
        <v>67</v>
      </c>
      <c r="I91" s="39" t="s">
        <v>96</v>
      </c>
      <c r="J91" s="39">
        <v>5.184</v>
      </c>
      <c r="K91" s="44">
        <v>3</v>
      </c>
      <c r="L91" s="33">
        <v>700000</v>
      </c>
      <c r="M91" s="45">
        <f>Таблица2133990294678131617212223242530313233[[#This Row],[113]]*Таблица2133990294678131617212223242530313233[[#This Row],[15]]</f>
        <v>3628800</v>
      </c>
    </row>
    <row r="92" spans="1:13">
      <c r="A92" s="40"/>
      <c r="B92" s="55"/>
      <c r="C92" s="33"/>
      <c r="D92" s="32"/>
      <c r="E92" s="42"/>
      <c r="F92" s="43">
        <f>Таблица2133990294678131617212223242530313233[[#This Row],[ ]]</f>
        <v>0</v>
      </c>
      <c r="G92" s="30">
        <v>46224</v>
      </c>
      <c r="H92" s="39" t="s">
        <v>67</v>
      </c>
      <c r="I92" s="39" t="s">
        <v>46</v>
      </c>
      <c r="J92" s="39">
        <v>1.728</v>
      </c>
      <c r="K92" s="44">
        <v>1</v>
      </c>
      <c r="L92" s="33">
        <v>700000</v>
      </c>
      <c r="M92" s="45">
        <f>Таблица2133990294678131617212223242530313233[[#This Row],[113]]*Таблица2133990294678131617212223242530313233[[#This Row],[15]]</f>
        <v>1209600</v>
      </c>
    </row>
    <row r="93" spans="1:13">
      <c r="A93" s="40"/>
      <c r="B93" s="55"/>
      <c r="C93" s="33"/>
      <c r="D93" s="32"/>
      <c r="E93" s="42"/>
      <c r="F93" s="43">
        <f>Таблица2133990294678131617212223242530313233[[#This Row],[ ]]</f>
        <v>0</v>
      </c>
      <c r="G93" s="56"/>
      <c r="H93" s="57"/>
      <c r="I93" s="57"/>
      <c r="J93" s="57"/>
      <c r="K93" s="58"/>
      <c r="L93" s="45"/>
      <c r="M93" s="45">
        <f>Таблица2133990294678131617212223242530313233[[#This Row],[113]]*Таблица2133990294678131617212223242530313233[[#This Row],[15]]</f>
        <v>0</v>
      </c>
    </row>
    <row r="94" spans="1:13">
      <c r="A94" s="48"/>
      <c r="B94" s="59"/>
      <c r="C94" s="33">
        <f>SUBTOTAL(109,Таблица2133990294678131617212223242530313233[2])</f>
        <v>0</v>
      </c>
      <c r="D94" s="33"/>
      <c r="E94" s="42"/>
      <c r="F94" s="49"/>
      <c r="G94" s="46"/>
      <c r="H94" s="43"/>
      <c r="I94" s="43"/>
      <c r="J94" s="43"/>
      <c r="K94" s="43">
        <f>SUBTOTAL(109,Таблица2133990294678131617212223242530313233[1132])</f>
        <v>137</v>
      </c>
      <c r="L94" s="50"/>
      <c r="M94" s="50">
        <f>SUBTOTAL(109,Таблица2133990294678131617212223242530313233[16])</f>
        <v>165715200</v>
      </c>
    </row>
    <row r="95" spans="1:13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</row>
    <row r="96" ht="18.75" spans="1:13">
      <c r="A96" s="1"/>
      <c r="B96" s="2"/>
      <c r="C96" s="3" t="s">
        <v>192</v>
      </c>
      <c r="D96" s="79" t="s">
        <v>298</v>
      </c>
      <c r="E96" s="5"/>
      <c r="F96" s="6"/>
      <c r="G96" s="6"/>
      <c r="H96" s="6"/>
      <c r="I96" s="6"/>
      <c r="J96" s="6"/>
      <c r="K96" s="6"/>
      <c r="L96" s="6"/>
      <c r="M96" s="6"/>
    </row>
    <row r="97" ht="20.25" spans="1:13">
      <c r="A97" s="7" t="s">
        <v>194</v>
      </c>
      <c r="B97" s="7"/>
      <c r="C97" s="8"/>
      <c r="D97" s="8"/>
      <c r="E97" s="8"/>
      <c r="F97" s="52">
        <f>Таблица213399029467813161721222324253031323334[[#Totals],[2]]+-Таблица213399029467813161721222324253031323334[[#Totals],[16]]</f>
        <v>-137894400</v>
      </c>
      <c r="G97" s="53"/>
      <c r="H97" s="6"/>
      <c r="I97" s="6"/>
      <c r="J97" s="6"/>
      <c r="K97" s="10">
        <f>Таблица213399029467813161721222324253031323334[[#Totals],[1132]]</f>
        <v>114</v>
      </c>
      <c r="L97" s="6"/>
      <c r="M97" s="6"/>
    </row>
    <row r="98" spans="1:13">
      <c r="A98" s="11" t="s">
        <v>195</v>
      </c>
      <c r="B98" s="11" t="s">
        <v>196</v>
      </c>
      <c r="C98" s="11" t="s">
        <v>197</v>
      </c>
      <c r="D98" s="11" t="s">
        <v>198</v>
      </c>
      <c r="E98" s="14" t="s">
        <v>199</v>
      </c>
      <c r="F98" s="15" t="s">
        <v>195</v>
      </c>
      <c r="G98" s="15" t="s">
        <v>196</v>
      </c>
      <c r="H98" s="15" t="s">
        <v>200</v>
      </c>
      <c r="I98" s="16" t="s">
        <v>6</v>
      </c>
      <c r="J98" s="17" t="s">
        <v>7</v>
      </c>
      <c r="K98" s="17" t="s">
        <v>201</v>
      </c>
      <c r="L98" s="15" t="s">
        <v>202</v>
      </c>
      <c r="M98" s="16" t="s">
        <v>197</v>
      </c>
    </row>
    <row r="99" spans="1:13">
      <c r="A99" s="11"/>
      <c r="B99" s="11"/>
      <c r="C99" s="18"/>
      <c r="D99" s="19"/>
      <c r="E99" s="20"/>
      <c r="F99" s="15"/>
      <c r="G99" s="15"/>
      <c r="H99" s="15"/>
      <c r="I99" s="21"/>
      <c r="J99" s="80"/>
      <c r="K99" s="22"/>
      <c r="L99" s="15"/>
      <c r="M99" s="26"/>
    </row>
    <row r="100" ht="15.75" spans="1:13">
      <c r="A100" s="11"/>
      <c r="B100" s="11"/>
      <c r="C100" s="54">
        <f>Таблица213399029467813161721222324253031323334[[#Totals],[2]]</f>
        <v>0</v>
      </c>
      <c r="D100" s="24"/>
      <c r="E100" s="25">
        <f>SUM(Таблица213399029467813161721222324253031323334[4])</f>
        <v>0</v>
      </c>
      <c r="F100" s="15"/>
      <c r="G100" s="15"/>
      <c r="H100" s="15"/>
      <c r="I100" s="26"/>
      <c r="J100" s="81">
        <f>SUM(Таблица213399029467813161721222324253031323334[113])</f>
        <v>196.992</v>
      </c>
      <c r="K100" s="10">
        <f>Таблица213399029467813161721222324253031323334[[#Totals],[1132]]</f>
        <v>114</v>
      </c>
      <c r="L100" s="15"/>
      <c r="M100" s="9">
        <f>Таблица213399029467813161721222324253031323334[[#Totals],[16]]</f>
        <v>137894400</v>
      </c>
    </row>
    <row r="101" spans="1:13">
      <c r="A101" s="27" t="s">
        <v>192</v>
      </c>
      <c r="B101" s="28" t="s">
        <v>203</v>
      </c>
      <c r="C101" s="28" t="s">
        <v>204</v>
      </c>
      <c r="D101" s="28" t="s">
        <v>205</v>
      </c>
      <c r="E101" s="28" t="s">
        <v>206</v>
      </c>
      <c r="F101" s="28" t="s">
        <v>207</v>
      </c>
      <c r="G101" s="28" t="s">
        <v>208</v>
      </c>
      <c r="H101" s="28" t="s">
        <v>209</v>
      </c>
      <c r="I101" s="28" t="s">
        <v>210</v>
      </c>
      <c r="J101" s="28" t="s">
        <v>211</v>
      </c>
      <c r="K101" s="28" t="s">
        <v>212</v>
      </c>
      <c r="L101" s="28" t="s">
        <v>213</v>
      </c>
      <c r="M101" s="28" t="s">
        <v>214</v>
      </c>
    </row>
    <row r="102" spans="1:13">
      <c r="A102" s="29">
        <v>1</v>
      </c>
      <c r="B102" s="30"/>
      <c r="C102" s="31"/>
      <c r="D102" s="32"/>
      <c r="E102" s="33"/>
      <c r="F102" s="34">
        <f>Таблица213399029467813161721222324253031323334[[#This Row],[ ]]</f>
        <v>1</v>
      </c>
      <c r="G102" s="30">
        <v>46206</v>
      </c>
      <c r="H102" s="39" t="s">
        <v>70</v>
      </c>
      <c r="I102" s="39" t="s">
        <v>26</v>
      </c>
      <c r="J102" s="39">
        <v>32.832</v>
      </c>
      <c r="K102" s="33">
        <v>19</v>
      </c>
      <c r="L102" s="44">
        <v>700000</v>
      </c>
      <c r="M102" s="33">
        <f>Таблица213399029467813161721222324253031323334[[#This Row],[113]]*Таблица213399029467813161721222324253031323334[[#This Row],[15]]</f>
        <v>22982400</v>
      </c>
    </row>
    <row r="103" spans="1:13">
      <c r="A103" s="29">
        <v>2</v>
      </c>
      <c r="B103" s="30"/>
      <c r="C103" s="33"/>
      <c r="D103" s="32"/>
      <c r="E103" s="33"/>
      <c r="F103" s="34">
        <f>Таблица213399029467813161721222324253031323334[[#This Row],[ ]]</f>
        <v>2</v>
      </c>
      <c r="G103" s="32">
        <v>46206</v>
      </c>
      <c r="H103" s="35" t="s">
        <v>73</v>
      </c>
      <c r="I103" s="36" t="s">
        <v>26</v>
      </c>
      <c r="J103" s="37">
        <v>32.832</v>
      </c>
      <c r="K103" s="82">
        <v>19</v>
      </c>
      <c r="L103" s="34">
        <v>700000</v>
      </c>
      <c r="M103" s="33">
        <f>Таблица213399029467813161721222324253031323334[[#This Row],[113]]*Таблица213399029467813161721222324253031323334[[#This Row],[15]]</f>
        <v>22982400</v>
      </c>
    </row>
    <row r="104" spans="1:13">
      <c r="A104" s="40">
        <v>3</v>
      </c>
      <c r="B104" s="30"/>
      <c r="C104" s="33"/>
      <c r="D104" s="32"/>
      <c r="E104" s="42"/>
      <c r="F104" s="43">
        <f>Таблица213399029467813161721222324253031323334[[#This Row],[ ]]</f>
        <v>3</v>
      </c>
      <c r="G104" s="61">
        <v>46206</v>
      </c>
      <c r="H104" s="62" t="s">
        <v>74</v>
      </c>
      <c r="I104" s="63" t="s">
        <v>26</v>
      </c>
      <c r="J104" s="64">
        <v>32.832</v>
      </c>
      <c r="K104" s="65">
        <v>19</v>
      </c>
      <c r="L104" s="43">
        <v>700000</v>
      </c>
      <c r="M104" s="45">
        <f>Таблица213399029467813161721222324253031323334[[#This Row],[113]]*Таблица213399029467813161721222324253031323334[[#This Row],[15]]</f>
        <v>22982400</v>
      </c>
    </row>
    <row r="105" spans="1:13">
      <c r="A105" s="40">
        <v>4</v>
      </c>
      <c r="B105" s="30"/>
      <c r="C105" s="33"/>
      <c r="D105" s="32"/>
      <c r="E105" s="42"/>
      <c r="F105" s="43">
        <f>Таблица213399029467813161721222324253031323334[[#This Row],[ ]]</f>
        <v>4</v>
      </c>
      <c r="G105" s="61">
        <v>46214</v>
      </c>
      <c r="H105" s="62" t="s">
        <v>79</v>
      </c>
      <c r="I105" s="63" t="s">
        <v>96</v>
      </c>
      <c r="J105" s="64">
        <v>32.832</v>
      </c>
      <c r="K105" s="65">
        <v>19</v>
      </c>
      <c r="L105" s="43">
        <v>700000</v>
      </c>
      <c r="M105" s="45">
        <f>Таблица213399029467813161721222324253031323334[[#This Row],[113]]*Таблица213399029467813161721222324253031323334[[#This Row],[15]]</f>
        <v>22982400</v>
      </c>
    </row>
    <row r="106" spans="1:13">
      <c r="A106" s="40">
        <v>5</v>
      </c>
      <c r="B106" s="30"/>
      <c r="C106" s="33"/>
      <c r="D106" s="32"/>
      <c r="E106" s="42"/>
      <c r="F106" s="43">
        <f>Таблица213399029467813161721222324253031323334[[#This Row],[ ]]</f>
        <v>5</v>
      </c>
      <c r="G106" s="61">
        <v>46216</v>
      </c>
      <c r="H106" s="62" t="s">
        <v>129</v>
      </c>
      <c r="I106" s="63" t="s">
        <v>26</v>
      </c>
      <c r="J106" s="64">
        <v>32.832</v>
      </c>
      <c r="K106" s="65">
        <v>19</v>
      </c>
      <c r="L106" s="43">
        <v>700000</v>
      </c>
      <c r="M106" s="45">
        <f>Таблица213399029467813161721222324253031323334[[#This Row],[113]]*Таблица213399029467813161721222324253031323334[[#This Row],[15]]</f>
        <v>22982400</v>
      </c>
    </row>
    <row r="107" spans="1:13">
      <c r="A107" s="40">
        <v>6</v>
      </c>
      <c r="B107" s="30"/>
      <c r="C107" s="33"/>
      <c r="D107" s="32"/>
      <c r="E107" s="42"/>
      <c r="F107" s="43">
        <f>Таблица213399029467813161721222324253031323334[[#This Row],[ ]]</f>
        <v>6</v>
      </c>
      <c r="G107" s="61">
        <v>46218</v>
      </c>
      <c r="H107" s="62" t="s">
        <v>143</v>
      </c>
      <c r="I107" s="63" t="s">
        <v>96</v>
      </c>
      <c r="J107" s="64">
        <v>32.832</v>
      </c>
      <c r="K107" s="65">
        <v>19</v>
      </c>
      <c r="L107" s="43">
        <v>700000</v>
      </c>
      <c r="M107" s="45">
        <f>Таблица213399029467813161721222324253031323334[[#This Row],[113]]*Таблица213399029467813161721222324253031323334[[#This Row],[15]]</f>
        <v>22982400</v>
      </c>
    </row>
    <row r="108" spans="1:13">
      <c r="A108" s="48"/>
      <c r="B108" s="59"/>
      <c r="C108" s="33">
        <f>SUBTOTAL(109,Таблица213399029467813161721222324253031323334[2])</f>
        <v>0</v>
      </c>
      <c r="D108" s="33"/>
      <c r="E108" s="42"/>
      <c r="F108" s="49"/>
      <c r="G108" s="46"/>
      <c r="H108" s="43"/>
      <c r="I108" s="43"/>
      <c r="J108" s="43"/>
      <c r="K108" s="43">
        <f>SUBTOTAL(109,Таблица213399029467813161721222324253031323334[1132])</f>
        <v>114</v>
      </c>
      <c r="L108" s="50"/>
      <c r="M108" s="50">
        <f>SUBTOTAL(109,Таблица213399029467813161721222324253031323334[16])</f>
        <v>137894400</v>
      </c>
    </row>
  </sheetData>
  <mergeCells count="112">
    <mergeCell ref="A2:B2"/>
    <mergeCell ref="C2:D2"/>
    <mergeCell ref="F2:G2"/>
    <mergeCell ref="A14:B14"/>
    <mergeCell ref="C14:D14"/>
    <mergeCell ref="F14:G14"/>
    <mergeCell ref="A29:B29"/>
    <mergeCell ref="C29:D29"/>
    <mergeCell ref="F29:G29"/>
    <mergeCell ref="A39:B39"/>
    <mergeCell ref="C39:D39"/>
    <mergeCell ref="F39:G39"/>
    <mergeCell ref="A50:B50"/>
    <mergeCell ref="C50:D50"/>
    <mergeCell ref="F50:G50"/>
    <mergeCell ref="A68:B68"/>
    <mergeCell ref="C68:D68"/>
    <mergeCell ref="F68:G68"/>
    <mergeCell ref="A79:B79"/>
    <mergeCell ref="C79:D79"/>
    <mergeCell ref="F79:G79"/>
    <mergeCell ref="A97:B97"/>
    <mergeCell ref="C97:D97"/>
    <mergeCell ref="F97:G97"/>
    <mergeCell ref="A3:A5"/>
    <mergeCell ref="A15:A17"/>
    <mergeCell ref="A30:A32"/>
    <mergeCell ref="A40:A42"/>
    <mergeCell ref="A51:A53"/>
    <mergeCell ref="A69:A71"/>
    <mergeCell ref="A80:A82"/>
    <mergeCell ref="A98:A100"/>
    <mergeCell ref="B3:B5"/>
    <mergeCell ref="B15:B17"/>
    <mergeCell ref="B30:B32"/>
    <mergeCell ref="B40:B42"/>
    <mergeCell ref="B51:B53"/>
    <mergeCell ref="B69:B71"/>
    <mergeCell ref="B80:B82"/>
    <mergeCell ref="B98:B100"/>
    <mergeCell ref="E3:E4"/>
    <mergeCell ref="E15:E16"/>
    <mergeCell ref="E30:E31"/>
    <mergeCell ref="E40:E41"/>
    <mergeCell ref="E51:E52"/>
    <mergeCell ref="E69:E70"/>
    <mergeCell ref="E80:E81"/>
    <mergeCell ref="E98:E99"/>
    <mergeCell ref="F3:F5"/>
    <mergeCell ref="F15:F17"/>
    <mergeCell ref="F30:F32"/>
    <mergeCell ref="F40:F42"/>
    <mergeCell ref="F51:F53"/>
    <mergeCell ref="F69:F71"/>
    <mergeCell ref="F80:F82"/>
    <mergeCell ref="F98:F100"/>
    <mergeCell ref="G3:G5"/>
    <mergeCell ref="G15:G17"/>
    <mergeCell ref="G30:G32"/>
    <mergeCell ref="G40:G42"/>
    <mergeCell ref="G51:G53"/>
    <mergeCell ref="G69:G71"/>
    <mergeCell ref="G80:G82"/>
    <mergeCell ref="G98:G100"/>
    <mergeCell ref="H3:H5"/>
    <mergeCell ref="H15:H17"/>
    <mergeCell ref="H30:H32"/>
    <mergeCell ref="H40:H42"/>
    <mergeCell ref="H51:H53"/>
    <mergeCell ref="H69:H71"/>
    <mergeCell ref="H80:H82"/>
    <mergeCell ref="H98:H100"/>
    <mergeCell ref="I3:I5"/>
    <mergeCell ref="I15:I17"/>
    <mergeCell ref="I30:I32"/>
    <mergeCell ref="I40:I42"/>
    <mergeCell ref="I51:I53"/>
    <mergeCell ref="I69:I71"/>
    <mergeCell ref="I80:I82"/>
    <mergeCell ref="I98:I100"/>
    <mergeCell ref="J3:J5"/>
    <mergeCell ref="J15:J17"/>
    <mergeCell ref="J30:J32"/>
    <mergeCell ref="J40:J42"/>
    <mergeCell ref="J51:J53"/>
    <mergeCell ref="J69:J71"/>
    <mergeCell ref="J80:J81"/>
    <mergeCell ref="J98:J99"/>
    <mergeCell ref="K3:K4"/>
    <mergeCell ref="K15:K16"/>
    <mergeCell ref="K30:K31"/>
    <mergeCell ref="K40:K41"/>
    <mergeCell ref="K51:K52"/>
    <mergeCell ref="K69:K70"/>
    <mergeCell ref="K80:K81"/>
    <mergeCell ref="K98:K99"/>
    <mergeCell ref="L3:L5"/>
    <mergeCell ref="L15:L17"/>
    <mergeCell ref="L30:L32"/>
    <mergeCell ref="L40:L42"/>
    <mergeCell ref="L51:L53"/>
    <mergeCell ref="L69:L71"/>
    <mergeCell ref="L80:L82"/>
    <mergeCell ref="L98:L100"/>
    <mergeCell ref="M3:M4"/>
    <mergeCell ref="M15:M16"/>
    <mergeCell ref="M30:M31"/>
    <mergeCell ref="M40:M41"/>
    <mergeCell ref="M51:M52"/>
    <mergeCell ref="M69:M70"/>
    <mergeCell ref="M80:M81"/>
    <mergeCell ref="M98:M99"/>
  </mergeCells>
  <hyperlinks>
    <hyperlink ref="D13" location="'Свод Завод'!A1" display="1-Нормат Умидбек"/>
    <hyperlink ref="D28" location="'Свод Завод'!A1" display="1-Ирригатсия темир бетон"/>
    <hyperlink ref="D38" location="'Свод Завод'!A1" display="1-Инвест Холдинг"/>
    <hyperlink ref="D67" location="'Свод Завод'!A1" display="1-Хонкага"/>
    <hyperlink ref="D78" location="'Свод Завод'!A1" display="1-Инноватцион"/>
    <hyperlink ref="D96" location="'Свод Завод'!A1" display="1-Урганч сити"/>
  </hyperlinks>
  <pageMargins left="0.7" right="0.7" top="0.75" bottom="0.75" header="0.3" footer="0.3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Лист1</vt:lpstr>
      <vt:lpstr>Сардор ога</vt:lpstr>
      <vt:lpstr>Темур </vt:lpstr>
      <vt:lpstr>Шохрух ога</vt:lpstr>
      <vt:lpstr>Зафар ога</vt:lpstr>
      <vt:lpstr>Арслон ога</vt:lpstr>
      <vt:lpstr>Жамол 22-22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mello</cp:lastModifiedBy>
  <dcterms:created xsi:type="dcterms:W3CDTF">2015-06-05T18:19:00Z</dcterms:created>
  <dcterms:modified xsi:type="dcterms:W3CDTF">2026-07-23T15:30:12Z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66319A488D9E4A4C8A4FB84ECFFAFA51_12</vt:lpwstr>
  </property>
  <property fmtid="{D5CDD505-2E9C-101B-9397-08002B2CF9AE}" pid="3" name="KSOProductBuildVer">
    <vt:lpwstr>1049-12.1.0.27458</vt:lpwstr>
  </property>
  <property fmtid="{D5CDD505-2E9C-101B-9397-08002B2CF9AE}" pid="4" name="CalculationRule">
    <vt:i4>0</vt:i4>
  </property>
</Properties>
</file>