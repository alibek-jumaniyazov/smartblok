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lar hisob kitobi\"/>
    </mc:Choice>
  </mc:AlternateContent>
  <xr:revisionPtr revIDLastSave="0" documentId="13_ncr:1_{FF39BBC1-A982-46D3-8D5C-0F49B09C27D2}" xr6:coauthVersionLast="47" xr6:coauthVersionMax="47" xr10:uidLastSave="{00000000-0000-0000-0000-000000000000}"/>
  <bookViews>
    <workbookView xWindow="-120" yWindow="-120" windowWidth="29040" windowHeight="15840" tabRatio="934" firstSheet="1" activeTab="3" xr2:uid="{191EF6FC-FDAA-4DD6-B013-D7B913021F43}"/>
  </bookViews>
  <sheets>
    <sheet name="Оплата Завод" sheetId="19" r:id="rId1"/>
    <sheet name="Свод Завод" sheetId="8" r:id="rId2"/>
    <sheet name="Оплата" sheetId="4" r:id="rId3"/>
    <sheet name="Товар" sheetId="1" r:id="rId4"/>
    <sheet name="1-Урганч Тамирлаш" sheetId="9" r:id="rId5"/>
    <sheet name="1-Инвест Холдинг" sheetId="10" r:id="rId6"/>
    <sheet name="1-Нормат Умидбек" sheetId="11" r:id="rId7"/>
    <sheet name="1-Ирригатсия темир бетон" sheetId="27" r:id="rId8"/>
    <sheet name="1-Фидато Груп" sheetId="26" r:id="rId9"/>
    <sheet name="1-Хонкага" sheetId="28" r:id="rId10"/>
    <sheet name="2-Гофур Хазорасп" sheetId="21" r:id="rId11"/>
    <sheet name="2-Шиддат маналит" sheetId="30" r:id="rId12"/>
    <sheet name="2-Дастон шопир " sheetId="36" r:id="rId13"/>
    <sheet name="3-Сулаймон Ога Хазарасп" sheetId="22" r:id="rId14"/>
    <sheet name="3-Мурод ога Урганч" sheetId="25" r:id="rId15"/>
    <sheet name="3-Сарвар ога Шовот" sheetId="31" r:id="rId16"/>
    <sheet name="4-Гайрат Штб" sheetId="23" r:id="rId17"/>
    <sheet name="4-Рустам Шпик" sheetId="24" r:id="rId18"/>
    <sheet name="4-Элликкала Бостон" sheetId="42" r:id="rId19"/>
    <sheet name="5-Жаср Версал" sheetId="29" r:id="rId20"/>
    <sheet name="5-Мустафо машал" sheetId="32" r:id="rId21"/>
    <sheet name="5-Одилбек Ера хоус" sheetId="35" r:id="rId22"/>
    <sheet name="6-Уткир мини" sheetId="34" r:id="rId23"/>
    <sheet name="6-Отабек дамирчи" sheetId="33" r:id="rId24"/>
    <sheet name="5-Журат ога хонка" sheetId="37" r:id="rId25"/>
    <sheet name="6-Мамун Университети" sheetId="38" r:id="rId26"/>
    <sheet name="3-Уктир ога Шовот" sheetId="39" r:id="rId27"/>
    <sheet name="6-накд клент" sheetId="40" r:id="rId28"/>
    <sheet name="0 (6)" sheetId="4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0" i="1" l="1"/>
  <c r="M80" i="1"/>
  <c r="N80" i="1"/>
  <c r="P80" i="1"/>
  <c r="R80" i="1"/>
  <c r="T80" i="1"/>
  <c r="J81" i="1"/>
  <c r="M81" i="1"/>
  <c r="N81" i="1"/>
  <c r="P81" i="1"/>
  <c r="R81" i="1"/>
  <c r="T81" i="1"/>
  <c r="J82" i="1"/>
  <c r="M82" i="1"/>
  <c r="N82" i="1"/>
  <c r="P82" i="1"/>
  <c r="R82" i="1"/>
  <c r="T82" i="1"/>
  <c r="J83" i="1"/>
  <c r="M83" i="1"/>
  <c r="N83" i="1"/>
  <c r="P83" i="1"/>
  <c r="R83" i="1"/>
  <c r="T83" i="1"/>
  <c r="J84" i="1"/>
  <c r="M84" i="1"/>
  <c r="N84" i="1"/>
  <c r="P84" i="1"/>
  <c r="R84" i="1"/>
  <c r="T84" i="1"/>
  <c r="J85" i="1"/>
  <c r="M85" i="1"/>
  <c r="N85" i="1"/>
  <c r="P85" i="1"/>
  <c r="R85" i="1"/>
  <c r="T85" i="1"/>
  <c r="J86" i="1"/>
  <c r="M86" i="1"/>
  <c r="N86" i="1"/>
  <c r="P86" i="1"/>
  <c r="R86" i="1"/>
  <c r="T86" i="1"/>
  <c r="J87" i="1"/>
  <c r="M87" i="1"/>
  <c r="N87" i="1"/>
  <c r="P87" i="1"/>
  <c r="R87" i="1"/>
  <c r="T87" i="1"/>
  <c r="J88" i="1"/>
  <c r="M88" i="1"/>
  <c r="N88" i="1"/>
  <c r="P88" i="1"/>
  <c r="R88" i="1"/>
  <c r="T88" i="1"/>
  <c r="J89" i="1"/>
  <c r="M89" i="1"/>
  <c r="N89" i="1"/>
  <c r="P89" i="1"/>
  <c r="R89" i="1"/>
  <c r="T89" i="1"/>
  <c r="J90" i="1"/>
  <c r="M90" i="1"/>
  <c r="N90" i="1"/>
  <c r="P90" i="1"/>
  <c r="R90" i="1"/>
  <c r="T90" i="1"/>
  <c r="J91" i="1"/>
  <c r="M91" i="1"/>
  <c r="N91" i="1"/>
  <c r="P91" i="1"/>
  <c r="R91" i="1"/>
  <c r="T91" i="1"/>
  <c r="W10" i="8" l="1"/>
  <c r="V10" i="8"/>
  <c r="I1" i="35"/>
  <c r="S10" i="8"/>
  <c r="I1" i="34" l="1"/>
  <c r="Y9" i="8"/>
  <c r="K50" i="42"/>
  <c r="C50" i="42"/>
  <c r="M49" i="42"/>
  <c r="F49" i="42"/>
  <c r="M48" i="42"/>
  <c r="F48" i="42"/>
  <c r="M47" i="42"/>
  <c r="F47" i="42"/>
  <c r="M46" i="42"/>
  <c r="F46" i="42"/>
  <c r="M45" i="42"/>
  <c r="F45" i="42"/>
  <c r="M44" i="42"/>
  <c r="F44" i="42"/>
  <c r="M43" i="42"/>
  <c r="F43" i="42"/>
  <c r="M42" i="42"/>
  <c r="F42" i="42"/>
  <c r="M41" i="42"/>
  <c r="F41" i="42"/>
  <c r="M40" i="42"/>
  <c r="F40" i="42"/>
  <c r="M39" i="42"/>
  <c r="F39" i="42"/>
  <c r="M38" i="42"/>
  <c r="F38" i="42"/>
  <c r="M37" i="42"/>
  <c r="F37" i="42"/>
  <c r="M36" i="42"/>
  <c r="F36" i="42"/>
  <c r="M35" i="42"/>
  <c r="F35" i="42"/>
  <c r="M34" i="42"/>
  <c r="F34" i="42"/>
  <c r="M33" i="42"/>
  <c r="F33" i="42"/>
  <c r="M32" i="42"/>
  <c r="F32" i="42"/>
  <c r="M31" i="42"/>
  <c r="F31" i="42"/>
  <c r="M30" i="42"/>
  <c r="F30" i="42"/>
  <c r="M29" i="42"/>
  <c r="F29" i="42"/>
  <c r="M28" i="42"/>
  <c r="F28" i="42"/>
  <c r="M27" i="42"/>
  <c r="F27" i="42"/>
  <c r="M26" i="42"/>
  <c r="F26" i="42"/>
  <c r="M25" i="42"/>
  <c r="F25" i="42"/>
  <c r="M24" i="42"/>
  <c r="F24" i="42"/>
  <c r="M23" i="42"/>
  <c r="F23" i="42"/>
  <c r="M22" i="42"/>
  <c r="F22" i="42"/>
  <c r="M21" i="42"/>
  <c r="F21" i="42"/>
  <c r="M20" i="42"/>
  <c r="F20" i="42"/>
  <c r="M19" i="42"/>
  <c r="F19" i="42"/>
  <c r="M18" i="42"/>
  <c r="F18" i="42"/>
  <c r="M17" i="42"/>
  <c r="F17" i="42"/>
  <c r="M16" i="42"/>
  <c r="F16" i="42"/>
  <c r="M15" i="42"/>
  <c r="F15" i="42"/>
  <c r="M14" i="42"/>
  <c r="F14" i="42"/>
  <c r="M13" i="42"/>
  <c r="F13" i="42"/>
  <c r="M12" i="42"/>
  <c r="F12" i="42"/>
  <c r="M11" i="42"/>
  <c r="F11" i="42"/>
  <c r="M10" i="42"/>
  <c r="F10" i="42"/>
  <c r="M9" i="42"/>
  <c r="F9" i="42"/>
  <c r="M8" i="42"/>
  <c r="F8" i="42"/>
  <c r="M7" i="42"/>
  <c r="M50" i="42" s="1"/>
  <c r="F7" i="42"/>
  <c r="M5" i="42"/>
  <c r="K5" i="42"/>
  <c r="J5" i="42"/>
  <c r="E5" i="42"/>
  <c r="C5" i="42"/>
  <c r="F2" i="42"/>
  <c r="I1" i="42"/>
  <c r="P19" i="8"/>
  <c r="I1" i="33"/>
  <c r="I1" i="38"/>
  <c r="P20" i="8"/>
  <c r="P18" i="8"/>
  <c r="I1" i="37"/>
  <c r="I21" i="8"/>
  <c r="I20" i="8"/>
  <c r="G21" i="8"/>
  <c r="H21" i="8"/>
  <c r="O19" i="8"/>
  <c r="O18" i="8"/>
  <c r="K50" i="41"/>
  <c r="C50" i="41"/>
  <c r="M49" i="41"/>
  <c r="F49" i="41"/>
  <c r="M48" i="41"/>
  <c r="F48" i="41"/>
  <c r="M47" i="41"/>
  <c r="F47" i="41"/>
  <c r="M46" i="41"/>
  <c r="F46" i="41"/>
  <c r="M45" i="41"/>
  <c r="F45" i="41"/>
  <c r="M44" i="41"/>
  <c r="F44" i="41"/>
  <c r="M43" i="41"/>
  <c r="F43" i="41"/>
  <c r="M42" i="41"/>
  <c r="F42" i="41"/>
  <c r="M41" i="41"/>
  <c r="F41" i="41"/>
  <c r="M40" i="41"/>
  <c r="F40" i="41"/>
  <c r="M39" i="41"/>
  <c r="F39" i="41"/>
  <c r="M38" i="41"/>
  <c r="F38" i="41"/>
  <c r="M37" i="41"/>
  <c r="F37" i="41"/>
  <c r="M36" i="41"/>
  <c r="F36" i="41"/>
  <c r="M35" i="41"/>
  <c r="F35" i="41"/>
  <c r="M34" i="41"/>
  <c r="F34" i="41"/>
  <c r="M33" i="41"/>
  <c r="F33" i="41"/>
  <c r="M32" i="41"/>
  <c r="F32" i="41"/>
  <c r="M31" i="41"/>
  <c r="F31" i="41"/>
  <c r="M30" i="41"/>
  <c r="F30" i="41"/>
  <c r="M29" i="41"/>
  <c r="F29" i="41"/>
  <c r="M28" i="41"/>
  <c r="F28" i="41"/>
  <c r="M27" i="41"/>
  <c r="F27" i="41"/>
  <c r="M26" i="41"/>
  <c r="F26" i="41"/>
  <c r="M25" i="41"/>
  <c r="F25" i="41"/>
  <c r="M24" i="41"/>
  <c r="F24" i="41"/>
  <c r="M23" i="41"/>
  <c r="F23" i="41"/>
  <c r="M22" i="41"/>
  <c r="F22" i="41"/>
  <c r="M21" i="41"/>
  <c r="F21" i="41"/>
  <c r="M20" i="41"/>
  <c r="F20" i="41"/>
  <c r="M19" i="41"/>
  <c r="F19" i="41"/>
  <c r="M18" i="41"/>
  <c r="F18" i="41"/>
  <c r="M17" i="41"/>
  <c r="F17" i="41"/>
  <c r="M16" i="41"/>
  <c r="F16" i="41"/>
  <c r="M15" i="41"/>
  <c r="F15" i="41"/>
  <c r="M14" i="41"/>
  <c r="F14" i="41"/>
  <c r="M13" i="41"/>
  <c r="F13" i="41"/>
  <c r="M12" i="41"/>
  <c r="F12" i="41"/>
  <c r="M11" i="41"/>
  <c r="F11" i="41"/>
  <c r="M10" i="41"/>
  <c r="F10" i="41"/>
  <c r="M9" i="41"/>
  <c r="F9" i="41"/>
  <c r="M8" i="41"/>
  <c r="F8" i="41"/>
  <c r="M7" i="41"/>
  <c r="M50" i="41" s="1"/>
  <c r="F7" i="41"/>
  <c r="M5" i="41"/>
  <c r="K5" i="41"/>
  <c r="J5" i="41"/>
  <c r="E5" i="41"/>
  <c r="C5" i="41"/>
  <c r="F2" i="41"/>
  <c r="I1" i="41"/>
  <c r="K50" i="40"/>
  <c r="C50" i="40"/>
  <c r="M49" i="40"/>
  <c r="F49" i="40"/>
  <c r="M48" i="40"/>
  <c r="F48" i="40"/>
  <c r="M47" i="40"/>
  <c r="F47" i="40"/>
  <c r="M46" i="40"/>
  <c r="F46" i="40"/>
  <c r="M45" i="40"/>
  <c r="F45" i="40"/>
  <c r="M44" i="40"/>
  <c r="F44" i="40"/>
  <c r="M43" i="40"/>
  <c r="F43" i="40"/>
  <c r="M42" i="40"/>
  <c r="F42" i="40"/>
  <c r="M41" i="40"/>
  <c r="F41" i="40"/>
  <c r="M40" i="40"/>
  <c r="F40" i="40"/>
  <c r="M39" i="40"/>
  <c r="F39" i="40"/>
  <c r="M38" i="40"/>
  <c r="F38" i="40"/>
  <c r="M37" i="40"/>
  <c r="F37" i="40"/>
  <c r="M36" i="40"/>
  <c r="F36" i="40"/>
  <c r="M35" i="40"/>
  <c r="F35" i="40"/>
  <c r="M34" i="40"/>
  <c r="F34" i="40"/>
  <c r="M33" i="40"/>
  <c r="F33" i="40"/>
  <c r="M32" i="40"/>
  <c r="F32" i="40"/>
  <c r="M31" i="40"/>
  <c r="F31" i="40"/>
  <c r="M30" i="40"/>
  <c r="F30" i="40"/>
  <c r="M29" i="40"/>
  <c r="F29" i="40"/>
  <c r="M28" i="40"/>
  <c r="F28" i="40"/>
  <c r="M27" i="40"/>
  <c r="F27" i="40"/>
  <c r="M26" i="40"/>
  <c r="F26" i="40"/>
  <c r="M25" i="40"/>
  <c r="F25" i="40"/>
  <c r="M24" i="40"/>
  <c r="F24" i="40"/>
  <c r="M23" i="40"/>
  <c r="F23" i="40"/>
  <c r="M22" i="40"/>
  <c r="F22" i="40"/>
  <c r="M21" i="40"/>
  <c r="F21" i="40"/>
  <c r="M20" i="40"/>
  <c r="F20" i="40"/>
  <c r="M19" i="40"/>
  <c r="F19" i="40"/>
  <c r="M18" i="40"/>
  <c r="F18" i="40"/>
  <c r="M17" i="40"/>
  <c r="F17" i="40"/>
  <c r="M16" i="40"/>
  <c r="F16" i="40"/>
  <c r="M15" i="40"/>
  <c r="F15" i="40"/>
  <c r="M14" i="40"/>
  <c r="F14" i="40"/>
  <c r="M13" i="40"/>
  <c r="F13" i="40"/>
  <c r="M12" i="40"/>
  <c r="F12" i="40"/>
  <c r="M11" i="40"/>
  <c r="F11" i="40"/>
  <c r="M10" i="40"/>
  <c r="F10" i="40"/>
  <c r="M9" i="40"/>
  <c r="F9" i="40"/>
  <c r="M8" i="40"/>
  <c r="F8" i="40"/>
  <c r="M7" i="40"/>
  <c r="M50" i="40" s="1"/>
  <c r="F7" i="40"/>
  <c r="M5" i="40"/>
  <c r="L21" i="8" s="1"/>
  <c r="K5" i="40"/>
  <c r="O21" i="8" s="1"/>
  <c r="J5" i="40"/>
  <c r="E5" i="40"/>
  <c r="C5" i="40"/>
  <c r="M21" i="8" s="1"/>
  <c r="F2" i="40"/>
  <c r="N21" i="8" s="1"/>
  <c r="I1" i="40"/>
  <c r="P21" i="8" s="1"/>
  <c r="K50" i="39"/>
  <c r="C50" i="39"/>
  <c r="M49" i="39"/>
  <c r="F49" i="39"/>
  <c r="M48" i="39"/>
  <c r="F48" i="39"/>
  <c r="M47" i="39"/>
  <c r="F47" i="39"/>
  <c r="M46" i="39"/>
  <c r="F46" i="39"/>
  <c r="M45" i="39"/>
  <c r="F45" i="39"/>
  <c r="M44" i="39"/>
  <c r="F44" i="39"/>
  <c r="M43" i="39"/>
  <c r="F43" i="39"/>
  <c r="M42" i="39"/>
  <c r="F42" i="39"/>
  <c r="M41" i="39"/>
  <c r="F41" i="39"/>
  <c r="M40" i="39"/>
  <c r="F40" i="39"/>
  <c r="M39" i="39"/>
  <c r="F39" i="39"/>
  <c r="M38" i="39"/>
  <c r="F38" i="39"/>
  <c r="M37" i="39"/>
  <c r="F37" i="39"/>
  <c r="M36" i="39"/>
  <c r="F36" i="39"/>
  <c r="M35" i="39"/>
  <c r="F35" i="39"/>
  <c r="M34" i="39"/>
  <c r="F34" i="39"/>
  <c r="M33" i="39"/>
  <c r="F33" i="39"/>
  <c r="M32" i="39"/>
  <c r="F32" i="39"/>
  <c r="M31" i="39"/>
  <c r="F31" i="39"/>
  <c r="M30" i="39"/>
  <c r="F30" i="39"/>
  <c r="M29" i="39"/>
  <c r="F29" i="39"/>
  <c r="M28" i="39"/>
  <c r="F28" i="39"/>
  <c r="M27" i="39"/>
  <c r="F27" i="39"/>
  <c r="M26" i="39"/>
  <c r="F26" i="39"/>
  <c r="M25" i="39"/>
  <c r="F25" i="39"/>
  <c r="M24" i="39"/>
  <c r="F24" i="39"/>
  <c r="M23" i="39"/>
  <c r="F23" i="39"/>
  <c r="M22" i="39"/>
  <c r="F22" i="39"/>
  <c r="M21" i="39"/>
  <c r="F21" i="39"/>
  <c r="M20" i="39"/>
  <c r="F20" i="39"/>
  <c r="M19" i="39"/>
  <c r="F19" i="39"/>
  <c r="M18" i="39"/>
  <c r="F18" i="39"/>
  <c r="M17" i="39"/>
  <c r="F17" i="39"/>
  <c r="M16" i="39"/>
  <c r="F16" i="39"/>
  <c r="M15" i="39"/>
  <c r="F15" i="39"/>
  <c r="M14" i="39"/>
  <c r="F14" i="39"/>
  <c r="M13" i="39"/>
  <c r="F13" i="39"/>
  <c r="M12" i="39"/>
  <c r="F12" i="39"/>
  <c r="M11" i="39"/>
  <c r="F11" i="39"/>
  <c r="M10" i="39"/>
  <c r="F10" i="39"/>
  <c r="M9" i="39"/>
  <c r="F9" i="39"/>
  <c r="M8" i="39"/>
  <c r="F8" i="39"/>
  <c r="M7" i="39"/>
  <c r="M50" i="39" s="1"/>
  <c r="F7" i="39"/>
  <c r="M5" i="39"/>
  <c r="K5" i="39"/>
  <c r="J5" i="39"/>
  <c r="E5" i="39"/>
  <c r="C5" i="39"/>
  <c r="T10" i="8" s="1"/>
  <c r="F2" i="39"/>
  <c r="U10" i="8" s="1"/>
  <c r="I1" i="39"/>
  <c r="J79" i="1"/>
  <c r="J78" i="1"/>
  <c r="R77" i="1"/>
  <c r="P77" i="1"/>
  <c r="M77" i="1"/>
  <c r="J77" i="1"/>
  <c r="N77" i="1" s="1"/>
  <c r="I19" i="8"/>
  <c r="M9" i="31"/>
  <c r="J76" i="1"/>
  <c r="J75" i="1"/>
  <c r="J74" i="1"/>
  <c r="J73" i="1"/>
  <c r="R72" i="1"/>
  <c r="P72" i="1"/>
  <c r="M72" i="1"/>
  <c r="J72" i="1"/>
  <c r="N72" i="1" s="1"/>
  <c r="F21" i="8" l="1"/>
  <c r="E21" i="8"/>
  <c r="R21" i="4"/>
  <c r="K50" i="38"/>
  <c r="C50" i="38"/>
  <c r="M49" i="38"/>
  <c r="F49" i="38"/>
  <c r="M48" i="38"/>
  <c r="F48" i="38"/>
  <c r="M47" i="38"/>
  <c r="F47" i="38"/>
  <c r="M46" i="38"/>
  <c r="F46" i="38"/>
  <c r="M45" i="38"/>
  <c r="F45" i="38"/>
  <c r="M44" i="38"/>
  <c r="F44" i="38"/>
  <c r="M43" i="38"/>
  <c r="F43" i="38"/>
  <c r="M42" i="38"/>
  <c r="F42" i="38"/>
  <c r="M41" i="38"/>
  <c r="F41" i="38"/>
  <c r="M40" i="38"/>
  <c r="F40" i="38"/>
  <c r="M39" i="38"/>
  <c r="F39" i="38"/>
  <c r="M38" i="38"/>
  <c r="F38" i="38"/>
  <c r="M37" i="38"/>
  <c r="F37" i="38"/>
  <c r="M36" i="38"/>
  <c r="F36" i="38"/>
  <c r="M35" i="38"/>
  <c r="F35" i="38"/>
  <c r="M34" i="38"/>
  <c r="F34" i="38"/>
  <c r="M33" i="38"/>
  <c r="F33" i="38"/>
  <c r="M32" i="38"/>
  <c r="F32" i="38"/>
  <c r="M31" i="38"/>
  <c r="F31" i="38"/>
  <c r="M30" i="38"/>
  <c r="F30" i="38"/>
  <c r="M29" i="38"/>
  <c r="F29" i="38"/>
  <c r="M28" i="38"/>
  <c r="F28" i="38"/>
  <c r="M27" i="38"/>
  <c r="F27" i="38"/>
  <c r="M26" i="38"/>
  <c r="F26" i="38"/>
  <c r="M25" i="38"/>
  <c r="F25" i="38"/>
  <c r="M24" i="38"/>
  <c r="F24" i="38"/>
  <c r="M23" i="38"/>
  <c r="F23" i="38"/>
  <c r="M22" i="38"/>
  <c r="F22" i="38"/>
  <c r="M21" i="38"/>
  <c r="F21" i="38"/>
  <c r="M20" i="38"/>
  <c r="F20" i="38"/>
  <c r="M19" i="38"/>
  <c r="F19" i="38"/>
  <c r="M18" i="38"/>
  <c r="F18" i="38"/>
  <c r="M17" i="38"/>
  <c r="F17" i="38"/>
  <c r="M16" i="38"/>
  <c r="F16" i="38"/>
  <c r="M15" i="38"/>
  <c r="F15" i="38"/>
  <c r="M14" i="38"/>
  <c r="F14" i="38"/>
  <c r="M13" i="38"/>
  <c r="F13" i="38"/>
  <c r="M12" i="38"/>
  <c r="F12" i="38"/>
  <c r="M11" i="38"/>
  <c r="F11" i="38"/>
  <c r="M10" i="38"/>
  <c r="F10" i="38"/>
  <c r="M9" i="38"/>
  <c r="F9" i="38"/>
  <c r="M8" i="38"/>
  <c r="F8" i="38"/>
  <c r="M7" i="38"/>
  <c r="M50" i="38" s="1"/>
  <c r="F7" i="38"/>
  <c r="M5" i="38"/>
  <c r="L20" i="8" s="1"/>
  <c r="K5" i="38"/>
  <c r="J5" i="38"/>
  <c r="E5" i="38"/>
  <c r="C5" i="38"/>
  <c r="M20" i="8" s="1"/>
  <c r="F2" i="38"/>
  <c r="N20" i="8" s="1"/>
  <c r="K50" i="37"/>
  <c r="C50" i="37"/>
  <c r="M49" i="37"/>
  <c r="F49" i="37"/>
  <c r="M48" i="37"/>
  <c r="F48" i="37"/>
  <c r="M47" i="37"/>
  <c r="F47" i="37"/>
  <c r="M46" i="37"/>
  <c r="F46" i="37"/>
  <c r="M45" i="37"/>
  <c r="F45" i="37"/>
  <c r="M44" i="37"/>
  <c r="F44" i="37"/>
  <c r="M43" i="37"/>
  <c r="F43" i="37"/>
  <c r="M42" i="37"/>
  <c r="F42" i="37"/>
  <c r="M41" i="37"/>
  <c r="F41" i="37"/>
  <c r="M40" i="37"/>
  <c r="F40" i="37"/>
  <c r="M39" i="37"/>
  <c r="F39" i="37"/>
  <c r="M38" i="37"/>
  <c r="F38" i="37"/>
  <c r="M37" i="37"/>
  <c r="F37" i="37"/>
  <c r="M36" i="37"/>
  <c r="F36" i="37"/>
  <c r="M35" i="37"/>
  <c r="F35" i="37"/>
  <c r="M34" i="37"/>
  <c r="F34" i="37"/>
  <c r="M33" i="37"/>
  <c r="F33" i="37"/>
  <c r="M32" i="37"/>
  <c r="F32" i="37"/>
  <c r="M31" i="37"/>
  <c r="F31" i="37"/>
  <c r="M30" i="37"/>
  <c r="F30" i="37"/>
  <c r="M29" i="37"/>
  <c r="F29" i="37"/>
  <c r="M28" i="37"/>
  <c r="F28" i="37"/>
  <c r="M27" i="37"/>
  <c r="F27" i="37"/>
  <c r="M26" i="37"/>
  <c r="F26" i="37"/>
  <c r="M25" i="37"/>
  <c r="F25" i="37"/>
  <c r="M24" i="37"/>
  <c r="F24" i="37"/>
  <c r="M23" i="37"/>
  <c r="F23" i="37"/>
  <c r="M22" i="37"/>
  <c r="F22" i="37"/>
  <c r="M21" i="37"/>
  <c r="F21" i="37"/>
  <c r="M20" i="37"/>
  <c r="F20" i="37"/>
  <c r="M19" i="37"/>
  <c r="F19" i="37"/>
  <c r="M18" i="37"/>
  <c r="F18" i="37"/>
  <c r="M17" i="37"/>
  <c r="F17" i="37"/>
  <c r="M16" i="37"/>
  <c r="F16" i="37"/>
  <c r="M15" i="37"/>
  <c r="F15" i="37"/>
  <c r="M14" i="37"/>
  <c r="F14" i="37"/>
  <c r="M13" i="37"/>
  <c r="F13" i="37"/>
  <c r="M12" i="37"/>
  <c r="F12" i="37"/>
  <c r="M11" i="37"/>
  <c r="F11" i="37"/>
  <c r="M10" i="37"/>
  <c r="F10" i="37"/>
  <c r="M9" i="37"/>
  <c r="F9" i="37"/>
  <c r="M8" i="37"/>
  <c r="F8" i="37"/>
  <c r="M7" i="37"/>
  <c r="M50" i="37" s="1"/>
  <c r="F7" i="37"/>
  <c r="M5" i="37"/>
  <c r="K5" i="37"/>
  <c r="J5" i="37"/>
  <c r="E5" i="37"/>
  <c r="C5" i="37"/>
  <c r="F2" i="37"/>
  <c r="R1049" i="4"/>
  <c r="M8" i="32"/>
  <c r="O20" i="8" l="1"/>
  <c r="R67" i="1"/>
  <c r="P67" i="1"/>
  <c r="M67" i="1"/>
  <c r="J67" i="1"/>
  <c r="N67" i="1" s="1"/>
  <c r="R65" i="1"/>
  <c r="P65" i="1"/>
  <c r="M65" i="1"/>
  <c r="J65" i="1"/>
  <c r="N65" i="1" s="1"/>
  <c r="T67" i="1" l="1"/>
  <c r="T65" i="1"/>
  <c r="D20" i="8"/>
  <c r="K50" i="36"/>
  <c r="C50" i="36"/>
  <c r="M49" i="36"/>
  <c r="F49" i="36"/>
  <c r="M48" i="36"/>
  <c r="F48" i="36"/>
  <c r="M47" i="36"/>
  <c r="F47" i="36"/>
  <c r="M46" i="36"/>
  <c r="F46" i="36"/>
  <c r="M45" i="36"/>
  <c r="F45" i="36"/>
  <c r="M44" i="36"/>
  <c r="F44" i="36"/>
  <c r="M43" i="36"/>
  <c r="F43" i="36"/>
  <c r="M42" i="36"/>
  <c r="F42" i="36"/>
  <c r="M41" i="36"/>
  <c r="F41" i="36"/>
  <c r="M40" i="36"/>
  <c r="F40" i="36"/>
  <c r="M39" i="36"/>
  <c r="F39" i="36"/>
  <c r="M38" i="36"/>
  <c r="F38" i="36"/>
  <c r="M37" i="36"/>
  <c r="F37" i="36"/>
  <c r="M36" i="36"/>
  <c r="F36" i="36"/>
  <c r="M35" i="36"/>
  <c r="F35" i="36"/>
  <c r="M34" i="36"/>
  <c r="F34" i="36"/>
  <c r="M33" i="36"/>
  <c r="F33" i="36"/>
  <c r="M32" i="36"/>
  <c r="F32" i="36"/>
  <c r="M31" i="36"/>
  <c r="F31" i="36"/>
  <c r="M30" i="36"/>
  <c r="F30" i="36"/>
  <c r="M29" i="36"/>
  <c r="F29" i="36"/>
  <c r="M28" i="36"/>
  <c r="F28" i="36"/>
  <c r="M27" i="36"/>
  <c r="F27" i="36"/>
  <c r="M26" i="36"/>
  <c r="F26" i="36"/>
  <c r="M25" i="36"/>
  <c r="F25" i="36"/>
  <c r="M24" i="36"/>
  <c r="F24" i="36"/>
  <c r="M23" i="36"/>
  <c r="F23" i="36"/>
  <c r="M22" i="36"/>
  <c r="F22" i="36"/>
  <c r="M21" i="36"/>
  <c r="F21" i="36"/>
  <c r="M20" i="36"/>
  <c r="F20" i="36"/>
  <c r="M19" i="36"/>
  <c r="F19" i="36"/>
  <c r="M18" i="36"/>
  <c r="F18" i="36"/>
  <c r="M17" i="36"/>
  <c r="F17" i="36"/>
  <c r="M16" i="36"/>
  <c r="F16" i="36"/>
  <c r="M15" i="36"/>
  <c r="F15" i="36"/>
  <c r="M14" i="36"/>
  <c r="F14" i="36"/>
  <c r="M13" i="36"/>
  <c r="F13" i="36"/>
  <c r="M12" i="36"/>
  <c r="F12" i="36"/>
  <c r="M11" i="36"/>
  <c r="F11" i="36"/>
  <c r="M10" i="36"/>
  <c r="F10" i="36"/>
  <c r="M9" i="36"/>
  <c r="F9" i="36"/>
  <c r="M8" i="36"/>
  <c r="F8" i="36"/>
  <c r="M7" i="36"/>
  <c r="M50" i="36" s="1"/>
  <c r="F7" i="36"/>
  <c r="M5" i="36"/>
  <c r="K5" i="36"/>
  <c r="E5" i="36"/>
  <c r="C5" i="36"/>
  <c r="F2" i="36"/>
  <c r="I1" i="36"/>
  <c r="M7" i="35"/>
  <c r="R9" i="8"/>
  <c r="K50" i="35"/>
  <c r="C50" i="35"/>
  <c r="M49" i="35"/>
  <c r="F49" i="35"/>
  <c r="M48" i="35"/>
  <c r="F48" i="35"/>
  <c r="M47" i="35"/>
  <c r="F47" i="35"/>
  <c r="M46" i="35"/>
  <c r="F46" i="35"/>
  <c r="M45" i="35"/>
  <c r="F45" i="35"/>
  <c r="M44" i="35"/>
  <c r="F44" i="35"/>
  <c r="M43" i="35"/>
  <c r="F43" i="35"/>
  <c r="M42" i="35"/>
  <c r="F42" i="35"/>
  <c r="M41" i="35"/>
  <c r="F41" i="35"/>
  <c r="M40" i="35"/>
  <c r="F40" i="35"/>
  <c r="M39" i="35"/>
  <c r="F39" i="35"/>
  <c r="M38" i="35"/>
  <c r="F38" i="35"/>
  <c r="M37" i="35"/>
  <c r="F37" i="35"/>
  <c r="M36" i="35"/>
  <c r="F36" i="35"/>
  <c r="M35" i="35"/>
  <c r="F35" i="35"/>
  <c r="M34" i="35"/>
  <c r="F34" i="35"/>
  <c r="M33" i="35"/>
  <c r="F33" i="35"/>
  <c r="M32" i="35"/>
  <c r="F32" i="35"/>
  <c r="M31" i="35"/>
  <c r="F31" i="35"/>
  <c r="M30" i="35"/>
  <c r="F30" i="35"/>
  <c r="M29" i="35"/>
  <c r="F29" i="35"/>
  <c r="M28" i="35"/>
  <c r="F28" i="35"/>
  <c r="M27" i="35"/>
  <c r="F27" i="35"/>
  <c r="M26" i="35"/>
  <c r="F26" i="35"/>
  <c r="M25" i="35"/>
  <c r="F25" i="35"/>
  <c r="M24" i="35"/>
  <c r="F24" i="35"/>
  <c r="M23" i="35"/>
  <c r="F23" i="35"/>
  <c r="M22" i="35"/>
  <c r="F22" i="35"/>
  <c r="M21" i="35"/>
  <c r="F21" i="35"/>
  <c r="M20" i="35"/>
  <c r="F20" i="35"/>
  <c r="M19" i="35"/>
  <c r="F19" i="35"/>
  <c r="M18" i="35"/>
  <c r="F18" i="35"/>
  <c r="M17" i="35"/>
  <c r="F17" i="35"/>
  <c r="M16" i="35"/>
  <c r="F16" i="35"/>
  <c r="M15" i="35"/>
  <c r="F15" i="35"/>
  <c r="M14" i="35"/>
  <c r="F14" i="35"/>
  <c r="M13" i="35"/>
  <c r="F13" i="35"/>
  <c r="M12" i="35"/>
  <c r="F12" i="35"/>
  <c r="M11" i="35"/>
  <c r="F11" i="35"/>
  <c r="M10" i="35"/>
  <c r="F10" i="35"/>
  <c r="M9" i="35"/>
  <c r="F9" i="35"/>
  <c r="M8" i="35"/>
  <c r="F8" i="35"/>
  <c r="M50" i="35"/>
  <c r="F7" i="35"/>
  <c r="M5" i="35"/>
  <c r="E20" i="8" s="1"/>
  <c r="K5" i="35"/>
  <c r="H20" i="8" s="1"/>
  <c r="J5" i="35"/>
  <c r="E5" i="35"/>
  <c r="C5" i="35"/>
  <c r="F20" i="8" s="1"/>
  <c r="F2" i="35"/>
  <c r="G20" i="8" s="1"/>
  <c r="R60" i="1" l="1"/>
  <c r="P60" i="1"/>
  <c r="M60" i="1"/>
  <c r="J60" i="1"/>
  <c r="N60" i="1" s="1"/>
  <c r="R59" i="1"/>
  <c r="P59" i="1"/>
  <c r="M59" i="1"/>
  <c r="J59" i="1"/>
  <c r="N59" i="1" s="1"/>
  <c r="R58" i="1"/>
  <c r="P58" i="1"/>
  <c r="M58" i="1"/>
  <c r="J58" i="1"/>
  <c r="N58" i="1" s="1"/>
  <c r="R57" i="1"/>
  <c r="P57" i="1"/>
  <c r="M57" i="1"/>
  <c r="J57" i="1"/>
  <c r="N57" i="1" s="1"/>
  <c r="R56" i="1"/>
  <c r="P56" i="1"/>
  <c r="M56" i="1"/>
  <c r="J56" i="1"/>
  <c r="N56" i="1" s="1"/>
  <c r="R55" i="1"/>
  <c r="P55" i="1"/>
  <c r="M55" i="1"/>
  <c r="J55" i="1"/>
  <c r="N55" i="1" s="1"/>
  <c r="R54" i="1"/>
  <c r="P54" i="1"/>
  <c r="M54" i="1"/>
  <c r="J54" i="1"/>
  <c r="N54" i="1" s="1"/>
  <c r="R53" i="1"/>
  <c r="P53" i="1"/>
  <c r="M53" i="1"/>
  <c r="J53" i="1"/>
  <c r="N53" i="1" s="1"/>
  <c r="M20" i="22"/>
  <c r="R52" i="1"/>
  <c r="P52" i="1"/>
  <c r="M52" i="1"/>
  <c r="J52" i="1"/>
  <c r="N52" i="1" s="1"/>
  <c r="R51" i="1"/>
  <c r="P51" i="1"/>
  <c r="M51" i="1"/>
  <c r="J51" i="1"/>
  <c r="N51" i="1" s="1"/>
  <c r="M17" i="22"/>
  <c r="T60" i="1" l="1"/>
  <c r="T59" i="1"/>
  <c r="T58" i="1"/>
  <c r="T57" i="1"/>
  <c r="T56" i="1"/>
  <c r="T55" i="1"/>
  <c r="T54" i="1"/>
  <c r="T53" i="1"/>
  <c r="T52" i="1"/>
  <c r="T51" i="1"/>
  <c r="K18" i="8" l="1"/>
  <c r="K50" i="34"/>
  <c r="C50" i="34"/>
  <c r="M49" i="34"/>
  <c r="F49" i="34"/>
  <c r="M48" i="34"/>
  <c r="F48" i="34"/>
  <c r="M47" i="34"/>
  <c r="F47" i="34"/>
  <c r="M46" i="34"/>
  <c r="F46" i="34"/>
  <c r="M45" i="34"/>
  <c r="F45" i="34"/>
  <c r="M44" i="34"/>
  <c r="F44" i="34"/>
  <c r="M43" i="34"/>
  <c r="F43" i="34"/>
  <c r="M42" i="34"/>
  <c r="F42" i="34"/>
  <c r="M41" i="34"/>
  <c r="F41" i="34"/>
  <c r="M40" i="34"/>
  <c r="F40" i="34"/>
  <c r="M39" i="34"/>
  <c r="F39" i="34"/>
  <c r="M38" i="34"/>
  <c r="F38" i="34"/>
  <c r="M37" i="34"/>
  <c r="F37" i="34"/>
  <c r="M36" i="34"/>
  <c r="F36" i="34"/>
  <c r="M35" i="34"/>
  <c r="F35" i="34"/>
  <c r="M34" i="34"/>
  <c r="F34" i="34"/>
  <c r="M33" i="34"/>
  <c r="F33" i="34"/>
  <c r="M32" i="34"/>
  <c r="F32" i="34"/>
  <c r="M31" i="34"/>
  <c r="F31" i="34"/>
  <c r="M30" i="34"/>
  <c r="F30" i="34"/>
  <c r="M29" i="34"/>
  <c r="F29" i="34"/>
  <c r="M28" i="34"/>
  <c r="F28" i="34"/>
  <c r="M27" i="34"/>
  <c r="F27" i="34"/>
  <c r="M26" i="34"/>
  <c r="F26" i="34"/>
  <c r="M25" i="34"/>
  <c r="F25" i="34"/>
  <c r="M24" i="34"/>
  <c r="F24" i="34"/>
  <c r="M23" i="34"/>
  <c r="F23" i="34"/>
  <c r="M22" i="34"/>
  <c r="F22" i="34"/>
  <c r="M21" i="34"/>
  <c r="F21" i="34"/>
  <c r="M20" i="34"/>
  <c r="F20" i="34"/>
  <c r="M19" i="34"/>
  <c r="F19" i="34"/>
  <c r="M18" i="34"/>
  <c r="F18" i="34"/>
  <c r="M17" i="34"/>
  <c r="F17" i="34"/>
  <c r="M16" i="34"/>
  <c r="F16" i="34"/>
  <c r="M15" i="34"/>
  <c r="F15" i="34"/>
  <c r="M14" i="34"/>
  <c r="F14" i="34"/>
  <c r="M13" i="34"/>
  <c r="F13" i="34"/>
  <c r="M12" i="34"/>
  <c r="F12" i="34"/>
  <c r="M11" i="34"/>
  <c r="F11" i="34"/>
  <c r="M10" i="34"/>
  <c r="F10" i="34"/>
  <c r="M9" i="34"/>
  <c r="F9" i="34"/>
  <c r="M8" i="34"/>
  <c r="F8" i="34"/>
  <c r="M7" i="34"/>
  <c r="M50" i="34" s="1"/>
  <c r="F7" i="34"/>
  <c r="M5" i="34"/>
  <c r="L18" i="8" s="1"/>
  <c r="K5" i="34"/>
  <c r="J5" i="34"/>
  <c r="E5" i="34"/>
  <c r="C5" i="34"/>
  <c r="M18" i="8" s="1"/>
  <c r="F2" i="34"/>
  <c r="N18" i="8" s="1"/>
  <c r="K50" i="33"/>
  <c r="C50" i="33"/>
  <c r="M49" i="33"/>
  <c r="F49" i="33"/>
  <c r="M48" i="33"/>
  <c r="F48" i="33"/>
  <c r="M47" i="33"/>
  <c r="F47" i="33"/>
  <c r="M46" i="33"/>
  <c r="F46" i="33"/>
  <c r="M45" i="33"/>
  <c r="F45" i="33"/>
  <c r="M44" i="33"/>
  <c r="F44" i="33"/>
  <c r="M43" i="33"/>
  <c r="F43" i="33"/>
  <c r="M42" i="33"/>
  <c r="F42" i="33"/>
  <c r="M41" i="33"/>
  <c r="F41" i="33"/>
  <c r="M40" i="33"/>
  <c r="F40" i="33"/>
  <c r="M39" i="33"/>
  <c r="F39" i="33"/>
  <c r="M38" i="33"/>
  <c r="F38" i="33"/>
  <c r="M37" i="33"/>
  <c r="F37" i="33"/>
  <c r="M36" i="33"/>
  <c r="F36" i="33"/>
  <c r="M35" i="33"/>
  <c r="F35" i="33"/>
  <c r="M34" i="33"/>
  <c r="F34" i="33"/>
  <c r="M33" i="33"/>
  <c r="F33" i="33"/>
  <c r="M32" i="33"/>
  <c r="F32" i="33"/>
  <c r="M31" i="33"/>
  <c r="F31" i="33"/>
  <c r="M30" i="33"/>
  <c r="F30" i="33"/>
  <c r="M29" i="33"/>
  <c r="F29" i="33"/>
  <c r="M28" i="33"/>
  <c r="F28" i="33"/>
  <c r="M27" i="33"/>
  <c r="F27" i="33"/>
  <c r="M26" i="33"/>
  <c r="F26" i="33"/>
  <c r="M25" i="33"/>
  <c r="F25" i="33"/>
  <c r="M24" i="33"/>
  <c r="F24" i="33"/>
  <c r="M23" i="33"/>
  <c r="F23" i="33"/>
  <c r="M22" i="33"/>
  <c r="F22" i="33"/>
  <c r="M21" i="33"/>
  <c r="F21" i="33"/>
  <c r="M20" i="33"/>
  <c r="F20" i="33"/>
  <c r="M19" i="33"/>
  <c r="F19" i="33"/>
  <c r="M18" i="33"/>
  <c r="F18" i="33"/>
  <c r="M17" i="33"/>
  <c r="F17" i="33"/>
  <c r="M16" i="33"/>
  <c r="F16" i="33"/>
  <c r="M15" i="33"/>
  <c r="F15" i="33"/>
  <c r="M14" i="33"/>
  <c r="F14" i="33"/>
  <c r="M13" i="33"/>
  <c r="F13" i="33"/>
  <c r="M12" i="33"/>
  <c r="F12" i="33"/>
  <c r="M11" i="33"/>
  <c r="F11" i="33"/>
  <c r="M10" i="33"/>
  <c r="F10" i="33"/>
  <c r="M9" i="33"/>
  <c r="F9" i="33"/>
  <c r="M8" i="33"/>
  <c r="F8" i="33"/>
  <c r="M7" i="33"/>
  <c r="M50" i="33" s="1"/>
  <c r="F7" i="33"/>
  <c r="M5" i="33"/>
  <c r="L19" i="8" s="1"/>
  <c r="K5" i="33"/>
  <c r="J5" i="33"/>
  <c r="E5" i="33"/>
  <c r="C5" i="33"/>
  <c r="M19" i="8" s="1"/>
  <c r="F2" i="33"/>
  <c r="N19" i="8" s="1"/>
  <c r="O16" i="8"/>
  <c r="N16" i="8"/>
  <c r="L16" i="8"/>
  <c r="M11" i="29"/>
  <c r="R50" i="1"/>
  <c r="P50" i="1"/>
  <c r="M50" i="1"/>
  <c r="J50" i="1"/>
  <c r="N50" i="1" s="1"/>
  <c r="D19" i="8"/>
  <c r="K50" i="32"/>
  <c r="C50" i="32"/>
  <c r="M49" i="32"/>
  <c r="F49" i="32"/>
  <c r="M48" i="32"/>
  <c r="F48" i="32"/>
  <c r="M47" i="32"/>
  <c r="F47" i="32"/>
  <c r="M46" i="32"/>
  <c r="F46" i="32"/>
  <c r="M45" i="32"/>
  <c r="F45" i="32"/>
  <c r="M44" i="32"/>
  <c r="F44" i="32"/>
  <c r="M43" i="32"/>
  <c r="F43" i="32"/>
  <c r="M42" i="32"/>
  <c r="F42" i="32"/>
  <c r="M41" i="32"/>
  <c r="F41" i="32"/>
  <c r="M40" i="32"/>
  <c r="F40" i="32"/>
  <c r="M39" i="32"/>
  <c r="F39" i="32"/>
  <c r="M38" i="32"/>
  <c r="F38" i="32"/>
  <c r="M37" i="32"/>
  <c r="F37" i="32"/>
  <c r="M36" i="32"/>
  <c r="F36" i="32"/>
  <c r="M35" i="32"/>
  <c r="F35" i="32"/>
  <c r="M34" i="32"/>
  <c r="F34" i="32"/>
  <c r="M33" i="32"/>
  <c r="F33" i="32"/>
  <c r="M32" i="32"/>
  <c r="F32" i="32"/>
  <c r="M31" i="32"/>
  <c r="F31" i="32"/>
  <c r="M30" i="32"/>
  <c r="F30" i="32"/>
  <c r="M29" i="32"/>
  <c r="F29" i="32"/>
  <c r="M28" i="32"/>
  <c r="F28" i="32"/>
  <c r="M27" i="32"/>
  <c r="F27" i="32"/>
  <c r="M26" i="32"/>
  <c r="F26" i="32"/>
  <c r="M25" i="32"/>
  <c r="F25" i="32"/>
  <c r="M24" i="32"/>
  <c r="F24" i="32"/>
  <c r="M23" i="32"/>
  <c r="F23" i="32"/>
  <c r="M22" i="32"/>
  <c r="F22" i="32"/>
  <c r="M21" i="32"/>
  <c r="F21" i="32"/>
  <c r="M20" i="32"/>
  <c r="F20" i="32"/>
  <c r="M19" i="32"/>
  <c r="F19" i="32"/>
  <c r="M18" i="32"/>
  <c r="F18" i="32"/>
  <c r="M17" i="32"/>
  <c r="F17" i="32"/>
  <c r="M16" i="32"/>
  <c r="F16" i="32"/>
  <c r="M15" i="32"/>
  <c r="F15" i="32"/>
  <c r="M14" i="32"/>
  <c r="F14" i="32"/>
  <c r="M13" i="32"/>
  <c r="F13" i="32"/>
  <c r="M12" i="32"/>
  <c r="F12" i="32"/>
  <c r="M11" i="32"/>
  <c r="F11" i="32"/>
  <c r="M10" i="32"/>
  <c r="F10" i="32"/>
  <c r="M9" i="32"/>
  <c r="F9" i="32"/>
  <c r="F8" i="32"/>
  <c r="M7" i="32"/>
  <c r="M50" i="32" s="1"/>
  <c r="F7" i="32"/>
  <c r="M5" i="32"/>
  <c r="E19" i="8" s="1"/>
  <c r="K5" i="32"/>
  <c r="J5" i="32"/>
  <c r="M16" i="8" s="1"/>
  <c r="E5" i="32"/>
  <c r="C5" i="32"/>
  <c r="F19" i="8" s="1"/>
  <c r="F2" i="32"/>
  <c r="G19" i="8" s="1"/>
  <c r="I1" i="32"/>
  <c r="I12" i="8"/>
  <c r="I11" i="8"/>
  <c r="I10" i="8"/>
  <c r="I9" i="8"/>
  <c r="I8" i="8"/>
  <c r="I7" i="8"/>
  <c r="I1" i="24"/>
  <c r="AD8" i="8" s="1"/>
  <c r="I1" i="23"/>
  <c r="AD7" i="8" s="1"/>
  <c r="I1" i="30"/>
  <c r="P8" i="8" s="1"/>
  <c r="I1" i="21"/>
  <c r="P7" i="8" s="1"/>
  <c r="I1" i="25"/>
  <c r="W8" i="8" s="1"/>
  <c r="I1" i="22"/>
  <c r="W7" i="8" s="1"/>
  <c r="I1" i="31"/>
  <c r="W9" i="8" s="1"/>
  <c r="I1" i="29"/>
  <c r="I18" i="8" s="1"/>
  <c r="H19" i="8" l="1"/>
  <c r="T50" i="1"/>
  <c r="B18" i="8"/>
  <c r="K50" i="31"/>
  <c r="C50" i="31"/>
  <c r="M49" i="31"/>
  <c r="F49" i="31"/>
  <c r="M48" i="31"/>
  <c r="F48" i="31"/>
  <c r="M47" i="31"/>
  <c r="F47" i="31"/>
  <c r="M46" i="31"/>
  <c r="F46" i="31"/>
  <c r="M45" i="31"/>
  <c r="F45" i="31"/>
  <c r="M44" i="31"/>
  <c r="F44" i="31"/>
  <c r="M43" i="31"/>
  <c r="F43" i="31"/>
  <c r="M42" i="31"/>
  <c r="F42" i="31"/>
  <c r="M41" i="31"/>
  <c r="F41" i="31"/>
  <c r="M40" i="31"/>
  <c r="F40" i="31"/>
  <c r="M39" i="31"/>
  <c r="F39" i="31"/>
  <c r="M38" i="31"/>
  <c r="F38" i="31"/>
  <c r="M37" i="31"/>
  <c r="F37" i="31"/>
  <c r="M36" i="31"/>
  <c r="F36" i="31"/>
  <c r="M35" i="31"/>
  <c r="F35" i="31"/>
  <c r="M34" i="31"/>
  <c r="F34" i="31"/>
  <c r="M33" i="31"/>
  <c r="F33" i="31"/>
  <c r="M32" i="31"/>
  <c r="F32" i="31"/>
  <c r="M31" i="31"/>
  <c r="F31" i="31"/>
  <c r="M30" i="31"/>
  <c r="F30" i="31"/>
  <c r="M29" i="31"/>
  <c r="F29" i="31"/>
  <c r="M28" i="31"/>
  <c r="F28" i="31"/>
  <c r="M27" i="31"/>
  <c r="F27" i="31"/>
  <c r="M26" i="31"/>
  <c r="F26" i="31"/>
  <c r="M25" i="31"/>
  <c r="F25" i="31"/>
  <c r="M24" i="31"/>
  <c r="F24" i="31"/>
  <c r="M23" i="31"/>
  <c r="F23" i="31"/>
  <c r="M22" i="31"/>
  <c r="F22" i="31"/>
  <c r="M21" i="31"/>
  <c r="F21" i="31"/>
  <c r="M20" i="31"/>
  <c r="F20" i="31"/>
  <c r="M19" i="31"/>
  <c r="F19" i="31"/>
  <c r="M18" i="31"/>
  <c r="F18" i="31"/>
  <c r="M17" i="31"/>
  <c r="F17" i="31"/>
  <c r="M16" i="31"/>
  <c r="F16" i="31"/>
  <c r="M15" i="31"/>
  <c r="F15" i="31"/>
  <c r="M14" i="31"/>
  <c r="F14" i="31"/>
  <c r="M13" i="31"/>
  <c r="F13" i="31"/>
  <c r="M12" i="31"/>
  <c r="F12" i="31"/>
  <c r="M11" i="31"/>
  <c r="F11" i="31"/>
  <c r="M10" i="31"/>
  <c r="F10" i="31"/>
  <c r="F9" i="31"/>
  <c r="M8" i="31"/>
  <c r="F8" i="31"/>
  <c r="M7" i="31"/>
  <c r="M50" i="31" s="1"/>
  <c r="F7" i="31"/>
  <c r="M5" i="31"/>
  <c r="S9" i="8" s="1"/>
  <c r="K5" i="31"/>
  <c r="E5" i="31"/>
  <c r="C5" i="31"/>
  <c r="T9" i="8" s="1"/>
  <c r="F2" i="31"/>
  <c r="U9" i="8" s="1"/>
  <c r="K8" i="8"/>
  <c r="K50" i="30"/>
  <c r="C50" i="30"/>
  <c r="M49" i="30"/>
  <c r="F49" i="30"/>
  <c r="M48" i="30"/>
  <c r="F48" i="30"/>
  <c r="M47" i="30"/>
  <c r="F47" i="30"/>
  <c r="M46" i="30"/>
  <c r="F46" i="30"/>
  <c r="M45" i="30"/>
  <c r="F45" i="30"/>
  <c r="M44" i="30"/>
  <c r="F44" i="30"/>
  <c r="M43" i="30"/>
  <c r="F43" i="30"/>
  <c r="M42" i="30"/>
  <c r="F42" i="30"/>
  <c r="M41" i="30"/>
  <c r="F41" i="30"/>
  <c r="M40" i="30"/>
  <c r="F40" i="30"/>
  <c r="M39" i="30"/>
  <c r="F39" i="30"/>
  <c r="M38" i="30"/>
  <c r="F38" i="30"/>
  <c r="M37" i="30"/>
  <c r="F37" i="30"/>
  <c r="M36" i="30"/>
  <c r="F36" i="30"/>
  <c r="M35" i="30"/>
  <c r="F35" i="30"/>
  <c r="M34" i="30"/>
  <c r="F34" i="30"/>
  <c r="M33" i="30"/>
  <c r="F33" i="30"/>
  <c r="M32" i="30"/>
  <c r="F32" i="30"/>
  <c r="M31" i="30"/>
  <c r="F31" i="30"/>
  <c r="M30" i="30"/>
  <c r="F30" i="30"/>
  <c r="M29" i="30"/>
  <c r="F29" i="30"/>
  <c r="M28" i="30"/>
  <c r="F28" i="30"/>
  <c r="M27" i="30"/>
  <c r="F27" i="30"/>
  <c r="M26" i="30"/>
  <c r="F26" i="30"/>
  <c r="M25" i="30"/>
  <c r="F25" i="30"/>
  <c r="M24" i="30"/>
  <c r="F24" i="30"/>
  <c r="M23" i="30"/>
  <c r="F23" i="30"/>
  <c r="M22" i="30"/>
  <c r="F22" i="30"/>
  <c r="M21" i="30"/>
  <c r="F21" i="30"/>
  <c r="M20" i="30"/>
  <c r="F20" i="30"/>
  <c r="M19" i="30"/>
  <c r="F19" i="30"/>
  <c r="M18" i="30"/>
  <c r="F18" i="30"/>
  <c r="M17" i="30"/>
  <c r="F17" i="30"/>
  <c r="M16" i="30"/>
  <c r="F16" i="30"/>
  <c r="M15" i="30"/>
  <c r="F15" i="30"/>
  <c r="M14" i="30"/>
  <c r="F14" i="30"/>
  <c r="M13" i="30"/>
  <c r="F13" i="30"/>
  <c r="M12" i="30"/>
  <c r="F12" i="30"/>
  <c r="M11" i="30"/>
  <c r="F11" i="30"/>
  <c r="M10" i="30"/>
  <c r="F10" i="30"/>
  <c r="M9" i="30"/>
  <c r="F9" i="30"/>
  <c r="M8" i="30"/>
  <c r="F8" i="30"/>
  <c r="M7" i="30"/>
  <c r="M50" i="30" s="1"/>
  <c r="F7" i="30"/>
  <c r="M5" i="30"/>
  <c r="L8" i="8" s="1"/>
  <c r="K5" i="30"/>
  <c r="E5" i="30"/>
  <c r="O8" i="8" s="1"/>
  <c r="C5" i="30"/>
  <c r="M8" i="8" s="1"/>
  <c r="F2" i="30"/>
  <c r="N8" i="8" s="1"/>
  <c r="V9" i="8" l="1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668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5" i="4"/>
  <c r="D18" i="8"/>
  <c r="K50" i="29"/>
  <c r="C50" i="29"/>
  <c r="M49" i="29"/>
  <c r="F49" i="29"/>
  <c r="M48" i="29"/>
  <c r="F48" i="29"/>
  <c r="M47" i="29"/>
  <c r="F47" i="29"/>
  <c r="M46" i="29"/>
  <c r="F46" i="29"/>
  <c r="M45" i="29"/>
  <c r="F45" i="29"/>
  <c r="M44" i="29"/>
  <c r="F44" i="29"/>
  <c r="M43" i="29"/>
  <c r="F43" i="29"/>
  <c r="M42" i="29"/>
  <c r="F42" i="29"/>
  <c r="M41" i="29"/>
  <c r="F41" i="29"/>
  <c r="M40" i="29"/>
  <c r="F40" i="29"/>
  <c r="M39" i="29"/>
  <c r="F39" i="29"/>
  <c r="M38" i="29"/>
  <c r="F38" i="29"/>
  <c r="M37" i="29"/>
  <c r="F37" i="29"/>
  <c r="M36" i="29"/>
  <c r="F36" i="29"/>
  <c r="M35" i="29"/>
  <c r="F35" i="29"/>
  <c r="M34" i="29"/>
  <c r="F34" i="29"/>
  <c r="M33" i="29"/>
  <c r="F33" i="29"/>
  <c r="M32" i="29"/>
  <c r="F32" i="29"/>
  <c r="M31" i="29"/>
  <c r="F31" i="29"/>
  <c r="M30" i="29"/>
  <c r="F30" i="29"/>
  <c r="M29" i="29"/>
  <c r="F29" i="29"/>
  <c r="M28" i="29"/>
  <c r="F28" i="29"/>
  <c r="M27" i="29"/>
  <c r="F27" i="29"/>
  <c r="M26" i="29"/>
  <c r="F26" i="29"/>
  <c r="M25" i="29"/>
  <c r="F25" i="29"/>
  <c r="M24" i="29"/>
  <c r="F24" i="29"/>
  <c r="M23" i="29"/>
  <c r="F23" i="29"/>
  <c r="M22" i="29"/>
  <c r="F22" i="29"/>
  <c r="M21" i="29"/>
  <c r="F21" i="29"/>
  <c r="M20" i="29"/>
  <c r="F20" i="29"/>
  <c r="M19" i="29"/>
  <c r="F19" i="29"/>
  <c r="M18" i="29"/>
  <c r="F18" i="29"/>
  <c r="M17" i="29"/>
  <c r="F17" i="29"/>
  <c r="M16" i="29"/>
  <c r="F16" i="29"/>
  <c r="M15" i="29"/>
  <c r="F15" i="29"/>
  <c r="M14" i="29"/>
  <c r="F14" i="29"/>
  <c r="M13" i="29"/>
  <c r="F13" i="29"/>
  <c r="M12" i="29"/>
  <c r="F12" i="29"/>
  <c r="F11" i="29"/>
  <c r="M10" i="29"/>
  <c r="F10" i="29"/>
  <c r="M9" i="29"/>
  <c r="F9" i="29"/>
  <c r="M8" i="29"/>
  <c r="F8" i="29"/>
  <c r="M7" i="29"/>
  <c r="M50" i="29" s="1"/>
  <c r="F7" i="29"/>
  <c r="M5" i="29"/>
  <c r="E18" i="8" s="1"/>
  <c r="K5" i="29"/>
  <c r="J5" i="29"/>
  <c r="E5" i="29"/>
  <c r="C5" i="29"/>
  <c r="F18" i="8" s="1"/>
  <c r="F2" i="29"/>
  <c r="G18" i="8" s="1"/>
  <c r="G16" i="8"/>
  <c r="F16" i="8"/>
  <c r="E16" i="8"/>
  <c r="J5" i="24"/>
  <c r="H18" i="8" l="1"/>
  <c r="H16" i="8" s="1"/>
  <c r="D12" i="8"/>
  <c r="K50" i="28"/>
  <c r="C50" i="28"/>
  <c r="M49" i="28"/>
  <c r="F49" i="28"/>
  <c r="M48" i="28"/>
  <c r="F48" i="28"/>
  <c r="M47" i="28"/>
  <c r="F47" i="28"/>
  <c r="M46" i="28"/>
  <c r="F46" i="28"/>
  <c r="M45" i="28"/>
  <c r="F45" i="28"/>
  <c r="M44" i="28"/>
  <c r="F44" i="28"/>
  <c r="M43" i="28"/>
  <c r="F43" i="28"/>
  <c r="M42" i="28"/>
  <c r="F42" i="28"/>
  <c r="M41" i="28"/>
  <c r="F41" i="28"/>
  <c r="M40" i="28"/>
  <c r="F40" i="28"/>
  <c r="M39" i="28"/>
  <c r="F39" i="28"/>
  <c r="M38" i="28"/>
  <c r="F38" i="28"/>
  <c r="M37" i="28"/>
  <c r="F37" i="28"/>
  <c r="M36" i="28"/>
  <c r="F36" i="28"/>
  <c r="M35" i="28"/>
  <c r="F35" i="28"/>
  <c r="M34" i="28"/>
  <c r="F34" i="28"/>
  <c r="M33" i="28"/>
  <c r="F33" i="28"/>
  <c r="M32" i="28"/>
  <c r="F32" i="28"/>
  <c r="M31" i="28"/>
  <c r="F31" i="28"/>
  <c r="M30" i="28"/>
  <c r="F30" i="28"/>
  <c r="M29" i="28"/>
  <c r="F29" i="28"/>
  <c r="M28" i="28"/>
  <c r="F28" i="28"/>
  <c r="M27" i="28"/>
  <c r="F27" i="28"/>
  <c r="M26" i="28"/>
  <c r="F26" i="28"/>
  <c r="M25" i="28"/>
  <c r="F25" i="28"/>
  <c r="M24" i="28"/>
  <c r="F24" i="28"/>
  <c r="M23" i="28"/>
  <c r="F23" i="28"/>
  <c r="M22" i="28"/>
  <c r="F22" i="28"/>
  <c r="M21" i="28"/>
  <c r="F21" i="28"/>
  <c r="M20" i="28"/>
  <c r="F20" i="28"/>
  <c r="M19" i="28"/>
  <c r="F19" i="28"/>
  <c r="M18" i="28"/>
  <c r="F18" i="28"/>
  <c r="M17" i="28"/>
  <c r="F17" i="28"/>
  <c r="M16" i="28"/>
  <c r="F16" i="28"/>
  <c r="M15" i="28"/>
  <c r="F15" i="28"/>
  <c r="M14" i="28"/>
  <c r="F14" i="28"/>
  <c r="M13" i="28"/>
  <c r="F13" i="28"/>
  <c r="M12" i="28"/>
  <c r="F12" i="28"/>
  <c r="M11" i="28"/>
  <c r="F11" i="28"/>
  <c r="M10" i="28"/>
  <c r="F10" i="28"/>
  <c r="M9" i="28"/>
  <c r="F9" i="28"/>
  <c r="M8" i="28"/>
  <c r="F8" i="28"/>
  <c r="M7" i="28"/>
  <c r="M50" i="28" s="1"/>
  <c r="F7" i="28"/>
  <c r="M5" i="28"/>
  <c r="E12" i="8" s="1"/>
  <c r="K5" i="28"/>
  <c r="E5" i="28"/>
  <c r="C5" i="28"/>
  <c r="F12" i="8" s="1"/>
  <c r="F2" i="28"/>
  <c r="G12" i="8" s="1"/>
  <c r="A12" i="8"/>
  <c r="A11" i="8"/>
  <c r="A10" i="8"/>
  <c r="A9" i="8"/>
  <c r="H12" i="8" l="1"/>
  <c r="D11" i="8"/>
  <c r="D10" i="8"/>
  <c r="K50" i="27"/>
  <c r="C50" i="27"/>
  <c r="M49" i="27"/>
  <c r="F49" i="27"/>
  <c r="M48" i="27"/>
  <c r="F48" i="27"/>
  <c r="M47" i="27"/>
  <c r="F47" i="27"/>
  <c r="M46" i="27"/>
  <c r="F46" i="27"/>
  <c r="M45" i="27"/>
  <c r="F45" i="27"/>
  <c r="M44" i="27"/>
  <c r="F44" i="27"/>
  <c r="M43" i="27"/>
  <c r="F43" i="27"/>
  <c r="M42" i="27"/>
  <c r="F42" i="27"/>
  <c r="M41" i="27"/>
  <c r="F41" i="27"/>
  <c r="M40" i="27"/>
  <c r="F40" i="27"/>
  <c r="M39" i="27"/>
  <c r="F39" i="27"/>
  <c r="M38" i="27"/>
  <c r="F38" i="27"/>
  <c r="M37" i="27"/>
  <c r="F37" i="27"/>
  <c r="M36" i="27"/>
  <c r="F36" i="27"/>
  <c r="M35" i="27"/>
  <c r="F35" i="27"/>
  <c r="M34" i="27"/>
  <c r="F34" i="27"/>
  <c r="M33" i="27"/>
  <c r="F33" i="27"/>
  <c r="M32" i="27"/>
  <c r="F32" i="27"/>
  <c r="M31" i="27"/>
  <c r="F31" i="27"/>
  <c r="M30" i="27"/>
  <c r="F30" i="27"/>
  <c r="M29" i="27"/>
  <c r="F29" i="27"/>
  <c r="M28" i="27"/>
  <c r="F28" i="27"/>
  <c r="M27" i="27"/>
  <c r="F27" i="27"/>
  <c r="M26" i="27"/>
  <c r="F26" i="27"/>
  <c r="M25" i="27"/>
  <c r="F25" i="27"/>
  <c r="M24" i="27"/>
  <c r="F24" i="27"/>
  <c r="M23" i="27"/>
  <c r="F23" i="27"/>
  <c r="M22" i="27"/>
  <c r="F22" i="27"/>
  <c r="M21" i="27"/>
  <c r="F21" i="27"/>
  <c r="M20" i="27"/>
  <c r="F20" i="27"/>
  <c r="M19" i="27"/>
  <c r="F19" i="27"/>
  <c r="M18" i="27"/>
  <c r="F18" i="27"/>
  <c r="M17" i="27"/>
  <c r="F17" i="27"/>
  <c r="M16" i="27"/>
  <c r="F16" i="27"/>
  <c r="M15" i="27"/>
  <c r="F15" i="27"/>
  <c r="M14" i="27"/>
  <c r="F14" i="27"/>
  <c r="M13" i="27"/>
  <c r="F13" i="27"/>
  <c r="M12" i="27"/>
  <c r="F12" i="27"/>
  <c r="M11" i="27"/>
  <c r="F11" i="27"/>
  <c r="M10" i="27"/>
  <c r="F10" i="27"/>
  <c r="M9" i="27"/>
  <c r="F9" i="27"/>
  <c r="M8" i="27"/>
  <c r="F8" i="27"/>
  <c r="M7" i="27"/>
  <c r="M50" i="27" s="1"/>
  <c r="F7" i="27"/>
  <c r="M5" i="27"/>
  <c r="E11" i="8" s="1"/>
  <c r="K5" i="27"/>
  <c r="E5" i="27"/>
  <c r="C5" i="27"/>
  <c r="F11" i="8" s="1"/>
  <c r="F2" i="27"/>
  <c r="G11" i="8" s="1"/>
  <c r="H11" i="8" l="1"/>
  <c r="J25" i="1"/>
  <c r="M25" i="1"/>
  <c r="P25" i="1"/>
  <c r="R25" i="1"/>
  <c r="T25" i="1" s="1"/>
  <c r="N25" i="1" l="1"/>
  <c r="K50" i="26"/>
  <c r="C50" i="26"/>
  <c r="M49" i="26"/>
  <c r="F49" i="26"/>
  <c r="M48" i="26"/>
  <c r="F48" i="26"/>
  <c r="M47" i="26"/>
  <c r="F47" i="26"/>
  <c r="M46" i="26"/>
  <c r="F46" i="26"/>
  <c r="M45" i="26"/>
  <c r="F45" i="26"/>
  <c r="M44" i="26"/>
  <c r="F44" i="26"/>
  <c r="M43" i="26"/>
  <c r="F43" i="26"/>
  <c r="M42" i="26"/>
  <c r="F42" i="26"/>
  <c r="M41" i="26"/>
  <c r="F41" i="26"/>
  <c r="M40" i="26"/>
  <c r="F40" i="26"/>
  <c r="M39" i="26"/>
  <c r="F39" i="26"/>
  <c r="M38" i="26"/>
  <c r="F38" i="26"/>
  <c r="M37" i="26"/>
  <c r="F37" i="26"/>
  <c r="M36" i="26"/>
  <c r="F36" i="26"/>
  <c r="M35" i="26"/>
  <c r="F35" i="26"/>
  <c r="M34" i="26"/>
  <c r="F34" i="26"/>
  <c r="M33" i="26"/>
  <c r="F33" i="26"/>
  <c r="M32" i="26"/>
  <c r="F32" i="26"/>
  <c r="M31" i="26"/>
  <c r="F31" i="26"/>
  <c r="M30" i="26"/>
  <c r="F30" i="26"/>
  <c r="M29" i="26"/>
  <c r="F29" i="26"/>
  <c r="M28" i="26"/>
  <c r="F28" i="26"/>
  <c r="M27" i="26"/>
  <c r="F27" i="26"/>
  <c r="M26" i="26"/>
  <c r="F26" i="26"/>
  <c r="M25" i="26"/>
  <c r="F25" i="26"/>
  <c r="M24" i="26"/>
  <c r="F24" i="26"/>
  <c r="M23" i="26"/>
  <c r="F23" i="26"/>
  <c r="M22" i="26"/>
  <c r="F22" i="26"/>
  <c r="M21" i="26"/>
  <c r="F21" i="26"/>
  <c r="M20" i="26"/>
  <c r="F20" i="26"/>
  <c r="M19" i="26"/>
  <c r="F19" i="26"/>
  <c r="M18" i="26"/>
  <c r="F18" i="26"/>
  <c r="M17" i="26"/>
  <c r="F17" i="26"/>
  <c r="M16" i="26"/>
  <c r="F16" i="26"/>
  <c r="M15" i="26"/>
  <c r="F15" i="26"/>
  <c r="M14" i="26"/>
  <c r="F14" i="26"/>
  <c r="M13" i="26"/>
  <c r="F13" i="26"/>
  <c r="M12" i="26"/>
  <c r="F12" i="26"/>
  <c r="M11" i="26"/>
  <c r="F11" i="26"/>
  <c r="M10" i="26"/>
  <c r="F10" i="26"/>
  <c r="M9" i="26"/>
  <c r="F9" i="26"/>
  <c r="M8" i="26"/>
  <c r="F8" i="26"/>
  <c r="M7" i="26"/>
  <c r="M50" i="26" s="1"/>
  <c r="F7" i="26"/>
  <c r="M5" i="26"/>
  <c r="E10" i="8" s="1"/>
  <c r="K5" i="26"/>
  <c r="E5" i="26"/>
  <c r="C5" i="26"/>
  <c r="F10" i="8" s="1"/>
  <c r="F2" i="26"/>
  <c r="G10" i="8" s="1"/>
  <c r="H10" i="8" l="1"/>
  <c r="R8" i="8"/>
  <c r="K50" i="25"/>
  <c r="C50" i="25"/>
  <c r="M49" i="25"/>
  <c r="F49" i="25"/>
  <c r="M48" i="25"/>
  <c r="F48" i="25"/>
  <c r="M47" i="25"/>
  <c r="F47" i="25"/>
  <c r="M46" i="25"/>
  <c r="F46" i="25"/>
  <c r="M45" i="25"/>
  <c r="F45" i="25"/>
  <c r="M44" i="25"/>
  <c r="F44" i="25"/>
  <c r="M43" i="25"/>
  <c r="F43" i="25"/>
  <c r="M42" i="25"/>
  <c r="F42" i="25"/>
  <c r="M41" i="25"/>
  <c r="F41" i="25"/>
  <c r="M40" i="25"/>
  <c r="F40" i="25"/>
  <c r="M39" i="25"/>
  <c r="F39" i="25"/>
  <c r="M38" i="25"/>
  <c r="F38" i="25"/>
  <c r="M37" i="25"/>
  <c r="F37" i="25"/>
  <c r="M36" i="25"/>
  <c r="F36" i="25"/>
  <c r="M35" i="25"/>
  <c r="F35" i="25"/>
  <c r="M34" i="25"/>
  <c r="F34" i="25"/>
  <c r="M33" i="25"/>
  <c r="F33" i="25"/>
  <c r="M32" i="25"/>
  <c r="F32" i="25"/>
  <c r="M31" i="25"/>
  <c r="F31" i="25"/>
  <c r="M30" i="25"/>
  <c r="F30" i="25"/>
  <c r="M29" i="25"/>
  <c r="F29" i="25"/>
  <c r="M28" i="25"/>
  <c r="F28" i="25"/>
  <c r="M27" i="25"/>
  <c r="F27" i="25"/>
  <c r="M26" i="25"/>
  <c r="F26" i="25"/>
  <c r="M25" i="25"/>
  <c r="F25" i="25"/>
  <c r="M24" i="25"/>
  <c r="F24" i="25"/>
  <c r="M23" i="25"/>
  <c r="F23" i="25"/>
  <c r="M22" i="25"/>
  <c r="F22" i="25"/>
  <c r="M21" i="25"/>
  <c r="F21" i="25"/>
  <c r="M20" i="25"/>
  <c r="F20" i="25"/>
  <c r="M19" i="25"/>
  <c r="F19" i="25"/>
  <c r="M18" i="25"/>
  <c r="F18" i="25"/>
  <c r="M17" i="25"/>
  <c r="F17" i="25"/>
  <c r="M16" i="25"/>
  <c r="F16" i="25"/>
  <c r="M15" i="25"/>
  <c r="F15" i="25"/>
  <c r="M14" i="25"/>
  <c r="F14" i="25"/>
  <c r="M13" i="25"/>
  <c r="F13" i="25"/>
  <c r="M12" i="25"/>
  <c r="F12" i="25"/>
  <c r="M11" i="25"/>
  <c r="F11" i="25"/>
  <c r="M10" i="25"/>
  <c r="F10" i="25"/>
  <c r="M9" i="25"/>
  <c r="F9" i="25"/>
  <c r="M8" i="25"/>
  <c r="F8" i="25"/>
  <c r="M7" i="25"/>
  <c r="M50" i="25" s="1"/>
  <c r="F7" i="25"/>
  <c r="M5" i="25"/>
  <c r="S8" i="8" s="1"/>
  <c r="K5" i="25"/>
  <c r="E5" i="25"/>
  <c r="V8" i="8" s="1"/>
  <c r="C5" i="25"/>
  <c r="T8" i="8" s="1"/>
  <c r="F2" i="25"/>
  <c r="U8" i="8" s="1"/>
  <c r="E5" i="24" l="1"/>
  <c r="E5" i="23"/>
  <c r="E5" i="22"/>
  <c r="E5" i="21"/>
  <c r="E5" i="11"/>
  <c r="E5" i="10"/>
  <c r="E5" i="9"/>
  <c r="Y8" i="8"/>
  <c r="Y7" i="8"/>
  <c r="K50" i="24"/>
  <c r="C50" i="24"/>
  <c r="M49" i="24"/>
  <c r="F49" i="24"/>
  <c r="M48" i="24"/>
  <c r="F48" i="24"/>
  <c r="M47" i="24"/>
  <c r="F47" i="24"/>
  <c r="M46" i="24"/>
  <c r="F46" i="24"/>
  <c r="M45" i="24"/>
  <c r="F45" i="24"/>
  <c r="M44" i="24"/>
  <c r="F44" i="24"/>
  <c r="M43" i="24"/>
  <c r="F43" i="24"/>
  <c r="M42" i="24"/>
  <c r="F42" i="24"/>
  <c r="M41" i="24"/>
  <c r="F41" i="24"/>
  <c r="M40" i="24"/>
  <c r="F40" i="24"/>
  <c r="M39" i="24"/>
  <c r="F39" i="24"/>
  <c r="M38" i="24"/>
  <c r="F38" i="24"/>
  <c r="M37" i="24"/>
  <c r="F37" i="24"/>
  <c r="M36" i="24"/>
  <c r="F36" i="24"/>
  <c r="M35" i="24"/>
  <c r="F35" i="24"/>
  <c r="M34" i="24"/>
  <c r="F34" i="24"/>
  <c r="M33" i="24"/>
  <c r="F33" i="24"/>
  <c r="M32" i="24"/>
  <c r="F32" i="24"/>
  <c r="M31" i="24"/>
  <c r="F31" i="24"/>
  <c r="M30" i="24"/>
  <c r="F30" i="24"/>
  <c r="M29" i="24"/>
  <c r="F29" i="24"/>
  <c r="M28" i="24"/>
  <c r="F28" i="24"/>
  <c r="M27" i="24"/>
  <c r="F27" i="24"/>
  <c r="M26" i="24"/>
  <c r="F26" i="24"/>
  <c r="M25" i="24"/>
  <c r="F25" i="24"/>
  <c r="M24" i="24"/>
  <c r="F24" i="24"/>
  <c r="M23" i="24"/>
  <c r="F23" i="24"/>
  <c r="M22" i="24"/>
  <c r="F22" i="24"/>
  <c r="M21" i="24"/>
  <c r="F21" i="24"/>
  <c r="M20" i="24"/>
  <c r="F20" i="24"/>
  <c r="M19" i="24"/>
  <c r="F19" i="24"/>
  <c r="M18" i="24"/>
  <c r="F18" i="24"/>
  <c r="M17" i="24"/>
  <c r="F17" i="24"/>
  <c r="M16" i="24"/>
  <c r="F16" i="24"/>
  <c r="M15" i="24"/>
  <c r="F15" i="24"/>
  <c r="M14" i="24"/>
  <c r="F14" i="24"/>
  <c r="M13" i="24"/>
  <c r="F13" i="24"/>
  <c r="M12" i="24"/>
  <c r="F12" i="24"/>
  <c r="M11" i="24"/>
  <c r="F11" i="24"/>
  <c r="M10" i="24"/>
  <c r="F10" i="24"/>
  <c r="M9" i="24"/>
  <c r="F9" i="24"/>
  <c r="M8" i="24"/>
  <c r="F8" i="24"/>
  <c r="M7" i="24"/>
  <c r="M50" i="24" s="1"/>
  <c r="F7" i="24"/>
  <c r="M5" i="24"/>
  <c r="Z8" i="8" s="1"/>
  <c r="K5" i="24"/>
  <c r="AC8" i="8" s="1"/>
  <c r="C5" i="24"/>
  <c r="AA8" i="8" s="1"/>
  <c r="F2" i="24"/>
  <c r="AB8" i="8" s="1"/>
  <c r="K50" i="23"/>
  <c r="C50" i="23"/>
  <c r="M49" i="23"/>
  <c r="F49" i="23"/>
  <c r="M48" i="23"/>
  <c r="F48" i="23"/>
  <c r="M47" i="23"/>
  <c r="F47" i="23"/>
  <c r="M46" i="23"/>
  <c r="F46" i="23"/>
  <c r="M45" i="23"/>
  <c r="F45" i="23"/>
  <c r="M44" i="23"/>
  <c r="F44" i="23"/>
  <c r="M43" i="23"/>
  <c r="F43" i="23"/>
  <c r="M42" i="23"/>
  <c r="F42" i="23"/>
  <c r="M41" i="23"/>
  <c r="F41" i="23"/>
  <c r="M40" i="23"/>
  <c r="F40" i="23"/>
  <c r="M39" i="23"/>
  <c r="F39" i="23"/>
  <c r="M38" i="23"/>
  <c r="F38" i="23"/>
  <c r="M37" i="23"/>
  <c r="F37" i="23"/>
  <c r="M36" i="23"/>
  <c r="F36" i="23"/>
  <c r="M35" i="23"/>
  <c r="F35" i="23"/>
  <c r="M34" i="23"/>
  <c r="F34" i="23"/>
  <c r="M33" i="23"/>
  <c r="F33" i="23"/>
  <c r="M32" i="23"/>
  <c r="F32" i="23"/>
  <c r="M31" i="23"/>
  <c r="F31" i="23"/>
  <c r="M30" i="23"/>
  <c r="F30" i="23"/>
  <c r="M29" i="23"/>
  <c r="F29" i="23"/>
  <c r="M28" i="23"/>
  <c r="F28" i="23"/>
  <c r="M27" i="23"/>
  <c r="F27" i="23"/>
  <c r="M26" i="23"/>
  <c r="F26" i="23"/>
  <c r="M25" i="23"/>
  <c r="F25" i="23"/>
  <c r="M24" i="23"/>
  <c r="F24" i="23"/>
  <c r="M23" i="23"/>
  <c r="F23" i="23"/>
  <c r="M22" i="23"/>
  <c r="F22" i="23"/>
  <c r="M21" i="23"/>
  <c r="F21" i="23"/>
  <c r="M20" i="23"/>
  <c r="F20" i="23"/>
  <c r="M19" i="23"/>
  <c r="F19" i="23"/>
  <c r="M18" i="23"/>
  <c r="F18" i="23"/>
  <c r="M17" i="23"/>
  <c r="F17" i="23"/>
  <c r="M16" i="23"/>
  <c r="F16" i="23"/>
  <c r="M15" i="23"/>
  <c r="F15" i="23"/>
  <c r="M14" i="23"/>
  <c r="F14" i="23"/>
  <c r="M13" i="23"/>
  <c r="F13" i="23"/>
  <c r="M12" i="23"/>
  <c r="F12" i="23"/>
  <c r="M11" i="23"/>
  <c r="F11" i="23"/>
  <c r="M10" i="23"/>
  <c r="F10" i="23"/>
  <c r="M9" i="23"/>
  <c r="F9" i="23"/>
  <c r="M8" i="23"/>
  <c r="F8" i="23"/>
  <c r="M7" i="23"/>
  <c r="M50" i="23" s="1"/>
  <c r="F7" i="23"/>
  <c r="M5" i="23"/>
  <c r="Z7" i="8" s="1"/>
  <c r="K5" i="23"/>
  <c r="AC7" i="8" s="1"/>
  <c r="AC5" i="8" s="1"/>
  <c r="C5" i="23"/>
  <c r="AA7" i="8" s="1"/>
  <c r="F2" i="23"/>
  <c r="AB7" i="8" s="1"/>
  <c r="AB5" i="8"/>
  <c r="B12" i="8" s="1"/>
  <c r="AA5" i="8"/>
  <c r="Z5" i="8"/>
  <c r="R7" i="8"/>
  <c r="K50" i="22"/>
  <c r="C50" i="22"/>
  <c r="M49" i="22"/>
  <c r="F49" i="22"/>
  <c r="M48" i="22"/>
  <c r="F48" i="22"/>
  <c r="M47" i="22"/>
  <c r="F47" i="22"/>
  <c r="M46" i="22"/>
  <c r="F46" i="22"/>
  <c r="M45" i="22"/>
  <c r="F45" i="22"/>
  <c r="M44" i="22"/>
  <c r="F44" i="22"/>
  <c r="M43" i="22"/>
  <c r="F43" i="22"/>
  <c r="M42" i="22"/>
  <c r="F42" i="22"/>
  <c r="M41" i="22"/>
  <c r="F41" i="22"/>
  <c r="M40" i="22"/>
  <c r="F40" i="22"/>
  <c r="M39" i="22"/>
  <c r="F39" i="22"/>
  <c r="M38" i="22"/>
  <c r="F38" i="22"/>
  <c r="M37" i="22"/>
  <c r="F37" i="22"/>
  <c r="M36" i="22"/>
  <c r="F36" i="22"/>
  <c r="M35" i="22"/>
  <c r="F35" i="22"/>
  <c r="M34" i="22"/>
  <c r="F34" i="22"/>
  <c r="M33" i="22"/>
  <c r="F33" i="22"/>
  <c r="M32" i="22"/>
  <c r="F32" i="22"/>
  <c r="M31" i="22"/>
  <c r="F31" i="22"/>
  <c r="M30" i="22"/>
  <c r="F30" i="22"/>
  <c r="M29" i="22"/>
  <c r="F29" i="22"/>
  <c r="M28" i="22"/>
  <c r="F28" i="22"/>
  <c r="M27" i="22"/>
  <c r="F27" i="22"/>
  <c r="M26" i="22"/>
  <c r="F26" i="22"/>
  <c r="M25" i="22"/>
  <c r="F25" i="22"/>
  <c r="M24" i="22"/>
  <c r="F24" i="22"/>
  <c r="M23" i="22"/>
  <c r="F23" i="22"/>
  <c r="M22" i="22"/>
  <c r="F22" i="22"/>
  <c r="M21" i="22"/>
  <c r="F21" i="22"/>
  <c r="F20" i="22"/>
  <c r="M19" i="22"/>
  <c r="F19" i="22"/>
  <c r="M18" i="22"/>
  <c r="F18" i="22"/>
  <c r="F17" i="22"/>
  <c r="M16" i="22"/>
  <c r="F16" i="22"/>
  <c r="M15" i="22"/>
  <c r="F15" i="22"/>
  <c r="M14" i="22"/>
  <c r="F14" i="22"/>
  <c r="M13" i="22"/>
  <c r="F13" i="22"/>
  <c r="M12" i="22"/>
  <c r="F12" i="22"/>
  <c r="M11" i="22"/>
  <c r="F11" i="22"/>
  <c r="M10" i="22"/>
  <c r="F10" i="22"/>
  <c r="M9" i="22"/>
  <c r="F9" i="22"/>
  <c r="M8" i="22"/>
  <c r="F8" i="22"/>
  <c r="M7" i="22"/>
  <c r="M50" i="22" s="1"/>
  <c r="F7" i="22"/>
  <c r="M5" i="22"/>
  <c r="S7" i="8" s="1"/>
  <c r="S5" i="8" s="1"/>
  <c r="K5" i="22"/>
  <c r="V7" i="8" s="1"/>
  <c r="V5" i="8" s="1"/>
  <c r="C5" i="22"/>
  <c r="T7" i="8" s="1"/>
  <c r="T5" i="8" s="1"/>
  <c r="F2" i="22"/>
  <c r="U7" i="8" s="1"/>
  <c r="U5" i="8" s="1"/>
  <c r="B11" i="8" s="1"/>
  <c r="K50" i="21"/>
  <c r="K5" i="21" s="1"/>
  <c r="O7" i="8" s="1"/>
  <c r="O5" i="8" s="1"/>
  <c r="K50" i="11"/>
  <c r="K5" i="11" s="1"/>
  <c r="H9" i="8" s="1"/>
  <c r="K50" i="10"/>
  <c r="K5" i="10" s="1"/>
  <c r="H8" i="8" s="1"/>
  <c r="K7" i="8"/>
  <c r="C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M50" i="21" s="1"/>
  <c r="F7" i="21"/>
  <c r="M5" i="21"/>
  <c r="L7" i="8" s="1"/>
  <c r="C5" i="21"/>
  <c r="M7" i="8" s="1"/>
  <c r="F2" i="21"/>
  <c r="N7" i="8" s="1"/>
  <c r="N5" i="8" s="1"/>
  <c r="B10" i="8" s="1"/>
  <c r="K50" i="9"/>
  <c r="K5" i="9" s="1"/>
  <c r="H7" i="8" s="1"/>
  <c r="H5" i="8" s="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D9" i="8"/>
  <c r="D8" i="8"/>
  <c r="D7" i="8"/>
  <c r="J20" i="1"/>
  <c r="J19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B7" i="8" l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M5" i="8"/>
  <c r="L5" i="8"/>
  <c r="R18" i="1"/>
  <c r="P18" i="1"/>
  <c r="M18" i="1"/>
  <c r="J18" i="1"/>
  <c r="N18" i="1" s="1"/>
  <c r="J17" i="1"/>
  <c r="M17" i="1"/>
  <c r="N17" i="1" l="1"/>
  <c r="A50" i="1"/>
  <c r="A51" i="1" s="1"/>
  <c r="A52" i="1" s="1"/>
  <c r="T18" i="1"/>
  <c r="A53" i="1" l="1"/>
  <c r="A54" i="1" s="1"/>
  <c r="A55" i="1" s="1"/>
  <c r="R16" i="1"/>
  <c r="P16" i="1"/>
  <c r="M16" i="1"/>
  <c r="J16" i="1"/>
  <c r="N16" i="1" s="1"/>
  <c r="B1" i="19"/>
  <c r="B3" i="8" s="1"/>
  <c r="K2" i="1"/>
  <c r="M4" i="1"/>
  <c r="M5" i="1"/>
  <c r="M6" i="1"/>
  <c r="M7" i="1"/>
  <c r="M8" i="1"/>
  <c r="M9" i="1"/>
  <c r="M10" i="1"/>
  <c r="M11" i="1"/>
  <c r="M12" i="1"/>
  <c r="M13" i="1"/>
  <c r="M14" i="1"/>
  <c r="M15" i="1"/>
  <c r="M19" i="1"/>
  <c r="N19" i="1" s="1"/>
  <c r="M20" i="1"/>
  <c r="N20" i="1" s="1"/>
  <c r="M21" i="1"/>
  <c r="M22" i="1"/>
  <c r="M23" i="1"/>
  <c r="M24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61" i="1"/>
  <c r="M62" i="1"/>
  <c r="M63" i="1"/>
  <c r="M66" i="1"/>
  <c r="M64" i="1"/>
  <c r="M68" i="1"/>
  <c r="M69" i="1"/>
  <c r="M70" i="1"/>
  <c r="M71" i="1"/>
  <c r="M73" i="1"/>
  <c r="M74" i="1"/>
  <c r="M75" i="1"/>
  <c r="M76" i="1"/>
  <c r="M78" i="1"/>
  <c r="M79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P5" i="1"/>
  <c r="P6" i="1"/>
  <c r="P7" i="1"/>
  <c r="P8" i="1"/>
  <c r="P4" i="1"/>
  <c r="S2" i="1"/>
  <c r="A56" i="1" l="1"/>
  <c r="A57" i="1" s="1"/>
  <c r="A58" i="1" s="1"/>
  <c r="A59" i="1" s="1"/>
  <c r="T16" i="1"/>
  <c r="M2" i="1"/>
  <c r="D1" i="8" s="1"/>
  <c r="C50" i="11"/>
  <c r="C5" i="11" s="1"/>
  <c r="F9" i="8" s="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C50" i="10"/>
  <c r="C5" i="10" s="1"/>
  <c r="F8" i="8" s="1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C50" i="9"/>
  <c r="C5" i="9" s="1"/>
  <c r="F7" i="8" s="1"/>
  <c r="F5" i="8" s="1"/>
  <c r="B17" i="8" s="1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A60" i="1" l="1"/>
  <c r="A61" i="1" s="1"/>
  <c r="A62" i="1" s="1"/>
  <c r="A63" i="1" s="1"/>
  <c r="A65" i="1" s="1"/>
  <c r="A66" i="1" s="1"/>
  <c r="A67" i="1" s="1"/>
  <c r="A64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M50" i="9"/>
  <c r="M5" i="9" s="1"/>
  <c r="E7" i="8" s="1"/>
  <c r="M50" i="10"/>
  <c r="M50" i="11"/>
  <c r="F2" i="11" l="1"/>
  <c r="G9" i="8" s="1"/>
  <c r="M5" i="11"/>
  <c r="E9" i="8" s="1"/>
  <c r="F2" i="10"/>
  <c r="G8" i="8" s="1"/>
  <c r="M5" i="10"/>
  <c r="E8" i="8" s="1"/>
  <c r="E5" i="8" s="1"/>
  <c r="B23" i="8" s="1"/>
  <c r="F2" i="9"/>
  <c r="G7" i="8" s="1"/>
  <c r="G5" i="8" s="1"/>
  <c r="B8" i="8" s="1"/>
  <c r="J893" i="1"/>
  <c r="N893" i="1" s="1"/>
  <c r="J892" i="1"/>
  <c r="N892" i="1" s="1"/>
  <c r="J891" i="1"/>
  <c r="N891" i="1" s="1"/>
  <c r="J905" i="1"/>
  <c r="N905" i="1" s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50" i="1"/>
  <c r="R851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T905" i="1" s="1"/>
  <c r="R891" i="1"/>
  <c r="T891" i="1" s="1"/>
  <c r="R892" i="1"/>
  <c r="T892" i="1" s="1"/>
  <c r="R893" i="1"/>
  <c r="T893" i="1" s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50" i="1"/>
  <c r="P851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891" i="1"/>
  <c r="P892" i="1"/>
  <c r="P893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J862" i="1"/>
  <c r="N862" i="1" s="1"/>
  <c r="J863" i="1"/>
  <c r="N863" i="1" s="1"/>
  <c r="J864" i="1"/>
  <c r="N864" i="1" s="1"/>
  <c r="J865" i="1"/>
  <c r="N865" i="1" s="1"/>
  <c r="J866" i="1"/>
  <c r="N866" i="1" s="1"/>
  <c r="J867" i="1"/>
  <c r="N867" i="1" s="1"/>
  <c r="J868" i="1"/>
  <c r="N868" i="1" s="1"/>
  <c r="J869" i="1"/>
  <c r="N869" i="1" s="1"/>
  <c r="J870" i="1"/>
  <c r="N870" i="1" s="1"/>
  <c r="J871" i="1"/>
  <c r="N871" i="1" s="1"/>
  <c r="J872" i="1"/>
  <c r="N872" i="1" s="1"/>
  <c r="J873" i="1"/>
  <c r="N873" i="1" s="1"/>
  <c r="J874" i="1"/>
  <c r="N874" i="1" s="1"/>
  <c r="J875" i="1"/>
  <c r="N875" i="1" s="1"/>
  <c r="J876" i="1"/>
  <c r="N876" i="1" s="1"/>
  <c r="J850" i="1"/>
  <c r="N850" i="1" s="1"/>
  <c r="J851" i="1"/>
  <c r="N851" i="1" s="1"/>
  <c r="J877" i="1"/>
  <c r="N877" i="1" s="1"/>
  <c r="J878" i="1"/>
  <c r="N878" i="1" s="1"/>
  <c r="J879" i="1"/>
  <c r="N879" i="1" s="1"/>
  <c r="J880" i="1"/>
  <c r="N880" i="1" s="1"/>
  <c r="J881" i="1"/>
  <c r="N881" i="1" s="1"/>
  <c r="J882" i="1"/>
  <c r="N882" i="1" s="1"/>
  <c r="J883" i="1"/>
  <c r="N883" i="1" s="1"/>
  <c r="J884" i="1"/>
  <c r="N884" i="1" s="1"/>
  <c r="J885" i="1"/>
  <c r="N885" i="1" s="1"/>
  <c r="J886" i="1"/>
  <c r="N886" i="1" s="1"/>
  <c r="J887" i="1"/>
  <c r="N887" i="1" s="1"/>
  <c r="J888" i="1"/>
  <c r="N888" i="1" s="1"/>
  <c r="J889" i="1"/>
  <c r="N889" i="1" s="1"/>
  <c r="J890" i="1"/>
  <c r="N890" i="1" s="1"/>
  <c r="J894" i="1"/>
  <c r="N894" i="1" s="1"/>
  <c r="J895" i="1"/>
  <c r="N895" i="1" s="1"/>
  <c r="J896" i="1"/>
  <c r="N896" i="1" s="1"/>
  <c r="J897" i="1"/>
  <c r="N897" i="1" s="1"/>
  <c r="J898" i="1"/>
  <c r="N898" i="1" s="1"/>
  <c r="J899" i="1"/>
  <c r="N899" i="1" s="1"/>
  <c r="J900" i="1"/>
  <c r="N900" i="1" s="1"/>
  <c r="J901" i="1"/>
  <c r="N901" i="1" s="1"/>
  <c r="J902" i="1"/>
  <c r="N902" i="1" s="1"/>
  <c r="J903" i="1"/>
  <c r="N903" i="1" s="1"/>
  <c r="J904" i="1"/>
  <c r="N904" i="1" s="1"/>
  <c r="J906" i="1"/>
  <c r="N906" i="1" s="1"/>
  <c r="J907" i="1"/>
  <c r="N907" i="1" s="1"/>
  <c r="J908" i="1"/>
  <c r="N908" i="1" s="1"/>
  <c r="J909" i="1"/>
  <c r="N909" i="1" s="1"/>
  <c r="J910" i="1"/>
  <c r="N910" i="1" s="1"/>
  <c r="J911" i="1"/>
  <c r="N911" i="1" s="1"/>
  <c r="J912" i="1"/>
  <c r="N912" i="1" s="1"/>
  <c r="J913" i="1"/>
  <c r="N913" i="1" s="1"/>
  <c r="J914" i="1"/>
  <c r="N914" i="1" s="1"/>
  <c r="J915" i="1"/>
  <c r="N915" i="1" s="1"/>
  <c r="J916" i="1"/>
  <c r="N916" i="1" s="1"/>
  <c r="J917" i="1"/>
  <c r="N917" i="1" s="1"/>
  <c r="J918" i="1"/>
  <c r="N918" i="1" s="1"/>
  <c r="J919" i="1"/>
  <c r="N919" i="1" s="1"/>
  <c r="J920" i="1"/>
  <c r="N920" i="1" s="1"/>
  <c r="J921" i="1"/>
  <c r="N921" i="1" s="1"/>
  <c r="J922" i="1"/>
  <c r="N922" i="1" s="1"/>
  <c r="J923" i="1"/>
  <c r="N923" i="1" s="1"/>
  <c r="J924" i="1"/>
  <c r="N924" i="1" s="1"/>
  <c r="J925" i="1"/>
  <c r="N925" i="1" s="1"/>
  <c r="J926" i="1"/>
  <c r="N926" i="1" s="1"/>
  <c r="J927" i="1"/>
  <c r="N927" i="1" s="1"/>
  <c r="J928" i="1"/>
  <c r="N928" i="1" s="1"/>
  <c r="J929" i="1"/>
  <c r="N929" i="1" s="1"/>
  <c r="J930" i="1"/>
  <c r="N930" i="1" s="1"/>
  <c r="J931" i="1"/>
  <c r="N931" i="1" s="1"/>
  <c r="J932" i="1"/>
  <c r="N932" i="1" s="1"/>
  <c r="J933" i="1"/>
  <c r="N933" i="1" s="1"/>
  <c r="J934" i="1"/>
  <c r="N934" i="1" s="1"/>
  <c r="J935" i="1"/>
  <c r="N935" i="1" s="1"/>
  <c r="J936" i="1"/>
  <c r="N936" i="1" s="1"/>
  <c r="J937" i="1"/>
  <c r="N937" i="1" s="1"/>
  <c r="J938" i="1"/>
  <c r="N938" i="1" s="1"/>
  <c r="J939" i="1"/>
  <c r="N939" i="1" s="1"/>
  <c r="J940" i="1"/>
  <c r="N940" i="1" s="1"/>
  <c r="J941" i="1"/>
  <c r="N941" i="1" s="1"/>
  <c r="J942" i="1"/>
  <c r="N942" i="1" s="1"/>
  <c r="J943" i="1"/>
  <c r="N943" i="1" s="1"/>
  <c r="J944" i="1"/>
  <c r="N944" i="1" s="1"/>
  <c r="J945" i="1"/>
  <c r="N945" i="1" s="1"/>
  <c r="J946" i="1"/>
  <c r="N946" i="1" s="1"/>
  <c r="J947" i="1"/>
  <c r="N947" i="1" s="1"/>
  <c r="J948" i="1"/>
  <c r="N948" i="1" s="1"/>
  <c r="J949" i="1"/>
  <c r="N949" i="1" s="1"/>
  <c r="J950" i="1"/>
  <c r="N950" i="1" s="1"/>
  <c r="J951" i="1"/>
  <c r="N951" i="1" s="1"/>
  <c r="J952" i="1"/>
  <c r="N952" i="1" s="1"/>
  <c r="J953" i="1"/>
  <c r="N953" i="1" s="1"/>
  <c r="J954" i="1"/>
  <c r="N954" i="1" s="1"/>
  <c r="J955" i="1"/>
  <c r="N955" i="1" s="1"/>
  <c r="J956" i="1"/>
  <c r="N956" i="1" s="1"/>
  <c r="J957" i="1"/>
  <c r="N957" i="1" s="1"/>
  <c r="J958" i="1"/>
  <c r="N958" i="1" s="1"/>
  <c r="J959" i="1"/>
  <c r="N959" i="1" s="1"/>
  <c r="J960" i="1"/>
  <c r="N960" i="1" s="1"/>
  <c r="J961" i="1"/>
  <c r="N961" i="1" s="1"/>
  <c r="J962" i="1"/>
  <c r="N962" i="1" s="1"/>
  <c r="J963" i="1"/>
  <c r="N963" i="1" s="1"/>
  <c r="J964" i="1"/>
  <c r="N964" i="1" s="1"/>
  <c r="J965" i="1"/>
  <c r="N965" i="1" s="1"/>
  <c r="J966" i="1"/>
  <c r="N966" i="1" s="1"/>
  <c r="J967" i="1"/>
  <c r="N967" i="1" s="1"/>
  <c r="J968" i="1"/>
  <c r="N968" i="1" s="1"/>
  <c r="J969" i="1"/>
  <c r="N969" i="1" s="1"/>
  <c r="J970" i="1"/>
  <c r="N970" i="1" s="1"/>
  <c r="J971" i="1"/>
  <c r="N971" i="1" s="1"/>
  <c r="J972" i="1"/>
  <c r="N972" i="1" s="1"/>
  <c r="J973" i="1"/>
  <c r="N973" i="1" s="1"/>
  <c r="J974" i="1"/>
  <c r="N974" i="1" s="1"/>
  <c r="J975" i="1"/>
  <c r="N975" i="1" s="1"/>
  <c r="J976" i="1"/>
  <c r="N976" i="1" s="1"/>
  <c r="J977" i="1"/>
  <c r="N977" i="1" s="1"/>
  <c r="J978" i="1"/>
  <c r="N978" i="1" s="1"/>
  <c r="J979" i="1"/>
  <c r="N979" i="1" s="1"/>
  <c r="J980" i="1"/>
  <c r="N980" i="1" s="1"/>
  <c r="J981" i="1"/>
  <c r="N981" i="1" s="1"/>
  <c r="J982" i="1"/>
  <c r="N982" i="1" s="1"/>
  <c r="J983" i="1"/>
  <c r="N983" i="1" s="1"/>
  <c r="J984" i="1"/>
  <c r="N984" i="1" s="1"/>
  <c r="J985" i="1"/>
  <c r="N985" i="1" s="1"/>
  <c r="J986" i="1"/>
  <c r="N986" i="1" s="1"/>
  <c r="J987" i="1"/>
  <c r="N987" i="1" s="1"/>
  <c r="J988" i="1"/>
  <c r="N988" i="1" s="1"/>
  <c r="J989" i="1"/>
  <c r="N989" i="1" s="1"/>
  <c r="J990" i="1"/>
  <c r="N990" i="1" s="1"/>
  <c r="J991" i="1"/>
  <c r="N991" i="1" s="1"/>
  <c r="J992" i="1"/>
  <c r="N992" i="1" s="1"/>
  <c r="J993" i="1"/>
  <c r="N993" i="1" s="1"/>
  <c r="J994" i="1"/>
  <c r="N994" i="1" s="1"/>
  <c r="J995" i="1"/>
  <c r="N995" i="1" s="1"/>
  <c r="J996" i="1"/>
  <c r="N996" i="1" s="1"/>
  <c r="J997" i="1"/>
  <c r="N997" i="1" s="1"/>
  <c r="J998" i="1"/>
  <c r="N998" i="1" s="1"/>
  <c r="J999" i="1"/>
  <c r="N999" i="1" s="1"/>
  <c r="J1000" i="1"/>
  <c r="N1000" i="1" s="1"/>
  <c r="J1001" i="1"/>
  <c r="N1001" i="1" s="1"/>
  <c r="J1002" i="1"/>
  <c r="N1002" i="1" s="1"/>
  <c r="J1003" i="1"/>
  <c r="N1003" i="1" s="1"/>
  <c r="J1004" i="1"/>
  <c r="N1004" i="1" s="1"/>
  <c r="J1005" i="1"/>
  <c r="N1005" i="1" s="1"/>
  <c r="J1006" i="1"/>
  <c r="N1006" i="1" s="1"/>
  <c r="J1007" i="1"/>
  <c r="N1007" i="1" s="1"/>
  <c r="J1008" i="1"/>
  <c r="N1008" i="1" s="1"/>
  <c r="J1009" i="1"/>
  <c r="N1009" i="1" s="1"/>
  <c r="J1010" i="1"/>
  <c r="N1010" i="1" s="1"/>
  <c r="J1011" i="1"/>
  <c r="N1011" i="1" s="1"/>
  <c r="J1012" i="1"/>
  <c r="N1012" i="1" s="1"/>
  <c r="J1013" i="1"/>
  <c r="N1013" i="1" s="1"/>
  <c r="J1014" i="1"/>
  <c r="N1014" i="1" s="1"/>
  <c r="J1015" i="1"/>
  <c r="N1015" i="1" s="1"/>
  <c r="J1016" i="1"/>
  <c r="N1016" i="1" s="1"/>
  <c r="J1017" i="1"/>
  <c r="N1017" i="1" s="1"/>
  <c r="J1018" i="1"/>
  <c r="N1018" i="1" s="1"/>
  <c r="J1019" i="1"/>
  <c r="N1019" i="1" s="1"/>
  <c r="J1020" i="1"/>
  <c r="N1020" i="1" s="1"/>
  <c r="J1021" i="1"/>
  <c r="N1021" i="1" s="1"/>
  <c r="J1022" i="1"/>
  <c r="N1022" i="1" s="1"/>
  <c r="J1023" i="1"/>
  <c r="N1023" i="1" s="1"/>
  <c r="J1024" i="1"/>
  <c r="N1024" i="1" s="1"/>
  <c r="J1025" i="1"/>
  <c r="N1025" i="1" s="1"/>
  <c r="J1026" i="1"/>
  <c r="N1026" i="1" s="1"/>
  <c r="J1027" i="1"/>
  <c r="N1027" i="1" s="1"/>
  <c r="J1028" i="1"/>
  <c r="N1028" i="1" s="1"/>
  <c r="J1029" i="1"/>
  <c r="N1029" i="1" s="1"/>
  <c r="J1030" i="1"/>
  <c r="N1030" i="1" s="1"/>
  <c r="J1031" i="1"/>
  <c r="N1031" i="1" s="1"/>
  <c r="J1032" i="1"/>
  <c r="N1032" i="1" s="1"/>
  <c r="J1033" i="1"/>
  <c r="N1033" i="1" s="1"/>
  <c r="J1034" i="1"/>
  <c r="N1034" i="1" s="1"/>
  <c r="J1035" i="1"/>
  <c r="N1035" i="1" s="1"/>
  <c r="J1036" i="1"/>
  <c r="N1036" i="1" s="1"/>
  <c r="J1037" i="1"/>
  <c r="N1037" i="1" s="1"/>
  <c r="J1038" i="1"/>
  <c r="N1038" i="1" s="1"/>
  <c r="J1039" i="1"/>
  <c r="N1039" i="1" s="1"/>
  <c r="J1040" i="1"/>
  <c r="N1040" i="1" s="1"/>
  <c r="J1041" i="1"/>
  <c r="N1041" i="1" s="1"/>
  <c r="J1042" i="1"/>
  <c r="N1042" i="1" s="1"/>
  <c r="J1043" i="1"/>
  <c r="N1043" i="1" s="1"/>
  <c r="J1044" i="1"/>
  <c r="N1044" i="1" s="1"/>
  <c r="J1045" i="1"/>
  <c r="N1045" i="1" s="1"/>
  <c r="J1046" i="1"/>
  <c r="N1046" i="1" s="1"/>
  <c r="J1047" i="1"/>
  <c r="N1047" i="1" s="1"/>
  <c r="J1048" i="1"/>
  <c r="N1048" i="1" s="1"/>
  <c r="J1049" i="1"/>
  <c r="N1049" i="1" s="1"/>
  <c r="J1050" i="1"/>
  <c r="N1050" i="1" s="1"/>
  <c r="J1051" i="1"/>
  <c r="N1051" i="1" s="1"/>
  <c r="J1052" i="1"/>
  <c r="N1052" i="1" s="1"/>
  <c r="J1053" i="1"/>
  <c r="N1053" i="1" s="1"/>
  <c r="J1054" i="1"/>
  <c r="N1054" i="1" s="1"/>
  <c r="J1055" i="1"/>
  <c r="N1055" i="1" s="1"/>
  <c r="J1056" i="1"/>
  <c r="N1056" i="1" s="1"/>
  <c r="J1057" i="1"/>
  <c r="N1057" i="1" s="1"/>
  <c r="J1058" i="1"/>
  <c r="N1058" i="1" s="1"/>
  <c r="J1059" i="1"/>
  <c r="N1059" i="1" s="1"/>
  <c r="J1060" i="1"/>
  <c r="N1060" i="1" s="1"/>
  <c r="J1061" i="1"/>
  <c r="N1061" i="1" s="1"/>
  <c r="J1062" i="1"/>
  <c r="N1062" i="1" s="1"/>
  <c r="J1063" i="1"/>
  <c r="N1063" i="1" s="1"/>
  <c r="J1064" i="1"/>
  <c r="N1064" i="1" s="1"/>
  <c r="J1065" i="1"/>
  <c r="N1065" i="1" s="1"/>
  <c r="J1066" i="1"/>
  <c r="N1066" i="1" s="1"/>
  <c r="J1067" i="1"/>
  <c r="N1067" i="1" s="1"/>
  <c r="J1068" i="1"/>
  <c r="N1068" i="1" s="1"/>
  <c r="J1069" i="1"/>
  <c r="N1069" i="1" s="1"/>
  <c r="J1070" i="1"/>
  <c r="N1070" i="1" s="1"/>
  <c r="J1071" i="1"/>
  <c r="N1071" i="1" s="1"/>
  <c r="J1072" i="1"/>
  <c r="N1072" i="1" s="1"/>
  <c r="J1073" i="1"/>
  <c r="N1073" i="1" s="1"/>
  <c r="J1074" i="1"/>
  <c r="N1074" i="1" s="1"/>
  <c r="J1075" i="1"/>
  <c r="N1075" i="1" s="1"/>
  <c r="J1076" i="1"/>
  <c r="N1076" i="1" s="1"/>
  <c r="J1077" i="1"/>
  <c r="N1077" i="1" s="1"/>
  <c r="J1078" i="1"/>
  <c r="N1078" i="1" s="1"/>
  <c r="J1079" i="1"/>
  <c r="N1079" i="1" s="1"/>
  <c r="J1080" i="1"/>
  <c r="N1080" i="1" s="1"/>
  <c r="J1081" i="1"/>
  <c r="N1081" i="1" s="1"/>
  <c r="J1082" i="1"/>
  <c r="N1082" i="1" s="1"/>
  <c r="J1083" i="1"/>
  <c r="N1083" i="1" s="1"/>
  <c r="J1084" i="1"/>
  <c r="N1084" i="1" s="1"/>
  <c r="J1085" i="1"/>
  <c r="N1085" i="1" s="1"/>
  <c r="J1086" i="1"/>
  <c r="N1086" i="1" s="1"/>
  <c r="J1087" i="1"/>
  <c r="N1087" i="1" s="1"/>
  <c r="J1088" i="1"/>
  <c r="N1088" i="1" s="1"/>
  <c r="J1089" i="1"/>
  <c r="N1089" i="1" s="1"/>
  <c r="J1090" i="1"/>
  <c r="N1090" i="1" s="1"/>
  <c r="J1091" i="1"/>
  <c r="N1091" i="1" s="1"/>
  <c r="J1092" i="1"/>
  <c r="N1092" i="1" s="1"/>
  <c r="J1093" i="1"/>
  <c r="N1093" i="1" s="1"/>
  <c r="J1094" i="1"/>
  <c r="N1094" i="1" s="1"/>
  <c r="J1095" i="1"/>
  <c r="N1095" i="1" s="1"/>
  <c r="J1096" i="1"/>
  <c r="N1096" i="1" s="1"/>
  <c r="J1097" i="1"/>
  <c r="N1097" i="1" s="1"/>
  <c r="J1098" i="1"/>
  <c r="N1098" i="1" s="1"/>
  <c r="J1099" i="1"/>
  <c r="N1099" i="1" s="1"/>
  <c r="J1100" i="1"/>
  <c r="N1100" i="1" s="1"/>
  <c r="J1101" i="1"/>
  <c r="N1101" i="1" s="1"/>
  <c r="J1102" i="1"/>
  <c r="N1102" i="1" s="1"/>
  <c r="J1103" i="1"/>
  <c r="N1103" i="1" s="1"/>
  <c r="J1104" i="1"/>
  <c r="N1104" i="1" s="1"/>
  <c r="J1105" i="1"/>
  <c r="N1105" i="1" s="1"/>
  <c r="J1106" i="1"/>
  <c r="N1106" i="1" s="1"/>
  <c r="J1107" i="1"/>
  <c r="N1107" i="1" s="1"/>
  <c r="J1108" i="1"/>
  <c r="N1108" i="1" s="1"/>
  <c r="J1109" i="1"/>
  <c r="N1109" i="1" s="1"/>
  <c r="J1110" i="1"/>
  <c r="N1110" i="1" s="1"/>
  <c r="J1111" i="1"/>
  <c r="N1111" i="1" s="1"/>
  <c r="J1112" i="1"/>
  <c r="N1112" i="1" s="1"/>
  <c r="J1113" i="1"/>
  <c r="N1113" i="1" s="1"/>
  <c r="J1114" i="1"/>
  <c r="N1114" i="1" s="1"/>
  <c r="J1115" i="1"/>
  <c r="N1115" i="1" s="1"/>
  <c r="J1116" i="1"/>
  <c r="N1116" i="1" s="1"/>
  <c r="J1117" i="1"/>
  <c r="N1117" i="1" s="1"/>
  <c r="J1118" i="1"/>
  <c r="N1118" i="1" s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2" i="1"/>
  <c r="R853" i="1"/>
  <c r="R854" i="1"/>
  <c r="R855" i="1"/>
  <c r="R856" i="1"/>
  <c r="R857" i="1"/>
  <c r="R858" i="1"/>
  <c r="R859" i="1"/>
  <c r="R860" i="1"/>
  <c r="R861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2" i="1"/>
  <c r="P853" i="1"/>
  <c r="P854" i="1"/>
  <c r="P855" i="1"/>
  <c r="P856" i="1"/>
  <c r="P857" i="1"/>
  <c r="P858" i="1"/>
  <c r="P859" i="1"/>
  <c r="P860" i="1"/>
  <c r="P861" i="1"/>
  <c r="T1118" i="1" l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4" i="1"/>
  <c r="T903" i="1"/>
  <c r="T902" i="1"/>
  <c r="T901" i="1"/>
  <c r="T900" i="1"/>
  <c r="T899" i="1"/>
  <c r="T898" i="1"/>
  <c r="T897" i="1"/>
  <c r="T896" i="1"/>
  <c r="T895" i="1"/>
  <c r="T894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51" i="1"/>
  <c r="T850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J837" i="1"/>
  <c r="N837" i="1" s="1"/>
  <c r="J838" i="1"/>
  <c r="N838" i="1" s="1"/>
  <c r="J839" i="1"/>
  <c r="N839" i="1" s="1"/>
  <c r="J840" i="1"/>
  <c r="N840" i="1" s="1"/>
  <c r="J841" i="1"/>
  <c r="N841" i="1" s="1"/>
  <c r="J842" i="1"/>
  <c r="N842" i="1" s="1"/>
  <c r="J843" i="1"/>
  <c r="N843" i="1" s="1"/>
  <c r="J844" i="1"/>
  <c r="N844" i="1" s="1"/>
  <c r="J845" i="1"/>
  <c r="N845" i="1" s="1"/>
  <c r="J846" i="1"/>
  <c r="N846" i="1" s="1"/>
  <c r="J847" i="1"/>
  <c r="N847" i="1" s="1"/>
  <c r="J848" i="1"/>
  <c r="N848" i="1" s="1"/>
  <c r="J849" i="1"/>
  <c r="N849" i="1" s="1"/>
  <c r="J852" i="1"/>
  <c r="N852" i="1" s="1"/>
  <c r="J853" i="1"/>
  <c r="N853" i="1" s="1"/>
  <c r="J854" i="1"/>
  <c r="N854" i="1" s="1"/>
  <c r="J855" i="1"/>
  <c r="N855" i="1" s="1"/>
  <c r="J856" i="1"/>
  <c r="N856" i="1" s="1"/>
  <c r="J857" i="1"/>
  <c r="N857" i="1" s="1"/>
  <c r="J858" i="1"/>
  <c r="N858" i="1" s="1"/>
  <c r="J859" i="1"/>
  <c r="N859" i="1" s="1"/>
  <c r="J860" i="1"/>
  <c r="N860" i="1" s="1"/>
  <c r="J861" i="1"/>
  <c r="N861" i="1" s="1"/>
  <c r="J805" i="1"/>
  <c r="N805" i="1" s="1"/>
  <c r="J806" i="1"/>
  <c r="N806" i="1" s="1"/>
  <c r="J807" i="1"/>
  <c r="N807" i="1" s="1"/>
  <c r="J808" i="1"/>
  <c r="N808" i="1" s="1"/>
  <c r="J809" i="1"/>
  <c r="N809" i="1" s="1"/>
  <c r="J810" i="1"/>
  <c r="N810" i="1" s="1"/>
  <c r="J811" i="1"/>
  <c r="N811" i="1" s="1"/>
  <c r="J812" i="1"/>
  <c r="N812" i="1" s="1"/>
  <c r="J813" i="1"/>
  <c r="N813" i="1" s="1"/>
  <c r="J814" i="1"/>
  <c r="N814" i="1" s="1"/>
  <c r="J815" i="1"/>
  <c r="N815" i="1" s="1"/>
  <c r="J816" i="1"/>
  <c r="N816" i="1" s="1"/>
  <c r="J817" i="1"/>
  <c r="N817" i="1" s="1"/>
  <c r="J818" i="1"/>
  <c r="N818" i="1" s="1"/>
  <c r="J819" i="1"/>
  <c r="N819" i="1" s="1"/>
  <c r="J820" i="1"/>
  <c r="N820" i="1" s="1"/>
  <c r="J821" i="1"/>
  <c r="N821" i="1" s="1"/>
  <c r="J822" i="1"/>
  <c r="N822" i="1" s="1"/>
  <c r="J823" i="1"/>
  <c r="N823" i="1" s="1"/>
  <c r="J824" i="1"/>
  <c r="N824" i="1" s="1"/>
  <c r="J825" i="1"/>
  <c r="N825" i="1" s="1"/>
  <c r="J826" i="1"/>
  <c r="N826" i="1" s="1"/>
  <c r="J827" i="1"/>
  <c r="N827" i="1" s="1"/>
  <c r="J828" i="1"/>
  <c r="N828" i="1" s="1"/>
  <c r="J829" i="1"/>
  <c r="N829" i="1" s="1"/>
  <c r="J830" i="1"/>
  <c r="N830" i="1" s="1"/>
  <c r="J831" i="1"/>
  <c r="N831" i="1" s="1"/>
  <c r="J832" i="1"/>
  <c r="N832" i="1" s="1"/>
  <c r="J833" i="1"/>
  <c r="N833" i="1" s="1"/>
  <c r="J834" i="1"/>
  <c r="N834" i="1" s="1"/>
  <c r="J835" i="1"/>
  <c r="N835" i="1" s="1"/>
  <c r="J836" i="1"/>
  <c r="N836" i="1" s="1"/>
  <c r="T861" i="1" l="1"/>
  <c r="T860" i="1"/>
  <c r="T859" i="1"/>
  <c r="T858" i="1"/>
  <c r="T857" i="1"/>
  <c r="T856" i="1"/>
  <c r="T855" i="1"/>
  <c r="T854" i="1"/>
  <c r="T853" i="1"/>
  <c r="T852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B9" i="8"/>
  <c r="P807" i="1"/>
  <c r="R807" i="1"/>
  <c r="T807" i="1" s="1"/>
  <c r="P808" i="1"/>
  <c r="R808" i="1"/>
  <c r="T808" i="1" s="1"/>
  <c r="P809" i="1"/>
  <c r="R809" i="1"/>
  <c r="T809" i="1" s="1"/>
  <c r="P810" i="1"/>
  <c r="R810" i="1"/>
  <c r="T810" i="1" s="1"/>
  <c r="P811" i="1"/>
  <c r="R811" i="1"/>
  <c r="T811" i="1" s="1"/>
  <c r="P812" i="1"/>
  <c r="R812" i="1"/>
  <c r="T812" i="1" s="1"/>
  <c r="P813" i="1"/>
  <c r="R813" i="1"/>
  <c r="T813" i="1" s="1"/>
  <c r="P814" i="1"/>
  <c r="R814" i="1"/>
  <c r="T814" i="1" s="1"/>
  <c r="P815" i="1"/>
  <c r="R815" i="1"/>
  <c r="T815" i="1" s="1"/>
  <c r="P816" i="1"/>
  <c r="R816" i="1"/>
  <c r="T816" i="1" s="1"/>
  <c r="P817" i="1"/>
  <c r="R817" i="1"/>
  <c r="T817" i="1" s="1"/>
  <c r="P818" i="1"/>
  <c r="R818" i="1"/>
  <c r="T818" i="1" s="1"/>
  <c r="P819" i="1"/>
  <c r="R819" i="1"/>
  <c r="T819" i="1" s="1"/>
  <c r="P820" i="1"/>
  <c r="R820" i="1"/>
  <c r="T820" i="1" s="1"/>
  <c r="P821" i="1"/>
  <c r="R821" i="1"/>
  <c r="T821" i="1" s="1"/>
  <c r="P822" i="1"/>
  <c r="R822" i="1"/>
  <c r="T822" i="1" s="1"/>
  <c r="P823" i="1"/>
  <c r="R823" i="1"/>
  <c r="T823" i="1" s="1"/>
  <c r="P824" i="1"/>
  <c r="R824" i="1"/>
  <c r="T824" i="1" s="1"/>
  <c r="P825" i="1"/>
  <c r="R825" i="1"/>
  <c r="T825" i="1" s="1"/>
  <c r="P826" i="1"/>
  <c r="R826" i="1"/>
  <c r="T826" i="1" s="1"/>
  <c r="P827" i="1"/>
  <c r="R827" i="1"/>
  <c r="T827" i="1" s="1"/>
  <c r="P828" i="1"/>
  <c r="R828" i="1"/>
  <c r="T828" i="1" s="1"/>
  <c r="P829" i="1"/>
  <c r="R829" i="1"/>
  <c r="T829" i="1" s="1"/>
  <c r="P830" i="1"/>
  <c r="R830" i="1"/>
  <c r="T830" i="1" s="1"/>
  <c r="P831" i="1"/>
  <c r="R831" i="1"/>
  <c r="T831" i="1" s="1"/>
  <c r="P832" i="1"/>
  <c r="R832" i="1"/>
  <c r="T832" i="1" s="1"/>
  <c r="P833" i="1"/>
  <c r="R833" i="1"/>
  <c r="T833" i="1" s="1"/>
  <c r="P834" i="1"/>
  <c r="R834" i="1"/>
  <c r="T834" i="1" s="1"/>
  <c r="P835" i="1"/>
  <c r="R835" i="1"/>
  <c r="T835" i="1" s="1"/>
  <c r="P836" i="1"/>
  <c r="R836" i="1"/>
  <c r="T836" i="1" s="1"/>
  <c r="J785" i="1"/>
  <c r="N785" i="1" s="1"/>
  <c r="J786" i="1"/>
  <c r="N786" i="1" s="1"/>
  <c r="J787" i="1"/>
  <c r="N787" i="1" s="1"/>
  <c r="J788" i="1"/>
  <c r="N788" i="1" s="1"/>
  <c r="J789" i="1"/>
  <c r="N789" i="1" s="1"/>
  <c r="J790" i="1"/>
  <c r="N790" i="1" s="1"/>
  <c r="J791" i="1"/>
  <c r="N791" i="1" s="1"/>
  <c r="J792" i="1"/>
  <c r="N792" i="1" s="1"/>
  <c r="J793" i="1"/>
  <c r="N793" i="1" s="1"/>
  <c r="J794" i="1"/>
  <c r="N794" i="1" s="1"/>
  <c r="J795" i="1"/>
  <c r="N795" i="1" s="1"/>
  <c r="J796" i="1"/>
  <c r="N796" i="1" s="1"/>
  <c r="J797" i="1"/>
  <c r="N797" i="1" s="1"/>
  <c r="J798" i="1"/>
  <c r="N798" i="1" s="1"/>
  <c r="J799" i="1"/>
  <c r="N799" i="1" s="1"/>
  <c r="J800" i="1"/>
  <c r="N800" i="1" s="1"/>
  <c r="J801" i="1"/>
  <c r="N801" i="1" s="1"/>
  <c r="J802" i="1"/>
  <c r="N802" i="1" s="1"/>
  <c r="J803" i="1"/>
  <c r="N803" i="1" s="1"/>
  <c r="J804" i="1"/>
  <c r="N804" i="1" s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R784" i="1"/>
  <c r="R785" i="1"/>
  <c r="T785" i="1" s="1"/>
  <c r="R786" i="1"/>
  <c r="T786" i="1" s="1"/>
  <c r="R787" i="1"/>
  <c r="T787" i="1" s="1"/>
  <c r="R788" i="1"/>
  <c r="T788" i="1" s="1"/>
  <c r="R789" i="1"/>
  <c r="T789" i="1" s="1"/>
  <c r="R790" i="1"/>
  <c r="T790" i="1" s="1"/>
  <c r="R791" i="1"/>
  <c r="T791" i="1" s="1"/>
  <c r="R792" i="1"/>
  <c r="T792" i="1" s="1"/>
  <c r="R793" i="1"/>
  <c r="T793" i="1" s="1"/>
  <c r="R794" i="1"/>
  <c r="T794" i="1" s="1"/>
  <c r="R795" i="1"/>
  <c r="T795" i="1" s="1"/>
  <c r="R796" i="1"/>
  <c r="T796" i="1" s="1"/>
  <c r="R797" i="1"/>
  <c r="T797" i="1" s="1"/>
  <c r="R798" i="1"/>
  <c r="T798" i="1" s="1"/>
  <c r="R799" i="1"/>
  <c r="T799" i="1" s="1"/>
  <c r="R800" i="1"/>
  <c r="T800" i="1" s="1"/>
  <c r="R801" i="1"/>
  <c r="T801" i="1" s="1"/>
  <c r="R802" i="1"/>
  <c r="T802" i="1" s="1"/>
  <c r="R803" i="1"/>
  <c r="T803" i="1" s="1"/>
  <c r="R804" i="1"/>
  <c r="T804" i="1" s="1"/>
  <c r="R805" i="1"/>
  <c r="T805" i="1" s="1"/>
  <c r="R806" i="1"/>
  <c r="T806" i="1" s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R759" i="1"/>
  <c r="J760" i="1"/>
  <c r="N760" i="1" s="1"/>
  <c r="J761" i="1"/>
  <c r="N761" i="1" s="1"/>
  <c r="J762" i="1"/>
  <c r="N762" i="1" s="1"/>
  <c r="J763" i="1"/>
  <c r="N763" i="1" s="1"/>
  <c r="J764" i="1"/>
  <c r="N764" i="1" s="1"/>
  <c r="J765" i="1"/>
  <c r="N765" i="1" s="1"/>
  <c r="J766" i="1"/>
  <c r="N766" i="1" s="1"/>
  <c r="J767" i="1"/>
  <c r="N767" i="1" s="1"/>
  <c r="J768" i="1"/>
  <c r="N768" i="1" s="1"/>
  <c r="J769" i="1"/>
  <c r="N769" i="1" s="1"/>
  <c r="J770" i="1"/>
  <c r="N770" i="1" s="1"/>
  <c r="J771" i="1"/>
  <c r="N771" i="1" s="1"/>
  <c r="J772" i="1"/>
  <c r="N772" i="1" s="1"/>
  <c r="J773" i="1"/>
  <c r="N773" i="1" s="1"/>
  <c r="J774" i="1"/>
  <c r="N774" i="1" s="1"/>
  <c r="J775" i="1"/>
  <c r="N775" i="1" s="1"/>
  <c r="J776" i="1"/>
  <c r="N776" i="1" s="1"/>
  <c r="J777" i="1"/>
  <c r="N777" i="1" s="1"/>
  <c r="J778" i="1"/>
  <c r="N778" i="1" s="1"/>
  <c r="J779" i="1"/>
  <c r="N779" i="1" s="1"/>
  <c r="J780" i="1"/>
  <c r="N780" i="1" s="1"/>
  <c r="J781" i="1"/>
  <c r="N781" i="1" s="1"/>
  <c r="J782" i="1"/>
  <c r="N782" i="1" s="1"/>
  <c r="J783" i="1"/>
  <c r="N783" i="1" s="1"/>
  <c r="J784" i="1"/>
  <c r="N784" i="1" s="1"/>
  <c r="T783" i="1" l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84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J741" i="1"/>
  <c r="N741" i="1" s="1"/>
  <c r="J742" i="1"/>
  <c r="N742" i="1" s="1"/>
  <c r="J743" i="1"/>
  <c r="N743" i="1" s="1"/>
  <c r="J744" i="1"/>
  <c r="N744" i="1" s="1"/>
  <c r="J745" i="1"/>
  <c r="N745" i="1" s="1"/>
  <c r="J746" i="1"/>
  <c r="N746" i="1" s="1"/>
  <c r="J747" i="1"/>
  <c r="N747" i="1" s="1"/>
  <c r="J748" i="1"/>
  <c r="N748" i="1" s="1"/>
  <c r="J749" i="1"/>
  <c r="N749" i="1" s="1"/>
  <c r="J750" i="1"/>
  <c r="N750" i="1" s="1"/>
  <c r="J751" i="1"/>
  <c r="N751" i="1" s="1"/>
  <c r="J752" i="1"/>
  <c r="N752" i="1" s="1"/>
  <c r="J753" i="1"/>
  <c r="N753" i="1" s="1"/>
  <c r="J754" i="1"/>
  <c r="N754" i="1" s="1"/>
  <c r="J755" i="1"/>
  <c r="N755" i="1" s="1"/>
  <c r="J756" i="1"/>
  <c r="N756" i="1" s="1"/>
  <c r="J757" i="1"/>
  <c r="N757" i="1" s="1"/>
  <c r="J758" i="1"/>
  <c r="N758" i="1" s="1"/>
  <c r="J759" i="1"/>
  <c r="N759" i="1" s="1"/>
  <c r="T759" i="1" l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R740" i="1"/>
  <c r="P740" i="1"/>
  <c r="J740" i="1"/>
  <c r="N740" i="1" s="1"/>
  <c r="R739" i="1"/>
  <c r="R738" i="1"/>
  <c r="R737" i="1"/>
  <c r="R736" i="1"/>
  <c r="R735" i="1"/>
  <c r="P739" i="1"/>
  <c r="P738" i="1"/>
  <c r="P737" i="1"/>
  <c r="P736" i="1"/>
  <c r="P735" i="1"/>
  <c r="J735" i="1"/>
  <c r="N735" i="1" s="1"/>
  <c r="J736" i="1"/>
  <c r="N736" i="1" s="1"/>
  <c r="J737" i="1"/>
  <c r="N737" i="1" s="1"/>
  <c r="J738" i="1"/>
  <c r="N738" i="1" s="1"/>
  <c r="J739" i="1"/>
  <c r="N739" i="1" s="1"/>
  <c r="T735" i="1" l="1"/>
  <c r="T736" i="1"/>
  <c r="T737" i="1"/>
  <c r="T738" i="1"/>
  <c r="T739" i="1"/>
  <c r="T740" i="1"/>
  <c r="P721" i="1"/>
  <c r="P722" i="1"/>
  <c r="R721" i="1"/>
  <c r="R722" i="1"/>
  <c r="J721" i="1"/>
  <c r="N721" i="1" s="1"/>
  <c r="J722" i="1"/>
  <c r="N722" i="1" s="1"/>
  <c r="T722" i="1" l="1"/>
  <c r="T721" i="1"/>
  <c r="R729" i="1"/>
  <c r="R730" i="1"/>
  <c r="R731" i="1"/>
  <c r="R732" i="1"/>
  <c r="R733" i="1"/>
  <c r="R734" i="1"/>
  <c r="P729" i="1"/>
  <c r="P730" i="1"/>
  <c r="P731" i="1"/>
  <c r="P732" i="1"/>
  <c r="P733" i="1"/>
  <c r="P734" i="1"/>
  <c r="J729" i="1"/>
  <c r="N729" i="1" s="1"/>
  <c r="J730" i="1"/>
  <c r="N730" i="1" s="1"/>
  <c r="J731" i="1"/>
  <c r="N731" i="1" s="1"/>
  <c r="J732" i="1"/>
  <c r="N732" i="1" s="1"/>
  <c r="J733" i="1"/>
  <c r="N733" i="1" s="1"/>
  <c r="J734" i="1"/>
  <c r="N734" i="1" s="1"/>
  <c r="R728" i="1"/>
  <c r="R727" i="1"/>
  <c r="R726" i="1"/>
  <c r="R725" i="1"/>
  <c r="R724" i="1"/>
  <c r="R723" i="1"/>
  <c r="P728" i="1"/>
  <c r="P727" i="1"/>
  <c r="P726" i="1"/>
  <c r="P725" i="1"/>
  <c r="P724" i="1"/>
  <c r="P723" i="1"/>
  <c r="J723" i="1"/>
  <c r="N723" i="1" s="1"/>
  <c r="J724" i="1"/>
  <c r="N724" i="1" s="1"/>
  <c r="J725" i="1"/>
  <c r="N725" i="1" s="1"/>
  <c r="J726" i="1"/>
  <c r="N726" i="1" s="1"/>
  <c r="J727" i="1"/>
  <c r="N727" i="1" s="1"/>
  <c r="J728" i="1"/>
  <c r="N728" i="1" s="1"/>
  <c r="T723" i="1" l="1"/>
  <c r="T724" i="1"/>
  <c r="T725" i="1"/>
  <c r="T726" i="1"/>
  <c r="T727" i="1"/>
  <c r="T728" i="1"/>
  <c r="T734" i="1"/>
  <c r="T733" i="1"/>
  <c r="T732" i="1"/>
  <c r="T731" i="1"/>
  <c r="T730" i="1"/>
  <c r="T729" i="1"/>
  <c r="R720" i="1"/>
  <c r="P720" i="1"/>
  <c r="J720" i="1"/>
  <c r="N720" i="1" s="1"/>
  <c r="R719" i="1"/>
  <c r="P719" i="1"/>
  <c r="J719" i="1"/>
  <c r="N719" i="1" s="1"/>
  <c r="R718" i="1"/>
  <c r="P718" i="1"/>
  <c r="J718" i="1"/>
  <c r="N718" i="1" s="1"/>
  <c r="R717" i="1"/>
  <c r="P717" i="1"/>
  <c r="J717" i="1"/>
  <c r="N717" i="1" s="1"/>
  <c r="R716" i="1"/>
  <c r="P716" i="1"/>
  <c r="J716" i="1"/>
  <c r="N716" i="1" s="1"/>
  <c r="R715" i="1"/>
  <c r="P715" i="1"/>
  <c r="J715" i="1"/>
  <c r="N715" i="1" s="1"/>
  <c r="R714" i="1"/>
  <c r="P714" i="1"/>
  <c r="J714" i="1"/>
  <c r="N714" i="1" s="1"/>
  <c r="R713" i="1"/>
  <c r="P713" i="1"/>
  <c r="J713" i="1"/>
  <c r="N713" i="1" s="1"/>
  <c r="R712" i="1"/>
  <c r="P712" i="1"/>
  <c r="J712" i="1"/>
  <c r="N712" i="1" s="1"/>
  <c r="R711" i="1"/>
  <c r="P711" i="1"/>
  <c r="J711" i="1"/>
  <c r="N711" i="1" s="1"/>
  <c r="R710" i="1"/>
  <c r="P710" i="1"/>
  <c r="J710" i="1"/>
  <c r="N710" i="1" s="1"/>
  <c r="R709" i="1"/>
  <c r="P709" i="1"/>
  <c r="J709" i="1"/>
  <c r="N709" i="1" s="1"/>
  <c r="R708" i="1"/>
  <c r="P708" i="1"/>
  <c r="J708" i="1"/>
  <c r="N708" i="1" s="1"/>
  <c r="R707" i="1"/>
  <c r="P707" i="1"/>
  <c r="J707" i="1"/>
  <c r="N707" i="1" s="1"/>
  <c r="R706" i="1"/>
  <c r="P706" i="1"/>
  <c r="J706" i="1"/>
  <c r="N706" i="1" s="1"/>
  <c r="R705" i="1"/>
  <c r="P705" i="1"/>
  <c r="J705" i="1"/>
  <c r="N705" i="1" s="1"/>
  <c r="R704" i="1"/>
  <c r="P704" i="1"/>
  <c r="J704" i="1"/>
  <c r="N704" i="1" s="1"/>
  <c r="R703" i="1"/>
  <c r="P703" i="1"/>
  <c r="J703" i="1"/>
  <c r="N703" i="1" s="1"/>
  <c r="R702" i="1"/>
  <c r="P702" i="1"/>
  <c r="J702" i="1"/>
  <c r="N702" i="1" s="1"/>
  <c r="R701" i="1"/>
  <c r="P701" i="1"/>
  <c r="J701" i="1"/>
  <c r="N701" i="1" s="1"/>
  <c r="R700" i="1"/>
  <c r="P700" i="1"/>
  <c r="J700" i="1"/>
  <c r="N700" i="1" s="1"/>
  <c r="R699" i="1"/>
  <c r="P699" i="1"/>
  <c r="J699" i="1"/>
  <c r="N699" i="1" s="1"/>
  <c r="R698" i="1"/>
  <c r="P698" i="1"/>
  <c r="J698" i="1"/>
  <c r="N698" i="1" s="1"/>
  <c r="R697" i="1"/>
  <c r="P697" i="1"/>
  <c r="J697" i="1"/>
  <c r="N697" i="1" s="1"/>
  <c r="R696" i="1"/>
  <c r="P696" i="1"/>
  <c r="J696" i="1"/>
  <c r="N696" i="1" s="1"/>
  <c r="R695" i="1"/>
  <c r="P695" i="1"/>
  <c r="J695" i="1"/>
  <c r="N695" i="1" s="1"/>
  <c r="R694" i="1"/>
  <c r="P694" i="1"/>
  <c r="J694" i="1"/>
  <c r="N694" i="1" s="1"/>
  <c r="R693" i="1"/>
  <c r="P693" i="1"/>
  <c r="J693" i="1"/>
  <c r="N693" i="1" s="1"/>
  <c r="R692" i="1"/>
  <c r="P692" i="1"/>
  <c r="J692" i="1"/>
  <c r="N692" i="1" s="1"/>
  <c r="R691" i="1"/>
  <c r="P691" i="1"/>
  <c r="J691" i="1"/>
  <c r="N691" i="1" s="1"/>
  <c r="J690" i="1"/>
  <c r="N690" i="1" s="1"/>
  <c r="P690" i="1"/>
  <c r="R690" i="1"/>
  <c r="T690" i="1" s="1"/>
  <c r="T691" i="1" l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R673" i="1"/>
  <c r="R689" i="1"/>
  <c r="P689" i="1"/>
  <c r="R688" i="1"/>
  <c r="P688" i="1"/>
  <c r="R687" i="1"/>
  <c r="P687" i="1"/>
  <c r="R686" i="1"/>
  <c r="P686" i="1"/>
  <c r="R685" i="1"/>
  <c r="P685" i="1"/>
  <c r="R684" i="1"/>
  <c r="P684" i="1"/>
  <c r="R683" i="1"/>
  <c r="P683" i="1"/>
  <c r="R682" i="1"/>
  <c r="P682" i="1"/>
  <c r="R681" i="1"/>
  <c r="P681" i="1"/>
  <c r="R680" i="1"/>
  <c r="P680" i="1"/>
  <c r="R679" i="1"/>
  <c r="P679" i="1"/>
  <c r="R678" i="1"/>
  <c r="P678" i="1"/>
  <c r="R677" i="1"/>
  <c r="P677" i="1"/>
  <c r="R676" i="1"/>
  <c r="P676" i="1"/>
  <c r="R675" i="1"/>
  <c r="P675" i="1"/>
  <c r="R674" i="1"/>
  <c r="P674" i="1"/>
  <c r="P673" i="1"/>
  <c r="R672" i="1"/>
  <c r="P672" i="1"/>
  <c r="R671" i="1"/>
  <c r="P671" i="1"/>
  <c r="R670" i="1"/>
  <c r="P670" i="1"/>
  <c r="R669" i="1"/>
  <c r="P669" i="1"/>
  <c r="J669" i="1"/>
  <c r="N669" i="1" s="1"/>
  <c r="J670" i="1"/>
  <c r="N670" i="1" s="1"/>
  <c r="J671" i="1"/>
  <c r="N671" i="1" s="1"/>
  <c r="J672" i="1"/>
  <c r="N672" i="1" s="1"/>
  <c r="J673" i="1"/>
  <c r="N673" i="1" s="1"/>
  <c r="J674" i="1"/>
  <c r="N674" i="1" s="1"/>
  <c r="J675" i="1"/>
  <c r="N675" i="1" s="1"/>
  <c r="J676" i="1"/>
  <c r="N676" i="1" s="1"/>
  <c r="J677" i="1"/>
  <c r="N677" i="1" s="1"/>
  <c r="J678" i="1"/>
  <c r="N678" i="1" s="1"/>
  <c r="J679" i="1"/>
  <c r="N679" i="1" s="1"/>
  <c r="J680" i="1"/>
  <c r="N680" i="1" s="1"/>
  <c r="J681" i="1"/>
  <c r="N681" i="1" s="1"/>
  <c r="J682" i="1"/>
  <c r="N682" i="1" s="1"/>
  <c r="J683" i="1"/>
  <c r="N683" i="1" s="1"/>
  <c r="J684" i="1"/>
  <c r="N684" i="1" s="1"/>
  <c r="J685" i="1"/>
  <c r="N685" i="1" s="1"/>
  <c r="J686" i="1"/>
  <c r="N686" i="1" s="1"/>
  <c r="J687" i="1"/>
  <c r="N687" i="1" s="1"/>
  <c r="J688" i="1"/>
  <c r="N688" i="1" s="1"/>
  <c r="J689" i="1"/>
  <c r="N689" i="1" s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R667" i="1"/>
  <c r="R668" i="1"/>
  <c r="J667" i="1"/>
  <c r="N667" i="1" s="1"/>
  <c r="J668" i="1"/>
  <c r="N668" i="1" s="1"/>
  <c r="T668" i="1" l="1"/>
  <c r="T667" i="1"/>
  <c r="T669" i="1"/>
  <c r="T670" i="1"/>
  <c r="T671" i="1"/>
  <c r="T672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73" i="1"/>
  <c r="R666" i="1"/>
  <c r="J666" i="1"/>
  <c r="N666" i="1" s="1"/>
  <c r="R665" i="1"/>
  <c r="J665" i="1"/>
  <c r="N665" i="1" s="1"/>
  <c r="R664" i="1"/>
  <c r="J664" i="1"/>
  <c r="N664" i="1" s="1"/>
  <c r="R663" i="1"/>
  <c r="J663" i="1"/>
  <c r="N663" i="1" s="1"/>
  <c r="R662" i="1"/>
  <c r="J662" i="1"/>
  <c r="N662" i="1" s="1"/>
  <c r="R661" i="1"/>
  <c r="J661" i="1"/>
  <c r="N661" i="1" s="1"/>
  <c r="R660" i="1"/>
  <c r="J660" i="1"/>
  <c r="N660" i="1" s="1"/>
  <c r="R659" i="1"/>
  <c r="J659" i="1"/>
  <c r="N659" i="1" s="1"/>
  <c r="R658" i="1"/>
  <c r="J658" i="1"/>
  <c r="N658" i="1" s="1"/>
  <c r="R657" i="1"/>
  <c r="J657" i="1"/>
  <c r="N657" i="1" s="1"/>
  <c r="R656" i="1"/>
  <c r="J656" i="1"/>
  <c r="N656" i="1" s="1"/>
  <c r="R655" i="1"/>
  <c r="J655" i="1"/>
  <c r="N655" i="1" s="1"/>
  <c r="R654" i="1"/>
  <c r="J654" i="1"/>
  <c r="N654" i="1" s="1"/>
  <c r="R653" i="1"/>
  <c r="J653" i="1"/>
  <c r="N653" i="1" s="1"/>
  <c r="R652" i="1"/>
  <c r="J652" i="1"/>
  <c r="N652" i="1" s="1"/>
  <c r="P575" i="1"/>
  <c r="P574" i="1"/>
  <c r="P545" i="1"/>
  <c r="P544" i="1"/>
  <c r="P511" i="1"/>
  <c r="P505" i="1"/>
  <c r="P491" i="1"/>
  <c r="P490" i="1"/>
  <c r="P462" i="1"/>
  <c r="P412" i="1"/>
  <c r="P407" i="1"/>
  <c r="P364" i="1"/>
  <c r="P275" i="1"/>
  <c r="P274" i="1"/>
  <c r="P246" i="1"/>
  <c r="P191" i="1"/>
  <c r="P172" i="1"/>
  <c r="P164" i="1"/>
  <c r="P156" i="1"/>
  <c r="R575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J575" i="1"/>
  <c r="N575" i="1" s="1"/>
  <c r="J635" i="1"/>
  <c r="N635" i="1" s="1"/>
  <c r="J636" i="1"/>
  <c r="N636" i="1" s="1"/>
  <c r="J637" i="1"/>
  <c r="N637" i="1" s="1"/>
  <c r="J638" i="1"/>
  <c r="N638" i="1" s="1"/>
  <c r="J639" i="1"/>
  <c r="N639" i="1" s="1"/>
  <c r="J640" i="1"/>
  <c r="N640" i="1" s="1"/>
  <c r="J641" i="1"/>
  <c r="N641" i="1" s="1"/>
  <c r="J642" i="1"/>
  <c r="N642" i="1" s="1"/>
  <c r="J643" i="1"/>
  <c r="N643" i="1" s="1"/>
  <c r="J644" i="1"/>
  <c r="N644" i="1" s="1"/>
  <c r="J645" i="1"/>
  <c r="N645" i="1" s="1"/>
  <c r="J646" i="1"/>
  <c r="N646" i="1" s="1"/>
  <c r="J647" i="1"/>
  <c r="N647" i="1" s="1"/>
  <c r="J648" i="1"/>
  <c r="N648" i="1" s="1"/>
  <c r="T648" i="1" l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575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49" i="1"/>
  <c r="R650" i="1"/>
  <c r="R651" i="1"/>
  <c r="J609" i="1"/>
  <c r="N609" i="1" s="1"/>
  <c r="J610" i="1"/>
  <c r="N610" i="1" s="1"/>
  <c r="J611" i="1"/>
  <c r="N611" i="1" s="1"/>
  <c r="J612" i="1"/>
  <c r="N612" i="1" s="1"/>
  <c r="J613" i="1"/>
  <c r="N613" i="1" s="1"/>
  <c r="J614" i="1"/>
  <c r="N614" i="1" s="1"/>
  <c r="J615" i="1"/>
  <c r="N615" i="1" s="1"/>
  <c r="J616" i="1"/>
  <c r="N616" i="1" s="1"/>
  <c r="J617" i="1"/>
  <c r="N617" i="1" s="1"/>
  <c r="J618" i="1"/>
  <c r="N618" i="1" s="1"/>
  <c r="J619" i="1"/>
  <c r="N619" i="1" s="1"/>
  <c r="J620" i="1"/>
  <c r="N620" i="1" s="1"/>
  <c r="J621" i="1"/>
  <c r="N621" i="1" s="1"/>
  <c r="J622" i="1"/>
  <c r="N622" i="1" s="1"/>
  <c r="J623" i="1"/>
  <c r="N623" i="1" s="1"/>
  <c r="J624" i="1"/>
  <c r="N624" i="1" s="1"/>
  <c r="J625" i="1"/>
  <c r="N625" i="1" s="1"/>
  <c r="J626" i="1"/>
  <c r="N626" i="1" s="1"/>
  <c r="J627" i="1"/>
  <c r="N627" i="1" s="1"/>
  <c r="J628" i="1"/>
  <c r="N628" i="1" s="1"/>
  <c r="J629" i="1"/>
  <c r="N629" i="1" s="1"/>
  <c r="J630" i="1"/>
  <c r="N630" i="1" s="1"/>
  <c r="J631" i="1"/>
  <c r="N631" i="1" s="1"/>
  <c r="J632" i="1"/>
  <c r="N632" i="1" s="1"/>
  <c r="J633" i="1"/>
  <c r="N633" i="1" s="1"/>
  <c r="J634" i="1"/>
  <c r="N634" i="1" s="1"/>
  <c r="J649" i="1"/>
  <c r="N649" i="1" s="1"/>
  <c r="J650" i="1"/>
  <c r="N650" i="1" s="1"/>
  <c r="J651" i="1"/>
  <c r="N651" i="1" s="1"/>
  <c r="T651" i="1" l="1"/>
  <c r="T650" i="1"/>
  <c r="T649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74" i="1"/>
  <c r="R596" i="1"/>
  <c r="R59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R102" i="1"/>
  <c r="R101" i="1"/>
  <c r="R100" i="1"/>
  <c r="R99" i="1"/>
  <c r="R76" i="1"/>
  <c r="R75" i="1"/>
  <c r="R74" i="1"/>
  <c r="R64" i="1"/>
  <c r="R66" i="1"/>
  <c r="R29" i="1"/>
  <c r="R28" i="1"/>
  <c r="R44" i="1"/>
  <c r="R43" i="1"/>
  <c r="R42" i="1"/>
  <c r="R27" i="1"/>
  <c r="R26" i="1"/>
  <c r="R24" i="1"/>
  <c r="R15" i="1"/>
  <c r="R14" i="1"/>
  <c r="R13" i="1"/>
  <c r="R12" i="1"/>
  <c r="R11" i="1"/>
  <c r="R10" i="1"/>
  <c r="P102" i="1"/>
  <c r="P101" i="1"/>
  <c r="P100" i="1"/>
  <c r="P99" i="1"/>
  <c r="P76" i="1"/>
  <c r="P75" i="1"/>
  <c r="P74" i="1"/>
  <c r="P64" i="1"/>
  <c r="P66" i="1"/>
  <c r="P29" i="1"/>
  <c r="P28" i="1"/>
  <c r="P44" i="1"/>
  <c r="P43" i="1"/>
  <c r="P42" i="1"/>
  <c r="P27" i="1"/>
  <c r="P26" i="1"/>
  <c r="P24" i="1"/>
  <c r="P15" i="1"/>
  <c r="P14" i="1"/>
  <c r="P13" i="1"/>
  <c r="P12" i="1"/>
  <c r="P11" i="1"/>
  <c r="P10" i="1"/>
  <c r="J66" i="1" l="1"/>
  <c r="N66" i="1" s="1"/>
  <c r="J64" i="1"/>
  <c r="N64" i="1" s="1"/>
  <c r="N74" i="1"/>
  <c r="N75" i="1"/>
  <c r="N76" i="1"/>
  <c r="J99" i="1"/>
  <c r="N99" i="1" s="1"/>
  <c r="J100" i="1"/>
  <c r="N100" i="1" s="1"/>
  <c r="J101" i="1"/>
  <c r="N101" i="1" s="1"/>
  <c r="J102" i="1"/>
  <c r="N102" i="1" s="1"/>
  <c r="J576" i="1"/>
  <c r="N576" i="1" s="1"/>
  <c r="J577" i="1"/>
  <c r="N577" i="1" s="1"/>
  <c r="J578" i="1"/>
  <c r="N578" i="1" s="1"/>
  <c r="J579" i="1"/>
  <c r="N579" i="1" s="1"/>
  <c r="J580" i="1"/>
  <c r="N580" i="1" s="1"/>
  <c r="J581" i="1"/>
  <c r="N581" i="1" s="1"/>
  <c r="J582" i="1"/>
  <c r="N582" i="1" s="1"/>
  <c r="J583" i="1"/>
  <c r="N583" i="1" s="1"/>
  <c r="J584" i="1"/>
  <c r="N584" i="1" s="1"/>
  <c r="J585" i="1"/>
  <c r="N585" i="1" s="1"/>
  <c r="J586" i="1"/>
  <c r="N586" i="1" s="1"/>
  <c r="J587" i="1"/>
  <c r="N587" i="1" s="1"/>
  <c r="J588" i="1"/>
  <c r="N588" i="1" s="1"/>
  <c r="J589" i="1"/>
  <c r="N589" i="1" s="1"/>
  <c r="J590" i="1"/>
  <c r="N590" i="1" s="1"/>
  <c r="J591" i="1"/>
  <c r="N591" i="1" s="1"/>
  <c r="J592" i="1"/>
  <c r="N592" i="1" s="1"/>
  <c r="J593" i="1"/>
  <c r="N593" i="1" s="1"/>
  <c r="J594" i="1"/>
  <c r="N594" i="1" s="1"/>
  <c r="J595" i="1"/>
  <c r="N595" i="1" s="1"/>
  <c r="J596" i="1"/>
  <c r="N596" i="1" s="1"/>
  <c r="J574" i="1"/>
  <c r="N574" i="1" s="1"/>
  <c r="J597" i="1"/>
  <c r="N597" i="1" s="1"/>
  <c r="J598" i="1"/>
  <c r="N598" i="1" s="1"/>
  <c r="J599" i="1"/>
  <c r="N599" i="1" s="1"/>
  <c r="J600" i="1"/>
  <c r="N600" i="1" s="1"/>
  <c r="J601" i="1"/>
  <c r="N601" i="1" s="1"/>
  <c r="J602" i="1"/>
  <c r="N602" i="1" s="1"/>
  <c r="J603" i="1"/>
  <c r="N603" i="1" s="1"/>
  <c r="J604" i="1"/>
  <c r="N604" i="1" s="1"/>
  <c r="J605" i="1"/>
  <c r="N605" i="1" s="1"/>
  <c r="J606" i="1"/>
  <c r="N606" i="1" s="1"/>
  <c r="J607" i="1"/>
  <c r="N607" i="1" s="1"/>
  <c r="J608" i="1"/>
  <c r="N608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24" i="1"/>
  <c r="N24" i="1" s="1"/>
  <c r="J26" i="1"/>
  <c r="N26" i="1" s="1"/>
  <c r="J27" i="1"/>
  <c r="N27" i="1" s="1"/>
  <c r="J42" i="1"/>
  <c r="N42" i="1" s="1"/>
  <c r="J43" i="1"/>
  <c r="N43" i="1" s="1"/>
  <c r="J44" i="1"/>
  <c r="N44" i="1" s="1"/>
  <c r="J28" i="1"/>
  <c r="N28" i="1" s="1"/>
  <c r="J29" i="1"/>
  <c r="N29" i="1" s="1"/>
  <c r="H2" i="1"/>
  <c r="R98" i="1"/>
  <c r="R97" i="1"/>
  <c r="R96" i="1"/>
  <c r="R95" i="1"/>
  <c r="R94" i="1"/>
  <c r="R93" i="1"/>
  <c r="R92" i="1"/>
  <c r="R79" i="1"/>
  <c r="R78" i="1"/>
  <c r="R73" i="1"/>
  <c r="R71" i="1"/>
  <c r="R70" i="1"/>
  <c r="R69" i="1"/>
  <c r="R68" i="1"/>
  <c r="R63" i="1"/>
  <c r="R62" i="1"/>
  <c r="R61" i="1"/>
  <c r="R49" i="1"/>
  <c r="R48" i="1"/>
  <c r="R47" i="1"/>
  <c r="R46" i="1"/>
  <c r="R45" i="1"/>
  <c r="R23" i="1"/>
  <c r="R9" i="1"/>
  <c r="R41" i="1"/>
  <c r="R40" i="1"/>
  <c r="R39" i="1"/>
  <c r="R38" i="1"/>
  <c r="R37" i="1"/>
  <c r="R36" i="1"/>
  <c r="R35" i="1"/>
  <c r="R34" i="1"/>
  <c r="R33" i="1"/>
  <c r="R32" i="1"/>
  <c r="R31" i="1"/>
  <c r="R30" i="1"/>
  <c r="R22" i="1"/>
  <c r="R21" i="1"/>
  <c r="R20" i="1"/>
  <c r="T20" i="1" s="1"/>
  <c r="R19" i="1"/>
  <c r="T19" i="1" s="1"/>
  <c r="R17" i="1"/>
  <c r="T17" i="1" s="1"/>
  <c r="R8" i="1"/>
  <c r="R7" i="1"/>
  <c r="R6" i="1"/>
  <c r="R5" i="1"/>
  <c r="R4" i="1"/>
  <c r="P98" i="1"/>
  <c r="P97" i="1"/>
  <c r="P96" i="1"/>
  <c r="P95" i="1"/>
  <c r="P94" i="1"/>
  <c r="P93" i="1"/>
  <c r="P92" i="1"/>
  <c r="P79" i="1"/>
  <c r="P78" i="1"/>
  <c r="P73" i="1"/>
  <c r="P71" i="1"/>
  <c r="P70" i="1"/>
  <c r="P69" i="1"/>
  <c r="P68" i="1"/>
  <c r="P63" i="1"/>
  <c r="P62" i="1"/>
  <c r="P61" i="1"/>
  <c r="P49" i="1"/>
  <c r="P48" i="1"/>
  <c r="P47" i="1"/>
  <c r="P46" i="1"/>
  <c r="P45" i="1"/>
  <c r="P23" i="1"/>
  <c r="P9" i="1"/>
  <c r="P41" i="1"/>
  <c r="P40" i="1"/>
  <c r="P39" i="1"/>
  <c r="P38" i="1"/>
  <c r="P37" i="1"/>
  <c r="P36" i="1"/>
  <c r="P35" i="1"/>
  <c r="P34" i="1"/>
  <c r="P33" i="1"/>
  <c r="P32" i="1"/>
  <c r="P31" i="1"/>
  <c r="P30" i="1"/>
  <c r="P22" i="1"/>
  <c r="P21" i="1"/>
  <c r="P20" i="1"/>
  <c r="P19" i="1"/>
  <c r="P17" i="1"/>
  <c r="P551" i="1"/>
  <c r="J68" i="1"/>
  <c r="N68" i="1" s="1"/>
  <c r="J69" i="1"/>
  <c r="N69" i="1" s="1"/>
  <c r="J70" i="1"/>
  <c r="N70" i="1" s="1"/>
  <c r="J71" i="1"/>
  <c r="N71" i="1" s="1"/>
  <c r="N73" i="1"/>
  <c r="N78" i="1"/>
  <c r="N79" i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8" i="1"/>
  <c r="N98" i="1" s="1"/>
  <c r="J49" i="1"/>
  <c r="N49" i="1" s="1"/>
  <c r="J61" i="1"/>
  <c r="N61" i="1" s="1"/>
  <c r="J62" i="1"/>
  <c r="N62" i="1" s="1"/>
  <c r="J63" i="1"/>
  <c r="N63" i="1" s="1"/>
  <c r="J21" i="1"/>
  <c r="N21" i="1" s="1"/>
  <c r="J22" i="1"/>
  <c r="N22" i="1" s="1"/>
  <c r="J30" i="1"/>
  <c r="N30" i="1" s="1"/>
  <c r="J31" i="1"/>
  <c r="N31" i="1" s="1"/>
  <c r="J32" i="1"/>
  <c r="N32" i="1" s="1"/>
  <c r="J33" i="1"/>
  <c r="N33" i="1" s="1"/>
  <c r="J34" i="1"/>
  <c r="N34" i="1" s="1"/>
  <c r="J35" i="1"/>
  <c r="N35" i="1" s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9" i="1"/>
  <c r="N9" i="1" s="1"/>
  <c r="J23" i="1"/>
  <c r="N23" i="1" s="1"/>
  <c r="J45" i="1"/>
  <c r="N45" i="1" s="1"/>
  <c r="J46" i="1"/>
  <c r="N46" i="1" s="1"/>
  <c r="J47" i="1"/>
  <c r="N47" i="1" s="1"/>
  <c r="J48" i="1"/>
  <c r="N48" i="1" s="1"/>
  <c r="T21" i="1" l="1"/>
  <c r="T22" i="1"/>
  <c r="T30" i="1"/>
  <c r="T31" i="1"/>
  <c r="T32" i="1"/>
  <c r="T33" i="1"/>
  <c r="T34" i="1"/>
  <c r="T35" i="1"/>
  <c r="T36" i="1"/>
  <c r="T37" i="1"/>
  <c r="T38" i="1"/>
  <c r="T39" i="1"/>
  <c r="T40" i="1"/>
  <c r="T41" i="1"/>
  <c r="T9" i="1"/>
  <c r="T23" i="1"/>
  <c r="T45" i="1"/>
  <c r="T46" i="1"/>
  <c r="T47" i="1"/>
  <c r="T48" i="1"/>
  <c r="T49" i="1"/>
  <c r="T61" i="1"/>
  <c r="T62" i="1"/>
  <c r="T63" i="1"/>
  <c r="T68" i="1"/>
  <c r="T69" i="1"/>
  <c r="T70" i="1"/>
  <c r="T71" i="1"/>
  <c r="T72" i="1"/>
  <c r="T73" i="1"/>
  <c r="T78" i="1"/>
  <c r="T79" i="1"/>
  <c r="T92" i="1"/>
  <c r="T93" i="1"/>
  <c r="T94" i="1"/>
  <c r="T95" i="1"/>
  <c r="T96" i="1"/>
  <c r="T97" i="1"/>
  <c r="T98" i="1"/>
  <c r="T29" i="1"/>
  <c r="T28" i="1"/>
  <c r="T44" i="1"/>
  <c r="T43" i="1"/>
  <c r="T42" i="1"/>
  <c r="T27" i="1"/>
  <c r="T26" i="1"/>
  <c r="T24" i="1"/>
  <c r="T15" i="1"/>
  <c r="T14" i="1"/>
  <c r="T13" i="1"/>
  <c r="T12" i="1"/>
  <c r="T11" i="1"/>
  <c r="T10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74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102" i="1"/>
  <c r="T101" i="1"/>
  <c r="T100" i="1"/>
  <c r="T99" i="1"/>
  <c r="T77" i="1"/>
  <c r="T76" i="1"/>
  <c r="T75" i="1"/>
  <c r="T74" i="1"/>
  <c r="T64" i="1"/>
  <c r="T66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P546" i="1"/>
  <c r="P547" i="1"/>
  <c r="P548" i="1"/>
  <c r="P549" i="1"/>
  <c r="P550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J546" i="1"/>
  <c r="N546" i="1" s="1"/>
  <c r="J547" i="1"/>
  <c r="N547" i="1" s="1"/>
  <c r="J548" i="1"/>
  <c r="N548" i="1" s="1"/>
  <c r="J549" i="1"/>
  <c r="N549" i="1" s="1"/>
  <c r="J550" i="1"/>
  <c r="N550" i="1" s="1"/>
  <c r="J551" i="1"/>
  <c r="N551" i="1" s="1"/>
  <c r="J552" i="1"/>
  <c r="N552" i="1" s="1"/>
  <c r="J553" i="1"/>
  <c r="N553" i="1" s="1"/>
  <c r="J554" i="1"/>
  <c r="N554" i="1" s="1"/>
  <c r="J555" i="1"/>
  <c r="N555" i="1" s="1"/>
  <c r="J556" i="1"/>
  <c r="N556" i="1" s="1"/>
  <c r="J557" i="1"/>
  <c r="N557" i="1" s="1"/>
  <c r="J558" i="1"/>
  <c r="N558" i="1" s="1"/>
  <c r="J559" i="1"/>
  <c r="N559" i="1" s="1"/>
  <c r="J560" i="1"/>
  <c r="N560" i="1" s="1"/>
  <c r="J561" i="1"/>
  <c r="N561" i="1" s="1"/>
  <c r="J562" i="1"/>
  <c r="N562" i="1" s="1"/>
  <c r="J563" i="1"/>
  <c r="N563" i="1" s="1"/>
  <c r="J564" i="1"/>
  <c r="N564" i="1" s="1"/>
  <c r="J565" i="1"/>
  <c r="N565" i="1" s="1"/>
  <c r="J566" i="1"/>
  <c r="N566" i="1" s="1"/>
  <c r="J567" i="1"/>
  <c r="N567" i="1" s="1"/>
  <c r="J568" i="1"/>
  <c r="N568" i="1" s="1"/>
  <c r="J569" i="1"/>
  <c r="N569" i="1" s="1"/>
  <c r="J570" i="1"/>
  <c r="N570" i="1" s="1"/>
  <c r="J571" i="1"/>
  <c r="N571" i="1" s="1"/>
  <c r="J572" i="1"/>
  <c r="N572" i="1" s="1"/>
  <c r="J573" i="1"/>
  <c r="N573" i="1" s="1"/>
  <c r="J4" i="1"/>
  <c r="N4" i="1" s="1"/>
  <c r="J5" i="1"/>
  <c r="N5" i="1" s="1"/>
  <c r="J6" i="1"/>
  <c r="N6" i="1" s="1"/>
  <c r="J7" i="1"/>
  <c r="N7" i="1" s="1"/>
  <c r="J8" i="1"/>
  <c r="N8" i="1" s="1"/>
  <c r="T8" i="1" l="1"/>
  <c r="T7" i="1"/>
  <c r="T6" i="1"/>
  <c r="T5" i="1"/>
  <c r="T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8" i="1"/>
  <c r="R409" i="1"/>
  <c r="R410" i="1"/>
  <c r="R411" i="1"/>
  <c r="R407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5" i="1"/>
  <c r="R446" i="1"/>
  <c r="R447" i="1"/>
  <c r="R448" i="1"/>
  <c r="R449" i="1"/>
  <c r="R450" i="1"/>
  <c r="R451" i="1"/>
  <c r="R441" i="1"/>
  <c r="R442" i="1"/>
  <c r="R452" i="1"/>
  <c r="R453" i="1"/>
  <c r="R443" i="1"/>
  <c r="R444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7" i="1"/>
  <c r="P158" i="1"/>
  <c r="P159" i="1"/>
  <c r="P160" i="1"/>
  <c r="P161" i="1"/>
  <c r="P162" i="1"/>
  <c r="P163" i="1"/>
  <c r="P165" i="1"/>
  <c r="P166" i="1"/>
  <c r="P167" i="1"/>
  <c r="P168" i="1"/>
  <c r="P169" i="1"/>
  <c r="P170" i="1"/>
  <c r="P171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8" i="1"/>
  <c r="P409" i="1"/>
  <c r="P410" i="1"/>
  <c r="P411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5" i="1"/>
  <c r="P446" i="1"/>
  <c r="P447" i="1"/>
  <c r="P448" i="1"/>
  <c r="P449" i="1"/>
  <c r="P450" i="1"/>
  <c r="P451" i="1"/>
  <c r="P441" i="1"/>
  <c r="P442" i="1"/>
  <c r="P452" i="1"/>
  <c r="P453" i="1"/>
  <c r="P443" i="1"/>
  <c r="P444" i="1"/>
  <c r="P454" i="1"/>
  <c r="P455" i="1"/>
  <c r="P456" i="1"/>
  <c r="P457" i="1"/>
  <c r="P458" i="1"/>
  <c r="P459" i="1"/>
  <c r="P460" i="1"/>
  <c r="P461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6" i="1"/>
  <c r="P507" i="1"/>
  <c r="P508" i="1"/>
  <c r="P509" i="1"/>
  <c r="P510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103" i="1"/>
  <c r="J104" i="1"/>
  <c r="N104" i="1" s="1"/>
  <c r="J105" i="1"/>
  <c r="N105" i="1" s="1"/>
  <c r="J106" i="1"/>
  <c r="N106" i="1" s="1"/>
  <c r="J107" i="1"/>
  <c r="N107" i="1" s="1"/>
  <c r="J108" i="1"/>
  <c r="N108" i="1" s="1"/>
  <c r="J109" i="1"/>
  <c r="N109" i="1" s="1"/>
  <c r="J110" i="1"/>
  <c r="N110" i="1" s="1"/>
  <c r="J111" i="1"/>
  <c r="N111" i="1" s="1"/>
  <c r="J112" i="1"/>
  <c r="N112" i="1" s="1"/>
  <c r="J113" i="1"/>
  <c r="N113" i="1" s="1"/>
  <c r="J114" i="1"/>
  <c r="N114" i="1" s="1"/>
  <c r="J115" i="1"/>
  <c r="N115" i="1" s="1"/>
  <c r="J116" i="1"/>
  <c r="N116" i="1" s="1"/>
  <c r="J117" i="1"/>
  <c r="N117" i="1" s="1"/>
  <c r="J118" i="1"/>
  <c r="N118" i="1" s="1"/>
  <c r="J119" i="1"/>
  <c r="N119" i="1" s="1"/>
  <c r="J120" i="1"/>
  <c r="N120" i="1" s="1"/>
  <c r="J121" i="1"/>
  <c r="N121" i="1" s="1"/>
  <c r="J122" i="1"/>
  <c r="N122" i="1" s="1"/>
  <c r="J123" i="1"/>
  <c r="N123" i="1" s="1"/>
  <c r="J124" i="1"/>
  <c r="N124" i="1" s="1"/>
  <c r="J125" i="1"/>
  <c r="N125" i="1" s="1"/>
  <c r="J126" i="1"/>
  <c r="N126" i="1" s="1"/>
  <c r="J127" i="1"/>
  <c r="N127" i="1" s="1"/>
  <c r="J128" i="1"/>
  <c r="N128" i="1" s="1"/>
  <c r="J129" i="1"/>
  <c r="N129" i="1" s="1"/>
  <c r="J130" i="1"/>
  <c r="N130" i="1" s="1"/>
  <c r="J131" i="1"/>
  <c r="N131" i="1" s="1"/>
  <c r="J132" i="1"/>
  <c r="N132" i="1" s="1"/>
  <c r="J133" i="1"/>
  <c r="N133" i="1" s="1"/>
  <c r="J134" i="1"/>
  <c r="N134" i="1" s="1"/>
  <c r="J135" i="1"/>
  <c r="N135" i="1" s="1"/>
  <c r="J136" i="1"/>
  <c r="N136" i="1" s="1"/>
  <c r="J137" i="1"/>
  <c r="N137" i="1" s="1"/>
  <c r="J138" i="1"/>
  <c r="N138" i="1" s="1"/>
  <c r="J139" i="1"/>
  <c r="N139" i="1" s="1"/>
  <c r="J140" i="1"/>
  <c r="N140" i="1" s="1"/>
  <c r="J141" i="1"/>
  <c r="N141" i="1" s="1"/>
  <c r="J142" i="1"/>
  <c r="N142" i="1" s="1"/>
  <c r="J143" i="1"/>
  <c r="N143" i="1" s="1"/>
  <c r="J144" i="1"/>
  <c r="N144" i="1" s="1"/>
  <c r="J145" i="1"/>
  <c r="N145" i="1" s="1"/>
  <c r="J146" i="1"/>
  <c r="N146" i="1" s="1"/>
  <c r="J147" i="1"/>
  <c r="N147" i="1" s="1"/>
  <c r="J148" i="1"/>
  <c r="N148" i="1" s="1"/>
  <c r="J149" i="1"/>
  <c r="N149" i="1" s="1"/>
  <c r="J150" i="1"/>
  <c r="N150" i="1" s="1"/>
  <c r="J151" i="1"/>
  <c r="N151" i="1" s="1"/>
  <c r="J152" i="1"/>
  <c r="N152" i="1" s="1"/>
  <c r="J153" i="1"/>
  <c r="N153" i="1" s="1"/>
  <c r="J154" i="1"/>
  <c r="N154" i="1" s="1"/>
  <c r="J155" i="1"/>
  <c r="N155" i="1" s="1"/>
  <c r="J156" i="1"/>
  <c r="N156" i="1" s="1"/>
  <c r="J157" i="1"/>
  <c r="N157" i="1" s="1"/>
  <c r="J158" i="1"/>
  <c r="N158" i="1" s="1"/>
  <c r="J159" i="1"/>
  <c r="N159" i="1" s="1"/>
  <c r="J160" i="1"/>
  <c r="N160" i="1" s="1"/>
  <c r="J161" i="1"/>
  <c r="N161" i="1" s="1"/>
  <c r="J162" i="1"/>
  <c r="N162" i="1" s="1"/>
  <c r="J163" i="1"/>
  <c r="N163" i="1" s="1"/>
  <c r="J164" i="1"/>
  <c r="N164" i="1" s="1"/>
  <c r="J165" i="1"/>
  <c r="N165" i="1" s="1"/>
  <c r="J166" i="1"/>
  <c r="N166" i="1" s="1"/>
  <c r="J167" i="1"/>
  <c r="N167" i="1" s="1"/>
  <c r="J168" i="1"/>
  <c r="N168" i="1" s="1"/>
  <c r="J169" i="1"/>
  <c r="N169" i="1" s="1"/>
  <c r="J170" i="1"/>
  <c r="N170" i="1" s="1"/>
  <c r="J171" i="1"/>
  <c r="N171" i="1" s="1"/>
  <c r="J172" i="1"/>
  <c r="N172" i="1" s="1"/>
  <c r="J173" i="1"/>
  <c r="N173" i="1" s="1"/>
  <c r="J174" i="1"/>
  <c r="N174" i="1" s="1"/>
  <c r="J175" i="1"/>
  <c r="N175" i="1" s="1"/>
  <c r="J176" i="1"/>
  <c r="N176" i="1" s="1"/>
  <c r="J177" i="1"/>
  <c r="N177" i="1" s="1"/>
  <c r="J178" i="1"/>
  <c r="N178" i="1" s="1"/>
  <c r="J179" i="1"/>
  <c r="N179" i="1" s="1"/>
  <c r="J180" i="1"/>
  <c r="N180" i="1" s="1"/>
  <c r="J181" i="1"/>
  <c r="N181" i="1" s="1"/>
  <c r="J182" i="1"/>
  <c r="N182" i="1" s="1"/>
  <c r="J183" i="1"/>
  <c r="N183" i="1" s="1"/>
  <c r="J184" i="1"/>
  <c r="N184" i="1" s="1"/>
  <c r="J185" i="1"/>
  <c r="N185" i="1" s="1"/>
  <c r="J186" i="1"/>
  <c r="N186" i="1" s="1"/>
  <c r="J187" i="1"/>
  <c r="N187" i="1" s="1"/>
  <c r="J188" i="1"/>
  <c r="N188" i="1" s="1"/>
  <c r="J189" i="1"/>
  <c r="N189" i="1" s="1"/>
  <c r="J190" i="1"/>
  <c r="N190" i="1" s="1"/>
  <c r="J191" i="1"/>
  <c r="N191" i="1" s="1"/>
  <c r="J192" i="1"/>
  <c r="N192" i="1" s="1"/>
  <c r="J193" i="1"/>
  <c r="N193" i="1" s="1"/>
  <c r="J194" i="1"/>
  <c r="N194" i="1" s="1"/>
  <c r="J195" i="1"/>
  <c r="N195" i="1" s="1"/>
  <c r="J196" i="1"/>
  <c r="N196" i="1" s="1"/>
  <c r="J197" i="1"/>
  <c r="N197" i="1" s="1"/>
  <c r="J198" i="1"/>
  <c r="N198" i="1" s="1"/>
  <c r="J199" i="1"/>
  <c r="N199" i="1" s="1"/>
  <c r="J200" i="1"/>
  <c r="N200" i="1" s="1"/>
  <c r="J201" i="1"/>
  <c r="N201" i="1" s="1"/>
  <c r="J202" i="1"/>
  <c r="N202" i="1" s="1"/>
  <c r="J203" i="1"/>
  <c r="N203" i="1" s="1"/>
  <c r="J204" i="1"/>
  <c r="N204" i="1" s="1"/>
  <c r="J205" i="1"/>
  <c r="N205" i="1" s="1"/>
  <c r="J206" i="1"/>
  <c r="N206" i="1" s="1"/>
  <c r="J207" i="1"/>
  <c r="N207" i="1" s="1"/>
  <c r="J208" i="1"/>
  <c r="N208" i="1" s="1"/>
  <c r="J209" i="1"/>
  <c r="N209" i="1" s="1"/>
  <c r="J210" i="1"/>
  <c r="N210" i="1" s="1"/>
  <c r="J211" i="1"/>
  <c r="N211" i="1" s="1"/>
  <c r="J212" i="1"/>
  <c r="N212" i="1" s="1"/>
  <c r="J213" i="1"/>
  <c r="N213" i="1" s="1"/>
  <c r="J214" i="1"/>
  <c r="N214" i="1" s="1"/>
  <c r="J215" i="1"/>
  <c r="N215" i="1" s="1"/>
  <c r="J216" i="1"/>
  <c r="N216" i="1" s="1"/>
  <c r="J217" i="1"/>
  <c r="N217" i="1" s="1"/>
  <c r="J218" i="1"/>
  <c r="N218" i="1" s="1"/>
  <c r="J219" i="1"/>
  <c r="N219" i="1" s="1"/>
  <c r="J220" i="1"/>
  <c r="N220" i="1" s="1"/>
  <c r="J221" i="1"/>
  <c r="N221" i="1" s="1"/>
  <c r="J222" i="1"/>
  <c r="N222" i="1" s="1"/>
  <c r="J223" i="1"/>
  <c r="N223" i="1" s="1"/>
  <c r="J224" i="1"/>
  <c r="N224" i="1" s="1"/>
  <c r="J225" i="1"/>
  <c r="N225" i="1" s="1"/>
  <c r="J226" i="1"/>
  <c r="N226" i="1" s="1"/>
  <c r="J227" i="1"/>
  <c r="N227" i="1" s="1"/>
  <c r="J228" i="1"/>
  <c r="N228" i="1" s="1"/>
  <c r="J229" i="1"/>
  <c r="N229" i="1" s="1"/>
  <c r="J230" i="1"/>
  <c r="N230" i="1" s="1"/>
  <c r="J231" i="1"/>
  <c r="N231" i="1" s="1"/>
  <c r="J232" i="1"/>
  <c r="N232" i="1" s="1"/>
  <c r="J233" i="1"/>
  <c r="N233" i="1" s="1"/>
  <c r="J234" i="1"/>
  <c r="N234" i="1" s="1"/>
  <c r="J235" i="1"/>
  <c r="N235" i="1" s="1"/>
  <c r="J236" i="1"/>
  <c r="N236" i="1" s="1"/>
  <c r="J237" i="1"/>
  <c r="N237" i="1" s="1"/>
  <c r="J238" i="1"/>
  <c r="N238" i="1" s="1"/>
  <c r="J239" i="1"/>
  <c r="N239" i="1" s="1"/>
  <c r="J240" i="1"/>
  <c r="N240" i="1" s="1"/>
  <c r="J241" i="1"/>
  <c r="N241" i="1" s="1"/>
  <c r="J242" i="1"/>
  <c r="N242" i="1" s="1"/>
  <c r="J243" i="1"/>
  <c r="N243" i="1" s="1"/>
  <c r="J244" i="1"/>
  <c r="N244" i="1" s="1"/>
  <c r="J245" i="1"/>
  <c r="N245" i="1" s="1"/>
  <c r="J246" i="1"/>
  <c r="N246" i="1" s="1"/>
  <c r="J247" i="1"/>
  <c r="N247" i="1" s="1"/>
  <c r="J248" i="1"/>
  <c r="N248" i="1" s="1"/>
  <c r="J249" i="1"/>
  <c r="N249" i="1" s="1"/>
  <c r="J250" i="1"/>
  <c r="N250" i="1" s="1"/>
  <c r="J251" i="1"/>
  <c r="N251" i="1" s="1"/>
  <c r="J252" i="1"/>
  <c r="N252" i="1" s="1"/>
  <c r="J253" i="1"/>
  <c r="N253" i="1" s="1"/>
  <c r="J254" i="1"/>
  <c r="N254" i="1" s="1"/>
  <c r="J255" i="1"/>
  <c r="N255" i="1" s="1"/>
  <c r="J256" i="1"/>
  <c r="N256" i="1" s="1"/>
  <c r="J257" i="1"/>
  <c r="N257" i="1" s="1"/>
  <c r="J258" i="1"/>
  <c r="N258" i="1" s="1"/>
  <c r="J259" i="1"/>
  <c r="N259" i="1" s="1"/>
  <c r="J260" i="1"/>
  <c r="N260" i="1" s="1"/>
  <c r="J261" i="1"/>
  <c r="N261" i="1" s="1"/>
  <c r="J262" i="1"/>
  <c r="N262" i="1" s="1"/>
  <c r="J263" i="1"/>
  <c r="N263" i="1" s="1"/>
  <c r="J264" i="1"/>
  <c r="N264" i="1" s="1"/>
  <c r="J265" i="1"/>
  <c r="N265" i="1" s="1"/>
  <c r="J266" i="1"/>
  <c r="N266" i="1" s="1"/>
  <c r="J267" i="1"/>
  <c r="N267" i="1" s="1"/>
  <c r="J268" i="1"/>
  <c r="N268" i="1" s="1"/>
  <c r="J269" i="1"/>
  <c r="N269" i="1" s="1"/>
  <c r="J270" i="1"/>
  <c r="N270" i="1" s="1"/>
  <c r="J271" i="1"/>
  <c r="N271" i="1" s="1"/>
  <c r="J272" i="1"/>
  <c r="N272" i="1" s="1"/>
  <c r="J273" i="1"/>
  <c r="N273" i="1" s="1"/>
  <c r="J274" i="1"/>
  <c r="N274" i="1" s="1"/>
  <c r="J275" i="1"/>
  <c r="N275" i="1" s="1"/>
  <c r="J276" i="1"/>
  <c r="N276" i="1" s="1"/>
  <c r="J277" i="1"/>
  <c r="N277" i="1" s="1"/>
  <c r="J278" i="1"/>
  <c r="N278" i="1" s="1"/>
  <c r="J279" i="1"/>
  <c r="N279" i="1" s="1"/>
  <c r="J280" i="1"/>
  <c r="N280" i="1" s="1"/>
  <c r="J281" i="1"/>
  <c r="N281" i="1" s="1"/>
  <c r="J282" i="1"/>
  <c r="N282" i="1" s="1"/>
  <c r="J283" i="1"/>
  <c r="N283" i="1" s="1"/>
  <c r="J284" i="1"/>
  <c r="N284" i="1" s="1"/>
  <c r="J285" i="1"/>
  <c r="N285" i="1" s="1"/>
  <c r="J286" i="1"/>
  <c r="N286" i="1" s="1"/>
  <c r="J287" i="1"/>
  <c r="N287" i="1" s="1"/>
  <c r="J288" i="1"/>
  <c r="N288" i="1" s="1"/>
  <c r="J289" i="1"/>
  <c r="N289" i="1" s="1"/>
  <c r="J290" i="1"/>
  <c r="N290" i="1" s="1"/>
  <c r="J291" i="1"/>
  <c r="N291" i="1" s="1"/>
  <c r="J292" i="1"/>
  <c r="N292" i="1" s="1"/>
  <c r="J293" i="1"/>
  <c r="N293" i="1" s="1"/>
  <c r="J294" i="1"/>
  <c r="N294" i="1" s="1"/>
  <c r="J295" i="1"/>
  <c r="N295" i="1" s="1"/>
  <c r="J296" i="1"/>
  <c r="N296" i="1" s="1"/>
  <c r="J297" i="1"/>
  <c r="N297" i="1" s="1"/>
  <c r="J298" i="1"/>
  <c r="N298" i="1" s="1"/>
  <c r="J299" i="1"/>
  <c r="N299" i="1" s="1"/>
  <c r="J300" i="1"/>
  <c r="N300" i="1" s="1"/>
  <c r="J301" i="1"/>
  <c r="N301" i="1" s="1"/>
  <c r="J302" i="1"/>
  <c r="N302" i="1" s="1"/>
  <c r="J303" i="1"/>
  <c r="N303" i="1" s="1"/>
  <c r="J304" i="1"/>
  <c r="N304" i="1" s="1"/>
  <c r="J305" i="1"/>
  <c r="N305" i="1" s="1"/>
  <c r="J306" i="1"/>
  <c r="N306" i="1" s="1"/>
  <c r="J307" i="1"/>
  <c r="N307" i="1" s="1"/>
  <c r="J308" i="1"/>
  <c r="N308" i="1" s="1"/>
  <c r="J309" i="1"/>
  <c r="N309" i="1" s="1"/>
  <c r="J310" i="1"/>
  <c r="N310" i="1" s="1"/>
  <c r="J311" i="1"/>
  <c r="N311" i="1" s="1"/>
  <c r="J312" i="1"/>
  <c r="N312" i="1" s="1"/>
  <c r="J313" i="1"/>
  <c r="N313" i="1" s="1"/>
  <c r="J314" i="1"/>
  <c r="N314" i="1" s="1"/>
  <c r="J315" i="1"/>
  <c r="N315" i="1" s="1"/>
  <c r="J316" i="1"/>
  <c r="N316" i="1" s="1"/>
  <c r="J317" i="1"/>
  <c r="N317" i="1" s="1"/>
  <c r="J318" i="1"/>
  <c r="N318" i="1" s="1"/>
  <c r="J319" i="1"/>
  <c r="N319" i="1" s="1"/>
  <c r="J320" i="1"/>
  <c r="N320" i="1" s="1"/>
  <c r="J321" i="1"/>
  <c r="N321" i="1" s="1"/>
  <c r="J322" i="1"/>
  <c r="N322" i="1" s="1"/>
  <c r="J323" i="1"/>
  <c r="N323" i="1" s="1"/>
  <c r="J324" i="1"/>
  <c r="N324" i="1" s="1"/>
  <c r="J325" i="1"/>
  <c r="N325" i="1" s="1"/>
  <c r="J326" i="1"/>
  <c r="N326" i="1" s="1"/>
  <c r="J327" i="1"/>
  <c r="N327" i="1" s="1"/>
  <c r="J328" i="1"/>
  <c r="N328" i="1" s="1"/>
  <c r="J329" i="1"/>
  <c r="N329" i="1" s="1"/>
  <c r="J330" i="1"/>
  <c r="N330" i="1" s="1"/>
  <c r="J331" i="1"/>
  <c r="N331" i="1" s="1"/>
  <c r="J332" i="1"/>
  <c r="N332" i="1" s="1"/>
  <c r="J333" i="1"/>
  <c r="N333" i="1" s="1"/>
  <c r="J334" i="1"/>
  <c r="N334" i="1" s="1"/>
  <c r="J335" i="1"/>
  <c r="N335" i="1" s="1"/>
  <c r="J336" i="1"/>
  <c r="N336" i="1" s="1"/>
  <c r="J337" i="1"/>
  <c r="N337" i="1" s="1"/>
  <c r="J338" i="1"/>
  <c r="N338" i="1" s="1"/>
  <c r="J339" i="1"/>
  <c r="N339" i="1" s="1"/>
  <c r="J340" i="1"/>
  <c r="N340" i="1" s="1"/>
  <c r="J341" i="1"/>
  <c r="N341" i="1" s="1"/>
  <c r="J342" i="1"/>
  <c r="N342" i="1" s="1"/>
  <c r="J343" i="1"/>
  <c r="N343" i="1" s="1"/>
  <c r="J344" i="1"/>
  <c r="N344" i="1" s="1"/>
  <c r="J345" i="1"/>
  <c r="N345" i="1" s="1"/>
  <c r="J346" i="1"/>
  <c r="N346" i="1" s="1"/>
  <c r="J347" i="1"/>
  <c r="N347" i="1" s="1"/>
  <c r="J348" i="1"/>
  <c r="N348" i="1" s="1"/>
  <c r="J349" i="1"/>
  <c r="N349" i="1" s="1"/>
  <c r="J350" i="1"/>
  <c r="N350" i="1" s="1"/>
  <c r="J351" i="1"/>
  <c r="N351" i="1" s="1"/>
  <c r="J352" i="1"/>
  <c r="N352" i="1" s="1"/>
  <c r="J353" i="1"/>
  <c r="N353" i="1" s="1"/>
  <c r="J354" i="1"/>
  <c r="N354" i="1" s="1"/>
  <c r="J355" i="1"/>
  <c r="N355" i="1" s="1"/>
  <c r="J356" i="1"/>
  <c r="N356" i="1" s="1"/>
  <c r="J357" i="1"/>
  <c r="N357" i="1" s="1"/>
  <c r="J358" i="1"/>
  <c r="N358" i="1" s="1"/>
  <c r="J359" i="1"/>
  <c r="N359" i="1" s="1"/>
  <c r="J360" i="1"/>
  <c r="N360" i="1" s="1"/>
  <c r="J361" i="1"/>
  <c r="N361" i="1" s="1"/>
  <c r="J362" i="1"/>
  <c r="N362" i="1" s="1"/>
  <c r="J363" i="1"/>
  <c r="N363" i="1" s="1"/>
  <c r="J364" i="1"/>
  <c r="N364" i="1" s="1"/>
  <c r="J365" i="1"/>
  <c r="N365" i="1" s="1"/>
  <c r="J366" i="1"/>
  <c r="N366" i="1" s="1"/>
  <c r="J367" i="1"/>
  <c r="N367" i="1" s="1"/>
  <c r="J368" i="1"/>
  <c r="N368" i="1" s="1"/>
  <c r="J369" i="1"/>
  <c r="N369" i="1" s="1"/>
  <c r="J370" i="1"/>
  <c r="N370" i="1" s="1"/>
  <c r="J371" i="1"/>
  <c r="N371" i="1" s="1"/>
  <c r="J372" i="1"/>
  <c r="N372" i="1" s="1"/>
  <c r="J373" i="1"/>
  <c r="N373" i="1" s="1"/>
  <c r="J374" i="1"/>
  <c r="N374" i="1" s="1"/>
  <c r="J375" i="1"/>
  <c r="N375" i="1" s="1"/>
  <c r="J376" i="1"/>
  <c r="N376" i="1" s="1"/>
  <c r="J377" i="1"/>
  <c r="N377" i="1" s="1"/>
  <c r="J378" i="1"/>
  <c r="N378" i="1" s="1"/>
  <c r="J379" i="1"/>
  <c r="N379" i="1" s="1"/>
  <c r="J380" i="1"/>
  <c r="N380" i="1" s="1"/>
  <c r="J381" i="1"/>
  <c r="N381" i="1" s="1"/>
  <c r="J382" i="1"/>
  <c r="N382" i="1" s="1"/>
  <c r="J383" i="1"/>
  <c r="N383" i="1" s="1"/>
  <c r="J384" i="1"/>
  <c r="N384" i="1" s="1"/>
  <c r="J385" i="1"/>
  <c r="N385" i="1" s="1"/>
  <c r="J386" i="1"/>
  <c r="N386" i="1" s="1"/>
  <c r="J387" i="1"/>
  <c r="N387" i="1" s="1"/>
  <c r="J388" i="1"/>
  <c r="N388" i="1" s="1"/>
  <c r="J389" i="1"/>
  <c r="N389" i="1" s="1"/>
  <c r="J390" i="1"/>
  <c r="N390" i="1" s="1"/>
  <c r="J391" i="1"/>
  <c r="N391" i="1" s="1"/>
  <c r="J392" i="1"/>
  <c r="N392" i="1" s="1"/>
  <c r="J393" i="1"/>
  <c r="N393" i="1" s="1"/>
  <c r="J394" i="1"/>
  <c r="N394" i="1" s="1"/>
  <c r="J395" i="1"/>
  <c r="N395" i="1" s="1"/>
  <c r="J396" i="1"/>
  <c r="N396" i="1" s="1"/>
  <c r="J397" i="1"/>
  <c r="N397" i="1" s="1"/>
  <c r="J398" i="1"/>
  <c r="N398" i="1" s="1"/>
  <c r="J399" i="1"/>
  <c r="N399" i="1" s="1"/>
  <c r="J400" i="1"/>
  <c r="N400" i="1" s="1"/>
  <c r="J401" i="1"/>
  <c r="N401" i="1" s="1"/>
  <c r="J402" i="1"/>
  <c r="N402" i="1" s="1"/>
  <c r="J403" i="1"/>
  <c r="N403" i="1" s="1"/>
  <c r="J404" i="1"/>
  <c r="N404" i="1" s="1"/>
  <c r="J405" i="1"/>
  <c r="N405" i="1" s="1"/>
  <c r="J406" i="1"/>
  <c r="N406" i="1" s="1"/>
  <c r="J408" i="1"/>
  <c r="N408" i="1" s="1"/>
  <c r="J409" i="1"/>
  <c r="N409" i="1" s="1"/>
  <c r="J410" i="1"/>
  <c r="N410" i="1" s="1"/>
  <c r="J411" i="1"/>
  <c r="N411" i="1" s="1"/>
  <c r="J407" i="1"/>
  <c r="N407" i="1" s="1"/>
  <c r="J412" i="1"/>
  <c r="N412" i="1" s="1"/>
  <c r="J413" i="1"/>
  <c r="N413" i="1" s="1"/>
  <c r="J414" i="1"/>
  <c r="N414" i="1" s="1"/>
  <c r="J415" i="1"/>
  <c r="N415" i="1" s="1"/>
  <c r="J416" i="1"/>
  <c r="N416" i="1" s="1"/>
  <c r="J417" i="1"/>
  <c r="N417" i="1" s="1"/>
  <c r="J418" i="1"/>
  <c r="N418" i="1" s="1"/>
  <c r="J419" i="1"/>
  <c r="N419" i="1" s="1"/>
  <c r="J420" i="1"/>
  <c r="N420" i="1" s="1"/>
  <c r="J421" i="1"/>
  <c r="N421" i="1" s="1"/>
  <c r="J422" i="1"/>
  <c r="N422" i="1" s="1"/>
  <c r="J423" i="1"/>
  <c r="N423" i="1" s="1"/>
  <c r="J424" i="1"/>
  <c r="N424" i="1" s="1"/>
  <c r="J425" i="1"/>
  <c r="N425" i="1" s="1"/>
  <c r="J426" i="1"/>
  <c r="N426" i="1" s="1"/>
  <c r="J427" i="1"/>
  <c r="N427" i="1" s="1"/>
  <c r="J428" i="1"/>
  <c r="N428" i="1" s="1"/>
  <c r="J429" i="1"/>
  <c r="N429" i="1" s="1"/>
  <c r="J430" i="1"/>
  <c r="N430" i="1" s="1"/>
  <c r="J431" i="1"/>
  <c r="N431" i="1" s="1"/>
  <c r="J432" i="1"/>
  <c r="N432" i="1" s="1"/>
  <c r="J433" i="1"/>
  <c r="N433" i="1" s="1"/>
  <c r="J434" i="1"/>
  <c r="N434" i="1" s="1"/>
  <c r="J435" i="1"/>
  <c r="N435" i="1" s="1"/>
  <c r="J436" i="1"/>
  <c r="N436" i="1" s="1"/>
  <c r="J437" i="1"/>
  <c r="N437" i="1" s="1"/>
  <c r="J438" i="1"/>
  <c r="N438" i="1" s="1"/>
  <c r="J439" i="1"/>
  <c r="N439" i="1" s="1"/>
  <c r="J440" i="1"/>
  <c r="N440" i="1" s="1"/>
  <c r="J445" i="1"/>
  <c r="N445" i="1" s="1"/>
  <c r="J446" i="1"/>
  <c r="N446" i="1" s="1"/>
  <c r="J447" i="1"/>
  <c r="N447" i="1" s="1"/>
  <c r="J448" i="1"/>
  <c r="N448" i="1" s="1"/>
  <c r="J449" i="1"/>
  <c r="N449" i="1" s="1"/>
  <c r="J450" i="1"/>
  <c r="N450" i="1" s="1"/>
  <c r="J451" i="1"/>
  <c r="N451" i="1" s="1"/>
  <c r="J441" i="1"/>
  <c r="N441" i="1" s="1"/>
  <c r="J442" i="1"/>
  <c r="N442" i="1" s="1"/>
  <c r="J452" i="1"/>
  <c r="N452" i="1" s="1"/>
  <c r="J453" i="1"/>
  <c r="N453" i="1" s="1"/>
  <c r="J443" i="1"/>
  <c r="N443" i="1" s="1"/>
  <c r="J444" i="1"/>
  <c r="N444" i="1" s="1"/>
  <c r="J454" i="1"/>
  <c r="N454" i="1" s="1"/>
  <c r="J455" i="1"/>
  <c r="N455" i="1" s="1"/>
  <c r="J456" i="1"/>
  <c r="N456" i="1" s="1"/>
  <c r="J457" i="1"/>
  <c r="N457" i="1" s="1"/>
  <c r="J458" i="1"/>
  <c r="N458" i="1" s="1"/>
  <c r="J459" i="1"/>
  <c r="N459" i="1" s="1"/>
  <c r="J460" i="1"/>
  <c r="N460" i="1" s="1"/>
  <c r="J461" i="1"/>
  <c r="N461" i="1" s="1"/>
  <c r="J462" i="1"/>
  <c r="N462" i="1" s="1"/>
  <c r="J463" i="1"/>
  <c r="N463" i="1" s="1"/>
  <c r="J464" i="1"/>
  <c r="N464" i="1" s="1"/>
  <c r="J465" i="1"/>
  <c r="N465" i="1" s="1"/>
  <c r="J466" i="1"/>
  <c r="N466" i="1" s="1"/>
  <c r="J467" i="1"/>
  <c r="N467" i="1" s="1"/>
  <c r="J468" i="1"/>
  <c r="N468" i="1" s="1"/>
  <c r="J469" i="1"/>
  <c r="N469" i="1" s="1"/>
  <c r="J470" i="1"/>
  <c r="N470" i="1" s="1"/>
  <c r="J471" i="1"/>
  <c r="N471" i="1" s="1"/>
  <c r="J472" i="1"/>
  <c r="N472" i="1" s="1"/>
  <c r="J473" i="1"/>
  <c r="N473" i="1" s="1"/>
  <c r="J474" i="1"/>
  <c r="N474" i="1" s="1"/>
  <c r="J475" i="1"/>
  <c r="N475" i="1" s="1"/>
  <c r="J476" i="1"/>
  <c r="N476" i="1" s="1"/>
  <c r="J477" i="1"/>
  <c r="N477" i="1" s="1"/>
  <c r="J478" i="1"/>
  <c r="N478" i="1" s="1"/>
  <c r="J479" i="1"/>
  <c r="N479" i="1" s="1"/>
  <c r="J480" i="1"/>
  <c r="N480" i="1" s="1"/>
  <c r="J481" i="1"/>
  <c r="N481" i="1" s="1"/>
  <c r="J482" i="1"/>
  <c r="N482" i="1" s="1"/>
  <c r="J483" i="1"/>
  <c r="N483" i="1" s="1"/>
  <c r="J484" i="1"/>
  <c r="N484" i="1" s="1"/>
  <c r="J485" i="1"/>
  <c r="N485" i="1" s="1"/>
  <c r="J486" i="1"/>
  <c r="N486" i="1" s="1"/>
  <c r="J487" i="1"/>
  <c r="N487" i="1" s="1"/>
  <c r="J488" i="1"/>
  <c r="N488" i="1" s="1"/>
  <c r="J489" i="1"/>
  <c r="N489" i="1" s="1"/>
  <c r="J490" i="1"/>
  <c r="N490" i="1" s="1"/>
  <c r="J491" i="1"/>
  <c r="N491" i="1" s="1"/>
  <c r="J492" i="1"/>
  <c r="N492" i="1" s="1"/>
  <c r="J493" i="1"/>
  <c r="N493" i="1" s="1"/>
  <c r="J494" i="1"/>
  <c r="N494" i="1" s="1"/>
  <c r="J495" i="1"/>
  <c r="N495" i="1" s="1"/>
  <c r="J496" i="1"/>
  <c r="N496" i="1" s="1"/>
  <c r="J497" i="1"/>
  <c r="N497" i="1" s="1"/>
  <c r="J498" i="1"/>
  <c r="N498" i="1" s="1"/>
  <c r="J499" i="1"/>
  <c r="N499" i="1" s="1"/>
  <c r="J500" i="1"/>
  <c r="N500" i="1" s="1"/>
  <c r="J501" i="1"/>
  <c r="N501" i="1" s="1"/>
  <c r="J502" i="1"/>
  <c r="N502" i="1" s="1"/>
  <c r="J503" i="1"/>
  <c r="N503" i="1" s="1"/>
  <c r="J504" i="1"/>
  <c r="N504" i="1" s="1"/>
  <c r="J505" i="1"/>
  <c r="N505" i="1" s="1"/>
  <c r="J506" i="1"/>
  <c r="N506" i="1" s="1"/>
  <c r="J507" i="1"/>
  <c r="N507" i="1" s="1"/>
  <c r="J508" i="1"/>
  <c r="N508" i="1" s="1"/>
  <c r="J509" i="1"/>
  <c r="N509" i="1" s="1"/>
  <c r="J510" i="1"/>
  <c r="N510" i="1" s="1"/>
  <c r="J511" i="1"/>
  <c r="N511" i="1" s="1"/>
  <c r="J512" i="1"/>
  <c r="N512" i="1" s="1"/>
  <c r="J513" i="1"/>
  <c r="N513" i="1" s="1"/>
  <c r="J514" i="1"/>
  <c r="N514" i="1" s="1"/>
  <c r="J515" i="1"/>
  <c r="N515" i="1" s="1"/>
  <c r="J516" i="1"/>
  <c r="N516" i="1" s="1"/>
  <c r="J517" i="1"/>
  <c r="N517" i="1" s="1"/>
  <c r="J518" i="1"/>
  <c r="N518" i="1" s="1"/>
  <c r="J519" i="1"/>
  <c r="N519" i="1" s="1"/>
  <c r="J520" i="1"/>
  <c r="N520" i="1" s="1"/>
  <c r="J521" i="1"/>
  <c r="N521" i="1" s="1"/>
  <c r="J522" i="1"/>
  <c r="N522" i="1" s="1"/>
  <c r="J523" i="1"/>
  <c r="N523" i="1" s="1"/>
  <c r="J524" i="1"/>
  <c r="N524" i="1" s="1"/>
  <c r="J525" i="1"/>
  <c r="N525" i="1" s="1"/>
  <c r="J526" i="1"/>
  <c r="N526" i="1" s="1"/>
  <c r="J527" i="1"/>
  <c r="N527" i="1" s="1"/>
  <c r="J528" i="1"/>
  <c r="N528" i="1" s="1"/>
  <c r="J529" i="1"/>
  <c r="N529" i="1" s="1"/>
  <c r="J530" i="1"/>
  <c r="N530" i="1" s="1"/>
  <c r="J531" i="1"/>
  <c r="N531" i="1" s="1"/>
  <c r="J532" i="1"/>
  <c r="N532" i="1" s="1"/>
  <c r="J533" i="1"/>
  <c r="N533" i="1" s="1"/>
  <c r="J534" i="1"/>
  <c r="N534" i="1" s="1"/>
  <c r="J535" i="1"/>
  <c r="N535" i="1" s="1"/>
  <c r="J536" i="1"/>
  <c r="N536" i="1" s="1"/>
  <c r="J537" i="1"/>
  <c r="N537" i="1" s="1"/>
  <c r="J538" i="1"/>
  <c r="N538" i="1" s="1"/>
  <c r="J539" i="1"/>
  <c r="N539" i="1" s="1"/>
  <c r="J540" i="1"/>
  <c r="N540" i="1" s="1"/>
  <c r="J541" i="1"/>
  <c r="N541" i="1" s="1"/>
  <c r="J542" i="1"/>
  <c r="N542" i="1" s="1"/>
  <c r="J543" i="1"/>
  <c r="N543" i="1" s="1"/>
  <c r="J544" i="1"/>
  <c r="N544" i="1" s="1"/>
  <c r="J545" i="1"/>
  <c r="N545" i="1" s="1"/>
  <c r="J103" i="1"/>
  <c r="N103" i="1" s="1"/>
  <c r="T103" i="1" l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44" i="1"/>
  <c r="T443" i="1"/>
  <c r="T453" i="1"/>
  <c r="T452" i="1"/>
  <c r="T442" i="1"/>
  <c r="T441" i="1"/>
  <c r="T451" i="1"/>
  <c r="T450" i="1"/>
  <c r="T449" i="1"/>
  <c r="T448" i="1"/>
  <c r="T447" i="1"/>
  <c r="T446" i="1"/>
  <c r="T445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07" i="1"/>
  <c r="T411" i="1"/>
  <c r="T410" i="1"/>
  <c r="T409" i="1"/>
  <c r="T408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N2" i="1"/>
  <c r="B2" i="8" s="1"/>
  <c r="B4" i="8" s="1"/>
  <c r="T2" i="1"/>
  <c r="R3" i="4" l="1"/>
  <c r="B19" i="8" s="1"/>
  <c r="B20" i="8" s="1"/>
  <c r="R2" i="1" l="1"/>
  <c r="J2" i="1"/>
  <c r="B1" i="8" s="1"/>
  <c r="D2" i="8" s="1"/>
  <c r="B5" i="8" s="1"/>
  <c r="B24" i="8" l="1"/>
  <c r="B25" i="8" s="1"/>
  <c r="W2" i="1"/>
</calcChain>
</file>

<file path=xl/sharedStrings.xml><?xml version="1.0" encoding="utf-8"?>
<sst xmlns="http://schemas.openxmlformats.org/spreadsheetml/2006/main" count="1851" uniqueCount="279">
  <si>
    <t>Поставшик</t>
  </si>
  <si>
    <t>Агент</t>
  </si>
  <si>
    <t>Клиент</t>
  </si>
  <si>
    <t xml:space="preserve">Дата </t>
  </si>
  <si>
    <t>№ авто</t>
  </si>
  <si>
    <t>ИЗОХ</t>
  </si>
  <si>
    <t>Авто</t>
  </si>
  <si>
    <t>Общая прибль</t>
  </si>
  <si>
    <t>В-о</t>
  </si>
  <si>
    <t>Дата</t>
  </si>
  <si>
    <t>Накд</t>
  </si>
  <si>
    <t>-5</t>
  </si>
  <si>
    <t>-10</t>
  </si>
  <si>
    <t>-15</t>
  </si>
  <si>
    <t>-20</t>
  </si>
  <si>
    <t>Клик</t>
  </si>
  <si>
    <t>Терминал</t>
  </si>
  <si>
    <t>$</t>
  </si>
  <si>
    <t>Курс</t>
  </si>
  <si>
    <t>Сумма</t>
  </si>
  <si>
    <t>Прочие</t>
  </si>
  <si>
    <t>Жами сумма</t>
  </si>
  <si>
    <t>Изох</t>
  </si>
  <si>
    <t>-50</t>
  </si>
  <si>
    <t>Разница</t>
  </si>
  <si>
    <t>ID-Клиента</t>
  </si>
  <si>
    <t xml:space="preserve"> </t>
  </si>
  <si>
    <t>№</t>
  </si>
  <si>
    <t>Примечание</t>
  </si>
  <si>
    <t>От</t>
  </si>
  <si>
    <t>1</t>
  </si>
  <si>
    <t>2</t>
  </si>
  <si>
    <t>3</t>
  </si>
  <si>
    <t>4</t>
  </si>
  <si>
    <t>9</t>
  </si>
  <si>
    <t>10</t>
  </si>
  <si>
    <t>11</t>
  </si>
  <si>
    <t>114</t>
  </si>
  <si>
    <t>113</t>
  </si>
  <si>
    <t>1132</t>
  </si>
  <si>
    <t>15</t>
  </si>
  <si>
    <t>16</t>
  </si>
  <si>
    <t>Газоблок</t>
  </si>
  <si>
    <t>95 G 851 NA</t>
  </si>
  <si>
    <t>Цена 
Приход</t>
  </si>
  <si>
    <t>Сумма 
Приход</t>
  </si>
  <si>
    <t>Цена
 Продажа</t>
  </si>
  <si>
    <t>Сумма 
Продажа</t>
  </si>
  <si>
    <t>40 Y 173 KB</t>
  </si>
  <si>
    <t>90 X 700 CA</t>
  </si>
  <si>
    <t>90 G 991 FA</t>
  </si>
  <si>
    <t>90 G 429 CA</t>
  </si>
  <si>
    <t>Расход 
Авто</t>
  </si>
  <si>
    <t>Фойда</t>
  </si>
  <si>
    <t>Размер</t>
  </si>
  <si>
    <t>Поддон
Шт</t>
  </si>
  <si>
    <t>Блок
 Куб</t>
  </si>
  <si>
    <t>Цена
Поддон</t>
  </si>
  <si>
    <t>Сумма Поддон</t>
  </si>
  <si>
    <t>Блок+
Поддон</t>
  </si>
  <si>
    <t>Получател</t>
  </si>
  <si>
    <t>ПР-Сумма</t>
  </si>
  <si>
    <t>Плателщик</t>
  </si>
  <si>
    <t>Платеелшик</t>
  </si>
  <si>
    <t>Сумма Товар</t>
  </si>
  <si>
    <t>30 N 113 MB</t>
  </si>
  <si>
    <t>50 R 575 CB</t>
  </si>
  <si>
    <t>30 784 WBA</t>
  </si>
  <si>
    <t>VI-004-KT</t>
  </si>
  <si>
    <t>01 U 917 XC</t>
  </si>
  <si>
    <t>95 194 LBA</t>
  </si>
  <si>
    <t>600x300x200</t>
  </si>
  <si>
    <t>Гофур Хазорасп</t>
  </si>
  <si>
    <t>Зафар ога</t>
  </si>
  <si>
    <t>Жамол 22-22</t>
  </si>
  <si>
    <t>Септем Алока</t>
  </si>
  <si>
    <t>"CAOLS KS" MCHJ</t>
  </si>
  <si>
    <t>Завод Остаток</t>
  </si>
  <si>
    <t>URGANCH TAMIRLASH</t>
  </si>
  <si>
    <t>HAZORASP MUHAMMAD</t>
  </si>
  <si>
    <t>Урганч Тамирлаш</t>
  </si>
  <si>
    <t>Инвест Холдинг</t>
  </si>
  <si>
    <t>40 W 910 SB</t>
  </si>
  <si>
    <t>600x300x100</t>
  </si>
  <si>
    <t>90 Z 688 AB</t>
  </si>
  <si>
    <t>95 617 MBA</t>
  </si>
  <si>
    <t>40 148 ECA</t>
  </si>
  <si>
    <t>Авто услу барлдми?</t>
  </si>
  <si>
    <t>Сулаймон Ога Хазарасп</t>
  </si>
  <si>
    <t>Арслон ога</t>
  </si>
  <si>
    <t>Туланди</t>
  </si>
  <si>
    <t>Шохрух ога</t>
  </si>
  <si>
    <t>Рустам Шпик</t>
  </si>
  <si>
    <t>Гайрат Штб</t>
  </si>
  <si>
    <t>90 919 LBA</t>
  </si>
  <si>
    <t>Жамол</t>
  </si>
  <si>
    <t>Клиенты</t>
  </si>
  <si>
    <t>Товар</t>
  </si>
  <si>
    <t>Оплата</t>
  </si>
  <si>
    <t>Остаток</t>
  </si>
  <si>
    <t>1-Урганч Тамирлаш</t>
  </si>
  <si>
    <t>1-Инвест Холдинг</t>
  </si>
  <si>
    <t>Перемечание</t>
  </si>
  <si>
    <t>Поддон 
Шт</t>
  </si>
  <si>
    <t>2-Гофур Хазорасп</t>
  </si>
  <si>
    <t>3-Сулаймон Ога Хазарасп</t>
  </si>
  <si>
    <t>4-Гайрат Штб</t>
  </si>
  <si>
    <t>4-Рустам Шпик</t>
  </si>
  <si>
    <t>Остаток Паддон</t>
  </si>
  <si>
    <t>Возврат паддон</t>
  </si>
  <si>
    <t>90 273 QBA</t>
  </si>
  <si>
    <t>"A-SIA HOUSE" MCHJ</t>
  </si>
  <si>
    <t>"Ифтихор" хусусий корхонаси</t>
  </si>
  <si>
    <t>Оплата лист</t>
  </si>
  <si>
    <t>фарк</t>
  </si>
  <si>
    <t>"EZVIZ CITY"Mchj</t>
  </si>
  <si>
    <t>Гофур хазорасп</t>
  </si>
  <si>
    <t>Мурод ога Урганч</t>
  </si>
  <si>
    <t>3-Мурод ога Урганч</t>
  </si>
  <si>
    <t>85 L 868 PA</t>
  </si>
  <si>
    <t>Xazorasp Ipoteka Qurilish мчж</t>
  </si>
  <si>
    <t>Клентларга тушилган ТОВАР</t>
  </si>
  <si>
    <t>Товар лист</t>
  </si>
  <si>
    <t>Клентларга тушилган ПУЛ</t>
  </si>
  <si>
    <t>ООО "FIDATO GROUP"</t>
  </si>
  <si>
    <t>1-Фидато Груп</t>
  </si>
  <si>
    <t>Фидато Груп</t>
  </si>
  <si>
    <t>25 Q 068 OA</t>
  </si>
  <si>
    <t>90 682 FBA</t>
  </si>
  <si>
    <t>Ирригатсия темир бетон</t>
  </si>
  <si>
    <t>1-Ирригатсия темир бетон</t>
  </si>
  <si>
    <t>80 M 667 YA</t>
  </si>
  <si>
    <t>90 206 HBA</t>
  </si>
  <si>
    <t>90 L 027 DA</t>
  </si>
  <si>
    <t>90 015 WAA</t>
  </si>
  <si>
    <t>Хоразм Инвест Холдинг</t>
  </si>
  <si>
    <t>70 Y 119 GB</t>
  </si>
  <si>
    <t>NORMAT UMIDBEK MCHJ</t>
  </si>
  <si>
    <t>90 S 954 OA</t>
  </si>
  <si>
    <t>Хонкага</t>
  </si>
  <si>
    <t>Жами остстка:</t>
  </si>
  <si>
    <t>1-Хонкага</t>
  </si>
  <si>
    <t>Сумма Товар с паддон</t>
  </si>
  <si>
    <t>Завод Остаток без паддон</t>
  </si>
  <si>
    <t>остаток паддон:</t>
  </si>
  <si>
    <t>"DOMEX GROUP" Mchj</t>
  </si>
  <si>
    <t>1-Нормат Умидбек</t>
  </si>
  <si>
    <t>NORMAT UMIDBEK</t>
  </si>
  <si>
    <t>"Ulgircha savdo diyor" MCHJ</t>
  </si>
  <si>
    <t>Шовот темур битон хусусий корхонаси</t>
  </si>
  <si>
    <t>40 F 105 RB</t>
  </si>
  <si>
    <t>90 K 295 QA</t>
  </si>
  <si>
    <t>Нормат Умидбек</t>
  </si>
  <si>
    <t>90 452 PBA</t>
  </si>
  <si>
    <t>90 306 FBA</t>
  </si>
  <si>
    <t>JAHON QILICH OOO</t>
  </si>
  <si>
    <t>90 255 FBA</t>
  </si>
  <si>
    <t>90 N 831 HA</t>
  </si>
  <si>
    <t>40 E 471 SB</t>
  </si>
  <si>
    <t>клентдан</t>
  </si>
  <si>
    <t>80 N 441 DB</t>
  </si>
  <si>
    <t>Нахт</t>
  </si>
  <si>
    <t>80 C 385 CB</t>
  </si>
  <si>
    <t>Темур</t>
  </si>
  <si>
    <t>Жаср Версал</t>
  </si>
  <si>
    <t>90 734 МВА</t>
  </si>
  <si>
    <t>Jamshidbek Jasmina House</t>
  </si>
  <si>
    <t>Жасур Версал</t>
  </si>
  <si>
    <t>5-Жасур Версал</t>
  </si>
  <si>
    <t>SHIDDAT MONOLIT MCHJ</t>
  </si>
  <si>
    <t>XIVA SAYQAL MCHJ</t>
  </si>
  <si>
    <t>Шиддат маналит</t>
  </si>
  <si>
    <t>Сарвар ога Шовот</t>
  </si>
  <si>
    <t>2-Шиддат маналит</t>
  </si>
  <si>
    <t>3-Сарвар ога Шовот</t>
  </si>
  <si>
    <t>HAZORASP BINOKOR USTA MChJ</t>
  </si>
  <si>
    <t>шопр учун барди</t>
  </si>
  <si>
    <t>Клент шопрга барди:</t>
  </si>
  <si>
    <t>Клентлар шопрга</t>
  </si>
  <si>
    <t>бир машин газаблок даставка учун ташоди</t>
  </si>
  <si>
    <t>SHIDDAT MONOLIT MCHJ бир машин газаблок даставка учун ташоди</t>
  </si>
  <si>
    <t>Мустафо машал</t>
  </si>
  <si>
    <t>40 O 636 TB</t>
  </si>
  <si>
    <t>"SHUKR BARAKA" MCHJ</t>
  </si>
  <si>
    <t>5-Мустафо машал</t>
  </si>
  <si>
    <t>85 L 457 HA</t>
  </si>
  <si>
    <t>600x300x250</t>
  </si>
  <si>
    <t>95 N 260 OA</t>
  </si>
  <si>
    <t>95 C 626 SA</t>
  </si>
  <si>
    <t>90 Z 410 ZZ</t>
  </si>
  <si>
    <t>6-Уткир мини</t>
  </si>
  <si>
    <t>Коровул курилиш монтаж</t>
  </si>
  <si>
    <t>Сардор ога</t>
  </si>
  <si>
    <t>Уткир мини</t>
  </si>
  <si>
    <t>Септем семент</t>
  </si>
  <si>
    <t>HOZORASP MUHAMMAD XO'JAM CHJ</t>
  </si>
  <si>
    <t>95 512 DBA</t>
  </si>
  <si>
    <t>Нахт пластика</t>
  </si>
  <si>
    <t>Шиддат моналит</t>
  </si>
  <si>
    <t>Сумма Оплата Завод</t>
  </si>
  <si>
    <t>80 801 UBA</t>
  </si>
  <si>
    <t>95 693 GBA</t>
  </si>
  <si>
    <t>80 726 ACA</t>
  </si>
  <si>
    <t>90 N 972 QA</t>
  </si>
  <si>
    <t>600x240x200</t>
  </si>
  <si>
    <t>Отабек дамирчи</t>
  </si>
  <si>
    <t>90 340 FBA</t>
  </si>
  <si>
    <t>90 779 EBA</t>
  </si>
  <si>
    <t>95 G 198 SA</t>
  </si>
  <si>
    <t>Х</t>
  </si>
  <si>
    <t xml:space="preserve">  </t>
  </si>
  <si>
    <t>80 S 385 SB</t>
  </si>
  <si>
    <t>5-Одилбек Ера хоус</t>
  </si>
  <si>
    <t>600х300х100</t>
  </si>
  <si>
    <t>Одилбек ога Ера хоус</t>
  </si>
  <si>
    <t>90 S 196 AB</t>
  </si>
  <si>
    <t>Мустофо Машал</t>
  </si>
  <si>
    <t>95 A 242 TA</t>
  </si>
  <si>
    <t>Фидато</t>
  </si>
  <si>
    <t>30 N 341 SB</t>
  </si>
  <si>
    <t>90 388 CBA</t>
  </si>
  <si>
    <t>Сулаймон ога Хазарасп</t>
  </si>
  <si>
    <t>Бунёдкор</t>
  </si>
  <si>
    <t>БУНЕДКОР</t>
  </si>
  <si>
    <t>шиддат маналит</t>
  </si>
  <si>
    <t>Темур ога</t>
  </si>
  <si>
    <t>Одилбек ера</t>
  </si>
  <si>
    <t>Мустофо курилиш Машал</t>
  </si>
  <si>
    <t>Журат ога хонка</t>
  </si>
  <si>
    <t>"БУНЕДКОР" МЧЖ</t>
  </si>
  <si>
    <t>HAZORASP MUHAMMAD XO'JA MChJ</t>
  </si>
  <si>
    <t>КОРОВУЛ КУРИЛИШ МОНТАЖ ХК</t>
  </si>
  <si>
    <t>IRRIGATSIYA TEMIR BETON QURILISH</t>
  </si>
  <si>
    <t>"ERA MOTOR'S" MCHJ</t>
  </si>
  <si>
    <t>``SHUKR BARAKA``MCHJ</t>
  </si>
  <si>
    <t>"Qodiriy Construction" Масъулияти Чекланган Жамият</t>
  </si>
  <si>
    <t>"VATANPARVARLIK YOSHLAR KELAJAGI" MCHJ</t>
  </si>
  <si>
    <t>OOO QILICH-AMIN-NIYAZ</t>
  </si>
  <si>
    <t>Шофйор пули</t>
  </si>
  <si>
    <t>6-Отабек дамирчи</t>
  </si>
  <si>
    <t>5-Журат ога хонка</t>
  </si>
  <si>
    <t>Журат Хонка</t>
  </si>
  <si>
    <t>95 B 760 QA</t>
  </si>
  <si>
    <t>17</t>
  </si>
  <si>
    <t>08.07.2026</t>
  </si>
  <si>
    <t>09.07.2026</t>
  </si>
  <si>
    <t>11.07.2026</t>
  </si>
  <si>
    <t>01 C 487 CB</t>
  </si>
  <si>
    <t>90 L 555 TA</t>
  </si>
  <si>
    <t>90 M 660 LA</t>
  </si>
  <si>
    <t>95 O 144 GA</t>
  </si>
  <si>
    <t>95 641 MBA</t>
  </si>
  <si>
    <t>90 358 MBA</t>
  </si>
  <si>
    <t>Шопир пули 5%</t>
  </si>
  <si>
    <t>S</t>
  </si>
  <si>
    <t>95 F 702 GA</t>
  </si>
  <si>
    <t>90 999 EBA</t>
  </si>
  <si>
    <t>90 924 LBA</t>
  </si>
  <si>
    <t>Мамун Университети</t>
  </si>
  <si>
    <t>6-Мамун Университети</t>
  </si>
  <si>
    <t>Шопир пули</t>
  </si>
  <si>
    <t>94-353-18-02 эликкала бостон</t>
  </si>
  <si>
    <t>Бизадан</t>
  </si>
  <si>
    <t>4-Элликкала Бостон</t>
  </si>
  <si>
    <t>Нахт клиент</t>
  </si>
  <si>
    <t>50 E 093 GB</t>
  </si>
  <si>
    <t>75 084 GBA</t>
  </si>
  <si>
    <t>70 M 307 HB</t>
  </si>
  <si>
    <t>30 100 MAN</t>
  </si>
  <si>
    <t>25 S 005 FA</t>
  </si>
  <si>
    <t>80 591 FCA</t>
  </si>
  <si>
    <t>90 K 034 BB</t>
  </si>
  <si>
    <t>95 044 WAA</t>
  </si>
  <si>
    <t>OOO HAZORASP UNIVERSAL MEGA STROY</t>
  </si>
  <si>
    <t>3-Уктир ога Шовот</t>
  </si>
  <si>
    <t>SHOVOT METOL COMPOSIT mchj</t>
  </si>
  <si>
    <t>90 699 EBA</t>
  </si>
  <si>
    <t>накд клент</t>
  </si>
  <si>
    <t>6-накд клент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</si>
</sst>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#,##0.000"/>
  </numFmts>
  <fonts count="3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8"/>
      <name val="Aptos Narrow"/>
      <family val="2"/>
      <charset val="204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9"/>
      <color theme="1"/>
      <name val="Arial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14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b/>
      <sz val="9"/>
      <color theme="0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1"/>
      <color theme="1"/>
      <name val="Aptos Narrow"/>
      <family val="2"/>
      <scheme val="minor"/>
    </font>
    <font>
      <b/>
      <sz val="11"/>
      <color theme="10"/>
      <name val="Aptos Narrow"/>
      <family val="2"/>
      <scheme val="minor"/>
    </font>
    <font>
      <b/>
      <sz val="11"/>
      <color theme="1"/>
      <name val="Arial"/>
      <family val="2"/>
      <charset val="204"/>
    </font>
    <font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u/>
      <sz val="12"/>
      <name val="Aptos Narrow"/>
      <family val="2"/>
      <scheme val="minor"/>
    </font>
    <font>
      <b/>
      <u/>
      <sz val="14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name val="Arial"/>
      <family val="2"/>
      <charset val="204"/>
    </font>
    <font>
      <sz val="11"/>
      <name val="Aptos Narrow"/>
      <family val="2"/>
      <scheme val="minor"/>
    </font>
    <font>
      <sz val="8"/>
      <color theme="1"/>
      <name val="Aptos Narrow"/>
      <family val="2"/>
      <charset val="204"/>
      <scheme val="minor"/>
    </font>
    <font>
      <sz val="5"/>
      <color theme="1"/>
      <name val="Aptos Narrow"/>
      <family val="2"/>
      <charset val="204"/>
      <scheme val="minor"/>
    </font>
    <font>
      <sz val="14"/>
      <color rgb="FFFF0000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44">
    <xf numFmtId="0" fontId="0" fillId="0" borderId="0" xfId="0"/>
    <xf numFmtId="0" fontId="6" fillId="0" borderId="0" xfId="0" applyFont="1"/>
    <xf numFmtId="3" fontId="0" fillId="0" borderId="6" xfId="0" applyNumberFormat="1" applyBorder="1" applyAlignment="1">
      <alignment horizontal="center" vertical="center"/>
    </xf>
    <xf numFmtId="3" fontId="0" fillId="0" borderId="0" xfId="0" applyNumberFormat="1"/>
    <xf numFmtId="0" fontId="0" fillId="0" borderId="6" xfId="0" applyBorder="1" applyAlignment="1">
      <alignment horizontal="center" vertical="center"/>
    </xf>
    <xf numFmtId="3" fontId="0" fillId="0" borderId="6" xfId="0" applyNumberFormat="1" applyBorder="1"/>
    <xf numFmtId="0" fontId="6" fillId="0" borderId="0" xfId="0" applyFont="1" applyFill="1"/>
    <xf numFmtId="3" fontId="6" fillId="0" borderId="0" xfId="0" applyNumberFormat="1" applyFont="1" applyFill="1"/>
    <xf numFmtId="164" fontId="6" fillId="0" borderId="0" xfId="0" applyNumberFormat="1" applyFont="1" applyFill="1"/>
    <xf numFmtId="3" fontId="12" fillId="0" borderId="0" xfId="0" applyNumberFormat="1" applyFont="1" applyFill="1" applyAlignment="1">
      <alignment horizontal="center" vertical="center"/>
    </xf>
    <xf numFmtId="3" fontId="13" fillId="0" borderId="1" xfId="1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6" xfId="0" applyFont="1" applyFill="1" applyBorder="1"/>
    <xf numFmtId="14" fontId="6" fillId="0" borderId="6" xfId="0" applyNumberFormat="1" applyFont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/>
    </xf>
    <xf numFmtId="14" fontId="6" fillId="0" borderId="0" xfId="0" applyNumberFormat="1" applyFont="1" applyFill="1"/>
    <xf numFmtId="0" fontId="8" fillId="4" borderId="2" xfId="0" applyFont="1" applyFill="1" applyBorder="1" applyAlignment="1">
      <alignment horizontal="center" vertical="center" wrapText="1"/>
    </xf>
    <xf numFmtId="3" fontId="6" fillId="5" borderId="6" xfId="0" applyNumberFormat="1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3" fontId="6" fillId="8" borderId="6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4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3" fontId="5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3" fontId="5" fillId="0" borderId="0" xfId="0" applyNumberFormat="1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 vertical="center"/>
    </xf>
    <xf numFmtId="3" fontId="5" fillId="0" borderId="0" xfId="2" applyNumberFormat="1" applyFont="1" applyFill="1" applyAlignment="1">
      <alignment horizontal="center"/>
    </xf>
    <xf numFmtId="14" fontId="14" fillId="0" borderId="5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3" fontId="14" fillId="0" borderId="5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3" fontId="14" fillId="0" borderId="5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3" fontId="8" fillId="8" borderId="1" xfId="0" applyNumberFormat="1" applyFont="1" applyFill="1" applyBorder="1" applyAlignment="1">
      <alignment horizontal="center" vertical="center" wrapText="1"/>
    </xf>
    <xf numFmtId="0" fontId="6" fillId="0" borderId="6" xfId="0" applyFont="1" applyBorder="1"/>
    <xf numFmtId="3" fontId="15" fillId="4" borderId="6" xfId="0" applyNumberFormat="1" applyFont="1" applyFill="1" applyBorder="1" applyAlignment="1">
      <alignment horizontal="center" vertical="center"/>
    </xf>
    <xf numFmtId="3" fontId="16" fillId="4" borderId="6" xfId="0" applyNumberFormat="1" applyFont="1" applyFill="1" applyBorder="1" applyAlignment="1">
      <alignment horizontal="center" vertical="center"/>
    </xf>
    <xf numFmtId="14" fontId="6" fillId="0" borderId="0" xfId="0" applyNumberFormat="1" applyFont="1"/>
    <xf numFmtId="3" fontId="6" fillId="0" borderId="0" xfId="0" applyNumberFormat="1" applyFont="1"/>
    <xf numFmtId="0" fontId="6" fillId="0" borderId="6" xfId="0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/>
    </xf>
    <xf numFmtId="0" fontId="6" fillId="10" borderId="6" xfId="0" applyFont="1" applyFill="1" applyBorder="1"/>
    <xf numFmtId="0" fontId="6" fillId="4" borderId="6" xfId="0" applyFont="1" applyFill="1" applyBorder="1"/>
    <xf numFmtId="0" fontId="6" fillId="11" borderId="6" xfId="0" applyFont="1" applyFill="1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6" xfId="4" applyFont="1" applyBorder="1"/>
    <xf numFmtId="0" fontId="19" fillId="7" borderId="6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3" fontId="19" fillId="4" borderId="6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 vertical="center"/>
    </xf>
    <xf numFmtId="3" fontId="20" fillId="0" borderId="6" xfId="2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4" fontId="16" fillId="0" borderId="6" xfId="1" applyNumberFormat="1" applyFont="1" applyBorder="1" applyAlignment="1">
      <alignment horizontal="center" vertical="center"/>
    </xf>
    <xf numFmtId="2" fontId="16" fillId="0" borderId="13" xfId="3" applyNumberFormat="1" applyFont="1" applyBorder="1" applyAlignment="1">
      <alignment horizontal="center"/>
    </xf>
    <xf numFmtId="0" fontId="16" fillId="0" borderId="13" xfId="2" applyNumberFormat="1" applyFont="1" applyBorder="1" applyAlignment="1">
      <alignment horizontal="center"/>
    </xf>
    <xf numFmtId="3" fontId="16" fillId="0" borderId="5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/>
    <xf numFmtId="0" fontId="16" fillId="0" borderId="6" xfId="0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0" fontId="6" fillId="0" borderId="12" xfId="0" applyFont="1" applyBorder="1"/>
    <xf numFmtId="0" fontId="6" fillId="0" borderId="10" xfId="0" applyFont="1" applyBorder="1"/>
    <xf numFmtId="3" fontId="6" fillId="0" borderId="11" xfId="0" applyNumberFormat="1" applyFont="1" applyBorder="1" applyAlignment="1">
      <alignment horizontal="center" vertical="center"/>
    </xf>
    <xf numFmtId="14" fontId="6" fillId="0" borderId="10" xfId="0" applyNumberFormat="1" applyFont="1" applyBorder="1"/>
    <xf numFmtId="0" fontId="6" fillId="0" borderId="10" xfId="0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0" xfId="0" applyNumberFormat="1" applyFont="1" applyBorder="1"/>
    <xf numFmtId="0" fontId="6" fillId="7" borderId="6" xfId="0" applyFont="1" applyFill="1" applyBorder="1" applyAlignment="1">
      <alignment horizontal="center" vertical="center" wrapText="1"/>
    </xf>
    <xf numFmtId="0" fontId="6" fillId="6" borderId="7" xfId="0" applyFont="1" applyFill="1" applyBorder="1"/>
    <xf numFmtId="0" fontId="6" fillId="6" borderId="8" xfId="0" applyFont="1" applyFill="1" applyBorder="1"/>
    <xf numFmtId="0" fontId="6" fillId="6" borderId="8" xfId="0" applyFont="1" applyFill="1" applyBorder="1" applyAlignment="1">
      <alignment horizontal="center"/>
    </xf>
    <xf numFmtId="0" fontId="23" fillId="6" borderId="9" xfId="4" applyFont="1" applyFill="1" applyBorder="1" applyAlignment="1">
      <alignment horizontal="center"/>
    </xf>
    <xf numFmtId="0" fontId="16" fillId="6" borderId="5" xfId="4" applyFont="1" applyFill="1" applyBorder="1" applyAlignment="1">
      <alignment horizontal="center"/>
    </xf>
    <xf numFmtId="3" fontId="21" fillId="4" borderId="6" xfId="0" applyNumberFormat="1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6" fillId="6" borderId="0" xfId="0" applyFont="1" applyFill="1" applyBorder="1"/>
    <xf numFmtId="0" fontId="6" fillId="6" borderId="0" xfId="0" applyFont="1" applyFill="1" applyBorder="1" applyAlignment="1">
      <alignment horizontal="center"/>
    </xf>
    <xf numFmtId="0" fontId="23" fillId="6" borderId="12" xfId="4" applyFont="1" applyFill="1" applyBorder="1" applyAlignment="1">
      <alignment horizontal="center"/>
    </xf>
    <xf numFmtId="0" fontId="22" fillId="6" borderId="9" xfId="4" applyFont="1" applyFill="1" applyBorder="1" applyAlignment="1">
      <alignment horizontal="center"/>
    </xf>
    <xf numFmtId="3" fontId="17" fillId="0" borderId="6" xfId="0" applyNumberFormat="1" applyFont="1" applyBorder="1" applyAlignment="1">
      <alignment horizontal="center"/>
    </xf>
    <xf numFmtId="0" fontId="18" fillId="0" borderId="6" xfId="4" applyFont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 wrapText="1"/>
    </xf>
    <xf numFmtId="0" fontId="22" fillId="6" borderId="0" xfId="4" applyFont="1" applyFill="1" applyBorder="1" applyAlignment="1">
      <alignment horizontal="center"/>
    </xf>
    <xf numFmtId="1" fontId="6" fillId="4" borderId="10" xfId="0" applyNumberFormat="1" applyFont="1" applyFill="1" applyBorder="1" applyAlignment="1">
      <alignment vertical="center" wrapText="1"/>
    </xf>
    <xf numFmtId="1" fontId="0" fillId="0" borderId="0" xfId="0" applyNumberFormat="1"/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0" fontId="26" fillId="6" borderId="9" xfId="4" applyFont="1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3" fontId="0" fillId="9" borderId="6" xfId="0" applyNumberFormat="1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0" fillId="8" borderId="6" xfId="0" applyNumberFormat="1" applyFill="1" applyBorder="1" applyAlignment="1">
      <alignment horizontal="center"/>
    </xf>
    <xf numFmtId="3" fontId="17" fillId="7" borderId="6" xfId="0" applyNumberFormat="1" applyFont="1" applyFill="1" applyBorder="1" applyAlignment="1">
      <alignment horizontal="center"/>
    </xf>
    <xf numFmtId="0" fontId="27" fillId="8" borderId="6" xfId="0" applyFont="1" applyFill="1" applyBorder="1" applyAlignment="1">
      <alignment horizont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3" fontId="17" fillId="12" borderId="6" xfId="0" applyNumberFormat="1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3" fontId="0" fillId="11" borderId="6" xfId="0" applyNumberForma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8" fillId="8" borderId="6" xfId="0" applyFont="1" applyFill="1" applyBorder="1" applyAlignment="1">
      <alignment horizont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0" fontId="29" fillId="6" borderId="9" xfId="4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14" fontId="6" fillId="11" borderId="6" xfId="0" applyNumberFormat="1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 vertical="center"/>
    </xf>
    <xf numFmtId="14" fontId="6" fillId="10" borderId="6" xfId="0" applyNumberFormat="1" applyFont="1" applyFill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16" fontId="6" fillId="0" borderId="6" xfId="0" applyNumberFormat="1" applyFont="1" applyFill="1" applyBorder="1" applyAlignment="1">
      <alignment horizontal="center" vertical="center"/>
    </xf>
    <xf numFmtId="0" fontId="32" fillId="0" borderId="0" xfId="0" applyFont="1"/>
    <xf numFmtId="164" fontId="19" fillId="4" borderId="6" xfId="0" applyNumberFormat="1" applyFont="1" applyFill="1" applyBorder="1" applyAlignment="1">
      <alignment horizontal="center" vertical="center"/>
    </xf>
    <xf numFmtId="14" fontId="6" fillId="13" borderId="0" xfId="0" applyNumberFormat="1" applyFont="1" applyFill="1"/>
    <xf numFmtId="3" fontId="6" fillId="13" borderId="0" xfId="0" applyNumberFormat="1" applyFont="1" applyFill="1"/>
    <xf numFmtId="0" fontId="6" fillId="13" borderId="0" xfId="0" applyFont="1" applyFill="1"/>
    <xf numFmtId="0" fontId="6" fillId="13" borderId="6" xfId="0" applyFont="1" applyFill="1" applyBorder="1"/>
    <xf numFmtId="14" fontId="6" fillId="13" borderId="6" xfId="0" applyNumberFormat="1" applyFont="1" applyFill="1" applyBorder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15" fillId="4" borderId="6" xfId="0" applyFont="1" applyFill="1" applyBorder="1" applyAlignment="1">
      <alignment horizontal="center" vertical="center"/>
    </xf>
    <xf numFmtId="164" fontId="33" fillId="0" borderId="0" xfId="0" applyNumberFormat="1" applyFont="1" applyFill="1" applyAlignment="1">
      <alignment horizontal="center" vertical="center"/>
    </xf>
    <xf numFmtId="3" fontId="33" fillId="0" borderId="0" xfId="0" applyNumberFormat="1" applyFont="1" applyFill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0" fontId="6" fillId="14" borderId="6" xfId="0" applyFont="1" applyFill="1" applyBorder="1"/>
    <xf numFmtId="14" fontId="6" fillId="14" borderId="6" xfId="0" applyNumberFormat="1" applyFont="1" applyFill="1" applyBorder="1" applyAlignment="1">
      <alignment horizontal="center" vertical="center"/>
    </xf>
    <xf numFmtId="14" fontId="5" fillId="15" borderId="0" xfId="0" applyNumberFormat="1" applyFont="1" applyFill="1" applyAlignment="1">
      <alignment horizontal="center"/>
    </xf>
    <xf numFmtId="3" fontId="16" fillId="0" borderId="6" xfId="0" applyNumberFormat="1" applyFont="1" applyFill="1" applyBorder="1" applyAlignment="1">
      <alignment horizontal="center" vertical="center"/>
    </xf>
    <xf numFmtId="3" fontId="16" fillId="0" borderId="5" xfId="0" applyNumberFormat="1" applyFont="1" applyFill="1" applyBorder="1" applyAlignment="1">
      <alignment horizontal="center" vertical="center"/>
    </xf>
    <xf numFmtId="3" fontId="16" fillId="0" borderId="10" xfId="0" applyNumberFormat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wrapText="1"/>
    </xf>
    <xf numFmtId="14" fontId="16" fillId="0" borderId="6" xfId="1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6" fillId="15" borderId="6" xfId="0" applyFont="1" applyFill="1" applyBorder="1"/>
    <xf numFmtId="14" fontId="6" fillId="15" borderId="6" xfId="0" applyNumberFormat="1" applyFont="1" applyFill="1" applyBorder="1" applyAlignment="1">
      <alignment horizontal="center" vertical="center"/>
    </xf>
    <xf numFmtId="9" fontId="6" fillId="0" borderId="0" xfId="0" applyNumberFormat="1" applyFont="1"/>
    <xf numFmtId="14" fontId="6" fillId="16" borderId="6" xfId="0" applyNumberFormat="1" applyFont="1" applyFill="1" applyBorder="1"/>
    <xf numFmtId="3" fontId="6" fillId="16" borderId="6" xfId="0" applyNumberFormat="1" applyFont="1" applyFill="1" applyBorder="1" applyAlignment="1">
      <alignment horizontal="center" vertical="center"/>
    </xf>
    <xf numFmtId="14" fontId="6" fillId="16" borderId="6" xfId="0" applyNumberFormat="1" applyFont="1" applyFill="1" applyBorder="1" applyAlignment="1">
      <alignment horizontal="center" vertic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" fontId="0" fillId="0" borderId="6" xfId="0" applyNumberFormat="1" applyBorder="1" applyAlignment="1">
      <alignment horizontal="center" vertical="center"/>
    </xf>
    <xf numFmtId="1" fontId="0" fillId="0" borderId="6" xfId="0" applyNumberFormat="1" applyBorder="1"/>
    <xf numFmtId="0" fontId="15" fillId="11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14" fontId="16" fillId="11" borderId="6" xfId="0" applyNumberFormat="1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3" fontId="16" fillId="15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16" fillId="6" borderId="5" xfId="4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3" fontId="21" fillId="4" borderId="6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16" fillId="6" borderId="6" xfId="4" applyFont="1" applyFill="1" applyBorder="1" applyAlignment="1">
      <alignment horizontal="center"/>
    </xf>
    <xf numFmtId="3" fontId="25" fillId="4" borderId="6" xfId="0" applyNumberFormat="1" applyFont="1" applyFill="1" applyBorder="1" applyAlignment="1">
      <alignment horizontal="center" vertical="center"/>
    </xf>
    <xf numFmtId="3" fontId="24" fillId="4" borderId="3" xfId="0" applyNumberFormat="1" applyFont="1" applyFill="1" applyBorder="1" applyAlignment="1">
      <alignment horizontal="center" vertical="center"/>
    </xf>
    <xf numFmtId="3" fontId="24" fillId="4" borderId="14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</cellXfs>
  <cellStyles count="5">
    <cellStyle name="Гиперссылка" xfId="4" builtinId="8"/>
    <cellStyle name="Обычный" xfId="0" builtinId="0"/>
    <cellStyle name="Обычный 2" xfId="1" xr:uid="{A66EA5C6-0FCE-429F-B202-8F9371F0A538}"/>
    <cellStyle name="Финансовый" xfId="2" builtinId="3"/>
    <cellStyle name="Финансовый [0]" xfId="3" builtinId="6"/>
  </cellStyles>
  <dxfs count="8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164" formatCode="#,##0.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3" formatCode="#,##0"/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numFmt numFmtId="19" formatCode="dd/mm/yyyy"/>
      <fill>
        <patternFill patternType="none">
          <bgColor auto="1"/>
        </patternFill>
      </fill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family val="2"/>
        <charset val="204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759CA-1766-48B1-A3EA-C89A95CEABB1}" name="ОплатаЗавод" displayName="ОплатаЗавод" ref="A2:D35" totalsRowShown="0" headerRowDxfId="863" dataDxfId="862">
  <autoFilter ref="A2:D35" xr:uid="{E19759CA-1766-48B1-A3EA-C89A95CEABB1}"/>
  <tableColumns count="4">
    <tableColumn id="1" xr3:uid="{4EFDD941-3B12-43FD-A4BC-FA794B2B0743}" name="Дата" dataDxfId="861"/>
    <tableColumn id="2" xr3:uid="{674E4C1C-082E-42D2-AB83-5E3F23316BAB}" name="Сумма" dataDxfId="860"/>
    <tableColumn id="3" xr3:uid="{7F93E62C-1397-4294-847A-369FF11C5969}" name="Платеелшик" dataDxfId="859"/>
    <tableColumn id="4" xr3:uid="{87A8D68B-2B8D-4BA1-A35D-BC3116ED719E}" name="Получател" dataDxfId="85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5DCA2E-4781-48AB-A969-5CE68B76DDB8}" name="Таблица15" displayName="Таблица15" ref="A4:T1049" totalsRowShown="0" headerRowDxfId="857" dataDxfId="855" headerRowBorderDxfId="856" tableBorderDxfId="854">
  <autoFilter ref="A4:T1049" xr:uid="{885DCA2E-4781-48AB-A969-5CE68B76DDB8}"/>
  <sortState xmlns:xlrd2="http://schemas.microsoft.com/office/spreadsheetml/2017/richdata2" ref="A364:T808">
    <sortCondition ref="A4:A1048"/>
  </sortState>
  <tableColumns count="20">
    <tableColumn id="1" xr3:uid="{BA8254D8-657A-4B7C-A89B-142F05645F64}" name="Дата" dataDxfId="853"/>
    <tableColumn id="2" xr3:uid="{301ED811-946A-476F-A93B-00DD90391E26}" name="Агент" dataDxfId="852"/>
    <tableColumn id="3" xr3:uid="{27B0F56F-62E6-4532-88EA-C75A4ECC76A5}" name="Клиент" dataDxfId="851"/>
    <tableColumn id="4" xr3:uid="{58D25742-C80E-476F-A6D2-A13506C7B916}" name="ПР-Сумма" dataDxfId="850"/>
    <tableColumn id="5" xr3:uid="{E1938CFE-5EF5-47E9-9FE9-40E24C1C1531}" name="Плателщик" dataDxfId="849"/>
    <tableColumn id="6" xr3:uid="{9AF99753-E931-4515-9334-39A7A42F77EE}" name="Накд" dataDxfId="848"/>
    <tableColumn id="22" xr3:uid="{16EE0E54-5F80-418C-AC4B-E3582042AC62}" name="-5" dataDxfId="847"/>
    <tableColumn id="21" xr3:uid="{5ABBEFF5-E9DB-4807-A5EC-9DEAC2F3DE8A}" name="-10" dataDxfId="846"/>
    <tableColumn id="26" xr3:uid="{701906BF-7519-415A-BB13-EF88D55CE298}" name="-15" dataDxfId="845"/>
    <tableColumn id="20" xr3:uid="{E59DC729-EB95-49B2-B0F7-B92A8F054B6F}" name="-20" dataDxfId="844"/>
    <tableColumn id="25" xr3:uid="{92E8D095-6743-4F86-B8D1-CF5ABE3F12B1}" name="-50" dataDxfId="843"/>
    <tableColumn id="7" xr3:uid="{6639E104-37B9-4CFB-BCE0-1197AE5150AD}" name="Клик" dataDxfId="842"/>
    <tableColumn id="8" xr3:uid="{8BFD865D-9600-408D-9699-8FDE4DDC713F}" name="Терминал" dataDxfId="841"/>
    <tableColumn id="11" xr3:uid="{A5EA5229-219A-46C7-9B93-96744F996992}" name="$" dataDxfId="840"/>
    <tableColumn id="12" xr3:uid="{4DDF093A-B686-4931-99B1-A8BC1CAC7D77}" name="Курс" dataDxfId="839"/>
    <tableColumn id="13" xr3:uid="{62486F82-46D2-4570-ADC1-B12DC357AE51}" name="Сумма" dataDxfId="838"/>
    <tableColumn id="14" xr3:uid="{E5678C16-C225-4692-87FB-8D9A7ED5A00C}" name="Прочие" dataDxfId="837"/>
    <tableColumn id="15" xr3:uid="{8BBE5727-05A1-4BAF-AD3B-9D671AE33A41}" name="Жами сумма" dataDxfId="836"/>
    <tableColumn id="16" xr3:uid="{99E33BE6-387E-4DF4-9C20-5982ECD28944}" name="Получател" dataDxfId="835"/>
    <tableColumn id="17" xr3:uid="{FDB68EB0-13F3-4446-8A1F-969731FDFA89}" name="Изох" dataDxfId="83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1AA9D-808C-442F-AF5C-1359F40ABE75}" name="Таблица1" displayName="Таблица1" ref="A3:U1118" totalsRowShown="0" headerRowDxfId="833" dataDxfId="832">
  <autoFilter ref="A3:U1118" xr:uid="{13D1AA9D-808C-442F-AF5C-1359F40ABE75}"/>
  <sortState xmlns:xlrd2="http://schemas.microsoft.com/office/spreadsheetml/2017/richdata2" ref="A4:T1118">
    <sortCondition ref="E3:E1118"/>
  </sortState>
  <tableColumns count="21">
    <tableColumn id="1" xr3:uid="{CEE3FDDB-39ED-4FA5-A13E-BEBEAFBC0833}" name="В-о" dataDxfId="831"/>
    <tableColumn id="2" xr3:uid="{C8282349-B91A-459E-A0B9-264D314B01DC}" name="Поставшик" dataDxfId="830"/>
    <tableColumn id="3" xr3:uid="{173E9C5B-74AE-42E3-B7CF-2098CF36D3E8}" name="Агент" dataDxfId="829"/>
    <tableColumn id="4" xr3:uid="{C5D394A6-016B-4FC1-808A-C4822AF78FC3}" name="Клиент" dataDxfId="828"/>
    <tableColumn id="5" xr3:uid="{8FDD53F8-F6FC-4562-8288-5D2CBFCDF9AD}" name="Дата " dataDxfId="827"/>
    <tableColumn id="6" xr3:uid="{5ED87996-6458-4BEC-A820-D641D3AA2158}" name="№ авто" dataDxfId="826"/>
    <tableColumn id="8" xr3:uid="{F081A8B1-DFAC-4FE7-9439-1465FBE47934}" name="Размер" dataDxfId="825"/>
    <tableColumn id="9" xr3:uid="{7D807D16-569E-45BF-8C11-DFCFCC3A7DBC}" name="Блок_x000a_ Куб" dataDxfId="824"/>
    <tableColumn id="11" xr3:uid="{841826F5-D150-4A35-887F-3B0B230D14AE}" name="Цена _x000a_Приход" dataDxfId="823"/>
    <tableColumn id="12" xr3:uid="{677A021A-4D89-42DE-8DC2-B58D5C8EA84D}" name="Сумма _x000a_Приход" dataDxfId="822">
      <calculatedColumnFormula>Таблица1[[#This Row],[Блок
 Куб]]*Таблица1[[#This Row],[Цена 
Приход]]</calculatedColumnFormula>
    </tableColumn>
    <tableColumn id="13" xr3:uid="{0042B97B-CE40-4E58-B4F6-CC6C89F1432E}" name="Поддон_x000a_Шт" dataDxfId="821"/>
    <tableColumn id="10" xr3:uid="{7CED0856-FAEA-4420-A004-BD702C35CB5C}" name="Цена_x000a_Поддон" dataDxfId="820"/>
    <tableColumn id="14" xr3:uid="{87171938-C882-4421-908B-5781DB2C872C}" name="Сумма Поддон" dataDxfId="819">
      <calculatedColumnFormula>Таблица1[[#This Row],[Поддон
Шт]]*Таблица1[[#This Row],[Цена
Поддон]]</calculatedColumnFormula>
    </tableColumn>
    <tableColumn id="15" xr3:uid="{35F1AD05-A637-47F2-A033-4CE1A7D376D1}" name="Блок+_x000a_Поддон" dataDxfId="818">
      <calculatedColumnFormula>Таблица1[[#This Row],[Сумма 
Приход]]+Таблица1[[#This Row],[Сумма Поддон]]</calculatedColumnFormula>
    </tableColumn>
    <tableColumn id="16" xr3:uid="{1887ED34-2235-4F44-BC4E-87A687023CB5}" name="Цена_x000a_ Продажа" dataDxfId="817"/>
    <tableColumn id="17" xr3:uid="{472B4CB3-7641-40BF-822F-CE034B9CEC35}" name="Разница" dataDxfId="816"/>
    <tableColumn id="18" xr3:uid="{DF7D7FD6-EB09-42E3-BB8E-65A2B24F5BCE}" name="ИЗОХ" dataDxfId="815"/>
    <tableColumn id="19" xr3:uid="{DA16261F-29F9-4DA2-90BC-125B2E5D54D6}" name="Сумма _x000a_Продажа" dataDxfId="814"/>
    <tableColumn id="26" xr3:uid="{2FB88FE5-70E3-4868-9DCC-5367B9448E22}" name="Расход _x000a_Авто" dataDxfId="813"/>
    <tableColumn id="27" xr3:uid="{270824DF-1D4B-4619-8130-7D91DEF4FEA5}" name="Общая прибль" dataDxfId="812">
      <calculatedColumnFormula>Таблица1[[#This Row],[Сумма 
Продажа]]-Таблица1[[#This Row],[Сумма 
Приход]]</calculatedColumnFormula>
    </tableColumn>
    <tableColumn id="7" xr3:uid="{5B46ED01-4D62-4E6E-B429-0A42F20842FE}" name="Авто услу барлдми?" dataDxfId="81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483E57-E0DB-4DB2-ABFB-820DDDA72EDB}" name="Таблица2133990" displayName="Таблица2133990" ref="A6:M50" totalsRowCount="1" headerRowDxfId="810" dataDxfId="808" totalsRowDxfId="806" headerRowBorderDxfId="809" tableBorderDxfId="807">
  <autoFilter ref="A6:M49" xr:uid="{BD483E57-E0DB-4DB2-ABFB-820DDDA72EDB}"/>
  <tableColumns count="13">
    <tableColumn id="1" xr3:uid="{332A9B0B-7C73-4D17-9854-9833495103F7}" name=" " dataDxfId="805" totalsRowDxfId="804"/>
    <tableColumn id="2" xr3:uid="{2C9EC3C6-A6F4-45F0-864A-D1812CADB317}" name="1" dataDxfId="803" totalsRowDxfId="802"/>
    <tableColumn id="3" xr3:uid="{E1563CB9-A6CD-43DE-BEF9-65CA67846528}" name="2" totalsRowFunction="sum" dataDxfId="801" totalsRowDxfId="800"/>
    <tableColumn id="4" xr3:uid="{DF7DB3F8-4C47-4BA2-9021-9CECCC30F496}" name="3" dataDxfId="799" totalsRowDxfId="798"/>
    <tableColumn id="5" xr3:uid="{9CDF5BD1-686E-42D5-A220-AA5BE72FA2FE}" name="4" dataDxfId="797" totalsRowDxfId="796"/>
    <tableColumn id="10" xr3:uid="{AD16ABF0-022F-4870-A741-5CEFC071DE5E}" name="9" dataDxfId="795" totalsRowDxfId="794">
      <calculatedColumnFormula>Таблица2133990[[#This Row],[ ]]</calculatedColumnFormula>
    </tableColumn>
    <tableColumn id="11" xr3:uid="{76C4F816-EBA8-4911-A9D2-831EEAC1263F}" name="10" dataDxfId="793" totalsRowDxfId="792"/>
    <tableColumn id="12" xr3:uid="{6E994B86-A9B9-4963-9DB3-9D10FBB109C6}" name="11" dataDxfId="791" totalsRowDxfId="790"/>
    <tableColumn id="40" xr3:uid="{FE7CBFA3-E65F-4AB8-AC14-169AAA29BAF4}" name="114" dataDxfId="789" totalsRowDxfId="788"/>
    <tableColumn id="39" xr3:uid="{406048F4-EDA2-49FC-A31D-BC7307C48B31}" name="113" dataDxfId="787" totalsRowDxfId="786"/>
    <tableColumn id="41" xr3:uid="{FEDE0BA7-5D63-4747-95AA-AD097FB5E157}" name="1132" totalsRowFunction="sum" dataDxfId="785" totalsRowDxfId="784"/>
    <tableColumn id="36" xr3:uid="{1041FCEB-15D5-4D14-BDC4-599C1E2CC180}" name="15" dataDxfId="783" totalsRowDxfId="782"/>
    <tableColumn id="35" xr3:uid="{E70C029E-F2B0-42AC-8FA3-0CDF13A3C45F}" name="16" totalsRowFunction="sum" dataDxfId="781" totalsRowDxfId="780">
      <calculatedColumnFormula>Таблица2133990[[#This Row],[113]]*(Таблица2133990[[#This Row],[15]])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EC32683-28F1-47DF-A2AF-5AD79422FFA9}" name="Таблица213399028" displayName="Таблица213399028" ref="A6:M50" totalsRowCount="1" headerRowDxfId="779" dataDxfId="777" totalsRowDxfId="775" headerRowBorderDxfId="778" tableBorderDxfId="776">
  <autoFilter ref="A6:M49" xr:uid="{EEC32683-28F1-47DF-A2AF-5AD79422FFA9}"/>
  <tableColumns count="13">
    <tableColumn id="1" xr3:uid="{77BAC60E-AB40-487E-B766-DB21558D3968}" name=" " dataDxfId="774" totalsRowDxfId="773"/>
    <tableColumn id="2" xr3:uid="{79AB724D-753E-47B9-9CA2-E58A3EC8B516}" name="1" dataDxfId="772" totalsRowDxfId="771"/>
    <tableColumn id="3" xr3:uid="{E691DC01-EF20-4017-873E-8CA84CEE7478}" name="2" totalsRowFunction="sum" dataDxfId="770" totalsRowDxfId="769"/>
    <tableColumn id="4" xr3:uid="{7FCD7F33-B05C-498B-B14B-C82698348560}" name="3" dataDxfId="768" totalsRowDxfId="767"/>
    <tableColumn id="5" xr3:uid="{3B1CEEB2-5081-409A-9550-546E594DF4C3}" name="4" dataDxfId="766" totalsRowDxfId="765"/>
    <tableColumn id="10" xr3:uid="{0E463B87-683D-4E21-B19B-A5FE71D14AD9}" name="9" dataDxfId="764" totalsRowDxfId="763">
      <calculatedColumnFormula>Таблица213399028[[#This Row],[ ]]</calculatedColumnFormula>
    </tableColumn>
    <tableColumn id="11" xr3:uid="{FEE33649-2844-4BCF-8AD8-F92A04BB9308}" name="10" dataDxfId="762" totalsRowDxfId="761"/>
    <tableColumn id="12" xr3:uid="{69B6ADA0-3916-46BD-8EA2-0468338625E6}" name="11" dataDxfId="760" totalsRowDxfId="759"/>
    <tableColumn id="40" xr3:uid="{FE82236F-CEF0-4852-848F-D67A7E845330}" name="114" dataDxfId="758" totalsRowDxfId="757"/>
    <tableColumn id="39" xr3:uid="{E681A654-33A6-4914-91EE-39430960E867}" name="113" dataDxfId="756" totalsRowDxfId="755"/>
    <tableColumn id="41" xr3:uid="{65C5F33F-FD19-4F4C-AF3C-8BE24C2D6A45}" name="1132" totalsRowFunction="sum" dataDxfId="754" totalsRowDxfId="753"/>
    <tableColumn id="36" xr3:uid="{01EDE8C5-42FA-46D1-B9C9-E96BF7458B80}" name="15" dataDxfId="752" totalsRowDxfId="751"/>
    <tableColumn id="35" xr3:uid="{846C1206-2A3C-46FC-8778-087D95482273}" name="16" totalsRowFunction="sum" dataDxfId="750" totalsRowDxfId="749">
      <calculatedColumnFormula>Таблица213399028[[#This Row],[113]]*Таблица213399028[[#This Row],[15]]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D96F43E-6A7A-4DF5-8488-CDDECBE5B4F3}" name="Таблица213399029" displayName="Таблица213399029" ref="A6:M50" totalsRowCount="1" headerRowDxfId="748" dataDxfId="746" totalsRowDxfId="744" headerRowBorderDxfId="747" tableBorderDxfId="745">
  <autoFilter ref="A6:M49" xr:uid="{7D96F43E-6A7A-4DF5-8488-CDDECBE5B4F3}"/>
  <tableColumns count="13">
    <tableColumn id="1" xr3:uid="{23715662-9A12-4296-ADD2-C08E66BF8400}" name=" " dataDxfId="743" totalsRowDxfId="742"/>
    <tableColumn id="2" xr3:uid="{B30DAA77-5BFE-486A-A962-D292A7B22EE7}" name="1" dataDxfId="741" totalsRowDxfId="740"/>
    <tableColumn id="3" xr3:uid="{AC40566B-D15F-4AF1-AD9A-5071013CBB26}" name="2" totalsRowFunction="sum" dataDxfId="739" totalsRowDxfId="738"/>
    <tableColumn id="4" xr3:uid="{7CD7FBE5-969F-49E6-B683-E4796E79ABA1}" name="3" dataDxfId="737" totalsRowDxfId="736"/>
    <tableColumn id="5" xr3:uid="{EE59FFC3-0D35-4408-B36A-ABCD218B6126}" name="4" dataDxfId="735" totalsRowDxfId="734"/>
    <tableColumn id="10" xr3:uid="{50C2897D-1FA7-4CEF-BEC7-9391122C3352}" name="9" dataDxfId="733" totalsRowDxfId="732">
      <calculatedColumnFormula>Таблица213399029[[#This Row],[ ]]</calculatedColumnFormula>
    </tableColumn>
    <tableColumn id="11" xr3:uid="{13981E6C-59BB-46D2-AFAE-C820D9A4EC1A}" name="10" dataDxfId="731" totalsRowDxfId="730"/>
    <tableColumn id="12" xr3:uid="{EA99FF4C-4116-46E8-8BC4-2CE8C8472222}" name="11" dataDxfId="729" totalsRowDxfId="728"/>
    <tableColumn id="40" xr3:uid="{B260FF36-2649-4F35-99B1-5365AF6D2902}" name="114" dataDxfId="727" totalsRowDxfId="726"/>
    <tableColumn id="39" xr3:uid="{363470D0-B579-4FCE-B51E-F4AF8E296556}" name="113" dataDxfId="725" totalsRowDxfId="724"/>
    <tableColumn id="41" xr3:uid="{D5B1C347-E935-437F-8EE0-EC91037E4E95}" name="1132" totalsRowFunction="sum" dataDxfId="723" totalsRowDxfId="722"/>
    <tableColumn id="36" xr3:uid="{3F157C58-014A-47D6-AFB4-4295D0AE7822}" name="15" dataDxfId="721" totalsRowDxfId="720"/>
    <tableColumn id="35" xr3:uid="{616547A7-98E4-4968-AA6A-A34B8B9599FD}" name="16" totalsRowFunction="sum" dataDxfId="719" totalsRowDxfId="718">
      <calculatedColumnFormula>Таблица213399029[[#This Row],[113]]*Таблица213399029[[#This Row],[15]]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2295A3-E768-4E53-A62B-076B7F769558}" name="Таблица2133990291011" displayName="Таблица2133990291011" ref="A6:M50" totalsRowCount="1" headerRowDxfId="717" dataDxfId="715" totalsRowDxfId="713" headerRowBorderDxfId="716" tableBorderDxfId="714">
  <autoFilter ref="A6:M49" xr:uid="{7D96F43E-6A7A-4DF5-8488-CDDECBE5B4F3}"/>
  <tableColumns count="13">
    <tableColumn id="1" xr3:uid="{3953B7F2-222B-4632-BCA8-7BBA6AABF0B7}" name=" " dataDxfId="712" totalsRowDxfId="711"/>
    <tableColumn id="2" xr3:uid="{75D389C9-829C-49FE-86EE-6BC470559BB9}" name="1" dataDxfId="710" totalsRowDxfId="709"/>
    <tableColumn id="3" xr3:uid="{F1C7C8F8-A93C-498C-AC83-BC88D70E486D}" name="2" totalsRowFunction="sum" dataDxfId="708" totalsRowDxfId="707"/>
    <tableColumn id="4" xr3:uid="{4C52CDD1-4DE7-4360-AF58-E25BF1A8060B}" name="3" dataDxfId="706" totalsRowDxfId="705"/>
    <tableColumn id="5" xr3:uid="{47222F08-9C76-4FF2-9D42-BCE6D2484D81}" name="4" dataDxfId="704" totalsRowDxfId="703"/>
    <tableColumn id="10" xr3:uid="{73D0B90A-B9A6-43DD-8931-6FE366AA7836}" name="9" dataDxfId="702" totalsRowDxfId="701">
      <calculatedColumnFormula>Таблица2133990291011[[#This Row],[ ]]</calculatedColumnFormula>
    </tableColumn>
    <tableColumn id="11" xr3:uid="{FFFA1662-72A3-4E20-848D-F2FB213C7044}" name="10" dataDxfId="700" totalsRowDxfId="699"/>
    <tableColumn id="12" xr3:uid="{4185D81D-F3DF-4BB3-AC65-D12875BD397A}" name="11" dataDxfId="698" totalsRowDxfId="697"/>
    <tableColumn id="40" xr3:uid="{94E66853-3721-4140-A7FE-04079AA223C8}" name="114" dataDxfId="696" totalsRowDxfId="695"/>
    <tableColumn id="39" xr3:uid="{4FF3EC94-D868-4BE5-929B-28A7B4E45C46}" name="113" dataDxfId="694" totalsRowDxfId="693"/>
    <tableColumn id="41" xr3:uid="{AA5BAA1B-E24D-4A21-BAC6-21B5902C58D3}" name="1132" totalsRowFunction="sum" dataDxfId="692" totalsRowDxfId="691"/>
    <tableColumn id="36" xr3:uid="{DF817781-AD2C-4D99-831F-5CE4A22AB083}" name="15" dataDxfId="690" totalsRowDxfId="689"/>
    <tableColumn id="35" xr3:uid="{5947A6BB-3BD9-4562-90BF-A1CE66AF2ADC}" name="16" totalsRowFunction="sum" dataDxfId="688" totalsRowDxfId="687">
      <calculatedColumnFormula>Таблица2133990291011[[#This Row],[113]]*Таблица2133990291011[[#This Row],[15]]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113589-E05E-4CAE-A4AA-BE54A8C2AF4F}" name="Таблица21339902910" displayName="Таблица21339902910" ref="A6:M50" totalsRowCount="1" headerRowDxfId="686" dataDxfId="684" totalsRowDxfId="682" headerRowBorderDxfId="685" tableBorderDxfId="683">
  <autoFilter ref="A6:M49" xr:uid="{7D96F43E-6A7A-4DF5-8488-CDDECBE5B4F3}"/>
  <tableColumns count="13">
    <tableColumn id="1" xr3:uid="{34765CA4-8809-4A52-ABC2-CA5883C46F45}" name=" " dataDxfId="681" totalsRowDxfId="680"/>
    <tableColumn id="2" xr3:uid="{8F09DD27-F212-4CE1-B242-6BC9F934E337}" name="1" dataDxfId="679" totalsRowDxfId="678"/>
    <tableColumn id="3" xr3:uid="{F57E7594-2A78-4979-94B7-FDA0357AA074}" name="2" totalsRowFunction="sum" dataDxfId="677" totalsRowDxfId="676"/>
    <tableColumn id="4" xr3:uid="{CAD78594-3F20-4959-BAAD-A4DD2164231B}" name="3" dataDxfId="675" totalsRowDxfId="674"/>
    <tableColumn id="5" xr3:uid="{2310E91A-5D49-4656-BBB1-B48273B86461}" name="4" dataDxfId="673" totalsRowDxfId="672"/>
    <tableColumn id="10" xr3:uid="{B2DD129D-B524-438F-B85B-8BEE569BA23E}" name="9" dataDxfId="671" totalsRowDxfId="670">
      <calculatedColumnFormula>Таблица21339902910[[#This Row],[ ]]</calculatedColumnFormula>
    </tableColumn>
    <tableColumn id="11" xr3:uid="{70CD0E03-BC4E-4A35-8FE2-E4C5893264FC}" name="10" dataDxfId="669" totalsRowDxfId="668"/>
    <tableColumn id="12" xr3:uid="{048B4B40-B575-4778-8370-5E9F079726A6}" name="11" dataDxfId="667" totalsRowDxfId="666"/>
    <tableColumn id="40" xr3:uid="{572D832E-7F0B-4E77-A63B-841509B50953}" name="114" dataDxfId="665" totalsRowDxfId="664"/>
    <tableColumn id="39" xr3:uid="{3DE736DF-1BFB-4DC5-9526-835848C63147}" name="113" dataDxfId="663" totalsRowDxfId="662"/>
    <tableColumn id="41" xr3:uid="{57CAC9F0-A7F8-4ADE-9779-0DA252D670E7}" name="1132" totalsRowFunction="sum" dataDxfId="661" totalsRowDxfId="660"/>
    <tableColumn id="36" xr3:uid="{51F3E2DF-FBD7-4F49-B284-26734585D48A}" name="15" dataDxfId="659" totalsRowDxfId="658"/>
    <tableColumn id="35" xr3:uid="{EEB9382B-00D0-426B-A38C-8181EC187D87}" name="16" totalsRowFunction="sum" dataDxfId="657" totalsRowDxfId="656">
      <calculatedColumnFormula>Таблица21339902910[[#This Row],[113]]*Таблица21339902910[[#This Row],[15]]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D80CE8-9AFD-4E25-9889-94D2E5C72ABC}" name="Таблица2133990291012" displayName="Таблица2133990291012" ref="A6:M50" totalsRowCount="1" headerRowDxfId="655" dataDxfId="653" totalsRowDxfId="651" headerRowBorderDxfId="654" tableBorderDxfId="652">
  <autoFilter ref="A6:M49" xr:uid="{7D96F43E-6A7A-4DF5-8488-CDDECBE5B4F3}"/>
  <tableColumns count="13">
    <tableColumn id="1" xr3:uid="{252D9309-EF25-4245-A34D-259456B23483}" name=" " dataDxfId="650" totalsRowDxfId="649"/>
    <tableColumn id="2" xr3:uid="{A99890CE-9830-49ED-A5BD-663DC80DAD0C}" name="1" dataDxfId="648" totalsRowDxfId="647"/>
    <tableColumn id="3" xr3:uid="{552EE1E6-B1C9-4FBE-A16F-953597AA96BC}" name="2" totalsRowFunction="sum" dataDxfId="646" totalsRowDxfId="645"/>
    <tableColumn id="4" xr3:uid="{54FFC7E4-FBBA-4A11-952D-E0AC38E5A01C}" name="3" dataDxfId="644" totalsRowDxfId="643"/>
    <tableColumn id="5" xr3:uid="{405C4DE6-9F5A-42B8-B4DD-0E9E72DF9BB6}" name="4" dataDxfId="642" totalsRowDxfId="641"/>
    <tableColumn id="10" xr3:uid="{2CFBE6EF-F6D8-4E31-8B17-458588E74D99}" name="9" dataDxfId="640" totalsRowDxfId="639">
      <calculatedColumnFormula>Таблица2133990291012[[#This Row],[ ]]</calculatedColumnFormula>
    </tableColumn>
    <tableColumn id="11" xr3:uid="{7324F578-100F-4BD6-B907-044B634CE799}" name="10" dataDxfId="638" totalsRowDxfId="637"/>
    <tableColumn id="12" xr3:uid="{22AA6BDF-CE05-4437-9CA9-04F0DDDBAA26}" name="11" dataDxfId="636" totalsRowDxfId="635"/>
    <tableColumn id="40" xr3:uid="{AC5341CC-BE34-452B-B854-7C9605BB892B}" name="114" dataDxfId="634" totalsRowDxfId="633"/>
    <tableColumn id="39" xr3:uid="{3EE6774A-CB68-4897-AA95-873008A23587}" name="113" dataDxfId="632" totalsRowDxfId="631"/>
    <tableColumn id="41" xr3:uid="{B5252D9A-C819-4751-A200-B143617B988F}" name="1132" totalsRowFunction="sum" dataDxfId="630" totalsRowDxfId="629"/>
    <tableColumn id="36" xr3:uid="{F273031B-2F5D-4145-9AE5-4E78178228D9}" name="15" dataDxfId="628" totalsRowDxfId="627"/>
    <tableColumn id="35" xr3:uid="{7248842E-79C9-4AD6-B14D-ED6D025B0D22}" name="16" totalsRowFunction="sum" dataDxfId="626" totalsRowDxfId="625">
      <calculatedColumnFormula>Таблица2133990291012[[#This Row],[113]]*Таблица2133990291012[[#This Row],[15]]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7CD8DB-3AC4-42A5-B3BC-90777FAE2FA5}" name="Таблица2133990294" displayName="Таблица2133990294" ref="A6:M50" totalsRowCount="1" headerRowDxfId="624" dataDxfId="622" totalsRowDxfId="620" headerRowBorderDxfId="623" tableBorderDxfId="621">
  <autoFilter ref="A6:M49" xr:uid="{137CD8DB-3AC4-42A5-B3BC-90777FAE2FA5}"/>
  <tableColumns count="13">
    <tableColumn id="1" xr3:uid="{D3AC64F8-F146-40BE-831A-9642D28C2AD1}" name=" " dataDxfId="619" totalsRowDxfId="618"/>
    <tableColumn id="2" xr3:uid="{C16BCD6C-728D-4E40-BE3E-3C08786D94D6}" name="1" dataDxfId="617" totalsRowDxfId="616"/>
    <tableColumn id="3" xr3:uid="{24388A0F-3584-4454-8249-79FB8962791F}" name="2" totalsRowFunction="sum" dataDxfId="615" totalsRowDxfId="614"/>
    <tableColumn id="4" xr3:uid="{4CF30BE0-A36B-4135-90D6-A8438D5A7FA9}" name="3" dataDxfId="613" totalsRowDxfId="612"/>
    <tableColumn id="5" xr3:uid="{0649F28A-9840-4EB6-8E47-A19715AB80F7}" name="4" dataDxfId="611" totalsRowDxfId="610"/>
    <tableColumn id="10" xr3:uid="{C39A6AB8-D060-4BB1-86B6-84788CD6AF63}" name="9" dataDxfId="609" totalsRowDxfId="608">
      <calculatedColumnFormula>Таблица2133990294[[#This Row],[ ]]</calculatedColumnFormula>
    </tableColumn>
    <tableColumn id="11" xr3:uid="{5E139777-10AC-4D77-91C6-E0939AF90563}" name="10" dataDxfId="607" totalsRowDxfId="606"/>
    <tableColumn id="12" xr3:uid="{475F7E42-A229-458F-8F9C-C460E617E72E}" name="11" dataDxfId="605" totalsRowDxfId="604"/>
    <tableColumn id="40" xr3:uid="{0C6807FF-0A5B-4954-BBA4-8466B974558A}" name="114" dataDxfId="603" totalsRowDxfId="602"/>
    <tableColumn id="39" xr3:uid="{EBA58959-7638-4DAE-B0D1-9AA0EBCE0B6A}" name="113" dataDxfId="601" totalsRowDxfId="600"/>
    <tableColumn id="41" xr3:uid="{EE0E1C5A-0DD5-4481-8458-A7AC5B01ED1B}" name="1132" totalsRowFunction="sum" dataDxfId="599" totalsRowDxfId="598"/>
    <tableColumn id="36" xr3:uid="{BAE45D1C-A861-49B9-ACFC-81731627B769}" name="15" dataDxfId="597" totalsRowDxfId="596"/>
    <tableColumn id="35" xr3:uid="{544672C2-059B-4B8F-8634-F4C589EC8717}" name="16" totalsRowFunction="sum" dataDxfId="595" totalsRowDxfId="594">
      <calculatedColumnFormula>Таблица2133990294[[#This Row],[113]]*Таблица2133990294[[#This Row],[15]]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5EE156-33E9-4197-8358-242D82862878}" name="Таблица213399029414" displayName="Таблица213399029414" ref="A6:M50" totalsRowCount="1" headerRowDxfId="593" dataDxfId="591" totalsRowDxfId="589" headerRowBorderDxfId="592" tableBorderDxfId="590">
  <autoFilter ref="A6:M49" xr:uid="{137CD8DB-3AC4-42A5-B3BC-90777FAE2FA5}"/>
  <tableColumns count="13">
    <tableColumn id="1" xr3:uid="{E32DA693-C70D-4044-8DCD-2D2444424D9B}" name=" " dataDxfId="588" totalsRowDxfId="587"/>
    <tableColumn id="2" xr3:uid="{778413F8-A04F-43B7-9E3B-5E00C4E94EB5}" name="1" dataDxfId="586" totalsRowDxfId="585"/>
    <tableColumn id="3" xr3:uid="{15F09EF1-4DFC-4DFB-82CC-277C68944D77}" name="2" totalsRowFunction="sum" dataDxfId="584" totalsRowDxfId="583"/>
    <tableColumn id="4" xr3:uid="{583C0853-3015-43D3-838F-8CB2DCBFA2D2}" name="3" dataDxfId="582" totalsRowDxfId="581"/>
    <tableColumn id="5" xr3:uid="{4433F111-AB1A-488D-9330-7E8BB3535024}" name="4" dataDxfId="580" totalsRowDxfId="579"/>
    <tableColumn id="10" xr3:uid="{135E383D-496D-49A3-BEBF-B783DEE80101}" name="9" dataDxfId="578" totalsRowDxfId="577">
      <calculatedColumnFormula>Таблица213399029414[[#This Row],[ ]]</calculatedColumnFormula>
    </tableColumn>
    <tableColumn id="11" xr3:uid="{082D63F4-F4C1-45CE-A3B4-BB3081AD07C8}" name="10" dataDxfId="576" totalsRowDxfId="575"/>
    <tableColumn id="12" xr3:uid="{256C693C-4A83-4C7F-A7D7-F09A2EA33F57}" name="11" dataDxfId="574" totalsRowDxfId="573"/>
    <tableColumn id="40" xr3:uid="{0D3E37F5-816F-4026-BAE6-30A27C758C12}" name="114" dataDxfId="572" totalsRowDxfId="571"/>
    <tableColumn id="39" xr3:uid="{8D1450CC-FF58-4409-9C83-AFA367779493}" name="113" dataDxfId="570" totalsRowDxfId="569"/>
    <tableColumn id="41" xr3:uid="{54500CC3-29A1-4CC3-BCCF-75F6FBCF1C4C}" name="1132" totalsRowFunction="sum" dataDxfId="568" totalsRowDxfId="567"/>
    <tableColumn id="36" xr3:uid="{9B58EA6C-00A3-407F-8F94-AA9C514E02A6}" name="15" dataDxfId="566" totalsRowDxfId="565"/>
    <tableColumn id="35" xr3:uid="{DBFD3AC7-6530-4E26-AC50-A9CDDE3990A5}" name="16" totalsRowFunction="sum" dataDxfId="564" totalsRowDxfId="563">
      <calculatedColumnFormula>Таблица213399029414[[#This Row],[113]]*Таблица213399029414[[#This Row],[15]]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CF9811-5608-43EC-86A4-9AF4E84F7916}" name="Таблица21339902941420" displayName="Таблица21339902941420" ref="A6:M50" totalsRowCount="1" headerRowDxfId="562" dataDxfId="560" totalsRowDxfId="558" headerRowBorderDxfId="561" tableBorderDxfId="559">
  <autoFilter ref="A6:M49" xr:uid="{137CD8DB-3AC4-42A5-B3BC-90777FAE2FA5}"/>
  <tableColumns count="13">
    <tableColumn id="1" xr3:uid="{EA686386-EC75-4B78-B47A-071C6EFD462C}" name=" " dataDxfId="557" totalsRowDxfId="556"/>
    <tableColumn id="2" xr3:uid="{F5BEA00C-EEA7-4DD2-9C02-A67D6CBD8320}" name="1" dataDxfId="555" totalsRowDxfId="554"/>
    <tableColumn id="3" xr3:uid="{C40280F9-17F0-4BFB-92EE-1EFFE7D29AE7}" name="2" totalsRowFunction="sum" dataDxfId="553" totalsRowDxfId="552"/>
    <tableColumn id="4" xr3:uid="{77BDD365-A4D4-4CCC-9B28-D55A0E8EC027}" name="3" dataDxfId="551" totalsRowDxfId="550"/>
    <tableColumn id="5" xr3:uid="{D38370AD-ABB2-4A76-BD62-C8CFEB2255F3}" name="4" dataDxfId="549" totalsRowDxfId="548"/>
    <tableColumn id="10" xr3:uid="{86073CB7-819C-44C6-8E51-1D8654D83A9A}" name="9" dataDxfId="547" totalsRowDxfId="546">
      <calculatedColumnFormula>Таблица21339902941420[[#This Row],[ ]]</calculatedColumnFormula>
    </tableColumn>
    <tableColumn id="11" xr3:uid="{6A7D6A13-A523-4FE8-9A19-3DB8F5F76938}" name="10" dataDxfId="545" totalsRowDxfId="544"/>
    <tableColumn id="12" xr3:uid="{99DF2836-D69C-40C6-B681-D3A00E1C8C7A}" name="11" dataDxfId="543" totalsRowDxfId="542"/>
    <tableColumn id="40" xr3:uid="{ECD2ADEA-C679-4508-875E-6718D79DEFB1}" name="114" dataDxfId="541" totalsRowDxfId="540"/>
    <tableColumn id="39" xr3:uid="{EEB6D755-2F75-4A85-BD24-6F221F737CAE}" name="113" dataDxfId="539" totalsRowDxfId="538"/>
    <tableColumn id="41" xr3:uid="{12DCE882-2FAF-4B8F-8DA4-B8A989AE1F7F}" name="1132" totalsRowFunction="sum" dataDxfId="537" totalsRowDxfId="536"/>
    <tableColumn id="36" xr3:uid="{F9C4C199-F0EF-4E0B-8E81-0822315E1384}" name="15" dataDxfId="535" totalsRowDxfId="534"/>
    <tableColumn id="35" xr3:uid="{B2E3AB04-BA1C-4F9B-956F-44D042191532}" name="16" totalsRowFunction="sum" dataDxfId="533" totalsRowDxfId="532">
      <calculatedColumnFormula>Таблица21339902941420[[#This Row],[113]]*Таблица21339902941420[[#This Row],[15]]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088690-7F65-4643-8FCA-31AA247862A8}" name="Таблица21339902946" displayName="Таблица21339902946" ref="A6:N50" totalsRowCount="1" headerRowDxfId="531" dataDxfId="529" totalsRowDxfId="527" headerRowBorderDxfId="530" tableBorderDxfId="528">
  <autoFilter ref="A6:N49" xr:uid="{B1088690-7F65-4643-8FCA-31AA247862A8}"/>
  <tableColumns count="14">
    <tableColumn id="1" xr3:uid="{0FE55466-4BB1-4C39-A5FC-997E83094294}" name=" " dataDxfId="187" totalsRowDxfId="173"/>
    <tableColumn id="2" xr3:uid="{9660F434-41BA-4217-AE56-3EA2A8066D9F}" name="1" dataDxfId="186" totalsRowDxfId="172"/>
    <tableColumn id="3" xr3:uid="{F9EA11FA-DD02-43B6-9321-3BA93C5064C6}" name="2" totalsRowFunction="sum" dataDxfId="185" totalsRowDxfId="171"/>
    <tableColumn id="4" xr3:uid="{EA3C4F7C-30C7-4722-9BFE-E4D4E7F79735}" name="3" dataDxfId="184" totalsRowDxfId="170"/>
    <tableColumn id="5" xr3:uid="{6DBF4B1F-ABCD-4E5E-9AA8-C058C65045A2}" name="4" dataDxfId="183" totalsRowDxfId="169"/>
    <tableColumn id="10" xr3:uid="{714A7C31-04EF-4203-9920-9F8EE4C9CCEC}" name="9" dataDxfId="182" totalsRowDxfId="168">
      <calculatedColumnFormula>Таблица21339902946[[#This Row],[ ]]</calculatedColumnFormula>
    </tableColumn>
    <tableColumn id="11" xr3:uid="{981E97CA-0F07-45E6-945F-BF6B4B6734FC}" name="10" dataDxfId="181" totalsRowDxfId="167"/>
    <tableColumn id="12" xr3:uid="{2EA7C313-ED88-401C-8F6D-077606969913}" name="11" dataDxfId="180" totalsRowDxfId="166"/>
    <tableColumn id="40" xr3:uid="{DC4DE57A-03DB-4D37-AC97-94A6101B1EC1}" name="114" dataDxfId="179" totalsRowDxfId="165"/>
    <tableColumn id="39" xr3:uid="{15052FF0-37C0-4060-80FD-9181B3BCC643}" name="113" dataDxfId="178" totalsRowDxfId="164"/>
    <tableColumn id="41" xr3:uid="{4A2EB863-5472-42B9-B553-32913D09E195}" name="1132" totalsRowFunction="sum" dataDxfId="177" totalsRowDxfId="163"/>
    <tableColumn id="36" xr3:uid="{E9BD52EE-B698-49FE-A913-EC3F300456BB}" name="15" dataDxfId="176" totalsRowDxfId="162"/>
    <tableColumn id="35" xr3:uid="{383BB6D7-D865-4E89-8BC9-254899D392F7}" name="16" totalsRowFunction="sum" dataDxfId="175" totalsRowDxfId="161">
      <calculatedColumnFormula>Таблица21339902946[[#This Row],[113]]*Таблица21339902946[[#This Row],[15]]</calculatedColumnFormula>
    </tableColumn>
    <tableColumn id="6" xr3:uid="{1BEEE268-1D3A-4A04-ACF7-622F999F6108}" name="17" dataDxfId="174" totalsRowDxfId="160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2CF595-E016-41C3-A176-963CCA7283C3}" name="Таблица213399029469" displayName="Таблица213399029469" ref="A6:M50" totalsRowCount="1" headerRowDxfId="526" dataDxfId="524" totalsRowDxfId="522" headerRowBorderDxfId="525" tableBorderDxfId="523">
  <autoFilter ref="A6:M49" xr:uid="{B1088690-7F65-4643-8FCA-31AA247862A8}"/>
  <tableColumns count="13">
    <tableColumn id="1" xr3:uid="{0B8A433A-AEFF-42F2-BF32-22296472ACD4}" name=" " dataDxfId="521" totalsRowDxfId="520"/>
    <tableColumn id="2" xr3:uid="{89D47BF0-AB21-4A54-98E5-BF182320A204}" name="1" dataDxfId="519" totalsRowDxfId="518"/>
    <tableColumn id="3" xr3:uid="{1589446F-BA1B-49C7-9B3A-DAB18A60769D}" name="2" totalsRowFunction="sum" dataDxfId="517" totalsRowDxfId="516"/>
    <tableColumn id="4" xr3:uid="{45BF4343-695E-45CA-AD3F-6E5ABF9AF399}" name="3" dataDxfId="515" totalsRowDxfId="514"/>
    <tableColumn id="5" xr3:uid="{4FF32B41-2F22-499E-9BD8-C65B3E05F802}" name="4" dataDxfId="513" totalsRowDxfId="512"/>
    <tableColumn id="10" xr3:uid="{D6111CF9-4955-45E5-9F2D-652B07F1516F}" name="9" dataDxfId="511" totalsRowDxfId="510">
      <calculatedColumnFormula>Таблица213399029469[[#This Row],[ ]]</calculatedColumnFormula>
    </tableColumn>
    <tableColumn id="11" xr3:uid="{67E66381-53C5-46B7-93D7-66FF053CED77}" name="10" dataDxfId="509" totalsRowDxfId="508"/>
    <tableColumn id="12" xr3:uid="{5BA24B7A-CA21-46A9-95E5-E11E3BEED93E}" name="11" dataDxfId="507" totalsRowDxfId="506"/>
    <tableColumn id="40" xr3:uid="{58F3B105-C9E2-4C6D-8940-01C5AF5ADED3}" name="114" dataDxfId="505" totalsRowDxfId="504"/>
    <tableColumn id="39" xr3:uid="{9A4872C9-F6C8-40E6-A789-1AEF321D97A4}" name="113" dataDxfId="503" totalsRowDxfId="502"/>
    <tableColumn id="41" xr3:uid="{5886C796-A946-4894-82BB-4DDD0908BE66}" name="1132" totalsRowFunction="sum" dataDxfId="501" totalsRowDxfId="500"/>
    <tableColumn id="36" xr3:uid="{F391F10D-E60A-4E56-B2F0-AB5B153F631D}" name="15" dataDxfId="499" totalsRowDxfId="498"/>
    <tableColumn id="35" xr3:uid="{EF62F2E9-5524-49F7-9A5B-BA709206D2A5}" name="16" totalsRowFunction="sum" dataDxfId="497" totalsRowDxfId="496">
      <calculatedColumnFormula>Таблица213399029469[[#This Row],[113]]*Таблица213399029469[[#This Row],[15]]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7408E8-EB7B-4CEE-9631-D2CC43FDDADE}" name="Таблица21339902946915" displayName="Таблица21339902946915" ref="A6:N50" totalsRowCount="1" headerRowDxfId="495" dataDxfId="493" totalsRowDxfId="491" headerRowBorderDxfId="494" tableBorderDxfId="492">
  <autoFilter ref="A6:N49" xr:uid="{B1088690-7F65-4643-8FCA-31AA247862A8}"/>
  <tableColumns count="14">
    <tableColumn id="1" xr3:uid="{CADFB83B-47B1-4378-AD40-91AAD01B91DC}" name=" " dataDxfId="215" totalsRowDxfId="201"/>
    <tableColumn id="2" xr3:uid="{336B15C5-1B46-4931-9DEC-9D339E63D598}" name="1" dataDxfId="214" totalsRowDxfId="200"/>
    <tableColumn id="3" xr3:uid="{60A0BEF4-C682-4A2C-BDD0-40291C3E720F}" name="2" totalsRowFunction="sum" dataDxfId="213" totalsRowDxfId="199"/>
    <tableColumn id="4" xr3:uid="{AF905BF7-D7C5-4512-8620-C99CDC5EB073}" name="3" dataDxfId="212" totalsRowDxfId="198"/>
    <tableColumn id="5" xr3:uid="{BAA3CE1F-602F-45D1-9BD9-ABBF858288EB}" name="4" dataDxfId="211" totalsRowDxfId="197"/>
    <tableColumn id="10" xr3:uid="{C0258C36-DAA3-4439-A930-803CCF3ECD2C}" name="9" dataDxfId="210" totalsRowDxfId="196">
      <calculatedColumnFormula>Таблица21339902946915[[#This Row],[ ]]</calculatedColumnFormula>
    </tableColumn>
    <tableColumn id="11" xr3:uid="{B8D1EB5F-4473-4262-B5BE-E2D35857C1B8}" name="10" dataDxfId="209" totalsRowDxfId="195"/>
    <tableColumn id="12" xr3:uid="{89EE3E19-3239-4DAA-AC36-5490033F6C8F}" name="11" dataDxfId="208" totalsRowDxfId="194"/>
    <tableColumn id="40" xr3:uid="{961BB72C-6894-4599-9F46-1393C74F0FD9}" name="114" dataDxfId="207" totalsRowDxfId="193"/>
    <tableColumn id="39" xr3:uid="{BCA9940A-3DE2-4DA7-80C4-A12EA6DB3363}" name="113" dataDxfId="206" totalsRowDxfId="192"/>
    <tableColumn id="41" xr3:uid="{BFB31760-A6FD-4C30-81EB-B453B7250EFC}" name="1132" totalsRowFunction="sum" dataDxfId="205" totalsRowDxfId="191"/>
    <tableColumn id="36" xr3:uid="{FF5CEF26-EE9A-4E29-9ED6-2A4AE60F7502}" name="15" dataDxfId="204" totalsRowDxfId="190"/>
    <tableColumn id="35" xr3:uid="{11D06327-F117-4525-AFA4-137C3CB7193A}" name="16" totalsRowFunction="sum" dataDxfId="203" totalsRowDxfId="189">
      <calculatedColumnFormula>Таблица21339902946915[[#This Row],[113]]*Таблица21339902946915[[#This Row],[15]]</calculatedColumnFormula>
    </tableColumn>
    <tableColumn id="6" xr3:uid="{13A685D8-55FD-4D36-ACB3-0028225E39E1}" name="17" dataDxfId="202" totalsRowDxfId="188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EEBDC0-7096-4879-ACBA-CA7A5BC52486}" name="Таблица213399029467" displayName="Таблица213399029467" ref="A6:M50" totalsRowCount="1" headerRowDxfId="490" dataDxfId="488" totalsRowDxfId="486" headerRowBorderDxfId="489" tableBorderDxfId="487">
  <autoFilter ref="A6:M49" xr:uid="{B1088690-7F65-4643-8FCA-31AA247862A8}"/>
  <tableColumns count="13">
    <tableColumn id="1" xr3:uid="{2214C98A-CDBD-4508-931F-7E5B869921D7}" name=" " dataDxfId="485" totalsRowDxfId="484"/>
    <tableColumn id="2" xr3:uid="{3B670C50-8505-493F-82F8-FDCDE0E724CE}" name="1" dataDxfId="483" totalsRowDxfId="482"/>
    <tableColumn id="3" xr3:uid="{A0F530E6-6A46-4F6D-9911-CB1A1E9B7016}" name="2" totalsRowFunction="sum" dataDxfId="481" totalsRowDxfId="480"/>
    <tableColumn id="4" xr3:uid="{29B3F12A-9E29-4C7B-9BD2-13F7AC900F2D}" name="3" dataDxfId="479" totalsRowDxfId="478"/>
    <tableColumn id="5" xr3:uid="{BA72869A-9B01-4B8E-9280-0FF121E5D5FF}" name="4" dataDxfId="477" totalsRowDxfId="476"/>
    <tableColumn id="10" xr3:uid="{12C444DE-CE6A-4E2E-ABE0-0AEA8BD14E59}" name="9" dataDxfId="475" totalsRowDxfId="474">
      <calculatedColumnFormula>Таблица213399029467[[#This Row],[ ]]</calculatedColumnFormula>
    </tableColumn>
    <tableColumn id="11" xr3:uid="{07FD7D90-C044-4DF5-9251-B669DDEF3918}" name="10" dataDxfId="473" totalsRowDxfId="472"/>
    <tableColumn id="12" xr3:uid="{B098EAC5-F0F5-40D5-857D-6CFECE993AFB}" name="11" dataDxfId="471" totalsRowDxfId="470"/>
    <tableColumn id="40" xr3:uid="{08076D19-B3ED-4804-996D-A68E4DB5C919}" name="114" dataDxfId="469" totalsRowDxfId="468"/>
    <tableColumn id="39" xr3:uid="{7A64709B-B2EA-486D-A0D3-4420466CBF98}" name="113" dataDxfId="467" totalsRowDxfId="466"/>
    <tableColumn id="41" xr3:uid="{22BE39FE-26CB-45FA-B048-C72E934671DF}" name="1132" totalsRowFunction="sum" dataDxfId="465" totalsRowDxfId="464"/>
    <tableColumn id="36" xr3:uid="{ABC57DDF-91FE-4FCC-88F3-C65B1AA4CCFD}" name="15" dataDxfId="463" totalsRowDxfId="462"/>
    <tableColumn id="35" xr3:uid="{E3FA1D51-66EC-4C04-A17D-E1591B69E934}" name="16" totalsRowFunction="sum" dataDxfId="461" totalsRowDxfId="460">
      <calculatedColumnFormula>Таблица213399029467[[#This Row],[113]]*Таблица213399029467[[#This Row],[15]]</calculatedColumnFormula>
    </tableColumn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CE150C-AD58-4BFB-AB66-0ED2A6CA554A}" name="Таблица2133990294678" displayName="Таблица2133990294678" ref="A6:M50" totalsRowCount="1" headerRowDxfId="459" dataDxfId="457" totalsRowDxfId="455" headerRowBorderDxfId="458" tableBorderDxfId="456">
  <autoFilter ref="A6:M49" xr:uid="{B1088690-7F65-4643-8FCA-31AA247862A8}"/>
  <tableColumns count="13">
    <tableColumn id="1" xr3:uid="{0765EF79-3771-4FF9-BE05-79CB598D5823}" name=" " dataDxfId="454" totalsRowDxfId="453"/>
    <tableColumn id="2" xr3:uid="{602E83AB-229C-4E98-8C18-F125FD1F4FF6}" name="1" dataDxfId="452" totalsRowDxfId="451"/>
    <tableColumn id="3" xr3:uid="{033C4375-6669-4106-B2A5-D0CF534A55C7}" name="2" totalsRowFunction="sum" dataDxfId="450" totalsRowDxfId="449"/>
    <tableColumn id="4" xr3:uid="{19716BD5-8484-4EED-A125-949A20CB7EE7}" name="3" dataDxfId="448" totalsRowDxfId="447"/>
    <tableColumn id="5" xr3:uid="{17B39C82-E41A-47D7-B3C2-39F9AADB2E30}" name="4" dataDxfId="446" totalsRowDxfId="445"/>
    <tableColumn id="10" xr3:uid="{6B39E8ED-790B-4FBA-8A80-B0B370F3A10E}" name="9" dataDxfId="444" totalsRowDxfId="443">
      <calculatedColumnFormula>Таблица2133990294678[[#This Row],[ ]]</calculatedColumnFormula>
    </tableColumn>
    <tableColumn id="11" xr3:uid="{0C199546-CF3D-4091-8506-6B71CFE3C779}" name="10" dataDxfId="442" totalsRowDxfId="441"/>
    <tableColumn id="12" xr3:uid="{7538C948-094D-4E55-A28D-EBFBD32827E4}" name="11" dataDxfId="440" totalsRowDxfId="439"/>
    <tableColumn id="40" xr3:uid="{970AF6F8-A7FB-45FD-883A-C2542D29B599}" name="114" dataDxfId="438" totalsRowDxfId="437"/>
    <tableColumn id="39" xr3:uid="{9529462E-108E-4315-9B11-A525FF3B019B}" name="113" dataDxfId="436" totalsRowDxfId="435"/>
    <tableColumn id="41" xr3:uid="{E5C5DD96-3906-4B4A-8A61-90D4CC2A4030}" name="1132" totalsRowFunction="sum" dataDxfId="434" totalsRowDxfId="433"/>
    <tableColumn id="36" xr3:uid="{E656C1EE-C725-410A-8A39-DB803DBCACFB}" name="15" dataDxfId="432" totalsRowDxfId="431"/>
    <tableColumn id="35" xr3:uid="{81505CF8-825D-4148-8C80-34D8B850B494}" name="16" totalsRowFunction="sum" dataDxfId="430" totalsRowDxfId="429">
      <calculatedColumnFormula>Таблица2133990294678[[#This Row],[113]]*Таблица2133990294678[[#This Row],[15]]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763FBD1-38B1-464C-A7F7-A27F965846A6}" name="Таблица213399029467826" displayName="Таблица213399029467826" ref="A6:M50" totalsRowCount="1" headerRowDxfId="428" dataDxfId="426" totalsRowDxfId="424" headerRowBorderDxfId="427" tableBorderDxfId="425">
  <autoFilter ref="A6:M49" xr:uid="{B1088690-7F65-4643-8FCA-31AA247862A8}"/>
  <tableColumns count="13">
    <tableColumn id="1" xr3:uid="{9CDF6DB2-14E2-44F1-A2F9-EF7C2FCD8E4B}" name=" " dataDxfId="423" totalsRowDxfId="422"/>
    <tableColumn id="2" xr3:uid="{45692132-9E53-43DE-BF10-8AC780F6B171}" name="1" dataDxfId="421" totalsRowDxfId="420"/>
    <tableColumn id="3" xr3:uid="{7C44AA53-5B12-452D-AEFB-AFE843A05BCD}" name="2" totalsRowFunction="sum" dataDxfId="419" totalsRowDxfId="418"/>
    <tableColumn id="4" xr3:uid="{DED0F729-DA1C-40C2-91CC-3C9B8D81BE2D}" name="3" dataDxfId="417" totalsRowDxfId="416"/>
    <tableColumn id="5" xr3:uid="{E82AE3FD-3172-439F-8D39-ED61792B6C33}" name="4" dataDxfId="415" totalsRowDxfId="414"/>
    <tableColumn id="10" xr3:uid="{EEB2F848-E128-4D86-9D79-40C44F386863}" name="9" dataDxfId="413" totalsRowDxfId="412">
      <calculatedColumnFormula>Таблица213399029467826[[#This Row],[ ]]</calculatedColumnFormula>
    </tableColumn>
    <tableColumn id="11" xr3:uid="{4D95E73C-F890-4EB3-9D53-0FED0CC5DA35}" name="10" dataDxfId="411" totalsRowDxfId="410"/>
    <tableColumn id="12" xr3:uid="{C3EA80C9-FB3A-4C24-A2B0-3CC5718F3A70}" name="11" dataDxfId="409" totalsRowDxfId="408"/>
    <tableColumn id="40" xr3:uid="{F39DBAD0-41EB-430C-A89E-F623A144EAB6}" name="114" dataDxfId="407" totalsRowDxfId="406"/>
    <tableColumn id="39" xr3:uid="{84ABC9AE-A56D-48DC-83E9-07DAAA5B719F}" name="113" dataDxfId="405" totalsRowDxfId="404"/>
    <tableColumn id="41" xr3:uid="{78D75307-7B34-4EFC-919A-960EE9529615}" name="1132" totalsRowFunction="sum" dataDxfId="403" totalsRowDxfId="402"/>
    <tableColumn id="36" xr3:uid="{9F56582D-C03C-4C36-A683-94CF0F34B388}" name="15" dataDxfId="401" totalsRowDxfId="400"/>
    <tableColumn id="35" xr3:uid="{6A9E0326-8C8E-4238-BECE-1EB3296844D9}" name="16" totalsRowFunction="sum" dataDxfId="399" totalsRowDxfId="398">
      <calculatedColumnFormula>Таблица213399029467826[[#This Row],[113]]*Таблица213399029467826[[#This Row],[15]]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27F2CE-27B9-4947-96CE-746BF1F6C32F}" name="Таблица213399029467813" displayName="Таблица213399029467813" ref="A6:N50" totalsRowCount="1" headerRowDxfId="397" dataDxfId="395" totalsRowDxfId="393" headerRowBorderDxfId="396" tableBorderDxfId="394">
  <autoFilter ref="A6:N49" xr:uid="{B1088690-7F65-4643-8FCA-31AA247862A8}"/>
  <tableColumns count="14">
    <tableColumn id="1" xr3:uid="{83ECFD1F-E5C0-4216-95DA-39F546AD57A1}" name=" " dataDxfId="133" totalsRowDxfId="93"/>
    <tableColumn id="2" xr3:uid="{5014E46E-56E6-4847-BEB9-A8D6B635C485}" name="1" dataDxfId="132" totalsRowDxfId="92"/>
    <tableColumn id="3" xr3:uid="{5CF5973A-352B-4B80-8822-CD7222984150}" name="2" totalsRowFunction="sum" dataDxfId="131" totalsRowDxfId="91"/>
    <tableColumn id="4" xr3:uid="{48544C64-5C75-4CE3-B411-94DC3D0EB425}" name="3" dataDxfId="130" totalsRowDxfId="90"/>
    <tableColumn id="5" xr3:uid="{80BAE6E4-BE68-45F6-BCAE-872391F77081}" name="4" dataDxfId="129" totalsRowDxfId="89"/>
    <tableColumn id="10" xr3:uid="{530C2288-D165-4A3B-8764-06AF3D671907}" name="9" dataDxfId="128" totalsRowDxfId="88">
      <calculatedColumnFormula>Таблица213399029467813[[#This Row],[ ]]</calculatedColumnFormula>
    </tableColumn>
    <tableColumn id="11" xr3:uid="{DC4E392F-D31B-4DCD-BCCF-0189B52061C6}" name="10" dataDxfId="127" totalsRowDxfId="87"/>
    <tableColumn id="12" xr3:uid="{30EF4344-7C42-4E63-A71A-3F804FD5418E}" name="11" dataDxfId="126" totalsRowDxfId="86"/>
    <tableColumn id="40" xr3:uid="{5CEDDD92-548E-42CC-9A66-1E50287DF68C}" name="114" dataDxfId="125" totalsRowDxfId="85"/>
    <tableColumn id="39" xr3:uid="{6631CDDC-F8F1-4033-AF5B-707B5C980E35}" name="113" dataDxfId="124" totalsRowDxfId="84"/>
    <tableColumn id="41" xr3:uid="{44034BB6-64AF-4C86-81AE-1BD03230CAC8}" name="1132" totalsRowFunction="sum" dataDxfId="123" totalsRowDxfId="83"/>
    <tableColumn id="36" xr3:uid="{E0CF260E-88C8-4C42-A413-99FFD00CC01A}" name="15" dataDxfId="122" totalsRowDxfId="82"/>
    <tableColumn id="35" xr3:uid="{7D9A3F60-DC0F-4DBA-84C7-8F674A5F5683}" name="16" totalsRowFunction="sum" dataDxfId="121" totalsRowDxfId="81">
      <calculatedColumnFormula>Таблица213399029467813[[#This Row],[113]]*Таблица213399029467813[[#This Row],[15]]</calculatedColumnFormula>
    </tableColumn>
    <tableColumn id="6" xr3:uid="{E26C9271-B09A-4B37-A0F6-91A4AB0D097D}" name="17" dataDxfId="94" totalsRowDxfId="80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93301D-5AD3-4948-B34A-CEF807FE1B61}" name="Таблица21339902946781316" displayName="Таблица21339902946781316" ref="A6:M50" totalsRowCount="1" headerRowDxfId="392" dataDxfId="390" totalsRowDxfId="388" headerRowBorderDxfId="391" tableBorderDxfId="389">
  <autoFilter ref="A6:M49" xr:uid="{B1088690-7F65-4643-8FCA-31AA247862A8}"/>
  <tableColumns count="13">
    <tableColumn id="1" xr3:uid="{DDF46926-3CB2-482D-8280-9A093FAB6BCC}" name=" " dataDxfId="387" totalsRowDxfId="386"/>
    <tableColumn id="2" xr3:uid="{27817B1C-0505-418D-9C33-75BDF83AA0B6}" name="1" dataDxfId="385" totalsRowDxfId="384"/>
    <tableColumn id="3" xr3:uid="{77536438-D60D-43E6-B38C-4FDD24A801E5}" name="2" totalsRowFunction="sum" dataDxfId="383" totalsRowDxfId="382"/>
    <tableColumn id="4" xr3:uid="{07E943D9-6260-446F-80C1-55377A520D47}" name="3" dataDxfId="381" totalsRowDxfId="380"/>
    <tableColumn id="5" xr3:uid="{00A7F502-694C-498B-9C89-887B727423D4}" name="4" dataDxfId="379" totalsRowDxfId="378"/>
    <tableColumn id="10" xr3:uid="{B1867860-6526-42D7-A3A3-E9B437A902A7}" name="9" dataDxfId="377" totalsRowDxfId="376">
      <calculatedColumnFormula>Таблица21339902946781316[[#This Row],[ ]]</calculatedColumnFormula>
    </tableColumn>
    <tableColumn id="11" xr3:uid="{10944EBC-4A31-443A-8201-4712A625B881}" name="10" dataDxfId="375" totalsRowDxfId="374"/>
    <tableColumn id="12" xr3:uid="{00637469-0EC5-4C15-870E-DB3E7BDCCEFC}" name="11" dataDxfId="373" totalsRowDxfId="372"/>
    <tableColumn id="40" xr3:uid="{0D5249B5-F2B9-46ED-819C-5FCFD2D6A1E4}" name="114" dataDxfId="371" totalsRowDxfId="370"/>
    <tableColumn id="39" xr3:uid="{200B26BE-B44C-417E-B920-E869FDCBF2E9}" name="113" dataDxfId="369" totalsRowDxfId="368"/>
    <tableColumn id="41" xr3:uid="{926513E0-CF12-43E7-B264-26D51D44AE6C}" name="1132" totalsRowFunction="sum" dataDxfId="367" totalsRowDxfId="366"/>
    <tableColumn id="36" xr3:uid="{20B23904-0992-429D-87D7-38D1DEB643DF}" name="15" dataDxfId="365" totalsRowDxfId="364"/>
    <tableColumn id="35" xr3:uid="{9C8DEDD3-DCBD-4E56-B9BC-13890943A51A}" name="16" totalsRowFunction="sum" dataDxfId="363" totalsRowDxfId="362">
      <calculatedColumnFormula>Таблица21339902946781316[[#This Row],[113]]*Таблица21339902946781316[[#This Row],[15]]</calculatedColumnFormula>
    </tableColumn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BDB096D-6FB9-40A1-B73A-A1FAA82391C1}" name="Таблица2133990294678131619" displayName="Таблица2133990294678131619" ref="A6:M50" totalsRowCount="1" headerRowDxfId="361" dataDxfId="359" totalsRowDxfId="357" headerRowBorderDxfId="360" tableBorderDxfId="358">
  <autoFilter ref="A6:M49" xr:uid="{B1088690-7F65-4643-8FCA-31AA247862A8}"/>
  <tableColumns count="13">
    <tableColumn id="1" xr3:uid="{BED98C4C-1F8C-4871-B87C-2F7E5C7877DC}" name=" " dataDxfId="120" totalsRowDxfId="107"/>
    <tableColumn id="2" xr3:uid="{ED3F93DD-00E4-4E3A-B4ED-977755B62660}" name="1" dataDxfId="119" totalsRowDxfId="106"/>
    <tableColumn id="3" xr3:uid="{C2C27E91-8D94-45DC-A918-BA757404B204}" name="2" totalsRowFunction="sum" dataDxfId="118" totalsRowDxfId="105"/>
    <tableColumn id="4" xr3:uid="{E1EE6CA9-97AB-4C00-97A8-F7307E567A1E}" name="3" dataDxfId="117" totalsRowDxfId="104"/>
    <tableColumn id="5" xr3:uid="{13340D70-4477-41A0-960A-C815B5D93D96}" name="4" dataDxfId="116" totalsRowDxfId="103"/>
    <tableColumn id="10" xr3:uid="{178AB499-ED76-4963-9AF5-368B5339A90E}" name="9" dataDxfId="115" totalsRowDxfId="102">
      <calculatedColumnFormula>Таблица2133990294678131619[[#This Row],[ ]]</calculatedColumnFormula>
    </tableColumn>
    <tableColumn id="11" xr3:uid="{9066F7C2-1BEA-4ACE-8ED5-C70E8A70DD5E}" name="10" dataDxfId="114" totalsRowDxfId="101"/>
    <tableColumn id="12" xr3:uid="{F6EE8A22-CCFB-4F89-9EED-D67BCBB9BAB9}" name="11" dataDxfId="113" totalsRowDxfId="100"/>
    <tableColumn id="40" xr3:uid="{94EE04C9-635A-46C4-A376-B7BBA9F89701}" name="114" dataDxfId="112" totalsRowDxfId="99"/>
    <tableColumn id="39" xr3:uid="{7F76AB8B-4DAD-4FC1-BC27-F72A2FD19D2A}" name="113" dataDxfId="111" totalsRowDxfId="98"/>
    <tableColumn id="41" xr3:uid="{84489A07-2786-4253-B642-D709898CCCAF}" name="1132" totalsRowFunction="sum" dataDxfId="110" totalsRowDxfId="97"/>
    <tableColumn id="36" xr3:uid="{BF5AF36F-F4F6-488D-AA38-B8C6CAC4C4EA}" name="15" dataDxfId="109" totalsRowDxfId="96"/>
    <tableColumn id="35" xr3:uid="{F960DB79-2568-4BC6-89BA-FEC1D209CB87}" name="16" totalsRowFunction="sum" dataDxfId="108" totalsRowDxfId="95">
      <calculatedColumnFormula>Таблица2133990294678131619[[#This Row],[113]]*Таблица2133990294678131619[[#This Row],[15]]</calculatedColumnFormula>
    </tableColumn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502DF13-FE7F-4BC9-B880-3BA84DC24587}" name="Таблица213399029467813161718" displayName="Таблица213399029467813161718" ref="A6:M50" totalsRowCount="1" headerRowDxfId="356" dataDxfId="354" totalsRowDxfId="352" headerRowBorderDxfId="355" tableBorderDxfId="353">
  <autoFilter ref="A6:M49" xr:uid="{B1088690-7F65-4643-8FCA-31AA247862A8}"/>
  <tableColumns count="13">
    <tableColumn id="1" xr3:uid="{419B2039-BC67-4B55-BC6A-028102CFF9EE}" name=" " dataDxfId="351" totalsRowDxfId="159"/>
    <tableColumn id="2" xr3:uid="{23F6E193-E094-4CAA-95E3-AE1545DDAB39}" name="1" dataDxfId="350" totalsRowDxfId="158"/>
    <tableColumn id="3" xr3:uid="{5EF89589-337D-4028-9475-62F17825DC7D}" name="2" totalsRowFunction="sum" dataDxfId="349" totalsRowDxfId="157"/>
    <tableColumn id="4" xr3:uid="{26DC05C0-B582-4E60-AFB8-00FF50D55204}" name="3" dataDxfId="348" totalsRowDxfId="156"/>
    <tableColumn id="5" xr3:uid="{F93DD23A-0AC3-4386-B6D8-DDE40030C12A}" name="4" dataDxfId="347" totalsRowDxfId="155"/>
    <tableColumn id="10" xr3:uid="{C9B98788-CCEC-4AEE-8FC9-7CDF14D96D24}" name="9" dataDxfId="346" totalsRowDxfId="154">
      <calculatedColumnFormula>Таблица213399029467813161718[[#This Row],[ ]]</calculatedColumnFormula>
    </tableColumn>
    <tableColumn id="11" xr3:uid="{21EB07B3-8E35-4C29-BC46-0BC6F324A276}" name="10" dataDxfId="345" totalsRowDxfId="153"/>
    <tableColumn id="12" xr3:uid="{EC06D624-B43F-4F7C-A291-209F1A916041}" name="11" dataDxfId="344" totalsRowDxfId="152"/>
    <tableColumn id="40" xr3:uid="{5B12CF4D-5D60-4F6E-892E-995FB7BE814D}" name="114" dataDxfId="343" totalsRowDxfId="151"/>
    <tableColumn id="39" xr3:uid="{31440E20-B271-4267-A7EF-DEB6FDA81877}" name="113" dataDxfId="342" totalsRowDxfId="150"/>
    <tableColumn id="41" xr3:uid="{63949FE8-BB6A-4419-87AF-BBCF31CBCFC2}" name="1132" totalsRowFunction="sum" dataDxfId="341" totalsRowDxfId="149"/>
    <tableColumn id="36" xr3:uid="{DBF83A7B-202E-4E48-BEDD-EE034BDE7B20}" name="15" dataDxfId="340" totalsRowDxfId="148"/>
    <tableColumn id="35" xr3:uid="{E0A97411-BBA2-49CC-BEF2-A317B4A505AB}" name="16" totalsRowFunction="sum" dataDxfId="339" totalsRowDxfId="147">
      <calculatedColumnFormula>Таблица213399029467813161718[[#This Row],[113]]*Таблица213399029467813161718[[#This Row],[15]]</calculatedColumnFormula>
    </tableColumn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D964C1A-22CF-491F-B523-7400A4727347}" name="Таблица2133990294678131617" displayName="Таблица2133990294678131617" ref="A6:N50" totalsRowCount="1" headerRowDxfId="338" dataDxfId="336" totalsRowDxfId="334" headerRowBorderDxfId="337" tableBorderDxfId="335">
  <autoFilter ref="A6:N49" xr:uid="{B1088690-7F65-4643-8FCA-31AA247862A8}"/>
  <tableColumns count="14">
    <tableColumn id="1" xr3:uid="{A43F0706-98DD-474E-8E5C-0FD61B6F6BE4}" name=" " dataDxfId="333" totalsRowDxfId="332"/>
    <tableColumn id="2" xr3:uid="{732FA86D-C653-47C5-BF72-06F251E755B3}" name="1" dataDxfId="331" totalsRowDxfId="330"/>
    <tableColumn id="3" xr3:uid="{31B584AB-329E-433C-A801-DA8B1AAAAEED}" name="2" totalsRowFunction="sum" dataDxfId="329" totalsRowDxfId="328"/>
    <tableColumn id="4" xr3:uid="{B5664ED7-785D-4992-90F3-B0AF734D1A01}" name="3" dataDxfId="327" totalsRowDxfId="326"/>
    <tableColumn id="5" xr3:uid="{5138C014-D9DA-44F1-BFEA-582555DD0AB0}" name="4" dataDxfId="325" totalsRowDxfId="324"/>
    <tableColumn id="10" xr3:uid="{0F763806-CF20-40AA-9591-B94B8105C6CC}" name="9" dataDxfId="323" totalsRowDxfId="322">
      <calculatedColumnFormula>Таблица2133990294678131617[[#This Row],[ ]]</calculatedColumnFormula>
    </tableColumn>
    <tableColumn id="11" xr3:uid="{7762A1C2-BDC6-4804-A48E-1CFE5D12121A}" name="10" dataDxfId="321" totalsRowDxfId="320"/>
    <tableColumn id="12" xr3:uid="{107C9356-0DE0-4C25-8457-FF87CED2C1AD}" name="11" dataDxfId="319" totalsRowDxfId="318"/>
    <tableColumn id="40" xr3:uid="{8EF860EF-41BF-4F1F-B1D0-62FE8B5CFB4E}" name="114" dataDxfId="317" totalsRowDxfId="316"/>
    <tableColumn id="39" xr3:uid="{410797FC-8332-4DF9-BD87-2FFE99B6532B}" name="113" dataDxfId="315" totalsRowDxfId="314"/>
    <tableColumn id="41" xr3:uid="{00261339-9160-4EA6-8D84-8C77225DC304}" name="1132" totalsRowFunction="sum" dataDxfId="313" totalsRowDxfId="312"/>
    <tableColumn id="36" xr3:uid="{9922F51D-8A0D-4703-BD87-E91A114FCB23}" name="15" dataDxfId="311" totalsRowDxfId="310"/>
    <tableColumn id="35" xr3:uid="{DAE57605-2DF1-4AE4-AD44-D3BEFDBBC919}" name="16" totalsRowFunction="sum" dataDxfId="309" totalsRowDxfId="308">
      <calculatedColumnFormula>Таблица2133990294678131617[[#This Row],[113]]*Таблица2133990294678131617[[#This Row],[15]]</calculatedColumnFormula>
    </tableColumn>
    <tableColumn id="6" xr3:uid="{7EF6FB70-FD58-4C1C-AE66-A001FDB6038E}" name="17" dataDxfId="307" totalsRowDxfId="306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102D7A3-BE42-4D55-A215-1151B11A035E}" name="Таблица213399029467813161721" displayName="Таблица213399029467813161721" ref="A6:M50" totalsRowCount="1" headerRowDxfId="305" dataDxfId="303" totalsRowDxfId="301" headerRowBorderDxfId="304" tableBorderDxfId="302">
  <autoFilter ref="A6:M49" xr:uid="{B1088690-7F65-4643-8FCA-31AA247862A8}"/>
  <tableColumns count="13">
    <tableColumn id="1" xr3:uid="{802909B7-395B-4F62-9879-034FF05F3F2A}" name=" " dataDxfId="300" totalsRowDxfId="299"/>
    <tableColumn id="2" xr3:uid="{765B972C-C90F-46DE-AED1-EF063E3A918B}" name="1" dataDxfId="298" totalsRowDxfId="297"/>
    <tableColumn id="3" xr3:uid="{3B9E0889-AB91-42C0-8869-BE961A6C8C62}" name="2" totalsRowFunction="sum" dataDxfId="296" totalsRowDxfId="295"/>
    <tableColumn id="4" xr3:uid="{62399659-35AD-4EA2-84E5-33E8D45E2BF6}" name="3" dataDxfId="294" totalsRowDxfId="293"/>
    <tableColumn id="5" xr3:uid="{12F2C9E8-D2CF-46B0-BC7F-BDA087D99063}" name="4" dataDxfId="292" totalsRowDxfId="291"/>
    <tableColumn id="10" xr3:uid="{2BDA93CC-6930-47EC-A40E-59BAC41437B5}" name="9" dataDxfId="290" totalsRowDxfId="289">
      <calculatedColumnFormula>Таблица213399029467813161721[[#This Row],[ ]]</calculatedColumnFormula>
    </tableColumn>
    <tableColumn id="11" xr3:uid="{C0DBBB0A-866E-4E2C-97FB-5D0D8A9038E5}" name="10" dataDxfId="288" totalsRowDxfId="287"/>
    <tableColumn id="12" xr3:uid="{186F42A9-79E9-49F3-84CD-72C6DC1F103A}" name="11" dataDxfId="286" totalsRowDxfId="285"/>
    <tableColumn id="40" xr3:uid="{0F85B438-3ADB-447E-8603-712DB295D0CB}" name="114" dataDxfId="284" totalsRowDxfId="283"/>
    <tableColumn id="39" xr3:uid="{D95167D0-AB8C-4D19-84BD-B4BA093B9EDA}" name="113" dataDxfId="282" totalsRowDxfId="281"/>
    <tableColumn id="41" xr3:uid="{364768F6-8CC0-4F80-A1F7-E949C314D79D}" name="1132" totalsRowFunction="sum" dataDxfId="280" totalsRowDxfId="279"/>
    <tableColumn id="36" xr3:uid="{AE49115D-6DCA-43B1-B53D-1726F5F85DB6}" name="15" dataDxfId="278" totalsRowDxfId="277"/>
    <tableColumn id="35" xr3:uid="{BED5D8FD-07A9-486A-B0DE-0D098198D4DB}" name="16" totalsRowFunction="sum" dataDxfId="276" totalsRowDxfId="275">
      <calculatedColumnFormula>Таблица213399029467813161721[[#This Row],[113]]*Таблица213399029467813161721[[#This Row],[15]]</calculatedColumnFormula>
    </tableColumn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0F890B9-4457-4712-B399-1D00B8A62771}" name="Таблица21339902946781316172122" displayName="Таблица21339902946781316172122" ref="A6:N50" totalsRowCount="1" headerRowDxfId="274" dataDxfId="272" totalsRowDxfId="270" headerRowBorderDxfId="273" tableBorderDxfId="271">
  <autoFilter ref="A6:N49" xr:uid="{B1088690-7F65-4643-8FCA-31AA247862A8}"/>
  <tableColumns count="14">
    <tableColumn id="1" xr3:uid="{5B6C760A-F16F-405D-97EE-74701DCFD43B}" name=" " dataDxfId="27" totalsRowDxfId="13"/>
    <tableColumn id="2" xr3:uid="{53CEFA6C-D330-4C7F-B079-664225E47DB5}" name="1" dataDxfId="26" totalsRowDxfId="12"/>
    <tableColumn id="3" xr3:uid="{C7D62ECA-9994-4E14-8B7A-BE0AF75B555C}" name="2" totalsRowFunction="sum" dataDxfId="25" totalsRowDxfId="11"/>
    <tableColumn id="4" xr3:uid="{8D786517-D436-4752-9C01-65FA3D50541E}" name="3" dataDxfId="24" totalsRowDxfId="10"/>
    <tableColumn id="5" xr3:uid="{13D61A33-6537-4E48-83DE-6D3DF8972709}" name="4" dataDxfId="23" totalsRowDxfId="9"/>
    <tableColumn id="10" xr3:uid="{294BF16C-8FE7-4102-AE35-0288A2194E13}" name="9" dataDxfId="22" totalsRowDxfId="8">
      <calculatedColumnFormula>Таблица21339902946781316172122[[#This Row],[ ]]</calculatedColumnFormula>
    </tableColumn>
    <tableColumn id="11" xr3:uid="{35C213D9-E27D-4DCD-BAD4-017CC5D48E92}" name="10" dataDxfId="21" totalsRowDxfId="7"/>
    <tableColumn id="12" xr3:uid="{20D42BFC-5D67-4DB6-8EFC-FF4A9FB74417}" name="11" dataDxfId="20" totalsRowDxfId="6"/>
    <tableColumn id="40" xr3:uid="{85FBAF4B-6C0B-4573-A7C8-72B09149F041}" name="114" dataDxfId="19" totalsRowDxfId="5"/>
    <tableColumn id="39" xr3:uid="{54070978-0FDE-44DC-9635-8B5640416A3C}" name="113" dataDxfId="18" totalsRowDxfId="4"/>
    <tableColumn id="41" xr3:uid="{F41AA938-09FE-4BB7-B4C1-E5AF55974F1E}" name="1132" totalsRowFunction="sum" dataDxfId="17" totalsRowDxfId="3"/>
    <tableColumn id="36" xr3:uid="{55E8BBE4-69E5-402B-88DA-14064B4C5E7E}" name="15" dataDxfId="16" totalsRowDxfId="2"/>
    <tableColumn id="35" xr3:uid="{7E30F0C3-956F-4CD2-BF18-1983A253FB0A}" name="16" totalsRowFunction="sum" dataDxfId="15" totalsRowDxfId="1">
      <calculatedColumnFormula>Таблица21339902946781316172122[[#This Row],[113]]*Таблица21339902946781316172122[[#This Row],[15]]</calculatedColumnFormula>
    </tableColumn>
    <tableColumn id="6" xr3:uid="{03D1E989-F16D-40B0-B6D7-33066B3EBC72}" name="17" dataDxfId="14" totalsRowDxfId="0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FCF8BC6-5174-4797-876C-56D0B3688DD0}" name="Таблица2133990294678131617212223" displayName="Таблица2133990294678131617212223" ref="A6:M50" totalsRowCount="1" headerRowDxfId="269" dataDxfId="267" totalsRowDxfId="265" headerRowBorderDxfId="268" tableBorderDxfId="266">
  <autoFilter ref="A6:M49" xr:uid="{B1088690-7F65-4643-8FCA-31AA247862A8}"/>
  <tableColumns count="13">
    <tableColumn id="1" xr3:uid="{20C72102-46BA-4133-BB85-8ECFEE4664D4}" name=" " dataDxfId="264" totalsRowDxfId="146"/>
    <tableColumn id="2" xr3:uid="{FC4338E6-E744-4DEB-9F7F-9DEE5A6FDB4A}" name="1" dataDxfId="263" totalsRowDxfId="145"/>
    <tableColumn id="3" xr3:uid="{83D58CE1-1883-456D-8782-DF96713A1C89}" name="2" totalsRowFunction="sum" dataDxfId="262" totalsRowDxfId="144"/>
    <tableColumn id="4" xr3:uid="{A09C0AF2-9E52-40EA-AAD2-4CEB6B2E0DDB}" name="3" dataDxfId="261" totalsRowDxfId="143"/>
    <tableColumn id="5" xr3:uid="{C0048C22-3E8C-4398-B182-F730663BB1D4}" name="4" dataDxfId="260" totalsRowDxfId="142"/>
    <tableColumn id="10" xr3:uid="{ECBF6747-870F-4556-87D4-5D36F0BD2DB6}" name="9" dataDxfId="259" totalsRowDxfId="141">
      <calculatedColumnFormula>Таблица2133990294678131617212223[[#This Row],[ ]]</calculatedColumnFormula>
    </tableColumn>
    <tableColumn id="11" xr3:uid="{28759A78-BE7B-40FF-8E6C-6602893BD305}" name="10" dataDxfId="258" totalsRowDxfId="140"/>
    <tableColumn id="12" xr3:uid="{AA965530-F886-4470-820D-DCF489CC5780}" name="11" dataDxfId="257" totalsRowDxfId="139"/>
    <tableColumn id="40" xr3:uid="{AAA24C97-0B05-4568-A3FB-709278D60B98}" name="114" dataDxfId="256" totalsRowDxfId="138"/>
    <tableColumn id="39" xr3:uid="{6DE6D14E-C635-42A7-9E1A-63680802B42B}" name="113" dataDxfId="255" totalsRowDxfId="137"/>
    <tableColumn id="41" xr3:uid="{4804F085-4481-4D96-8D89-1E73E2BAECE4}" name="1132" totalsRowFunction="sum" dataDxfId="254" totalsRowDxfId="136"/>
    <tableColumn id="36" xr3:uid="{306B0A50-1587-4428-97F1-D58C6B3CEAF3}" name="15" dataDxfId="253" totalsRowDxfId="135"/>
    <tableColumn id="35" xr3:uid="{26BE0A4D-34F9-4E00-AC75-661C7206E8DD}" name="16" totalsRowFunction="sum" dataDxfId="252" totalsRowDxfId="134">
      <calculatedColumnFormula>Таблица2133990294678131617212223[[#This Row],[113]]*Таблица2133990294678131617212223[[#This Row],[15]]</calculatedColumnFormula>
    </tableColumn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7A8AA4C-B05E-4E0F-9D84-938F7CE8C98D}" name="Таблица213399029467813161721222324" displayName="Таблица213399029467813161721222324" ref="A6:M50" totalsRowCount="1" headerRowDxfId="251" dataDxfId="249" totalsRowDxfId="247" headerRowBorderDxfId="250" tableBorderDxfId="248">
  <autoFilter ref="A6:M49" xr:uid="{B1088690-7F65-4643-8FCA-31AA247862A8}"/>
  <tableColumns count="13">
    <tableColumn id="1" xr3:uid="{AE5C3BB0-2A2C-44B5-99FB-0EDBB507024A}" name=" " dataDxfId="53" totalsRowDxfId="40"/>
    <tableColumn id="2" xr3:uid="{9CE584A2-A3B0-4209-914C-36C6711A3C81}" name="1" dataDxfId="52" totalsRowDxfId="39"/>
    <tableColumn id="3" xr3:uid="{A2593731-2466-4015-9F25-040E1B9DC9F8}" name="2" totalsRowFunction="sum" dataDxfId="51" totalsRowDxfId="38"/>
    <tableColumn id="4" xr3:uid="{B6CB2ECE-FC60-408D-81AD-D4339152CD82}" name="3" dataDxfId="50" totalsRowDxfId="37"/>
    <tableColumn id="5" xr3:uid="{E6246404-4A77-4145-B35A-745A766AEF0D}" name="4" dataDxfId="49" totalsRowDxfId="36"/>
    <tableColumn id="10" xr3:uid="{A82FC4E8-3677-4D0A-9CB2-2DB6FF81745D}" name="9" dataDxfId="48" totalsRowDxfId="35">
      <calculatedColumnFormula>Таблица213399029467813161721222324[[#This Row],[ ]]</calculatedColumnFormula>
    </tableColumn>
    <tableColumn id="11" xr3:uid="{5E699617-E9A6-4716-99DF-BD99ADCD2BF1}" name="10" dataDxfId="47" totalsRowDxfId="34"/>
    <tableColumn id="12" xr3:uid="{AD912824-589C-4F06-A2B1-E500C5FD6F5E}" name="11" dataDxfId="46" totalsRowDxfId="33"/>
    <tableColumn id="40" xr3:uid="{7A01FC32-22F9-42A8-AA99-2E423A4F4B65}" name="114" dataDxfId="45" totalsRowDxfId="32"/>
    <tableColumn id="39" xr3:uid="{58C85A09-E3AC-47E7-B6E9-472D02B4B036}" name="113" dataDxfId="44" totalsRowDxfId="31"/>
    <tableColumn id="41" xr3:uid="{2E6102E6-6449-45DE-9BEC-73DDE80174BA}" name="1132" totalsRowFunction="sum" dataDxfId="43" totalsRowDxfId="30"/>
    <tableColumn id="36" xr3:uid="{ACD7559D-DB81-4A58-A8F6-2086DEC07F90}" name="15" dataDxfId="42" totalsRowDxfId="29"/>
    <tableColumn id="35" xr3:uid="{29BD87D6-D69B-41CD-9533-6CC40608D397}" name="16" totalsRowFunction="sum" dataDxfId="41" totalsRowDxfId="28">
      <calculatedColumnFormula>Таблица213399029467813161721222324[[#This Row],[113]]*Таблица213399029467813161721222324[[#This Row],[15]]</calculatedColumnFormula>
    </tableColumn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ABA041F-2E1C-4E97-8C18-8A1CC386C70A}" name="Таблица21339902946781316172122232425" displayName="Таблица21339902946781316172122232425" ref="A6:M50" totalsRowCount="1" headerRowDxfId="246" dataDxfId="244" totalsRowDxfId="242" headerRowBorderDxfId="245" tableBorderDxfId="243">
  <autoFilter ref="A6:M49" xr:uid="{B1088690-7F65-4643-8FCA-31AA247862A8}"/>
  <tableColumns count="13">
    <tableColumn id="1" xr3:uid="{CA3935D5-61BF-485C-A84F-ED56FB34D6DD}" name=" " dataDxfId="241" totalsRowDxfId="240"/>
    <tableColumn id="2" xr3:uid="{473654C0-6E57-439C-8D01-22803905E673}" name="1" dataDxfId="239" totalsRowDxfId="238"/>
    <tableColumn id="3" xr3:uid="{41D0D8AE-8B45-4CAD-8154-CC6A1B2BA1D8}" name="2" totalsRowFunction="sum" dataDxfId="237" totalsRowDxfId="236"/>
    <tableColumn id="4" xr3:uid="{5A7AB996-35CE-4BAF-B39B-10F30EA5A380}" name="3" dataDxfId="235" totalsRowDxfId="234"/>
    <tableColumn id="5" xr3:uid="{545EAAC9-1E16-4399-B1FB-5B80F2976780}" name="4" dataDxfId="233" totalsRowDxfId="232"/>
    <tableColumn id="10" xr3:uid="{8AF99392-C728-40CA-B95C-73EFE39FCD47}" name="9" dataDxfId="231" totalsRowDxfId="230">
      <calculatedColumnFormula>Таблица21339902946781316172122232425[[#This Row],[ ]]</calculatedColumnFormula>
    </tableColumn>
    <tableColumn id="11" xr3:uid="{F1B9F662-7F43-4976-86AF-F08EB7EA4E76}" name="10" dataDxfId="229" totalsRowDxfId="228"/>
    <tableColumn id="12" xr3:uid="{722EF2F2-FEBE-43D4-AE8E-E17D28024731}" name="11" dataDxfId="227" totalsRowDxfId="226"/>
    <tableColumn id="40" xr3:uid="{EFFEF52E-AC57-42FC-95CF-D516C6AA096A}" name="114" dataDxfId="225" totalsRowDxfId="224"/>
    <tableColumn id="39" xr3:uid="{A8091D87-801C-4CF2-BC4F-52A83551510B}" name="113" dataDxfId="223" totalsRowDxfId="222"/>
    <tableColumn id="41" xr3:uid="{653CFF43-EF7B-4322-84EC-B5DCD0C07EB1}" name="1132" totalsRowFunction="sum" dataDxfId="221" totalsRowDxfId="220"/>
    <tableColumn id="36" xr3:uid="{2FB8F5AF-AAAA-4C9B-81FE-9169E8F2280F}" name="15" dataDxfId="219" totalsRowDxfId="218"/>
    <tableColumn id="35" xr3:uid="{F64DA7B7-F424-45AD-8C73-CA4E18A01159}" name="16" totalsRowFunction="sum" dataDxfId="217" totalsRowDxfId="216">
      <calculatedColumnFormula>Таблица21339902946781316172122232425[[#This Row],[113]]*Таблица21339902946781316172122232425[[#This Row],[15]]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4B74-8D91-461C-B628-FC08F5EC377B}">
  <sheetPr>
    <tabColor rgb="FF00B0F0"/>
  </sheetPr>
  <dimension ref="A1:D35"/>
  <sheetViews>
    <sheetView zoomScale="160" zoomScaleNormal="160" workbookViewId="0">
      <pane ySplit="2" topLeftCell="A3" activePane="bottomLeft" state="frozen"/>
      <selection pane="bottomLeft" activeCell="D23" sqref="D23"/>
    </sheetView>
  </sheetViews>
  <sheetFormatPr defaultRowHeight="14.25" x14ac:dyDescent="0.2"/>
  <cols>
    <col min="1" max="1" width="11.42578125" style="1" bestFit="1" customWidth="1"/>
    <col min="2" max="2" width="15.5703125" style="1" bestFit="1" customWidth="1"/>
    <col min="3" max="3" width="16.5703125" style="1" bestFit="1" customWidth="1"/>
    <col min="4" max="4" width="22.7109375" style="1" bestFit="1" customWidth="1"/>
    <col min="5" max="16384" width="9.140625" style="1"/>
  </cols>
  <sheetData>
    <row r="1" spans="1:4" x14ac:dyDescent="0.2">
      <c r="B1" s="174">
        <f>SUBTOTAL(9,ОплатаЗавод[Сумма])</f>
        <v>2101088520</v>
      </c>
    </row>
    <row r="2" spans="1:4" x14ac:dyDescent="0.2">
      <c r="A2" s="1" t="s">
        <v>9</v>
      </c>
      <c r="B2" s="1" t="s">
        <v>19</v>
      </c>
      <c r="C2" s="1" t="s">
        <v>63</v>
      </c>
      <c r="D2" s="1" t="s">
        <v>60</v>
      </c>
    </row>
    <row r="3" spans="1:4" x14ac:dyDescent="0.2">
      <c r="A3" s="48">
        <v>46198</v>
      </c>
      <c r="B3" s="49">
        <v>45570000</v>
      </c>
      <c r="C3" s="1" t="s">
        <v>75</v>
      </c>
      <c r="D3" s="1" t="s">
        <v>76</v>
      </c>
    </row>
    <row r="4" spans="1:4" x14ac:dyDescent="0.2">
      <c r="A4" s="48">
        <v>46198</v>
      </c>
      <c r="B4" s="49">
        <v>23328000</v>
      </c>
      <c r="C4" s="1" t="s">
        <v>75</v>
      </c>
      <c r="D4" s="1" t="s">
        <v>76</v>
      </c>
    </row>
    <row r="5" spans="1:4" x14ac:dyDescent="0.2">
      <c r="A5" s="48">
        <v>46202</v>
      </c>
      <c r="B5" s="49">
        <v>24624000</v>
      </c>
      <c r="C5" s="1" t="s">
        <v>75</v>
      </c>
      <c r="D5" s="1" t="s">
        <v>76</v>
      </c>
    </row>
    <row r="6" spans="1:4" x14ac:dyDescent="0.2">
      <c r="A6" s="48">
        <v>46202</v>
      </c>
      <c r="B6" s="49">
        <v>23965000</v>
      </c>
      <c r="C6" s="1" t="s">
        <v>75</v>
      </c>
      <c r="D6" s="1" t="s">
        <v>76</v>
      </c>
    </row>
    <row r="7" spans="1:4" x14ac:dyDescent="0.2">
      <c r="A7" s="48">
        <v>46202</v>
      </c>
      <c r="B7" s="49">
        <v>47952000</v>
      </c>
      <c r="C7" s="1" t="s">
        <v>75</v>
      </c>
      <c r="D7" s="1" t="s">
        <v>76</v>
      </c>
    </row>
    <row r="8" spans="1:4" x14ac:dyDescent="0.2">
      <c r="A8" s="48">
        <v>46203</v>
      </c>
      <c r="B8" s="49">
        <v>50000000</v>
      </c>
      <c r="C8" s="1" t="s">
        <v>75</v>
      </c>
      <c r="D8" s="1" t="s">
        <v>76</v>
      </c>
    </row>
    <row r="9" spans="1:4" x14ac:dyDescent="0.2">
      <c r="A9" s="48">
        <v>46203</v>
      </c>
      <c r="B9" s="49">
        <v>23872000</v>
      </c>
      <c r="C9" s="1" t="s">
        <v>75</v>
      </c>
      <c r="D9" s="1" t="s">
        <v>76</v>
      </c>
    </row>
    <row r="10" spans="1:4" x14ac:dyDescent="0.2">
      <c r="A10" s="48">
        <v>46203</v>
      </c>
      <c r="B10" s="49">
        <v>22703000</v>
      </c>
      <c r="C10" s="1" t="s">
        <v>75</v>
      </c>
      <c r="D10" s="1" t="s">
        <v>76</v>
      </c>
    </row>
    <row r="11" spans="1:4" x14ac:dyDescent="0.2">
      <c r="A11" s="48">
        <v>46204</v>
      </c>
      <c r="B11" s="49">
        <v>25231000</v>
      </c>
      <c r="C11" s="1" t="s">
        <v>75</v>
      </c>
      <c r="D11" s="1" t="s">
        <v>76</v>
      </c>
    </row>
    <row r="12" spans="1:4" x14ac:dyDescent="0.2">
      <c r="A12" s="48">
        <v>46205</v>
      </c>
      <c r="B12" s="49">
        <v>67737600</v>
      </c>
      <c r="C12" s="1" t="s">
        <v>75</v>
      </c>
      <c r="D12" s="1" t="s">
        <v>76</v>
      </c>
    </row>
    <row r="13" spans="1:4" x14ac:dyDescent="0.2">
      <c r="A13" s="48">
        <v>46205</v>
      </c>
      <c r="B13" s="49">
        <v>72394560</v>
      </c>
      <c r="C13" s="1" t="s">
        <v>75</v>
      </c>
      <c r="D13" s="1" t="s">
        <v>76</v>
      </c>
    </row>
    <row r="14" spans="1:4" x14ac:dyDescent="0.2">
      <c r="A14" s="48">
        <v>46205</v>
      </c>
      <c r="B14" s="49">
        <v>73872000</v>
      </c>
      <c r="C14" s="1" t="s">
        <v>75</v>
      </c>
      <c r="D14" s="1" t="s">
        <v>76</v>
      </c>
    </row>
    <row r="15" spans="1:4" x14ac:dyDescent="0.2">
      <c r="A15" s="48">
        <v>46206</v>
      </c>
      <c r="B15" s="49">
        <v>47934720</v>
      </c>
      <c r="C15" s="1" t="s">
        <v>75</v>
      </c>
      <c r="D15" s="1" t="s">
        <v>76</v>
      </c>
    </row>
    <row r="16" spans="1:4" x14ac:dyDescent="0.2">
      <c r="A16" s="48">
        <v>46206</v>
      </c>
      <c r="B16" s="49">
        <v>49904640</v>
      </c>
      <c r="C16" s="1" t="s">
        <v>75</v>
      </c>
      <c r="D16" s="1" t="s">
        <v>76</v>
      </c>
    </row>
    <row r="17" spans="1:4" x14ac:dyDescent="0.2">
      <c r="A17" s="48">
        <v>46206</v>
      </c>
      <c r="B17" s="49">
        <v>506000000</v>
      </c>
      <c r="C17" s="1" t="s">
        <v>75</v>
      </c>
      <c r="D17" s="1" t="s">
        <v>76</v>
      </c>
    </row>
    <row r="18" spans="1:4" x14ac:dyDescent="0.2">
      <c r="A18" s="48">
        <v>46206</v>
      </c>
      <c r="B18" s="49">
        <v>890000000</v>
      </c>
      <c r="C18" s="1" t="s">
        <v>75</v>
      </c>
      <c r="D18" s="1" t="s">
        <v>76</v>
      </c>
    </row>
    <row r="19" spans="1:4" x14ac:dyDescent="0.2">
      <c r="A19" s="48">
        <v>46206</v>
      </c>
      <c r="B19" s="49">
        <v>50000000</v>
      </c>
      <c r="C19" s="1" t="s">
        <v>75</v>
      </c>
      <c r="D19" s="1" t="s">
        <v>76</v>
      </c>
    </row>
    <row r="20" spans="1:4" x14ac:dyDescent="0.2">
      <c r="A20" s="155">
        <v>46206</v>
      </c>
      <c r="B20" s="156">
        <v>6000000</v>
      </c>
      <c r="C20" s="157" t="s">
        <v>161</v>
      </c>
    </row>
    <row r="21" spans="1:4" x14ac:dyDescent="0.2">
      <c r="A21" s="48">
        <v>46210</v>
      </c>
      <c r="B21" s="49">
        <v>50000000</v>
      </c>
      <c r="C21" s="1" t="s">
        <v>197</v>
      </c>
      <c r="D21" s="170">
        <v>9860190103054400</v>
      </c>
    </row>
    <row r="22" spans="1:4" x14ac:dyDescent="0.2">
      <c r="A22" s="48"/>
      <c r="B22" s="49"/>
    </row>
    <row r="23" spans="1:4" x14ac:dyDescent="0.2">
      <c r="A23" s="48"/>
      <c r="B23" s="49"/>
    </row>
    <row r="24" spans="1:4" x14ac:dyDescent="0.2">
      <c r="A24" s="48"/>
      <c r="B24" s="49"/>
    </row>
    <row r="25" spans="1:4" x14ac:dyDescent="0.2">
      <c r="A25" s="48"/>
      <c r="B25" s="49"/>
    </row>
    <row r="26" spans="1:4" x14ac:dyDescent="0.2">
      <c r="A26" s="48"/>
      <c r="B26" s="49"/>
    </row>
    <row r="27" spans="1:4" x14ac:dyDescent="0.2">
      <c r="A27" s="48"/>
      <c r="B27" s="49"/>
    </row>
    <row r="28" spans="1:4" x14ac:dyDescent="0.2">
      <c r="A28" s="48"/>
      <c r="B28" s="49"/>
    </row>
    <row r="29" spans="1:4" x14ac:dyDescent="0.2">
      <c r="A29" s="48"/>
      <c r="B29" s="49"/>
    </row>
    <row r="30" spans="1:4" x14ac:dyDescent="0.2">
      <c r="A30" s="48"/>
      <c r="B30" s="49"/>
    </row>
    <row r="31" spans="1:4" x14ac:dyDescent="0.2">
      <c r="A31" s="48"/>
      <c r="B31" s="49"/>
    </row>
    <row r="32" spans="1:4" x14ac:dyDescent="0.2">
      <c r="A32" s="48"/>
      <c r="B32" s="49"/>
    </row>
    <row r="33" spans="1:2" x14ac:dyDescent="0.2">
      <c r="A33" s="48"/>
      <c r="B33" s="49"/>
    </row>
    <row r="34" spans="1:2" x14ac:dyDescent="0.2">
      <c r="A34" s="48"/>
      <c r="B34" s="49"/>
    </row>
    <row r="35" spans="1:2" x14ac:dyDescent="0.2">
      <c r="A35" s="48"/>
      <c r="B35" s="49"/>
    </row>
  </sheetData>
  <printOptions horizontalCentered="1"/>
  <pageMargins left="0.70866141732283472" right="0.70866141732283472" top="4.2913385826771657" bottom="0.74803149606299213" header="0.31496062992125984" footer="0.31496062992125984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FFDA-6CE3-4164-B1D2-7722F7922EF3}">
  <dimension ref="A1:AD25"/>
  <sheetViews>
    <sheetView zoomScale="85" zoomScaleNormal="85" workbookViewId="0">
      <selection activeCell="L29" sqref="L29"/>
    </sheetView>
  </sheetViews>
  <sheetFormatPr defaultRowHeight="15" x14ac:dyDescent="0.25"/>
  <cols>
    <col min="1" max="1" width="21.7109375" bestFit="1" customWidth="1"/>
    <col min="2" max="2" width="13.42578125" bestFit="1" customWidth="1"/>
    <col min="3" max="3" width="11.28515625" bestFit="1" customWidth="1"/>
    <col min="4" max="4" width="25.85546875" bestFit="1" customWidth="1"/>
    <col min="5" max="6" width="12" bestFit="1" customWidth="1"/>
    <col min="7" max="7" width="12.5703125" bestFit="1" customWidth="1"/>
    <col min="8" max="8" width="10.140625" bestFit="1" customWidth="1"/>
    <col min="9" max="9" width="12.42578125" bestFit="1" customWidth="1"/>
    <col min="11" max="11" width="22.5703125" style="55" bestFit="1" customWidth="1"/>
    <col min="12" max="12" width="12" style="55" bestFit="1" customWidth="1"/>
    <col min="13" max="13" width="11.85546875" style="55" bestFit="1" customWidth="1"/>
    <col min="14" max="14" width="11.42578125" style="55" bestFit="1" customWidth="1"/>
    <col min="16" max="16" width="11.42578125" bestFit="1" customWidth="1"/>
    <col min="18" max="18" width="25" customWidth="1"/>
    <col min="19" max="20" width="12" bestFit="1" customWidth="1"/>
    <col min="21" max="21" width="11.5703125" bestFit="1" customWidth="1"/>
    <col min="23" max="23" width="9.85546875" bestFit="1" customWidth="1"/>
    <col min="25" max="25" width="25.28515625" customWidth="1"/>
    <col min="26" max="27" width="11.42578125" bestFit="1" customWidth="1"/>
    <col min="28" max="28" width="11.5703125" bestFit="1" customWidth="1"/>
  </cols>
  <sheetData>
    <row r="1" spans="1:30" x14ac:dyDescent="0.25">
      <c r="A1" s="112" t="s">
        <v>64</v>
      </c>
      <c r="B1" s="115">
        <f>Товар!J2</f>
        <v>1647154250</v>
      </c>
      <c r="D1" s="3">
        <f>Товар!M2</f>
        <v>211900000</v>
      </c>
      <c r="F1" s="153"/>
    </row>
    <row r="2" spans="1:30" x14ac:dyDescent="0.25">
      <c r="A2" s="112" t="s">
        <v>142</v>
      </c>
      <c r="B2" s="115">
        <f>Товар!N2</f>
        <v>1859054250</v>
      </c>
      <c r="D2" s="3">
        <f>B3-B1</f>
        <v>453934270</v>
      </c>
    </row>
    <row r="3" spans="1:30" x14ac:dyDescent="0.25">
      <c r="A3" s="113" t="s">
        <v>199</v>
      </c>
      <c r="B3" s="116">
        <f>'Оплата Завод'!B1</f>
        <v>2101088520</v>
      </c>
    </row>
    <row r="4" spans="1:30" x14ac:dyDescent="0.25">
      <c r="A4" s="114" t="s">
        <v>77</v>
      </c>
      <c r="B4" s="117">
        <f>B3-B2</f>
        <v>242034270</v>
      </c>
      <c r="D4" s="214">
        <v>1</v>
      </c>
      <c r="E4" s="215" t="s">
        <v>95</v>
      </c>
      <c r="F4" s="215"/>
      <c r="G4" s="215"/>
      <c r="K4" s="214">
        <v>2</v>
      </c>
      <c r="L4" s="216" t="s">
        <v>89</v>
      </c>
      <c r="M4" s="216"/>
      <c r="N4" s="216"/>
      <c r="R4" s="214">
        <v>3</v>
      </c>
      <c r="S4" s="216" t="s">
        <v>73</v>
      </c>
      <c r="T4" s="216"/>
      <c r="U4" s="216"/>
      <c r="Y4" s="217" t="s">
        <v>254</v>
      </c>
      <c r="Z4" s="219" t="s">
        <v>91</v>
      </c>
      <c r="AA4" s="220"/>
      <c r="AB4" s="221"/>
    </row>
    <row r="5" spans="1:30" x14ac:dyDescent="0.25">
      <c r="A5" s="145" t="s">
        <v>143</v>
      </c>
      <c r="B5" s="117">
        <f>D2</f>
        <v>453934270</v>
      </c>
      <c r="D5" s="214"/>
      <c r="E5" s="102">
        <f>SUM(E7:E12)</f>
        <v>419630159.98310399</v>
      </c>
      <c r="F5" s="102">
        <f>SUM(F7:F12)</f>
        <v>372450160</v>
      </c>
      <c r="G5" s="102">
        <f>SUM(G7:G12)</f>
        <v>-47179999.983103991</v>
      </c>
      <c r="H5" s="107">
        <f>SUM(H7:H12)</f>
        <v>339</v>
      </c>
      <c r="K5" s="214"/>
      <c r="L5" s="2">
        <f>SUM(L7:L11)</f>
        <v>121824000</v>
      </c>
      <c r="M5" s="2">
        <f>SUM(M7:M11)</f>
        <v>207906400</v>
      </c>
      <c r="N5" s="5">
        <f>SUM(N7:N11)</f>
        <v>86082400</v>
      </c>
      <c r="O5" s="3">
        <f>SUM(O7:O12)</f>
        <v>94</v>
      </c>
      <c r="R5" s="214"/>
      <c r="S5" s="2">
        <f>SUM(S7:S11)</f>
        <v>516136320</v>
      </c>
      <c r="T5" s="2">
        <f>SUM(T7:T11)</f>
        <v>524219920</v>
      </c>
      <c r="U5" s="2">
        <f>SUM(U7:U11)</f>
        <v>8083600</v>
      </c>
      <c r="V5" s="3">
        <f>SUM(V7:V13)</f>
        <v>417</v>
      </c>
      <c r="Y5" s="218"/>
      <c r="Z5" s="2">
        <f>SUM(Z7:Z11)</f>
        <v>119834439.3792</v>
      </c>
      <c r="AA5" s="2">
        <f>SUM(AA7:AA11)</f>
        <v>119834440</v>
      </c>
      <c r="AB5" s="2">
        <f>SUM(AB7:AB11)</f>
        <v>0.62080000340938568</v>
      </c>
      <c r="AC5" s="3">
        <f>SUM(AC7:AC14)</f>
        <v>95</v>
      </c>
    </row>
    <row r="6" spans="1:30" ht="45" x14ac:dyDescent="0.25">
      <c r="D6" s="57" t="s">
        <v>96</v>
      </c>
      <c r="E6" s="57" t="s">
        <v>97</v>
      </c>
      <c r="F6" s="57" t="s">
        <v>98</v>
      </c>
      <c r="G6" s="57" t="s">
        <v>99</v>
      </c>
      <c r="H6" s="104" t="s">
        <v>108</v>
      </c>
      <c r="I6" s="104" t="s">
        <v>177</v>
      </c>
      <c r="K6" s="57" t="s">
        <v>96</v>
      </c>
      <c r="L6" s="57" t="s">
        <v>97</v>
      </c>
      <c r="M6" s="57" t="s">
        <v>98</v>
      </c>
      <c r="N6" s="57" t="s">
        <v>99</v>
      </c>
      <c r="O6" s="104" t="s">
        <v>108</v>
      </c>
      <c r="P6" s="104" t="s">
        <v>177</v>
      </c>
      <c r="R6" s="57" t="s">
        <v>96</v>
      </c>
      <c r="S6" s="57" t="s">
        <v>97</v>
      </c>
      <c r="T6" s="57" t="s">
        <v>98</v>
      </c>
      <c r="U6" s="57" t="s">
        <v>99</v>
      </c>
      <c r="V6" s="104" t="s">
        <v>108</v>
      </c>
      <c r="W6" s="104" t="s">
        <v>177</v>
      </c>
      <c r="Y6" s="57" t="s">
        <v>96</v>
      </c>
      <c r="Z6" s="57" t="s">
        <v>97</v>
      </c>
      <c r="AA6" s="57" t="s">
        <v>98</v>
      </c>
      <c r="AB6" s="57" t="s">
        <v>99</v>
      </c>
      <c r="AC6" s="104" t="s">
        <v>108</v>
      </c>
      <c r="AD6" s="104" t="s">
        <v>177</v>
      </c>
    </row>
    <row r="7" spans="1:30" x14ac:dyDescent="0.25">
      <c r="A7" s="114" t="s">
        <v>144</v>
      </c>
      <c r="B7" s="140">
        <f>(-1)*(H5+O5+V5+AC5)</f>
        <v>-945</v>
      </c>
      <c r="D7" s="58" t="str">
        <f>'1-Урганч Тамирлаш'!D1</f>
        <v>1-Урганч Тамирлаш</v>
      </c>
      <c r="E7" s="5">
        <f>'1-Урганч Тамирлаш'!M5</f>
        <v>137499599.98310399</v>
      </c>
      <c r="F7" s="5">
        <f>'1-Урганч Тамирлаш'!C5</f>
        <v>130570000</v>
      </c>
      <c r="G7" s="5">
        <f>'1-Урганч Тамирлаш'!F2</f>
        <v>-6929599.9831039906</v>
      </c>
      <c r="H7" s="202">
        <f>'1-Урганч Тамирлаш'!K5-'1-Урганч Тамирлаш'!E5</f>
        <v>112</v>
      </c>
      <c r="I7" s="5">
        <f>'1-Урганч Тамирлаш'!I1</f>
        <v>0</v>
      </c>
      <c r="K7" s="103" t="str">
        <f>'2-Гофур Хазорасп'!D1</f>
        <v>2-Гофур Хазорасп</v>
      </c>
      <c r="L7" s="2">
        <f>'2-Гофур Хазорасп'!M5</f>
        <v>121824000</v>
      </c>
      <c r="M7" s="2">
        <f>'2-Гофур Хазорасп'!C5</f>
        <v>121824000</v>
      </c>
      <c r="N7" s="2">
        <f>'2-Гофур Хазорасп'!F2</f>
        <v>0</v>
      </c>
      <c r="O7" s="5">
        <f>'2-Гофур Хазорасп'!K5-'2-Гофур Хазорасп'!E5</f>
        <v>94</v>
      </c>
      <c r="P7" s="2">
        <f>'2-Гофур Хазорасп'!I1</f>
        <v>0</v>
      </c>
      <c r="R7" s="103" t="str">
        <f>'3-Сулаймон Ога Хазарасп'!D1</f>
        <v>3-Сулаймон Ога Хазарасп</v>
      </c>
      <c r="S7" s="2">
        <f>'3-Сулаймон Ога Хазарасп'!M5</f>
        <v>399254400</v>
      </c>
      <c r="T7" s="2">
        <f>'3-Сулаймон Ога Хазарасп'!C5</f>
        <v>366373200</v>
      </c>
      <c r="U7" s="2">
        <f>'3-Сулаймон Ога Хазарасп'!F2</f>
        <v>-32881200</v>
      </c>
      <c r="V7" s="5">
        <f>'3-Сулаймон Ога Хазарасп'!K5-'3-Сулаймон Ога Хазарасп'!E5</f>
        <v>322</v>
      </c>
      <c r="W7" s="2">
        <f>'3-Сулаймон Ога Хазарасп'!I1</f>
        <v>25900000</v>
      </c>
      <c r="Y7" s="103" t="str">
        <f>'4-Гайрат Штб'!D1</f>
        <v>4-Гайрат Штб</v>
      </c>
      <c r="Z7" s="2">
        <f>'4-Гайрат Штб'!M5</f>
        <v>49904640</v>
      </c>
      <c r="AA7" s="2">
        <f>'4-Гайрат Штб'!C5</f>
        <v>49904640</v>
      </c>
      <c r="AB7" s="2">
        <f>'4-Гайрат Штб'!F2</f>
        <v>0</v>
      </c>
      <c r="AC7" s="5">
        <f>'4-Гайрат Штб'!K5-'4-Гайрат Штб'!E5</f>
        <v>38</v>
      </c>
      <c r="AD7" s="2">
        <f>'4-Гайрат Штб'!I1</f>
        <v>0</v>
      </c>
    </row>
    <row r="8" spans="1:30" x14ac:dyDescent="0.25">
      <c r="A8" s="143" t="s">
        <v>140</v>
      </c>
      <c r="B8" s="144">
        <f>G5+N5+U5+AB5+G16</f>
        <v>68221000.637696013</v>
      </c>
      <c r="D8" s="58" t="str">
        <f>'1-Инвест Холдинг'!D1</f>
        <v>1-Инвест Холдинг</v>
      </c>
      <c r="E8" s="5">
        <f>'1-Инвест Холдинг'!M5</f>
        <v>67737600</v>
      </c>
      <c r="F8" s="5">
        <f>'1-Инвест Холдинг'!C5</f>
        <v>67737600</v>
      </c>
      <c r="G8" s="5">
        <f>'1-Инвест Холдинг'!F2</f>
        <v>0</v>
      </c>
      <c r="H8" s="5">
        <f>'1-Инвест Холдинг'!K5-'1-Инвест Холдинг'!E5</f>
        <v>56</v>
      </c>
      <c r="I8" s="5">
        <f>'1-Инвест Холдинг'!I1</f>
        <v>0</v>
      </c>
      <c r="K8" s="103" t="str">
        <f>'2-Шиддат маналит'!D1</f>
        <v>2-Шиддат маналит</v>
      </c>
      <c r="L8" s="2">
        <f>'2-Шиддат маналит'!M5</f>
        <v>0</v>
      </c>
      <c r="M8" s="2">
        <f>'2-Шиддат маналит'!C5</f>
        <v>86082400</v>
      </c>
      <c r="N8" s="2">
        <f>'2-Шиддат маналит'!F2</f>
        <v>86082400</v>
      </c>
      <c r="O8" s="5">
        <f>'2-Шиддат маналит'!K5-'2-Шиддат маналит'!E5</f>
        <v>0</v>
      </c>
      <c r="P8" s="2">
        <f>'2-Шиддат маналит'!I1</f>
        <v>0</v>
      </c>
      <c r="R8" s="103" t="str">
        <f>'3-Мурод ога Урганч'!D1</f>
        <v>3-Мурод ога Урганч</v>
      </c>
      <c r="S8" s="2">
        <f>'3-Мурод ога Урганч'!M5</f>
        <v>47934720</v>
      </c>
      <c r="T8" s="2">
        <f>'3-Мурод ога Урганч'!C5</f>
        <v>47934720</v>
      </c>
      <c r="U8" s="2">
        <f>'3-Мурод ога Урганч'!F2</f>
        <v>0</v>
      </c>
      <c r="V8" s="5">
        <f>'3-Мурод ога Урганч'!K5-'3-Мурод ога Урганч'!E5</f>
        <v>38</v>
      </c>
      <c r="W8" s="2">
        <f>'3-Мурод ога Урганч'!I1</f>
        <v>0</v>
      </c>
      <c r="Y8" s="103" t="str">
        <f>'4-Рустам Шпик'!D1</f>
        <v>4-Рустам Шпик</v>
      </c>
      <c r="Z8" s="2">
        <f>'4-Рустам Шпик'!M5</f>
        <v>69929799.379199997</v>
      </c>
      <c r="AA8" s="2">
        <f>'4-Рустам Шпик'!C5</f>
        <v>69929800</v>
      </c>
      <c r="AB8" s="2">
        <f>'4-Рустам Шпик'!F2</f>
        <v>0.62080000340938568</v>
      </c>
      <c r="AC8" s="5">
        <f>'4-Рустам Шпик'!K5-'4-Рустам Шпик'!E5</f>
        <v>57</v>
      </c>
      <c r="AD8" s="2">
        <f>'4-Рустам Шпик'!I1</f>
        <v>4000000</v>
      </c>
    </row>
    <row r="9" spans="1:30" x14ac:dyDescent="0.25">
      <c r="A9" s="133" t="str">
        <f>E4</f>
        <v>Жамол</v>
      </c>
      <c r="B9" s="140">
        <f>G5</f>
        <v>-47179999.983103991</v>
      </c>
      <c r="D9" s="58" t="str">
        <f>'1-Нормат Умидбек'!D1</f>
        <v>1-Нормат Умидбек</v>
      </c>
      <c r="E9" s="5">
        <f>'1-Нормат Умидбек'!M5</f>
        <v>72394560</v>
      </c>
      <c r="F9" s="5">
        <f>'1-Нормат Умидбек'!C5</f>
        <v>72394560</v>
      </c>
      <c r="G9" s="5">
        <f>'1-Нормат Умидбек'!F2</f>
        <v>0</v>
      </c>
      <c r="H9" s="5">
        <f>'1-Нормат Умидбек'!K5-'1-Нормат Умидбек'!E5</f>
        <v>57</v>
      </c>
      <c r="I9" s="5">
        <f>'1-Нормат Умидбек'!I1</f>
        <v>0</v>
      </c>
      <c r="K9" s="4"/>
      <c r="L9" s="2"/>
      <c r="M9" s="2"/>
      <c r="N9" s="2"/>
      <c r="R9" s="103" t="str">
        <f>'3-Сарвар ога Шовот'!D1</f>
        <v>3-Сарвар ога Шовот</v>
      </c>
      <c r="S9" s="2">
        <f>'3-Сарвар ога Шовот'!M5</f>
        <v>68947200</v>
      </c>
      <c r="T9" s="2">
        <f>'3-Сарвар ога Шовот'!C5</f>
        <v>68947200</v>
      </c>
      <c r="U9" s="2">
        <f>'3-Сарвар ога Шовот'!F2</f>
        <v>0</v>
      </c>
      <c r="V9" s="5">
        <f>'3-Сарвар ога Шовот'!K5-'3-Сарвар ога Шовот'!E5</f>
        <v>57</v>
      </c>
      <c r="W9" s="2">
        <f>'3-Сарвар ога Шовот'!I1</f>
        <v>2000000</v>
      </c>
      <c r="Y9" s="56" t="str">
        <f>'4-Элликкала Бостон'!D1</f>
        <v>4-Элликкала Бостон</v>
      </c>
      <c r="Z9" s="2"/>
      <c r="AA9" s="2"/>
      <c r="AB9" s="2"/>
    </row>
    <row r="10" spans="1:30" x14ac:dyDescent="0.25">
      <c r="A10" s="133" t="str">
        <f>L4</f>
        <v>Арслон ога</v>
      </c>
      <c r="B10" s="140">
        <f>N5</f>
        <v>86082400</v>
      </c>
      <c r="D10" s="58" t="str">
        <f>'1-Фидато Груп'!D1</f>
        <v>1-Фидато Груп</v>
      </c>
      <c r="E10" s="5">
        <f>'1-Фидато Груп'!M5</f>
        <v>93899520</v>
      </c>
      <c r="F10" s="5">
        <f>'1-Фидато Груп'!C5</f>
        <v>68916000</v>
      </c>
      <c r="G10" s="5">
        <f>'1-Фидато Груп'!F2</f>
        <v>-24983520</v>
      </c>
      <c r="H10" s="5">
        <f>'1-Фидато Груп'!K5-'1-Фидато Груп'!E5</f>
        <v>76</v>
      </c>
      <c r="I10" s="5">
        <f>'1-Фидато Груп'!I1</f>
        <v>0</v>
      </c>
      <c r="R10" s="103" t="s">
        <v>274</v>
      </c>
      <c r="S10" s="2">
        <f>'3-Уктир ога Шовот'!M5</f>
        <v>0</v>
      </c>
      <c r="T10" s="2">
        <f>'3-Уктир ога Шовот'!C5</f>
        <v>40964800</v>
      </c>
      <c r="U10" s="2">
        <f>'3-Уктир ога Шовот'!F2</f>
        <v>40964800</v>
      </c>
      <c r="V10" s="5">
        <f>'3-Уктир ога Шовот'!K5-'3-Уктир ога Шовот'!E5</f>
        <v>0</v>
      </c>
      <c r="W10" s="2">
        <f>'3-Уктир ога Шовот'!I1</f>
        <v>0</v>
      </c>
    </row>
    <row r="11" spans="1:30" x14ac:dyDescent="0.25">
      <c r="A11" s="133" t="str">
        <f>S4</f>
        <v>Зафар ога</v>
      </c>
      <c r="B11" s="140">
        <f>U5</f>
        <v>8083600</v>
      </c>
      <c r="D11" s="58" t="str">
        <f>'1-Ирригатсия темир бетон'!D1</f>
        <v>1-Ирригатсия темир бетон</v>
      </c>
      <c r="E11" s="5">
        <f>'1-Ирригатсия темир бетон'!M5</f>
        <v>24131520</v>
      </c>
      <c r="F11" s="5">
        <f>'1-Ирригатсия темир бетон'!C5</f>
        <v>32832000</v>
      </c>
      <c r="G11" s="5">
        <f>'1-Ирригатсия темир бетон'!F2</f>
        <v>8700480</v>
      </c>
      <c r="H11" s="5">
        <f>'1-Ирригатсия темир бетон'!K5-'1-Ирригатсия темир бетон'!E5</f>
        <v>19</v>
      </c>
      <c r="I11" s="5">
        <f>'1-Ирригатсия темир бетон'!I1</f>
        <v>0</v>
      </c>
      <c r="R11" s="103"/>
      <c r="S11" s="2"/>
      <c r="T11" s="2"/>
      <c r="U11" s="243"/>
    </row>
    <row r="12" spans="1:30" x14ac:dyDescent="0.25">
      <c r="A12" s="133" t="str">
        <f>Z4</f>
        <v>Шохрух ога</v>
      </c>
      <c r="B12" s="140">
        <f>AB5</f>
        <v>0.62080000340938568</v>
      </c>
      <c r="D12" s="58" t="str">
        <f>'1-Хонкага'!D1</f>
        <v>1-Хонкага</v>
      </c>
      <c r="E12" s="5">
        <f>'1-Хонкага'!M5</f>
        <v>23967360</v>
      </c>
      <c r="F12" s="5">
        <f>'1-Хонкага'!C5</f>
        <v>0</v>
      </c>
      <c r="G12" s="5">
        <f>'1-Хонкага'!F2</f>
        <v>-23967360</v>
      </c>
      <c r="H12" s="5">
        <f>'1-Хонкага'!K5-'1-Хонкага'!E5</f>
        <v>19</v>
      </c>
      <c r="I12" s="5">
        <f>'1-Хонкага'!I1</f>
        <v>0</v>
      </c>
    </row>
    <row r="13" spans="1:30" x14ac:dyDescent="0.25">
      <c r="A13" s="141"/>
      <c r="B13" s="142"/>
    </row>
    <row r="14" spans="1:30" x14ac:dyDescent="0.25">
      <c r="A14" s="141"/>
      <c r="B14" s="142"/>
    </row>
    <row r="15" spans="1:30" x14ac:dyDescent="0.25">
      <c r="A15" s="141"/>
      <c r="B15" s="142"/>
      <c r="D15" s="214">
        <v>5</v>
      </c>
      <c r="E15" s="215" t="s">
        <v>163</v>
      </c>
      <c r="F15" s="215"/>
      <c r="G15" s="215"/>
      <c r="K15" s="214">
        <v>5</v>
      </c>
      <c r="L15" s="215" t="s">
        <v>192</v>
      </c>
      <c r="M15" s="215"/>
      <c r="N15" s="215"/>
    </row>
    <row r="16" spans="1:30" x14ac:dyDescent="0.25">
      <c r="B16" s="3"/>
      <c r="D16" s="214"/>
      <c r="E16" s="102">
        <f>SUM(E18:E23)</f>
        <v>367718400</v>
      </c>
      <c r="F16" s="102">
        <f>SUM(F18:F23)</f>
        <v>388953400</v>
      </c>
      <c r="G16" s="102">
        <f>SUM(G18:G23)</f>
        <v>21235000</v>
      </c>
      <c r="H16" s="107">
        <f>SUM(H18:H23)</f>
        <v>304</v>
      </c>
      <c r="K16" s="214"/>
      <c r="L16" s="102">
        <f>SUM(L18:L23)</f>
        <v>156038400</v>
      </c>
      <c r="M16" s="102">
        <f>SUM(M18:M23)</f>
        <v>202314800</v>
      </c>
      <c r="N16" s="102">
        <f>SUM(N18:N23)</f>
        <v>46276400</v>
      </c>
      <c r="O16" s="107">
        <f>SUM(O18:O23)</f>
        <v>129</v>
      </c>
    </row>
    <row r="17" spans="1:16" ht="45" x14ac:dyDescent="0.25">
      <c r="A17" s="120" t="s">
        <v>123</v>
      </c>
      <c r="B17" s="118">
        <f>SUM(F5+M5+T5+AA5+F16+M16)</f>
        <v>1815679120</v>
      </c>
      <c r="D17" s="57" t="s">
        <v>96</v>
      </c>
      <c r="E17" s="57" t="s">
        <v>97</v>
      </c>
      <c r="F17" s="57" t="s">
        <v>98</v>
      </c>
      <c r="G17" s="57" t="s">
        <v>99</v>
      </c>
      <c r="H17" s="104" t="s">
        <v>108</v>
      </c>
      <c r="I17" s="104" t="s">
        <v>177</v>
      </c>
      <c r="K17" s="57" t="s">
        <v>96</v>
      </c>
      <c r="L17" s="57" t="s">
        <v>97</v>
      </c>
      <c r="M17" s="57" t="s">
        <v>98</v>
      </c>
      <c r="N17" s="57" t="s">
        <v>99</v>
      </c>
      <c r="O17" s="104" t="s">
        <v>108</v>
      </c>
      <c r="P17" s="104" t="s">
        <v>177</v>
      </c>
    </row>
    <row r="18" spans="1:16" x14ac:dyDescent="0.25">
      <c r="A18" s="120" t="s">
        <v>178</v>
      </c>
      <c r="B18" s="118">
        <f>SUM(I7:I14,I18:I24,P7:P12,W7:W12,AD7:AD12)</f>
        <v>65600000</v>
      </c>
      <c r="D18" s="58" t="str">
        <f>'5-Жаср Версал'!D1</f>
        <v>5-Жасур Версал</v>
      </c>
      <c r="E18" s="5">
        <f>'5-Жаср Версал'!M5</f>
        <v>206841600</v>
      </c>
      <c r="F18" s="5">
        <f>'5-Жаср Версал'!C5</f>
        <v>206841600</v>
      </c>
      <c r="G18" s="5">
        <f>'5-Жаср Версал'!F2</f>
        <v>0</v>
      </c>
      <c r="H18" s="201">
        <f>'5-Жаср Версал'!K5-'5-Жаср Версал'!E5</f>
        <v>171</v>
      </c>
      <c r="I18" s="2">
        <f>'5-Жаср Версал'!I1</f>
        <v>18600000</v>
      </c>
      <c r="K18" s="58" t="str">
        <f>'6-Уткир мини'!D1</f>
        <v>6-Уткир мини</v>
      </c>
      <c r="L18" s="5">
        <f>'6-Уткир мини'!M5</f>
        <v>45964800</v>
      </c>
      <c r="M18" s="5">
        <f>'6-Уткир мини'!C5</f>
        <v>45964800</v>
      </c>
      <c r="N18" s="5">
        <f>'6-Уткир мини'!F2</f>
        <v>0</v>
      </c>
      <c r="O18" s="202">
        <f>'6-Уткир мини'!K5-'6-Уткир мини'!E5</f>
        <v>38</v>
      </c>
      <c r="P18" s="2">
        <f>'6-Уткир мини'!I1</f>
        <v>4000000</v>
      </c>
    </row>
    <row r="19" spans="1:16" x14ac:dyDescent="0.25">
      <c r="A19" s="120" t="s">
        <v>113</v>
      </c>
      <c r="B19" s="118">
        <f>Оплата!R3</f>
        <v>1509053920</v>
      </c>
      <c r="D19" s="58" t="str">
        <f>'5-Мустафо машал'!D1</f>
        <v>5-Мустафо машал</v>
      </c>
      <c r="E19" s="5">
        <f>'5-Мустафо машал'!M5</f>
        <v>45964800</v>
      </c>
      <c r="F19" s="5">
        <f>'5-Мустафо машал'!C5</f>
        <v>67200000</v>
      </c>
      <c r="G19" s="5">
        <f>'5-Мустафо машал'!F2</f>
        <v>21235200</v>
      </c>
      <c r="H19" s="2">
        <f>'5-Мустафо машал'!K5-'5-Мустафо машал'!E5</f>
        <v>38</v>
      </c>
      <c r="I19" s="2">
        <f>'5-Мустафо машал'!I1</f>
        <v>4200000</v>
      </c>
      <c r="K19" s="58" t="s">
        <v>239</v>
      </c>
      <c r="L19" s="5">
        <f>'6-Отабек дамирчи'!M5</f>
        <v>45964800</v>
      </c>
      <c r="M19" s="5">
        <f>'6-Отабек дамирчи'!C5</f>
        <v>49700000</v>
      </c>
      <c r="N19" s="5">
        <f>'6-Отабек дамирчи'!F2</f>
        <v>3735200</v>
      </c>
      <c r="O19" s="5">
        <f>'6-Отабек дамирчи'!K5-'6-Отабек дамирчи'!E5</f>
        <v>38</v>
      </c>
      <c r="P19" s="2">
        <f>'6-Отабек дамирчи'!I1</f>
        <v>4700000</v>
      </c>
    </row>
    <row r="20" spans="1:16" x14ac:dyDescent="0.25">
      <c r="A20" s="128" t="s">
        <v>114</v>
      </c>
      <c r="B20" s="119">
        <f>B19-B17+B18</f>
        <v>-241025200</v>
      </c>
      <c r="D20" s="58" t="str">
        <f>'5-Одилбек Ера хоус'!D1</f>
        <v>5-Одилбек Ера хоус</v>
      </c>
      <c r="E20" s="5">
        <f>'5-Одилбек Ера хоус'!M5</f>
        <v>91929600</v>
      </c>
      <c r="F20" s="5">
        <f>'5-Одилбек Ера хоус'!C5</f>
        <v>91929800</v>
      </c>
      <c r="G20" s="5">
        <f>'5-Одилбек Ера хоус'!F2</f>
        <v>200</v>
      </c>
      <c r="H20" s="2">
        <f>'5-Одилбек Ера хоус'!K5-'5-Одилбек Ера хоус'!E5</f>
        <v>76</v>
      </c>
      <c r="I20" s="2">
        <f>'5-Одилбек Ера хоус'!I1</f>
        <v>8600000</v>
      </c>
      <c r="K20" s="58" t="s">
        <v>259</v>
      </c>
      <c r="L20" s="5">
        <f>'6-Мамун Университети'!M5</f>
        <v>45964800</v>
      </c>
      <c r="M20" s="5">
        <f>'6-Мамун Университети'!C5</f>
        <v>104400000</v>
      </c>
      <c r="N20" s="5">
        <f>'6-Мамун Университети'!F2</f>
        <v>58435200</v>
      </c>
      <c r="O20" s="5">
        <f>'6-Мамун Университети'!K5-'6-Мамун Университети'!E5</f>
        <v>38</v>
      </c>
      <c r="P20" s="2">
        <f>'6-Мамун Университети'!I1</f>
        <v>4400000</v>
      </c>
    </row>
    <row r="21" spans="1:16" x14ac:dyDescent="0.25">
      <c r="D21" s="58" t="s">
        <v>240</v>
      </c>
      <c r="E21" s="5">
        <f>'5-Журат ога хонка'!M5</f>
        <v>22982400</v>
      </c>
      <c r="F21" s="5">
        <f>'5-Журат ога хонка'!C5</f>
        <v>22982000</v>
      </c>
      <c r="G21" s="5">
        <f>'5-Журат ога хонка'!F2</f>
        <v>-400</v>
      </c>
      <c r="H21" s="2">
        <f>'5-Журат ога хонка'!K5-'5-Журат ога хонка'!E5</f>
        <v>19</v>
      </c>
      <c r="I21" s="2">
        <f>'5-Журат ога хонка'!I1</f>
        <v>2300000</v>
      </c>
      <c r="K21" s="58" t="s">
        <v>278</v>
      </c>
      <c r="L21" s="5">
        <f>'6-накд клент'!M5</f>
        <v>18144000</v>
      </c>
      <c r="M21" s="5">
        <f>'6-накд клент'!C5</f>
        <v>2250000</v>
      </c>
      <c r="N21" s="5">
        <f>'6-накд клент'!F2</f>
        <v>-15894000</v>
      </c>
      <c r="O21" s="5">
        <f>'6-накд клент'!K5-'6-накд клент'!E5</f>
        <v>15</v>
      </c>
      <c r="P21" s="2">
        <f>'6-накд клент'!I1</f>
        <v>2250000</v>
      </c>
    </row>
    <row r="22" spans="1:16" x14ac:dyDescent="0.25">
      <c r="D22" s="58"/>
      <c r="E22" s="5"/>
      <c r="F22" s="5"/>
      <c r="G22" s="5"/>
      <c r="H22" s="3"/>
      <c r="I22" s="200"/>
      <c r="K22" s="58"/>
      <c r="L22" s="5"/>
      <c r="M22" s="5"/>
      <c r="N22" s="5"/>
      <c r="O22" s="3"/>
    </row>
    <row r="23" spans="1:16" x14ac:dyDescent="0.25">
      <c r="A23" s="125" t="s">
        <v>121</v>
      </c>
      <c r="B23" s="126">
        <f>E5+L5+S5+Z5+E16</f>
        <v>1545143319.362304</v>
      </c>
      <c r="D23" s="58"/>
      <c r="E23" s="5"/>
      <c r="F23" s="5"/>
      <c r="G23" s="5"/>
      <c r="H23" s="3"/>
      <c r="K23" s="58"/>
      <c r="L23" s="5"/>
      <c r="M23" s="5"/>
      <c r="N23" s="5"/>
      <c r="O23" s="3"/>
    </row>
    <row r="24" spans="1:16" x14ac:dyDescent="0.25">
      <c r="A24" s="125" t="s">
        <v>122</v>
      </c>
      <c r="B24" s="126">
        <f>Товар!R2</f>
        <v>2006657519.362304</v>
      </c>
    </row>
    <row r="25" spans="1:16" x14ac:dyDescent="0.25">
      <c r="A25" s="127" t="s">
        <v>114</v>
      </c>
      <c r="B25" s="124">
        <f>B24-B23</f>
        <v>461514200</v>
      </c>
    </row>
  </sheetData>
  <mergeCells count="12">
    <mergeCell ref="D15:D16"/>
    <mergeCell ref="E15:G15"/>
    <mergeCell ref="S4:U4"/>
    <mergeCell ref="Y4:Y5"/>
    <mergeCell ref="Z4:AB4"/>
    <mergeCell ref="E4:G4"/>
    <mergeCell ref="D4:D5"/>
    <mergeCell ref="K4:K5"/>
    <mergeCell ref="L4:N4"/>
    <mergeCell ref="R4:R5"/>
    <mergeCell ref="K15:K16"/>
    <mergeCell ref="L15:N15"/>
  </mergeCells>
  <phoneticPr fontId="2" type="noConversion"/>
  <conditionalFormatting sqref="B7:B15 G18:G25 F26 G27:G1048576">
    <cfRule type="cellIs" dxfId="79" priority="7" operator="greaterThan">
      <formula>0</formula>
    </cfRule>
    <cfRule type="cellIs" dxfId="78" priority="8" operator="lessThan">
      <formula>0</formula>
    </cfRule>
  </conditionalFormatting>
  <conditionalFormatting sqref="G1:G5">
    <cfRule type="cellIs" dxfId="77" priority="27" operator="greaterThan">
      <formula>0</formula>
    </cfRule>
    <cfRule type="cellIs" dxfId="76" priority="28" operator="lessThan">
      <formula>0</formula>
    </cfRule>
  </conditionalFormatting>
  <conditionalFormatting sqref="G7:G16">
    <cfRule type="cellIs" dxfId="75" priority="5" operator="greaterThan">
      <formula>0</formula>
    </cfRule>
    <cfRule type="cellIs" dxfId="74" priority="6" operator="lessThan">
      <formula>0</formula>
    </cfRule>
  </conditionalFormatting>
  <conditionalFormatting sqref="N4:N5">
    <cfRule type="cellIs" dxfId="73" priority="13" operator="greaterThan">
      <formula>0</formula>
    </cfRule>
    <cfRule type="cellIs" dxfId="72" priority="14" operator="lessThan">
      <formula>0</formula>
    </cfRule>
  </conditionalFormatting>
  <conditionalFormatting sqref="N7:N9">
    <cfRule type="cellIs" dxfId="71" priority="29" operator="greaterThan">
      <formula>0</formula>
    </cfRule>
    <cfRule type="cellIs" dxfId="70" priority="30" operator="lessThan">
      <formula>0</formula>
    </cfRule>
  </conditionalFormatting>
  <conditionalFormatting sqref="N15:N16">
    <cfRule type="cellIs" dxfId="69" priority="1" operator="greaterThan">
      <formula>0</formula>
    </cfRule>
    <cfRule type="cellIs" dxfId="68" priority="2" operator="lessThan">
      <formula>0</formula>
    </cfRule>
  </conditionalFormatting>
  <conditionalFormatting sqref="N18:N23">
    <cfRule type="cellIs" dxfId="67" priority="3" operator="greaterThan">
      <formula>0</formula>
    </cfRule>
    <cfRule type="cellIs" dxfId="66" priority="4" operator="lessThan">
      <formula>0</formula>
    </cfRule>
  </conditionalFormatting>
  <conditionalFormatting sqref="U4:U5">
    <cfRule type="cellIs" dxfId="65" priority="11" operator="greaterThan">
      <formula>0</formula>
    </cfRule>
    <cfRule type="cellIs" dxfId="64" priority="12" operator="lessThan">
      <formula>0</formula>
    </cfRule>
  </conditionalFormatting>
  <conditionalFormatting sqref="U7:U11">
    <cfRule type="cellIs" dxfId="63" priority="21" operator="greaterThan">
      <formula>0</formula>
    </cfRule>
    <cfRule type="cellIs" dxfId="62" priority="22" operator="lessThan">
      <formula>0</formula>
    </cfRule>
  </conditionalFormatting>
  <conditionalFormatting sqref="AB4:AB5">
    <cfRule type="cellIs" dxfId="61" priority="9" operator="greaterThan">
      <formula>0</formula>
    </cfRule>
    <cfRule type="cellIs" dxfId="60" priority="10" operator="lessThan">
      <formula>0</formula>
    </cfRule>
  </conditionalFormatting>
  <conditionalFormatting sqref="AB7:AB9">
    <cfRule type="cellIs" dxfId="59" priority="15" operator="greaterThan">
      <formula>0</formula>
    </cfRule>
    <cfRule type="cellIs" dxfId="58" priority="16" operator="lessThan">
      <formula>0</formula>
    </cfRule>
  </conditionalFormatting>
  <hyperlinks>
    <hyperlink ref="D7" location="'1-Урганч Тамирлаш'!A1" display="'1-Урганч Тамирлаш'!A1" xr:uid="{117A9712-6DEC-44C4-97E2-7E1B0DBEB657}"/>
    <hyperlink ref="D8" location="'1-Инвест Холдинг'!A1" display="'1-Инвест Холдинг'!A1" xr:uid="{5DB61D09-31AD-44C0-A39E-AFF89473628F}"/>
    <hyperlink ref="D9" location="'1-Нормат Умидбек'!A1" display="'1-Нормат Умидбек'!A1" xr:uid="{E2F9D1DF-B746-4F6E-8836-AAFA0C7C5138}"/>
    <hyperlink ref="K7" location="'2-Гофур Хазорасп'!A1" display="'2-Гофур Хазорасп'!A1" xr:uid="{DA6E0E6B-7501-494A-85E8-3B52305CB3E5}"/>
    <hyperlink ref="R7" location="'3-Сулаймон Ога Хазарасп'!A1" display="'3-Сулаймон Ога Хазарасп'!A1" xr:uid="{04612C25-8224-497E-B9FC-DECAA62AF1A3}"/>
    <hyperlink ref="Y7" location="'4-Гайрат Штб'!A1" display="'4-Гайрат Штб'!A1" xr:uid="{75DAB70B-4E89-4AA9-A9C4-AB097944705E}"/>
    <hyperlink ref="Y8" location="'4-Рустам Шпик'!A1" display="'4-Рустам Шпик'!A1" xr:uid="{065CC901-5583-476A-A0FE-EC3073597163}"/>
    <hyperlink ref="R8" location="'3-Мурод ога Урганч'!A1" display="'3-Мурод ога Урганч'!A1" xr:uid="{C3FF3B9B-2E1B-4C73-A320-467FFA0FDB30}"/>
    <hyperlink ref="D10" location="'1-Фидато Груп'!A1" display="1-Фидато Груп" xr:uid="{EE7995BC-819A-4573-8F61-1D7792C97D5C}"/>
    <hyperlink ref="D11" location="'1-Ирригатсия темир бетон'!A1" display="'1-Ирригатсия темир бетон'!A1" xr:uid="{E6C49D99-526D-4993-ACC2-BF0F3AE62491}"/>
    <hyperlink ref="D12" location="'1-Хонкага'!A1" display="'1-Хонкага'!A1" xr:uid="{8B0249FB-832F-475F-ABD7-5CAE8377668B}"/>
    <hyperlink ref="D18" location="'5-Жаср Версал'!A1" display="'5-Жаср Версал'!A1" xr:uid="{674955C2-24A9-4A94-A1AB-88456A43952A}"/>
    <hyperlink ref="K8" location="'2-Шиддат маналит'!A1" display="'2-Шиддат маналит'!A1" xr:uid="{34788D3C-2483-432A-B535-804EAB251E50}"/>
    <hyperlink ref="R9" location="'3-Сарвар ога Шовот'!A1" display="'3-Сарвар ога Шовот'!A1" xr:uid="{8CD8BCE4-648C-4CA6-8366-AE7A65128DA2}"/>
    <hyperlink ref="D19" location="'5-Мустафо машал'!A1" display="'5-Мустафо машал'!A1" xr:uid="{DCFCE9EF-2C14-4D7F-B38E-94EF9F224B97}"/>
    <hyperlink ref="K18" location="'6-Уткир мини'!A1" display="'6-Уткир мини'!A1" xr:uid="{C3B7172C-4D54-4A4F-A64E-0540DB663BBD}"/>
    <hyperlink ref="D20" location="'5-Одилбек Ера хоус'!A1" display="'5-Одилбек Ера хоус'!A1" xr:uid="{20DF1686-D13A-4B6E-B079-D2491C9CA730}"/>
    <hyperlink ref="K19" location="'6-Отабек дамирчи'!A1" display="6-Отабек дамирчи" xr:uid="{46003C77-947C-4B51-BBC4-AB40D56AFB39}"/>
    <hyperlink ref="D21" location="'5-Журат ога хонка'!A1" display="5-Журат ога хонка" xr:uid="{0E8A15F6-D0C6-4FC8-9439-60CBAA45BF52}"/>
    <hyperlink ref="K20" location="'6-Мамун Университети'!A1" display="6-Мамун Университети" xr:uid="{199D8603-A005-42D2-9355-6166F5EC278F}"/>
    <hyperlink ref="R10" location="'3-Уктир ога Шовот'!A1" display="3-Уктир ога Шовот" xr:uid="{0760E79F-1E9A-4EF5-8A79-99B0B3D8F299}"/>
    <hyperlink ref="K21" location="'6-накд клент'!A1" display="6-накд клент" xr:uid="{CDA2F030-FA31-44F7-9B9C-C83FDD302F6D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4B51-437C-4F1B-8548-1B7E7EFC19F1}">
  <sheetPr>
    <tabColor rgb="FF00B050"/>
    <pageSetUpPr fitToPage="1"/>
  </sheetPr>
  <dimension ref="A3:T1049"/>
  <sheetViews>
    <sheetView zoomScale="130" zoomScaleNormal="130" workbookViewId="0">
      <pane ySplit="4" topLeftCell="A26" activePane="bottomLeft" state="frozen"/>
      <selection pane="bottomLeft" activeCell="C4" sqref="C4"/>
    </sheetView>
  </sheetViews>
  <sheetFormatPr defaultColWidth="5.85546875" defaultRowHeight="14.25" x14ac:dyDescent="0.2"/>
  <cols>
    <col min="1" max="1" width="11" style="28" bestFit="1" customWidth="1"/>
    <col min="2" max="2" width="11.5703125" style="29" bestFit="1" customWidth="1"/>
    <col min="3" max="3" width="21" style="29" bestFit="1" customWidth="1"/>
    <col min="4" max="4" width="19.140625" style="30" bestFit="1" customWidth="1"/>
    <col min="5" max="5" width="32.28515625" style="29" bestFit="1" customWidth="1"/>
    <col min="6" max="6" width="11.42578125" style="30" bestFit="1" customWidth="1"/>
    <col min="7" max="7" width="8.85546875" style="30" hidden="1" customWidth="1"/>
    <col min="8" max="11" width="9.7109375" style="30" hidden="1" customWidth="1"/>
    <col min="12" max="12" width="11.42578125" style="30" hidden="1" customWidth="1"/>
    <col min="13" max="13" width="15.42578125" style="30" hidden="1" customWidth="1"/>
    <col min="14" max="14" width="8.28515625" style="30" hidden="1" customWidth="1"/>
    <col min="15" max="15" width="11" style="30" hidden="1" customWidth="1"/>
    <col min="16" max="16" width="12.5703125" style="30" hidden="1" customWidth="1"/>
    <col min="17" max="17" width="13.5703125" style="30" hidden="1" customWidth="1"/>
    <col min="18" max="18" width="17.140625" style="30" bestFit="1" customWidth="1"/>
    <col min="19" max="19" width="18.85546875" style="29" bestFit="1" customWidth="1"/>
    <col min="20" max="20" width="36.42578125" style="29" bestFit="1" customWidth="1"/>
    <col min="21" max="21" width="6.42578125" style="31" customWidth="1"/>
    <col min="22" max="22" width="5.85546875" style="31"/>
    <col min="23" max="23" width="12.7109375" style="31" bestFit="1" customWidth="1"/>
    <col min="24" max="24" width="10.5703125" style="31" bestFit="1" customWidth="1"/>
    <col min="25" max="16384" width="5.85546875" style="31"/>
  </cols>
  <sheetData>
    <row r="3" spans="1:20" x14ac:dyDescent="0.2">
      <c r="R3" s="30">
        <f>SUBTOTAL(9,Таблица15[Жами сумма])</f>
        <v>1509053920</v>
      </c>
    </row>
    <row r="4" spans="1:20" s="43" customFormat="1" x14ac:dyDescent="0.2">
      <c r="A4" s="38" t="s">
        <v>9</v>
      </c>
      <c r="B4" s="39" t="s">
        <v>1</v>
      </c>
      <c r="C4" s="39" t="s">
        <v>2</v>
      </c>
      <c r="D4" s="40" t="s">
        <v>61</v>
      </c>
      <c r="E4" s="41" t="s">
        <v>62</v>
      </c>
      <c r="F4" s="42" t="s">
        <v>10</v>
      </c>
      <c r="G4" s="42" t="s">
        <v>11</v>
      </c>
      <c r="H4" s="42" t="s">
        <v>12</v>
      </c>
      <c r="I4" s="42" t="s">
        <v>13</v>
      </c>
      <c r="J4" s="42" t="s">
        <v>14</v>
      </c>
      <c r="K4" s="42" t="s">
        <v>23</v>
      </c>
      <c r="L4" s="42" t="s">
        <v>15</v>
      </c>
      <c r="M4" s="42" t="s">
        <v>16</v>
      </c>
      <c r="N4" s="42" t="s">
        <v>17</v>
      </c>
      <c r="O4" s="42" t="s">
        <v>18</v>
      </c>
      <c r="P4" s="42" t="s">
        <v>19</v>
      </c>
      <c r="Q4" s="42" t="s">
        <v>20</v>
      </c>
      <c r="R4" s="42" t="s">
        <v>21</v>
      </c>
      <c r="S4" s="41" t="s">
        <v>60</v>
      </c>
      <c r="T4" s="39" t="s">
        <v>22</v>
      </c>
    </row>
    <row r="5" spans="1:20" x14ac:dyDescent="0.2">
      <c r="A5" s="166">
        <v>46198</v>
      </c>
      <c r="B5" s="167" t="s">
        <v>74</v>
      </c>
      <c r="C5" s="167" t="s">
        <v>80</v>
      </c>
      <c r="D5" s="168">
        <v>45570000</v>
      </c>
      <c r="E5" s="167" t="s">
        <v>78</v>
      </c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9">
        <v>0</v>
      </c>
      <c r="Q5" s="168"/>
      <c r="R5" s="168">
        <f>SUM(Таблица15[[#This Row],[ПР-Сумма]],Таблица15[[#This Row],[Сумма]],Таблица15[[#This Row],[Прочие]])</f>
        <v>45570000</v>
      </c>
      <c r="S5" s="167"/>
      <c r="T5" s="167"/>
    </row>
    <row r="6" spans="1:20" x14ac:dyDescent="0.2">
      <c r="A6" s="166">
        <v>46198</v>
      </c>
      <c r="B6" s="167" t="s">
        <v>73</v>
      </c>
      <c r="C6" s="167" t="s">
        <v>88</v>
      </c>
      <c r="D6" s="168">
        <v>23328000</v>
      </c>
      <c r="E6" s="167" t="s">
        <v>79</v>
      </c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9">
        <v>0</v>
      </c>
      <c r="Q6" s="168"/>
      <c r="R6" s="168">
        <f>SUM(Таблица15[[#This Row],[ПР-Сумма]],Таблица15[[#This Row],[Сумма]],Таблица15[[#This Row],[Прочие]])</f>
        <v>23328000</v>
      </c>
      <c r="S6" s="167"/>
      <c r="T6" s="167"/>
    </row>
    <row r="7" spans="1:20" x14ac:dyDescent="0.2">
      <c r="A7" s="166">
        <v>46202</v>
      </c>
      <c r="B7" s="167" t="s">
        <v>73</v>
      </c>
      <c r="C7" s="167" t="s">
        <v>88</v>
      </c>
      <c r="D7" s="168">
        <v>24624000</v>
      </c>
      <c r="E7" s="167" t="s">
        <v>111</v>
      </c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9">
        <v>0</v>
      </c>
      <c r="Q7" s="168"/>
      <c r="R7" s="168">
        <f>SUM(Таблица15[[#This Row],[ПР-Сумма]],Таблица15[[#This Row],[Сумма]],Таблица15[[#This Row],[Прочие]])</f>
        <v>24624000</v>
      </c>
      <c r="S7" s="167"/>
      <c r="T7" s="167"/>
    </row>
    <row r="8" spans="1:20" x14ac:dyDescent="0.2">
      <c r="A8" s="166">
        <v>46202</v>
      </c>
      <c r="B8" s="167" t="s">
        <v>91</v>
      </c>
      <c r="C8" s="167" t="s">
        <v>92</v>
      </c>
      <c r="D8" s="168">
        <v>23965000</v>
      </c>
      <c r="E8" s="167" t="s">
        <v>112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9">
        <v>0</v>
      </c>
      <c r="Q8" s="168"/>
      <c r="R8" s="168">
        <f>SUM(Таблица15[[#This Row],[ПР-Сумма]],Таблица15[[#This Row],[Сумма]],Таблица15[[#This Row],[Прочие]])</f>
        <v>23965000</v>
      </c>
      <c r="S8" s="167"/>
      <c r="T8" s="167"/>
    </row>
    <row r="9" spans="1:20" x14ac:dyDescent="0.2">
      <c r="A9" s="166">
        <v>46202</v>
      </c>
      <c r="B9" s="167" t="s">
        <v>89</v>
      </c>
      <c r="C9" s="167" t="s">
        <v>116</v>
      </c>
      <c r="D9" s="168">
        <v>47952000</v>
      </c>
      <c r="E9" s="167" t="s">
        <v>115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9">
        <v>0</v>
      </c>
      <c r="Q9" s="168"/>
      <c r="R9" s="168">
        <f>SUM(Таблица15[[#This Row],[ПР-Сумма]],Таблица15[[#This Row],[Сумма]],Таблица15[[#This Row],[Прочие]])</f>
        <v>47952000</v>
      </c>
      <c r="S9" s="167"/>
      <c r="T9" s="167"/>
    </row>
    <row r="10" spans="1:20" x14ac:dyDescent="0.2">
      <c r="A10" s="166">
        <v>46203</v>
      </c>
      <c r="B10" s="167" t="s">
        <v>89</v>
      </c>
      <c r="C10" s="166" t="s">
        <v>88</v>
      </c>
      <c r="D10" s="168">
        <v>73872000</v>
      </c>
      <c r="E10" s="167" t="s">
        <v>120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9">
        <v>0</v>
      </c>
      <c r="Q10" s="168"/>
      <c r="R10" s="168">
        <f>SUM(Таблица15[[#This Row],[ПР-Сумма]],Таблица15[[#This Row],[Сумма]],Таблица15[[#This Row],[Прочие]])</f>
        <v>73872000</v>
      </c>
      <c r="S10" s="167"/>
      <c r="T10" s="167"/>
    </row>
    <row r="11" spans="1:20" x14ac:dyDescent="0.2">
      <c r="A11" s="166">
        <v>46203</v>
      </c>
      <c r="B11" s="167" t="s">
        <v>74</v>
      </c>
      <c r="C11" s="167" t="s">
        <v>126</v>
      </c>
      <c r="D11" s="168">
        <v>22703000</v>
      </c>
      <c r="E11" s="167" t="s">
        <v>124</v>
      </c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9">
        <v>0</v>
      </c>
      <c r="Q11" s="168"/>
      <c r="R11" s="168">
        <f>SUM(Таблица15[[#This Row],[ПР-Сумма]],Таблица15[[#This Row],[Сумма]],Таблица15[[#This Row],[Прочие]])</f>
        <v>22703000</v>
      </c>
      <c r="S11" s="167"/>
      <c r="T11" s="167"/>
    </row>
    <row r="12" spans="1:20" x14ac:dyDescent="0.2">
      <c r="A12" s="166">
        <v>46203</v>
      </c>
      <c r="B12" s="167" t="s">
        <v>74</v>
      </c>
      <c r="C12" s="167" t="s">
        <v>126</v>
      </c>
      <c r="D12" s="168">
        <v>25231000</v>
      </c>
      <c r="E12" s="167" t="s">
        <v>124</v>
      </c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9">
        <v>0</v>
      </c>
      <c r="Q12" s="168"/>
      <c r="R12" s="168">
        <f>SUM(Таблица15[[#This Row],[ПР-Сумма]],Таблица15[[#This Row],[Сумма]],Таблица15[[#This Row],[Прочие]])</f>
        <v>25231000</v>
      </c>
      <c r="S12" s="167"/>
      <c r="T12" s="167"/>
    </row>
    <row r="13" spans="1:20" x14ac:dyDescent="0.2">
      <c r="A13" s="166">
        <v>46205</v>
      </c>
      <c r="B13" s="167" t="s">
        <v>74</v>
      </c>
      <c r="C13" s="167" t="s">
        <v>81</v>
      </c>
      <c r="D13" s="168">
        <v>67737600</v>
      </c>
      <c r="E13" s="167" t="s">
        <v>135</v>
      </c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9">
        <v>0</v>
      </c>
      <c r="Q13" s="168"/>
      <c r="R13" s="168">
        <f>SUM(Таблица15[[#This Row],[ПР-Сумма]],Таблица15[[#This Row],[Сумма]],Таблица15[[#This Row],[Прочие]])</f>
        <v>67737600</v>
      </c>
      <c r="S13" s="167"/>
      <c r="T13" s="167"/>
    </row>
    <row r="14" spans="1:20" x14ac:dyDescent="0.2">
      <c r="A14" s="166">
        <v>46205</v>
      </c>
      <c r="B14" s="167" t="s">
        <v>74</v>
      </c>
      <c r="C14" s="167" t="s">
        <v>147</v>
      </c>
      <c r="D14" s="168">
        <v>72394560</v>
      </c>
      <c r="E14" s="167" t="s">
        <v>137</v>
      </c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9">
        <v>0</v>
      </c>
      <c r="Q14" s="168"/>
      <c r="R14" s="168">
        <f>SUM(Таблица15[[#This Row],[ПР-Сумма]],Таблица15[[#This Row],[Сумма]],Таблица15[[#This Row],[Прочие]])</f>
        <v>72394560</v>
      </c>
      <c r="S14" s="167"/>
      <c r="T14" s="167"/>
    </row>
    <row r="15" spans="1:20" x14ac:dyDescent="0.2">
      <c r="A15" s="166">
        <v>46205</v>
      </c>
      <c r="B15" s="167" t="s">
        <v>74</v>
      </c>
      <c r="C15" s="167" t="s">
        <v>72</v>
      </c>
      <c r="D15" s="168">
        <v>73872000</v>
      </c>
      <c r="E15" s="167" t="s">
        <v>145</v>
      </c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9">
        <v>0</v>
      </c>
      <c r="Q15" s="168"/>
      <c r="R15" s="168">
        <f>SUM(Таблица15[[#This Row],[ПР-Сумма]],Таблица15[[#This Row],[Сумма]],Таблица15[[#This Row],[Прочие]])</f>
        <v>73872000</v>
      </c>
      <c r="S15" s="167"/>
      <c r="T15" s="167"/>
    </row>
    <row r="16" spans="1:20" x14ac:dyDescent="0.2">
      <c r="A16" s="166">
        <v>46206</v>
      </c>
      <c r="B16" s="167" t="s">
        <v>73</v>
      </c>
      <c r="C16" s="167" t="s">
        <v>117</v>
      </c>
      <c r="D16" s="168">
        <v>47934720</v>
      </c>
      <c r="E16" s="167" t="s">
        <v>148</v>
      </c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9">
        <v>0</v>
      </c>
      <c r="Q16" s="168"/>
      <c r="R16" s="168">
        <f>SUM(Таблица15[[#This Row],[ПР-Сумма]],Таблица15[[#This Row],[Сумма]],Таблица15[[#This Row],[Прочие]])</f>
        <v>47934720</v>
      </c>
      <c r="S16" s="167"/>
      <c r="T16" s="167"/>
    </row>
    <row r="17" spans="1:20" x14ac:dyDescent="0.2">
      <c r="A17" s="166">
        <v>46206</v>
      </c>
      <c r="B17" s="167" t="s">
        <v>91</v>
      </c>
      <c r="C17" s="167" t="s">
        <v>93</v>
      </c>
      <c r="D17" s="168">
        <v>49904640</v>
      </c>
      <c r="E17" s="167" t="s">
        <v>149</v>
      </c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9">
        <v>0</v>
      </c>
      <c r="Q17" s="168"/>
      <c r="R17" s="168">
        <f>SUM(Таблица15[[#This Row],[ПР-Сумма]],Таблица15[[#This Row],[Сумма]],Таблица15[[#This Row],[Прочие]])</f>
        <v>49904640</v>
      </c>
      <c r="S17" s="167"/>
      <c r="T17" s="167"/>
    </row>
    <row r="18" spans="1:20" x14ac:dyDescent="0.2">
      <c r="A18" s="166">
        <v>46206</v>
      </c>
      <c r="B18" s="167" t="s">
        <v>74</v>
      </c>
      <c r="C18" s="167" t="s">
        <v>80</v>
      </c>
      <c r="D18" s="168">
        <v>85000000</v>
      </c>
      <c r="E18" s="167" t="s">
        <v>78</v>
      </c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9">
        <v>0</v>
      </c>
      <c r="Q18" s="168"/>
      <c r="R18" s="168">
        <f>SUM(Таблица15[[#This Row],[ПР-Сумма]],Таблица15[[#This Row],[Сумма]],Таблица15[[#This Row],[Прочие]])</f>
        <v>85000000</v>
      </c>
      <c r="S18" s="167"/>
      <c r="T18" s="167"/>
    </row>
    <row r="19" spans="1:20" x14ac:dyDescent="0.2">
      <c r="A19" s="166">
        <v>46206</v>
      </c>
      <c r="B19" s="167" t="s">
        <v>73</v>
      </c>
      <c r="C19" s="167" t="s">
        <v>88</v>
      </c>
      <c r="D19" s="168">
        <v>24624000</v>
      </c>
      <c r="E19" s="167" t="s">
        <v>155</v>
      </c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9">
        <v>0</v>
      </c>
      <c r="Q19" s="168"/>
      <c r="R19" s="168">
        <f>SUM(Таблица15[[#This Row],[ПР-Сумма]],Таблица15[[#This Row],[Сумма]],Таблица15[[#This Row],[Прочие]])</f>
        <v>24624000</v>
      </c>
      <c r="S19" s="167"/>
      <c r="T19" s="167"/>
    </row>
    <row r="20" spans="1:20" x14ac:dyDescent="0.2">
      <c r="A20" s="166">
        <v>46206</v>
      </c>
      <c r="B20" s="167" t="s">
        <v>91</v>
      </c>
      <c r="C20" s="167" t="s">
        <v>92</v>
      </c>
      <c r="D20" s="168">
        <v>41964800</v>
      </c>
      <c r="E20" s="167" t="s">
        <v>112</v>
      </c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9">
        <v>0</v>
      </c>
      <c r="Q20" s="168"/>
      <c r="R20" s="168">
        <f>SUM(Таблица15[[#This Row],[ПР-Сумма]],Таблица15[[#This Row],[Сумма]],Таблица15[[#This Row],[Прочие]])</f>
        <v>41964800</v>
      </c>
      <c r="S20" s="167"/>
      <c r="T20" s="167"/>
    </row>
    <row r="21" spans="1:20" x14ac:dyDescent="0.2">
      <c r="A21" s="166">
        <v>46209</v>
      </c>
      <c r="B21" s="167" t="s">
        <v>163</v>
      </c>
      <c r="C21" s="167" t="s">
        <v>164</v>
      </c>
      <c r="D21" s="168">
        <v>62947200</v>
      </c>
      <c r="E21" s="167" t="s">
        <v>166</v>
      </c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9">
        <v>0</v>
      </c>
      <c r="Q21" s="168"/>
      <c r="R21" s="168">
        <f>SUM(Таблица15[[#This Row],[ПР-Сумма]],Таблица15[[#This Row],[Сумма]],Таблица15[[#This Row],[Прочие]])</f>
        <v>62947200</v>
      </c>
      <c r="S21" s="167"/>
      <c r="T21" s="167"/>
    </row>
    <row r="22" spans="1:20" x14ac:dyDescent="0.2">
      <c r="A22" s="166">
        <v>46209</v>
      </c>
      <c r="B22" s="167" t="s">
        <v>163</v>
      </c>
      <c r="C22" s="167" t="s">
        <v>164</v>
      </c>
      <c r="D22" s="168">
        <v>62947200</v>
      </c>
      <c r="E22" s="167" t="s">
        <v>166</v>
      </c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9">
        <v>0</v>
      </c>
      <c r="Q22" s="168"/>
      <c r="R22" s="168">
        <f>SUM(Таблица15[[#This Row],[ПР-Сумма]],Таблица15[[#This Row],[Сумма]],Таблица15[[#This Row],[Прочие]])</f>
        <v>62947200</v>
      </c>
      <c r="S22" s="167"/>
      <c r="T22" s="167"/>
    </row>
    <row r="23" spans="1:20" x14ac:dyDescent="0.2">
      <c r="A23" s="166">
        <v>46209</v>
      </c>
      <c r="B23" s="167" t="s">
        <v>89</v>
      </c>
      <c r="C23" s="167" t="s">
        <v>171</v>
      </c>
      <c r="D23" s="168">
        <v>20982400</v>
      </c>
      <c r="E23" s="167" t="s">
        <v>169</v>
      </c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9">
        <v>0</v>
      </c>
      <c r="Q23" s="168"/>
      <c r="R23" s="168">
        <f>SUM(Таблица15[[#This Row],[ПР-Сумма]],Таблица15[[#This Row],[Сумма]],Таблица15[[#This Row],[Прочие]])</f>
        <v>20982400</v>
      </c>
      <c r="S23" s="167"/>
      <c r="T23" s="167"/>
    </row>
    <row r="24" spans="1:20" x14ac:dyDescent="0.2">
      <c r="A24" s="166">
        <v>46209</v>
      </c>
      <c r="B24" s="167" t="s">
        <v>73</v>
      </c>
      <c r="C24" s="167" t="s">
        <v>172</v>
      </c>
      <c r="D24" s="168">
        <v>20982400</v>
      </c>
      <c r="E24" s="167" t="s">
        <v>170</v>
      </c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9">
        <v>0</v>
      </c>
      <c r="Q24" s="168"/>
      <c r="R24" s="168">
        <f>SUM(Таблица15[[#This Row],[ПР-Сумма]],Таблица15[[#This Row],[Сумма]],Таблица15[[#This Row],[Прочие]])</f>
        <v>20982400</v>
      </c>
      <c r="S24" s="167"/>
      <c r="T24" s="167"/>
    </row>
    <row r="25" spans="1:20" x14ac:dyDescent="0.2">
      <c r="A25" s="166">
        <v>46209</v>
      </c>
      <c r="B25" s="167" t="s">
        <v>73</v>
      </c>
      <c r="C25" s="167" t="s">
        <v>88</v>
      </c>
      <c r="D25" s="168">
        <v>61447200</v>
      </c>
      <c r="E25" s="167" t="s">
        <v>175</v>
      </c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9">
        <v>0</v>
      </c>
      <c r="Q25" s="168"/>
      <c r="R25" s="168">
        <f>SUM(Таблица15[[#This Row],[ПР-Сумма]],Таблица15[[#This Row],[Сумма]],Таблица15[[#This Row],[Прочие]])</f>
        <v>61447200</v>
      </c>
      <c r="S25" s="167"/>
      <c r="T25" s="167"/>
    </row>
    <row r="26" spans="1:20" x14ac:dyDescent="0.2">
      <c r="A26" s="166">
        <v>46209</v>
      </c>
      <c r="B26" s="167" t="s">
        <v>89</v>
      </c>
      <c r="C26" s="167" t="s">
        <v>171</v>
      </c>
      <c r="D26" s="168">
        <v>2100000</v>
      </c>
      <c r="E26" s="167" t="s">
        <v>169</v>
      </c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9">
        <v>0</v>
      </c>
      <c r="Q26" s="168"/>
      <c r="R26" s="168">
        <f>SUM(Таблица15[[#This Row],[ПР-Сумма]],Таблица15[[#This Row],[Сумма]],Таблица15[[#This Row],[Прочие]])</f>
        <v>2100000</v>
      </c>
      <c r="S26" s="167"/>
      <c r="T26" s="167" t="s">
        <v>179</v>
      </c>
    </row>
    <row r="27" spans="1:20" x14ac:dyDescent="0.2">
      <c r="A27" s="166">
        <v>46209</v>
      </c>
      <c r="B27" s="167" t="s">
        <v>163</v>
      </c>
      <c r="C27" s="167" t="s">
        <v>181</v>
      </c>
      <c r="D27" s="168">
        <v>21000000</v>
      </c>
      <c r="E27" s="167" t="s">
        <v>183</v>
      </c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9">
        <v>0</v>
      </c>
      <c r="Q27" s="168"/>
      <c r="R27" s="168">
        <f>SUM(Таблица15[[#This Row],[ПР-Сумма]],Таблица15[[#This Row],[Сумма]],Таблица15[[#This Row],[Прочие]])</f>
        <v>21000000</v>
      </c>
      <c r="S27" s="167"/>
      <c r="T27" s="167"/>
    </row>
    <row r="28" spans="1:20" x14ac:dyDescent="0.2">
      <c r="A28" s="28">
        <v>46210</v>
      </c>
      <c r="B28" s="29" t="s">
        <v>192</v>
      </c>
      <c r="C28" s="29" t="s">
        <v>193</v>
      </c>
      <c r="D28" s="30">
        <v>40000000</v>
      </c>
      <c r="E28" s="29" t="s">
        <v>191</v>
      </c>
      <c r="P28" s="32">
        <v>0</v>
      </c>
      <c r="R28" s="30">
        <f>SUM(Таблица15[[#This Row],[ПР-Сумма]],Таблица15[[#This Row],[Сумма]],Таблица15[[#This Row],[Прочие]])</f>
        <v>40000000</v>
      </c>
      <c r="S28" s="29" t="s">
        <v>194</v>
      </c>
    </row>
    <row r="29" spans="1:20" x14ac:dyDescent="0.2">
      <c r="A29" s="28">
        <v>46210</v>
      </c>
      <c r="B29" s="29" t="s">
        <v>91</v>
      </c>
      <c r="C29" s="29" t="s">
        <v>223</v>
      </c>
      <c r="D29" s="30">
        <v>41964800</v>
      </c>
      <c r="E29" s="29" t="s">
        <v>229</v>
      </c>
      <c r="P29" s="32">
        <v>0</v>
      </c>
      <c r="R29" s="30">
        <f>SUM(Таблица15[[#This Row],[ПР-Сумма]],Таблица15[[#This Row],[Сумма]],Таблица15[[#This Row],[Прочие]])</f>
        <v>41964800</v>
      </c>
      <c r="S29" s="29" t="s">
        <v>194</v>
      </c>
    </row>
    <row r="30" spans="1:20" x14ac:dyDescent="0.2">
      <c r="A30" s="28">
        <v>46210</v>
      </c>
      <c r="B30" s="29" t="s">
        <v>73</v>
      </c>
      <c r="C30" s="29" t="s">
        <v>221</v>
      </c>
      <c r="D30" s="30">
        <v>41965000</v>
      </c>
      <c r="E30" s="29" t="s">
        <v>230</v>
      </c>
      <c r="P30" s="32">
        <v>0</v>
      </c>
      <c r="R30" s="30">
        <f>SUM(Таблица15[[#This Row],[ПР-Сумма]],Таблица15[[#This Row],[Сумма]],Таблица15[[#This Row],[Прочие]])</f>
        <v>41965000</v>
      </c>
      <c r="S30" s="29" t="s">
        <v>194</v>
      </c>
    </row>
    <row r="31" spans="1:20" x14ac:dyDescent="0.2">
      <c r="A31" s="183">
        <v>46211</v>
      </c>
      <c r="B31" s="29" t="s">
        <v>91</v>
      </c>
      <c r="C31" s="29" t="s">
        <v>74</v>
      </c>
      <c r="D31" s="30">
        <v>20982000</v>
      </c>
      <c r="E31" s="29" t="s">
        <v>124</v>
      </c>
      <c r="P31" s="32">
        <v>0</v>
      </c>
      <c r="R31" s="30">
        <f>SUM(Таблица15[[#This Row],[ПР-Сумма]],Таблица15[[#This Row],[Сумма]],Таблица15[[#This Row],[Прочие]])</f>
        <v>20982000</v>
      </c>
      <c r="S31" s="29" t="s">
        <v>194</v>
      </c>
    </row>
    <row r="32" spans="1:20" x14ac:dyDescent="0.2">
      <c r="A32" s="183">
        <v>46211</v>
      </c>
      <c r="B32" s="29" t="s">
        <v>192</v>
      </c>
      <c r="C32" s="29" t="s">
        <v>193</v>
      </c>
      <c r="D32" s="30">
        <v>1964800</v>
      </c>
      <c r="E32" s="29" t="s">
        <v>231</v>
      </c>
      <c r="P32" s="32">
        <v>0</v>
      </c>
      <c r="R32" s="30">
        <f>SUM(Таблица15[[#This Row],[ПР-Сумма]],Таблица15[[#This Row],[Сумма]],Таблица15[[#This Row],[Прочие]])</f>
        <v>1964800</v>
      </c>
      <c r="S32" s="29" t="s">
        <v>194</v>
      </c>
    </row>
    <row r="33" spans="1:19" x14ac:dyDescent="0.2">
      <c r="A33" s="28">
        <v>46211</v>
      </c>
      <c r="B33" s="29" t="s">
        <v>91</v>
      </c>
      <c r="C33" s="29" t="s">
        <v>74</v>
      </c>
      <c r="D33" s="30">
        <v>32832000</v>
      </c>
      <c r="E33" s="29" t="s">
        <v>232</v>
      </c>
      <c r="P33" s="32">
        <v>0</v>
      </c>
      <c r="R33" s="30">
        <f>SUM(Таблица15[[#This Row],[ПР-Сумма]],Таблица15[[#This Row],[Сумма]],Таблица15[[#This Row],[Прочие]])</f>
        <v>32832000</v>
      </c>
      <c r="S33" s="29" t="s">
        <v>194</v>
      </c>
    </row>
    <row r="34" spans="1:19" x14ac:dyDescent="0.2">
      <c r="A34" s="28">
        <v>46211</v>
      </c>
      <c r="B34" s="29" t="s">
        <v>89</v>
      </c>
      <c r="C34" s="29" t="s">
        <v>224</v>
      </c>
      <c r="D34" s="30">
        <v>63000000</v>
      </c>
      <c r="E34" s="29" t="s">
        <v>169</v>
      </c>
      <c r="P34" s="32">
        <v>0</v>
      </c>
      <c r="R34" s="30">
        <f>SUM(Таблица15[[#This Row],[ПР-Сумма]],Таблица15[[#This Row],[Сумма]],Таблица15[[#This Row],[Прочие]])</f>
        <v>63000000</v>
      </c>
      <c r="S34" s="29" t="s">
        <v>194</v>
      </c>
    </row>
    <row r="35" spans="1:19" x14ac:dyDescent="0.2">
      <c r="A35" s="28">
        <v>46212</v>
      </c>
      <c r="B35" s="29" t="s">
        <v>225</v>
      </c>
      <c r="C35" s="29" t="s">
        <v>226</v>
      </c>
      <c r="D35" s="30">
        <v>41964800</v>
      </c>
      <c r="E35" s="29" t="s">
        <v>233</v>
      </c>
      <c r="P35" s="32">
        <v>0</v>
      </c>
      <c r="R35" s="30">
        <f>SUM(Таблица15[[#This Row],[ПР-Сумма]],Таблица15[[#This Row],[Сумма]],Таблица15[[#This Row],[Прочие]])</f>
        <v>41964800</v>
      </c>
      <c r="S35" s="29" t="s">
        <v>194</v>
      </c>
    </row>
    <row r="36" spans="1:19" x14ac:dyDescent="0.2">
      <c r="A36" s="28">
        <v>46212</v>
      </c>
      <c r="B36" s="29" t="s">
        <v>225</v>
      </c>
      <c r="C36" s="29" t="s">
        <v>227</v>
      </c>
      <c r="D36" s="30">
        <v>21000000</v>
      </c>
      <c r="E36" s="29" t="s">
        <v>234</v>
      </c>
      <c r="P36" s="32">
        <v>0</v>
      </c>
      <c r="R36" s="30">
        <f>SUM(Таблица15[[#This Row],[ПР-Сумма]],Таблица15[[#This Row],[Сумма]],Таблица15[[#This Row],[Прочие]])</f>
        <v>21000000</v>
      </c>
      <c r="S36" s="29" t="s">
        <v>194</v>
      </c>
    </row>
    <row r="37" spans="1:19" x14ac:dyDescent="0.2">
      <c r="A37" s="28">
        <v>46212</v>
      </c>
      <c r="B37" s="29" t="s">
        <v>192</v>
      </c>
      <c r="C37" s="29" t="s">
        <v>205</v>
      </c>
      <c r="D37" s="30">
        <v>45000000</v>
      </c>
      <c r="E37" s="29" t="s">
        <v>235</v>
      </c>
      <c r="P37" s="32">
        <v>0</v>
      </c>
      <c r="R37" s="30">
        <f>SUM(Таблица15[[#This Row],[ПР-Сумма]],Таблица15[[#This Row],[Сумма]],Таблица15[[#This Row],[Прочие]])</f>
        <v>45000000</v>
      </c>
      <c r="S37" s="29" t="s">
        <v>194</v>
      </c>
    </row>
    <row r="38" spans="1:19" x14ac:dyDescent="0.2">
      <c r="A38" s="28">
        <v>46212</v>
      </c>
      <c r="B38" s="29" t="s">
        <v>225</v>
      </c>
      <c r="C38" s="29" t="s">
        <v>228</v>
      </c>
      <c r="D38" s="30">
        <v>20682000</v>
      </c>
      <c r="E38" s="29" t="s">
        <v>236</v>
      </c>
      <c r="P38" s="32">
        <v>0</v>
      </c>
      <c r="R38" s="30">
        <f>SUM(Таблица15[[#This Row],[ПР-Сумма]],Таблица15[[#This Row],[Сумма]],Таблица15[[#This Row],[Прочие]])</f>
        <v>20682000</v>
      </c>
      <c r="S38" s="29" t="s">
        <v>194</v>
      </c>
    </row>
    <row r="39" spans="1:19" x14ac:dyDescent="0.2">
      <c r="A39" s="28">
        <v>46213</v>
      </c>
      <c r="B39" s="29" t="s">
        <v>73</v>
      </c>
      <c r="C39" s="29" t="s">
        <v>221</v>
      </c>
      <c r="D39" s="30">
        <v>20810000</v>
      </c>
      <c r="E39" s="29" t="s">
        <v>237</v>
      </c>
      <c r="P39" s="32">
        <v>0</v>
      </c>
      <c r="R39" s="30">
        <f>SUM(Таблица15[[#This Row],[ПР-Сумма]],Таблица15[[#This Row],[Сумма]],Таблица15[[#This Row],[Прочие]])</f>
        <v>20810000</v>
      </c>
      <c r="S39" s="29" t="s">
        <v>194</v>
      </c>
    </row>
    <row r="40" spans="1:19" x14ac:dyDescent="0.2">
      <c r="A40" s="28">
        <v>46213</v>
      </c>
      <c r="B40" s="29" t="s">
        <v>225</v>
      </c>
      <c r="C40" s="29" t="s">
        <v>227</v>
      </c>
      <c r="D40" s="30">
        <v>21000000</v>
      </c>
      <c r="E40" s="29" t="s">
        <v>234</v>
      </c>
      <c r="P40" s="32">
        <v>0</v>
      </c>
      <c r="R40" s="30">
        <f>SUM(Таблица15[[#This Row],[ПР-Сумма]],Таблица15[[#This Row],[Сумма]],Таблица15[[#This Row],[Прочие]])</f>
        <v>21000000</v>
      </c>
      <c r="S40" s="29" t="s">
        <v>194</v>
      </c>
    </row>
    <row r="41" spans="1:19" x14ac:dyDescent="0.2">
      <c r="A41" s="28">
        <v>46213</v>
      </c>
      <c r="B41" s="29" t="s">
        <v>73</v>
      </c>
      <c r="C41" s="29" t="s">
        <v>172</v>
      </c>
      <c r="D41" s="30">
        <v>46184800</v>
      </c>
      <c r="E41" s="29" t="s">
        <v>170</v>
      </c>
      <c r="P41" s="32">
        <v>0</v>
      </c>
      <c r="R41" s="30">
        <f>SUM(Таблица15[[#This Row],[ПР-Сумма]],Таблица15[[#This Row],[Сумма]],Таблица15[[#This Row],[Прочие]])</f>
        <v>46184800</v>
      </c>
      <c r="S41" s="29" t="s">
        <v>194</v>
      </c>
    </row>
    <row r="42" spans="1:19" x14ac:dyDescent="0.2">
      <c r="A42" s="28">
        <v>46213</v>
      </c>
      <c r="B42" s="29" t="s">
        <v>73</v>
      </c>
      <c r="C42" s="29" t="s">
        <v>221</v>
      </c>
      <c r="D42" s="30">
        <v>46620000</v>
      </c>
      <c r="E42" s="29" t="s">
        <v>175</v>
      </c>
      <c r="P42" s="32">
        <v>0</v>
      </c>
      <c r="R42" s="30">
        <f>SUM(Таблица15[[#This Row],[ПР-Сумма]],Таблица15[[#This Row],[Сумма]],Таблица15[[#This Row],[Прочие]])</f>
        <v>46620000</v>
      </c>
      <c r="S42" s="29" t="s">
        <v>194</v>
      </c>
    </row>
    <row r="43" spans="1:19" x14ac:dyDescent="0.2">
      <c r="P43" s="32">
        <v>0</v>
      </c>
      <c r="R43" s="30">
        <f>SUM(Таблица15[[#This Row],[ПР-Сумма]],Таблица15[[#This Row],[Сумма]],Таблица15[[#This Row],[Прочие]])</f>
        <v>0</v>
      </c>
    </row>
    <row r="44" spans="1:19" x14ac:dyDescent="0.2">
      <c r="P44" s="32">
        <v>0</v>
      </c>
      <c r="R44" s="30">
        <f>SUM(Таблица15[[#This Row],[ПР-Сумма]],Таблица15[[#This Row],[Сумма]],Таблица15[[#This Row],[Прочие]])</f>
        <v>0</v>
      </c>
    </row>
    <row r="45" spans="1:19" x14ac:dyDescent="0.2">
      <c r="P45" s="32">
        <v>0</v>
      </c>
      <c r="R45" s="30">
        <f>SUM(Таблица15[[#This Row],[ПР-Сумма]],Таблица15[[#This Row],[Сумма]],Таблица15[[#This Row],[Прочие]])</f>
        <v>0</v>
      </c>
    </row>
    <row r="46" spans="1:19" x14ac:dyDescent="0.2">
      <c r="P46" s="32">
        <v>0</v>
      </c>
      <c r="R46" s="30">
        <f>SUM(Таблица15[[#This Row],[ПР-Сумма]],Таблица15[[#This Row],[Сумма]],Таблица15[[#This Row],[Прочие]])</f>
        <v>0</v>
      </c>
    </row>
    <row r="47" spans="1:19" x14ac:dyDescent="0.2">
      <c r="P47" s="32">
        <v>0</v>
      </c>
      <c r="R47" s="30">
        <f>SUM(Таблица15[[#This Row],[ПР-Сумма]],Таблица15[[#This Row],[Сумма]],Таблица15[[#This Row],[Прочие]])</f>
        <v>0</v>
      </c>
    </row>
    <row r="48" spans="1:19" x14ac:dyDescent="0.2">
      <c r="P48" s="32">
        <v>0</v>
      </c>
      <c r="R48" s="30">
        <f>SUM(Таблица15[[#This Row],[ПР-Сумма]],Таблица15[[#This Row],[Сумма]],Таблица15[[#This Row],[Прочие]])</f>
        <v>0</v>
      </c>
    </row>
    <row r="49" spans="16:18" x14ac:dyDescent="0.2">
      <c r="P49" s="32">
        <v>0</v>
      </c>
      <c r="R49" s="30">
        <f>SUM(Таблица15[[#This Row],[ПР-Сумма]],Таблица15[[#This Row],[Сумма]],Таблица15[[#This Row],[Прочие]])</f>
        <v>0</v>
      </c>
    </row>
    <row r="50" spans="16:18" x14ac:dyDescent="0.2">
      <c r="P50" s="32">
        <v>0</v>
      </c>
      <c r="R50" s="30">
        <f>SUM(Таблица15[[#This Row],[ПР-Сумма]],Таблица15[[#This Row],[Сумма]],Таблица15[[#This Row],[Прочие]])</f>
        <v>0</v>
      </c>
    </row>
    <row r="51" spans="16:18" x14ac:dyDescent="0.2">
      <c r="P51" s="32">
        <v>0</v>
      </c>
      <c r="R51" s="30">
        <f>SUM(Таблица15[[#This Row],[ПР-Сумма]],Таблица15[[#This Row],[Сумма]],Таблица15[[#This Row],[Прочие]])</f>
        <v>0</v>
      </c>
    </row>
    <row r="52" spans="16:18" x14ac:dyDescent="0.2">
      <c r="P52" s="32">
        <v>0</v>
      </c>
      <c r="R52" s="30">
        <f>SUM(Таблица15[[#This Row],[ПР-Сумма]],Таблица15[[#This Row],[Сумма]],Таблица15[[#This Row],[Прочие]])</f>
        <v>0</v>
      </c>
    </row>
    <row r="53" spans="16:18" x14ac:dyDescent="0.2">
      <c r="P53" s="32">
        <v>0</v>
      </c>
      <c r="R53" s="30">
        <f>SUM(Таблица15[[#This Row],[ПР-Сумма]],Таблица15[[#This Row],[Сумма]],Таблица15[[#This Row],[Прочие]])</f>
        <v>0</v>
      </c>
    </row>
    <row r="54" spans="16:18" x14ac:dyDescent="0.2">
      <c r="P54" s="32">
        <v>0</v>
      </c>
      <c r="R54" s="30">
        <f>SUM(Таблица15[[#This Row],[ПР-Сумма]],Таблица15[[#This Row],[Сумма]],Таблица15[[#This Row],[Прочие]])</f>
        <v>0</v>
      </c>
    </row>
    <row r="55" spans="16:18" x14ac:dyDescent="0.2">
      <c r="P55" s="32">
        <v>0</v>
      </c>
      <c r="R55" s="30">
        <f>SUM(Таблица15[[#This Row],[ПР-Сумма]],Таблица15[[#This Row],[Сумма]],Таблица15[[#This Row],[Прочие]])</f>
        <v>0</v>
      </c>
    </row>
    <row r="56" spans="16:18" x14ac:dyDescent="0.2">
      <c r="P56" s="32">
        <v>0</v>
      </c>
      <c r="R56" s="30">
        <f>SUM(Таблица15[[#This Row],[ПР-Сумма]],Таблица15[[#This Row],[Сумма]],Таблица15[[#This Row],[Прочие]])</f>
        <v>0</v>
      </c>
    </row>
    <row r="57" spans="16:18" x14ac:dyDescent="0.2">
      <c r="P57" s="32">
        <v>0</v>
      </c>
      <c r="R57" s="30">
        <f>SUM(Таблица15[[#This Row],[ПР-Сумма]],Таблица15[[#This Row],[Сумма]],Таблица15[[#This Row],[Прочие]])</f>
        <v>0</v>
      </c>
    </row>
    <row r="58" spans="16:18" x14ac:dyDescent="0.2">
      <c r="P58" s="32">
        <v>0</v>
      </c>
      <c r="R58" s="30">
        <f>SUM(Таблица15[[#This Row],[ПР-Сумма]],Таблица15[[#This Row],[Сумма]],Таблица15[[#This Row],[Прочие]])</f>
        <v>0</v>
      </c>
    </row>
    <row r="59" spans="16:18" x14ac:dyDescent="0.2">
      <c r="P59" s="32">
        <v>0</v>
      </c>
      <c r="R59" s="30">
        <f>SUM(Таблица15[[#This Row],[ПР-Сумма]],Таблица15[[#This Row],[Сумма]],Таблица15[[#This Row],[Прочие]])</f>
        <v>0</v>
      </c>
    </row>
    <row r="60" spans="16:18" x14ac:dyDescent="0.2">
      <c r="P60" s="32">
        <v>0</v>
      </c>
      <c r="R60" s="30">
        <f>SUM(Таблица15[[#This Row],[ПР-Сумма]],Таблица15[[#This Row],[Сумма]],Таблица15[[#This Row],[Прочие]])</f>
        <v>0</v>
      </c>
    </row>
    <row r="61" spans="16:18" x14ac:dyDescent="0.2">
      <c r="P61" s="32">
        <v>0</v>
      </c>
      <c r="R61" s="30">
        <f>SUM(Таблица15[[#This Row],[ПР-Сумма]],Таблица15[[#This Row],[Сумма]],Таблица15[[#This Row],[Прочие]])</f>
        <v>0</v>
      </c>
    </row>
    <row r="62" spans="16:18" x14ac:dyDescent="0.2">
      <c r="P62" s="32">
        <v>0</v>
      </c>
      <c r="R62" s="30">
        <f>SUM(Таблица15[[#This Row],[ПР-Сумма]],Таблица15[[#This Row],[Сумма]],Таблица15[[#This Row],[Прочие]])</f>
        <v>0</v>
      </c>
    </row>
    <row r="63" spans="16:18" x14ac:dyDescent="0.2">
      <c r="P63" s="32">
        <v>0</v>
      </c>
      <c r="R63" s="30">
        <f>SUM(Таблица15[[#This Row],[ПР-Сумма]],Таблица15[[#This Row],[Сумма]],Таблица15[[#This Row],[Прочие]])</f>
        <v>0</v>
      </c>
    </row>
    <row r="64" spans="16:18" x14ac:dyDescent="0.2">
      <c r="P64" s="32">
        <v>0</v>
      </c>
      <c r="R64" s="30">
        <f>SUM(Таблица15[[#This Row],[ПР-Сумма]],Таблица15[[#This Row],[Сумма]],Таблица15[[#This Row],[Прочие]])</f>
        <v>0</v>
      </c>
    </row>
    <row r="65" spans="16:18" x14ac:dyDescent="0.2">
      <c r="P65" s="32">
        <v>0</v>
      </c>
      <c r="R65" s="30">
        <f>SUM(Таблица15[[#This Row],[ПР-Сумма]],Таблица15[[#This Row],[Сумма]],Таблица15[[#This Row],[Прочие]])</f>
        <v>0</v>
      </c>
    </row>
    <row r="66" spans="16:18" x14ac:dyDescent="0.2">
      <c r="P66" s="32">
        <v>0</v>
      </c>
      <c r="R66" s="30">
        <f>SUM(Таблица15[[#This Row],[ПР-Сумма]],Таблица15[[#This Row],[Сумма]],Таблица15[[#This Row],[Прочие]])</f>
        <v>0</v>
      </c>
    </row>
    <row r="67" spans="16:18" x14ac:dyDescent="0.2">
      <c r="P67" s="32">
        <v>0</v>
      </c>
      <c r="R67" s="30">
        <f>SUM(Таблица15[[#This Row],[ПР-Сумма]],Таблица15[[#This Row],[Сумма]],Таблица15[[#This Row],[Прочие]])</f>
        <v>0</v>
      </c>
    </row>
    <row r="68" spans="16:18" x14ac:dyDescent="0.2">
      <c r="P68" s="32">
        <v>0</v>
      </c>
      <c r="R68" s="30">
        <f>SUM(Таблица15[[#This Row],[ПР-Сумма]],Таблица15[[#This Row],[Сумма]],Таблица15[[#This Row],[Прочие]])</f>
        <v>0</v>
      </c>
    </row>
    <row r="69" spans="16:18" x14ac:dyDescent="0.2">
      <c r="P69" s="32">
        <v>0</v>
      </c>
      <c r="R69" s="30">
        <f>SUM(Таблица15[[#This Row],[ПР-Сумма]],Таблица15[[#This Row],[Сумма]],Таблица15[[#This Row],[Прочие]])</f>
        <v>0</v>
      </c>
    </row>
    <row r="70" spans="16:18" x14ac:dyDescent="0.2">
      <c r="P70" s="32">
        <v>0</v>
      </c>
      <c r="R70" s="30">
        <f>SUM(Таблица15[[#This Row],[ПР-Сумма]],Таблица15[[#This Row],[Сумма]],Таблица15[[#This Row],[Прочие]])</f>
        <v>0</v>
      </c>
    </row>
    <row r="71" spans="16:18" x14ac:dyDescent="0.2">
      <c r="P71" s="32">
        <v>0</v>
      </c>
      <c r="R71" s="30">
        <f>SUM(Таблица15[[#This Row],[ПР-Сумма]],Таблица15[[#This Row],[Сумма]],Таблица15[[#This Row],[Прочие]])</f>
        <v>0</v>
      </c>
    </row>
    <row r="72" spans="16:18" x14ac:dyDescent="0.2">
      <c r="P72" s="32">
        <v>0</v>
      </c>
      <c r="R72" s="30">
        <f>SUM(Таблица15[[#This Row],[ПР-Сумма]],Таблица15[[#This Row],[Сумма]],Таблица15[[#This Row],[Прочие]])</f>
        <v>0</v>
      </c>
    </row>
    <row r="73" spans="16:18" x14ac:dyDescent="0.2">
      <c r="P73" s="32">
        <v>0</v>
      </c>
      <c r="R73" s="30">
        <f>SUM(Таблица15[[#This Row],[ПР-Сумма]],Таблица15[[#This Row],[Сумма]],Таблица15[[#This Row],[Прочие]])</f>
        <v>0</v>
      </c>
    </row>
    <row r="74" spans="16:18" x14ac:dyDescent="0.2">
      <c r="P74" s="32">
        <v>0</v>
      </c>
      <c r="R74" s="30">
        <f>SUM(Таблица15[[#This Row],[ПР-Сумма]],Таблица15[[#This Row],[Сумма]],Таблица15[[#This Row],[Прочие]])</f>
        <v>0</v>
      </c>
    </row>
    <row r="75" spans="16:18" x14ac:dyDescent="0.2">
      <c r="P75" s="32">
        <v>0</v>
      </c>
      <c r="R75" s="30">
        <f>SUM(Таблица15[[#This Row],[ПР-Сумма]],Таблица15[[#This Row],[Сумма]],Таблица15[[#This Row],[Прочие]])</f>
        <v>0</v>
      </c>
    </row>
    <row r="76" spans="16:18" x14ac:dyDescent="0.2">
      <c r="P76" s="32">
        <v>0</v>
      </c>
      <c r="R76" s="30">
        <f>SUM(Таблица15[[#This Row],[ПР-Сумма]],Таблица15[[#This Row],[Сумма]],Таблица15[[#This Row],[Прочие]])</f>
        <v>0</v>
      </c>
    </row>
    <row r="77" spans="16:18" x14ac:dyDescent="0.2">
      <c r="P77" s="32">
        <v>0</v>
      </c>
      <c r="R77" s="30">
        <f>SUM(Таблица15[[#This Row],[ПР-Сумма]],Таблица15[[#This Row],[Сумма]],Таблица15[[#This Row],[Прочие]])</f>
        <v>0</v>
      </c>
    </row>
    <row r="78" spans="16:18" x14ac:dyDescent="0.2">
      <c r="P78" s="32">
        <v>0</v>
      </c>
      <c r="R78" s="30">
        <f>SUM(Таблица15[[#This Row],[ПР-Сумма]],Таблица15[[#This Row],[Сумма]],Таблица15[[#This Row],[Прочие]])</f>
        <v>0</v>
      </c>
    </row>
    <row r="79" spans="16:18" x14ac:dyDescent="0.2">
      <c r="P79" s="32">
        <v>0</v>
      </c>
      <c r="R79" s="30">
        <f>SUM(Таблица15[[#This Row],[ПР-Сумма]],Таблица15[[#This Row],[Сумма]],Таблица15[[#This Row],[Прочие]])</f>
        <v>0</v>
      </c>
    </row>
    <row r="80" spans="16:18" x14ac:dyDescent="0.2">
      <c r="P80" s="32">
        <v>0</v>
      </c>
      <c r="R80" s="30">
        <f>SUM(Таблица15[[#This Row],[ПР-Сумма]],Таблица15[[#This Row],[Сумма]],Таблица15[[#This Row],[Прочие]])</f>
        <v>0</v>
      </c>
    </row>
    <row r="81" spans="16:18" x14ac:dyDescent="0.2">
      <c r="P81" s="32">
        <v>0</v>
      </c>
      <c r="R81" s="30">
        <f>SUM(Таблица15[[#This Row],[ПР-Сумма]],Таблица15[[#This Row],[Сумма]],Таблица15[[#This Row],[Прочие]])</f>
        <v>0</v>
      </c>
    </row>
    <row r="82" spans="16:18" x14ac:dyDescent="0.2">
      <c r="P82" s="32">
        <v>0</v>
      </c>
      <c r="R82" s="30">
        <f>SUM(Таблица15[[#This Row],[ПР-Сумма]],Таблица15[[#This Row],[Сумма]],Таблица15[[#This Row],[Прочие]])</f>
        <v>0</v>
      </c>
    </row>
    <row r="83" spans="16:18" x14ac:dyDescent="0.2">
      <c r="P83" s="32">
        <v>0</v>
      </c>
      <c r="R83" s="30">
        <f>SUM(Таблица15[[#This Row],[ПР-Сумма]],Таблица15[[#This Row],[Сумма]],Таблица15[[#This Row],[Прочие]])</f>
        <v>0</v>
      </c>
    </row>
    <row r="84" spans="16:18" x14ac:dyDescent="0.2">
      <c r="P84" s="32">
        <v>0</v>
      </c>
      <c r="R84" s="30">
        <f>SUM(Таблица15[[#This Row],[ПР-Сумма]],Таблица15[[#This Row],[Сумма]],Таблица15[[#This Row],[Прочие]])</f>
        <v>0</v>
      </c>
    </row>
    <row r="85" spans="16:18" x14ac:dyDescent="0.2">
      <c r="P85" s="32">
        <v>0</v>
      </c>
      <c r="R85" s="30">
        <f>SUM(Таблица15[[#This Row],[ПР-Сумма]],Таблица15[[#This Row],[Сумма]],Таблица15[[#This Row],[Прочие]])</f>
        <v>0</v>
      </c>
    </row>
    <row r="86" spans="16:18" x14ac:dyDescent="0.2">
      <c r="P86" s="32">
        <v>0</v>
      </c>
      <c r="R86" s="30">
        <f>SUM(Таблица15[[#This Row],[ПР-Сумма]],Таблица15[[#This Row],[Сумма]],Таблица15[[#This Row],[Прочие]])</f>
        <v>0</v>
      </c>
    </row>
    <row r="87" spans="16:18" x14ac:dyDescent="0.2">
      <c r="P87" s="32">
        <v>0</v>
      </c>
      <c r="R87" s="30">
        <f>SUM(Таблица15[[#This Row],[ПР-Сумма]],Таблица15[[#This Row],[Сумма]],Таблица15[[#This Row],[Прочие]])</f>
        <v>0</v>
      </c>
    </row>
    <row r="88" spans="16:18" x14ac:dyDescent="0.2">
      <c r="P88" s="32">
        <v>0</v>
      </c>
      <c r="R88" s="30">
        <f>SUM(Таблица15[[#This Row],[ПР-Сумма]],Таблица15[[#This Row],[Сумма]],Таблица15[[#This Row],[Прочие]])</f>
        <v>0</v>
      </c>
    </row>
    <row r="89" spans="16:18" x14ac:dyDescent="0.2">
      <c r="P89" s="32">
        <v>0</v>
      </c>
      <c r="R89" s="30">
        <f>SUM(Таблица15[[#This Row],[ПР-Сумма]],Таблица15[[#This Row],[Сумма]],Таблица15[[#This Row],[Прочие]])</f>
        <v>0</v>
      </c>
    </row>
    <row r="90" spans="16:18" x14ac:dyDescent="0.2">
      <c r="P90" s="32">
        <v>0</v>
      </c>
      <c r="R90" s="30">
        <f>SUM(Таблица15[[#This Row],[ПР-Сумма]],Таблица15[[#This Row],[Сумма]],Таблица15[[#This Row],[Прочие]])</f>
        <v>0</v>
      </c>
    </row>
    <row r="91" spans="16:18" x14ac:dyDescent="0.2">
      <c r="P91" s="32">
        <v>0</v>
      </c>
      <c r="R91" s="30">
        <f>SUM(Таблица15[[#This Row],[ПР-Сумма]],Таблица15[[#This Row],[Сумма]],Таблица15[[#This Row],[Прочие]])</f>
        <v>0</v>
      </c>
    </row>
    <row r="92" spans="16:18" x14ac:dyDescent="0.2">
      <c r="P92" s="32">
        <v>0</v>
      </c>
      <c r="R92" s="30">
        <f>SUM(Таблица15[[#This Row],[ПР-Сумма]],Таблица15[[#This Row],[Сумма]],Таблица15[[#This Row],[Прочие]])</f>
        <v>0</v>
      </c>
    </row>
    <row r="93" spans="16:18" x14ac:dyDescent="0.2">
      <c r="P93" s="32">
        <v>0</v>
      </c>
      <c r="R93" s="30">
        <f>SUM(Таблица15[[#This Row],[ПР-Сумма]],Таблица15[[#This Row],[Сумма]],Таблица15[[#This Row],[Прочие]])</f>
        <v>0</v>
      </c>
    </row>
    <row r="94" spans="16:18" x14ac:dyDescent="0.2">
      <c r="P94" s="32">
        <v>0</v>
      </c>
      <c r="R94" s="30">
        <f>SUM(Таблица15[[#This Row],[ПР-Сумма]],Таблица15[[#This Row],[Сумма]],Таблица15[[#This Row],[Прочие]])</f>
        <v>0</v>
      </c>
    </row>
    <row r="95" spans="16:18" x14ac:dyDescent="0.2">
      <c r="P95" s="32">
        <v>0</v>
      </c>
      <c r="R95" s="30">
        <f>SUM(Таблица15[[#This Row],[ПР-Сумма]],Таблица15[[#This Row],[Сумма]],Таблица15[[#This Row],[Прочие]])</f>
        <v>0</v>
      </c>
    </row>
    <row r="96" spans="16:18" x14ac:dyDescent="0.2">
      <c r="P96" s="32">
        <v>0</v>
      </c>
      <c r="R96" s="30">
        <f>SUM(Таблица15[[#This Row],[ПР-Сумма]],Таблица15[[#This Row],[Сумма]],Таблица15[[#This Row],[Прочие]])</f>
        <v>0</v>
      </c>
    </row>
    <row r="97" spans="16:18" x14ac:dyDescent="0.2">
      <c r="P97" s="32">
        <v>0</v>
      </c>
      <c r="R97" s="30">
        <f>SUM(Таблица15[[#This Row],[ПР-Сумма]],Таблица15[[#This Row],[Сумма]],Таблица15[[#This Row],[Прочие]])</f>
        <v>0</v>
      </c>
    </row>
    <row r="98" spans="16:18" x14ac:dyDescent="0.2">
      <c r="P98" s="32">
        <v>0</v>
      </c>
      <c r="R98" s="30">
        <f>SUM(Таблица15[[#This Row],[ПР-Сумма]],Таблица15[[#This Row],[Сумма]],Таблица15[[#This Row],[Прочие]])</f>
        <v>0</v>
      </c>
    </row>
    <row r="99" spans="16:18" x14ac:dyDescent="0.2">
      <c r="P99" s="32">
        <v>0</v>
      </c>
      <c r="R99" s="30">
        <f>SUM(Таблица15[[#This Row],[ПР-Сумма]],Таблица15[[#This Row],[Сумма]],Таблица15[[#This Row],[Прочие]])</f>
        <v>0</v>
      </c>
    </row>
    <row r="100" spans="16:18" x14ac:dyDescent="0.2">
      <c r="P100" s="32">
        <v>0</v>
      </c>
      <c r="R100" s="30">
        <f>SUM(Таблица15[[#This Row],[ПР-Сумма]],Таблица15[[#This Row],[Сумма]],Таблица15[[#This Row],[Прочие]])</f>
        <v>0</v>
      </c>
    </row>
    <row r="101" spans="16:18" x14ac:dyDescent="0.2">
      <c r="P101" s="32">
        <v>0</v>
      </c>
      <c r="R101" s="30">
        <f>SUM(Таблица15[[#This Row],[ПР-Сумма]],Таблица15[[#This Row],[Сумма]],Таблица15[[#This Row],[Прочие]])</f>
        <v>0</v>
      </c>
    </row>
    <row r="102" spans="16:18" x14ac:dyDescent="0.2">
      <c r="P102" s="32">
        <v>0</v>
      </c>
      <c r="R102" s="30">
        <f>SUM(Таблица15[[#This Row],[ПР-Сумма]],Таблица15[[#This Row],[Сумма]],Таблица15[[#This Row],[Прочие]])</f>
        <v>0</v>
      </c>
    </row>
    <row r="103" spans="16:18" x14ac:dyDescent="0.2">
      <c r="P103" s="32">
        <v>0</v>
      </c>
      <c r="R103" s="30">
        <f>SUM(Таблица15[[#This Row],[ПР-Сумма]],Таблица15[[#This Row],[Сумма]],Таблица15[[#This Row],[Прочие]])</f>
        <v>0</v>
      </c>
    </row>
    <row r="104" spans="16:18" x14ac:dyDescent="0.2">
      <c r="P104" s="32">
        <v>0</v>
      </c>
      <c r="R104" s="30">
        <f>SUM(Таблица15[[#This Row],[ПР-Сумма]],Таблица15[[#This Row],[Сумма]],Таблица15[[#This Row],[Прочие]])</f>
        <v>0</v>
      </c>
    </row>
    <row r="105" spans="16:18" x14ac:dyDescent="0.2">
      <c r="P105" s="32">
        <v>0</v>
      </c>
      <c r="R105" s="30">
        <f>SUM(Таблица15[[#This Row],[ПР-Сумма]],Таблица15[[#This Row],[Сумма]],Таблица15[[#This Row],[Прочие]])</f>
        <v>0</v>
      </c>
    </row>
    <row r="106" spans="16:18" x14ac:dyDescent="0.2">
      <c r="P106" s="32">
        <v>0</v>
      </c>
      <c r="R106" s="30">
        <f>SUM(Таблица15[[#This Row],[ПР-Сумма]],Таблица15[[#This Row],[Сумма]],Таблица15[[#This Row],[Прочие]])</f>
        <v>0</v>
      </c>
    </row>
    <row r="107" spans="16:18" x14ac:dyDescent="0.2">
      <c r="P107" s="32">
        <v>0</v>
      </c>
      <c r="R107" s="30">
        <f>SUM(Таблица15[[#This Row],[ПР-Сумма]],Таблица15[[#This Row],[Сумма]],Таблица15[[#This Row],[Прочие]])</f>
        <v>0</v>
      </c>
    </row>
    <row r="108" spans="16:18" x14ac:dyDescent="0.2">
      <c r="P108" s="32">
        <v>0</v>
      </c>
      <c r="R108" s="30">
        <f>SUM(Таблица15[[#This Row],[ПР-Сумма]],Таблица15[[#This Row],[Сумма]],Таблица15[[#This Row],[Прочие]])</f>
        <v>0</v>
      </c>
    </row>
    <row r="109" spans="16:18" x14ac:dyDescent="0.2">
      <c r="P109" s="32">
        <v>0</v>
      </c>
      <c r="R109" s="30">
        <f>SUM(Таблица15[[#This Row],[ПР-Сумма]],Таблица15[[#This Row],[Сумма]],Таблица15[[#This Row],[Прочие]])</f>
        <v>0</v>
      </c>
    </row>
    <row r="110" spans="16:18" x14ac:dyDescent="0.2">
      <c r="P110" s="32">
        <v>0</v>
      </c>
      <c r="R110" s="30">
        <f>SUM(Таблица15[[#This Row],[ПР-Сумма]],Таблица15[[#This Row],[Сумма]],Таблица15[[#This Row],[Прочие]])</f>
        <v>0</v>
      </c>
    </row>
    <row r="111" spans="16:18" x14ac:dyDescent="0.2">
      <c r="P111" s="32">
        <v>0</v>
      </c>
      <c r="R111" s="30">
        <f>SUM(Таблица15[[#This Row],[ПР-Сумма]],Таблица15[[#This Row],[Сумма]],Таблица15[[#This Row],[Прочие]])</f>
        <v>0</v>
      </c>
    </row>
    <row r="112" spans="16:18" x14ac:dyDescent="0.2">
      <c r="P112" s="32">
        <v>0</v>
      </c>
      <c r="R112" s="30">
        <f>SUM(Таблица15[[#This Row],[ПР-Сумма]],Таблица15[[#This Row],[Сумма]],Таблица15[[#This Row],[Прочие]])</f>
        <v>0</v>
      </c>
    </row>
    <row r="113" spans="16:18" x14ac:dyDescent="0.2">
      <c r="P113" s="32">
        <v>0</v>
      </c>
      <c r="R113" s="30">
        <f>SUM(Таблица15[[#This Row],[ПР-Сумма]],Таблица15[[#This Row],[Сумма]],Таблица15[[#This Row],[Прочие]])</f>
        <v>0</v>
      </c>
    </row>
    <row r="114" spans="16:18" x14ac:dyDescent="0.2">
      <c r="P114" s="32">
        <v>0</v>
      </c>
      <c r="R114" s="30">
        <f>SUM(Таблица15[[#This Row],[ПР-Сумма]],Таблица15[[#This Row],[Сумма]],Таблица15[[#This Row],[Прочие]])</f>
        <v>0</v>
      </c>
    </row>
    <row r="115" spans="16:18" x14ac:dyDescent="0.2">
      <c r="P115" s="32">
        <v>0</v>
      </c>
      <c r="R115" s="30">
        <f>SUM(Таблица15[[#This Row],[ПР-Сумма]],Таблица15[[#This Row],[Сумма]],Таблица15[[#This Row],[Прочие]])</f>
        <v>0</v>
      </c>
    </row>
    <row r="116" spans="16:18" x14ac:dyDescent="0.2">
      <c r="P116" s="32">
        <v>0</v>
      </c>
      <c r="R116" s="30">
        <f>SUM(Таблица15[[#This Row],[ПР-Сумма]],Таблица15[[#This Row],[Сумма]],Таблица15[[#This Row],[Прочие]])</f>
        <v>0</v>
      </c>
    </row>
    <row r="117" spans="16:18" x14ac:dyDescent="0.2">
      <c r="P117" s="32">
        <v>0</v>
      </c>
      <c r="R117" s="30">
        <f>SUM(Таблица15[[#This Row],[ПР-Сумма]],Таблица15[[#This Row],[Сумма]],Таблица15[[#This Row],[Прочие]])</f>
        <v>0</v>
      </c>
    </row>
    <row r="118" spans="16:18" x14ac:dyDescent="0.2">
      <c r="P118" s="32">
        <v>0</v>
      </c>
      <c r="R118" s="30">
        <f>SUM(Таблица15[[#This Row],[ПР-Сумма]],Таблица15[[#This Row],[Сумма]],Таблица15[[#This Row],[Прочие]])</f>
        <v>0</v>
      </c>
    </row>
    <row r="119" spans="16:18" x14ac:dyDescent="0.2">
      <c r="P119" s="32">
        <v>0</v>
      </c>
      <c r="R119" s="30">
        <f>SUM(Таблица15[[#This Row],[ПР-Сумма]],Таблица15[[#This Row],[Сумма]],Таблица15[[#This Row],[Прочие]])</f>
        <v>0</v>
      </c>
    </row>
    <row r="120" spans="16:18" x14ac:dyDescent="0.2">
      <c r="P120" s="32">
        <v>0</v>
      </c>
      <c r="R120" s="30">
        <f>SUM(Таблица15[[#This Row],[ПР-Сумма]],Таблица15[[#This Row],[Сумма]],Таблица15[[#This Row],[Прочие]])</f>
        <v>0</v>
      </c>
    </row>
    <row r="121" spans="16:18" x14ac:dyDescent="0.2">
      <c r="P121" s="32">
        <v>0</v>
      </c>
      <c r="R121" s="30">
        <f>SUM(Таблица15[[#This Row],[ПР-Сумма]],Таблица15[[#This Row],[Сумма]],Таблица15[[#This Row],[Прочие]])</f>
        <v>0</v>
      </c>
    </row>
    <row r="122" spans="16:18" x14ac:dyDescent="0.2">
      <c r="P122" s="32">
        <v>0</v>
      </c>
      <c r="R122" s="30">
        <f>SUM(Таблица15[[#This Row],[ПР-Сумма]],Таблица15[[#This Row],[Сумма]],Таблица15[[#This Row],[Прочие]])</f>
        <v>0</v>
      </c>
    </row>
    <row r="123" spans="16:18" x14ac:dyDescent="0.2">
      <c r="P123" s="32">
        <v>0</v>
      </c>
      <c r="R123" s="30">
        <f>SUM(Таблица15[[#This Row],[ПР-Сумма]],Таблица15[[#This Row],[Сумма]],Таблица15[[#This Row],[Прочие]])</f>
        <v>0</v>
      </c>
    </row>
    <row r="124" spans="16:18" x14ac:dyDescent="0.2">
      <c r="P124" s="32">
        <v>0</v>
      </c>
      <c r="R124" s="30">
        <f>SUM(Таблица15[[#This Row],[ПР-Сумма]],Таблица15[[#This Row],[Сумма]],Таблица15[[#This Row],[Прочие]])</f>
        <v>0</v>
      </c>
    </row>
    <row r="125" spans="16:18" x14ac:dyDescent="0.2">
      <c r="P125" s="32">
        <v>0</v>
      </c>
      <c r="R125" s="30">
        <f>SUM(Таблица15[[#This Row],[ПР-Сумма]],Таблица15[[#This Row],[Сумма]],Таблица15[[#This Row],[Прочие]])</f>
        <v>0</v>
      </c>
    </row>
    <row r="126" spans="16:18" x14ac:dyDescent="0.2">
      <c r="P126" s="32">
        <v>0</v>
      </c>
      <c r="R126" s="30">
        <f>SUM(Таблица15[[#This Row],[ПР-Сумма]],Таблица15[[#This Row],[Сумма]],Таблица15[[#This Row],[Прочие]])</f>
        <v>0</v>
      </c>
    </row>
    <row r="127" spans="16:18" x14ac:dyDescent="0.2">
      <c r="P127" s="32">
        <v>0</v>
      </c>
      <c r="R127" s="30">
        <f>SUM(Таблица15[[#This Row],[ПР-Сумма]],Таблица15[[#This Row],[Сумма]],Таблица15[[#This Row],[Прочие]])</f>
        <v>0</v>
      </c>
    </row>
    <row r="128" spans="16:18" x14ac:dyDescent="0.2">
      <c r="P128" s="32">
        <v>0</v>
      </c>
      <c r="R128" s="30">
        <f>SUM(Таблица15[[#This Row],[ПР-Сумма]],Таблица15[[#This Row],[Сумма]],Таблица15[[#This Row],[Прочие]])</f>
        <v>0</v>
      </c>
    </row>
    <row r="129" spans="16:18" x14ac:dyDescent="0.2">
      <c r="P129" s="32">
        <v>0</v>
      </c>
      <c r="R129" s="30">
        <f>SUM(Таблица15[[#This Row],[ПР-Сумма]],Таблица15[[#This Row],[Сумма]],Таблица15[[#This Row],[Прочие]])</f>
        <v>0</v>
      </c>
    </row>
    <row r="130" spans="16:18" x14ac:dyDescent="0.2">
      <c r="P130" s="32">
        <v>0</v>
      </c>
      <c r="R130" s="30">
        <f>SUM(Таблица15[[#This Row],[ПР-Сумма]],Таблица15[[#This Row],[Сумма]],Таблица15[[#This Row],[Прочие]])</f>
        <v>0</v>
      </c>
    </row>
    <row r="131" spans="16:18" x14ac:dyDescent="0.2">
      <c r="P131" s="32">
        <v>0</v>
      </c>
      <c r="R131" s="30">
        <f>SUM(Таблица15[[#This Row],[ПР-Сумма]],Таблица15[[#This Row],[Сумма]],Таблица15[[#This Row],[Прочие]])</f>
        <v>0</v>
      </c>
    </row>
    <row r="132" spans="16:18" x14ac:dyDescent="0.2">
      <c r="P132" s="32">
        <v>0</v>
      </c>
      <c r="R132" s="30">
        <f>SUM(Таблица15[[#This Row],[ПР-Сумма]],Таблица15[[#This Row],[Сумма]],Таблица15[[#This Row],[Прочие]])</f>
        <v>0</v>
      </c>
    </row>
    <row r="133" spans="16:18" x14ac:dyDescent="0.2">
      <c r="P133" s="32">
        <v>0</v>
      </c>
      <c r="R133" s="30">
        <f>SUM(Таблица15[[#This Row],[ПР-Сумма]],Таблица15[[#This Row],[Сумма]],Таблица15[[#This Row],[Прочие]])</f>
        <v>0</v>
      </c>
    </row>
    <row r="134" spans="16:18" x14ac:dyDescent="0.2">
      <c r="P134" s="32">
        <v>0</v>
      </c>
      <c r="R134" s="30">
        <f>SUM(Таблица15[[#This Row],[ПР-Сумма]],Таблица15[[#This Row],[Сумма]],Таблица15[[#This Row],[Прочие]])</f>
        <v>0</v>
      </c>
    </row>
    <row r="135" spans="16:18" x14ac:dyDescent="0.2">
      <c r="P135" s="32">
        <v>0</v>
      </c>
      <c r="R135" s="30">
        <f>SUM(Таблица15[[#This Row],[ПР-Сумма]],Таблица15[[#This Row],[Сумма]],Таблица15[[#This Row],[Прочие]])</f>
        <v>0</v>
      </c>
    </row>
    <row r="136" spans="16:18" x14ac:dyDescent="0.2">
      <c r="P136" s="32">
        <v>0</v>
      </c>
      <c r="R136" s="30">
        <f>SUM(Таблица15[[#This Row],[ПР-Сумма]],Таблица15[[#This Row],[Сумма]],Таблица15[[#This Row],[Прочие]])</f>
        <v>0</v>
      </c>
    </row>
    <row r="137" spans="16:18" x14ac:dyDescent="0.2">
      <c r="P137" s="32">
        <v>0</v>
      </c>
      <c r="R137" s="30">
        <f>SUM(Таблица15[[#This Row],[ПР-Сумма]],Таблица15[[#This Row],[Сумма]],Таблица15[[#This Row],[Прочие]])</f>
        <v>0</v>
      </c>
    </row>
    <row r="138" spans="16:18" x14ac:dyDescent="0.2">
      <c r="P138" s="32">
        <v>0</v>
      </c>
      <c r="R138" s="30">
        <f>SUM(Таблица15[[#This Row],[ПР-Сумма]],Таблица15[[#This Row],[Сумма]],Таблица15[[#This Row],[Прочие]])</f>
        <v>0</v>
      </c>
    </row>
    <row r="139" spans="16:18" x14ac:dyDescent="0.2">
      <c r="P139" s="32">
        <v>0</v>
      </c>
      <c r="R139" s="30">
        <f>SUM(Таблица15[[#This Row],[ПР-Сумма]],Таблица15[[#This Row],[Сумма]],Таблица15[[#This Row],[Прочие]])</f>
        <v>0</v>
      </c>
    </row>
    <row r="140" spans="16:18" x14ac:dyDescent="0.2">
      <c r="P140" s="32">
        <v>0</v>
      </c>
      <c r="R140" s="30">
        <f>SUM(Таблица15[[#This Row],[ПР-Сумма]],Таблица15[[#This Row],[Сумма]],Таблица15[[#This Row],[Прочие]])</f>
        <v>0</v>
      </c>
    </row>
    <row r="141" spans="16:18" x14ac:dyDescent="0.2">
      <c r="P141" s="32">
        <v>0</v>
      </c>
      <c r="R141" s="30">
        <f>SUM(Таблица15[[#This Row],[ПР-Сумма]],Таблица15[[#This Row],[Сумма]],Таблица15[[#This Row],[Прочие]])</f>
        <v>0</v>
      </c>
    </row>
    <row r="142" spans="16:18" x14ac:dyDescent="0.2">
      <c r="P142" s="32">
        <v>0</v>
      </c>
      <c r="R142" s="30">
        <f>SUM(Таблица15[[#This Row],[ПР-Сумма]],Таблица15[[#This Row],[Сумма]],Таблица15[[#This Row],[Прочие]])</f>
        <v>0</v>
      </c>
    </row>
    <row r="143" spans="16:18" x14ac:dyDescent="0.2">
      <c r="P143" s="32">
        <v>0</v>
      </c>
      <c r="R143" s="30">
        <f>SUM(Таблица15[[#This Row],[ПР-Сумма]],Таблица15[[#This Row],[Сумма]],Таблица15[[#This Row],[Прочие]])</f>
        <v>0</v>
      </c>
    </row>
    <row r="144" spans="16:18" x14ac:dyDescent="0.2">
      <c r="P144" s="32">
        <v>0</v>
      </c>
      <c r="R144" s="30">
        <f>SUM(Таблица15[[#This Row],[ПР-Сумма]],Таблица15[[#This Row],[Сумма]],Таблица15[[#This Row],[Прочие]])</f>
        <v>0</v>
      </c>
    </row>
    <row r="145" spans="16:18" x14ac:dyDescent="0.2">
      <c r="P145" s="32">
        <v>0</v>
      </c>
      <c r="R145" s="30">
        <f>SUM(Таблица15[[#This Row],[ПР-Сумма]],Таблица15[[#This Row],[Сумма]],Таблица15[[#This Row],[Прочие]])</f>
        <v>0</v>
      </c>
    </row>
    <row r="146" spans="16:18" x14ac:dyDescent="0.2">
      <c r="P146" s="32">
        <v>0</v>
      </c>
      <c r="R146" s="30">
        <f>SUM(Таблица15[[#This Row],[ПР-Сумма]],Таблица15[[#This Row],[Сумма]],Таблица15[[#This Row],[Прочие]])</f>
        <v>0</v>
      </c>
    </row>
    <row r="147" spans="16:18" x14ac:dyDescent="0.2">
      <c r="P147" s="32">
        <v>0</v>
      </c>
      <c r="R147" s="30">
        <f>SUM(Таблица15[[#This Row],[ПР-Сумма]],Таблица15[[#This Row],[Сумма]],Таблица15[[#This Row],[Прочие]])</f>
        <v>0</v>
      </c>
    </row>
    <row r="148" spans="16:18" x14ac:dyDescent="0.2">
      <c r="P148" s="32">
        <v>0</v>
      </c>
      <c r="R148" s="30">
        <f>SUM(Таблица15[[#This Row],[ПР-Сумма]],Таблица15[[#This Row],[Сумма]],Таблица15[[#This Row],[Прочие]])</f>
        <v>0</v>
      </c>
    </row>
    <row r="149" spans="16:18" x14ac:dyDescent="0.2">
      <c r="P149" s="32">
        <v>0</v>
      </c>
      <c r="R149" s="30">
        <f>SUM(Таблица15[[#This Row],[ПР-Сумма]],Таблица15[[#This Row],[Сумма]],Таблица15[[#This Row],[Прочие]])</f>
        <v>0</v>
      </c>
    </row>
    <row r="150" spans="16:18" x14ac:dyDescent="0.2">
      <c r="P150" s="32">
        <v>0</v>
      </c>
      <c r="R150" s="30">
        <f>SUM(Таблица15[[#This Row],[ПР-Сумма]],Таблица15[[#This Row],[Сумма]],Таблица15[[#This Row],[Прочие]])</f>
        <v>0</v>
      </c>
    </row>
    <row r="151" spans="16:18" x14ac:dyDescent="0.2">
      <c r="P151" s="32">
        <v>0</v>
      </c>
      <c r="R151" s="30">
        <f>SUM(Таблица15[[#This Row],[ПР-Сумма]],Таблица15[[#This Row],[Сумма]],Таблица15[[#This Row],[Прочие]])</f>
        <v>0</v>
      </c>
    </row>
    <row r="152" spans="16:18" x14ac:dyDescent="0.2">
      <c r="P152" s="32">
        <v>0</v>
      </c>
      <c r="R152" s="30">
        <f>SUM(Таблица15[[#This Row],[ПР-Сумма]],Таблица15[[#This Row],[Сумма]],Таблица15[[#This Row],[Прочие]])</f>
        <v>0</v>
      </c>
    </row>
    <row r="153" spans="16:18" x14ac:dyDescent="0.2">
      <c r="P153" s="32">
        <v>0</v>
      </c>
      <c r="R153" s="30">
        <f>SUM(Таблица15[[#This Row],[ПР-Сумма]],Таблица15[[#This Row],[Сумма]],Таблица15[[#This Row],[Прочие]])</f>
        <v>0</v>
      </c>
    </row>
    <row r="154" spans="16:18" x14ac:dyDescent="0.2">
      <c r="P154" s="32">
        <v>0</v>
      </c>
      <c r="R154" s="30">
        <f>SUM(Таблица15[[#This Row],[ПР-Сумма]],Таблица15[[#This Row],[Сумма]],Таблица15[[#This Row],[Прочие]])</f>
        <v>0</v>
      </c>
    </row>
    <row r="155" spans="16:18" x14ac:dyDescent="0.2">
      <c r="P155" s="32">
        <v>0</v>
      </c>
      <c r="R155" s="30">
        <f>SUM(Таблица15[[#This Row],[ПР-Сумма]],Таблица15[[#This Row],[Сумма]],Таблица15[[#This Row],[Прочие]])</f>
        <v>0</v>
      </c>
    </row>
    <row r="156" spans="16:18" x14ac:dyDescent="0.2">
      <c r="P156" s="32">
        <v>0</v>
      </c>
      <c r="R156" s="30">
        <f>SUM(Таблица15[[#This Row],[ПР-Сумма]],Таблица15[[#This Row],[Сумма]],Таблица15[[#This Row],[Прочие]])</f>
        <v>0</v>
      </c>
    </row>
    <row r="157" spans="16:18" x14ac:dyDescent="0.2">
      <c r="P157" s="32">
        <v>0</v>
      </c>
      <c r="R157" s="30">
        <f>SUM(Таблица15[[#This Row],[ПР-Сумма]],Таблица15[[#This Row],[Сумма]],Таблица15[[#This Row],[Прочие]])</f>
        <v>0</v>
      </c>
    </row>
    <row r="158" spans="16:18" x14ac:dyDescent="0.2">
      <c r="P158" s="32">
        <v>0</v>
      </c>
      <c r="R158" s="30">
        <f>SUM(Таблица15[[#This Row],[ПР-Сумма]],Таблица15[[#This Row],[Сумма]],Таблица15[[#This Row],[Прочие]])</f>
        <v>0</v>
      </c>
    </row>
    <row r="159" spans="16:18" x14ac:dyDescent="0.2">
      <c r="P159" s="32">
        <v>0</v>
      </c>
      <c r="R159" s="30">
        <f>SUM(Таблица15[[#This Row],[ПР-Сумма]],Таблица15[[#This Row],[Сумма]],Таблица15[[#This Row],[Прочие]])</f>
        <v>0</v>
      </c>
    </row>
    <row r="160" spans="16:18" x14ac:dyDescent="0.2">
      <c r="P160" s="32">
        <v>0</v>
      </c>
      <c r="R160" s="30">
        <f>SUM(Таблица15[[#This Row],[ПР-Сумма]],Таблица15[[#This Row],[Сумма]],Таблица15[[#This Row],[Прочие]])</f>
        <v>0</v>
      </c>
    </row>
    <row r="161" spans="16:18" x14ac:dyDescent="0.2">
      <c r="P161" s="32">
        <v>0</v>
      </c>
      <c r="R161" s="30">
        <f>SUM(Таблица15[[#This Row],[ПР-Сумма]],Таблица15[[#This Row],[Сумма]],Таблица15[[#This Row],[Прочие]])</f>
        <v>0</v>
      </c>
    </row>
    <row r="162" spans="16:18" x14ac:dyDescent="0.2">
      <c r="P162" s="32">
        <v>0</v>
      </c>
      <c r="R162" s="30">
        <f>SUM(Таблица15[[#This Row],[ПР-Сумма]],Таблица15[[#This Row],[Сумма]],Таблица15[[#This Row],[Прочие]])</f>
        <v>0</v>
      </c>
    </row>
    <row r="163" spans="16:18" x14ac:dyDescent="0.2">
      <c r="P163" s="32">
        <v>0</v>
      </c>
      <c r="R163" s="30">
        <f>SUM(Таблица15[[#This Row],[ПР-Сумма]],Таблица15[[#This Row],[Сумма]],Таблица15[[#This Row],[Прочие]])</f>
        <v>0</v>
      </c>
    </row>
    <row r="164" spans="16:18" x14ac:dyDescent="0.2">
      <c r="P164" s="32">
        <v>0</v>
      </c>
      <c r="R164" s="30">
        <f>SUM(Таблица15[[#This Row],[ПР-Сумма]],Таблица15[[#This Row],[Сумма]],Таблица15[[#This Row],[Прочие]])</f>
        <v>0</v>
      </c>
    </row>
    <row r="165" spans="16:18" x14ac:dyDescent="0.2">
      <c r="P165" s="32">
        <v>0</v>
      </c>
      <c r="R165" s="30">
        <f>SUM(Таблица15[[#This Row],[ПР-Сумма]],Таблица15[[#This Row],[Сумма]],Таблица15[[#This Row],[Прочие]])</f>
        <v>0</v>
      </c>
    </row>
    <row r="166" spans="16:18" x14ac:dyDescent="0.2">
      <c r="P166" s="32">
        <v>0</v>
      </c>
      <c r="R166" s="30">
        <f>SUM(Таблица15[[#This Row],[ПР-Сумма]],Таблица15[[#This Row],[Сумма]],Таблица15[[#This Row],[Прочие]])</f>
        <v>0</v>
      </c>
    </row>
    <row r="167" spans="16:18" x14ac:dyDescent="0.2">
      <c r="P167" s="32">
        <v>0</v>
      </c>
      <c r="R167" s="30">
        <f>SUM(Таблица15[[#This Row],[ПР-Сумма]],Таблица15[[#This Row],[Сумма]],Таблица15[[#This Row],[Прочие]])</f>
        <v>0</v>
      </c>
    </row>
    <row r="168" spans="16:18" x14ac:dyDescent="0.2">
      <c r="P168" s="32">
        <v>0</v>
      </c>
      <c r="R168" s="30">
        <f>SUM(Таблица15[[#This Row],[ПР-Сумма]],Таблица15[[#This Row],[Сумма]],Таблица15[[#This Row],[Прочие]])</f>
        <v>0</v>
      </c>
    </row>
    <row r="169" spans="16:18" x14ac:dyDescent="0.2">
      <c r="P169" s="32">
        <v>0</v>
      </c>
      <c r="R169" s="30">
        <f>SUM(Таблица15[[#This Row],[ПР-Сумма]],Таблица15[[#This Row],[Сумма]],Таблица15[[#This Row],[Прочие]])</f>
        <v>0</v>
      </c>
    </row>
    <row r="170" spans="16:18" x14ac:dyDescent="0.2">
      <c r="P170" s="32">
        <v>0</v>
      </c>
      <c r="R170" s="30">
        <f>SUM(Таблица15[[#This Row],[ПР-Сумма]],Таблица15[[#This Row],[Сумма]],Таблица15[[#This Row],[Прочие]])</f>
        <v>0</v>
      </c>
    </row>
    <row r="171" spans="16:18" x14ac:dyDescent="0.2">
      <c r="P171" s="32">
        <v>0</v>
      </c>
      <c r="R171" s="30">
        <f>SUM(Таблица15[[#This Row],[ПР-Сумма]],Таблица15[[#This Row],[Сумма]],Таблица15[[#This Row],[Прочие]])</f>
        <v>0</v>
      </c>
    </row>
    <row r="172" spans="16:18" x14ac:dyDescent="0.2">
      <c r="P172" s="32">
        <v>0</v>
      </c>
      <c r="R172" s="30">
        <f>SUM(Таблица15[[#This Row],[ПР-Сумма]],Таблица15[[#This Row],[Сумма]],Таблица15[[#This Row],[Прочие]])</f>
        <v>0</v>
      </c>
    </row>
    <row r="173" spans="16:18" x14ac:dyDescent="0.2">
      <c r="P173" s="32">
        <v>0</v>
      </c>
      <c r="R173" s="30">
        <f>SUM(Таблица15[[#This Row],[ПР-Сумма]],Таблица15[[#This Row],[Сумма]],Таблица15[[#This Row],[Прочие]])</f>
        <v>0</v>
      </c>
    </row>
    <row r="174" spans="16:18" x14ac:dyDescent="0.2">
      <c r="P174" s="32">
        <v>0</v>
      </c>
      <c r="R174" s="30">
        <f>SUM(Таблица15[[#This Row],[ПР-Сумма]],Таблица15[[#This Row],[Сумма]],Таблица15[[#This Row],[Прочие]])</f>
        <v>0</v>
      </c>
    </row>
    <row r="175" spans="16:18" x14ac:dyDescent="0.2">
      <c r="P175" s="32">
        <v>0</v>
      </c>
      <c r="R175" s="30">
        <f>SUM(Таблица15[[#This Row],[ПР-Сумма]],Таблица15[[#This Row],[Сумма]],Таблица15[[#This Row],[Прочие]])</f>
        <v>0</v>
      </c>
    </row>
    <row r="176" spans="16:18" x14ac:dyDescent="0.2">
      <c r="P176" s="32">
        <v>0</v>
      </c>
      <c r="R176" s="30">
        <f>SUM(Таблица15[[#This Row],[ПР-Сумма]],Таблица15[[#This Row],[Сумма]],Таблица15[[#This Row],[Прочие]])</f>
        <v>0</v>
      </c>
    </row>
    <row r="177" spans="1:20" x14ac:dyDescent="0.2">
      <c r="P177" s="32">
        <v>0</v>
      </c>
      <c r="R177" s="30">
        <f>SUM(Таблица15[[#This Row],[ПР-Сумма]],Таблица15[[#This Row],[Сумма]],Таблица15[[#This Row],[Прочие]])</f>
        <v>0</v>
      </c>
    </row>
    <row r="178" spans="1:20" x14ac:dyDescent="0.2">
      <c r="P178" s="32">
        <v>0</v>
      </c>
      <c r="R178" s="30">
        <f>SUM(Таблица15[[#This Row],[ПР-Сумма]],Таблица15[[#This Row],[Сумма]],Таблица15[[#This Row],[Прочие]])</f>
        <v>0</v>
      </c>
    </row>
    <row r="179" spans="1:20" x14ac:dyDescent="0.2">
      <c r="P179" s="32">
        <v>0</v>
      </c>
      <c r="R179" s="30">
        <f>SUM(Таблица15[[#This Row],[ПР-Сумма]],Таблица15[[#This Row],[Сумма]],Таблица15[[#This Row],[Прочие]])</f>
        <v>0</v>
      </c>
    </row>
    <row r="180" spans="1:20" x14ac:dyDescent="0.2">
      <c r="P180" s="32">
        <v>0</v>
      </c>
      <c r="R180" s="30">
        <f>SUM(Таблица15[[#This Row],[ПР-Сумма]],Таблица15[[#This Row],[Сумма]],Таблица15[[#This Row],[Прочие]])</f>
        <v>0</v>
      </c>
    </row>
    <row r="181" spans="1:20" x14ac:dyDescent="0.2">
      <c r="P181" s="32">
        <v>0</v>
      </c>
      <c r="R181" s="30">
        <f>SUM(Таблица15[[#This Row],[ПР-Сумма]],Таблица15[[#This Row],[Сумма]],Таблица15[[#This Row],[Прочие]])</f>
        <v>0</v>
      </c>
    </row>
    <row r="182" spans="1:20" x14ac:dyDescent="0.2">
      <c r="P182" s="32">
        <v>0</v>
      </c>
      <c r="R182" s="30">
        <f>SUM(Таблица15[[#This Row],[ПР-Сумма]],Таблица15[[#This Row],[Сумма]],Таблица15[[#This Row],[Прочие]])</f>
        <v>0</v>
      </c>
    </row>
    <row r="183" spans="1:20" x14ac:dyDescent="0.2">
      <c r="P183" s="32">
        <v>0</v>
      </c>
      <c r="R183" s="30">
        <f>SUM(Таблица15[[#This Row],[ПР-Сумма]],Таблица15[[#This Row],[Сумма]],Таблица15[[#This Row],[Прочие]])</f>
        <v>0</v>
      </c>
    </row>
    <row r="184" spans="1:20" x14ac:dyDescent="0.2">
      <c r="P184" s="32">
        <v>0</v>
      </c>
      <c r="R184" s="30">
        <f>SUM(Таблица15[[#This Row],[ПР-Сумма]],Таблица15[[#This Row],[Сумма]],Таблица15[[#This Row],[Прочие]])</f>
        <v>0</v>
      </c>
    </row>
    <row r="185" spans="1:20" x14ac:dyDescent="0.2">
      <c r="P185" s="32">
        <v>0</v>
      </c>
      <c r="R185" s="30">
        <f>SUM(Таблица15[[#This Row],[ПР-Сумма]],Таблица15[[#This Row],[Сумма]],Таблица15[[#This Row],[Прочие]])</f>
        <v>0</v>
      </c>
    </row>
    <row r="186" spans="1:20" x14ac:dyDescent="0.2">
      <c r="P186" s="32">
        <v>0</v>
      </c>
      <c r="R186" s="30">
        <f>SUM(Таблица15[[#This Row],[ПР-Сумма]],Таблица15[[#This Row],[Сумма]],Таблица15[[#This Row],[Прочие]])</f>
        <v>0</v>
      </c>
    </row>
    <row r="187" spans="1:20" x14ac:dyDescent="0.2">
      <c r="P187" s="32">
        <v>0</v>
      </c>
      <c r="R187" s="30">
        <f>SUM(Таблица15[[#This Row],[ПР-Сумма]],Таблица15[[#This Row],[Сумма]],Таблица15[[#This Row],[Прочие]])</f>
        <v>0</v>
      </c>
    </row>
    <row r="188" spans="1:20" x14ac:dyDescent="0.2">
      <c r="P188" s="32">
        <v>0</v>
      </c>
      <c r="R188" s="30">
        <f>SUM(Таблица15[[#This Row],[ПР-Сумма]],Таблица15[[#This Row],[Сумма]],Таблица15[[#This Row],[Прочие]])</f>
        <v>0</v>
      </c>
    </row>
    <row r="189" spans="1:20" x14ac:dyDescent="0.2">
      <c r="P189" s="32">
        <v>0</v>
      </c>
      <c r="R189" s="30">
        <f>SUM(Таблица15[[#This Row],[ПР-Сумма]],Таблица15[[#This Row],[Сумма]],Таблица15[[#This Row],[Прочие]])</f>
        <v>0</v>
      </c>
    </row>
    <row r="190" spans="1:20" x14ac:dyDescent="0.2">
      <c r="P190" s="32">
        <v>0</v>
      </c>
      <c r="R190" s="30">
        <f>SUM(Таблица15[[#This Row],[ПР-Сумма]],Таблица15[[#This Row],[Сумма]],Таблица15[[#This Row],[Прочие]])</f>
        <v>0</v>
      </c>
    </row>
    <row r="191" spans="1:20" x14ac:dyDescent="0.2">
      <c r="P191" s="32">
        <v>0</v>
      </c>
      <c r="R191" s="30">
        <f>SUM(Таблица15[[#This Row],[ПР-Сумма]],Таблица15[[#This Row],[Сумма]],Таблица15[[#This Row],[Прочие]])</f>
        <v>0</v>
      </c>
    </row>
    <row r="192" spans="1:20" x14ac:dyDescent="0.2">
      <c r="A192" s="33"/>
      <c r="B192" s="34"/>
      <c r="C192" s="34"/>
      <c r="D192" s="35"/>
      <c r="E192" s="34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>
        <v>0</v>
      </c>
      <c r="Q192" s="35"/>
      <c r="R192" s="30">
        <f>SUM(Таблица15[[#This Row],[ПР-Сумма]],Таблица15[[#This Row],[Сумма]],Таблица15[[#This Row],[Прочие]])</f>
        <v>0</v>
      </c>
      <c r="S192" s="34"/>
      <c r="T192" s="34"/>
    </row>
    <row r="193" spans="1:20" x14ac:dyDescent="0.2">
      <c r="A193" s="33"/>
      <c r="B193" s="34"/>
      <c r="C193" s="34"/>
      <c r="D193" s="35"/>
      <c r="E193" s="34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>
        <v>0</v>
      </c>
      <c r="Q193" s="35"/>
      <c r="R193" s="30">
        <f>SUM(Таблица15[[#This Row],[ПР-Сумма]],Таблица15[[#This Row],[Сумма]],Таблица15[[#This Row],[Прочие]])</f>
        <v>0</v>
      </c>
      <c r="S193" s="34"/>
      <c r="T193" s="34"/>
    </row>
    <row r="194" spans="1:20" x14ac:dyDescent="0.2">
      <c r="A194" s="33"/>
      <c r="B194" s="34"/>
      <c r="C194" s="34"/>
      <c r="D194" s="35"/>
      <c r="E194" s="34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>
        <v>0</v>
      </c>
      <c r="Q194" s="35"/>
      <c r="R194" s="30">
        <f>SUM(Таблица15[[#This Row],[ПР-Сумма]],Таблица15[[#This Row],[Сумма]],Таблица15[[#This Row],[Прочие]])</f>
        <v>0</v>
      </c>
      <c r="S194" s="34"/>
      <c r="T194" s="34"/>
    </row>
    <row r="195" spans="1:20" x14ac:dyDescent="0.2">
      <c r="P195" s="32">
        <v>0</v>
      </c>
      <c r="R195" s="30">
        <f>SUM(Таблица15[[#This Row],[ПР-Сумма]],Таблица15[[#This Row],[Сумма]],Таблица15[[#This Row],[Прочие]])</f>
        <v>0</v>
      </c>
    </row>
    <row r="196" spans="1:20" x14ac:dyDescent="0.2">
      <c r="P196" s="32">
        <v>0</v>
      </c>
      <c r="R196" s="30">
        <f>SUM(Таблица15[[#This Row],[ПР-Сумма]],Таблица15[[#This Row],[Сумма]],Таблица15[[#This Row],[Прочие]])</f>
        <v>0</v>
      </c>
    </row>
    <row r="197" spans="1:20" x14ac:dyDescent="0.2">
      <c r="P197" s="32">
        <v>0</v>
      </c>
      <c r="R197" s="30">
        <f>SUM(Таблица15[[#This Row],[ПР-Сумма]],Таблица15[[#This Row],[Сумма]],Таблица15[[#This Row],[Прочие]])</f>
        <v>0</v>
      </c>
    </row>
    <row r="198" spans="1:20" x14ac:dyDescent="0.2">
      <c r="P198" s="32">
        <v>0</v>
      </c>
      <c r="R198" s="30">
        <f>SUM(Таблица15[[#This Row],[ПР-Сумма]],Таблица15[[#This Row],[Сумма]],Таблица15[[#This Row],[Прочие]])</f>
        <v>0</v>
      </c>
    </row>
    <row r="199" spans="1:20" x14ac:dyDescent="0.2">
      <c r="P199" s="32">
        <v>0</v>
      </c>
      <c r="R199" s="30">
        <f>SUM(Таблица15[[#This Row],[ПР-Сумма]],Таблица15[[#This Row],[Сумма]],Таблица15[[#This Row],[Прочие]])</f>
        <v>0</v>
      </c>
    </row>
    <row r="200" spans="1:20" x14ac:dyDescent="0.2">
      <c r="P200" s="32">
        <v>0</v>
      </c>
      <c r="R200" s="30">
        <f>SUM(Таблица15[[#This Row],[ПР-Сумма]],Таблица15[[#This Row],[Сумма]],Таблица15[[#This Row],[Прочие]])</f>
        <v>0</v>
      </c>
    </row>
    <row r="201" spans="1:20" x14ac:dyDescent="0.2">
      <c r="P201" s="32">
        <v>0</v>
      </c>
      <c r="R201" s="30">
        <f>SUM(Таблица15[[#This Row],[ПР-Сумма]],Таблица15[[#This Row],[Сумма]],Таблица15[[#This Row],[Прочие]])</f>
        <v>0</v>
      </c>
    </row>
    <row r="202" spans="1:20" x14ac:dyDescent="0.2">
      <c r="P202" s="32">
        <v>0</v>
      </c>
      <c r="R202" s="30">
        <f>SUM(Таблица15[[#This Row],[ПР-Сумма]],Таблица15[[#This Row],[Сумма]],Таблица15[[#This Row],[Прочие]])</f>
        <v>0</v>
      </c>
    </row>
    <row r="203" spans="1:20" x14ac:dyDescent="0.2">
      <c r="P203" s="32">
        <v>0</v>
      </c>
      <c r="R203" s="30">
        <f>SUM(Таблица15[[#This Row],[ПР-Сумма]],Таблица15[[#This Row],[Сумма]],Таблица15[[#This Row],[Прочие]])</f>
        <v>0</v>
      </c>
    </row>
    <row r="204" spans="1:20" x14ac:dyDescent="0.2">
      <c r="P204" s="32">
        <v>0</v>
      </c>
      <c r="R204" s="30">
        <f>SUM(Таблица15[[#This Row],[ПР-Сумма]],Таблица15[[#This Row],[Сумма]],Таблица15[[#This Row],[Прочие]])</f>
        <v>0</v>
      </c>
    </row>
    <row r="205" spans="1:20" x14ac:dyDescent="0.2">
      <c r="P205" s="32">
        <v>0</v>
      </c>
      <c r="R205" s="30">
        <f>SUM(Таблица15[[#This Row],[ПР-Сумма]],Таблица15[[#This Row],[Сумма]],Таблица15[[#This Row],[Прочие]])</f>
        <v>0</v>
      </c>
    </row>
    <row r="206" spans="1:20" x14ac:dyDescent="0.2">
      <c r="P206" s="32">
        <v>0</v>
      </c>
      <c r="R206" s="30">
        <f>SUM(Таблица15[[#This Row],[ПР-Сумма]],Таблица15[[#This Row],[Сумма]],Таблица15[[#This Row],[Прочие]])</f>
        <v>0</v>
      </c>
    </row>
    <row r="207" spans="1:20" x14ac:dyDescent="0.2">
      <c r="P207" s="32">
        <v>0</v>
      </c>
      <c r="R207" s="30">
        <f>SUM(Таблица15[[#This Row],[ПР-Сумма]],Таблица15[[#This Row],[Сумма]],Таблица15[[#This Row],[Прочие]])</f>
        <v>0</v>
      </c>
    </row>
    <row r="208" spans="1:20" x14ac:dyDescent="0.2">
      <c r="P208" s="32">
        <v>0</v>
      </c>
      <c r="R208" s="30">
        <f>SUM(Таблица15[[#This Row],[ПР-Сумма]],Таблица15[[#This Row],[Сумма]],Таблица15[[#This Row],[Прочие]])</f>
        <v>0</v>
      </c>
    </row>
    <row r="209" spans="16:18" x14ac:dyDescent="0.2">
      <c r="P209" s="32">
        <v>0</v>
      </c>
      <c r="R209" s="30">
        <f>SUM(Таблица15[[#This Row],[ПР-Сумма]],Таблица15[[#This Row],[Сумма]],Таблица15[[#This Row],[Прочие]])</f>
        <v>0</v>
      </c>
    </row>
    <row r="210" spans="16:18" x14ac:dyDescent="0.2">
      <c r="P210" s="32">
        <v>0</v>
      </c>
      <c r="R210" s="30">
        <f>SUM(Таблица15[[#This Row],[ПР-Сумма]],Таблица15[[#This Row],[Сумма]],Таблица15[[#This Row],[Прочие]])</f>
        <v>0</v>
      </c>
    </row>
    <row r="211" spans="16:18" x14ac:dyDescent="0.2">
      <c r="P211" s="32">
        <v>0</v>
      </c>
      <c r="R211" s="30">
        <f>SUM(Таблица15[[#This Row],[ПР-Сумма]],Таблица15[[#This Row],[Сумма]],Таблица15[[#This Row],[Прочие]])</f>
        <v>0</v>
      </c>
    </row>
    <row r="212" spans="16:18" x14ac:dyDescent="0.2">
      <c r="P212" s="32">
        <v>0</v>
      </c>
      <c r="R212" s="30">
        <f>SUM(Таблица15[[#This Row],[ПР-Сумма]],Таблица15[[#This Row],[Сумма]],Таблица15[[#This Row],[Прочие]])</f>
        <v>0</v>
      </c>
    </row>
    <row r="213" spans="16:18" x14ac:dyDescent="0.2">
      <c r="P213" s="32">
        <v>0</v>
      </c>
      <c r="R213" s="30">
        <f>SUM(Таблица15[[#This Row],[ПР-Сумма]],Таблица15[[#This Row],[Сумма]],Таблица15[[#This Row],[Прочие]])</f>
        <v>0</v>
      </c>
    </row>
    <row r="214" spans="16:18" x14ac:dyDescent="0.2">
      <c r="P214" s="32">
        <v>0</v>
      </c>
      <c r="R214" s="30">
        <f>SUM(Таблица15[[#This Row],[ПР-Сумма]],Таблица15[[#This Row],[Сумма]],Таблица15[[#This Row],[Прочие]])</f>
        <v>0</v>
      </c>
    </row>
    <row r="215" spans="16:18" x14ac:dyDescent="0.2">
      <c r="P215" s="32">
        <v>0</v>
      </c>
      <c r="R215" s="30">
        <f>SUM(Таблица15[[#This Row],[ПР-Сумма]],Таблица15[[#This Row],[Сумма]],Таблица15[[#This Row],[Прочие]])</f>
        <v>0</v>
      </c>
    </row>
    <row r="216" spans="16:18" x14ac:dyDescent="0.2">
      <c r="P216" s="32">
        <v>0</v>
      </c>
      <c r="R216" s="30">
        <f>SUM(Таблица15[[#This Row],[ПР-Сумма]],Таблица15[[#This Row],[Сумма]],Таблица15[[#This Row],[Прочие]])</f>
        <v>0</v>
      </c>
    </row>
    <row r="217" spans="16:18" x14ac:dyDescent="0.2">
      <c r="P217" s="32">
        <v>0</v>
      </c>
      <c r="R217" s="30">
        <f>SUM(Таблица15[[#This Row],[ПР-Сумма]],Таблица15[[#This Row],[Сумма]],Таблица15[[#This Row],[Прочие]])</f>
        <v>0</v>
      </c>
    </row>
    <row r="218" spans="16:18" x14ac:dyDescent="0.2">
      <c r="P218" s="32">
        <v>0</v>
      </c>
      <c r="R218" s="30">
        <f>SUM(Таблица15[[#This Row],[ПР-Сумма]],Таблица15[[#This Row],[Сумма]],Таблица15[[#This Row],[Прочие]])</f>
        <v>0</v>
      </c>
    </row>
    <row r="219" spans="16:18" x14ac:dyDescent="0.2">
      <c r="P219" s="32">
        <v>0</v>
      </c>
      <c r="R219" s="30">
        <f>SUM(Таблица15[[#This Row],[ПР-Сумма]],Таблица15[[#This Row],[Сумма]],Таблица15[[#This Row],[Прочие]])</f>
        <v>0</v>
      </c>
    </row>
    <row r="220" spans="16:18" x14ac:dyDescent="0.2">
      <c r="P220" s="32">
        <v>0</v>
      </c>
      <c r="R220" s="30">
        <f>SUM(Таблица15[[#This Row],[ПР-Сумма]],Таблица15[[#This Row],[Сумма]],Таблица15[[#This Row],[Прочие]])</f>
        <v>0</v>
      </c>
    </row>
    <row r="221" spans="16:18" x14ac:dyDescent="0.2">
      <c r="P221" s="32">
        <v>0</v>
      </c>
      <c r="R221" s="30">
        <f>SUM(Таблица15[[#This Row],[ПР-Сумма]],Таблица15[[#This Row],[Сумма]],Таблица15[[#This Row],[Прочие]])</f>
        <v>0</v>
      </c>
    </row>
    <row r="222" spans="16:18" x14ac:dyDescent="0.2">
      <c r="P222" s="32">
        <v>0</v>
      </c>
      <c r="R222" s="30">
        <f>SUM(Таблица15[[#This Row],[ПР-Сумма]],Таблица15[[#This Row],[Сумма]],Таблица15[[#This Row],[Прочие]])</f>
        <v>0</v>
      </c>
    </row>
    <row r="223" spans="16:18" x14ac:dyDescent="0.2">
      <c r="P223" s="32">
        <v>0</v>
      </c>
      <c r="R223" s="30">
        <f>SUM(Таблица15[[#This Row],[ПР-Сумма]],Таблица15[[#This Row],[Сумма]],Таблица15[[#This Row],[Прочие]])</f>
        <v>0</v>
      </c>
    </row>
    <row r="224" spans="16:18" x14ac:dyDescent="0.2">
      <c r="P224" s="32">
        <v>0</v>
      </c>
      <c r="R224" s="30">
        <f>SUM(Таблица15[[#This Row],[ПР-Сумма]],Таблица15[[#This Row],[Сумма]],Таблица15[[#This Row],[Прочие]])</f>
        <v>0</v>
      </c>
    </row>
    <row r="225" spans="16:18" x14ac:dyDescent="0.2">
      <c r="P225" s="32">
        <v>0</v>
      </c>
      <c r="R225" s="30">
        <f>SUM(Таблица15[[#This Row],[ПР-Сумма]],Таблица15[[#This Row],[Сумма]],Таблица15[[#This Row],[Прочие]])</f>
        <v>0</v>
      </c>
    </row>
    <row r="226" spans="16:18" x14ac:dyDescent="0.2">
      <c r="P226" s="32">
        <v>0</v>
      </c>
      <c r="R226" s="30">
        <f>SUM(Таблица15[[#This Row],[ПР-Сумма]],Таблица15[[#This Row],[Сумма]],Таблица15[[#This Row],[Прочие]])</f>
        <v>0</v>
      </c>
    </row>
    <row r="227" spans="16:18" x14ac:dyDescent="0.2">
      <c r="P227" s="32">
        <v>0</v>
      </c>
      <c r="R227" s="30">
        <f>SUM(Таблица15[[#This Row],[ПР-Сумма]],Таблица15[[#This Row],[Сумма]],Таблица15[[#This Row],[Прочие]])</f>
        <v>0</v>
      </c>
    </row>
    <row r="228" spans="16:18" x14ac:dyDescent="0.2">
      <c r="P228" s="32">
        <v>0</v>
      </c>
      <c r="R228" s="30">
        <f>SUM(Таблица15[[#This Row],[ПР-Сумма]],Таблица15[[#This Row],[Сумма]],Таблица15[[#This Row],[Прочие]])</f>
        <v>0</v>
      </c>
    </row>
    <row r="229" spans="16:18" x14ac:dyDescent="0.2">
      <c r="P229" s="32">
        <v>0</v>
      </c>
      <c r="R229" s="30">
        <f>SUM(Таблица15[[#This Row],[ПР-Сумма]],Таблица15[[#This Row],[Сумма]],Таблица15[[#This Row],[Прочие]])</f>
        <v>0</v>
      </c>
    </row>
    <row r="230" spans="16:18" x14ac:dyDescent="0.2">
      <c r="P230" s="32">
        <v>0</v>
      </c>
      <c r="R230" s="30">
        <f>SUM(Таблица15[[#This Row],[ПР-Сумма]],Таблица15[[#This Row],[Сумма]],Таблица15[[#This Row],[Прочие]])</f>
        <v>0</v>
      </c>
    </row>
    <row r="231" spans="16:18" x14ac:dyDescent="0.2">
      <c r="P231" s="32">
        <v>0</v>
      </c>
      <c r="R231" s="30">
        <f>SUM(Таблица15[[#This Row],[ПР-Сумма]],Таблица15[[#This Row],[Сумма]],Таблица15[[#This Row],[Прочие]])</f>
        <v>0</v>
      </c>
    </row>
    <row r="232" spans="16:18" x14ac:dyDescent="0.2">
      <c r="P232" s="32">
        <v>0</v>
      </c>
      <c r="R232" s="30">
        <f>SUM(Таблица15[[#This Row],[ПР-Сумма]],Таблица15[[#This Row],[Сумма]],Таблица15[[#This Row],[Прочие]])</f>
        <v>0</v>
      </c>
    </row>
    <row r="233" spans="16:18" x14ac:dyDescent="0.2">
      <c r="P233" s="32">
        <v>0</v>
      </c>
      <c r="R233" s="30">
        <f>SUM(Таблица15[[#This Row],[ПР-Сумма]],Таблица15[[#This Row],[Сумма]],Таблица15[[#This Row],[Прочие]])</f>
        <v>0</v>
      </c>
    </row>
    <row r="234" spans="16:18" x14ac:dyDescent="0.2">
      <c r="P234" s="32">
        <v>0</v>
      </c>
      <c r="R234" s="30">
        <f>SUM(Таблица15[[#This Row],[ПР-Сумма]],Таблица15[[#This Row],[Сумма]],Таблица15[[#This Row],[Прочие]])</f>
        <v>0</v>
      </c>
    </row>
    <row r="235" spans="16:18" x14ac:dyDescent="0.2">
      <c r="P235" s="32">
        <v>0</v>
      </c>
      <c r="R235" s="30">
        <f>SUM(Таблица15[[#This Row],[ПР-Сумма]],Таблица15[[#This Row],[Сумма]],Таблица15[[#This Row],[Прочие]])</f>
        <v>0</v>
      </c>
    </row>
    <row r="236" spans="16:18" x14ac:dyDescent="0.2">
      <c r="P236" s="32">
        <v>0</v>
      </c>
      <c r="R236" s="30">
        <f>SUM(Таблица15[[#This Row],[ПР-Сумма]],Таблица15[[#This Row],[Сумма]],Таблица15[[#This Row],[Прочие]])</f>
        <v>0</v>
      </c>
    </row>
    <row r="237" spans="16:18" x14ac:dyDescent="0.2">
      <c r="P237" s="32">
        <v>0</v>
      </c>
      <c r="R237" s="30">
        <f>SUM(Таблица15[[#This Row],[ПР-Сумма]],Таблица15[[#This Row],[Сумма]],Таблица15[[#This Row],[Прочие]])</f>
        <v>0</v>
      </c>
    </row>
    <row r="238" spans="16:18" x14ac:dyDescent="0.2">
      <c r="P238" s="32">
        <v>0</v>
      </c>
      <c r="R238" s="30">
        <f>SUM(Таблица15[[#This Row],[ПР-Сумма]],Таблица15[[#This Row],[Сумма]],Таблица15[[#This Row],[Прочие]])</f>
        <v>0</v>
      </c>
    </row>
    <row r="239" spans="16:18" x14ac:dyDescent="0.2">
      <c r="P239" s="32">
        <v>0</v>
      </c>
      <c r="R239" s="30">
        <f>SUM(Таблица15[[#This Row],[ПР-Сумма]],Таблица15[[#This Row],[Сумма]],Таблица15[[#This Row],[Прочие]])</f>
        <v>0</v>
      </c>
    </row>
    <row r="240" spans="16:18" x14ac:dyDescent="0.2">
      <c r="P240" s="32">
        <v>0</v>
      </c>
      <c r="R240" s="30">
        <f>SUM(Таблица15[[#This Row],[ПР-Сумма]],Таблица15[[#This Row],[Сумма]],Таблица15[[#This Row],[Прочие]])</f>
        <v>0</v>
      </c>
    </row>
    <row r="241" spans="16:18" x14ac:dyDescent="0.2">
      <c r="P241" s="32">
        <v>0</v>
      </c>
      <c r="R241" s="30">
        <f>SUM(Таблица15[[#This Row],[ПР-Сумма]],Таблица15[[#This Row],[Сумма]],Таблица15[[#This Row],[Прочие]])</f>
        <v>0</v>
      </c>
    </row>
    <row r="242" spans="16:18" x14ac:dyDescent="0.2">
      <c r="P242" s="32">
        <v>0</v>
      </c>
      <c r="R242" s="30">
        <f>SUM(Таблица15[[#This Row],[ПР-Сумма]],Таблица15[[#This Row],[Сумма]],Таблица15[[#This Row],[Прочие]])</f>
        <v>0</v>
      </c>
    </row>
    <row r="243" spans="16:18" x14ac:dyDescent="0.2">
      <c r="P243" s="32">
        <v>0</v>
      </c>
      <c r="R243" s="30">
        <f>SUM(Таблица15[[#This Row],[ПР-Сумма]],Таблица15[[#This Row],[Сумма]],Таблица15[[#This Row],[Прочие]])</f>
        <v>0</v>
      </c>
    </row>
    <row r="244" spans="16:18" x14ac:dyDescent="0.2">
      <c r="P244" s="32">
        <v>0</v>
      </c>
      <c r="R244" s="30">
        <f>SUM(Таблица15[[#This Row],[ПР-Сумма]],Таблица15[[#This Row],[Сумма]],Таблица15[[#This Row],[Прочие]])</f>
        <v>0</v>
      </c>
    </row>
    <row r="245" spans="16:18" x14ac:dyDescent="0.2">
      <c r="P245" s="32">
        <v>0</v>
      </c>
      <c r="R245" s="30">
        <f>SUM(Таблица15[[#This Row],[ПР-Сумма]],Таблица15[[#This Row],[Сумма]],Таблица15[[#This Row],[Прочие]])</f>
        <v>0</v>
      </c>
    </row>
    <row r="246" spans="16:18" x14ac:dyDescent="0.2">
      <c r="P246" s="32">
        <v>0</v>
      </c>
      <c r="R246" s="30">
        <f>SUM(Таблица15[[#This Row],[ПР-Сумма]],Таблица15[[#This Row],[Сумма]],Таблица15[[#This Row],[Прочие]])</f>
        <v>0</v>
      </c>
    </row>
    <row r="247" spans="16:18" x14ac:dyDescent="0.2">
      <c r="P247" s="32">
        <v>0</v>
      </c>
      <c r="R247" s="30">
        <f>SUM(Таблица15[[#This Row],[ПР-Сумма]],Таблица15[[#This Row],[Сумма]],Таблица15[[#This Row],[Прочие]])</f>
        <v>0</v>
      </c>
    </row>
    <row r="248" spans="16:18" x14ac:dyDescent="0.2">
      <c r="P248" s="32">
        <v>0</v>
      </c>
      <c r="R248" s="30">
        <f>SUM(Таблица15[[#This Row],[ПР-Сумма]],Таблица15[[#This Row],[Сумма]],Таблица15[[#This Row],[Прочие]])</f>
        <v>0</v>
      </c>
    </row>
    <row r="249" spans="16:18" x14ac:dyDescent="0.2">
      <c r="P249" s="32">
        <v>0</v>
      </c>
      <c r="R249" s="30">
        <f>SUM(Таблица15[[#This Row],[ПР-Сумма]],Таблица15[[#This Row],[Сумма]],Таблица15[[#This Row],[Прочие]])</f>
        <v>0</v>
      </c>
    </row>
    <row r="250" spans="16:18" x14ac:dyDescent="0.2">
      <c r="P250" s="32">
        <v>0</v>
      </c>
      <c r="R250" s="30">
        <f>SUM(Таблица15[[#This Row],[ПР-Сумма]],Таблица15[[#This Row],[Сумма]],Таблица15[[#This Row],[Прочие]])</f>
        <v>0</v>
      </c>
    </row>
    <row r="251" spans="16:18" x14ac:dyDescent="0.2">
      <c r="P251" s="32">
        <v>0</v>
      </c>
      <c r="R251" s="30">
        <f>SUM(Таблица15[[#This Row],[ПР-Сумма]],Таблица15[[#This Row],[Сумма]],Таблица15[[#This Row],[Прочие]])</f>
        <v>0</v>
      </c>
    </row>
    <row r="252" spans="16:18" x14ac:dyDescent="0.2">
      <c r="P252" s="32">
        <v>0</v>
      </c>
      <c r="R252" s="30">
        <f>SUM(Таблица15[[#This Row],[ПР-Сумма]],Таблица15[[#This Row],[Сумма]],Таблица15[[#This Row],[Прочие]])</f>
        <v>0</v>
      </c>
    </row>
    <row r="253" spans="16:18" x14ac:dyDescent="0.2">
      <c r="P253" s="32">
        <v>0</v>
      </c>
      <c r="R253" s="30">
        <f>SUM(Таблица15[[#This Row],[ПР-Сумма]],Таблица15[[#This Row],[Сумма]],Таблица15[[#This Row],[Прочие]])</f>
        <v>0</v>
      </c>
    </row>
    <row r="254" spans="16:18" x14ac:dyDescent="0.2">
      <c r="P254" s="32">
        <v>0</v>
      </c>
      <c r="R254" s="30">
        <f>SUM(Таблица15[[#This Row],[ПР-Сумма]],Таблица15[[#This Row],[Сумма]],Таблица15[[#This Row],[Прочие]])</f>
        <v>0</v>
      </c>
    </row>
    <row r="255" spans="16:18" x14ac:dyDescent="0.2">
      <c r="P255" s="32">
        <v>0</v>
      </c>
      <c r="R255" s="30">
        <f>SUM(Таблица15[[#This Row],[ПР-Сумма]],Таблица15[[#This Row],[Сумма]],Таблица15[[#This Row],[Прочие]])</f>
        <v>0</v>
      </c>
    </row>
    <row r="256" spans="16:18" x14ac:dyDescent="0.2">
      <c r="P256" s="32">
        <v>0</v>
      </c>
      <c r="R256" s="30">
        <f>SUM(Таблица15[[#This Row],[ПР-Сумма]],Таблица15[[#This Row],[Сумма]],Таблица15[[#This Row],[Прочие]])</f>
        <v>0</v>
      </c>
    </row>
    <row r="257" spans="16:18" x14ac:dyDescent="0.2">
      <c r="P257" s="32">
        <v>0</v>
      </c>
      <c r="R257" s="30">
        <f>SUM(Таблица15[[#This Row],[ПР-Сумма]],Таблица15[[#This Row],[Сумма]],Таблица15[[#This Row],[Прочие]])</f>
        <v>0</v>
      </c>
    </row>
    <row r="258" spans="16:18" x14ac:dyDescent="0.2">
      <c r="P258" s="32">
        <v>0</v>
      </c>
      <c r="R258" s="30">
        <f>SUM(Таблица15[[#This Row],[ПР-Сумма]],Таблица15[[#This Row],[Сумма]],Таблица15[[#This Row],[Прочие]])</f>
        <v>0</v>
      </c>
    </row>
    <row r="259" spans="16:18" x14ac:dyDescent="0.2">
      <c r="P259" s="32">
        <v>0</v>
      </c>
      <c r="R259" s="30">
        <f>SUM(Таблица15[[#This Row],[ПР-Сумма]],Таблица15[[#This Row],[Сумма]],Таблица15[[#This Row],[Прочие]])</f>
        <v>0</v>
      </c>
    </row>
    <row r="260" spans="16:18" x14ac:dyDescent="0.2">
      <c r="P260" s="32">
        <v>0</v>
      </c>
      <c r="R260" s="30">
        <f>SUM(Таблица15[[#This Row],[ПР-Сумма]],Таблица15[[#This Row],[Сумма]],Таблица15[[#This Row],[Прочие]])</f>
        <v>0</v>
      </c>
    </row>
    <row r="261" spans="16:18" x14ac:dyDescent="0.2">
      <c r="P261" s="32">
        <v>0</v>
      </c>
      <c r="R261" s="30">
        <f>SUM(Таблица15[[#This Row],[ПР-Сумма]],Таблица15[[#This Row],[Сумма]],Таблица15[[#This Row],[Прочие]])</f>
        <v>0</v>
      </c>
    </row>
    <row r="262" spans="16:18" x14ac:dyDescent="0.2">
      <c r="P262" s="32">
        <v>0</v>
      </c>
      <c r="R262" s="30">
        <f>SUM(Таблица15[[#This Row],[ПР-Сумма]],Таблица15[[#This Row],[Сумма]],Таблица15[[#This Row],[Прочие]])</f>
        <v>0</v>
      </c>
    </row>
    <row r="263" spans="16:18" x14ac:dyDescent="0.2">
      <c r="P263" s="32">
        <v>0</v>
      </c>
      <c r="R263" s="30">
        <f>SUM(Таблица15[[#This Row],[ПР-Сумма]],Таблица15[[#This Row],[Сумма]],Таблица15[[#This Row],[Прочие]])</f>
        <v>0</v>
      </c>
    </row>
    <row r="264" spans="16:18" x14ac:dyDescent="0.2">
      <c r="P264" s="32">
        <v>0</v>
      </c>
      <c r="R264" s="30">
        <f>SUM(Таблица15[[#This Row],[ПР-Сумма]],Таблица15[[#This Row],[Сумма]],Таблица15[[#This Row],[Прочие]])</f>
        <v>0</v>
      </c>
    </row>
    <row r="265" spans="16:18" x14ac:dyDescent="0.2">
      <c r="P265" s="32">
        <v>0</v>
      </c>
      <c r="R265" s="30">
        <f>SUM(Таблица15[[#This Row],[ПР-Сумма]],Таблица15[[#This Row],[Сумма]],Таблица15[[#This Row],[Прочие]])</f>
        <v>0</v>
      </c>
    </row>
    <row r="266" spans="16:18" x14ac:dyDescent="0.2">
      <c r="P266" s="32">
        <v>0</v>
      </c>
      <c r="R266" s="30">
        <f>SUM(Таблица15[[#This Row],[ПР-Сумма]],Таблица15[[#This Row],[Сумма]],Таблица15[[#This Row],[Прочие]])</f>
        <v>0</v>
      </c>
    </row>
    <row r="267" spans="16:18" x14ac:dyDescent="0.2">
      <c r="P267" s="32">
        <v>0</v>
      </c>
      <c r="R267" s="30">
        <f>SUM(Таблица15[[#This Row],[ПР-Сумма]],Таблица15[[#This Row],[Сумма]],Таблица15[[#This Row],[Прочие]])</f>
        <v>0</v>
      </c>
    </row>
    <row r="268" spans="16:18" x14ac:dyDescent="0.2">
      <c r="P268" s="32">
        <v>0</v>
      </c>
      <c r="R268" s="30">
        <f>SUM(Таблица15[[#This Row],[ПР-Сумма]],Таблица15[[#This Row],[Сумма]],Таблица15[[#This Row],[Прочие]])</f>
        <v>0</v>
      </c>
    </row>
    <row r="269" spans="16:18" x14ac:dyDescent="0.2">
      <c r="P269" s="32">
        <v>0</v>
      </c>
      <c r="R269" s="30">
        <f>SUM(Таблица15[[#This Row],[ПР-Сумма]],Таблица15[[#This Row],[Сумма]],Таблица15[[#This Row],[Прочие]])</f>
        <v>0</v>
      </c>
    </row>
    <row r="270" spans="16:18" x14ac:dyDescent="0.2">
      <c r="P270" s="32">
        <v>0</v>
      </c>
      <c r="R270" s="30">
        <f>SUM(Таблица15[[#This Row],[ПР-Сумма]],Таблица15[[#This Row],[Сумма]],Таблица15[[#This Row],[Прочие]])</f>
        <v>0</v>
      </c>
    </row>
    <row r="271" spans="16:18" x14ac:dyDescent="0.2">
      <c r="P271" s="32">
        <v>0</v>
      </c>
      <c r="R271" s="30">
        <f>SUM(Таблица15[[#This Row],[ПР-Сумма]],Таблица15[[#This Row],[Сумма]],Таблица15[[#This Row],[Прочие]])</f>
        <v>0</v>
      </c>
    </row>
    <row r="272" spans="16:18" x14ac:dyDescent="0.2">
      <c r="P272" s="32">
        <v>0</v>
      </c>
      <c r="R272" s="30">
        <f>SUM(Таблица15[[#This Row],[ПР-Сумма]],Таблица15[[#This Row],[Сумма]],Таблица15[[#This Row],[Прочие]])</f>
        <v>0</v>
      </c>
    </row>
    <row r="273" spans="16:18" x14ac:dyDescent="0.2">
      <c r="P273" s="32">
        <v>0</v>
      </c>
      <c r="R273" s="30">
        <f>SUM(Таблица15[[#This Row],[ПР-Сумма]],Таблица15[[#This Row],[Сумма]],Таблица15[[#This Row],[Прочие]])</f>
        <v>0</v>
      </c>
    </row>
    <row r="274" spans="16:18" x14ac:dyDescent="0.2">
      <c r="P274" s="32">
        <v>0</v>
      </c>
      <c r="R274" s="30">
        <f>SUM(Таблица15[[#This Row],[ПР-Сумма]],Таблица15[[#This Row],[Сумма]],Таблица15[[#This Row],[Прочие]])</f>
        <v>0</v>
      </c>
    </row>
    <row r="275" spans="16:18" x14ac:dyDescent="0.2">
      <c r="P275" s="32">
        <v>0</v>
      </c>
      <c r="R275" s="30">
        <f>SUM(Таблица15[[#This Row],[ПР-Сумма]],Таблица15[[#This Row],[Сумма]],Таблица15[[#This Row],[Прочие]])</f>
        <v>0</v>
      </c>
    </row>
    <row r="276" spans="16:18" x14ac:dyDescent="0.2">
      <c r="P276" s="32">
        <v>0</v>
      </c>
      <c r="R276" s="30">
        <f>SUM(Таблица15[[#This Row],[ПР-Сумма]],Таблица15[[#This Row],[Сумма]],Таблица15[[#This Row],[Прочие]])</f>
        <v>0</v>
      </c>
    </row>
    <row r="277" spans="16:18" x14ac:dyDescent="0.2">
      <c r="P277" s="32">
        <v>0</v>
      </c>
      <c r="R277" s="30">
        <f>SUM(Таблица15[[#This Row],[ПР-Сумма]],Таблица15[[#This Row],[Сумма]],Таблица15[[#This Row],[Прочие]])</f>
        <v>0</v>
      </c>
    </row>
    <row r="278" spans="16:18" x14ac:dyDescent="0.2">
      <c r="P278" s="32">
        <v>0</v>
      </c>
      <c r="R278" s="30">
        <f>SUM(Таблица15[[#This Row],[ПР-Сумма]],Таблица15[[#This Row],[Сумма]],Таблица15[[#This Row],[Прочие]])</f>
        <v>0</v>
      </c>
    </row>
    <row r="279" spans="16:18" x14ac:dyDescent="0.2">
      <c r="P279" s="32">
        <v>0</v>
      </c>
      <c r="R279" s="30">
        <f>SUM(Таблица15[[#This Row],[ПР-Сумма]],Таблица15[[#This Row],[Сумма]],Таблица15[[#This Row],[Прочие]])</f>
        <v>0</v>
      </c>
    </row>
    <row r="280" spans="16:18" x14ac:dyDescent="0.2">
      <c r="P280" s="32">
        <v>0</v>
      </c>
      <c r="R280" s="30">
        <f>SUM(Таблица15[[#This Row],[ПР-Сумма]],Таблица15[[#This Row],[Сумма]],Таблица15[[#This Row],[Прочие]])</f>
        <v>0</v>
      </c>
    </row>
    <row r="281" spans="16:18" x14ac:dyDescent="0.2">
      <c r="P281" s="32">
        <v>0</v>
      </c>
      <c r="R281" s="30">
        <f>SUM(Таблица15[[#This Row],[ПР-Сумма]],Таблица15[[#This Row],[Сумма]],Таблица15[[#This Row],[Прочие]])</f>
        <v>0</v>
      </c>
    </row>
    <row r="282" spans="16:18" x14ac:dyDescent="0.2">
      <c r="P282" s="32">
        <v>0</v>
      </c>
      <c r="R282" s="30">
        <f>SUM(Таблица15[[#This Row],[ПР-Сумма]],Таблица15[[#This Row],[Сумма]],Таблица15[[#This Row],[Прочие]])</f>
        <v>0</v>
      </c>
    </row>
    <row r="283" spans="16:18" x14ac:dyDescent="0.2">
      <c r="P283" s="32">
        <v>0</v>
      </c>
      <c r="R283" s="30">
        <f>SUM(Таблица15[[#This Row],[ПР-Сумма]],Таблица15[[#This Row],[Сумма]],Таблица15[[#This Row],[Прочие]])</f>
        <v>0</v>
      </c>
    </row>
    <row r="284" spans="16:18" x14ac:dyDescent="0.2">
      <c r="P284" s="32">
        <v>0</v>
      </c>
      <c r="R284" s="30">
        <f>SUM(Таблица15[[#This Row],[ПР-Сумма]],Таблица15[[#This Row],[Сумма]],Таблица15[[#This Row],[Прочие]])</f>
        <v>0</v>
      </c>
    </row>
    <row r="285" spans="16:18" x14ac:dyDescent="0.2">
      <c r="P285" s="32">
        <v>0</v>
      </c>
      <c r="R285" s="30">
        <f>SUM(Таблица15[[#This Row],[ПР-Сумма]],Таблица15[[#This Row],[Сумма]],Таблица15[[#This Row],[Прочие]])</f>
        <v>0</v>
      </c>
    </row>
    <row r="286" spans="16:18" x14ac:dyDescent="0.2">
      <c r="P286" s="32">
        <v>0</v>
      </c>
      <c r="R286" s="30">
        <f>SUM(Таблица15[[#This Row],[ПР-Сумма]],Таблица15[[#This Row],[Сумма]],Таблица15[[#This Row],[Прочие]])</f>
        <v>0</v>
      </c>
    </row>
    <row r="287" spans="16:18" x14ac:dyDescent="0.2">
      <c r="P287" s="32">
        <v>0</v>
      </c>
      <c r="R287" s="30">
        <f>SUM(Таблица15[[#This Row],[ПР-Сумма]],Таблица15[[#This Row],[Сумма]],Таблица15[[#This Row],[Прочие]])</f>
        <v>0</v>
      </c>
    </row>
    <row r="288" spans="16:18" x14ac:dyDescent="0.2">
      <c r="P288" s="32">
        <v>0</v>
      </c>
      <c r="R288" s="30">
        <f>SUM(Таблица15[[#This Row],[ПР-Сумма]],Таблица15[[#This Row],[Сумма]],Таблица15[[#This Row],[Прочие]])</f>
        <v>0</v>
      </c>
    </row>
    <row r="289" spans="16:18" x14ac:dyDescent="0.2">
      <c r="P289" s="32">
        <v>0</v>
      </c>
      <c r="R289" s="30">
        <f>SUM(Таблица15[[#This Row],[ПР-Сумма]],Таблица15[[#This Row],[Сумма]],Таблица15[[#This Row],[Прочие]])</f>
        <v>0</v>
      </c>
    </row>
    <row r="290" spans="16:18" x14ac:dyDescent="0.2">
      <c r="P290" s="32">
        <v>0</v>
      </c>
      <c r="R290" s="30">
        <f>SUM(Таблица15[[#This Row],[ПР-Сумма]],Таблица15[[#This Row],[Сумма]],Таблица15[[#This Row],[Прочие]])</f>
        <v>0</v>
      </c>
    </row>
    <row r="291" spans="16:18" x14ac:dyDescent="0.2">
      <c r="P291" s="32">
        <v>0</v>
      </c>
      <c r="R291" s="30">
        <f>SUM(Таблица15[[#This Row],[ПР-Сумма]],Таблица15[[#This Row],[Сумма]],Таблица15[[#This Row],[Прочие]])</f>
        <v>0</v>
      </c>
    </row>
    <row r="292" spans="16:18" x14ac:dyDescent="0.2">
      <c r="P292" s="32">
        <v>0</v>
      </c>
      <c r="R292" s="30">
        <f>SUM(Таблица15[[#This Row],[ПР-Сумма]],Таблица15[[#This Row],[Сумма]],Таблица15[[#This Row],[Прочие]])</f>
        <v>0</v>
      </c>
    </row>
    <row r="293" spans="16:18" x14ac:dyDescent="0.2">
      <c r="P293" s="32">
        <v>0</v>
      </c>
      <c r="R293" s="30">
        <f>SUM(Таблица15[[#This Row],[ПР-Сумма]],Таблица15[[#This Row],[Сумма]],Таблица15[[#This Row],[Прочие]])</f>
        <v>0</v>
      </c>
    </row>
    <row r="294" spans="16:18" x14ac:dyDescent="0.2">
      <c r="P294" s="32">
        <v>0</v>
      </c>
      <c r="R294" s="30">
        <f>SUM(Таблица15[[#This Row],[ПР-Сумма]],Таблица15[[#This Row],[Сумма]],Таблица15[[#This Row],[Прочие]])</f>
        <v>0</v>
      </c>
    </row>
    <row r="295" spans="16:18" x14ac:dyDescent="0.2">
      <c r="P295" s="32">
        <v>0</v>
      </c>
      <c r="R295" s="30">
        <f>SUM(Таблица15[[#This Row],[ПР-Сумма]],Таблица15[[#This Row],[Сумма]],Таблица15[[#This Row],[Прочие]])</f>
        <v>0</v>
      </c>
    </row>
    <row r="296" spans="16:18" x14ac:dyDescent="0.2">
      <c r="P296" s="32">
        <v>0</v>
      </c>
      <c r="R296" s="30">
        <f>SUM(Таблица15[[#This Row],[ПР-Сумма]],Таблица15[[#This Row],[Сумма]],Таблица15[[#This Row],[Прочие]])</f>
        <v>0</v>
      </c>
    </row>
    <row r="297" spans="16:18" x14ac:dyDescent="0.2">
      <c r="P297" s="32">
        <v>0</v>
      </c>
      <c r="R297" s="30">
        <f>SUM(Таблица15[[#This Row],[ПР-Сумма]],Таблица15[[#This Row],[Сумма]],Таблица15[[#This Row],[Прочие]])</f>
        <v>0</v>
      </c>
    </row>
    <row r="298" spans="16:18" x14ac:dyDescent="0.2">
      <c r="P298" s="32">
        <v>0</v>
      </c>
      <c r="R298" s="30">
        <f>SUM(Таблица15[[#This Row],[ПР-Сумма]],Таблица15[[#This Row],[Сумма]],Таблица15[[#This Row],[Прочие]])</f>
        <v>0</v>
      </c>
    </row>
    <row r="299" spans="16:18" x14ac:dyDescent="0.2">
      <c r="P299" s="32">
        <v>0</v>
      </c>
      <c r="R299" s="30">
        <f>SUM(Таблица15[[#This Row],[ПР-Сумма]],Таблица15[[#This Row],[Сумма]],Таблица15[[#This Row],[Прочие]])</f>
        <v>0</v>
      </c>
    </row>
    <row r="300" spans="16:18" x14ac:dyDescent="0.2">
      <c r="P300" s="32">
        <v>0</v>
      </c>
      <c r="R300" s="30">
        <f>SUM(Таблица15[[#This Row],[ПР-Сумма]],Таблица15[[#This Row],[Сумма]],Таблица15[[#This Row],[Прочие]])</f>
        <v>0</v>
      </c>
    </row>
    <row r="301" spans="16:18" x14ac:dyDescent="0.2">
      <c r="P301" s="32">
        <v>0</v>
      </c>
      <c r="R301" s="30">
        <f>SUM(Таблица15[[#This Row],[ПР-Сумма]],Таблица15[[#This Row],[Сумма]],Таблица15[[#This Row],[Прочие]])</f>
        <v>0</v>
      </c>
    </row>
    <row r="302" spans="16:18" x14ac:dyDescent="0.2">
      <c r="P302" s="32">
        <v>0</v>
      </c>
      <c r="R302" s="30">
        <f>SUM(Таблица15[[#This Row],[ПР-Сумма]],Таблица15[[#This Row],[Сумма]],Таблица15[[#This Row],[Прочие]])</f>
        <v>0</v>
      </c>
    </row>
    <row r="303" spans="16:18" x14ac:dyDescent="0.2">
      <c r="P303" s="32">
        <v>0</v>
      </c>
      <c r="R303" s="30">
        <f>SUM(Таблица15[[#This Row],[ПР-Сумма]],Таблица15[[#This Row],[Сумма]],Таблица15[[#This Row],[Прочие]])</f>
        <v>0</v>
      </c>
    </row>
    <row r="304" spans="16:18" x14ac:dyDescent="0.2">
      <c r="P304" s="32">
        <v>0</v>
      </c>
      <c r="R304" s="30">
        <f>SUM(Таблица15[[#This Row],[ПР-Сумма]],Таблица15[[#This Row],[Сумма]],Таблица15[[#This Row],[Прочие]])</f>
        <v>0</v>
      </c>
    </row>
    <row r="305" spans="5:18" x14ac:dyDescent="0.2">
      <c r="P305" s="32">
        <v>0</v>
      </c>
      <c r="R305" s="30">
        <f>SUM(Таблица15[[#This Row],[ПР-Сумма]],Таблица15[[#This Row],[Сумма]],Таблица15[[#This Row],[Прочие]])</f>
        <v>0</v>
      </c>
    </row>
    <row r="306" spans="5:18" x14ac:dyDescent="0.2">
      <c r="P306" s="32">
        <v>0</v>
      </c>
      <c r="R306" s="30">
        <f>SUM(Таблица15[[#This Row],[ПР-Сумма]],Таблица15[[#This Row],[Сумма]],Таблица15[[#This Row],[Прочие]])</f>
        <v>0</v>
      </c>
    </row>
    <row r="307" spans="5:18" x14ac:dyDescent="0.2">
      <c r="P307" s="32">
        <v>0</v>
      </c>
      <c r="R307" s="30">
        <f>SUM(Таблица15[[#This Row],[ПР-Сумма]],Таблица15[[#This Row],[Сумма]],Таблица15[[#This Row],[Прочие]])</f>
        <v>0</v>
      </c>
    </row>
    <row r="308" spans="5:18" x14ac:dyDescent="0.2">
      <c r="P308" s="32">
        <v>0</v>
      </c>
      <c r="R308" s="30">
        <f>SUM(Таблица15[[#This Row],[ПР-Сумма]],Таблица15[[#This Row],[Сумма]],Таблица15[[#This Row],[Прочие]])</f>
        <v>0</v>
      </c>
    </row>
    <row r="309" spans="5:18" x14ac:dyDescent="0.2">
      <c r="P309" s="32">
        <v>0</v>
      </c>
      <c r="R309" s="30">
        <f>SUM(Таблица15[[#This Row],[ПР-Сумма]],Таблица15[[#This Row],[Сумма]],Таблица15[[#This Row],[Прочие]])</f>
        <v>0</v>
      </c>
    </row>
    <row r="310" spans="5:18" x14ac:dyDescent="0.2">
      <c r="P310" s="32">
        <v>0</v>
      </c>
      <c r="R310" s="30">
        <f>SUM(Таблица15[[#This Row],[ПР-Сумма]],Таблица15[[#This Row],[Сумма]],Таблица15[[#This Row],[Прочие]])</f>
        <v>0</v>
      </c>
    </row>
    <row r="311" spans="5:18" x14ac:dyDescent="0.2">
      <c r="P311" s="32">
        <v>0</v>
      </c>
      <c r="R311" s="30">
        <f>SUM(Таблица15[[#This Row],[ПР-Сумма]],Таблица15[[#This Row],[Сумма]],Таблица15[[#This Row],[Прочие]])</f>
        <v>0</v>
      </c>
    </row>
    <row r="312" spans="5:18" x14ac:dyDescent="0.2">
      <c r="P312" s="32">
        <v>0</v>
      </c>
      <c r="R312" s="30">
        <f>SUM(Таблица15[[#This Row],[ПР-Сумма]],Таблица15[[#This Row],[Сумма]],Таблица15[[#This Row],[Прочие]])</f>
        <v>0</v>
      </c>
    </row>
    <row r="313" spans="5:18" x14ac:dyDescent="0.2">
      <c r="E313" s="30"/>
      <c r="P313" s="32">
        <v>0</v>
      </c>
      <c r="R313" s="30">
        <f>SUM(Таблица15[[#This Row],[ПР-Сумма]],Таблица15[[#This Row],[Сумма]],Таблица15[[#This Row],[Прочие]])</f>
        <v>0</v>
      </c>
    </row>
    <row r="314" spans="5:18" x14ac:dyDescent="0.2">
      <c r="P314" s="32">
        <v>0</v>
      </c>
      <c r="R314" s="30">
        <f>SUM(Таблица15[[#This Row],[ПР-Сумма]],Таблица15[[#This Row],[Сумма]],Таблица15[[#This Row],[Прочие]])</f>
        <v>0</v>
      </c>
    </row>
    <row r="315" spans="5:18" x14ac:dyDescent="0.2">
      <c r="P315" s="32">
        <v>0</v>
      </c>
      <c r="R315" s="30">
        <f>SUM(Таблица15[[#This Row],[ПР-Сумма]],Таблица15[[#This Row],[Сумма]],Таблица15[[#This Row],[Прочие]])</f>
        <v>0</v>
      </c>
    </row>
    <row r="316" spans="5:18" x14ac:dyDescent="0.2">
      <c r="P316" s="32">
        <v>0</v>
      </c>
      <c r="R316" s="30">
        <f>SUM(Таблица15[[#This Row],[ПР-Сумма]],Таблица15[[#This Row],[Сумма]],Таблица15[[#This Row],[Прочие]])</f>
        <v>0</v>
      </c>
    </row>
    <row r="317" spans="5:18" x14ac:dyDescent="0.2">
      <c r="P317" s="32">
        <v>0</v>
      </c>
      <c r="R317" s="30">
        <f>SUM(Таблица15[[#This Row],[ПР-Сумма]],Таблица15[[#This Row],[Сумма]],Таблица15[[#This Row],[Прочие]])</f>
        <v>0</v>
      </c>
    </row>
    <row r="318" spans="5:18" x14ac:dyDescent="0.2">
      <c r="P318" s="32">
        <v>0</v>
      </c>
      <c r="R318" s="30">
        <f>SUM(Таблица15[[#This Row],[ПР-Сумма]],Таблица15[[#This Row],[Сумма]],Таблица15[[#This Row],[Прочие]])</f>
        <v>0</v>
      </c>
    </row>
    <row r="319" spans="5:18" x14ac:dyDescent="0.2">
      <c r="P319" s="32">
        <v>0</v>
      </c>
      <c r="R319" s="30">
        <f>SUM(Таблица15[[#This Row],[ПР-Сумма]],Таблица15[[#This Row],[Сумма]],Таблица15[[#This Row],[Прочие]])</f>
        <v>0</v>
      </c>
    </row>
    <row r="320" spans="5:18" x14ac:dyDescent="0.2">
      <c r="P320" s="32">
        <v>0</v>
      </c>
      <c r="R320" s="30">
        <f>SUM(Таблица15[[#This Row],[ПР-Сумма]],Таблица15[[#This Row],[Сумма]],Таблица15[[#This Row],[Прочие]])</f>
        <v>0</v>
      </c>
    </row>
    <row r="321" spans="4:18" x14ac:dyDescent="0.2">
      <c r="P321" s="32">
        <v>0</v>
      </c>
      <c r="R321" s="30">
        <f>SUM(Таблица15[[#This Row],[ПР-Сумма]],Таблица15[[#This Row],[Сумма]],Таблица15[[#This Row],[Прочие]])</f>
        <v>0</v>
      </c>
    </row>
    <row r="322" spans="4:18" x14ac:dyDescent="0.2">
      <c r="P322" s="32">
        <v>0</v>
      </c>
      <c r="R322" s="30">
        <f>SUM(Таблица15[[#This Row],[ПР-Сумма]],Таблица15[[#This Row],[Сумма]],Таблица15[[#This Row],[Прочие]])</f>
        <v>0</v>
      </c>
    </row>
    <row r="323" spans="4:18" x14ac:dyDescent="0.2">
      <c r="D323" s="37"/>
      <c r="P323" s="32">
        <v>0</v>
      </c>
      <c r="R323" s="30">
        <f>SUM(Таблица15[[#This Row],[ПР-Сумма]],Таблица15[[#This Row],[Сумма]],Таблица15[[#This Row],[Прочие]])</f>
        <v>0</v>
      </c>
    </row>
    <row r="324" spans="4:18" x14ac:dyDescent="0.2">
      <c r="P324" s="32">
        <v>0</v>
      </c>
      <c r="R324" s="30">
        <f>SUM(Таблица15[[#This Row],[ПР-Сумма]],Таблица15[[#This Row],[Сумма]],Таблица15[[#This Row],[Прочие]])</f>
        <v>0</v>
      </c>
    </row>
    <row r="325" spans="4:18" x14ac:dyDescent="0.2">
      <c r="P325" s="32">
        <v>0</v>
      </c>
      <c r="R325" s="30">
        <f>SUM(Таблица15[[#This Row],[ПР-Сумма]],Таблица15[[#This Row],[Сумма]],Таблица15[[#This Row],[Прочие]])</f>
        <v>0</v>
      </c>
    </row>
    <row r="326" spans="4:18" x14ac:dyDescent="0.2">
      <c r="P326" s="32">
        <v>0</v>
      </c>
      <c r="R326" s="30">
        <f>SUM(Таблица15[[#This Row],[ПР-Сумма]],Таблица15[[#This Row],[Сумма]],Таблица15[[#This Row],[Прочие]])</f>
        <v>0</v>
      </c>
    </row>
    <row r="327" spans="4:18" x14ac:dyDescent="0.2">
      <c r="P327" s="32">
        <v>0</v>
      </c>
      <c r="R327" s="30">
        <f>SUM(Таблица15[[#This Row],[ПР-Сумма]],Таблица15[[#This Row],[Сумма]],Таблица15[[#This Row],[Прочие]])</f>
        <v>0</v>
      </c>
    </row>
    <row r="328" spans="4:18" x14ac:dyDescent="0.2">
      <c r="P328" s="32">
        <v>0</v>
      </c>
      <c r="R328" s="30">
        <f>SUM(Таблица15[[#This Row],[ПР-Сумма]],Таблица15[[#This Row],[Сумма]],Таблица15[[#This Row],[Прочие]])</f>
        <v>0</v>
      </c>
    </row>
    <row r="329" spans="4:18" x14ac:dyDescent="0.2">
      <c r="P329" s="32">
        <v>0</v>
      </c>
      <c r="R329" s="30">
        <f>SUM(Таблица15[[#This Row],[ПР-Сумма]],Таблица15[[#This Row],[Сумма]],Таблица15[[#This Row],[Прочие]])</f>
        <v>0</v>
      </c>
    </row>
    <row r="330" spans="4:18" x14ac:dyDescent="0.2">
      <c r="P330" s="32">
        <v>0</v>
      </c>
      <c r="R330" s="30">
        <f>SUM(Таблица15[[#This Row],[ПР-Сумма]],Таблица15[[#This Row],[Сумма]],Таблица15[[#This Row],[Прочие]])</f>
        <v>0</v>
      </c>
    </row>
    <row r="331" spans="4:18" x14ac:dyDescent="0.2">
      <c r="P331" s="32">
        <v>0</v>
      </c>
      <c r="R331" s="30">
        <f>SUM(Таблица15[[#This Row],[ПР-Сумма]],Таблица15[[#This Row],[Сумма]],Таблица15[[#This Row],[Прочие]])</f>
        <v>0</v>
      </c>
    </row>
    <row r="332" spans="4:18" x14ac:dyDescent="0.2">
      <c r="P332" s="32">
        <v>0</v>
      </c>
      <c r="R332" s="30">
        <f>SUM(Таблица15[[#This Row],[ПР-Сумма]],Таблица15[[#This Row],[Сумма]],Таблица15[[#This Row],[Прочие]])</f>
        <v>0</v>
      </c>
    </row>
    <row r="333" spans="4:18" x14ac:dyDescent="0.2">
      <c r="P333" s="32">
        <v>0</v>
      </c>
      <c r="R333" s="30">
        <f>SUM(Таблица15[[#This Row],[ПР-Сумма]],Таблица15[[#This Row],[Сумма]],Таблица15[[#This Row],[Прочие]])</f>
        <v>0</v>
      </c>
    </row>
    <row r="334" spans="4:18" x14ac:dyDescent="0.2">
      <c r="P334" s="32">
        <v>0</v>
      </c>
      <c r="R334" s="30">
        <f>SUM(Таблица15[[#This Row],[ПР-Сумма]],Таблица15[[#This Row],[Сумма]],Таблица15[[#This Row],[Прочие]])</f>
        <v>0</v>
      </c>
    </row>
    <row r="335" spans="4:18" x14ac:dyDescent="0.2">
      <c r="P335" s="32">
        <v>0</v>
      </c>
      <c r="R335" s="30">
        <f>SUM(Таблица15[[#This Row],[ПР-Сумма]],Таблица15[[#This Row],[Сумма]],Таблица15[[#This Row],[Прочие]])</f>
        <v>0</v>
      </c>
    </row>
    <row r="336" spans="4:18" x14ac:dyDescent="0.2">
      <c r="P336" s="32">
        <v>0</v>
      </c>
      <c r="R336" s="30">
        <f>SUM(Таблица15[[#This Row],[ПР-Сумма]],Таблица15[[#This Row],[Сумма]],Таблица15[[#This Row],[Прочие]])</f>
        <v>0</v>
      </c>
    </row>
    <row r="337" spans="16:18" x14ac:dyDescent="0.2">
      <c r="P337" s="32">
        <v>0</v>
      </c>
      <c r="R337" s="30">
        <f>SUM(Таблица15[[#This Row],[ПР-Сумма]],Таблица15[[#This Row],[Сумма]],Таблица15[[#This Row],[Прочие]])</f>
        <v>0</v>
      </c>
    </row>
    <row r="338" spans="16:18" x14ac:dyDescent="0.2">
      <c r="P338" s="32">
        <v>0</v>
      </c>
      <c r="R338" s="30">
        <f>SUM(Таблица15[[#This Row],[ПР-Сумма]],Таблица15[[#This Row],[Сумма]],Таблица15[[#This Row],[Прочие]])</f>
        <v>0</v>
      </c>
    </row>
    <row r="339" spans="16:18" x14ac:dyDescent="0.2">
      <c r="P339" s="32">
        <v>0</v>
      </c>
      <c r="R339" s="30">
        <f>SUM(Таблица15[[#This Row],[ПР-Сумма]],Таблица15[[#This Row],[Сумма]],Таблица15[[#This Row],[Прочие]])</f>
        <v>0</v>
      </c>
    </row>
    <row r="340" spans="16:18" x14ac:dyDescent="0.2">
      <c r="P340" s="32">
        <v>0</v>
      </c>
      <c r="R340" s="30">
        <f>SUM(Таблица15[[#This Row],[ПР-Сумма]],Таблица15[[#This Row],[Сумма]],Таблица15[[#This Row],[Прочие]])</f>
        <v>0</v>
      </c>
    </row>
    <row r="341" spans="16:18" x14ac:dyDescent="0.2">
      <c r="P341" s="32">
        <v>0</v>
      </c>
      <c r="R341" s="30">
        <f>SUM(Таблица15[[#This Row],[ПР-Сумма]],Таблица15[[#This Row],[Сумма]],Таблица15[[#This Row],[Прочие]])</f>
        <v>0</v>
      </c>
    </row>
    <row r="342" spans="16:18" x14ac:dyDescent="0.2">
      <c r="P342" s="32">
        <v>0</v>
      </c>
      <c r="R342" s="30">
        <f>SUM(Таблица15[[#This Row],[ПР-Сумма]],Таблица15[[#This Row],[Сумма]],Таблица15[[#This Row],[Прочие]])</f>
        <v>0</v>
      </c>
    </row>
    <row r="343" spans="16:18" x14ac:dyDescent="0.2">
      <c r="P343" s="32">
        <v>0</v>
      </c>
      <c r="R343" s="30">
        <f>SUM(Таблица15[[#This Row],[ПР-Сумма]],Таблица15[[#This Row],[Сумма]],Таблица15[[#This Row],[Прочие]])</f>
        <v>0</v>
      </c>
    </row>
    <row r="344" spans="16:18" x14ac:dyDescent="0.2">
      <c r="P344" s="32">
        <v>0</v>
      </c>
      <c r="R344" s="30">
        <f>SUM(Таблица15[[#This Row],[ПР-Сумма]],Таблица15[[#This Row],[Сумма]],Таблица15[[#This Row],[Прочие]])</f>
        <v>0</v>
      </c>
    </row>
    <row r="345" spans="16:18" x14ac:dyDescent="0.2">
      <c r="P345" s="32">
        <v>0</v>
      </c>
      <c r="R345" s="30">
        <f>SUM(Таблица15[[#This Row],[ПР-Сумма]],Таблица15[[#This Row],[Сумма]],Таблица15[[#This Row],[Прочие]])</f>
        <v>0</v>
      </c>
    </row>
    <row r="346" spans="16:18" x14ac:dyDescent="0.2">
      <c r="P346" s="32">
        <v>0</v>
      </c>
      <c r="R346" s="30">
        <f>SUM(Таблица15[[#This Row],[ПР-Сумма]],Таблица15[[#This Row],[Сумма]],Таблица15[[#This Row],[Прочие]])</f>
        <v>0</v>
      </c>
    </row>
    <row r="347" spans="16:18" x14ac:dyDescent="0.2">
      <c r="P347" s="32">
        <v>0</v>
      </c>
      <c r="R347" s="30">
        <f>SUM(Таблица15[[#This Row],[ПР-Сумма]],Таблица15[[#This Row],[Сумма]],Таблица15[[#This Row],[Прочие]])</f>
        <v>0</v>
      </c>
    </row>
    <row r="348" spans="16:18" x14ac:dyDescent="0.2">
      <c r="P348" s="32">
        <v>0</v>
      </c>
      <c r="R348" s="30">
        <f>SUM(Таблица15[[#This Row],[ПР-Сумма]],Таблица15[[#This Row],[Сумма]],Таблица15[[#This Row],[Прочие]])</f>
        <v>0</v>
      </c>
    </row>
    <row r="349" spans="16:18" x14ac:dyDescent="0.2">
      <c r="P349" s="32">
        <v>0</v>
      </c>
      <c r="R349" s="30">
        <f>SUM(Таблица15[[#This Row],[ПР-Сумма]],Таблица15[[#This Row],[Сумма]],Таблица15[[#This Row],[Прочие]])</f>
        <v>0</v>
      </c>
    </row>
    <row r="350" spans="16:18" x14ac:dyDescent="0.2">
      <c r="P350" s="32">
        <v>0</v>
      </c>
      <c r="R350" s="30">
        <f>SUM(Таблица15[[#This Row],[ПР-Сумма]],Таблица15[[#This Row],[Сумма]],Таблица15[[#This Row],[Прочие]])</f>
        <v>0</v>
      </c>
    </row>
    <row r="351" spans="16:18" x14ac:dyDescent="0.2">
      <c r="P351" s="32">
        <v>0</v>
      </c>
      <c r="R351" s="30">
        <f>SUM(Таблица15[[#This Row],[ПР-Сумма]],Таблица15[[#This Row],[Сумма]],Таблица15[[#This Row],[Прочие]])</f>
        <v>0</v>
      </c>
    </row>
    <row r="352" spans="16:18" x14ac:dyDescent="0.2">
      <c r="P352" s="32">
        <v>0</v>
      </c>
      <c r="R352" s="30">
        <f>SUM(Таблица15[[#This Row],[ПР-Сумма]],Таблица15[[#This Row],[Сумма]],Таблица15[[#This Row],[Прочие]])</f>
        <v>0</v>
      </c>
    </row>
    <row r="353" spans="16:18" x14ac:dyDescent="0.2">
      <c r="P353" s="32">
        <v>0</v>
      </c>
      <c r="R353" s="30">
        <f>SUM(Таблица15[[#This Row],[ПР-Сумма]],Таблица15[[#This Row],[Сумма]],Таблица15[[#This Row],[Прочие]])</f>
        <v>0</v>
      </c>
    </row>
    <row r="354" spans="16:18" x14ac:dyDescent="0.2">
      <c r="P354" s="32">
        <v>0</v>
      </c>
      <c r="R354" s="30">
        <f>SUM(Таблица15[[#This Row],[ПР-Сумма]],Таблица15[[#This Row],[Сумма]],Таблица15[[#This Row],[Прочие]])</f>
        <v>0</v>
      </c>
    </row>
    <row r="355" spans="16:18" x14ac:dyDescent="0.2">
      <c r="P355" s="32">
        <v>0</v>
      </c>
      <c r="R355" s="30">
        <f>SUM(Таблица15[[#This Row],[ПР-Сумма]],Таблица15[[#This Row],[Сумма]],Таблица15[[#This Row],[Прочие]])</f>
        <v>0</v>
      </c>
    </row>
    <row r="356" spans="16:18" x14ac:dyDescent="0.2">
      <c r="P356" s="32">
        <v>0</v>
      </c>
      <c r="R356" s="30">
        <f>SUM(Таблица15[[#This Row],[ПР-Сумма]],Таблица15[[#This Row],[Сумма]],Таблица15[[#This Row],[Прочие]])</f>
        <v>0</v>
      </c>
    </row>
    <row r="357" spans="16:18" x14ac:dyDescent="0.2">
      <c r="P357" s="32">
        <v>0</v>
      </c>
      <c r="R357" s="30">
        <f>SUM(Таблица15[[#This Row],[ПР-Сумма]],Таблица15[[#This Row],[Сумма]],Таблица15[[#This Row],[Прочие]])</f>
        <v>0</v>
      </c>
    </row>
    <row r="358" spans="16:18" x14ac:dyDescent="0.2">
      <c r="P358" s="32">
        <v>0</v>
      </c>
      <c r="R358" s="30">
        <f>SUM(Таблица15[[#This Row],[ПР-Сумма]],Таблица15[[#This Row],[Сумма]],Таблица15[[#This Row],[Прочие]])</f>
        <v>0</v>
      </c>
    </row>
    <row r="359" spans="16:18" x14ac:dyDescent="0.2">
      <c r="P359" s="32">
        <v>0</v>
      </c>
      <c r="R359" s="30">
        <f>SUM(Таблица15[[#This Row],[ПР-Сумма]],Таблица15[[#This Row],[Сумма]],Таблица15[[#This Row],[Прочие]])</f>
        <v>0</v>
      </c>
    </row>
    <row r="360" spans="16:18" x14ac:dyDescent="0.2">
      <c r="P360" s="32">
        <v>0</v>
      </c>
      <c r="R360" s="30">
        <f>SUM(Таблица15[[#This Row],[ПР-Сумма]],Таблица15[[#This Row],[Сумма]],Таблица15[[#This Row],[Прочие]])</f>
        <v>0</v>
      </c>
    </row>
    <row r="361" spans="16:18" x14ac:dyDescent="0.2">
      <c r="P361" s="32">
        <v>0</v>
      </c>
      <c r="R361" s="30">
        <f>SUM(Таблица15[[#This Row],[ПР-Сумма]],Таблица15[[#This Row],[Сумма]],Таблица15[[#This Row],[Прочие]])</f>
        <v>0</v>
      </c>
    </row>
    <row r="362" spans="16:18" x14ac:dyDescent="0.2">
      <c r="P362" s="32">
        <v>0</v>
      </c>
      <c r="R362" s="30">
        <f>SUM(Таблица15[[#This Row],[ПР-Сумма]],Таблица15[[#This Row],[Сумма]],Таблица15[[#This Row],[Прочие]])</f>
        <v>0</v>
      </c>
    </row>
    <row r="363" spans="16:18" x14ac:dyDescent="0.2">
      <c r="P363" s="32">
        <v>0</v>
      </c>
      <c r="R363" s="30">
        <f>SUM(Таблица15[[#This Row],[ПР-Сумма]],Таблица15[[#This Row],[Сумма]],Таблица15[[#This Row],[Прочие]])</f>
        <v>0</v>
      </c>
    </row>
    <row r="364" spans="16:18" x14ac:dyDescent="0.2">
      <c r="P364" s="32">
        <v>0</v>
      </c>
      <c r="R364" s="30">
        <f>SUM(Таблица15[[#This Row],[ПР-Сумма]],Таблица15[[#This Row],[Сумма]],Таблица15[[#This Row],[Прочие]])</f>
        <v>0</v>
      </c>
    </row>
    <row r="365" spans="16:18" x14ac:dyDescent="0.2">
      <c r="P365" s="32">
        <v>0</v>
      </c>
      <c r="R365" s="30">
        <f>SUM(Таблица15[[#This Row],[ПР-Сумма]],Таблица15[[#This Row],[Сумма]],Таблица15[[#This Row],[Прочие]])</f>
        <v>0</v>
      </c>
    </row>
    <row r="366" spans="16:18" x14ac:dyDescent="0.2">
      <c r="P366" s="32">
        <v>0</v>
      </c>
      <c r="R366" s="30">
        <f>SUM(Таблица15[[#This Row],[ПР-Сумма]],Таблица15[[#This Row],[Сумма]],Таблица15[[#This Row],[Прочие]])</f>
        <v>0</v>
      </c>
    </row>
    <row r="367" spans="16:18" x14ac:dyDescent="0.2">
      <c r="P367" s="32">
        <v>0</v>
      </c>
      <c r="R367" s="30">
        <f>SUM(Таблица15[[#This Row],[ПР-Сумма]],Таблица15[[#This Row],[Сумма]],Таблица15[[#This Row],[Прочие]])</f>
        <v>0</v>
      </c>
    </row>
    <row r="368" spans="16:18" x14ac:dyDescent="0.2">
      <c r="P368" s="32">
        <v>0</v>
      </c>
      <c r="R368" s="30">
        <f>SUM(Таблица15[[#This Row],[ПР-Сумма]],Таблица15[[#This Row],[Сумма]],Таблица15[[#This Row],[Прочие]])</f>
        <v>0</v>
      </c>
    </row>
    <row r="369" spans="16:18" x14ac:dyDescent="0.2">
      <c r="P369" s="32">
        <v>0</v>
      </c>
      <c r="R369" s="30">
        <f>SUM(Таблица15[[#This Row],[ПР-Сумма]],Таблица15[[#This Row],[Сумма]],Таблица15[[#This Row],[Прочие]])</f>
        <v>0</v>
      </c>
    </row>
    <row r="370" spans="16:18" x14ac:dyDescent="0.2">
      <c r="P370" s="32">
        <v>0</v>
      </c>
      <c r="R370" s="30">
        <f>SUM(Таблица15[[#This Row],[ПР-Сумма]],Таблица15[[#This Row],[Сумма]],Таблица15[[#This Row],[Прочие]])</f>
        <v>0</v>
      </c>
    </row>
    <row r="371" spans="16:18" x14ac:dyDescent="0.2">
      <c r="P371" s="32">
        <v>0</v>
      </c>
      <c r="R371" s="30">
        <f>SUM(Таблица15[[#This Row],[ПР-Сумма]],Таблица15[[#This Row],[Сумма]],Таблица15[[#This Row],[Прочие]])</f>
        <v>0</v>
      </c>
    </row>
    <row r="372" spans="16:18" x14ac:dyDescent="0.2">
      <c r="P372" s="32">
        <v>0</v>
      </c>
      <c r="R372" s="30">
        <f>SUM(Таблица15[[#This Row],[ПР-Сумма]],Таблица15[[#This Row],[Сумма]],Таблица15[[#This Row],[Прочие]])</f>
        <v>0</v>
      </c>
    </row>
    <row r="373" spans="16:18" x14ac:dyDescent="0.2">
      <c r="P373" s="32">
        <v>0</v>
      </c>
      <c r="R373" s="30">
        <f>SUM(Таблица15[[#This Row],[ПР-Сумма]],Таблица15[[#This Row],[Сумма]],Таблица15[[#This Row],[Прочие]])</f>
        <v>0</v>
      </c>
    </row>
    <row r="374" spans="16:18" x14ac:dyDescent="0.2">
      <c r="P374" s="32">
        <v>0</v>
      </c>
      <c r="R374" s="30">
        <f>SUM(Таблица15[[#This Row],[ПР-Сумма]],Таблица15[[#This Row],[Сумма]],Таблица15[[#This Row],[Прочие]])</f>
        <v>0</v>
      </c>
    </row>
    <row r="375" spans="16:18" x14ac:dyDescent="0.2">
      <c r="P375" s="32">
        <v>0</v>
      </c>
      <c r="R375" s="30">
        <f>SUM(Таблица15[[#This Row],[ПР-Сумма]],Таблица15[[#This Row],[Сумма]],Таблица15[[#This Row],[Прочие]])</f>
        <v>0</v>
      </c>
    </row>
    <row r="376" spans="16:18" x14ac:dyDescent="0.2">
      <c r="P376" s="32">
        <v>0</v>
      </c>
      <c r="R376" s="30">
        <f>SUM(Таблица15[[#This Row],[ПР-Сумма]],Таблица15[[#This Row],[Сумма]],Таблица15[[#This Row],[Прочие]])</f>
        <v>0</v>
      </c>
    </row>
    <row r="377" spans="16:18" x14ac:dyDescent="0.2">
      <c r="P377" s="32">
        <v>0</v>
      </c>
      <c r="R377" s="30">
        <f>SUM(Таблица15[[#This Row],[ПР-Сумма]],Таблица15[[#This Row],[Сумма]],Таблица15[[#This Row],[Прочие]])</f>
        <v>0</v>
      </c>
    </row>
    <row r="378" spans="16:18" x14ac:dyDescent="0.2">
      <c r="P378" s="32">
        <v>0</v>
      </c>
      <c r="R378" s="30">
        <f>SUM(Таблица15[[#This Row],[ПР-Сумма]],Таблица15[[#This Row],[Сумма]],Таблица15[[#This Row],[Прочие]])</f>
        <v>0</v>
      </c>
    </row>
    <row r="379" spans="16:18" x14ac:dyDescent="0.2">
      <c r="P379" s="32">
        <v>0</v>
      </c>
      <c r="R379" s="30">
        <f>SUM(Таблица15[[#This Row],[ПР-Сумма]],Таблица15[[#This Row],[Сумма]],Таблица15[[#This Row],[Прочие]])</f>
        <v>0</v>
      </c>
    </row>
    <row r="380" spans="16:18" x14ac:dyDescent="0.2">
      <c r="P380" s="32">
        <v>0</v>
      </c>
      <c r="R380" s="30">
        <f>SUM(Таблица15[[#This Row],[ПР-Сумма]],Таблица15[[#This Row],[Сумма]],Таблица15[[#This Row],[Прочие]])</f>
        <v>0</v>
      </c>
    </row>
    <row r="381" spans="16:18" x14ac:dyDescent="0.2">
      <c r="P381" s="32">
        <v>0</v>
      </c>
      <c r="R381" s="30">
        <f>SUM(Таблица15[[#This Row],[ПР-Сумма]],Таблица15[[#This Row],[Сумма]],Таблица15[[#This Row],[Прочие]])</f>
        <v>0</v>
      </c>
    </row>
    <row r="382" spans="16:18" x14ac:dyDescent="0.2">
      <c r="P382" s="32">
        <v>0</v>
      </c>
      <c r="R382" s="30">
        <f>SUM(Таблица15[[#This Row],[ПР-Сумма]],Таблица15[[#This Row],[Сумма]],Таблица15[[#This Row],[Прочие]])</f>
        <v>0</v>
      </c>
    </row>
    <row r="383" spans="16:18" x14ac:dyDescent="0.2">
      <c r="P383" s="32">
        <v>0</v>
      </c>
      <c r="R383" s="30">
        <f>SUM(Таблица15[[#This Row],[ПР-Сумма]],Таблица15[[#This Row],[Сумма]],Таблица15[[#This Row],[Прочие]])</f>
        <v>0</v>
      </c>
    </row>
    <row r="384" spans="16:18" x14ac:dyDescent="0.2">
      <c r="P384" s="32">
        <v>0</v>
      </c>
      <c r="R384" s="30">
        <f>SUM(Таблица15[[#This Row],[ПР-Сумма]],Таблица15[[#This Row],[Сумма]],Таблица15[[#This Row],[Прочие]])</f>
        <v>0</v>
      </c>
    </row>
    <row r="385" spans="16:18" x14ac:dyDescent="0.2">
      <c r="P385" s="32">
        <v>0</v>
      </c>
      <c r="R385" s="30">
        <f>SUM(Таблица15[[#This Row],[ПР-Сумма]],Таблица15[[#This Row],[Сумма]],Таблица15[[#This Row],[Прочие]])</f>
        <v>0</v>
      </c>
    </row>
    <row r="386" spans="16:18" x14ac:dyDescent="0.2">
      <c r="P386" s="32">
        <v>0</v>
      </c>
      <c r="R386" s="30">
        <f>SUM(Таблица15[[#This Row],[ПР-Сумма]],Таблица15[[#This Row],[Сумма]],Таблица15[[#This Row],[Прочие]])</f>
        <v>0</v>
      </c>
    </row>
    <row r="387" spans="16:18" x14ac:dyDescent="0.2">
      <c r="P387" s="32">
        <v>0</v>
      </c>
      <c r="R387" s="30">
        <f>SUM(Таблица15[[#This Row],[ПР-Сумма]],Таблица15[[#This Row],[Сумма]],Таблица15[[#This Row],[Прочие]])</f>
        <v>0</v>
      </c>
    </row>
    <row r="388" spans="16:18" x14ac:dyDescent="0.2">
      <c r="P388" s="32">
        <v>0</v>
      </c>
      <c r="R388" s="30">
        <f>SUM(Таблица15[[#This Row],[ПР-Сумма]],Таблица15[[#This Row],[Сумма]],Таблица15[[#This Row],[Прочие]])</f>
        <v>0</v>
      </c>
    </row>
    <row r="389" spans="16:18" x14ac:dyDescent="0.2">
      <c r="P389" s="32">
        <v>0</v>
      </c>
      <c r="R389" s="30">
        <f>SUM(Таблица15[[#This Row],[ПР-Сумма]],Таблица15[[#This Row],[Сумма]],Таблица15[[#This Row],[Прочие]])</f>
        <v>0</v>
      </c>
    </row>
    <row r="390" spans="16:18" x14ac:dyDescent="0.2">
      <c r="P390" s="32">
        <v>0</v>
      </c>
      <c r="R390" s="30">
        <f>SUM(Таблица15[[#This Row],[ПР-Сумма]],Таблица15[[#This Row],[Сумма]],Таблица15[[#This Row],[Прочие]])</f>
        <v>0</v>
      </c>
    </row>
    <row r="391" spans="16:18" x14ac:dyDescent="0.2">
      <c r="P391" s="32">
        <v>0</v>
      </c>
      <c r="R391" s="30">
        <f>SUM(Таблица15[[#This Row],[ПР-Сумма]],Таблица15[[#This Row],[Сумма]],Таблица15[[#This Row],[Прочие]])</f>
        <v>0</v>
      </c>
    </row>
    <row r="392" spans="16:18" x14ac:dyDescent="0.2">
      <c r="P392" s="32">
        <v>0</v>
      </c>
      <c r="R392" s="30">
        <f>SUM(Таблица15[[#This Row],[ПР-Сумма]],Таблица15[[#This Row],[Сумма]],Таблица15[[#This Row],[Прочие]])</f>
        <v>0</v>
      </c>
    </row>
    <row r="393" spans="16:18" x14ac:dyDescent="0.2">
      <c r="P393" s="32">
        <v>0</v>
      </c>
      <c r="R393" s="30">
        <f>SUM(Таблица15[[#This Row],[ПР-Сумма]],Таблица15[[#This Row],[Сумма]],Таблица15[[#This Row],[Прочие]])</f>
        <v>0</v>
      </c>
    </row>
    <row r="394" spans="16:18" x14ac:dyDescent="0.2">
      <c r="P394" s="32">
        <v>0</v>
      </c>
      <c r="R394" s="30">
        <f>SUM(Таблица15[[#This Row],[ПР-Сумма]],Таблица15[[#This Row],[Сумма]],Таблица15[[#This Row],[Прочие]])</f>
        <v>0</v>
      </c>
    </row>
    <row r="395" spans="16:18" x14ac:dyDescent="0.2">
      <c r="P395" s="32">
        <v>0</v>
      </c>
      <c r="R395" s="30">
        <f>SUM(Таблица15[[#This Row],[ПР-Сумма]],Таблица15[[#This Row],[Сумма]],Таблица15[[#This Row],[Прочие]])</f>
        <v>0</v>
      </c>
    </row>
    <row r="396" spans="16:18" x14ac:dyDescent="0.2">
      <c r="P396" s="32">
        <v>0</v>
      </c>
      <c r="R396" s="30">
        <f>SUM(Таблица15[[#This Row],[ПР-Сумма]],Таблица15[[#This Row],[Сумма]],Таблица15[[#This Row],[Прочие]])</f>
        <v>0</v>
      </c>
    </row>
    <row r="397" spans="16:18" x14ac:dyDescent="0.2">
      <c r="P397" s="32">
        <v>0</v>
      </c>
      <c r="R397" s="30">
        <f>SUM(Таблица15[[#This Row],[ПР-Сумма]],Таблица15[[#This Row],[Сумма]],Таблица15[[#This Row],[Прочие]])</f>
        <v>0</v>
      </c>
    </row>
    <row r="398" spans="16:18" x14ac:dyDescent="0.2">
      <c r="P398" s="32">
        <v>0</v>
      </c>
      <c r="R398" s="30">
        <f>SUM(Таблица15[[#This Row],[ПР-Сумма]],Таблица15[[#This Row],[Сумма]],Таблица15[[#This Row],[Прочие]])</f>
        <v>0</v>
      </c>
    </row>
    <row r="399" spans="16:18" x14ac:dyDescent="0.2">
      <c r="P399" s="32">
        <v>0</v>
      </c>
      <c r="R399" s="30">
        <f>SUM(Таблица15[[#This Row],[ПР-Сумма]],Таблица15[[#This Row],[Сумма]],Таблица15[[#This Row],[Прочие]])</f>
        <v>0</v>
      </c>
    </row>
    <row r="400" spans="16:18" x14ac:dyDescent="0.2">
      <c r="P400" s="32">
        <v>0</v>
      </c>
      <c r="R400" s="30">
        <f>SUM(Таблица15[[#This Row],[ПР-Сумма]],Таблица15[[#This Row],[Сумма]],Таблица15[[#This Row],[Прочие]])</f>
        <v>0</v>
      </c>
    </row>
    <row r="401" spans="16:18" x14ac:dyDescent="0.2">
      <c r="P401" s="32">
        <v>0</v>
      </c>
      <c r="R401" s="30">
        <f>SUM(Таблица15[[#This Row],[ПР-Сумма]],Таблица15[[#This Row],[Сумма]],Таблица15[[#This Row],[Прочие]])</f>
        <v>0</v>
      </c>
    </row>
    <row r="402" spans="16:18" x14ac:dyDescent="0.2">
      <c r="P402" s="32">
        <v>0</v>
      </c>
      <c r="R402" s="30">
        <f>SUM(Таблица15[[#This Row],[ПР-Сумма]],Таблица15[[#This Row],[Сумма]],Таблица15[[#This Row],[Прочие]])</f>
        <v>0</v>
      </c>
    </row>
    <row r="403" spans="16:18" x14ac:dyDescent="0.2">
      <c r="P403" s="32">
        <v>0</v>
      </c>
      <c r="R403" s="30">
        <f>SUM(Таблица15[[#This Row],[ПР-Сумма]],Таблица15[[#This Row],[Сумма]],Таблица15[[#This Row],[Прочие]])</f>
        <v>0</v>
      </c>
    </row>
    <row r="404" spans="16:18" x14ac:dyDescent="0.2">
      <c r="P404" s="32">
        <v>0</v>
      </c>
      <c r="R404" s="30">
        <f>SUM(Таблица15[[#This Row],[ПР-Сумма]],Таблица15[[#This Row],[Сумма]],Таблица15[[#This Row],[Прочие]])</f>
        <v>0</v>
      </c>
    </row>
    <row r="405" spans="16:18" x14ac:dyDescent="0.2">
      <c r="P405" s="32">
        <v>0</v>
      </c>
      <c r="R405" s="30">
        <f>SUM(Таблица15[[#This Row],[ПР-Сумма]],Таблица15[[#This Row],[Сумма]],Таблица15[[#This Row],[Прочие]])</f>
        <v>0</v>
      </c>
    </row>
    <row r="406" spans="16:18" x14ac:dyDescent="0.2">
      <c r="P406" s="32">
        <v>0</v>
      </c>
      <c r="R406" s="30">
        <f>SUM(Таблица15[[#This Row],[ПР-Сумма]],Таблица15[[#This Row],[Сумма]],Таблица15[[#This Row],[Прочие]])</f>
        <v>0</v>
      </c>
    </row>
    <row r="407" spans="16:18" x14ac:dyDescent="0.2">
      <c r="P407" s="32">
        <v>0</v>
      </c>
      <c r="R407" s="30">
        <f>SUM(Таблица15[[#This Row],[ПР-Сумма]],Таблица15[[#This Row],[Сумма]],Таблица15[[#This Row],[Прочие]])</f>
        <v>0</v>
      </c>
    </row>
    <row r="408" spans="16:18" x14ac:dyDescent="0.2">
      <c r="P408" s="32">
        <v>0</v>
      </c>
      <c r="R408" s="30">
        <f>SUM(Таблица15[[#This Row],[ПР-Сумма]],Таблица15[[#This Row],[Сумма]],Таблица15[[#This Row],[Прочие]])</f>
        <v>0</v>
      </c>
    </row>
    <row r="409" spans="16:18" x14ac:dyDescent="0.2">
      <c r="P409" s="32">
        <v>0</v>
      </c>
      <c r="R409" s="30">
        <f>SUM(Таблица15[[#This Row],[ПР-Сумма]],Таблица15[[#This Row],[Сумма]],Таблица15[[#This Row],[Прочие]])</f>
        <v>0</v>
      </c>
    </row>
    <row r="410" spans="16:18" x14ac:dyDescent="0.2">
      <c r="P410" s="32">
        <v>0</v>
      </c>
      <c r="R410" s="30">
        <f>SUM(Таблица15[[#This Row],[ПР-Сумма]],Таблица15[[#This Row],[Сумма]],Таблица15[[#This Row],[Прочие]])</f>
        <v>0</v>
      </c>
    </row>
    <row r="411" spans="16:18" x14ac:dyDescent="0.2">
      <c r="P411" s="32">
        <v>0</v>
      </c>
      <c r="R411" s="30">
        <f>SUM(Таблица15[[#This Row],[ПР-Сумма]],Таблица15[[#This Row],[Сумма]],Таблица15[[#This Row],[Прочие]])</f>
        <v>0</v>
      </c>
    </row>
    <row r="412" spans="16:18" x14ac:dyDescent="0.2">
      <c r="P412" s="32">
        <v>0</v>
      </c>
      <c r="R412" s="30">
        <f>SUM(Таблица15[[#This Row],[ПР-Сумма]],Таблица15[[#This Row],[Сумма]],Таблица15[[#This Row],[Прочие]])</f>
        <v>0</v>
      </c>
    </row>
    <row r="413" spans="16:18" x14ac:dyDescent="0.2">
      <c r="P413" s="32">
        <v>0</v>
      </c>
      <c r="R413" s="30">
        <f>SUM(Таблица15[[#This Row],[ПР-Сумма]],Таблица15[[#This Row],[Сумма]],Таблица15[[#This Row],[Прочие]])</f>
        <v>0</v>
      </c>
    </row>
    <row r="414" spans="16:18" x14ac:dyDescent="0.2">
      <c r="P414" s="32">
        <v>0</v>
      </c>
      <c r="R414" s="30">
        <f>SUM(Таблица15[[#This Row],[ПР-Сумма]],Таблица15[[#This Row],[Сумма]],Таблица15[[#This Row],[Прочие]])</f>
        <v>0</v>
      </c>
    </row>
    <row r="415" spans="16:18" x14ac:dyDescent="0.2">
      <c r="P415" s="32">
        <v>0</v>
      </c>
      <c r="R415" s="30">
        <f>SUM(Таблица15[[#This Row],[ПР-Сумма]],Таблица15[[#This Row],[Сумма]],Таблица15[[#This Row],[Прочие]])</f>
        <v>0</v>
      </c>
    </row>
    <row r="416" spans="16:18" x14ac:dyDescent="0.2">
      <c r="P416" s="32">
        <v>0</v>
      </c>
      <c r="R416" s="30">
        <f>SUM(Таблица15[[#This Row],[ПР-Сумма]],Таблица15[[#This Row],[Сумма]],Таблица15[[#This Row],[Прочие]])</f>
        <v>0</v>
      </c>
    </row>
    <row r="417" spans="16:18" x14ac:dyDescent="0.2">
      <c r="P417" s="32">
        <v>0</v>
      </c>
      <c r="R417" s="30">
        <f>SUM(Таблица15[[#This Row],[ПР-Сумма]],Таблица15[[#This Row],[Сумма]],Таблица15[[#This Row],[Прочие]])</f>
        <v>0</v>
      </c>
    </row>
    <row r="418" spans="16:18" x14ac:dyDescent="0.2">
      <c r="P418" s="32">
        <v>0</v>
      </c>
      <c r="R418" s="30">
        <f>SUM(Таблица15[[#This Row],[ПР-Сумма]],Таблица15[[#This Row],[Сумма]],Таблица15[[#This Row],[Прочие]])</f>
        <v>0</v>
      </c>
    </row>
    <row r="419" spans="16:18" x14ac:dyDescent="0.2">
      <c r="P419" s="32">
        <v>0</v>
      </c>
      <c r="R419" s="30">
        <f>SUM(Таблица15[[#This Row],[ПР-Сумма]],Таблица15[[#This Row],[Сумма]],Таблица15[[#This Row],[Прочие]])</f>
        <v>0</v>
      </c>
    </row>
    <row r="420" spans="16:18" x14ac:dyDescent="0.2">
      <c r="P420" s="32">
        <v>0</v>
      </c>
      <c r="R420" s="30">
        <f>SUM(Таблица15[[#This Row],[ПР-Сумма]],Таблица15[[#This Row],[Сумма]],Таблица15[[#This Row],[Прочие]])</f>
        <v>0</v>
      </c>
    </row>
    <row r="421" spans="16:18" x14ac:dyDescent="0.2">
      <c r="P421" s="32">
        <v>0</v>
      </c>
      <c r="R421" s="30">
        <f>SUM(Таблица15[[#This Row],[ПР-Сумма]],Таблица15[[#This Row],[Сумма]],Таблица15[[#This Row],[Прочие]])</f>
        <v>0</v>
      </c>
    </row>
    <row r="422" spans="16:18" x14ac:dyDescent="0.2">
      <c r="P422" s="32">
        <v>0</v>
      </c>
      <c r="R422" s="30">
        <f>SUM(Таблица15[[#This Row],[ПР-Сумма]],Таблица15[[#This Row],[Сумма]],Таблица15[[#This Row],[Прочие]])</f>
        <v>0</v>
      </c>
    </row>
    <row r="423" spans="16:18" x14ac:dyDescent="0.2">
      <c r="P423" s="32">
        <v>0</v>
      </c>
      <c r="R423" s="30">
        <f>SUM(Таблица15[[#This Row],[ПР-Сумма]],Таблица15[[#This Row],[Сумма]],Таблица15[[#This Row],[Прочие]])</f>
        <v>0</v>
      </c>
    </row>
    <row r="424" spans="16:18" x14ac:dyDescent="0.2">
      <c r="P424" s="32">
        <v>0</v>
      </c>
      <c r="R424" s="30">
        <f>SUM(Таблица15[[#This Row],[ПР-Сумма]],Таблица15[[#This Row],[Сумма]],Таблица15[[#This Row],[Прочие]])</f>
        <v>0</v>
      </c>
    </row>
    <row r="425" spans="16:18" x14ac:dyDescent="0.2">
      <c r="P425" s="32">
        <v>0</v>
      </c>
      <c r="R425" s="30">
        <f>SUM(Таблица15[[#This Row],[ПР-Сумма]],Таблица15[[#This Row],[Сумма]],Таблица15[[#This Row],[Прочие]])</f>
        <v>0</v>
      </c>
    </row>
    <row r="426" spans="16:18" x14ac:dyDescent="0.2">
      <c r="P426" s="32">
        <v>0</v>
      </c>
      <c r="R426" s="30">
        <f>SUM(Таблица15[[#This Row],[ПР-Сумма]],Таблица15[[#This Row],[Сумма]],Таблица15[[#This Row],[Прочие]])</f>
        <v>0</v>
      </c>
    </row>
    <row r="427" spans="16:18" x14ac:dyDescent="0.2">
      <c r="P427" s="32">
        <v>0</v>
      </c>
      <c r="R427" s="30">
        <f>SUM(Таблица15[[#This Row],[ПР-Сумма]],Таблица15[[#This Row],[Сумма]],Таблица15[[#This Row],[Прочие]])</f>
        <v>0</v>
      </c>
    </row>
    <row r="428" spans="16:18" x14ac:dyDescent="0.2">
      <c r="P428" s="32">
        <v>0</v>
      </c>
      <c r="R428" s="30">
        <f>SUM(Таблица15[[#This Row],[ПР-Сумма]],Таблица15[[#This Row],[Сумма]],Таблица15[[#This Row],[Прочие]])</f>
        <v>0</v>
      </c>
    </row>
    <row r="429" spans="16:18" x14ac:dyDescent="0.2">
      <c r="P429" s="32">
        <v>0</v>
      </c>
      <c r="R429" s="30">
        <f>SUM(Таблица15[[#This Row],[ПР-Сумма]],Таблица15[[#This Row],[Сумма]],Таблица15[[#This Row],[Прочие]])</f>
        <v>0</v>
      </c>
    </row>
    <row r="430" spans="16:18" x14ac:dyDescent="0.2">
      <c r="P430" s="32">
        <v>0</v>
      </c>
      <c r="R430" s="30">
        <f>SUM(Таблица15[[#This Row],[ПР-Сумма]],Таблица15[[#This Row],[Сумма]],Таблица15[[#This Row],[Прочие]])</f>
        <v>0</v>
      </c>
    </row>
    <row r="431" spans="16:18" x14ac:dyDescent="0.2">
      <c r="P431" s="32">
        <v>0</v>
      </c>
      <c r="R431" s="30">
        <f>SUM(Таблица15[[#This Row],[ПР-Сумма]],Таблица15[[#This Row],[Сумма]],Таблица15[[#This Row],[Прочие]])</f>
        <v>0</v>
      </c>
    </row>
    <row r="432" spans="16:18" x14ac:dyDescent="0.2">
      <c r="P432" s="32">
        <v>0</v>
      </c>
      <c r="R432" s="30">
        <f>SUM(Таблица15[[#This Row],[ПР-Сумма]],Таблица15[[#This Row],[Сумма]],Таблица15[[#This Row],[Прочие]])</f>
        <v>0</v>
      </c>
    </row>
    <row r="433" spans="16:18" x14ac:dyDescent="0.2">
      <c r="P433" s="32">
        <v>0</v>
      </c>
      <c r="R433" s="30">
        <f>SUM(Таблица15[[#This Row],[ПР-Сумма]],Таблица15[[#This Row],[Сумма]],Таблица15[[#This Row],[Прочие]])</f>
        <v>0</v>
      </c>
    </row>
    <row r="434" spans="16:18" x14ac:dyDescent="0.2">
      <c r="P434" s="32">
        <v>0</v>
      </c>
      <c r="R434" s="30">
        <f>SUM(Таблица15[[#This Row],[ПР-Сумма]],Таблица15[[#This Row],[Сумма]],Таблица15[[#This Row],[Прочие]])</f>
        <v>0</v>
      </c>
    </row>
    <row r="435" spans="16:18" x14ac:dyDescent="0.2">
      <c r="P435" s="32">
        <v>0</v>
      </c>
      <c r="R435" s="30">
        <f>SUM(Таблица15[[#This Row],[ПР-Сумма]],Таблица15[[#This Row],[Сумма]],Таблица15[[#This Row],[Прочие]])</f>
        <v>0</v>
      </c>
    </row>
    <row r="436" spans="16:18" x14ac:dyDescent="0.2">
      <c r="P436" s="32">
        <v>0</v>
      </c>
      <c r="R436" s="30">
        <f>SUM(Таблица15[[#This Row],[ПР-Сумма]],Таблица15[[#This Row],[Сумма]],Таблица15[[#This Row],[Прочие]])</f>
        <v>0</v>
      </c>
    </row>
    <row r="437" spans="16:18" x14ac:dyDescent="0.2">
      <c r="P437" s="32">
        <v>0</v>
      </c>
      <c r="R437" s="30">
        <f>SUM(Таблица15[[#This Row],[ПР-Сумма]],Таблица15[[#This Row],[Сумма]],Таблица15[[#This Row],[Прочие]])</f>
        <v>0</v>
      </c>
    </row>
    <row r="438" spans="16:18" x14ac:dyDescent="0.2">
      <c r="P438" s="32">
        <v>0</v>
      </c>
      <c r="R438" s="30">
        <f>SUM(Таблица15[[#This Row],[ПР-Сумма]],Таблица15[[#This Row],[Сумма]],Таблица15[[#This Row],[Прочие]])</f>
        <v>0</v>
      </c>
    </row>
    <row r="439" spans="16:18" x14ac:dyDescent="0.2">
      <c r="P439" s="32">
        <v>0</v>
      </c>
      <c r="R439" s="30">
        <f>SUM(Таблица15[[#This Row],[ПР-Сумма]],Таблица15[[#This Row],[Сумма]],Таблица15[[#This Row],[Прочие]])</f>
        <v>0</v>
      </c>
    </row>
    <row r="440" spans="16:18" x14ac:dyDescent="0.2">
      <c r="P440" s="32">
        <v>0</v>
      </c>
      <c r="R440" s="30">
        <f>SUM(Таблица15[[#This Row],[ПР-Сумма]],Таблица15[[#This Row],[Сумма]],Таблица15[[#This Row],[Прочие]])</f>
        <v>0</v>
      </c>
    </row>
    <row r="441" spans="16:18" x14ac:dyDescent="0.2">
      <c r="P441" s="32">
        <v>0</v>
      </c>
      <c r="R441" s="30">
        <f>SUM(Таблица15[[#This Row],[ПР-Сумма]],Таблица15[[#This Row],[Сумма]],Таблица15[[#This Row],[Прочие]])</f>
        <v>0</v>
      </c>
    </row>
    <row r="442" spans="16:18" x14ac:dyDescent="0.2">
      <c r="P442" s="32">
        <v>0</v>
      </c>
      <c r="R442" s="30">
        <f>SUM(Таблица15[[#This Row],[ПР-Сумма]],Таблица15[[#This Row],[Сумма]],Таблица15[[#This Row],[Прочие]])</f>
        <v>0</v>
      </c>
    </row>
    <row r="443" spans="16:18" x14ac:dyDescent="0.2">
      <c r="P443" s="32">
        <v>0</v>
      </c>
      <c r="R443" s="30">
        <f>SUM(Таблица15[[#This Row],[ПР-Сумма]],Таблица15[[#This Row],[Сумма]],Таблица15[[#This Row],[Прочие]])</f>
        <v>0</v>
      </c>
    </row>
    <row r="444" spans="16:18" x14ac:dyDescent="0.2">
      <c r="P444" s="32">
        <v>0</v>
      </c>
      <c r="R444" s="30">
        <f>SUM(Таблица15[[#This Row],[ПР-Сумма]],Таблица15[[#This Row],[Сумма]],Таблица15[[#This Row],[Прочие]])</f>
        <v>0</v>
      </c>
    </row>
    <row r="445" spans="16:18" x14ac:dyDescent="0.2">
      <c r="P445" s="32">
        <v>0</v>
      </c>
      <c r="R445" s="30">
        <f>SUM(Таблица15[[#This Row],[ПР-Сумма]],Таблица15[[#This Row],[Сумма]],Таблица15[[#This Row],[Прочие]])</f>
        <v>0</v>
      </c>
    </row>
    <row r="446" spans="16:18" x14ac:dyDescent="0.2">
      <c r="P446" s="32">
        <v>0</v>
      </c>
      <c r="R446" s="30">
        <f>SUM(Таблица15[[#This Row],[ПР-Сумма]],Таблица15[[#This Row],[Сумма]],Таблица15[[#This Row],[Прочие]])</f>
        <v>0</v>
      </c>
    </row>
    <row r="447" spans="16:18" x14ac:dyDescent="0.2">
      <c r="P447" s="32">
        <v>0</v>
      </c>
      <c r="R447" s="30">
        <f>SUM(Таблица15[[#This Row],[ПР-Сумма]],Таблица15[[#This Row],[Сумма]],Таблица15[[#This Row],[Прочие]])</f>
        <v>0</v>
      </c>
    </row>
    <row r="448" spans="16:18" x14ac:dyDescent="0.2">
      <c r="P448" s="32">
        <v>0</v>
      </c>
      <c r="R448" s="30">
        <f>SUM(Таблица15[[#This Row],[ПР-Сумма]],Таблица15[[#This Row],[Сумма]],Таблица15[[#This Row],[Прочие]])</f>
        <v>0</v>
      </c>
    </row>
    <row r="449" spans="16:18" x14ac:dyDescent="0.2">
      <c r="P449" s="32">
        <v>0</v>
      </c>
      <c r="R449" s="30">
        <f>SUM(Таблица15[[#This Row],[ПР-Сумма]],Таблица15[[#This Row],[Сумма]],Таблица15[[#This Row],[Прочие]])</f>
        <v>0</v>
      </c>
    </row>
    <row r="450" spans="16:18" x14ac:dyDescent="0.2">
      <c r="P450" s="32">
        <v>0</v>
      </c>
      <c r="R450" s="30">
        <f>SUM(Таблица15[[#This Row],[ПР-Сумма]],Таблица15[[#This Row],[Сумма]],Таблица15[[#This Row],[Прочие]])</f>
        <v>0</v>
      </c>
    </row>
    <row r="451" spans="16:18" x14ac:dyDescent="0.2">
      <c r="P451" s="32">
        <v>0</v>
      </c>
      <c r="R451" s="30">
        <f>SUM(Таблица15[[#This Row],[ПР-Сумма]],Таблица15[[#This Row],[Сумма]],Таблица15[[#This Row],[Прочие]])</f>
        <v>0</v>
      </c>
    </row>
    <row r="452" spans="16:18" x14ac:dyDescent="0.2">
      <c r="P452" s="32">
        <v>0</v>
      </c>
      <c r="R452" s="30">
        <f>SUM(Таблица15[[#This Row],[ПР-Сумма]],Таблица15[[#This Row],[Сумма]],Таблица15[[#This Row],[Прочие]])</f>
        <v>0</v>
      </c>
    </row>
    <row r="453" spans="16:18" x14ac:dyDescent="0.2">
      <c r="P453" s="32">
        <v>0</v>
      </c>
      <c r="R453" s="30">
        <f>SUM(Таблица15[[#This Row],[ПР-Сумма]],Таблица15[[#This Row],[Сумма]],Таблица15[[#This Row],[Прочие]])</f>
        <v>0</v>
      </c>
    </row>
    <row r="454" spans="16:18" x14ac:dyDescent="0.2">
      <c r="P454" s="32">
        <v>0</v>
      </c>
      <c r="R454" s="30">
        <f>SUM(Таблица15[[#This Row],[ПР-Сумма]],Таблица15[[#This Row],[Сумма]],Таблица15[[#This Row],[Прочие]])</f>
        <v>0</v>
      </c>
    </row>
    <row r="455" spans="16:18" x14ac:dyDescent="0.2">
      <c r="P455" s="32">
        <v>0</v>
      </c>
      <c r="R455" s="30">
        <f>SUM(Таблица15[[#This Row],[ПР-Сумма]],Таблица15[[#This Row],[Сумма]],Таблица15[[#This Row],[Прочие]])</f>
        <v>0</v>
      </c>
    </row>
    <row r="456" spans="16:18" x14ac:dyDescent="0.2">
      <c r="P456" s="32">
        <v>0</v>
      </c>
      <c r="R456" s="30">
        <f>SUM(Таблица15[[#This Row],[ПР-Сумма]],Таблица15[[#This Row],[Сумма]],Таблица15[[#This Row],[Прочие]])</f>
        <v>0</v>
      </c>
    </row>
    <row r="457" spans="16:18" x14ac:dyDescent="0.2">
      <c r="P457" s="32">
        <v>0</v>
      </c>
      <c r="R457" s="30">
        <f>SUM(Таблица15[[#This Row],[ПР-Сумма]],Таблица15[[#This Row],[Сумма]],Таблица15[[#This Row],[Прочие]])</f>
        <v>0</v>
      </c>
    </row>
    <row r="458" spans="16:18" x14ac:dyDescent="0.2">
      <c r="P458" s="32">
        <v>0</v>
      </c>
      <c r="R458" s="30">
        <f>SUM(Таблица15[[#This Row],[ПР-Сумма]],Таблица15[[#This Row],[Сумма]],Таблица15[[#This Row],[Прочие]])</f>
        <v>0</v>
      </c>
    </row>
    <row r="459" spans="16:18" x14ac:dyDescent="0.2">
      <c r="P459" s="32">
        <v>0</v>
      </c>
      <c r="R459" s="30">
        <f>SUM(Таблица15[[#This Row],[ПР-Сумма]],Таблица15[[#This Row],[Сумма]],Таблица15[[#This Row],[Прочие]])</f>
        <v>0</v>
      </c>
    </row>
    <row r="460" spans="16:18" x14ac:dyDescent="0.2">
      <c r="P460" s="32">
        <v>0</v>
      </c>
      <c r="R460" s="30">
        <f>SUM(Таблица15[[#This Row],[ПР-Сумма]],Таблица15[[#This Row],[Сумма]],Таблица15[[#This Row],[Прочие]])</f>
        <v>0</v>
      </c>
    </row>
    <row r="461" spans="16:18" x14ac:dyDescent="0.2">
      <c r="P461" s="32">
        <v>0</v>
      </c>
      <c r="R461" s="30">
        <f>SUM(Таблица15[[#This Row],[ПР-Сумма]],Таблица15[[#This Row],[Сумма]],Таблица15[[#This Row],[Прочие]])</f>
        <v>0</v>
      </c>
    </row>
    <row r="462" spans="16:18" x14ac:dyDescent="0.2">
      <c r="P462" s="32">
        <v>0</v>
      </c>
      <c r="R462" s="30">
        <f>SUM(Таблица15[[#This Row],[ПР-Сумма]],Таблица15[[#This Row],[Сумма]],Таблица15[[#This Row],[Прочие]])</f>
        <v>0</v>
      </c>
    </row>
    <row r="463" spans="16:18" x14ac:dyDescent="0.2">
      <c r="P463" s="32">
        <v>0</v>
      </c>
      <c r="R463" s="30">
        <f>SUM(Таблица15[[#This Row],[ПР-Сумма]],Таблица15[[#This Row],[Сумма]],Таблица15[[#This Row],[Прочие]])</f>
        <v>0</v>
      </c>
    </row>
    <row r="464" spans="16:18" x14ac:dyDescent="0.2">
      <c r="P464" s="32">
        <v>0</v>
      </c>
      <c r="R464" s="30">
        <f>SUM(Таблица15[[#This Row],[ПР-Сумма]],Таблица15[[#This Row],[Сумма]],Таблица15[[#This Row],[Прочие]])</f>
        <v>0</v>
      </c>
    </row>
    <row r="465" spans="16:18" x14ac:dyDescent="0.2">
      <c r="P465" s="32">
        <v>0</v>
      </c>
      <c r="R465" s="30">
        <f>SUM(Таблица15[[#This Row],[ПР-Сумма]],Таблица15[[#This Row],[Сумма]],Таблица15[[#This Row],[Прочие]])</f>
        <v>0</v>
      </c>
    </row>
    <row r="466" spans="16:18" x14ac:dyDescent="0.2">
      <c r="P466" s="32">
        <v>0</v>
      </c>
      <c r="R466" s="30">
        <f>SUM(Таблица15[[#This Row],[ПР-Сумма]],Таблица15[[#This Row],[Сумма]],Таблица15[[#This Row],[Прочие]])</f>
        <v>0</v>
      </c>
    </row>
    <row r="467" spans="16:18" x14ac:dyDescent="0.2">
      <c r="P467" s="32">
        <v>0</v>
      </c>
      <c r="R467" s="30">
        <f>SUM(Таблица15[[#This Row],[ПР-Сумма]],Таблица15[[#This Row],[Сумма]],Таблица15[[#This Row],[Прочие]])</f>
        <v>0</v>
      </c>
    </row>
    <row r="468" spans="16:18" x14ac:dyDescent="0.2">
      <c r="P468" s="32">
        <v>0</v>
      </c>
      <c r="R468" s="30">
        <f>SUM(Таблица15[[#This Row],[ПР-Сумма]],Таблица15[[#This Row],[Сумма]],Таблица15[[#This Row],[Прочие]])</f>
        <v>0</v>
      </c>
    </row>
    <row r="469" spans="16:18" x14ac:dyDescent="0.2">
      <c r="P469" s="32">
        <v>0</v>
      </c>
      <c r="R469" s="30">
        <f>SUM(Таблица15[[#This Row],[ПР-Сумма]],Таблица15[[#This Row],[Сумма]],Таблица15[[#This Row],[Прочие]])</f>
        <v>0</v>
      </c>
    </row>
    <row r="470" spans="16:18" x14ac:dyDescent="0.2">
      <c r="P470" s="32">
        <v>0</v>
      </c>
      <c r="R470" s="30">
        <f>SUM(Таблица15[[#This Row],[ПР-Сумма]],Таблица15[[#This Row],[Сумма]],Таблица15[[#This Row],[Прочие]])</f>
        <v>0</v>
      </c>
    </row>
    <row r="471" spans="16:18" x14ac:dyDescent="0.2">
      <c r="P471" s="32">
        <v>0</v>
      </c>
      <c r="R471" s="30">
        <f>SUM(Таблица15[[#This Row],[ПР-Сумма]],Таблица15[[#This Row],[Сумма]],Таблица15[[#This Row],[Прочие]])</f>
        <v>0</v>
      </c>
    </row>
    <row r="472" spans="16:18" x14ac:dyDescent="0.2">
      <c r="P472" s="32">
        <v>0</v>
      </c>
      <c r="R472" s="30">
        <f>SUM(Таблица15[[#This Row],[ПР-Сумма]],Таблица15[[#This Row],[Сумма]],Таблица15[[#This Row],[Прочие]])</f>
        <v>0</v>
      </c>
    </row>
    <row r="473" spans="16:18" x14ac:dyDescent="0.2">
      <c r="P473" s="32">
        <v>0</v>
      </c>
      <c r="R473" s="30">
        <f>SUM(Таблица15[[#This Row],[ПР-Сумма]],Таблица15[[#This Row],[Сумма]],Таблица15[[#This Row],[Прочие]])</f>
        <v>0</v>
      </c>
    </row>
    <row r="474" spans="16:18" x14ac:dyDescent="0.2">
      <c r="P474" s="32">
        <v>0</v>
      </c>
      <c r="R474" s="30">
        <f>SUM(Таблица15[[#This Row],[ПР-Сумма]],Таблица15[[#This Row],[Сумма]],Таблица15[[#This Row],[Прочие]])</f>
        <v>0</v>
      </c>
    </row>
    <row r="475" spans="16:18" x14ac:dyDescent="0.2">
      <c r="P475" s="32">
        <v>0</v>
      </c>
      <c r="R475" s="30">
        <f>SUM(Таблица15[[#This Row],[ПР-Сумма]],Таблица15[[#This Row],[Сумма]],Таблица15[[#This Row],[Прочие]])</f>
        <v>0</v>
      </c>
    </row>
    <row r="476" spans="16:18" x14ac:dyDescent="0.2">
      <c r="P476" s="32">
        <v>0</v>
      </c>
      <c r="R476" s="30">
        <f>SUM(Таблица15[[#This Row],[ПР-Сумма]],Таблица15[[#This Row],[Сумма]],Таблица15[[#This Row],[Прочие]])</f>
        <v>0</v>
      </c>
    </row>
    <row r="477" spans="16:18" x14ac:dyDescent="0.2">
      <c r="P477" s="32">
        <v>0</v>
      </c>
      <c r="R477" s="30">
        <f>SUM(Таблица15[[#This Row],[ПР-Сумма]],Таблица15[[#This Row],[Сумма]],Таблица15[[#This Row],[Прочие]])</f>
        <v>0</v>
      </c>
    </row>
    <row r="478" spans="16:18" x14ac:dyDescent="0.2">
      <c r="P478" s="32">
        <v>0</v>
      </c>
      <c r="R478" s="30">
        <f>SUM(Таблица15[[#This Row],[ПР-Сумма]],Таблица15[[#This Row],[Сумма]],Таблица15[[#This Row],[Прочие]])</f>
        <v>0</v>
      </c>
    </row>
    <row r="479" spans="16:18" x14ac:dyDescent="0.2">
      <c r="P479" s="32">
        <v>0</v>
      </c>
      <c r="R479" s="30">
        <f>SUM(Таблица15[[#This Row],[ПР-Сумма]],Таблица15[[#This Row],[Сумма]],Таблица15[[#This Row],[Прочие]])</f>
        <v>0</v>
      </c>
    </row>
    <row r="480" spans="16:18" x14ac:dyDescent="0.2">
      <c r="P480" s="32">
        <v>0</v>
      </c>
      <c r="R480" s="30">
        <f>SUM(Таблица15[[#This Row],[ПР-Сумма]],Таблица15[[#This Row],[Сумма]],Таблица15[[#This Row],[Прочие]])</f>
        <v>0</v>
      </c>
    </row>
    <row r="481" spans="16:18" x14ac:dyDescent="0.2">
      <c r="P481" s="32">
        <v>0</v>
      </c>
      <c r="R481" s="30">
        <f>SUM(Таблица15[[#This Row],[ПР-Сумма]],Таблица15[[#This Row],[Сумма]],Таблица15[[#This Row],[Прочие]])</f>
        <v>0</v>
      </c>
    </row>
    <row r="482" spans="16:18" x14ac:dyDescent="0.2">
      <c r="P482" s="32">
        <v>0</v>
      </c>
      <c r="R482" s="30">
        <f>SUM(Таблица15[[#This Row],[ПР-Сумма]],Таблица15[[#This Row],[Сумма]],Таблица15[[#This Row],[Прочие]])</f>
        <v>0</v>
      </c>
    </row>
    <row r="483" spans="16:18" x14ac:dyDescent="0.2">
      <c r="P483" s="32">
        <v>0</v>
      </c>
      <c r="R483" s="30">
        <f>SUM(Таблица15[[#This Row],[ПР-Сумма]],Таблица15[[#This Row],[Сумма]],Таблица15[[#This Row],[Прочие]])</f>
        <v>0</v>
      </c>
    </row>
    <row r="484" spans="16:18" x14ac:dyDescent="0.2">
      <c r="P484" s="32">
        <v>0</v>
      </c>
      <c r="R484" s="30">
        <f>SUM(Таблица15[[#This Row],[ПР-Сумма]],Таблица15[[#This Row],[Сумма]],Таблица15[[#This Row],[Прочие]])</f>
        <v>0</v>
      </c>
    </row>
    <row r="485" spans="16:18" x14ac:dyDescent="0.2">
      <c r="P485" s="32">
        <v>0</v>
      </c>
      <c r="R485" s="30">
        <f>SUM(Таблица15[[#This Row],[ПР-Сумма]],Таблица15[[#This Row],[Сумма]],Таблица15[[#This Row],[Прочие]])</f>
        <v>0</v>
      </c>
    </row>
    <row r="486" spans="16:18" x14ac:dyDescent="0.2">
      <c r="P486" s="32">
        <v>0</v>
      </c>
      <c r="R486" s="30">
        <f>SUM(Таблица15[[#This Row],[ПР-Сумма]],Таблица15[[#This Row],[Сумма]],Таблица15[[#This Row],[Прочие]])</f>
        <v>0</v>
      </c>
    </row>
    <row r="487" spans="16:18" x14ac:dyDescent="0.2">
      <c r="P487" s="32">
        <v>0</v>
      </c>
      <c r="R487" s="30">
        <f>SUM(Таблица15[[#This Row],[ПР-Сумма]],Таблица15[[#This Row],[Сумма]],Таблица15[[#This Row],[Прочие]])</f>
        <v>0</v>
      </c>
    </row>
    <row r="488" spans="16:18" x14ac:dyDescent="0.2">
      <c r="P488" s="32">
        <v>0</v>
      </c>
      <c r="R488" s="30">
        <f>SUM(Таблица15[[#This Row],[ПР-Сумма]],Таблица15[[#This Row],[Сумма]],Таблица15[[#This Row],[Прочие]])</f>
        <v>0</v>
      </c>
    </row>
    <row r="489" spans="16:18" x14ac:dyDescent="0.2">
      <c r="P489" s="32">
        <v>0</v>
      </c>
      <c r="R489" s="30">
        <f>SUM(Таблица15[[#This Row],[ПР-Сумма]],Таблица15[[#This Row],[Сумма]],Таблица15[[#This Row],[Прочие]])</f>
        <v>0</v>
      </c>
    </row>
    <row r="490" spans="16:18" x14ac:dyDescent="0.2">
      <c r="P490" s="32">
        <v>0</v>
      </c>
      <c r="R490" s="30">
        <f>SUM(Таблица15[[#This Row],[ПР-Сумма]],Таблица15[[#This Row],[Сумма]],Таблица15[[#This Row],[Прочие]])</f>
        <v>0</v>
      </c>
    </row>
    <row r="491" spans="16:18" x14ac:dyDescent="0.2">
      <c r="P491" s="32">
        <v>0</v>
      </c>
      <c r="R491" s="30">
        <f>SUM(Таблица15[[#This Row],[ПР-Сумма]],Таблица15[[#This Row],[Сумма]],Таблица15[[#This Row],[Прочие]])</f>
        <v>0</v>
      </c>
    </row>
    <row r="492" spans="16:18" x14ac:dyDescent="0.2">
      <c r="P492" s="32">
        <v>0</v>
      </c>
      <c r="R492" s="30">
        <f>SUM(Таблица15[[#This Row],[ПР-Сумма]],Таблица15[[#This Row],[Сумма]],Таблица15[[#This Row],[Прочие]])</f>
        <v>0</v>
      </c>
    </row>
    <row r="493" spans="16:18" x14ac:dyDescent="0.2">
      <c r="P493" s="32">
        <v>0</v>
      </c>
      <c r="R493" s="30">
        <f>SUM(Таблица15[[#This Row],[ПР-Сумма]],Таблица15[[#This Row],[Сумма]],Таблица15[[#This Row],[Прочие]])</f>
        <v>0</v>
      </c>
    </row>
    <row r="494" spans="16:18" x14ac:dyDescent="0.2">
      <c r="P494" s="32">
        <v>0</v>
      </c>
      <c r="R494" s="30">
        <f>SUM(Таблица15[[#This Row],[ПР-Сумма]],Таблица15[[#This Row],[Сумма]],Таблица15[[#This Row],[Прочие]])</f>
        <v>0</v>
      </c>
    </row>
    <row r="495" spans="16:18" x14ac:dyDescent="0.2">
      <c r="P495" s="32">
        <v>0</v>
      </c>
      <c r="R495" s="30">
        <f>SUM(Таблица15[[#This Row],[ПР-Сумма]],Таблица15[[#This Row],[Сумма]],Таблица15[[#This Row],[Прочие]])</f>
        <v>0</v>
      </c>
    </row>
    <row r="496" spans="16:18" x14ac:dyDescent="0.2">
      <c r="P496" s="32">
        <v>0</v>
      </c>
      <c r="R496" s="30">
        <f>SUM(Таблица15[[#This Row],[ПР-Сумма]],Таблица15[[#This Row],[Сумма]],Таблица15[[#This Row],[Прочие]])</f>
        <v>0</v>
      </c>
    </row>
    <row r="497" spans="16:19" x14ac:dyDescent="0.2">
      <c r="P497" s="32">
        <v>0</v>
      </c>
      <c r="R497" s="30">
        <f>SUM(Таблица15[[#This Row],[ПР-Сумма]],Таблица15[[#This Row],[Сумма]],Таблица15[[#This Row],[Прочие]])</f>
        <v>0</v>
      </c>
    </row>
    <row r="498" spans="16:19" x14ac:dyDescent="0.2">
      <c r="P498" s="32">
        <v>0</v>
      </c>
      <c r="R498" s="30">
        <f>SUM(Таблица15[[#This Row],[ПР-Сумма]],Таблица15[[#This Row],[Сумма]],Таблица15[[#This Row],[Прочие]])</f>
        <v>0</v>
      </c>
    </row>
    <row r="499" spans="16:19" x14ac:dyDescent="0.2">
      <c r="P499" s="32"/>
      <c r="R499" s="30">
        <f>SUM(Таблица15[[#This Row],[ПР-Сумма]],Таблица15[[#This Row],[Сумма]],Таблица15[[#This Row],[Прочие]])</f>
        <v>0</v>
      </c>
    </row>
    <row r="500" spans="16:19" x14ac:dyDescent="0.2">
      <c r="P500" s="32"/>
      <c r="R500" s="30">
        <f>SUM(Таблица15[[#This Row],[ПР-Сумма]],Таблица15[[#This Row],[Сумма]],Таблица15[[#This Row],[Прочие]])</f>
        <v>0</v>
      </c>
    </row>
    <row r="501" spans="16:19" x14ac:dyDescent="0.2">
      <c r="P501" s="32"/>
      <c r="R501" s="30">
        <f>SUM(Таблица15[[#This Row],[ПР-Сумма]],Таблица15[[#This Row],[Сумма]],Таблица15[[#This Row],[Прочие]])</f>
        <v>0</v>
      </c>
    </row>
    <row r="502" spans="16:19" x14ac:dyDescent="0.2">
      <c r="P502" s="32"/>
      <c r="R502" s="30">
        <f>SUM(Таблица15[[#This Row],[ПР-Сумма]],Таблица15[[#This Row],[Сумма]],Таблица15[[#This Row],[Прочие]])</f>
        <v>0</v>
      </c>
    </row>
    <row r="503" spans="16:19" x14ac:dyDescent="0.2">
      <c r="P503" s="32"/>
      <c r="R503" s="30">
        <f>SUM(Таблица15[[#This Row],[ПР-Сумма]],Таблица15[[#This Row],[Сумма]],Таблица15[[#This Row],[Прочие]])</f>
        <v>0</v>
      </c>
    </row>
    <row r="504" spans="16:19" x14ac:dyDescent="0.2">
      <c r="P504" s="32"/>
      <c r="R504" s="30">
        <f>SUM(Таблица15[[#This Row],[ПР-Сумма]],Таблица15[[#This Row],[Сумма]],Таблица15[[#This Row],[Прочие]])</f>
        <v>0</v>
      </c>
    </row>
    <row r="505" spans="16:19" x14ac:dyDescent="0.2">
      <c r="P505" s="32"/>
      <c r="R505" s="30">
        <f>SUM(Таблица15[[#This Row],[ПР-Сумма]],Таблица15[[#This Row],[Сумма]],Таблица15[[#This Row],[Прочие]])</f>
        <v>0</v>
      </c>
    </row>
    <row r="506" spans="16:19" x14ac:dyDescent="0.2">
      <c r="P506" s="32"/>
      <c r="R506" s="30">
        <f>SUM(Таблица15[[#This Row],[ПР-Сумма]],Таблица15[[#This Row],[Сумма]],Таблица15[[#This Row],[Прочие]])</f>
        <v>0</v>
      </c>
    </row>
    <row r="507" spans="16:19" x14ac:dyDescent="0.2">
      <c r="P507" s="32"/>
      <c r="R507" s="30">
        <f>SUM(Таблица15[[#This Row],[ПР-Сумма]],Таблица15[[#This Row],[Сумма]],Таблица15[[#This Row],[Прочие]])</f>
        <v>0</v>
      </c>
    </row>
    <row r="508" spans="16:19" x14ac:dyDescent="0.2">
      <c r="P508" s="32"/>
      <c r="R508" s="30">
        <f>SUM(Таблица15[[#This Row],[ПР-Сумма]],Таблица15[[#This Row],[Сумма]],Таблица15[[#This Row],[Прочие]])</f>
        <v>0</v>
      </c>
    </row>
    <row r="509" spans="16:19" x14ac:dyDescent="0.2">
      <c r="P509" s="32"/>
      <c r="R509" s="30">
        <f>SUM(Таблица15[[#This Row],[ПР-Сумма]],Таблица15[[#This Row],[Сумма]],Таблица15[[#This Row],[Прочие]])</f>
        <v>0</v>
      </c>
    </row>
    <row r="510" spans="16:19" x14ac:dyDescent="0.2">
      <c r="P510" s="32"/>
      <c r="R510" s="30">
        <f>SUM(Таблица15[[#This Row],[ПР-Сумма]],Таблица15[[#This Row],[Сумма]],Таблица15[[#This Row],[Прочие]])</f>
        <v>0</v>
      </c>
    </row>
    <row r="511" spans="16:19" x14ac:dyDescent="0.2">
      <c r="P511" s="32"/>
      <c r="R511" s="30">
        <f>SUM(Таблица15[[#This Row],[ПР-Сумма]],Таблица15[[#This Row],[Сумма]],Таблица15[[#This Row],[Прочие]])</f>
        <v>0</v>
      </c>
    </row>
    <row r="512" spans="16:19" x14ac:dyDescent="0.2">
      <c r="P512" s="32"/>
      <c r="R512" s="30">
        <f>SUM(Таблица15[[#This Row],[ПР-Сумма]],Таблица15[[#This Row],[Сумма]],Таблица15[[#This Row],[Прочие]])</f>
        <v>0</v>
      </c>
      <c r="S512" s="30"/>
    </row>
    <row r="513" spans="16:19" x14ac:dyDescent="0.2">
      <c r="P513" s="32"/>
      <c r="R513" s="30">
        <f>SUM(Таблица15[[#This Row],[ПР-Сумма]],Таблица15[[#This Row],[Сумма]],Таблица15[[#This Row],[Прочие]])</f>
        <v>0</v>
      </c>
      <c r="S513" s="30"/>
    </row>
    <row r="514" spans="16:19" x14ac:dyDescent="0.2">
      <c r="P514" s="32"/>
      <c r="R514" s="30">
        <f>SUM(Таблица15[[#This Row],[ПР-Сумма]],Таблица15[[#This Row],[Сумма]],Таблица15[[#This Row],[Прочие]])</f>
        <v>0</v>
      </c>
      <c r="S514" s="30"/>
    </row>
    <row r="515" spans="16:19" x14ac:dyDescent="0.2">
      <c r="P515" s="32"/>
      <c r="R515" s="30">
        <f>SUM(Таблица15[[#This Row],[ПР-Сумма]],Таблица15[[#This Row],[Сумма]],Таблица15[[#This Row],[Прочие]])</f>
        <v>0</v>
      </c>
      <c r="S515" s="30"/>
    </row>
    <row r="516" spans="16:19" x14ac:dyDescent="0.2">
      <c r="P516" s="32"/>
      <c r="R516" s="30">
        <f>SUM(Таблица15[[#This Row],[ПР-Сумма]],Таблица15[[#This Row],[Сумма]],Таблица15[[#This Row],[Прочие]])</f>
        <v>0</v>
      </c>
      <c r="S516" s="30"/>
    </row>
    <row r="517" spans="16:19" x14ac:dyDescent="0.2">
      <c r="P517" s="32"/>
      <c r="R517" s="30">
        <f>SUM(Таблица15[[#This Row],[ПР-Сумма]],Таблица15[[#This Row],[Сумма]],Таблица15[[#This Row],[Прочие]])</f>
        <v>0</v>
      </c>
      <c r="S517" s="30"/>
    </row>
    <row r="518" spans="16:19" x14ac:dyDescent="0.2">
      <c r="P518" s="32"/>
      <c r="R518" s="30">
        <f>SUM(Таблица15[[#This Row],[ПР-Сумма]],Таблица15[[#This Row],[Сумма]],Таблица15[[#This Row],[Прочие]])</f>
        <v>0</v>
      </c>
      <c r="S518" s="30"/>
    </row>
    <row r="519" spans="16:19" x14ac:dyDescent="0.2">
      <c r="P519" s="32"/>
      <c r="R519" s="30">
        <f>SUM(Таблица15[[#This Row],[ПР-Сумма]],Таблица15[[#This Row],[Сумма]],Таблица15[[#This Row],[Прочие]])</f>
        <v>0</v>
      </c>
      <c r="S519" s="30"/>
    </row>
    <row r="520" spans="16:19" x14ac:dyDescent="0.2">
      <c r="P520" s="32"/>
      <c r="R520" s="30">
        <f>SUM(Таблица15[[#This Row],[ПР-Сумма]],Таблица15[[#This Row],[Сумма]],Таблица15[[#This Row],[Прочие]])</f>
        <v>0</v>
      </c>
    </row>
    <row r="521" spans="16:19" x14ac:dyDescent="0.2">
      <c r="P521" s="32"/>
      <c r="R521" s="30">
        <f>SUM(Таблица15[[#This Row],[ПР-Сумма]],Таблица15[[#This Row],[Сумма]],Таблица15[[#This Row],[Прочие]])</f>
        <v>0</v>
      </c>
    </row>
    <row r="522" spans="16:19" x14ac:dyDescent="0.2">
      <c r="P522" s="32"/>
      <c r="R522" s="30">
        <f>SUM(Таблица15[[#This Row],[ПР-Сумма]],Таблица15[[#This Row],[Сумма]],Таблица15[[#This Row],[Прочие]])</f>
        <v>0</v>
      </c>
    </row>
    <row r="523" spans="16:19" x14ac:dyDescent="0.2">
      <c r="P523" s="32"/>
      <c r="R523" s="30">
        <f>SUM(Таблица15[[#This Row],[ПР-Сумма]],Таблица15[[#This Row],[Сумма]],Таблица15[[#This Row],[Прочие]])</f>
        <v>0</v>
      </c>
    </row>
    <row r="524" spans="16:19" x14ac:dyDescent="0.2">
      <c r="P524" s="32"/>
      <c r="R524" s="30">
        <f>SUM(Таблица15[[#This Row],[ПР-Сумма]],Таблица15[[#This Row],[Сумма]],Таблица15[[#This Row],[Прочие]])</f>
        <v>0</v>
      </c>
    </row>
    <row r="525" spans="16:19" x14ac:dyDescent="0.2">
      <c r="P525" s="32"/>
      <c r="R525" s="30">
        <f>SUM(Таблица15[[#This Row],[ПР-Сумма]],Таблица15[[#This Row],[Сумма]],Таблица15[[#This Row],[Прочие]])</f>
        <v>0</v>
      </c>
    </row>
    <row r="526" spans="16:19" x14ac:dyDescent="0.2">
      <c r="P526" s="32"/>
      <c r="R526" s="30">
        <f>SUM(Таблица15[[#This Row],[ПР-Сумма]],Таблица15[[#This Row],[Сумма]],Таблица15[[#This Row],[Прочие]])</f>
        <v>0</v>
      </c>
    </row>
    <row r="527" spans="16:19" x14ac:dyDescent="0.2">
      <c r="P527" s="32"/>
      <c r="R527" s="30">
        <f>SUM(Таблица15[[#This Row],[ПР-Сумма]],Таблица15[[#This Row],[Сумма]],Таблица15[[#This Row],[Прочие]])</f>
        <v>0</v>
      </c>
    </row>
    <row r="528" spans="16:19" x14ac:dyDescent="0.2">
      <c r="P528" s="32"/>
      <c r="R528" s="30">
        <f>SUM(Таблица15[[#This Row],[ПР-Сумма]],Таблица15[[#This Row],[Сумма]],Таблица15[[#This Row],[Прочие]])</f>
        <v>0</v>
      </c>
    </row>
    <row r="529" spans="16:18" x14ac:dyDescent="0.2">
      <c r="P529" s="32"/>
      <c r="R529" s="30">
        <f>SUM(Таблица15[[#This Row],[ПР-Сумма]],Таблица15[[#This Row],[Сумма]],Таблица15[[#This Row],[Прочие]])</f>
        <v>0</v>
      </c>
    </row>
    <row r="530" spans="16:18" x14ac:dyDescent="0.2">
      <c r="P530" s="32"/>
      <c r="R530" s="30">
        <f>SUM(Таблица15[[#This Row],[ПР-Сумма]],Таблица15[[#This Row],[Сумма]],Таблица15[[#This Row],[Прочие]])</f>
        <v>0</v>
      </c>
    </row>
    <row r="531" spans="16:18" x14ac:dyDescent="0.2">
      <c r="P531" s="32"/>
      <c r="R531" s="30">
        <f>SUM(Таблица15[[#This Row],[ПР-Сумма]],Таблица15[[#This Row],[Сумма]],Таблица15[[#This Row],[Прочие]])</f>
        <v>0</v>
      </c>
    </row>
    <row r="532" spans="16:18" x14ac:dyDescent="0.2">
      <c r="P532" s="32"/>
      <c r="R532" s="30">
        <f>SUM(Таблица15[[#This Row],[ПР-Сумма]],Таблица15[[#This Row],[Сумма]],Таблица15[[#This Row],[Прочие]])</f>
        <v>0</v>
      </c>
    </row>
    <row r="533" spans="16:18" x14ac:dyDescent="0.2">
      <c r="P533" s="32"/>
      <c r="R533" s="30">
        <f>SUM(Таблица15[[#This Row],[ПР-Сумма]],Таблица15[[#This Row],[Сумма]],Таблица15[[#This Row],[Прочие]])</f>
        <v>0</v>
      </c>
    </row>
    <row r="534" spans="16:18" x14ac:dyDescent="0.2">
      <c r="P534" s="32"/>
      <c r="R534" s="30">
        <f>SUM(Таблица15[[#This Row],[ПР-Сумма]],Таблица15[[#This Row],[Сумма]],Таблица15[[#This Row],[Прочие]])</f>
        <v>0</v>
      </c>
    </row>
    <row r="535" spans="16:18" x14ac:dyDescent="0.2">
      <c r="P535" s="32"/>
      <c r="R535" s="30">
        <f>SUM(Таблица15[[#This Row],[ПР-Сумма]],Таблица15[[#This Row],[Сумма]],Таблица15[[#This Row],[Прочие]])</f>
        <v>0</v>
      </c>
    </row>
    <row r="536" spans="16:18" x14ac:dyDescent="0.2">
      <c r="P536" s="32"/>
      <c r="R536" s="30">
        <f>SUM(Таблица15[[#This Row],[ПР-Сумма]],Таблица15[[#This Row],[Сумма]],Таблица15[[#This Row],[Прочие]])</f>
        <v>0</v>
      </c>
    </row>
    <row r="537" spans="16:18" x14ac:dyDescent="0.2">
      <c r="P537" s="32"/>
      <c r="R537" s="30">
        <f>SUM(Таблица15[[#This Row],[ПР-Сумма]],Таблица15[[#This Row],[Сумма]],Таблица15[[#This Row],[Прочие]])</f>
        <v>0</v>
      </c>
    </row>
    <row r="538" spans="16:18" x14ac:dyDescent="0.2">
      <c r="P538" s="32"/>
      <c r="R538" s="30">
        <f>SUM(Таблица15[[#This Row],[ПР-Сумма]],Таблица15[[#This Row],[Сумма]],Таблица15[[#This Row],[Прочие]])</f>
        <v>0</v>
      </c>
    </row>
    <row r="539" spans="16:18" x14ac:dyDescent="0.2">
      <c r="P539" s="32"/>
      <c r="R539" s="30">
        <f>SUM(Таблица15[[#This Row],[ПР-Сумма]],Таблица15[[#This Row],[Сумма]],Таблица15[[#This Row],[Прочие]])</f>
        <v>0</v>
      </c>
    </row>
    <row r="540" spans="16:18" x14ac:dyDescent="0.2">
      <c r="P540" s="32"/>
      <c r="R540" s="30">
        <f>SUM(Таблица15[[#This Row],[ПР-Сумма]],Таблица15[[#This Row],[Сумма]],Таблица15[[#This Row],[Прочие]])</f>
        <v>0</v>
      </c>
    </row>
    <row r="541" spans="16:18" x14ac:dyDescent="0.2">
      <c r="P541" s="32"/>
      <c r="R541" s="30">
        <f>SUM(Таблица15[[#This Row],[ПР-Сумма]],Таблица15[[#This Row],[Сумма]],Таблица15[[#This Row],[Прочие]])</f>
        <v>0</v>
      </c>
    </row>
    <row r="542" spans="16:18" x14ac:dyDescent="0.2">
      <c r="P542" s="32"/>
      <c r="R542" s="30">
        <f>SUM(Таблица15[[#This Row],[ПР-Сумма]],Таблица15[[#This Row],[Сумма]],Таблица15[[#This Row],[Прочие]])</f>
        <v>0</v>
      </c>
    </row>
    <row r="543" spans="16:18" x14ac:dyDescent="0.2">
      <c r="P543" s="32"/>
      <c r="R543" s="30">
        <f>SUM(Таблица15[[#This Row],[ПР-Сумма]],Таблица15[[#This Row],[Сумма]],Таблица15[[#This Row],[Прочие]])</f>
        <v>0</v>
      </c>
    </row>
    <row r="544" spans="16:18" x14ac:dyDescent="0.2">
      <c r="P544" s="32"/>
      <c r="R544" s="30">
        <f>SUM(Таблица15[[#This Row],[ПР-Сумма]],Таблица15[[#This Row],[Сумма]],Таблица15[[#This Row],[Прочие]])</f>
        <v>0</v>
      </c>
    </row>
    <row r="545" spans="16:18" x14ac:dyDescent="0.2">
      <c r="P545" s="32"/>
      <c r="R545" s="30">
        <f>SUM(Таблица15[[#This Row],[ПР-Сумма]],Таблица15[[#This Row],[Сумма]],Таблица15[[#This Row],[Прочие]])</f>
        <v>0</v>
      </c>
    </row>
    <row r="546" spans="16:18" x14ac:dyDescent="0.2">
      <c r="P546" s="32"/>
      <c r="R546" s="30">
        <f>SUM(Таблица15[[#This Row],[ПР-Сумма]],Таблица15[[#This Row],[Сумма]],Таблица15[[#This Row],[Прочие]])</f>
        <v>0</v>
      </c>
    </row>
    <row r="547" spans="16:18" x14ac:dyDescent="0.2">
      <c r="P547" s="32"/>
      <c r="R547" s="30">
        <f>SUM(Таблица15[[#This Row],[ПР-Сумма]],Таблица15[[#This Row],[Сумма]],Таблица15[[#This Row],[Прочие]])</f>
        <v>0</v>
      </c>
    </row>
    <row r="548" spans="16:18" x14ac:dyDescent="0.2">
      <c r="P548" s="32"/>
      <c r="R548" s="30">
        <f>SUM(Таблица15[[#This Row],[ПР-Сумма]],Таблица15[[#This Row],[Сумма]],Таблица15[[#This Row],[Прочие]])</f>
        <v>0</v>
      </c>
    </row>
    <row r="549" spans="16:18" x14ac:dyDescent="0.2">
      <c r="P549" s="32"/>
      <c r="R549" s="30">
        <f>SUM(Таблица15[[#This Row],[ПР-Сумма]],Таблица15[[#This Row],[Сумма]],Таблица15[[#This Row],[Прочие]])</f>
        <v>0</v>
      </c>
    </row>
    <row r="550" spans="16:18" x14ac:dyDescent="0.2">
      <c r="P550" s="32"/>
      <c r="R550" s="30">
        <f>SUM(Таблица15[[#This Row],[ПР-Сумма]],Таблица15[[#This Row],[Сумма]],Таблица15[[#This Row],[Прочие]])</f>
        <v>0</v>
      </c>
    </row>
    <row r="551" spans="16:18" x14ac:dyDescent="0.2">
      <c r="P551" s="32"/>
      <c r="R551" s="30">
        <f>SUM(Таблица15[[#This Row],[ПР-Сумма]],Таблица15[[#This Row],[Сумма]],Таблица15[[#This Row],[Прочие]])</f>
        <v>0</v>
      </c>
    </row>
    <row r="552" spans="16:18" x14ac:dyDescent="0.2">
      <c r="P552" s="32"/>
      <c r="R552" s="30">
        <f>SUM(Таблица15[[#This Row],[ПР-Сумма]],Таблица15[[#This Row],[Сумма]],Таблица15[[#This Row],[Прочие]])</f>
        <v>0</v>
      </c>
    </row>
    <row r="553" spans="16:18" x14ac:dyDescent="0.2">
      <c r="P553" s="32"/>
      <c r="R553" s="30">
        <f>SUM(Таблица15[[#This Row],[ПР-Сумма]],Таблица15[[#This Row],[Сумма]],Таблица15[[#This Row],[Прочие]])</f>
        <v>0</v>
      </c>
    </row>
    <row r="554" spans="16:18" x14ac:dyDescent="0.2">
      <c r="P554" s="32"/>
      <c r="R554" s="30">
        <f>SUM(Таблица15[[#This Row],[ПР-Сумма]],Таблица15[[#This Row],[Сумма]],Таблица15[[#This Row],[Прочие]])</f>
        <v>0</v>
      </c>
    </row>
    <row r="555" spans="16:18" x14ac:dyDescent="0.2">
      <c r="P555" s="32"/>
      <c r="R555" s="30">
        <f>SUM(Таблица15[[#This Row],[ПР-Сумма]],Таблица15[[#This Row],[Сумма]],Таблица15[[#This Row],[Прочие]])</f>
        <v>0</v>
      </c>
    </row>
    <row r="556" spans="16:18" x14ac:dyDescent="0.2">
      <c r="P556" s="32"/>
      <c r="R556" s="30">
        <f>SUM(Таблица15[[#This Row],[ПР-Сумма]],Таблица15[[#This Row],[Сумма]],Таблица15[[#This Row],[Прочие]])</f>
        <v>0</v>
      </c>
    </row>
    <row r="557" spans="16:18" x14ac:dyDescent="0.2">
      <c r="P557" s="32"/>
      <c r="R557" s="30">
        <f>SUM(Таблица15[[#This Row],[ПР-Сумма]],Таблица15[[#This Row],[Сумма]],Таблица15[[#This Row],[Прочие]])</f>
        <v>0</v>
      </c>
    </row>
    <row r="558" spans="16:18" x14ac:dyDescent="0.2">
      <c r="P558" s="32"/>
      <c r="R558" s="30">
        <f>SUM(Таблица15[[#This Row],[ПР-Сумма]],Таблица15[[#This Row],[Сумма]],Таблица15[[#This Row],[Прочие]])</f>
        <v>0</v>
      </c>
    </row>
    <row r="559" spans="16:18" x14ac:dyDescent="0.2">
      <c r="P559" s="32"/>
      <c r="R559" s="30">
        <f>SUM(Таблица15[[#This Row],[ПР-Сумма]],Таблица15[[#This Row],[Сумма]],Таблица15[[#This Row],[Прочие]])</f>
        <v>0</v>
      </c>
    </row>
    <row r="560" spans="16:18" x14ac:dyDescent="0.2">
      <c r="P560" s="32"/>
      <c r="R560" s="30">
        <f>SUM(Таблица15[[#This Row],[ПР-Сумма]],Таблица15[[#This Row],[Сумма]],Таблица15[[#This Row],[Прочие]])</f>
        <v>0</v>
      </c>
    </row>
    <row r="561" spans="16:18" x14ac:dyDescent="0.2">
      <c r="P561" s="32"/>
      <c r="R561" s="30">
        <f>SUM(Таблица15[[#This Row],[ПР-Сумма]],Таблица15[[#This Row],[Сумма]],Таблица15[[#This Row],[Прочие]])</f>
        <v>0</v>
      </c>
    </row>
    <row r="562" spans="16:18" x14ac:dyDescent="0.2">
      <c r="P562" s="32"/>
      <c r="R562" s="30">
        <f>SUM(Таблица15[[#This Row],[ПР-Сумма]],Таблица15[[#This Row],[Сумма]],Таблица15[[#This Row],[Прочие]])</f>
        <v>0</v>
      </c>
    </row>
    <row r="563" spans="16:18" x14ac:dyDescent="0.2">
      <c r="P563" s="32"/>
      <c r="R563" s="30">
        <f>SUM(Таблица15[[#This Row],[ПР-Сумма]],Таблица15[[#This Row],[Сумма]],Таблица15[[#This Row],[Прочие]])</f>
        <v>0</v>
      </c>
    </row>
    <row r="564" spans="16:18" x14ac:dyDescent="0.2">
      <c r="P564" s="32"/>
      <c r="R564" s="30">
        <f>SUM(Таблица15[[#This Row],[ПР-Сумма]],Таблица15[[#This Row],[Сумма]],Таблица15[[#This Row],[Прочие]])</f>
        <v>0</v>
      </c>
    </row>
    <row r="565" spans="16:18" x14ac:dyDescent="0.2">
      <c r="P565" s="32"/>
      <c r="R565" s="30">
        <f>SUM(Таблица15[[#This Row],[ПР-Сумма]],Таблица15[[#This Row],[Сумма]],Таблица15[[#This Row],[Прочие]])</f>
        <v>0</v>
      </c>
    </row>
    <row r="566" spans="16:18" x14ac:dyDescent="0.2">
      <c r="P566" s="32"/>
      <c r="R566" s="30">
        <f>SUM(Таблица15[[#This Row],[ПР-Сумма]],Таблица15[[#This Row],[Сумма]],Таблица15[[#This Row],[Прочие]])</f>
        <v>0</v>
      </c>
    </row>
    <row r="567" spans="16:18" x14ac:dyDescent="0.2">
      <c r="P567" s="32"/>
      <c r="R567" s="30">
        <f>SUM(Таблица15[[#This Row],[ПР-Сумма]],Таблица15[[#This Row],[Сумма]],Таблица15[[#This Row],[Прочие]])</f>
        <v>0</v>
      </c>
    </row>
    <row r="568" spans="16:18" x14ac:dyDescent="0.2">
      <c r="P568" s="32"/>
      <c r="R568" s="30">
        <f>SUM(Таблица15[[#This Row],[ПР-Сумма]],Таблица15[[#This Row],[Сумма]],Таблица15[[#This Row],[Прочие]])</f>
        <v>0</v>
      </c>
    </row>
    <row r="569" spans="16:18" x14ac:dyDescent="0.2">
      <c r="P569" s="32"/>
      <c r="R569" s="30">
        <f>SUM(Таблица15[[#This Row],[ПР-Сумма]],Таблица15[[#This Row],[Сумма]],Таблица15[[#This Row],[Прочие]])</f>
        <v>0</v>
      </c>
    </row>
    <row r="570" spans="16:18" x14ac:dyDescent="0.2">
      <c r="P570" s="32"/>
      <c r="R570" s="30">
        <f>SUM(Таблица15[[#This Row],[ПР-Сумма]],Таблица15[[#This Row],[Сумма]],Таблица15[[#This Row],[Прочие]])</f>
        <v>0</v>
      </c>
    </row>
    <row r="571" spans="16:18" x14ac:dyDescent="0.2">
      <c r="P571" s="32"/>
      <c r="R571" s="30">
        <f>SUM(Таблица15[[#This Row],[ПР-Сумма]],Таблица15[[#This Row],[Сумма]],Таблица15[[#This Row],[Прочие]])</f>
        <v>0</v>
      </c>
    </row>
    <row r="572" spans="16:18" x14ac:dyDescent="0.2">
      <c r="P572" s="32"/>
      <c r="R572" s="30">
        <f>SUM(Таблица15[[#This Row],[ПР-Сумма]],Таблица15[[#This Row],[Сумма]],Таблица15[[#This Row],[Прочие]])</f>
        <v>0</v>
      </c>
    </row>
    <row r="573" spans="16:18" x14ac:dyDescent="0.2">
      <c r="P573" s="32"/>
      <c r="R573" s="30">
        <f>SUM(Таблица15[[#This Row],[ПР-Сумма]],Таблица15[[#This Row],[Сумма]],Таблица15[[#This Row],[Прочие]])</f>
        <v>0</v>
      </c>
    </row>
    <row r="574" spans="16:18" x14ac:dyDescent="0.2">
      <c r="P574" s="32"/>
      <c r="R574" s="30">
        <f>SUM(Таблица15[[#This Row],[ПР-Сумма]],Таблица15[[#This Row],[Сумма]],Таблица15[[#This Row],[Прочие]])</f>
        <v>0</v>
      </c>
    </row>
    <row r="575" spans="16:18" x14ac:dyDescent="0.2">
      <c r="P575" s="32"/>
      <c r="R575" s="30">
        <f>SUM(Таблица15[[#This Row],[ПР-Сумма]],Таблица15[[#This Row],[Сумма]],Таблица15[[#This Row],[Прочие]])</f>
        <v>0</v>
      </c>
    </row>
    <row r="576" spans="16:18" x14ac:dyDescent="0.2">
      <c r="P576" s="32"/>
      <c r="R576" s="30">
        <f>SUM(Таблица15[[#This Row],[ПР-Сумма]],Таблица15[[#This Row],[Сумма]],Таблица15[[#This Row],[Прочие]])</f>
        <v>0</v>
      </c>
    </row>
    <row r="577" spans="16:18" x14ac:dyDescent="0.2">
      <c r="P577" s="32"/>
      <c r="R577" s="30">
        <f>SUM(Таблица15[[#This Row],[ПР-Сумма]],Таблица15[[#This Row],[Сумма]],Таблица15[[#This Row],[Прочие]])</f>
        <v>0</v>
      </c>
    </row>
    <row r="578" spans="16:18" x14ac:dyDescent="0.2">
      <c r="P578" s="32"/>
      <c r="R578" s="30">
        <f>SUM(Таблица15[[#This Row],[ПР-Сумма]],Таблица15[[#This Row],[Сумма]],Таблица15[[#This Row],[Прочие]])</f>
        <v>0</v>
      </c>
    </row>
    <row r="579" spans="16:18" x14ac:dyDescent="0.2">
      <c r="P579" s="32"/>
      <c r="R579" s="30">
        <f>SUM(Таблица15[[#This Row],[ПР-Сумма]],Таблица15[[#This Row],[Сумма]],Таблица15[[#This Row],[Прочие]])</f>
        <v>0</v>
      </c>
    </row>
    <row r="580" spans="16:18" x14ac:dyDescent="0.2">
      <c r="P580" s="32"/>
      <c r="R580" s="30">
        <f>SUM(Таблица15[[#This Row],[ПР-Сумма]],Таблица15[[#This Row],[Сумма]],Таблица15[[#This Row],[Прочие]])</f>
        <v>0</v>
      </c>
    </row>
    <row r="581" spans="16:18" x14ac:dyDescent="0.2">
      <c r="P581" s="32"/>
      <c r="R581" s="30">
        <f>SUM(Таблица15[[#This Row],[ПР-Сумма]],Таблица15[[#This Row],[Сумма]],Таблица15[[#This Row],[Прочие]])</f>
        <v>0</v>
      </c>
    </row>
    <row r="582" spans="16:18" x14ac:dyDescent="0.2">
      <c r="P582" s="32"/>
      <c r="R582" s="30">
        <f>SUM(Таблица15[[#This Row],[ПР-Сумма]],Таблица15[[#This Row],[Сумма]],Таблица15[[#This Row],[Прочие]])</f>
        <v>0</v>
      </c>
    </row>
    <row r="583" spans="16:18" x14ac:dyDescent="0.2">
      <c r="P583" s="32"/>
      <c r="R583" s="30">
        <f>SUM(Таблица15[[#This Row],[ПР-Сумма]],Таблица15[[#This Row],[Сумма]],Таблица15[[#This Row],[Прочие]])</f>
        <v>0</v>
      </c>
    </row>
    <row r="584" spans="16:18" x14ac:dyDescent="0.2">
      <c r="P584" s="32"/>
      <c r="R584" s="30">
        <f>SUM(Таблица15[[#This Row],[ПР-Сумма]],Таблица15[[#This Row],[Сумма]],Таблица15[[#This Row],[Прочие]])</f>
        <v>0</v>
      </c>
    </row>
    <row r="585" spans="16:18" x14ac:dyDescent="0.2">
      <c r="P585" s="32"/>
      <c r="R585" s="30">
        <f>SUM(Таблица15[[#This Row],[ПР-Сумма]],Таблица15[[#This Row],[Сумма]],Таблица15[[#This Row],[Прочие]])</f>
        <v>0</v>
      </c>
    </row>
    <row r="586" spans="16:18" x14ac:dyDescent="0.2">
      <c r="P586" s="32"/>
      <c r="R586" s="30">
        <f>SUM(Таблица15[[#This Row],[ПР-Сумма]],Таблица15[[#This Row],[Сумма]],Таблица15[[#This Row],[Прочие]])</f>
        <v>0</v>
      </c>
    </row>
    <row r="587" spans="16:18" x14ac:dyDescent="0.2">
      <c r="P587" s="32"/>
      <c r="R587" s="30">
        <f>SUM(Таблица15[[#This Row],[ПР-Сумма]],Таблица15[[#This Row],[Сумма]],Таблица15[[#This Row],[Прочие]])</f>
        <v>0</v>
      </c>
    </row>
    <row r="588" spans="16:18" x14ac:dyDescent="0.2">
      <c r="P588" s="32"/>
      <c r="R588" s="30">
        <f>SUM(Таблица15[[#This Row],[ПР-Сумма]],Таблица15[[#This Row],[Сумма]],Таблица15[[#This Row],[Прочие]])</f>
        <v>0</v>
      </c>
    </row>
    <row r="589" spans="16:18" x14ac:dyDescent="0.2">
      <c r="P589" s="32"/>
      <c r="R589" s="30">
        <f>SUM(Таблица15[[#This Row],[ПР-Сумма]],Таблица15[[#This Row],[Сумма]],Таблица15[[#This Row],[Прочие]])</f>
        <v>0</v>
      </c>
    </row>
    <row r="590" spans="16:18" x14ac:dyDescent="0.2">
      <c r="P590" s="32"/>
      <c r="R590" s="30">
        <f>SUM(Таблица15[[#This Row],[ПР-Сумма]],Таблица15[[#This Row],[Сумма]],Таблица15[[#This Row],[Прочие]])</f>
        <v>0</v>
      </c>
    </row>
    <row r="591" spans="16:18" x14ac:dyDescent="0.2">
      <c r="P591" s="32"/>
      <c r="R591" s="30">
        <f>SUM(Таблица15[[#This Row],[ПР-Сумма]],Таблица15[[#This Row],[Сумма]],Таблица15[[#This Row],[Прочие]])</f>
        <v>0</v>
      </c>
    </row>
    <row r="592" spans="16:18" x14ac:dyDescent="0.2">
      <c r="P592" s="32"/>
      <c r="R592" s="30">
        <f>SUM(Таблица15[[#This Row],[ПР-Сумма]],Таблица15[[#This Row],[Сумма]],Таблица15[[#This Row],[Прочие]])</f>
        <v>0</v>
      </c>
    </row>
    <row r="593" spans="16:18" x14ac:dyDescent="0.2">
      <c r="P593" s="32"/>
      <c r="R593" s="30">
        <f>SUM(Таблица15[[#This Row],[ПР-Сумма]],Таблица15[[#This Row],[Сумма]],Таблица15[[#This Row],[Прочие]])</f>
        <v>0</v>
      </c>
    </row>
    <row r="594" spans="16:18" x14ac:dyDescent="0.2">
      <c r="P594" s="32"/>
      <c r="R594" s="30">
        <f>SUM(Таблица15[[#This Row],[ПР-Сумма]],Таблица15[[#This Row],[Сумма]],Таблица15[[#This Row],[Прочие]])</f>
        <v>0</v>
      </c>
    </row>
    <row r="595" spans="16:18" x14ac:dyDescent="0.2">
      <c r="P595" s="32"/>
      <c r="R595" s="30">
        <f>SUM(Таблица15[[#This Row],[ПР-Сумма]],Таблица15[[#This Row],[Сумма]],Таблица15[[#This Row],[Прочие]])</f>
        <v>0</v>
      </c>
    </row>
    <row r="596" spans="16:18" x14ac:dyDescent="0.2">
      <c r="P596" s="32"/>
      <c r="R596" s="30">
        <f>SUM(Таблица15[[#This Row],[ПР-Сумма]],Таблица15[[#This Row],[Сумма]],Таблица15[[#This Row],[Прочие]])</f>
        <v>0</v>
      </c>
    </row>
    <row r="597" spans="16:18" x14ac:dyDescent="0.2">
      <c r="P597" s="32"/>
      <c r="R597" s="30">
        <f>SUM(Таблица15[[#This Row],[ПР-Сумма]],Таблица15[[#This Row],[Сумма]],Таблица15[[#This Row],[Прочие]])</f>
        <v>0</v>
      </c>
    </row>
    <row r="598" spans="16:18" x14ac:dyDescent="0.2">
      <c r="P598" s="32"/>
      <c r="R598" s="30">
        <f>SUM(Таблица15[[#This Row],[ПР-Сумма]],Таблица15[[#This Row],[Сумма]],Таблица15[[#This Row],[Прочие]])</f>
        <v>0</v>
      </c>
    </row>
    <row r="599" spans="16:18" x14ac:dyDescent="0.2">
      <c r="P599" s="32"/>
      <c r="R599" s="30">
        <f>SUM(Таблица15[[#This Row],[ПР-Сумма]],Таблица15[[#This Row],[Сумма]],Таблица15[[#This Row],[Прочие]])</f>
        <v>0</v>
      </c>
    </row>
    <row r="600" spans="16:18" x14ac:dyDescent="0.2">
      <c r="P600" s="32"/>
      <c r="R600" s="30">
        <f>SUM(Таблица15[[#This Row],[ПР-Сумма]],Таблица15[[#This Row],[Сумма]],Таблица15[[#This Row],[Прочие]])</f>
        <v>0</v>
      </c>
    </row>
    <row r="601" spans="16:18" x14ac:dyDescent="0.2">
      <c r="P601" s="32"/>
      <c r="R601" s="30">
        <f>SUM(Таблица15[[#This Row],[ПР-Сумма]],Таблица15[[#This Row],[Сумма]],Таблица15[[#This Row],[Прочие]])</f>
        <v>0</v>
      </c>
    </row>
    <row r="602" spans="16:18" x14ac:dyDescent="0.2">
      <c r="P602" s="32"/>
      <c r="R602" s="30">
        <f>SUM(Таблица15[[#This Row],[ПР-Сумма]],Таблица15[[#This Row],[Сумма]],Таблица15[[#This Row],[Прочие]])</f>
        <v>0</v>
      </c>
    </row>
    <row r="603" spans="16:18" x14ac:dyDescent="0.2">
      <c r="P603" s="32"/>
      <c r="R603" s="30">
        <f>SUM(Таблица15[[#This Row],[ПР-Сумма]],Таблица15[[#This Row],[Сумма]],Таблица15[[#This Row],[Прочие]])</f>
        <v>0</v>
      </c>
    </row>
    <row r="604" spans="16:18" x14ac:dyDescent="0.2">
      <c r="P604" s="32"/>
      <c r="R604" s="30">
        <f>SUM(Таблица15[[#This Row],[ПР-Сумма]],Таблица15[[#This Row],[Сумма]],Таблица15[[#This Row],[Прочие]])</f>
        <v>0</v>
      </c>
    </row>
    <row r="605" spans="16:18" x14ac:dyDescent="0.2">
      <c r="P605" s="32"/>
      <c r="R605" s="30">
        <f>SUM(Таблица15[[#This Row],[ПР-Сумма]],Таблица15[[#This Row],[Сумма]],Таблица15[[#This Row],[Прочие]])</f>
        <v>0</v>
      </c>
    </row>
    <row r="606" spans="16:18" x14ac:dyDescent="0.2">
      <c r="P606" s="32"/>
      <c r="R606" s="30">
        <f>SUM(Таблица15[[#This Row],[ПР-Сумма]],Таблица15[[#This Row],[Сумма]],Таблица15[[#This Row],[Прочие]])</f>
        <v>0</v>
      </c>
    </row>
    <row r="607" spans="16:18" x14ac:dyDescent="0.2">
      <c r="P607" s="32"/>
      <c r="R607" s="30">
        <f>SUM(Таблица15[[#This Row],[ПР-Сумма]],Таблица15[[#This Row],[Сумма]],Таблица15[[#This Row],[Прочие]])</f>
        <v>0</v>
      </c>
    </row>
    <row r="608" spans="16:18" x14ac:dyDescent="0.2">
      <c r="P608" s="32"/>
      <c r="R608" s="30">
        <f>SUM(Таблица15[[#This Row],[ПР-Сумма]],Таблица15[[#This Row],[Сумма]],Таблица15[[#This Row],[Прочие]])</f>
        <v>0</v>
      </c>
    </row>
    <row r="609" spans="16:18" x14ac:dyDescent="0.2">
      <c r="P609" s="32"/>
      <c r="R609" s="30">
        <f>SUM(Таблица15[[#This Row],[ПР-Сумма]],Таблица15[[#This Row],[Сумма]],Таблица15[[#This Row],[Прочие]])</f>
        <v>0</v>
      </c>
    </row>
    <row r="610" spans="16:18" x14ac:dyDescent="0.2">
      <c r="P610" s="32"/>
      <c r="R610" s="30">
        <f>SUM(Таблица15[[#This Row],[ПР-Сумма]],Таблица15[[#This Row],[Сумма]],Таблица15[[#This Row],[Прочие]])</f>
        <v>0</v>
      </c>
    </row>
    <row r="611" spans="16:18" x14ac:dyDescent="0.2">
      <c r="P611" s="32"/>
      <c r="R611" s="30">
        <f>SUM(Таблица15[[#This Row],[ПР-Сумма]],Таблица15[[#This Row],[Сумма]],Таблица15[[#This Row],[Прочие]])</f>
        <v>0</v>
      </c>
    </row>
    <row r="612" spans="16:18" x14ac:dyDescent="0.2">
      <c r="P612" s="32"/>
      <c r="R612" s="30">
        <f>SUM(Таблица15[[#This Row],[ПР-Сумма]],Таблица15[[#This Row],[Сумма]],Таблица15[[#This Row],[Прочие]])</f>
        <v>0</v>
      </c>
    </row>
    <row r="613" spans="16:18" x14ac:dyDescent="0.2">
      <c r="P613" s="32"/>
      <c r="R613" s="30">
        <f>SUM(Таблица15[[#This Row],[ПР-Сумма]],Таблица15[[#This Row],[Сумма]],Таблица15[[#This Row],[Прочие]])</f>
        <v>0</v>
      </c>
    </row>
    <row r="614" spans="16:18" x14ac:dyDescent="0.2">
      <c r="P614" s="32"/>
      <c r="R614" s="30">
        <f>SUM(Таблица15[[#This Row],[ПР-Сумма]],Таблица15[[#This Row],[Сумма]],Таблица15[[#This Row],[Прочие]])</f>
        <v>0</v>
      </c>
    </row>
    <row r="615" spans="16:18" x14ac:dyDescent="0.2">
      <c r="P615" s="32"/>
      <c r="R615" s="30">
        <f>SUM(Таблица15[[#This Row],[ПР-Сумма]],Таблица15[[#This Row],[Сумма]],Таблица15[[#This Row],[Прочие]])</f>
        <v>0</v>
      </c>
    </row>
    <row r="616" spans="16:18" x14ac:dyDescent="0.2">
      <c r="P616" s="32"/>
      <c r="R616" s="30">
        <f>SUM(Таблица15[[#This Row],[ПР-Сумма]],Таблица15[[#This Row],[Сумма]],Таблица15[[#This Row],[Прочие]])</f>
        <v>0</v>
      </c>
    </row>
    <row r="617" spans="16:18" x14ac:dyDescent="0.2">
      <c r="P617" s="32"/>
      <c r="R617" s="30">
        <f>SUM(Таблица15[[#This Row],[ПР-Сумма]],Таблица15[[#This Row],[Сумма]],Таблица15[[#This Row],[Прочие]])</f>
        <v>0</v>
      </c>
    </row>
    <row r="618" spans="16:18" x14ac:dyDescent="0.2">
      <c r="P618" s="32"/>
      <c r="R618" s="30">
        <f>SUM(Таблица15[[#This Row],[ПР-Сумма]],Таблица15[[#This Row],[Сумма]],Таблица15[[#This Row],[Прочие]])</f>
        <v>0</v>
      </c>
    </row>
    <row r="619" spans="16:18" x14ac:dyDescent="0.2">
      <c r="P619" s="32"/>
      <c r="R619" s="30">
        <f>SUM(Таблица15[[#This Row],[ПР-Сумма]],Таблица15[[#This Row],[Сумма]],Таблица15[[#This Row],[Прочие]])</f>
        <v>0</v>
      </c>
    </row>
    <row r="620" spans="16:18" x14ac:dyDescent="0.2">
      <c r="P620" s="32"/>
      <c r="R620" s="30">
        <f>SUM(Таблица15[[#This Row],[ПР-Сумма]],Таблица15[[#This Row],[Сумма]],Таблица15[[#This Row],[Прочие]])</f>
        <v>0</v>
      </c>
    </row>
    <row r="621" spans="16:18" x14ac:dyDescent="0.2">
      <c r="P621" s="32"/>
      <c r="R621" s="30">
        <f>SUM(Таблица15[[#This Row],[ПР-Сумма]],Таблица15[[#This Row],[Сумма]],Таблица15[[#This Row],[Прочие]])</f>
        <v>0</v>
      </c>
    </row>
    <row r="622" spans="16:18" x14ac:dyDescent="0.2">
      <c r="P622" s="32"/>
      <c r="R622" s="30">
        <f>SUM(Таблица15[[#This Row],[ПР-Сумма]],Таблица15[[#This Row],[Сумма]],Таблица15[[#This Row],[Прочие]])</f>
        <v>0</v>
      </c>
    </row>
    <row r="623" spans="16:18" x14ac:dyDescent="0.2">
      <c r="P623" s="32"/>
      <c r="R623" s="30">
        <f>SUM(Таблица15[[#This Row],[ПР-Сумма]],Таблица15[[#This Row],[Сумма]],Таблица15[[#This Row],[Прочие]])</f>
        <v>0</v>
      </c>
    </row>
    <row r="624" spans="16:18" x14ac:dyDescent="0.2">
      <c r="P624" s="32"/>
      <c r="R624" s="30">
        <f>SUM(Таблица15[[#This Row],[ПР-Сумма]],Таблица15[[#This Row],[Сумма]],Таблица15[[#This Row],[Прочие]])</f>
        <v>0</v>
      </c>
    </row>
    <row r="625" spans="16:18" x14ac:dyDescent="0.2">
      <c r="P625" s="32"/>
      <c r="R625" s="30">
        <f>SUM(Таблица15[[#This Row],[ПР-Сумма]],Таблица15[[#This Row],[Сумма]],Таблица15[[#This Row],[Прочие]])</f>
        <v>0</v>
      </c>
    </row>
    <row r="626" spans="16:18" x14ac:dyDescent="0.2">
      <c r="P626" s="32"/>
      <c r="R626" s="30">
        <f>SUM(Таблица15[[#This Row],[ПР-Сумма]],Таблица15[[#This Row],[Сумма]],Таблица15[[#This Row],[Прочие]])</f>
        <v>0</v>
      </c>
    </row>
    <row r="627" spans="16:18" x14ac:dyDescent="0.2">
      <c r="P627" s="32"/>
      <c r="R627" s="30">
        <f>SUM(Таблица15[[#This Row],[ПР-Сумма]],Таблица15[[#This Row],[Сумма]],Таблица15[[#This Row],[Прочие]])</f>
        <v>0</v>
      </c>
    </row>
    <row r="628" spans="16:18" x14ac:dyDescent="0.2">
      <c r="P628" s="32"/>
      <c r="R628" s="30">
        <f>SUM(Таблица15[[#This Row],[ПР-Сумма]],Таблица15[[#This Row],[Сумма]],Таблица15[[#This Row],[Прочие]])</f>
        <v>0</v>
      </c>
    </row>
    <row r="629" spans="16:18" x14ac:dyDescent="0.2">
      <c r="P629" s="32"/>
      <c r="R629" s="30">
        <f>SUM(Таблица15[[#This Row],[ПР-Сумма]],Таблица15[[#This Row],[Сумма]],Таблица15[[#This Row],[Прочие]])</f>
        <v>0</v>
      </c>
    </row>
    <row r="630" spans="16:18" x14ac:dyDescent="0.2">
      <c r="P630" s="32"/>
      <c r="R630" s="30">
        <f>SUM(Таблица15[[#This Row],[ПР-Сумма]],Таблица15[[#This Row],[Сумма]],Таблица15[[#This Row],[Прочие]])</f>
        <v>0</v>
      </c>
    </row>
    <row r="631" spans="16:18" x14ac:dyDescent="0.2">
      <c r="P631" s="32"/>
      <c r="R631" s="30">
        <f>SUM(Таблица15[[#This Row],[ПР-Сумма]],Таблица15[[#This Row],[Сумма]],Таблица15[[#This Row],[Прочие]])</f>
        <v>0</v>
      </c>
    </row>
    <row r="632" spans="16:18" x14ac:dyDescent="0.2">
      <c r="P632" s="32"/>
      <c r="R632" s="30">
        <f>SUM(Таблица15[[#This Row],[ПР-Сумма]],Таблица15[[#This Row],[Сумма]],Таблица15[[#This Row],[Прочие]])</f>
        <v>0</v>
      </c>
    </row>
    <row r="633" spans="16:18" x14ac:dyDescent="0.2">
      <c r="P633" s="32"/>
      <c r="R633" s="30">
        <f>SUM(Таблица15[[#This Row],[ПР-Сумма]],Таблица15[[#This Row],[Сумма]],Таблица15[[#This Row],[Прочие]])</f>
        <v>0</v>
      </c>
    </row>
    <row r="634" spans="16:18" x14ac:dyDescent="0.2">
      <c r="P634" s="32"/>
      <c r="R634" s="30">
        <f>SUM(Таблица15[[#This Row],[ПР-Сумма]],Таблица15[[#This Row],[Сумма]],Таблица15[[#This Row],[Прочие]])</f>
        <v>0</v>
      </c>
    </row>
    <row r="635" spans="16:18" x14ac:dyDescent="0.2">
      <c r="P635" s="32"/>
      <c r="R635" s="30">
        <f>SUM(Таблица15[[#This Row],[ПР-Сумма]],Таблица15[[#This Row],[Сумма]],Таблица15[[#This Row],[Прочие]])</f>
        <v>0</v>
      </c>
    </row>
    <row r="636" spans="16:18" x14ac:dyDescent="0.2">
      <c r="P636" s="32"/>
      <c r="R636" s="30">
        <f>SUM(Таблица15[[#This Row],[ПР-Сумма]],Таблица15[[#This Row],[Сумма]],Таблица15[[#This Row],[Прочие]])</f>
        <v>0</v>
      </c>
    </row>
    <row r="637" spans="16:18" x14ac:dyDescent="0.2">
      <c r="P637" s="32"/>
      <c r="R637" s="30">
        <f>SUM(Таблица15[[#This Row],[ПР-Сумма]],Таблица15[[#This Row],[Сумма]],Таблица15[[#This Row],[Прочие]])</f>
        <v>0</v>
      </c>
    </row>
    <row r="638" spans="16:18" x14ac:dyDescent="0.2">
      <c r="P638" s="32"/>
      <c r="R638" s="30">
        <f>SUM(Таблица15[[#This Row],[ПР-Сумма]],Таблица15[[#This Row],[Сумма]],Таблица15[[#This Row],[Прочие]])</f>
        <v>0</v>
      </c>
    </row>
    <row r="639" spans="16:18" x14ac:dyDescent="0.2">
      <c r="P639" s="32"/>
      <c r="R639" s="30">
        <f>SUM(Таблица15[[#This Row],[ПР-Сумма]],Таблица15[[#This Row],[Сумма]],Таблица15[[#This Row],[Прочие]])</f>
        <v>0</v>
      </c>
    </row>
    <row r="640" spans="16:18" x14ac:dyDescent="0.2">
      <c r="P640" s="32"/>
      <c r="R640" s="30">
        <f>SUM(Таблица15[[#This Row],[ПР-Сумма]],Таблица15[[#This Row],[Сумма]],Таблица15[[#This Row],[Прочие]])</f>
        <v>0</v>
      </c>
    </row>
    <row r="641" spans="16:18" x14ac:dyDescent="0.2">
      <c r="P641" s="32"/>
      <c r="R641" s="30">
        <f>SUM(Таблица15[[#This Row],[ПР-Сумма]],Таблица15[[#This Row],[Сумма]],Таблица15[[#This Row],[Прочие]])</f>
        <v>0</v>
      </c>
    </row>
    <row r="642" spans="16:18" x14ac:dyDescent="0.2">
      <c r="P642" s="32"/>
      <c r="R642" s="30">
        <f>SUM(Таблица15[[#This Row],[ПР-Сумма]],Таблица15[[#This Row],[Сумма]],Таблица15[[#This Row],[Прочие]])</f>
        <v>0</v>
      </c>
    </row>
    <row r="643" spans="16:18" x14ac:dyDescent="0.2">
      <c r="P643" s="32"/>
      <c r="R643" s="30">
        <f>SUM(Таблица15[[#This Row],[ПР-Сумма]],Таблица15[[#This Row],[Сумма]],Таблица15[[#This Row],[Прочие]])</f>
        <v>0</v>
      </c>
    </row>
    <row r="644" spans="16:18" x14ac:dyDescent="0.2">
      <c r="P644" s="32"/>
      <c r="R644" s="30">
        <f>SUM(Таблица15[[#This Row],[ПР-Сумма]],Таблица15[[#This Row],[Сумма]],Таблица15[[#This Row],[Прочие]])</f>
        <v>0</v>
      </c>
    </row>
    <row r="645" spans="16:18" x14ac:dyDescent="0.2">
      <c r="P645" s="32"/>
      <c r="R645" s="30">
        <f>SUM(Таблица15[[#This Row],[ПР-Сумма]],Таблица15[[#This Row],[Сумма]],Таблица15[[#This Row],[Прочие]])</f>
        <v>0</v>
      </c>
    </row>
    <row r="646" spans="16:18" x14ac:dyDescent="0.2">
      <c r="P646" s="32"/>
      <c r="R646" s="30">
        <f>SUM(Таблица15[[#This Row],[ПР-Сумма]],Таблица15[[#This Row],[Сумма]],Таблица15[[#This Row],[Прочие]])</f>
        <v>0</v>
      </c>
    </row>
    <row r="647" spans="16:18" x14ac:dyDescent="0.2">
      <c r="P647" s="32"/>
      <c r="R647" s="30">
        <f>SUM(Таблица15[[#This Row],[ПР-Сумма]],Таблица15[[#This Row],[Сумма]],Таблица15[[#This Row],[Прочие]])</f>
        <v>0</v>
      </c>
    </row>
    <row r="648" spans="16:18" x14ac:dyDescent="0.2">
      <c r="P648" s="32"/>
      <c r="R648" s="30">
        <f>SUM(Таблица15[[#This Row],[ПР-Сумма]],Таблица15[[#This Row],[Сумма]],Таблица15[[#This Row],[Прочие]])</f>
        <v>0</v>
      </c>
    </row>
    <row r="649" spans="16:18" x14ac:dyDescent="0.2">
      <c r="P649" s="32"/>
      <c r="R649" s="30">
        <f>SUM(Таблица15[[#This Row],[ПР-Сумма]],Таблица15[[#This Row],[Сумма]],Таблица15[[#This Row],[Прочие]])</f>
        <v>0</v>
      </c>
    </row>
    <row r="650" spans="16:18" x14ac:dyDescent="0.2">
      <c r="P650" s="32"/>
      <c r="R650" s="30">
        <f>SUM(Таблица15[[#This Row],[ПР-Сумма]],Таблица15[[#This Row],[Сумма]],Таблица15[[#This Row],[Прочие]])</f>
        <v>0</v>
      </c>
    </row>
    <row r="651" spans="16:18" x14ac:dyDescent="0.2">
      <c r="P651" s="32"/>
      <c r="R651" s="30">
        <f>SUM(Таблица15[[#This Row],[ПР-Сумма]],Таблица15[[#This Row],[Сумма]],Таблица15[[#This Row],[Прочие]])</f>
        <v>0</v>
      </c>
    </row>
    <row r="652" spans="16:18" x14ac:dyDescent="0.2">
      <c r="P652" s="32"/>
      <c r="R652" s="30">
        <f>SUM(Таблица15[[#This Row],[ПР-Сумма]],Таблица15[[#This Row],[Сумма]],Таблица15[[#This Row],[Прочие]])</f>
        <v>0</v>
      </c>
    </row>
    <row r="653" spans="16:18" x14ac:dyDescent="0.2">
      <c r="P653" s="32"/>
      <c r="R653" s="30">
        <f>SUM(Таблица15[[#This Row],[ПР-Сумма]],Таблица15[[#This Row],[Сумма]],Таблица15[[#This Row],[Прочие]])</f>
        <v>0</v>
      </c>
    </row>
    <row r="654" spans="16:18" x14ac:dyDescent="0.2">
      <c r="P654" s="32"/>
      <c r="R654" s="30">
        <f>SUM(Таблица15[[#This Row],[ПР-Сумма]],Таблица15[[#This Row],[Сумма]],Таблица15[[#This Row],[Прочие]])</f>
        <v>0</v>
      </c>
    </row>
    <row r="655" spans="16:18" x14ac:dyDescent="0.2">
      <c r="P655" s="32"/>
      <c r="R655" s="30">
        <f>SUM(Таблица15[[#This Row],[ПР-Сумма]],Таблица15[[#This Row],[Сумма]],Таблица15[[#This Row],[Прочие]])</f>
        <v>0</v>
      </c>
    </row>
    <row r="656" spans="16:18" x14ac:dyDescent="0.2">
      <c r="P656" s="32"/>
      <c r="R656" s="30">
        <f>SUM(Таблица15[[#This Row],[ПР-Сумма]],Таблица15[[#This Row],[Сумма]],Таблица15[[#This Row],[Прочие]])</f>
        <v>0</v>
      </c>
    </row>
    <row r="657" spans="16:18" x14ac:dyDescent="0.2">
      <c r="P657" s="32"/>
      <c r="R657" s="30">
        <f>SUM(Таблица15[[#This Row],[ПР-Сумма]],Таблица15[[#This Row],[Сумма]],Таблица15[[#This Row],[Прочие]])</f>
        <v>0</v>
      </c>
    </row>
    <row r="658" spans="16:18" x14ac:dyDescent="0.2">
      <c r="P658" s="32"/>
      <c r="R658" s="30">
        <f>SUM(Таблица15[[#This Row],[ПР-Сумма]],Таблица15[[#This Row],[Сумма]],Таблица15[[#This Row],[Прочие]])</f>
        <v>0</v>
      </c>
    </row>
    <row r="659" spans="16:18" x14ac:dyDescent="0.2">
      <c r="P659" s="32"/>
      <c r="R659" s="30">
        <f>SUM(Таблица15[[#This Row],[ПР-Сумма]],Таблица15[[#This Row],[Сумма]],Таблица15[[#This Row],[Прочие]])</f>
        <v>0</v>
      </c>
    </row>
    <row r="660" spans="16:18" x14ac:dyDescent="0.2">
      <c r="P660" s="32"/>
      <c r="R660" s="30">
        <f>SUM(Таблица15[[#This Row],[ПР-Сумма]],Таблица15[[#This Row],[Сумма]],Таблица15[[#This Row],[Прочие]])</f>
        <v>0</v>
      </c>
    </row>
    <row r="661" spans="16:18" x14ac:dyDescent="0.2">
      <c r="P661" s="32"/>
      <c r="R661" s="30">
        <f>SUM(Таблица15[[#This Row],[ПР-Сумма]],Таблица15[[#This Row],[Сумма]],Таблица15[[#This Row],[Прочие]])</f>
        <v>0</v>
      </c>
    </row>
    <row r="662" spans="16:18" x14ac:dyDescent="0.2">
      <c r="P662" s="32"/>
      <c r="R662" s="30">
        <f>SUM(Таблица15[[#This Row],[ПР-Сумма]],Таблица15[[#This Row],[Сумма]],Таблица15[[#This Row],[Прочие]])</f>
        <v>0</v>
      </c>
    </row>
    <row r="663" spans="16:18" x14ac:dyDescent="0.2">
      <c r="P663" s="32"/>
      <c r="R663" s="30">
        <f>SUM(Таблица15[[#This Row],[ПР-Сумма]],Таблица15[[#This Row],[Сумма]],Таблица15[[#This Row],[Прочие]])</f>
        <v>0</v>
      </c>
    </row>
    <row r="664" spans="16:18" x14ac:dyDescent="0.2">
      <c r="P664" s="32"/>
      <c r="R664" s="30">
        <f>SUM(Таблица15[[#This Row],[ПР-Сумма]],Таблица15[[#This Row],[Сумма]],Таблица15[[#This Row],[Прочие]])</f>
        <v>0</v>
      </c>
    </row>
    <row r="665" spans="16:18" x14ac:dyDescent="0.2">
      <c r="P665" s="32"/>
      <c r="R665" s="30">
        <f>SUM(Таблица15[[#This Row],[ПР-Сумма]],Таблица15[[#This Row],[Сумма]],Таблица15[[#This Row],[Прочие]])</f>
        <v>0</v>
      </c>
    </row>
    <row r="666" spans="16:18" x14ac:dyDescent="0.2">
      <c r="P666" s="32"/>
      <c r="R666" s="30">
        <f>SUM(Таблица15[[#This Row],[ПР-Сумма]],Таблица15[[#This Row],[Сумма]],Таблица15[[#This Row],[Прочие]])</f>
        <v>0</v>
      </c>
    </row>
    <row r="667" spans="16:18" x14ac:dyDescent="0.2">
      <c r="P667" s="32"/>
      <c r="R667" s="30">
        <f>SUM(Таблица15[[#This Row],[ПР-Сумма]],Таблица15[[#This Row],[Сумма]],Таблица15[[#This Row],[Прочие]])</f>
        <v>0</v>
      </c>
    </row>
    <row r="668" spans="16:18" x14ac:dyDescent="0.2">
      <c r="P668" s="32"/>
      <c r="R668" s="30">
        <f>SUM(Таблица15[[#This Row],[ПР-Сумма]],Таблица15[[#This Row],[Сумма]],Таблица15[[#This Row],[Прочие]])</f>
        <v>0</v>
      </c>
    </row>
    <row r="669" spans="16:18" x14ac:dyDescent="0.2">
      <c r="P669" s="32"/>
      <c r="R669" s="30">
        <f>SUM(Таблица15[[#This Row],[ПР-Сумма]],Таблица15[[#This Row],[Сумма]],Таблица15[[#This Row],[Прочие]])</f>
        <v>0</v>
      </c>
    </row>
    <row r="670" spans="16:18" x14ac:dyDescent="0.2">
      <c r="P670" s="32"/>
      <c r="R670" s="30">
        <f>SUM(Таблица15[[#This Row],[ПР-Сумма]],Таблица15[[#This Row],[Сумма]],Таблица15[[#This Row],[Прочие]])</f>
        <v>0</v>
      </c>
    </row>
    <row r="671" spans="16:18" x14ac:dyDescent="0.2">
      <c r="P671" s="32"/>
      <c r="R671" s="30">
        <f>SUM(Таблица15[[#This Row],[ПР-Сумма]],Таблица15[[#This Row],[Сумма]],Таблица15[[#This Row],[Прочие]])</f>
        <v>0</v>
      </c>
    </row>
    <row r="672" spans="16:18" x14ac:dyDescent="0.2">
      <c r="P672" s="32"/>
      <c r="R672" s="30">
        <f>SUM(Таблица15[[#This Row],[ПР-Сумма]],Таблица15[[#This Row],[Сумма]],Таблица15[[#This Row],[Прочие]])</f>
        <v>0</v>
      </c>
    </row>
    <row r="673" spans="4:18" x14ac:dyDescent="0.2">
      <c r="P673" s="32"/>
      <c r="R673" s="30">
        <f>SUM(Таблица15[[#This Row],[ПР-Сумма]],Таблица15[[#This Row],[Сумма]],Таблица15[[#This Row],[Прочие]])</f>
        <v>0</v>
      </c>
    </row>
    <row r="674" spans="4:18" x14ac:dyDescent="0.2">
      <c r="P674" s="32"/>
      <c r="R674" s="30">
        <f>SUM(Таблица15[[#This Row],[ПР-Сумма]],Таблица15[[#This Row],[Сумма]],Таблица15[[#This Row],[Прочие]])</f>
        <v>0</v>
      </c>
    </row>
    <row r="675" spans="4:18" x14ac:dyDescent="0.2">
      <c r="P675" s="32"/>
      <c r="R675" s="30">
        <f>SUM(Таблица15[[#This Row],[ПР-Сумма]],Таблица15[[#This Row],[Сумма]],Таблица15[[#This Row],[Прочие]])</f>
        <v>0</v>
      </c>
    </row>
    <row r="676" spans="4:18" x14ac:dyDescent="0.2">
      <c r="P676" s="32"/>
      <c r="R676" s="30">
        <f>SUM(Таблица15[[#This Row],[ПР-Сумма]],Таблица15[[#This Row],[Сумма]],Таблица15[[#This Row],[Прочие]])</f>
        <v>0</v>
      </c>
    </row>
    <row r="677" spans="4:18" x14ac:dyDescent="0.2">
      <c r="P677" s="32"/>
      <c r="R677" s="30">
        <f>SUM(Таблица15[[#This Row],[ПР-Сумма]],Таблица15[[#This Row],[Сумма]],Таблица15[[#This Row],[Прочие]])</f>
        <v>0</v>
      </c>
    </row>
    <row r="678" spans="4:18" x14ac:dyDescent="0.2">
      <c r="D678" s="35"/>
      <c r="P678" s="32"/>
      <c r="R678" s="30">
        <f>SUM(Таблица15[[#This Row],[ПР-Сумма]],Таблица15[[#This Row],[Сумма]],Таблица15[[#This Row],[Прочие]])</f>
        <v>0</v>
      </c>
    </row>
    <row r="679" spans="4:18" x14ac:dyDescent="0.2">
      <c r="D679" s="35"/>
      <c r="P679" s="32"/>
      <c r="R679" s="30">
        <f>SUM(Таблица15[[#This Row],[ПР-Сумма]],Таблица15[[#This Row],[Сумма]],Таблица15[[#This Row],[Прочие]])</f>
        <v>0</v>
      </c>
    </row>
    <row r="680" spans="4:18" x14ac:dyDescent="0.2">
      <c r="P680" s="32"/>
      <c r="R680" s="30">
        <f>SUM(Таблица15[[#This Row],[ПР-Сумма]],Таблица15[[#This Row],[Сумма]],Таблица15[[#This Row],[Прочие]])</f>
        <v>0</v>
      </c>
    </row>
    <row r="681" spans="4:18" x14ac:dyDescent="0.2">
      <c r="P681" s="32"/>
      <c r="R681" s="30">
        <f>SUM(Таблица15[[#This Row],[ПР-Сумма]],Таблица15[[#This Row],[Сумма]],Таблица15[[#This Row],[Прочие]])</f>
        <v>0</v>
      </c>
    </row>
    <row r="682" spans="4:18" x14ac:dyDescent="0.2">
      <c r="P682" s="32"/>
      <c r="R682" s="30">
        <f>SUM(Таблица15[[#This Row],[ПР-Сумма]],Таблица15[[#This Row],[Сумма]],Таблица15[[#This Row],[Прочие]])</f>
        <v>0</v>
      </c>
    </row>
    <row r="683" spans="4:18" x14ac:dyDescent="0.2">
      <c r="P683" s="32"/>
      <c r="R683" s="30">
        <f>SUM(Таблица15[[#This Row],[ПР-Сумма]],Таблица15[[#This Row],[Сумма]],Таблица15[[#This Row],[Прочие]])</f>
        <v>0</v>
      </c>
    </row>
    <row r="684" spans="4:18" x14ac:dyDescent="0.2">
      <c r="P684" s="32"/>
      <c r="R684" s="30">
        <f>SUM(Таблица15[[#This Row],[ПР-Сумма]],Таблица15[[#This Row],[Сумма]],Таблица15[[#This Row],[Прочие]])</f>
        <v>0</v>
      </c>
    </row>
    <row r="685" spans="4:18" x14ac:dyDescent="0.2">
      <c r="P685" s="32"/>
      <c r="R685" s="30">
        <f>SUM(Таблица15[[#This Row],[ПР-Сумма]],Таблица15[[#This Row],[Сумма]],Таблица15[[#This Row],[Прочие]])</f>
        <v>0</v>
      </c>
    </row>
    <row r="686" spans="4:18" x14ac:dyDescent="0.2">
      <c r="P686" s="32"/>
      <c r="R686" s="30">
        <f>SUM(Таблица15[[#This Row],[ПР-Сумма]],Таблица15[[#This Row],[Сумма]],Таблица15[[#This Row],[Прочие]])</f>
        <v>0</v>
      </c>
    </row>
    <row r="687" spans="4:18" x14ac:dyDescent="0.2">
      <c r="P687" s="32"/>
      <c r="R687" s="30">
        <f>SUM(Таблица15[[#This Row],[ПР-Сумма]],Таблица15[[#This Row],[Сумма]],Таблица15[[#This Row],[Прочие]])</f>
        <v>0</v>
      </c>
    </row>
    <row r="688" spans="4:18" x14ac:dyDescent="0.2">
      <c r="P688" s="32"/>
      <c r="R688" s="30">
        <f>SUM(Таблица15[[#This Row],[ПР-Сумма]],Таблица15[[#This Row],[Сумма]],Таблица15[[#This Row],[Прочие]])</f>
        <v>0</v>
      </c>
    </row>
    <row r="689" spans="16:18" x14ac:dyDescent="0.2">
      <c r="P689" s="32"/>
      <c r="R689" s="30">
        <f>SUM(Таблица15[[#This Row],[ПР-Сумма]],Таблица15[[#This Row],[Сумма]],Таблица15[[#This Row],[Прочие]])</f>
        <v>0</v>
      </c>
    </row>
    <row r="690" spans="16:18" x14ac:dyDescent="0.2">
      <c r="P690" s="32"/>
      <c r="R690" s="30">
        <f>SUM(Таблица15[[#This Row],[ПР-Сумма]],Таблица15[[#This Row],[Сумма]],Таблица15[[#This Row],[Прочие]])</f>
        <v>0</v>
      </c>
    </row>
    <row r="691" spans="16:18" x14ac:dyDescent="0.2">
      <c r="P691" s="32"/>
      <c r="R691" s="30">
        <f>SUM(Таблица15[[#This Row],[ПР-Сумма]],Таблица15[[#This Row],[Сумма]],Таблица15[[#This Row],[Прочие]])</f>
        <v>0</v>
      </c>
    </row>
    <row r="692" spans="16:18" x14ac:dyDescent="0.2">
      <c r="P692" s="32"/>
      <c r="R692" s="30">
        <f>SUM(Таблица15[[#This Row],[ПР-Сумма]],Таблица15[[#This Row],[Сумма]],Таблица15[[#This Row],[Прочие]])</f>
        <v>0</v>
      </c>
    </row>
    <row r="693" spans="16:18" x14ac:dyDescent="0.2">
      <c r="P693" s="32"/>
      <c r="R693" s="30">
        <f>SUM(Таблица15[[#This Row],[ПР-Сумма]],Таблица15[[#This Row],[Сумма]],Таблица15[[#This Row],[Прочие]])</f>
        <v>0</v>
      </c>
    </row>
    <row r="694" spans="16:18" x14ac:dyDescent="0.2">
      <c r="P694" s="32"/>
      <c r="R694" s="30">
        <f>SUM(Таблица15[[#This Row],[ПР-Сумма]],Таблица15[[#This Row],[Сумма]],Таблица15[[#This Row],[Прочие]])</f>
        <v>0</v>
      </c>
    </row>
    <row r="695" spans="16:18" x14ac:dyDescent="0.2">
      <c r="P695" s="32"/>
      <c r="R695" s="30">
        <f>SUM(Таблица15[[#This Row],[ПР-Сумма]],Таблица15[[#This Row],[Сумма]],Таблица15[[#This Row],[Прочие]])</f>
        <v>0</v>
      </c>
    </row>
    <row r="696" spans="16:18" x14ac:dyDescent="0.2">
      <c r="P696" s="32"/>
      <c r="R696" s="30">
        <f>SUM(Таблица15[[#This Row],[ПР-Сумма]],Таблица15[[#This Row],[Сумма]],Таблица15[[#This Row],[Прочие]])</f>
        <v>0</v>
      </c>
    </row>
    <row r="697" spans="16:18" x14ac:dyDescent="0.2">
      <c r="P697" s="32"/>
      <c r="R697" s="30">
        <f>SUM(Таблица15[[#This Row],[ПР-Сумма]],Таблица15[[#This Row],[Сумма]],Таблица15[[#This Row],[Прочие]])</f>
        <v>0</v>
      </c>
    </row>
    <row r="698" spans="16:18" x14ac:dyDescent="0.2">
      <c r="P698" s="32"/>
      <c r="R698" s="30">
        <f>SUM(Таблица15[[#This Row],[ПР-Сумма]],Таблица15[[#This Row],[Сумма]],Таблица15[[#This Row],[Прочие]])</f>
        <v>0</v>
      </c>
    </row>
    <row r="699" spans="16:18" x14ac:dyDescent="0.2">
      <c r="P699" s="32"/>
      <c r="R699" s="30">
        <f>SUM(Таблица15[[#This Row],[ПР-Сумма]],Таблица15[[#This Row],[Сумма]],Таблица15[[#This Row],[Прочие]])</f>
        <v>0</v>
      </c>
    </row>
    <row r="700" spans="16:18" x14ac:dyDescent="0.2">
      <c r="P700" s="32"/>
      <c r="R700" s="30">
        <f>SUM(Таблица15[[#This Row],[ПР-Сумма]],Таблица15[[#This Row],[Сумма]],Таблица15[[#This Row],[Прочие]])</f>
        <v>0</v>
      </c>
    </row>
    <row r="701" spans="16:18" x14ac:dyDescent="0.2">
      <c r="P701" s="32"/>
      <c r="R701" s="30">
        <f>SUM(Таблица15[[#This Row],[ПР-Сумма]],Таблица15[[#This Row],[Сумма]],Таблица15[[#This Row],[Прочие]])</f>
        <v>0</v>
      </c>
    </row>
    <row r="702" spans="16:18" x14ac:dyDescent="0.2">
      <c r="P702" s="32"/>
      <c r="R702" s="30">
        <f>SUM(Таблица15[[#This Row],[ПР-Сумма]],Таблица15[[#This Row],[Сумма]],Таблица15[[#This Row],[Прочие]])</f>
        <v>0</v>
      </c>
    </row>
    <row r="703" spans="16:18" x14ac:dyDescent="0.2">
      <c r="P703" s="32"/>
      <c r="R703" s="30">
        <f>SUM(Таблица15[[#This Row],[ПР-Сумма]],Таблица15[[#This Row],[Сумма]],Таблица15[[#This Row],[Прочие]])</f>
        <v>0</v>
      </c>
    </row>
    <row r="704" spans="16:18" x14ac:dyDescent="0.2">
      <c r="P704" s="32"/>
      <c r="R704" s="30">
        <f>SUM(Таблица15[[#This Row],[ПР-Сумма]],Таблица15[[#This Row],[Сумма]],Таблица15[[#This Row],[Прочие]])</f>
        <v>0</v>
      </c>
    </row>
    <row r="705" spans="16:18" x14ac:dyDescent="0.2">
      <c r="P705" s="32"/>
      <c r="R705" s="30">
        <f>SUM(Таблица15[[#This Row],[ПР-Сумма]],Таблица15[[#This Row],[Сумма]],Таблица15[[#This Row],[Прочие]])</f>
        <v>0</v>
      </c>
    </row>
    <row r="706" spans="16:18" x14ac:dyDescent="0.2">
      <c r="P706" s="32"/>
      <c r="R706" s="30">
        <f>SUM(Таблица15[[#This Row],[ПР-Сумма]],Таблица15[[#This Row],[Сумма]],Таблица15[[#This Row],[Прочие]])</f>
        <v>0</v>
      </c>
    </row>
    <row r="707" spans="16:18" x14ac:dyDescent="0.2">
      <c r="P707" s="32"/>
      <c r="R707" s="30">
        <f>SUM(Таблица15[[#This Row],[ПР-Сумма]],Таблица15[[#This Row],[Сумма]],Таблица15[[#This Row],[Прочие]])</f>
        <v>0</v>
      </c>
    </row>
    <row r="708" spans="16:18" x14ac:dyDescent="0.2">
      <c r="P708" s="32"/>
      <c r="R708" s="30">
        <f>SUM(Таблица15[[#This Row],[ПР-Сумма]],Таблица15[[#This Row],[Сумма]],Таблица15[[#This Row],[Прочие]])</f>
        <v>0</v>
      </c>
    </row>
    <row r="709" spans="16:18" x14ac:dyDescent="0.2">
      <c r="P709" s="32"/>
      <c r="R709" s="30">
        <f>SUM(Таблица15[[#This Row],[ПР-Сумма]],Таблица15[[#This Row],[Сумма]],Таблица15[[#This Row],[Прочие]])</f>
        <v>0</v>
      </c>
    </row>
    <row r="710" spans="16:18" x14ac:dyDescent="0.2">
      <c r="P710" s="32"/>
      <c r="R710" s="30">
        <f>SUM(Таблица15[[#This Row],[ПР-Сумма]],Таблица15[[#This Row],[Сумма]],Таблица15[[#This Row],[Прочие]])</f>
        <v>0</v>
      </c>
    </row>
    <row r="711" spans="16:18" x14ac:dyDescent="0.2">
      <c r="P711" s="32"/>
      <c r="R711" s="30">
        <f>SUM(Таблица15[[#This Row],[ПР-Сумма]],Таблица15[[#This Row],[Сумма]],Таблица15[[#This Row],[Прочие]])</f>
        <v>0</v>
      </c>
    </row>
    <row r="712" spans="16:18" x14ac:dyDescent="0.2">
      <c r="P712" s="32"/>
      <c r="R712" s="30">
        <f>SUM(Таблица15[[#This Row],[ПР-Сумма]],Таблица15[[#This Row],[Сумма]],Таблица15[[#This Row],[Прочие]])</f>
        <v>0</v>
      </c>
    </row>
    <row r="713" spans="16:18" x14ac:dyDescent="0.2">
      <c r="P713" s="32"/>
      <c r="R713" s="30">
        <f>SUM(Таблица15[[#This Row],[ПР-Сумма]],Таблица15[[#This Row],[Сумма]],Таблица15[[#This Row],[Прочие]])</f>
        <v>0</v>
      </c>
    </row>
    <row r="714" spans="16:18" x14ac:dyDescent="0.2">
      <c r="P714" s="32"/>
      <c r="R714" s="30">
        <f>SUM(Таблица15[[#This Row],[ПР-Сумма]],Таблица15[[#This Row],[Сумма]],Таблица15[[#This Row],[Прочие]])</f>
        <v>0</v>
      </c>
    </row>
    <row r="715" spans="16:18" x14ac:dyDescent="0.2">
      <c r="P715" s="32"/>
      <c r="R715" s="30">
        <f>SUM(Таблица15[[#This Row],[ПР-Сумма]],Таблица15[[#This Row],[Сумма]],Таблица15[[#This Row],[Прочие]])</f>
        <v>0</v>
      </c>
    </row>
    <row r="716" spans="16:18" x14ac:dyDescent="0.2">
      <c r="P716" s="32"/>
      <c r="R716" s="30">
        <f>SUM(Таблица15[[#This Row],[ПР-Сумма]],Таблица15[[#This Row],[Сумма]],Таблица15[[#This Row],[Прочие]])</f>
        <v>0</v>
      </c>
    </row>
    <row r="717" spans="16:18" x14ac:dyDescent="0.2">
      <c r="P717" s="32"/>
      <c r="R717" s="30">
        <f>SUM(Таблица15[[#This Row],[ПР-Сумма]],Таблица15[[#This Row],[Сумма]],Таблица15[[#This Row],[Прочие]])</f>
        <v>0</v>
      </c>
    </row>
    <row r="718" spans="16:18" x14ac:dyDescent="0.2">
      <c r="P718" s="32"/>
      <c r="R718" s="30">
        <f>SUM(Таблица15[[#This Row],[ПР-Сумма]],Таблица15[[#This Row],[Сумма]],Таблица15[[#This Row],[Прочие]])</f>
        <v>0</v>
      </c>
    </row>
    <row r="719" spans="16:18" x14ac:dyDescent="0.2">
      <c r="P719" s="32"/>
      <c r="R719" s="30">
        <f>SUM(Таблица15[[#This Row],[ПР-Сумма]],Таблица15[[#This Row],[Сумма]],Таблица15[[#This Row],[Прочие]])</f>
        <v>0</v>
      </c>
    </row>
    <row r="720" spans="16:18" x14ac:dyDescent="0.2">
      <c r="P720" s="32"/>
      <c r="R720" s="30">
        <f>SUM(Таблица15[[#This Row],[ПР-Сумма]],Таблица15[[#This Row],[Сумма]],Таблица15[[#This Row],[Прочие]])</f>
        <v>0</v>
      </c>
    </row>
    <row r="721" spans="16:18" x14ac:dyDescent="0.2">
      <c r="P721" s="32"/>
      <c r="R721" s="30">
        <f>SUM(Таблица15[[#This Row],[ПР-Сумма]],Таблица15[[#This Row],[Сумма]],Таблица15[[#This Row],[Прочие]])</f>
        <v>0</v>
      </c>
    </row>
    <row r="722" spans="16:18" x14ac:dyDescent="0.2">
      <c r="P722" s="32"/>
      <c r="R722" s="30">
        <f>SUM(Таблица15[[#This Row],[ПР-Сумма]],Таблица15[[#This Row],[Сумма]],Таблица15[[#This Row],[Прочие]])</f>
        <v>0</v>
      </c>
    </row>
    <row r="723" spans="16:18" x14ac:dyDescent="0.2">
      <c r="P723" s="32"/>
      <c r="R723" s="30">
        <f>SUM(Таблица15[[#This Row],[ПР-Сумма]],Таблица15[[#This Row],[Сумма]],Таблица15[[#This Row],[Прочие]])</f>
        <v>0</v>
      </c>
    </row>
    <row r="724" spans="16:18" x14ac:dyDescent="0.2">
      <c r="P724" s="32"/>
      <c r="R724" s="30">
        <f>SUM(Таблица15[[#This Row],[ПР-Сумма]],Таблица15[[#This Row],[Сумма]],Таблица15[[#This Row],[Прочие]])</f>
        <v>0</v>
      </c>
    </row>
    <row r="725" spans="16:18" x14ac:dyDescent="0.2">
      <c r="P725" s="32"/>
      <c r="R725" s="30">
        <f>SUM(Таблица15[[#This Row],[ПР-Сумма]],Таблица15[[#This Row],[Сумма]],Таблица15[[#This Row],[Прочие]])</f>
        <v>0</v>
      </c>
    </row>
    <row r="726" spans="16:18" x14ac:dyDescent="0.2">
      <c r="P726" s="32"/>
      <c r="R726" s="30">
        <f>SUM(Таблица15[[#This Row],[ПР-Сумма]],Таблица15[[#This Row],[Сумма]],Таблица15[[#This Row],[Прочие]])</f>
        <v>0</v>
      </c>
    </row>
    <row r="727" spans="16:18" x14ac:dyDescent="0.2">
      <c r="P727" s="32"/>
      <c r="R727" s="30">
        <f>SUM(Таблица15[[#This Row],[ПР-Сумма]],Таблица15[[#This Row],[Сумма]],Таблица15[[#This Row],[Прочие]])</f>
        <v>0</v>
      </c>
    </row>
    <row r="728" spans="16:18" x14ac:dyDescent="0.2">
      <c r="P728" s="32"/>
      <c r="R728" s="30">
        <f>SUM(Таблица15[[#This Row],[ПР-Сумма]],Таблица15[[#This Row],[Сумма]],Таблица15[[#This Row],[Прочие]])</f>
        <v>0</v>
      </c>
    </row>
    <row r="729" spans="16:18" x14ac:dyDescent="0.2">
      <c r="P729" s="32"/>
      <c r="R729" s="30">
        <f>SUM(Таблица15[[#This Row],[ПР-Сумма]],Таблица15[[#This Row],[Сумма]],Таблица15[[#This Row],[Прочие]])</f>
        <v>0</v>
      </c>
    </row>
    <row r="730" spans="16:18" x14ac:dyDescent="0.2">
      <c r="P730" s="32"/>
      <c r="R730" s="30">
        <f>SUM(Таблица15[[#This Row],[ПР-Сумма]],Таблица15[[#This Row],[Сумма]],Таблица15[[#This Row],[Прочие]])</f>
        <v>0</v>
      </c>
    </row>
    <row r="731" spans="16:18" x14ac:dyDescent="0.2">
      <c r="P731" s="32"/>
      <c r="R731" s="30">
        <f>SUM(Таблица15[[#This Row],[ПР-Сумма]],Таблица15[[#This Row],[Сумма]],Таблица15[[#This Row],[Прочие]])</f>
        <v>0</v>
      </c>
    </row>
    <row r="732" spans="16:18" x14ac:dyDescent="0.2">
      <c r="P732" s="32"/>
      <c r="R732" s="30">
        <f>SUM(Таблица15[[#This Row],[ПР-Сумма]],Таблица15[[#This Row],[Сумма]],Таблица15[[#This Row],[Прочие]])</f>
        <v>0</v>
      </c>
    </row>
    <row r="733" spans="16:18" x14ac:dyDescent="0.2">
      <c r="P733" s="32"/>
      <c r="R733" s="30">
        <f>SUM(Таблица15[[#This Row],[ПР-Сумма]],Таблица15[[#This Row],[Сумма]],Таблица15[[#This Row],[Прочие]])</f>
        <v>0</v>
      </c>
    </row>
    <row r="734" spans="16:18" x14ac:dyDescent="0.2">
      <c r="P734" s="32"/>
      <c r="R734" s="30">
        <f>SUM(Таблица15[[#This Row],[ПР-Сумма]],Таблица15[[#This Row],[Сумма]],Таблица15[[#This Row],[Прочие]])</f>
        <v>0</v>
      </c>
    </row>
    <row r="735" spans="16:18" x14ac:dyDescent="0.2">
      <c r="P735" s="32"/>
      <c r="R735" s="30">
        <f>SUM(Таблица15[[#This Row],[ПР-Сумма]],Таблица15[[#This Row],[Сумма]],Таблица15[[#This Row],[Прочие]])</f>
        <v>0</v>
      </c>
    </row>
    <row r="736" spans="16:18" x14ac:dyDescent="0.2">
      <c r="P736" s="32"/>
      <c r="R736" s="30">
        <f>SUM(Таблица15[[#This Row],[ПР-Сумма]],Таблица15[[#This Row],[Сумма]],Таблица15[[#This Row],[Прочие]])</f>
        <v>0</v>
      </c>
    </row>
    <row r="737" spans="16:18" x14ac:dyDescent="0.2">
      <c r="P737" s="32"/>
      <c r="R737" s="30">
        <f>SUM(Таблица15[[#This Row],[ПР-Сумма]],Таблица15[[#This Row],[Сумма]],Таблица15[[#This Row],[Прочие]])</f>
        <v>0</v>
      </c>
    </row>
    <row r="738" spans="16:18" x14ac:dyDescent="0.2">
      <c r="P738" s="32"/>
      <c r="R738" s="30">
        <f>SUM(Таблица15[[#This Row],[ПР-Сумма]],Таблица15[[#This Row],[Сумма]],Таблица15[[#This Row],[Прочие]])</f>
        <v>0</v>
      </c>
    </row>
    <row r="739" spans="16:18" x14ac:dyDescent="0.2">
      <c r="P739" s="32"/>
      <c r="R739" s="30">
        <f>SUM(Таблица15[[#This Row],[ПР-Сумма]],Таблица15[[#This Row],[Сумма]],Таблица15[[#This Row],[Прочие]])</f>
        <v>0</v>
      </c>
    </row>
    <row r="740" spans="16:18" x14ac:dyDescent="0.2">
      <c r="P740" s="32"/>
      <c r="R740" s="30">
        <f>SUM(Таблица15[[#This Row],[ПР-Сумма]],Таблица15[[#This Row],[Сумма]],Таблица15[[#This Row],[Прочие]])</f>
        <v>0</v>
      </c>
    </row>
    <row r="741" spans="16:18" x14ac:dyDescent="0.2">
      <c r="P741" s="32"/>
      <c r="R741" s="30">
        <f>SUM(Таблица15[[#This Row],[ПР-Сумма]],Таблица15[[#This Row],[Сумма]],Таблица15[[#This Row],[Прочие]])</f>
        <v>0</v>
      </c>
    </row>
    <row r="742" spans="16:18" x14ac:dyDescent="0.2">
      <c r="P742" s="32"/>
      <c r="R742" s="30">
        <f>SUM(Таблица15[[#This Row],[ПР-Сумма]],Таблица15[[#This Row],[Сумма]],Таблица15[[#This Row],[Прочие]])</f>
        <v>0</v>
      </c>
    </row>
    <row r="743" spans="16:18" x14ac:dyDescent="0.2">
      <c r="P743" s="32"/>
      <c r="R743" s="30">
        <f>SUM(Таблица15[[#This Row],[ПР-Сумма]],Таблица15[[#This Row],[Сумма]],Таблица15[[#This Row],[Прочие]])</f>
        <v>0</v>
      </c>
    </row>
    <row r="744" spans="16:18" x14ac:dyDescent="0.2">
      <c r="P744" s="32"/>
      <c r="R744" s="30">
        <f>SUM(Таблица15[[#This Row],[ПР-Сумма]],Таблица15[[#This Row],[Сумма]],Таблица15[[#This Row],[Прочие]])</f>
        <v>0</v>
      </c>
    </row>
    <row r="745" spans="16:18" x14ac:dyDescent="0.2">
      <c r="P745" s="32"/>
      <c r="R745" s="30">
        <f>SUM(Таблица15[[#This Row],[ПР-Сумма]],Таблица15[[#This Row],[Сумма]],Таблица15[[#This Row],[Прочие]])</f>
        <v>0</v>
      </c>
    </row>
    <row r="746" spans="16:18" x14ac:dyDescent="0.2">
      <c r="P746" s="32"/>
      <c r="R746" s="30">
        <f>SUM(Таблица15[[#This Row],[ПР-Сумма]],Таблица15[[#This Row],[Сумма]],Таблица15[[#This Row],[Прочие]])</f>
        <v>0</v>
      </c>
    </row>
    <row r="747" spans="16:18" x14ac:dyDescent="0.2">
      <c r="P747" s="32"/>
      <c r="R747" s="30">
        <f>SUM(Таблица15[[#This Row],[ПР-Сумма]],Таблица15[[#This Row],[Сумма]],Таблица15[[#This Row],[Прочие]])</f>
        <v>0</v>
      </c>
    </row>
    <row r="748" spans="16:18" x14ac:dyDescent="0.2">
      <c r="P748" s="32"/>
      <c r="R748" s="30">
        <f>SUM(Таблица15[[#This Row],[ПР-Сумма]],Таблица15[[#This Row],[Сумма]],Таблица15[[#This Row],[Прочие]])</f>
        <v>0</v>
      </c>
    </row>
    <row r="749" spans="16:18" x14ac:dyDescent="0.2">
      <c r="P749" s="32"/>
      <c r="R749" s="30">
        <f>SUM(Таблица15[[#This Row],[ПР-Сумма]],Таблица15[[#This Row],[Сумма]],Таблица15[[#This Row],[Прочие]])</f>
        <v>0</v>
      </c>
    </row>
    <row r="750" spans="16:18" x14ac:dyDescent="0.2">
      <c r="P750" s="32"/>
      <c r="R750" s="30">
        <f>SUM(Таблица15[[#This Row],[ПР-Сумма]],Таблица15[[#This Row],[Сумма]],Таблица15[[#This Row],[Прочие]])</f>
        <v>0</v>
      </c>
    </row>
    <row r="751" spans="16:18" x14ac:dyDescent="0.2">
      <c r="P751" s="32"/>
      <c r="R751" s="30">
        <f>SUM(Таблица15[[#This Row],[ПР-Сумма]],Таблица15[[#This Row],[Сумма]],Таблица15[[#This Row],[Прочие]])</f>
        <v>0</v>
      </c>
    </row>
    <row r="752" spans="16:18" x14ac:dyDescent="0.2">
      <c r="P752" s="32"/>
      <c r="R752" s="30">
        <f>SUM(Таблица15[[#This Row],[ПР-Сумма]],Таблица15[[#This Row],[Сумма]],Таблица15[[#This Row],[Прочие]])</f>
        <v>0</v>
      </c>
    </row>
    <row r="753" spans="16:18" x14ac:dyDescent="0.2">
      <c r="P753" s="32"/>
      <c r="R753" s="30">
        <f>SUM(Таблица15[[#This Row],[ПР-Сумма]],Таблица15[[#This Row],[Сумма]],Таблица15[[#This Row],[Прочие]])</f>
        <v>0</v>
      </c>
    </row>
    <row r="754" spans="16:18" x14ac:dyDescent="0.2">
      <c r="P754" s="32"/>
      <c r="R754" s="30">
        <f>SUM(Таблица15[[#This Row],[ПР-Сумма]],Таблица15[[#This Row],[Сумма]],Таблица15[[#This Row],[Прочие]])</f>
        <v>0</v>
      </c>
    </row>
    <row r="755" spans="16:18" x14ac:dyDescent="0.2">
      <c r="P755" s="32"/>
      <c r="R755" s="30">
        <f>SUM(Таблица15[[#This Row],[ПР-Сумма]],Таблица15[[#This Row],[Сумма]],Таблица15[[#This Row],[Прочие]])</f>
        <v>0</v>
      </c>
    </row>
    <row r="756" spans="16:18" x14ac:dyDescent="0.2">
      <c r="P756" s="32"/>
      <c r="R756" s="30">
        <f>SUM(Таблица15[[#This Row],[ПР-Сумма]],Таблица15[[#This Row],[Сумма]],Таблица15[[#This Row],[Прочие]])</f>
        <v>0</v>
      </c>
    </row>
    <row r="757" spans="16:18" x14ac:dyDescent="0.2">
      <c r="P757" s="32"/>
      <c r="R757" s="30">
        <f>SUM(Таблица15[[#This Row],[ПР-Сумма]],Таблица15[[#This Row],[Сумма]],Таблица15[[#This Row],[Прочие]])</f>
        <v>0</v>
      </c>
    </row>
    <row r="758" spans="16:18" x14ac:dyDescent="0.2">
      <c r="P758" s="32"/>
      <c r="R758" s="30">
        <f>SUM(Таблица15[[#This Row],[ПР-Сумма]],Таблица15[[#This Row],[Сумма]],Таблица15[[#This Row],[Прочие]])</f>
        <v>0</v>
      </c>
    </row>
    <row r="759" spans="16:18" x14ac:dyDescent="0.2">
      <c r="P759" s="32"/>
      <c r="R759" s="30">
        <f>SUM(Таблица15[[#This Row],[ПР-Сумма]],Таблица15[[#This Row],[Сумма]],Таблица15[[#This Row],[Прочие]])</f>
        <v>0</v>
      </c>
    </row>
    <row r="760" spans="16:18" x14ac:dyDescent="0.2">
      <c r="P760" s="32"/>
      <c r="R760" s="30">
        <f>SUM(Таблица15[[#This Row],[ПР-Сумма]],Таблица15[[#This Row],[Сумма]],Таблица15[[#This Row],[Прочие]])</f>
        <v>0</v>
      </c>
    </row>
    <row r="761" spans="16:18" x14ac:dyDescent="0.2">
      <c r="P761" s="32"/>
      <c r="R761" s="30">
        <f>SUM(Таблица15[[#This Row],[ПР-Сумма]],Таблица15[[#This Row],[Сумма]],Таблица15[[#This Row],[Прочие]])</f>
        <v>0</v>
      </c>
    </row>
    <row r="762" spans="16:18" x14ac:dyDescent="0.2">
      <c r="P762" s="32"/>
      <c r="R762" s="30">
        <f>SUM(Таблица15[[#This Row],[ПР-Сумма]],Таблица15[[#This Row],[Сумма]],Таблица15[[#This Row],[Прочие]])</f>
        <v>0</v>
      </c>
    </row>
    <row r="763" spans="16:18" x14ac:dyDescent="0.2">
      <c r="P763" s="32"/>
      <c r="R763" s="30">
        <f>SUM(Таблица15[[#This Row],[ПР-Сумма]],Таблица15[[#This Row],[Сумма]],Таблица15[[#This Row],[Прочие]])</f>
        <v>0</v>
      </c>
    </row>
    <row r="764" spans="16:18" x14ac:dyDescent="0.2">
      <c r="P764" s="32"/>
      <c r="R764" s="30">
        <f>SUM(Таблица15[[#This Row],[ПР-Сумма]],Таблица15[[#This Row],[Сумма]],Таблица15[[#This Row],[Прочие]])</f>
        <v>0</v>
      </c>
    </row>
    <row r="765" spans="16:18" x14ac:dyDescent="0.2">
      <c r="P765" s="32"/>
      <c r="R765" s="30">
        <f>SUM(Таблица15[[#This Row],[ПР-Сумма]],Таблица15[[#This Row],[Сумма]],Таблица15[[#This Row],[Прочие]])</f>
        <v>0</v>
      </c>
    </row>
    <row r="766" spans="16:18" x14ac:dyDescent="0.2">
      <c r="P766" s="32"/>
      <c r="R766" s="30">
        <f>SUM(Таблица15[[#This Row],[ПР-Сумма]],Таблица15[[#This Row],[Сумма]],Таблица15[[#This Row],[Прочие]])</f>
        <v>0</v>
      </c>
    </row>
    <row r="767" spans="16:18" x14ac:dyDescent="0.2">
      <c r="P767" s="32"/>
      <c r="R767" s="30">
        <f>SUM(Таблица15[[#This Row],[ПР-Сумма]],Таблица15[[#This Row],[Сумма]],Таблица15[[#This Row],[Прочие]])</f>
        <v>0</v>
      </c>
    </row>
    <row r="768" spans="16:18" x14ac:dyDescent="0.2">
      <c r="P768" s="32"/>
      <c r="R768" s="30">
        <f>SUM(Таблица15[[#This Row],[ПР-Сумма]],Таблица15[[#This Row],[Сумма]],Таблица15[[#This Row],[Прочие]])</f>
        <v>0</v>
      </c>
    </row>
    <row r="769" spans="16:18" x14ac:dyDescent="0.2">
      <c r="P769" s="32"/>
      <c r="R769" s="30">
        <f>SUM(Таблица15[[#This Row],[ПР-Сумма]],Таблица15[[#This Row],[Сумма]],Таблица15[[#This Row],[Прочие]])</f>
        <v>0</v>
      </c>
    </row>
    <row r="770" spans="16:18" x14ac:dyDescent="0.2">
      <c r="P770" s="32"/>
      <c r="R770" s="30">
        <f>SUM(Таблица15[[#This Row],[ПР-Сумма]],Таблица15[[#This Row],[Сумма]],Таблица15[[#This Row],[Прочие]])</f>
        <v>0</v>
      </c>
    </row>
    <row r="771" spans="16:18" x14ac:dyDescent="0.2">
      <c r="P771" s="32"/>
      <c r="R771" s="30">
        <f>SUM(Таблица15[[#This Row],[ПР-Сумма]],Таблица15[[#This Row],[Сумма]],Таблица15[[#This Row],[Прочие]])</f>
        <v>0</v>
      </c>
    </row>
    <row r="772" spans="16:18" x14ac:dyDescent="0.2">
      <c r="P772" s="32"/>
      <c r="R772" s="30">
        <f>SUM(Таблица15[[#This Row],[ПР-Сумма]],Таблица15[[#This Row],[Сумма]],Таблица15[[#This Row],[Прочие]])</f>
        <v>0</v>
      </c>
    </row>
    <row r="773" spans="16:18" x14ac:dyDescent="0.2">
      <c r="P773" s="32"/>
      <c r="R773" s="30">
        <f>SUM(Таблица15[[#This Row],[ПР-Сумма]],Таблица15[[#This Row],[Сумма]],Таблица15[[#This Row],[Прочие]])</f>
        <v>0</v>
      </c>
    </row>
    <row r="774" spans="16:18" x14ac:dyDescent="0.2">
      <c r="P774" s="32"/>
      <c r="R774" s="30">
        <f>SUM(Таблица15[[#This Row],[ПР-Сумма]],Таблица15[[#This Row],[Сумма]],Таблица15[[#This Row],[Прочие]])</f>
        <v>0</v>
      </c>
    </row>
    <row r="775" spans="16:18" x14ac:dyDescent="0.2">
      <c r="P775" s="32"/>
      <c r="R775" s="30">
        <f>SUM(Таблица15[[#This Row],[ПР-Сумма]],Таблица15[[#This Row],[Сумма]],Таблица15[[#This Row],[Прочие]])</f>
        <v>0</v>
      </c>
    </row>
    <row r="776" spans="16:18" x14ac:dyDescent="0.2">
      <c r="P776" s="32"/>
      <c r="R776" s="30">
        <f>SUM(Таблица15[[#This Row],[ПР-Сумма]],Таблица15[[#This Row],[Сумма]],Таблица15[[#This Row],[Прочие]])</f>
        <v>0</v>
      </c>
    </row>
    <row r="777" spans="16:18" x14ac:dyDescent="0.2">
      <c r="P777" s="32"/>
      <c r="R777" s="30">
        <f>SUM(Таблица15[[#This Row],[ПР-Сумма]],Таблица15[[#This Row],[Сумма]],Таблица15[[#This Row],[Прочие]])</f>
        <v>0</v>
      </c>
    </row>
    <row r="778" spans="16:18" x14ac:dyDescent="0.2">
      <c r="P778" s="32"/>
      <c r="R778" s="30">
        <f>SUM(Таблица15[[#This Row],[ПР-Сумма]],Таблица15[[#This Row],[Сумма]],Таблица15[[#This Row],[Прочие]])</f>
        <v>0</v>
      </c>
    </row>
    <row r="779" spans="16:18" x14ac:dyDescent="0.2">
      <c r="P779" s="32"/>
      <c r="R779" s="30">
        <f>SUM(Таблица15[[#This Row],[ПР-Сумма]],Таблица15[[#This Row],[Сумма]],Таблица15[[#This Row],[Прочие]])</f>
        <v>0</v>
      </c>
    </row>
    <row r="780" spans="16:18" x14ac:dyDescent="0.2">
      <c r="P780" s="32"/>
      <c r="R780" s="30">
        <f>SUM(Таблица15[[#This Row],[ПР-Сумма]],Таблица15[[#This Row],[Сумма]],Таблица15[[#This Row],[Прочие]])</f>
        <v>0</v>
      </c>
    </row>
    <row r="781" spans="16:18" x14ac:dyDescent="0.2">
      <c r="P781" s="32"/>
      <c r="R781" s="30">
        <f>SUM(Таблица15[[#This Row],[ПР-Сумма]],Таблица15[[#This Row],[Сумма]],Таблица15[[#This Row],[Прочие]])</f>
        <v>0</v>
      </c>
    </row>
    <row r="782" spans="16:18" x14ac:dyDescent="0.2">
      <c r="P782" s="32"/>
      <c r="R782" s="30">
        <f>SUM(Таблица15[[#This Row],[ПР-Сумма]],Таблица15[[#This Row],[Сумма]],Таблица15[[#This Row],[Прочие]])</f>
        <v>0</v>
      </c>
    </row>
    <row r="783" spans="16:18" x14ac:dyDescent="0.2">
      <c r="P783" s="32"/>
      <c r="R783" s="30">
        <f>SUM(Таблица15[[#This Row],[ПР-Сумма]],Таблица15[[#This Row],[Сумма]],Таблица15[[#This Row],[Прочие]])</f>
        <v>0</v>
      </c>
    </row>
    <row r="784" spans="16:18" x14ac:dyDescent="0.2">
      <c r="P784" s="32"/>
      <c r="R784" s="30">
        <f>SUM(Таблица15[[#This Row],[ПР-Сумма]],Таблица15[[#This Row],[Сумма]],Таблица15[[#This Row],[Прочие]])</f>
        <v>0</v>
      </c>
    </row>
    <row r="785" spans="16:18" x14ac:dyDescent="0.2">
      <c r="P785" s="32"/>
      <c r="R785" s="30">
        <f>SUM(Таблица15[[#This Row],[ПР-Сумма]],Таблица15[[#This Row],[Сумма]],Таблица15[[#This Row],[Прочие]])</f>
        <v>0</v>
      </c>
    </row>
    <row r="786" spans="16:18" x14ac:dyDescent="0.2">
      <c r="P786" s="32"/>
      <c r="R786" s="30">
        <f>SUM(Таблица15[[#This Row],[ПР-Сумма]],Таблица15[[#This Row],[Сумма]],Таблица15[[#This Row],[Прочие]])</f>
        <v>0</v>
      </c>
    </row>
    <row r="787" spans="16:18" x14ac:dyDescent="0.2">
      <c r="P787" s="32"/>
      <c r="R787" s="30">
        <f>SUM(Таблица15[[#This Row],[ПР-Сумма]],Таблица15[[#This Row],[Сумма]],Таблица15[[#This Row],[Прочие]])</f>
        <v>0</v>
      </c>
    </row>
    <row r="788" spans="16:18" x14ac:dyDescent="0.2">
      <c r="P788" s="32"/>
      <c r="R788" s="30">
        <f>SUM(Таблица15[[#This Row],[ПР-Сумма]],Таблица15[[#This Row],[Сумма]],Таблица15[[#This Row],[Прочие]])</f>
        <v>0</v>
      </c>
    </row>
    <row r="789" spans="16:18" x14ac:dyDescent="0.2">
      <c r="P789" s="32"/>
      <c r="R789" s="30">
        <f>SUM(Таблица15[[#This Row],[ПР-Сумма]],Таблица15[[#This Row],[Сумма]],Таблица15[[#This Row],[Прочие]])</f>
        <v>0</v>
      </c>
    </row>
    <row r="790" spans="16:18" x14ac:dyDescent="0.2">
      <c r="P790" s="32"/>
      <c r="R790" s="30">
        <f>SUM(Таблица15[[#This Row],[ПР-Сумма]],Таблица15[[#This Row],[Сумма]],Таблица15[[#This Row],[Прочие]])</f>
        <v>0</v>
      </c>
    </row>
    <row r="791" spans="16:18" x14ac:dyDescent="0.2">
      <c r="P791" s="32"/>
      <c r="R791" s="30">
        <f>SUM(Таблица15[[#This Row],[ПР-Сумма]],Таблица15[[#This Row],[Сумма]],Таблица15[[#This Row],[Прочие]])</f>
        <v>0</v>
      </c>
    </row>
    <row r="792" spans="16:18" x14ac:dyDescent="0.2">
      <c r="P792" s="32"/>
      <c r="R792" s="30">
        <f>SUM(Таблица15[[#This Row],[ПР-Сумма]],Таблица15[[#This Row],[Сумма]],Таблица15[[#This Row],[Прочие]])</f>
        <v>0</v>
      </c>
    </row>
    <row r="793" spans="16:18" x14ac:dyDescent="0.2">
      <c r="P793" s="32"/>
      <c r="R793" s="30">
        <f>SUM(Таблица15[[#This Row],[ПР-Сумма]],Таблица15[[#This Row],[Сумма]],Таблица15[[#This Row],[Прочие]])</f>
        <v>0</v>
      </c>
    </row>
    <row r="794" spans="16:18" x14ac:dyDescent="0.2">
      <c r="P794" s="32"/>
      <c r="R794" s="30">
        <f>SUM(Таблица15[[#This Row],[ПР-Сумма]],Таблица15[[#This Row],[Сумма]],Таблица15[[#This Row],[Прочие]])</f>
        <v>0</v>
      </c>
    </row>
    <row r="795" spans="16:18" x14ac:dyDescent="0.2">
      <c r="P795" s="32"/>
      <c r="R795" s="30">
        <f>SUM(Таблица15[[#This Row],[ПР-Сумма]],Таблица15[[#This Row],[Сумма]],Таблица15[[#This Row],[Прочие]])</f>
        <v>0</v>
      </c>
    </row>
    <row r="796" spans="16:18" x14ac:dyDescent="0.2">
      <c r="P796" s="32"/>
      <c r="R796" s="30">
        <f>SUM(Таблица15[[#This Row],[ПР-Сумма]],Таблица15[[#This Row],[Сумма]],Таблица15[[#This Row],[Прочие]])</f>
        <v>0</v>
      </c>
    </row>
    <row r="797" spans="16:18" x14ac:dyDescent="0.2">
      <c r="P797" s="32"/>
      <c r="R797" s="30">
        <f>SUM(Таблица15[[#This Row],[ПР-Сумма]],Таблица15[[#This Row],[Сумма]],Таблица15[[#This Row],[Прочие]])</f>
        <v>0</v>
      </c>
    </row>
    <row r="798" spans="16:18" x14ac:dyDescent="0.2">
      <c r="P798" s="32"/>
      <c r="R798" s="30">
        <f>SUM(Таблица15[[#This Row],[ПР-Сумма]],Таблица15[[#This Row],[Сумма]],Таблица15[[#This Row],[Прочие]])</f>
        <v>0</v>
      </c>
    </row>
    <row r="799" spans="16:18" x14ac:dyDescent="0.2">
      <c r="P799" s="32"/>
      <c r="R799" s="30">
        <f>SUM(Таблица15[[#This Row],[ПР-Сумма]],Таблица15[[#This Row],[Сумма]],Таблица15[[#This Row],[Прочие]])</f>
        <v>0</v>
      </c>
    </row>
    <row r="800" spans="16:18" x14ac:dyDescent="0.2">
      <c r="P800" s="32"/>
      <c r="R800" s="30">
        <f>SUM(Таблица15[[#This Row],[ПР-Сумма]],Таблица15[[#This Row],[Сумма]],Таблица15[[#This Row],[Прочие]])</f>
        <v>0</v>
      </c>
    </row>
    <row r="801" spans="16:18" x14ac:dyDescent="0.2">
      <c r="P801" s="32"/>
      <c r="R801" s="30">
        <f>SUM(Таблица15[[#This Row],[ПР-Сумма]],Таблица15[[#This Row],[Сумма]],Таблица15[[#This Row],[Прочие]])</f>
        <v>0</v>
      </c>
    </row>
    <row r="802" spans="16:18" x14ac:dyDescent="0.2">
      <c r="P802" s="32"/>
      <c r="R802" s="30">
        <f>SUM(Таблица15[[#This Row],[ПР-Сумма]],Таблица15[[#This Row],[Сумма]],Таблица15[[#This Row],[Прочие]])</f>
        <v>0</v>
      </c>
    </row>
    <row r="803" spans="16:18" x14ac:dyDescent="0.2">
      <c r="P803" s="32"/>
      <c r="R803" s="30">
        <f>SUM(Таблица15[[#This Row],[ПР-Сумма]],Таблица15[[#This Row],[Сумма]],Таблица15[[#This Row],[Прочие]])</f>
        <v>0</v>
      </c>
    </row>
    <row r="804" spans="16:18" x14ac:dyDescent="0.2">
      <c r="P804" s="32"/>
      <c r="R804" s="30">
        <f>SUM(Таблица15[[#This Row],[ПР-Сумма]],Таблица15[[#This Row],[Сумма]],Таблица15[[#This Row],[Прочие]])</f>
        <v>0</v>
      </c>
    </row>
    <row r="805" spans="16:18" x14ac:dyDescent="0.2">
      <c r="P805" s="32"/>
      <c r="R805" s="30">
        <f>SUM(Таблица15[[#This Row],[ПР-Сумма]],Таблица15[[#This Row],[Сумма]],Таблица15[[#This Row],[Прочие]])</f>
        <v>0</v>
      </c>
    </row>
    <row r="806" spans="16:18" x14ac:dyDescent="0.2">
      <c r="P806" s="32"/>
      <c r="R806" s="30">
        <f>SUM(Таблица15[[#This Row],[ПР-Сумма]],Таблица15[[#This Row],[Сумма]],Таблица15[[#This Row],[Прочие]])</f>
        <v>0</v>
      </c>
    </row>
    <row r="807" spans="16:18" x14ac:dyDescent="0.2">
      <c r="P807" s="32"/>
      <c r="R807" s="30">
        <f>SUM(Таблица15[[#This Row],[ПР-Сумма]],Таблица15[[#This Row],[Сумма]],Таблица15[[#This Row],[Прочие]])</f>
        <v>0</v>
      </c>
    </row>
    <row r="808" spans="16:18" x14ac:dyDescent="0.2">
      <c r="P808" s="32"/>
      <c r="R808" s="30">
        <f>SUM(Таблица15[[#This Row],[ПР-Сумма]],Таблица15[[#This Row],[Сумма]],Таблица15[[#This Row],[Прочие]])</f>
        <v>0</v>
      </c>
    </row>
    <row r="809" spans="16:18" x14ac:dyDescent="0.2">
      <c r="P809" s="32"/>
      <c r="R809" s="30">
        <f>SUM(Таблица15[[#This Row],[ПР-Сумма]],Таблица15[[#This Row],[Сумма]],Таблица15[[#This Row],[Прочие]])</f>
        <v>0</v>
      </c>
    </row>
    <row r="810" spans="16:18" x14ac:dyDescent="0.2">
      <c r="P810" s="32"/>
      <c r="R810" s="30">
        <f>SUM(Таблица15[[#This Row],[ПР-Сумма]],Таблица15[[#This Row],[Сумма]],Таблица15[[#This Row],[Прочие]])</f>
        <v>0</v>
      </c>
    </row>
    <row r="811" spans="16:18" x14ac:dyDescent="0.2">
      <c r="P811" s="32"/>
      <c r="R811" s="30">
        <f>SUM(Таблица15[[#This Row],[ПР-Сумма]],Таблица15[[#This Row],[Сумма]],Таблица15[[#This Row],[Прочие]])</f>
        <v>0</v>
      </c>
    </row>
    <row r="812" spans="16:18" x14ac:dyDescent="0.2">
      <c r="P812" s="32"/>
      <c r="R812" s="30">
        <f>SUM(Таблица15[[#This Row],[ПР-Сумма]],Таблица15[[#This Row],[Сумма]],Таблица15[[#This Row],[Прочие]])</f>
        <v>0</v>
      </c>
    </row>
    <row r="813" spans="16:18" x14ac:dyDescent="0.2">
      <c r="P813" s="32"/>
      <c r="R813" s="30">
        <f>SUM(Таблица15[[#This Row],[ПР-Сумма]],Таблица15[[#This Row],[Сумма]],Таблица15[[#This Row],[Прочие]])</f>
        <v>0</v>
      </c>
    </row>
    <row r="814" spans="16:18" x14ac:dyDescent="0.2">
      <c r="P814" s="32"/>
      <c r="R814" s="30">
        <f>SUM(Таблица15[[#This Row],[ПР-Сумма]],Таблица15[[#This Row],[Сумма]],Таблица15[[#This Row],[Прочие]])</f>
        <v>0</v>
      </c>
    </row>
    <row r="815" spans="16:18" x14ac:dyDescent="0.2">
      <c r="P815" s="32"/>
      <c r="R815" s="30">
        <f>SUM(Таблица15[[#This Row],[ПР-Сумма]],Таблица15[[#This Row],[Сумма]],Таблица15[[#This Row],[Прочие]])</f>
        <v>0</v>
      </c>
    </row>
    <row r="816" spans="16:18" x14ac:dyDescent="0.2">
      <c r="P816" s="32"/>
      <c r="R816" s="30">
        <f>SUM(Таблица15[[#This Row],[ПР-Сумма]],Таблица15[[#This Row],[Сумма]],Таблица15[[#This Row],[Прочие]])</f>
        <v>0</v>
      </c>
    </row>
    <row r="817" spans="16:18" x14ac:dyDescent="0.2">
      <c r="P817" s="32"/>
      <c r="R817" s="30">
        <f>SUM(Таблица15[[#This Row],[ПР-Сумма]],Таблица15[[#This Row],[Сумма]],Таблица15[[#This Row],[Прочие]])</f>
        <v>0</v>
      </c>
    </row>
    <row r="818" spans="16:18" x14ac:dyDescent="0.2">
      <c r="P818" s="32"/>
      <c r="R818" s="30">
        <f>SUM(Таблица15[[#This Row],[ПР-Сумма]],Таблица15[[#This Row],[Сумма]],Таблица15[[#This Row],[Прочие]])</f>
        <v>0</v>
      </c>
    </row>
    <row r="819" spans="16:18" x14ac:dyDescent="0.2">
      <c r="P819" s="32"/>
      <c r="R819" s="30">
        <f>SUM(Таблица15[[#This Row],[ПР-Сумма]],Таблица15[[#This Row],[Сумма]],Таблица15[[#This Row],[Прочие]])</f>
        <v>0</v>
      </c>
    </row>
    <row r="820" spans="16:18" x14ac:dyDescent="0.2">
      <c r="P820" s="32"/>
      <c r="R820" s="30">
        <f>SUM(Таблица15[[#This Row],[ПР-Сумма]],Таблица15[[#This Row],[Сумма]],Таблица15[[#This Row],[Прочие]])</f>
        <v>0</v>
      </c>
    </row>
    <row r="821" spans="16:18" x14ac:dyDescent="0.2">
      <c r="P821" s="32"/>
      <c r="R821" s="30">
        <f>SUM(Таблица15[[#This Row],[ПР-Сумма]],Таблица15[[#This Row],[Сумма]],Таблица15[[#This Row],[Прочие]])</f>
        <v>0</v>
      </c>
    </row>
    <row r="822" spans="16:18" x14ac:dyDescent="0.2">
      <c r="P822" s="32"/>
      <c r="R822" s="30">
        <f>SUM(Таблица15[[#This Row],[ПР-Сумма]],Таблица15[[#This Row],[Сумма]],Таблица15[[#This Row],[Прочие]])</f>
        <v>0</v>
      </c>
    </row>
    <row r="823" spans="16:18" x14ac:dyDescent="0.2">
      <c r="P823" s="32"/>
      <c r="R823" s="30">
        <f>SUM(Таблица15[[#This Row],[ПР-Сумма]],Таблица15[[#This Row],[Сумма]],Таблица15[[#This Row],[Прочие]])</f>
        <v>0</v>
      </c>
    </row>
    <row r="824" spans="16:18" x14ac:dyDescent="0.2">
      <c r="P824" s="32"/>
      <c r="R824" s="30">
        <f>SUM(Таблица15[[#This Row],[ПР-Сумма]],Таблица15[[#This Row],[Сумма]],Таблица15[[#This Row],[Прочие]])</f>
        <v>0</v>
      </c>
    </row>
    <row r="825" spans="16:18" x14ac:dyDescent="0.2">
      <c r="P825" s="32"/>
      <c r="R825" s="30">
        <f>SUM(Таблица15[[#This Row],[ПР-Сумма]],Таблица15[[#This Row],[Сумма]],Таблица15[[#This Row],[Прочие]])</f>
        <v>0</v>
      </c>
    </row>
    <row r="826" spans="16:18" x14ac:dyDescent="0.2">
      <c r="P826" s="32"/>
      <c r="R826" s="30">
        <f>SUM(Таблица15[[#This Row],[ПР-Сумма]],Таблица15[[#This Row],[Сумма]],Таблица15[[#This Row],[Прочие]])</f>
        <v>0</v>
      </c>
    </row>
    <row r="827" spans="16:18" x14ac:dyDescent="0.2">
      <c r="P827" s="32"/>
      <c r="R827" s="30">
        <f>SUM(Таблица15[[#This Row],[ПР-Сумма]],Таблица15[[#This Row],[Сумма]],Таблица15[[#This Row],[Прочие]])</f>
        <v>0</v>
      </c>
    </row>
    <row r="828" spans="16:18" x14ac:dyDescent="0.2">
      <c r="P828" s="32"/>
      <c r="R828" s="30">
        <f>SUM(Таблица15[[#This Row],[ПР-Сумма]],Таблица15[[#This Row],[Сумма]],Таблица15[[#This Row],[Прочие]])</f>
        <v>0</v>
      </c>
    </row>
    <row r="829" spans="16:18" x14ac:dyDescent="0.2">
      <c r="P829" s="32"/>
      <c r="R829" s="30">
        <f>SUM(Таблица15[[#This Row],[ПР-Сумма]],Таблица15[[#This Row],[Сумма]],Таблица15[[#This Row],[Прочие]])</f>
        <v>0</v>
      </c>
    </row>
    <row r="830" spans="16:18" x14ac:dyDescent="0.2">
      <c r="P830" s="32"/>
      <c r="R830" s="30">
        <f>SUM(Таблица15[[#This Row],[ПР-Сумма]],Таблица15[[#This Row],[Сумма]],Таблица15[[#This Row],[Прочие]])</f>
        <v>0</v>
      </c>
    </row>
    <row r="831" spans="16:18" x14ac:dyDescent="0.2">
      <c r="P831" s="32"/>
      <c r="R831" s="30">
        <f>SUM(Таблица15[[#This Row],[ПР-Сумма]],Таблица15[[#This Row],[Сумма]],Таблица15[[#This Row],[Прочие]])</f>
        <v>0</v>
      </c>
    </row>
    <row r="832" spans="16:18" x14ac:dyDescent="0.2">
      <c r="P832" s="32"/>
      <c r="R832" s="30">
        <f>SUM(Таблица15[[#This Row],[ПР-Сумма]],Таблица15[[#This Row],[Сумма]],Таблица15[[#This Row],[Прочие]])</f>
        <v>0</v>
      </c>
    </row>
    <row r="833" spans="16:18" x14ac:dyDescent="0.2">
      <c r="P833" s="32"/>
      <c r="R833" s="30">
        <f>SUM(Таблица15[[#This Row],[ПР-Сумма]],Таблица15[[#This Row],[Сумма]],Таблица15[[#This Row],[Прочие]])</f>
        <v>0</v>
      </c>
    </row>
    <row r="834" spans="16:18" x14ac:dyDescent="0.2">
      <c r="P834" s="32"/>
      <c r="R834" s="30">
        <f>SUM(Таблица15[[#This Row],[ПР-Сумма]],Таблица15[[#This Row],[Сумма]],Таблица15[[#This Row],[Прочие]])</f>
        <v>0</v>
      </c>
    </row>
    <row r="835" spans="16:18" x14ac:dyDescent="0.2">
      <c r="P835" s="32"/>
      <c r="R835" s="30">
        <f>SUM(Таблица15[[#This Row],[ПР-Сумма]],Таблица15[[#This Row],[Сумма]],Таблица15[[#This Row],[Прочие]])</f>
        <v>0</v>
      </c>
    </row>
    <row r="836" spans="16:18" x14ac:dyDescent="0.2">
      <c r="P836" s="32"/>
      <c r="R836" s="30">
        <f>SUM(Таблица15[[#This Row],[ПР-Сумма]],Таблица15[[#This Row],[Сумма]],Таблица15[[#This Row],[Прочие]])</f>
        <v>0</v>
      </c>
    </row>
    <row r="837" spans="16:18" x14ac:dyDescent="0.2">
      <c r="P837" s="32"/>
      <c r="R837" s="30">
        <f>SUM(Таблица15[[#This Row],[ПР-Сумма]],Таблица15[[#This Row],[Сумма]],Таблица15[[#This Row],[Прочие]])</f>
        <v>0</v>
      </c>
    </row>
    <row r="838" spans="16:18" x14ac:dyDescent="0.2">
      <c r="P838" s="32"/>
      <c r="R838" s="30">
        <f>SUM(Таблица15[[#This Row],[ПР-Сумма]],Таблица15[[#This Row],[Сумма]],Таблица15[[#This Row],[Прочие]])</f>
        <v>0</v>
      </c>
    </row>
    <row r="839" spans="16:18" x14ac:dyDescent="0.2">
      <c r="P839" s="32"/>
      <c r="R839" s="30">
        <f>SUM(Таблица15[[#This Row],[ПР-Сумма]],Таблица15[[#This Row],[Сумма]],Таблица15[[#This Row],[Прочие]])</f>
        <v>0</v>
      </c>
    </row>
    <row r="840" spans="16:18" x14ac:dyDescent="0.2">
      <c r="P840" s="32"/>
      <c r="R840" s="30">
        <f>SUM(Таблица15[[#This Row],[ПР-Сумма]],Таблица15[[#This Row],[Сумма]],Таблица15[[#This Row],[Прочие]])</f>
        <v>0</v>
      </c>
    </row>
    <row r="841" spans="16:18" x14ac:dyDescent="0.2">
      <c r="P841" s="32"/>
      <c r="R841" s="30">
        <f>SUM(Таблица15[[#This Row],[ПР-Сумма]],Таблица15[[#This Row],[Сумма]],Таблица15[[#This Row],[Прочие]])</f>
        <v>0</v>
      </c>
    </row>
    <row r="842" spans="16:18" x14ac:dyDescent="0.2">
      <c r="P842" s="32"/>
      <c r="R842" s="30">
        <f>SUM(Таблица15[[#This Row],[ПР-Сумма]],Таблица15[[#This Row],[Сумма]],Таблица15[[#This Row],[Прочие]])</f>
        <v>0</v>
      </c>
    </row>
    <row r="843" spans="16:18" x14ac:dyDescent="0.2">
      <c r="P843" s="32"/>
      <c r="R843" s="30">
        <f>SUM(Таблица15[[#This Row],[ПР-Сумма]],Таблица15[[#This Row],[Сумма]],Таблица15[[#This Row],[Прочие]])</f>
        <v>0</v>
      </c>
    </row>
    <row r="844" spans="16:18" x14ac:dyDescent="0.2">
      <c r="P844" s="32"/>
      <c r="R844" s="30">
        <f>SUM(Таблица15[[#This Row],[ПР-Сумма]],Таблица15[[#This Row],[Сумма]],Таблица15[[#This Row],[Прочие]])</f>
        <v>0</v>
      </c>
    </row>
    <row r="845" spans="16:18" x14ac:dyDescent="0.2">
      <c r="P845" s="32"/>
      <c r="R845" s="30">
        <f>SUM(Таблица15[[#This Row],[ПР-Сумма]],Таблица15[[#This Row],[Сумма]],Таблица15[[#This Row],[Прочие]])</f>
        <v>0</v>
      </c>
    </row>
    <row r="846" spans="16:18" x14ac:dyDescent="0.2">
      <c r="P846" s="32"/>
      <c r="R846" s="30">
        <f>SUM(Таблица15[[#This Row],[ПР-Сумма]],Таблица15[[#This Row],[Сумма]],Таблица15[[#This Row],[Прочие]])</f>
        <v>0</v>
      </c>
    </row>
    <row r="847" spans="16:18" x14ac:dyDescent="0.2">
      <c r="P847" s="32"/>
      <c r="R847" s="30">
        <f>SUM(Таблица15[[#This Row],[ПР-Сумма]],Таблица15[[#This Row],[Сумма]],Таблица15[[#This Row],[Прочие]])</f>
        <v>0</v>
      </c>
    </row>
    <row r="848" spans="16:18" x14ac:dyDescent="0.2">
      <c r="P848" s="32"/>
      <c r="R848" s="30">
        <f>SUM(Таблица15[[#This Row],[ПР-Сумма]],Таблица15[[#This Row],[Сумма]],Таблица15[[#This Row],[Прочие]])</f>
        <v>0</v>
      </c>
    </row>
    <row r="849" spans="16:18" x14ac:dyDescent="0.2">
      <c r="P849" s="32"/>
      <c r="R849" s="30">
        <f>SUM(Таблица15[[#This Row],[ПР-Сумма]],Таблица15[[#This Row],[Сумма]],Таблица15[[#This Row],[Прочие]])</f>
        <v>0</v>
      </c>
    </row>
    <row r="850" spans="16:18" x14ac:dyDescent="0.2">
      <c r="P850" s="32"/>
      <c r="R850" s="30">
        <f>SUM(Таблица15[[#This Row],[ПР-Сумма]],Таблица15[[#This Row],[Сумма]],Таблица15[[#This Row],[Прочие]])</f>
        <v>0</v>
      </c>
    </row>
    <row r="851" spans="16:18" x14ac:dyDescent="0.2">
      <c r="P851" s="32"/>
      <c r="R851" s="30">
        <f>SUM(Таблица15[[#This Row],[ПР-Сумма]],Таблица15[[#This Row],[Сумма]],Таблица15[[#This Row],[Прочие]])</f>
        <v>0</v>
      </c>
    </row>
    <row r="852" spans="16:18" x14ac:dyDescent="0.2">
      <c r="P852" s="32"/>
      <c r="R852" s="30">
        <f>SUM(Таблица15[[#This Row],[ПР-Сумма]],Таблица15[[#This Row],[Сумма]],Таблица15[[#This Row],[Прочие]])</f>
        <v>0</v>
      </c>
    </row>
    <row r="853" spans="16:18" x14ac:dyDescent="0.2">
      <c r="P853" s="32"/>
      <c r="R853" s="30">
        <f>SUM(Таблица15[[#This Row],[ПР-Сумма]],Таблица15[[#This Row],[Сумма]],Таблица15[[#This Row],[Прочие]])</f>
        <v>0</v>
      </c>
    </row>
    <row r="854" spans="16:18" x14ac:dyDescent="0.2">
      <c r="P854" s="32"/>
      <c r="R854" s="30">
        <f>SUM(Таблица15[[#This Row],[ПР-Сумма]],Таблица15[[#This Row],[Сумма]],Таблица15[[#This Row],[Прочие]])</f>
        <v>0</v>
      </c>
    </row>
    <row r="855" spans="16:18" x14ac:dyDescent="0.2">
      <c r="P855" s="32"/>
      <c r="R855" s="30">
        <f>SUM(Таблица15[[#This Row],[ПР-Сумма]],Таблица15[[#This Row],[Сумма]],Таблица15[[#This Row],[Прочие]])</f>
        <v>0</v>
      </c>
    </row>
    <row r="856" spans="16:18" x14ac:dyDescent="0.2">
      <c r="P856" s="32"/>
      <c r="R856" s="30">
        <f>SUM(Таблица15[[#This Row],[ПР-Сумма]],Таблица15[[#This Row],[Сумма]],Таблица15[[#This Row],[Прочие]])</f>
        <v>0</v>
      </c>
    </row>
    <row r="857" spans="16:18" x14ac:dyDescent="0.2">
      <c r="P857" s="32"/>
      <c r="R857" s="30">
        <f>SUM(Таблица15[[#This Row],[ПР-Сумма]],Таблица15[[#This Row],[Сумма]],Таблица15[[#This Row],[Прочие]])</f>
        <v>0</v>
      </c>
    </row>
    <row r="858" spans="16:18" x14ac:dyDescent="0.2">
      <c r="P858" s="32"/>
      <c r="R858" s="30">
        <f>SUM(Таблица15[[#This Row],[ПР-Сумма]],Таблица15[[#This Row],[Сумма]],Таблица15[[#This Row],[Прочие]])</f>
        <v>0</v>
      </c>
    </row>
    <row r="859" spans="16:18" x14ac:dyDescent="0.2">
      <c r="P859" s="32"/>
      <c r="R859" s="30">
        <f>SUM(Таблица15[[#This Row],[ПР-Сумма]],Таблица15[[#This Row],[Сумма]],Таблица15[[#This Row],[Прочие]])</f>
        <v>0</v>
      </c>
    </row>
    <row r="860" spans="16:18" x14ac:dyDescent="0.2">
      <c r="P860" s="32"/>
      <c r="R860" s="30">
        <f>SUM(Таблица15[[#This Row],[ПР-Сумма]],Таблица15[[#This Row],[Сумма]],Таблица15[[#This Row],[Прочие]])</f>
        <v>0</v>
      </c>
    </row>
    <row r="861" spans="16:18" x14ac:dyDescent="0.2">
      <c r="P861" s="32"/>
      <c r="R861" s="30">
        <f>SUM(Таблица15[[#This Row],[ПР-Сумма]],Таблица15[[#This Row],[Сумма]],Таблица15[[#This Row],[Прочие]])</f>
        <v>0</v>
      </c>
    </row>
    <row r="862" spans="16:18" x14ac:dyDescent="0.2">
      <c r="P862" s="32"/>
      <c r="R862" s="30">
        <f>SUM(Таблица15[[#This Row],[ПР-Сумма]],Таблица15[[#This Row],[Сумма]],Таблица15[[#This Row],[Прочие]])</f>
        <v>0</v>
      </c>
    </row>
    <row r="863" spans="16:18" x14ac:dyDescent="0.2">
      <c r="P863" s="32"/>
      <c r="R863" s="30">
        <f>SUM(Таблица15[[#This Row],[ПР-Сумма]],Таблица15[[#This Row],[Сумма]],Таблица15[[#This Row],[Прочие]])</f>
        <v>0</v>
      </c>
    </row>
    <row r="864" spans="16:18" x14ac:dyDescent="0.2">
      <c r="P864" s="32"/>
      <c r="R864" s="30">
        <f>SUM(Таблица15[[#This Row],[ПР-Сумма]],Таблица15[[#This Row],[Сумма]],Таблица15[[#This Row],[Прочие]])</f>
        <v>0</v>
      </c>
    </row>
    <row r="865" spans="16:18" x14ac:dyDescent="0.2">
      <c r="P865" s="32"/>
      <c r="R865" s="30">
        <f>SUM(Таблица15[[#This Row],[ПР-Сумма]],Таблица15[[#This Row],[Сумма]],Таблица15[[#This Row],[Прочие]])</f>
        <v>0</v>
      </c>
    </row>
    <row r="866" spans="16:18" x14ac:dyDescent="0.2">
      <c r="P866" s="32"/>
      <c r="R866" s="30">
        <f>SUM(Таблица15[[#This Row],[ПР-Сумма]],Таблица15[[#This Row],[Сумма]],Таблица15[[#This Row],[Прочие]])</f>
        <v>0</v>
      </c>
    </row>
    <row r="867" spans="16:18" x14ac:dyDescent="0.2">
      <c r="P867" s="32"/>
      <c r="R867" s="30">
        <f>SUM(Таблица15[[#This Row],[ПР-Сумма]],Таблица15[[#This Row],[Сумма]],Таблица15[[#This Row],[Прочие]])</f>
        <v>0</v>
      </c>
    </row>
    <row r="868" spans="16:18" x14ac:dyDescent="0.2">
      <c r="P868" s="32"/>
      <c r="R868" s="30">
        <f>SUM(Таблица15[[#This Row],[ПР-Сумма]],Таблица15[[#This Row],[Сумма]],Таблица15[[#This Row],[Прочие]])</f>
        <v>0</v>
      </c>
    </row>
    <row r="869" spans="16:18" x14ac:dyDescent="0.2">
      <c r="P869" s="32"/>
      <c r="R869" s="30">
        <f>SUM(Таблица15[[#This Row],[ПР-Сумма]],Таблица15[[#This Row],[Сумма]],Таблица15[[#This Row],[Прочие]])</f>
        <v>0</v>
      </c>
    </row>
    <row r="870" spans="16:18" x14ac:dyDescent="0.2">
      <c r="P870" s="32"/>
      <c r="R870" s="30">
        <f>SUM(Таблица15[[#This Row],[ПР-Сумма]],Таблица15[[#This Row],[Сумма]],Таблица15[[#This Row],[Прочие]])</f>
        <v>0</v>
      </c>
    </row>
    <row r="871" spans="16:18" x14ac:dyDescent="0.2">
      <c r="P871" s="32"/>
      <c r="R871" s="30">
        <f>SUM(Таблица15[[#This Row],[ПР-Сумма]],Таблица15[[#This Row],[Сумма]],Таблица15[[#This Row],[Прочие]])</f>
        <v>0</v>
      </c>
    </row>
    <row r="872" spans="16:18" x14ac:dyDescent="0.2">
      <c r="P872" s="32"/>
      <c r="R872" s="30">
        <f>SUM(Таблица15[[#This Row],[ПР-Сумма]],Таблица15[[#This Row],[Сумма]],Таблица15[[#This Row],[Прочие]])</f>
        <v>0</v>
      </c>
    </row>
    <row r="873" spans="16:18" x14ac:dyDescent="0.2">
      <c r="P873" s="32"/>
      <c r="R873" s="30">
        <f>SUM(Таблица15[[#This Row],[ПР-Сумма]],Таблица15[[#This Row],[Сумма]],Таблица15[[#This Row],[Прочие]])</f>
        <v>0</v>
      </c>
    </row>
    <row r="874" spans="16:18" x14ac:dyDescent="0.2">
      <c r="P874" s="32"/>
      <c r="R874" s="30">
        <f>SUM(Таблица15[[#This Row],[ПР-Сумма]],Таблица15[[#This Row],[Сумма]],Таблица15[[#This Row],[Прочие]])</f>
        <v>0</v>
      </c>
    </row>
    <row r="875" spans="16:18" x14ac:dyDescent="0.2">
      <c r="P875" s="32"/>
      <c r="R875" s="30">
        <f>SUM(Таблица15[[#This Row],[ПР-Сумма]],Таблица15[[#This Row],[Сумма]],Таблица15[[#This Row],[Прочие]])</f>
        <v>0</v>
      </c>
    </row>
    <row r="876" spans="16:18" x14ac:dyDescent="0.2">
      <c r="P876" s="32"/>
      <c r="R876" s="30">
        <f>SUM(Таблица15[[#This Row],[ПР-Сумма]],Таблица15[[#This Row],[Сумма]],Таблица15[[#This Row],[Прочие]])</f>
        <v>0</v>
      </c>
    </row>
    <row r="877" spans="16:18" x14ac:dyDescent="0.2">
      <c r="P877" s="32"/>
      <c r="R877" s="30">
        <f>SUM(Таблица15[[#This Row],[ПР-Сумма]],Таблица15[[#This Row],[Сумма]],Таблица15[[#This Row],[Прочие]])</f>
        <v>0</v>
      </c>
    </row>
    <row r="878" spans="16:18" x14ac:dyDescent="0.2">
      <c r="P878" s="32"/>
      <c r="R878" s="30">
        <f>SUM(Таблица15[[#This Row],[ПР-Сумма]],Таблица15[[#This Row],[Сумма]],Таблица15[[#This Row],[Прочие]])</f>
        <v>0</v>
      </c>
    </row>
    <row r="879" spans="16:18" x14ac:dyDescent="0.2">
      <c r="P879" s="32"/>
      <c r="R879" s="30">
        <f>SUM(Таблица15[[#This Row],[ПР-Сумма]],Таблица15[[#This Row],[Сумма]],Таблица15[[#This Row],[Прочие]])</f>
        <v>0</v>
      </c>
    </row>
    <row r="880" spans="16:18" x14ac:dyDescent="0.2">
      <c r="P880" s="32"/>
      <c r="R880" s="30">
        <f>SUM(Таблица15[[#This Row],[ПР-Сумма]],Таблица15[[#This Row],[Сумма]],Таблица15[[#This Row],[Прочие]])</f>
        <v>0</v>
      </c>
    </row>
    <row r="881" spans="16:18" x14ac:dyDescent="0.2">
      <c r="P881" s="32"/>
      <c r="R881" s="30">
        <f>SUM(Таблица15[[#This Row],[ПР-Сумма]],Таблица15[[#This Row],[Сумма]],Таблица15[[#This Row],[Прочие]])</f>
        <v>0</v>
      </c>
    </row>
    <row r="882" spans="16:18" x14ac:dyDescent="0.2">
      <c r="P882" s="32"/>
      <c r="R882" s="30">
        <f>SUM(Таблица15[[#This Row],[ПР-Сумма]],Таблица15[[#This Row],[Сумма]],Таблица15[[#This Row],[Прочие]])</f>
        <v>0</v>
      </c>
    </row>
    <row r="883" spans="16:18" x14ac:dyDescent="0.2">
      <c r="P883" s="32"/>
      <c r="R883" s="30">
        <f>SUM(Таблица15[[#This Row],[ПР-Сумма]],Таблица15[[#This Row],[Сумма]],Таблица15[[#This Row],[Прочие]])</f>
        <v>0</v>
      </c>
    </row>
    <row r="884" spans="16:18" x14ac:dyDescent="0.2">
      <c r="P884" s="32"/>
      <c r="R884" s="30">
        <f>SUM(Таблица15[[#This Row],[ПР-Сумма]],Таблица15[[#This Row],[Сумма]],Таблица15[[#This Row],[Прочие]])</f>
        <v>0</v>
      </c>
    </row>
    <row r="885" spans="16:18" x14ac:dyDescent="0.2">
      <c r="P885" s="32"/>
      <c r="R885" s="30">
        <f>SUM(Таблица15[[#This Row],[ПР-Сумма]],Таблица15[[#This Row],[Сумма]],Таблица15[[#This Row],[Прочие]])</f>
        <v>0</v>
      </c>
    </row>
    <row r="886" spans="16:18" x14ac:dyDescent="0.2">
      <c r="P886" s="32"/>
      <c r="R886" s="30">
        <f>SUM(Таблица15[[#This Row],[ПР-Сумма]],Таблица15[[#This Row],[Сумма]],Таблица15[[#This Row],[Прочие]])</f>
        <v>0</v>
      </c>
    </row>
    <row r="887" spans="16:18" x14ac:dyDescent="0.2">
      <c r="P887" s="32"/>
      <c r="R887" s="30">
        <f>SUM(Таблица15[[#This Row],[ПР-Сумма]],Таблица15[[#This Row],[Сумма]],Таблица15[[#This Row],[Прочие]])</f>
        <v>0</v>
      </c>
    </row>
    <row r="888" spans="16:18" x14ac:dyDescent="0.2">
      <c r="P888" s="32"/>
      <c r="R888" s="30">
        <f>SUM(Таблица15[[#This Row],[ПР-Сумма]],Таблица15[[#This Row],[Сумма]],Таблица15[[#This Row],[Прочие]])</f>
        <v>0</v>
      </c>
    </row>
    <row r="889" spans="16:18" x14ac:dyDescent="0.2">
      <c r="P889" s="32"/>
      <c r="R889" s="30">
        <f>SUM(Таблица15[[#This Row],[ПР-Сумма]],Таблица15[[#This Row],[Сумма]],Таблица15[[#This Row],[Прочие]])</f>
        <v>0</v>
      </c>
    </row>
    <row r="890" spans="16:18" x14ac:dyDescent="0.2">
      <c r="P890" s="32"/>
      <c r="R890" s="30">
        <f>SUM(Таблица15[[#This Row],[ПР-Сумма]],Таблица15[[#This Row],[Сумма]],Таблица15[[#This Row],[Прочие]])</f>
        <v>0</v>
      </c>
    </row>
    <row r="891" spans="16:18" x14ac:dyDescent="0.2">
      <c r="P891" s="32"/>
      <c r="R891" s="30">
        <f>SUM(Таблица15[[#This Row],[ПР-Сумма]],Таблица15[[#This Row],[Сумма]],Таблица15[[#This Row],[Прочие]])</f>
        <v>0</v>
      </c>
    </row>
    <row r="892" spans="16:18" x14ac:dyDescent="0.2">
      <c r="P892" s="32"/>
      <c r="R892" s="30">
        <f>SUM(Таблица15[[#This Row],[ПР-Сумма]],Таблица15[[#This Row],[Сумма]],Таблица15[[#This Row],[Прочие]])</f>
        <v>0</v>
      </c>
    </row>
    <row r="893" spans="16:18" x14ac:dyDescent="0.2">
      <c r="P893" s="32"/>
      <c r="R893" s="30">
        <f>SUM(Таблица15[[#This Row],[ПР-Сумма]],Таблица15[[#This Row],[Сумма]],Таблица15[[#This Row],[Прочие]])</f>
        <v>0</v>
      </c>
    </row>
    <row r="894" spans="16:18" x14ac:dyDescent="0.2">
      <c r="P894" s="32"/>
      <c r="R894" s="30">
        <f>SUM(Таблица15[[#This Row],[ПР-Сумма]],Таблица15[[#This Row],[Сумма]],Таблица15[[#This Row],[Прочие]])</f>
        <v>0</v>
      </c>
    </row>
    <row r="895" spans="16:18" x14ac:dyDescent="0.2">
      <c r="P895" s="32"/>
      <c r="R895" s="30">
        <f>SUM(Таблица15[[#This Row],[ПР-Сумма]],Таблица15[[#This Row],[Сумма]],Таблица15[[#This Row],[Прочие]])</f>
        <v>0</v>
      </c>
    </row>
    <row r="896" spans="16:18" x14ac:dyDescent="0.2">
      <c r="P896" s="32"/>
      <c r="R896" s="30">
        <f>SUM(Таблица15[[#This Row],[ПР-Сумма]],Таблица15[[#This Row],[Сумма]],Таблица15[[#This Row],[Прочие]])</f>
        <v>0</v>
      </c>
    </row>
    <row r="897" spans="16:18" x14ac:dyDescent="0.2">
      <c r="P897" s="32"/>
      <c r="R897" s="30">
        <f>SUM(Таблица15[[#This Row],[ПР-Сумма]],Таблица15[[#This Row],[Сумма]],Таблица15[[#This Row],[Прочие]])</f>
        <v>0</v>
      </c>
    </row>
    <row r="898" spans="16:18" x14ac:dyDescent="0.2">
      <c r="P898" s="32"/>
      <c r="R898" s="30">
        <f>SUM(Таблица15[[#This Row],[ПР-Сумма]],Таблица15[[#This Row],[Сумма]],Таблица15[[#This Row],[Прочие]])</f>
        <v>0</v>
      </c>
    </row>
    <row r="899" spans="16:18" x14ac:dyDescent="0.2">
      <c r="P899" s="32"/>
      <c r="R899" s="30">
        <f>SUM(Таблица15[[#This Row],[ПР-Сумма]],Таблица15[[#This Row],[Сумма]],Таблица15[[#This Row],[Прочие]])</f>
        <v>0</v>
      </c>
    </row>
    <row r="900" spans="16:18" x14ac:dyDescent="0.2">
      <c r="P900" s="32"/>
      <c r="R900" s="30">
        <f>SUM(Таблица15[[#This Row],[ПР-Сумма]],Таблица15[[#This Row],[Сумма]],Таблица15[[#This Row],[Прочие]])</f>
        <v>0</v>
      </c>
    </row>
    <row r="901" spans="16:18" x14ac:dyDescent="0.2">
      <c r="P901" s="32"/>
      <c r="R901" s="30">
        <f>SUM(Таблица15[[#This Row],[ПР-Сумма]],Таблица15[[#This Row],[Сумма]],Таблица15[[#This Row],[Прочие]])</f>
        <v>0</v>
      </c>
    </row>
    <row r="902" spans="16:18" x14ac:dyDescent="0.2">
      <c r="P902" s="32"/>
      <c r="R902" s="30">
        <f>SUM(Таблица15[[#This Row],[ПР-Сумма]],Таблица15[[#This Row],[Сумма]],Таблица15[[#This Row],[Прочие]])</f>
        <v>0</v>
      </c>
    </row>
    <row r="903" spans="16:18" x14ac:dyDescent="0.2">
      <c r="P903" s="32"/>
      <c r="R903" s="30">
        <f>SUM(Таблица15[[#This Row],[ПР-Сумма]],Таблица15[[#This Row],[Сумма]],Таблица15[[#This Row],[Прочие]])</f>
        <v>0</v>
      </c>
    </row>
    <row r="904" spans="16:18" x14ac:dyDescent="0.2">
      <c r="P904" s="32"/>
      <c r="R904" s="30">
        <f>SUM(Таблица15[[#This Row],[ПР-Сумма]],Таблица15[[#This Row],[Сумма]],Таблица15[[#This Row],[Прочие]])</f>
        <v>0</v>
      </c>
    </row>
    <row r="905" spans="16:18" x14ac:dyDescent="0.2">
      <c r="P905" s="32"/>
      <c r="R905" s="30">
        <f>SUM(Таблица15[[#This Row],[ПР-Сумма]],Таблица15[[#This Row],[Сумма]],Таблица15[[#This Row],[Прочие]])</f>
        <v>0</v>
      </c>
    </row>
    <row r="906" spans="16:18" x14ac:dyDescent="0.2">
      <c r="P906" s="32"/>
      <c r="R906" s="30">
        <f>SUM(Таблица15[[#This Row],[ПР-Сумма]],Таблица15[[#This Row],[Сумма]],Таблица15[[#This Row],[Прочие]])</f>
        <v>0</v>
      </c>
    </row>
    <row r="907" spans="16:18" x14ac:dyDescent="0.2">
      <c r="P907" s="32"/>
      <c r="R907" s="30">
        <f>SUM(Таблица15[[#This Row],[ПР-Сумма]],Таблица15[[#This Row],[Сумма]],Таблица15[[#This Row],[Прочие]])</f>
        <v>0</v>
      </c>
    </row>
    <row r="908" spans="16:18" x14ac:dyDescent="0.2">
      <c r="P908" s="32"/>
      <c r="R908" s="30">
        <f>SUM(Таблица15[[#This Row],[ПР-Сумма]],Таблица15[[#This Row],[Сумма]],Таблица15[[#This Row],[Прочие]])</f>
        <v>0</v>
      </c>
    </row>
    <row r="909" spans="16:18" x14ac:dyDescent="0.2">
      <c r="P909" s="32"/>
      <c r="R909" s="30">
        <f>SUM(Таблица15[[#This Row],[ПР-Сумма]],Таблица15[[#This Row],[Сумма]],Таблица15[[#This Row],[Прочие]])</f>
        <v>0</v>
      </c>
    </row>
    <row r="910" spans="16:18" x14ac:dyDescent="0.2">
      <c r="P910" s="32"/>
      <c r="R910" s="30">
        <f>SUM(Таблица15[[#This Row],[ПР-Сумма]],Таблица15[[#This Row],[Сумма]],Таблица15[[#This Row],[Прочие]])</f>
        <v>0</v>
      </c>
    </row>
    <row r="911" spans="16:18" x14ac:dyDescent="0.2">
      <c r="P911" s="32"/>
      <c r="R911" s="30">
        <f>SUM(Таблица15[[#This Row],[ПР-Сумма]],Таблица15[[#This Row],[Сумма]],Таблица15[[#This Row],[Прочие]])</f>
        <v>0</v>
      </c>
    </row>
    <row r="912" spans="16:18" x14ac:dyDescent="0.2">
      <c r="P912" s="32"/>
      <c r="R912" s="30">
        <f>SUM(Таблица15[[#This Row],[ПР-Сумма]],Таблица15[[#This Row],[Сумма]],Таблица15[[#This Row],[Прочие]])</f>
        <v>0</v>
      </c>
    </row>
    <row r="913" spans="16:18" x14ac:dyDescent="0.2">
      <c r="P913" s="32"/>
      <c r="R913" s="30">
        <f>SUM(Таблица15[[#This Row],[ПР-Сумма]],Таблица15[[#This Row],[Сумма]],Таблица15[[#This Row],[Прочие]])</f>
        <v>0</v>
      </c>
    </row>
    <row r="914" spans="16:18" x14ac:dyDescent="0.2">
      <c r="P914" s="32"/>
      <c r="R914" s="30">
        <f>SUM(Таблица15[[#This Row],[ПР-Сумма]],Таблица15[[#This Row],[Сумма]],Таблица15[[#This Row],[Прочие]])</f>
        <v>0</v>
      </c>
    </row>
    <row r="915" spans="16:18" x14ac:dyDescent="0.2">
      <c r="P915" s="32"/>
      <c r="R915" s="30">
        <f>SUM(Таблица15[[#This Row],[ПР-Сумма]],Таблица15[[#This Row],[Сумма]],Таблица15[[#This Row],[Прочие]])</f>
        <v>0</v>
      </c>
    </row>
    <row r="916" spans="16:18" x14ac:dyDescent="0.2">
      <c r="P916" s="32"/>
      <c r="R916" s="30">
        <f>SUM(Таблица15[[#This Row],[ПР-Сумма]],Таблица15[[#This Row],[Сумма]],Таблица15[[#This Row],[Прочие]])</f>
        <v>0</v>
      </c>
    </row>
    <row r="917" spans="16:18" x14ac:dyDescent="0.2">
      <c r="P917" s="32"/>
      <c r="R917" s="30">
        <f>SUM(Таблица15[[#This Row],[ПР-Сумма]],Таблица15[[#This Row],[Сумма]],Таблица15[[#This Row],[Прочие]])</f>
        <v>0</v>
      </c>
    </row>
    <row r="918" spans="16:18" x14ac:dyDescent="0.2">
      <c r="P918" s="32"/>
      <c r="R918" s="30">
        <f>SUM(Таблица15[[#This Row],[ПР-Сумма]],Таблица15[[#This Row],[Сумма]],Таблица15[[#This Row],[Прочие]])</f>
        <v>0</v>
      </c>
    </row>
    <row r="919" spans="16:18" x14ac:dyDescent="0.2">
      <c r="P919" s="32"/>
      <c r="R919" s="30">
        <f>SUM(Таблица15[[#This Row],[ПР-Сумма]],Таблица15[[#This Row],[Сумма]],Таблица15[[#This Row],[Прочие]])</f>
        <v>0</v>
      </c>
    </row>
    <row r="920" spans="16:18" x14ac:dyDescent="0.2">
      <c r="P920" s="32"/>
      <c r="R920" s="30">
        <f>SUM(Таблица15[[#This Row],[ПР-Сумма]],Таблица15[[#This Row],[Сумма]],Таблица15[[#This Row],[Прочие]])</f>
        <v>0</v>
      </c>
    </row>
    <row r="921" spans="16:18" x14ac:dyDescent="0.2">
      <c r="P921" s="32"/>
      <c r="R921" s="30">
        <f>SUM(Таблица15[[#This Row],[ПР-Сумма]],Таблица15[[#This Row],[Сумма]],Таблица15[[#This Row],[Прочие]])</f>
        <v>0</v>
      </c>
    </row>
    <row r="922" spans="16:18" x14ac:dyDescent="0.2">
      <c r="P922" s="32"/>
      <c r="R922" s="30">
        <f>SUM(Таблица15[[#This Row],[ПР-Сумма]],Таблица15[[#This Row],[Сумма]],Таблица15[[#This Row],[Прочие]])</f>
        <v>0</v>
      </c>
    </row>
    <row r="923" spans="16:18" x14ac:dyDescent="0.2">
      <c r="P923" s="32"/>
      <c r="R923" s="30">
        <f>SUM(Таблица15[[#This Row],[ПР-Сумма]],Таблица15[[#This Row],[Сумма]],Таблица15[[#This Row],[Прочие]])</f>
        <v>0</v>
      </c>
    </row>
    <row r="924" spans="16:18" x14ac:dyDescent="0.2">
      <c r="P924" s="32"/>
      <c r="R924" s="30">
        <f>SUM(Таблица15[[#This Row],[ПР-Сумма]],Таблица15[[#This Row],[Сумма]],Таблица15[[#This Row],[Прочие]])</f>
        <v>0</v>
      </c>
    </row>
    <row r="925" spans="16:18" x14ac:dyDescent="0.2">
      <c r="P925" s="32"/>
      <c r="R925" s="30">
        <f>SUM(Таблица15[[#This Row],[ПР-Сумма]],Таблица15[[#This Row],[Сумма]],Таблица15[[#This Row],[Прочие]])</f>
        <v>0</v>
      </c>
    </row>
    <row r="926" spans="16:18" x14ac:dyDescent="0.2">
      <c r="P926" s="32"/>
      <c r="R926" s="30">
        <f>SUM(Таблица15[[#This Row],[ПР-Сумма]],Таблица15[[#This Row],[Сумма]],Таблица15[[#This Row],[Прочие]])</f>
        <v>0</v>
      </c>
    </row>
    <row r="927" spans="16:18" x14ac:dyDescent="0.2">
      <c r="P927" s="32"/>
      <c r="R927" s="30">
        <f>SUM(Таблица15[[#This Row],[ПР-Сумма]],Таблица15[[#This Row],[Сумма]],Таблица15[[#This Row],[Прочие]])</f>
        <v>0</v>
      </c>
    </row>
    <row r="928" spans="16:18" x14ac:dyDescent="0.2">
      <c r="P928" s="32"/>
      <c r="R928" s="30">
        <f>SUM(Таблица15[[#This Row],[ПР-Сумма]],Таблица15[[#This Row],[Сумма]],Таблица15[[#This Row],[Прочие]])</f>
        <v>0</v>
      </c>
    </row>
    <row r="929" spans="16:18" x14ac:dyDescent="0.2">
      <c r="P929" s="32"/>
      <c r="R929" s="30">
        <f>SUM(Таблица15[[#This Row],[ПР-Сумма]],Таблица15[[#This Row],[Сумма]],Таблица15[[#This Row],[Прочие]])</f>
        <v>0</v>
      </c>
    </row>
    <row r="930" spans="16:18" x14ac:dyDescent="0.2">
      <c r="P930" s="32"/>
      <c r="R930" s="30">
        <f>SUM(Таблица15[[#This Row],[ПР-Сумма]],Таблица15[[#This Row],[Сумма]],Таблица15[[#This Row],[Прочие]])</f>
        <v>0</v>
      </c>
    </row>
    <row r="931" spans="16:18" x14ac:dyDescent="0.2">
      <c r="P931" s="32"/>
      <c r="R931" s="30">
        <f>SUM(Таблица15[[#This Row],[ПР-Сумма]],Таблица15[[#This Row],[Сумма]],Таблица15[[#This Row],[Прочие]])</f>
        <v>0</v>
      </c>
    </row>
    <row r="932" spans="16:18" x14ac:dyDescent="0.2">
      <c r="P932" s="32"/>
      <c r="R932" s="30">
        <f>SUM(Таблица15[[#This Row],[ПР-Сумма]],Таблица15[[#This Row],[Сумма]],Таблица15[[#This Row],[Прочие]])</f>
        <v>0</v>
      </c>
    </row>
    <row r="933" spans="16:18" x14ac:dyDescent="0.2">
      <c r="P933" s="32"/>
      <c r="R933" s="30">
        <f>SUM(Таблица15[[#This Row],[ПР-Сумма]],Таблица15[[#This Row],[Сумма]],Таблица15[[#This Row],[Прочие]])</f>
        <v>0</v>
      </c>
    </row>
    <row r="934" spans="16:18" x14ac:dyDescent="0.2">
      <c r="P934" s="32"/>
      <c r="R934" s="30">
        <f>SUM(Таблица15[[#This Row],[ПР-Сумма]],Таблица15[[#This Row],[Сумма]],Таблица15[[#This Row],[Прочие]])</f>
        <v>0</v>
      </c>
    </row>
    <row r="935" spans="16:18" x14ac:dyDescent="0.2">
      <c r="P935" s="32"/>
      <c r="R935" s="30">
        <f>SUM(Таблица15[[#This Row],[ПР-Сумма]],Таблица15[[#This Row],[Сумма]],Таблица15[[#This Row],[Прочие]])</f>
        <v>0</v>
      </c>
    </row>
    <row r="936" spans="16:18" x14ac:dyDescent="0.2">
      <c r="P936" s="32"/>
      <c r="R936" s="30">
        <f>SUM(Таблица15[[#This Row],[ПР-Сумма]],Таблица15[[#This Row],[Сумма]],Таблица15[[#This Row],[Прочие]])</f>
        <v>0</v>
      </c>
    </row>
    <row r="937" spans="16:18" x14ac:dyDescent="0.2">
      <c r="P937" s="32"/>
      <c r="R937" s="30">
        <f>SUM(Таблица15[[#This Row],[ПР-Сумма]],Таблица15[[#This Row],[Сумма]],Таблица15[[#This Row],[Прочие]])</f>
        <v>0</v>
      </c>
    </row>
    <row r="938" spans="16:18" x14ac:dyDescent="0.2">
      <c r="P938" s="32"/>
      <c r="R938" s="30">
        <f>SUM(Таблица15[[#This Row],[ПР-Сумма]],Таблица15[[#This Row],[Сумма]],Таблица15[[#This Row],[Прочие]])</f>
        <v>0</v>
      </c>
    </row>
    <row r="939" spans="16:18" x14ac:dyDescent="0.2">
      <c r="P939" s="32"/>
      <c r="R939" s="30">
        <f>SUM(Таблица15[[#This Row],[ПР-Сумма]],Таблица15[[#This Row],[Сумма]],Таблица15[[#This Row],[Прочие]])</f>
        <v>0</v>
      </c>
    </row>
    <row r="940" spans="16:18" x14ac:dyDescent="0.2">
      <c r="P940" s="32"/>
      <c r="R940" s="30">
        <f>SUM(Таблица15[[#This Row],[ПР-Сумма]],Таблица15[[#This Row],[Сумма]],Таблица15[[#This Row],[Прочие]])</f>
        <v>0</v>
      </c>
    </row>
    <row r="941" spans="16:18" x14ac:dyDescent="0.2">
      <c r="P941" s="32"/>
      <c r="R941" s="30">
        <f>SUM(Таблица15[[#This Row],[ПР-Сумма]],Таблица15[[#This Row],[Сумма]],Таблица15[[#This Row],[Прочие]])</f>
        <v>0</v>
      </c>
    </row>
    <row r="942" spans="16:18" x14ac:dyDescent="0.2">
      <c r="P942" s="32"/>
      <c r="R942" s="30">
        <f>SUM(Таблица15[[#This Row],[ПР-Сумма]],Таблица15[[#This Row],[Сумма]],Таблица15[[#This Row],[Прочие]])</f>
        <v>0</v>
      </c>
    </row>
    <row r="943" spans="16:18" x14ac:dyDescent="0.2">
      <c r="P943" s="32"/>
      <c r="R943" s="30">
        <f>SUM(Таблица15[[#This Row],[ПР-Сумма]],Таблица15[[#This Row],[Сумма]],Таблица15[[#This Row],[Прочие]])</f>
        <v>0</v>
      </c>
    </row>
    <row r="944" spans="16:18" x14ac:dyDescent="0.2">
      <c r="P944" s="32"/>
      <c r="R944" s="30">
        <f>SUM(Таблица15[[#This Row],[ПР-Сумма]],Таблица15[[#This Row],[Сумма]],Таблица15[[#This Row],[Прочие]])</f>
        <v>0</v>
      </c>
    </row>
    <row r="945" spans="16:18" x14ac:dyDescent="0.2">
      <c r="P945" s="32"/>
      <c r="R945" s="30">
        <f>SUM(Таблица15[[#This Row],[ПР-Сумма]],Таблица15[[#This Row],[Сумма]],Таблица15[[#This Row],[Прочие]])</f>
        <v>0</v>
      </c>
    </row>
    <row r="946" spans="16:18" x14ac:dyDescent="0.2">
      <c r="P946" s="32"/>
      <c r="R946" s="30">
        <f>SUM(Таблица15[[#This Row],[ПР-Сумма]],Таблица15[[#This Row],[Сумма]],Таблица15[[#This Row],[Прочие]])</f>
        <v>0</v>
      </c>
    </row>
    <row r="947" spans="16:18" x14ac:dyDescent="0.2">
      <c r="P947" s="32"/>
      <c r="R947" s="30">
        <f>SUM(Таблица15[[#This Row],[ПР-Сумма]],Таблица15[[#This Row],[Сумма]],Таблица15[[#This Row],[Прочие]])</f>
        <v>0</v>
      </c>
    </row>
    <row r="948" spans="16:18" x14ac:dyDescent="0.2">
      <c r="P948" s="32"/>
      <c r="R948" s="30">
        <f>SUM(Таблица15[[#This Row],[ПР-Сумма]],Таблица15[[#This Row],[Сумма]],Таблица15[[#This Row],[Прочие]])</f>
        <v>0</v>
      </c>
    </row>
    <row r="949" spans="16:18" x14ac:dyDescent="0.2">
      <c r="P949" s="32"/>
      <c r="R949" s="30">
        <f>SUM(Таблица15[[#This Row],[ПР-Сумма]],Таблица15[[#This Row],[Сумма]],Таблица15[[#This Row],[Прочие]])</f>
        <v>0</v>
      </c>
    </row>
    <row r="950" spans="16:18" x14ac:dyDescent="0.2">
      <c r="P950" s="32"/>
      <c r="R950" s="30">
        <f>SUM(Таблица15[[#This Row],[ПР-Сумма]],Таблица15[[#This Row],[Сумма]],Таблица15[[#This Row],[Прочие]])</f>
        <v>0</v>
      </c>
    </row>
    <row r="951" spans="16:18" x14ac:dyDescent="0.2">
      <c r="P951" s="32"/>
      <c r="R951" s="30">
        <f>SUM(Таблица15[[#This Row],[ПР-Сумма]],Таблица15[[#This Row],[Сумма]],Таблица15[[#This Row],[Прочие]])</f>
        <v>0</v>
      </c>
    </row>
    <row r="952" spans="16:18" x14ac:dyDescent="0.2">
      <c r="P952" s="32"/>
      <c r="R952" s="30">
        <f>SUM(Таблица15[[#This Row],[ПР-Сумма]],Таблица15[[#This Row],[Сумма]],Таблица15[[#This Row],[Прочие]])</f>
        <v>0</v>
      </c>
    </row>
    <row r="953" spans="16:18" x14ac:dyDescent="0.2">
      <c r="P953" s="32"/>
      <c r="R953" s="30">
        <f>SUM(Таблица15[[#This Row],[ПР-Сумма]],Таблица15[[#This Row],[Сумма]],Таблица15[[#This Row],[Прочие]])</f>
        <v>0</v>
      </c>
    </row>
    <row r="954" spans="16:18" x14ac:dyDescent="0.2">
      <c r="P954" s="32"/>
      <c r="R954" s="30">
        <f>SUM(Таблица15[[#This Row],[ПР-Сумма]],Таблица15[[#This Row],[Сумма]],Таблица15[[#This Row],[Прочие]])</f>
        <v>0</v>
      </c>
    </row>
    <row r="955" spans="16:18" x14ac:dyDescent="0.2">
      <c r="P955" s="32"/>
      <c r="R955" s="30">
        <f>SUM(Таблица15[[#This Row],[ПР-Сумма]],Таблица15[[#This Row],[Сумма]],Таблица15[[#This Row],[Прочие]])</f>
        <v>0</v>
      </c>
    </row>
    <row r="956" spans="16:18" x14ac:dyDescent="0.2">
      <c r="P956" s="32"/>
      <c r="R956" s="30">
        <f>SUM(Таблица15[[#This Row],[ПР-Сумма]],Таблица15[[#This Row],[Сумма]],Таблица15[[#This Row],[Прочие]])</f>
        <v>0</v>
      </c>
    </row>
    <row r="957" spans="16:18" x14ac:dyDescent="0.2">
      <c r="P957" s="32"/>
      <c r="R957" s="30">
        <f>SUM(Таблица15[[#This Row],[ПР-Сумма]],Таблица15[[#This Row],[Сумма]],Таблица15[[#This Row],[Прочие]])</f>
        <v>0</v>
      </c>
    </row>
    <row r="958" spans="16:18" x14ac:dyDescent="0.2">
      <c r="P958" s="32"/>
      <c r="R958" s="30">
        <f>SUM(Таблица15[[#This Row],[ПР-Сумма]],Таблица15[[#This Row],[Сумма]],Таблица15[[#This Row],[Прочие]])</f>
        <v>0</v>
      </c>
    </row>
    <row r="959" spans="16:18" x14ac:dyDescent="0.2">
      <c r="P959" s="32"/>
      <c r="R959" s="30">
        <f>SUM(Таблица15[[#This Row],[ПР-Сумма]],Таблица15[[#This Row],[Сумма]],Таблица15[[#This Row],[Прочие]])</f>
        <v>0</v>
      </c>
    </row>
    <row r="960" spans="16:18" x14ac:dyDescent="0.2">
      <c r="P960" s="32"/>
      <c r="R960" s="30">
        <f>SUM(Таблица15[[#This Row],[ПР-Сумма]],Таблица15[[#This Row],[Сумма]],Таблица15[[#This Row],[Прочие]])</f>
        <v>0</v>
      </c>
    </row>
    <row r="961" spans="16:18" x14ac:dyDescent="0.2">
      <c r="P961" s="32"/>
      <c r="R961" s="30">
        <f>SUM(Таблица15[[#This Row],[ПР-Сумма]],Таблица15[[#This Row],[Сумма]],Таблица15[[#This Row],[Прочие]])</f>
        <v>0</v>
      </c>
    </row>
    <row r="962" spans="16:18" x14ac:dyDescent="0.2">
      <c r="P962" s="32"/>
      <c r="R962" s="30">
        <f>SUM(Таблица15[[#This Row],[ПР-Сумма]],Таблица15[[#This Row],[Сумма]],Таблица15[[#This Row],[Прочие]])</f>
        <v>0</v>
      </c>
    </row>
    <row r="963" spans="16:18" x14ac:dyDescent="0.2">
      <c r="P963" s="32"/>
      <c r="R963" s="30">
        <f>SUM(Таблица15[[#This Row],[ПР-Сумма]],Таблица15[[#This Row],[Сумма]],Таблица15[[#This Row],[Прочие]])</f>
        <v>0</v>
      </c>
    </row>
    <row r="964" spans="16:18" x14ac:dyDescent="0.2">
      <c r="P964" s="32"/>
      <c r="R964" s="30">
        <f>SUM(Таблица15[[#This Row],[ПР-Сумма]],Таблица15[[#This Row],[Сумма]],Таблица15[[#This Row],[Прочие]])</f>
        <v>0</v>
      </c>
    </row>
    <row r="965" spans="16:18" x14ac:dyDescent="0.2">
      <c r="P965" s="32"/>
      <c r="R965" s="30">
        <f>SUM(Таблица15[[#This Row],[ПР-Сумма]],Таблица15[[#This Row],[Сумма]],Таблица15[[#This Row],[Прочие]])</f>
        <v>0</v>
      </c>
    </row>
    <row r="966" spans="16:18" x14ac:dyDescent="0.2">
      <c r="P966" s="32"/>
      <c r="R966" s="30">
        <f>SUM(Таблица15[[#This Row],[ПР-Сумма]],Таблица15[[#This Row],[Сумма]],Таблица15[[#This Row],[Прочие]])</f>
        <v>0</v>
      </c>
    </row>
    <row r="967" spans="16:18" x14ac:dyDescent="0.2">
      <c r="P967" s="32"/>
      <c r="R967" s="30">
        <f>SUM(Таблица15[[#This Row],[ПР-Сумма]],Таблица15[[#This Row],[Сумма]],Таблица15[[#This Row],[Прочие]])</f>
        <v>0</v>
      </c>
    </row>
    <row r="968" spans="16:18" x14ac:dyDescent="0.2">
      <c r="P968" s="32"/>
      <c r="R968" s="30">
        <f>SUM(Таблица15[[#This Row],[ПР-Сумма]],Таблица15[[#This Row],[Сумма]],Таблица15[[#This Row],[Прочие]])</f>
        <v>0</v>
      </c>
    </row>
    <row r="969" spans="16:18" x14ac:dyDescent="0.2">
      <c r="P969" s="32"/>
      <c r="R969" s="30">
        <f>SUM(Таблица15[[#This Row],[ПР-Сумма]],Таблица15[[#This Row],[Сумма]],Таблица15[[#This Row],[Прочие]])</f>
        <v>0</v>
      </c>
    </row>
    <row r="970" spans="16:18" x14ac:dyDescent="0.2">
      <c r="P970" s="32"/>
      <c r="R970" s="30">
        <f>SUM(Таблица15[[#This Row],[ПР-Сумма]],Таблица15[[#This Row],[Сумма]],Таблица15[[#This Row],[Прочие]])</f>
        <v>0</v>
      </c>
    </row>
    <row r="971" spans="16:18" x14ac:dyDescent="0.2">
      <c r="P971" s="32"/>
      <c r="R971" s="30">
        <f>SUM(Таблица15[[#This Row],[ПР-Сумма]],Таблица15[[#This Row],[Сумма]],Таблица15[[#This Row],[Прочие]])</f>
        <v>0</v>
      </c>
    </row>
    <row r="972" spans="16:18" x14ac:dyDescent="0.2">
      <c r="P972" s="32"/>
      <c r="R972" s="30">
        <f>SUM(Таблица15[[#This Row],[ПР-Сумма]],Таблица15[[#This Row],[Сумма]],Таблица15[[#This Row],[Прочие]])</f>
        <v>0</v>
      </c>
    </row>
    <row r="973" spans="16:18" x14ac:dyDescent="0.2">
      <c r="P973" s="32"/>
      <c r="R973" s="30">
        <f>SUM(Таблица15[[#This Row],[ПР-Сумма]],Таблица15[[#This Row],[Сумма]],Таблица15[[#This Row],[Прочие]])</f>
        <v>0</v>
      </c>
    </row>
    <row r="974" spans="16:18" x14ac:dyDescent="0.2">
      <c r="P974" s="32"/>
      <c r="R974" s="30">
        <f>SUM(Таблица15[[#This Row],[ПР-Сумма]],Таблица15[[#This Row],[Сумма]],Таблица15[[#This Row],[Прочие]])</f>
        <v>0</v>
      </c>
    </row>
    <row r="975" spans="16:18" x14ac:dyDescent="0.2">
      <c r="P975" s="32"/>
      <c r="R975" s="30">
        <f>SUM(Таблица15[[#This Row],[ПР-Сумма]],Таблица15[[#This Row],[Сумма]],Таблица15[[#This Row],[Прочие]])</f>
        <v>0</v>
      </c>
    </row>
    <row r="976" spans="16:18" x14ac:dyDescent="0.2">
      <c r="P976" s="32"/>
      <c r="R976" s="30">
        <f>SUM(Таблица15[[#This Row],[ПР-Сумма]],Таблица15[[#This Row],[Сумма]],Таблица15[[#This Row],[Прочие]])</f>
        <v>0</v>
      </c>
    </row>
    <row r="977" spans="16:18" x14ac:dyDescent="0.2">
      <c r="P977" s="32"/>
      <c r="R977" s="30">
        <f>SUM(Таблица15[[#This Row],[ПР-Сумма]],Таблица15[[#This Row],[Сумма]],Таблица15[[#This Row],[Прочие]])</f>
        <v>0</v>
      </c>
    </row>
    <row r="978" spans="16:18" x14ac:dyDescent="0.2">
      <c r="P978" s="32"/>
      <c r="R978" s="30">
        <f>SUM(Таблица15[[#This Row],[ПР-Сумма]],Таблица15[[#This Row],[Сумма]],Таблица15[[#This Row],[Прочие]])</f>
        <v>0</v>
      </c>
    </row>
    <row r="979" spans="16:18" x14ac:dyDescent="0.2">
      <c r="P979" s="32"/>
      <c r="R979" s="30">
        <f>SUM(Таблица15[[#This Row],[ПР-Сумма]],Таблица15[[#This Row],[Сумма]],Таблица15[[#This Row],[Прочие]])</f>
        <v>0</v>
      </c>
    </row>
    <row r="980" spans="16:18" x14ac:dyDescent="0.2">
      <c r="P980" s="32"/>
      <c r="R980" s="30">
        <f>SUM(Таблица15[[#This Row],[ПР-Сумма]],Таблица15[[#This Row],[Сумма]],Таблица15[[#This Row],[Прочие]])</f>
        <v>0</v>
      </c>
    </row>
    <row r="981" spans="16:18" x14ac:dyDescent="0.2">
      <c r="P981" s="32"/>
      <c r="R981" s="30">
        <f>SUM(Таблица15[[#This Row],[ПР-Сумма]],Таблица15[[#This Row],[Сумма]],Таблица15[[#This Row],[Прочие]])</f>
        <v>0</v>
      </c>
    </row>
    <row r="982" spans="16:18" x14ac:dyDescent="0.2">
      <c r="P982" s="32"/>
      <c r="R982" s="30">
        <f>SUM(Таблица15[[#This Row],[ПР-Сумма]],Таблица15[[#This Row],[Сумма]],Таблица15[[#This Row],[Прочие]])</f>
        <v>0</v>
      </c>
    </row>
    <row r="983" spans="16:18" x14ac:dyDescent="0.2">
      <c r="P983" s="32"/>
      <c r="R983" s="30">
        <f>SUM(Таблица15[[#This Row],[ПР-Сумма]],Таблица15[[#This Row],[Сумма]],Таблица15[[#This Row],[Прочие]])</f>
        <v>0</v>
      </c>
    </row>
    <row r="984" spans="16:18" x14ac:dyDescent="0.2">
      <c r="P984" s="32"/>
      <c r="R984" s="30">
        <f>SUM(Таблица15[[#This Row],[ПР-Сумма]],Таблица15[[#This Row],[Сумма]],Таблица15[[#This Row],[Прочие]])</f>
        <v>0</v>
      </c>
    </row>
    <row r="985" spans="16:18" x14ac:dyDescent="0.2">
      <c r="P985" s="32"/>
      <c r="R985" s="30">
        <f>SUM(Таблица15[[#This Row],[ПР-Сумма]],Таблица15[[#This Row],[Сумма]],Таблица15[[#This Row],[Прочие]])</f>
        <v>0</v>
      </c>
    </row>
    <row r="986" spans="16:18" x14ac:dyDescent="0.2">
      <c r="P986" s="32"/>
      <c r="R986" s="30">
        <f>SUM(Таблица15[[#This Row],[ПР-Сумма]],Таблица15[[#This Row],[Сумма]],Таблица15[[#This Row],[Прочие]])</f>
        <v>0</v>
      </c>
    </row>
    <row r="987" spans="16:18" x14ac:dyDescent="0.2">
      <c r="P987" s="32"/>
      <c r="R987" s="30">
        <f>SUM(Таблица15[[#This Row],[ПР-Сумма]],Таблица15[[#This Row],[Сумма]],Таблица15[[#This Row],[Прочие]])</f>
        <v>0</v>
      </c>
    </row>
    <row r="988" spans="16:18" x14ac:dyDescent="0.2">
      <c r="P988" s="32"/>
      <c r="R988" s="30">
        <f>SUM(Таблица15[[#This Row],[ПР-Сумма]],Таблица15[[#This Row],[Сумма]],Таблица15[[#This Row],[Прочие]])</f>
        <v>0</v>
      </c>
    </row>
    <row r="989" spans="16:18" x14ac:dyDescent="0.2">
      <c r="P989" s="32"/>
      <c r="R989" s="30">
        <f>SUM(Таблица15[[#This Row],[ПР-Сумма]],Таблица15[[#This Row],[Сумма]],Таблица15[[#This Row],[Прочие]])</f>
        <v>0</v>
      </c>
    </row>
    <row r="990" spans="16:18" x14ac:dyDescent="0.2">
      <c r="P990" s="32"/>
      <c r="R990" s="30">
        <f>SUM(Таблица15[[#This Row],[ПР-Сумма]],Таблица15[[#This Row],[Сумма]],Таблица15[[#This Row],[Прочие]])</f>
        <v>0</v>
      </c>
    </row>
    <row r="991" spans="16:18" x14ac:dyDescent="0.2">
      <c r="P991" s="32"/>
      <c r="R991" s="30">
        <f>SUM(Таблица15[[#This Row],[ПР-Сумма]],Таблица15[[#This Row],[Сумма]],Таблица15[[#This Row],[Прочие]])</f>
        <v>0</v>
      </c>
    </row>
    <row r="992" spans="16:18" x14ac:dyDescent="0.2">
      <c r="P992" s="32"/>
      <c r="R992" s="30">
        <f>SUM(Таблица15[[#This Row],[ПР-Сумма]],Таблица15[[#This Row],[Сумма]],Таблица15[[#This Row],[Прочие]])</f>
        <v>0</v>
      </c>
    </row>
    <row r="993" spans="16:18" x14ac:dyDescent="0.2">
      <c r="P993" s="32"/>
      <c r="R993" s="30">
        <f>SUM(Таблица15[[#This Row],[ПР-Сумма]],Таблица15[[#This Row],[Сумма]],Таблица15[[#This Row],[Прочие]])</f>
        <v>0</v>
      </c>
    </row>
    <row r="994" spans="16:18" x14ac:dyDescent="0.2">
      <c r="P994" s="32"/>
      <c r="R994" s="30">
        <f>SUM(Таблица15[[#This Row],[ПР-Сумма]],Таблица15[[#This Row],[Сумма]],Таблица15[[#This Row],[Прочие]])</f>
        <v>0</v>
      </c>
    </row>
    <row r="995" spans="16:18" x14ac:dyDescent="0.2">
      <c r="P995" s="32"/>
      <c r="R995" s="30">
        <f>SUM(Таблица15[[#This Row],[ПР-Сумма]],Таблица15[[#This Row],[Сумма]],Таблица15[[#This Row],[Прочие]])</f>
        <v>0</v>
      </c>
    </row>
    <row r="996" spans="16:18" x14ac:dyDescent="0.2">
      <c r="P996" s="32"/>
      <c r="R996" s="30">
        <f>SUM(Таблица15[[#This Row],[ПР-Сумма]],Таблица15[[#This Row],[Сумма]],Таблица15[[#This Row],[Прочие]])</f>
        <v>0</v>
      </c>
    </row>
    <row r="997" spans="16:18" x14ac:dyDescent="0.2">
      <c r="P997" s="32"/>
      <c r="R997" s="30">
        <f>SUM(Таблица15[[#This Row],[ПР-Сумма]],Таблица15[[#This Row],[Сумма]],Таблица15[[#This Row],[Прочие]])</f>
        <v>0</v>
      </c>
    </row>
    <row r="998" spans="16:18" x14ac:dyDescent="0.2">
      <c r="P998" s="32"/>
      <c r="R998" s="30">
        <f>SUM(Таблица15[[#This Row],[ПР-Сумма]],Таблица15[[#This Row],[Сумма]],Таблица15[[#This Row],[Прочие]])</f>
        <v>0</v>
      </c>
    </row>
    <row r="999" spans="16:18" x14ac:dyDescent="0.2">
      <c r="P999" s="32"/>
      <c r="R999" s="30">
        <f>SUM(Таблица15[[#This Row],[ПР-Сумма]],Таблица15[[#This Row],[Сумма]],Таблица15[[#This Row],[Прочие]])</f>
        <v>0</v>
      </c>
    </row>
    <row r="1000" spans="16:18" x14ac:dyDescent="0.2">
      <c r="P1000" s="32"/>
      <c r="R1000" s="30">
        <f>SUM(Таблица15[[#This Row],[ПР-Сумма]],Таблица15[[#This Row],[Сумма]],Таблица15[[#This Row],[Прочие]])</f>
        <v>0</v>
      </c>
    </row>
    <row r="1001" spans="16:18" x14ac:dyDescent="0.2">
      <c r="P1001" s="32"/>
      <c r="R1001" s="30">
        <f>SUM(Таблица15[[#This Row],[ПР-Сумма]],Таблица15[[#This Row],[Сумма]],Таблица15[[#This Row],[Прочие]])</f>
        <v>0</v>
      </c>
    </row>
    <row r="1002" spans="16:18" x14ac:dyDescent="0.2">
      <c r="P1002" s="32"/>
      <c r="R1002" s="30">
        <f>SUM(Таблица15[[#This Row],[ПР-Сумма]],Таблица15[[#This Row],[Сумма]],Таблица15[[#This Row],[Прочие]])</f>
        <v>0</v>
      </c>
    </row>
    <row r="1003" spans="16:18" x14ac:dyDescent="0.2">
      <c r="P1003" s="32"/>
      <c r="R1003" s="30">
        <f>SUM(Таблица15[[#This Row],[ПР-Сумма]],Таблица15[[#This Row],[Сумма]],Таблица15[[#This Row],[Прочие]])</f>
        <v>0</v>
      </c>
    </row>
    <row r="1004" spans="16:18" x14ac:dyDescent="0.2">
      <c r="P1004" s="32"/>
      <c r="R1004" s="30">
        <f>SUM(Таблица15[[#This Row],[ПР-Сумма]],Таблица15[[#This Row],[Сумма]],Таблица15[[#This Row],[Прочие]])</f>
        <v>0</v>
      </c>
    </row>
    <row r="1005" spans="16:18" x14ac:dyDescent="0.2">
      <c r="P1005" s="32"/>
      <c r="R1005" s="30">
        <f>SUM(Таблица15[[#This Row],[ПР-Сумма]],Таблица15[[#This Row],[Сумма]],Таблица15[[#This Row],[Прочие]])</f>
        <v>0</v>
      </c>
    </row>
    <row r="1006" spans="16:18" x14ac:dyDescent="0.2">
      <c r="P1006" s="32"/>
      <c r="R1006" s="30">
        <f>SUM(Таблица15[[#This Row],[ПР-Сумма]],Таблица15[[#This Row],[Сумма]],Таблица15[[#This Row],[Прочие]])</f>
        <v>0</v>
      </c>
    </row>
    <row r="1007" spans="16:18" x14ac:dyDescent="0.2">
      <c r="P1007" s="32"/>
      <c r="R1007" s="30">
        <f>SUM(Таблица15[[#This Row],[ПР-Сумма]],Таблица15[[#This Row],[Сумма]],Таблица15[[#This Row],[Прочие]])</f>
        <v>0</v>
      </c>
    </row>
    <row r="1008" spans="16:18" x14ac:dyDescent="0.2">
      <c r="P1008" s="32"/>
      <c r="R1008" s="30">
        <f>SUM(Таблица15[[#This Row],[ПР-Сумма]],Таблица15[[#This Row],[Сумма]],Таблица15[[#This Row],[Прочие]])</f>
        <v>0</v>
      </c>
    </row>
    <row r="1009" spans="16:18" x14ac:dyDescent="0.2">
      <c r="P1009" s="32"/>
      <c r="R1009" s="30">
        <f>SUM(Таблица15[[#This Row],[ПР-Сумма]],Таблица15[[#This Row],[Сумма]],Таблица15[[#This Row],[Прочие]])</f>
        <v>0</v>
      </c>
    </row>
    <row r="1010" spans="16:18" x14ac:dyDescent="0.2">
      <c r="P1010" s="32"/>
      <c r="R1010" s="30">
        <f>SUM(Таблица15[[#This Row],[ПР-Сумма]],Таблица15[[#This Row],[Сумма]],Таблица15[[#This Row],[Прочие]])</f>
        <v>0</v>
      </c>
    </row>
    <row r="1011" spans="16:18" x14ac:dyDescent="0.2">
      <c r="P1011" s="32"/>
      <c r="R1011" s="30">
        <f>SUM(Таблица15[[#This Row],[ПР-Сумма]],Таблица15[[#This Row],[Сумма]],Таблица15[[#This Row],[Прочие]])</f>
        <v>0</v>
      </c>
    </row>
    <row r="1012" spans="16:18" x14ac:dyDescent="0.2">
      <c r="P1012" s="32"/>
      <c r="R1012" s="30">
        <f>SUM(Таблица15[[#This Row],[ПР-Сумма]],Таблица15[[#This Row],[Сумма]],Таблица15[[#This Row],[Прочие]])</f>
        <v>0</v>
      </c>
    </row>
    <row r="1013" spans="16:18" x14ac:dyDescent="0.2">
      <c r="P1013" s="32"/>
      <c r="R1013" s="30">
        <f>SUM(Таблица15[[#This Row],[ПР-Сумма]],Таблица15[[#This Row],[Сумма]],Таблица15[[#This Row],[Прочие]])</f>
        <v>0</v>
      </c>
    </row>
    <row r="1014" spans="16:18" x14ac:dyDescent="0.2">
      <c r="P1014" s="32"/>
      <c r="R1014" s="30">
        <f>SUM(Таблица15[[#This Row],[ПР-Сумма]],Таблица15[[#This Row],[Сумма]],Таблица15[[#This Row],[Прочие]])</f>
        <v>0</v>
      </c>
    </row>
    <row r="1015" spans="16:18" x14ac:dyDescent="0.2">
      <c r="P1015" s="32"/>
      <c r="R1015" s="30">
        <f>SUM(Таблица15[[#This Row],[ПР-Сумма]],Таблица15[[#This Row],[Сумма]],Таблица15[[#This Row],[Прочие]])</f>
        <v>0</v>
      </c>
    </row>
    <row r="1016" spans="16:18" x14ac:dyDescent="0.2">
      <c r="P1016" s="32"/>
      <c r="R1016" s="30">
        <f>SUM(Таблица15[[#This Row],[ПР-Сумма]],Таблица15[[#This Row],[Сумма]],Таблица15[[#This Row],[Прочие]])</f>
        <v>0</v>
      </c>
    </row>
    <row r="1017" spans="16:18" x14ac:dyDescent="0.2">
      <c r="P1017" s="32"/>
      <c r="R1017" s="30">
        <f>SUM(Таблица15[[#This Row],[ПР-Сумма]],Таблица15[[#This Row],[Сумма]],Таблица15[[#This Row],[Прочие]])</f>
        <v>0</v>
      </c>
    </row>
    <row r="1018" spans="16:18" x14ac:dyDescent="0.2">
      <c r="P1018" s="32"/>
      <c r="R1018" s="30">
        <f>SUM(Таблица15[[#This Row],[ПР-Сумма]],Таблица15[[#This Row],[Сумма]],Таблица15[[#This Row],[Прочие]])</f>
        <v>0</v>
      </c>
    </row>
    <row r="1019" spans="16:18" x14ac:dyDescent="0.2">
      <c r="P1019" s="32"/>
      <c r="R1019" s="30">
        <f>SUM(Таблица15[[#This Row],[ПР-Сумма]],Таблица15[[#This Row],[Сумма]],Таблица15[[#This Row],[Прочие]])</f>
        <v>0</v>
      </c>
    </row>
    <row r="1020" spans="16:18" x14ac:dyDescent="0.2">
      <c r="P1020" s="32"/>
      <c r="R1020" s="30">
        <f>SUM(Таблица15[[#This Row],[ПР-Сумма]],Таблица15[[#This Row],[Сумма]],Таблица15[[#This Row],[Прочие]])</f>
        <v>0</v>
      </c>
    </row>
    <row r="1021" spans="16:18" x14ac:dyDescent="0.2">
      <c r="P1021" s="32"/>
      <c r="R1021" s="30">
        <f>SUM(Таблица15[[#This Row],[ПР-Сумма]],Таблица15[[#This Row],[Сумма]],Таблица15[[#This Row],[Прочие]])</f>
        <v>0</v>
      </c>
    </row>
    <row r="1022" spans="16:18" x14ac:dyDescent="0.2">
      <c r="P1022" s="32"/>
      <c r="R1022" s="30">
        <f>SUM(Таблица15[[#This Row],[ПР-Сумма]],Таблица15[[#This Row],[Сумма]],Таблица15[[#This Row],[Прочие]])</f>
        <v>0</v>
      </c>
    </row>
    <row r="1023" spans="16:18" x14ac:dyDescent="0.2">
      <c r="P1023" s="32"/>
      <c r="R1023" s="30">
        <f>SUM(Таблица15[[#This Row],[ПР-Сумма]],Таблица15[[#This Row],[Сумма]],Таблица15[[#This Row],[Прочие]])</f>
        <v>0</v>
      </c>
    </row>
    <row r="1024" spans="16:18" x14ac:dyDescent="0.2">
      <c r="P1024" s="32"/>
      <c r="R1024" s="30">
        <f>SUM(Таблица15[[#This Row],[ПР-Сумма]],Таблица15[[#This Row],[Сумма]],Таблица15[[#This Row],[Прочие]])</f>
        <v>0</v>
      </c>
    </row>
    <row r="1025" spans="16:18" x14ac:dyDescent="0.2">
      <c r="P1025" s="32"/>
      <c r="R1025" s="30">
        <f>SUM(Таблица15[[#This Row],[ПР-Сумма]],Таблица15[[#This Row],[Сумма]],Таблица15[[#This Row],[Прочие]])</f>
        <v>0</v>
      </c>
    </row>
    <row r="1026" spans="16:18" x14ac:dyDescent="0.2">
      <c r="P1026" s="32"/>
      <c r="R1026" s="30">
        <f>SUM(Таблица15[[#This Row],[ПР-Сумма]],Таблица15[[#This Row],[Сумма]],Таблица15[[#This Row],[Прочие]])</f>
        <v>0</v>
      </c>
    </row>
    <row r="1027" spans="16:18" x14ac:dyDescent="0.2">
      <c r="P1027" s="32"/>
      <c r="R1027" s="30">
        <f>SUM(Таблица15[[#This Row],[ПР-Сумма]],Таблица15[[#This Row],[Сумма]],Таблица15[[#This Row],[Прочие]])</f>
        <v>0</v>
      </c>
    </row>
    <row r="1028" spans="16:18" x14ac:dyDescent="0.2">
      <c r="P1028" s="32"/>
      <c r="R1028" s="30">
        <f>SUM(Таблица15[[#This Row],[ПР-Сумма]],Таблица15[[#This Row],[Сумма]],Таблица15[[#This Row],[Прочие]])</f>
        <v>0</v>
      </c>
    </row>
    <row r="1029" spans="16:18" x14ac:dyDescent="0.2">
      <c r="P1029" s="32"/>
      <c r="R1029" s="30">
        <f>SUM(Таблица15[[#This Row],[ПР-Сумма]],Таблица15[[#This Row],[Сумма]],Таблица15[[#This Row],[Прочие]])</f>
        <v>0</v>
      </c>
    </row>
    <row r="1030" spans="16:18" x14ac:dyDescent="0.2">
      <c r="P1030" s="32"/>
      <c r="R1030" s="30">
        <f>SUM(Таблица15[[#This Row],[ПР-Сумма]],Таблица15[[#This Row],[Сумма]],Таблица15[[#This Row],[Прочие]])</f>
        <v>0</v>
      </c>
    </row>
    <row r="1031" spans="16:18" x14ac:dyDescent="0.2">
      <c r="P1031" s="32"/>
      <c r="R1031" s="30">
        <f>SUM(Таблица15[[#This Row],[ПР-Сумма]],Таблица15[[#This Row],[Сумма]],Таблица15[[#This Row],[Прочие]])</f>
        <v>0</v>
      </c>
    </row>
    <row r="1032" spans="16:18" x14ac:dyDescent="0.2">
      <c r="P1032" s="32"/>
      <c r="R1032" s="30">
        <f>SUM(Таблица15[[#This Row],[ПР-Сумма]],Таблица15[[#This Row],[Сумма]],Таблица15[[#This Row],[Прочие]])</f>
        <v>0</v>
      </c>
    </row>
    <row r="1033" spans="16:18" x14ac:dyDescent="0.2">
      <c r="P1033" s="32"/>
      <c r="R1033" s="30">
        <f>SUM(Таблица15[[#This Row],[ПР-Сумма]],Таблица15[[#This Row],[Сумма]],Таблица15[[#This Row],[Прочие]])</f>
        <v>0</v>
      </c>
    </row>
    <row r="1034" spans="16:18" x14ac:dyDescent="0.2">
      <c r="P1034" s="32"/>
      <c r="R1034" s="30">
        <f>SUM(Таблица15[[#This Row],[ПР-Сумма]],Таблица15[[#This Row],[Сумма]],Таблица15[[#This Row],[Прочие]])</f>
        <v>0</v>
      </c>
    </row>
    <row r="1035" spans="16:18" x14ac:dyDescent="0.2">
      <c r="P1035" s="32"/>
      <c r="R1035" s="30">
        <f>SUM(Таблица15[[#This Row],[ПР-Сумма]],Таблица15[[#This Row],[Сумма]],Таблица15[[#This Row],[Прочие]])</f>
        <v>0</v>
      </c>
    </row>
    <row r="1036" spans="16:18" x14ac:dyDescent="0.2">
      <c r="P1036" s="32"/>
      <c r="R1036" s="30">
        <f>SUM(Таблица15[[#This Row],[ПР-Сумма]],Таблица15[[#This Row],[Сумма]],Таблица15[[#This Row],[Прочие]])</f>
        <v>0</v>
      </c>
    </row>
    <row r="1037" spans="16:18" x14ac:dyDescent="0.2">
      <c r="P1037" s="32"/>
      <c r="R1037" s="30">
        <f>SUM(Таблица15[[#This Row],[ПР-Сумма]],Таблица15[[#This Row],[Сумма]],Таблица15[[#This Row],[Прочие]])</f>
        <v>0</v>
      </c>
    </row>
    <row r="1038" spans="16:18" x14ac:dyDescent="0.2">
      <c r="P1038" s="32"/>
      <c r="R1038" s="30">
        <f>SUM(Таблица15[[#This Row],[ПР-Сумма]],Таблица15[[#This Row],[Сумма]],Таблица15[[#This Row],[Прочие]])</f>
        <v>0</v>
      </c>
    </row>
    <row r="1039" spans="16:18" x14ac:dyDescent="0.2">
      <c r="P1039" s="32"/>
      <c r="R1039" s="30">
        <f>SUM(Таблица15[[#This Row],[ПР-Сумма]],Таблица15[[#This Row],[Сумма]],Таблица15[[#This Row],[Прочие]])</f>
        <v>0</v>
      </c>
    </row>
    <row r="1040" spans="16:18" x14ac:dyDescent="0.2">
      <c r="P1040" s="32"/>
      <c r="R1040" s="30">
        <f>SUM(Таблица15[[#This Row],[ПР-Сумма]],Таблица15[[#This Row],[Сумма]],Таблица15[[#This Row],[Прочие]])</f>
        <v>0</v>
      </c>
    </row>
    <row r="1041" spans="16:18" x14ac:dyDescent="0.2">
      <c r="P1041" s="32"/>
      <c r="R1041" s="30">
        <f>SUM(Таблица15[[#This Row],[ПР-Сумма]],Таблица15[[#This Row],[Сумма]],Таблица15[[#This Row],[Прочие]])</f>
        <v>0</v>
      </c>
    </row>
    <row r="1042" spans="16:18" x14ac:dyDescent="0.2">
      <c r="P1042" s="32"/>
      <c r="R1042" s="30">
        <f>SUM(Таблица15[[#This Row],[ПР-Сумма]],Таблица15[[#This Row],[Сумма]],Таблица15[[#This Row],[Прочие]])</f>
        <v>0</v>
      </c>
    </row>
    <row r="1043" spans="16:18" x14ac:dyDescent="0.2">
      <c r="P1043" s="32"/>
      <c r="R1043" s="30">
        <f>SUM(Таблица15[[#This Row],[ПР-Сумма]],Таблица15[[#This Row],[Сумма]],Таблица15[[#This Row],[Прочие]])</f>
        <v>0</v>
      </c>
    </row>
    <row r="1044" spans="16:18" x14ac:dyDescent="0.2">
      <c r="P1044" s="32"/>
      <c r="R1044" s="30">
        <f>SUM(Таблица15[[#This Row],[ПР-Сумма]],Таблица15[[#This Row],[Сумма]],Таблица15[[#This Row],[Прочие]])</f>
        <v>0</v>
      </c>
    </row>
    <row r="1045" spans="16:18" x14ac:dyDescent="0.2">
      <c r="P1045" s="32"/>
      <c r="R1045" s="30">
        <f>SUM(Таблица15[[#This Row],[ПР-Сумма]],Таблица15[[#This Row],[Сумма]],Таблица15[[#This Row],[Прочие]])</f>
        <v>0</v>
      </c>
    </row>
    <row r="1046" spans="16:18" x14ac:dyDescent="0.2">
      <c r="P1046" s="32"/>
      <c r="R1046" s="30">
        <f>SUM(Таблица15[[#This Row],[ПР-Сумма]],Таблица15[[#This Row],[Сумма]],Таблица15[[#This Row],[Прочие]])</f>
        <v>0</v>
      </c>
    </row>
    <row r="1047" spans="16:18" x14ac:dyDescent="0.2">
      <c r="P1047" s="32"/>
      <c r="R1047" s="30">
        <f>SUM(Таблица15[[#This Row],[ПР-Сумма]],Таблица15[[#This Row],[Сумма]],Таблица15[[#This Row],[Прочие]])</f>
        <v>0</v>
      </c>
    </row>
    <row r="1048" spans="16:18" x14ac:dyDescent="0.2">
      <c r="P1048" s="32"/>
      <c r="R1048" s="30">
        <f>SUM(Таблица15[[#This Row],[ПР-Сумма]],Таблица15[[#This Row],[Сумма]],Таблица15[[#This Row],[Прочие]])</f>
        <v>0</v>
      </c>
    </row>
    <row r="1049" spans="16:18" x14ac:dyDescent="0.2">
      <c r="P1049" s="32"/>
      <c r="R1049" s="30">
        <f>SUM(Таблица15[[#This Row],[ПР-Сумма]],Таблица15[[#This Row],[Сумма]],Таблица15[[#This Row],[Прочие]])</f>
        <v>0</v>
      </c>
    </row>
  </sheetData>
  <pageMargins left="0.7" right="0.7" top="4.25" bottom="0.75" header="0.3" footer="0.3"/>
  <pageSetup paperSize="9" scale="7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9A9E-CDF8-4E04-A798-196C1115F5EB}">
  <sheetPr>
    <tabColor rgb="FFFF0066"/>
    <pageSetUpPr fitToPage="1"/>
  </sheetPr>
  <dimension ref="A1:W1123"/>
  <sheetViews>
    <sheetView tabSelected="1" topLeftCell="E60" zoomScale="85" zoomScaleNormal="85" workbookViewId="0">
      <selection activeCell="E80" sqref="E80:U91"/>
    </sheetView>
  </sheetViews>
  <sheetFormatPr defaultRowHeight="15" x14ac:dyDescent="0.25"/>
  <cols>
    <col min="1" max="1" width="9.7109375" style="6" customWidth="1"/>
    <col min="2" max="2" width="17.28515625" style="6" customWidth="1"/>
    <col min="3" max="3" width="14.140625" style="6" bestFit="1" customWidth="1"/>
    <col min="4" max="4" width="27.140625" style="6" bestFit="1" customWidth="1"/>
    <col min="5" max="5" width="12.5703125" style="21" bestFit="1" customWidth="1"/>
    <col min="6" max="6" width="13.5703125" style="6" customWidth="1"/>
    <col min="7" max="7" width="13.7109375" style="6" customWidth="1"/>
    <col min="8" max="8" width="13.85546875" style="8" bestFit="1" customWidth="1"/>
    <col min="9" max="9" width="14.140625" style="6" customWidth="1"/>
    <col min="10" max="10" width="19.42578125" style="6" bestFit="1" customWidth="1"/>
    <col min="11" max="11" width="14.28515625" style="7" bestFit="1" customWidth="1"/>
    <col min="12" max="12" width="14.28515625" style="6" customWidth="1"/>
    <col min="13" max="13" width="21.42578125" style="6" customWidth="1"/>
    <col min="14" max="14" width="19.42578125" style="6" bestFit="1" customWidth="1"/>
    <col min="15" max="15" width="16.140625" customWidth="1"/>
    <col min="16" max="16" width="14.7109375" style="6" customWidth="1"/>
    <col min="17" max="17" width="12.140625" style="6" customWidth="1"/>
    <col min="18" max="18" width="19.42578125" style="6" bestFit="1" customWidth="1"/>
    <col min="19" max="19" width="15.42578125" style="6" customWidth="1"/>
    <col min="20" max="20" width="21.28515625" style="6" customWidth="1"/>
    <col min="21" max="21" width="21" style="1" bestFit="1" customWidth="1"/>
    <col min="22" max="22" width="9.140625" style="6"/>
    <col min="23" max="23" width="17" style="6" bestFit="1" customWidth="1"/>
    <col min="24" max="16384" width="9.140625" style="6"/>
  </cols>
  <sheetData>
    <row r="1" spans="1:23" ht="14.25" x14ac:dyDescent="0.2">
      <c r="E1" s="7"/>
      <c r="F1" s="7"/>
      <c r="G1" s="7"/>
      <c r="O1" s="6"/>
      <c r="U1" s="6"/>
    </row>
    <row r="2" spans="1:23" s="9" customFormat="1" ht="18" x14ac:dyDescent="0.25">
      <c r="H2" s="172">
        <f>SUBTOTAL(9,Таблица1[Блок
 Куб])</f>
        <v>2817.5780000000004</v>
      </c>
      <c r="J2" s="173">
        <f>SUBTOTAL(9,Таблица1[Сумма 
Приход])</f>
        <v>1647154250</v>
      </c>
      <c r="K2" s="173">
        <f>SUBTOTAL(9,Таблица1[Поддон
Шт])</f>
        <v>1630</v>
      </c>
      <c r="M2" s="9">
        <f>SUBTOTAL(9,Таблица1[Сумма Поддон])</f>
        <v>211900000</v>
      </c>
      <c r="N2" s="9">
        <f>SUBTOTAL(9,Таблица1[Блок+
Поддон])</f>
        <v>1859054250</v>
      </c>
      <c r="R2" s="9">
        <f>SUBTOTAL(9,Таблица1[Сумма 
Продажа])</f>
        <v>2006657519.362304</v>
      </c>
      <c r="S2" s="9">
        <f>SUBTOTAL(9,Таблица1[Расход 
Авто])</f>
        <v>68100000</v>
      </c>
      <c r="T2" s="9">
        <f>SUBTOTAL(9,Таблица1[Общая прибль])</f>
        <v>359503269.36230397</v>
      </c>
      <c r="W2" s="9">
        <f>R2-J2</f>
        <v>359503269.36230397</v>
      </c>
    </row>
    <row r="3" spans="1:23" s="16" customFormat="1" ht="30" x14ac:dyDescent="0.25">
      <c r="A3" s="10" t="s">
        <v>8</v>
      </c>
      <c r="B3" s="11" t="s">
        <v>0</v>
      </c>
      <c r="C3" s="11" t="s">
        <v>1</v>
      </c>
      <c r="D3" s="11" t="s">
        <v>2</v>
      </c>
      <c r="E3" s="12" t="s">
        <v>3</v>
      </c>
      <c r="F3" s="13" t="s">
        <v>4</v>
      </c>
      <c r="G3" s="27" t="s">
        <v>54</v>
      </c>
      <c r="H3" s="27" t="s">
        <v>56</v>
      </c>
      <c r="I3" s="27" t="s">
        <v>44</v>
      </c>
      <c r="J3" s="13" t="s">
        <v>45</v>
      </c>
      <c r="K3" s="44" t="s">
        <v>55</v>
      </c>
      <c r="L3" s="26" t="s">
        <v>57</v>
      </c>
      <c r="M3" s="13" t="s">
        <v>58</v>
      </c>
      <c r="N3" s="13" t="s">
        <v>59</v>
      </c>
      <c r="O3" s="14" t="s">
        <v>46</v>
      </c>
      <c r="P3" s="13" t="s">
        <v>24</v>
      </c>
      <c r="Q3" s="13" t="s">
        <v>5</v>
      </c>
      <c r="R3" s="15" t="s">
        <v>47</v>
      </c>
      <c r="S3" s="22" t="s">
        <v>52</v>
      </c>
      <c r="T3" s="11" t="s">
        <v>7</v>
      </c>
      <c r="U3" s="13" t="s">
        <v>87</v>
      </c>
    </row>
    <row r="4" spans="1:23" ht="14.25" x14ac:dyDescent="0.2">
      <c r="A4" s="50">
        <v>1</v>
      </c>
      <c r="B4" s="17" t="s">
        <v>42</v>
      </c>
      <c r="C4" s="54" t="s">
        <v>74</v>
      </c>
      <c r="D4" s="54" t="s">
        <v>80</v>
      </c>
      <c r="E4" s="137">
        <v>46197</v>
      </c>
      <c r="F4" s="203" t="s">
        <v>43</v>
      </c>
      <c r="G4" s="23" t="s">
        <v>71</v>
      </c>
      <c r="H4" s="199">
        <v>31.103999999999999</v>
      </c>
      <c r="I4" s="23">
        <v>500000</v>
      </c>
      <c r="J4" s="19">
        <f>Таблица1[[#This Row],[Блок
 Куб]]*Таблица1[[#This Row],[Цена 
Приход]]</f>
        <v>15552000</v>
      </c>
      <c r="K4" s="25">
        <v>18</v>
      </c>
      <c r="L4" s="25">
        <v>130000</v>
      </c>
      <c r="M4" s="19">
        <f>Таблица1[[#This Row],[Поддон
Шт]]*Таблица1[[#This Row],[Цена
Поддон]]</f>
        <v>2340000</v>
      </c>
      <c r="N4" s="19">
        <f>Таблица1[[#This Row],[Сумма 
Приход]]+Таблица1[[#This Row],[Сумма Поддон]]</f>
        <v>17892000</v>
      </c>
      <c r="O4" s="20">
        <v>732542.43799999997</v>
      </c>
      <c r="P4" s="19">
        <f>(Таблица1[[#This Row],[Цена
 Продажа]]+Таблица1[[#This Row],[Цена
Поддон]])-Таблица1[[#This Row],[Цена 
Приход]]</f>
        <v>362542.43799999997</v>
      </c>
      <c r="Q4" s="19" t="s">
        <v>53</v>
      </c>
      <c r="R4" s="19">
        <f>Таблица1[[#This Row],[Блок
 Куб]]*Таблица1[[#This Row],[Цена
 Продажа]]</f>
        <v>22784999.991551999</v>
      </c>
      <c r="S4" s="46">
        <v>2000000</v>
      </c>
      <c r="T4" s="19">
        <f>Таблица1[[#This Row],[Сумма 
Продажа]]-Таблица1[[#This Row],[Сумма 
Приход]]</f>
        <v>7232999.991551999</v>
      </c>
      <c r="U4" s="149" t="s">
        <v>90</v>
      </c>
    </row>
    <row r="5" spans="1:23" ht="14.25" x14ac:dyDescent="0.2">
      <c r="A5" s="50">
        <f>A4+1</f>
        <v>2</v>
      </c>
      <c r="B5" s="17" t="s">
        <v>42</v>
      </c>
      <c r="C5" s="54" t="s">
        <v>74</v>
      </c>
      <c r="D5" s="54" t="s">
        <v>80</v>
      </c>
      <c r="E5" s="137">
        <v>46197</v>
      </c>
      <c r="F5" s="203" t="s">
        <v>48</v>
      </c>
      <c r="G5" s="23" t="s">
        <v>71</v>
      </c>
      <c r="H5" s="199">
        <v>31.103999999999999</v>
      </c>
      <c r="I5" s="23">
        <v>500000</v>
      </c>
      <c r="J5" s="19">
        <f>Таблица1[[#This Row],[Блок
 Куб]]*Таблица1[[#This Row],[Цена 
Приход]]</f>
        <v>15552000</v>
      </c>
      <c r="K5" s="25">
        <v>18</v>
      </c>
      <c r="L5" s="25">
        <v>130000</v>
      </c>
      <c r="M5" s="19">
        <f>Таблица1[[#This Row],[Поддон
Шт]]*Таблица1[[#This Row],[Цена
Поддон]]</f>
        <v>2340000</v>
      </c>
      <c r="N5" s="19">
        <f>Таблица1[[#This Row],[Сумма 
Приход]]+Таблица1[[#This Row],[Сумма Поддон]]</f>
        <v>17892000</v>
      </c>
      <c r="O5" s="20">
        <v>732542.43799999997</v>
      </c>
      <c r="P5" s="19">
        <f>(Таблица1[[#This Row],[Цена
 Продажа]]+Таблица1[[#This Row],[Цена
Поддон]])-Таблица1[[#This Row],[Цена 
Приход]]</f>
        <v>362542.43799999997</v>
      </c>
      <c r="Q5" s="19" t="s">
        <v>53</v>
      </c>
      <c r="R5" s="19">
        <f>Таблица1[[#This Row],[Блок
 Куб]]*Таблица1[[#This Row],[Цена
 Продажа]]</f>
        <v>22784999.991551999</v>
      </c>
      <c r="S5" s="46">
        <v>2000000</v>
      </c>
      <c r="T5" s="19">
        <f>Таблица1[[#This Row],[Сумма 
Продажа]]-Таблица1[[#This Row],[Сумма 
Приход]]</f>
        <v>7232999.991551999</v>
      </c>
      <c r="U5" s="149" t="s">
        <v>90</v>
      </c>
    </row>
    <row r="6" spans="1:23" ht="14.25" x14ac:dyDescent="0.2">
      <c r="A6" s="50">
        <f t="shared" ref="A6:A69" si="0">A5+1</f>
        <v>3</v>
      </c>
      <c r="B6" s="17" t="s">
        <v>42</v>
      </c>
      <c r="C6" s="54" t="s">
        <v>74</v>
      </c>
      <c r="D6" s="54" t="s">
        <v>81</v>
      </c>
      <c r="E6" s="137">
        <v>46197</v>
      </c>
      <c r="F6" s="203" t="s">
        <v>49</v>
      </c>
      <c r="G6" s="23" t="s">
        <v>71</v>
      </c>
      <c r="H6" s="199">
        <v>31.103999999999999</v>
      </c>
      <c r="I6" s="23">
        <v>500000</v>
      </c>
      <c r="J6" s="19">
        <f>Таблица1[[#This Row],[Блок
 Куб]]*Таблица1[[#This Row],[Цена 
Приход]]</f>
        <v>15552000</v>
      </c>
      <c r="K6" s="25">
        <v>18</v>
      </c>
      <c r="L6" s="25">
        <v>130000</v>
      </c>
      <c r="M6" s="19">
        <f>Таблица1[[#This Row],[Поддон
Шт]]*Таблица1[[#This Row],[Цена
Поддон]]</f>
        <v>2340000</v>
      </c>
      <c r="N6" s="19">
        <f>Таблица1[[#This Row],[Сумма 
Приход]]+Таблица1[[#This Row],[Сумма Поддон]]</f>
        <v>17892000</v>
      </c>
      <c r="O6" s="20">
        <v>700000</v>
      </c>
      <c r="P6" s="19">
        <f>(Таблица1[[#This Row],[Цена
 Продажа]]+Таблица1[[#This Row],[Цена
Поддон]])-Таблица1[[#This Row],[Цена 
Приход]]</f>
        <v>330000</v>
      </c>
      <c r="Q6" s="19" t="s">
        <v>53</v>
      </c>
      <c r="R6" s="19">
        <f>Таблица1[[#This Row],[Блок
 Куб]]*Таблица1[[#This Row],[Цена
 Продажа]]</f>
        <v>21772800</v>
      </c>
      <c r="S6" s="46">
        <v>2000000</v>
      </c>
      <c r="T6" s="19">
        <f>Таблица1[[#This Row],[Сумма 
Продажа]]-Таблица1[[#This Row],[Сумма 
Приход]]</f>
        <v>6220800</v>
      </c>
      <c r="U6" s="149" t="s">
        <v>90</v>
      </c>
    </row>
    <row r="7" spans="1:23" ht="14.25" x14ac:dyDescent="0.2">
      <c r="A7" s="50">
        <f t="shared" si="0"/>
        <v>4</v>
      </c>
      <c r="B7" s="17" t="s">
        <v>42</v>
      </c>
      <c r="C7" s="53" t="s">
        <v>73</v>
      </c>
      <c r="D7" s="53" t="s">
        <v>88</v>
      </c>
      <c r="E7" s="138">
        <v>46197</v>
      </c>
      <c r="F7" s="171" t="s">
        <v>50</v>
      </c>
      <c r="G7" s="23" t="s">
        <v>71</v>
      </c>
      <c r="H7" s="199">
        <v>31.103999999999999</v>
      </c>
      <c r="I7" s="23">
        <v>500000</v>
      </c>
      <c r="J7" s="19">
        <f>Таблица1[[#This Row],[Блок
 Куб]]*Таблица1[[#This Row],[Цена 
Приход]]</f>
        <v>15552000</v>
      </c>
      <c r="K7" s="25">
        <v>18</v>
      </c>
      <c r="L7" s="25">
        <v>130000</v>
      </c>
      <c r="M7" s="19">
        <f>Таблица1[[#This Row],[Поддон
Шт]]*Таблица1[[#This Row],[Цена
Поддон]]</f>
        <v>2340000</v>
      </c>
      <c r="N7" s="19">
        <f>Таблица1[[#This Row],[Сумма 
Приход]]+Таблица1[[#This Row],[Сумма Поддон]]</f>
        <v>17892000</v>
      </c>
      <c r="O7" s="20">
        <v>750000</v>
      </c>
      <c r="P7" s="19">
        <f>(Таблица1[[#This Row],[Цена
 Продажа]]+Таблица1[[#This Row],[Цена
Поддон]])-Таблица1[[#This Row],[Цена 
Приход]]</f>
        <v>380000</v>
      </c>
      <c r="Q7" s="19" t="s">
        <v>53</v>
      </c>
      <c r="R7" s="19">
        <f>Таблица1[[#This Row],[Блок
 Куб]]*Таблица1[[#This Row],[Цена
 Продажа]]</f>
        <v>23328000</v>
      </c>
      <c r="S7" s="46">
        <v>2000000</v>
      </c>
      <c r="T7" s="19">
        <f>Таблица1[[#This Row],[Сумма 
Продажа]]-Таблица1[[#This Row],[Сумма 
Приход]]</f>
        <v>7776000</v>
      </c>
      <c r="U7" s="149" t="s">
        <v>90</v>
      </c>
    </row>
    <row r="8" spans="1:23" ht="14.25" x14ac:dyDescent="0.2">
      <c r="A8" s="50">
        <f t="shared" si="0"/>
        <v>5</v>
      </c>
      <c r="B8" s="17" t="s">
        <v>42</v>
      </c>
      <c r="C8" s="54" t="s">
        <v>74</v>
      </c>
      <c r="D8" s="54" t="s">
        <v>81</v>
      </c>
      <c r="E8" s="137">
        <v>46197</v>
      </c>
      <c r="F8" s="203" t="s">
        <v>51</v>
      </c>
      <c r="G8" s="23" t="s">
        <v>71</v>
      </c>
      <c r="H8" s="199">
        <v>32.832000000000001</v>
      </c>
      <c r="I8" s="23">
        <v>500000</v>
      </c>
      <c r="J8" s="19">
        <f>Таблица1[[#This Row],[Блок
 Куб]]*Таблица1[[#This Row],[Цена 
Приход]]</f>
        <v>16416000</v>
      </c>
      <c r="K8" s="25">
        <v>19</v>
      </c>
      <c r="L8" s="25">
        <v>130000</v>
      </c>
      <c r="M8" s="19">
        <f>Таблица1[[#This Row],[Поддон
Шт]]*Таблица1[[#This Row],[Цена
Поддон]]</f>
        <v>2470000</v>
      </c>
      <c r="N8" s="19">
        <f>Таблица1[[#This Row],[Сумма 
Приход]]+Таблица1[[#This Row],[Сумма Поддон]]</f>
        <v>18886000</v>
      </c>
      <c r="O8" s="20">
        <v>700000</v>
      </c>
      <c r="P8" s="19">
        <f>(Таблица1[[#This Row],[Цена
 Продажа]]+Таблица1[[#This Row],[Цена
Поддон]])-Таблица1[[#This Row],[Цена 
Приход]]</f>
        <v>330000</v>
      </c>
      <c r="Q8" s="19" t="s">
        <v>53</v>
      </c>
      <c r="R8" s="19">
        <f>Таблица1[[#This Row],[Блок
 Куб]]*Таблица1[[#This Row],[Цена
 Продажа]]</f>
        <v>22982400</v>
      </c>
      <c r="S8" s="46">
        <v>2000000</v>
      </c>
      <c r="T8" s="19">
        <f>Таблица1[[#This Row],[Сумма 
Продажа]]-Таблица1[[#This Row],[Сумма 
Приход]]</f>
        <v>6566400</v>
      </c>
      <c r="U8" s="149" t="s">
        <v>90</v>
      </c>
    </row>
    <row r="9" spans="1:23" ht="14.25" x14ac:dyDescent="0.2">
      <c r="A9" s="50">
        <f t="shared" si="0"/>
        <v>6</v>
      </c>
      <c r="B9" s="17" t="s">
        <v>42</v>
      </c>
      <c r="C9" s="54" t="s">
        <v>74</v>
      </c>
      <c r="D9" s="54" t="s">
        <v>81</v>
      </c>
      <c r="E9" s="137">
        <v>46198</v>
      </c>
      <c r="F9" s="203" t="s">
        <v>65</v>
      </c>
      <c r="G9" s="23" t="s">
        <v>71</v>
      </c>
      <c r="H9" s="199">
        <v>32.832000000000001</v>
      </c>
      <c r="I9" s="23">
        <v>500000</v>
      </c>
      <c r="J9" s="19">
        <f>Таблица1[[#This Row],[Блок
 Куб]]*Таблица1[[#This Row],[Цена 
Приход]]</f>
        <v>16416000</v>
      </c>
      <c r="K9" s="25">
        <v>19</v>
      </c>
      <c r="L9" s="25">
        <v>130000</v>
      </c>
      <c r="M9" s="19">
        <f>Таблица1[[#This Row],[Поддон
Шт]]*Таблица1[[#This Row],[Цена
Поддон]]</f>
        <v>2470000</v>
      </c>
      <c r="N9" s="19">
        <f>Таблица1[[#This Row],[Сумма 
Приход]]+Таблица1[[#This Row],[Сумма Поддон]]</f>
        <v>18886000</v>
      </c>
      <c r="O9" s="20">
        <v>700000</v>
      </c>
      <c r="P9" s="19">
        <f>Таблица1[[#This Row],[Цена
 Продажа]]-Таблица1[[#This Row],[Цена 
Приход]]</f>
        <v>200000</v>
      </c>
      <c r="Q9" s="19" t="s">
        <v>53</v>
      </c>
      <c r="R9" s="19">
        <f>Таблица1[[#This Row],[Блок
 Куб]]*Таблица1[[#This Row],[Цена
 Продажа]]</f>
        <v>22982400</v>
      </c>
      <c r="S9" s="46">
        <v>2000000</v>
      </c>
      <c r="T9" s="19">
        <f>Таблица1[[#This Row],[Сумма 
Продажа]]-Таблица1[[#This Row],[Сумма 
Приход]]</f>
        <v>6566400</v>
      </c>
      <c r="U9" s="149" t="s">
        <v>90</v>
      </c>
    </row>
    <row r="10" spans="1:23" ht="14.25" x14ac:dyDescent="0.2">
      <c r="A10" s="50">
        <f t="shared" si="0"/>
        <v>7</v>
      </c>
      <c r="B10" s="17" t="s">
        <v>42</v>
      </c>
      <c r="C10" s="54" t="s">
        <v>74</v>
      </c>
      <c r="D10" s="54" t="s">
        <v>152</v>
      </c>
      <c r="E10" s="137">
        <v>46198</v>
      </c>
      <c r="F10" s="203" t="s">
        <v>66</v>
      </c>
      <c r="G10" s="23" t="s">
        <v>71</v>
      </c>
      <c r="H10" s="199">
        <v>32.832000000000001</v>
      </c>
      <c r="I10" s="23">
        <v>500000</v>
      </c>
      <c r="J10" s="19">
        <f>Таблица1[[#This Row],[Блок
 Куб]]*Таблица1[[#This Row],[Цена 
Приход]]</f>
        <v>16416000</v>
      </c>
      <c r="K10" s="25">
        <v>19</v>
      </c>
      <c r="L10" s="25">
        <v>130000</v>
      </c>
      <c r="M10" s="19">
        <f>Таблица1[[#This Row],[Поддон
Шт]]*Таблица1[[#This Row],[Цена
Поддон]]</f>
        <v>2470000</v>
      </c>
      <c r="N10" s="19">
        <f>Таблица1[[#This Row],[Сумма 
Приход]]+Таблица1[[#This Row],[Сумма Поддон]]</f>
        <v>18886000</v>
      </c>
      <c r="O10" s="20">
        <v>735000</v>
      </c>
      <c r="P10" s="19">
        <f>Таблица1[[#This Row],[Цена
 Продажа]]-Таблица1[[#This Row],[Цена 
Приход]]</f>
        <v>235000</v>
      </c>
      <c r="Q10" s="19" t="s">
        <v>53</v>
      </c>
      <c r="R10" s="19">
        <f>Таблица1[[#This Row],[Блок
 Куб]]*Таблица1[[#This Row],[Цена
 Продажа]]</f>
        <v>24131520</v>
      </c>
      <c r="S10" s="46">
        <v>2000000</v>
      </c>
      <c r="T10" s="19">
        <f>Таблица1[[#This Row],[Сумма 
Продажа]]-Таблица1[[#This Row],[Сумма 
Приход]]</f>
        <v>7715520</v>
      </c>
      <c r="U10" s="149" t="s">
        <v>90</v>
      </c>
    </row>
    <row r="11" spans="1:23" ht="14.25" x14ac:dyDescent="0.2">
      <c r="A11" s="50">
        <f t="shared" si="0"/>
        <v>8</v>
      </c>
      <c r="B11" s="17" t="s">
        <v>42</v>
      </c>
      <c r="C11" s="54" t="s">
        <v>74</v>
      </c>
      <c r="D11" s="54" t="s">
        <v>152</v>
      </c>
      <c r="E11" s="137">
        <v>46198</v>
      </c>
      <c r="F11" s="203" t="s">
        <v>67</v>
      </c>
      <c r="G11" s="23" t="s">
        <v>71</v>
      </c>
      <c r="H11" s="199">
        <v>32.832000000000001</v>
      </c>
      <c r="I11" s="23">
        <v>500000</v>
      </c>
      <c r="J11" s="19">
        <f>Таблица1[[#This Row],[Блок
 Куб]]*Таблица1[[#This Row],[Цена 
Приход]]</f>
        <v>16416000</v>
      </c>
      <c r="K11" s="25">
        <v>19</v>
      </c>
      <c r="L11" s="25">
        <v>130000</v>
      </c>
      <c r="M11" s="19">
        <f>Таблица1[[#This Row],[Поддон
Шт]]*Таблица1[[#This Row],[Цена
Поддон]]</f>
        <v>2470000</v>
      </c>
      <c r="N11" s="19">
        <f>Таблица1[[#This Row],[Сумма 
Приход]]+Таблица1[[#This Row],[Сумма Поддон]]</f>
        <v>18886000</v>
      </c>
      <c r="O11" s="20">
        <v>735000</v>
      </c>
      <c r="P11" s="19">
        <f>Таблица1[[#This Row],[Цена
 Продажа]]-Таблица1[[#This Row],[Цена 
Приход]]</f>
        <v>235000</v>
      </c>
      <c r="Q11" s="19" t="s">
        <v>53</v>
      </c>
      <c r="R11" s="19">
        <f>Таблица1[[#This Row],[Блок
 Куб]]*Таблица1[[#This Row],[Цена
 Продажа]]</f>
        <v>24131520</v>
      </c>
      <c r="S11" s="46">
        <v>2000000</v>
      </c>
      <c r="T11" s="19">
        <f>Таблица1[[#This Row],[Сумма 
Продажа]]-Таблица1[[#This Row],[Сумма 
Приход]]</f>
        <v>7715520</v>
      </c>
      <c r="U11" s="149" t="s">
        <v>90</v>
      </c>
    </row>
    <row r="12" spans="1:23" ht="14.25" x14ac:dyDescent="0.2">
      <c r="A12" s="50">
        <f t="shared" si="0"/>
        <v>9</v>
      </c>
      <c r="B12" s="17" t="s">
        <v>42</v>
      </c>
      <c r="C12" s="54" t="s">
        <v>74</v>
      </c>
      <c r="D12" s="54" t="s">
        <v>152</v>
      </c>
      <c r="E12" s="137">
        <v>46198</v>
      </c>
      <c r="F12" s="203" t="s">
        <v>68</v>
      </c>
      <c r="G12" s="23" t="s">
        <v>71</v>
      </c>
      <c r="H12" s="199">
        <v>32.832000000000001</v>
      </c>
      <c r="I12" s="23">
        <v>500000</v>
      </c>
      <c r="J12" s="19">
        <f>Таблица1[[#This Row],[Блок
 Куб]]*Таблица1[[#This Row],[Цена 
Приход]]</f>
        <v>16416000</v>
      </c>
      <c r="K12" s="25">
        <v>19</v>
      </c>
      <c r="L12" s="25">
        <v>130000</v>
      </c>
      <c r="M12" s="19">
        <f>Таблица1[[#This Row],[Поддон
Шт]]*Таблица1[[#This Row],[Цена
Поддон]]</f>
        <v>2470000</v>
      </c>
      <c r="N12" s="19">
        <f>Таблица1[[#This Row],[Сумма 
Приход]]+Таблица1[[#This Row],[Сумма Поддон]]</f>
        <v>18886000</v>
      </c>
      <c r="O12" s="20">
        <v>735000</v>
      </c>
      <c r="P12" s="19">
        <f>Таблица1[[#This Row],[Цена
 Продажа]]-Таблица1[[#This Row],[Цена 
Приход]]</f>
        <v>235000</v>
      </c>
      <c r="Q12" s="19" t="s">
        <v>53</v>
      </c>
      <c r="R12" s="19">
        <f>Таблица1[[#This Row],[Блок
 Куб]]*Таблица1[[#This Row],[Цена
 Продажа]]</f>
        <v>24131520</v>
      </c>
      <c r="S12" s="46">
        <v>2000000</v>
      </c>
      <c r="T12" s="19">
        <f>Таблица1[[#This Row],[Сумма 
Продажа]]-Таблица1[[#This Row],[Сумма 
Приход]]</f>
        <v>7715520</v>
      </c>
      <c r="U12" s="149" t="s">
        <v>90</v>
      </c>
    </row>
    <row r="13" spans="1:23" ht="14.25" x14ac:dyDescent="0.2">
      <c r="A13" s="50">
        <f t="shared" si="0"/>
        <v>10</v>
      </c>
      <c r="B13" s="17" t="s">
        <v>42</v>
      </c>
      <c r="C13" s="52" t="s">
        <v>89</v>
      </c>
      <c r="D13" s="52" t="s">
        <v>72</v>
      </c>
      <c r="E13" s="139">
        <v>46198</v>
      </c>
      <c r="F13" s="204" t="s">
        <v>69</v>
      </c>
      <c r="G13" s="23" t="s">
        <v>71</v>
      </c>
      <c r="H13" s="199">
        <v>32.832000000000001</v>
      </c>
      <c r="I13" s="23">
        <v>500000</v>
      </c>
      <c r="J13" s="19">
        <f>Таблица1[[#This Row],[Блок
 Куб]]*Таблица1[[#This Row],[Цена 
Приход]]</f>
        <v>16416000</v>
      </c>
      <c r="K13" s="25">
        <v>19</v>
      </c>
      <c r="L13" s="25">
        <v>130000</v>
      </c>
      <c r="M13" s="19">
        <f>Таблица1[[#This Row],[Поддон
Шт]]*Таблица1[[#This Row],[Цена
Поддон]]</f>
        <v>2470000</v>
      </c>
      <c r="N13" s="19">
        <f>Таблица1[[#This Row],[Сумма 
Приход]]+Таблица1[[#This Row],[Сумма Поддон]]</f>
        <v>18886000</v>
      </c>
      <c r="O13" s="20">
        <v>750000</v>
      </c>
      <c r="P13" s="19">
        <f>Таблица1[[#This Row],[Цена
 Продажа]]-Таблица1[[#This Row],[Цена 
Приход]]</f>
        <v>250000</v>
      </c>
      <c r="Q13" s="19" t="s">
        <v>53</v>
      </c>
      <c r="R13" s="19">
        <f>Таблица1[[#This Row],[Блок
 Куб]]*Таблица1[[#This Row],[Цена
 Продажа]]</f>
        <v>24624000</v>
      </c>
      <c r="S13" s="46">
        <v>2500000</v>
      </c>
      <c r="T13" s="19">
        <f>Таблица1[[#This Row],[Сумма 
Продажа]]-Таблица1[[#This Row],[Сумма 
Приход]]</f>
        <v>8208000</v>
      </c>
      <c r="U13" s="149" t="s">
        <v>90</v>
      </c>
    </row>
    <row r="14" spans="1:23" ht="14.25" x14ac:dyDescent="0.2">
      <c r="A14" s="50">
        <f t="shared" si="0"/>
        <v>11</v>
      </c>
      <c r="B14" s="17" t="s">
        <v>42</v>
      </c>
      <c r="C14" s="52" t="s">
        <v>89</v>
      </c>
      <c r="D14" s="52" t="s">
        <v>72</v>
      </c>
      <c r="E14" s="139">
        <v>46198</v>
      </c>
      <c r="F14" s="204" t="s">
        <v>70</v>
      </c>
      <c r="G14" s="23" t="s">
        <v>71</v>
      </c>
      <c r="H14" s="199">
        <v>31.103999999999999</v>
      </c>
      <c r="I14" s="23">
        <v>500000</v>
      </c>
      <c r="J14" s="19">
        <f>Таблица1[[#This Row],[Блок
 Куб]]*Таблица1[[#This Row],[Цена 
Приход]]</f>
        <v>15552000</v>
      </c>
      <c r="K14" s="25">
        <v>18</v>
      </c>
      <c r="L14" s="25">
        <v>130000</v>
      </c>
      <c r="M14" s="19">
        <f>Таблица1[[#This Row],[Поддон
Шт]]*Таблица1[[#This Row],[Цена
Поддон]]</f>
        <v>2340000</v>
      </c>
      <c r="N14" s="19">
        <f>Таблица1[[#This Row],[Сумма 
Приход]]+Таблица1[[#This Row],[Сумма Поддон]]</f>
        <v>17892000</v>
      </c>
      <c r="O14" s="20">
        <v>750000</v>
      </c>
      <c r="P14" s="19">
        <f>Таблица1[[#This Row],[Цена
 Продажа]]-Таблица1[[#This Row],[Цена 
Приход]]</f>
        <v>250000</v>
      </c>
      <c r="Q14" s="19" t="s">
        <v>53</v>
      </c>
      <c r="R14" s="19">
        <f>Таблица1[[#This Row],[Блок
 Куб]]*Таблица1[[#This Row],[Цена
 Продажа]]</f>
        <v>23328000</v>
      </c>
      <c r="S14" s="46">
        <v>2500000</v>
      </c>
      <c r="T14" s="19">
        <f>Таблица1[[#This Row],[Сумма 
Продажа]]-Таблица1[[#This Row],[Сумма 
Приход]]</f>
        <v>7776000</v>
      </c>
      <c r="U14" s="149" t="s">
        <v>90</v>
      </c>
    </row>
    <row r="15" spans="1:23" ht="14.25" x14ac:dyDescent="0.2">
      <c r="A15" s="50">
        <f t="shared" si="0"/>
        <v>12</v>
      </c>
      <c r="B15" s="17" t="s">
        <v>42</v>
      </c>
      <c r="C15" s="53" t="s">
        <v>73</v>
      </c>
      <c r="D15" s="53" t="s">
        <v>88</v>
      </c>
      <c r="E15" s="138">
        <v>46200</v>
      </c>
      <c r="F15" s="171" t="s">
        <v>82</v>
      </c>
      <c r="G15" s="23" t="s">
        <v>83</v>
      </c>
      <c r="H15" s="199">
        <v>32.832000000000001</v>
      </c>
      <c r="I15" s="23">
        <v>500000</v>
      </c>
      <c r="J15" s="19">
        <f>Таблица1[[#This Row],[Блок
 Куб]]*Таблица1[[#This Row],[Цена 
Приход]]</f>
        <v>16416000</v>
      </c>
      <c r="K15" s="25">
        <v>19</v>
      </c>
      <c r="L15" s="25">
        <v>130000</v>
      </c>
      <c r="M15" s="19">
        <f>Таблица1[[#This Row],[Поддон
Шт]]*Таблица1[[#This Row],[Цена
Поддон]]</f>
        <v>2470000</v>
      </c>
      <c r="N15" s="19">
        <f>Таблица1[[#This Row],[Сумма 
Приход]]+Таблица1[[#This Row],[Сумма Поддон]]</f>
        <v>18886000</v>
      </c>
      <c r="O15" s="20">
        <v>750000</v>
      </c>
      <c r="P15" s="19">
        <f>Таблица1[[#This Row],[Цена
 Продажа]]-Таблица1[[#This Row],[Цена 
Приход]]</f>
        <v>250000</v>
      </c>
      <c r="Q15" s="19" t="s">
        <v>53</v>
      </c>
      <c r="R15" s="19">
        <f>Таблица1[[#This Row],[Блок
 Куб]]*Таблица1[[#This Row],[Цена
 Продажа]]</f>
        <v>24624000</v>
      </c>
      <c r="S15" s="46">
        <v>2500000</v>
      </c>
      <c r="T15" s="19">
        <f>Таблица1[[#This Row],[Сумма 
Продажа]]-Таблица1[[#This Row],[Сумма 
Приход]]</f>
        <v>8208000</v>
      </c>
      <c r="U15" s="149" t="s">
        <v>90</v>
      </c>
    </row>
    <row r="16" spans="1:23" ht="14.25" x14ac:dyDescent="0.2">
      <c r="A16" s="50">
        <f t="shared" si="0"/>
        <v>13</v>
      </c>
      <c r="B16" s="17" t="s">
        <v>42</v>
      </c>
      <c r="C16" s="53" t="s">
        <v>73</v>
      </c>
      <c r="D16" s="53" t="s">
        <v>88</v>
      </c>
      <c r="E16" s="138">
        <v>46200</v>
      </c>
      <c r="F16" s="171" t="s">
        <v>84</v>
      </c>
      <c r="G16" s="23" t="s">
        <v>83</v>
      </c>
      <c r="H16" s="199">
        <v>32.832000000000001</v>
      </c>
      <c r="I16" s="23">
        <v>500000</v>
      </c>
      <c r="J16" s="19">
        <f>Таблица1[[#This Row],[Блок
 Куб]]*Таблица1[[#This Row],[Цена 
Приход]]</f>
        <v>16416000</v>
      </c>
      <c r="K16" s="25">
        <v>19</v>
      </c>
      <c r="L16" s="25">
        <v>130000</v>
      </c>
      <c r="M16" s="19">
        <f>Таблица1[[#This Row],[Поддон
Шт]]*Таблица1[[#This Row],[Цена
Поддон]]</f>
        <v>2470000</v>
      </c>
      <c r="N16" s="19">
        <f>Таблица1[[#This Row],[Сумма 
Приход]]+Таблица1[[#This Row],[Сумма Поддон]]</f>
        <v>18886000</v>
      </c>
      <c r="O16" s="20">
        <v>750000</v>
      </c>
      <c r="P16" s="19">
        <f>Таблица1[[#This Row],[Цена
 Продажа]]-Таблица1[[#This Row],[Цена 
Приход]]</f>
        <v>250000</v>
      </c>
      <c r="Q16" s="19" t="s">
        <v>53</v>
      </c>
      <c r="R16" s="19">
        <f>Таблица1[[#This Row],[Блок
 Куб]]*Таблица1[[#This Row],[Цена
 Продажа]]</f>
        <v>24624000</v>
      </c>
      <c r="S16" s="46">
        <v>2000000</v>
      </c>
      <c r="T16" s="19">
        <f>Таблица1[[#This Row],[Сумма 
Продажа]]-Таблица1[[#This Row],[Сумма 
Приход]]</f>
        <v>8208000</v>
      </c>
      <c r="U16" s="149" t="s">
        <v>90</v>
      </c>
    </row>
    <row r="17" spans="1:21" ht="14.25" x14ac:dyDescent="0.2">
      <c r="A17" s="50">
        <f t="shared" si="0"/>
        <v>14</v>
      </c>
      <c r="B17" s="17" t="s">
        <v>42</v>
      </c>
      <c r="C17" s="53" t="s">
        <v>73</v>
      </c>
      <c r="D17" s="53" t="s">
        <v>88</v>
      </c>
      <c r="E17" s="138">
        <v>46200</v>
      </c>
      <c r="F17" s="171" t="s">
        <v>85</v>
      </c>
      <c r="G17" s="23" t="s">
        <v>71</v>
      </c>
      <c r="H17" s="199">
        <v>32.832000000000001</v>
      </c>
      <c r="I17" s="23">
        <v>500000</v>
      </c>
      <c r="J17" s="19">
        <f>Таблица1[[#This Row],[Блок
 Куб]]*Таблица1[[#This Row],[Цена 
Приход]]</f>
        <v>16416000</v>
      </c>
      <c r="K17" s="25">
        <v>19</v>
      </c>
      <c r="L17" s="25">
        <v>130000</v>
      </c>
      <c r="M17" s="19">
        <f>Таблица1[[#This Row],[Поддон
Шт]]*Таблица1[[#This Row],[Цена
Поддон]]</f>
        <v>2470000</v>
      </c>
      <c r="N17" s="19">
        <f>Таблица1[[#This Row],[Сумма 
Приход]]+Таблица1[[#This Row],[Сумма Поддон]]</f>
        <v>18886000</v>
      </c>
      <c r="O17" s="20">
        <v>750000</v>
      </c>
      <c r="P17" s="19">
        <f>Таблица1[[#This Row],[Цена
 Продажа]]-Таблица1[[#This Row],[Цена 
Приход]]</f>
        <v>250000</v>
      </c>
      <c r="Q17" s="19" t="s">
        <v>53</v>
      </c>
      <c r="R17" s="19">
        <f>Таблица1[[#This Row],[Блок
 Куб]]*Таблица1[[#This Row],[Цена
 Продажа]]</f>
        <v>24624000</v>
      </c>
      <c r="S17" s="46">
        <v>2000000</v>
      </c>
      <c r="T17" s="19">
        <f>Таблица1[[#This Row],[Сумма 
Продажа]]-Таблица1[[#This Row],[Сумма 
Приход]]</f>
        <v>8208000</v>
      </c>
      <c r="U17" s="149" t="s">
        <v>90</v>
      </c>
    </row>
    <row r="18" spans="1:21" ht="14.25" x14ac:dyDescent="0.2">
      <c r="A18" s="50">
        <f t="shared" si="0"/>
        <v>15</v>
      </c>
      <c r="B18" s="17" t="s">
        <v>42</v>
      </c>
      <c r="C18" s="53" t="s">
        <v>73</v>
      </c>
      <c r="D18" s="53" t="s">
        <v>88</v>
      </c>
      <c r="E18" s="138">
        <v>46200</v>
      </c>
      <c r="F18" s="171" t="s">
        <v>86</v>
      </c>
      <c r="G18" s="23" t="s">
        <v>71</v>
      </c>
      <c r="H18" s="199">
        <v>32.832000000000001</v>
      </c>
      <c r="I18" s="23">
        <v>500000</v>
      </c>
      <c r="J18" s="19">
        <f>Таблица1[[#This Row],[Блок
 Куб]]*Таблица1[[#This Row],[Цена 
Приход]]</f>
        <v>16416000</v>
      </c>
      <c r="K18" s="25">
        <v>19</v>
      </c>
      <c r="L18" s="25">
        <v>130000</v>
      </c>
      <c r="M18" s="19">
        <f>Таблица1[[#This Row],[Поддон
Шт]]*Таблица1[[#This Row],[Цена
Поддон]]</f>
        <v>2470000</v>
      </c>
      <c r="N18" s="19">
        <f>Таблица1[[#This Row],[Сумма 
Приход]]+Таблица1[[#This Row],[Сумма Поддон]]</f>
        <v>18886000</v>
      </c>
      <c r="O18" s="20">
        <v>750000</v>
      </c>
      <c r="P18" s="19">
        <f>Таблица1[[#This Row],[Цена
 Продажа]]-Таблица1[[#This Row],[Цена 
Приход]]</f>
        <v>250000</v>
      </c>
      <c r="Q18" s="19" t="s">
        <v>53</v>
      </c>
      <c r="R18" s="19">
        <f>Таблица1[[#This Row],[Блок
 Куб]]*Таблица1[[#This Row],[Цена
 Продажа]]</f>
        <v>24624000</v>
      </c>
      <c r="S18" s="46">
        <v>2000000</v>
      </c>
      <c r="T18" s="19">
        <f>Таблица1[[#This Row],[Сумма 
Продажа]]-Таблица1[[#This Row],[Сумма 
Приход]]</f>
        <v>8208000</v>
      </c>
      <c r="U18" s="149" t="s">
        <v>90</v>
      </c>
    </row>
    <row r="19" spans="1:21" ht="14.25" x14ac:dyDescent="0.2">
      <c r="A19" s="50">
        <f t="shared" si="0"/>
        <v>16</v>
      </c>
      <c r="B19" s="17" t="s">
        <v>42</v>
      </c>
      <c r="C19" s="181" t="s">
        <v>91</v>
      </c>
      <c r="D19" s="181" t="s">
        <v>93</v>
      </c>
      <c r="E19" s="182">
        <v>46200</v>
      </c>
      <c r="F19" s="205" t="s">
        <v>94</v>
      </c>
      <c r="G19" s="23" t="s">
        <v>71</v>
      </c>
      <c r="H19" s="199">
        <v>32.832000000000001</v>
      </c>
      <c r="I19" s="23">
        <v>500000</v>
      </c>
      <c r="J19" s="19">
        <f>Таблица1[[#This Row],[Блок
 Куб]]*Таблица1[[#This Row],[Цена 
Приход]]</f>
        <v>16416000</v>
      </c>
      <c r="K19" s="25">
        <v>19</v>
      </c>
      <c r="L19" s="25">
        <v>130000</v>
      </c>
      <c r="M19" s="19">
        <f>Таблица1[[#This Row],[Поддон
Шт]]*Таблица1[[#This Row],[Цена
Поддон]]</f>
        <v>2470000</v>
      </c>
      <c r="N19" s="19">
        <f>Таблица1[[#This Row],[Сумма 
Приход]]+Таблица1[[#This Row],[Сумма Поддон]]</f>
        <v>18886000</v>
      </c>
      <c r="O19" s="20">
        <v>760000</v>
      </c>
      <c r="P19" s="19">
        <f>Таблица1[[#This Row],[Цена
 Продажа]]-Таблица1[[#This Row],[Цена 
Приход]]</f>
        <v>260000</v>
      </c>
      <c r="Q19" s="19" t="s">
        <v>53</v>
      </c>
      <c r="R19" s="19">
        <f>Таблица1[[#This Row],[Блок
 Куб]]*Таблица1[[#This Row],[Цена
 Продажа]]</f>
        <v>24952320</v>
      </c>
      <c r="S19" s="46">
        <v>2000000</v>
      </c>
      <c r="T19" s="19">
        <f>Таблица1[[#This Row],[Сумма 
Продажа]]-Таблица1[[#This Row],[Сумма 
Приход]]</f>
        <v>8536320</v>
      </c>
      <c r="U19" s="150" t="s">
        <v>90</v>
      </c>
    </row>
    <row r="20" spans="1:21" ht="14.25" x14ac:dyDescent="0.2">
      <c r="A20" s="50">
        <f t="shared" si="0"/>
        <v>17</v>
      </c>
      <c r="B20" s="17" t="s">
        <v>42</v>
      </c>
      <c r="C20" s="181" t="s">
        <v>91</v>
      </c>
      <c r="D20" s="181" t="s">
        <v>92</v>
      </c>
      <c r="E20" s="182">
        <v>46200</v>
      </c>
      <c r="F20" s="205" t="s">
        <v>49</v>
      </c>
      <c r="G20" s="23" t="s">
        <v>71</v>
      </c>
      <c r="H20" s="199">
        <v>32.832000000000001</v>
      </c>
      <c r="I20" s="23">
        <v>500000</v>
      </c>
      <c r="J20" s="19">
        <f>Таблица1[[#This Row],[Блок
 Куб]]*Таблица1[[#This Row],[Цена 
Приход]]</f>
        <v>16416000</v>
      </c>
      <c r="K20" s="25">
        <v>19</v>
      </c>
      <c r="L20" s="25">
        <v>130000</v>
      </c>
      <c r="M20" s="19">
        <f>Таблица1[[#This Row],[Поддон
Шт]]*Таблица1[[#This Row],[Цена
Поддон]]</f>
        <v>2470000</v>
      </c>
      <c r="N20" s="19">
        <f>Таблица1[[#This Row],[Сумма 
Приход]]+Таблица1[[#This Row],[Сумма Поддон]]</f>
        <v>18886000</v>
      </c>
      <c r="O20" s="20">
        <v>729928.1</v>
      </c>
      <c r="P20" s="19">
        <f>Таблица1[[#This Row],[Цена
 Продажа]]-Таблица1[[#This Row],[Цена 
Приход]]</f>
        <v>229928.09999999998</v>
      </c>
      <c r="Q20" s="19" t="s">
        <v>53</v>
      </c>
      <c r="R20" s="19">
        <f>Таблица1[[#This Row],[Блок
 Куб]]*Таблица1[[#This Row],[Цена
 Продажа]]</f>
        <v>23964999.3792</v>
      </c>
      <c r="S20" s="46">
        <v>2000000</v>
      </c>
      <c r="T20" s="19">
        <f>Таблица1[[#This Row],[Сумма 
Продажа]]-Таблица1[[#This Row],[Сумма 
Приход]]</f>
        <v>7548999.3792000003</v>
      </c>
      <c r="U20" s="150" t="s">
        <v>90</v>
      </c>
    </row>
    <row r="21" spans="1:21" ht="14.25" x14ac:dyDescent="0.2">
      <c r="A21" s="50">
        <f t="shared" si="0"/>
        <v>18</v>
      </c>
      <c r="B21" s="17" t="s">
        <v>42</v>
      </c>
      <c r="C21" s="181" t="s">
        <v>91</v>
      </c>
      <c r="D21" s="181" t="s">
        <v>93</v>
      </c>
      <c r="E21" s="182">
        <v>46201</v>
      </c>
      <c r="F21" s="205" t="s">
        <v>110</v>
      </c>
      <c r="G21" s="23" t="s">
        <v>71</v>
      </c>
      <c r="H21" s="199">
        <v>32.832000000000001</v>
      </c>
      <c r="I21" s="23">
        <v>500000</v>
      </c>
      <c r="J21" s="19">
        <f>Таблица1[[#This Row],[Блок
 Куб]]*Таблица1[[#This Row],[Цена 
Приход]]</f>
        <v>16416000</v>
      </c>
      <c r="K21" s="25">
        <v>19</v>
      </c>
      <c r="L21" s="25">
        <v>130000</v>
      </c>
      <c r="M21" s="19">
        <f>Таблица1[[#This Row],[Поддон
Шт]]*Таблица1[[#This Row],[Цена
Поддон]]</f>
        <v>2470000</v>
      </c>
      <c r="N21" s="19">
        <f>Таблица1[[#This Row],[Сумма 
Приход]]+Таблица1[[#This Row],[Сумма Поддон]]</f>
        <v>18886000</v>
      </c>
      <c r="O21" s="20">
        <v>760000</v>
      </c>
      <c r="P21" s="19">
        <f>Таблица1[[#This Row],[Цена
 Продажа]]-Таблица1[[#This Row],[Цена 
Приход]]</f>
        <v>260000</v>
      </c>
      <c r="Q21" s="19" t="s">
        <v>53</v>
      </c>
      <c r="R21" s="19">
        <f>Таблица1[[#This Row],[Блок
 Куб]]*Таблица1[[#This Row],[Цена
 Продажа]]</f>
        <v>24952320</v>
      </c>
      <c r="S21" s="46">
        <v>2000000</v>
      </c>
      <c r="T21" s="19">
        <f>Таблица1[[#This Row],[Сумма 
Продажа]]-Таблица1[[#This Row],[Сумма 
Приход]]</f>
        <v>8536320</v>
      </c>
      <c r="U21" s="150" t="s">
        <v>90</v>
      </c>
    </row>
    <row r="22" spans="1:21" ht="14.25" x14ac:dyDescent="0.2">
      <c r="A22" s="50">
        <f t="shared" si="0"/>
        <v>19</v>
      </c>
      <c r="B22" s="17" t="s">
        <v>42</v>
      </c>
      <c r="C22" s="53" t="s">
        <v>73</v>
      </c>
      <c r="D22" s="53" t="s">
        <v>117</v>
      </c>
      <c r="E22" s="138">
        <v>46203</v>
      </c>
      <c r="F22" s="207" t="s">
        <v>86</v>
      </c>
      <c r="G22" s="23" t="s">
        <v>71</v>
      </c>
      <c r="H22" s="199">
        <v>32.832000000000001</v>
      </c>
      <c r="I22" s="23">
        <v>500000</v>
      </c>
      <c r="J22" s="19">
        <f>Таблица1[[#This Row],[Блок
 Куб]]*Таблица1[[#This Row],[Цена 
Приход]]</f>
        <v>16416000</v>
      </c>
      <c r="K22" s="25">
        <v>19</v>
      </c>
      <c r="L22" s="25">
        <v>130000</v>
      </c>
      <c r="M22" s="19">
        <f>Таблица1[[#This Row],[Поддон
Шт]]*Таблица1[[#This Row],[Цена
Поддон]]</f>
        <v>2470000</v>
      </c>
      <c r="N22" s="19">
        <f>Таблица1[[#This Row],[Сумма 
Приход]]+Таблица1[[#This Row],[Сумма Поддон]]</f>
        <v>18886000</v>
      </c>
      <c r="O22" s="20">
        <v>730000</v>
      </c>
      <c r="P22" s="19">
        <f>Таблица1[[#This Row],[Цена
 Продажа]]-Таблица1[[#This Row],[Цена 
Приход]]</f>
        <v>230000</v>
      </c>
      <c r="Q22" s="19" t="s">
        <v>53</v>
      </c>
      <c r="R22" s="19">
        <f>Таблица1[[#This Row],[Блок
 Куб]]*Таблица1[[#This Row],[Цена
 Продажа]]</f>
        <v>23967360</v>
      </c>
      <c r="S22" s="46">
        <v>2000000</v>
      </c>
      <c r="T22" s="19">
        <f>Таблица1[[#This Row],[Сумма 
Продажа]]-Таблица1[[#This Row],[Сумма 
Приход]]</f>
        <v>7551360</v>
      </c>
      <c r="U22" s="150" t="s">
        <v>90</v>
      </c>
    </row>
    <row r="23" spans="1:21" ht="14.25" x14ac:dyDescent="0.2">
      <c r="A23" s="50">
        <f t="shared" si="0"/>
        <v>20</v>
      </c>
      <c r="B23" s="17" t="s">
        <v>42</v>
      </c>
      <c r="C23" s="53" t="s">
        <v>73</v>
      </c>
      <c r="D23" s="53" t="s">
        <v>117</v>
      </c>
      <c r="E23" s="138">
        <v>46203</v>
      </c>
      <c r="F23" s="207" t="s">
        <v>119</v>
      </c>
      <c r="G23" s="23" t="s">
        <v>71</v>
      </c>
      <c r="H23" s="199">
        <v>32.832000000000001</v>
      </c>
      <c r="I23" s="23">
        <v>500000</v>
      </c>
      <c r="J23" s="19">
        <f>Таблица1[[#This Row],[Блок
 Куб]]*Таблица1[[#This Row],[Цена 
Приход]]</f>
        <v>16416000</v>
      </c>
      <c r="K23" s="25">
        <v>19</v>
      </c>
      <c r="L23" s="25">
        <v>130000</v>
      </c>
      <c r="M23" s="19">
        <f>Таблица1[[#This Row],[Поддон
Шт]]*Таблица1[[#This Row],[Цена
Поддон]]</f>
        <v>2470000</v>
      </c>
      <c r="N23" s="19">
        <f>Таблица1[[#This Row],[Сумма 
Приход]]+Таблица1[[#This Row],[Сумма Поддон]]</f>
        <v>18886000</v>
      </c>
      <c r="O23" s="20">
        <v>730000</v>
      </c>
      <c r="P23" s="19">
        <f>Таблица1[[#This Row],[Цена
 Продажа]]-Таблица1[[#This Row],[Цена 
Приход]]</f>
        <v>230000</v>
      </c>
      <c r="Q23" s="19" t="s">
        <v>53</v>
      </c>
      <c r="R23" s="19">
        <f>Таблица1[[#This Row],[Блок
 Куб]]*Таблица1[[#This Row],[Цена
 Продажа]]</f>
        <v>23967360</v>
      </c>
      <c r="S23" s="46">
        <v>2000000</v>
      </c>
      <c r="T23" s="19">
        <f>Таблица1[[#This Row],[Сумма 
Продажа]]-Таблица1[[#This Row],[Сумма 
Приход]]</f>
        <v>7551360</v>
      </c>
      <c r="U23" s="150" t="s">
        <v>90</v>
      </c>
    </row>
    <row r="24" spans="1:21" ht="14.25" x14ac:dyDescent="0.2">
      <c r="A24" s="50">
        <f t="shared" si="0"/>
        <v>21</v>
      </c>
      <c r="B24" s="17" t="s">
        <v>42</v>
      </c>
      <c r="C24" s="54" t="s">
        <v>74</v>
      </c>
      <c r="D24" s="54" t="s">
        <v>129</v>
      </c>
      <c r="E24" s="137">
        <v>46203</v>
      </c>
      <c r="F24" s="206" t="s">
        <v>127</v>
      </c>
      <c r="G24" s="23" t="s">
        <v>71</v>
      </c>
      <c r="H24" s="199">
        <v>32.832000000000001</v>
      </c>
      <c r="I24" s="23">
        <v>500000</v>
      </c>
      <c r="J24" s="19">
        <f>Таблица1[[#This Row],[Блок
 Куб]]*Таблица1[[#This Row],[Цена 
Приход]]</f>
        <v>16416000</v>
      </c>
      <c r="K24" s="25">
        <v>19</v>
      </c>
      <c r="L24" s="25">
        <v>130000</v>
      </c>
      <c r="M24" s="19">
        <f>Таблица1[[#This Row],[Поддон
Шт]]*Таблица1[[#This Row],[Цена
Поддон]]</f>
        <v>2470000</v>
      </c>
      <c r="N24" s="19">
        <f>Таблица1[[#This Row],[Сумма 
Приход]]+Таблица1[[#This Row],[Сумма Поддон]]</f>
        <v>18886000</v>
      </c>
      <c r="O24" s="20">
        <v>735000</v>
      </c>
      <c r="P24" s="19">
        <f>Таблица1[[#This Row],[Цена
 Продажа]]-Таблица1[[#This Row],[Цена 
Приход]]</f>
        <v>235000</v>
      </c>
      <c r="Q24" s="19" t="s">
        <v>53</v>
      </c>
      <c r="R24" s="19">
        <f>Таблица1[[#This Row],[Блок
 Куб]]*Таблица1[[#This Row],[Цена
 Продажа]]</f>
        <v>24131520</v>
      </c>
      <c r="S24" s="46">
        <v>2000000</v>
      </c>
      <c r="T24" s="19">
        <f>Таблица1[[#This Row],[Сумма 
Продажа]]-Таблица1[[#This Row],[Сумма 
Приход]]</f>
        <v>7715520</v>
      </c>
      <c r="U24" s="150" t="s">
        <v>90</v>
      </c>
    </row>
    <row r="25" spans="1:21" ht="14.25" x14ac:dyDescent="0.2">
      <c r="A25" s="50">
        <f t="shared" si="0"/>
        <v>22</v>
      </c>
      <c r="B25" s="17" t="s">
        <v>42</v>
      </c>
      <c r="C25" s="54" t="s">
        <v>74</v>
      </c>
      <c r="D25" s="54" t="s">
        <v>126</v>
      </c>
      <c r="E25" s="137">
        <v>46204</v>
      </c>
      <c r="F25" s="206" t="s">
        <v>128</v>
      </c>
      <c r="G25" s="23" t="s">
        <v>71</v>
      </c>
      <c r="H25" s="199">
        <v>32.832000000000001</v>
      </c>
      <c r="I25" s="23">
        <v>500000</v>
      </c>
      <c r="J25" s="19">
        <f>Таблица1[[#This Row],[Блок
 Куб]]*Таблица1[[#This Row],[Цена 
Приход]]</f>
        <v>16416000</v>
      </c>
      <c r="K25" s="25">
        <v>19</v>
      </c>
      <c r="L25" s="25">
        <v>130000</v>
      </c>
      <c r="M25" s="19">
        <f>Таблица1[[#This Row],[Поддон
Шт]]*Таблица1[[#This Row],[Цена
Поддон]]</f>
        <v>2470000</v>
      </c>
      <c r="N25" s="19">
        <f>Таблица1[[#This Row],[Сумма 
Приход]]+Таблица1[[#This Row],[Сумма Поддон]]</f>
        <v>18886000</v>
      </c>
      <c r="O25" s="20">
        <v>730000</v>
      </c>
      <c r="P25" s="19">
        <f>Таблица1[[#This Row],[Цена
 Продажа]]-Таблица1[[#This Row],[Цена 
Приход]]</f>
        <v>230000</v>
      </c>
      <c r="Q25" s="19" t="s">
        <v>53</v>
      </c>
      <c r="R25" s="19">
        <f>Таблица1[[#This Row],[Блок
 Куб]]*Таблица1[[#This Row],[Цена
 Продажа]]</f>
        <v>23967360</v>
      </c>
      <c r="S25" s="46">
        <v>2000000</v>
      </c>
      <c r="T25" s="19">
        <f>Таблица1[[#This Row],[Сумма 
Продажа]]-Таблица1[[#This Row],[Сумма 
Приход]]</f>
        <v>7551360</v>
      </c>
      <c r="U25" s="150" t="s">
        <v>90</v>
      </c>
    </row>
    <row r="26" spans="1:21" ht="14.25" x14ac:dyDescent="0.2">
      <c r="A26" s="50">
        <f>A25+1</f>
        <v>23</v>
      </c>
      <c r="B26" s="17" t="s">
        <v>42</v>
      </c>
      <c r="C26" s="54" t="s">
        <v>74</v>
      </c>
      <c r="D26" s="54" t="s">
        <v>139</v>
      </c>
      <c r="E26" s="137">
        <v>46204</v>
      </c>
      <c r="F26" s="206" t="s">
        <v>131</v>
      </c>
      <c r="G26" s="23" t="s">
        <v>71</v>
      </c>
      <c r="H26" s="199">
        <v>32.832000000000001</v>
      </c>
      <c r="I26" s="23">
        <v>500000</v>
      </c>
      <c r="J26" s="19">
        <f>Таблица1[[#This Row],[Блок
 Куб]]*Таблица1[[#This Row],[Цена 
Приход]]</f>
        <v>16416000</v>
      </c>
      <c r="K26" s="25">
        <v>19</v>
      </c>
      <c r="L26" s="25">
        <v>130000</v>
      </c>
      <c r="M26" s="19">
        <f>Таблица1[[#This Row],[Поддон
Шт]]*Таблица1[[#This Row],[Цена
Поддон]]</f>
        <v>2470000</v>
      </c>
      <c r="N26" s="19">
        <f>Таблица1[[#This Row],[Сумма 
Приход]]+Таблица1[[#This Row],[Сумма Поддон]]</f>
        <v>18886000</v>
      </c>
      <c r="O26" s="20">
        <v>730000</v>
      </c>
      <c r="P26" s="19">
        <f>Таблица1[[#This Row],[Цена
 Продажа]]-Таблица1[[#This Row],[Цена 
Приход]]</f>
        <v>230000</v>
      </c>
      <c r="Q26" s="19" t="s">
        <v>53</v>
      </c>
      <c r="R26" s="19">
        <f>Таблица1[[#This Row],[Блок
 Куб]]*Таблица1[[#This Row],[Цена
 Продажа]]</f>
        <v>23967360</v>
      </c>
      <c r="S26" s="46">
        <v>2500000</v>
      </c>
      <c r="T26" s="19">
        <f>Таблица1[[#This Row],[Сумма 
Продажа]]-Таблица1[[#This Row],[Сумма 
Приход]]</f>
        <v>7551360</v>
      </c>
      <c r="U26" s="150" t="s">
        <v>90</v>
      </c>
    </row>
    <row r="27" spans="1:21" ht="14.25" x14ac:dyDescent="0.2">
      <c r="A27" s="50">
        <f t="shared" si="0"/>
        <v>24</v>
      </c>
      <c r="B27" s="17" t="s">
        <v>42</v>
      </c>
      <c r="C27" s="52" t="s">
        <v>89</v>
      </c>
      <c r="D27" s="52" t="s">
        <v>72</v>
      </c>
      <c r="E27" s="139">
        <v>46204</v>
      </c>
      <c r="F27" s="208" t="s">
        <v>132</v>
      </c>
      <c r="G27" s="23" t="s">
        <v>71</v>
      </c>
      <c r="H27" s="199">
        <v>32.832000000000001</v>
      </c>
      <c r="I27" s="23">
        <v>500000</v>
      </c>
      <c r="J27" s="19">
        <f>Таблица1[[#This Row],[Блок
 Куб]]*Таблица1[[#This Row],[Цена 
Приход]]</f>
        <v>16416000</v>
      </c>
      <c r="K27" s="25">
        <v>19</v>
      </c>
      <c r="L27" s="25">
        <v>130000</v>
      </c>
      <c r="M27" s="19">
        <f>Таблица1[[#This Row],[Поддон
Шт]]*Таблица1[[#This Row],[Цена
Поддон]]</f>
        <v>2470000</v>
      </c>
      <c r="N27" s="19">
        <f>Таблица1[[#This Row],[Сумма 
Приход]]+Таблица1[[#This Row],[Сумма Поддон]]</f>
        <v>18886000</v>
      </c>
      <c r="O27" s="20">
        <v>750000</v>
      </c>
      <c r="P27" s="19">
        <f>Таблица1[[#This Row],[Цена
 Продажа]]-Таблица1[[#This Row],[Цена 
Приход]]</f>
        <v>250000</v>
      </c>
      <c r="Q27" s="19" t="s">
        <v>53</v>
      </c>
      <c r="R27" s="19">
        <f>Таблица1[[#This Row],[Блок
 Куб]]*Таблица1[[#This Row],[Цена
 Продажа]]</f>
        <v>24624000</v>
      </c>
      <c r="S27" s="46">
        <v>2500000</v>
      </c>
      <c r="T27" s="19">
        <f>Таблица1[[#This Row],[Сумма 
Продажа]]-Таблица1[[#This Row],[Сумма 
Приход]]</f>
        <v>8208000</v>
      </c>
      <c r="U27" s="150" t="s">
        <v>90</v>
      </c>
    </row>
    <row r="28" spans="1:21" ht="14.25" x14ac:dyDescent="0.2">
      <c r="A28" s="50">
        <f t="shared" si="0"/>
        <v>25</v>
      </c>
      <c r="B28" s="17" t="s">
        <v>42</v>
      </c>
      <c r="C28" s="53" t="s">
        <v>73</v>
      </c>
      <c r="D28" s="53" t="s">
        <v>88</v>
      </c>
      <c r="E28" s="138">
        <v>46204</v>
      </c>
      <c r="F28" s="207" t="s">
        <v>133</v>
      </c>
      <c r="G28" s="23" t="s">
        <v>71</v>
      </c>
      <c r="H28" s="199">
        <v>32.832000000000001</v>
      </c>
      <c r="I28" s="23">
        <v>500000</v>
      </c>
      <c r="J28" s="19">
        <f>Таблица1[[#This Row],[Блок
 Куб]]*Таблица1[[#This Row],[Цена 
Приход]]</f>
        <v>16416000</v>
      </c>
      <c r="K28" s="25">
        <v>19</v>
      </c>
      <c r="L28" s="25">
        <v>130000</v>
      </c>
      <c r="M28" s="19">
        <f>Таблица1[[#This Row],[Поддон
Шт]]*Таблица1[[#This Row],[Цена
Поддон]]</f>
        <v>2470000</v>
      </c>
      <c r="N28" s="19">
        <f>Таблица1[[#This Row],[Сумма 
Приход]]+Таблица1[[#This Row],[Сумма Поддон]]</f>
        <v>18886000</v>
      </c>
      <c r="O28" s="20">
        <v>750000</v>
      </c>
      <c r="P28" s="19">
        <f>Таблица1[[#This Row],[Цена
 Продажа]]-Таблица1[[#This Row],[Цена 
Приход]]</f>
        <v>250000</v>
      </c>
      <c r="Q28" s="19" t="s">
        <v>53</v>
      </c>
      <c r="R28" s="19">
        <f>Таблица1[[#This Row],[Блок
 Куб]]*Таблица1[[#This Row],[Цена
 Продажа]]</f>
        <v>24624000</v>
      </c>
      <c r="S28" s="46">
        <v>2500000</v>
      </c>
      <c r="T28" s="19">
        <f>Таблица1[[#This Row],[Сумма 
Продажа]]-Таблица1[[#This Row],[Сумма 
Приход]]</f>
        <v>8208000</v>
      </c>
      <c r="U28" s="150" t="s">
        <v>90</v>
      </c>
    </row>
    <row r="29" spans="1:21" ht="14.25" x14ac:dyDescent="0.2">
      <c r="A29" s="50">
        <f t="shared" si="0"/>
        <v>26</v>
      </c>
      <c r="B29" s="17" t="s">
        <v>42</v>
      </c>
      <c r="C29" s="52" t="s">
        <v>89</v>
      </c>
      <c r="D29" s="52" t="s">
        <v>72</v>
      </c>
      <c r="E29" s="139">
        <v>46204</v>
      </c>
      <c r="F29" s="208" t="s">
        <v>134</v>
      </c>
      <c r="G29" s="23" t="s">
        <v>83</v>
      </c>
      <c r="H29" s="199">
        <v>32.832000000000001</v>
      </c>
      <c r="I29" s="23">
        <v>500000</v>
      </c>
      <c r="J29" s="19">
        <f>Таблица1[[#This Row],[Блок
 Куб]]*Таблица1[[#This Row],[Цена 
Приход]]</f>
        <v>16416000</v>
      </c>
      <c r="K29" s="25">
        <v>19</v>
      </c>
      <c r="L29" s="25">
        <v>130000</v>
      </c>
      <c r="M29" s="19">
        <f>Таблица1[[#This Row],[Поддон
Шт]]*Таблица1[[#This Row],[Цена
Поддон]]</f>
        <v>2470000</v>
      </c>
      <c r="N29" s="19">
        <f>Таблица1[[#This Row],[Сумма 
Приход]]+Таблица1[[#This Row],[Сумма Поддон]]</f>
        <v>18886000</v>
      </c>
      <c r="O29" s="20">
        <v>750000</v>
      </c>
      <c r="P29" s="19">
        <f>Таблица1[[#This Row],[Цена
 Продажа]]-Таблица1[[#This Row],[Цена 
Приход]]</f>
        <v>250000</v>
      </c>
      <c r="Q29" s="19" t="s">
        <v>53</v>
      </c>
      <c r="R29" s="19">
        <f>Таблица1[[#This Row],[Блок
 Куб]]*Таблица1[[#This Row],[Цена
 Продажа]]</f>
        <v>24624000</v>
      </c>
      <c r="S29" s="46">
        <v>2550000</v>
      </c>
      <c r="T29" s="19">
        <f>Таблица1[[#This Row],[Сумма 
Продажа]]-Таблица1[[#This Row],[Сумма 
Приход]]</f>
        <v>8208000</v>
      </c>
      <c r="U29" s="150" t="s">
        <v>90</v>
      </c>
    </row>
    <row r="30" spans="1:21" ht="14.25" x14ac:dyDescent="0.2">
      <c r="A30" s="50">
        <f>A29+1</f>
        <v>27</v>
      </c>
      <c r="B30" s="17" t="s">
        <v>42</v>
      </c>
      <c r="C30" s="52" t="s">
        <v>89</v>
      </c>
      <c r="D30" s="52" t="s">
        <v>72</v>
      </c>
      <c r="E30" s="139">
        <v>46204</v>
      </c>
      <c r="F30" s="208" t="s">
        <v>136</v>
      </c>
      <c r="G30" s="23" t="s">
        <v>83</v>
      </c>
      <c r="H30" s="199">
        <v>32.832000000000001</v>
      </c>
      <c r="I30" s="23">
        <v>500000</v>
      </c>
      <c r="J30" s="19">
        <f>Таблица1[[#This Row],[Блок
 Куб]]*Таблица1[[#This Row],[Цена 
Приход]]</f>
        <v>16416000</v>
      </c>
      <c r="K30" s="25">
        <v>19</v>
      </c>
      <c r="L30" s="25">
        <v>130000</v>
      </c>
      <c r="M30" s="19">
        <f>Таблица1[[#This Row],[Поддон
Шт]]*Таблица1[[#This Row],[Цена
Поддон]]</f>
        <v>2470000</v>
      </c>
      <c r="N30" s="19">
        <f>Таблица1[[#This Row],[Сумма 
Приход]]+Таблица1[[#This Row],[Сумма Поддон]]</f>
        <v>18886000</v>
      </c>
      <c r="O30" s="20">
        <v>750000</v>
      </c>
      <c r="P30" s="19">
        <f>Таблица1[[#This Row],[Цена
 Продажа]]-Таблица1[[#This Row],[Цена 
Приход]]</f>
        <v>250000</v>
      </c>
      <c r="Q30" s="19" t="s">
        <v>53</v>
      </c>
      <c r="R30" s="19">
        <f>Таблица1[[#This Row],[Блок
 Куб]]*Таблица1[[#This Row],[Цена
 Продажа]]</f>
        <v>24624000</v>
      </c>
      <c r="S30" s="46">
        <v>2550000</v>
      </c>
      <c r="T30" s="19">
        <f>Таблица1[[#This Row],[Сумма 
Продажа]]-Таблица1[[#This Row],[Сумма 
Приход]]</f>
        <v>8208000</v>
      </c>
      <c r="U30" s="150" t="s">
        <v>90</v>
      </c>
    </row>
    <row r="31" spans="1:21" ht="14.25" x14ac:dyDescent="0.2">
      <c r="A31" s="50">
        <f>A30+1</f>
        <v>28</v>
      </c>
      <c r="B31" s="17" t="s">
        <v>42</v>
      </c>
      <c r="C31" s="54" t="s">
        <v>74</v>
      </c>
      <c r="D31" s="54" t="s">
        <v>126</v>
      </c>
      <c r="E31" s="137">
        <v>46205</v>
      </c>
      <c r="F31" s="206" t="s">
        <v>138</v>
      </c>
      <c r="G31" s="23" t="s">
        <v>83</v>
      </c>
      <c r="H31" s="199">
        <v>32.832000000000001</v>
      </c>
      <c r="I31" s="23">
        <v>625000</v>
      </c>
      <c r="J31" s="19">
        <f>Таблица1[[#This Row],[Блок
 Куб]]*Таблица1[[#This Row],[Цена 
Приход]]</f>
        <v>20520000</v>
      </c>
      <c r="K31" s="25">
        <v>19</v>
      </c>
      <c r="L31" s="25">
        <v>130000</v>
      </c>
      <c r="M31" s="19">
        <f>Таблица1[[#This Row],[Поддон
Шт]]*Таблица1[[#This Row],[Цена
Поддон]]</f>
        <v>2470000</v>
      </c>
      <c r="N31" s="19">
        <f>Таблица1[[#This Row],[Сумма 
Приход]]+Таблица1[[#This Row],[Сумма Поддон]]</f>
        <v>22990000</v>
      </c>
      <c r="O31" s="20">
        <v>730000</v>
      </c>
      <c r="P31" s="19">
        <f>Таблица1[[#This Row],[Цена
 Продажа]]-Таблица1[[#This Row],[Цена 
Приход]]</f>
        <v>105000</v>
      </c>
      <c r="Q31" s="19" t="s">
        <v>53</v>
      </c>
      <c r="R31" s="19">
        <f>Таблица1[[#This Row],[Блок
 Куб]]*Таблица1[[#This Row],[Цена
 Продажа]]</f>
        <v>23967360</v>
      </c>
      <c r="S31" s="20">
        <v>2000000</v>
      </c>
      <c r="T31" s="19">
        <f>Таблица1[[#This Row],[Сумма 
Продажа]]-Таблица1[[#This Row],[Сумма 
Приход]]</f>
        <v>3447360</v>
      </c>
      <c r="U31" s="152">
        <v>46206</v>
      </c>
    </row>
    <row r="32" spans="1:21" ht="14.25" x14ac:dyDescent="0.2">
      <c r="A32" s="50">
        <f t="shared" si="0"/>
        <v>29</v>
      </c>
      <c r="B32" s="17" t="s">
        <v>42</v>
      </c>
      <c r="C32" s="54" t="s">
        <v>74</v>
      </c>
      <c r="D32" s="54" t="s">
        <v>80</v>
      </c>
      <c r="E32" s="137">
        <v>46206</v>
      </c>
      <c r="F32" s="210" t="s">
        <v>150</v>
      </c>
      <c r="G32" s="23" t="s">
        <v>71</v>
      </c>
      <c r="H32" s="199">
        <v>32.832000000000001</v>
      </c>
      <c r="I32" s="23">
        <v>625000</v>
      </c>
      <c r="J32" s="19">
        <f>Таблица1[[#This Row],[Блок
 Куб]]*Таблица1[[#This Row],[Цена 
Приход]]</f>
        <v>20520000</v>
      </c>
      <c r="K32" s="25">
        <v>19</v>
      </c>
      <c r="L32" s="25">
        <v>130000</v>
      </c>
      <c r="M32" s="19">
        <f>Таблица1[[#This Row],[Поддон
Шт]]*Таблица1[[#This Row],[Цена
Поддон]]</f>
        <v>2470000</v>
      </c>
      <c r="N32" s="19">
        <f>Таблица1[[#This Row],[Сумма 
Приход]]+Таблица1[[#This Row],[Сумма Поддон]]</f>
        <v>22990000</v>
      </c>
      <c r="O32" s="20">
        <v>700000</v>
      </c>
      <c r="P32" s="19">
        <f>Таблица1[[#This Row],[Цена
 Продажа]]-Таблица1[[#This Row],[Цена 
Приход]]</f>
        <v>75000</v>
      </c>
      <c r="Q32" s="19" t="s">
        <v>53</v>
      </c>
      <c r="R32" s="19">
        <f>Таблица1[[#This Row],[Блок
 Куб]]*Таблица1[[#This Row],[Цена
 Продажа]]</f>
        <v>22982400</v>
      </c>
      <c r="S32" s="20">
        <v>2000000</v>
      </c>
      <c r="T32" s="19">
        <f>Таблица1[[#This Row],[Сумма 
Продажа]]-Таблица1[[#This Row],[Сумма 
Приход]]</f>
        <v>2462400</v>
      </c>
      <c r="U32" s="152">
        <v>46207</v>
      </c>
    </row>
    <row r="33" spans="1:21" ht="14.25" x14ac:dyDescent="0.2">
      <c r="A33" s="50">
        <f t="shared" si="0"/>
        <v>30</v>
      </c>
      <c r="B33" s="17" t="s">
        <v>42</v>
      </c>
      <c r="C33" s="54" t="s">
        <v>74</v>
      </c>
      <c r="D33" s="54" t="s">
        <v>80</v>
      </c>
      <c r="E33" s="137">
        <v>46206</v>
      </c>
      <c r="F33" s="210" t="s">
        <v>151</v>
      </c>
      <c r="G33" s="23" t="s">
        <v>71</v>
      </c>
      <c r="H33" s="199">
        <v>32.832000000000001</v>
      </c>
      <c r="I33" s="23">
        <v>625000</v>
      </c>
      <c r="J33" s="19">
        <f>Таблица1[[#This Row],[Блок
 Куб]]*Таблица1[[#This Row],[Цена 
Приход]]</f>
        <v>20520000</v>
      </c>
      <c r="K33" s="25">
        <v>19</v>
      </c>
      <c r="L33" s="25">
        <v>130000</v>
      </c>
      <c r="M33" s="19">
        <f>Таблица1[[#This Row],[Поддон
Шт]]*Таблица1[[#This Row],[Цена
Поддон]]</f>
        <v>2470000</v>
      </c>
      <c r="N33" s="19">
        <f>Таблица1[[#This Row],[Сумма 
Приход]]+Таблица1[[#This Row],[Сумма Поддон]]</f>
        <v>22990000</v>
      </c>
      <c r="O33" s="20">
        <v>700000</v>
      </c>
      <c r="P33" s="19">
        <f>Таблица1[[#This Row],[Цена
 Продажа]]-Таблица1[[#This Row],[Цена 
Приход]]</f>
        <v>75000</v>
      </c>
      <c r="Q33" s="19" t="s">
        <v>53</v>
      </c>
      <c r="R33" s="19">
        <f>Таблица1[[#This Row],[Блок
 Куб]]*Таблица1[[#This Row],[Цена
 Продажа]]</f>
        <v>22982400</v>
      </c>
      <c r="S33" s="20"/>
      <c r="T33" s="19">
        <f>Таблица1[[#This Row],[Сумма 
Продажа]]-Таблица1[[#This Row],[Сумма 
Приход]]</f>
        <v>2462400</v>
      </c>
      <c r="U33" s="150"/>
    </row>
    <row r="34" spans="1:21" ht="14.25" x14ac:dyDescent="0.2">
      <c r="A34" s="50">
        <f t="shared" si="0"/>
        <v>31</v>
      </c>
      <c r="B34" s="17" t="s">
        <v>42</v>
      </c>
      <c r="C34" s="181" t="s">
        <v>91</v>
      </c>
      <c r="D34" s="181" t="s">
        <v>92</v>
      </c>
      <c r="E34" s="182">
        <v>46206</v>
      </c>
      <c r="F34" s="209" t="s">
        <v>134</v>
      </c>
      <c r="G34" s="23" t="s">
        <v>71</v>
      </c>
      <c r="H34" s="199">
        <v>32.832000000000001</v>
      </c>
      <c r="I34" s="23">
        <v>625000</v>
      </c>
      <c r="J34" s="19">
        <f>Таблица1[[#This Row],[Блок
 Куб]]*Таблица1[[#This Row],[Цена 
Приход]]</f>
        <v>20520000</v>
      </c>
      <c r="K34" s="25">
        <v>19</v>
      </c>
      <c r="L34" s="25">
        <v>130000</v>
      </c>
      <c r="M34" s="19">
        <f>Таблица1[[#This Row],[Поддон
Шт]]*Таблица1[[#This Row],[Цена
Поддон]]</f>
        <v>2470000</v>
      </c>
      <c r="N34" s="19">
        <f>Таблица1[[#This Row],[Сумма 
Приход]]+Таблица1[[#This Row],[Сумма Поддон]]</f>
        <v>22990000</v>
      </c>
      <c r="O34" s="20">
        <v>700000</v>
      </c>
      <c r="P34" s="19">
        <f>Таблица1[[#This Row],[Цена
 Продажа]]-Таблица1[[#This Row],[Цена 
Приход]]</f>
        <v>75000</v>
      </c>
      <c r="Q34" s="19" t="s">
        <v>53</v>
      </c>
      <c r="R34" s="19">
        <f>Таблица1[[#This Row],[Блок
 Куб]]*Таблица1[[#This Row],[Цена
 Продажа]]</f>
        <v>22982400</v>
      </c>
      <c r="S34" s="20">
        <v>2000000</v>
      </c>
      <c r="T34" s="19">
        <f>Таблица1[[#This Row],[Сумма 
Продажа]]-Таблица1[[#This Row],[Сумма 
Приход]]</f>
        <v>2462400</v>
      </c>
      <c r="U34" s="152">
        <v>46206</v>
      </c>
    </row>
    <row r="35" spans="1:21" ht="14.25" x14ac:dyDescent="0.2">
      <c r="A35" s="50">
        <f t="shared" si="0"/>
        <v>32</v>
      </c>
      <c r="B35" s="17" t="s">
        <v>42</v>
      </c>
      <c r="C35" s="53" t="s">
        <v>73</v>
      </c>
      <c r="D35" s="53" t="s">
        <v>88</v>
      </c>
      <c r="E35" s="138">
        <v>46206</v>
      </c>
      <c r="F35" s="207" t="s">
        <v>153</v>
      </c>
      <c r="G35" s="23" t="s">
        <v>71</v>
      </c>
      <c r="H35" s="199">
        <v>32.832000000000001</v>
      </c>
      <c r="I35" s="23">
        <v>625000</v>
      </c>
      <c r="J35" s="19">
        <f>Таблица1[[#This Row],[Блок
 Куб]]*Таблица1[[#This Row],[Цена 
Приход]]</f>
        <v>20520000</v>
      </c>
      <c r="K35" s="25">
        <v>19</v>
      </c>
      <c r="L35" s="25">
        <v>130000</v>
      </c>
      <c r="M35" s="19">
        <f>Таблица1[[#This Row],[Поддон
Шт]]*Таблица1[[#This Row],[Цена
Поддон]]</f>
        <v>2470000</v>
      </c>
      <c r="N35" s="19">
        <f>Таблица1[[#This Row],[Сумма 
Приход]]+Таблица1[[#This Row],[Сумма Поддон]]</f>
        <v>22990000</v>
      </c>
      <c r="O35" s="20">
        <v>700000</v>
      </c>
      <c r="P35" s="19">
        <f>Таблица1[[#This Row],[Цена
 Продажа]]-Таблица1[[#This Row],[Цена 
Приход]]</f>
        <v>75000</v>
      </c>
      <c r="Q35" s="19" t="s">
        <v>53</v>
      </c>
      <c r="R35" s="19">
        <f>Таблица1[[#This Row],[Блок
 Куб]]*Таблица1[[#This Row],[Цена
 Продажа]]</f>
        <v>22982400</v>
      </c>
      <c r="S35" s="20" t="s">
        <v>159</v>
      </c>
      <c r="T35" s="19">
        <f>Таблица1[[#This Row],[Сумма 
Продажа]]-Таблица1[[#This Row],[Сумма 
Приход]]</f>
        <v>2462400</v>
      </c>
      <c r="U35" s="150"/>
    </row>
    <row r="36" spans="1:21" ht="14.25" x14ac:dyDescent="0.2">
      <c r="A36" s="50">
        <f t="shared" si="0"/>
        <v>33</v>
      </c>
      <c r="B36" s="17" t="s">
        <v>42</v>
      </c>
      <c r="C36" s="181" t="s">
        <v>91</v>
      </c>
      <c r="D36" s="181" t="s">
        <v>92</v>
      </c>
      <c r="E36" s="182">
        <v>46206</v>
      </c>
      <c r="F36" s="209" t="s">
        <v>154</v>
      </c>
      <c r="G36" s="23" t="s">
        <v>71</v>
      </c>
      <c r="H36" s="199">
        <v>32.832000000000001</v>
      </c>
      <c r="I36" s="23">
        <v>625000</v>
      </c>
      <c r="J36" s="19">
        <f>Таблица1[[#This Row],[Блок
 Куб]]*Таблица1[[#This Row],[Цена 
Приход]]</f>
        <v>20520000</v>
      </c>
      <c r="K36" s="25">
        <v>19</v>
      </c>
      <c r="L36" s="25">
        <v>130000</v>
      </c>
      <c r="M36" s="19">
        <f>Таблица1[[#This Row],[Поддон
Шт]]*Таблица1[[#This Row],[Цена
Поддон]]</f>
        <v>2470000</v>
      </c>
      <c r="N36" s="19">
        <f>Таблица1[[#This Row],[Сумма 
Приход]]+Таблица1[[#This Row],[Сумма Поддон]]</f>
        <v>22990000</v>
      </c>
      <c r="O36" s="20">
        <v>700000</v>
      </c>
      <c r="P36" s="19">
        <f>Таблица1[[#This Row],[Цена
 Продажа]]-Таблица1[[#This Row],[Цена 
Приход]]</f>
        <v>75000</v>
      </c>
      <c r="Q36" s="19" t="s">
        <v>53</v>
      </c>
      <c r="R36" s="19">
        <f>Таблица1[[#This Row],[Блок
 Куб]]*Таблица1[[#This Row],[Цена
 Продажа]]</f>
        <v>22982400</v>
      </c>
      <c r="S36" s="20">
        <v>2000000</v>
      </c>
      <c r="T36" s="19">
        <f>Таблица1[[#This Row],[Сумма 
Продажа]]-Таблица1[[#This Row],[Сумма 
Приход]]</f>
        <v>2462400</v>
      </c>
      <c r="U36" s="152">
        <v>46207</v>
      </c>
    </row>
    <row r="37" spans="1:21" ht="14.25" x14ac:dyDescent="0.2">
      <c r="A37" s="50">
        <f t="shared" si="0"/>
        <v>34</v>
      </c>
      <c r="B37" s="17" t="s">
        <v>42</v>
      </c>
      <c r="C37" s="54" t="s">
        <v>74</v>
      </c>
      <c r="D37" s="54" t="s">
        <v>80</v>
      </c>
      <c r="E37" s="137">
        <v>46206</v>
      </c>
      <c r="F37" s="210" t="s">
        <v>157</v>
      </c>
      <c r="G37" s="23" t="s">
        <v>71</v>
      </c>
      <c r="H37" s="199">
        <v>32.832000000000001</v>
      </c>
      <c r="I37" s="23">
        <v>625000</v>
      </c>
      <c r="J37" s="19">
        <f>Таблица1[[#This Row],[Блок
 Куб]]*Таблица1[[#This Row],[Цена 
Приход]]</f>
        <v>20520000</v>
      </c>
      <c r="K37" s="25">
        <v>19</v>
      </c>
      <c r="L37" s="25">
        <v>130000</v>
      </c>
      <c r="M37" s="19">
        <f>Таблица1[[#This Row],[Поддон
Шт]]*Таблица1[[#This Row],[Цена
Поддон]]</f>
        <v>2470000</v>
      </c>
      <c r="N37" s="19">
        <f>Таблица1[[#This Row],[Сумма 
Приход]]+Таблица1[[#This Row],[Сумма Поддон]]</f>
        <v>22990000</v>
      </c>
      <c r="O37" s="20">
        <v>700000</v>
      </c>
      <c r="P37" s="19">
        <f>Таблица1[[#This Row],[Цена
 Продажа]]-Таблица1[[#This Row],[Цена 
Приход]]</f>
        <v>75000</v>
      </c>
      <c r="Q37" s="19" t="s">
        <v>53</v>
      </c>
      <c r="R37" s="19">
        <f>Таблица1[[#This Row],[Блок
 Куб]]*Таблица1[[#This Row],[Цена
 Продажа]]</f>
        <v>22982400</v>
      </c>
      <c r="S37" s="20"/>
      <c r="T37" s="19">
        <f>Таблица1[[#This Row],[Сумма 
Продажа]]-Таблица1[[#This Row],[Сумма 
Приход]]</f>
        <v>2462400</v>
      </c>
      <c r="U37" s="150"/>
    </row>
    <row r="38" spans="1:21" ht="14.25" x14ac:dyDescent="0.2">
      <c r="A38" s="50">
        <f t="shared" si="0"/>
        <v>35</v>
      </c>
      <c r="B38" s="17" t="s">
        <v>42</v>
      </c>
      <c r="C38" s="54" t="s">
        <v>74</v>
      </c>
      <c r="D38" s="54" t="s">
        <v>80</v>
      </c>
      <c r="E38" s="137">
        <v>46206</v>
      </c>
      <c r="F38" s="210" t="s">
        <v>156</v>
      </c>
      <c r="G38" s="23" t="s">
        <v>71</v>
      </c>
      <c r="H38" s="199">
        <v>32.832000000000001</v>
      </c>
      <c r="I38" s="23">
        <v>625000</v>
      </c>
      <c r="J38" s="19">
        <f>Таблица1[[#This Row],[Блок
 Куб]]*Таблица1[[#This Row],[Цена 
Приход]]</f>
        <v>20520000</v>
      </c>
      <c r="K38" s="25">
        <v>19</v>
      </c>
      <c r="L38" s="25">
        <v>130000</v>
      </c>
      <c r="M38" s="19">
        <f>Таблица1[[#This Row],[Поддон
Шт]]*Таблица1[[#This Row],[Цена
Поддон]]</f>
        <v>2470000</v>
      </c>
      <c r="N38" s="19">
        <f>Таблица1[[#This Row],[Сумма 
Приход]]+Таблица1[[#This Row],[Сумма Поддон]]</f>
        <v>22990000</v>
      </c>
      <c r="O38" s="20">
        <v>700000</v>
      </c>
      <c r="P38" s="19">
        <f>Таблица1[[#This Row],[Цена
 Продажа]]-Таблица1[[#This Row],[Цена 
Приход]]</f>
        <v>75000</v>
      </c>
      <c r="Q38" s="19" t="s">
        <v>53</v>
      </c>
      <c r="R38" s="19">
        <f>Таблица1[[#This Row],[Блок
 Куб]]*Таблица1[[#This Row],[Цена
 Продажа]]</f>
        <v>22982400</v>
      </c>
      <c r="S38" s="20">
        <v>2000000</v>
      </c>
      <c r="T38" s="19">
        <f>Таблица1[[#This Row],[Сумма 
Продажа]]-Таблица1[[#This Row],[Сумма 
Приход]]</f>
        <v>2462400</v>
      </c>
      <c r="U38" s="150"/>
    </row>
    <row r="39" spans="1:21" ht="14.25" x14ac:dyDescent="0.2">
      <c r="A39" s="50">
        <f t="shared" si="0"/>
        <v>36</v>
      </c>
      <c r="B39" s="17" t="s">
        <v>42</v>
      </c>
      <c r="C39" s="53" t="s">
        <v>73</v>
      </c>
      <c r="D39" s="53" t="s">
        <v>88</v>
      </c>
      <c r="E39" s="138">
        <v>46206</v>
      </c>
      <c r="F39" s="207" t="s">
        <v>158</v>
      </c>
      <c r="G39" s="23" t="s">
        <v>83</v>
      </c>
      <c r="H39" s="199">
        <v>32.832000000000001</v>
      </c>
      <c r="I39" s="23">
        <v>625000</v>
      </c>
      <c r="J39" s="19">
        <f>Таблица1[[#This Row],[Блок
 Куб]]*Таблица1[[#This Row],[Цена 
Приход]]</f>
        <v>20520000</v>
      </c>
      <c r="K39" s="25">
        <v>19</v>
      </c>
      <c r="L39" s="25">
        <v>130000</v>
      </c>
      <c r="M39" s="19">
        <f>Таблица1[[#This Row],[Поддон
Шт]]*Таблица1[[#This Row],[Цена
Поддон]]</f>
        <v>2470000</v>
      </c>
      <c r="N39" s="19">
        <f>Таблица1[[#This Row],[Сумма 
Приход]]+Таблица1[[#This Row],[Сумма Поддон]]</f>
        <v>22990000</v>
      </c>
      <c r="O39" s="20">
        <v>700000</v>
      </c>
      <c r="P39" s="19">
        <f>Таблица1[[#This Row],[Цена
 Продажа]]-Таблица1[[#This Row],[Цена 
Приход]]</f>
        <v>75000</v>
      </c>
      <c r="Q39" s="19" t="s">
        <v>53</v>
      </c>
      <c r="R39" s="19">
        <f>Таблица1[[#This Row],[Блок
 Куб]]*Таблица1[[#This Row],[Цена
 Продажа]]</f>
        <v>22982400</v>
      </c>
      <c r="S39" s="20" t="s">
        <v>159</v>
      </c>
      <c r="T39" s="19">
        <f>Таблица1[[#This Row],[Сумма 
Продажа]]-Таблица1[[#This Row],[Сумма 
Приход]]</f>
        <v>2462400</v>
      </c>
      <c r="U39" s="150"/>
    </row>
    <row r="40" spans="1:21" ht="14.25" x14ac:dyDescent="0.2">
      <c r="A40" s="50">
        <f t="shared" si="0"/>
        <v>37</v>
      </c>
      <c r="B40" s="17" t="s">
        <v>42</v>
      </c>
      <c r="C40" s="53" t="s">
        <v>73</v>
      </c>
      <c r="D40" s="53" t="s">
        <v>88</v>
      </c>
      <c r="E40" s="138">
        <v>46206</v>
      </c>
      <c r="F40" s="207" t="s">
        <v>160</v>
      </c>
      <c r="G40" s="23" t="s">
        <v>71</v>
      </c>
      <c r="H40" s="199">
        <v>32.832000000000001</v>
      </c>
      <c r="I40" s="23">
        <v>625000</v>
      </c>
      <c r="J40" s="19">
        <f>Таблица1[[#This Row],[Блок
 Куб]]*Таблица1[[#This Row],[Цена 
Приход]]</f>
        <v>20520000</v>
      </c>
      <c r="K40" s="25">
        <v>19</v>
      </c>
      <c r="L40" s="25">
        <v>130000</v>
      </c>
      <c r="M40" s="19">
        <f>Таблица1[[#This Row],[Поддон
Шт]]*Таблица1[[#This Row],[Цена
Поддон]]</f>
        <v>2470000</v>
      </c>
      <c r="N40" s="19">
        <f>Таблица1[[#This Row],[Сумма 
Приход]]+Таблица1[[#This Row],[Сумма Поддон]]</f>
        <v>22990000</v>
      </c>
      <c r="O40" s="20">
        <v>700000</v>
      </c>
      <c r="P40" s="19">
        <f>Таблица1[[#This Row],[Цена
 Продажа]]-Таблица1[[#This Row],[Цена 
Приход]]</f>
        <v>75000</v>
      </c>
      <c r="Q40" s="19" t="s">
        <v>53</v>
      </c>
      <c r="R40" s="19">
        <f>Таблица1[[#This Row],[Блок
 Куб]]*Таблица1[[#This Row],[Цена
 Продажа]]</f>
        <v>22982400</v>
      </c>
      <c r="S40" s="20" t="s">
        <v>159</v>
      </c>
      <c r="T40" s="19">
        <f>Таблица1[[#This Row],[Сумма 
Продажа]]-Таблица1[[#This Row],[Сумма 
Приход]]</f>
        <v>2462400</v>
      </c>
      <c r="U40" s="150"/>
    </row>
    <row r="41" spans="1:21" ht="14.25" x14ac:dyDescent="0.2">
      <c r="A41" s="50">
        <f t="shared" si="0"/>
        <v>38</v>
      </c>
      <c r="B41" s="17" t="s">
        <v>42</v>
      </c>
      <c r="C41" s="158" t="s">
        <v>163</v>
      </c>
      <c r="D41" s="158" t="s">
        <v>167</v>
      </c>
      <c r="E41" s="159">
        <v>46206</v>
      </c>
      <c r="F41" s="211" t="s">
        <v>162</v>
      </c>
      <c r="G41" s="23" t="s">
        <v>71</v>
      </c>
      <c r="H41" s="199">
        <v>32.832000000000001</v>
      </c>
      <c r="I41" s="23">
        <v>625000</v>
      </c>
      <c r="J41" s="19">
        <f>Таблица1[[#This Row],[Блок
 Куб]]*Таблица1[[#This Row],[Цена 
Приход]]</f>
        <v>20520000</v>
      </c>
      <c r="K41" s="25">
        <v>19</v>
      </c>
      <c r="L41" s="25">
        <v>130000</v>
      </c>
      <c r="M41" s="19">
        <f>Таблица1[[#This Row],[Поддон
Шт]]*Таблица1[[#This Row],[Цена
Поддон]]</f>
        <v>2470000</v>
      </c>
      <c r="N41" s="19">
        <f>Таблица1[[#This Row],[Сумма 
Приход]]+Таблица1[[#This Row],[Сумма Поддон]]</f>
        <v>22990000</v>
      </c>
      <c r="O41" s="20">
        <v>700000</v>
      </c>
      <c r="P41" s="19">
        <f>Таблица1[[#This Row],[Цена
 Продажа]]-Таблица1[[#This Row],[Цена 
Приход]]</f>
        <v>75000</v>
      </c>
      <c r="Q41" s="19" t="s">
        <v>53</v>
      </c>
      <c r="R41" s="19">
        <f>Таблица1[[#This Row],[Блок
 Куб]]*Таблица1[[#This Row],[Цена
 Продажа]]</f>
        <v>22982400</v>
      </c>
      <c r="S41" s="20" t="s">
        <v>159</v>
      </c>
      <c r="T41" s="19">
        <f>Таблица1[[#This Row],[Сумма 
Продажа]]-Таблица1[[#This Row],[Сумма 
Приход]]</f>
        <v>2462400</v>
      </c>
      <c r="U41" s="150"/>
    </row>
    <row r="42" spans="1:21" ht="14.25" x14ac:dyDescent="0.2">
      <c r="A42" s="50">
        <f t="shared" si="0"/>
        <v>39</v>
      </c>
      <c r="B42" s="17" t="s">
        <v>42</v>
      </c>
      <c r="C42" s="158" t="s">
        <v>163</v>
      </c>
      <c r="D42" s="158" t="s">
        <v>167</v>
      </c>
      <c r="E42" s="159">
        <v>46206</v>
      </c>
      <c r="F42" s="211" t="s">
        <v>138</v>
      </c>
      <c r="G42" s="23" t="s">
        <v>71</v>
      </c>
      <c r="H42" s="199">
        <v>32.832000000000001</v>
      </c>
      <c r="I42" s="23">
        <v>625000</v>
      </c>
      <c r="J42" s="19">
        <f>Таблица1[[#This Row],[Блок
 Куб]]*Таблица1[[#This Row],[Цена 
Приход]]</f>
        <v>20520000</v>
      </c>
      <c r="K42" s="25">
        <v>19</v>
      </c>
      <c r="L42" s="25">
        <v>130000</v>
      </c>
      <c r="M42" s="19">
        <f>Таблица1[[#This Row],[Поддон
Шт]]*Таблица1[[#This Row],[Цена
Поддон]]</f>
        <v>2470000</v>
      </c>
      <c r="N42" s="19">
        <f>Таблица1[[#This Row],[Сумма 
Приход]]+Таблица1[[#This Row],[Сумма Поддон]]</f>
        <v>22990000</v>
      </c>
      <c r="O42" s="20">
        <v>700000</v>
      </c>
      <c r="P42" s="19">
        <f>Таблица1[[#This Row],[Цена
 Продажа]]-Таблица1[[#This Row],[Цена 
Приход]]</f>
        <v>75000</v>
      </c>
      <c r="Q42" s="19" t="s">
        <v>53</v>
      </c>
      <c r="R42" s="19">
        <f>Таблица1[[#This Row],[Блок
 Куб]]*Таблица1[[#This Row],[Цена
 Продажа]]</f>
        <v>22982400</v>
      </c>
      <c r="S42" s="20" t="s">
        <v>159</v>
      </c>
      <c r="T42" s="19">
        <f>Таблица1[[#This Row],[Сумма 
Продажа]]-Таблица1[[#This Row],[Сумма 
Приход]]</f>
        <v>2462400</v>
      </c>
      <c r="U42" s="150"/>
    </row>
    <row r="43" spans="1:21" ht="14.25" x14ac:dyDescent="0.2">
      <c r="A43" s="50">
        <f t="shared" si="0"/>
        <v>40</v>
      </c>
      <c r="B43" s="17" t="s">
        <v>42</v>
      </c>
      <c r="C43" s="158" t="s">
        <v>163</v>
      </c>
      <c r="D43" s="158" t="s">
        <v>167</v>
      </c>
      <c r="E43" s="159">
        <v>46206</v>
      </c>
      <c r="F43" s="211" t="s">
        <v>165</v>
      </c>
      <c r="G43" s="23" t="s">
        <v>83</v>
      </c>
      <c r="H43" s="199">
        <v>32.832000000000001</v>
      </c>
      <c r="I43" s="23">
        <v>625000</v>
      </c>
      <c r="J43" s="19">
        <f>Таблица1[[#This Row],[Блок
 Куб]]*Таблица1[[#This Row],[Цена 
Приход]]</f>
        <v>20520000</v>
      </c>
      <c r="K43" s="25">
        <v>19</v>
      </c>
      <c r="L43" s="25">
        <v>130000</v>
      </c>
      <c r="M43" s="19">
        <f>Таблица1[[#This Row],[Поддон
Шт]]*Таблица1[[#This Row],[Цена
Поддон]]</f>
        <v>2470000</v>
      </c>
      <c r="N43" s="19">
        <f>Таблица1[[#This Row],[Сумма 
Приход]]+Таблица1[[#This Row],[Сумма Поддон]]</f>
        <v>22990000</v>
      </c>
      <c r="O43" s="20">
        <v>700000</v>
      </c>
      <c r="P43" s="19">
        <f>Таблица1[[#This Row],[Цена
 Продажа]]-Таблица1[[#This Row],[Цена 
Приход]]</f>
        <v>75000</v>
      </c>
      <c r="Q43" s="19" t="s">
        <v>53</v>
      </c>
      <c r="R43" s="19">
        <f>Таблица1[[#This Row],[Блок
 Куб]]*Таблица1[[#This Row],[Цена
 Продажа]]</f>
        <v>22982400</v>
      </c>
      <c r="S43" s="20" t="s">
        <v>159</v>
      </c>
      <c r="T43" s="19">
        <f>Таблица1[[#This Row],[Сумма 
Продажа]]-Таблица1[[#This Row],[Сумма 
Приход]]</f>
        <v>2462400</v>
      </c>
      <c r="U43" s="150"/>
    </row>
    <row r="44" spans="1:21" ht="14.25" x14ac:dyDescent="0.2">
      <c r="A44" s="50">
        <f t="shared" si="0"/>
        <v>41</v>
      </c>
      <c r="B44" s="17" t="s">
        <v>42</v>
      </c>
      <c r="C44" s="53" t="s">
        <v>73</v>
      </c>
      <c r="D44" s="53" t="s">
        <v>172</v>
      </c>
      <c r="E44" s="138">
        <v>46209</v>
      </c>
      <c r="F44" s="207" t="s">
        <v>134</v>
      </c>
      <c r="G44" s="23" t="s">
        <v>71</v>
      </c>
      <c r="H44" s="199">
        <v>32.832000000000001</v>
      </c>
      <c r="I44" s="23">
        <v>625000</v>
      </c>
      <c r="J44" s="19">
        <f>Таблица1[[#This Row],[Блок
 Куб]]*Таблица1[[#This Row],[Цена 
Приход]]</f>
        <v>20520000</v>
      </c>
      <c r="K44" s="25">
        <v>19</v>
      </c>
      <c r="L44" s="25">
        <v>130000</v>
      </c>
      <c r="M44" s="19">
        <f>Таблица1[[#This Row],[Поддон
Шт]]*Таблица1[[#This Row],[Цена
Поддон]]</f>
        <v>2470000</v>
      </c>
      <c r="N44" s="19">
        <f>Таблица1[[#This Row],[Сумма 
Приход]]+Таблица1[[#This Row],[Сумма Поддон]]</f>
        <v>22990000</v>
      </c>
      <c r="O44" s="20">
        <v>700000</v>
      </c>
      <c r="P44" s="19">
        <f>Таблица1[[#This Row],[Цена
 Продажа]]-Таблица1[[#This Row],[Цена 
Приход]]</f>
        <v>75000</v>
      </c>
      <c r="Q44" s="19" t="s">
        <v>53</v>
      </c>
      <c r="R44" s="19">
        <f>Таблица1[[#This Row],[Блок
 Куб]]*Таблица1[[#This Row],[Цена
 Продажа]]</f>
        <v>22982400</v>
      </c>
      <c r="S44" s="20" t="s">
        <v>159</v>
      </c>
      <c r="T44" s="19">
        <f>Таблица1[[#This Row],[Сумма 
Продажа]]-Таблица1[[#This Row],[Сумма 
Приход]]</f>
        <v>2462400</v>
      </c>
      <c r="U44" s="150"/>
    </row>
    <row r="45" spans="1:21" ht="14.25" x14ac:dyDescent="0.2">
      <c r="A45" s="50">
        <f t="shared" si="0"/>
        <v>42</v>
      </c>
      <c r="B45" s="17" t="s">
        <v>42</v>
      </c>
      <c r="C45" s="158" t="s">
        <v>163</v>
      </c>
      <c r="D45" s="158" t="s">
        <v>181</v>
      </c>
      <c r="E45" s="159">
        <v>46209</v>
      </c>
      <c r="F45" s="211" t="s">
        <v>182</v>
      </c>
      <c r="G45" s="23" t="s">
        <v>71</v>
      </c>
      <c r="H45" s="199">
        <v>32.832000000000001</v>
      </c>
      <c r="I45" s="23">
        <v>625000</v>
      </c>
      <c r="J45" s="19">
        <f>Таблица1[[#This Row],[Блок
 Куб]]*Таблица1[[#This Row],[Цена 
Приход]]</f>
        <v>20520000</v>
      </c>
      <c r="K45" s="25">
        <v>19</v>
      </c>
      <c r="L45" s="25">
        <v>130000</v>
      </c>
      <c r="M45" s="19">
        <f>Таблица1[[#This Row],[Поддон
Шт]]*Таблица1[[#This Row],[Цена
Поддон]]</f>
        <v>2470000</v>
      </c>
      <c r="N45" s="19">
        <f>Таблица1[[#This Row],[Сумма 
Приход]]+Таблица1[[#This Row],[Сумма Поддон]]</f>
        <v>22990000</v>
      </c>
      <c r="O45" s="20">
        <v>700000</v>
      </c>
      <c r="P45" s="19">
        <f>Таблица1[[#This Row],[Цена
 Продажа]]-Таблица1[[#This Row],[Цена 
Приход]]</f>
        <v>75000</v>
      </c>
      <c r="Q45" s="19" t="s">
        <v>53</v>
      </c>
      <c r="R45" s="19">
        <f>Таблица1[[#This Row],[Блок
 Куб]]*Таблица1[[#This Row],[Цена
 Продажа]]</f>
        <v>22982400</v>
      </c>
      <c r="S45" s="20" t="s">
        <v>159</v>
      </c>
      <c r="T45" s="19">
        <f>Таблица1[[#This Row],[Сумма 
Продажа]]-Таблица1[[#This Row],[Сумма 
Приход]]</f>
        <v>2462400</v>
      </c>
      <c r="U45" s="150"/>
    </row>
    <row r="46" spans="1:21" ht="14.25" x14ac:dyDescent="0.2">
      <c r="A46" s="50">
        <f t="shared" si="0"/>
        <v>43</v>
      </c>
      <c r="B46" s="17" t="s">
        <v>42</v>
      </c>
      <c r="C46" s="17" t="s">
        <v>89</v>
      </c>
      <c r="D46" s="17" t="s">
        <v>198</v>
      </c>
      <c r="E46" s="51">
        <v>46209</v>
      </c>
      <c r="F46" s="189" t="s">
        <v>185</v>
      </c>
      <c r="G46" s="23" t="s">
        <v>186</v>
      </c>
      <c r="H46" s="199">
        <v>23.4</v>
      </c>
      <c r="I46" s="23">
        <v>625000</v>
      </c>
      <c r="J46" s="19">
        <f>Таблица1[[#This Row],[Блок
 Куб]]*Таблица1[[#This Row],[Цена 
Приход]]</f>
        <v>14625000</v>
      </c>
      <c r="K46" s="25">
        <v>13</v>
      </c>
      <c r="L46" s="25">
        <v>130000</v>
      </c>
      <c r="M46" s="19">
        <f>Таблица1[[#This Row],[Поддон
Шт]]*Таблица1[[#This Row],[Цена
Поддон]]</f>
        <v>1690000</v>
      </c>
      <c r="N46" s="19">
        <f>Таблица1[[#This Row],[Сумма 
Приход]]+Таблица1[[#This Row],[Сумма Поддон]]</f>
        <v>16315000</v>
      </c>
      <c r="O46" s="20">
        <v>700000</v>
      </c>
      <c r="P46" s="19">
        <f>Таблица1[[#This Row],[Цена
 Продажа]]-Таблица1[[#This Row],[Цена 
Приход]]</f>
        <v>75000</v>
      </c>
      <c r="Q46" s="19" t="s">
        <v>53</v>
      </c>
      <c r="R46" s="19">
        <f>Таблица1[[#This Row],[Блок
 Куб]]*Таблица1[[#This Row],[Цена
 Продажа]]</f>
        <v>16379999.999999998</v>
      </c>
      <c r="S46" s="20"/>
      <c r="T46" s="19">
        <f>Таблица1[[#This Row],[Сумма 
Продажа]]-Таблица1[[#This Row],[Сумма 
Приход]]</f>
        <v>1754999.9999999981</v>
      </c>
      <c r="U46" s="150"/>
    </row>
    <row r="47" spans="1:21" ht="14.25" x14ac:dyDescent="0.2">
      <c r="A47" s="50">
        <f t="shared" si="0"/>
        <v>44</v>
      </c>
      <c r="B47" s="17" t="s">
        <v>42</v>
      </c>
      <c r="C47" s="17" t="s">
        <v>89</v>
      </c>
      <c r="D47" s="17" t="s">
        <v>198</v>
      </c>
      <c r="E47" s="51">
        <v>46209</v>
      </c>
      <c r="F47" s="189" t="s">
        <v>185</v>
      </c>
      <c r="G47" s="23" t="s">
        <v>71</v>
      </c>
      <c r="H47" s="199">
        <v>10.37</v>
      </c>
      <c r="I47" s="23">
        <v>625000</v>
      </c>
      <c r="J47" s="19">
        <f>Таблица1[[#This Row],[Блок
 Куб]]*Таблица1[[#This Row],[Цена 
Приход]]</f>
        <v>6481249.9999999991</v>
      </c>
      <c r="K47" s="25">
        <v>6</v>
      </c>
      <c r="L47" s="25">
        <v>130000</v>
      </c>
      <c r="M47" s="19">
        <f>Таблица1[[#This Row],[Поддон
Шт]]*Таблица1[[#This Row],[Цена
Поддон]]</f>
        <v>780000</v>
      </c>
      <c r="N47" s="19">
        <f>Таблица1[[#This Row],[Сумма 
Приход]]+Таблица1[[#This Row],[Сумма Поддон]]</f>
        <v>7261249.9999999991</v>
      </c>
      <c r="O47" s="20">
        <v>700000</v>
      </c>
      <c r="P47" s="19">
        <f>Таблица1[[#This Row],[Цена
 Продажа]]-Таблица1[[#This Row],[Цена 
Приход]]</f>
        <v>75000</v>
      </c>
      <c r="Q47" s="19" t="s">
        <v>53</v>
      </c>
      <c r="R47" s="19">
        <f>Таблица1[[#This Row],[Блок
 Куб]]*Таблица1[[#This Row],[Цена
 Продажа]]</f>
        <v>7258999.9999999991</v>
      </c>
      <c r="S47" s="20"/>
      <c r="T47" s="19">
        <f>Таблица1[[#This Row],[Сумма 
Продажа]]-Таблица1[[#This Row],[Сумма 
Приход]]</f>
        <v>777750</v>
      </c>
      <c r="U47" s="150" t="s">
        <v>210</v>
      </c>
    </row>
    <row r="48" spans="1:21" ht="14.25" x14ac:dyDescent="0.2">
      <c r="A48" s="50">
        <f t="shared" si="0"/>
        <v>45</v>
      </c>
      <c r="B48" s="17" t="s">
        <v>42</v>
      </c>
      <c r="C48" s="53" t="s">
        <v>73</v>
      </c>
      <c r="D48" s="53" t="s">
        <v>88</v>
      </c>
      <c r="E48" s="138">
        <v>46209</v>
      </c>
      <c r="F48" s="207" t="s">
        <v>187</v>
      </c>
      <c r="G48" s="23" t="s">
        <v>71</v>
      </c>
      <c r="H48" s="199">
        <v>32.832000000000001</v>
      </c>
      <c r="I48" s="23">
        <v>625000</v>
      </c>
      <c r="J48" s="19">
        <f>Таблица1[[#This Row],[Блок
 Куб]]*Таблица1[[#This Row],[Цена 
Приход]]</f>
        <v>20520000</v>
      </c>
      <c r="K48" s="25">
        <v>19</v>
      </c>
      <c r="L48" s="25">
        <v>130000</v>
      </c>
      <c r="M48" s="19">
        <f>Таблица1[[#This Row],[Поддон
Шт]]*Таблица1[[#This Row],[Цена
Поддон]]</f>
        <v>2470000</v>
      </c>
      <c r="N48" s="19">
        <f>Таблица1[[#This Row],[Сумма 
Приход]]+Таблица1[[#This Row],[Сумма Поддон]]</f>
        <v>22990000</v>
      </c>
      <c r="O48" s="20">
        <v>700000</v>
      </c>
      <c r="P48" s="19">
        <f>Таблица1[[#This Row],[Цена
 Продажа]]-Таблица1[[#This Row],[Цена 
Приход]]</f>
        <v>75000</v>
      </c>
      <c r="Q48" s="19" t="s">
        <v>53</v>
      </c>
      <c r="R48" s="19">
        <f>Таблица1[[#This Row],[Блок
 Куб]]*Таблица1[[#This Row],[Цена
 Продажа]]</f>
        <v>22982400</v>
      </c>
      <c r="S48" s="20" t="s">
        <v>159</v>
      </c>
      <c r="T48" s="19">
        <f>Таблица1[[#This Row],[Сумма 
Продажа]]-Таблица1[[#This Row],[Сумма 
Приход]]</f>
        <v>2462400</v>
      </c>
      <c r="U48" s="150"/>
    </row>
    <row r="49" spans="1:21" ht="14.25" x14ac:dyDescent="0.2">
      <c r="A49" s="50">
        <f t="shared" si="0"/>
        <v>46</v>
      </c>
      <c r="B49" s="17" t="s">
        <v>42</v>
      </c>
      <c r="C49" s="158" t="s">
        <v>163</v>
      </c>
      <c r="D49" s="158" t="s">
        <v>167</v>
      </c>
      <c r="E49" s="159">
        <v>46209</v>
      </c>
      <c r="F49" s="211" t="s">
        <v>188</v>
      </c>
      <c r="G49" s="23" t="s">
        <v>83</v>
      </c>
      <c r="H49" s="199">
        <v>32.832000000000001</v>
      </c>
      <c r="I49" s="23">
        <v>625000</v>
      </c>
      <c r="J49" s="19">
        <f>Таблица1[[#This Row],[Блок
 Куб]]*Таблица1[[#This Row],[Цена 
Приход]]</f>
        <v>20520000</v>
      </c>
      <c r="K49" s="25">
        <v>19</v>
      </c>
      <c r="L49" s="25">
        <v>130000</v>
      </c>
      <c r="M49" s="19">
        <f>Таблица1[[#This Row],[Поддон
Шт]]*Таблица1[[#This Row],[Цена
Поддон]]</f>
        <v>2470000</v>
      </c>
      <c r="N49" s="19">
        <f>Таблица1[[#This Row],[Сумма 
Приход]]+Таблица1[[#This Row],[Сумма Поддон]]</f>
        <v>22990000</v>
      </c>
      <c r="O49" s="20">
        <v>700000</v>
      </c>
      <c r="P49" s="19">
        <f>Таблица1[[#This Row],[Цена
 Продажа]]-Таблица1[[#This Row],[Цена 
Приход]]</f>
        <v>75000</v>
      </c>
      <c r="Q49" s="19" t="s">
        <v>53</v>
      </c>
      <c r="R49" s="19">
        <f>Таблица1[[#This Row],[Блок
 Куб]]*Таблица1[[#This Row],[Цена
 Продажа]]</f>
        <v>22982400</v>
      </c>
      <c r="S49" s="20"/>
      <c r="T49" s="19">
        <f>Таблица1[[#This Row],[Сумма 
Продажа]]-Таблица1[[#This Row],[Сумма 
Приход]]</f>
        <v>2462400</v>
      </c>
      <c r="U49" s="150"/>
    </row>
    <row r="50" spans="1:21" ht="14.25" x14ac:dyDescent="0.2">
      <c r="A50" s="50">
        <f t="shared" si="0"/>
        <v>47</v>
      </c>
      <c r="B50" s="17" t="s">
        <v>42</v>
      </c>
      <c r="C50" s="158" t="s">
        <v>163</v>
      </c>
      <c r="D50" s="158" t="s">
        <v>167</v>
      </c>
      <c r="E50" s="159">
        <v>46210</v>
      </c>
      <c r="F50" s="211" t="s">
        <v>189</v>
      </c>
      <c r="G50" s="23" t="s">
        <v>83</v>
      </c>
      <c r="H50" s="199">
        <v>32.832000000000001</v>
      </c>
      <c r="I50" s="23">
        <v>625000</v>
      </c>
      <c r="J50" s="19">
        <f>Таблица1[[#This Row],[Блок
 Куб]]*Таблица1[[#This Row],[Цена 
Приход]]</f>
        <v>20520000</v>
      </c>
      <c r="K50" s="25">
        <v>19</v>
      </c>
      <c r="L50" s="25">
        <v>130000</v>
      </c>
      <c r="M50" s="19">
        <f>Таблица1[[#This Row],[Поддон
Шт]]*Таблица1[[#This Row],[Цена
Поддон]]</f>
        <v>2470000</v>
      </c>
      <c r="N50" s="19">
        <f>Таблица1[[#This Row],[Сумма 
Приход]]+Таблица1[[#This Row],[Сумма Поддон]]</f>
        <v>22990000</v>
      </c>
      <c r="O50" s="20">
        <v>700000</v>
      </c>
      <c r="P50" s="19">
        <f>Таблица1[[#This Row],[Цена
 Продажа]]-Таблица1[[#This Row],[Цена 
Приход]]</f>
        <v>75000</v>
      </c>
      <c r="Q50" s="19" t="s">
        <v>53</v>
      </c>
      <c r="R50" s="19">
        <f>Таблица1[[#This Row],[Блок
 Куб]]*Таблица1[[#This Row],[Цена
 Продажа]]</f>
        <v>22982400</v>
      </c>
      <c r="S50" s="20"/>
      <c r="T50" s="19">
        <f>Таблица1[[#This Row],[Сумма 
Продажа]]-Таблица1[[#This Row],[Сумма 
Приход]]</f>
        <v>2462400</v>
      </c>
      <c r="U50" s="150"/>
    </row>
    <row r="51" spans="1:21" ht="14.25" x14ac:dyDescent="0.2">
      <c r="A51" s="50">
        <f t="shared" si="0"/>
        <v>48</v>
      </c>
      <c r="B51" s="17" t="s">
        <v>42</v>
      </c>
      <c r="C51" s="53" t="s">
        <v>73</v>
      </c>
      <c r="D51" s="53" t="s">
        <v>88</v>
      </c>
      <c r="E51" s="138">
        <v>46210</v>
      </c>
      <c r="F51" s="207" t="s">
        <v>196</v>
      </c>
      <c r="G51" s="23" t="s">
        <v>71</v>
      </c>
      <c r="H51" s="199">
        <v>32.832000000000001</v>
      </c>
      <c r="I51" s="23">
        <v>625000</v>
      </c>
      <c r="J51" s="19">
        <f>Таблица1[[#This Row],[Блок
 Куб]]*Таблица1[[#This Row],[Цена 
Приход]]</f>
        <v>20520000</v>
      </c>
      <c r="K51" s="25">
        <v>19</v>
      </c>
      <c r="L51" s="25">
        <v>130000</v>
      </c>
      <c r="M51" s="19">
        <f>Таблица1[[#This Row],[Поддон
Шт]]*Таблица1[[#This Row],[Цена
Поддон]]</f>
        <v>2470000</v>
      </c>
      <c r="N51" s="19">
        <f>Таблица1[[#This Row],[Сумма 
Приход]]+Таблица1[[#This Row],[Сумма Поддон]]</f>
        <v>22990000</v>
      </c>
      <c r="O51" s="20">
        <v>700000</v>
      </c>
      <c r="P51" s="19">
        <f>Таблица1[[#This Row],[Цена
 Продажа]]-Таблица1[[#This Row],[Цена 
Приход]]</f>
        <v>75000</v>
      </c>
      <c r="Q51" s="19" t="s">
        <v>53</v>
      </c>
      <c r="R51" s="19">
        <f>Таблица1[[#This Row],[Блок
 Куб]]*Таблица1[[#This Row],[Цена
 Продажа]]</f>
        <v>22982400</v>
      </c>
      <c r="S51" s="20" t="s">
        <v>159</v>
      </c>
      <c r="T51" s="19">
        <f>Таблица1[[#This Row],[Сумма 
Продажа]]-Таблица1[[#This Row],[Сумма 
Приход]]</f>
        <v>2462400</v>
      </c>
      <c r="U51" s="150"/>
    </row>
    <row r="52" spans="1:21" ht="14.25" x14ac:dyDescent="0.2">
      <c r="A52" s="50">
        <f t="shared" si="0"/>
        <v>49</v>
      </c>
      <c r="B52" s="17" t="s">
        <v>42</v>
      </c>
      <c r="C52" s="53" t="s">
        <v>73</v>
      </c>
      <c r="D52" s="53" t="s">
        <v>88</v>
      </c>
      <c r="E52" s="138">
        <v>46210</v>
      </c>
      <c r="F52" s="207" t="s">
        <v>134</v>
      </c>
      <c r="G52" s="23" t="s">
        <v>71</v>
      </c>
      <c r="H52" s="199">
        <v>32.832000000000001</v>
      </c>
      <c r="I52" s="23">
        <v>625000</v>
      </c>
      <c r="J52" s="19">
        <f>Таблица1[[#This Row],[Блок
 Куб]]*Таблица1[[#This Row],[Цена 
Приход]]</f>
        <v>20520000</v>
      </c>
      <c r="K52" s="25">
        <v>19</v>
      </c>
      <c r="L52" s="25">
        <v>130000</v>
      </c>
      <c r="M52" s="19">
        <f>Таблица1[[#This Row],[Поддон
Шт]]*Таблица1[[#This Row],[Цена
Поддон]]</f>
        <v>2470000</v>
      </c>
      <c r="N52" s="19">
        <f>Таблица1[[#This Row],[Сумма 
Приход]]+Таблица1[[#This Row],[Сумма Поддон]]</f>
        <v>22990000</v>
      </c>
      <c r="O52" s="20">
        <v>700000</v>
      </c>
      <c r="P52" s="19">
        <f>Таблица1[[#This Row],[Цена
 Продажа]]-Таблица1[[#This Row],[Цена 
Приход]]</f>
        <v>75000</v>
      </c>
      <c r="Q52" s="19" t="s">
        <v>53</v>
      </c>
      <c r="R52" s="19">
        <f>Таблица1[[#This Row],[Блок
 Куб]]*Таблица1[[#This Row],[Цена
 Продажа]]</f>
        <v>22982400</v>
      </c>
      <c r="S52" s="20" t="s">
        <v>159</v>
      </c>
      <c r="T52" s="19">
        <f>Таблица1[[#This Row],[Сумма 
Продажа]]-Таблица1[[#This Row],[Сумма 
Приход]]</f>
        <v>2462400</v>
      </c>
      <c r="U52" s="150"/>
    </row>
    <row r="53" spans="1:21" ht="14.25" x14ac:dyDescent="0.2">
      <c r="A53" s="50">
        <f t="shared" si="0"/>
        <v>50</v>
      </c>
      <c r="B53" s="17" t="s">
        <v>42</v>
      </c>
      <c r="C53" s="53" t="s">
        <v>73</v>
      </c>
      <c r="D53" s="53" t="s">
        <v>88</v>
      </c>
      <c r="E53" s="138">
        <v>46210</v>
      </c>
      <c r="F53" s="207" t="s">
        <v>200</v>
      </c>
      <c r="G53" s="23" t="s">
        <v>71</v>
      </c>
      <c r="H53" s="199">
        <v>32.832000000000001</v>
      </c>
      <c r="I53" s="23">
        <v>625000</v>
      </c>
      <c r="J53" s="19">
        <f>Таблица1[[#This Row],[Блок
 Куб]]*Таблица1[[#This Row],[Цена 
Приход]]</f>
        <v>20520000</v>
      </c>
      <c r="K53" s="25">
        <v>19</v>
      </c>
      <c r="L53" s="25">
        <v>130000</v>
      </c>
      <c r="M53" s="19">
        <f>Таблица1[[#This Row],[Поддон
Шт]]*Таблица1[[#This Row],[Цена
Поддон]]</f>
        <v>2470000</v>
      </c>
      <c r="N53" s="19">
        <f>Таблица1[[#This Row],[Сумма 
Приход]]+Таблица1[[#This Row],[Сумма Поддон]]</f>
        <v>22990000</v>
      </c>
      <c r="O53" s="20">
        <v>700000</v>
      </c>
      <c r="P53" s="19">
        <f>Таблица1[[#This Row],[Цена
 Продажа]]-Таблица1[[#This Row],[Цена 
Приход]]</f>
        <v>75000</v>
      </c>
      <c r="Q53" s="19" t="s">
        <v>53</v>
      </c>
      <c r="R53" s="19">
        <f>Таблица1[[#This Row],[Блок
 Куб]]*Таблица1[[#This Row],[Цена
 Продажа]]</f>
        <v>22982400</v>
      </c>
      <c r="S53" s="20" t="s">
        <v>159</v>
      </c>
      <c r="T53" s="19">
        <f>Таблица1[[#This Row],[Сумма 
Продажа]]-Таблица1[[#This Row],[Сумма 
Приход]]</f>
        <v>2462400</v>
      </c>
      <c r="U53" s="150"/>
    </row>
    <row r="54" spans="1:21" ht="14.25" x14ac:dyDescent="0.2">
      <c r="A54" s="50">
        <f t="shared" si="0"/>
        <v>51</v>
      </c>
      <c r="B54" s="17" t="s">
        <v>42</v>
      </c>
      <c r="C54" s="17" t="s">
        <v>192</v>
      </c>
      <c r="D54" s="17" t="s">
        <v>193</v>
      </c>
      <c r="E54" s="51">
        <v>46210</v>
      </c>
      <c r="F54" s="189" t="s">
        <v>201</v>
      </c>
      <c r="G54" s="23" t="s">
        <v>83</v>
      </c>
      <c r="H54" s="199">
        <v>32.832000000000001</v>
      </c>
      <c r="I54" s="23">
        <v>625000</v>
      </c>
      <c r="J54" s="19">
        <f>Таблица1[[#This Row],[Блок
 Куб]]*Таблица1[[#This Row],[Цена 
Приход]]</f>
        <v>20520000</v>
      </c>
      <c r="K54" s="25">
        <v>19</v>
      </c>
      <c r="L54" s="25">
        <v>130000</v>
      </c>
      <c r="M54" s="19">
        <f>Таблица1[[#This Row],[Поддон
Шт]]*Таблица1[[#This Row],[Цена
Поддон]]</f>
        <v>2470000</v>
      </c>
      <c r="N54" s="19">
        <f>Таблица1[[#This Row],[Сумма 
Приход]]+Таблица1[[#This Row],[Сумма Поддон]]</f>
        <v>22990000</v>
      </c>
      <c r="O54" s="20">
        <v>700000</v>
      </c>
      <c r="P54" s="19">
        <f>Таблица1[[#This Row],[Цена
 Продажа]]-Таблица1[[#This Row],[Цена 
Приход]]</f>
        <v>75000</v>
      </c>
      <c r="Q54" s="19" t="s">
        <v>53</v>
      </c>
      <c r="R54" s="19">
        <f>Таблица1[[#This Row],[Блок
 Куб]]*Таблица1[[#This Row],[Цена
 Продажа]]</f>
        <v>22982400</v>
      </c>
      <c r="S54" s="20" t="s">
        <v>159</v>
      </c>
      <c r="T54" s="19">
        <f>Таблица1[[#This Row],[Сумма 
Продажа]]-Таблица1[[#This Row],[Сумма 
Приход]]</f>
        <v>2462400</v>
      </c>
      <c r="U54" s="150"/>
    </row>
    <row r="55" spans="1:21" ht="14.25" x14ac:dyDescent="0.2">
      <c r="A55" s="50">
        <f>A54+1</f>
        <v>52</v>
      </c>
      <c r="B55" s="17" t="s">
        <v>42</v>
      </c>
      <c r="C55" s="54" t="s">
        <v>74</v>
      </c>
      <c r="D55" s="54" t="s">
        <v>126</v>
      </c>
      <c r="E55" s="137">
        <v>46210</v>
      </c>
      <c r="F55" s="206" t="s">
        <v>203</v>
      </c>
      <c r="G55" s="23" t="s">
        <v>204</v>
      </c>
      <c r="H55" s="199">
        <v>32.832000000000001</v>
      </c>
      <c r="I55" s="23">
        <v>500000</v>
      </c>
      <c r="J55" s="19">
        <f>Таблица1[[#This Row],[Блок
 Куб]]*Таблица1[[#This Row],[Цена 
Приход]]</f>
        <v>16416000</v>
      </c>
      <c r="K55" s="25">
        <v>19</v>
      </c>
      <c r="L55" s="25">
        <v>130000</v>
      </c>
      <c r="M55" s="19">
        <f>Таблица1[[#This Row],[Поддон
Шт]]*Таблица1[[#This Row],[Цена
Поддон]]</f>
        <v>2470000</v>
      </c>
      <c r="N55" s="19">
        <f>Таблица1[[#This Row],[Сумма 
Приход]]+Таблица1[[#This Row],[Сумма Поддон]]</f>
        <v>18886000</v>
      </c>
      <c r="O55" s="20">
        <v>700000</v>
      </c>
      <c r="P55" s="19">
        <f>Таблица1[[#This Row],[Цена
 Продажа]]-Таблица1[[#This Row],[Цена 
Приход]]</f>
        <v>200000</v>
      </c>
      <c r="Q55" s="19" t="s">
        <v>53</v>
      </c>
      <c r="R55" s="19">
        <f>Таблица1[[#This Row],[Блок
 Куб]]*Таблица1[[#This Row],[Цена
 Продажа]]</f>
        <v>22982400</v>
      </c>
      <c r="S55" s="20" t="s">
        <v>209</v>
      </c>
      <c r="T55" s="19">
        <f>Таблица1[[#This Row],[Сумма 
Продажа]]-Таблица1[[#This Row],[Сумма 
Приход]]</f>
        <v>6566400</v>
      </c>
      <c r="U55" s="150" t="s">
        <v>90</v>
      </c>
    </row>
    <row r="56" spans="1:21" ht="14.25" x14ac:dyDescent="0.2">
      <c r="A56" s="50">
        <f t="shared" si="0"/>
        <v>53</v>
      </c>
      <c r="B56" s="17" t="s">
        <v>42</v>
      </c>
      <c r="C56" s="17" t="s">
        <v>192</v>
      </c>
      <c r="D56" s="17" t="s">
        <v>205</v>
      </c>
      <c r="E56" s="51">
        <v>46210</v>
      </c>
      <c r="F56" s="189" t="s">
        <v>206</v>
      </c>
      <c r="G56" s="23" t="s">
        <v>83</v>
      </c>
      <c r="H56" s="199">
        <v>32.832000000000001</v>
      </c>
      <c r="I56" s="23">
        <v>625000</v>
      </c>
      <c r="J56" s="19">
        <f>Таблица1[[#This Row],[Блок
 Куб]]*Таблица1[[#This Row],[Цена 
Приход]]</f>
        <v>20520000</v>
      </c>
      <c r="K56" s="25">
        <v>19</v>
      </c>
      <c r="L56" s="25">
        <v>130000</v>
      </c>
      <c r="M56" s="19">
        <f>Таблица1[[#This Row],[Поддон
Шт]]*Таблица1[[#This Row],[Цена
Поддон]]</f>
        <v>2470000</v>
      </c>
      <c r="N56" s="19">
        <f>Таблица1[[#This Row],[Сумма 
Приход]]+Таблица1[[#This Row],[Сумма Поддон]]</f>
        <v>22990000</v>
      </c>
      <c r="O56" s="20">
        <v>700000</v>
      </c>
      <c r="P56" s="19">
        <f>Таблица1[[#This Row],[Цена
 Продажа]]-Таблица1[[#This Row],[Цена 
Приход]]</f>
        <v>75000</v>
      </c>
      <c r="Q56" s="19" t="s">
        <v>53</v>
      </c>
      <c r="R56" s="19">
        <f>Таблица1[[#This Row],[Блок
 Куб]]*Таблица1[[#This Row],[Цена
 Продажа]]</f>
        <v>22982400</v>
      </c>
      <c r="S56" s="20" t="s">
        <v>159</v>
      </c>
      <c r="T56" s="19">
        <f>Таблица1[[#This Row],[Сумма 
Продажа]]-Таблица1[[#This Row],[Сумма 
Приход]]</f>
        <v>2462400</v>
      </c>
      <c r="U56" s="19"/>
    </row>
    <row r="57" spans="1:21" ht="14.25" x14ac:dyDescent="0.2">
      <c r="A57" s="50">
        <f t="shared" si="0"/>
        <v>54</v>
      </c>
      <c r="B57" s="17" t="s">
        <v>42</v>
      </c>
      <c r="C57" s="17" t="s">
        <v>192</v>
      </c>
      <c r="D57" s="17" t="s">
        <v>193</v>
      </c>
      <c r="E57" s="51">
        <v>46211</v>
      </c>
      <c r="F57" s="189" t="s">
        <v>207</v>
      </c>
      <c r="G57" s="23" t="s">
        <v>71</v>
      </c>
      <c r="H57" s="199">
        <v>32.832000000000001</v>
      </c>
      <c r="I57" s="23">
        <v>625000</v>
      </c>
      <c r="J57" s="19">
        <f>Таблица1[[#This Row],[Блок
 Куб]]*Таблица1[[#This Row],[Цена 
Приход]]</f>
        <v>20520000</v>
      </c>
      <c r="K57" s="25">
        <v>19</v>
      </c>
      <c r="L57" s="25">
        <v>130000</v>
      </c>
      <c r="M57" s="19">
        <f>Таблица1[[#This Row],[Поддон
Шт]]*Таблица1[[#This Row],[Цена
Поддон]]</f>
        <v>2470000</v>
      </c>
      <c r="N57" s="19">
        <f>Таблица1[[#This Row],[Сумма 
Приход]]+Таблица1[[#This Row],[Сумма Поддон]]</f>
        <v>22990000</v>
      </c>
      <c r="O57" s="20">
        <v>700000</v>
      </c>
      <c r="P57" s="19">
        <f>Таблица1[[#This Row],[Цена
 Продажа]]-Таблица1[[#This Row],[Цена 
Приход]]</f>
        <v>75000</v>
      </c>
      <c r="Q57" s="19" t="s">
        <v>53</v>
      </c>
      <c r="R57" s="19">
        <f>Таблица1[[#This Row],[Блок
 Куб]]*Таблица1[[#This Row],[Цена
 Продажа]]</f>
        <v>22982400</v>
      </c>
      <c r="S57" s="20" t="s">
        <v>159</v>
      </c>
      <c r="T57" s="19">
        <f>Таблица1[[#This Row],[Сумма 
Продажа]]-Таблица1[[#This Row],[Сумма 
Приход]]</f>
        <v>2462400</v>
      </c>
      <c r="U57" s="19"/>
    </row>
    <row r="58" spans="1:21" ht="14.25" x14ac:dyDescent="0.2">
      <c r="A58" s="50">
        <f t="shared" si="0"/>
        <v>55</v>
      </c>
      <c r="B58" s="17" t="s">
        <v>42</v>
      </c>
      <c r="C58" s="158" t="s">
        <v>163</v>
      </c>
      <c r="D58" s="158" t="s">
        <v>167</v>
      </c>
      <c r="E58" s="159">
        <v>46211</v>
      </c>
      <c r="F58" s="211" t="s">
        <v>208</v>
      </c>
      <c r="G58" s="23" t="s">
        <v>71</v>
      </c>
      <c r="H58" s="199">
        <v>32.832000000000001</v>
      </c>
      <c r="I58" s="23">
        <v>625000</v>
      </c>
      <c r="J58" s="19">
        <f>Таблица1[[#This Row],[Блок
 Куб]]*Таблица1[[#This Row],[Цена 
Приход]]</f>
        <v>20520000</v>
      </c>
      <c r="K58" s="25">
        <v>19</v>
      </c>
      <c r="L58" s="25">
        <v>130000</v>
      </c>
      <c r="M58" s="19">
        <f>Таблица1[[#This Row],[Поддон
Шт]]*Таблица1[[#This Row],[Цена
Поддон]]</f>
        <v>2470000</v>
      </c>
      <c r="N58" s="19">
        <f>Таблица1[[#This Row],[Сумма 
Приход]]+Таблица1[[#This Row],[Сумма Поддон]]</f>
        <v>22990000</v>
      </c>
      <c r="O58" s="20">
        <v>700000</v>
      </c>
      <c r="P58" s="19">
        <f>Таблица1[[#This Row],[Цена
 Продажа]]-Таблица1[[#This Row],[Цена 
Приход]]</f>
        <v>75000</v>
      </c>
      <c r="Q58" s="19" t="s">
        <v>53</v>
      </c>
      <c r="R58" s="19">
        <f>Таблица1[[#This Row],[Блок
 Куб]]*Таблица1[[#This Row],[Цена
 Продажа]]</f>
        <v>22982400</v>
      </c>
      <c r="S58" s="20" t="s">
        <v>159</v>
      </c>
      <c r="T58" s="19">
        <f>Таблица1[[#This Row],[Сумма 
Продажа]]-Таблица1[[#This Row],[Сумма 
Приход]]</f>
        <v>2462400</v>
      </c>
      <c r="U58" s="19"/>
    </row>
    <row r="59" spans="1:21" ht="14.25" x14ac:dyDescent="0.2">
      <c r="A59" s="50">
        <f t="shared" si="0"/>
        <v>56</v>
      </c>
      <c r="B59" s="17" t="s">
        <v>42</v>
      </c>
      <c r="C59" s="53" t="s">
        <v>73</v>
      </c>
      <c r="D59" s="53" t="s">
        <v>88</v>
      </c>
      <c r="E59" s="138">
        <v>46211</v>
      </c>
      <c r="F59" s="207" t="s">
        <v>202</v>
      </c>
      <c r="G59" s="23" t="s">
        <v>71</v>
      </c>
      <c r="H59" s="199">
        <v>32.832000000000001</v>
      </c>
      <c r="I59" s="23">
        <v>625000</v>
      </c>
      <c r="J59" s="19">
        <f>Таблица1[[#This Row],[Блок
 Куб]]*Таблица1[[#This Row],[Цена 
Приход]]</f>
        <v>20520000</v>
      </c>
      <c r="K59" s="25">
        <v>19</v>
      </c>
      <c r="L59" s="25">
        <v>130000</v>
      </c>
      <c r="M59" s="19">
        <f>Таблица1[[#This Row],[Поддон
Шт]]*Таблица1[[#This Row],[Цена
Поддон]]</f>
        <v>2470000</v>
      </c>
      <c r="N59" s="19">
        <f>Таблица1[[#This Row],[Сумма 
Приход]]+Таблица1[[#This Row],[Сумма Поддон]]</f>
        <v>22990000</v>
      </c>
      <c r="O59" s="20">
        <v>700000</v>
      </c>
      <c r="P59" s="19">
        <f>Таблица1[[#This Row],[Цена
 Продажа]]-Таблица1[[#This Row],[Цена 
Приход]]</f>
        <v>75000</v>
      </c>
      <c r="Q59" s="19" t="s">
        <v>53</v>
      </c>
      <c r="R59" s="19">
        <f>Таблица1[[#This Row],[Блок
 Куб]]*Таблица1[[#This Row],[Цена
 Продажа]]</f>
        <v>22982400</v>
      </c>
      <c r="S59" s="20" t="s">
        <v>159</v>
      </c>
      <c r="T59" s="19">
        <f>Таблица1[[#This Row],[Сумма 
Продажа]]-Таблица1[[#This Row],[Сумма 
Приход]]</f>
        <v>2462400</v>
      </c>
      <c r="U59" s="19"/>
    </row>
    <row r="60" spans="1:21" ht="14.25" x14ac:dyDescent="0.2">
      <c r="A60" s="50">
        <f t="shared" si="0"/>
        <v>57</v>
      </c>
      <c r="B60" s="17" t="s">
        <v>42</v>
      </c>
      <c r="C60" s="158" t="s">
        <v>163</v>
      </c>
      <c r="D60" s="158" t="s">
        <v>214</v>
      </c>
      <c r="E60" s="159">
        <v>46212</v>
      </c>
      <c r="F60" s="211" t="s">
        <v>162</v>
      </c>
      <c r="G60" s="23" t="s">
        <v>83</v>
      </c>
      <c r="H60" s="199">
        <v>32.832000000000001</v>
      </c>
      <c r="I60" s="23">
        <v>625000</v>
      </c>
      <c r="J60" s="19">
        <f>Таблица1[[#This Row],[Блок
 Куб]]*Таблица1[[#This Row],[Цена 
Приход]]</f>
        <v>20520000</v>
      </c>
      <c r="K60" s="25">
        <v>19</v>
      </c>
      <c r="L60" s="25">
        <v>130000</v>
      </c>
      <c r="M60" s="19">
        <f>Таблица1[[#This Row],[Поддон
Шт]]*Таблица1[[#This Row],[Цена
Поддон]]</f>
        <v>2470000</v>
      </c>
      <c r="N60" s="19">
        <f>Таблица1[[#This Row],[Сумма 
Приход]]+Таблица1[[#This Row],[Сумма Поддон]]</f>
        <v>22990000</v>
      </c>
      <c r="O60" s="20">
        <v>700000</v>
      </c>
      <c r="P60" s="19">
        <f>Таблица1[[#This Row],[Цена
 Продажа]]-Таблица1[[#This Row],[Цена 
Приход]]</f>
        <v>75000</v>
      </c>
      <c r="Q60" s="19" t="s">
        <v>53</v>
      </c>
      <c r="R60" s="19">
        <f>Таблица1[[#This Row],[Блок
 Куб]]*Таблица1[[#This Row],[Цена
 Продажа]]</f>
        <v>22982400</v>
      </c>
      <c r="S60" s="20" t="s">
        <v>159</v>
      </c>
      <c r="T60" s="19">
        <f>Таблица1[[#This Row],[Сумма 
Продажа]]-Таблица1[[#This Row],[Сумма 
Приход]]</f>
        <v>2462400</v>
      </c>
      <c r="U60" s="19"/>
    </row>
    <row r="61" spans="1:21" ht="14.25" x14ac:dyDescent="0.2">
      <c r="A61" s="50">
        <f t="shared" si="0"/>
        <v>58</v>
      </c>
      <c r="B61" s="17" t="s">
        <v>42</v>
      </c>
      <c r="C61" s="54" t="s">
        <v>74</v>
      </c>
      <c r="D61" s="54" t="s">
        <v>218</v>
      </c>
      <c r="E61" s="137">
        <v>46212</v>
      </c>
      <c r="F61" s="206" t="s">
        <v>70</v>
      </c>
      <c r="G61" s="23" t="s">
        <v>204</v>
      </c>
      <c r="H61" s="199">
        <v>32.832000000000001</v>
      </c>
      <c r="I61" s="23">
        <v>625000</v>
      </c>
      <c r="J61" s="19">
        <f>Таблица1[[#This Row],[Блок
 Куб]]*Таблица1[[#This Row],[Цена 
Приход]]</f>
        <v>20520000</v>
      </c>
      <c r="K61" s="25">
        <v>19</v>
      </c>
      <c r="L61" s="25">
        <v>130000</v>
      </c>
      <c r="M61" s="19">
        <f>Таблица1[[#This Row],[Поддон
Шт]]*Таблица1[[#This Row],[Цена
Поддон]]</f>
        <v>2470000</v>
      </c>
      <c r="N61" s="19">
        <f>Таблица1[[#This Row],[Сумма 
Приход]]+Таблица1[[#This Row],[Сумма Поддон]]</f>
        <v>22990000</v>
      </c>
      <c r="O61" s="20">
        <v>700000</v>
      </c>
      <c r="P61" s="19">
        <f>Таблица1[[#This Row],[Цена
 Продажа]]-Таблица1[[#This Row],[Цена 
Приход]]</f>
        <v>75000</v>
      </c>
      <c r="Q61" s="19" t="s">
        <v>53</v>
      </c>
      <c r="R61" s="19">
        <f>Таблица1[[#This Row],[Блок
 Куб]]*Таблица1[[#This Row],[Цена
 Продажа]]</f>
        <v>22982400</v>
      </c>
      <c r="S61" s="20" t="s">
        <v>159</v>
      </c>
      <c r="T61" s="19">
        <f>Таблица1[[#This Row],[Сумма 
Продажа]]-Таблица1[[#This Row],[Сумма 
Приход]]</f>
        <v>2462400</v>
      </c>
      <c r="U61" s="19"/>
    </row>
    <row r="62" spans="1:21" ht="14.25" x14ac:dyDescent="0.2">
      <c r="A62" s="50">
        <f t="shared" si="0"/>
        <v>59</v>
      </c>
      <c r="B62" s="17" t="s">
        <v>42</v>
      </c>
      <c r="C62" s="158" t="s">
        <v>163</v>
      </c>
      <c r="D62" s="158" t="s">
        <v>214</v>
      </c>
      <c r="E62" s="159">
        <v>46213</v>
      </c>
      <c r="F62" s="211" t="s">
        <v>215</v>
      </c>
      <c r="G62" s="23" t="s">
        <v>71</v>
      </c>
      <c r="H62" s="199">
        <v>32.832000000000001</v>
      </c>
      <c r="I62" s="23">
        <v>625000</v>
      </c>
      <c r="J62" s="19">
        <f>Таблица1[[#This Row],[Блок
 Куб]]*Таблица1[[#This Row],[Цена 
Приход]]</f>
        <v>20520000</v>
      </c>
      <c r="K62" s="25">
        <v>19</v>
      </c>
      <c r="L62" s="25">
        <v>130000</v>
      </c>
      <c r="M62" s="19">
        <f>Таблица1[[#This Row],[Поддон
Шт]]*Таблица1[[#This Row],[Цена
Поддон]]</f>
        <v>2470000</v>
      </c>
      <c r="N62" s="19">
        <f>Таблица1[[#This Row],[Сумма 
Приход]]+Таблица1[[#This Row],[Сумма Поддон]]</f>
        <v>22990000</v>
      </c>
      <c r="O62" s="20">
        <v>700000</v>
      </c>
      <c r="P62" s="19">
        <f>Таблица1[[#This Row],[Цена
 Продажа]]-Таблица1[[#This Row],[Цена 
Приход]]</f>
        <v>75000</v>
      </c>
      <c r="Q62" s="19" t="s">
        <v>53</v>
      </c>
      <c r="R62" s="19">
        <f>Таблица1[[#This Row],[Блок
 Куб]]*Таблица1[[#This Row],[Цена
 Продажа]]</f>
        <v>22982400</v>
      </c>
      <c r="S62" s="20" t="s">
        <v>159</v>
      </c>
      <c r="T62" s="19">
        <f>Таблица1[[#This Row],[Сумма 
Продажа]]-Таблица1[[#This Row],[Сумма 
Приход]]</f>
        <v>2462400</v>
      </c>
      <c r="U62" s="19"/>
    </row>
    <row r="63" spans="1:21" ht="14.25" x14ac:dyDescent="0.2">
      <c r="A63" s="50">
        <f t="shared" si="0"/>
        <v>60</v>
      </c>
      <c r="B63" s="17" t="s">
        <v>42</v>
      </c>
      <c r="C63" s="158" t="s">
        <v>163</v>
      </c>
      <c r="D63" s="158" t="s">
        <v>216</v>
      </c>
      <c r="E63" s="159">
        <v>46213</v>
      </c>
      <c r="F63" s="211" t="s">
        <v>217</v>
      </c>
      <c r="G63" s="23" t="s">
        <v>83</v>
      </c>
      <c r="H63" s="199">
        <v>32.832000000000001</v>
      </c>
      <c r="I63" s="23">
        <v>625000</v>
      </c>
      <c r="J63" s="19">
        <f>Таблица1[[#This Row],[Блок
 Куб]]*Таблица1[[#This Row],[Цена 
Приход]]</f>
        <v>20520000</v>
      </c>
      <c r="K63" s="25">
        <v>19</v>
      </c>
      <c r="L63" s="25">
        <v>130000</v>
      </c>
      <c r="M63" s="19">
        <f>Таблица1[[#This Row],[Поддон
Шт]]*Таблица1[[#This Row],[Цена
Поддон]]</f>
        <v>2470000</v>
      </c>
      <c r="N63" s="19">
        <f>Таблица1[[#This Row],[Сумма 
Приход]]+Таблица1[[#This Row],[Сумма Поддон]]</f>
        <v>22990000</v>
      </c>
      <c r="O63" s="20">
        <v>700000</v>
      </c>
      <c r="P63" s="19">
        <f>Таблица1[[#This Row],[Цена
 Продажа]]-Таблица1[[#This Row],[Цена 
Приход]]</f>
        <v>75000</v>
      </c>
      <c r="Q63" s="19" t="s">
        <v>53</v>
      </c>
      <c r="R63" s="19">
        <f>Таблица1[[#This Row],[Блок
 Куб]]*Таблица1[[#This Row],[Цена
 Продажа]]</f>
        <v>22982400</v>
      </c>
      <c r="S63" s="20" t="s">
        <v>159</v>
      </c>
      <c r="T63" s="19">
        <f>Таблица1[[#This Row],[Сумма 
Продажа]]-Таблица1[[#This Row],[Сумма 
Приход]]</f>
        <v>2462400</v>
      </c>
      <c r="U63" s="19"/>
    </row>
    <row r="64" spans="1:21" ht="14.25" x14ac:dyDescent="0.2">
      <c r="A64" s="50">
        <f>A67+1</f>
        <v>64</v>
      </c>
      <c r="B64" s="17" t="s">
        <v>42</v>
      </c>
      <c r="C64" s="158" t="s">
        <v>163</v>
      </c>
      <c r="D64" s="158" t="s">
        <v>241</v>
      </c>
      <c r="E64" s="159">
        <v>46213</v>
      </c>
      <c r="F64" s="211" t="s">
        <v>242</v>
      </c>
      <c r="G64" s="23" t="s">
        <v>71</v>
      </c>
      <c r="H64" s="199">
        <v>32.832000000000001</v>
      </c>
      <c r="I64" s="23">
        <v>625000</v>
      </c>
      <c r="J64" s="19">
        <f>Таблица1[[#This Row],[Блок
 Куб]]*Таблица1[[#This Row],[Цена 
Приход]]</f>
        <v>20520000</v>
      </c>
      <c r="K64" s="25">
        <v>19</v>
      </c>
      <c r="L64" s="25">
        <v>130000</v>
      </c>
      <c r="M64" s="19">
        <f>Таблица1[[#This Row],[Поддон
Шт]]*Таблица1[[#This Row],[Цена
Поддон]]</f>
        <v>2470000</v>
      </c>
      <c r="N64" s="19">
        <f>Таблица1[[#This Row],[Сумма 
Приход]]+Таблица1[[#This Row],[Сумма Поддон]]</f>
        <v>22990000</v>
      </c>
      <c r="O64" s="20">
        <v>700000</v>
      </c>
      <c r="P64" s="19">
        <f>Таблица1[[#This Row],[Цена
 Продажа]]-Таблица1[[#This Row],[Цена 
Приход]]</f>
        <v>75000</v>
      </c>
      <c r="Q64" s="19" t="s">
        <v>53</v>
      </c>
      <c r="R64" s="19">
        <f>Таблица1[[#This Row],[Блок
 Куб]]*Таблица1[[#This Row],[Цена
 Продажа]]</f>
        <v>22982400</v>
      </c>
      <c r="S64" s="20" t="s">
        <v>159</v>
      </c>
      <c r="T64" s="19">
        <f>Таблица1[[#This Row],[Сумма 
Продажа]]-Таблица1[[#This Row],[Сумма 
Приход]]</f>
        <v>2462400</v>
      </c>
      <c r="U64" s="19"/>
    </row>
    <row r="65" spans="1:21" ht="14.25" x14ac:dyDescent="0.2">
      <c r="A65" s="50">
        <f>A63+1</f>
        <v>61</v>
      </c>
      <c r="B65" s="17" t="s">
        <v>42</v>
      </c>
      <c r="C65" s="54" t="s">
        <v>74</v>
      </c>
      <c r="D65" s="54" t="s">
        <v>218</v>
      </c>
      <c r="E65" s="137">
        <v>46214</v>
      </c>
      <c r="F65" s="206" t="s">
        <v>162</v>
      </c>
      <c r="G65" s="23" t="s">
        <v>204</v>
      </c>
      <c r="H65" s="199">
        <v>32.832000000000001</v>
      </c>
      <c r="I65" s="23">
        <v>625000</v>
      </c>
      <c r="J65" s="19">
        <f>Таблица1[[#This Row],[Блок
 Куб]]*Таблица1[[#This Row],[Цена 
Приход]]</f>
        <v>20520000</v>
      </c>
      <c r="K65" s="25">
        <v>19</v>
      </c>
      <c r="L65" s="25">
        <v>130000</v>
      </c>
      <c r="M65" s="19">
        <f>Таблица1[[#This Row],[Поддон
Шт]]*Таблица1[[#This Row],[Цена
Поддон]]</f>
        <v>2470000</v>
      </c>
      <c r="N65" s="19">
        <f>Таблица1[[#This Row],[Сумма 
Приход]]+Таблица1[[#This Row],[Сумма Поддон]]</f>
        <v>22990000</v>
      </c>
      <c r="O65" s="20">
        <v>700000</v>
      </c>
      <c r="P65" s="19">
        <f>Таблица1[[#This Row],[Цена
 Продажа]]-Таблица1[[#This Row],[Цена 
Приход]]</f>
        <v>75000</v>
      </c>
      <c r="Q65" s="19" t="s">
        <v>53</v>
      </c>
      <c r="R65" s="19">
        <f>Таблица1[[#This Row],[Блок
 Куб]]*Таблица1[[#This Row],[Цена
 Продажа]]</f>
        <v>22982400</v>
      </c>
      <c r="S65" s="20" t="s">
        <v>159</v>
      </c>
      <c r="T65" s="19">
        <f>Таблица1[[#This Row],[Сумма 
Продажа]]-Таблица1[[#This Row],[Сумма 
Приход]]</f>
        <v>2462400</v>
      </c>
      <c r="U65" s="19"/>
    </row>
    <row r="66" spans="1:21" ht="14.25" x14ac:dyDescent="0.2">
      <c r="A66" s="50">
        <f t="shared" si="0"/>
        <v>62</v>
      </c>
      <c r="B66" s="17" t="s">
        <v>42</v>
      </c>
      <c r="C66" s="181" t="s">
        <v>91</v>
      </c>
      <c r="D66" s="181" t="s">
        <v>222</v>
      </c>
      <c r="E66" s="182">
        <v>46214</v>
      </c>
      <c r="F66" s="209" t="s">
        <v>219</v>
      </c>
      <c r="G66" s="23" t="s">
        <v>71</v>
      </c>
      <c r="H66" s="199">
        <v>32.832000000000001</v>
      </c>
      <c r="I66" s="23">
        <v>625000</v>
      </c>
      <c r="J66" s="19">
        <f>Таблица1[[#This Row],[Блок
 Куб]]*Таблица1[[#This Row],[Цена 
Приход]]</f>
        <v>20520000</v>
      </c>
      <c r="K66" s="25">
        <v>19</v>
      </c>
      <c r="L66" s="25">
        <v>130000</v>
      </c>
      <c r="M66" s="19">
        <f>Таблица1[[#This Row],[Поддон
Шт]]*Таблица1[[#This Row],[Цена
Поддон]]</f>
        <v>2470000</v>
      </c>
      <c r="N66" s="19">
        <f>Таблица1[[#This Row],[Сумма 
Приход]]+Таблица1[[#This Row],[Сумма Поддон]]</f>
        <v>22990000</v>
      </c>
      <c r="O66" s="20">
        <v>700000</v>
      </c>
      <c r="P66" s="19">
        <f>Таблица1[[#This Row],[Цена
 Продажа]]-Таблица1[[#This Row],[Цена 
Приход]]</f>
        <v>75000</v>
      </c>
      <c r="Q66" s="19" t="s">
        <v>53</v>
      </c>
      <c r="R66" s="19">
        <f>Таблица1[[#This Row],[Блок
 Куб]]*Таблица1[[#This Row],[Цена
 Продажа]]</f>
        <v>22982400</v>
      </c>
      <c r="S66" s="20" t="s">
        <v>159</v>
      </c>
      <c r="T66" s="19">
        <f>Таблица1[[#This Row],[Сумма 
Продажа]]-Таблица1[[#This Row],[Сумма 
Приход]]</f>
        <v>2462400</v>
      </c>
      <c r="U66" s="19"/>
    </row>
    <row r="67" spans="1:21" ht="14.25" x14ac:dyDescent="0.2">
      <c r="A67" s="50">
        <f t="shared" si="0"/>
        <v>63</v>
      </c>
      <c r="B67" s="17" t="s">
        <v>42</v>
      </c>
      <c r="C67" s="53" t="s">
        <v>73</v>
      </c>
      <c r="D67" s="53" t="s">
        <v>221</v>
      </c>
      <c r="E67" s="138">
        <v>46214</v>
      </c>
      <c r="F67" s="207" t="s">
        <v>220</v>
      </c>
      <c r="G67" s="23" t="s">
        <v>71</v>
      </c>
      <c r="H67" s="199">
        <v>32.832000000000001</v>
      </c>
      <c r="I67" s="23">
        <v>625000</v>
      </c>
      <c r="J67" s="19">
        <f>Таблица1[[#This Row],[Блок
 Куб]]*Таблица1[[#This Row],[Цена 
Приход]]</f>
        <v>20520000</v>
      </c>
      <c r="K67" s="25">
        <v>19</v>
      </c>
      <c r="L67" s="25">
        <v>130000</v>
      </c>
      <c r="M67" s="19">
        <f>Таблица1[[#This Row],[Поддон
Шт]]*Таблица1[[#This Row],[Цена
Поддон]]</f>
        <v>2470000</v>
      </c>
      <c r="N67" s="19">
        <f>Таблица1[[#This Row],[Сумма 
Приход]]+Таблица1[[#This Row],[Сумма Поддон]]</f>
        <v>22990000</v>
      </c>
      <c r="O67" s="20">
        <v>700000</v>
      </c>
      <c r="P67" s="19">
        <f>Таблица1[[#This Row],[Цена
 Продажа]]-Таблица1[[#This Row],[Цена 
Приход]]</f>
        <v>75000</v>
      </c>
      <c r="Q67" s="19" t="s">
        <v>53</v>
      </c>
      <c r="R67" s="19">
        <f>Таблица1[[#This Row],[Блок
 Куб]]*Таблица1[[#This Row],[Цена
 Продажа]]</f>
        <v>22982400</v>
      </c>
      <c r="S67" s="20" t="s">
        <v>159</v>
      </c>
      <c r="T67" s="19">
        <f>Таблица1[[#This Row],[Сумма 
Продажа]]-Таблица1[[#This Row],[Сумма 
Приход]]</f>
        <v>2462400</v>
      </c>
      <c r="U67" s="19"/>
    </row>
    <row r="68" spans="1:21" ht="14.25" x14ac:dyDescent="0.2">
      <c r="A68" s="50">
        <f>A64+1</f>
        <v>65</v>
      </c>
      <c r="B68" s="190" t="s">
        <v>42</v>
      </c>
      <c r="C68" s="190" t="s">
        <v>89</v>
      </c>
      <c r="D68" s="190" t="s">
        <v>264</v>
      </c>
      <c r="E68" s="191" t="s">
        <v>244</v>
      </c>
      <c r="F68" s="212" t="s">
        <v>50</v>
      </c>
      <c r="G68" s="23" t="s">
        <v>71</v>
      </c>
      <c r="H68" s="199">
        <v>34.56</v>
      </c>
      <c r="I68" s="23">
        <v>625000</v>
      </c>
      <c r="J68" s="19">
        <f>Таблица1[[#This Row],[Блок
 Куб]]*Таблица1[[#This Row],[Цена 
Приход]]</f>
        <v>21600000</v>
      </c>
      <c r="K68" s="25">
        <v>20</v>
      </c>
      <c r="L68" s="25">
        <v>130000</v>
      </c>
      <c r="M68" s="19">
        <f>Таблица1[[#This Row],[Поддон
Шт]]*Таблица1[[#This Row],[Цена
Поддон]]</f>
        <v>2600000</v>
      </c>
      <c r="N68" s="19">
        <f>Таблица1[[#This Row],[Сумма 
Приход]]+Таблица1[[#This Row],[Сумма Поддон]]</f>
        <v>24200000</v>
      </c>
      <c r="O68" s="20">
        <v>700000</v>
      </c>
      <c r="P68" s="19">
        <f>Таблица1[[#This Row],[Цена
 Продажа]]-Таблица1[[#This Row],[Цена 
Приход]]</f>
        <v>75000</v>
      </c>
      <c r="Q68" s="19" t="s">
        <v>53</v>
      </c>
      <c r="R68" s="19">
        <f>Таблица1[[#This Row],[Блок
 Куб]]*Таблица1[[#This Row],[Цена
 Продажа]]</f>
        <v>24192000</v>
      </c>
      <c r="S68" s="20"/>
      <c r="T68" s="19">
        <f>Таблица1[[#This Row],[Сумма 
Продажа]]-Таблица1[[#This Row],[Сумма 
Приход]]</f>
        <v>2592000</v>
      </c>
      <c r="U68" s="19"/>
    </row>
    <row r="69" spans="1:21" ht="14.25" x14ac:dyDescent="0.2">
      <c r="A69" s="50">
        <f t="shared" si="0"/>
        <v>66</v>
      </c>
      <c r="B69" s="190" t="s">
        <v>42</v>
      </c>
      <c r="C69" s="190" t="s">
        <v>89</v>
      </c>
      <c r="D69" s="190"/>
      <c r="E69" s="191" t="s">
        <v>245</v>
      </c>
      <c r="F69" s="212" t="s">
        <v>247</v>
      </c>
      <c r="G69" s="23" t="s">
        <v>83</v>
      </c>
      <c r="H69" s="199">
        <v>32.832000000000001</v>
      </c>
      <c r="I69" s="23">
        <v>625000</v>
      </c>
      <c r="J69" s="19">
        <f>Таблица1[[#This Row],[Блок
 Куб]]*Таблица1[[#This Row],[Цена 
Приход]]</f>
        <v>20520000</v>
      </c>
      <c r="K69" s="25">
        <v>19</v>
      </c>
      <c r="L69" s="25">
        <v>130000</v>
      </c>
      <c r="M69" s="19">
        <f>Таблица1[[#This Row],[Поддон
Шт]]*Таблица1[[#This Row],[Цена
Поддон]]</f>
        <v>2470000</v>
      </c>
      <c r="N69" s="19">
        <f>Таблица1[[#This Row],[Сумма 
Приход]]+Таблица1[[#This Row],[Сумма Поддон]]</f>
        <v>22990000</v>
      </c>
      <c r="O69" s="20">
        <v>700000</v>
      </c>
      <c r="P69" s="19">
        <f>Таблица1[[#This Row],[Цена
 Продажа]]-Таблица1[[#This Row],[Цена 
Приход]]</f>
        <v>75000</v>
      </c>
      <c r="Q69" s="19" t="s">
        <v>53</v>
      </c>
      <c r="R69" s="19">
        <f>Таблица1[[#This Row],[Блок
 Куб]]*Таблица1[[#This Row],[Цена
 Продажа]]</f>
        <v>22982400</v>
      </c>
      <c r="S69" s="20"/>
      <c r="T69" s="19">
        <f>Таблица1[[#This Row],[Сумма 
Продажа]]-Таблица1[[#This Row],[Сумма 
Приход]]</f>
        <v>2462400</v>
      </c>
      <c r="U69" s="19"/>
    </row>
    <row r="70" spans="1:21" ht="14.25" x14ac:dyDescent="0.2">
      <c r="A70" s="50">
        <f t="shared" ref="A70:A133" si="1">A69+1</f>
        <v>67</v>
      </c>
      <c r="B70" s="190" t="s">
        <v>42</v>
      </c>
      <c r="C70" s="190" t="s">
        <v>89</v>
      </c>
      <c r="D70" s="190"/>
      <c r="E70" s="191" t="s">
        <v>245</v>
      </c>
      <c r="F70" s="212" t="s">
        <v>248</v>
      </c>
      <c r="G70" s="23" t="s">
        <v>204</v>
      </c>
      <c r="H70" s="199">
        <v>32.832000000000001</v>
      </c>
      <c r="I70" s="23">
        <v>625000</v>
      </c>
      <c r="J70" s="19">
        <f>Таблица1[[#This Row],[Блок
 Куб]]*Таблица1[[#This Row],[Цена 
Приход]]</f>
        <v>20520000</v>
      </c>
      <c r="K70" s="25">
        <v>19</v>
      </c>
      <c r="L70" s="25">
        <v>130000</v>
      </c>
      <c r="M70" s="19">
        <f>Таблица1[[#This Row],[Поддон
Шт]]*Таблица1[[#This Row],[Цена
Поддон]]</f>
        <v>2470000</v>
      </c>
      <c r="N70" s="19">
        <f>Таблица1[[#This Row],[Сумма 
Приход]]+Таблица1[[#This Row],[Сумма Поддон]]</f>
        <v>22990000</v>
      </c>
      <c r="O70" s="20">
        <v>700000</v>
      </c>
      <c r="P70" s="19">
        <f>Таблица1[[#This Row],[Цена
 Продажа]]-Таблица1[[#This Row],[Цена 
Приход]]</f>
        <v>75000</v>
      </c>
      <c r="Q70" s="19" t="s">
        <v>53</v>
      </c>
      <c r="R70" s="19">
        <f>Таблица1[[#This Row],[Блок
 Куб]]*Таблица1[[#This Row],[Цена
 Продажа]]</f>
        <v>22982400</v>
      </c>
      <c r="S70" s="20"/>
      <c r="T70" s="19">
        <f>Таблица1[[#This Row],[Сумма 
Продажа]]-Таблица1[[#This Row],[Сумма 
Приход]]</f>
        <v>2462400</v>
      </c>
      <c r="U70" s="19"/>
    </row>
    <row r="71" spans="1:21" ht="14.25" x14ac:dyDescent="0.2">
      <c r="A71" s="50">
        <f t="shared" si="1"/>
        <v>68</v>
      </c>
      <c r="B71" s="190" t="s">
        <v>42</v>
      </c>
      <c r="C71" s="190" t="s">
        <v>89</v>
      </c>
      <c r="D71" s="190"/>
      <c r="E71" s="191" t="s">
        <v>246</v>
      </c>
      <c r="F71" s="212" t="s">
        <v>153</v>
      </c>
      <c r="G71" s="23" t="s">
        <v>71</v>
      </c>
      <c r="H71" s="199">
        <v>32.832000000000001</v>
      </c>
      <c r="I71" s="23">
        <v>625000</v>
      </c>
      <c r="J71" s="19">
        <f>Таблица1[[#This Row],[Блок
 Куб]]*Таблица1[[#This Row],[Цена 
Приход]]</f>
        <v>20520000</v>
      </c>
      <c r="K71" s="25">
        <v>19</v>
      </c>
      <c r="L71" s="25">
        <v>130000</v>
      </c>
      <c r="M71" s="19">
        <f>Таблица1[[#This Row],[Поддон
Шт]]*Таблица1[[#This Row],[Цена
Поддон]]</f>
        <v>2470000</v>
      </c>
      <c r="N71" s="19">
        <f>Таблица1[[#This Row],[Сумма 
Приход]]+Таблица1[[#This Row],[Сумма Поддон]]</f>
        <v>22990000</v>
      </c>
      <c r="O71" s="20">
        <v>700000</v>
      </c>
      <c r="P71" s="19">
        <f>Таблица1[[#This Row],[Цена
 Продажа]]-Таблица1[[#This Row],[Цена 
Приход]]</f>
        <v>75000</v>
      </c>
      <c r="Q71" s="19" t="s">
        <v>53</v>
      </c>
      <c r="R71" s="19">
        <f>Таблица1[[#This Row],[Блок
 Куб]]*Таблица1[[#This Row],[Цена
 Продажа]]</f>
        <v>22982400</v>
      </c>
      <c r="S71" s="20"/>
      <c r="T71" s="19">
        <f>Таблица1[[#This Row],[Сумма 
Продажа]]-Таблица1[[#This Row],[Сумма 
Приход]]</f>
        <v>2462400</v>
      </c>
      <c r="U71" s="19"/>
    </row>
    <row r="72" spans="1:21" ht="14.25" x14ac:dyDescent="0.2">
      <c r="A72" s="50">
        <f t="shared" si="1"/>
        <v>69</v>
      </c>
      <c r="B72" s="17" t="s">
        <v>42</v>
      </c>
      <c r="C72" s="17" t="s">
        <v>192</v>
      </c>
      <c r="D72" s="17" t="s">
        <v>205</v>
      </c>
      <c r="E72" s="51">
        <v>46214</v>
      </c>
      <c r="F72" s="189" t="s">
        <v>249</v>
      </c>
      <c r="G72" s="23" t="s">
        <v>71</v>
      </c>
      <c r="H72" s="199">
        <v>32.832000000000001</v>
      </c>
      <c r="I72" s="23">
        <v>625000</v>
      </c>
      <c r="J72" s="19">
        <f>Таблица1[[#This Row],[Блок
 Куб]]*Таблица1[[#This Row],[Цена 
Приход]]</f>
        <v>20520000</v>
      </c>
      <c r="K72" s="25">
        <v>19</v>
      </c>
      <c r="L72" s="25">
        <v>130000</v>
      </c>
      <c r="M72" s="19">
        <f>Таблица1[[#This Row],[Поддон
Шт]]*Таблица1[[#This Row],[Цена
Поддон]]</f>
        <v>2470000</v>
      </c>
      <c r="N72" s="19">
        <f>Таблица1[[#This Row],[Сумма 
Приход]]+Таблица1[[#This Row],[Сумма Поддон]]</f>
        <v>22990000</v>
      </c>
      <c r="O72" s="20">
        <v>700000</v>
      </c>
      <c r="P72" s="19">
        <f>Таблица1[[#This Row],[Цена
 Продажа]]-Таблица1[[#This Row],[Цена 
Приход]]</f>
        <v>75000</v>
      </c>
      <c r="Q72" s="19" t="s">
        <v>53</v>
      </c>
      <c r="R72" s="19">
        <f>Таблица1[[#This Row],[Блок
 Куб]]*Таблица1[[#This Row],[Цена
 Продажа]]</f>
        <v>22982400</v>
      </c>
      <c r="S72" s="20" t="s">
        <v>159</v>
      </c>
      <c r="T72" s="19">
        <f>Таблица1[[#This Row],[Сумма 
Продажа]]-Таблица1[[#This Row],[Сумма 
Приход]]</f>
        <v>2462400</v>
      </c>
      <c r="U72" s="19">
        <v>2500000</v>
      </c>
    </row>
    <row r="73" spans="1:21" ht="14.25" x14ac:dyDescent="0.2">
      <c r="A73" s="50">
        <f t="shared" si="1"/>
        <v>70</v>
      </c>
      <c r="B73" s="17" t="s">
        <v>42</v>
      </c>
      <c r="C73" s="158" t="s">
        <v>163</v>
      </c>
      <c r="D73" s="158" t="s">
        <v>167</v>
      </c>
      <c r="E73" s="159">
        <v>46214</v>
      </c>
      <c r="F73" s="211" t="s">
        <v>250</v>
      </c>
      <c r="G73" s="23" t="s">
        <v>71</v>
      </c>
      <c r="H73" s="199">
        <v>32.832000000000001</v>
      </c>
      <c r="I73" s="23">
        <v>625000</v>
      </c>
      <c r="J73" s="19">
        <f>Таблица1[[#This Row],[Блок
 Куб]]*Таблица1[[#This Row],[Цена 
Приход]]</f>
        <v>20520000</v>
      </c>
      <c r="K73" s="25">
        <v>19</v>
      </c>
      <c r="L73" s="25">
        <v>130000</v>
      </c>
      <c r="M73" s="19">
        <f>Таблица1[[#This Row],[Поддон
Шт]]*Таблица1[[#This Row],[Цена
Поддон]]</f>
        <v>2470000</v>
      </c>
      <c r="N73" s="19">
        <f>Таблица1[[#This Row],[Сумма 
Приход]]+Таблица1[[#This Row],[Сумма Поддон]]</f>
        <v>22990000</v>
      </c>
      <c r="O73" s="20">
        <v>700000</v>
      </c>
      <c r="P73" s="19">
        <f>Таблица1[[#This Row],[Цена
 Продажа]]-Таблица1[[#This Row],[Цена 
Приход]]</f>
        <v>75000</v>
      </c>
      <c r="Q73" s="19" t="s">
        <v>53</v>
      </c>
      <c r="R73" s="19">
        <f>Таблица1[[#This Row],[Блок
 Куб]]*Таблица1[[#This Row],[Цена
 Продажа]]</f>
        <v>22982400</v>
      </c>
      <c r="S73" s="20" t="s">
        <v>159</v>
      </c>
      <c r="T73" s="19">
        <f>Таблица1[[#This Row],[Сумма 
Продажа]]-Таблица1[[#This Row],[Сумма 
Приход]]</f>
        <v>2462400</v>
      </c>
      <c r="U73" s="19">
        <v>2200000</v>
      </c>
    </row>
    <row r="74" spans="1:21" ht="14.25" x14ac:dyDescent="0.2">
      <c r="A74" s="50">
        <f t="shared" si="1"/>
        <v>71</v>
      </c>
      <c r="B74" s="190" t="s">
        <v>42</v>
      </c>
      <c r="C74" s="190" t="s">
        <v>91</v>
      </c>
      <c r="D74" s="190" t="s">
        <v>92</v>
      </c>
      <c r="E74" s="191">
        <v>46214</v>
      </c>
      <c r="F74" s="213" t="s">
        <v>251</v>
      </c>
      <c r="G74" s="23" t="s">
        <v>71</v>
      </c>
      <c r="H74" s="199">
        <v>32.832000000000001</v>
      </c>
      <c r="I74" s="23">
        <v>625000</v>
      </c>
      <c r="J74" s="19">
        <f>Таблица1[[#This Row],[Блок
 Куб]]*Таблица1[[#This Row],[Цена 
Приход]]</f>
        <v>20520000</v>
      </c>
      <c r="K74" s="25">
        <v>19</v>
      </c>
      <c r="L74" s="25">
        <v>130000</v>
      </c>
      <c r="M74" s="19">
        <f>Таблица1[[#This Row],[Поддон
Шт]]*Таблица1[[#This Row],[Цена
Поддон]]</f>
        <v>2470000</v>
      </c>
      <c r="N74" s="19">
        <f>Таблица1[[#This Row],[Сумма 
Приход]]+Таблица1[[#This Row],[Сумма Поддон]]</f>
        <v>22990000</v>
      </c>
      <c r="O74" s="20">
        <v>700000</v>
      </c>
      <c r="P74" s="19">
        <f>Таблица1[[#This Row],[Цена
 Продажа]]-Таблица1[[#This Row],[Цена 
Приход]]</f>
        <v>75000</v>
      </c>
      <c r="Q74" s="19" t="s">
        <v>53</v>
      </c>
      <c r="R74" s="19">
        <f>Таблица1[[#This Row],[Блок
 Куб]]*Таблица1[[#This Row],[Цена
 Продажа]]</f>
        <v>22982400</v>
      </c>
      <c r="S74" s="20"/>
      <c r="T74" s="19">
        <f>Таблица1[[#This Row],[Сумма 
Продажа]]-Таблица1[[#This Row],[Сумма 
Приход]]</f>
        <v>2462400</v>
      </c>
      <c r="U74" s="19"/>
    </row>
    <row r="75" spans="1:21" ht="14.25" x14ac:dyDescent="0.2">
      <c r="A75" s="50">
        <f t="shared" si="1"/>
        <v>72</v>
      </c>
      <c r="B75" s="17" t="s">
        <v>42</v>
      </c>
      <c r="C75" s="53" t="s">
        <v>73</v>
      </c>
      <c r="D75" s="53" t="s">
        <v>221</v>
      </c>
      <c r="E75" s="138">
        <v>46214</v>
      </c>
      <c r="F75" s="47" t="s">
        <v>252</v>
      </c>
      <c r="G75" s="23" t="s">
        <v>83</v>
      </c>
      <c r="H75" s="199">
        <v>32.832000000000001</v>
      </c>
      <c r="I75" s="23">
        <v>625000</v>
      </c>
      <c r="J75" s="19">
        <f>Таблица1[[#This Row],[Блок
 Куб]]*Таблица1[[#This Row],[Цена 
Приход]]</f>
        <v>20520000</v>
      </c>
      <c r="K75" s="25">
        <v>19</v>
      </c>
      <c r="L75" s="25">
        <v>130000</v>
      </c>
      <c r="M75" s="19">
        <f>Таблица1[[#This Row],[Поддон
Шт]]*Таблица1[[#This Row],[Цена
Поддон]]</f>
        <v>2470000</v>
      </c>
      <c r="N75" s="19">
        <f>Таблица1[[#This Row],[Сумма 
Приход]]+Таблица1[[#This Row],[Сумма Поддон]]</f>
        <v>22990000</v>
      </c>
      <c r="O75" s="20">
        <v>700000</v>
      </c>
      <c r="P75" s="19">
        <f>Таблица1[[#This Row],[Цена
 Продажа]]-Таблица1[[#This Row],[Цена 
Приход]]</f>
        <v>75000</v>
      </c>
      <c r="Q75" s="19" t="s">
        <v>53</v>
      </c>
      <c r="R75" s="19">
        <f>Таблица1[[#This Row],[Блок
 Куб]]*Таблица1[[#This Row],[Цена
 Продажа]]</f>
        <v>22982400</v>
      </c>
      <c r="S75" s="20" t="s">
        <v>159</v>
      </c>
      <c r="T75" s="19">
        <f>Таблица1[[#This Row],[Сумма 
Продажа]]-Таблица1[[#This Row],[Сумма 
Приход]]</f>
        <v>2462400</v>
      </c>
      <c r="U75" s="19">
        <v>2200000</v>
      </c>
    </row>
    <row r="76" spans="1:21" ht="14.25" x14ac:dyDescent="0.2">
      <c r="A76" s="50">
        <f t="shared" si="1"/>
        <v>73</v>
      </c>
      <c r="B76" s="17" t="s">
        <v>42</v>
      </c>
      <c r="C76" s="53" t="s">
        <v>73</v>
      </c>
      <c r="D76" s="53" t="s">
        <v>172</v>
      </c>
      <c r="E76" s="138">
        <v>46214</v>
      </c>
      <c r="F76" s="207" t="s">
        <v>134</v>
      </c>
      <c r="G76" s="23" t="s">
        <v>71</v>
      </c>
      <c r="H76" s="199">
        <v>32.832000000000001</v>
      </c>
      <c r="I76" s="23">
        <v>625000</v>
      </c>
      <c r="J76" s="19">
        <f>Таблица1[[#This Row],[Блок
 Куб]]*Таблица1[[#This Row],[Цена 
Приход]]</f>
        <v>20520000</v>
      </c>
      <c r="K76" s="25">
        <v>19</v>
      </c>
      <c r="L76" s="25">
        <v>130000</v>
      </c>
      <c r="M76" s="19">
        <f>Таблица1[[#This Row],[Поддон
Шт]]*Таблица1[[#This Row],[Цена
Поддон]]</f>
        <v>2470000</v>
      </c>
      <c r="N76" s="19">
        <f>Таблица1[[#This Row],[Сумма 
Приход]]+Таблица1[[#This Row],[Сумма Поддон]]</f>
        <v>22990000</v>
      </c>
      <c r="O76" s="20">
        <v>700000</v>
      </c>
      <c r="P76" s="19">
        <f>Таблица1[[#This Row],[Цена
 Продажа]]-Таблица1[[#This Row],[Цена 
Приход]]</f>
        <v>75000</v>
      </c>
      <c r="Q76" s="19" t="s">
        <v>53</v>
      </c>
      <c r="R76" s="19">
        <f>Таблица1[[#This Row],[Блок
 Куб]]*Таблица1[[#This Row],[Цена
 Продажа]]</f>
        <v>22982400</v>
      </c>
      <c r="S76" s="20" t="s">
        <v>159</v>
      </c>
      <c r="T76" s="19">
        <f>Таблица1[[#This Row],[Сумма 
Продажа]]-Таблица1[[#This Row],[Сумма 
Приход]]</f>
        <v>2462400</v>
      </c>
      <c r="U76" s="19">
        <v>2200000</v>
      </c>
    </row>
    <row r="77" spans="1:21" ht="14.25" x14ac:dyDescent="0.2">
      <c r="A77" s="50">
        <f t="shared" si="1"/>
        <v>74</v>
      </c>
      <c r="B77" s="190" t="s">
        <v>42</v>
      </c>
      <c r="C77" s="190" t="s">
        <v>91</v>
      </c>
      <c r="D77" s="190" t="s">
        <v>261</v>
      </c>
      <c r="E77" s="191">
        <v>46215</v>
      </c>
      <c r="F77" s="212" t="s">
        <v>255</v>
      </c>
      <c r="G77" s="23" t="s">
        <v>71</v>
      </c>
      <c r="H77" s="199">
        <v>32.832000000000001</v>
      </c>
      <c r="I77" s="23">
        <v>625000</v>
      </c>
      <c r="J77" s="19">
        <f>Таблица1[[#This Row],[Блок
 Куб]]*Таблица1[[#This Row],[Цена 
Приход]]</f>
        <v>20520000</v>
      </c>
      <c r="K77" s="25">
        <v>19</v>
      </c>
      <c r="L77" s="25">
        <v>130000</v>
      </c>
      <c r="M77" s="19">
        <f>Таблица1[[#This Row],[Поддон
Шт]]*Таблица1[[#This Row],[Цена
Поддон]]</f>
        <v>2470000</v>
      </c>
      <c r="N77" s="19">
        <f>Таблица1[[#This Row],[Сумма 
Приход]]+Таблица1[[#This Row],[Сумма Поддон]]</f>
        <v>22990000</v>
      </c>
      <c r="O77" s="20">
        <v>700000</v>
      </c>
      <c r="P77" s="19">
        <f>Таблица1[[#This Row],[Цена
 Продажа]]-Таблица1[[#This Row],[Цена 
Приход]]</f>
        <v>75000</v>
      </c>
      <c r="Q77" s="19" t="s">
        <v>53</v>
      </c>
      <c r="R77" s="19">
        <f>Таблица1[[#This Row],[Блок
 Куб]]*Таблица1[[#This Row],[Цена
 Продажа]]</f>
        <v>22982400</v>
      </c>
      <c r="S77" s="20" t="s">
        <v>262</v>
      </c>
      <c r="T77" s="19">
        <f>Таблица1[[#This Row],[Сумма 
Продажа]]-Таблица1[[#This Row],[Сумма 
Приход]]</f>
        <v>2462400</v>
      </c>
      <c r="U77" s="19">
        <v>2600000</v>
      </c>
    </row>
    <row r="78" spans="1:21" ht="14.25" x14ac:dyDescent="0.2">
      <c r="A78" s="50">
        <f t="shared" si="1"/>
        <v>75</v>
      </c>
      <c r="B78" s="190" t="s">
        <v>42</v>
      </c>
      <c r="C78" s="190" t="s">
        <v>89</v>
      </c>
      <c r="D78" s="190"/>
      <c r="E78" s="191">
        <v>46215</v>
      </c>
      <c r="F78" s="212" t="s">
        <v>185</v>
      </c>
      <c r="G78" s="23" t="s">
        <v>71</v>
      </c>
      <c r="H78" s="199">
        <v>32.832000000000001</v>
      </c>
      <c r="I78" s="23">
        <v>625000</v>
      </c>
      <c r="J78" s="19">
        <f>Таблица1[[#This Row],[Блок
 Куб]]*Таблица1[[#This Row],[Цена 
Приход]]</f>
        <v>20520000</v>
      </c>
      <c r="K78" s="25">
        <v>19</v>
      </c>
      <c r="L78" s="25">
        <v>130000</v>
      </c>
      <c r="M78" s="19">
        <f>Таблица1[[#This Row],[Поддон
Шт]]*Таблица1[[#This Row],[Цена
Поддон]]</f>
        <v>2470000</v>
      </c>
      <c r="N78" s="19">
        <f>Таблица1[[#This Row],[Сумма 
Приход]]+Таблица1[[#This Row],[Сумма Поддон]]</f>
        <v>22990000</v>
      </c>
      <c r="O78" s="20">
        <v>700000</v>
      </c>
      <c r="P78" s="19">
        <f>Таблица1[[#This Row],[Цена
 Продажа]]-Таблица1[[#This Row],[Цена 
Приход]]</f>
        <v>75000</v>
      </c>
      <c r="Q78" s="19" t="s">
        <v>53</v>
      </c>
      <c r="R78" s="19">
        <f>Таблица1[[#This Row],[Блок
 Куб]]*Таблица1[[#This Row],[Цена
 Продажа]]</f>
        <v>22982400</v>
      </c>
      <c r="S78" s="20"/>
      <c r="T78" s="19">
        <f>Таблица1[[#This Row],[Сумма 
Продажа]]-Таблица1[[#This Row],[Сумма 
Приход]]</f>
        <v>2462400</v>
      </c>
      <c r="U78" s="19"/>
    </row>
    <row r="79" spans="1:21" ht="14.25" x14ac:dyDescent="0.2">
      <c r="A79" s="50">
        <f t="shared" si="1"/>
        <v>76</v>
      </c>
      <c r="B79" s="17" t="s">
        <v>42</v>
      </c>
      <c r="C79" s="17" t="s">
        <v>192</v>
      </c>
      <c r="D79" s="17" t="s">
        <v>258</v>
      </c>
      <c r="E79" s="51">
        <v>46215</v>
      </c>
      <c r="F79" s="189" t="s">
        <v>256</v>
      </c>
      <c r="G79" s="23" t="s">
        <v>71</v>
      </c>
      <c r="H79" s="199">
        <v>32.832000000000001</v>
      </c>
      <c r="I79" s="23">
        <v>625000</v>
      </c>
      <c r="J79" s="19">
        <f>Таблица1[[#This Row],[Блок
 Куб]]*Таблица1[[#This Row],[Цена 
Приход]]</f>
        <v>20520000</v>
      </c>
      <c r="K79" s="25">
        <v>19</v>
      </c>
      <c r="L79" s="25">
        <v>130000</v>
      </c>
      <c r="M79" s="19">
        <f>Таблица1[[#This Row],[Поддон
Шт]]*Таблица1[[#This Row],[Цена
Поддон]]</f>
        <v>2470000</v>
      </c>
      <c r="N79" s="19">
        <f>Таблица1[[#This Row],[Сумма 
Приход]]+Таблица1[[#This Row],[Сумма Поддон]]</f>
        <v>22990000</v>
      </c>
      <c r="O79" s="20">
        <v>700000</v>
      </c>
      <c r="P79" s="19">
        <f>Таблица1[[#This Row],[Цена
 Продажа]]-Таблица1[[#This Row],[Цена 
Приход]]</f>
        <v>75000</v>
      </c>
      <c r="Q79" s="19" t="s">
        <v>53</v>
      </c>
      <c r="R79" s="19">
        <f>Таблица1[[#This Row],[Блок
 Куб]]*Таблица1[[#This Row],[Цена
 Продажа]]</f>
        <v>22982400</v>
      </c>
      <c r="S79" s="20" t="s">
        <v>159</v>
      </c>
      <c r="T79" s="19">
        <f>Таблица1[[#This Row],[Сумма 
Продажа]]-Таблица1[[#This Row],[Сумма 
Приход]]</f>
        <v>2462400</v>
      </c>
      <c r="U79" s="19">
        <v>2200000</v>
      </c>
    </row>
    <row r="80" spans="1:21" ht="14.25" x14ac:dyDescent="0.2">
      <c r="A80" s="50">
        <f t="shared" si="1"/>
        <v>77</v>
      </c>
      <c r="B80" s="17" t="s">
        <v>42</v>
      </c>
      <c r="C80" s="17" t="s">
        <v>192</v>
      </c>
      <c r="D80" s="17" t="s">
        <v>258</v>
      </c>
      <c r="E80" s="51">
        <v>46216</v>
      </c>
      <c r="F80" s="189" t="s">
        <v>257</v>
      </c>
      <c r="G80" s="23" t="s">
        <v>83</v>
      </c>
      <c r="H80" s="199">
        <v>32.832000000000001</v>
      </c>
      <c r="I80" s="23">
        <v>625000</v>
      </c>
      <c r="J80" s="19">
        <f>Таблица1[[#This Row],[Блок
 Куб]]*Таблица1[[#This Row],[Цена 
Приход]]</f>
        <v>20520000</v>
      </c>
      <c r="K80" s="25">
        <v>19</v>
      </c>
      <c r="L80" s="25">
        <v>130000</v>
      </c>
      <c r="M80" s="19">
        <f>Таблица1[[#This Row],[Поддон
Шт]]*Таблица1[[#This Row],[Цена
Поддон]]</f>
        <v>2470000</v>
      </c>
      <c r="N80" s="19">
        <f>Таблица1[[#This Row],[Сумма 
Приход]]+Таблица1[[#This Row],[Сумма Поддон]]</f>
        <v>22990000</v>
      </c>
      <c r="O80" s="20">
        <v>700000</v>
      </c>
      <c r="P80" s="19">
        <f>Таблица1[[#This Row],[Цена
 Продажа]]-Таблица1[[#This Row],[Цена 
Приход]]</f>
        <v>75000</v>
      </c>
      <c r="Q80" s="19" t="s">
        <v>53</v>
      </c>
      <c r="R80" s="19">
        <f>Таблица1[[#This Row],[Блок
 Куб]]*Таблица1[[#This Row],[Цена
 Продажа]]</f>
        <v>22982400</v>
      </c>
      <c r="S80" s="20" t="s">
        <v>159</v>
      </c>
      <c r="T80" s="19">
        <f>Таблица1[[#This Row],[Сумма 
Продажа]]-Таблица1[[#This Row],[Сумма 
Приход]]</f>
        <v>2462400</v>
      </c>
      <c r="U80" s="19">
        <v>2200000</v>
      </c>
    </row>
    <row r="81" spans="1:21" ht="14.25" x14ac:dyDescent="0.2">
      <c r="A81" s="50">
        <f t="shared" si="1"/>
        <v>78</v>
      </c>
      <c r="B81" s="17" t="s">
        <v>42</v>
      </c>
      <c r="C81" s="53" t="s">
        <v>73</v>
      </c>
      <c r="D81" s="53" t="s">
        <v>221</v>
      </c>
      <c r="E81" s="138">
        <v>46216</v>
      </c>
      <c r="F81" s="240" t="s">
        <v>265</v>
      </c>
      <c r="G81" s="23" t="s">
        <v>71</v>
      </c>
      <c r="H81" s="199">
        <v>32.832000000000001</v>
      </c>
      <c r="I81" s="23">
        <v>625000</v>
      </c>
      <c r="J81" s="19">
        <f>Таблица1[[#This Row],[Блок
 Куб]]*Таблица1[[#This Row],[Цена 
Приход]]</f>
        <v>20520000</v>
      </c>
      <c r="K81" s="25">
        <v>19</v>
      </c>
      <c r="L81" s="25">
        <v>130000</v>
      </c>
      <c r="M81" s="19">
        <f>Таблица1[[#This Row],[Поддон
Шт]]*Таблица1[[#This Row],[Цена
Поддон]]</f>
        <v>2470000</v>
      </c>
      <c r="N81" s="19">
        <f>Таблица1[[#This Row],[Сумма 
Приход]]+Таблица1[[#This Row],[Сумма Поддон]]</f>
        <v>22990000</v>
      </c>
      <c r="O81" s="20">
        <v>700000</v>
      </c>
      <c r="P81" s="19">
        <f>Таблица1[[#This Row],[Цена
 Продажа]]-Таблица1[[#This Row],[Цена 
Приход]]</f>
        <v>75000</v>
      </c>
      <c r="Q81" s="19" t="s">
        <v>53</v>
      </c>
      <c r="R81" s="19">
        <f>Таблица1[[#This Row],[Блок
 Куб]]*Таблица1[[#This Row],[Цена
 Продажа]]</f>
        <v>22982400</v>
      </c>
      <c r="S81" s="20" t="s">
        <v>159</v>
      </c>
      <c r="T81" s="19">
        <f>Таблица1[[#This Row],[Сумма 
Продажа]]-Таблица1[[#This Row],[Сумма 
Приход]]</f>
        <v>2462400</v>
      </c>
      <c r="U81" s="19">
        <v>2500000</v>
      </c>
    </row>
    <row r="82" spans="1:21" ht="14.25" x14ac:dyDescent="0.2">
      <c r="A82" s="50">
        <f t="shared" si="1"/>
        <v>79</v>
      </c>
      <c r="B82" s="17" t="s">
        <v>42</v>
      </c>
      <c r="C82" s="53" t="s">
        <v>73</v>
      </c>
      <c r="D82" s="53" t="s">
        <v>172</v>
      </c>
      <c r="E82" s="138">
        <v>46217</v>
      </c>
      <c r="F82" s="240" t="s">
        <v>266</v>
      </c>
      <c r="G82" s="23" t="s">
        <v>83</v>
      </c>
      <c r="H82" s="199">
        <v>32.832000000000001</v>
      </c>
      <c r="I82" s="23">
        <v>625000</v>
      </c>
      <c r="J82" s="19">
        <f>Таблица1[[#This Row],[Блок
 Куб]]*Таблица1[[#This Row],[Цена 
Приход]]</f>
        <v>20520000</v>
      </c>
      <c r="K82" s="25">
        <v>19</v>
      </c>
      <c r="L82" s="25">
        <v>130000</v>
      </c>
      <c r="M82" s="19">
        <f>Таблица1[[#This Row],[Поддон
Шт]]*Таблица1[[#This Row],[Цена
Поддон]]</f>
        <v>2470000</v>
      </c>
      <c r="N82" s="19">
        <f>Таблица1[[#This Row],[Сумма 
Приход]]+Таблица1[[#This Row],[Сумма Поддон]]</f>
        <v>22990000</v>
      </c>
      <c r="O82" s="20">
        <v>700000</v>
      </c>
      <c r="P82" s="19">
        <f>Таблица1[[#This Row],[Цена
 Продажа]]-Таблица1[[#This Row],[Цена 
Приход]]</f>
        <v>75000</v>
      </c>
      <c r="Q82" s="19" t="s">
        <v>53</v>
      </c>
      <c r="R82" s="19">
        <f>Таблица1[[#This Row],[Блок
 Куб]]*Таблица1[[#This Row],[Цена
 Продажа]]</f>
        <v>22982400</v>
      </c>
      <c r="S82" s="20" t="s">
        <v>159</v>
      </c>
      <c r="T82" s="19">
        <f>Таблица1[[#This Row],[Сумма 
Продажа]]-Таблица1[[#This Row],[Сумма 
Приход]]</f>
        <v>2462400</v>
      </c>
      <c r="U82" s="19">
        <v>2500000</v>
      </c>
    </row>
    <row r="83" spans="1:21" ht="14.25" x14ac:dyDescent="0.2">
      <c r="A83" s="50">
        <f t="shared" si="1"/>
        <v>80</v>
      </c>
      <c r="B83" s="17" t="s">
        <v>42</v>
      </c>
      <c r="C83" s="158" t="s">
        <v>163</v>
      </c>
      <c r="D83" s="158" t="s">
        <v>167</v>
      </c>
      <c r="E83" s="159">
        <v>46216</v>
      </c>
      <c r="F83" s="241" t="s">
        <v>267</v>
      </c>
      <c r="G83" s="23" t="s">
        <v>83</v>
      </c>
      <c r="H83" s="199">
        <v>32.832000000000001</v>
      </c>
      <c r="I83" s="23">
        <v>625000</v>
      </c>
      <c r="J83" s="19">
        <f>Таблица1[[#This Row],[Блок
 Куб]]*Таблица1[[#This Row],[Цена 
Приход]]</f>
        <v>20520000</v>
      </c>
      <c r="K83" s="25">
        <v>19</v>
      </c>
      <c r="L83" s="25">
        <v>130000</v>
      </c>
      <c r="M83" s="19">
        <f>Таблица1[[#This Row],[Поддон
Шт]]*Таблица1[[#This Row],[Цена
Поддон]]</f>
        <v>2470000</v>
      </c>
      <c r="N83" s="19">
        <f>Таблица1[[#This Row],[Сумма 
Приход]]+Таблица1[[#This Row],[Сумма Поддон]]</f>
        <v>22990000</v>
      </c>
      <c r="O83" s="20">
        <v>700000</v>
      </c>
      <c r="P83" s="19">
        <f>Таблица1[[#This Row],[Цена
 Продажа]]-Таблица1[[#This Row],[Цена 
Приход]]</f>
        <v>75000</v>
      </c>
      <c r="Q83" s="19" t="s">
        <v>53</v>
      </c>
      <c r="R83" s="19">
        <f>Таблица1[[#This Row],[Блок
 Куб]]*Таблица1[[#This Row],[Цена
 Продажа]]</f>
        <v>22982400</v>
      </c>
      <c r="S83" s="20" t="s">
        <v>159</v>
      </c>
      <c r="T83" s="19">
        <f>Таблица1[[#This Row],[Сумма 
Продажа]]-Таблица1[[#This Row],[Сумма 
Приход]]</f>
        <v>2462400</v>
      </c>
      <c r="U83" s="19">
        <v>2300000</v>
      </c>
    </row>
    <row r="84" spans="1:21" ht="14.25" x14ac:dyDescent="0.2">
      <c r="A84" s="50">
        <f t="shared" si="1"/>
        <v>81</v>
      </c>
      <c r="B84" s="17" t="s">
        <v>42</v>
      </c>
      <c r="C84" s="158" t="s">
        <v>163</v>
      </c>
      <c r="D84" s="158" t="s">
        <v>167</v>
      </c>
      <c r="E84" s="159">
        <v>46216</v>
      </c>
      <c r="F84" s="241" t="s">
        <v>255</v>
      </c>
      <c r="G84" s="23" t="s">
        <v>71</v>
      </c>
      <c r="H84" s="199">
        <v>32.832000000000001</v>
      </c>
      <c r="I84" s="23">
        <v>625000</v>
      </c>
      <c r="J84" s="19">
        <f>Таблица1[[#This Row],[Блок
 Куб]]*Таблица1[[#This Row],[Цена 
Приход]]</f>
        <v>20520000</v>
      </c>
      <c r="K84" s="25">
        <v>19</v>
      </c>
      <c r="L84" s="25">
        <v>130000</v>
      </c>
      <c r="M84" s="19">
        <f>Таблица1[[#This Row],[Поддон
Шт]]*Таблица1[[#This Row],[Цена
Поддон]]</f>
        <v>2470000</v>
      </c>
      <c r="N84" s="19">
        <f>Таблица1[[#This Row],[Сумма 
Приход]]+Таблица1[[#This Row],[Сумма Поддон]]</f>
        <v>22990000</v>
      </c>
      <c r="O84" s="20">
        <v>700000</v>
      </c>
      <c r="P84" s="19">
        <f>Таблица1[[#This Row],[Цена
 Продажа]]-Таблица1[[#This Row],[Цена 
Приход]]</f>
        <v>75000</v>
      </c>
      <c r="Q84" s="19" t="s">
        <v>53</v>
      </c>
      <c r="R84" s="19">
        <f>Таблица1[[#This Row],[Блок
 Куб]]*Таблица1[[#This Row],[Цена
 Продажа]]</f>
        <v>22982400</v>
      </c>
      <c r="S84" s="20" t="s">
        <v>159</v>
      </c>
      <c r="T84" s="19">
        <f>Таблица1[[#This Row],[Сумма 
Продажа]]-Таблица1[[#This Row],[Сумма 
Приход]]</f>
        <v>2462400</v>
      </c>
      <c r="U84" s="19">
        <v>2300000</v>
      </c>
    </row>
    <row r="85" spans="1:21" ht="14.25" x14ac:dyDescent="0.2">
      <c r="A85" s="50">
        <f t="shared" si="1"/>
        <v>82</v>
      </c>
      <c r="B85" s="17" t="s">
        <v>42</v>
      </c>
      <c r="C85" s="158" t="s">
        <v>163</v>
      </c>
      <c r="D85" s="158" t="s">
        <v>214</v>
      </c>
      <c r="E85" s="159">
        <v>46216</v>
      </c>
      <c r="F85" s="241" t="s">
        <v>268</v>
      </c>
      <c r="G85" s="23" t="s">
        <v>71</v>
      </c>
      <c r="H85" s="199">
        <v>32.832000000000001</v>
      </c>
      <c r="I85" s="23">
        <v>625000</v>
      </c>
      <c r="J85" s="19">
        <f>Таблица1[[#This Row],[Блок
 Куб]]*Таблица1[[#This Row],[Цена 
Приход]]</f>
        <v>20520000</v>
      </c>
      <c r="K85" s="25">
        <v>19</v>
      </c>
      <c r="L85" s="25">
        <v>130000</v>
      </c>
      <c r="M85" s="19">
        <f>Таблица1[[#This Row],[Поддон
Шт]]*Таблица1[[#This Row],[Цена
Поддон]]</f>
        <v>2470000</v>
      </c>
      <c r="N85" s="19">
        <f>Таблица1[[#This Row],[Сумма 
Приход]]+Таблица1[[#This Row],[Сумма Поддон]]</f>
        <v>22990000</v>
      </c>
      <c r="O85" s="20">
        <v>700000</v>
      </c>
      <c r="P85" s="19">
        <f>Таблица1[[#This Row],[Цена
 Продажа]]-Таблица1[[#This Row],[Цена 
Приход]]</f>
        <v>75000</v>
      </c>
      <c r="Q85" s="19" t="s">
        <v>53</v>
      </c>
      <c r="R85" s="19">
        <f>Таблица1[[#This Row],[Блок
 Куб]]*Таблица1[[#This Row],[Цена
 Продажа]]</f>
        <v>22982400</v>
      </c>
      <c r="S85" s="20" t="s">
        <v>159</v>
      </c>
      <c r="T85" s="19">
        <f>Таблица1[[#This Row],[Сумма 
Продажа]]-Таблица1[[#This Row],[Сумма 
Приход]]</f>
        <v>2462400</v>
      </c>
      <c r="U85" s="19">
        <v>2300000</v>
      </c>
    </row>
    <row r="86" spans="1:21" ht="14.25" x14ac:dyDescent="0.2">
      <c r="A86" s="50">
        <f t="shared" si="1"/>
        <v>83</v>
      </c>
      <c r="B86" s="17" t="s">
        <v>42</v>
      </c>
      <c r="C86" s="158" t="s">
        <v>163</v>
      </c>
      <c r="D86" s="158" t="s">
        <v>214</v>
      </c>
      <c r="E86" s="159">
        <v>46217</v>
      </c>
      <c r="F86" s="241" t="s">
        <v>269</v>
      </c>
      <c r="G86" s="23" t="s">
        <v>71</v>
      </c>
      <c r="H86" s="199">
        <v>32.832000000000001</v>
      </c>
      <c r="I86" s="23">
        <v>625000</v>
      </c>
      <c r="J86" s="19">
        <f>Таблица1[[#This Row],[Блок
 Куб]]*Таблица1[[#This Row],[Цена 
Приход]]</f>
        <v>20520000</v>
      </c>
      <c r="K86" s="25">
        <v>19</v>
      </c>
      <c r="L86" s="25">
        <v>130000</v>
      </c>
      <c r="M86" s="19">
        <f>Таблица1[[#This Row],[Поддон
Шт]]*Таблица1[[#This Row],[Цена
Поддон]]</f>
        <v>2470000</v>
      </c>
      <c r="N86" s="19">
        <f>Таблица1[[#This Row],[Сумма 
Приход]]+Таблица1[[#This Row],[Сумма Поддон]]</f>
        <v>22990000</v>
      </c>
      <c r="O86" s="20">
        <v>700000</v>
      </c>
      <c r="P86" s="19">
        <f>Таблица1[[#This Row],[Цена
 Продажа]]-Таблица1[[#This Row],[Цена 
Приход]]</f>
        <v>75000</v>
      </c>
      <c r="Q86" s="19" t="s">
        <v>53</v>
      </c>
      <c r="R86" s="19">
        <f>Таблица1[[#This Row],[Блок
 Куб]]*Таблица1[[#This Row],[Цена
 Продажа]]</f>
        <v>22982400</v>
      </c>
      <c r="S86" s="20" t="s">
        <v>159</v>
      </c>
      <c r="T86" s="19">
        <f>Таблица1[[#This Row],[Сумма 
Продажа]]-Таблица1[[#This Row],[Сумма 
Приход]]</f>
        <v>2462400</v>
      </c>
      <c r="U86" s="19">
        <v>2300000</v>
      </c>
    </row>
    <row r="87" spans="1:21" ht="14.25" x14ac:dyDescent="0.2">
      <c r="A87" s="50">
        <f t="shared" si="1"/>
        <v>84</v>
      </c>
      <c r="B87" s="17" t="s">
        <v>42</v>
      </c>
      <c r="C87" s="17" t="s">
        <v>74</v>
      </c>
      <c r="D87" s="17"/>
      <c r="E87" s="51">
        <v>46216</v>
      </c>
      <c r="F87" s="50" t="s">
        <v>270</v>
      </c>
      <c r="G87" s="23" t="s">
        <v>71</v>
      </c>
      <c r="H87" s="199">
        <v>32.832000000000001</v>
      </c>
      <c r="I87" s="23">
        <v>625000</v>
      </c>
      <c r="J87" s="19">
        <f>Таблица1[[#This Row],[Блок
 Куб]]*Таблица1[[#This Row],[Цена 
Приход]]</f>
        <v>20520000</v>
      </c>
      <c r="K87" s="25">
        <v>19</v>
      </c>
      <c r="L87" s="25">
        <v>130000</v>
      </c>
      <c r="M87" s="19">
        <f>Таблица1[[#This Row],[Поддон
Шт]]*Таблица1[[#This Row],[Цена
Поддон]]</f>
        <v>2470000</v>
      </c>
      <c r="N87" s="19">
        <f>Таблица1[[#This Row],[Сумма 
Приход]]+Таблица1[[#This Row],[Сумма Поддон]]</f>
        <v>22990000</v>
      </c>
      <c r="O87" s="20">
        <v>700000</v>
      </c>
      <c r="P87" s="19">
        <f>Таблица1[[#This Row],[Цена
 Продажа]]-Таблица1[[#This Row],[Цена 
Приход]]</f>
        <v>75000</v>
      </c>
      <c r="Q87" s="19" t="s">
        <v>53</v>
      </c>
      <c r="R87" s="19">
        <f>Таблица1[[#This Row],[Блок
 Куб]]*Таблица1[[#This Row],[Цена
 Продажа]]</f>
        <v>22982400</v>
      </c>
      <c r="S87" s="20"/>
      <c r="T87" s="19">
        <f>Таблица1[[#This Row],[Сумма 
Продажа]]-Таблица1[[#This Row],[Сумма 
Приход]]</f>
        <v>2462400</v>
      </c>
      <c r="U87" s="19"/>
    </row>
    <row r="88" spans="1:21" ht="14.25" x14ac:dyDescent="0.2">
      <c r="A88" s="50">
        <f t="shared" si="1"/>
        <v>85</v>
      </c>
      <c r="B88" s="17" t="s">
        <v>42</v>
      </c>
      <c r="C88" s="17" t="s">
        <v>74</v>
      </c>
      <c r="D88" s="17"/>
      <c r="E88" s="51">
        <v>46216</v>
      </c>
      <c r="F88" s="50" t="s">
        <v>271</v>
      </c>
      <c r="G88" s="23" t="s">
        <v>71</v>
      </c>
      <c r="H88" s="199">
        <v>32.832000000000001</v>
      </c>
      <c r="I88" s="23">
        <v>625000</v>
      </c>
      <c r="J88" s="19">
        <f>Таблица1[[#This Row],[Блок
 Куб]]*Таблица1[[#This Row],[Цена 
Приход]]</f>
        <v>20520000</v>
      </c>
      <c r="K88" s="25">
        <v>19</v>
      </c>
      <c r="L88" s="25">
        <v>130000</v>
      </c>
      <c r="M88" s="19">
        <f>Таблица1[[#This Row],[Поддон
Шт]]*Таблица1[[#This Row],[Цена
Поддон]]</f>
        <v>2470000</v>
      </c>
      <c r="N88" s="19">
        <f>Таблица1[[#This Row],[Сумма 
Приход]]+Таблица1[[#This Row],[Сумма Поддон]]</f>
        <v>22990000</v>
      </c>
      <c r="O88" s="20">
        <v>700000</v>
      </c>
      <c r="P88" s="19">
        <f>Таблица1[[#This Row],[Цена
 Продажа]]-Таблица1[[#This Row],[Цена 
Приход]]</f>
        <v>75000</v>
      </c>
      <c r="Q88" s="19" t="s">
        <v>53</v>
      </c>
      <c r="R88" s="19">
        <f>Таблица1[[#This Row],[Блок
 Куб]]*Таблица1[[#This Row],[Цена
 Продажа]]</f>
        <v>22982400</v>
      </c>
      <c r="S88" s="20"/>
      <c r="T88" s="19">
        <f>Таблица1[[#This Row],[Сумма 
Продажа]]-Таблица1[[#This Row],[Сумма 
Приход]]</f>
        <v>2462400</v>
      </c>
      <c r="U88" s="19"/>
    </row>
    <row r="89" spans="1:21" ht="14.25" x14ac:dyDescent="0.2">
      <c r="A89" s="50">
        <f t="shared" si="1"/>
        <v>86</v>
      </c>
      <c r="B89" s="17" t="s">
        <v>42</v>
      </c>
      <c r="C89" s="181" t="s">
        <v>91</v>
      </c>
      <c r="D89" s="181"/>
      <c r="E89" s="182">
        <v>46125</v>
      </c>
      <c r="F89" s="242" t="s">
        <v>272</v>
      </c>
      <c r="G89" s="23" t="s">
        <v>71</v>
      </c>
      <c r="H89" s="199">
        <v>32.832000000000001</v>
      </c>
      <c r="I89" s="23">
        <v>625000</v>
      </c>
      <c r="J89" s="19">
        <f>Таблица1[[#This Row],[Блок
 Куб]]*Таблица1[[#This Row],[Цена 
Приход]]</f>
        <v>20520000</v>
      </c>
      <c r="K89" s="25">
        <v>19</v>
      </c>
      <c r="L89" s="25">
        <v>130000</v>
      </c>
      <c r="M89" s="19">
        <f>Таблица1[[#This Row],[Поддон
Шт]]*Таблица1[[#This Row],[Цена
Поддон]]</f>
        <v>2470000</v>
      </c>
      <c r="N89" s="19">
        <f>Таблица1[[#This Row],[Сумма 
Приход]]+Таблица1[[#This Row],[Сумма Поддон]]</f>
        <v>22990000</v>
      </c>
      <c r="O89" s="20">
        <v>700000</v>
      </c>
      <c r="P89" s="19">
        <f>Таблица1[[#This Row],[Цена
 Продажа]]-Таблица1[[#This Row],[Цена 
Приход]]</f>
        <v>75000</v>
      </c>
      <c r="Q89" s="19" t="s">
        <v>53</v>
      </c>
      <c r="R89" s="19">
        <f>Таблица1[[#This Row],[Блок
 Куб]]*Таблица1[[#This Row],[Цена
 Продажа]]</f>
        <v>22982400</v>
      </c>
      <c r="S89" s="20" t="s">
        <v>159</v>
      </c>
      <c r="T89" s="19">
        <f>Таблица1[[#This Row],[Сумма 
Продажа]]-Таблица1[[#This Row],[Сумма 
Приход]]</f>
        <v>2462400</v>
      </c>
      <c r="U89" s="19">
        <v>2400000</v>
      </c>
    </row>
    <row r="90" spans="1:21" ht="14.25" x14ac:dyDescent="0.2">
      <c r="A90" s="50">
        <f t="shared" si="1"/>
        <v>87</v>
      </c>
      <c r="B90" s="17" t="s">
        <v>42</v>
      </c>
      <c r="C90" s="17" t="s">
        <v>192</v>
      </c>
      <c r="D90" s="17" t="s">
        <v>277</v>
      </c>
      <c r="E90" s="51">
        <v>46216</v>
      </c>
      <c r="F90" s="50" t="s">
        <v>276</v>
      </c>
      <c r="G90" s="23" t="s">
        <v>71</v>
      </c>
      <c r="H90" s="199">
        <v>25.919999999999998</v>
      </c>
      <c r="I90" s="23">
        <v>625000</v>
      </c>
      <c r="J90" s="19">
        <f>Таблица1[[#This Row],[Блок
 Куб]]*Таблица1[[#This Row],[Цена 
Приход]]</f>
        <v>16199999.999999998</v>
      </c>
      <c r="K90" s="25">
        <v>15</v>
      </c>
      <c r="L90" s="25">
        <v>130000</v>
      </c>
      <c r="M90" s="19">
        <f>Таблица1[[#This Row],[Поддон
Шт]]*Таблица1[[#This Row],[Цена
Поддон]]</f>
        <v>1950000</v>
      </c>
      <c r="N90" s="19">
        <f>Таблица1[[#This Row],[Сумма 
Приход]]+Таблица1[[#This Row],[Сумма Поддон]]</f>
        <v>18150000</v>
      </c>
      <c r="O90" s="20">
        <v>700000</v>
      </c>
      <c r="P90" s="19">
        <f>Таблица1[[#This Row],[Цена
 Продажа]]-Таблица1[[#This Row],[Цена 
Приход]]</f>
        <v>75000</v>
      </c>
      <c r="Q90" s="19" t="s">
        <v>53</v>
      </c>
      <c r="R90" s="19">
        <f>Таблица1[[#This Row],[Блок
 Куб]]*Таблица1[[#This Row],[Цена
 Продажа]]</f>
        <v>18144000</v>
      </c>
      <c r="S90" s="20" t="s">
        <v>159</v>
      </c>
      <c r="T90" s="19">
        <f>Таблица1[[#This Row],[Сумма 
Продажа]]-Таблица1[[#This Row],[Сумма 
Приход]]</f>
        <v>1944000.0000000019</v>
      </c>
      <c r="U90" s="19">
        <v>2250000</v>
      </c>
    </row>
    <row r="91" spans="1:21" ht="14.25" x14ac:dyDescent="0.2">
      <c r="A91" s="50">
        <f t="shared" si="1"/>
        <v>88</v>
      </c>
      <c r="B91" s="17" t="s">
        <v>42</v>
      </c>
      <c r="C91" s="181" t="s">
        <v>91</v>
      </c>
      <c r="D91" s="17"/>
      <c r="E91" s="51">
        <v>46216</v>
      </c>
      <c r="F91" s="50" t="s">
        <v>276</v>
      </c>
      <c r="G91" s="23" t="s">
        <v>71</v>
      </c>
      <c r="H91" s="199">
        <v>6.9119999999999999</v>
      </c>
      <c r="I91" s="23">
        <v>625000</v>
      </c>
      <c r="J91" s="19">
        <f>Таблица1[[#This Row],[Блок
 Куб]]*Таблица1[[#This Row],[Цена 
Приход]]</f>
        <v>4320000</v>
      </c>
      <c r="K91" s="25">
        <v>4</v>
      </c>
      <c r="L91" s="25">
        <v>130000</v>
      </c>
      <c r="M91" s="19">
        <f>Таблица1[[#This Row],[Поддон
Шт]]*Таблица1[[#This Row],[Цена
Поддон]]</f>
        <v>520000</v>
      </c>
      <c r="N91" s="19">
        <f>Таблица1[[#This Row],[Сумма 
Приход]]+Таблица1[[#This Row],[Сумма Поддон]]</f>
        <v>4840000</v>
      </c>
      <c r="O91" s="20">
        <v>700000</v>
      </c>
      <c r="P91" s="19">
        <f>Таблица1[[#This Row],[Цена
 Продажа]]-Таблица1[[#This Row],[Цена 
Приход]]</f>
        <v>75000</v>
      </c>
      <c r="Q91" s="19" t="s">
        <v>53</v>
      </c>
      <c r="R91" s="19">
        <f>Таблица1[[#This Row],[Блок
 Куб]]*Таблица1[[#This Row],[Цена
 Продажа]]</f>
        <v>4838400</v>
      </c>
      <c r="S91" s="20" t="s">
        <v>159</v>
      </c>
      <c r="T91" s="19">
        <f>Таблица1[[#This Row],[Сумма 
Продажа]]-Таблица1[[#This Row],[Сумма 
Приход]]</f>
        <v>518400</v>
      </c>
      <c r="U91" s="19">
        <v>450000</v>
      </c>
    </row>
    <row r="92" spans="1:21" ht="14.25" x14ac:dyDescent="0.2">
      <c r="A92" s="50">
        <f t="shared" si="1"/>
        <v>89</v>
      </c>
      <c r="B92" s="17"/>
      <c r="C92" s="17"/>
      <c r="D92" s="17"/>
      <c r="E92" s="51"/>
      <c r="F92" s="50"/>
      <c r="G92" s="23"/>
      <c r="H92" s="199"/>
      <c r="I92" s="23"/>
      <c r="J92" s="19">
        <f>Таблица1[[#This Row],[Блок
 Куб]]*Таблица1[[#This Row],[Цена 
Приход]]</f>
        <v>0</v>
      </c>
      <c r="K92" s="25"/>
      <c r="L92" s="25"/>
      <c r="M92" s="19">
        <f>Таблица1[[#This Row],[Поддон
Шт]]*Таблица1[[#This Row],[Цена
Поддон]]</f>
        <v>0</v>
      </c>
      <c r="N92" s="19">
        <f>Таблица1[[#This Row],[Сумма 
Приход]]+Таблица1[[#This Row],[Сумма Поддон]]</f>
        <v>0</v>
      </c>
      <c r="O92" s="20"/>
      <c r="P92" s="19">
        <f>Таблица1[[#This Row],[Цена
 Продажа]]-Таблица1[[#This Row],[Цена 
Приход]]</f>
        <v>0</v>
      </c>
      <c r="Q92" s="19"/>
      <c r="R92" s="19">
        <f>Таблица1[[#This Row],[Блок
 Куб]]*Таблица1[[#This Row],[Цена
 Продажа]]</f>
        <v>0</v>
      </c>
      <c r="S92" s="20"/>
      <c r="T92" s="19">
        <f>Таблица1[[#This Row],[Сумма 
Продажа]]-Таблица1[[#This Row],[Сумма 
Приход]]</f>
        <v>0</v>
      </c>
      <c r="U92" s="19"/>
    </row>
    <row r="93" spans="1:21" ht="14.25" x14ac:dyDescent="0.2">
      <c r="A93" s="50">
        <f t="shared" si="1"/>
        <v>90</v>
      </c>
      <c r="B93" s="17"/>
      <c r="C93" s="17"/>
      <c r="D93" s="17"/>
      <c r="E93" s="51"/>
      <c r="F93" s="50"/>
      <c r="G93" s="23"/>
      <c r="H93" s="24"/>
      <c r="I93" s="23"/>
      <c r="J93" s="19">
        <f>Таблица1[[#This Row],[Блок
 Куб]]*Таблица1[[#This Row],[Цена 
Приход]]</f>
        <v>0</v>
      </c>
      <c r="K93" s="25"/>
      <c r="L93" s="25"/>
      <c r="M93" s="19">
        <f>Таблица1[[#This Row],[Поддон
Шт]]*Таблица1[[#This Row],[Цена
Поддон]]</f>
        <v>0</v>
      </c>
      <c r="N93" s="19">
        <f>Таблица1[[#This Row],[Сумма 
Приход]]+Таблица1[[#This Row],[Сумма Поддон]]</f>
        <v>0</v>
      </c>
      <c r="O93" s="20"/>
      <c r="P93" s="19">
        <f>Таблица1[[#This Row],[Цена
 Продажа]]-Таблица1[[#This Row],[Цена 
Приход]]</f>
        <v>0</v>
      </c>
      <c r="Q93" s="19"/>
      <c r="R93" s="19">
        <f>Таблица1[[#This Row],[Блок
 Куб]]*Таблица1[[#This Row],[Цена
 Продажа]]</f>
        <v>0</v>
      </c>
      <c r="S93" s="20"/>
      <c r="T93" s="19">
        <f>Таблица1[[#This Row],[Сумма 
Продажа]]-Таблица1[[#This Row],[Сумма 
Приход]]</f>
        <v>0</v>
      </c>
      <c r="U93" s="19"/>
    </row>
    <row r="94" spans="1:21" ht="14.25" x14ac:dyDescent="0.2">
      <c r="A94" s="50">
        <f t="shared" si="1"/>
        <v>91</v>
      </c>
      <c r="B94" s="17"/>
      <c r="C94" s="17"/>
      <c r="D94" s="17"/>
      <c r="E94" s="51"/>
      <c r="F94" s="50"/>
      <c r="G94" s="23"/>
      <c r="H94" s="24"/>
      <c r="I94" s="23"/>
      <c r="J94" s="19">
        <f>Таблица1[[#This Row],[Блок
 Куб]]*Таблица1[[#This Row],[Цена 
Приход]]</f>
        <v>0</v>
      </c>
      <c r="K94" s="25"/>
      <c r="L94" s="25"/>
      <c r="M94" s="19">
        <f>Таблица1[[#This Row],[Поддон
Шт]]*Таблица1[[#This Row],[Цена
Поддон]]</f>
        <v>0</v>
      </c>
      <c r="N94" s="19">
        <f>Таблица1[[#This Row],[Сумма 
Приход]]+Таблица1[[#This Row],[Сумма Поддон]]</f>
        <v>0</v>
      </c>
      <c r="O94" s="20"/>
      <c r="P94" s="19">
        <f>Таблица1[[#This Row],[Цена
 Продажа]]-Таблица1[[#This Row],[Цена 
Приход]]</f>
        <v>0</v>
      </c>
      <c r="Q94" s="19"/>
      <c r="R94" s="19">
        <f>Таблица1[[#This Row],[Блок
 Куб]]*Таблица1[[#This Row],[Цена
 Продажа]]</f>
        <v>0</v>
      </c>
      <c r="S94" s="20"/>
      <c r="T94" s="19">
        <f>Таблица1[[#This Row],[Сумма 
Продажа]]-Таблица1[[#This Row],[Сумма 
Приход]]</f>
        <v>0</v>
      </c>
      <c r="U94" s="19"/>
    </row>
    <row r="95" spans="1:21" ht="14.25" x14ac:dyDescent="0.2">
      <c r="A95" s="50">
        <f t="shared" si="1"/>
        <v>92</v>
      </c>
      <c r="B95" s="17"/>
      <c r="C95" s="17"/>
      <c r="D95" s="17"/>
      <c r="E95" s="51"/>
      <c r="F95" s="50"/>
      <c r="G95" s="23"/>
      <c r="H95" s="24"/>
      <c r="I95" s="23"/>
      <c r="J95" s="19">
        <f>Таблица1[[#This Row],[Блок
 Куб]]*Таблица1[[#This Row],[Цена 
Приход]]</f>
        <v>0</v>
      </c>
      <c r="K95" s="25"/>
      <c r="L95" s="25"/>
      <c r="M95" s="19">
        <f>Таблица1[[#This Row],[Поддон
Шт]]*Таблица1[[#This Row],[Цена
Поддон]]</f>
        <v>0</v>
      </c>
      <c r="N95" s="19">
        <f>Таблица1[[#This Row],[Сумма 
Приход]]+Таблица1[[#This Row],[Сумма Поддон]]</f>
        <v>0</v>
      </c>
      <c r="O95" s="20"/>
      <c r="P95" s="19">
        <f>Таблица1[[#This Row],[Цена
 Продажа]]-Таблица1[[#This Row],[Цена 
Приход]]</f>
        <v>0</v>
      </c>
      <c r="Q95" s="19"/>
      <c r="R95" s="19">
        <f>Таблица1[[#This Row],[Блок
 Куб]]*Таблица1[[#This Row],[Цена
 Продажа]]</f>
        <v>0</v>
      </c>
      <c r="S95" s="20"/>
      <c r="T95" s="19">
        <f>Таблица1[[#This Row],[Сумма 
Продажа]]-Таблица1[[#This Row],[Сумма 
Приход]]</f>
        <v>0</v>
      </c>
      <c r="U95" s="19"/>
    </row>
    <row r="96" spans="1:21" ht="14.25" x14ac:dyDescent="0.2">
      <c r="A96" s="50">
        <f t="shared" si="1"/>
        <v>93</v>
      </c>
      <c r="B96" s="17"/>
      <c r="C96" s="17"/>
      <c r="D96" s="17"/>
      <c r="E96" s="51"/>
      <c r="F96" s="50"/>
      <c r="G96" s="23"/>
      <c r="H96" s="24"/>
      <c r="I96" s="23"/>
      <c r="J96" s="19">
        <f>Таблица1[[#This Row],[Блок
 Куб]]*Таблица1[[#This Row],[Цена 
Приход]]</f>
        <v>0</v>
      </c>
      <c r="K96" s="25"/>
      <c r="L96" s="25"/>
      <c r="M96" s="19">
        <f>Таблица1[[#This Row],[Поддон
Шт]]*Таблица1[[#This Row],[Цена
Поддон]]</f>
        <v>0</v>
      </c>
      <c r="N96" s="19">
        <f>Таблица1[[#This Row],[Сумма 
Приход]]+Таблица1[[#This Row],[Сумма Поддон]]</f>
        <v>0</v>
      </c>
      <c r="O96" s="20"/>
      <c r="P96" s="19">
        <f>Таблица1[[#This Row],[Цена
 Продажа]]-Таблица1[[#This Row],[Цена 
Приход]]</f>
        <v>0</v>
      </c>
      <c r="Q96" s="19"/>
      <c r="R96" s="19">
        <f>Таблица1[[#This Row],[Блок
 Куб]]*Таблица1[[#This Row],[Цена
 Продажа]]</f>
        <v>0</v>
      </c>
      <c r="S96" s="20"/>
      <c r="T96" s="19">
        <f>Таблица1[[#This Row],[Сумма 
Продажа]]-Таблица1[[#This Row],[Сумма 
Приход]]</f>
        <v>0</v>
      </c>
      <c r="U96" s="19"/>
    </row>
    <row r="97" spans="1:21" ht="14.25" x14ac:dyDescent="0.2">
      <c r="A97" s="50">
        <f t="shared" si="1"/>
        <v>94</v>
      </c>
      <c r="B97" s="17"/>
      <c r="C97" s="17"/>
      <c r="D97" s="17"/>
      <c r="E97" s="51"/>
      <c r="F97" s="50"/>
      <c r="G97" s="23"/>
      <c r="H97" s="24"/>
      <c r="I97" s="23"/>
      <c r="J97" s="19">
        <f>Таблица1[[#This Row],[Блок
 Куб]]*Таблица1[[#This Row],[Цена 
Приход]]</f>
        <v>0</v>
      </c>
      <c r="K97" s="25"/>
      <c r="L97" s="25"/>
      <c r="M97" s="19">
        <f>Таблица1[[#This Row],[Поддон
Шт]]*Таблица1[[#This Row],[Цена
Поддон]]</f>
        <v>0</v>
      </c>
      <c r="N97" s="19">
        <f>Таблица1[[#This Row],[Сумма 
Приход]]+Таблица1[[#This Row],[Сумма Поддон]]</f>
        <v>0</v>
      </c>
      <c r="O97" s="20"/>
      <c r="P97" s="19">
        <f>Таблица1[[#This Row],[Цена
 Продажа]]-Таблица1[[#This Row],[Цена 
Приход]]</f>
        <v>0</v>
      </c>
      <c r="Q97" s="19"/>
      <c r="R97" s="19">
        <f>Таблица1[[#This Row],[Блок
 Куб]]*Таблица1[[#This Row],[Цена
 Продажа]]</f>
        <v>0</v>
      </c>
      <c r="S97" s="20"/>
      <c r="T97" s="19">
        <f>Таблица1[[#This Row],[Сумма 
Продажа]]-Таблица1[[#This Row],[Сумма 
Приход]]</f>
        <v>0</v>
      </c>
      <c r="U97" s="19"/>
    </row>
    <row r="98" spans="1:21" ht="14.25" x14ac:dyDescent="0.2">
      <c r="A98" s="50">
        <f t="shared" si="1"/>
        <v>95</v>
      </c>
      <c r="B98" s="17"/>
      <c r="C98" s="17"/>
      <c r="D98" s="17"/>
      <c r="E98" s="51"/>
      <c r="F98" s="50"/>
      <c r="G98" s="23"/>
      <c r="H98" s="24"/>
      <c r="I98" s="23"/>
      <c r="J98" s="19">
        <f>Таблица1[[#This Row],[Блок
 Куб]]*Таблица1[[#This Row],[Цена 
Приход]]</f>
        <v>0</v>
      </c>
      <c r="K98" s="25"/>
      <c r="L98" s="25"/>
      <c r="M98" s="19">
        <f>Таблица1[[#This Row],[Поддон
Шт]]*Таблица1[[#This Row],[Цена
Поддон]]</f>
        <v>0</v>
      </c>
      <c r="N98" s="19">
        <f>Таблица1[[#This Row],[Сумма 
Приход]]+Таблица1[[#This Row],[Сумма Поддон]]</f>
        <v>0</v>
      </c>
      <c r="O98" s="20"/>
      <c r="P98" s="19">
        <f>Таблица1[[#This Row],[Цена
 Продажа]]-Таблица1[[#This Row],[Цена 
Приход]]</f>
        <v>0</v>
      </c>
      <c r="Q98" s="19"/>
      <c r="R98" s="19">
        <f>Таблица1[[#This Row],[Блок
 Куб]]*Таблица1[[#This Row],[Цена
 Продажа]]</f>
        <v>0</v>
      </c>
      <c r="S98" s="20"/>
      <c r="T98" s="19">
        <f>Таблица1[[#This Row],[Сумма 
Продажа]]-Таблица1[[#This Row],[Сумма 
Приход]]</f>
        <v>0</v>
      </c>
      <c r="U98" s="19"/>
    </row>
    <row r="99" spans="1:21" ht="14.25" x14ac:dyDescent="0.2">
      <c r="A99" s="50">
        <f t="shared" si="1"/>
        <v>96</v>
      </c>
      <c r="B99" s="17"/>
      <c r="C99" s="17"/>
      <c r="D99" s="17"/>
      <c r="E99" s="51"/>
      <c r="F99" s="50"/>
      <c r="G99" s="23"/>
      <c r="H99" s="24"/>
      <c r="I99" s="23"/>
      <c r="J99" s="19">
        <f>Таблица1[[#This Row],[Блок
 Куб]]*Таблица1[[#This Row],[Цена 
Приход]]</f>
        <v>0</v>
      </c>
      <c r="K99" s="25"/>
      <c r="L99" s="25"/>
      <c r="M99" s="19">
        <f>Таблица1[[#This Row],[Поддон
Шт]]*Таблица1[[#This Row],[Цена
Поддон]]</f>
        <v>0</v>
      </c>
      <c r="N99" s="19">
        <f>Таблица1[[#This Row],[Сумма 
Приход]]+Таблица1[[#This Row],[Сумма Поддон]]</f>
        <v>0</v>
      </c>
      <c r="O99" s="20"/>
      <c r="P99" s="19">
        <f>Таблица1[[#This Row],[Цена
 Продажа]]-Таблица1[[#This Row],[Цена 
Приход]]</f>
        <v>0</v>
      </c>
      <c r="Q99" s="19"/>
      <c r="R99" s="19">
        <f>Таблица1[[#This Row],[Блок
 Куб]]*Таблица1[[#This Row],[Цена
 Продажа]]</f>
        <v>0</v>
      </c>
      <c r="S99" s="20"/>
      <c r="T99" s="19">
        <f>Таблица1[[#This Row],[Сумма 
Продажа]]-Таблица1[[#This Row],[Сумма 
Приход]]</f>
        <v>0</v>
      </c>
      <c r="U99" s="19"/>
    </row>
    <row r="100" spans="1:21" ht="14.25" x14ac:dyDescent="0.2">
      <c r="A100" s="50">
        <f t="shared" si="1"/>
        <v>97</v>
      </c>
      <c r="B100" s="17"/>
      <c r="C100" s="17"/>
      <c r="D100" s="17"/>
      <c r="E100" s="51"/>
      <c r="F100" s="50"/>
      <c r="G100" s="23"/>
      <c r="H100" s="24"/>
      <c r="I100" s="23"/>
      <c r="J100" s="19">
        <f>Таблица1[[#This Row],[Блок
 Куб]]*Таблица1[[#This Row],[Цена 
Приход]]</f>
        <v>0</v>
      </c>
      <c r="K100" s="25"/>
      <c r="L100" s="25"/>
      <c r="M100" s="19">
        <f>Таблица1[[#This Row],[Поддон
Шт]]*Таблица1[[#This Row],[Цена
Поддон]]</f>
        <v>0</v>
      </c>
      <c r="N100" s="19">
        <f>Таблица1[[#This Row],[Сумма 
Приход]]+Таблица1[[#This Row],[Сумма Поддон]]</f>
        <v>0</v>
      </c>
      <c r="O100" s="20"/>
      <c r="P100" s="19">
        <f>Таблица1[[#This Row],[Цена
 Продажа]]-Таблица1[[#This Row],[Цена 
Приход]]</f>
        <v>0</v>
      </c>
      <c r="Q100" s="19"/>
      <c r="R100" s="19">
        <f>Таблица1[[#This Row],[Блок
 Куб]]*Таблица1[[#This Row],[Цена
 Продажа]]</f>
        <v>0</v>
      </c>
      <c r="S100" s="20"/>
      <c r="T100" s="19">
        <f>Таблица1[[#This Row],[Сумма 
Продажа]]-Таблица1[[#This Row],[Сумма 
Приход]]</f>
        <v>0</v>
      </c>
      <c r="U100" s="19"/>
    </row>
    <row r="101" spans="1:21" ht="14.25" x14ac:dyDescent="0.2">
      <c r="A101" s="50">
        <f t="shared" si="1"/>
        <v>98</v>
      </c>
      <c r="B101" s="17"/>
      <c r="C101" s="17"/>
      <c r="D101" s="17"/>
      <c r="E101" s="51"/>
      <c r="F101" s="50"/>
      <c r="G101" s="23"/>
      <c r="H101" s="24"/>
      <c r="I101" s="23"/>
      <c r="J101" s="19">
        <f>Таблица1[[#This Row],[Блок
 Куб]]*Таблица1[[#This Row],[Цена 
Приход]]</f>
        <v>0</v>
      </c>
      <c r="K101" s="25"/>
      <c r="L101" s="25"/>
      <c r="M101" s="19">
        <f>Таблица1[[#This Row],[Поддон
Шт]]*Таблица1[[#This Row],[Цена
Поддон]]</f>
        <v>0</v>
      </c>
      <c r="N101" s="19">
        <f>Таблица1[[#This Row],[Сумма 
Приход]]+Таблица1[[#This Row],[Сумма Поддон]]</f>
        <v>0</v>
      </c>
      <c r="O101" s="20"/>
      <c r="P101" s="19">
        <f>Таблица1[[#This Row],[Цена
 Продажа]]-Таблица1[[#This Row],[Цена 
Приход]]</f>
        <v>0</v>
      </c>
      <c r="Q101" s="19"/>
      <c r="R101" s="19">
        <f>Таблица1[[#This Row],[Блок
 Куб]]*Таблица1[[#This Row],[Цена
 Продажа]]</f>
        <v>0</v>
      </c>
      <c r="S101" s="20"/>
      <c r="T101" s="19">
        <f>Таблица1[[#This Row],[Сумма 
Продажа]]-Таблица1[[#This Row],[Сумма 
Приход]]</f>
        <v>0</v>
      </c>
      <c r="U101" s="19"/>
    </row>
    <row r="102" spans="1:21" ht="14.25" x14ac:dyDescent="0.2">
      <c r="A102" s="50">
        <f t="shared" si="1"/>
        <v>99</v>
      </c>
      <c r="B102" s="17"/>
      <c r="C102" s="17"/>
      <c r="D102" s="17"/>
      <c r="E102" s="51"/>
      <c r="F102" s="50"/>
      <c r="G102" s="23"/>
      <c r="H102" s="24"/>
      <c r="I102" s="23"/>
      <c r="J102" s="19">
        <f>Таблица1[[#This Row],[Блок
 Куб]]*Таблица1[[#This Row],[Цена 
Приход]]</f>
        <v>0</v>
      </c>
      <c r="K102" s="25"/>
      <c r="L102" s="25"/>
      <c r="M102" s="19">
        <f>Таблица1[[#This Row],[Поддон
Шт]]*Таблица1[[#This Row],[Цена
Поддон]]</f>
        <v>0</v>
      </c>
      <c r="N102" s="19">
        <f>Таблица1[[#This Row],[Сумма 
Приход]]+Таблица1[[#This Row],[Сумма Поддон]]</f>
        <v>0</v>
      </c>
      <c r="O102" s="20"/>
      <c r="P102" s="19">
        <f>Таблица1[[#This Row],[Цена
 Продажа]]-Таблица1[[#This Row],[Цена 
Приход]]</f>
        <v>0</v>
      </c>
      <c r="Q102" s="19"/>
      <c r="R102" s="19">
        <f>Таблица1[[#This Row],[Блок
 Куб]]*Таблица1[[#This Row],[Цена
 Продажа]]</f>
        <v>0</v>
      </c>
      <c r="S102" s="20"/>
      <c r="T102" s="19">
        <f>Таблица1[[#This Row],[Сумма 
Продажа]]-Таблица1[[#This Row],[Сумма 
Приход]]</f>
        <v>0</v>
      </c>
      <c r="U102" s="19"/>
    </row>
    <row r="103" spans="1:21" ht="14.25" x14ac:dyDescent="0.2">
      <c r="A103" s="50">
        <f t="shared" si="1"/>
        <v>100</v>
      </c>
      <c r="B103" s="17"/>
      <c r="C103" s="17"/>
      <c r="D103" s="17"/>
      <c r="E103" s="51"/>
      <c r="F103" s="50"/>
      <c r="G103" s="23"/>
      <c r="H103" s="24"/>
      <c r="I103" s="23"/>
      <c r="J103" s="19">
        <f>Таблица1[[#This Row],[Блок
 Куб]]*Таблица1[[#This Row],[Цена 
Приход]]</f>
        <v>0</v>
      </c>
      <c r="K103" s="25"/>
      <c r="L103" s="25"/>
      <c r="M103" s="19">
        <f>Таблица1[[#This Row],[Поддон
Шт]]*Таблица1[[#This Row],[Цена
Поддон]]</f>
        <v>0</v>
      </c>
      <c r="N103" s="19">
        <f>Таблица1[[#This Row],[Сумма 
Приход]]+Таблица1[[#This Row],[Сумма Поддон]]</f>
        <v>0</v>
      </c>
      <c r="O103" s="20"/>
      <c r="P103" s="19">
        <f>Таблица1[[#This Row],[Цена
 Продажа]]-Таблица1[[#This Row],[Цена 
Приход]]</f>
        <v>0</v>
      </c>
      <c r="Q103" s="19"/>
      <c r="R103" s="19">
        <f>Таблица1[[#This Row],[Блок
 Куб]]*Таблица1[[#This Row],[Цена
 Продажа]]</f>
        <v>0</v>
      </c>
      <c r="S103" s="20"/>
      <c r="T103" s="19">
        <f>Таблица1[[#This Row],[Сумма 
Продажа]]-Таблица1[[#This Row],[Сумма 
Приход]]</f>
        <v>0</v>
      </c>
      <c r="U103" s="19"/>
    </row>
    <row r="104" spans="1:21" ht="14.25" x14ac:dyDescent="0.2">
      <c r="A104" s="50">
        <f t="shared" si="1"/>
        <v>101</v>
      </c>
      <c r="B104" s="17"/>
      <c r="C104" s="17"/>
      <c r="D104" s="17"/>
      <c r="E104" s="51"/>
      <c r="F104" s="50"/>
      <c r="G104" s="23"/>
      <c r="H104" s="24"/>
      <c r="I104" s="23"/>
      <c r="J104" s="19">
        <f>Таблица1[[#This Row],[Блок
 Куб]]*Таблица1[[#This Row],[Цена 
Приход]]</f>
        <v>0</v>
      </c>
      <c r="K104" s="25"/>
      <c r="L104" s="25"/>
      <c r="M104" s="19">
        <f>Таблица1[[#This Row],[Поддон
Шт]]*Таблица1[[#This Row],[Цена
Поддон]]</f>
        <v>0</v>
      </c>
      <c r="N104" s="19">
        <f>Таблица1[[#This Row],[Сумма 
Приход]]+Таблица1[[#This Row],[Сумма Поддон]]</f>
        <v>0</v>
      </c>
      <c r="O104" s="20"/>
      <c r="P104" s="19">
        <f>Таблица1[[#This Row],[Цена
 Продажа]]-Таблица1[[#This Row],[Цена 
Приход]]</f>
        <v>0</v>
      </c>
      <c r="Q104" s="19"/>
      <c r="R104" s="19">
        <f>Таблица1[[#This Row],[Блок
 Куб]]*Таблица1[[#This Row],[Цена
 Продажа]]</f>
        <v>0</v>
      </c>
      <c r="S104" s="20"/>
      <c r="T104" s="19">
        <f>Таблица1[[#This Row],[Сумма 
Продажа]]-Таблица1[[#This Row],[Сумма 
Приход]]</f>
        <v>0</v>
      </c>
      <c r="U104" s="19"/>
    </row>
    <row r="105" spans="1:21" ht="14.25" x14ac:dyDescent="0.2">
      <c r="A105" s="50">
        <f t="shared" si="1"/>
        <v>102</v>
      </c>
      <c r="B105" s="17"/>
      <c r="C105" s="17"/>
      <c r="D105" s="17"/>
      <c r="E105" s="51"/>
      <c r="F105" s="50"/>
      <c r="G105" s="23"/>
      <c r="H105" s="24"/>
      <c r="I105" s="23"/>
      <c r="J105" s="19">
        <f>Таблица1[[#This Row],[Блок
 Куб]]*Таблица1[[#This Row],[Цена 
Приход]]</f>
        <v>0</v>
      </c>
      <c r="K105" s="25"/>
      <c r="L105" s="25"/>
      <c r="M105" s="19">
        <f>Таблица1[[#This Row],[Поддон
Шт]]*Таблица1[[#This Row],[Цена
Поддон]]</f>
        <v>0</v>
      </c>
      <c r="N105" s="19">
        <f>Таблица1[[#This Row],[Сумма 
Приход]]+Таблица1[[#This Row],[Сумма Поддон]]</f>
        <v>0</v>
      </c>
      <c r="O105" s="20"/>
      <c r="P105" s="19">
        <f>Таблица1[[#This Row],[Цена
 Продажа]]-Таблица1[[#This Row],[Цена 
Приход]]</f>
        <v>0</v>
      </c>
      <c r="Q105" s="19"/>
      <c r="R105" s="19">
        <f>Таблица1[[#This Row],[Блок
 Куб]]*Таблица1[[#This Row],[Цена
 Продажа]]</f>
        <v>0</v>
      </c>
      <c r="S105" s="20"/>
      <c r="T105" s="19">
        <f>Таблица1[[#This Row],[Сумма 
Продажа]]-Таблица1[[#This Row],[Сумма 
Приход]]</f>
        <v>0</v>
      </c>
      <c r="U105" s="19"/>
    </row>
    <row r="106" spans="1:21" ht="14.25" x14ac:dyDescent="0.2">
      <c r="A106" s="50">
        <f t="shared" si="1"/>
        <v>103</v>
      </c>
      <c r="B106" s="17"/>
      <c r="C106" s="17"/>
      <c r="D106" s="17"/>
      <c r="E106" s="51"/>
      <c r="F106" s="50"/>
      <c r="G106" s="23"/>
      <c r="H106" s="24"/>
      <c r="I106" s="23"/>
      <c r="J106" s="19">
        <f>Таблица1[[#This Row],[Блок
 Куб]]*Таблица1[[#This Row],[Цена 
Приход]]</f>
        <v>0</v>
      </c>
      <c r="K106" s="25"/>
      <c r="L106" s="25"/>
      <c r="M106" s="19">
        <f>Таблица1[[#This Row],[Поддон
Шт]]*Таблица1[[#This Row],[Цена
Поддон]]</f>
        <v>0</v>
      </c>
      <c r="N106" s="19">
        <f>Таблица1[[#This Row],[Сумма 
Приход]]+Таблица1[[#This Row],[Сумма Поддон]]</f>
        <v>0</v>
      </c>
      <c r="O106" s="20"/>
      <c r="P106" s="19">
        <f>Таблица1[[#This Row],[Цена
 Продажа]]-Таблица1[[#This Row],[Цена 
Приход]]</f>
        <v>0</v>
      </c>
      <c r="Q106" s="19"/>
      <c r="R106" s="19">
        <f>Таблица1[[#This Row],[Блок
 Куб]]*Таблица1[[#This Row],[Цена
 Продажа]]</f>
        <v>0</v>
      </c>
      <c r="S106" s="20"/>
      <c r="T106" s="19">
        <f>Таблица1[[#This Row],[Сумма 
Продажа]]-Таблица1[[#This Row],[Сумма 
Приход]]</f>
        <v>0</v>
      </c>
      <c r="U106" s="19"/>
    </row>
    <row r="107" spans="1:21" ht="14.25" x14ac:dyDescent="0.2">
      <c r="A107" s="50">
        <f t="shared" si="1"/>
        <v>104</v>
      </c>
      <c r="B107" s="17"/>
      <c r="C107" s="17"/>
      <c r="D107" s="17"/>
      <c r="E107" s="51"/>
      <c r="F107" s="50"/>
      <c r="G107" s="23"/>
      <c r="H107" s="24"/>
      <c r="I107" s="23"/>
      <c r="J107" s="19">
        <f>Таблица1[[#This Row],[Блок
 Куб]]*Таблица1[[#This Row],[Цена 
Приход]]</f>
        <v>0</v>
      </c>
      <c r="K107" s="25"/>
      <c r="L107" s="25"/>
      <c r="M107" s="19">
        <f>Таблица1[[#This Row],[Поддон
Шт]]*Таблица1[[#This Row],[Цена
Поддон]]</f>
        <v>0</v>
      </c>
      <c r="N107" s="19">
        <f>Таблица1[[#This Row],[Сумма 
Приход]]+Таблица1[[#This Row],[Сумма Поддон]]</f>
        <v>0</v>
      </c>
      <c r="O107" s="20"/>
      <c r="P107" s="19">
        <f>Таблица1[[#This Row],[Цена
 Продажа]]-Таблица1[[#This Row],[Цена 
Приход]]</f>
        <v>0</v>
      </c>
      <c r="Q107" s="19"/>
      <c r="R107" s="19">
        <f>Таблица1[[#This Row],[Блок
 Куб]]*Таблица1[[#This Row],[Цена
 Продажа]]</f>
        <v>0</v>
      </c>
      <c r="S107" s="20"/>
      <c r="T107" s="19">
        <f>Таблица1[[#This Row],[Сумма 
Продажа]]-Таблица1[[#This Row],[Сумма 
Приход]]</f>
        <v>0</v>
      </c>
      <c r="U107" s="19"/>
    </row>
    <row r="108" spans="1:21" ht="14.25" x14ac:dyDescent="0.2">
      <c r="A108" s="50">
        <f t="shared" si="1"/>
        <v>105</v>
      </c>
      <c r="B108" s="17"/>
      <c r="C108" s="17"/>
      <c r="D108" s="17"/>
      <c r="E108" s="51"/>
      <c r="F108" s="50"/>
      <c r="G108" s="23"/>
      <c r="H108" s="24"/>
      <c r="I108" s="23"/>
      <c r="J108" s="19">
        <f>Таблица1[[#This Row],[Блок
 Куб]]*Таблица1[[#This Row],[Цена 
Приход]]</f>
        <v>0</v>
      </c>
      <c r="K108" s="25"/>
      <c r="L108" s="25"/>
      <c r="M108" s="19">
        <f>Таблица1[[#This Row],[Поддон
Шт]]*Таблица1[[#This Row],[Цена
Поддон]]</f>
        <v>0</v>
      </c>
      <c r="N108" s="19">
        <f>Таблица1[[#This Row],[Сумма 
Приход]]+Таблица1[[#This Row],[Сумма Поддон]]</f>
        <v>0</v>
      </c>
      <c r="O108" s="20"/>
      <c r="P108" s="19">
        <f>Таблица1[[#This Row],[Цена
 Продажа]]-Таблица1[[#This Row],[Цена 
Приход]]</f>
        <v>0</v>
      </c>
      <c r="Q108" s="19"/>
      <c r="R108" s="19">
        <f>Таблица1[[#This Row],[Блок
 Куб]]*Таблица1[[#This Row],[Цена
 Продажа]]</f>
        <v>0</v>
      </c>
      <c r="S108" s="20"/>
      <c r="T108" s="19">
        <f>Таблица1[[#This Row],[Сумма 
Продажа]]-Таблица1[[#This Row],[Сумма 
Приход]]</f>
        <v>0</v>
      </c>
      <c r="U108" s="19"/>
    </row>
    <row r="109" spans="1:21" ht="14.25" x14ac:dyDescent="0.2">
      <c r="A109" s="50">
        <f t="shared" si="1"/>
        <v>106</v>
      </c>
      <c r="B109" s="17"/>
      <c r="C109" s="17"/>
      <c r="D109" s="17"/>
      <c r="E109" s="51"/>
      <c r="F109" s="50"/>
      <c r="G109" s="23"/>
      <c r="H109" s="24"/>
      <c r="I109" s="23"/>
      <c r="J109" s="19">
        <f>Таблица1[[#This Row],[Блок
 Куб]]*Таблица1[[#This Row],[Цена 
Приход]]</f>
        <v>0</v>
      </c>
      <c r="K109" s="25"/>
      <c r="L109" s="25"/>
      <c r="M109" s="19">
        <f>Таблица1[[#This Row],[Поддон
Шт]]*Таблица1[[#This Row],[Цена
Поддон]]</f>
        <v>0</v>
      </c>
      <c r="N109" s="19">
        <f>Таблица1[[#This Row],[Сумма 
Приход]]+Таблица1[[#This Row],[Сумма Поддон]]</f>
        <v>0</v>
      </c>
      <c r="O109" s="20"/>
      <c r="P109" s="19">
        <f>Таблица1[[#This Row],[Цена
 Продажа]]-Таблица1[[#This Row],[Цена 
Приход]]</f>
        <v>0</v>
      </c>
      <c r="Q109" s="19"/>
      <c r="R109" s="19">
        <f>Таблица1[[#This Row],[Блок
 Куб]]*Таблица1[[#This Row],[Цена
 Продажа]]</f>
        <v>0</v>
      </c>
      <c r="S109" s="20"/>
      <c r="T109" s="19">
        <f>Таблица1[[#This Row],[Сумма 
Продажа]]-Таблица1[[#This Row],[Сумма 
Приход]]</f>
        <v>0</v>
      </c>
      <c r="U109" s="19"/>
    </row>
    <row r="110" spans="1:21" ht="14.25" x14ac:dyDescent="0.2">
      <c r="A110" s="50">
        <f t="shared" si="1"/>
        <v>107</v>
      </c>
      <c r="B110" s="17"/>
      <c r="C110" s="17"/>
      <c r="D110" s="17"/>
      <c r="E110" s="51"/>
      <c r="F110" s="50"/>
      <c r="G110" s="23"/>
      <c r="H110" s="24"/>
      <c r="I110" s="23"/>
      <c r="J110" s="19">
        <f>Таблица1[[#This Row],[Блок
 Куб]]*Таблица1[[#This Row],[Цена 
Приход]]</f>
        <v>0</v>
      </c>
      <c r="K110" s="25"/>
      <c r="L110" s="25"/>
      <c r="M110" s="19">
        <f>Таблица1[[#This Row],[Поддон
Шт]]*Таблица1[[#This Row],[Цена
Поддон]]</f>
        <v>0</v>
      </c>
      <c r="N110" s="19">
        <f>Таблица1[[#This Row],[Сумма 
Приход]]+Таблица1[[#This Row],[Сумма Поддон]]</f>
        <v>0</v>
      </c>
      <c r="O110" s="20"/>
      <c r="P110" s="19">
        <f>Таблица1[[#This Row],[Цена
 Продажа]]-Таблица1[[#This Row],[Цена 
Приход]]</f>
        <v>0</v>
      </c>
      <c r="Q110" s="19"/>
      <c r="R110" s="19">
        <f>Таблица1[[#This Row],[Блок
 Куб]]*Таблица1[[#This Row],[Цена
 Продажа]]</f>
        <v>0</v>
      </c>
      <c r="S110" s="20"/>
      <c r="T110" s="19">
        <f>Таблица1[[#This Row],[Сумма 
Продажа]]-Таблица1[[#This Row],[Сумма 
Приход]]</f>
        <v>0</v>
      </c>
      <c r="U110" s="19"/>
    </row>
    <row r="111" spans="1:21" ht="14.25" x14ac:dyDescent="0.2">
      <c r="A111" s="50">
        <f t="shared" si="1"/>
        <v>108</v>
      </c>
      <c r="B111" s="17"/>
      <c r="C111" s="17"/>
      <c r="D111" s="17"/>
      <c r="E111" s="51"/>
      <c r="F111" s="50"/>
      <c r="G111" s="23"/>
      <c r="H111" s="24"/>
      <c r="I111" s="23"/>
      <c r="J111" s="19">
        <f>Таблица1[[#This Row],[Блок
 Куб]]*Таблица1[[#This Row],[Цена 
Приход]]</f>
        <v>0</v>
      </c>
      <c r="K111" s="25"/>
      <c r="L111" s="25"/>
      <c r="M111" s="19">
        <f>Таблица1[[#This Row],[Поддон
Шт]]*Таблица1[[#This Row],[Цена
Поддон]]</f>
        <v>0</v>
      </c>
      <c r="N111" s="19">
        <f>Таблица1[[#This Row],[Сумма 
Приход]]+Таблица1[[#This Row],[Сумма Поддон]]</f>
        <v>0</v>
      </c>
      <c r="O111" s="20"/>
      <c r="P111" s="19">
        <f>Таблица1[[#This Row],[Цена
 Продажа]]-Таблица1[[#This Row],[Цена 
Приход]]</f>
        <v>0</v>
      </c>
      <c r="Q111" s="19"/>
      <c r="R111" s="19">
        <f>Таблица1[[#This Row],[Блок
 Куб]]*Таблица1[[#This Row],[Цена
 Продажа]]</f>
        <v>0</v>
      </c>
      <c r="S111" s="20"/>
      <c r="T111" s="19">
        <f>Таблица1[[#This Row],[Сумма 
Продажа]]-Таблица1[[#This Row],[Сумма 
Приход]]</f>
        <v>0</v>
      </c>
      <c r="U111" s="19"/>
    </row>
    <row r="112" spans="1:21" ht="14.25" x14ac:dyDescent="0.2">
      <c r="A112" s="50">
        <f t="shared" si="1"/>
        <v>109</v>
      </c>
      <c r="B112" s="17"/>
      <c r="C112" s="17"/>
      <c r="D112" s="17"/>
      <c r="E112" s="51"/>
      <c r="F112" s="50"/>
      <c r="G112" s="23"/>
      <c r="H112" s="24"/>
      <c r="I112" s="23"/>
      <c r="J112" s="19">
        <f>Таблица1[[#This Row],[Блок
 Куб]]*Таблица1[[#This Row],[Цена 
Приход]]</f>
        <v>0</v>
      </c>
      <c r="K112" s="25"/>
      <c r="L112" s="25"/>
      <c r="M112" s="19">
        <f>Таблица1[[#This Row],[Поддон
Шт]]*Таблица1[[#This Row],[Цена
Поддон]]</f>
        <v>0</v>
      </c>
      <c r="N112" s="19">
        <f>Таблица1[[#This Row],[Сумма 
Приход]]+Таблица1[[#This Row],[Сумма Поддон]]</f>
        <v>0</v>
      </c>
      <c r="O112" s="20"/>
      <c r="P112" s="19">
        <f>Таблица1[[#This Row],[Цена
 Продажа]]-Таблица1[[#This Row],[Цена 
Приход]]</f>
        <v>0</v>
      </c>
      <c r="Q112" s="19"/>
      <c r="R112" s="19">
        <f>Таблица1[[#This Row],[Блок
 Куб]]*Таблица1[[#This Row],[Цена
 Продажа]]</f>
        <v>0</v>
      </c>
      <c r="S112" s="20"/>
      <c r="T112" s="19">
        <f>Таблица1[[#This Row],[Сумма 
Продажа]]-Таблица1[[#This Row],[Сумма 
Приход]]</f>
        <v>0</v>
      </c>
      <c r="U112" s="19"/>
    </row>
    <row r="113" spans="1:21" ht="14.25" x14ac:dyDescent="0.2">
      <c r="A113" s="50">
        <f t="shared" si="1"/>
        <v>110</v>
      </c>
      <c r="B113" s="17"/>
      <c r="C113" s="17"/>
      <c r="D113" s="17"/>
      <c r="E113" s="51"/>
      <c r="F113" s="50"/>
      <c r="G113" s="23"/>
      <c r="H113" s="24"/>
      <c r="I113" s="23"/>
      <c r="J113" s="19">
        <f>Таблица1[[#This Row],[Блок
 Куб]]*Таблица1[[#This Row],[Цена 
Приход]]</f>
        <v>0</v>
      </c>
      <c r="K113" s="25"/>
      <c r="L113" s="25"/>
      <c r="M113" s="19">
        <f>Таблица1[[#This Row],[Поддон
Шт]]*Таблица1[[#This Row],[Цена
Поддон]]</f>
        <v>0</v>
      </c>
      <c r="N113" s="19">
        <f>Таблица1[[#This Row],[Сумма 
Приход]]+Таблица1[[#This Row],[Сумма Поддон]]</f>
        <v>0</v>
      </c>
      <c r="O113" s="20"/>
      <c r="P113" s="19">
        <f>Таблица1[[#This Row],[Цена
 Продажа]]-Таблица1[[#This Row],[Цена 
Приход]]</f>
        <v>0</v>
      </c>
      <c r="Q113" s="19"/>
      <c r="R113" s="19">
        <f>Таблица1[[#This Row],[Блок
 Куб]]*Таблица1[[#This Row],[Цена
 Продажа]]</f>
        <v>0</v>
      </c>
      <c r="S113" s="20"/>
      <c r="T113" s="19">
        <f>Таблица1[[#This Row],[Сумма 
Продажа]]-Таблица1[[#This Row],[Сумма 
Приход]]</f>
        <v>0</v>
      </c>
      <c r="U113" s="19"/>
    </row>
    <row r="114" spans="1:21" ht="14.25" x14ac:dyDescent="0.2">
      <c r="A114" s="50">
        <f t="shared" si="1"/>
        <v>111</v>
      </c>
      <c r="B114" s="17"/>
      <c r="C114" s="17"/>
      <c r="D114" s="17"/>
      <c r="E114" s="51"/>
      <c r="F114" s="50"/>
      <c r="G114" s="23"/>
      <c r="H114" s="24"/>
      <c r="I114" s="23"/>
      <c r="J114" s="19">
        <f>Таблица1[[#This Row],[Блок
 Куб]]*Таблица1[[#This Row],[Цена 
Приход]]</f>
        <v>0</v>
      </c>
      <c r="K114" s="25"/>
      <c r="L114" s="25"/>
      <c r="M114" s="19">
        <f>Таблица1[[#This Row],[Поддон
Шт]]*Таблица1[[#This Row],[Цена
Поддон]]</f>
        <v>0</v>
      </c>
      <c r="N114" s="19">
        <f>Таблица1[[#This Row],[Сумма 
Приход]]+Таблица1[[#This Row],[Сумма Поддон]]</f>
        <v>0</v>
      </c>
      <c r="O114" s="20"/>
      <c r="P114" s="19">
        <f>Таблица1[[#This Row],[Цена
 Продажа]]-Таблица1[[#This Row],[Цена 
Приход]]</f>
        <v>0</v>
      </c>
      <c r="Q114" s="19"/>
      <c r="R114" s="19">
        <f>Таблица1[[#This Row],[Блок
 Куб]]*Таблица1[[#This Row],[Цена
 Продажа]]</f>
        <v>0</v>
      </c>
      <c r="S114" s="20"/>
      <c r="T114" s="19">
        <f>Таблица1[[#This Row],[Сумма 
Продажа]]-Таблица1[[#This Row],[Сумма 
Приход]]</f>
        <v>0</v>
      </c>
      <c r="U114" s="19"/>
    </row>
    <row r="115" spans="1:21" ht="14.25" x14ac:dyDescent="0.2">
      <c r="A115" s="50">
        <f t="shared" si="1"/>
        <v>112</v>
      </c>
      <c r="B115" s="17"/>
      <c r="C115" s="17"/>
      <c r="D115" s="17"/>
      <c r="E115" s="51"/>
      <c r="F115" s="50"/>
      <c r="G115" s="23"/>
      <c r="H115" s="24"/>
      <c r="I115" s="23"/>
      <c r="J115" s="19">
        <f>Таблица1[[#This Row],[Блок
 Куб]]*Таблица1[[#This Row],[Цена 
Приход]]</f>
        <v>0</v>
      </c>
      <c r="K115" s="25"/>
      <c r="L115" s="25"/>
      <c r="M115" s="19">
        <f>Таблица1[[#This Row],[Поддон
Шт]]*Таблица1[[#This Row],[Цена
Поддон]]</f>
        <v>0</v>
      </c>
      <c r="N115" s="19">
        <f>Таблица1[[#This Row],[Сумма 
Приход]]+Таблица1[[#This Row],[Сумма Поддон]]</f>
        <v>0</v>
      </c>
      <c r="O115" s="20"/>
      <c r="P115" s="19">
        <f>Таблица1[[#This Row],[Цена
 Продажа]]-Таблица1[[#This Row],[Цена 
Приход]]</f>
        <v>0</v>
      </c>
      <c r="Q115" s="19"/>
      <c r="R115" s="19">
        <f>Таблица1[[#This Row],[Блок
 Куб]]*Таблица1[[#This Row],[Цена
 Продажа]]</f>
        <v>0</v>
      </c>
      <c r="S115" s="20"/>
      <c r="T115" s="19">
        <f>Таблица1[[#This Row],[Сумма 
Продажа]]-Таблица1[[#This Row],[Сумма 
Приход]]</f>
        <v>0</v>
      </c>
      <c r="U115" s="19"/>
    </row>
    <row r="116" spans="1:21" ht="14.25" x14ac:dyDescent="0.2">
      <c r="A116" s="50">
        <f t="shared" si="1"/>
        <v>113</v>
      </c>
      <c r="B116" s="17"/>
      <c r="C116" s="17"/>
      <c r="D116" s="17"/>
      <c r="E116" s="51"/>
      <c r="F116" s="50"/>
      <c r="G116" s="23"/>
      <c r="H116" s="24"/>
      <c r="I116" s="23"/>
      <c r="J116" s="19">
        <f>Таблица1[[#This Row],[Блок
 Куб]]*Таблица1[[#This Row],[Цена 
Приход]]</f>
        <v>0</v>
      </c>
      <c r="K116" s="25"/>
      <c r="L116" s="25"/>
      <c r="M116" s="19">
        <f>Таблица1[[#This Row],[Поддон
Шт]]*Таблица1[[#This Row],[Цена
Поддон]]</f>
        <v>0</v>
      </c>
      <c r="N116" s="19">
        <f>Таблица1[[#This Row],[Сумма 
Приход]]+Таблица1[[#This Row],[Сумма Поддон]]</f>
        <v>0</v>
      </c>
      <c r="O116" s="20"/>
      <c r="P116" s="19">
        <f>Таблица1[[#This Row],[Цена
 Продажа]]-Таблица1[[#This Row],[Цена 
Приход]]</f>
        <v>0</v>
      </c>
      <c r="Q116" s="19"/>
      <c r="R116" s="19">
        <f>Таблица1[[#This Row],[Блок
 Куб]]*Таблица1[[#This Row],[Цена
 Продажа]]</f>
        <v>0</v>
      </c>
      <c r="S116" s="20"/>
      <c r="T116" s="19">
        <f>Таблица1[[#This Row],[Сумма 
Продажа]]-Таблица1[[#This Row],[Сумма 
Приход]]</f>
        <v>0</v>
      </c>
      <c r="U116" s="19"/>
    </row>
    <row r="117" spans="1:21" ht="14.25" x14ac:dyDescent="0.2">
      <c r="A117" s="50">
        <f t="shared" si="1"/>
        <v>114</v>
      </c>
      <c r="B117" s="17"/>
      <c r="C117" s="17"/>
      <c r="D117" s="17"/>
      <c r="E117" s="51"/>
      <c r="F117" s="50"/>
      <c r="G117" s="23"/>
      <c r="H117" s="24"/>
      <c r="I117" s="23"/>
      <c r="J117" s="19">
        <f>Таблица1[[#This Row],[Блок
 Куб]]*Таблица1[[#This Row],[Цена 
Приход]]</f>
        <v>0</v>
      </c>
      <c r="K117" s="25"/>
      <c r="L117" s="25"/>
      <c r="M117" s="19">
        <f>Таблица1[[#This Row],[Поддон
Шт]]*Таблица1[[#This Row],[Цена
Поддон]]</f>
        <v>0</v>
      </c>
      <c r="N117" s="19">
        <f>Таблица1[[#This Row],[Сумма 
Приход]]+Таблица1[[#This Row],[Сумма Поддон]]</f>
        <v>0</v>
      </c>
      <c r="O117" s="20"/>
      <c r="P117" s="19">
        <f>Таблица1[[#This Row],[Цена
 Продажа]]-Таблица1[[#This Row],[Цена 
Приход]]</f>
        <v>0</v>
      </c>
      <c r="Q117" s="19"/>
      <c r="R117" s="19">
        <f>Таблица1[[#This Row],[Блок
 Куб]]*Таблица1[[#This Row],[Цена
 Продажа]]</f>
        <v>0</v>
      </c>
      <c r="S117" s="20"/>
      <c r="T117" s="19">
        <f>Таблица1[[#This Row],[Сумма 
Продажа]]-Таблица1[[#This Row],[Сумма 
Приход]]</f>
        <v>0</v>
      </c>
      <c r="U117" s="19"/>
    </row>
    <row r="118" spans="1:21" ht="14.25" x14ac:dyDescent="0.2">
      <c r="A118" s="50">
        <f t="shared" si="1"/>
        <v>115</v>
      </c>
      <c r="B118" s="17"/>
      <c r="C118" s="17"/>
      <c r="D118" s="17"/>
      <c r="E118" s="51"/>
      <c r="F118" s="50"/>
      <c r="G118" s="23"/>
      <c r="H118" s="24"/>
      <c r="I118" s="23"/>
      <c r="J118" s="19">
        <f>Таблица1[[#This Row],[Блок
 Куб]]*Таблица1[[#This Row],[Цена 
Приход]]</f>
        <v>0</v>
      </c>
      <c r="K118" s="25"/>
      <c r="L118" s="25"/>
      <c r="M118" s="19">
        <f>Таблица1[[#This Row],[Поддон
Шт]]*Таблица1[[#This Row],[Цена
Поддон]]</f>
        <v>0</v>
      </c>
      <c r="N118" s="19">
        <f>Таблица1[[#This Row],[Сумма 
Приход]]+Таблица1[[#This Row],[Сумма Поддон]]</f>
        <v>0</v>
      </c>
      <c r="O118" s="20"/>
      <c r="P118" s="19">
        <f>Таблица1[[#This Row],[Цена
 Продажа]]-Таблица1[[#This Row],[Цена 
Приход]]</f>
        <v>0</v>
      </c>
      <c r="Q118" s="19"/>
      <c r="R118" s="19">
        <f>Таблица1[[#This Row],[Блок
 Куб]]*Таблица1[[#This Row],[Цена
 Продажа]]</f>
        <v>0</v>
      </c>
      <c r="S118" s="20"/>
      <c r="T118" s="19">
        <f>Таблица1[[#This Row],[Сумма 
Продажа]]-Таблица1[[#This Row],[Сумма 
Приход]]</f>
        <v>0</v>
      </c>
      <c r="U118" s="19"/>
    </row>
    <row r="119" spans="1:21" ht="14.25" x14ac:dyDescent="0.2">
      <c r="A119" s="50">
        <f t="shared" si="1"/>
        <v>116</v>
      </c>
      <c r="B119" s="17"/>
      <c r="C119" s="17"/>
      <c r="D119" s="17"/>
      <c r="E119" s="51"/>
      <c r="F119" s="50"/>
      <c r="G119" s="23"/>
      <c r="H119" s="24"/>
      <c r="I119" s="23"/>
      <c r="J119" s="19">
        <f>Таблица1[[#This Row],[Блок
 Куб]]*Таблица1[[#This Row],[Цена 
Приход]]</f>
        <v>0</v>
      </c>
      <c r="K119" s="25"/>
      <c r="L119" s="25"/>
      <c r="M119" s="19">
        <f>Таблица1[[#This Row],[Поддон
Шт]]*Таблица1[[#This Row],[Цена
Поддон]]</f>
        <v>0</v>
      </c>
      <c r="N119" s="19">
        <f>Таблица1[[#This Row],[Сумма 
Приход]]+Таблица1[[#This Row],[Сумма Поддон]]</f>
        <v>0</v>
      </c>
      <c r="O119" s="20"/>
      <c r="P119" s="19">
        <f>Таблица1[[#This Row],[Цена
 Продажа]]-Таблица1[[#This Row],[Цена 
Приход]]</f>
        <v>0</v>
      </c>
      <c r="Q119" s="19"/>
      <c r="R119" s="19">
        <f>Таблица1[[#This Row],[Блок
 Куб]]*Таблица1[[#This Row],[Цена
 Продажа]]</f>
        <v>0</v>
      </c>
      <c r="S119" s="20"/>
      <c r="T119" s="19">
        <f>Таблица1[[#This Row],[Сумма 
Продажа]]-Таблица1[[#This Row],[Сумма 
Приход]]</f>
        <v>0</v>
      </c>
      <c r="U119" s="19"/>
    </row>
    <row r="120" spans="1:21" ht="14.25" x14ac:dyDescent="0.2">
      <c r="A120" s="50">
        <f t="shared" si="1"/>
        <v>117</v>
      </c>
      <c r="B120" s="17"/>
      <c r="C120" s="17"/>
      <c r="D120" s="17"/>
      <c r="E120" s="51"/>
      <c r="F120" s="50"/>
      <c r="G120" s="23"/>
      <c r="H120" s="24"/>
      <c r="I120" s="23"/>
      <c r="J120" s="19">
        <f>Таблица1[[#This Row],[Блок
 Куб]]*Таблица1[[#This Row],[Цена 
Приход]]</f>
        <v>0</v>
      </c>
      <c r="K120" s="25"/>
      <c r="L120" s="25"/>
      <c r="M120" s="19">
        <f>Таблица1[[#This Row],[Поддон
Шт]]*Таблица1[[#This Row],[Цена
Поддон]]</f>
        <v>0</v>
      </c>
      <c r="N120" s="19">
        <f>Таблица1[[#This Row],[Сумма 
Приход]]+Таблица1[[#This Row],[Сумма Поддон]]</f>
        <v>0</v>
      </c>
      <c r="O120" s="20"/>
      <c r="P120" s="19">
        <f>Таблица1[[#This Row],[Цена
 Продажа]]-Таблица1[[#This Row],[Цена 
Приход]]</f>
        <v>0</v>
      </c>
      <c r="Q120" s="19"/>
      <c r="R120" s="19">
        <f>Таблица1[[#This Row],[Блок
 Куб]]*Таблица1[[#This Row],[Цена
 Продажа]]</f>
        <v>0</v>
      </c>
      <c r="S120" s="20"/>
      <c r="T120" s="19">
        <f>Таблица1[[#This Row],[Сумма 
Продажа]]-Таблица1[[#This Row],[Сумма 
Приход]]</f>
        <v>0</v>
      </c>
      <c r="U120" s="19"/>
    </row>
    <row r="121" spans="1:21" ht="14.25" x14ac:dyDescent="0.2">
      <c r="A121" s="50">
        <f t="shared" si="1"/>
        <v>118</v>
      </c>
      <c r="B121" s="17"/>
      <c r="C121" s="17"/>
      <c r="D121" s="17"/>
      <c r="E121" s="51"/>
      <c r="F121" s="50"/>
      <c r="G121" s="23"/>
      <c r="H121" s="24"/>
      <c r="I121" s="23"/>
      <c r="J121" s="19">
        <f>Таблица1[[#This Row],[Блок
 Куб]]*Таблица1[[#This Row],[Цена 
Приход]]</f>
        <v>0</v>
      </c>
      <c r="K121" s="25"/>
      <c r="L121" s="25"/>
      <c r="M121" s="19">
        <f>Таблица1[[#This Row],[Поддон
Шт]]*Таблица1[[#This Row],[Цена
Поддон]]</f>
        <v>0</v>
      </c>
      <c r="N121" s="19">
        <f>Таблица1[[#This Row],[Сумма 
Приход]]+Таблица1[[#This Row],[Сумма Поддон]]</f>
        <v>0</v>
      </c>
      <c r="O121" s="20"/>
      <c r="P121" s="19">
        <f>Таблица1[[#This Row],[Цена
 Продажа]]-Таблица1[[#This Row],[Цена 
Приход]]</f>
        <v>0</v>
      </c>
      <c r="Q121" s="19"/>
      <c r="R121" s="19">
        <f>Таблица1[[#This Row],[Блок
 Куб]]*Таблица1[[#This Row],[Цена
 Продажа]]</f>
        <v>0</v>
      </c>
      <c r="S121" s="20"/>
      <c r="T121" s="19">
        <f>Таблица1[[#This Row],[Сумма 
Продажа]]-Таблица1[[#This Row],[Сумма 
Приход]]</f>
        <v>0</v>
      </c>
      <c r="U121" s="19"/>
    </row>
    <row r="122" spans="1:21" ht="14.25" x14ac:dyDescent="0.2">
      <c r="A122" s="50">
        <f t="shared" si="1"/>
        <v>119</v>
      </c>
      <c r="B122" s="17"/>
      <c r="C122" s="17"/>
      <c r="D122" s="17"/>
      <c r="E122" s="51"/>
      <c r="F122" s="50"/>
      <c r="G122" s="23"/>
      <c r="H122" s="24"/>
      <c r="I122" s="23"/>
      <c r="J122" s="19">
        <f>Таблица1[[#This Row],[Блок
 Куб]]*Таблица1[[#This Row],[Цена 
Приход]]</f>
        <v>0</v>
      </c>
      <c r="K122" s="25"/>
      <c r="L122" s="25"/>
      <c r="M122" s="19">
        <f>Таблица1[[#This Row],[Поддон
Шт]]*Таблица1[[#This Row],[Цена
Поддон]]</f>
        <v>0</v>
      </c>
      <c r="N122" s="19">
        <f>Таблица1[[#This Row],[Сумма 
Приход]]+Таблица1[[#This Row],[Сумма Поддон]]</f>
        <v>0</v>
      </c>
      <c r="O122" s="20"/>
      <c r="P122" s="19">
        <f>Таблица1[[#This Row],[Цена
 Продажа]]-Таблица1[[#This Row],[Цена 
Приход]]</f>
        <v>0</v>
      </c>
      <c r="Q122" s="19"/>
      <c r="R122" s="19">
        <f>Таблица1[[#This Row],[Блок
 Куб]]*Таблица1[[#This Row],[Цена
 Продажа]]</f>
        <v>0</v>
      </c>
      <c r="S122" s="20"/>
      <c r="T122" s="19">
        <f>Таблица1[[#This Row],[Сумма 
Продажа]]-Таблица1[[#This Row],[Сумма 
Приход]]</f>
        <v>0</v>
      </c>
      <c r="U122" s="19"/>
    </row>
    <row r="123" spans="1:21" ht="14.25" x14ac:dyDescent="0.2">
      <c r="A123" s="50">
        <f t="shared" si="1"/>
        <v>120</v>
      </c>
      <c r="B123" s="17"/>
      <c r="C123" s="17"/>
      <c r="D123" s="17"/>
      <c r="E123" s="51"/>
      <c r="F123" s="50"/>
      <c r="G123" s="23"/>
      <c r="H123" s="24"/>
      <c r="I123" s="23"/>
      <c r="J123" s="19">
        <f>Таблица1[[#This Row],[Блок
 Куб]]*Таблица1[[#This Row],[Цена 
Приход]]</f>
        <v>0</v>
      </c>
      <c r="K123" s="25"/>
      <c r="L123" s="25"/>
      <c r="M123" s="19">
        <f>Таблица1[[#This Row],[Поддон
Шт]]*Таблица1[[#This Row],[Цена
Поддон]]</f>
        <v>0</v>
      </c>
      <c r="N123" s="19">
        <f>Таблица1[[#This Row],[Сумма 
Приход]]+Таблица1[[#This Row],[Сумма Поддон]]</f>
        <v>0</v>
      </c>
      <c r="O123" s="20"/>
      <c r="P123" s="19">
        <f>Таблица1[[#This Row],[Цена
 Продажа]]-Таблица1[[#This Row],[Цена 
Приход]]</f>
        <v>0</v>
      </c>
      <c r="Q123" s="19"/>
      <c r="R123" s="19">
        <f>Таблица1[[#This Row],[Блок
 Куб]]*Таблица1[[#This Row],[Цена
 Продажа]]</f>
        <v>0</v>
      </c>
      <c r="S123" s="20"/>
      <c r="T123" s="19">
        <f>Таблица1[[#This Row],[Сумма 
Продажа]]-Таблица1[[#This Row],[Сумма 
Приход]]</f>
        <v>0</v>
      </c>
      <c r="U123" s="19"/>
    </row>
    <row r="124" spans="1:21" ht="14.25" x14ac:dyDescent="0.2">
      <c r="A124" s="50">
        <f t="shared" si="1"/>
        <v>121</v>
      </c>
      <c r="B124" s="17"/>
      <c r="C124" s="17"/>
      <c r="D124" s="17"/>
      <c r="E124" s="51"/>
      <c r="F124" s="50"/>
      <c r="G124" s="23"/>
      <c r="H124" s="24"/>
      <c r="I124" s="23"/>
      <c r="J124" s="19">
        <f>Таблица1[[#This Row],[Блок
 Куб]]*Таблица1[[#This Row],[Цена 
Приход]]</f>
        <v>0</v>
      </c>
      <c r="K124" s="25"/>
      <c r="L124" s="25"/>
      <c r="M124" s="19">
        <f>Таблица1[[#This Row],[Поддон
Шт]]*Таблица1[[#This Row],[Цена
Поддон]]</f>
        <v>0</v>
      </c>
      <c r="N124" s="19">
        <f>Таблица1[[#This Row],[Сумма 
Приход]]+Таблица1[[#This Row],[Сумма Поддон]]</f>
        <v>0</v>
      </c>
      <c r="O124" s="20"/>
      <c r="P124" s="19">
        <f>Таблица1[[#This Row],[Цена
 Продажа]]-Таблица1[[#This Row],[Цена 
Приход]]</f>
        <v>0</v>
      </c>
      <c r="Q124" s="19"/>
      <c r="R124" s="19">
        <f>Таблица1[[#This Row],[Блок
 Куб]]*Таблица1[[#This Row],[Цена
 Продажа]]</f>
        <v>0</v>
      </c>
      <c r="S124" s="20"/>
      <c r="T124" s="19">
        <f>Таблица1[[#This Row],[Сумма 
Продажа]]-Таблица1[[#This Row],[Сумма 
Приход]]</f>
        <v>0</v>
      </c>
      <c r="U124" s="19"/>
    </row>
    <row r="125" spans="1:21" ht="14.25" x14ac:dyDescent="0.2">
      <c r="A125" s="50">
        <f t="shared" si="1"/>
        <v>122</v>
      </c>
      <c r="B125" s="17"/>
      <c r="C125" s="17"/>
      <c r="D125" s="17"/>
      <c r="E125" s="51"/>
      <c r="F125" s="50"/>
      <c r="G125" s="23"/>
      <c r="H125" s="24"/>
      <c r="I125" s="23"/>
      <c r="J125" s="19">
        <f>Таблица1[[#This Row],[Блок
 Куб]]*Таблица1[[#This Row],[Цена 
Приход]]</f>
        <v>0</v>
      </c>
      <c r="K125" s="25"/>
      <c r="L125" s="25"/>
      <c r="M125" s="19">
        <f>Таблица1[[#This Row],[Поддон
Шт]]*Таблица1[[#This Row],[Цена
Поддон]]</f>
        <v>0</v>
      </c>
      <c r="N125" s="19">
        <f>Таблица1[[#This Row],[Сумма 
Приход]]+Таблица1[[#This Row],[Сумма Поддон]]</f>
        <v>0</v>
      </c>
      <c r="O125" s="20"/>
      <c r="P125" s="19">
        <f>Таблица1[[#This Row],[Цена
 Продажа]]-Таблица1[[#This Row],[Цена 
Приход]]</f>
        <v>0</v>
      </c>
      <c r="Q125" s="19"/>
      <c r="R125" s="19">
        <f>Таблица1[[#This Row],[Блок
 Куб]]*Таблица1[[#This Row],[Цена
 Продажа]]</f>
        <v>0</v>
      </c>
      <c r="S125" s="20"/>
      <c r="T125" s="19">
        <f>Таблица1[[#This Row],[Сумма 
Продажа]]-Таблица1[[#This Row],[Сумма 
Приход]]</f>
        <v>0</v>
      </c>
      <c r="U125" s="19"/>
    </row>
    <row r="126" spans="1:21" ht="14.25" x14ac:dyDescent="0.2">
      <c r="A126" s="50">
        <f t="shared" si="1"/>
        <v>123</v>
      </c>
      <c r="B126" s="17"/>
      <c r="C126" s="17"/>
      <c r="D126" s="17"/>
      <c r="E126" s="51"/>
      <c r="F126" s="50"/>
      <c r="G126" s="23"/>
      <c r="H126" s="24"/>
      <c r="I126" s="23"/>
      <c r="J126" s="19">
        <f>Таблица1[[#This Row],[Блок
 Куб]]*Таблица1[[#This Row],[Цена 
Приход]]</f>
        <v>0</v>
      </c>
      <c r="K126" s="25"/>
      <c r="L126" s="25"/>
      <c r="M126" s="19">
        <f>Таблица1[[#This Row],[Поддон
Шт]]*Таблица1[[#This Row],[Цена
Поддон]]</f>
        <v>0</v>
      </c>
      <c r="N126" s="19">
        <f>Таблица1[[#This Row],[Сумма 
Приход]]+Таблица1[[#This Row],[Сумма Поддон]]</f>
        <v>0</v>
      </c>
      <c r="O126" s="20"/>
      <c r="P126" s="19">
        <f>Таблица1[[#This Row],[Цена
 Продажа]]-Таблица1[[#This Row],[Цена 
Приход]]</f>
        <v>0</v>
      </c>
      <c r="Q126" s="19"/>
      <c r="R126" s="19">
        <f>Таблица1[[#This Row],[Блок
 Куб]]*Таблица1[[#This Row],[Цена
 Продажа]]</f>
        <v>0</v>
      </c>
      <c r="S126" s="20"/>
      <c r="T126" s="19">
        <f>Таблица1[[#This Row],[Сумма 
Продажа]]-Таблица1[[#This Row],[Сумма 
Приход]]</f>
        <v>0</v>
      </c>
      <c r="U126" s="19"/>
    </row>
    <row r="127" spans="1:21" ht="14.25" x14ac:dyDescent="0.2">
      <c r="A127" s="50">
        <f t="shared" si="1"/>
        <v>124</v>
      </c>
      <c r="B127" s="17"/>
      <c r="C127" s="17"/>
      <c r="D127" s="17"/>
      <c r="E127" s="51"/>
      <c r="F127" s="50"/>
      <c r="G127" s="23"/>
      <c r="H127" s="24"/>
      <c r="I127" s="23"/>
      <c r="J127" s="19">
        <f>Таблица1[[#This Row],[Блок
 Куб]]*Таблица1[[#This Row],[Цена 
Приход]]</f>
        <v>0</v>
      </c>
      <c r="K127" s="25"/>
      <c r="L127" s="25"/>
      <c r="M127" s="19">
        <f>Таблица1[[#This Row],[Поддон
Шт]]*Таблица1[[#This Row],[Цена
Поддон]]</f>
        <v>0</v>
      </c>
      <c r="N127" s="19">
        <f>Таблица1[[#This Row],[Сумма 
Приход]]+Таблица1[[#This Row],[Сумма Поддон]]</f>
        <v>0</v>
      </c>
      <c r="O127" s="20"/>
      <c r="P127" s="19">
        <f>Таблица1[[#This Row],[Цена
 Продажа]]-Таблица1[[#This Row],[Цена 
Приход]]</f>
        <v>0</v>
      </c>
      <c r="Q127" s="19"/>
      <c r="R127" s="19">
        <f>Таблица1[[#This Row],[Блок
 Куб]]*Таблица1[[#This Row],[Цена
 Продажа]]</f>
        <v>0</v>
      </c>
      <c r="S127" s="20"/>
      <c r="T127" s="19">
        <f>Таблица1[[#This Row],[Сумма 
Продажа]]-Таблица1[[#This Row],[Сумма 
Приход]]</f>
        <v>0</v>
      </c>
      <c r="U127" s="19"/>
    </row>
    <row r="128" spans="1:21" ht="14.25" x14ac:dyDescent="0.2">
      <c r="A128" s="50">
        <f t="shared" si="1"/>
        <v>125</v>
      </c>
      <c r="B128" s="17"/>
      <c r="C128" s="17"/>
      <c r="D128" s="17"/>
      <c r="E128" s="51"/>
      <c r="F128" s="50"/>
      <c r="G128" s="23"/>
      <c r="H128" s="24"/>
      <c r="I128" s="23"/>
      <c r="J128" s="19">
        <f>Таблица1[[#This Row],[Блок
 Куб]]*Таблица1[[#This Row],[Цена 
Приход]]</f>
        <v>0</v>
      </c>
      <c r="K128" s="25"/>
      <c r="L128" s="25"/>
      <c r="M128" s="19">
        <f>Таблица1[[#This Row],[Поддон
Шт]]*Таблица1[[#This Row],[Цена
Поддон]]</f>
        <v>0</v>
      </c>
      <c r="N128" s="19">
        <f>Таблица1[[#This Row],[Сумма 
Приход]]+Таблица1[[#This Row],[Сумма Поддон]]</f>
        <v>0</v>
      </c>
      <c r="O128" s="20"/>
      <c r="P128" s="19">
        <f>Таблица1[[#This Row],[Цена
 Продажа]]-Таблица1[[#This Row],[Цена 
Приход]]</f>
        <v>0</v>
      </c>
      <c r="Q128" s="19"/>
      <c r="R128" s="19">
        <f>Таблица1[[#This Row],[Блок
 Куб]]*Таблица1[[#This Row],[Цена
 Продажа]]</f>
        <v>0</v>
      </c>
      <c r="S128" s="20"/>
      <c r="T128" s="19">
        <f>Таблица1[[#This Row],[Сумма 
Продажа]]-Таблица1[[#This Row],[Сумма 
Приход]]</f>
        <v>0</v>
      </c>
      <c r="U128" s="19"/>
    </row>
    <row r="129" spans="1:21" ht="14.25" x14ac:dyDescent="0.2">
      <c r="A129" s="50">
        <f t="shared" si="1"/>
        <v>126</v>
      </c>
      <c r="B129" s="17"/>
      <c r="C129" s="17"/>
      <c r="D129" s="17"/>
      <c r="E129" s="51"/>
      <c r="F129" s="50"/>
      <c r="G129" s="23"/>
      <c r="H129" s="24"/>
      <c r="I129" s="23"/>
      <c r="J129" s="19">
        <f>Таблица1[[#This Row],[Блок
 Куб]]*Таблица1[[#This Row],[Цена 
Приход]]</f>
        <v>0</v>
      </c>
      <c r="K129" s="25"/>
      <c r="L129" s="25"/>
      <c r="M129" s="19">
        <f>Таблица1[[#This Row],[Поддон
Шт]]*Таблица1[[#This Row],[Цена
Поддон]]</f>
        <v>0</v>
      </c>
      <c r="N129" s="19">
        <f>Таблица1[[#This Row],[Сумма 
Приход]]+Таблица1[[#This Row],[Сумма Поддон]]</f>
        <v>0</v>
      </c>
      <c r="O129" s="20"/>
      <c r="P129" s="19">
        <f>Таблица1[[#This Row],[Цена
 Продажа]]-Таблица1[[#This Row],[Цена 
Приход]]</f>
        <v>0</v>
      </c>
      <c r="Q129" s="19"/>
      <c r="R129" s="19">
        <f>Таблица1[[#This Row],[Блок
 Куб]]*Таблица1[[#This Row],[Цена
 Продажа]]</f>
        <v>0</v>
      </c>
      <c r="S129" s="20"/>
      <c r="T129" s="19">
        <f>Таблица1[[#This Row],[Сумма 
Продажа]]-Таблица1[[#This Row],[Сумма 
Приход]]</f>
        <v>0</v>
      </c>
      <c r="U129" s="19"/>
    </row>
    <row r="130" spans="1:21" ht="14.25" x14ac:dyDescent="0.2">
      <c r="A130" s="50">
        <f t="shared" si="1"/>
        <v>127</v>
      </c>
      <c r="B130" s="17"/>
      <c r="C130" s="17"/>
      <c r="D130" s="17"/>
      <c r="E130" s="51"/>
      <c r="F130" s="50"/>
      <c r="G130" s="23"/>
      <c r="H130" s="24"/>
      <c r="I130" s="23"/>
      <c r="J130" s="19">
        <f>Таблица1[[#This Row],[Блок
 Куб]]*Таблица1[[#This Row],[Цена 
Приход]]</f>
        <v>0</v>
      </c>
      <c r="K130" s="25"/>
      <c r="L130" s="25"/>
      <c r="M130" s="19">
        <f>Таблица1[[#This Row],[Поддон
Шт]]*Таблица1[[#This Row],[Цена
Поддон]]</f>
        <v>0</v>
      </c>
      <c r="N130" s="19">
        <f>Таблица1[[#This Row],[Сумма 
Приход]]+Таблица1[[#This Row],[Сумма Поддон]]</f>
        <v>0</v>
      </c>
      <c r="O130" s="20"/>
      <c r="P130" s="19">
        <f>Таблица1[[#This Row],[Цена
 Продажа]]-Таблица1[[#This Row],[Цена 
Приход]]</f>
        <v>0</v>
      </c>
      <c r="Q130" s="19"/>
      <c r="R130" s="19">
        <f>Таблица1[[#This Row],[Блок
 Куб]]*Таблица1[[#This Row],[Цена
 Продажа]]</f>
        <v>0</v>
      </c>
      <c r="S130" s="20"/>
      <c r="T130" s="19">
        <f>Таблица1[[#This Row],[Сумма 
Продажа]]-Таблица1[[#This Row],[Сумма 
Приход]]</f>
        <v>0</v>
      </c>
      <c r="U130" s="19"/>
    </row>
    <row r="131" spans="1:21" ht="14.25" x14ac:dyDescent="0.2">
      <c r="A131" s="50">
        <f t="shared" si="1"/>
        <v>128</v>
      </c>
      <c r="B131" s="17"/>
      <c r="C131" s="17"/>
      <c r="D131" s="17"/>
      <c r="E131" s="51"/>
      <c r="F131" s="50"/>
      <c r="G131" s="23"/>
      <c r="H131" s="24"/>
      <c r="I131" s="23"/>
      <c r="J131" s="19">
        <f>Таблица1[[#This Row],[Блок
 Куб]]*Таблица1[[#This Row],[Цена 
Приход]]</f>
        <v>0</v>
      </c>
      <c r="K131" s="25"/>
      <c r="L131" s="25"/>
      <c r="M131" s="19">
        <f>Таблица1[[#This Row],[Поддон
Шт]]*Таблица1[[#This Row],[Цена
Поддон]]</f>
        <v>0</v>
      </c>
      <c r="N131" s="19">
        <f>Таблица1[[#This Row],[Сумма 
Приход]]+Таблица1[[#This Row],[Сумма Поддон]]</f>
        <v>0</v>
      </c>
      <c r="O131" s="20"/>
      <c r="P131" s="19">
        <f>Таблица1[[#This Row],[Цена
 Продажа]]-Таблица1[[#This Row],[Цена 
Приход]]</f>
        <v>0</v>
      </c>
      <c r="Q131" s="19"/>
      <c r="R131" s="19">
        <f>Таблица1[[#This Row],[Блок
 Куб]]*Таблица1[[#This Row],[Цена
 Продажа]]</f>
        <v>0</v>
      </c>
      <c r="S131" s="20"/>
      <c r="T131" s="19">
        <f>Таблица1[[#This Row],[Сумма 
Продажа]]-Таблица1[[#This Row],[Сумма 
Приход]]</f>
        <v>0</v>
      </c>
      <c r="U131" s="19"/>
    </row>
    <row r="132" spans="1:21" ht="14.25" x14ac:dyDescent="0.2">
      <c r="A132" s="50">
        <f t="shared" si="1"/>
        <v>129</v>
      </c>
      <c r="B132" s="17"/>
      <c r="C132" s="17"/>
      <c r="D132" s="17"/>
      <c r="E132" s="51"/>
      <c r="F132" s="50"/>
      <c r="G132" s="23"/>
      <c r="H132" s="24"/>
      <c r="I132" s="23"/>
      <c r="J132" s="19">
        <f>Таблица1[[#This Row],[Блок
 Куб]]*Таблица1[[#This Row],[Цена 
Приход]]</f>
        <v>0</v>
      </c>
      <c r="K132" s="25"/>
      <c r="L132" s="25"/>
      <c r="M132" s="19">
        <f>Таблица1[[#This Row],[Поддон
Шт]]*Таблица1[[#This Row],[Цена
Поддон]]</f>
        <v>0</v>
      </c>
      <c r="N132" s="19">
        <f>Таблица1[[#This Row],[Сумма 
Приход]]+Таблица1[[#This Row],[Сумма Поддон]]</f>
        <v>0</v>
      </c>
      <c r="O132" s="20"/>
      <c r="P132" s="19">
        <f>Таблица1[[#This Row],[Цена
 Продажа]]-Таблица1[[#This Row],[Цена 
Приход]]</f>
        <v>0</v>
      </c>
      <c r="Q132" s="19"/>
      <c r="R132" s="19">
        <f>Таблица1[[#This Row],[Блок
 Куб]]*Таблица1[[#This Row],[Цена
 Продажа]]</f>
        <v>0</v>
      </c>
      <c r="S132" s="20"/>
      <c r="T132" s="19">
        <f>Таблица1[[#This Row],[Сумма 
Продажа]]-Таблица1[[#This Row],[Сумма 
Приход]]</f>
        <v>0</v>
      </c>
      <c r="U132" s="19"/>
    </row>
    <row r="133" spans="1:21" ht="14.25" x14ac:dyDescent="0.2">
      <c r="A133" s="50">
        <f t="shared" si="1"/>
        <v>130</v>
      </c>
      <c r="B133" s="17"/>
      <c r="C133" s="17"/>
      <c r="D133" s="17"/>
      <c r="E133" s="51"/>
      <c r="F133" s="50"/>
      <c r="G133" s="23"/>
      <c r="H133" s="24"/>
      <c r="I133" s="23"/>
      <c r="J133" s="19">
        <f>Таблица1[[#This Row],[Блок
 Куб]]*Таблица1[[#This Row],[Цена 
Приход]]</f>
        <v>0</v>
      </c>
      <c r="K133" s="25"/>
      <c r="L133" s="25"/>
      <c r="M133" s="19">
        <f>Таблица1[[#This Row],[Поддон
Шт]]*Таблица1[[#This Row],[Цена
Поддон]]</f>
        <v>0</v>
      </c>
      <c r="N133" s="19">
        <f>Таблица1[[#This Row],[Сумма 
Приход]]+Таблица1[[#This Row],[Сумма Поддон]]</f>
        <v>0</v>
      </c>
      <c r="O133" s="20"/>
      <c r="P133" s="19">
        <f>Таблица1[[#This Row],[Цена
 Продажа]]-Таблица1[[#This Row],[Цена 
Приход]]</f>
        <v>0</v>
      </c>
      <c r="Q133" s="19"/>
      <c r="R133" s="19">
        <f>Таблица1[[#This Row],[Блок
 Куб]]*Таблица1[[#This Row],[Цена
 Продажа]]</f>
        <v>0</v>
      </c>
      <c r="S133" s="20"/>
      <c r="T133" s="19">
        <f>Таблица1[[#This Row],[Сумма 
Продажа]]-Таблица1[[#This Row],[Сумма 
Приход]]</f>
        <v>0</v>
      </c>
      <c r="U133" s="19"/>
    </row>
    <row r="134" spans="1:21" ht="14.25" x14ac:dyDescent="0.2">
      <c r="A134" s="50">
        <f t="shared" ref="A134:A197" si="2">A133+1</f>
        <v>131</v>
      </c>
      <c r="B134" s="17"/>
      <c r="C134" s="17"/>
      <c r="D134" s="17"/>
      <c r="E134" s="51"/>
      <c r="F134" s="50"/>
      <c r="G134" s="23"/>
      <c r="H134" s="24"/>
      <c r="I134" s="23"/>
      <c r="J134" s="19">
        <f>Таблица1[[#This Row],[Блок
 Куб]]*Таблица1[[#This Row],[Цена 
Приход]]</f>
        <v>0</v>
      </c>
      <c r="K134" s="25"/>
      <c r="L134" s="25"/>
      <c r="M134" s="19">
        <f>Таблица1[[#This Row],[Поддон
Шт]]*Таблица1[[#This Row],[Цена
Поддон]]</f>
        <v>0</v>
      </c>
      <c r="N134" s="19">
        <f>Таблица1[[#This Row],[Сумма 
Приход]]+Таблица1[[#This Row],[Сумма Поддон]]</f>
        <v>0</v>
      </c>
      <c r="O134" s="20"/>
      <c r="P134" s="19">
        <f>Таблица1[[#This Row],[Цена
 Продажа]]-Таблица1[[#This Row],[Цена 
Приход]]</f>
        <v>0</v>
      </c>
      <c r="Q134" s="19"/>
      <c r="R134" s="19">
        <f>Таблица1[[#This Row],[Блок
 Куб]]*Таблица1[[#This Row],[Цена
 Продажа]]</f>
        <v>0</v>
      </c>
      <c r="S134" s="20"/>
      <c r="T134" s="19">
        <f>Таблица1[[#This Row],[Сумма 
Продажа]]-Таблица1[[#This Row],[Сумма 
Приход]]</f>
        <v>0</v>
      </c>
      <c r="U134" s="19"/>
    </row>
    <row r="135" spans="1:21" ht="14.25" x14ac:dyDescent="0.2">
      <c r="A135" s="50">
        <f t="shared" si="2"/>
        <v>132</v>
      </c>
      <c r="B135" s="17"/>
      <c r="C135" s="17"/>
      <c r="D135" s="17"/>
      <c r="E135" s="51"/>
      <c r="F135" s="50"/>
      <c r="G135" s="23"/>
      <c r="H135" s="24"/>
      <c r="I135" s="23"/>
      <c r="J135" s="19">
        <f>Таблица1[[#This Row],[Блок
 Куб]]*Таблица1[[#This Row],[Цена 
Приход]]</f>
        <v>0</v>
      </c>
      <c r="K135" s="25"/>
      <c r="L135" s="25"/>
      <c r="M135" s="19">
        <f>Таблица1[[#This Row],[Поддон
Шт]]*Таблица1[[#This Row],[Цена
Поддон]]</f>
        <v>0</v>
      </c>
      <c r="N135" s="19">
        <f>Таблица1[[#This Row],[Сумма 
Приход]]+Таблица1[[#This Row],[Сумма Поддон]]</f>
        <v>0</v>
      </c>
      <c r="O135" s="20"/>
      <c r="P135" s="19">
        <f>Таблица1[[#This Row],[Цена
 Продажа]]-Таблица1[[#This Row],[Цена 
Приход]]</f>
        <v>0</v>
      </c>
      <c r="Q135" s="19"/>
      <c r="R135" s="19">
        <f>Таблица1[[#This Row],[Блок
 Куб]]*Таблица1[[#This Row],[Цена
 Продажа]]</f>
        <v>0</v>
      </c>
      <c r="S135" s="20"/>
      <c r="T135" s="19">
        <f>Таблица1[[#This Row],[Сумма 
Продажа]]-Таблица1[[#This Row],[Сумма 
Приход]]</f>
        <v>0</v>
      </c>
      <c r="U135" s="19"/>
    </row>
    <row r="136" spans="1:21" ht="14.25" x14ac:dyDescent="0.2">
      <c r="A136" s="50">
        <f t="shared" si="2"/>
        <v>133</v>
      </c>
      <c r="B136" s="17"/>
      <c r="C136" s="17"/>
      <c r="D136" s="17"/>
      <c r="E136" s="51"/>
      <c r="F136" s="50"/>
      <c r="G136" s="23"/>
      <c r="H136" s="24"/>
      <c r="I136" s="23"/>
      <c r="J136" s="19">
        <f>Таблица1[[#This Row],[Блок
 Куб]]*Таблица1[[#This Row],[Цена 
Приход]]</f>
        <v>0</v>
      </c>
      <c r="K136" s="25"/>
      <c r="L136" s="25"/>
      <c r="M136" s="19">
        <f>Таблица1[[#This Row],[Поддон
Шт]]*Таблица1[[#This Row],[Цена
Поддон]]</f>
        <v>0</v>
      </c>
      <c r="N136" s="19">
        <f>Таблица1[[#This Row],[Сумма 
Приход]]+Таблица1[[#This Row],[Сумма Поддон]]</f>
        <v>0</v>
      </c>
      <c r="O136" s="20"/>
      <c r="P136" s="19">
        <f>Таблица1[[#This Row],[Цена
 Продажа]]-Таблица1[[#This Row],[Цена 
Приход]]</f>
        <v>0</v>
      </c>
      <c r="Q136" s="19"/>
      <c r="R136" s="19">
        <f>Таблица1[[#This Row],[Блок
 Куб]]*Таблица1[[#This Row],[Цена
 Продажа]]</f>
        <v>0</v>
      </c>
      <c r="S136" s="20"/>
      <c r="T136" s="19">
        <f>Таблица1[[#This Row],[Сумма 
Продажа]]-Таблица1[[#This Row],[Сумма 
Приход]]</f>
        <v>0</v>
      </c>
      <c r="U136" s="19"/>
    </row>
    <row r="137" spans="1:21" ht="14.25" x14ac:dyDescent="0.2">
      <c r="A137" s="50">
        <f t="shared" si="2"/>
        <v>134</v>
      </c>
      <c r="B137" s="17"/>
      <c r="C137" s="17"/>
      <c r="D137" s="17"/>
      <c r="E137" s="51"/>
      <c r="F137" s="50"/>
      <c r="G137" s="23"/>
      <c r="H137" s="24"/>
      <c r="I137" s="23"/>
      <c r="J137" s="19">
        <f>Таблица1[[#This Row],[Блок
 Куб]]*Таблица1[[#This Row],[Цена 
Приход]]</f>
        <v>0</v>
      </c>
      <c r="K137" s="25"/>
      <c r="L137" s="25"/>
      <c r="M137" s="19">
        <f>Таблица1[[#This Row],[Поддон
Шт]]*Таблица1[[#This Row],[Цена
Поддон]]</f>
        <v>0</v>
      </c>
      <c r="N137" s="19">
        <f>Таблица1[[#This Row],[Сумма 
Приход]]+Таблица1[[#This Row],[Сумма Поддон]]</f>
        <v>0</v>
      </c>
      <c r="O137" s="20"/>
      <c r="P137" s="19">
        <f>Таблица1[[#This Row],[Цена
 Продажа]]-Таблица1[[#This Row],[Цена 
Приход]]</f>
        <v>0</v>
      </c>
      <c r="Q137" s="19"/>
      <c r="R137" s="19">
        <f>Таблица1[[#This Row],[Блок
 Куб]]*Таблица1[[#This Row],[Цена
 Продажа]]</f>
        <v>0</v>
      </c>
      <c r="S137" s="20"/>
      <c r="T137" s="19">
        <f>Таблица1[[#This Row],[Сумма 
Продажа]]-Таблица1[[#This Row],[Сумма 
Приход]]</f>
        <v>0</v>
      </c>
      <c r="U137" s="19"/>
    </row>
    <row r="138" spans="1:21" ht="14.25" x14ac:dyDescent="0.2">
      <c r="A138" s="50">
        <f t="shared" si="2"/>
        <v>135</v>
      </c>
      <c r="B138" s="17"/>
      <c r="C138" s="17"/>
      <c r="D138" s="17"/>
      <c r="E138" s="51"/>
      <c r="F138" s="50"/>
      <c r="G138" s="23"/>
      <c r="H138" s="24"/>
      <c r="I138" s="23"/>
      <c r="J138" s="19">
        <f>Таблица1[[#This Row],[Блок
 Куб]]*Таблица1[[#This Row],[Цена 
Приход]]</f>
        <v>0</v>
      </c>
      <c r="K138" s="25"/>
      <c r="L138" s="25"/>
      <c r="M138" s="19">
        <f>Таблица1[[#This Row],[Поддон
Шт]]*Таблица1[[#This Row],[Цена
Поддон]]</f>
        <v>0</v>
      </c>
      <c r="N138" s="19">
        <f>Таблица1[[#This Row],[Сумма 
Приход]]+Таблица1[[#This Row],[Сумма Поддон]]</f>
        <v>0</v>
      </c>
      <c r="O138" s="20"/>
      <c r="P138" s="19">
        <f>Таблица1[[#This Row],[Цена
 Продажа]]-Таблица1[[#This Row],[Цена 
Приход]]</f>
        <v>0</v>
      </c>
      <c r="Q138" s="19"/>
      <c r="R138" s="19">
        <f>Таблица1[[#This Row],[Блок
 Куб]]*Таблица1[[#This Row],[Цена
 Продажа]]</f>
        <v>0</v>
      </c>
      <c r="S138" s="20"/>
      <c r="T138" s="19">
        <f>Таблица1[[#This Row],[Сумма 
Продажа]]-Таблица1[[#This Row],[Сумма 
Приход]]</f>
        <v>0</v>
      </c>
      <c r="U138" s="19"/>
    </row>
    <row r="139" spans="1:21" ht="14.25" x14ac:dyDescent="0.2">
      <c r="A139" s="50">
        <f t="shared" si="2"/>
        <v>136</v>
      </c>
      <c r="B139" s="17"/>
      <c r="C139" s="17"/>
      <c r="D139" s="17"/>
      <c r="E139" s="51"/>
      <c r="F139" s="50"/>
      <c r="G139" s="23"/>
      <c r="H139" s="24"/>
      <c r="I139" s="23"/>
      <c r="J139" s="19">
        <f>Таблица1[[#This Row],[Блок
 Куб]]*Таблица1[[#This Row],[Цена 
Приход]]</f>
        <v>0</v>
      </c>
      <c r="K139" s="25"/>
      <c r="L139" s="25"/>
      <c r="M139" s="19">
        <f>Таблица1[[#This Row],[Поддон
Шт]]*Таблица1[[#This Row],[Цена
Поддон]]</f>
        <v>0</v>
      </c>
      <c r="N139" s="19">
        <f>Таблица1[[#This Row],[Сумма 
Приход]]+Таблица1[[#This Row],[Сумма Поддон]]</f>
        <v>0</v>
      </c>
      <c r="O139" s="20"/>
      <c r="P139" s="19">
        <f>Таблица1[[#This Row],[Цена
 Продажа]]-Таблица1[[#This Row],[Цена 
Приход]]</f>
        <v>0</v>
      </c>
      <c r="Q139" s="19"/>
      <c r="R139" s="19">
        <f>Таблица1[[#This Row],[Блок
 Куб]]*Таблица1[[#This Row],[Цена
 Продажа]]</f>
        <v>0</v>
      </c>
      <c r="S139" s="20"/>
      <c r="T139" s="19">
        <f>Таблица1[[#This Row],[Сумма 
Продажа]]-Таблица1[[#This Row],[Сумма 
Приход]]</f>
        <v>0</v>
      </c>
      <c r="U139" s="19"/>
    </row>
    <row r="140" spans="1:21" ht="14.25" x14ac:dyDescent="0.2">
      <c r="A140" s="50">
        <f t="shared" si="2"/>
        <v>137</v>
      </c>
      <c r="B140" s="17"/>
      <c r="C140" s="17"/>
      <c r="D140" s="17"/>
      <c r="E140" s="51"/>
      <c r="F140" s="50"/>
      <c r="G140" s="23"/>
      <c r="H140" s="24"/>
      <c r="I140" s="23"/>
      <c r="J140" s="19">
        <f>Таблица1[[#This Row],[Блок
 Куб]]*Таблица1[[#This Row],[Цена 
Приход]]</f>
        <v>0</v>
      </c>
      <c r="K140" s="25"/>
      <c r="L140" s="25"/>
      <c r="M140" s="19">
        <f>Таблица1[[#This Row],[Поддон
Шт]]*Таблица1[[#This Row],[Цена
Поддон]]</f>
        <v>0</v>
      </c>
      <c r="N140" s="19">
        <f>Таблица1[[#This Row],[Сумма 
Приход]]+Таблица1[[#This Row],[Сумма Поддон]]</f>
        <v>0</v>
      </c>
      <c r="O140" s="20"/>
      <c r="P140" s="19">
        <f>Таблица1[[#This Row],[Цена
 Продажа]]-Таблица1[[#This Row],[Цена 
Приход]]</f>
        <v>0</v>
      </c>
      <c r="Q140" s="19"/>
      <c r="R140" s="19">
        <f>Таблица1[[#This Row],[Блок
 Куб]]*Таблица1[[#This Row],[Цена
 Продажа]]</f>
        <v>0</v>
      </c>
      <c r="S140" s="20"/>
      <c r="T140" s="19">
        <f>Таблица1[[#This Row],[Сумма 
Продажа]]-Таблица1[[#This Row],[Сумма 
Приход]]</f>
        <v>0</v>
      </c>
      <c r="U140" s="19"/>
    </row>
    <row r="141" spans="1:21" ht="14.25" x14ac:dyDescent="0.2">
      <c r="A141" s="50">
        <f t="shared" si="2"/>
        <v>138</v>
      </c>
      <c r="B141" s="17"/>
      <c r="C141" s="17"/>
      <c r="D141" s="17"/>
      <c r="E141" s="51"/>
      <c r="F141" s="50"/>
      <c r="G141" s="23"/>
      <c r="H141" s="24"/>
      <c r="I141" s="23"/>
      <c r="J141" s="19">
        <f>Таблица1[[#This Row],[Блок
 Куб]]*Таблица1[[#This Row],[Цена 
Приход]]</f>
        <v>0</v>
      </c>
      <c r="K141" s="25"/>
      <c r="L141" s="25"/>
      <c r="M141" s="19">
        <f>Таблица1[[#This Row],[Поддон
Шт]]*Таблица1[[#This Row],[Цена
Поддон]]</f>
        <v>0</v>
      </c>
      <c r="N141" s="19">
        <f>Таблица1[[#This Row],[Сумма 
Приход]]+Таблица1[[#This Row],[Сумма Поддон]]</f>
        <v>0</v>
      </c>
      <c r="O141" s="20"/>
      <c r="P141" s="19">
        <f>Таблица1[[#This Row],[Цена
 Продажа]]-Таблица1[[#This Row],[Цена 
Приход]]</f>
        <v>0</v>
      </c>
      <c r="Q141" s="19"/>
      <c r="R141" s="19">
        <f>Таблица1[[#This Row],[Блок
 Куб]]*Таблица1[[#This Row],[Цена
 Продажа]]</f>
        <v>0</v>
      </c>
      <c r="S141" s="20"/>
      <c r="T141" s="19">
        <f>Таблица1[[#This Row],[Сумма 
Продажа]]-Таблица1[[#This Row],[Сумма 
Приход]]</f>
        <v>0</v>
      </c>
      <c r="U141" s="19"/>
    </row>
    <row r="142" spans="1:21" ht="14.25" x14ac:dyDescent="0.2">
      <c r="A142" s="50">
        <f t="shared" si="2"/>
        <v>139</v>
      </c>
      <c r="B142" s="17"/>
      <c r="C142" s="17"/>
      <c r="D142" s="17"/>
      <c r="E142" s="51"/>
      <c r="F142" s="50"/>
      <c r="G142" s="23"/>
      <c r="H142" s="24"/>
      <c r="I142" s="23"/>
      <c r="J142" s="19">
        <f>Таблица1[[#This Row],[Блок
 Куб]]*Таблица1[[#This Row],[Цена 
Приход]]</f>
        <v>0</v>
      </c>
      <c r="K142" s="25"/>
      <c r="L142" s="25"/>
      <c r="M142" s="19">
        <f>Таблица1[[#This Row],[Поддон
Шт]]*Таблица1[[#This Row],[Цена
Поддон]]</f>
        <v>0</v>
      </c>
      <c r="N142" s="19">
        <f>Таблица1[[#This Row],[Сумма 
Приход]]+Таблица1[[#This Row],[Сумма Поддон]]</f>
        <v>0</v>
      </c>
      <c r="O142" s="20"/>
      <c r="P142" s="19">
        <f>Таблица1[[#This Row],[Цена
 Продажа]]-Таблица1[[#This Row],[Цена 
Приход]]</f>
        <v>0</v>
      </c>
      <c r="Q142" s="19"/>
      <c r="R142" s="19">
        <f>Таблица1[[#This Row],[Блок
 Куб]]*Таблица1[[#This Row],[Цена
 Продажа]]</f>
        <v>0</v>
      </c>
      <c r="S142" s="20"/>
      <c r="T142" s="19">
        <f>Таблица1[[#This Row],[Сумма 
Продажа]]-Таблица1[[#This Row],[Сумма 
Приход]]</f>
        <v>0</v>
      </c>
      <c r="U142" s="19"/>
    </row>
    <row r="143" spans="1:21" ht="14.25" x14ac:dyDescent="0.2">
      <c r="A143" s="50">
        <f t="shared" si="2"/>
        <v>140</v>
      </c>
      <c r="B143" s="17"/>
      <c r="C143" s="17"/>
      <c r="D143" s="17"/>
      <c r="E143" s="51"/>
      <c r="F143" s="50"/>
      <c r="G143" s="23"/>
      <c r="H143" s="24"/>
      <c r="I143" s="23"/>
      <c r="J143" s="19">
        <f>Таблица1[[#This Row],[Блок
 Куб]]*Таблица1[[#This Row],[Цена 
Приход]]</f>
        <v>0</v>
      </c>
      <c r="K143" s="25"/>
      <c r="L143" s="25"/>
      <c r="M143" s="19">
        <f>Таблица1[[#This Row],[Поддон
Шт]]*Таблица1[[#This Row],[Цена
Поддон]]</f>
        <v>0</v>
      </c>
      <c r="N143" s="19">
        <f>Таблица1[[#This Row],[Сумма 
Приход]]+Таблица1[[#This Row],[Сумма Поддон]]</f>
        <v>0</v>
      </c>
      <c r="O143" s="20"/>
      <c r="P143" s="19">
        <f>Таблица1[[#This Row],[Цена
 Продажа]]-Таблица1[[#This Row],[Цена 
Приход]]</f>
        <v>0</v>
      </c>
      <c r="Q143" s="19"/>
      <c r="R143" s="19">
        <f>Таблица1[[#This Row],[Блок
 Куб]]*Таблица1[[#This Row],[Цена
 Продажа]]</f>
        <v>0</v>
      </c>
      <c r="S143" s="20"/>
      <c r="T143" s="19">
        <f>Таблица1[[#This Row],[Сумма 
Продажа]]-Таблица1[[#This Row],[Сумма 
Приход]]</f>
        <v>0</v>
      </c>
      <c r="U143" s="19"/>
    </row>
    <row r="144" spans="1:21" ht="14.25" x14ac:dyDescent="0.2">
      <c r="A144" s="50">
        <f t="shared" si="2"/>
        <v>141</v>
      </c>
      <c r="B144" s="17"/>
      <c r="C144" s="17"/>
      <c r="D144" s="17"/>
      <c r="E144" s="51"/>
      <c r="F144" s="50"/>
      <c r="G144" s="23"/>
      <c r="H144" s="24"/>
      <c r="I144" s="23"/>
      <c r="J144" s="19">
        <f>Таблица1[[#This Row],[Блок
 Куб]]*Таблица1[[#This Row],[Цена 
Приход]]</f>
        <v>0</v>
      </c>
      <c r="K144" s="25"/>
      <c r="L144" s="25"/>
      <c r="M144" s="19">
        <f>Таблица1[[#This Row],[Поддон
Шт]]*Таблица1[[#This Row],[Цена
Поддон]]</f>
        <v>0</v>
      </c>
      <c r="N144" s="19">
        <f>Таблица1[[#This Row],[Сумма 
Приход]]+Таблица1[[#This Row],[Сумма Поддон]]</f>
        <v>0</v>
      </c>
      <c r="O144" s="20"/>
      <c r="P144" s="19">
        <f>Таблица1[[#This Row],[Цена
 Продажа]]-Таблица1[[#This Row],[Цена 
Приход]]</f>
        <v>0</v>
      </c>
      <c r="Q144" s="19"/>
      <c r="R144" s="19">
        <f>Таблица1[[#This Row],[Блок
 Куб]]*Таблица1[[#This Row],[Цена
 Продажа]]</f>
        <v>0</v>
      </c>
      <c r="S144" s="20"/>
      <c r="T144" s="19">
        <f>Таблица1[[#This Row],[Сумма 
Продажа]]-Таблица1[[#This Row],[Сумма 
Приход]]</f>
        <v>0</v>
      </c>
      <c r="U144" s="19"/>
    </row>
    <row r="145" spans="1:21" ht="14.25" x14ac:dyDescent="0.2">
      <c r="A145" s="50">
        <f t="shared" si="2"/>
        <v>142</v>
      </c>
      <c r="B145" s="17"/>
      <c r="C145" s="17"/>
      <c r="D145" s="17"/>
      <c r="E145" s="51"/>
      <c r="F145" s="50"/>
      <c r="G145" s="23"/>
      <c r="H145" s="24"/>
      <c r="I145" s="23"/>
      <c r="J145" s="19">
        <f>Таблица1[[#This Row],[Блок
 Куб]]*Таблица1[[#This Row],[Цена 
Приход]]</f>
        <v>0</v>
      </c>
      <c r="K145" s="25"/>
      <c r="L145" s="25"/>
      <c r="M145" s="19">
        <f>Таблица1[[#This Row],[Поддон
Шт]]*Таблица1[[#This Row],[Цена
Поддон]]</f>
        <v>0</v>
      </c>
      <c r="N145" s="19">
        <f>Таблица1[[#This Row],[Сумма 
Приход]]+Таблица1[[#This Row],[Сумма Поддон]]</f>
        <v>0</v>
      </c>
      <c r="O145" s="20"/>
      <c r="P145" s="19">
        <f>Таблица1[[#This Row],[Цена
 Продажа]]-Таблица1[[#This Row],[Цена 
Приход]]</f>
        <v>0</v>
      </c>
      <c r="Q145" s="19"/>
      <c r="R145" s="19">
        <f>Таблица1[[#This Row],[Блок
 Куб]]*Таблица1[[#This Row],[Цена
 Продажа]]</f>
        <v>0</v>
      </c>
      <c r="S145" s="20"/>
      <c r="T145" s="19">
        <f>Таблица1[[#This Row],[Сумма 
Продажа]]-Таблица1[[#This Row],[Сумма 
Приход]]</f>
        <v>0</v>
      </c>
      <c r="U145" s="19"/>
    </row>
    <row r="146" spans="1:21" ht="14.25" x14ac:dyDescent="0.2">
      <c r="A146" s="50">
        <f t="shared" si="2"/>
        <v>143</v>
      </c>
      <c r="B146" s="17"/>
      <c r="C146" s="17"/>
      <c r="D146" s="17"/>
      <c r="E146" s="51"/>
      <c r="F146" s="50"/>
      <c r="G146" s="23"/>
      <c r="H146" s="24"/>
      <c r="I146" s="23"/>
      <c r="J146" s="19">
        <f>Таблица1[[#This Row],[Блок
 Куб]]*Таблица1[[#This Row],[Цена 
Приход]]</f>
        <v>0</v>
      </c>
      <c r="K146" s="25"/>
      <c r="L146" s="25"/>
      <c r="M146" s="19">
        <f>Таблица1[[#This Row],[Поддон
Шт]]*Таблица1[[#This Row],[Цена
Поддон]]</f>
        <v>0</v>
      </c>
      <c r="N146" s="19">
        <f>Таблица1[[#This Row],[Сумма 
Приход]]+Таблица1[[#This Row],[Сумма Поддон]]</f>
        <v>0</v>
      </c>
      <c r="O146" s="20"/>
      <c r="P146" s="19">
        <f>Таблица1[[#This Row],[Цена
 Продажа]]-Таблица1[[#This Row],[Цена 
Приход]]</f>
        <v>0</v>
      </c>
      <c r="Q146" s="19"/>
      <c r="R146" s="19">
        <f>Таблица1[[#This Row],[Блок
 Куб]]*Таблица1[[#This Row],[Цена
 Продажа]]</f>
        <v>0</v>
      </c>
      <c r="S146" s="20"/>
      <c r="T146" s="19">
        <f>Таблица1[[#This Row],[Сумма 
Продажа]]-Таблица1[[#This Row],[Сумма 
Приход]]</f>
        <v>0</v>
      </c>
      <c r="U146" s="19"/>
    </row>
    <row r="147" spans="1:21" ht="14.25" x14ac:dyDescent="0.2">
      <c r="A147" s="50">
        <f t="shared" si="2"/>
        <v>144</v>
      </c>
      <c r="B147" s="17"/>
      <c r="C147" s="17"/>
      <c r="D147" s="17"/>
      <c r="E147" s="51"/>
      <c r="F147" s="50"/>
      <c r="G147" s="23"/>
      <c r="H147" s="24"/>
      <c r="I147" s="23"/>
      <c r="J147" s="19">
        <f>Таблица1[[#This Row],[Блок
 Куб]]*Таблица1[[#This Row],[Цена 
Приход]]</f>
        <v>0</v>
      </c>
      <c r="K147" s="25"/>
      <c r="L147" s="25"/>
      <c r="M147" s="19">
        <f>Таблица1[[#This Row],[Поддон
Шт]]*Таблица1[[#This Row],[Цена
Поддон]]</f>
        <v>0</v>
      </c>
      <c r="N147" s="19">
        <f>Таблица1[[#This Row],[Сумма 
Приход]]+Таблица1[[#This Row],[Сумма Поддон]]</f>
        <v>0</v>
      </c>
      <c r="O147" s="20"/>
      <c r="P147" s="19">
        <f>Таблица1[[#This Row],[Цена
 Продажа]]-Таблица1[[#This Row],[Цена 
Приход]]</f>
        <v>0</v>
      </c>
      <c r="Q147" s="19"/>
      <c r="R147" s="19">
        <f>Таблица1[[#This Row],[Блок
 Куб]]*Таблица1[[#This Row],[Цена
 Продажа]]</f>
        <v>0</v>
      </c>
      <c r="S147" s="20"/>
      <c r="T147" s="19">
        <f>Таблица1[[#This Row],[Сумма 
Продажа]]-Таблица1[[#This Row],[Сумма 
Приход]]</f>
        <v>0</v>
      </c>
      <c r="U147" s="19"/>
    </row>
    <row r="148" spans="1:21" ht="14.25" x14ac:dyDescent="0.2">
      <c r="A148" s="50">
        <f t="shared" si="2"/>
        <v>145</v>
      </c>
      <c r="B148" s="17"/>
      <c r="C148" s="17"/>
      <c r="D148" s="17"/>
      <c r="E148" s="51"/>
      <c r="F148" s="50"/>
      <c r="G148" s="23"/>
      <c r="H148" s="24"/>
      <c r="I148" s="23"/>
      <c r="J148" s="19">
        <f>Таблица1[[#This Row],[Блок
 Куб]]*Таблица1[[#This Row],[Цена 
Приход]]</f>
        <v>0</v>
      </c>
      <c r="K148" s="25"/>
      <c r="L148" s="25"/>
      <c r="M148" s="19">
        <f>Таблица1[[#This Row],[Поддон
Шт]]*Таблица1[[#This Row],[Цена
Поддон]]</f>
        <v>0</v>
      </c>
      <c r="N148" s="19">
        <f>Таблица1[[#This Row],[Сумма 
Приход]]+Таблица1[[#This Row],[Сумма Поддон]]</f>
        <v>0</v>
      </c>
      <c r="O148" s="20"/>
      <c r="P148" s="19">
        <f>Таблица1[[#This Row],[Цена
 Продажа]]-Таблица1[[#This Row],[Цена 
Приход]]</f>
        <v>0</v>
      </c>
      <c r="Q148" s="19"/>
      <c r="R148" s="19">
        <f>Таблица1[[#This Row],[Блок
 Куб]]*Таблица1[[#This Row],[Цена
 Продажа]]</f>
        <v>0</v>
      </c>
      <c r="S148" s="20"/>
      <c r="T148" s="19">
        <f>Таблица1[[#This Row],[Сумма 
Продажа]]-Таблица1[[#This Row],[Сумма 
Приход]]</f>
        <v>0</v>
      </c>
      <c r="U148" s="19"/>
    </row>
    <row r="149" spans="1:21" ht="14.25" x14ac:dyDescent="0.2">
      <c r="A149" s="50">
        <f t="shared" si="2"/>
        <v>146</v>
      </c>
      <c r="B149" s="17"/>
      <c r="C149" s="17"/>
      <c r="D149" s="17"/>
      <c r="E149" s="51"/>
      <c r="F149" s="50"/>
      <c r="G149" s="23"/>
      <c r="H149" s="24"/>
      <c r="I149" s="23"/>
      <c r="J149" s="19">
        <f>Таблица1[[#This Row],[Блок
 Куб]]*Таблица1[[#This Row],[Цена 
Приход]]</f>
        <v>0</v>
      </c>
      <c r="K149" s="25"/>
      <c r="L149" s="25"/>
      <c r="M149" s="19">
        <f>Таблица1[[#This Row],[Поддон
Шт]]*Таблица1[[#This Row],[Цена
Поддон]]</f>
        <v>0</v>
      </c>
      <c r="N149" s="19">
        <f>Таблица1[[#This Row],[Сумма 
Приход]]+Таблица1[[#This Row],[Сумма Поддон]]</f>
        <v>0</v>
      </c>
      <c r="O149" s="20"/>
      <c r="P149" s="19">
        <f>Таблица1[[#This Row],[Цена
 Продажа]]-Таблица1[[#This Row],[Цена 
Приход]]</f>
        <v>0</v>
      </c>
      <c r="Q149" s="19"/>
      <c r="R149" s="19">
        <f>Таблица1[[#This Row],[Блок
 Куб]]*Таблица1[[#This Row],[Цена
 Продажа]]</f>
        <v>0</v>
      </c>
      <c r="S149" s="20"/>
      <c r="T149" s="19">
        <f>Таблица1[[#This Row],[Сумма 
Продажа]]-Таблица1[[#This Row],[Сумма 
Приход]]</f>
        <v>0</v>
      </c>
      <c r="U149" s="19"/>
    </row>
    <row r="150" spans="1:21" ht="14.25" x14ac:dyDescent="0.2">
      <c r="A150" s="50">
        <f t="shared" si="2"/>
        <v>147</v>
      </c>
      <c r="B150" s="17"/>
      <c r="C150" s="17"/>
      <c r="D150" s="17"/>
      <c r="E150" s="51"/>
      <c r="F150" s="50"/>
      <c r="G150" s="23"/>
      <c r="H150" s="24"/>
      <c r="I150" s="23"/>
      <c r="J150" s="19">
        <f>Таблица1[[#This Row],[Блок
 Куб]]*Таблица1[[#This Row],[Цена 
Приход]]</f>
        <v>0</v>
      </c>
      <c r="K150" s="25"/>
      <c r="L150" s="25"/>
      <c r="M150" s="19">
        <f>Таблица1[[#This Row],[Поддон
Шт]]*Таблица1[[#This Row],[Цена
Поддон]]</f>
        <v>0</v>
      </c>
      <c r="N150" s="19">
        <f>Таблица1[[#This Row],[Сумма 
Приход]]+Таблица1[[#This Row],[Сумма Поддон]]</f>
        <v>0</v>
      </c>
      <c r="O150" s="20"/>
      <c r="P150" s="19">
        <f>Таблица1[[#This Row],[Цена
 Продажа]]-Таблица1[[#This Row],[Цена 
Приход]]</f>
        <v>0</v>
      </c>
      <c r="Q150" s="19"/>
      <c r="R150" s="19">
        <f>Таблица1[[#This Row],[Блок
 Куб]]*Таблица1[[#This Row],[Цена
 Продажа]]</f>
        <v>0</v>
      </c>
      <c r="S150" s="20"/>
      <c r="T150" s="19">
        <f>Таблица1[[#This Row],[Сумма 
Продажа]]-Таблица1[[#This Row],[Сумма 
Приход]]</f>
        <v>0</v>
      </c>
      <c r="U150" s="19"/>
    </row>
    <row r="151" spans="1:21" ht="14.25" x14ac:dyDescent="0.2">
      <c r="A151" s="50">
        <f t="shared" si="2"/>
        <v>148</v>
      </c>
      <c r="B151" s="17"/>
      <c r="C151" s="17"/>
      <c r="D151" s="17"/>
      <c r="E151" s="51"/>
      <c r="F151" s="50"/>
      <c r="G151" s="23"/>
      <c r="H151" s="24"/>
      <c r="I151" s="23"/>
      <c r="J151" s="19">
        <f>Таблица1[[#This Row],[Блок
 Куб]]*Таблица1[[#This Row],[Цена 
Приход]]</f>
        <v>0</v>
      </c>
      <c r="K151" s="25"/>
      <c r="L151" s="25"/>
      <c r="M151" s="19">
        <f>Таблица1[[#This Row],[Поддон
Шт]]*Таблица1[[#This Row],[Цена
Поддон]]</f>
        <v>0</v>
      </c>
      <c r="N151" s="19">
        <f>Таблица1[[#This Row],[Сумма 
Приход]]+Таблица1[[#This Row],[Сумма Поддон]]</f>
        <v>0</v>
      </c>
      <c r="O151" s="20"/>
      <c r="P151" s="19">
        <f>Таблица1[[#This Row],[Цена
 Продажа]]-Таблица1[[#This Row],[Цена 
Приход]]</f>
        <v>0</v>
      </c>
      <c r="Q151" s="19"/>
      <c r="R151" s="19">
        <f>Таблица1[[#This Row],[Блок
 Куб]]*Таблица1[[#This Row],[Цена
 Продажа]]</f>
        <v>0</v>
      </c>
      <c r="S151" s="20"/>
      <c r="T151" s="19">
        <f>Таблица1[[#This Row],[Сумма 
Продажа]]-Таблица1[[#This Row],[Сумма 
Приход]]</f>
        <v>0</v>
      </c>
      <c r="U151" s="19"/>
    </row>
    <row r="152" spans="1:21" ht="14.25" x14ac:dyDescent="0.2">
      <c r="A152" s="50">
        <f t="shared" si="2"/>
        <v>149</v>
      </c>
      <c r="B152" s="17"/>
      <c r="C152" s="17"/>
      <c r="D152" s="17"/>
      <c r="E152" s="51"/>
      <c r="F152" s="50"/>
      <c r="G152" s="23"/>
      <c r="H152" s="24"/>
      <c r="I152" s="23"/>
      <c r="J152" s="19">
        <f>Таблица1[[#This Row],[Блок
 Куб]]*Таблица1[[#This Row],[Цена 
Приход]]</f>
        <v>0</v>
      </c>
      <c r="K152" s="25"/>
      <c r="L152" s="25"/>
      <c r="M152" s="19">
        <f>Таблица1[[#This Row],[Поддон
Шт]]*Таблица1[[#This Row],[Цена
Поддон]]</f>
        <v>0</v>
      </c>
      <c r="N152" s="19">
        <f>Таблица1[[#This Row],[Сумма 
Приход]]+Таблица1[[#This Row],[Сумма Поддон]]</f>
        <v>0</v>
      </c>
      <c r="O152" s="20"/>
      <c r="P152" s="19">
        <f>Таблица1[[#This Row],[Цена
 Продажа]]-Таблица1[[#This Row],[Цена 
Приход]]</f>
        <v>0</v>
      </c>
      <c r="Q152" s="19"/>
      <c r="R152" s="19">
        <f>Таблица1[[#This Row],[Блок
 Куб]]*Таблица1[[#This Row],[Цена
 Продажа]]</f>
        <v>0</v>
      </c>
      <c r="S152" s="20"/>
      <c r="T152" s="19">
        <f>Таблица1[[#This Row],[Сумма 
Продажа]]-Таблица1[[#This Row],[Сумма 
Приход]]</f>
        <v>0</v>
      </c>
      <c r="U152" s="19"/>
    </row>
    <row r="153" spans="1:21" ht="14.25" x14ac:dyDescent="0.2">
      <c r="A153" s="50">
        <f t="shared" si="2"/>
        <v>150</v>
      </c>
      <c r="B153" s="17"/>
      <c r="C153" s="17"/>
      <c r="D153" s="17"/>
      <c r="E153" s="51"/>
      <c r="F153" s="50"/>
      <c r="G153" s="23"/>
      <c r="H153" s="24"/>
      <c r="I153" s="23"/>
      <c r="J153" s="19">
        <f>Таблица1[[#This Row],[Блок
 Куб]]*Таблица1[[#This Row],[Цена 
Приход]]</f>
        <v>0</v>
      </c>
      <c r="K153" s="25"/>
      <c r="L153" s="25"/>
      <c r="M153" s="19">
        <f>Таблица1[[#This Row],[Поддон
Шт]]*Таблица1[[#This Row],[Цена
Поддон]]</f>
        <v>0</v>
      </c>
      <c r="N153" s="19">
        <f>Таблица1[[#This Row],[Сумма 
Приход]]+Таблица1[[#This Row],[Сумма Поддон]]</f>
        <v>0</v>
      </c>
      <c r="O153" s="20"/>
      <c r="P153" s="19">
        <f>Таблица1[[#This Row],[Цена
 Продажа]]-Таблица1[[#This Row],[Цена 
Приход]]</f>
        <v>0</v>
      </c>
      <c r="Q153" s="19"/>
      <c r="R153" s="19">
        <f>Таблица1[[#This Row],[Блок
 Куб]]*Таблица1[[#This Row],[Цена
 Продажа]]</f>
        <v>0</v>
      </c>
      <c r="S153" s="20"/>
      <c r="T153" s="19">
        <f>Таблица1[[#This Row],[Сумма 
Продажа]]-Таблица1[[#This Row],[Сумма 
Приход]]</f>
        <v>0</v>
      </c>
      <c r="U153" s="19"/>
    </row>
    <row r="154" spans="1:21" ht="14.25" x14ac:dyDescent="0.2">
      <c r="A154" s="50">
        <f t="shared" si="2"/>
        <v>151</v>
      </c>
      <c r="B154" s="17"/>
      <c r="C154" s="17"/>
      <c r="D154" s="17"/>
      <c r="E154" s="51"/>
      <c r="F154" s="50"/>
      <c r="G154" s="23"/>
      <c r="H154" s="24"/>
      <c r="I154" s="23"/>
      <c r="J154" s="19">
        <f>Таблица1[[#This Row],[Блок
 Куб]]*Таблица1[[#This Row],[Цена 
Приход]]</f>
        <v>0</v>
      </c>
      <c r="K154" s="25"/>
      <c r="L154" s="25"/>
      <c r="M154" s="19">
        <f>Таблица1[[#This Row],[Поддон
Шт]]*Таблица1[[#This Row],[Цена
Поддон]]</f>
        <v>0</v>
      </c>
      <c r="N154" s="19">
        <f>Таблица1[[#This Row],[Сумма 
Приход]]+Таблица1[[#This Row],[Сумма Поддон]]</f>
        <v>0</v>
      </c>
      <c r="O154" s="20"/>
      <c r="P154" s="19">
        <f>Таблица1[[#This Row],[Цена
 Продажа]]-Таблица1[[#This Row],[Цена 
Приход]]</f>
        <v>0</v>
      </c>
      <c r="Q154" s="19"/>
      <c r="R154" s="19">
        <f>Таблица1[[#This Row],[Блок
 Куб]]*Таблица1[[#This Row],[Цена
 Продажа]]</f>
        <v>0</v>
      </c>
      <c r="S154" s="20"/>
      <c r="T154" s="19">
        <f>Таблица1[[#This Row],[Сумма 
Продажа]]-Таблица1[[#This Row],[Сумма 
Приход]]</f>
        <v>0</v>
      </c>
      <c r="U154" s="19"/>
    </row>
    <row r="155" spans="1:21" ht="14.25" x14ac:dyDescent="0.2">
      <c r="A155" s="50">
        <f t="shared" si="2"/>
        <v>152</v>
      </c>
      <c r="B155" s="17"/>
      <c r="C155" s="17"/>
      <c r="D155" s="17"/>
      <c r="E155" s="51"/>
      <c r="F155" s="50"/>
      <c r="G155" s="23"/>
      <c r="H155" s="24"/>
      <c r="I155" s="23"/>
      <c r="J155" s="19">
        <f>Таблица1[[#This Row],[Блок
 Куб]]*Таблица1[[#This Row],[Цена 
Приход]]</f>
        <v>0</v>
      </c>
      <c r="K155" s="25"/>
      <c r="L155" s="25"/>
      <c r="M155" s="19">
        <f>Таблица1[[#This Row],[Поддон
Шт]]*Таблица1[[#This Row],[Цена
Поддон]]</f>
        <v>0</v>
      </c>
      <c r="N155" s="19">
        <f>Таблица1[[#This Row],[Сумма 
Приход]]+Таблица1[[#This Row],[Сумма Поддон]]</f>
        <v>0</v>
      </c>
      <c r="O155" s="20"/>
      <c r="P155" s="19">
        <f>Таблица1[[#This Row],[Цена
 Продажа]]-Таблица1[[#This Row],[Цена 
Приход]]</f>
        <v>0</v>
      </c>
      <c r="Q155" s="19"/>
      <c r="R155" s="19">
        <f>Таблица1[[#This Row],[Блок
 Куб]]*Таблица1[[#This Row],[Цена
 Продажа]]</f>
        <v>0</v>
      </c>
      <c r="S155" s="20"/>
      <c r="T155" s="19">
        <f>Таблица1[[#This Row],[Сумма 
Продажа]]-Таблица1[[#This Row],[Сумма 
Приход]]</f>
        <v>0</v>
      </c>
      <c r="U155" s="19"/>
    </row>
    <row r="156" spans="1:21" ht="14.25" x14ac:dyDescent="0.2">
      <c r="A156" s="50">
        <f t="shared" si="2"/>
        <v>153</v>
      </c>
      <c r="B156" s="17"/>
      <c r="C156" s="17"/>
      <c r="D156" s="17"/>
      <c r="E156" s="51"/>
      <c r="F156" s="50"/>
      <c r="G156" s="23"/>
      <c r="H156" s="24"/>
      <c r="I156" s="23"/>
      <c r="J156" s="19">
        <f>Таблица1[[#This Row],[Блок
 Куб]]*Таблица1[[#This Row],[Цена 
Приход]]</f>
        <v>0</v>
      </c>
      <c r="K156" s="25"/>
      <c r="L156" s="25"/>
      <c r="M156" s="19">
        <f>Таблица1[[#This Row],[Поддон
Шт]]*Таблица1[[#This Row],[Цена
Поддон]]</f>
        <v>0</v>
      </c>
      <c r="N156" s="19">
        <f>Таблица1[[#This Row],[Сумма 
Приход]]+Таблица1[[#This Row],[Сумма Поддон]]</f>
        <v>0</v>
      </c>
      <c r="O156" s="20"/>
      <c r="P156" s="19">
        <f>Таблица1[[#This Row],[Цена
 Продажа]]-Таблица1[[#This Row],[Цена 
Приход]]</f>
        <v>0</v>
      </c>
      <c r="Q156" s="19"/>
      <c r="R156" s="19">
        <f>Таблица1[[#This Row],[Блок
 Куб]]*Таблица1[[#This Row],[Цена
 Продажа]]</f>
        <v>0</v>
      </c>
      <c r="S156" s="20"/>
      <c r="T156" s="19">
        <f>Таблица1[[#This Row],[Сумма 
Продажа]]-Таблица1[[#This Row],[Сумма 
Приход]]</f>
        <v>0</v>
      </c>
      <c r="U156" s="150"/>
    </row>
    <row r="157" spans="1:21" ht="14.25" x14ac:dyDescent="0.2">
      <c r="A157" s="50">
        <f t="shared" si="2"/>
        <v>154</v>
      </c>
      <c r="B157" s="17"/>
      <c r="C157" s="17"/>
      <c r="D157" s="17"/>
      <c r="E157" s="51"/>
      <c r="F157" s="50"/>
      <c r="G157" s="23"/>
      <c r="H157" s="24"/>
      <c r="I157" s="23"/>
      <c r="J157" s="19">
        <f>Таблица1[[#This Row],[Блок
 Куб]]*Таблица1[[#This Row],[Цена 
Приход]]</f>
        <v>0</v>
      </c>
      <c r="K157" s="25"/>
      <c r="L157" s="25"/>
      <c r="M157" s="19">
        <f>Таблица1[[#This Row],[Поддон
Шт]]*Таблица1[[#This Row],[Цена
Поддон]]</f>
        <v>0</v>
      </c>
      <c r="N157" s="19">
        <f>Таблица1[[#This Row],[Сумма 
Приход]]+Таблица1[[#This Row],[Сумма Поддон]]</f>
        <v>0</v>
      </c>
      <c r="O157" s="20"/>
      <c r="P157" s="19">
        <f>Таблица1[[#This Row],[Цена
 Продажа]]-Таблица1[[#This Row],[Цена 
Приход]]</f>
        <v>0</v>
      </c>
      <c r="Q157" s="19"/>
      <c r="R157" s="19">
        <f>Таблица1[[#This Row],[Блок
 Куб]]*Таблица1[[#This Row],[Цена
 Продажа]]</f>
        <v>0</v>
      </c>
      <c r="S157" s="20"/>
      <c r="T157" s="19">
        <f>Таблица1[[#This Row],[Сумма 
Продажа]]-Таблица1[[#This Row],[Сумма 
Приход]]</f>
        <v>0</v>
      </c>
      <c r="U157" s="150"/>
    </row>
    <row r="158" spans="1:21" ht="14.25" x14ac:dyDescent="0.2">
      <c r="A158" s="50">
        <f t="shared" si="2"/>
        <v>155</v>
      </c>
      <c r="B158" s="17"/>
      <c r="C158" s="17"/>
      <c r="D158" s="17"/>
      <c r="E158" s="51"/>
      <c r="F158" s="50"/>
      <c r="G158" s="23"/>
      <c r="H158" s="24"/>
      <c r="I158" s="23"/>
      <c r="J158" s="19">
        <f>Таблица1[[#This Row],[Блок
 Куб]]*Таблица1[[#This Row],[Цена 
Приход]]</f>
        <v>0</v>
      </c>
      <c r="K158" s="25"/>
      <c r="L158" s="25"/>
      <c r="M158" s="19">
        <f>Таблица1[[#This Row],[Поддон
Шт]]*Таблица1[[#This Row],[Цена
Поддон]]</f>
        <v>0</v>
      </c>
      <c r="N158" s="19">
        <f>Таблица1[[#This Row],[Сумма 
Приход]]+Таблица1[[#This Row],[Сумма Поддон]]</f>
        <v>0</v>
      </c>
      <c r="O158" s="20"/>
      <c r="P158" s="19">
        <f>Таблица1[[#This Row],[Цена
 Продажа]]-Таблица1[[#This Row],[Цена 
Приход]]</f>
        <v>0</v>
      </c>
      <c r="Q158" s="19"/>
      <c r="R158" s="19">
        <f>Таблица1[[#This Row],[Блок
 Куб]]*Таблица1[[#This Row],[Цена
 Продажа]]</f>
        <v>0</v>
      </c>
      <c r="S158" s="20"/>
      <c r="T158" s="19">
        <f>Таблица1[[#This Row],[Сумма 
Продажа]]-Таблица1[[#This Row],[Сумма 
Приход]]</f>
        <v>0</v>
      </c>
      <c r="U158" s="150"/>
    </row>
    <row r="159" spans="1:21" ht="14.25" x14ac:dyDescent="0.2">
      <c r="A159" s="50">
        <f t="shared" si="2"/>
        <v>156</v>
      </c>
      <c r="B159" s="17"/>
      <c r="C159" s="17"/>
      <c r="D159" s="17"/>
      <c r="E159" s="51"/>
      <c r="F159" s="50"/>
      <c r="G159" s="23"/>
      <c r="H159" s="24"/>
      <c r="I159" s="23"/>
      <c r="J159" s="19">
        <f>Таблица1[[#This Row],[Блок
 Куб]]*Таблица1[[#This Row],[Цена 
Приход]]</f>
        <v>0</v>
      </c>
      <c r="K159" s="25"/>
      <c r="L159" s="25"/>
      <c r="M159" s="19">
        <f>Таблица1[[#This Row],[Поддон
Шт]]*Таблица1[[#This Row],[Цена
Поддон]]</f>
        <v>0</v>
      </c>
      <c r="N159" s="19">
        <f>Таблица1[[#This Row],[Сумма 
Приход]]+Таблица1[[#This Row],[Сумма Поддон]]</f>
        <v>0</v>
      </c>
      <c r="O159" s="20"/>
      <c r="P159" s="19">
        <f>Таблица1[[#This Row],[Цена
 Продажа]]-Таблица1[[#This Row],[Цена 
Приход]]</f>
        <v>0</v>
      </c>
      <c r="Q159" s="19"/>
      <c r="R159" s="19">
        <f>Таблица1[[#This Row],[Блок
 Куб]]*Таблица1[[#This Row],[Цена
 Продажа]]</f>
        <v>0</v>
      </c>
      <c r="S159" s="20"/>
      <c r="T159" s="19">
        <f>Таблица1[[#This Row],[Сумма 
Продажа]]-Таблица1[[#This Row],[Сумма 
Приход]]</f>
        <v>0</v>
      </c>
      <c r="U159" s="150"/>
    </row>
    <row r="160" spans="1:21" ht="14.25" x14ac:dyDescent="0.2">
      <c r="A160" s="50">
        <f t="shared" si="2"/>
        <v>157</v>
      </c>
      <c r="B160" s="17"/>
      <c r="C160" s="17"/>
      <c r="D160" s="17"/>
      <c r="E160" s="51"/>
      <c r="F160" s="50"/>
      <c r="G160" s="23"/>
      <c r="H160" s="24"/>
      <c r="I160" s="23"/>
      <c r="J160" s="19">
        <f>Таблица1[[#This Row],[Блок
 Куб]]*Таблица1[[#This Row],[Цена 
Приход]]</f>
        <v>0</v>
      </c>
      <c r="K160" s="25"/>
      <c r="L160" s="25"/>
      <c r="M160" s="19">
        <f>Таблица1[[#This Row],[Поддон
Шт]]*Таблица1[[#This Row],[Цена
Поддон]]</f>
        <v>0</v>
      </c>
      <c r="N160" s="19">
        <f>Таблица1[[#This Row],[Сумма 
Приход]]+Таблица1[[#This Row],[Сумма Поддон]]</f>
        <v>0</v>
      </c>
      <c r="O160" s="20"/>
      <c r="P160" s="19">
        <f>Таблица1[[#This Row],[Цена
 Продажа]]-Таблица1[[#This Row],[Цена 
Приход]]</f>
        <v>0</v>
      </c>
      <c r="Q160" s="19"/>
      <c r="R160" s="19">
        <f>Таблица1[[#This Row],[Блок
 Куб]]*Таблица1[[#This Row],[Цена
 Продажа]]</f>
        <v>0</v>
      </c>
      <c r="S160" s="20"/>
      <c r="T160" s="19">
        <f>Таблица1[[#This Row],[Сумма 
Продажа]]-Таблица1[[#This Row],[Сумма 
Приход]]</f>
        <v>0</v>
      </c>
      <c r="U160" s="150"/>
    </row>
    <row r="161" spans="1:21" ht="14.25" x14ac:dyDescent="0.2">
      <c r="A161" s="50">
        <f t="shared" si="2"/>
        <v>158</v>
      </c>
      <c r="B161" s="17"/>
      <c r="C161" s="17"/>
      <c r="D161" s="17"/>
      <c r="E161" s="51"/>
      <c r="F161" s="50"/>
      <c r="G161" s="23"/>
      <c r="H161" s="24"/>
      <c r="I161" s="23"/>
      <c r="J161" s="19">
        <f>Таблица1[[#This Row],[Блок
 Куб]]*Таблица1[[#This Row],[Цена 
Приход]]</f>
        <v>0</v>
      </c>
      <c r="K161" s="25"/>
      <c r="L161" s="25"/>
      <c r="M161" s="19">
        <f>Таблица1[[#This Row],[Поддон
Шт]]*Таблица1[[#This Row],[Цена
Поддон]]</f>
        <v>0</v>
      </c>
      <c r="N161" s="19">
        <f>Таблица1[[#This Row],[Сумма 
Приход]]+Таблица1[[#This Row],[Сумма Поддон]]</f>
        <v>0</v>
      </c>
      <c r="O161" s="20"/>
      <c r="P161" s="19">
        <f>Таблица1[[#This Row],[Цена
 Продажа]]-Таблица1[[#This Row],[Цена 
Приход]]</f>
        <v>0</v>
      </c>
      <c r="Q161" s="19"/>
      <c r="R161" s="19">
        <f>Таблица1[[#This Row],[Блок
 Куб]]*Таблица1[[#This Row],[Цена
 Продажа]]</f>
        <v>0</v>
      </c>
      <c r="S161" s="20"/>
      <c r="T161" s="19">
        <f>Таблица1[[#This Row],[Сумма 
Продажа]]-Таблица1[[#This Row],[Сумма 
Приход]]</f>
        <v>0</v>
      </c>
      <c r="U161" s="150"/>
    </row>
    <row r="162" spans="1:21" ht="14.25" x14ac:dyDescent="0.2">
      <c r="A162" s="50">
        <f t="shared" si="2"/>
        <v>159</v>
      </c>
      <c r="B162" s="17"/>
      <c r="C162" s="17"/>
      <c r="D162" s="17"/>
      <c r="E162" s="51"/>
      <c r="F162" s="50"/>
      <c r="G162" s="23"/>
      <c r="H162" s="24"/>
      <c r="I162" s="23"/>
      <c r="J162" s="19">
        <f>Таблица1[[#This Row],[Блок
 Куб]]*Таблица1[[#This Row],[Цена 
Приход]]</f>
        <v>0</v>
      </c>
      <c r="K162" s="25"/>
      <c r="L162" s="25"/>
      <c r="M162" s="19">
        <f>Таблица1[[#This Row],[Поддон
Шт]]*Таблица1[[#This Row],[Цена
Поддон]]</f>
        <v>0</v>
      </c>
      <c r="N162" s="19">
        <f>Таблица1[[#This Row],[Сумма 
Приход]]+Таблица1[[#This Row],[Сумма Поддон]]</f>
        <v>0</v>
      </c>
      <c r="O162" s="20"/>
      <c r="P162" s="19">
        <f>Таблица1[[#This Row],[Цена
 Продажа]]-Таблица1[[#This Row],[Цена 
Приход]]</f>
        <v>0</v>
      </c>
      <c r="Q162" s="19"/>
      <c r="R162" s="19">
        <f>Таблица1[[#This Row],[Блок
 Куб]]*Таблица1[[#This Row],[Цена
 Продажа]]</f>
        <v>0</v>
      </c>
      <c r="S162" s="20"/>
      <c r="T162" s="19">
        <f>Таблица1[[#This Row],[Сумма 
Продажа]]-Таблица1[[#This Row],[Сумма 
Приход]]</f>
        <v>0</v>
      </c>
      <c r="U162" s="150"/>
    </row>
    <row r="163" spans="1:21" ht="14.25" x14ac:dyDescent="0.2">
      <c r="A163" s="50">
        <f t="shared" si="2"/>
        <v>160</v>
      </c>
      <c r="B163" s="17"/>
      <c r="C163" s="17"/>
      <c r="D163" s="17"/>
      <c r="E163" s="51"/>
      <c r="F163" s="50"/>
      <c r="G163" s="23"/>
      <c r="H163" s="24"/>
      <c r="I163" s="23"/>
      <c r="J163" s="19">
        <f>Таблица1[[#This Row],[Блок
 Куб]]*Таблица1[[#This Row],[Цена 
Приход]]</f>
        <v>0</v>
      </c>
      <c r="K163" s="25"/>
      <c r="L163" s="25"/>
      <c r="M163" s="19">
        <f>Таблица1[[#This Row],[Поддон
Шт]]*Таблица1[[#This Row],[Цена
Поддон]]</f>
        <v>0</v>
      </c>
      <c r="N163" s="19">
        <f>Таблица1[[#This Row],[Сумма 
Приход]]+Таблица1[[#This Row],[Сумма Поддон]]</f>
        <v>0</v>
      </c>
      <c r="O163" s="20"/>
      <c r="P163" s="19">
        <f>Таблица1[[#This Row],[Цена
 Продажа]]-Таблица1[[#This Row],[Цена 
Приход]]</f>
        <v>0</v>
      </c>
      <c r="Q163" s="19"/>
      <c r="R163" s="19">
        <f>Таблица1[[#This Row],[Блок
 Куб]]*Таблица1[[#This Row],[Цена
 Продажа]]</f>
        <v>0</v>
      </c>
      <c r="S163" s="20"/>
      <c r="T163" s="19">
        <f>Таблица1[[#This Row],[Сумма 
Продажа]]-Таблица1[[#This Row],[Сумма 
Приход]]</f>
        <v>0</v>
      </c>
      <c r="U163" s="150"/>
    </row>
    <row r="164" spans="1:21" ht="14.25" x14ac:dyDescent="0.2">
      <c r="A164" s="50">
        <f t="shared" si="2"/>
        <v>161</v>
      </c>
      <c r="B164" s="17"/>
      <c r="C164" s="17"/>
      <c r="D164" s="17"/>
      <c r="E164" s="51"/>
      <c r="F164" s="50"/>
      <c r="G164" s="23"/>
      <c r="H164" s="24"/>
      <c r="I164" s="23"/>
      <c r="J164" s="19">
        <f>Таблица1[[#This Row],[Блок
 Куб]]*Таблица1[[#This Row],[Цена 
Приход]]</f>
        <v>0</v>
      </c>
      <c r="K164" s="25"/>
      <c r="L164" s="25"/>
      <c r="M164" s="19">
        <f>Таблица1[[#This Row],[Поддон
Шт]]*Таблица1[[#This Row],[Цена
Поддон]]</f>
        <v>0</v>
      </c>
      <c r="N164" s="19">
        <f>Таблица1[[#This Row],[Сумма 
Приход]]+Таблица1[[#This Row],[Сумма Поддон]]</f>
        <v>0</v>
      </c>
      <c r="O164" s="20"/>
      <c r="P164" s="19">
        <f>Таблица1[[#This Row],[Цена
 Продажа]]-Таблица1[[#This Row],[Цена 
Приход]]</f>
        <v>0</v>
      </c>
      <c r="Q164" s="19"/>
      <c r="R164" s="19">
        <f>Таблица1[[#This Row],[Блок
 Куб]]*Таблица1[[#This Row],[Цена
 Продажа]]</f>
        <v>0</v>
      </c>
      <c r="S164" s="20"/>
      <c r="T164" s="19">
        <f>Таблица1[[#This Row],[Сумма 
Продажа]]-Таблица1[[#This Row],[Сумма 
Приход]]</f>
        <v>0</v>
      </c>
      <c r="U164" s="150"/>
    </row>
    <row r="165" spans="1:21" ht="14.25" x14ac:dyDescent="0.2">
      <c r="A165" s="50">
        <f t="shared" si="2"/>
        <v>162</v>
      </c>
      <c r="B165" s="17"/>
      <c r="C165" s="17"/>
      <c r="D165" s="17"/>
      <c r="E165" s="51"/>
      <c r="F165" s="50"/>
      <c r="G165" s="23"/>
      <c r="H165" s="24"/>
      <c r="I165" s="23"/>
      <c r="J165" s="19">
        <f>Таблица1[[#This Row],[Блок
 Куб]]*Таблица1[[#This Row],[Цена 
Приход]]</f>
        <v>0</v>
      </c>
      <c r="K165" s="25"/>
      <c r="L165" s="25"/>
      <c r="M165" s="19">
        <f>Таблица1[[#This Row],[Поддон
Шт]]*Таблица1[[#This Row],[Цена
Поддон]]</f>
        <v>0</v>
      </c>
      <c r="N165" s="19">
        <f>Таблица1[[#This Row],[Сумма 
Приход]]+Таблица1[[#This Row],[Сумма Поддон]]</f>
        <v>0</v>
      </c>
      <c r="O165" s="20"/>
      <c r="P165" s="19">
        <f>Таблица1[[#This Row],[Цена
 Продажа]]-Таблица1[[#This Row],[Цена 
Приход]]</f>
        <v>0</v>
      </c>
      <c r="Q165" s="19"/>
      <c r="R165" s="19">
        <f>Таблица1[[#This Row],[Блок
 Куб]]*Таблица1[[#This Row],[Цена
 Продажа]]</f>
        <v>0</v>
      </c>
      <c r="S165" s="20"/>
      <c r="T165" s="19">
        <f>Таблица1[[#This Row],[Сумма 
Продажа]]-Таблица1[[#This Row],[Сумма 
Приход]]</f>
        <v>0</v>
      </c>
      <c r="U165" s="150"/>
    </row>
    <row r="166" spans="1:21" ht="14.25" x14ac:dyDescent="0.2">
      <c r="A166" s="50">
        <f t="shared" si="2"/>
        <v>163</v>
      </c>
      <c r="B166" s="17"/>
      <c r="C166" s="17"/>
      <c r="D166" s="17"/>
      <c r="E166" s="51"/>
      <c r="F166" s="50"/>
      <c r="G166" s="23"/>
      <c r="H166" s="24"/>
      <c r="I166" s="23"/>
      <c r="J166" s="19">
        <f>Таблица1[[#This Row],[Блок
 Куб]]*Таблица1[[#This Row],[Цена 
Приход]]</f>
        <v>0</v>
      </c>
      <c r="K166" s="25"/>
      <c r="L166" s="25"/>
      <c r="M166" s="19">
        <f>Таблица1[[#This Row],[Поддон
Шт]]*Таблица1[[#This Row],[Цена
Поддон]]</f>
        <v>0</v>
      </c>
      <c r="N166" s="19">
        <f>Таблица1[[#This Row],[Сумма 
Приход]]+Таблица1[[#This Row],[Сумма Поддон]]</f>
        <v>0</v>
      </c>
      <c r="O166" s="20"/>
      <c r="P166" s="19">
        <f>Таблица1[[#This Row],[Цена
 Продажа]]-Таблица1[[#This Row],[Цена 
Приход]]</f>
        <v>0</v>
      </c>
      <c r="Q166" s="19"/>
      <c r="R166" s="19">
        <f>Таблица1[[#This Row],[Блок
 Куб]]*Таблица1[[#This Row],[Цена
 Продажа]]</f>
        <v>0</v>
      </c>
      <c r="S166" s="20"/>
      <c r="T166" s="19">
        <f>Таблица1[[#This Row],[Сумма 
Продажа]]-Таблица1[[#This Row],[Сумма 
Приход]]</f>
        <v>0</v>
      </c>
      <c r="U166" s="150"/>
    </row>
    <row r="167" spans="1:21" ht="14.25" x14ac:dyDescent="0.2">
      <c r="A167" s="50">
        <f t="shared" si="2"/>
        <v>164</v>
      </c>
      <c r="B167" s="17"/>
      <c r="C167" s="17"/>
      <c r="D167" s="17"/>
      <c r="E167" s="51"/>
      <c r="F167" s="50"/>
      <c r="G167" s="23"/>
      <c r="H167" s="24"/>
      <c r="I167" s="23"/>
      <c r="J167" s="19">
        <f>Таблица1[[#This Row],[Блок
 Куб]]*Таблица1[[#This Row],[Цена 
Приход]]</f>
        <v>0</v>
      </c>
      <c r="K167" s="25"/>
      <c r="L167" s="25"/>
      <c r="M167" s="19">
        <f>Таблица1[[#This Row],[Поддон
Шт]]*Таблица1[[#This Row],[Цена
Поддон]]</f>
        <v>0</v>
      </c>
      <c r="N167" s="19">
        <f>Таблица1[[#This Row],[Сумма 
Приход]]+Таблица1[[#This Row],[Сумма Поддон]]</f>
        <v>0</v>
      </c>
      <c r="O167" s="20"/>
      <c r="P167" s="19">
        <f>Таблица1[[#This Row],[Цена
 Продажа]]-Таблица1[[#This Row],[Цена 
Приход]]</f>
        <v>0</v>
      </c>
      <c r="Q167" s="19"/>
      <c r="R167" s="19">
        <f>Таблица1[[#This Row],[Блок
 Куб]]*Таблица1[[#This Row],[Цена
 Продажа]]</f>
        <v>0</v>
      </c>
      <c r="S167" s="20"/>
      <c r="T167" s="19">
        <f>Таблица1[[#This Row],[Сумма 
Продажа]]-Таблица1[[#This Row],[Сумма 
Приход]]</f>
        <v>0</v>
      </c>
      <c r="U167" s="150"/>
    </row>
    <row r="168" spans="1:21" ht="14.25" x14ac:dyDescent="0.2">
      <c r="A168" s="50">
        <f t="shared" si="2"/>
        <v>165</v>
      </c>
      <c r="B168" s="17"/>
      <c r="C168" s="17"/>
      <c r="D168" s="17"/>
      <c r="E168" s="51"/>
      <c r="F168" s="50"/>
      <c r="G168" s="23"/>
      <c r="H168" s="24"/>
      <c r="I168" s="23"/>
      <c r="J168" s="19">
        <f>Таблица1[[#This Row],[Блок
 Куб]]*Таблица1[[#This Row],[Цена 
Приход]]</f>
        <v>0</v>
      </c>
      <c r="K168" s="25"/>
      <c r="L168" s="25"/>
      <c r="M168" s="19">
        <f>Таблица1[[#This Row],[Поддон
Шт]]*Таблица1[[#This Row],[Цена
Поддон]]</f>
        <v>0</v>
      </c>
      <c r="N168" s="19">
        <f>Таблица1[[#This Row],[Сумма 
Приход]]+Таблица1[[#This Row],[Сумма Поддон]]</f>
        <v>0</v>
      </c>
      <c r="O168" s="20"/>
      <c r="P168" s="19">
        <f>Таблица1[[#This Row],[Цена
 Продажа]]-Таблица1[[#This Row],[Цена 
Приход]]</f>
        <v>0</v>
      </c>
      <c r="Q168" s="19"/>
      <c r="R168" s="19">
        <f>Таблица1[[#This Row],[Блок
 Куб]]*Таблица1[[#This Row],[Цена
 Продажа]]</f>
        <v>0</v>
      </c>
      <c r="S168" s="20"/>
      <c r="T168" s="19">
        <f>Таблица1[[#This Row],[Сумма 
Продажа]]-Таблица1[[#This Row],[Сумма 
Приход]]</f>
        <v>0</v>
      </c>
      <c r="U168" s="150"/>
    </row>
    <row r="169" spans="1:21" ht="14.25" x14ac:dyDescent="0.2">
      <c r="A169" s="50">
        <f t="shared" si="2"/>
        <v>166</v>
      </c>
      <c r="B169" s="17"/>
      <c r="C169" s="17"/>
      <c r="D169" s="17"/>
      <c r="E169" s="51"/>
      <c r="F169" s="50"/>
      <c r="G169" s="23"/>
      <c r="H169" s="24"/>
      <c r="I169" s="23"/>
      <c r="J169" s="19">
        <f>Таблица1[[#This Row],[Блок
 Куб]]*Таблица1[[#This Row],[Цена 
Приход]]</f>
        <v>0</v>
      </c>
      <c r="K169" s="25"/>
      <c r="L169" s="25"/>
      <c r="M169" s="19">
        <f>Таблица1[[#This Row],[Поддон
Шт]]*Таблица1[[#This Row],[Цена
Поддон]]</f>
        <v>0</v>
      </c>
      <c r="N169" s="19">
        <f>Таблица1[[#This Row],[Сумма 
Приход]]+Таблица1[[#This Row],[Сумма Поддон]]</f>
        <v>0</v>
      </c>
      <c r="O169" s="20"/>
      <c r="P169" s="19">
        <f>Таблица1[[#This Row],[Цена
 Продажа]]-Таблица1[[#This Row],[Цена 
Приход]]</f>
        <v>0</v>
      </c>
      <c r="Q169" s="19"/>
      <c r="R169" s="19">
        <f>Таблица1[[#This Row],[Блок
 Куб]]*Таблица1[[#This Row],[Цена
 Продажа]]</f>
        <v>0</v>
      </c>
      <c r="S169" s="20"/>
      <c r="T169" s="19">
        <f>Таблица1[[#This Row],[Сумма 
Продажа]]-Таблица1[[#This Row],[Сумма 
Приход]]</f>
        <v>0</v>
      </c>
      <c r="U169" s="150"/>
    </row>
    <row r="170" spans="1:21" ht="14.25" x14ac:dyDescent="0.2">
      <c r="A170" s="50">
        <f t="shared" si="2"/>
        <v>167</v>
      </c>
      <c r="B170" s="17"/>
      <c r="C170" s="17"/>
      <c r="D170" s="17"/>
      <c r="E170" s="51"/>
      <c r="F170" s="50"/>
      <c r="G170" s="23"/>
      <c r="H170" s="24"/>
      <c r="I170" s="23"/>
      <c r="J170" s="19">
        <f>Таблица1[[#This Row],[Блок
 Куб]]*Таблица1[[#This Row],[Цена 
Приход]]</f>
        <v>0</v>
      </c>
      <c r="K170" s="25"/>
      <c r="L170" s="25"/>
      <c r="M170" s="19">
        <f>Таблица1[[#This Row],[Поддон
Шт]]*Таблица1[[#This Row],[Цена
Поддон]]</f>
        <v>0</v>
      </c>
      <c r="N170" s="19">
        <f>Таблица1[[#This Row],[Сумма 
Приход]]+Таблица1[[#This Row],[Сумма Поддон]]</f>
        <v>0</v>
      </c>
      <c r="O170" s="20"/>
      <c r="P170" s="19">
        <f>Таблица1[[#This Row],[Цена
 Продажа]]-Таблица1[[#This Row],[Цена 
Приход]]</f>
        <v>0</v>
      </c>
      <c r="Q170" s="19"/>
      <c r="R170" s="19">
        <f>Таблица1[[#This Row],[Блок
 Куб]]*Таблица1[[#This Row],[Цена
 Продажа]]</f>
        <v>0</v>
      </c>
      <c r="S170" s="20"/>
      <c r="T170" s="19">
        <f>Таблица1[[#This Row],[Сумма 
Продажа]]-Таблица1[[#This Row],[Сумма 
Приход]]</f>
        <v>0</v>
      </c>
      <c r="U170" s="150"/>
    </row>
    <row r="171" spans="1:21" ht="14.25" x14ac:dyDescent="0.2">
      <c r="A171" s="50">
        <f t="shared" si="2"/>
        <v>168</v>
      </c>
      <c r="B171" s="17"/>
      <c r="C171" s="17"/>
      <c r="D171" s="17"/>
      <c r="E171" s="51"/>
      <c r="F171" s="50"/>
      <c r="G171" s="23"/>
      <c r="H171" s="24"/>
      <c r="I171" s="23"/>
      <c r="J171" s="19">
        <f>Таблица1[[#This Row],[Блок
 Куб]]*Таблица1[[#This Row],[Цена 
Приход]]</f>
        <v>0</v>
      </c>
      <c r="K171" s="25"/>
      <c r="L171" s="25"/>
      <c r="M171" s="19">
        <f>Таблица1[[#This Row],[Поддон
Шт]]*Таблица1[[#This Row],[Цена
Поддон]]</f>
        <v>0</v>
      </c>
      <c r="N171" s="19">
        <f>Таблица1[[#This Row],[Сумма 
Приход]]+Таблица1[[#This Row],[Сумма Поддон]]</f>
        <v>0</v>
      </c>
      <c r="O171" s="20"/>
      <c r="P171" s="19">
        <f>Таблица1[[#This Row],[Цена
 Продажа]]-Таблица1[[#This Row],[Цена 
Приход]]</f>
        <v>0</v>
      </c>
      <c r="Q171" s="19"/>
      <c r="R171" s="19">
        <f>Таблица1[[#This Row],[Блок
 Куб]]*Таблица1[[#This Row],[Цена
 Продажа]]</f>
        <v>0</v>
      </c>
      <c r="S171" s="20"/>
      <c r="T171" s="19">
        <f>Таблица1[[#This Row],[Сумма 
Продажа]]-Таблица1[[#This Row],[Сумма 
Приход]]</f>
        <v>0</v>
      </c>
      <c r="U171" s="150"/>
    </row>
    <row r="172" spans="1:21" ht="14.25" x14ac:dyDescent="0.2">
      <c r="A172" s="50">
        <f t="shared" si="2"/>
        <v>169</v>
      </c>
      <c r="B172" s="17"/>
      <c r="C172" s="17"/>
      <c r="D172" s="17"/>
      <c r="E172" s="51"/>
      <c r="F172" s="50"/>
      <c r="G172" s="23"/>
      <c r="H172" s="24"/>
      <c r="I172" s="23"/>
      <c r="J172" s="19">
        <f>Таблица1[[#This Row],[Блок
 Куб]]*Таблица1[[#This Row],[Цена 
Приход]]</f>
        <v>0</v>
      </c>
      <c r="K172" s="25"/>
      <c r="L172" s="25"/>
      <c r="M172" s="19">
        <f>Таблица1[[#This Row],[Поддон
Шт]]*Таблица1[[#This Row],[Цена
Поддон]]</f>
        <v>0</v>
      </c>
      <c r="N172" s="19">
        <f>Таблица1[[#This Row],[Сумма 
Приход]]+Таблица1[[#This Row],[Сумма Поддон]]</f>
        <v>0</v>
      </c>
      <c r="O172" s="20"/>
      <c r="P172" s="19">
        <f>Таблица1[[#This Row],[Цена
 Продажа]]-Таблица1[[#This Row],[Цена 
Приход]]</f>
        <v>0</v>
      </c>
      <c r="Q172" s="19"/>
      <c r="R172" s="19">
        <f>Таблица1[[#This Row],[Блок
 Куб]]*Таблица1[[#This Row],[Цена
 Продажа]]</f>
        <v>0</v>
      </c>
      <c r="S172" s="20"/>
      <c r="T172" s="19">
        <f>Таблица1[[#This Row],[Сумма 
Продажа]]-Таблица1[[#This Row],[Сумма 
Приход]]</f>
        <v>0</v>
      </c>
      <c r="U172" s="150"/>
    </row>
    <row r="173" spans="1:21" ht="14.25" x14ac:dyDescent="0.2">
      <c r="A173" s="50">
        <f t="shared" si="2"/>
        <v>170</v>
      </c>
      <c r="B173" s="17"/>
      <c r="C173" s="17"/>
      <c r="D173" s="17"/>
      <c r="E173" s="51"/>
      <c r="F173" s="50"/>
      <c r="G173" s="23"/>
      <c r="H173" s="24"/>
      <c r="I173" s="23"/>
      <c r="J173" s="19">
        <f>Таблица1[[#This Row],[Блок
 Куб]]*Таблица1[[#This Row],[Цена 
Приход]]</f>
        <v>0</v>
      </c>
      <c r="K173" s="25"/>
      <c r="L173" s="25"/>
      <c r="M173" s="19">
        <f>Таблица1[[#This Row],[Поддон
Шт]]*Таблица1[[#This Row],[Цена
Поддон]]</f>
        <v>0</v>
      </c>
      <c r="N173" s="19">
        <f>Таблица1[[#This Row],[Сумма 
Приход]]+Таблица1[[#This Row],[Сумма Поддон]]</f>
        <v>0</v>
      </c>
      <c r="O173" s="20"/>
      <c r="P173" s="19">
        <f>Таблица1[[#This Row],[Цена
 Продажа]]-Таблица1[[#This Row],[Цена 
Приход]]</f>
        <v>0</v>
      </c>
      <c r="Q173" s="19"/>
      <c r="R173" s="19">
        <f>Таблица1[[#This Row],[Блок
 Куб]]*Таблица1[[#This Row],[Цена
 Продажа]]</f>
        <v>0</v>
      </c>
      <c r="S173" s="20"/>
      <c r="T173" s="19">
        <f>Таблица1[[#This Row],[Сумма 
Продажа]]-Таблица1[[#This Row],[Сумма 
Приход]]</f>
        <v>0</v>
      </c>
      <c r="U173" s="150"/>
    </row>
    <row r="174" spans="1:21" ht="14.25" x14ac:dyDescent="0.2">
      <c r="A174" s="50">
        <f t="shared" si="2"/>
        <v>171</v>
      </c>
      <c r="B174" s="17"/>
      <c r="C174" s="17"/>
      <c r="D174" s="17"/>
      <c r="E174" s="51"/>
      <c r="F174" s="50"/>
      <c r="G174" s="23"/>
      <c r="H174" s="24"/>
      <c r="I174" s="23"/>
      <c r="J174" s="19">
        <f>Таблица1[[#This Row],[Блок
 Куб]]*Таблица1[[#This Row],[Цена 
Приход]]</f>
        <v>0</v>
      </c>
      <c r="K174" s="25"/>
      <c r="L174" s="25"/>
      <c r="M174" s="19">
        <f>Таблица1[[#This Row],[Поддон
Шт]]*Таблица1[[#This Row],[Цена
Поддон]]</f>
        <v>0</v>
      </c>
      <c r="N174" s="19">
        <f>Таблица1[[#This Row],[Сумма 
Приход]]+Таблица1[[#This Row],[Сумма Поддон]]</f>
        <v>0</v>
      </c>
      <c r="O174" s="20"/>
      <c r="P174" s="19">
        <f>Таблица1[[#This Row],[Цена
 Продажа]]-Таблица1[[#This Row],[Цена 
Приход]]</f>
        <v>0</v>
      </c>
      <c r="Q174" s="19"/>
      <c r="R174" s="19">
        <f>Таблица1[[#This Row],[Блок
 Куб]]*Таблица1[[#This Row],[Цена
 Продажа]]</f>
        <v>0</v>
      </c>
      <c r="S174" s="20"/>
      <c r="T174" s="19">
        <f>Таблица1[[#This Row],[Сумма 
Продажа]]-Таблица1[[#This Row],[Сумма 
Приход]]</f>
        <v>0</v>
      </c>
      <c r="U174" s="150"/>
    </row>
    <row r="175" spans="1:21" ht="14.25" x14ac:dyDescent="0.2">
      <c r="A175" s="50">
        <f t="shared" si="2"/>
        <v>172</v>
      </c>
      <c r="B175" s="17"/>
      <c r="C175" s="17"/>
      <c r="D175" s="17"/>
      <c r="E175" s="51"/>
      <c r="F175" s="50"/>
      <c r="G175" s="23"/>
      <c r="H175" s="24"/>
      <c r="I175" s="23"/>
      <c r="J175" s="19">
        <f>Таблица1[[#This Row],[Блок
 Куб]]*Таблица1[[#This Row],[Цена 
Приход]]</f>
        <v>0</v>
      </c>
      <c r="K175" s="25"/>
      <c r="L175" s="25"/>
      <c r="M175" s="19">
        <f>Таблица1[[#This Row],[Поддон
Шт]]*Таблица1[[#This Row],[Цена
Поддон]]</f>
        <v>0</v>
      </c>
      <c r="N175" s="19">
        <f>Таблица1[[#This Row],[Сумма 
Приход]]+Таблица1[[#This Row],[Сумма Поддон]]</f>
        <v>0</v>
      </c>
      <c r="O175" s="20"/>
      <c r="P175" s="19">
        <f>Таблица1[[#This Row],[Цена
 Продажа]]-Таблица1[[#This Row],[Цена 
Приход]]</f>
        <v>0</v>
      </c>
      <c r="Q175" s="19"/>
      <c r="R175" s="19">
        <f>Таблица1[[#This Row],[Блок
 Куб]]*Таблица1[[#This Row],[Цена
 Продажа]]</f>
        <v>0</v>
      </c>
      <c r="S175" s="20"/>
      <c r="T175" s="19">
        <f>Таблица1[[#This Row],[Сумма 
Продажа]]-Таблица1[[#This Row],[Сумма 
Приход]]</f>
        <v>0</v>
      </c>
      <c r="U175" s="150"/>
    </row>
    <row r="176" spans="1:21" ht="14.25" x14ac:dyDescent="0.2">
      <c r="A176" s="50">
        <f t="shared" si="2"/>
        <v>173</v>
      </c>
      <c r="B176" s="17"/>
      <c r="C176" s="17"/>
      <c r="D176" s="17"/>
      <c r="E176" s="51"/>
      <c r="F176" s="50"/>
      <c r="G176" s="23"/>
      <c r="H176" s="24"/>
      <c r="I176" s="23"/>
      <c r="J176" s="19">
        <f>Таблица1[[#This Row],[Блок
 Куб]]*Таблица1[[#This Row],[Цена 
Приход]]</f>
        <v>0</v>
      </c>
      <c r="K176" s="25"/>
      <c r="L176" s="25"/>
      <c r="M176" s="19">
        <f>Таблица1[[#This Row],[Поддон
Шт]]*Таблица1[[#This Row],[Цена
Поддон]]</f>
        <v>0</v>
      </c>
      <c r="N176" s="19">
        <f>Таблица1[[#This Row],[Сумма 
Приход]]+Таблица1[[#This Row],[Сумма Поддон]]</f>
        <v>0</v>
      </c>
      <c r="O176" s="20"/>
      <c r="P176" s="19">
        <f>Таблица1[[#This Row],[Цена
 Продажа]]-Таблица1[[#This Row],[Цена 
Приход]]</f>
        <v>0</v>
      </c>
      <c r="Q176" s="19"/>
      <c r="R176" s="19">
        <f>Таблица1[[#This Row],[Блок
 Куб]]*Таблица1[[#This Row],[Цена
 Продажа]]</f>
        <v>0</v>
      </c>
      <c r="S176" s="20"/>
      <c r="T176" s="19">
        <f>Таблица1[[#This Row],[Сумма 
Продажа]]-Таблица1[[#This Row],[Сумма 
Приход]]</f>
        <v>0</v>
      </c>
      <c r="U176" s="150"/>
    </row>
    <row r="177" spans="1:21" ht="14.25" x14ac:dyDescent="0.2">
      <c r="A177" s="50">
        <f t="shared" si="2"/>
        <v>174</v>
      </c>
      <c r="B177" s="17"/>
      <c r="C177" s="17"/>
      <c r="D177" s="17"/>
      <c r="E177" s="51"/>
      <c r="F177" s="50"/>
      <c r="G177" s="23"/>
      <c r="H177" s="24"/>
      <c r="I177" s="23"/>
      <c r="J177" s="19">
        <f>Таблица1[[#This Row],[Блок
 Куб]]*Таблица1[[#This Row],[Цена 
Приход]]</f>
        <v>0</v>
      </c>
      <c r="K177" s="25"/>
      <c r="L177" s="25"/>
      <c r="M177" s="19">
        <f>Таблица1[[#This Row],[Поддон
Шт]]*Таблица1[[#This Row],[Цена
Поддон]]</f>
        <v>0</v>
      </c>
      <c r="N177" s="19">
        <f>Таблица1[[#This Row],[Сумма 
Приход]]+Таблица1[[#This Row],[Сумма Поддон]]</f>
        <v>0</v>
      </c>
      <c r="O177" s="20"/>
      <c r="P177" s="19">
        <f>Таблица1[[#This Row],[Цена
 Продажа]]-Таблица1[[#This Row],[Цена 
Приход]]</f>
        <v>0</v>
      </c>
      <c r="Q177" s="19"/>
      <c r="R177" s="19">
        <f>Таблица1[[#This Row],[Блок
 Куб]]*Таблица1[[#This Row],[Цена
 Продажа]]</f>
        <v>0</v>
      </c>
      <c r="S177" s="20"/>
      <c r="T177" s="19">
        <f>Таблица1[[#This Row],[Сумма 
Продажа]]-Таблица1[[#This Row],[Сумма 
Приход]]</f>
        <v>0</v>
      </c>
      <c r="U177" s="150"/>
    </row>
    <row r="178" spans="1:21" ht="14.25" x14ac:dyDescent="0.2">
      <c r="A178" s="50">
        <f t="shared" si="2"/>
        <v>175</v>
      </c>
      <c r="B178" s="17"/>
      <c r="C178" s="17"/>
      <c r="D178" s="17"/>
      <c r="E178" s="51"/>
      <c r="F178" s="50"/>
      <c r="G178" s="23"/>
      <c r="H178" s="24"/>
      <c r="I178" s="23"/>
      <c r="J178" s="19">
        <f>Таблица1[[#This Row],[Блок
 Куб]]*Таблица1[[#This Row],[Цена 
Приход]]</f>
        <v>0</v>
      </c>
      <c r="K178" s="25"/>
      <c r="L178" s="25"/>
      <c r="M178" s="19">
        <f>Таблица1[[#This Row],[Поддон
Шт]]*Таблица1[[#This Row],[Цена
Поддон]]</f>
        <v>0</v>
      </c>
      <c r="N178" s="19">
        <f>Таблица1[[#This Row],[Сумма 
Приход]]+Таблица1[[#This Row],[Сумма Поддон]]</f>
        <v>0</v>
      </c>
      <c r="O178" s="20"/>
      <c r="P178" s="19">
        <f>Таблица1[[#This Row],[Цена
 Продажа]]-Таблица1[[#This Row],[Цена 
Приход]]</f>
        <v>0</v>
      </c>
      <c r="Q178" s="19"/>
      <c r="R178" s="19">
        <f>Таблица1[[#This Row],[Блок
 Куб]]*Таблица1[[#This Row],[Цена
 Продажа]]</f>
        <v>0</v>
      </c>
      <c r="S178" s="20"/>
      <c r="T178" s="19">
        <f>Таблица1[[#This Row],[Сумма 
Продажа]]-Таблица1[[#This Row],[Сумма 
Приход]]</f>
        <v>0</v>
      </c>
      <c r="U178" s="150"/>
    </row>
    <row r="179" spans="1:21" ht="14.25" x14ac:dyDescent="0.2">
      <c r="A179" s="50">
        <f t="shared" si="2"/>
        <v>176</v>
      </c>
      <c r="B179" s="17"/>
      <c r="C179" s="17"/>
      <c r="D179" s="17"/>
      <c r="E179" s="51"/>
      <c r="F179" s="50"/>
      <c r="G179" s="23"/>
      <c r="H179" s="24"/>
      <c r="I179" s="23"/>
      <c r="J179" s="19">
        <f>Таблица1[[#This Row],[Блок
 Куб]]*Таблица1[[#This Row],[Цена 
Приход]]</f>
        <v>0</v>
      </c>
      <c r="K179" s="25"/>
      <c r="L179" s="25"/>
      <c r="M179" s="19">
        <f>Таблица1[[#This Row],[Поддон
Шт]]*Таблица1[[#This Row],[Цена
Поддон]]</f>
        <v>0</v>
      </c>
      <c r="N179" s="19">
        <f>Таблица1[[#This Row],[Сумма 
Приход]]+Таблица1[[#This Row],[Сумма Поддон]]</f>
        <v>0</v>
      </c>
      <c r="O179" s="20"/>
      <c r="P179" s="19">
        <f>Таблица1[[#This Row],[Цена
 Продажа]]-Таблица1[[#This Row],[Цена 
Приход]]</f>
        <v>0</v>
      </c>
      <c r="Q179" s="19"/>
      <c r="R179" s="19">
        <f>Таблица1[[#This Row],[Блок
 Куб]]*Таблица1[[#This Row],[Цена
 Продажа]]</f>
        <v>0</v>
      </c>
      <c r="S179" s="20"/>
      <c r="T179" s="19">
        <f>Таблица1[[#This Row],[Сумма 
Продажа]]-Таблица1[[#This Row],[Сумма 
Приход]]</f>
        <v>0</v>
      </c>
      <c r="U179" s="150"/>
    </row>
    <row r="180" spans="1:21" ht="14.25" x14ac:dyDescent="0.2">
      <c r="A180" s="50">
        <f t="shared" si="2"/>
        <v>177</v>
      </c>
      <c r="B180" s="17"/>
      <c r="C180" s="17"/>
      <c r="D180" s="17"/>
      <c r="E180" s="51"/>
      <c r="F180" s="50"/>
      <c r="G180" s="23"/>
      <c r="H180" s="24"/>
      <c r="I180" s="23"/>
      <c r="J180" s="19">
        <f>Таблица1[[#This Row],[Блок
 Куб]]*Таблица1[[#This Row],[Цена 
Приход]]</f>
        <v>0</v>
      </c>
      <c r="K180" s="25"/>
      <c r="L180" s="25"/>
      <c r="M180" s="19">
        <f>Таблица1[[#This Row],[Поддон
Шт]]*Таблица1[[#This Row],[Цена
Поддон]]</f>
        <v>0</v>
      </c>
      <c r="N180" s="19">
        <f>Таблица1[[#This Row],[Сумма 
Приход]]+Таблица1[[#This Row],[Сумма Поддон]]</f>
        <v>0</v>
      </c>
      <c r="O180" s="20"/>
      <c r="P180" s="19">
        <f>Таблица1[[#This Row],[Цена
 Продажа]]-Таблица1[[#This Row],[Цена 
Приход]]</f>
        <v>0</v>
      </c>
      <c r="Q180" s="19"/>
      <c r="R180" s="19">
        <f>Таблица1[[#This Row],[Блок
 Куб]]*Таблица1[[#This Row],[Цена
 Продажа]]</f>
        <v>0</v>
      </c>
      <c r="S180" s="20"/>
      <c r="T180" s="19">
        <f>Таблица1[[#This Row],[Сумма 
Продажа]]-Таблица1[[#This Row],[Сумма 
Приход]]</f>
        <v>0</v>
      </c>
      <c r="U180" s="150"/>
    </row>
    <row r="181" spans="1:21" ht="14.25" x14ac:dyDescent="0.2">
      <c r="A181" s="50">
        <f t="shared" si="2"/>
        <v>178</v>
      </c>
      <c r="B181" s="17"/>
      <c r="C181" s="17"/>
      <c r="D181" s="17"/>
      <c r="E181" s="51"/>
      <c r="F181" s="50"/>
      <c r="G181" s="23"/>
      <c r="H181" s="24"/>
      <c r="I181" s="23"/>
      <c r="J181" s="19">
        <f>Таблица1[[#This Row],[Блок
 Куб]]*Таблица1[[#This Row],[Цена 
Приход]]</f>
        <v>0</v>
      </c>
      <c r="K181" s="25"/>
      <c r="L181" s="25"/>
      <c r="M181" s="19">
        <f>Таблица1[[#This Row],[Поддон
Шт]]*Таблица1[[#This Row],[Цена
Поддон]]</f>
        <v>0</v>
      </c>
      <c r="N181" s="19">
        <f>Таблица1[[#This Row],[Сумма 
Приход]]+Таблица1[[#This Row],[Сумма Поддон]]</f>
        <v>0</v>
      </c>
      <c r="O181" s="20"/>
      <c r="P181" s="19">
        <f>Таблица1[[#This Row],[Цена
 Продажа]]-Таблица1[[#This Row],[Цена 
Приход]]</f>
        <v>0</v>
      </c>
      <c r="Q181" s="19"/>
      <c r="R181" s="19">
        <f>Таблица1[[#This Row],[Блок
 Куб]]*Таблица1[[#This Row],[Цена
 Продажа]]</f>
        <v>0</v>
      </c>
      <c r="S181" s="20"/>
      <c r="T181" s="19">
        <f>Таблица1[[#This Row],[Сумма 
Продажа]]-Таблица1[[#This Row],[Сумма 
Приход]]</f>
        <v>0</v>
      </c>
      <c r="U181" s="150"/>
    </row>
    <row r="182" spans="1:21" ht="14.25" x14ac:dyDescent="0.2">
      <c r="A182" s="50">
        <f t="shared" si="2"/>
        <v>179</v>
      </c>
      <c r="B182" s="17"/>
      <c r="C182" s="17"/>
      <c r="D182" s="17"/>
      <c r="E182" s="51"/>
      <c r="F182" s="50"/>
      <c r="G182" s="23"/>
      <c r="H182" s="24"/>
      <c r="I182" s="23"/>
      <c r="J182" s="19">
        <f>Таблица1[[#This Row],[Блок
 Куб]]*Таблица1[[#This Row],[Цена 
Приход]]</f>
        <v>0</v>
      </c>
      <c r="K182" s="25"/>
      <c r="L182" s="25"/>
      <c r="M182" s="19">
        <f>Таблица1[[#This Row],[Поддон
Шт]]*Таблица1[[#This Row],[Цена
Поддон]]</f>
        <v>0</v>
      </c>
      <c r="N182" s="19">
        <f>Таблица1[[#This Row],[Сумма 
Приход]]+Таблица1[[#This Row],[Сумма Поддон]]</f>
        <v>0</v>
      </c>
      <c r="O182" s="20"/>
      <c r="P182" s="19">
        <f>Таблица1[[#This Row],[Цена
 Продажа]]-Таблица1[[#This Row],[Цена 
Приход]]</f>
        <v>0</v>
      </c>
      <c r="Q182" s="19"/>
      <c r="R182" s="19">
        <f>Таблица1[[#This Row],[Блок
 Куб]]*Таблица1[[#This Row],[Цена
 Продажа]]</f>
        <v>0</v>
      </c>
      <c r="S182" s="20"/>
      <c r="T182" s="19">
        <f>Таблица1[[#This Row],[Сумма 
Продажа]]-Таблица1[[#This Row],[Сумма 
Приход]]</f>
        <v>0</v>
      </c>
      <c r="U182" s="150"/>
    </row>
    <row r="183" spans="1:21" ht="14.25" x14ac:dyDescent="0.2">
      <c r="A183" s="50">
        <f t="shared" si="2"/>
        <v>180</v>
      </c>
      <c r="B183" s="17"/>
      <c r="C183" s="17"/>
      <c r="D183" s="17"/>
      <c r="E183" s="51"/>
      <c r="F183" s="50"/>
      <c r="G183" s="23"/>
      <c r="H183" s="24"/>
      <c r="I183" s="23"/>
      <c r="J183" s="19">
        <f>Таблица1[[#This Row],[Блок
 Куб]]*Таблица1[[#This Row],[Цена 
Приход]]</f>
        <v>0</v>
      </c>
      <c r="K183" s="25"/>
      <c r="L183" s="25"/>
      <c r="M183" s="19">
        <f>Таблица1[[#This Row],[Поддон
Шт]]*Таблица1[[#This Row],[Цена
Поддон]]</f>
        <v>0</v>
      </c>
      <c r="N183" s="19">
        <f>Таблица1[[#This Row],[Сумма 
Приход]]+Таблица1[[#This Row],[Сумма Поддон]]</f>
        <v>0</v>
      </c>
      <c r="O183" s="20"/>
      <c r="P183" s="19">
        <f>Таблица1[[#This Row],[Цена
 Продажа]]-Таблица1[[#This Row],[Цена 
Приход]]</f>
        <v>0</v>
      </c>
      <c r="Q183" s="19"/>
      <c r="R183" s="19">
        <f>Таблица1[[#This Row],[Блок
 Куб]]*Таблица1[[#This Row],[Цена
 Продажа]]</f>
        <v>0</v>
      </c>
      <c r="S183" s="20"/>
      <c r="T183" s="19">
        <f>Таблица1[[#This Row],[Сумма 
Продажа]]-Таблица1[[#This Row],[Сумма 
Приход]]</f>
        <v>0</v>
      </c>
      <c r="U183" s="150"/>
    </row>
    <row r="184" spans="1:21" ht="14.25" x14ac:dyDescent="0.2">
      <c r="A184" s="50">
        <f t="shared" si="2"/>
        <v>181</v>
      </c>
      <c r="B184" s="17"/>
      <c r="C184" s="17"/>
      <c r="D184" s="17"/>
      <c r="E184" s="51"/>
      <c r="F184" s="50"/>
      <c r="G184" s="23"/>
      <c r="H184" s="24"/>
      <c r="I184" s="23"/>
      <c r="J184" s="19">
        <f>Таблица1[[#This Row],[Блок
 Куб]]*Таблица1[[#This Row],[Цена 
Приход]]</f>
        <v>0</v>
      </c>
      <c r="K184" s="25"/>
      <c r="L184" s="25"/>
      <c r="M184" s="19">
        <f>Таблица1[[#This Row],[Поддон
Шт]]*Таблица1[[#This Row],[Цена
Поддон]]</f>
        <v>0</v>
      </c>
      <c r="N184" s="19">
        <f>Таблица1[[#This Row],[Сумма 
Приход]]+Таблица1[[#This Row],[Сумма Поддон]]</f>
        <v>0</v>
      </c>
      <c r="O184" s="20"/>
      <c r="P184" s="19">
        <f>Таблица1[[#This Row],[Цена
 Продажа]]-Таблица1[[#This Row],[Цена 
Приход]]</f>
        <v>0</v>
      </c>
      <c r="Q184" s="19"/>
      <c r="R184" s="19">
        <f>Таблица1[[#This Row],[Блок
 Куб]]*Таблица1[[#This Row],[Цена
 Продажа]]</f>
        <v>0</v>
      </c>
      <c r="S184" s="20"/>
      <c r="T184" s="19">
        <f>Таблица1[[#This Row],[Сумма 
Продажа]]-Таблица1[[#This Row],[Сумма 
Приход]]</f>
        <v>0</v>
      </c>
      <c r="U184" s="150"/>
    </row>
    <row r="185" spans="1:21" ht="14.25" x14ac:dyDescent="0.2">
      <c r="A185" s="50">
        <f t="shared" si="2"/>
        <v>182</v>
      </c>
      <c r="B185" s="17"/>
      <c r="C185" s="17"/>
      <c r="D185" s="17"/>
      <c r="E185" s="51"/>
      <c r="F185" s="50"/>
      <c r="G185" s="23"/>
      <c r="H185" s="24"/>
      <c r="I185" s="23"/>
      <c r="J185" s="19">
        <f>Таблица1[[#This Row],[Блок
 Куб]]*Таблица1[[#This Row],[Цена 
Приход]]</f>
        <v>0</v>
      </c>
      <c r="K185" s="25"/>
      <c r="L185" s="25"/>
      <c r="M185" s="19">
        <f>Таблица1[[#This Row],[Поддон
Шт]]*Таблица1[[#This Row],[Цена
Поддон]]</f>
        <v>0</v>
      </c>
      <c r="N185" s="19">
        <f>Таблица1[[#This Row],[Сумма 
Приход]]+Таблица1[[#This Row],[Сумма Поддон]]</f>
        <v>0</v>
      </c>
      <c r="O185" s="20"/>
      <c r="P185" s="19">
        <f>Таблица1[[#This Row],[Цена
 Продажа]]-Таблица1[[#This Row],[Цена 
Приход]]</f>
        <v>0</v>
      </c>
      <c r="Q185" s="19"/>
      <c r="R185" s="19">
        <f>Таблица1[[#This Row],[Блок
 Куб]]*Таблица1[[#This Row],[Цена
 Продажа]]</f>
        <v>0</v>
      </c>
      <c r="S185" s="20"/>
      <c r="T185" s="19">
        <f>Таблица1[[#This Row],[Сумма 
Продажа]]-Таблица1[[#This Row],[Сумма 
Приход]]</f>
        <v>0</v>
      </c>
      <c r="U185" s="150"/>
    </row>
    <row r="186" spans="1:21" ht="14.25" x14ac:dyDescent="0.2">
      <c r="A186" s="50">
        <f t="shared" si="2"/>
        <v>183</v>
      </c>
      <c r="B186" s="17"/>
      <c r="C186" s="17"/>
      <c r="D186" s="17"/>
      <c r="E186" s="51"/>
      <c r="F186" s="50"/>
      <c r="G186" s="23"/>
      <c r="H186" s="24"/>
      <c r="I186" s="23"/>
      <c r="J186" s="19">
        <f>Таблица1[[#This Row],[Блок
 Куб]]*Таблица1[[#This Row],[Цена 
Приход]]</f>
        <v>0</v>
      </c>
      <c r="K186" s="25"/>
      <c r="L186" s="25"/>
      <c r="M186" s="19">
        <f>Таблица1[[#This Row],[Поддон
Шт]]*Таблица1[[#This Row],[Цена
Поддон]]</f>
        <v>0</v>
      </c>
      <c r="N186" s="19">
        <f>Таблица1[[#This Row],[Сумма 
Приход]]+Таблица1[[#This Row],[Сумма Поддон]]</f>
        <v>0</v>
      </c>
      <c r="O186" s="20"/>
      <c r="P186" s="19">
        <f>Таблица1[[#This Row],[Цена
 Продажа]]-Таблица1[[#This Row],[Цена 
Приход]]</f>
        <v>0</v>
      </c>
      <c r="Q186" s="19"/>
      <c r="R186" s="19">
        <f>Таблица1[[#This Row],[Блок
 Куб]]*Таблица1[[#This Row],[Цена
 Продажа]]</f>
        <v>0</v>
      </c>
      <c r="S186" s="20"/>
      <c r="T186" s="19">
        <f>Таблица1[[#This Row],[Сумма 
Продажа]]-Таблица1[[#This Row],[Сумма 
Приход]]</f>
        <v>0</v>
      </c>
      <c r="U186" s="150"/>
    </row>
    <row r="187" spans="1:21" ht="14.25" x14ac:dyDescent="0.2">
      <c r="A187" s="50">
        <f t="shared" si="2"/>
        <v>184</v>
      </c>
      <c r="B187" s="17"/>
      <c r="C187" s="17"/>
      <c r="D187" s="17"/>
      <c r="E187" s="51"/>
      <c r="F187" s="50"/>
      <c r="G187" s="23"/>
      <c r="H187" s="24"/>
      <c r="I187" s="23"/>
      <c r="J187" s="19">
        <f>Таблица1[[#This Row],[Блок
 Куб]]*Таблица1[[#This Row],[Цена 
Приход]]</f>
        <v>0</v>
      </c>
      <c r="K187" s="25"/>
      <c r="L187" s="25"/>
      <c r="M187" s="19">
        <f>Таблица1[[#This Row],[Поддон
Шт]]*Таблица1[[#This Row],[Цена
Поддон]]</f>
        <v>0</v>
      </c>
      <c r="N187" s="19">
        <f>Таблица1[[#This Row],[Сумма 
Приход]]+Таблица1[[#This Row],[Сумма Поддон]]</f>
        <v>0</v>
      </c>
      <c r="O187" s="20"/>
      <c r="P187" s="19">
        <f>Таблица1[[#This Row],[Цена
 Продажа]]-Таблица1[[#This Row],[Цена 
Приход]]</f>
        <v>0</v>
      </c>
      <c r="Q187" s="19"/>
      <c r="R187" s="19">
        <f>Таблица1[[#This Row],[Блок
 Куб]]*Таблица1[[#This Row],[Цена
 Продажа]]</f>
        <v>0</v>
      </c>
      <c r="S187" s="20"/>
      <c r="T187" s="19">
        <f>Таблица1[[#This Row],[Сумма 
Продажа]]-Таблица1[[#This Row],[Сумма 
Приход]]</f>
        <v>0</v>
      </c>
      <c r="U187" s="150"/>
    </row>
    <row r="188" spans="1:21" ht="14.25" x14ac:dyDescent="0.2">
      <c r="A188" s="50">
        <f t="shared" si="2"/>
        <v>185</v>
      </c>
      <c r="B188" s="17"/>
      <c r="C188" s="17"/>
      <c r="D188" s="17"/>
      <c r="E188" s="51"/>
      <c r="F188" s="50"/>
      <c r="G188" s="23"/>
      <c r="H188" s="24"/>
      <c r="I188" s="23"/>
      <c r="J188" s="19">
        <f>Таблица1[[#This Row],[Блок
 Куб]]*Таблица1[[#This Row],[Цена 
Приход]]</f>
        <v>0</v>
      </c>
      <c r="K188" s="25"/>
      <c r="L188" s="25"/>
      <c r="M188" s="19">
        <f>Таблица1[[#This Row],[Поддон
Шт]]*Таблица1[[#This Row],[Цена
Поддон]]</f>
        <v>0</v>
      </c>
      <c r="N188" s="19">
        <f>Таблица1[[#This Row],[Сумма 
Приход]]+Таблица1[[#This Row],[Сумма Поддон]]</f>
        <v>0</v>
      </c>
      <c r="O188" s="20"/>
      <c r="P188" s="19">
        <f>Таблица1[[#This Row],[Цена
 Продажа]]-Таблица1[[#This Row],[Цена 
Приход]]</f>
        <v>0</v>
      </c>
      <c r="Q188" s="19"/>
      <c r="R188" s="19">
        <f>Таблица1[[#This Row],[Блок
 Куб]]*Таблица1[[#This Row],[Цена
 Продажа]]</f>
        <v>0</v>
      </c>
      <c r="S188" s="20"/>
      <c r="T188" s="19">
        <f>Таблица1[[#This Row],[Сумма 
Продажа]]-Таблица1[[#This Row],[Сумма 
Приход]]</f>
        <v>0</v>
      </c>
      <c r="U188" s="150"/>
    </row>
    <row r="189" spans="1:21" ht="14.25" x14ac:dyDescent="0.2">
      <c r="A189" s="50">
        <f t="shared" si="2"/>
        <v>186</v>
      </c>
      <c r="B189" s="17"/>
      <c r="C189" s="17"/>
      <c r="D189" s="17"/>
      <c r="E189" s="51"/>
      <c r="F189" s="50"/>
      <c r="G189" s="23"/>
      <c r="H189" s="24"/>
      <c r="I189" s="23"/>
      <c r="J189" s="19">
        <f>Таблица1[[#This Row],[Блок
 Куб]]*Таблица1[[#This Row],[Цена 
Приход]]</f>
        <v>0</v>
      </c>
      <c r="K189" s="25"/>
      <c r="L189" s="25"/>
      <c r="M189" s="19">
        <f>Таблица1[[#This Row],[Поддон
Шт]]*Таблица1[[#This Row],[Цена
Поддон]]</f>
        <v>0</v>
      </c>
      <c r="N189" s="19">
        <f>Таблица1[[#This Row],[Сумма 
Приход]]+Таблица1[[#This Row],[Сумма Поддон]]</f>
        <v>0</v>
      </c>
      <c r="O189" s="20"/>
      <c r="P189" s="19">
        <f>Таблица1[[#This Row],[Цена
 Продажа]]-Таблица1[[#This Row],[Цена 
Приход]]</f>
        <v>0</v>
      </c>
      <c r="Q189" s="19"/>
      <c r="R189" s="19">
        <f>Таблица1[[#This Row],[Блок
 Куб]]*Таблица1[[#This Row],[Цена
 Продажа]]</f>
        <v>0</v>
      </c>
      <c r="S189" s="20"/>
      <c r="T189" s="19">
        <f>Таблица1[[#This Row],[Сумма 
Продажа]]-Таблица1[[#This Row],[Сумма 
Приход]]</f>
        <v>0</v>
      </c>
      <c r="U189" s="150"/>
    </row>
    <row r="190" spans="1:21" ht="14.25" x14ac:dyDescent="0.2">
      <c r="A190" s="50">
        <f t="shared" si="2"/>
        <v>187</v>
      </c>
      <c r="B190" s="17"/>
      <c r="C190" s="17"/>
      <c r="D190" s="17"/>
      <c r="E190" s="51"/>
      <c r="F190" s="50"/>
      <c r="G190" s="23"/>
      <c r="H190" s="24"/>
      <c r="I190" s="23"/>
      <c r="J190" s="19">
        <f>Таблица1[[#This Row],[Блок
 Куб]]*Таблица1[[#This Row],[Цена 
Приход]]</f>
        <v>0</v>
      </c>
      <c r="K190" s="25"/>
      <c r="L190" s="25"/>
      <c r="M190" s="19">
        <f>Таблица1[[#This Row],[Поддон
Шт]]*Таблица1[[#This Row],[Цена
Поддон]]</f>
        <v>0</v>
      </c>
      <c r="N190" s="19">
        <f>Таблица1[[#This Row],[Сумма 
Приход]]+Таблица1[[#This Row],[Сумма Поддон]]</f>
        <v>0</v>
      </c>
      <c r="O190" s="20"/>
      <c r="P190" s="19">
        <f>Таблица1[[#This Row],[Цена
 Продажа]]-Таблица1[[#This Row],[Цена 
Приход]]</f>
        <v>0</v>
      </c>
      <c r="Q190" s="19"/>
      <c r="R190" s="19">
        <f>Таблица1[[#This Row],[Блок
 Куб]]*Таблица1[[#This Row],[Цена
 Продажа]]</f>
        <v>0</v>
      </c>
      <c r="S190" s="20"/>
      <c r="T190" s="19">
        <f>Таблица1[[#This Row],[Сумма 
Продажа]]-Таблица1[[#This Row],[Сумма 
Приход]]</f>
        <v>0</v>
      </c>
      <c r="U190" s="150"/>
    </row>
    <row r="191" spans="1:21" ht="14.25" x14ac:dyDescent="0.2">
      <c r="A191" s="50">
        <f t="shared" si="2"/>
        <v>188</v>
      </c>
      <c r="B191" s="17"/>
      <c r="C191" s="17"/>
      <c r="D191" s="17"/>
      <c r="E191" s="51"/>
      <c r="F191" s="50"/>
      <c r="G191" s="23"/>
      <c r="H191" s="24"/>
      <c r="I191" s="23"/>
      <c r="J191" s="19">
        <f>Таблица1[[#This Row],[Блок
 Куб]]*Таблица1[[#This Row],[Цена 
Приход]]</f>
        <v>0</v>
      </c>
      <c r="K191" s="25"/>
      <c r="L191" s="25"/>
      <c r="M191" s="19">
        <f>Таблица1[[#This Row],[Поддон
Шт]]*Таблица1[[#This Row],[Цена
Поддон]]</f>
        <v>0</v>
      </c>
      <c r="N191" s="19">
        <f>Таблица1[[#This Row],[Сумма 
Приход]]+Таблица1[[#This Row],[Сумма Поддон]]</f>
        <v>0</v>
      </c>
      <c r="O191" s="20"/>
      <c r="P191" s="19">
        <f>Таблица1[[#This Row],[Цена
 Продажа]]-Таблица1[[#This Row],[Цена 
Приход]]</f>
        <v>0</v>
      </c>
      <c r="Q191" s="19"/>
      <c r="R191" s="19">
        <f>Таблица1[[#This Row],[Блок
 Куб]]*Таблица1[[#This Row],[Цена
 Продажа]]</f>
        <v>0</v>
      </c>
      <c r="S191" s="20"/>
      <c r="T191" s="19">
        <f>Таблица1[[#This Row],[Сумма 
Продажа]]-Таблица1[[#This Row],[Сумма 
Приход]]</f>
        <v>0</v>
      </c>
      <c r="U191" s="150"/>
    </row>
    <row r="192" spans="1:21" ht="14.25" x14ac:dyDescent="0.2">
      <c r="A192" s="50">
        <f t="shared" si="2"/>
        <v>189</v>
      </c>
      <c r="B192" s="17"/>
      <c r="C192" s="17"/>
      <c r="D192" s="17"/>
      <c r="E192" s="51"/>
      <c r="F192" s="50"/>
      <c r="G192" s="23"/>
      <c r="H192" s="24"/>
      <c r="I192" s="23"/>
      <c r="J192" s="19">
        <f>Таблица1[[#This Row],[Блок
 Куб]]*Таблица1[[#This Row],[Цена 
Приход]]</f>
        <v>0</v>
      </c>
      <c r="K192" s="25"/>
      <c r="L192" s="25"/>
      <c r="M192" s="19">
        <f>Таблица1[[#This Row],[Поддон
Шт]]*Таблица1[[#This Row],[Цена
Поддон]]</f>
        <v>0</v>
      </c>
      <c r="N192" s="19">
        <f>Таблица1[[#This Row],[Сумма 
Приход]]+Таблица1[[#This Row],[Сумма Поддон]]</f>
        <v>0</v>
      </c>
      <c r="O192" s="20"/>
      <c r="P192" s="19">
        <f>Таблица1[[#This Row],[Цена
 Продажа]]-Таблица1[[#This Row],[Цена 
Приход]]</f>
        <v>0</v>
      </c>
      <c r="Q192" s="19"/>
      <c r="R192" s="19">
        <f>Таблица1[[#This Row],[Блок
 Куб]]*Таблица1[[#This Row],[Цена
 Продажа]]</f>
        <v>0</v>
      </c>
      <c r="S192" s="20"/>
      <c r="T192" s="19">
        <f>Таблица1[[#This Row],[Сумма 
Продажа]]-Таблица1[[#This Row],[Сумма 
Приход]]</f>
        <v>0</v>
      </c>
      <c r="U192" s="150"/>
    </row>
    <row r="193" spans="1:21" ht="14.25" x14ac:dyDescent="0.2">
      <c r="A193" s="50">
        <f t="shared" si="2"/>
        <v>190</v>
      </c>
      <c r="B193" s="17"/>
      <c r="C193" s="17"/>
      <c r="D193" s="17"/>
      <c r="E193" s="51"/>
      <c r="F193" s="50"/>
      <c r="G193" s="23"/>
      <c r="H193" s="24"/>
      <c r="I193" s="23"/>
      <c r="J193" s="19">
        <f>Таблица1[[#This Row],[Блок
 Куб]]*Таблица1[[#This Row],[Цена 
Приход]]</f>
        <v>0</v>
      </c>
      <c r="K193" s="25"/>
      <c r="L193" s="25"/>
      <c r="M193" s="19">
        <f>Таблица1[[#This Row],[Поддон
Шт]]*Таблица1[[#This Row],[Цена
Поддон]]</f>
        <v>0</v>
      </c>
      <c r="N193" s="19">
        <f>Таблица1[[#This Row],[Сумма 
Приход]]+Таблица1[[#This Row],[Сумма Поддон]]</f>
        <v>0</v>
      </c>
      <c r="O193" s="20"/>
      <c r="P193" s="19">
        <f>Таблица1[[#This Row],[Цена
 Продажа]]-Таблица1[[#This Row],[Цена 
Приход]]</f>
        <v>0</v>
      </c>
      <c r="Q193" s="19"/>
      <c r="R193" s="19">
        <f>Таблица1[[#This Row],[Блок
 Куб]]*Таблица1[[#This Row],[Цена
 Продажа]]</f>
        <v>0</v>
      </c>
      <c r="S193" s="20"/>
      <c r="T193" s="19">
        <f>Таблица1[[#This Row],[Сумма 
Продажа]]-Таблица1[[#This Row],[Сумма 
Приход]]</f>
        <v>0</v>
      </c>
      <c r="U193" s="150"/>
    </row>
    <row r="194" spans="1:21" ht="14.25" x14ac:dyDescent="0.2">
      <c r="A194" s="50">
        <f t="shared" si="2"/>
        <v>191</v>
      </c>
      <c r="B194" s="17"/>
      <c r="C194" s="17"/>
      <c r="D194" s="17"/>
      <c r="E194" s="51"/>
      <c r="F194" s="50"/>
      <c r="G194" s="23"/>
      <c r="H194" s="24"/>
      <c r="I194" s="23"/>
      <c r="J194" s="19">
        <f>Таблица1[[#This Row],[Блок
 Куб]]*Таблица1[[#This Row],[Цена 
Приход]]</f>
        <v>0</v>
      </c>
      <c r="K194" s="25"/>
      <c r="L194" s="25"/>
      <c r="M194" s="19">
        <f>Таблица1[[#This Row],[Поддон
Шт]]*Таблица1[[#This Row],[Цена
Поддон]]</f>
        <v>0</v>
      </c>
      <c r="N194" s="19">
        <f>Таблица1[[#This Row],[Сумма 
Приход]]+Таблица1[[#This Row],[Сумма Поддон]]</f>
        <v>0</v>
      </c>
      <c r="O194" s="20"/>
      <c r="P194" s="19">
        <f>Таблица1[[#This Row],[Цена
 Продажа]]-Таблица1[[#This Row],[Цена 
Приход]]</f>
        <v>0</v>
      </c>
      <c r="Q194" s="19"/>
      <c r="R194" s="19">
        <f>Таблица1[[#This Row],[Блок
 Куб]]*Таблица1[[#This Row],[Цена
 Продажа]]</f>
        <v>0</v>
      </c>
      <c r="S194" s="20"/>
      <c r="T194" s="19">
        <f>Таблица1[[#This Row],[Сумма 
Продажа]]-Таблица1[[#This Row],[Сумма 
Приход]]</f>
        <v>0</v>
      </c>
      <c r="U194" s="150"/>
    </row>
    <row r="195" spans="1:21" ht="14.25" x14ac:dyDescent="0.2">
      <c r="A195" s="50">
        <f t="shared" si="2"/>
        <v>192</v>
      </c>
      <c r="B195" s="17"/>
      <c r="C195" s="17"/>
      <c r="D195" s="17"/>
      <c r="E195" s="51"/>
      <c r="F195" s="50"/>
      <c r="G195" s="23"/>
      <c r="H195" s="24"/>
      <c r="I195" s="23"/>
      <c r="J195" s="19">
        <f>Таблица1[[#This Row],[Блок
 Куб]]*Таблица1[[#This Row],[Цена 
Приход]]</f>
        <v>0</v>
      </c>
      <c r="K195" s="25"/>
      <c r="L195" s="25"/>
      <c r="M195" s="19">
        <f>Таблица1[[#This Row],[Поддон
Шт]]*Таблица1[[#This Row],[Цена
Поддон]]</f>
        <v>0</v>
      </c>
      <c r="N195" s="19">
        <f>Таблица1[[#This Row],[Сумма 
Приход]]+Таблица1[[#This Row],[Сумма Поддон]]</f>
        <v>0</v>
      </c>
      <c r="O195" s="20"/>
      <c r="P195" s="19">
        <f>Таблица1[[#This Row],[Цена
 Продажа]]-Таблица1[[#This Row],[Цена 
Приход]]</f>
        <v>0</v>
      </c>
      <c r="Q195" s="19"/>
      <c r="R195" s="19">
        <f>Таблица1[[#This Row],[Блок
 Куб]]*Таблица1[[#This Row],[Цена
 Продажа]]</f>
        <v>0</v>
      </c>
      <c r="S195" s="20"/>
      <c r="T195" s="19">
        <f>Таблица1[[#This Row],[Сумма 
Продажа]]-Таблица1[[#This Row],[Сумма 
Приход]]</f>
        <v>0</v>
      </c>
      <c r="U195" s="150"/>
    </row>
    <row r="196" spans="1:21" ht="14.25" x14ac:dyDescent="0.2">
      <c r="A196" s="50">
        <f t="shared" si="2"/>
        <v>193</v>
      </c>
      <c r="B196" s="17"/>
      <c r="C196" s="17"/>
      <c r="D196" s="17"/>
      <c r="E196" s="51"/>
      <c r="F196" s="50"/>
      <c r="G196" s="23"/>
      <c r="H196" s="24"/>
      <c r="I196" s="23"/>
      <c r="J196" s="19">
        <f>Таблица1[[#This Row],[Блок
 Куб]]*Таблица1[[#This Row],[Цена 
Приход]]</f>
        <v>0</v>
      </c>
      <c r="K196" s="25"/>
      <c r="L196" s="25"/>
      <c r="M196" s="19">
        <f>Таблица1[[#This Row],[Поддон
Шт]]*Таблица1[[#This Row],[Цена
Поддон]]</f>
        <v>0</v>
      </c>
      <c r="N196" s="19">
        <f>Таблица1[[#This Row],[Сумма 
Приход]]+Таблица1[[#This Row],[Сумма Поддон]]</f>
        <v>0</v>
      </c>
      <c r="O196" s="20"/>
      <c r="P196" s="19">
        <f>Таблица1[[#This Row],[Цена
 Продажа]]-Таблица1[[#This Row],[Цена 
Приход]]</f>
        <v>0</v>
      </c>
      <c r="Q196" s="19"/>
      <c r="R196" s="19">
        <f>Таблица1[[#This Row],[Блок
 Куб]]*Таблица1[[#This Row],[Цена
 Продажа]]</f>
        <v>0</v>
      </c>
      <c r="S196" s="20"/>
      <c r="T196" s="19">
        <f>Таблица1[[#This Row],[Сумма 
Продажа]]-Таблица1[[#This Row],[Сумма 
Приход]]</f>
        <v>0</v>
      </c>
      <c r="U196" s="150"/>
    </row>
    <row r="197" spans="1:21" ht="14.25" x14ac:dyDescent="0.2">
      <c r="A197" s="50">
        <f t="shared" si="2"/>
        <v>194</v>
      </c>
      <c r="B197" s="17"/>
      <c r="C197" s="17"/>
      <c r="D197" s="17"/>
      <c r="E197" s="51"/>
      <c r="F197" s="50"/>
      <c r="G197" s="23"/>
      <c r="H197" s="24"/>
      <c r="I197" s="23"/>
      <c r="J197" s="19">
        <f>Таблица1[[#This Row],[Блок
 Куб]]*Таблица1[[#This Row],[Цена 
Приход]]</f>
        <v>0</v>
      </c>
      <c r="K197" s="25"/>
      <c r="L197" s="25"/>
      <c r="M197" s="19">
        <f>Таблица1[[#This Row],[Поддон
Шт]]*Таблица1[[#This Row],[Цена
Поддон]]</f>
        <v>0</v>
      </c>
      <c r="N197" s="19">
        <f>Таблица1[[#This Row],[Сумма 
Приход]]+Таблица1[[#This Row],[Сумма Поддон]]</f>
        <v>0</v>
      </c>
      <c r="O197" s="20"/>
      <c r="P197" s="19">
        <f>Таблица1[[#This Row],[Цена
 Продажа]]-Таблица1[[#This Row],[Цена 
Приход]]</f>
        <v>0</v>
      </c>
      <c r="Q197" s="19"/>
      <c r="R197" s="19">
        <f>Таблица1[[#This Row],[Блок
 Куб]]*Таблица1[[#This Row],[Цена
 Продажа]]</f>
        <v>0</v>
      </c>
      <c r="S197" s="20"/>
      <c r="T197" s="19">
        <f>Таблица1[[#This Row],[Сумма 
Продажа]]-Таблица1[[#This Row],[Сумма 
Приход]]</f>
        <v>0</v>
      </c>
      <c r="U197" s="150"/>
    </row>
    <row r="198" spans="1:21" ht="14.25" x14ac:dyDescent="0.2">
      <c r="A198" s="50">
        <f t="shared" ref="A198:A261" si="3">A197+1</f>
        <v>195</v>
      </c>
      <c r="B198" s="17"/>
      <c r="C198" s="17"/>
      <c r="D198" s="17"/>
      <c r="E198" s="51"/>
      <c r="F198" s="50"/>
      <c r="G198" s="23"/>
      <c r="H198" s="24"/>
      <c r="I198" s="23"/>
      <c r="J198" s="19">
        <f>Таблица1[[#This Row],[Блок
 Куб]]*Таблица1[[#This Row],[Цена 
Приход]]</f>
        <v>0</v>
      </c>
      <c r="K198" s="25"/>
      <c r="L198" s="25"/>
      <c r="M198" s="19">
        <f>Таблица1[[#This Row],[Поддон
Шт]]*Таблица1[[#This Row],[Цена
Поддон]]</f>
        <v>0</v>
      </c>
      <c r="N198" s="19">
        <f>Таблица1[[#This Row],[Сумма 
Приход]]+Таблица1[[#This Row],[Сумма Поддон]]</f>
        <v>0</v>
      </c>
      <c r="O198" s="20"/>
      <c r="P198" s="19">
        <f>Таблица1[[#This Row],[Цена
 Продажа]]-Таблица1[[#This Row],[Цена 
Приход]]</f>
        <v>0</v>
      </c>
      <c r="Q198" s="19"/>
      <c r="R198" s="19">
        <f>Таблица1[[#This Row],[Блок
 Куб]]*Таблица1[[#This Row],[Цена
 Продажа]]</f>
        <v>0</v>
      </c>
      <c r="S198" s="20"/>
      <c r="T198" s="19">
        <f>Таблица1[[#This Row],[Сумма 
Продажа]]-Таблица1[[#This Row],[Сумма 
Приход]]</f>
        <v>0</v>
      </c>
      <c r="U198" s="150"/>
    </row>
    <row r="199" spans="1:21" ht="14.25" x14ac:dyDescent="0.2">
      <c r="A199" s="50">
        <f t="shared" si="3"/>
        <v>196</v>
      </c>
      <c r="B199" s="17"/>
      <c r="C199" s="17"/>
      <c r="D199" s="17"/>
      <c r="E199" s="51"/>
      <c r="F199" s="50"/>
      <c r="G199" s="23"/>
      <c r="H199" s="24"/>
      <c r="I199" s="23"/>
      <c r="J199" s="19">
        <f>Таблица1[[#This Row],[Блок
 Куб]]*Таблица1[[#This Row],[Цена 
Приход]]</f>
        <v>0</v>
      </c>
      <c r="K199" s="25"/>
      <c r="L199" s="25"/>
      <c r="M199" s="19">
        <f>Таблица1[[#This Row],[Поддон
Шт]]*Таблица1[[#This Row],[Цена
Поддон]]</f>
        <v>0</v>
      </c>
      <c r="N199" s="19">
        <f>Таблица1[[#This Row],[Сумма 
Приход]]+Таблица1[[#This Row],[Сумма Поддон]]</f>
        <v>0</v>
      </c>
      <c r="O199" s="20"/>
      <c r="P199" s="19">
        <f>Таблица1[[#This Row],[Цена
 Продажа]]-Таблица1[[#This Row],[Цена 
Приход]]</f>
        <v>0</v>
      </c>
      <c r="Q199" s="19"/>
      <c r="R199" s="19">
        <f>Таблица1[[#This Row],[Блок
 Куб]]*Таблица1[[#This Row],[Цена
 Продажа]]</f>
        <v>0</v>
      </c>
      <c r="S199" s="20"/>
      <c r="T199" s="19">
        <f>Таблица1[[#This Row],[Сумма 
Продажа]]-Таблица1[[#This Row],[Сумма 
Приход]]</f>
        <v>0</v>
      </c>
      <c r="U199" s="150"/>
    </row>
    <row r="200" spans="1:21" ht="14.25" x14ac:dyDescent="0.2">
      <c r="A200" s="50">
        <f t="shared" si="3"/>
        <v>197</v>
      </c>
      <c r="B200" s="17"/>
      <c r="C200" s="17"/>
      <c r="D200" s="17"/>
      <c r="E200" s="51"/>
      <c r="F200" s="50"/>
      <c r="G200" s="23"/>
      <c r="H200" s="24"/>
      <c r="I200" s="23"/>
      <c r="J200" s="19">
        <f>Таблица1[[#This Row],[Блок
 Куб]]*Таблица1[[#This Row],[Цена 
Приход]]</f>
        <v>0</v>
      </c>
      <c r="K200" s="25"/>
      <c r="L200" s="25"/>
      <c r="M200" s="19">
        <f>Таблица1[[#This Row],[Поддон
Шт]]*Таблица1[[#This Row],[Цена
Поддон]]</f>
        <v>0</v>
      </c>
      <c r="N200" s="19">
        <f>Таблица1[[#This Row],[Сумма 
Приход]]+Таблица1[[#This Row],[Сумма Поддон]]</f>
        <v>0</v>
      </c>
      <c r="O200" s="20"/>
      <c r="P200" s="19">
        <f>Таблица1[[#This Row],[Цена
 Продажа]]-Таблица1[[#This Row],[Цена 
Приход]]</f>
        <v>0</v>
      </c>
      <c r="Q200" s="19"/>
      <c r="R200" s="19">
        <f>Таблица1[[#This Row],[Блок
 Куб]]*Таблица1[[#This Row],[Цена
 Продажа]]</f>
        <v>0</v>
      </c>
      <c r="S200" s="20"/>
      <c r="T200" s="19">
        <f>Таблица1[[#This Row],[Сумма 
Продажа]]-Таблица1[[#This Row],[Сумма 
Приход]]</f>
        <v>0</v>
      </c>
      <c r="U200" s="150"/>
    </row>
    <row r="201" spans="1:21" ht="14.25" x14ac:dyDescent="0.2">
      <c r="A201" s="50">
        <f t="shared" si="3"/>
        <v>198</v>
      </c>
      <c r="B201" s="17"/>
      <c r="C201" s="17"/>
      <c r="D201" s="17"/>
      <c r="E201" s="51"/>
      <c r="F201" s="50"/>
      <c r="G201" s="23"/>
      <c r="H201" s="24"/>
      <c r="I201" s="23"/>
      <c r="J201" s="19">
        <f>Таблица1[[#This Row],[Блок
 Куб]]*Таблица1[[#This Row],[Цена 
Приход]]</f>
        <v>0</v>
      </c>
      <c r="K201" s="25"/>
      <c r="L201" s="25"/>
      <c r="M201" s="19">
        <f>Таблица1[[#This Row],[Поддон
Шт]]*Таблица1[[#This Row],[Цена
Поддон]]</f>
        <v>0</v>
      </c>
      <c r="N201" s="19">
        <f>Таблица1[[#This Row],[Сумма 
Приход]]+Таблица1[[#This Row],[Сумма Поддон]]</f>
        <v>0</v>
      </c>
      <c r="O201" s="20"/>
      <c r="P201" s="19">
        <f>Таблица1[[#This Row],[Цена
 Продажа]]-Таблица1[[#This Row],[Цена 
Приход]]</f>
        <v>0</v>
      </c>
      <c r="Q201" s="19"/>
      <c r="R201" s="19">
        <f>Таблица1[[#This Row],[Блок
 Куб]]*Таблица1[[#This Row],[Цена
 Продажа]]</f>
        <v>0</v>
      </c>
      <c r="S201" s="20"/>
      <c r="T201" s="19">
        <f>Таблица1[[#This Row],[Сумма 
Продажа]]-Таблица1[[#This Row],[Сумма 
Приход]]</f>
        <v>0</v>
      </c>
      <c r="U201" s="150"/>
    </row>
    <row r="202" spans="1:21" ht="14.25" x14ac:dyDescent="0.2">
      <c r="A202" s="50">
        <f t="shared" si="3"/>
        <v>199</v>
      </c>
      <c r="B202" s="17"/>
      <c r="C202" s="17"/>
      <c r="D202" s="17"/>
      <c r="E202" s="51"/>
      <c r="F202" s="50"/>
      <c r="G202" s="23"/>
      <c r="H202" s="24"/>
      <c r="I202" s="23"/>
      <c r="J202" s="19">
        <f>Таблица1[[#This Row],[Блок
 Куб]]*Таблица1[[#This Row],[Цена 
Приход]]</f>
        <v>0</v>
      </c>
      <c r="K202" s="25"/>
      <c r="L202" s="25"/>
      <c r="M202" s="19">
        <f>Таблица1[[#This Row],[Поддон
Шт]]*Таблица1[[#This Row],[Цена
Поддон]]</f>
        <v>0</v>
      </c>
      <c r="N202" s="19">
        <f>Таблица1[[#This Row],[Сумма 
Приход]]+Таблица1[[#This Row],[Сумма Поддон]]</f>
        <v>0</v>
      </c>
      <c r="O202" s="20"/>
      <c r="P202" s="19">
        <f>Таблица1[[#This Row],[Цена
 Продажа]]-Таблица1[[#This Row],[Цена 
Приход]]</f>
        <v>0</v>
      </c>
      <c r="Q202" s="19"/>
      <c r="R202" s="19">
        <f>Таблица1[[#This Row],[Блок
 Куб]]*Таблица1[[#This Row],[Цена
 Продажа]]</f>
        <v>0</v>
      </c>
      <c r="S202" s="20"/>
      <c r="T202" s="19">
        <f>Таблица1[[#This Row],[Сумма 
Продажа]]-Таблица1[[#This Row],[Сумма 
Приход]]</f>
        <v>0</v>
      </c>
      <c r="U202" s="150"/>
    </row>
    <row r="203" spans="1:21" ht="14.25" x14ac:dyDescent="0.2">
      <c r="A203" s="50">
        <f t="shared" si="3"/>
        <v>200</v>
      </c>
      <c r="B203" s="17"/>
      <c r="C203" s="17"/>
      <c r="D203" s="17"/>
      <c r="E203" s="51"/>
      <c r="F203" s="50"/>
      <c r="G203" s="23"/>
      <c r="H203" s="24"/>
      <c r="I203" s="23"/>
      <c r="J203" s="19">
        <f>Таблица1[[#This Row],[Блок
 Куб]]*Таблица1[[#This Row],[Цена 
Приход]]</f>
        <v>0</v>
      </c>
      <c r="K203" s="25"/>
      <c r="L203" s="25"/>
      <c r="M203" s="19">
        <f>Таблица1[[#This Row],[Поддон
Шт]]*Таблица1[[#This Row],[Цена
Поддон]]</f>
        <v>0</v>
      </c>
      <c r="N203" s="19">
        <f>Таблица1[[#This Row],[Сумма 
Приход]]+Таблица1[[#This Row],[Сумма Поддон]]</f>
        <v>0</v>
      </c>
      <c r="O203" s="20"/>
      <c r="P203" s="19">
        <f>Таблица1[[#This Row],[Цена
 Продажа]]-Таблица1[[#This Row],[Цена 
Приход]]</f>
        <v>0</v>
      </c>
      <c r="Q203" s="19"/>
      <c r="R203" s="19">
        <f>Таблица1[[#This Row],[Блок
 Куб]]*Таблица1[[#This Row],[Цена
 Продажа]]</f>
        <v>0</v>
      </c>
      <c r="S203" s="20"/>
      <c r="T203" s="19">
        <f>Таблица1[[#This Row],[Сумма 
Продажа]]-Таблица1[[#This Row],[Сумма 
Приход]]</f>
        <v>0</v>
      </c>
      <c r="U203" s="150"/>
    </row>
    <row r="204" spans="1:21" ht="14.25" x14ac:dyDescent="0.2">
      <c r="A204" s="50">
        <f t="shared" si="3"/>
        <v>201</v>
      </c>
      <c r="B204" s="17"/>
      <c r="C204" s="17"/>
      <c r="D204" s="17"/>
      <c r="E204" s="51"/>
      <c r="F204" s="50"/>
      <c r="G204" s="23"/>
      <c r="H204" s="24"/>
      <c r="I204" s="23"/>
      <c r="J204" s="19">
        <f>Таблица1[[#This Row],[Блок
 Куб]]*Таблица1[[#This Row],[Цена 
Приход]]</f>
        <v>0</v>
      </c>
      <c r="K204" s="25"/>
      <c r="L204" s="25"/>
      <c r="M204" s="19">
        <f>Таблица1[[#This Row],[Поддон
Шт]]*Таблица1[[#This Row],[Цена
Поддон]]</f>
        <v>0</v>
      </c>
      <c r="N204" s="19">
        <f>Таблица1[[#This Row],[Сумма 
Приход]]+Таблица1[[#This Row],[Сумма Поддон]]</f>
        <v>0</v>
      </c>
      <c r="O204" s="20"/>
      <c r="P204" s="19">
        <f>Таблица1[[#This Row],[Цена
 Продажа]]-Таблица1[[#This Row],[Цена 
Приход]]</f>
        <v>0</v>
      </c>
      <c r="Q204" s="19"/>
      <c r="R204" s="19">
        <f>Таблица1[[#This Row],[Блок
 Куб]]*Таблица1[[#This Row],[Цена
 Продажа]]</f>
        <v>0</v>
      </c>
      <c r="S204" s="20"/>
      <c r="T204" s="19">
        <f>Таблица1[[#This Row],[Сумма 
Продажа]]-Таблица1[[#This Row],[Сумма 
Приход]]</f>
        <v>0</v>
      </c>
      <c r="U204" s="150"/>
    </row>
    <row r="205" spans="1:21" ht="14.25" x14ac:dyDescent="0.2">
      <c r="A205" s="50">
        <f t="shared" si="3"/>
        <v>202</v>
      </c>
      <c r="B205" s="17"/>
      <c r="C205" s="17"/>
      <c r="D205" s="17"/>
      <c r="E205" s="51"/>
      <c r="F205" s="50"/>
      <c r="G205" s="23"/>
      <c r="H205" s="24"/>
      <c r="I205" s="23"/>
      <c r="J205" s="19">
        <f>Таблица1[[#This Row],[Блок
 Куб]]*Таблица1[[#This Row],[Цена 
Приход]]</f>
        <v>0</v>
      </c>
      <c r="K205" s="25"/>
      <c r="L205" s="25"/>
      <c r="M205" s="19">
        <f>Таблица1[[#This Row],[Поддон
Шт]]*Таблица1[[#This Row],[Цена
Поддон]]</f>
        <v>0</v>
      </c>
      <c r="N205" s="19">
        <f>Таблица1[[#This Row],[Сумма 
Приход]]+Таблица1[[#This Row],[Сумма Поддон]]</f>
        <v>0</v>
      </c>
      <c r="O205" s="20"/>
      <c r="P205" s="19">
        <f>Таблица1[[#This Row],[Цена
 Продажа]]-Таблица1[[#This Row],[Цена 
Приход]]</f>
        <v>0</v>
      </c>
      <c r="Q205" s="19"/>
      <c r="R205" s="19">
        <f>Таблица1[[#This Row],[Блок
 Куб]]*Таблица1[[#This Row],[Цена
 Продажа]]</f>
        <v>0</v>
      </c>
      <c r="S205" s="20"/>
      <c r="T205" s="19">
        <f>Таблица1[[#This Row],[Сумма 
Продажа]]-Таблица1[[#This Row],[Сумма 
Приход]]</f>
        <v>0</v>
      </c>
      <c r="U205" s="150"/>
    </row>
    <row r="206" spans="1:21" ht="14.25" x14ac:dyDescent="0.2">
      <c r="A206" s="50">
        <f t="shared" si="3"/>
        <v>203</v>
      </c>
      <c r="B206" s="17"/>
      <c r="C206" s="17"/>
      <c r="D206" s="17"/>
      <c r="E206" s="51"/>
      <c r="F206" s="50"/>
      <c r="G206" s="23"/>
      <c r="H206" s="24"/>
      <c r="I206" s="23"/>
      <c r="J206" s="19">
        <f>Таблица1[[#This Row],[Блок
 Куб]]*Таблица1[[#This Row],[Цена 
Приход]]</f>
        <v>0</v>
      </c>
      <c r="K206" s="25"/>
      <c r="L206" s="25"/>
      <c r="M206" s="19">
        <f>Таблица1[[#This Row],[Поддон
Шт]]*Таблица1[[#This Row],[Цена
Поддон]]</f>
        <v>0</v>
      </c>
      <c r="N206" s="19">
        <f>Таблица1[[#This Row],[Сумма 
Приход]]+Таблица1[[#This Row],[Сумма Поддон]]</f>
        <v>0</v>
      </c>
      <c r="O206" s="20"/>
      <c r="P206" s="19">
        <f>Таблица1[[#This Row],[Цена
 Продажа]]-Таблица1[[#This Row],[Цена 
Приход]]</f>
        <v>0</v>
      </c>
      <c r="Q206" s="19"/>
      <c r="R206" s="19">
        <f>Таблица1[[#This Row],[Блок
 Куб]]*Таблица1[[#This Row],[Цена
 Продажа]]</f>
        <v>0</v>
      </c>
      <c r="S206" s="20"/>
      <c r="T206" s="19">
        <f>Таблица1[[#This Row],[Сумма 
Продажа]]-Таблица1[[#This Row],[Сумма 
Приход]]</f>
        <v>0</v>
      </c>
      <c r="U206" s="150"/>
    </row>
    <row r="207" spans="1:21" ht="14.25" x14ac:dyDescent="0.2">
      <c r="A207" s="50">
        <f t="shared" si="3"/>
        <v>204</v>
      </c>
      <c r="B207" s="17"/>
      <c r="C207" s="17"/>
      <c r="D207" s="17"/>
      <c r="E207" s="51"/>
      <c r="F207" s="50"/>
      <c r="G207" s="23"/>
      <c r="H207" s="24"/>
      <c r="I207" s="23"/>
      <c r="J207" s="19">
        <f>Таблица1[[#This Row],[Блок
 Куб]]*Таблица1[[#This Row],[Цена 
Приход]]</f>
        <v>0</v>
      </c>
      <c r="K207" s="25"/>
      <c r="L207" s="25"/>
      <c r="M207" s="19">
        <f>Таблица1[[#This Row],[Поддон
Шт]]*Таблица1[[#This Row],[Цена
Поддон]]</f>
        <v>0</v>
      </c>
      <c r="N207" s="19">
        <f>Таблица1[[#This Row],[Сумма 
Приход]]+Таблица1[[#This Row],[Сумма Поддон]]</f>
        <v>0</v>
      </c>
      <c r="O207" s="20"/>
      <c r="P207" s="19">
        <f>Таблица1[[#This Row],[Цена
 Продажа]]-Таблица1[[#This Row],[Цена 
Приход]]</f>
        <v>0</v>
      </c>
      <c r="Q207" s="19"/>
      <c r="R207" s="19">
        <f>Таблица1[[#This Row],[Блок
 Куб]]*Таблица1[[#This Row],[Цена
 Продажа]]</f>
        <v>0</v>
      </c>
      <c r="S207" s="20"/>
      <c r="T207" s="19">
        <f>Таблица1[[#This Row],[Сумма 
Продажа]]-Таблица1[[#This Row],[Сумма 
Приход]]</f>
        <v>0</v>
      </c>
      <c r="U207" s="150"/>
    </row>
    <row r="208" spans="1:21" ht="14.25" x14ac:dyDescent="0.2">
      <c r="A208" s="50">
        <f t="shared" si="3"/>
        <v>205</v>
      </c>
      <c r="B208" s="17"/>
      <c r="C208" s="17"/>
      <c r="D208" s="17"/>
      <c r="E208" s="51"/>
      <c r="F208" s="50"/>
      <c r="G208" s="23"/>
      <c r="H208" s="24"/>
      <c r="I208" s="23"/>
      <c r="J208" s="19">
        <f>Таблица1[[#This Row],[Блок
 Куб]]*Таблица1[[#This Row],[Цена 
Приход]]</f>
        <v>0</v>
      </c>
      <c r="K208" s="25"/>
      <c r="L208" s="25"/>
      <c r="M208" s="19">
        <f>Таблица1[[#This Row],[Поддон
Шт]]*Таблица1[[#This Row],[Цена
Поддон]]</f>
        <v>0</v>
      </c>
      <c r="N208" s="19">
        <f>Таблица1[[#This Row],[Сумма 
Приход]]+Таблица1[[#This Row],[Сумма Поддон]]</f>
        <v>0</v>
      </c>
      <c r="O208" s="20"/>
      <c r="P208" s="19">
        <f>Таблица1[[#This Row],[Цена
 Продажа]]-Таблица1[[#This Row],[Цена 
Приход]]</f>
        <v>0</v>
      </c>
      <c r="Q208" s="19"/>
      <c r="R208" s="19">
        <f>Таблица1[[#This Row],[Блок
 Куб]]*Таблица1[[#This Row],[Цена
 Продажа]]</f>
        <v>0</v>
      </c>
      <c r="S208" s="20"/>
      <c r="T208" s="19">
        <f>Таблица1[[#This Row],[Сумма 
Продажа]]-Таблица1[[#This Row],[Сумма 
Приход]]</f>
        <v>0</v>
      </c>
      <c r="U208" s="150"/>
    </row>
    <row r="209" spans="1:21" ht="14.25" x14ac:dyDescent="0.2">
      <c r="A209" s="50">
        <f t="shared" si="3"/>
        <v>206</v>
      </c>
      <c r="B209" s="17"/>
      <c r="C209" s="17"/>
      <c r="D209" s="17"/>
      <c r="E209" s="51"/>
      <c r="F209" s="50"/>
      <c r="G209" s="23"/>
      <c r="H209" s="24"/>
      <c r="I209" s="23"/>
      <c r="J209" s="19">
        <f>Таблица1[[#This Row],[Блок
 Куб]]*Таблица1[[#This Row],[Цена 
Приход]]</f>
        <v>0</v>
      </c>
      <c r="K209" s="25"/>
      <c r="L209" s="25"/>
      <c r="M209" s="19">
        <f>Таблица1[[#This Row],[Поддон
Шт]]*Таблица1[[#This Row],[Цена
Поддон]]</f>
        <v>0</v>
      </c>
      <c r="N209" s="19">
        <f>Таблица1[[#This Row],[Сумма 
Приход]]+Таблица1[[#This Row],[Сумма Поддон]]</f>
        <v>0</v>
      </c>
      <c r="O209" s="20"/>
      <c r="P209" s="19">
        <f>Таблица1[[#This Row],[Цена
 Продажа]]-Таблица1[[#This Row],[Цена 
Приход]]</f>
        <v>0</v>
      </c>
      <c r="Q209" s="19"/>
      <c r="R209" s="19">
        <f>Таблица1[[#This Row],[Блок
 Куб]]*Таблица1[[#This Row],[Цена
 Продажа]]</f>
        <v>0</v>
      </c>
      <c r="S209" s="20"/>
      <c r="T209" s="19">
        <f>Таблица1[[#This Row],[Сумма 
Продажа]]-Таблица1[[#This Row],[Сумма 
Приход]]</f>
        <v>0</v>
      </c>
      <c r="U209" s="150"/>
    </row>
    <row r="210" spans="1:21" ht="14.25" x14ac:dyDescent="0.2">
      <c r="A210" s="50">
        <f t="shared" si="3"/>
        <v>207</v>
      </c>
      <c r="B210" s="17"/>
      <c r="C210" s="17"/>
      <c r="D210" s="17"/>
      <c r="E210" s="51"/>
      <c r="F210" s="50"/>
      <c r="G210" s="23"/>
      <c r="H210" s="24"/>
      <c r="I210" s="23"/>
      <c r="J210" s="19">
        <f>Таблица1[[#This Row],[Блок
 Куб]]*Таблица1[[#This Row],[Цена 
Приход]]</f>
        <v>0</v>
      </c>
      <c r="K210" s="25"/>
      <c r="L210" s="25"/>
      <c r="M210" s="19">
        <f>Таблица1[[#This Row],[Поддон
Шт]]*Таблица1[[#This Row],[Цена
Поддон]]</f>
        <v>0</v>
      </c>
      <c r="N210" s="19">
        <f>Таблица1[[#This Row],[Сумма 
Приход]]+Таблица1[[#This Row],[Сумма Поддон]]</f>
        <v>0</v>
      </c>
      <c r="O210" s="20"/>
      <c r="P210" s="19">
        <f>Таблица1[[#This Row],[Цена
 Продажа]]-Таблица1[[#This Row],[Цена 
Приход]]</f>
        <v>0</v>
      </c>
      <c r="Q210" s="19"/>
      <c r="R210" s="19">
        <f>Таблица1[[#This Row],[Блок
 Куб]]*Таблица1[[#This Row],[Цена
 Продажа]]</f>
        <v>0</v>
      </c>
      <c r="S210" s="20"/>
      <c r="T210" s="19">
        <f>Таблица1[[#This Row],[Сумма 
Продажа]]-Таблица1[[#This Row],[Сумма 
Приход]]</f>
        <v>0</v>
      </c>
      <c r="U210" s="150"/>
    </row>
    <row r="211" spans="1:21" ht="14.25" x14ac:dyDescent="0.2">
      <c r="A211" s="50">
        <f t="shared" si="3"/>
        <v>208</v>
      </c>
      <c r="B211" s="17"/>
      <c r="C211" s="17"/>
      <c r="D211" s="17"/>
      <c r="E211" s="51"/>
      <c r="F211" s="50"/>
      <c r="G211" s="23"/>
      <c r="H211" s="24"/>
      <c r="I211" s="23"/>
      <c r="J211" s="19">
        <f>Таблица1[[#This Row],[Блок
 Куб]]*Таблица1[[#This Row],[Цена 
Приход]]</f>
        <v>0</v>
      </c>
      <c r="K211" s="25"/>
      <c r="L211" s="25"/>
      <c r="M211" s="19">
        <f>Таблица1[[#This Row],[Поддон
Шт]]*Таблица1[[#This Row],[Цена
Поддон]]</f>
        <v>0</v>
      </c>
      <c r="N211" s="19">
        <f>Таблица1[[#This Row],[Сумма 
Приход]]+Таблица1[[#This Row],[Сумма Поддон]]</f>
        <v>0</v>
      </c>
      <c r="O211" s="20"/>
      <c r="P211" s="19">
        <f>Таблица1[[#This Row],[Цена
 Продажа]]-Таблица1[[#This Row],[Цена 
Приход]]</f>
        <v>0</v>
      </c>
      <c r="Q211" s="19"/>
      <c r="R211" s="19">
        <f>Таблица1[[#This Row],[Блок
 Куб]]*Таблица1[[#This Row],[Цена
 Продажа]]</f>
        <v>0</v>
      </c>
      <c r="S211" s="20"/>
      <c r="T211" s="19">
        <f>Таблица1[[#This Row],[Сумма 
Продажа]]-Таблица1[[#This Row],[Сумма 
Приход]]</f>
        <v>0</v>
      </c>
      <c r="U211" s="150"/>
    </row>
    <row r="212" spans="1:21" ht="14.25" x14ac:dyDescent="0.2">
      <c r="A212" s="50">
        <f t="shared" si="3"/>
        <v>209</v>
      </c>
      <c r="B212" s="17"/>
      <c r="C212" s="17"/>
      <c r="D212" s="17"/>
      <c r="E212" s="51"/>
      <c r="F212" s="50"/>
      <c r="G212" s="23"/>
      <c r="H212" s="24"/>
      <c r="I212" s="23"/>
      <c r="J212" s="19">
        <f>Таблица1[[#This Row],[Блок
 Куб]]*Таблица1[[#This Row],[Цена 
Приход]]</f>
        <v>0</v>
      </c>
      <c r="K212" s="25"/>
      <c r="L212" s="25"/>
      <c r="M212" s="19">
        <f>Таблица1[[#This Row],[Поддон
Шт]]*Таблица1[[#This Row],[Цена
Поддон]]</f>
        <v>0</v>
      </c>
      <c r="N212" s="19">
        <f>Таблица1[[#This Row],[Сумма 
Приход]]+Таблица1[[#This Row],[Сумма Поддон]]</f>
        <v>0</v>
      </c>
      <c r="O212" s="20"/>
      <c r="P212" s="19">
        <f>Таблица1[[#This Row],[Цена
 Продажа]]-Таблица1[[#This Row],[Цена 
Приход]]</f>
        <v>0</v>
      </c>
      <c r="Q212" s="19"/>
      <c r="R212" s="19">
        <f>Таблица1[[#This Row],[Блок
 Куб]]*Таблица1[[#This Row],[Цена
 Продажа]]</f>
        <v>0</v>
      </c>
      <c r="S212" s="20"/>
      <c r="T212" s="19">
        <f>Таблица1[[#This Row],[Сумма 
Продажа]]-Таблица1[[#This Row],[Сумма 
Приход]]</f>
        <v>0</v>
      </c>
      <c r="U212" s="150"/>
    </row>
    <row r="213" spans="1:21" ht="14.25" x14ac:dyDescent="0.2">
      <c r="A213" s="50">
        <f t="shared" si="3"/>
        <v>210</v>
      </c>
      <c r="B213" s="17"/>
      <c r="C213" s="17"/>
      <c r="D213" s="17"/>
      <c r="E213" s="51"/>
      <c r="F213" s="50"/>
      <c r="G213" s="23"/>
      <c r="H213" s="24"/>
      <c r="I213" s="23"/>
      <c r="J213" s="19">
        <f>Таблица1[[#This Row],[Блок
 Куб]]*Таблица1[[#This Row],[Цена 
Приход]]</f>
        <v>0</v>
      </c>
      <c r="K213" s="25"/>
      <c r="L213" s="25"/>
      <c r="M213" s="19">
        <f>Таблица1[[#This Row],[Поддон
Шт]]*Таблица1[[#This Row],[Цена
Поддон]]</f>
        <v>0</v>
      </c>
      <c r="N213" s="19">
        <f>Таблица1[[#This Row],[Сумма 
Приход]]+Таблица1[[#This Row],[Сумма Поддон]]</f>
        <v>0</v>
      </c>
      <c r="O213" s="20"/>
      <c r="P213" s="19">
        <f>Таблица1[[#This Row],[Цена
 Продажа]]-Таблица1[[#This Row],[Цена 
Приход]]</f>
        <v>0</v>
      </c>
      <c r="Q213" s="19"/>
      <c r="R213" s="19">
        <f>Таблица1[[#This Row],[Блок
 Куб]]*Таблица1[[#This Row],[Цена
 Продажа]]</f>
        <v>0</v>
      </c>
      <c r="S213" s="20"/>
      <c r="T213" s="19">
        <f>Таблица1[[#This Row],[Сумма 
Продажа]]-Таблица1[[#This Row],[Сумма 
Приход]]</f>
        <v>0</v>
      </c>
      <c r="U213" s="150"/>
    </row>
    <row r="214" spans="1:21" ht="14.25" x14ac:dyDescent="0.2">
      <c r="A214" s="50">
        <f t="shared" si="3"/>
        <v>211</v>
      </c>
      <c r="B214" s="17"/>
      <c r="C214" s="17"/>
      <c r="D214" s="17"/>
      <c r="E214" s="51"/>
      <c r="F214" s="50"/>
      <c r="G214" s="23"/>
      <c r="H214" s="24"/>
      <c r="I214" s="23"/>
      <c r="J214" s="19">
        <f>Таблица1[[#This Row],[Блок
 Куб]]*Таблица1[[#This Row],[Цена 
Приход]]</f>
        <v>0</v>
      </c>
      <c r="K214" s="25"/>
      <c r="L214" s="25"/>
      <c r="M214" s="19">
        <f>Таблица1[[#This Row],[Поддон
Шт]]*Таблица1[[#This Row],[Цена
Поддон]]</f>
        <v>0</v>
      </c>
      <c r="N214" s="19">
        <f>Таблица1[[#This Row],[Сумма 
Приход]]+Таблица1[[#This Row],[Сумма Поддон]]</f>
        <v>0</v>
      </c>
      <c r="O214" s="20"/>
      <c r="P214" s="19">
        <f>Таблица1[[#This Row],[Цена
 Продажа]]-Таблица1[[#This Row],[Цена 
Приход]]</f>
        <v>0</v>
      </c>
      <c r="Q214" s="19"/>
      <c r="R214" s="19">
        <f>Таблица1[[#This Row],[Блок
 Куб]]*Таблица1[[#This Row],[Цена
 Продажа]]</f>
        <v>0</v>
      </c>
      <c r="S214" s="20"/>
      <c r="T214" s="19">
        <f>Таблица1[[#This Row],[Сумма 
Продажа]]-Таблица1[[#This Row],[Сумма 
Приход]]</f>
        <v>0</v>
      </c>
      <c r="U214" s="150"/>
    </row>
    <row r="215" spans="1:21" ht="14.25" x14ac:dyDescent="0.2">
      <c r="A215" s="50">
        <f t="shared" si="3"/>
        <v>212</v>
      </c>
      <c r="B215" s="17"/>
      <c r="C215" s="17"/>
      <c r="D215" s="17"/>
      <c r="E215" s="51"/>
      <c r="F215" s="50"/>
      <c r="G215" s="23"/>
      <c r="H215" s="24"/>
      <c r="I215" s="23"/>
      <c r="J215" s="19">
        <f>Таблица1[[#This Row],[Блок
 Куб]]*Таблица1[[#This Row],[Цена 
Приход]]</f>
        <v>0</v>
      </c>
      <c r="K215" s="25"/>
      <c r="L215" s="25"/>
      <c r="M215" s="19">
        <f>Таблица1[[#This Row],[Поддон
Шт]]*Таблица1[[#This Row],[Цена
Поддон]]</f>
        <v>0</v>
      </c>
      <c r="N215" s="19">
        <f>Таблица1[[#This Row],[Сумма 
Приход]]+Таблица1[[#This Row],[Сумма Поддон]]</f>
        <v>0</v>
      </c>
      <c r="O215" s="20"/>
      <c r="P215" s="19">
        <f>Таблица1[[#This Row],[Цена
 Продажа]]-Таблица1[[#This Row],[Цена 
Приход]]</f>
        <v>0</v>
      </c>
      <c r="Q215" s="19"/>
      <c r="R215" s="19">
        <f>Таблица1[[#This Row],[Блок
 Куб]]*Таблица1[[#This Row],[Цена
 Продажа]]</f>
        <v>0</v>
      </c>
      <c r="S215" s="20"/>
      <c r="T215" s="19">
        <f>Таблица1[[#This Row],[Сумма 
Продажа]]-Таблица1[[#This Row],[Сумма 
Приход]]</f>
        <v>0</v>
      </c>
      <c r="U215" s="150"/>
    </row>
    <row r="216" spans="1:21" ht="14.25" x14ac:dyDescent="0.2">
      <c r="A216" s="50">
        <f t="shared" si="3"/>
        <v>213</v>
      </c>
      <c r="B216" s="17"/>
      <c r="C216" s="17"/>
      <c r="D216" s="17"/>
      <c r="E216" s="51"/>
      <c r="F216" s="50"/>
      <c r="G216" s="23"/>
      <c r="H216" s="24"/>
      <c r="I216" s="23"/>
      <c r="J216" s="19">
        <f>Таблица1[[#This Row],[Блок
 Куб]]*Таблица1[[#This Row],[Цена 
Приход]]</f>
        <v>0</v>
      </c>
      <c r="K216" s="25"/>
      <c r="L216" s="25"/>
      <c r="M216" s="19">
        <f>Таблица1[[#This Row],[Поддон
Шт]]*Таблица1[[#This Row],[Цена
Поддон]]</f>
        <v>0</v>
      </c>
      <c r="N216" s="19">
        <f>Таблица1[[#This Row],[Сумма 
Приход]]+Таблица1[[#This Row],[Сумма Поддон]]</f>
        <v>0</v>
      </c>
      <c r="O216" s="20"/>
      <c r="P216" s="19">
        <f>Таблица1[[#This Row],[Цена
 Продажа]]-Таблица1[[#This Row],[Цена 
Приход]]</f>
        <v>0</v>
      </c>
      <c r="Q216" s="19"/>
      <c r="R216" s="19">
        <f>Таблица1[[#This Row],[Блок
 Куб]]*Таблица1[[#This Row],[Цена
 Продажа]]</f>
        <v>0</v>
      </c>
      <c r="S216" s="20"/>
      <c r="T216" s="19">
        <f>Таблица1[[#This Row],[Сумма 
Продажа]]-Таблица1[[#This Row],[Сумма 
Приход]]</f>
        <v>0</v>
      </c>
      <c r="U216" s="150"/>
    </row>
    <row r="217" spans="1:21" ht="14.25" x14ac:dyDescent="0.2">
      <c r="A217" s="50">
        <f t="shared" si="3"/>
        <v>214</v>
      </c>
      <c r="B217" s="17"/>
      <c r="C217" s="17"/>
      <c r="D217" s="17"/>
      <c r="E217" s="51"/>
      <c r="F217" s="50"/>
      <c r="G217" s="23"/>
      <c r="H217" s="24"/>
      <c r="I217" s="23"/>
      <c r="J217" s="19">
        <f>Таблица1[[#This Row],[Блок
 Куб]]*Таблица1[[#This Row],[Цена 
Приход]]</f>
        <v>0</v>
      </c>
      <c r="K217" s="25"/>
      <c r="L217" s="25"/>
      <c r="M217" s="19">
        <f>Таблица1[[#This Row],[Поддон
Шт]]*Таблица1[[#This Row],[Цена
Поддон]]</f>
        <v>0</v>
      </c>
      <c r="N217" s="19">
        <f>Таблица1[[#This Row],[Сумма 
Приход]]+Таблица1[[#This Row],[Сумма Поддон]]</f>
        <v>0</v>
      </c>
      <c r="O217" s="20"/>
      <c r="P217" s="19">
        <f>Таблица1[[#This Row],[Цена
 Продажа]]-Таблица1[[#This Row],[Цена 
Приход]]</f>
        <v>0</v>
      </c>
      <c r="Q217" s="19"/>
      <c r="R217" s="19">
        <f>Таблица1[[#This Row],[Блок
 Куб]]*Таблица1[[#This Row],[Цена
 Продажа]]</f>
        <v>0</v>
      </c>
      <c r="S217" s="20"/>
      <c r="T217" s="19">
        <f>Таблица1[[#This Row],[Сумма 
Продажа]]-Таблица1[[#This Row],[Сумма 
Приход]]</f>
        <v>0</v>
      </c>
      <c r="U217" s="150"/>
    </row>
    <row r="218" spans="1:21" ht="14.25" x14ac:dyDescent="0.2">
      <c r="A218" s="50">
        <f t="shared" si="3"/>
        <v>215</v>
      </c>
      <c r="B218" s="17"/>
      <c r="C218" s="17"/>
      <c r="D218" s="17"/>
      <c r="E218" s="51"/>
      <c r="F218" s="50"/>
      <c r="G218" s="23"/>
      <c r="H218" s="24"/>
      <c r="I218" s="23"/>
      <c r="J218" s="19">
        <f>Таблица1[[#This Row],[Блок
 Куб]]*Таблица1[[#This Row],[Цена 
Приход]]</f>
        <v>0</v>
      </c>
      <c r="K218" s="25"/>
      <c r="L218" s="25"/>
      <c r="M218" s="19">
        <f>Таблица1[[#This Row],[Поддон
Шт]]*Таблица1[[#This Row],[Цена
Поддон]]</f>
        <v>0</v>
      </c>
      <c r="N218" s="19">
        <f>Таблица1[[#This Row],[Сумма 
Приход]]+Таблица1[[#This Row],[Сумма Поддон]]</f>
        <v>0</v>
      </c>
      <c r="O218" s="20"/>
      <c r="P218" s="19">
        <f>Таблица1[[#This Row],[Цена
 Продажа]]-Таблица1[[#This Row],[Цена 
Приход]]</f>
        <v>0</v>
      </c>
      <c r="Q218" s="19"/>
      <c r="R218" s="19">
        <f>Таблица1[[#This Row],[Блок
 Куб]]*Таблица1[[#This Row],[Цена
 Продажа]]</f>
        <v>0</v>
      </c>
      <c r="S218" s="20"/>
      <c r="T218" s="19">
        <f>Таблица1[[#This Row],[Сумма 
Продажа]]-Таблица1[[#This Row],[Сумма 
Приход]]</f>
        <v>0</v>
      </c>
      <c r="U218" s="150"/>
    </row>
    <row r="219" spans="1:21" ht="14.25" x14ac:dyDescent="0.2">
      <c r="A219" s="50">
        <f t="shared" si="3"/>
        <v>216</v>
      </c>
      <c r="B219" s="17"/>
      <c r="C219" s="17"/>
      <c r="D219" s="17"/>
      <c r="E219" s="51"/>
      <c r="F219" s="50"/>
      <c r="G219" s="23"/>
      <c r="H219" s="24"/>
      <c r="I219" s="23"/>
      <c r="J219" s="19">
        <f>Таблица1[[#This Row],[Блок
 Куб]]*Таблица1[[#This Row],[Цена 
Приход]]</f>
        <v>0</v>
      </c>
      <c r="K219" s="25"/>
      <c r="L219" s="25"/>
      <c r="M219" s="19">
        <f>Таблица1[[#This Row],[Поддон
Шт]]*Таблица1[[#This Row],[Цена
Поддон]]</f>
        <v>0</v>
      </c>
      <c r="N219" s="19">
        <f>Таблица1[[#This Row],[Сумма 
Приход]]+Таблица1[[#This Row],[Сумма Поддон]]</f>
        <v>0</v>
      </c>
      <c r="O219" s="20"/>
      <c r="P219" s="19">
        <f>Таблица1[[#This Row],[Цена
 Продажа]]-Таблица1[[#This Row],[Цена 
Приход]]</f>
        <v>0</v>
      </c>
      <c r="Q219" s="19"/>
      <c r="R219" s="19">
        <f>Таблица1[[#This Row],[Блок
 Куб]]*Таблица1[[#This Row],[Цена
 Продажа]]</f>
        <v>0</v>
      </c>
      <c r="S219" s="20"/>
      <c r="T219" s="19">
        <f>Таблица1[[#This Row],[Сумма 
Продажа]]-Таблица1[[#This Row],[Сумма 
Приход]]</f>
        <v>0</v>
      </c>
      <c r="U219" s="150"/>
    </row>
    <row r="220" spans="1:21" ht="14.25" x14ac:dyDescent="0.2">
      <c r="A220" s="50">
        <f t="shared" si="3"/>
        <v>217</v>
      </c>
      <c r="B220" s="17"/>
      <c r="C220" s="17"/>
      <c r="D220" s="17"/>
      <c r="E220" s="51"/>
      <c r="F220" s="50"/>
      <c r="G220" s="23"/>
      <c r="H220" s="24"/>
      <c r="I220" s="23"/>
      <c r="J220" s="19">
        <f>Таблица1[[#This Row],[Блок
 Куб]]*Таблица1[[#This Row],[Цена 
Приход]]</f>
        <v>0</v>
      </c>
      <c r="K220" s="25"/>
      <c r="L220" s="25"/>
      <c r="M220" s="19">
        <f>Таблица1[[#This Row],[Поддон
Шт]]*Таблица1[[#This Row],[Цена
Поддон]]</f>
        <v>0</v>
      </c>
      <c r="N220" s="19">
        <f>Таблица1[[#This Row],[Сумма 
Приход]]+Таблица1[[#This Row],[Сумма Поддон]]</f>
        <v>0</v>
      </c>
      <c r="O220" s="20"/>
      <c r="P220" s="19">
        <f>Таблица1[[#This Row],[Цена
 Продажа]]-Таблица1[[#This Row],[Цена 
Приход]]</f>
        <v>0</v>
      </c>
      <c r="Q220" s="19"/>
      <c r="R220" s="19">
        <f>Таблица1[[#This Row],[Блок
 Куб]]*Таблица1[[#This Row],[Цена
 Продажа]]</f>
        <v>0</v>
      </c>
      <c r="S220" s="20"/>
      <c r="T220" s="19">
        <f>Таблица1[[#This Row],[Сумма 
Продажа]]-Таблица1[[#This Row],[Сумма 
Приход]]</f>
        <v>0</v>
      </c>
      <c r="U220" s="150"/>
    </row>
    <row r="221" spans="1:21" ht="14.25" x14ac:dyDescent="0.2">
      <c r="A221" s="50">
        <f t="shared" si="3"/>
        <v>218</v>
      </c>
      <c r="B221" s="17"/>
      <c r="C221" s="17"/>
      <c r="D221" s="17"/>
      <c r="E221" s="51"/>
      <c r="F221" s="50"/>
      <c r="G221" s="23"/>
      <c r="H221" s="24"/>
      <c r="I221" s="23"/>
      <c r="J221" s="19">
        <f>Таблица1[[#This Row],[Блок
 Куб]]*Таблица1[[#This Row],[Цена 
Приход]]</f>
        <v>0</v>
      </c>
      <c r="K221" s="25"/>
      <c r="L221" s="25"/>
      <c r="M221" s="19">
        <f>Таблица1[[#This Row],[Поддон
Шт]]*Таблица1[[#This Row],[Цена
Поддон]]</f>
        <v>0</v>
      </c>
      <c r="N221" s="19">
        <f>Таблица1[[#This Row],[Сумма 
Приход]]+Таблица1[[#This Row],[Сумма Поддон]]</f>
        <v>0</v>
      </c>
      <c r="O221" s="20"/>
      <c r="P221" s="19">
        <f>Таблица1[[#This Row],[Цена
 Продажа]]-Таблица1[[#This Row],[Цена 
Приход]]</f>
        <v>0</v>
      </c>
      <c r="Q221" s="19"/>
      <c r="R221" s="19">
        <f>Таблица1[[#This Row],[Блок
 Куб]]*Таблица1[[#This Row],[Цена
 Продажа]]</f>
        <v>0</v>
      </c>
      <c r="S221" s="20"/>
      <c r="T221" s="19">
        <f>Таблица1[[#This Row],[Сумма 
Продажа]]-Таблица1[[#This Row],[Сумма 
Приход]]</f>
        <v>0</v>
      </c>
      <c r="U221" s="150"/>
    </row>
    <row r="222" spans="1:21" ht="14.25" x14ac:dyDescent="0.2">
      <c r="A222" s="50">
        <f t="shared" si="3"/>
        <v>219</v>
      </c>
      <c r="B222" s="17"/>
      <c r="C222" s="17"/>
      <c r="D222" s="17"/>
      <c r="E222" s="51"/>
      <c r="F222" s="50"/>
      <c r="G222" s="23"/>
      <c r="H222" s="24"/>
      <c r="I222" s="23"/>
      <c r="J222" s="19">
        <f>Таблица1[[#This Row],[Блок
 Куб]]*Таблица1[[#This Row],[Цена 
Приход]]</f>
        <v>0</v>
      </c>
      <c r="K222" s="25"/>
      <c r="L222" s="25"/>
      <c r="M222" s="19">
        <f>Таблица1[[#This Row],[Поддон
Шт]]*Таблица1[[#This Row],[Цена
Поддон]]</f>
        <v>0</v>
      </c>
      <c r="N222" s="19">
        <f>Таблица1[[#This Row],[Сумма 
Приход]]+Таблица1[[#This Row],[Сумма Поддон]]</f>
        <v>0</v>
      </c>
      <c r="O222" s="20"/>
      <c r="P222" s="19">
        <f>Таблица1[[#This Row],[Цена
 Продажа]]-Таблица1[[#This Row],[Цена 
Приход]]</f>
        <v>0</v>
      </c>
      <c r="Q222" s="19"/>
      <c r="R222" s="19">
        <f>Таблица1[[#This Row],[Блок
 Куб]]*Таблица1[[#This Row],[Цена
 Продажа]]</f>
        <v>0</v>
      </c>
      <c r="S222" s="20"/>
      <c r="T222" s="19">
        <f>Таблица1[[#This Row],[Сумма 
Продажа]]-Таблица1[[#This Row],[Сумма 
Приход]]</f>
        <v>0</v>
      </c>
      <c r="U222" s="150"/>
    </row>
    <row r="223" spans="1:21" ht="14.25" x14ac:dyDescent="0.2">
      <c r="A223" s="50">
        <f t="shared" si="3"/>
        <v>220</v>
      </c>
      <c r="B223" s="17"/>
      <c r="C223" s="17"/>
      <c r="D223" s="17"/>
      <c r="E223" s="51"/>
      <c r="F223" s="50"/>
      <c r="G223" s="23"/>
      <c r="H223" s="24"/>
      <c r="I223" s="23"/>
      <c r="J223" s="19">
        <f>Таблица1[[#This Row],[Блок
 Куб]]*Таблица1[[#This Row],[Цена 
Приход]]</f>
        <v>0</v>
      </c>
      <c r="K223" s="25"/>
      <c r="L223" s="25"/>
      <c r="M223" s="19">
        <f>Таблица1[[#This Row],[Поддон
Шт]]*Таблица1[[#This Row],[Цена
Поддон]]</f>
        <v>0</v>
      </c>
      <c r="N223" s="19">
        <f>Таблица1[[#This Row],[Сумма 
Приход]]+Таблица1[[#This Row],[Сумма Поддон]]</f>
        <v>0</v>
      </c>
      <c r="O223" s="20"/>
      <c r="P223" s="19">
        <f>Таблица1[[#This Row],[Цена
 Продажа]]-Таблица1[[#This Row],[Цена 
Приход]]</f>
        <v>0</v>
      </c>
      <c r="Q223" s="19"/>
      <c r="R223" s="19">
        <f>Таблица1[[#This Row],[Блок
 Куб]]*Таблица1[[#This Row],[Цена
 Продажа]]</f>
        <v>0</v>
      </c>
      <c r="S223" s="20"/>
      <c r="T223" s="19">
        <f>Таблица1[[#This Row],[Сумма 
Продажа]]-Таблица1[[#This Row],[Сумма 
Приход]]</f>
        <v>0</v>
      </c>
      <c r="U223" s="150"/>
    </row>
    <row r="224" spans="1:21" ht="14.25" x14ac:dyDescent="0.2">
      <c r="A224" s="50">
        <f t="shared" si="3"/>
        <v>221</v>
      </c>
      <c r="B224" s="17"/>
      <c r="C224" s="17"/>
      <c r="D224" s="17"/>
      <c r="E224" s="51"/>
      <c r="F224" s="50"/>
      <c r="G224" s="23"/>
      <c r="H224" s="24"/>
      <c r="I224" s="23"/>
      <c r="J224" s="19">
        <f>Таблица1[[#This Row],[Блок
 Куб]]*Таблица1[[#This Row],[Цена 
Приход]]</f>
        <v>0</v>
      </c>
      <c r="K224" s="25"/>
      <c r="L224" s="25"/>
      <c r="M224" s="19">
        <f>Таблица1[[#This Row],[Поддон
Шт]]*Таблица1[[#This Row],[Цена
Поддон]]</f>
        <v>0</v>
      </c>
      <c r="N224" s="19">
        <f>Таблица1[[#This Row],[Сумма 
Приход]]+Таблица1[[#This Row],[Сумма Поддон]]</f>
        <v>0</v>
      </c>
      <c r="O224" s="20"/>
      <c r="P224" s="19">
        <f>Таблица1[[#This Row],[Цена
 Продажа]]-Таблица1[[#This Row],[Цена 
Приход]]</f>
        <v>0</v>
      </c>
      <c r="Q224" s="19"/>
      <c r="R224" s="19">
        <f>Таблица1[[#This Row],[Блок
 Куб]]*Таблица1[[#This Row],[Цена
 Продажа]]</f>
        <v>0</v>
      </c>
      <c r="S224" s="20"/>
      <c r="T224" s="19">
        <f>Таблица1[[#This Row],[Сумма 
Продажа]]-Таблица1[[#This Row],[Сумма 
Приход]]</f>
        <v>0</v>
      </c>
      <c r="U224" s="150"/>
    </row>
    <row r="225" spans="1:21" ht="14.25" x14ac:dyDescent="0.2">
      <c r="A225" s="50">
        <f t="shared" si="3"/>
        <v>222</v>
      </c>
      <c r="B225" s="17"/>
      <c r="C225" s="17"/>
      <c r="D225" s="17"/>
      <c r="E225" s="51"/>
      <c r="F225" s="50"/>
      <c r="G225" s="23"/>
      <c r="H225" s="24"/>
      <c r="I225" s="23"/>
      <c r="J225" s="19">
        <f>Таблица1[[#This Row],[Блок
 Куб]]*Таблица1[[#This Row],[Цена 
Приход]]</f>
        <v>0</v>
      </c>
      <c r="K225" s="25"/>
      <c r="L225" s="25"/>
      <c r="M225" s="19">
        <f>Таблица1[[#This Row],[Поддон
Шт]]*Таблица1[[#This Row],[Цена
Поддон]]</f>
        <v>0</v>
      </c>
      <c r="N225" s="19">
        <f>Таблица1[[#This Row],[Сумма 
Приход]]+Таблица1[[#This Row],[Сумма Поддон]]</f>
        <v>0</v>
      </c>
      <c r="O225" s="20"/>
      <c r="P225" s="19">
        <f>Таблица1[[#This Row],[Цена
 Продажа]]-Таблица1[[#This Row],[Цена 
Приход]]</f>
        <v>0</v>
      </c>
      <c r="Q225" s="19"/>
      <c r="R225" s="19">
        <f>Таблица1[[#This Row],[Блок
 Куб]]*Таблица1[[#This Row],[Цена
 Продажа]]</f>
        <v>0</v>
      </c>
      <c r="S225" s="20"/>
      <c r="T225" s="19">
        <f>Таблица1[[#This Row],[Сумма 
Продажа]]-Таблица1[[#This Row],[Сумма 
Приход]]</f>
        <v>0</v>
      </c>
      <c r="U225" s="150"/>
    </row>
    <row r="226" spans="1:21" ht="14.25" x14ac:dyDescent="0.2">
      <c r="A226" s="50">
        <f t="shared" si="3"/>
        <v>223</v>
      </c>
      <c r="B226" s="17"/>
      <c r="C226" s="17"/>
      <c r="D226" s="17"/>
      <c r="E226" s="51"/>
      <c r="F226" s="50"/>
      <c r="G226" s="23"/>
      <c r="H226" s="24"/>
      <c r="I226" s="23"/>
      <c r="J226" s="19">
        <f>Таблица1[[#This Row],[Блок
 Куб]]*Таблица1[[#This Row],[Цена 
Приход]]</f>
        <v>0</v>
      </c>
      <c r="K226" s="25"/>
      <c r="L226" s="25"/>
      <c r="M226" s="19">
        <f>Таблица1[[#This Row],[Поддон
Шт]]*Таблица1[[#This Row],[Цена
Поддон]]</f>
        <v>0</v>
      </c>
      <c r="N226" s="19">
        <f>Таблица1[[#This Row],[Сумма 
Приход]]+Таблица1[[#This Row],[Сумма Поддон]]</f>
        <v>0</v>
      </c>
      <c r="O226" s="20"/>
      <c r="P226" s="19">
        <f>Таблица1[[#This Row],[Цена
 Продажа]]-Таблица1[[#This Row],[Цена 
Приход]]</f>
        <v>0</v>
      </c>
      <c r="Q226" s="19"/>
      <c r="R226" s="19">
        <f>Таблица1[[#This Row],[Блок
 Куб]]*Таблица1[[#This Row],[Цена
 Продажа]]</f>
        <v>0</v>
      </c>
      <c r="S226" s="20"/>
      <c r="T226" s="19">
        <f>Таблица1[[#This Row],[Сумма 
Продажа]]-Таблица1[[#This Row],[Сумма 
Приход]]</f>
        <v>0</v>
      </c>
      <c r="U226" s="150"/>
    </row>
    <row r="227" spans="1:21" ht="14.25" x14ac:dyDescent="0.2">
      <c r="A227" s="50">
        <f t="shared" si="3"/>
        <v>224</v>
      </c>
      <c r="B227" s="17"/>
      <c r="C227" s="17"/>
      <c r="D227" s="17"/>
      <c r="E227" s="51"/>
      <c r="F227" s="50"/>
      <c r="G227" s="23"/>
      <c r="H227" s="24"/>
      <c r="I227" s="23"/>
      <c r="J227" s="19">
        <f>Таблица1[[#This Row],[Блок
 Куб]]*Таблица1[[#This Row],[Цена 
Приход]]</f>
        <v>0</v>
      </c>
      <c r="K227" s="25"/>
      <c r="L227" s="25"/>
      <c r="M227" s="19">
        <f>Таблица1[[#This Row],[Поддон
Шт]]*Таблица1[[#This Row],[Цена
Поддон]]</f>
        <v>0</v>
      </c>
      <c r="N227" s="19">
        <f>Таблица1[[#This Row],[Сумма 
Приход]]+Таблица1[[#This Row],[Сумма Поддон]]</f>
        <v>0</v>
      </c>
      <c r="O227" s="20"/>
      <c r="P227" s="19">
        <f>Таблица1[[#This Row],[Цена
 Продажа]]-Таблица1[[#This Row],[Цена 
Приход]]</f>
        <v>0</v>
      </c>
      <c r="Q227" s="19"/>
      <c r="R227" s="19">
        <f>Таблица1[[#This Row],[Блок
 Куб]]*Таблица1[[#This Row],[Цена
 Продажа]]</f>
        <v>0</v>
      </c>
      <c r="S227" s="20"/>
      <c r="T227" s="19">
        <f>Таблица1[[#This Row],[Сумма 
Продажа]]-Таблица1[[#This Row],[Сумма 
Приход]]</f>
        <v>0</v>
      </c>
      <c r="U227" s="150"/>
    </row>
    <row r="228" spans="1:21" ht="14.25" x14ac:dyDescent="0.2">
      <c r="A228" s="50">
        <f t="shared" si="3"/>
        <v>225</v>
      </c>
      <c r="B228" s="17"/>
      <c r="C228" s="17"/>
      <c r="D228" s="17"/>
      <c r="E228" s="51"/>
      <c r="F228" s="50"/>
      <c r="G228" s="23"/>
      <c r="H228" s="24"/>
      <c r="I228" s="23"/>
      <c r="J228" s="19">
        <f>Таблица1[[#This Row],[Блок
 Куб]]*Таблица1[[#This Row],[Цена 
Приход]]</f>
        <v>0</v>
      </c>
      <c r="K228" s="25"/>
      <c r="L228" s="25"/>
      <c r="M228" s="19">
        <f>Таблица1[[#This Row],[Поддон
Шт]]*Таблица1[[#This Row],[Цена
Поддон]]</f>
        <v>0</v>
      </c>
      <c r="N228" s="19">
        <f>Таблица1[[#This Row],[Сумма 
Приход]]+Таблица1[[#This Row],[Сумма Поддон]]</f>
        <v>0</v>
      </c>
      <c r="O228" s="20"/>
      <c r="P228" s="19">
        <f>Таблица1[[#This Row],[Цена
 Продажа]]-Таблица1[[#This Row],[Цена 
Приход]]</f>
        <v>0</v>
      </c>
      <c r="Q228" s="19"/>
      <c r="R228" s="19">
        <f>Таблица1[[#This Row],[Блок
 Куб]]*Таблица1[[#This Row],[Цена
 Продажа]]</f>
        <v>0</v>
      </c>
      <c r="S228" s="20"/>
      <c r="T228" s="19">
        <f>Таблица1[[#This Row],[Сумма 
Продажа]]-Таблица1[[#This Row],[Сумма 
Приход]]</f>
        <v>0</v>
      </c>
      <c r="U228" s="150"/>
    </row>
    <row r="229" spans="1:21" ht="14.25" x14ac:dyDescent="0.2">
      <c r="A229" s="50">
        <f t="shared" si="3"/>
        <v>226</v>
      </c>
      <c r="B229" s="17"/>
      <c r="C229" s="17"/>
      <c r="D229" s="17"/>
      <c r="E229" s="51"/>
      <c r="F229" s="50"/>
      <c r="G229" s="23"/>
      <c r="H229" s="24"/>
      <c r="I229" s="23"/>
      <c r="J229" s="19">
        <f>Таблица1[[#This Row],[Блок
 Куб]]*Таблица1[[#This Row],[Цена 
Приход]]</f>
        <v>0</v>
      </c>
      <c r="K229" s="25"/>
      <c r="L229" s="25"/>
      <c r="M229" s="19">
        <f>Таблица1[[#This Row],[Поддон
Шт]]*Таблица1[[#This Row],[Цена
Поддон]]</f>
        <v>0</v>
      </c>
      <c r="N229" s="19">
        <f>Таблица1[[#This Row],[Сумма 
Приход]]+Таблица1[[#This Row],[Сумма Поддон]]</f>
        <v>0</v>
      </c>
      <c r="O229" s="20"/>
      <c r="P229" s="19">
        <f>Таблица1[[#This Row],[Цена
 Продажа]]-Таблица1[[#This Row],[Цена 
Приход]]</f>
        <v>0</v>
      </c>
      <c r="Q229" s="19"/>
      <c r="R229" s="19">
        <f>Таблица1[[#This Row],[Блок
 Куб]]*Таблица1[[#This Row],[Цена
 Продажа]]</f>
        <v>0</v>
      </c>
      <c r="S229" s="20"/>
      <c r="T229" s="19">
        <f>Таблица1[[#This Row],[Сумма 
Продажа]]-Таблица1[[#This Row],[Сумма 
Приход]]</f>
        <v>0</v>
      </c>
      <c r="U229" s="150"/>
    </row>
    <row r="230" spans="1:21" ht="14.25" x14ac:dyDescent="0.2">
      <c r="A230" s="50">
        <f t="shared" si="3"/>
        <v>227</v>
      </c>
      <c r="B230" s="17"/>
      <c r="C230" s="17"/>
      <c r="D230" s="17"/>
      <c r="E230" s="51"/>
      <c r="F230" s="50"/>
      <c r="G230" s="23"/>
      <c r="H230" s="24"/>
      <c r="I230" s="23"/>
      <c r="J230" s="19">
        <f>Таблица1[[#This Row],[Блок
 Куб]]*Таблица1[[#This Row],[Цена 
Приход]]</f>
        <v>0</v>
      </c>
      <c r="K230" s="25"/>
      <c r="L230" s="25"/>
      <c r="M230" s="19">
        <f>Таблица1[[#This Row],[Поддон
Шт]]*Таблица1[[#This Row],[Цена
Поддон]]</f>
        <v>0</v>
      </c>
      <c r="N230" s="19">
        <f>Таблица1[[#This Row],[Сумма 
Приход]]+Таблица1[[#This Row],[Сумма Поддон]]</f>
        <v>0</v>
      </c>
      <c r="O230" s="20"/>
      <c r="P230" s="19">
        <f>Таблица1[[#This Row],[Цена
 Продажа]]-Таблица1[[#This Row],[Цена 
Приход]]</f>
        <v>0</v>
      </c>
      <c r="Q230" s="19"/>
      <c r="R230" s="19">
        <f>Таблица1[[#This Row],[Блок
 Куб]]*Таблица1[[#This Row],[Цена
 Продажа]]</f>
        <v>0</v>
      </c>
      <c r="S230" s="20"/>
      <c r="T230" s="19">
        <f>Таблица1[[#This Row],[Сумма 
Продажа]]-Таблица1[[#This Row],[Сумма 
Приход]]</f>
        <v>0</v>
      </c>
      <c r="U230" s="150"/>
    </row>
    <row r="231" spans="1:21" ht="14.25" x14ac:dyDescent="0.2">
      <c r="A231" s="50">
        <f t="shared" si="3"/>
        <v>228</v>
      </c>
      <c r="B231" s="17"/>
      <c r="C231" s="17"/>
      <c r="D231" s="17"/>
      <c r="E231" s="51"/>
      <c r="F231" s="50"/>
      <c r="G231" s="23"/>
      <c r="H231" s="24"/>
      <c r="I231" s="23"/>
      <c r="J231" s="19">
        <f>Таблица1[[#This Row],[Блок
 Куб]]*Таблица1[[#This Row],[Цена 
Приход]]</f>
        <v>0</v>
      </c>
      <c r="K231" s="25"/>
      <c r="L231" s="25"/>
      <c r="M231" s="19">
        <f>Таблица1[[#This Row],[Поддон
Шт]]*Таблица1[[#This Row],[Цена
Поддон]]</f>
        <v>0</v>
      </c>
      <c r="N231" s="19">
        <f>Таблица1[[#This Row],[Сумма 
Приход]]+Таблица1[[#This Row],[Сумма Поддон]]</f>
        <v>0</v>
      </c>
      <c r="O231" s="20"/>
      <c r="P231" s="19">
        <f>Таблица1[[#This Row],[Цена
 Продажа]]-Таблица1[[#This Row],[Цена 
Приход]]</f>
        <v>0</v>
      </c>
      <c r="Q231" s="19"/>
      <c r="R231" s="19">
        <f>Таблица1[[#This Row],[Блок
 Куб]]*Таблица1[[#This Row],[Цена
 Продажа]]</f>
        <v>0</v>
      </c>
      <c r="S231" s="20"/>
      <c r="T231" s="19">
        <f>Таблица1[[#This Row],[Сумма 
Продажа]]-Таблица1[[#This Row],[Сумма 
Приход]]</f>
        <v>0</v>
      </c>
      <c r="U231" s="150"/>
    </row>
    <row r="232" spans="1:21" ht="14.25" x14ac:dyDescent="0.2">
      <c r="A232" s="50">
        <f t="shared" si="3"/>
        <v>229</v>
      </c>
      <c r="B232" s="17"/>
      <c r="C232" s="17"/>
      <c r="D232" s="17"/>
      <c r="E232" s="51"/>
      <c r="F232" s="50"/>
      <c r="G232" s="23"/>
      <c r="H232" s="24"/>
      <c r="I232" s="23"/>
      <c r="J232" s="19">
        <f>Таблица1[[#This Row],[Блок
 Куб]]*Таблица1[[#This Row],[Цена 
Приход]]</f>
        <v>0</v>
      </c>
      <c r="K232" s="25"/>
      <c r="L232" s="25"/>
      <c r="M232" s="19">
        <f>Таблица1[[#This Row],[Поддон
Шт]]*Таблица1[[#This Row],[Цена
Поддон]]</f>
        <v>0</v>
      </c>
      <c r="N232" s="19">
        <f>Таблица1[[#This Row],[Сумма 
Приход]]+Таблица1[[#This Row],[Сумма Поддон]]</f>
        <v>0</v>
      </c>
      <c r="O232" s="20"/>
      <c r="P232" s="19">
        <f>Таблица1[[#This Row],[Цена
 Продажа]]-Таблица1[[#This Row],[Цена 
Приход]]</f>
        <v>0</v>
      </c>
      <c r="Q232" s="19"/>
      <c r="R232" s="19">
        <f>Таблица1[[#This Row],[Блок
 Куб]]*Таблица1[[#This Row],[Цена
 Продажа]]</f>
        <v>0</v>
      </c>
      <c r="S232" s="20"/>
      <c r="T232" s="19">
        <f>Таблица1[[#This Row],[Сумма 
Продажа]]-Таблица1[[#This Row],[Сумма 
Приход]]</f>
        <v>0</v>
      </c>
      <c r="U232" s="150"/>
    </row>
    <row r="233" spans="1:21" ht="14.25" x14ac:dyDescent="0.2">
      <c r="A233" s="50">
        <f t="shared" si="3"/>
        <v>230</v>
      </c>
      <c r="B233" s="17"/>
      <c r="C233" s="17"/>
      <c r="D233" s="17"/>
      <c r="E233" s="51"/>
      <c r="F233" s="50"/>
      <c r="G233" s="23"/>
      <c r="H233" s="24"/>
      <c r="I233" s="23"/>
      <c r="J233" s="19">
        <f>Таблица1[[#This Row],[Блок
 Куб]]*Таблица1[[#This Row],[Цена 
Приход]]</f>
        <v>0</v>
      </c>
      <c r="K233" s="25"/>
      <c r="L233" s="25"/>
      <c r="M233" s="19">
        <f>Таблица1[[#This Row],[Поддон
Шт]]*Таблица1[[#This Row],[Цена
Поддон]]</f>
        <v>0</v>
      </c>
      <c r="N233" s="19">
        <f>Таблица1[[#This Row],[Сумма 
Приход]]+Таблица1[[#This Row],[Сумма Поддон]]</f>
        <v>0</v>
      </c>
      <c r="O233" s="20"/>
      <c r="P233" s="19">
        <f>Таблица1[[#This Row],[Цена
 Продажа]]-Таблица1[[#This Row],[Цена 
Приход]]</f>
        <v>0</v>
      </c>
      <c r="Q233" s="19"/>
      <c r="R233" s="19">
        <f>Таблица1[[#This Row],[Блок
 Куб]]*Таблица1[[#This Row],[Цена
 Продажа]]</f>
        <v>0</v>
      </c>
      <c r="S233" s="20"/>
      <c r="T233" s="19">
        <f>Таблица1[[#This Row],[Сумма 
Продажа]]-Таблица1[[#This Row],[Сумма 
Приход]]</f>
        <v>0</v>
      </c>
      <c r="U233" s="150"/>
    </row>
    <row r="234" spans="1:21" ht="14.25" x14ac:dyDescent="0.2">
      <c r="A234" s="50">
        <f t="shared" si="3"/>
        <v>231</v>
      </c>
      <c r="B234" s="17"/>
      <c r="C234" s="17"/>
      <c r="D234" s="17"/>
      <c r="E234" s="51"/>
      <c r="F234" s="50"/>
      <c r="G234" s="23"/>
      <c r="H234" s="24"/>
      <c r="I234" s="23"/>
      <c r="J234" s="19">
        <f>Таблица1[[#This Row],[Блок
 Куб]]*Таблица1[[#This Row],[Цена 
Приход]]</f>
        <v>0</v>
      </c>
      <c r="K234" s="25"/>
      <c r="L234" s="25"/>
      <c r="M234" s="19">
        <f>Таблица1[[#This Row],[Поддон
Шт]]*Таблица1[[#This Row],[Цена
Поддон]]</f>
        <v>0</v>
      </c>
      <c r="N234" s="19">
        <f>Таблица1[[#This Row],[Сумма 
Приход]]+Таблица1[[#This Row],[Сумма Поддон]]</f>
        <v>0</v>
      </c>
      <c r="O234" s="20"/>
      <c r="P234" s="19">
        <f>Таблица1[[#This Row],[Цена
 Продажа]]-Таблица1[[#This Row],[Цена 
Приход]]</f>
        <v>0</v>
      </c>
      <c r="Q234" s="19"/>
      <c r="R234" s="19">
        <f>Таблица1[[#This Row],[Блок
 Куб]]*Таблица1[[#This Row],[Цена
 Продажа]]</f>
        <v>0</v>
      </c>
      <c r="S234" s="20"/>
      <c r="T234" s="19">
        <f>Таблица1[[#This Row],[Сумма 
Продажа]]-Таблица1[[#This Row],[Сумма 
Приход]]</f>
        <v>0</v>
      </c>
      <c r="U234" s="150"/>
    </row>
    <row r="235" spans="1:21" ht="14.25" x14ac:dyDescent="0.2">
      <c r="A235" s="50">
        <f t="shared" si="3"/>
        <v>232</v>
      </c>
      <c r="B235" s="17"/>
      <c r="C235" s="17"/>
      <c r="D235" s="17"/>
      <c r="E235" s="51"/>
      <c r="F235" s="50"/>
      <c r="G235" s="23"/>
      <c r="H235" s="24"/>
      <c r="I235" s="23"/>
      <c r="J235" s="19">
        <f>Таблица1[[#This Row],[Блок
 Куб]]*Таблица1[[#This Row],[Цена 
Приход]]</f>
        <v>0</v>
      </c>
      <c r="K235" s="25"/>
      <c r="L235" s="25"/>
      <c r="M235" s="19">
        <f>Таблица1[[#This Row],[Поддон
Шт]]*Таблица1[[#This Row],[Цена
Поддон]]</f>
        <v>0</v>
      </c>
      <c r="N235" s="19">
        <f>Таблица1[[#This Row],[Сумма 
Приход]]+Таблица1[[#This Row],[Сумма Поддон]]</f>
        <v>0</v>
      </c>
      <c r="O235" s="20"/>
      <c r="P235" s="19">
        <f>Таблица1[[#This Row],[Цена
 Продажа]]-Таблица1[[#This Row],[Цена 
Приход]]</f>
        <v>0</v>
      </c>
      <c r="Q235" s="19"/>
      <c r="R235" s="19">
        <f>Таблица1[[#This Row],[Блок
 Куб]]*Таблица1[[#This Row],[Цена
 Продажа]]</f>
        <v>0</v>
      </c>
      <c r="S235" s="20"/>
      <c r="T235" s="19">
        <f>Таблица1[[#This Row],[Сумма 
Продажа]]-Таблица1[[#This Row],[Сумма 
Приход]]</f>
        <v>0</v>
      </c>
      <c r="U235" s="150"/>
    </row>
    <row r="236" spans="1:21" ht="14.25" x14ac:dyDescent="0.2">
      <c r="A236" s="50">
        <f t="shared" si="3"/>
        <v>233</v>
      </c>
      <c r="B236" s="17"/>
      <c r="C236" s="17"/>
      <c r="D236" s="17"/>
      <c r="E236" s="51"/>
      <c r="F236" s="50"/>
      <c r="G236" s="23"/>
      <c r="H236" s="24"/>
      <c r="I236" s="23"/>
      <c r="J236" s="19">
        <f>Таблица1[[#This Row],[Блок
 Куб]]*Таблица1[[#This Row],[Цена 
Приход]]</f>
        <v>0</v>
      </c>
      <c r="K236" s="25"/>
      <c r="L236" s="25"/>
      <c r="M236" s="19">
        <f>Таблица1[[#This Row],[Поддон
Шт]]*Таблица1[[#This Row],[Цена
Поддон]]</f>
        <v>0</v>
      </c>
      <c r="N236" s="19">
        <f>Таблица1[[#This Row],[Сумма 
Приход]]+Таблица1[[#This Row],[Сумма Поддон]]</f>
        <v>0</v>
      </c>
      <c r="O236" s="20"/>
      <c r="P236" s="19">
        <f>Таблица1[[#This Row],[Цена
 Продажа]]-Таблица1[[#This Row],[Цена 
Приход]]</f>
        <v>0</v>
      </c>
      <c r="Q236" s="19"/>
      <c r="R236" s="19">
        <f>Таблица1[[#This Row],[Блок
 Куб]]*Таблица1[[#This Row],[Цена
 Продажа]]</f>
        <v>0</v>
      </c>
      <c r="S236" s="20"/>
      <c r="T236" s="19">
        <f>Таблица1[[#This Row],[Сумма 
Продажа]]-Таблица1[[#This Row],[Сумма 
Приход]]</f>
        <v>0</v>
      </c>
      <c r="U236" s="150"/>
    </row>
    <row r="237" spans="1:21" ht="14.25" x14ac:dyDescent="0.2">
      <c r="A237" s="50">
        <f t="shared" si="3"/>
        <v>234</v>
      </c>
      <c r="B237" s="17"/>
      <c r="C237" s="17"/>
      <c r="D237" s="17"/>
      <c r="E237" s="51"/>
      <c r="F237" s="50"/>
      <c r="G237" s="23"/>
      <c r="H237" s="24"/>
      <c r="I237" s="23"/>
      <c r="J237" s="19">
        <f>Таблица1[[#This Row],[Блок
 Куб]]*Таблица1[[#This Row],[Цена 
Приход]]</f>
        <v>0</v>
      </c>
      <c r="K237" s="25"/>
      <c r="L237" s="25"/>
      <c r="M237" s="19">
        <f>Таблица1[[#This Row],[Поддон
Шт]]*Таблица1[[#This Row],[Цена
Поддон]]</f>
        <v>0</v>
      </c>
      <c r="N237" s="19">
        <f>Таблица1[[#This Row],[Сумма 
Приход]]+Таблица1[[#This Row],[Сумма Поддон]]</f>
        <v>0</v>
      </c>
      <c r="O237" s="20"/>
      <c r="P237" s="19">
        <f>Таблица1[[#This Row],[Цена
 Продажа]]-Таблица1[[#This Row],[Цена 
Приход]]</f>
        <v>0</v>
      </c>
      <c r="Q237" s="19"/>
      <c r="R237" s="19">
        <f>Таблица1[[#This Row],[Блок
 Куб]]*Таблица1[[#This Row],[Цена
 Продажа]]</f>
        <v>0</v>
      </c>
      <c r="S237" s="20"/>
      <c r="T237" s="19">
        <f>Таблица1[[#This Row],[Сумма 
Продажа]]-Таблица1[[#This Row],[Сумма 
Приход]]</f>
        <v>0</v>
      </c>
      <c r="U237" s="150"/>
    </row>
    <row r="238" spans="1:21" ht="14.25" x14ac:dyDescent="0.2">
      <c r="A238" s="50">
        <f t="shared" si="3"/>
        <v>235</v>
      </c>
      <c r="B238" s="17"/>
      <c r="C238" s="17"/>
      <c r="D238" s="17"/>
      <c r="E238" s="51"/>
      <c r="F238" s="50"/>
      <c r="G238" s="23"/>
      <c r="H238" s="24"/>
      <c r="I238" s="23"/>
      <c r="J238" s="19">
        <f>Таблица1[[#This Row],[Блок
 Куб]]*Таблица1[[#This Row],[Цена 
Приход]]</f>
        <v>0</v>
      </c>
      <c r="K238" s="25"/>
      <c r="L238" s="25"/>
      <c r="M238" s="19">
        <f>Таблица1[[#This Row],[Поддон
Шт]]*Таблица1[[#This Row],[Цена
Поддон]]</f>
        <v>0</v>
      </c>
      <c r="N238" s="19">
        <f>Таблица1[[#This Row],[Сумма 
Приход]]+Таблица1[[#This Row],[Сумма Поддон]]</f>
        <v>0</v>
      </c>
      <c r="O238" s="20"/>
      <c r="P238" s="19">
        <f>Таблица1[[#This Row],[Цена
 Продажа]]-Таблица1[[#This Row],[Цена 
Приход]]</f>
        <v>0</v>
      </c>
      <c r="Q238" s="19"/>
      <c r="R238" s="19">
        <f>Таблица1[[#This Row],[Блок
 Куб]]*Таблица1[[#This Row],[Цена
 Продажа]]</f>
        <v>0</v>
      </c>
      <c r="S238" s="20"/>
      <c r="T238" s="19">
        <f>Таблица1[[#This Row],[Сумма 
Продажа]]-Таблица1[[#This Row],[Сумма 
Приход]]</f>
        <v>0</v>
      </c>
      <c r="U238" s="150"/>
    </row>
    <row r="239" spans="1:21" ht="14.25" x14ac:dyDescent="0.2">
      <c r="A239" s="50">
        <f t="shared" si="3"/>
        <v>236</v>
      </c>
      <c r="B239" s="17"/>
      <c r="C239" s="17"/>
      <c r="D239" s="17"/>
      <c r="E239" s="51"/>
      <c r="F239" s="50"/>
      <c r="G239" s="23"/>
      <c r="H239" s="24"/>
      <c r="I239" s="23"/>
      <c r="J239" s="19">
        <f>Таблица1[[#This Row],[Блок
 Куб]]*Таблица1[[#This Row],[Цена 
Приход]]</f>
        <v>0</v>
      </c>
      <c r="K239" s="25"/>
      <c r="L239" s="25"/>
      <c r="M239" s="19">
        <f>Таблица1[[#This Row],[Поддон
Шт]]*Таблица1[[#This Row],[Цена
Поддон]]</f>
        <v>0</v>
      </c>
      <c r="N239" s="19">
        <f>Таблица1[[#This Row],[Сумма 
Приход]]+Таблица1[[#This Row],[Сумма Поддон]]</f>
        <v>0</v>
      </c>
      <c r="O239" s="20"/>
      <c r="P239" s="19">
        <f>Таблица1[[#This Row],[Цена
 Продажа]]-Таблица1[[#This Row],[Цена 
Приход]]</f>
        <v>0</v>
      </c>
      <c r="Q239" s="19"/>
      <c r="R239" s="19">
        <f>Таблица1[[#This Row],[Блок
 Куб]]*Таблица1[[#This Row],[Цена
 Продажа]]</f>
        <v>0</v>
      </c>
      <c r="S239" s="20"/>
      <c r="T239" s="19">
        <f>Таблица1[[#This Row],[Сумма 
Продажа]]-Таблица1[[#This Row],[Сумма 
Приход]]</f>
        <v>0</v>
      </c>
      <c r="U239" s="150"/>
    </row>
    <row r="240" spans="1:21" ht="14.25" x14ac:dyDescent="0.2">
      <c r="A240" s="50">
        <f t="shared" si="3"/>
        <v>237</v>
      </c>
      <c r="B240" s="17"/>
      <c r="C240" s="17"/>
      <c r="D240" s="17"/>
      <c r="E240" s="51"/>
      <c r="F240" s="50"/>
      <c r="G240" s="23"/>
      <c r="H240" s="24"/>
      <c r="I240" s="23"/>
      <c r="J240" s="19">
        <f>Таблица1[[#This Row],[Блок
 Куб]]*Таблица1[[#This Row],[Цена 
Приход]]</f>
        <v>0</v>
      </c>
      <c r="K240" s="25"/>
      <c r="L240" s="25"/>
      <c r="M240" s="19">
        <f>Таблица1[[#This Row],[Поддон
Шт]]*Таблица1[[#This Row],[Цена
Поддон]]</f>
        <v>0</v>
      </c>
      <c r="N240" s="19">
        <f>Таблица1[[#This Row],[Сумма 
Приход]]+Таблица1[[#This Row],[Сумма Поддон]]</f>
        <v>0</v>
      </c>
      <c r="O240" s="20"/>
      <c r="P240" s="19">
        <f>Таблица1[[#This Row],[Цена
 Продажа]]-Таблица1[[#This Row],[Цена 
Приход]]</f>
        <v>0</v>
      </c>
      <c r="Q240" s="19"/>
      <c r="R240" s="19">
        <f>Таблица1[[#This Row],[Блок
 Куб]]*Таблица1[[#This Row],[Цена
 Продажа]]</f>
        <v>0</v>
      </c>
      <c r="S240" s="20"/>
      <c r="T240" s="19">
        <f>Таблица1[[#This Row],[Сумма 
Продажа]]-Таблица1[[#This Row],[Сумма 
Приход]]</f>
        <v>0</v>
      </c>
      <c r="U240" s="150"/>
    </row>
    <row r="241" spans="1:21" ht="14.25" x14ac:dyDescent="0.2">
      <c r="A241" s="50">
        <f t="shared" si="3"/>
        <v>238</v>
      </c>
      <c r="B241" s="17"/>
      <c r="C241" s="17"/>
      <c r="D241" s="17"/>
      <c r="E241" s="51"/>
      <c r="F241" s="50"/>
      <c r="G241" s="23"/>
      <c r="H241" s="24"/>
      <c r="I241" s="23"/>
      <c r="J241" s="19">
        <f>Таблица1[[#This Row],[Блок
 Куб]]*Таблица1[[#This Row],[Цена 
Приход]]</f>
        <v>0</v>
      </c>
      <c r="K241" s="25"/>
      <c r="L241" s="25"/>
      <c r="M241" s="19">
        <f>Таблица1[[#This Row],[Поддон
Шт]]*Таблица1[[#This Row],[Цена
Поддон]]</f>
        <v>0</v>
      </c>
      <c r="N241" s="19">
        <f>Таблица1[[#This Row],[Сумма 
Приход]]+Таблица1[[#This Row],[Сумма Поддон]]</f>
        <v>0</v>
      </c>
      <c r="O241" s="20"/>
      <c r="P241" s="19">
        <f>Таблица1[[#This Row],[Цена
 Продажа]]-Таблица1[[#This Row],[Цена 
Приход]]</f>
        <v>0</v>
      </c>
      <c r="Q241" s="19"/>
      <c r="R241" s="19">
        <f>Таблица1[[#This Row],[Блок
 Куб]]*Таблица1[[#This Row],[Цена
 Продажа]]</f>
        <v>0</v>
      </c>
      <c r="S241" s="20"/>
      <c r="T241" s="19">
        <f>Таблица1[[#This Row],[Сумма 
Продажа]]-Таблица1[[#This Row],[Сумма 
Приход]]</f>
        <v>0</v>
      </c>
      <c r="U241" s="150"/>
    </row>
    <row r="242" spans="1:21" ht="14.25" x14ac:dyDescent="0.2">
      <c r="A242" s="50">
        <f t="shared" si="3"/>
        <v>239</v>
      </c>
      <c r="B242" s="17"/>
      <c r="C242" s="17"/>
      <c r="D242" s="17"/>
      <c r="E242" s="51"/>
      <c r="F242" s="50"/>
      <c r="G242" s="23"/>
      <c r="H242" s="24"/>
      <c r="I242" s="23"/>
      <c r="J242" s="19">
        <f>Таблица1[[#This Row],[Блок
 Куб]]*Таблица1[[#This Row],[Цена 
Приход]]</f>
        <v>0</v>
      </c>
      <c r="K242" s="25"/>
      <c r="L242" s="25"/>
      <c r="M242" s="19">
        <f>Таблица1[[#This Row],[Поддон
Шт]]*Таблица1[[#This Row],[Цена
Поддон]]</f>
        <v>0</v>
      </c>
      <c r="N242" s="19">
        <f>Таблица1[[#This Row],[Сумма 
Приход]]+Таблица1[[#This Row],[Сумма Поддон]]</f>
        <v>0</v>
      </c>
      <c r="O242" s="20"/>
      <c r="P242" s="19">
        <f>Таблица1[[#This Row],[Цена
 Продажа]]-Таблица1[[#This Row],[Цена 
Приход]]</f>
        <v>0</v>
      </c>
      <c r="Q242" s="19"/>
      <c r="R242" s="19">
        <f>Таблица1[[#This Row],[Блок
 Куб]]*Таблица1[[#This Row],[Цена
 Продажа]]</f>
        <v>0</v>
      </c>
      <c r="S242" s="20"/>
      <c r="T242" s="19">
        <f>Таблица1[[#This Row],[Сумма 
Продажа]]-Таблица1[[#This Row],[Сумма 
Приход]]</f>
        <v>0</v>
      </c>
      <c r="U242" s="150"/>
    </row>
    <row r="243" spans="1:21" ht="14.25" x14ac:dyDescent="0.2">
      <c r="A243" s="50">
        <f t="shared" si="3"/>
        <v>240</v>
      </c>
      <c r="B243" s="17"/>
      <c r="C243" s="17"/>
      <c r="D243" s="17"/>
      <c r="E243" s="51"/>
      <c r="F243" s="50"/>
      <c r="G243" s="23"/>
      <c r="H243" s="24"/>
      <c r="I243" s="23"/>
      <c r="J243" s="19">
        <f>Таблица1[[#This Row],[Блок
 Куб]]*Таблица1[[#This Row],[Цена 
Приход]]</f>
        <v>0</v>
      </c>
      <c r="K243" s="25"/>
      <c r="L243" s="25"/>
      <c r="M243" s="19">
        <f>Таблица1[[#This Row],[Поддон
Шт]]*Таблица1[[#This Row],[Цена
Поддон]]</f>
        <v>0</v>
      </c>
      <c r="N243" s="19">
        <f>Таблица1[[#This Row],[Сумма 
Приход]]+Таблица1[[#This Row],[Сумма Поддон]]</f>
        <v>0</v>
      </c>
      <c r="O243" s="20"/>
      <c r="P243" s="19">
        <f>Таблица1[[#This Row],[Цена
 Продажа]]-Таблица1[[#This Row],[Цена 
Приход]]</f>
        <v>0</v>
      </c>
      <c r="Q243" s="19"/>
      <c r="R243" s="19">
        <f>Таблица1[[#This Row],[Блок
 Куб]]*Таблица1[[#This Row],[Цена
 Продажа]]</f>
        <v>0</v>
      </c>
      <c r="S243" s="20"/>
      <c r="T243" s="19">
        <f>Таблица1[[#This Row],[Сумма 
Продажа]]-Таблица1[[#This Row],[Сумма 
Приход]]</f>
        <v>0</v>
      </c>
      <c r="U243" s="150"/>
    </row>
    <row r="244" spans="1:21" ht="14.25" x14ac:dyDescent="0.2">
      <c r="A244" s="50">
        <f t="shared" si="3"/>
        <v>241</v>
      </c>
      <c r="B244" s="17"/>
      <c r="C244" s="17"/>
      <c r="D244" s="17"/>
      <c r="E244" s="51"/>
      <c r="F244" s="50"/>
      <c r="G244" s="23"/>
      <c r="H244" s="24"/>
      <c r="I244" s="23"/>
      <c r="J244" s="19">
        <f>Таблица1[[#This Row],[Блок
 Куб]]*Таблица1[[#This Row],[Цена 
Приход]]</f>
        <v>0</v>
      </c>
      <c r="K244" s="25"/>
      <c r="L244" s="25"/>
      <c r="M244" s="19">
        <f>Таблица1[[#This Row],[Поддон
Шт]]*Таблица1[[#This Row],[Цена
Поддон]]</f>
        <v>0</v>
      </c>
      <c r="N244" s="19">
        <f>Таблица1[[#This Row],[Сумма 
Приход]]+Таблица1[[#This Row],[Сумма Поддон]]</f>
        <v>0</v>
      </c>
      <c r="O244" s="20"/>
      <c r="P244" s="19">
        <f>Таблица1[[#This Row],[Цена
 Продажа]]-Таблица1[[#This Row],[Цена 
Приход]]</f>
        <v>0</v>
      </c>
      <c r="Q244" s="19"/>
      <c r="R244" s="19">
        <f>Таблица1[[#This Row],[Блок
 Куб]]*Таблица1[[#This Row],[Цена
 Продажа]]</f>
        <v>0</v>
      </c>
      <c r="S244" s="20"/>
      <c r="T244" s="19">
        <f>Таблица1[[#This Row],[Сумма 
Продажа]]-Таблица1[[#This Row],[Сумма 
Приход]]</f>
        <v>0</v>
      </c>
      <c r="U244" s="150"/>
    </row>
    <row r="245" spans="1:21" ht="14.25" x14ac:dyDescent="0.2">
      <c r="A245" s="50">
        <f t="shared" si="3"/>
        <v>242</v>
      </c>
      <c r="B245" s="17"/>
      <c r="C245" s="17"/>
      <c r="D245" s="17"/>
      <c r="E245" s="51"/>
      <c r="F245" s="50"/>
      <c r="G245" s="23"/>
      <c r="H245" s="24"/>
      <c r="I245" s="23"/>
      <c r="J245" s="19">
        <f>Таблица1[[#This Row],[Блок
 Куб]]*Таблица1[[#This Row],[Цена 
Приход]]</f>
        <v>0</v>
      </c>
      <c r="K245" s="25"/>
      <c r="L245" s="25"/>
      <c r="M245" s="19">
        <f>Таблица1[[#This Row],[Поддон
Шт]]*Таблица1[[#This Row],[Цена
Поддон]]</f>
        <v>0</v>
      </c>
      <c r="N245" s="19">
        <f>Таблица1[[#This Row],[Сумма 
Приход]]+Таблица1[[#This Row],[Сумма Поддон]]</f>
        <v>0</v>
      </c>
      <c r="O245" s="20"/>
      <c r="P245" s="19">
        <f>Таблица1[[#This Row],[Цена
 Продажа]]-Таблица1[[#This Row],[Цена 
Приход]]</f>
        <v>0</v>
      </c>
      <c r="Q245" s="19"/>
      <c r="R245" s="19">
        <f>Таблица1[[#This Row],[Блок
 Куб]]*Таблица1[[#This Row],[Цена
 Продажа]]</f>
        <v>0</v>
      </c>
      <c r="S245" s="20"/>
      <c r="T245" s="19">
        <f>Таблица1[[#This Row],[Сумма 
Продажа]]-Таблица1[[#This Row],[Сумма 
Приход]]</f>
        <v>0</v>
      </c>
      <c r="U245" s="150"/>
    </row>
    <row r="246" spans="1:21" ht="14.25" x14ac:dyDescent="0.2">
      <c r="A246" s="50">
        <f t="shared" si="3"/>
        <v>243</v>
      </c>
      <c r="B246" s="17"/>
      <c r="C246" s="17"/>
      <c r="D246" s="17"/>
      <c r="E246" s="51"/>
      <c r="F246" s="50"/>
      <c r="G246" s="23"/>
      <c r="H246" s="24"/>
      <c r="I246" s="23"/>
      <c r="J246" s="19">
        <f>Таблица1[[#This Row],[Блок
 Куб]]*Таблица1[[#This Row],[Цена 
Приход]]</f>
        <v>0</v>
      </c>
      <c r="K246" s="25"/>
      <c r="L246" s="25"/>
      <c r="M246" s="19">
        <f>Таблица1[[#This Row],[Поддон
Шт]]*Таблица1[[#This Row],[Цена
Поддон]]</f>
        <v>0</v>
      </c>
      <c r="N246" s="19">
        <f>Таблица1[[#This Row],[Сумма 
Приход]]+Таблица1[[#This Row],[Сумма Поддон]]</f>
        <v>0</v>
      </c>
      <c r="O246" s="20"/>
      <c r="P246" s="19">
        <f>Таблица1[[#This Row],[Цена
 Продажа]]-Таблица1[[#This Row],[Цена 
Приход]]</f>
        <v>0</v>
      </c>
      <c r="Q246" s="19"/>
      <c r="R246" s="19">
        <f>Таблица1[[#This Row],[Блок
 Куб]]*Таблица1[[#This Row],[Цена
 Продажа]]</f>
        <v>0</v>
      </c>
      <c r="S246" s="20"/>
      <c r="T246" s="19">
        <f>Таблица1[[#This Row],[Сумма 
Продажа]]-Таблица1[[#This Row],[Сумма 
Приход]]</f>
        <v>0</v>
      </c>
      <c r="U246" s="150"/>
    </row>
    <row r="247" spans="1:21" ht="14.25" x14ac:dyDescent="0.2">
      <c r="A247" s="50">
        <f t="shared" si="3"/>
        <v>244</v>
      </c>
      <c r="B247" s="17"/>
      <c r="C247" s="17"/>
      <c r="D247" s="17"/>
      <c r="E247" s="51"/>
      <c r="F247" s="50"/>
      <c r="G247" s="23"/>
      <c r="H247" s="24"/>
      <c r="I247" s="23"/>
      <c r="J247" s="19">
        <f>Таблица1[[#This Row],[Блок
 Куб]]*Таблица1[[#This Row],[Цена 
Приход]]</f>
        <v>0</v>
      </c>
      <c r="K247" s="25"/>
      <c r="L247" s="25"/>
      <c r="M247" s="19">
        <f>Таблица1[[#This Row],[Поддон
Шт]]*Таблица1[[#This Row],[Цена
Поддон]]</f>
        <v>0</v>
      </c>
      <c r="N247" s="19">
        <f>Таблица1[[#This Row],[Сумма 
Приход]]+Таблица1[[#This Row],[Сумма Поддон]]</f>
        <v>0</v>
      </c>
      <c r="O247" s="20"/>
      <c r="P247" s="19">
        <f>Таблица1[[#This Row],[Цена
 Продажа]]-Таблица1[[#This Row],[Цена 
Приход]]</f>
        <v>0</v>
      </c>
      <c r="Q247" s="19"/>
      <c r="R247" s="19">
        <f>Таблица1[[#This Row],[Блок
 Куб]]*Таблица1[[#This Row],[Цена
 Продажа]]</f>
        <v>0</v>
      </c>
      <c r="S247" s="20"/>
      <c r="T247" s="19">
        <f>Таблица1[[#This Row],[Сумма 
Продажа]]-Таблица1[[#This Row],[Сумма 
Приход]]</f>
        <v>0</v>
      </c>
      <c r="U247" s="150"/>
    </row>
    <row r="248" spans="1:21" ht="14.25" x14ac:dyDescent="0.2">
      <c r="A248" s="50">
        <f t="shared" si="3"/>
        <v>245</v>
      </c>
      <c r="B248" s="17"/>
      <c r="C248" s="17"/>
      <c r="D248" s="17"/>
      <c r="E248" s="51"/>
      <c r="F248" s="50"/>
      <c r="G248" s="23"/>
      <c r="H248" s="24"/>
      <c r="I248" s="23"/>
      <c r="J248" s="19">
        <f>Таблица1[[#This Row],[Блок
 Куб]]*Таблица1[[#This Row],[Цена 
Приход]]</f>
        <v>0</v>
      </c>
      <c r="K248" s="25"/>
      <c r="L248" s="25"/>
      <c r="M248" s="19">
        <f>Таблица1[[#This Row],[Поддон
Шт]]*Таблица1[[#This Row],[Цена
Поддон]]</f>
        <v>0</v>
      </c>
      <c r="N248" s="19">
        <f>Таблица1[[#This Row],[Сумма 
Приход]]+Таблица1[[#This Row],[Сумма Поддон]]</f>
        <v>0</v>
      </c>
      <c r="O248" s="20"/>
      <c r="P248" s="19">
        <f>Таблица1[[#This Row],[Цена
 Продажа]]-Таблица1[[#This Row],[Цена 
Приход]]</f>
        <v>0</v>
      </c>
      <c r="Q248" s="19"/>
      <c r="R248" s="19">
        <f>Таблица1[[#This Row],[Блок
 Куб]]*Таблица1[[#This Row],[Цена
 Продажа]]</f>
        <v>0</v>
      </c>
      <c r="S248" s="20"/>
      <c r="T248" s="19">
        <f>Таблица1[[#This Row],[Сумма 
Продажа]]-Таблица1[[#This Row],[Сумма 
Приход]]</f>
        <v>0</v>
      </c>
      <c r="U248" s="150"/>
    </row>
    <row r="249" spans="1:21" ht="14.25" x14ac:dyDescent="0.2">
      <c r="A249" s="50">
        <f t="shared" si="3"/>
        <v>246</v>
      </c>
      <c r="B249" s="17"/>
      <c r="C249" s="17"/>
      <c r="D249" s="17"/>
      <c r="E249" s="51"/>
      <c r="F249" s="50"/>
      <c r="G249" s="23"/>
      <c r="H249" s="24"/>
      <c r="I249" s="23"/>
      <c r="J249" s="19">
        <f>Таблица1[[#This Row],[Блок
 Куб]]*Таблица1[[#This Row],[Цена 
Приход]]</f>
        <v>0</v>
      </c>
      <c r="K249" s="25"/>
      <c r="L249" s="25"/>
      <c r="M249" s="19">
        <f>Таблица1[[#This Row],[Поддон
Шт]]*Таблица1[[#This Row],[Цена
Поддон]]</f>
        <v>0</v>
      </c>
      <c r="N249" s="19">
        <f>Таблица1[[#This Row],[Сумма 
Приход]]+Таблица1[[#This Row],[Сумма Поддон]]</f>
        <v>0</v>
      </c>
      <c r="O249" s="20"/>
      <c r="P249" s="19">
        <f>Таблица1[[#This Row],[Цена
 Продажа]]-Таблица1[[#This Row],[Цена 
Приход]]</f>
        <v>0</v>
      </c>
      <c r="Q249" s="19"/>
      <c r="R249" s="19">
        <f>Таблица1[[#This Row],[Блок
 Куб]]*Таблица1[[#This Row],[Цена
 Продажа]]</f>
        <v>0</v>
      </c>
      <c r="S249" s="20"/>
      <c r="T249" s="19">
        <f>Таблица1[[#This Row],[Сумма 
Продажа]]-Таблица1[[#This Row],[Сумма 
Приход]]</f>
        <v>0</v>
      </c>
      <c r="U249" s="150"/>
    </row>
    <row r="250" spans="1:21" ht="14.25" x14ac:dyDescent="0.2">
      <c r="A250" s="50">
        <f t="shared" si="3"/>
        <v>247</v>
      </c>
      <c r="B250" s="17"/>
      <c r="C250" s="17"/>
      <c r="D250" s="17"/>
      <c r="E250" s="51"/>
      <c r="F250" s="50"/>
      <c r="G250" s="23"/>
      <c r="H250" s="24"/>
      <c r="I250" s="23"/>
      <c r="J250" s="19">
        <f>Таблица1[[#This Row],[Блок
 Куб]]*Таблица1[[#This Row],[Цена 
Приход]]</f>
        <v>0</v>
      </c>
      <c r="K250" s="25"/>
      <c r="L250" s="25"/>
      <c r="M250" s="19">
        <f>Таблица1[[#This Row],[Поддон
Шт]]*Таблица1[[#This Row],[Цена
Поддон]]</f>
        <v>0</v>
      </c>
      <c r="N250" s="19">
        <f>Таблица1[[#This Row],[Сумма 
Приход]]+Таблица1[[#This Row],[Сумма Поддон]]</f>
        <v>0</v>
      </c>
      <c r="O250" s="20"/>
      <c r="P250" s="19">
        <f>Таблица1[[#This Row],[Цена
 Продажа]]-Таблица1[[#This Row],[Цена 
Приход]]</f>
        <v>0</v>
      </c>
      <c r="Q250" s="19"/>
      <c r="R250" s="19">
        <f>Таблица1[[#This Row],[Блок
 Куб]]*Таблица1[[#This Row],[Цена
 Продажа]]</f>
        <v>0</v>
      </c>
      <c r="S250" s="20"/>
      <c r="T250" s="19">
        <f>Таблица1[[#This Row],[Сумма 
Продажа]]-Таблица1[[#This Row],[Сумма 
Приход]]</f>
        <v>0</v>
      </c>
      <c r="U250" s="150"/>
    </row>
    <row r="251" spans="1:21" ht="14.25" x14ac:dyDescent="0.2">
      <c r="A251" s="50">
        <f t="shared" si="3"/>
        <v>248</v>
      </c>
      <c r="B251" s="17"/>
      <c r="C251" s="17"/>
      <c r="D251" s="17"/>
      <c r="E251" s="51"/>
      <c r="F251" s="50"/>
      <c r="G251" s="23"/>
      <c r="H251" s="24"/>
      <c r="I251" s="23"/>
      <c r="J251" s="19">
        <f>Таблица1[[#This Row],[Блок
 Куб]]*Таблица1[[#This Row],[Цена 
Приход]]</f>
        <v>0</v>
      </c>
      <c r="K251" s="25"/>
      <c r="L251" s="25"/>
      <c r="M251" s="19">
        <f>Таблица1[[#This Row],[Поддон
Шт]]*Таблица1[[#This Row],[Цена
Поддон]]</f>
        <v>0</v>
      </c>
      <c r="N251" s="19">
        <f>Таблица1[[#This Row],[Сумма 
Приход]]+Таблица1[[#This Row],[Сумма Поддон]]</f>
        <v>0</v>
      </c>
      <c r="O251" s="20"/>
      <c r="P251" s="19">
        <f>Таблица1[[#This Row],[Цена
 Продажа]]-Таблица1[[#This Row],[Цена 
Приход]]</f>
        <v>0</v>
      </c>
      <c r="Q251" s="19"/>
      <c r="R251" s="19">
        <f>Таблица1[[#This Row],[Блок
 Куб]]*Таблица1[[#This Row],[Цена
 Продажа]]</f>
        <v>0</v>
      </c>
      <c r="S251" s="20"/>
      <c r="T251" s="19">
        <f>Таблица1[[#This Row],[Сумма 
Продажа]]-Таблица1[[#This Row],[Сумма 
Приход]]</f>
        <v>0</v>
      </c>
      <c r="U251" s="150"/>
    </row>
    <row r="252" spans="1:21" ht="14.25" x14ac:dyDescent="0.2">
      <c r="A252" s="50">
        <f t="shared" si="3"/>
        <v>249</v>
      </c>
      <c r="B252" s="17"/>
      <c r="C252" s="17"/>
      <c r="D252" s="17"/>
      <c r="E252" s="51"/>
      <c r="F252" s="50"/>
      <c r="G252" s="23"/>
      <c r="H252" s="24"/>
      <c r="I252" s="23"/>
      <c r="J252" s="19">
        <f>Таблица1[[#This Row],[Блок
 Куб]]*Таблица1[[#This Row],[Цена 
Приход]]</f>
        <v>0</v>
      </c>
      <c r="K252" s="25"/>
      <c r="L252" s="25"/>
      <c r="M252" s="19">
        <f>Таблица1[[#This Row],[Поддон
Шт]]*Таблица1[[#This Row],[Цена
Поддон]]</f>
        <v>0</v>
      </c>
      <c r="N252" s="19">
        <f>Таблица1[[#This Row],[Сумма 
Приход]]+Таблица1[[#This Row],[Сумма Поддон]]</f>
        <v>0</v>
      </c>
      <c r="O252" s="20"/>
      <c r="P252" s="19">
        <f>Таблица1[[#This Row],[Цена
 Продажа]]-Таблица1[[#This Row],[Цена 
Приход]]</f>
        <v>0</v>
      </c>
      <c r="Q252" s="19"/>
      <c r="R252" s="19">
        <f>Таблица1[[#This Row],[Блок
 Куб]]*Таблица1[[#This Row],[Цена
 Продажа]]</f>
        <v>0</v>
      </c>
      <c r="S252" s="20"/>
      <c r="T252" s="19">
        <f>Таблица1[[#This Row],[Сумма 
Продажа]]-Таблица1[[#This Row],[Сумма 
Приход]]</f>
        <v>0</v>
      </c>
      <c r="U252" s="150"/>
    </row>
    <row r="253" spans="1:21" ht="14.25" x14ac:dyDescent="0.2">
      <c r="A253" s="50">
        <f t="shared" si="3"/>
        <v>250</v>
      </c>
      <c r="B253" s="17"/>
      <c r="C253" s="17"/>
      <c r="D253" s="17"/>
      <c r="E253" s="51"/>
      <c r="F253" s="50"/>
      <c r="G253" s="23"/>
      <c r="H253" s="24"/>
      <c r="I253" s="23"/>
      <c r="J253" s="19">
        <f>Таблица1[[#This Row],[Блок
 Куб]]*Таблица1[[#This Row],[Цена 
Приход]]</f>
        <v>0</v>
      </c>
      <c r="K253" s="25"/>
      <c r="L253" s="25"/>
      <c r="M253" s="19">
        <f>Таблица1[[#This Row],[Поддон
Шт]]*Таблица1[[#This Row],[Цена
Поддон]]</f>
        <v>0</v>
      </c>
      <c r="N253" s="19">
        <f>Таблица1[[#This Row],[Сумма 
Приход]]+Таблица1[[#This Row],[Сумма Поддон]]</f>
        <v>0</v>
      </c>
      <c r="O253" s="20"/>
      <c r="P253" s="19">
        <f>Таблица1[[#This Row],[Цена
 Продажа]]-Таблица1[[#This Row],[Цена 
Приход]]</f>
        <v>0</v>
      </c>
      <c r="Q253" s="19"/>
      <c r="R253" s="19">
        <f>Таблица1[[#This Row],[Блок
 Куб]]*Таблица1[[#This Row],[Цена
 Продажа]]</f>
        <v>0</v>
      </c>
      <c r="S253" s="20"/>
      <c r="T253" s="19">
        <f>Таблица1[[#This Row],[Сумма 
Продажа]]-Таблица1[[#This Row],[Сумма 
Приход]]</f>
        <v>0</v>
      </c>
      <c r="U253" s="150"/>
    </row>
    <row r="254" spans="1:21" ht="14.25" x14ac:dyDescent="0.2">
      <c r="A254" s="50">
        <f t="shared" si="3"/>
        <v>251</v>
      </c>
      <c r="B254" s="17"/>
      <c r="C254" s="17"/>
      <c r="D254" s="17"/>
      <c r="E254" s="51"/>
      <c r="F254" s="50"/>
      <c r="G254" s="23"/>
      <c r="H254" s="24"/>
      <c r="I254" s="23"/>
      <c r="J254" s="19">
        <f>Таблица1[[#This Row],[Блок
 Куб]]*Таблица1[[#This Row],[Цена 
Приход]]</f>
        <v>0</v>
      </c>
      <c r="K254" s="25"/>
      <c r="L254" s="25"/>
      <c r="M254" s="19">
        <f>Таблица1[[#This Row],[Поддон
Шт]]*Таблица1[[#This Row],[Цена
Поддон]]</f>
        <v>0</v>
      </c>
      <c r="N254" s="19">
        <f>Таблица1[[#This Row],[Сумма 
Приход]]+Таблица1[[#This Row],[Сумма Поддон]]</f>
        <v>0</v>
      </c>
      <c r="O254" s="20"/>
      <c r="P254" s="19">
        <f>Таблица1[[#This Row],[Цена
 Продажа]]-Таблица1[[#This Row],[Цена 
Приход]]</f>
        <v>0</v>
      </c>
      <c r="Q254" s="19"/>
      <c r="R254" s="19">
        <f>Таблица1[[#This Row],[Блок
 Куб]]*Таблица1[[#This Row],[Цена
 Продажа]]</f>
        <v>0</v>
      </c>
      <c r="S254" s="20"/>
      <c r="T254" s="19">
        <f>Таблица1[[#This Row],[Сумма 
Продажа]]-Таблица1[[#This Row],[Сумма 
Приход]]</f>
        <v>0</v>
      </c>
      <c r="U254" s="150"/>
    </row>
    <row r="255" spans="1:21" ht="14.25" x14ac:dyDescent="0.2">
      <c r="A255" s="50">
        <f t="shared" si="3"/>
        <v>252</v>
      </c>
      <c r="B255" s="17"/>
      <c r="C255" s="17"/>
      <c r="D255" s="17"/>
      <c r="E255" s="51"/>
      <c r="F255" s="50"/>
      <c r="G255" s="23"/>
      <c r="H255" s="24"/>
      <c r="I255" s="23"/>
      <c r="J255" s="19">
        <f>Таблица1[[#This Row],[Блок
 Куб]]*Таблица1[[#This Row],[Цена 
Приход]]</f>
        <v>0</v>
      </c>
      <c r="K255" s="25"/>
      <c r="L255" s="25"/>
      <c r="M255" s="19">
        <f>Таблица1[[#This Row],[Поддон
Шт]]*Таблица1[[#This Row],[Цена
Поддон]]</f>
        <v>0</v>
      </c>
      <c r="N255" s="19">
        <f>Таблица1[[#This Row],[Сумма 
Приход]]+Таблица1[[#This Row],[Сумма Поддон]]</f>
        <v>0</v>
      </c>
      <c r="O255" s="20"/>
      <c r="P255" s="19">
        <f>Таблица1[[#This Row],[Цена
 Продажа]]-Таблица1[[#This Row],[Цена 
Приход]]</f>
        <v>0</v>
      </c>
      <c r="Q255" s="19"/>
      <c r="R255" s="19">
        <f>Таблица1[[#This Row],[Блок
 Куб]]*Таблица1[[#This Row],[Цена
 Продажа]]</f>
        <v>0</v>
      </c>
      <c r="S255" s="20"/>
      <c r="T255" s="19">
        <f>Таблица1[[#This Row],[Сумма 
Продажа]]-Таблица1[[#This Row],[Сумма 
Приход]]</f>
        <v>0</v>
      </c>
      <c r="U255" s="150"/>
    </row>
    <row r="256" spans="1:21" ht="14.25" x14ac:dyDescent="0.2">
      <c r="A256" s="50">
        <f t="shared" si="3"/>
        <v>253</v>
      </c>
      <c r="B256" s="17"/>
      <c r="C256" s="17"/>
      <c r="D256" s="17"/>
      <c r="E256" s="51"/>
      <c r="F256" s="50"/>
      <c r="G256" s="23"/>
      <c r="H256" s="24"/>
      <c r="I256" s="23"/>
      <c r="J256" s="19">
        <f>Таблица1[[#This Row],[Блок
 Куб]]*Таблица1[[#This Row],[Цена 
Приход]]</f>
        <v>0</v>
      </c>
      <c r="K256" s="25"/>
      <c r="L256" s="25"/>
      <c r="M256" s="19">
        <f>Таблица1[[#This Row],[Поддон
Шт]]*Таблица1[[#This Row],[Цена
Поддон]]</f>
        <v>0</v>
      </c>
      <c r="N256" s="19">
        <f>Таблица1[[#This Row],[Сумма 
Приход]]+Таблица1[[#This Row],[Сумма Поддон]]</f>
        <v>0</v>
      </c>
      <c r="O256" s="20"/>
      <c r="P256" s="19">
        <f>Таблица1[[#This Row],[Цена
 Продажа]]-Таблица1[[#This Row],[Цена 
Приход]]</f>
        <v>0</v>
      </c>
      <c r="Q256" s="19"/>
      <c r="R256" s="19">
        <f>Таблица1[[#This Row],[Блок
 Куб]]*Таблица1[[#This Row],[Цена
 Продажа]]</f>
        <v>0</v>
      </c>
      <c r="S256" s="20"/>
      <c r="T256" s="19">
        <f>Таблица1[[#This Row],[Сумма 
Продажа]]-Таблица1[[#This Row],[Сумма 
Приход]]</f>
        <v>0</v>
      </c>
      <c r="U256" s="150"/>
    </row>
    <row r="257" spans="1:21" ht="14.25" x14ac:dyDescent="0.2">
      <c r="A257" s="50">
        <f t="shared" si="3"/>
        <v>254</v>
      </c>
      <c r="B257" s="17"/>
      <c r="C257" s="17"/>
      <c r="D257" s="17"/>
      <c r="E257" s="51"/>
      <c r="F257" s="50"/>
      <c r="G257" s="23"/>
      <c r="H257" s="24"/>
      <c r="I257" s="23"/>
      <c r="J257" s="19">
        <f>Таблица1[[#This Row],[Блок
 Куб]]*Таблица1[[#This Row],[Цена 
Приход]]</f>
        <v>0</v>
      </c>
      <c r="K257" s="25"/>
      <c r="L257" s="25"/>
      <c r="M257" s="19">
        <f>Таблица1[[#This Row],[Поддон
Шт]]*Таблица1[[#This Row],[Цена
Поддон]]</f>
        <v>0</v>
      </c>
      <c r="N257" s="19">
        <f>Таблица1[[#This Row],[Сумма 
Приход]]+Таблица1[[#This Row],[Сумма Поддон]]</f>
        <v>0</v>
      </c>
      <c r="O257" s="20"/>
      <c r="P257" s="19">
        <f>Таблица1[[#This Row],[Цена
 Продажа]]-Таблица1[[#This Row],[Цена 
Приход]]</f>
        <v>0</v>
      </c>
      <c r="Q257" s="19"/>
      <c r="R257" s="19">
        <f>Таблица1[[#This Row],[Блок
 Куб]]*Таблица1[[#This Row],[Цена
 Продажа]]</f>
        <v>0</v>
      </c>
      <c r="S257" s="20"/>
      <c r="T257" s="19">
        <f>Таблица1[[#This Row],[Сумма 
Продажа]]-Таблица1[[#This Row],[Сумма 
Приход]]</f>
        <v>0</v>
      </c>
      <c r="U257" s="150"/>
    </row>
    <row r="258" spans="1:21" ht="14.25" x14ac:dyDescent="0.2">
      <c r="A258" s="50">
        <f t="shared" si="3"/>
        <v>255</v>
      </c>
      <c r="B258" s="17"/>
      <c r="C258" s="17"/>
      <c r="D258" s="17"/>
      <c r="E258" s="51"/>
      <c r="F258" s="50"/>
      <c r="G258" s="23"/>
      <c r="H258" s="24"/>
      <c r="I258" s="23"/>
      <c r="J258" s="19">
        <f>Таблица1[[#This Row],[Блок
 Куб]]*Таблица1[[#This Row],[Цена 
Приход]]</f>
        <v>0</v>
      </c>
      <c r="K258" s="25"/>
      <c r="L258" s="25"/>
      <c r="M258" s="19">
        <f>Таблица1[[#This Row],[Поддон
Шт]]*Таблица1[[#This Row],[Цена
Поддон]]</f>
        <v>0</v>
      </c>
      <c r="N258" s="19">
        <f>Таблица1[[#This Row],[Сумма 
Приход]]+Таблица1[[#This Row],[Сумма Поддон]]</f>
        <v>0</v>
      </c>
      <c r="O258" s="20"/>
      <c r="P258" s="19">
        <f>Таблица1[[#This Row],[Цена
 Продажа]]-Таблица1[[#This Row],[Цена 
Приход]]</f>
        <v>0</v>
      </c>
      <c r="Q258" s="19"/>
      <c r="R258" s="19">
        <f>Таблица1[[#This Row],[Блок
 Куб]]*Таблица1[[#This Row],[Цена
 Продажа]]</f>
        <v>0</v>
      </c>
      <c r="S258" s="20"/>
      <c r="T258" s="19">
        <f>Таблица1[[#This Row],[Сумма 
Продажа]]-Таблица1[[#This Row],[Сумма 
Приход]]</f>
        <v>0</v>
      </c>
      <c r="U258" s="150"/>
    </row>
    <row r="259" spans="1:21" ht="14.25" x14ac:dyDescent="0.2">
      <c r="A259" s="50">
        <f t="shared" si="3"/>
        <v>256</v>
      </c>
      <c r="B259" s="17"/>
      <c r="C259" s="17"/>
      <c r="D259" s="17"/>
      <c r="E259" s="51"/>
      <c r="F259" s="50"/>
      <c r="G259" s="23"/>
      <c r="H259" s="24"/>
      <c r="I259" s="23"/>
      <c r="J259" s="19">
        <f>Таблица1[[#This Row],[Блок
 Куб]]*Таблица1[[#This Row],[Цена 
Приход]]</f>
        <v>0</v>
      </c>
      <c r="K259" s="25"/>
      <c r="L259" s="25"/>
      <c r="M259" s="19">
        <f>Таблица1[[#This Row],[Поддон
Шт]]*Таблица1[[#This Row],[Цена
Поддон]]</f>
        <v>0</v>
      </c>
      <c r="N259" s="19">
        <f>Таблица1[[#This Row],[Сумма 
Приход]]+Таблица1[[#This Row],[Сумма Поддон]]</f>
        <v>0</v>
      </c>
      <c r="O259" s="20"/>
      <c r="P259" s="19">
        <f>Таблица1[[#This Row],[Цена
 Продажа]]-Таблица1[[#This Row],[Цена 
Приход]]</f>
        <v>0</v>
      </c>
      <c r="Q259" s="19"/>
      <c r="R259" s="19">
        <f>Таблица1[[#This Row],[Блок
 Куб]]*Таблица1[[#This Row],[Цена
 Продажа]]</f>
        <v>0</v>
      </c>
      <c r="S259" s="20"/>
      <c r="T259" s="19">
        <f>Таблица1[[#This Row],[Сумма 
Продажа]]-Таблица1[[#This Row],[Сумма 
Приход]]</f>
        <v>0</v>
      </c>
      <c r="U259" s="150"/>
    </row>
    <row r="260" spans="1:21" ht="14.25" x14ac:dyDescent="0.2">
      <c r="A260" s="50">
        <f t="shared" si="3"/>
        <v>257</v>
      </c>
      <c r="B260" s="17"/>
      <c r="C260" s="17"/>
      <c r="D260" s="17"/>
      <c r="E260" s="51"/>
      <c r="F260" s="50"/>
      <c r="G260" s="23"/>
      <c r="H260" s="24"/>
      <c r="I260" s="23"/>
      <c r="J260" s="19">
        <f>Таблица1[[#This Row],[Блок
 Куб]]*Таблица1[[#This Row],[Цена 
Приход]]</f>
        <v>0</v>
      </c>
      <c r="K260" s="25"/>
      <c r="L260" s="25"/>
      <c r="M260" s="19">
        <f>Таблица1[[#This Row],[Поддон
Шт]]*Таблица1[[#This Row],[Цена
Поддон]]</f>
        <v>0</v>
      </c>
      <c r="N260" s="19">
        <f>Таблица1[[#This Row],[Сумма 
Приход]]+Таблица1[[#This Row],[Сумма Поддон]]</f>
        <v>0</v>
      </c>
      <c r="O260" s="20"/>
      <c r="P260" s="19">
        <f>Таблица1[[#This Row],[Цена
 Продажа]]-Таблица1[[#This Row],[Цена 
Приход]]</f>
        <v>0</v>
      </c>
      <c r="Q260" s="19"/>
      <c r="R260" s="19">
        <f>Таблица1[[#This Row],[Блок
 Куб]]*Таблица1[[#This Row],[Цена
 Продажа]]</f>
        <v>0</v>
      </c>
      <c r="S260" s="20"/>
      <c r="T260" s="19">
        <f>Таблица1[[#This Row],[Сумма 
Продажа]]-Таблица1[[#This Row],[Сумма 
Приход]]</f>
        <v>0</v>
      </c>
      <c r="U260" s="150"/>
    </row>
    <row r="261" spans="1:21" ht="14.25" x14ac:dyDescent="0.2">
      <c r="A261" s="50">
        <f t="shared" si="3"/>
        <v>258</v>
      </c>
      <c r="B261" s="17"/>
      <c r="C261" s="17"/>
      <c r="D261" s="17"/>
      <c r="E261" s="51"/>
      <c r="F261" s="50"/>
      <c r="G261" s="23"/>
      <c r="H261" s="24"/>
      <c r="I261" s="23"/>
      <c r="J261" s="19">
        <f>Таблица1[[#This Row],[Блок
 Куб]]*Таблица1[[#This Row],[Цена 
Приход]]</f>
        <v>0</v>
      </c>
      <c r="K261" s="25"/>
      <c r="L261" s="25"/>
      <c r="M261" s="19">
        <f>Таблица1[[#This Row],[Поддон
Шт]]*Таблица1[[#This Row],[Цена
Поддон]]</f>
        <v>0</v>
      </c>
      <c r="N261" s="19">
        <f>Таблица1[[#This Row],[Сумма 
Приход]]+Таблица1[[#This Row],[Сумма Поддон]]</f>
        <v>0</v>
      </c>
      <c r="O261" s="20"/>
      <c r="P261" s="19">
        <f>Таблица1[[#This Row],[Цена
 Продажа]]-Таблица1[[#This Row],[Цена 
Приход]]</f>
        <v>0</v>
      </c>
      <c r="Q261" s="19"/>
      <c r="R261" s="19">
        <f>Таблица1[[#This Row],[Блок
 Куб]]*Таблица1[[#This Row],[Цена
 Продажа]]</f>
        <v>0</v>
      </c>
      <c r="S261" s="20"/>
      <c r="T261" s="19">
        <f>Таблица1[[#This Row],[Сумма 
Продажа]]-Таблица1[[#This Row],[Сумма 
Приход]]</f>
        <v>0</v>
      </c>
      <c r="U261" s="150"/>
    </row>
    <row r="262" spans="1:21" ht="14.25" x14ac:dyDescent="0.2">
      <c r="A262" s="50">
        <f t="shared" ref="A262:A325" si="4">A261+1</f>
        <v>259</v>
      </c>
      <c r="B262" s="17"/>
      <c r="C262" s="17"/>
      <c r="D262" s="17"/>
      <c r="E262" s="51"/>
      <c r="F262" s="50"/>
      <c r="G262" s="23"/>
      <c r="H262" s="24"/>
      <c r="I262" s="23"/>
      <c r="J262" s="19">
        <f>Таблица1[[#This Row],[Блок
 Куб]]*Таблица1[[#This Row],[Цена 
Приход]]</f>
        <v>0</v>
      </c>
      <c r="K262" s="25"/>
      <c r="L262" s="25"/>
      <c r="M262" s="19">
        <f>Таблица1[[#This Row],[Поддон
Шт]]*Таблица1[[#This Row],[Цена
Поддон]]</f>
        <v>0</v>
      </c>
      <c r="N262" s="19">
        <f>Таблица1[[#This Row],[Сумма 
Приход]]+Таблица1[[#This Row],[Сумма Поддон]]</f>
        <v>0</v>
      </c>
      <c r="O262" s="20"/>
      <c r="P262" s="19">
        <f>Таблица1[[#This Row],[Цена
 Продажа]]-Таблица1[[#This Row],[Цена 
Приход]]</f>
        <v>0</v>
      </c>
      <c r="Q262" s="19"/>
      <c r="R262" s="19">
        <f>Таблица1[[#This Row],[Блок
 Куб]]*Таблица1[[#This Row],[Цена
 Продажа]]</f>
        <v>0</v>
      </c>
      <c r="S262" s="20"/>
      <c r="T262" s="19">
        <f>Таблица1[[#This Row],[Сумма 
Продажа]]-Таблица1[[#This Row],[Сумма 
Приход]]</f>
        <v>0</v>
      </c>
      <c r="U262" s="150"/>
    </row>
    <row r="263" spans="1:21" ht="14.25" x14ac:dyDescent="0.2">
      <c r="A263" s="50">
        <f t="shared" si="4"/>
        <v>260</v>
      </c>
      <c r="B263" s="17"/>
      <c r="C263" s="17"/>
      <c r="D263" s="17"/>
      <c r="E263" s="51"/>
      <c r="F263" s="50"/>
      <c r="G263" s="23"/>
      <c r="H263" s="24"/>
      <c r="I263" s="23"/>
      <c r="J263" s="19">
        <f>Таблица1[[#This Row],[Блок
 Куб]]*Таблица1[[#This Row],[Цена 
Приход]]</f>
        <v>0</v>
      </c>
      <c r="K263" s="25"/>
      <c r="L263" s="25"/>
      <c r="M263" s="19">
        <f>Таблица1[[#This Row],[Поддон
Шт]]*Таблица1[[#This Row],[Цена
Поддон]]</f>
        <v>0</v>
      </c>
      <c r="N263" s="19">
        <f>Таблица1[[#This Row],[Сумма 
Приход]]+Таблица1[[#This Row],[Сумма Поддон]]</f>
        <v>0</v>
      </c>
      <c r="O263" s="20"/>
      <c r="P263" s="19">
        <f>Таблица1[[#This Row],[Цена
 Продажа]]-Таблица1[[#This Row],[Цена 
Приход]]</f>
        <v>0</v>
      </c>
      <c r="Q263" s="19"/>
      <c r="R263" s="19">
        <f>Таблица1[[#This Row],[Блок
 Куб]]*Таблица1[[#This Row],[Цена
 Продажа]]</f>
        <v>0</v>
      </c>
      <c r="S263" s="20"/>
      <c r="T263" s="19">
        <f>Таблица1[[#This Row],[Сумма 
Продажа]]-Таблица1[[#This Row],[Сумма 
Приход]]</f>
        <v>0</v>
      </c>
      <c r="U263" s="150"/>
    </row>
    <row r="264" spans="1:21" ht="14.25" x14ac:dyDescent="0.2">
      <c r="A264" s="50">
        <f t="shared" si="4"/>
        <v>261</v>
      </c>
      <c r="B264" s="17"/>
      <c r="C264" s="17"/>
      <c r="D264" s="17"/>
      <c r="E264" s="51"/>
      <c r="F264" s="50"/>
      <c r="G264" s="23"/>
      <c r="H264" s="24"/>
      <c r="I264" s="23"/>
      <c r="J264" s="19">
        <f>Таблица1[[#This Row],[Блок
 Куб]]*Таблица1[[#This Row],[Цена 
Приход]]</f>
        <v>0</v>
      </c>
      <c r="K264" s="25"/>
      <c r="L264" s="25"/>
      <c r="M264" s="19">
        <f>Таблица1[[#This Row],[Поддон
Шт]]*Таблица1[[#This Row],[Цена
Поддон]]</f>
        <v>0</v>
      </c>
      <c r="N264" s="19">
        <f>Таблица1[[#This Row],[Сумма 
Приход]]+Таблица1[[#This Row],[Сумма Поддон]]</f>
        <v>0</v>
      </c>
      <c r="O264" s="20"/>
      <c r="P264" s="19">
        <f>Таблица1[[#This Row],[Цена
 Продажа]]-Таблица1[[#This Row],[Цена 
Приход]]</f>
        <v>0</v>
      </c>
      <c r="Q264" s="19"/>
      <c r="R264" s="19">
        <f>Таблица1[[#This Row],[Блок
 Куб]]*Таблица1[[#This Row],[Цена
 Продажа]]</f>
        <v>0</v>
      </c>
      <c r="S264" s="20"/>
      <c r="T264" s="19">
        <f>Таблица1[[#This Row],[Сумма 
Продажа]]-Таблица1[[#This Row],[Сумма 
Приход]]</f>
        <v>0</v>
      </c>
      <c r="U264" s="150"/>
    </row>
    <row r="265" spans="1:21" ht="14.25" x14ac:dyDescent="0.2">
      <c r="A265" s="50">
        <f t="shared" si="4"/>
        <v>262</v>
      </c>
      <c r="B265" s="17"/>
      <c r="C265" s="17"/>
      <c r="D265" s="17"/>
      <c r="E265" s="51"/>
      <c r="F265" s="50"/>
      <c r="G265" s="23"/>
      <c r="H265" s="24"/>
      <c r="I265" s="23"/>
      <c r="J265" s="19">
        <f>Таблица1[[#This Row],[Блок
 Куб]]*Таблица1[[#This Row],[Цена 
Приход]]</f>
        <v>0</v>
      </c>
      <c r="K265" s="25"/>
      <c r="L265" s="25"/>
      <c r="M265" s="19">
        <f>Таблица1[[#This Row],[Поддон
Шт]]*Таблица1[[#This Row],[Цена
Поддон]]</f>
        <v>0</v>
      </c>
      <c r="N265" s="19">
        <f>Таблица1[[#This Row],[Сумма 
Приход]]+Таблица1[[#This Row],[Сумма Поддон]]</f>
        <v>0</v>
      </c>
      <c r="O265" s="20"/>
      <c r="P265" s="19">
        <f>Таблица1[[#This Row],[Цена
 Продажа]]-Таблица1[[#This Row],[Цена 
Приход]]</f>
        <v>0</v>
      </c>
      <c r="Q265" s="19"/>
      <c r="R265" s="19">
        <f>Таблица1[[#This Row],[Блок
 Куб]]*Таблица1[[#This Row],[Цена
 Продажа]]</f>
        <v>0</v>
      </c>
      <c r="S265" s="20"/>
      <c r="T265" s="19">
        <f>Таблица1[[#This Row],[Сумма 
Продажа]]-Таблица1[[#This Row],[Сумма 
Приход]]</f>
        <v>0</v>
      </c>
      <c r="U265" s="150"/>
    </row>
    <row r="266" spans="1:21" ht="14.25" x14ac:dyDescent="0.2">
      <c r="A266" s="50">
        <f t="shared" si="4"/>
        <v>263</v>
      </c>
      <c r="B266" s="17"/>
      <c r="C266" s="17"/>
      <c r="D266" s="17"/>
      <c r="E266" s="51"/>
      <c r="F266" s="50"/>
      <c r="G266" s="23"/>
      <c r="H266" s="24"/>
      <c r="I266" s="23"/>
      <c r="J266" s="19">
        <f>Таблица1[[#This Row],[Блок
 Куб]]*Таблица1[[#This Row],[Цена 
Приход]]</f>
        <v>0</v>
      </c>
      <c r="K266" s="25"/>
      <c r="L266" s="25"/>
      <c r="M266" s="19">
        <f>Таблица1[[#This Row],[Поддон
Шт]]*Таблица1[[#This Row],[Цена
Поддон]]</f>
        <v>0</v>
      </c>
      <c r="N266" s="19">
        <f>Таблица1[[#This Row],[Сумма 
Приход]]+Таблица1[[#This Row],[Сумма Поддон]]</f>
        <v>0</v>
      </c>
      <c r="O266" s="20"/>
      <c r="P266" s="19">
        <f>Таблица1[[#This Row],[Цена
 Продажа]]-Таблица1[[#This Row],[Цена 
Приход]]</f>
        <v>0</v>
      </c>
      <c r="Q266" s="19"/>
      <c r="R266" s="19">
        <f>Таблица1[[#This Row],[Блок
 Куб]]*Таблица1[[#This Row],[Цена
 Продажа]]</f>
        <v>0</v>
      </c>
      <c r="S266" s="20"/>
      <c r="T266" s="19">
        <f>Таблица1[[#This Row],[Сумма 
Продажа]]-Таблица1[[#This Row],[Сумма 
Приход]]</f>
        <v>0</v>
      </c>
      <c r="U266" s="150"/>
    </row>
    <row r="267" spans="1:21" ht="14.25" x14ac:dyDescent="0.2">
      <c r="A267" s="50">
        <f t="shared" si="4"/>
        <v>264</v>
      </c>
      <c r="B267" s="17"/>
      <c r="C267" s="17"/>
      <c r="D267" s="17"/>
      <c r="E267" s="51"/>
      <c r="F267" s="50"/>
      <c r="G267" s="23"/>
      <c r="H267" s="24"/>
      <c r="I267" s="23"/>
      <c r="J267" s="19">
        <f>Таблица1[[#This Row],[Блок
 Куб]]*Таблица1[[#This Row],[Цена 
Приход]]</f>
        <v>0</v>
      </c>
      <c r="K267" s="25"/>
      <c r="L267" s="25"/>
      <c r="M267" s="19">
        <f>Таблица1[[#This Row],[Поддон
Шт]]*Таблица1[[#This Row],[Цена
Поддон]]</f>
        <v>0</v>
      </c>
      <c r="N267" s="19">
        <f>Таблица1[[#This Row],[Сумма 
Приход]]+Таблица1[[#This Row],[Сумма Поддон]]</f>
        <v>0</v>
      </c>
      <c r="O267" s="20"/>
      <c r="P267" s="19">
        <f>Таблица1[[#This Row],[Цена
 Продажа]]-Таблица1[[#This Row],[Цена 
Приход]]</f>
        <v>0</v>
      </c>
      <c r="Q267" s="19"/>
      <c r="R267" s="19">
        <f>Таблица1[[#This Row],[Блок
 Куб]]*Таблица1[[#This Row],[Цена
 Продажа]]</f>
        <v>0</v>
      </c>
      <c r="S267" s="20"/>
      <c r="T267" s="19">
        <f>Таблица1[[#This Row],[Сумма 
Продажа]]-Таблица1[[#This Row],[Сумма 
Приход]]</f>
        <v>0</v>
      </c>
      <c r="U267" s="150"/>
    </row>
    <row r="268" spans="1:21" ht="14.25" x14ac:dyDescent="0.2">
      <c r="A268" s="50">
        <f t="shared" si="4"/>
        <v>265</v>
      </c>
      <c r="B268" s="17"/>
      <c r="C268" s="17"/>
      <c r="D268" s="17"/>
      <c r="E268" s="51"/>
      <c r="F268" s="50"/>
      <c r="G268" s="23"/>
      <c r="H268" s="24"/>
      <c r="I268" s="23"/>
      <c r="J268" s="19">
        <f>Таблица1[[#This Row],[Блок
 Куб]]*Таблица1[[#This Row],[Цена 
Приход]]</f>
        <v>0</v>
      </c>
      <c r="K268" s="25"/>
      <c r="L268" s="25"/>
      <c r="M268" s="19">
        <f>Таблица1[[#This Row],[Поддон
Шт]]*Таблица1[[#This Row],[Цена
Поддон]]</f>
        <v>0</v>
      </c>
      <c r="N268" s="19">
        <f>Таблица1[[#This Row],[Сумма 
Приход]]+Таблица1[[#This Row],[Сумма Поддон]]</f>
        <v>0</v>
      </c>
      <c r="O268" s="20"/>
      <c r="P268" s="19">
        <f>Таблица1[[#This Row],[Цена
 Продажа]]-Таблица1[[#This Row],[Цена 
Приход]]</f>
        <v>0</v>
      </c>
      <c r="Q268" s="19"/>
      <c r="R268" s="19">
        <f>Таблица1[[#This Row],[Блок
 Куб]]*Таблица1[[#This Row],[Цена
 Продажа]]</f>
        <v>0</v>
      </c>
      <c r="S268" s="20"/>
      <c r="T268" s="19">
        <f>Таблица1[[#This Row],[Сумма 
Продажа]]-Таблица1[[#This Row],[Сумма 
Приход]]</f>
        <v>0</v>
      </c>
      <c r="U268" s="150"/>
    </row>
    <row r="269" spans="1:21" ht="14.25" x14ac:dyDescent="0.2">
      <c r="A269" s="50">
        <f t="shared" si="4"/>
        <v>266</v>
      </c>
      <c r="B269" s="17"/>
      <c r="C269" s="17"/>
      <c r="D269" s="17"/>
      <c r="E269" s="51"/>
      <c r="F269" s="50"/>
      <c r="G269" s="23"/>
      <c r="H269" s="24"/>
      <c r="I269" s="23"/>
      <c r="J269" s="19">
        <f>Таблица1[[#This Row],[Блок
 Куб]]*Таблица1[[#This Row],[Цена 
Приход]]</f>
        <v>0</v>
      </c>
      <c r="K269" s="25"/>
      <c r="L269" s="25"/>
      <c r="M269" s="19">
        <f>Таблица1[[#This Row],[Поддон
Шт]]*Таблица1[[#This Row],[Цена
Поддон]]</f>
        <v>0</v>
      </c>
      <c r="N269" s="19">
        <f>Таблица1[[#This Row],[Сумма 
Приход]]+Таблица1[[#This Row],[Сумма Поддон]]</f>
        <v>0</v>
      </c>
      <c r="O269" s="20"/>
      <c r="P269" s="19">
        <f>Таблица1[[#This Row],[Цена
 Продажа]]-Таблица1[[#This Row],[Цена 
Приход]]</f>
        <v>0</v>
      </c>
      <c r="Q269" s="19"/>
      <c r="R269" s="19">
        <f>Таблица1[[#This Row],[Блок
 Куб]]*Таблица1[[#This Row],[Цена
 Продажа]]</f>
        <v>0</v>
      </c>
      <c r="S269" s="20"/>
      <c r="T269" s="19">
        <f>Таблица1[[#This Row],[Сумма 
Продажа]]-Таблица1[[#This Row],[Сумма 
Приход]]</f>
        <v>0</v>
      </c>
      <c r="U269" s="150"/>
    </row>
    <row r="270" spans="1:21" ht="14.25" x14ac:dyDescent="0.2">
      <c r="A270" s="50">
        <f t="shared" si="4"/>
        <v>267</v>
      </c>
      <c r="B270" s="17"/>
      <c r="C270" s="17"/>
      <c r="D270" s="17"/>
      <c r="E270" s="51"/>
      <c r="F270" s="50"/>
      <c r="G270" s="23"/>
      <c r="H270" s="24"/>
      <c r="I270" s="23"/>
      <c r="J270" s="19">
        <f>Таблица1[[#This Row],[Блок
 Куб]]*Таблица1[[#This Row],[Цена 
Приход]]</f>
        <v>0</v>
      </c>
      <c r="K270" s="25"/>
      <c r="L270" s="25"/>
      <c r="M270" s="19">
        <f>Таблица1[[#This Row],[Поддон
Шт]]*Таблица1[[#This Row],[Цена
Поддон]]</f>
        <v>0</v>
      </c>
      <c r="N270" s="19">
        <f>Таблица1[[#This Row],[Сумма 
Приход]]+Таблица1[[#This Row],[Сумма Поддон]]</f>
        <v>0</v>
      </c>
      <c r="O270" s="20"/>
      <c r="P270" s="19">
        <f>Таблица1[[#This Row],[Цена
 Продажа]]-Таблица1[[#This Row],[Цена 
Приход]]</f>
        <v>0</v>
      </c>
      <c r="Q270" s="19"/>
      <c r="R270" s="19">
        <f>Таблица1[[#This Row],[Блок
 Куб]]*Таблица1[[#This Row],[Цена
 Продажа]]</f>
        <v>0</v>
      </c>
      <c r="S270" s="20"/>
      <c r="T270" s="19">
        <f>Таблица1[[#This Row],[Сумма 
Продажа]]-Таблица1[[#This Row],[Сумма 
Приход]]</f>
        <v>0</v>
      </c>
      <c r="U270" s="150"/>
    </row>
    <row r="271" spans="1:21" ht="14.25" x14ac:dyDescent="0.2">
      <c r="A271" s="50">
        <f t="shared" si="4"/>
        <v>268</v>
      </c>
      <c r="B271" s="17"/>
      <c r="C271" s="17"/>
      <c r="D271" s="17"/>
      <c r="E271" s="51"/>
      <c r="F271" s="50"/>
      <c r="G271" s="23"/>
      <c r="H271" s="24"/>
      <c r="I271" s="23"/>
      <c r="J271" s="19">
        <f>Таблица1[[#This Row],[Блок
 Куб]]*Таблица1[[#This Row],[Цена 
Приход]]</f>
        <v>0</v>
      </c>
      <c r="K271" s="25"/>
      <c r="L271" s="25"/>
      <c r="M271" s="19">
        <f>Таблица1[[#This Row],[Поддон
Шт]]*Таблица1[[#This Row],[Цена
Поддон]]</f>
        <v>0</v>
      </c>
      <c r="N271" s="19">
        <f>Таблица1[[#This Row],[Сумма 
Приход]]+Таблица1[[#This Row],[Сумма Поддон]]</f>
        <v>0</v>
      </c>
      <c r="O271" s="20"/>
      <c r="P271" s="19">
        <f>Таблица1[[#This Row],[Цена
 Продажа]]-Таблица1[[#This Row],[Цена 
Приход]]</f>
        <v>0</v>
      </c>
      <c r="Q271" s="19"/>
      <c r="R271" s="19">
        <f>Таблица1[[#This Row],[Блок
 Куб]]*Таблица1[[#This Row],[Цена
 Продажа]]</f>
        <v>0</v>
      </c>
      <c r="S271" s="20"/>
      <c r="T271" s="19">
        <f>Таблица1[[#This Row],[Сумма 
Продажа]]-Таблица1[[#This Row],[Сумма 
Приход]]</f>
        <v>0</v>
      </c>
      <c r="U271" s="150"/>
    </row>
    <row r="272" spans="1:21" ht="14.25" x14ac:dyDescent="0.2">
      <c r="A272" s="50">
        <f t="shared" si="4"/>
        <v>269</v>
      </c>
      <c r="B272" s="17"/>
      <c r="C272" s="17"/>
      <c r="D272" s="17"/>
      <c r="E272" s="51"/>
      <c r="F272" s="50"/>
      <c r="G272" s="23"/>
      <c r="H272" s="24"/>
      <c r="I272" s="23"/>
      <c r="J272" s="19">
        <f>Таблица1[[#This Row],[Блок
 Куб]]*Таблица1[[#This Row],[Цена 
Приход]]</f>
        <v>0</v>
      </c>
      <c r="K272" s="25"/>
      <c r="L272" s="25"/>
      <c r="M272" s="19">
        <f>Таблица1[[#This Row],[Поддон
Шт]]*Таблица1[[#This Row],[Цена
Поддон]]</f>
        <v>0</v>
      </c>
      <c r="N272" s="19">
        <f>Таблица1[[#This Row],[Сумма 
Приход]]+Таблица1[[#This Row],[Сумма Поддон]]</f>
        <v>0</v>
      </c>
      <c r="O272" s="20"/>
      <c r="P272" s="19">
        <f>Таблица1[[#This Row],[Цена
 Продажа]]-Таблица1[[#This Row],[Цена 
Приход]]</f>
        <v>0</v>
      </c>
      <c r="Q272" s="19"/>
      <c r="R272" s="19">
        <f>Таблица1[[#This Row],[Блок
 Куб]]*Таблица1[[#This Row],[Цена
 Продажа]]</f>
        <v>0</v>
      </c>
      <c r="S272" s="20"/>
      <c r="T272" s="19">
        <f>Таблица1[[#This Row],[Сумма 
Продажа]]-Таблица1[[#This Row],[Сумма 
Приход]]</f>
        <v>0</v>
      </c>
      <c r="U272" s="150"/>
    </row>
    <row r="273" spans="1:21" ht="14.25" x14ac:dyDescent="0.2">
      <c r="A273" s="50">
        <f t="shared" si="4"/>
        <v>270</v>
      </c>
      <c r="B273" s="17"/>
      <c r="C273" s="17"/>
      <c r="D273" s="17"/>
      <c r="E273" s="51"/>
      <c r="F273" s="50"/>
      <c r="G273" s="23"/>
      <c r="H273" s="24"/>
      <c r="I273" s="23"/>
      <c r="J273" s="19">
        <f>Таблица1[[#This Row],[Блок
 Куб]]*Таблица1[[#This Row],[Цена 
Приход]]</f>
        <v>0</v>
      </c>
      <c r="K273" s="25"/>
      <c r="L273" s="25"/>
      <c r="M273" s="19">
        <f>Таблица1[[#This Row],[Поддон
Шт]]*Таблица1[[#This Row],[Цена
Поддон]]</f>
        <v>0</v>
      </c>
      <c r="N273" s="19">
        <f>Таблица1[[#This Row],[Сумма 
Приход]]+Таблица1[[#This Row],[Сумма Поддон]]</f>
        <v>0</v>
      </c>
      <c r="O273" s="20"/>
      <c r="P273" s="19">
        <f>Таблица1[[#This Row],[Цена
 Продажа]]-Таблица1[[#This Row],[Цена 
Приход]]</f>
        <v>0</v>
      </c>
      <c r="Q273" s="19"/>
      <c r="R273" s="19">
        <f>Таблица1[[#This Row],[Блок
 Куб]]*Таблица1[[#This Row],[Цена
 Продажа]]</f>
        <v>0</v>
      </c>
      <c r="S273" s="20"/>
      <c r="T273" s="19">
        <f>Таблица1[[#This Row],[Сумма 
Продажа]]-Таблица1[[#This Row],[Сумма 
Приход]]</f>
        <v>0</v>
      </c>
      <c r="U273" s="150"/>
    </row>
    <row r="274" spans="1:21" ht="14.25" x14ac:dyDescent="0.2">
      <c r="A274" s="50">
        <f t="shared" si="4"/>
        <v>271</v>
      </c>
      <c r="B274" s="17"/>
      <c r="C274" s="17"/>
      <c r="D274" s="17"/>
      <c r="E274" s="51"/>
      <c r="F274" s="50"/>
      <c r="G274" s="23"/>
      <c r="H274" s="24"/>
      <c r="I274" s="23"/>
      <c r="J274" s="19">
        <f>Таблица1[[#This Row],[Блок
 Куб]]*Таблица1[[#This Row],[Цена 
Приход]]</f>
        <v>0</v>
      </c>
      <c r="K274" s="25"/>
      <c r="L274" s="25"/>
      <c r="M274" s="19">
        <f>Таблица1[[#This Row],[Поддон
Шт]]*Таблица1[[#This Row],[Цена
Поддон]]</f>
        <v>0</v>
      </c>
      <c r="N274" s="19">
        <f>Таблица1[[#This Row],[Сумма 
Приход]]+Таблица1[[#This Row],[Сумма Поддон]]</f>
        <v>0</v>
      </c>
      <c r="O274" s="20"/>
      <c r="P274" s="19">
        <f>Таблица1[[#This Row],[Цена
 Продажа]]-Таблица1[[#This Row],[Цена 
Приход]]</f>
        <v>0</v>
      </c>
      <c r="Q274" s="19"/>
      <c r="R274" s="19">
        <f>Таблица1[[#This Row],[Блок
 Куб]]*Таблица1[[#This Row],[Цена
 Продажа]]</f>
        <v>0</v>
      </c>
      <c r="S274" s="20"/>
      <c r="T274" s="19">
        <f>Таблица1[[#This Row],[Сумма 
Продажа]]-Таблица1[[#This Row],[Сумма 
Приход]]</f>
        <v>0</v>
      </c>
      <c r="U274" s="150"/>
    </row>
    <row r="275" spans="1:21" ht="14.25" x14ac:dyDescent="0.2">
      <c r="A275" s="50">
        <f t="shared" si="4"/>
        <v>272</v>
      </c>
      <c r="B275" s="17"/>
      <c r="C275" s="17"/>
      <c r="D275" s="17"/>
      <c r="E275" s="51"/>
      <c r="F275" s="50"/>
      <c r="G275" s="23"/>
      <c r="H275" s="24"/>
      <c r="I275" s="23"/>
      <c r="J275" s="19">
        <f>Таблица1[[#This Row],[Блок
 Куб]]*Таблица1[[#This Row],[Цена 
Приход]]</f>
        <v>0</v>
      </c>
      <c r="K275" s="25"/>
      <c r="L275" s="25"/>
      <c r="M275" s="19">
        <f>Таблица1[[#This Row],[Поддон
Шт]]*Таблица1[[#This Row],[Цена
Поддон]]</f>
        <v>0</v>
      </c>
      <c r="N275" s="19">
        <f>Таблица1[[#This Row],[Сумма 
Приход]]+Таблица1[[#This Row],[Сумма Поддон]]</f>
        <v>0</v>
      </c>
      <c r="O275" s="20"/>
      <c r="P275" s="19">
        <f>Таблица1[[#This Row],[Цена
 Продажа]]-Таблица1[[#This Row],[Цена 
Приход]]</f>
        <v>0</v>
      </c>
      <c r="Q275" s="19"/>
      <c r="R275" s="19">
        <f>Таблица1[[#This Row],[Блок
 Куб]]*Таблица1[[#This Row],[Цена
 Продажа]]</f>
        <v>0</v>
      </c>
      <c r="S275" s="20"/>
      <c r="T275" s="19">
        <f>Таблица1[[#This Row],[Сумма 
Продажа]]-Таблица1[[#This Row],[Сумма 
Приход]]</f>
        <v>0</v>
      </c>
      <c r="U275" s="150"/>
    </row>
    <row r="276" spans="1:21" ht="14.25" x14ac:dyDescent="0.2">
      <c r="A276" s="50">
        <f t="shared" si="4"/>
        <v>273</v>
      </c>
      <c r="B276" s="17"/>
      <c r="C276" s="17"/>
      <c r="D276" s="17"/>
      <c r="E276" s="51"/>
      <c r="F276" s="50"/>
      <c r="G276" s="23"/>
      <c r="H276" s="24"/>
      <c r="I276" s="23"/>
      <c r="J276" s="19">
        <f>Таблица1[[#This Row],[Блок
 Куб]]*Таблица1[[#This Row],[Цена 
Приход]]</f>
        <v>0</v>
      </c>
      <c r="K276" s="25"/>
      <c r="L276" s="25"/>
      <c r="M276" s="19">
        <f>Таблица1[[#This Row],[Поддон
Шт]]*Таблица1[[#This Row],[Цена
Поддон]]</f>
        <v>0</v>
      </c>
      <c r="N276" s="19">
        <f>Таблица1[[#This Row],[Сумма 
Приход]]+Таблица1[[#This Row],[Сумма Поддон]]</f>
        <v>0</v>
      </c>
      <c r="O276" s="20"/>
      <c r="P276" s="19">
        <f>Таблица1[[#This Row],[Цена
 Продажа]]-Таблица1[[#This Row],[Цена 
Приход]]</f>
        <v>0</v>
      </c>
      <c r="Q276" s="19"/>
      <c r="R276" s="19">
        <f>Таблица1[[#This Row],[Блок
 Куб]]*Таблица1[[#This Row],[Цена
 Продажа]]</f>
        <v>0</v>
      </c>
      <c r="S276" s="20"/>
      <c r="T276" s="19">
        <f>Таблица1[[#This Row],[Сумма 
Продажа]]-Таблица1[[#This Row],[Сумма 
Приход]]</f>
        <v>0</v>
      </c>
      <c r="U276" s="150"/>
    </row>
    <row r="277" spans="1:21" ht="14.25" x14ac:dyDescent="0.2">
      <c r="A277" s="50">
        <f t="shared" si="4"/>
        <v>274</v>
      </c>
      <c r="B277" s="17"/>
      <c r="C277" s="17"/>
      <c r="D277" s="17"/>
      <c r="E277" s="51"/>
      <c r="F277" s="50"/>
      <c r="G277" s="23"/>
      <c r="H277" s="24"/>
      <c r="I277" s="23"/>
      <c r="J277" s="19">
        <f>Таблица1[[#This Row],[Блок
 Куб]]*Таблица1[[#This Row],[Цена 
Приход]]</f>
        <v>0</v>
      </c>
      <c r="K277" s="25"/>
      <c r="L277" s="25"/>
      <c r="M277" s="19">
        <f>Таблица1[[#This Row],[Поддон
Шт]]*Таблица1[[#This Row],[Цена
Поддон]]</f>
        <v>0</v>
      </c>
      <c r="N277" s="19">
        <f>Таблица1[[#This Row],[Сумма 
Приход]]+Таблица1[[#This Row],[Сумма Поддон]]</f>
        <v>0</v>
      </c>
      <c r="O277" s="20"/>
      <c r="P277" s="19">
        <f>Таблица1[[#This Row],[Цена
 Продажа]]-Таблица1[[#This Row],[Цена 
Приход]]</f>
        <v>0</v>
      </c>
      <c r="Q277" s="19"/>
      <c r="R277" s="19">
        <f>Таблица1[[#This Row],[Блок
 Куб]]*Таблица1[[#This Row],[Цена
 Продажа]]</f>
        <v>0</v>
      </c>
      <c r="S277" s="20"/>
      <c r="T277" s="19">
        <f>Таблица1[[#This Row],[Сумма 
Продажа]]-Таблица1[[#This Row],[Сумма 
Приход]]</f>
        <v>0</v>
      </c>
      <c r="U277" s="150"/>
    </row>
    <row r="278" spans="1:21" ht="14.25" x14ac:dyDescent="0.2">
      <c r="A278" s="50">
        <f t="shared" si="4"/>
        <v>275</v>
      </c>
      <c r="B278" s="17"/>
      <c r="C278" s="17"/>
      <c r="D278" s="17"/>
      <c r="E278" s="51"/>
      <c r="F278" s="50"/>
      <c r="G278" s="23"/>
      <c r="H278" s="24"/>
      <c r="I278" s="23"/>
      <c r="J278" s="19">
        <f>Таблица1[[#This Row],[Блок
 Куб]]*Таблица1[[#This Row],[Цена 
Приход]]</f>
        <v>0</v>
      </c>
      <c r="K278" s="25"/>
      <c r="L278" s="25"/>
      <c r="M278" s="19">
        <f>Таблица1[[#This Row],[Поддон
Шт]]*Таблица1[[#This Row],[Цена
Поддон]]</f>
        <v>0</v>
      </c>
      <c r="N278" s="19">
        <f>Таблица1[[#This Row],[Сумма 
Приход]]+Таблица1[[#This Row],[Сумма Поддон]]</f>
        <v>0</v>
      </c>
      <c r="O278" s="20"/>
      <c r="P278" s="19">
        <f>Таблица1[[#This Row],[Цена
 Продажа]]-Таблица1[[#This Row],[Цена 
Приход]]</f>
        <v>0</v>
      </c>
      <c r="Q278" s="19"/>
      <c r="R278" s="19">
        <f>Таблица1[[#This Row],[Блок
 Куб]]*Таблица1[[#This Row],[Цена
 Продажа]]</f>
        <v>0</v>
      </c>
      <c r="S278" s="20"/>
      <c r="T278" s="19">
        <f>Таблица1[[#This Row],[Сумма 
Продажа]]-Таблица1[[#This Row],[Сумма 
Приход]]</f>
        <v>0</v>
      </c>
      <c r="U278" s="150"/>
    </row>
    <row r="279" spans="1:21" ht="14.25" x14ac:dyDescent="0.2">
      <c r="A279" s="50">
        <f t="shared" si="4"/>
        <v>276</v>
      </c>
      <c r="B279" s="17"/>
      <c r="C279" s="17"/>
      <c r="D279" s="17"/>
      <c r="E279" s="51"/>
      <c r="F279" s="50"/>
      <c r="G279" s="23"/>
      <c r="H279" s="24"/>
      <c r="I279" s="23"/>
      <c r="J279" s="19">
        <f>Таблица1[[#This Row],[Блок
 Куб]]*Таблица1[[#This Row],[Цена 
Приход]]</f>
        <v>0</v>
      </c>
      <c r="K279" s="25"/>
      <c r="L279" s="25"/>
      <c r="M279" s="19">
        <f>Таблица1[[#This Row],[Поддон
Шт]]*Таблица1[[#This Row],[Цена
Поддон]]</f>
        <v>0</v>
      </c>
      <c r="N279" s="19">
        <f>Таблица1[[#This Row],[Сумма 
Приход]]+Таблица1[[#This Row],[Сумма Поддон]]</f>
        <v>0</v>
      </c>
      <c r="O279" s="20"/>
      <c r="P279" s="19">
        <f>Таблица1[[#This Row],[Цена
 Продажа]]-Таблица1[[#This Row],[Цена 
Приход]]</f>
        <v>0</v>
      </c>
      <c r="Q279" s="19"/>
      <c r="R279" s="19">
        <f>Таблица1[[#This Row],[Блок
 Куб]]*Таблица1[[#This Row],[Цена
 Продажа]]</f>
        <v>0</v>
      </c>
      <c r="S279" s="20"/>
      <c r="T279" s="19">
        <f>Таблица1[[#This Row],[Сумма 
Продажа]]-Таблица1[[#This Row],[Сумма 
Приход]]</f>
        <v>0</v>
      </c>
      <c r="U279" s="150"/>
    </row>
    <row r="280" spans="1:21" ht="14.25" x14ac:dyDescent="0.2">
      <c r="A280" s="50">
        <f t="shared" si="4"/>
        <v>277</v>
      </c>
      <c r="B280" s="17"/>
      <c r="C280" s="17"/>
      <c r="D280" s="17"/>
      <c r="E280" s="51"/>
      <c r="F280" s="50"/>
      <c r="G280" s="23"/>
      <c r="H280" s="24"/>
      <c r="I280" s="23"/>
      <c r="J280" s="19">
        <f>Таблица1[[#This Row],[Блок
 Куб]]*Таблица1[[#This Row],[Цена 
Приход]]</f>
        <v>0</v>
      </c>
      <c r="K280" s="25"/>
      <c r="L280" s="25"/>
      <c r="M280" s="19">
        <f>Таблица1[[#This Row],[Поддон
Шт]]*Таблица1[[#This Row],[Цена
Поддон]]</f>
        <v>0</v>
      </c>
      <c r="N280" s="19">
        <f>Таблица1[[#This Row],[Сумма 
Приход]]+Таблица1[[#This Row],[Сумма Поддон]]</f>
        <v>0</v>
      </c>
      <c r="O280" s="20"/>
      <c r="P280" s="19">
        <f>Таблица1[[#This Row],[Цена
 Продажа]]-Таблица1[[#This Row],[Цена 
Приход]]</f>
        <v>0</v>
      </c>
      <c r="Q280" s="19"/>
      <c r="R280" s="19">
        <f>Таблица1[[#This Row],[Блок
 Куб]]*Таблица1[[#This Row],[Цена
 Продажа]]</f>
        <v>0</v>
      </c>
      <c r="S280" s="20"/>
      <c r="T280" s="19">
        <f>Таблица1[[#This Row],[Сумма 
Продажа]]-Таблица1[[#This Row],[Сумма 
Приход]]</f>
        <v>0</v>
      </c>
      <c r="U280" s="150"/>
    </row>
    <row r="281" spans="1:21" ht="14.25" x14ac:dyDescent="0.2">
      <c r="A281" s="50">
        <f t="shared" si="4"/>
        <v>278</v>
      </c>
      <c r="B281" s="17"/>
      <c r="C281" s="17"/>
      <c r="D281" s="17"/>
      <c r="E281" s="51"/>
      <c r="F281" s="50"/>
      <c r="G281" s="23"/>
      <c r="H281" s="24"/>
      <c r="I281" s="23"/>
      <c r="J281" s="19">
        <f>Таблица1[[#This Row],[Блок
 Куб]]*Таблица1[[#This Row],[Цена 
Приход]]</f>
        <v>0</v>
      </c>
      <c r="K281" s="25"/>
      <c r="L281" s="25"/>
      <c r="M281" s="19">
        <f>Таблица1[[#This Row],[Поддон
Шт]]*Таблица1[[#This Row],[Цена
Поддон]]</f>
        <v>0</v>
      </c>
      <c r="N281" s="19">
        <f>Таблица1[[#This Row],[Сумма 
Приход]]+Таблица1[[#This Row],[Сумма Поддон]]</f>
        <v>0</v>
      </c>
      <c r="O281" s="20"/>
      <c r="P281" s="19">
        <f>Таблица1[[#This Row],[Цена
 Продажа]]-Таблица1[[#This Row],[Цена 
Приход]]</f>
        <v>0</v>
      </c>
      <c r="Q281" s="19"/>
      <c r="R281" s="19">
        <f>Таблица1[[#This Row],[Блок
 Куб]]*Таблица1[[#This Row],[Цена
 Продажа]]</f>
        <v>0</v>
      </c>
      <c r="S281" s="20"/>
      <c r="T281" s="19">
        <f>Таблица1[[#This Row],[Сумма 
Продажа]]-Таблица1[[#This Row],[Сумма 
Приход]]</f>
        <v>0</v>
      </c>
      <c r="U281" s="150"/>
    </row>
    <row r="282" spans="1:21" ht="14.25" x14ac:dyDescent="0.2">
      <c r="A282" s="50">
        <f t="shared" si="4"/>
        <v>279</v>
      </c>
      <c r="B282" s="17"/>
      <c r="C282" s="17"/>
      <c r="D282" s="17"/>
      <c r="E282" s="51"/>
      <c r="F282" s="50"/>
      <c r="G282" s="23"/>
      <c r="H282" s="24"/>
      <c r="I282" s="23"/>
      <c r="J282" s="19">
        <f>Таблица1[[#This Row],[Блок
 Куб]]*Таблица1[[#This Row],[Цена 
Приход]]</f>
        <v>0</v>
      </c>
      <c r="K282" s="25"/>
      <c r="L282" s="25"/>
      <c r="M282" s="19">
        <f>Таблица1[[#This Row],[Поддон
Шт]]*Таблица1[[#This Row],[Цена
Поддон]]</f>
        <v>0</v>
      </c>
      <c r="N282" s="19">
        <f>Таблица1[[#This Row],[Сумма 
Приход]]+Таблица1[[#This Row],[Сумма Поддон]]</f>
        <v>0</v>
      </c>
      <c r="O282" s="20"/>
      <c r="P282" s="19">
        <f>Таблица1[[#This Row],[Цена
 Продажа]]-Таблица1[[#This Row],[Цена 
Приход]]</f>
        <v>0</v>
      </c>
      <c r="Q282" s="19"/>
      <c r="R282" s="19">
        <f>Таблица1[[#This Row],[Блок
 Куб]]*Таблица1[[#This Row],[Цена
 Продажа]]</f>
        <v>0</v>
      </c>
      <c r="S282" s="20"/>
      <c r="T282" s="19">
        <f>Таблица1[[#This Row],[Сумма 
Продажа]]-Таблица1[[#This Row],[Сумма 
Приход]]</f>
        <v>0</v>
      </c>
      <c r="U282" s="150"/>
    </row>
    <row r="283" spans="1:21" ht="14.25" x14ac:dyDescent="0.2">
      <c r="A283" s="50">
        <f t="shared" si="4"/>
        <v>280</v>
      </c>
      <c r="B283" s="17"/>
      <c r="C283" s="17"/>
      <c r="D283" s="17"/>
      <c r="E283" s="51"/>
      <c r="F283" s="50"/>
      <c r="G283" s="23"/>
      <c r="H283" s="24"/>
      <c r="I283" s="23"/>
      <c r="J283" s="19">
        <f>Таблица1[[#This Row],[Блок
 Куб]]*Таблица1[[#This Row],[Цена 
Приход]]</f>
        <v>0</v>
      </c>
      <c r="K283" s="25"/>
      <c r="L283" s="25"/>
      <c r="M283" s="19">
        <f>Таблица1[[#This Row],[Поддон
Шт]]*Таблица1[[#This Row],[Цена
Поддон]]</f>
        <v>0</v>
      </c>
      <c r="N283" s="19">
        <f>Таблица1[[#This Row],[Сумма 
Приход]]+Таблица1[[#This Row],[Сумма Поддон]]</f>
        <v>0</v>
      </c>
      <c r="O283" s="20"/>
      <c r="P283" s="19">
        <f>Таблица1[[#This Row],[Цена
 Продажа]]-Таблица1[[#This Row],[Цена 
Приход]]</f>
        <v>0</v>
      </c>
      <c r="Q283" s="19"/>
      <c r="R283" s="19">
        <f>Таблица1[[#This Row],[Блок
 Куб]]*Таблица1[[#This Row],[Цена
 Продажа]]</f>
        <v>0</v>
      </c>
      <c r="S283" s="20"/>
      <c r="T283" s="19">
        <f>Таблица1[[#This Row],[Сумма 
Продажа]]-Таблица1[[#This Row],[Сумма 
Приход]]</f>
        <v>0</v>
      </c>
      <c r="U283" s="150"/>
    </row>
    <row r="284" spans="1:21" ht="14.25" x14ac:dyDescent="0.2">
      <c r="A284" s="50">
        <f t="shared" si="4"/>
        <v>281</v>
      </c>
      <c r="B284" s="17"/>
      <c r="C284" s="17"/>
      <c r="D284" s="17"/>
      <c r="E284" s="51"/>
      <c r="F284" s="50"/>
      <c r="G284" s="23"/>
      <c r="H284" s="24"/>
      <c r="I284" s="23"/>
      <c r="J284" s="19">
        <f>Таблица1[[#This Row],[Блок
 Куб]]*Таблица1[[#This Row],[Цена 
Приход]]</f>
        <v>0</v>
      </c>
      <c r="K284" s="25"/>
      <c r="L284" s="25"/>
      <c r="M284" s="19">
        <f>Таблица1[[#This Row],[Поддон
Шт]]*Таблица1[[#This Row],[Цена
Поддон]]</f>
        <v>0</v>
      </c>
      <c r="N284" s="19">
        <f>Таблица1[[#This Row],[Сумма 
Приход]]+Таблица1[[#This Row],[Сумма Поддон]]</f>
        <v>0</v>
      </c>
      <c r="O284" s="20"/>
      <c r="P284" s="19">
        <f>Таблица1[[#This Row],[Цена
 Продажа]]-Таблица1[[#This Row],[Цена 
Приход]]</f>
        <v>0</v>
      </c>
      <c r="Q284" s="19"/>
      <c r="R284" s="19">
        <f>Таблица1[[#This Row],[Блок
 Куб]]*Таблица1[[#This Row],[Цена
 Продажа]]</f>
        <v>0</v>
      </c>
      <c r="S284" s="20"/>
      <c r="T284" s="19">
        <f>Таблица1[[#This Row],[Сумма 
Продажа]]-Таблица1[[#This Row],[Сумма 
Приход]]</f>
        <v>0</v>
      </c>
      <c r="U284" s="150"/>
    </row>
    <row r="285" spans="1:21" ht="14.25" x14ac:dyDescent="0.2">
      <c r="A285" s="50">
        <f t="shared" si="4"/>
        <v>282</v>
      </c>
      <c r="B285" s="17"/>
      <c r="C285" s="17"/>
      <c r="D285" s="17"/>
      <c r="E285" s="51"/>
      <c r="F285" s="50"/>
      <c r="G285" s="23"/>
      <c r="H285" s="24"/>
      <c r="I285" s="23"/>
      <c r="J285" s="19">
        <f>Таблица1[[#This Row],[Блок
 Куб]]*Таблица1[[#This Row],[Цена 
Приход]]</f>
        <v>0</v>
      </c>
      <c r="K285" s="25"/>
      <c r="L285" s="25"/>
      <c r="M285" s="19">
        <f>Таблица1[[#This Row],[Поддон
Шт]]*Таблица1[[#This Row],[Цена
Поддон]]</f>
        <v>0</v>
      </c>
      <c r="N285" s="19">
        <f>Таблица1[[#This Row],[Сумма 
Приход]]+Таблица1[[#This Row],[Сумма Поддон]]</f>
        <v>0</v>
      </c>
      <c r="O285" s="20"/>
      <c r="P285" s="19">
        <f>Таблица1[[#This Row],[Цена
 Продажа]]-Таблица1[[#This Row],[Цена 
Приход]]</f>
        <v>0</v>
      </c>
      <c r="Q285" s="19"/>
      <c r="R285" s="19">
        <f>Таблица1[[#This Row],[Блок
 Куб]]*Таблица1[[#This Row],[Цена
 Продажа]]</f>
        <v>0</v>
      </c>
      <c r="S285" s="20"/>
      <c r="T285" s="19">
        <f>Таблица1[[#This Row],[Сумма 
Продажа]]-Таблица1[[#This Row],[Сумма 
Приход]]</f>
        <v>0</v>
      </c>
      <c r="U285" s="150"/>
    </row>
    <row r="286" spans="1:21" ht="14.25" x14ac:dyDescent="0.2">
      <c r="A286" s="50">
        <f t="shared" si="4"/>
        <v>283</v>
      </c>
      <c r="B286" s="17"/>
      <c r="C286" s="17"/>
      <c r="D286" s="17"/>
      <c r="E286" s="51"/>
      <c r="F286" s="50"/>
      <c r="G286" s="23"/>
      <c r="H286" s="24"/>
      <c r="I286" s="23"/>
      <c r="J286" s="19">
        <f>Таблица1[[#This Row],[Блок
 Куб]]*Таблица1[[#This Row],[Цена 
Приход]]</f>
        <v>0</v>
      </c>
      <c r="K286" s="25"/>
      <c r="L286" s="25"/>
      <c r="M286" s="19">
        <f>Таблица1[[#This Row],[Поддон
Шт]]*Таблица1[[#This Row],[Цена
Поддон]]</f>
        <v>0</v>
      </c>
      <c r="N286" s="19">
        <f>Таблица1[[#This Row],[Сумма 
Приход]]+Таблица1[[#This Row],[Сумма Поддон]]</f>
        <v>0</v>
      </c>
      <c r="O286" s="20"/>
      <c r="P286" s="19">
        <f>Таблица1[[#This Row],[Цена
 Продажа]]-Таблица1[[#This Row],[Цена 
Приход]]</f>
        <v>0</v>
      </c>
      <c r="Q286" s="19"/>
      <c r="R286" s="19">
        <f>Таблица1[[#This Row],[Блок
 Куб]]*Таблица1[[#This Row],[Цена
 Продажа]]</f>
        <v>0</v>
      </c>
      <c r="S286" s="20"/>
      <c r="T286" s="19">
        <f>Таблица1[[#This Row],[Сумма 
Продажа]]-Таблица1[[#This Row],[Сумма 
Приход]]</f>
        <v>0</v>
      </c>
      <c r="U286" s="150"/>
    </row>
    <row r="287" spans="1:21" ht="14.25" x14ac:dyDescent="0.2">
      <c r="A287" s="50">
        <f t="shared" si="4"/>
        <v>284</v>
      </c>
      <c r="B287" s="17"/>
      <c r="C287" s="17"/>
      <c r="D287" s="17"/>
      <c r="E287" s="51"/>
      <c r="F287" s="50"/>
      <c r="G287" s="23"/>
      <c r="H287" s="24"/>
      <c r="I287" s="23"/>
      <c r="J287" s="19">
        <f>Таблица1[[#This Row],[Блок
 Куб]]*Таблица1[[#This Row],[Цена 
Приход]]</f>
        <v>0</v>
      </c>
      <c r="K287" s="25"/>
      <c r="L287" s="25"/>
      <c r="M287" s="19">
        <f>Таблица1[[#This Row],[Поддон
Шт]]*Таблица1[[#This Row],[Цена
Поддон]]</f>
        <v>0</v>
      </c>
      <c r="N287" s="19">
        <f>Таблица1[[#This Row],[Сумма 
Приход]]+Таблица1[[#This Row],[Сумма Поддон]]</f>
        <v>0</v>
      </c>
      <c r="O287" s="20"/>
      <c r="P287" s="19">
        <f>Таблица1[[#This Row],[Цена
 Продажа]]-Таблица1[[#This Row],[Цена 
Приход]]</f>
        <v>0</v>
      </c>
      <c r="Q287" s="19"/>
      <c r="R287" s="19">
        <f>Таблица1[[#This Row],[Блок
 Куб]]*Таблица1[[#This Row],[Цена
 Продажа]]</f>
        <v>0</v>
      </c>
      <c r="S287" s="20"/>
      <c r="T287" s="19">
        <f>Таблица1[[#This Row],[Сумма 
Продажа]]-Таблица1[[#This Row],[Сумма 
Приход]]</f>
        <v>0</v>
      </c>
      <c r="U287" s="150"/>
    </row>
    <row r="288" spans="1:21" ht="14.25" x14ac:dyDescent="0.2">
      <c r="A288" s="50">
        <f t="shared" si="4"/>
        <v>285</v>
      </c>
      <c r="B288" s="17"/>
      <c r="C288" s="17"/>
      <c r="D288" s="17"/>
      <c r="E288" s="51"/>
      <c r="F288" s="50"/>
      <c r="G288" s="23"/>
      <c r="H288" s="24"/>
      <c r="I288" s="23"/>
      <c r="J288" s="19">
        <f>Таблица1[[#This Row],[Блок
 Куб]]*Таблица1[[#This Row],[Цена 
Приход]]</f>
        <v>0</v>
      </c>
      <c r="K288" s="25"/>
      <c r="L288" s="25"/>
      <c r="M288" s="19">
        <f>Таблица1[[#This Row],[Поддон
Шт]]*Таблица1[[#This Row],[Цена
Поддон]]</f>
        <v>0</v>
      </c>
      <c r="N288" s="19">
        <f>Таблица1[[#This Row],[Сумма 
Приход]]+Таблица1[[#This Row],[Сумма Поддон]]</f>
        <v>0</v>
      </c>
      <c r="O288" s="20"/>
      <c r="P288" s="19">
        <f>Таблица1[[#This Row],[Цена
 Продажа]]-Таблица1[[#This Row],[Цена 
Приход]]</f>
        <v>0</v>
      </c>
      <c r="Q288" s="19"/>
      <c r="R288" s="19">
        <f>Таблица1[[#This Row],[Блок
 Куб]]*Таблица1[[#This Row],[Цена
 Продажа]]</f>
        <v>0</v>
      </c>
      <c r="S288" s="20"/>
      <c r="T288" s="19">
        <f>Таблица1[[#This Row],[Сумма 
Продажа]]-Таблица1[[#This Row],[Сумма 
Приход]]</f>
        <v>0</v>
      </c>
      <c r="U288" s="150"/>
    </row>
    <row r="289" spans="1:21" ht="14.25" x14ac:dyDescent="0.2">
      <c r="A289" s="50">
        <f t="shared" si="4"/>
        <v>286</v>
      </c>
      <c r="B289" s="17"/>
      <c r="C289" s="17"/>
      <c r="D289" s="17"/>
      <c r="E289" s="51"/>
      <c r="F289" s="50"/>
      <c r="G289" s="23"/>
      <c r="H289" s="24"/>
      <c r="I289" s="23"/>
      <c r="J289" s="19">
        <f>Таблица1[[#This Row],[Блок
 Куб]]*Таблица1[[#This Row],[Цена 
Приход]]</f>
        <v>0</v>
      </c>
      <c r="K289" s="25"/>
      <c r="L289" s="25"/>
      <c r="M289" s="19">
        <f>Таблица1[[#This Row],[Поддон
Шт]]*Таблица1[[#This Row],[Цена
Поддон]]</f>
        <v>0</v>
      </c>
      <c r="N289" s="19">
        <f>Таблица1[[#This Row],[Сумма 
Приход]]+Таблица1[[#This Row],[Сумма Поддон]]</f>
        <v>0</v>
      </c>
      <c r="O289" s="20"/>
      <c r="P289" s="19">
        <f>Таблица1[[#This Row],[Цена
 Продажа]]-Таблица1[[#This Row],[Цена 
Приход]]</f>
        <v>0</v>
      </c>
      <c r="Q289" s="19"/>
      <c r="R289" s="19">
        <f>Таблица1[[#This Row],[Блок
 Куб]]*Таблица1[[#This Row],[Цена
 Продажа]]</f>
        <v>0</v>
      </c>
      <c r="S289" s="20"/>
      <c r="T289" s="19">
        <f>Таблица1[[#This Row],[Сумма 
Продажа]]-Таблица1[[#This Row],[Сумма 
Приход]]</f>
        <v>0</v>
      </c>
      <c r="U289" s="150"/>
    </row>
    <row r="290" spans="1:21" ht="14.25" x14ac:dyDescent="0.2">
      <c r="A290" s="50">
        <f t="shared" si="4"/>
        <v>287</v>
      </c>
      <c r="B290" s="17"/>
      <c r="C290" s="17"/>
      <c r="D290" s="17"/>
      <c r="E290" s="51"/>
      <c r="F290" s="50"/>
      <c r="G290" s="23"/>
      <c r="H290" s="24"/>
      <c r="I290" s="23"/>
      <c r="J290" s="19">
        <f>Таблица1[[#This Row],[Блок
 Куб]]*Таблица1[[#This Row],[Цена 
Приход]]</f>
        <v>0</v>
      </c>
      <c r="K290" s="25"/>
      <c r="L290" s="25"/>
      <c r="M290" s="19">
        <f>Таблица1[[#This Row],[Поддон
Шт]]*Таблица1[[#This Row],[Цена
Поддон]]</f>
        <v>0</v>
      </c>
      <c r="N290" s="19">
        <f>Таблица1[[#This Row],[Сумма 
Приход]]+Таблица1[[#This Row],[Сумма Поддон]]</f>
        <v>0</v>
      </c>
      <c r="O290" s="20"/>
      <c r="P290" s="19">
        <f>Таблица1[[#This Row],[Цена
 Продажа]]-Таблица1[[#This Row],[Цена 
Приход]]</f>
        <v>0</v>
      </c>
      <c r="Q290" s="19"/>
      <c r="R290" s="19">
        <f>Таблица1[[#This Row],[Блок
 Куб]]*Таблица1[[#This Row],[Цена
 Продажа]]</f>
        <v>0</v>
      </c>
      <c r="S290" s="20"/>
      <c r="T290" s="19">
        <f>Таблица1[[#This Row],[Сумма 
Продажа]]-Таблица1[[#This Row],[Сумма 
Приход]]</f>
        <v>0</v>
      </c>
      <c r="U290" s="150"/>
    </row>
    <row r="291" spans="1:21" ht="14.25" x14ac:dyDescent="0.2">
      <c r="A291" s="50">
        <f t="shared" si="4"/>
        <v>288</v>
      </c>
      <c r="B291" s="17"/>
      <c r="C291" s="17"/>
      <c r="D291" s="17"/>
      <c r="E291" s="51"/>
      <c r="F291" s="50"/>
      <c r="G291" s="23"/>
      <c r="H291" s="24"/>
      <c r="I291" s="23"/>
      <c r="J291" s="19">
        <f>Таблица1[[#This Row],[Блок
 Куб]]*Таблица1[[#This Row],[Цена 
Приход]]</f>
        <v>0</v>
      </c>
      <c r="K291" s="25"/>
      <c r="L291" s="25"/>
      <c r="M291" s="19">
        <f>Таблица1[[#This Row],[Поддон
Шт]]*Таблица1[[#This Row],[Цена
Поддон]]</f>
        <v>0</v>
      </c>
      <c r="N291" s="19">
        <f>Таблица1[[#This Row],[Сумма 
Приход]]+Таблица1[[#This Row],[Сумма Поддон]]</f>
        <v>0</v>
      </c>
      <c r="O291" s="20"/>
      <c r="P291" s="19">
        <f>Таблица1[[#This Row],[Цена
 Продажа]]-Таблица1[[#This Row],[Цена 
Приход]]</f>
        <v>0</v>
      </c>
      <c r="Q291" s="19"/>
      <c r="R291" s="19">
        <f>Таблица1[[#This Row],[Блок
 Куб]]*Таблица1[[#This Row],[Цена
 Продажа]]</f>
        <v>0</v>
      </c>
      <c r="S291" s="20"/>
      <c r="T291" s="19">
        <f>Таблица1[[#This Row],[Сумма 
Продажа]]-Таблица1[[#This Row],[Сумма 
Приход]]</f>
        <v>0</v>
      </c>
      <c r="U291" s="150"/>
    </row>
    <row r="292" spans="1:21" ht="14.25" x14ac:dyDescent="0.2">
      <c r="A292" s="50">
        <f t="shared" si="4"/>
        <v>289</v>
      </c>
      <c r="B292" s="17"/>
      <c r="C292" s="17"/>
      <c r="D292" s="17"/>
      <c r="E292" s="51"/>
      <c r="F292" s="50"/>
      <c r="G292" s="23"/>
      <c r="H292" s="24"/>
      <c r="I292" s="23"/>
      <c r="J292" s="19">
        <f>Таблица1[[#This Row],[Блок
 Куб]]*Таблица1[[#This Row],[Цена 
Приход]]</f>
        <v>0</v>
      </c>
      <c r="K292" s="25"/>
      <c r="L292" s="25"/>
      <c r="M292" s="19">
        <f>Таблица1[[#This Row],[Поддон
Шт]]*Таблица1[[#This Row],[Цена
Поддон]]</f>
        <v>0</v>
      </c>
      <c r="N292" s="19">
        <f>Таблица1[[#This Row],[Сумма 
Приход]]+Таблица1[[#This Row],[Сумма Поддон]]</f>
        <v>0</v>
      </c>
      <c r="O292" s="20"/>
      <c r="P292" s="19">
        <f>Таблица1[[#This Row],[Цена
 Продажа]]-Таблица1[[#This Row],[Цена 
Приход]]</f>
        <v>0</v>
      </c>
      <c r="Q292" s="19"/>
      <c r="R292" s="19">
        <f>Таблица1[[#This Row],[Блок
 Куб]]*Таблица1[[#This Row],[Цена
 Продажа]]</f>
        <v>0</v>
      </c>
      <c r="S292" s="20"/>
      <c r="T292" s="19">
        <f>Таблица1[[#This Row],[Сумма 
Продажа]]-Таблица1[[#This Row],[Сумма 
Приход]]</f>
        <v>0</v>
      </c>
      <c r="U292" s="150"/>
    </row>
    <row r="293" spans="1:21" ht="14.25" x14ac:dyDescent="0.2">
      <c r="A293" s="50">
        <f t="shared" si="4"/>
        <v>290</v>
      </c>
      <c r="B293" s="17"/>
      <c r="C293" s="17"/>
      <c r="D293" s="17"/>
      <c r="E293" s="51"/>
      <c r="F293" s="50"/>
      <c r="G293" s="23"/>
      <c r="H293" s="24"/>
      <c r="I293" s="23"/>
      <c r="J293" s="19">
        <f>Таблица1[[#This Row],[Блок
 Куб]]*Таблица1[[#This Row],[Цена 
Приход]]</f>
        <v>0</v>
      </c>
      <c r="K293" s="25"/>
      <c r="L293" s="25"/>
      <c r="M293" s="19">
        <f>Таблица1[[#This Row],[Поддон
Шт]]*Таблица1[[#This Row],[Цена
Поддон]]</f>
        <v>0</v>
      </c>
      <c r="N293" s="19">
        <f>Таблица1[[#This Row],[Сумма 
Приход]]+Таблица1[[#This Row],[Сумма Поддон]]</f>
        <v>0</v>
      </c>
      <c r="O293" s="20"/>
      <c r="P293" s="19">
        <f>Таблица1[[#This Row],[Цена
 Продажа]]-Таблица1[[#This Row],[Цена 
Приход]]</f>
        <v>0</v>
      </c>
      <c r="Q293" s="19"/>
      <c r="R293" s="19">
        <f>Таблица1[[#This Row],[Блок
 Куб]]*Таблица1[[#This Row],[Цена
 Продажа]]</f>
        <v>0</v>
      </c>
      <c r="S293" s="20"/>
      <c r="T293" s="19">
        <f>Таблица1[[#This Row],[Сумма 
Продажа]]-Таблица1[[#This Row],[Сумма 
Приход]]</f>
        <v>0</v>
      </c>
      <c r="U293" s="150"/>
    </row>
    <row r="294" spans="1:21" ht="14.25" x14ac:dyDescent="0.2">
      <c r="A294" s="50">
        <f t="shared" si="4"/>
        <v>291</v>
      </c>
      <c r="B294" s="17"/>
      <c r="C294" s="17"/>
      <c r="D294" s="17"/>
      <c r="E294" s="51"/>
      <c r="F294" s="50"/>
      <c r="G294" s="23"/>
      <c r="H294" s="24"/>
      <c r="I294" s="23"/>
      <c r="J294" s="19">
        <f>Таблица1[[#This Row],[Блок
 Куб]]*Таблица1[[#This Row],[Цена 
Приход]]</f>
        <v>0</v>
      </c>
      <c r="K294" s="25"/>
      <c r="L294" s="25"/>
      <c r="M294" s="19">
        <f>Таблица1[[#This Row],[Поддон
Шт]]*Таблица1[[#This Row],[Цена
Поддон]]</f>
        <v>0</v>
      </c>
      <c r="N294" s="19">
        <f>Таблица1[[#This Row],[Сумма 
Приход]]+Таблица1[[#This Row],[Сумма Поддон]]</f>
        <v>0</v>
      </c>
      <c r="O294" s="20"/>
      <c r="P294" s="19">
        <f>Таблица1[[#This Row],[Цена
 Продажа]]-Таблица1[[#This Row],[Цена 
Приход]]</f>
        <v>0</v>
      </c>
      <c r="Q294" s="19"/>
      <c r="R294" s="19">
        <f>Таблица1[[#This Row],[Блок
 Куб]]*Таблица1[[#This Row],[Цена
 Продажа]]</f>
        <v>0</v>
      </c>
      <c r="S294" s="20"/>
      <c r="T294" s="19">
        <f>Таблица1[[#This Row],[Сумма 
Продажа]]-Таблица1[[#This Row],[Сумма 
Приход]]</f>
        <v>0</v>
      </c>
      <c r="U294" s="150"/>
    </row>
    <row r="295" spans="1:21" ht="14.25" x14ac:dyDescent="0.2">
      <c r="A295" s="50">
        <f t="shared" si="4"/>
        <v>292</v>
      </c>
      <c r="B295" s="17"/>
      <c r="C295" s="17"/>
      <c r="D295" s="17"/>
      <c r="E295" s="51"/>
      <c r="F295" s="50"/>
      <c r="G295" s="23"/>
      <c r="H295" s="24"/>
      <c r="I295" s="23"/>
      <c r="J295" s="19">
        <f>Таблица1[[#This Row],[Блок
 Куб]]*Таблица1[[#This Row],[Цена 
Приход]]</f>
        <v>0</v>
      </c>
      <c r="K295" s="25"/>
      <c r="L295" s="25"/>
      <c r="M295" s="19">
        <f>Таблица1[[#This Row],[Поддон
Шт]]*Таблица1[[#This Row],[Цена
Поддон]]</f>
        <v>0</v>
      </c>
      <c r="N295" s="19">
        <f>Таблица1[[#This Row],[Сумма 
Приход]]+Таблица1[[#This Row],[Сумма Поддон]]</f>
        <v>0</v>
      </c>
      <c r="O295" s="20"/>
      <c r="P295" s="19">
        <f>Таблица1[[#This Row],[Цена
 Продажа]]-Таблица1[[#This Row],[Цена 
Приход]]</f>
        <v>0</v>
      </c>
      <c r="Q295" s="19"/>
      <c r="R295" s="19">
        <f>Таблица1[[#This Row],[Блок
 Куб]]*Таблица1[[#This Row],[Цена
 Продажа]]</f>
        <v>0</v>
      </c>
      <c r="S295" s="20"/>
      <c r="T295" s="19">
        <f>Таблица1[[#This Row],[Сумма 
Продажа]]-Таблица1[[#This Row],[Сумма 
Приход]]</f>
        <v>0</v>
      </c>
      <c r="U295" s="150"/>
    </row>
    <row r="296" spans="1:21" ht="14.25" x14ac:dyDescent="0.2">
      <c r="A296" s="50">
        <f t="shared" si="4"/>
        <v>293</v>
      </c>
      <c r="B296" s="17"/>
      <c r="C296" s="17"/>
      <c r="D296" s="17"/>
      <c r="E296" s="51"/>
      <c r="F296" s="50"/>
      <c r="G296" s="23"/>
      <c r="H296" s="24"/>
      <c r="I296" s="23"/>
      <c r="J296" s="19">
        <f>Таблица1[[#This Row],[Блок
 Куб]]*Таблица1[[#This Row],[Цена 
Приход]]</f>
        <v>0</v>
      </c>
      <c r="K296" s="25"/>
      <c r="L296" s="25"/>
      <c r="M296" s="19">
        <f>Таблица1[[#This Row],[Поддон
Шт]]*Таблица1[[#This Row],[Цена
Поддон]]</f>
        <v>0</v>
      </c>
      <c r="N296" s="19">
        <f>Таблица1[[#This Row],[Сумма 
Приход]]+Таблица1[[#This Row],[Сумма Поддон]]</f>
        <v>0</v>
      </c>
      <c r="O296" s="20"/>
      <c r="P296" s="19">
        <f>Таблица1[[#This Row],[Цена
 Продажа]]-Таблица1[[#This Row],[Цена 
Приход]]</f>
        <v>0</v>
      </c>
      <c r="Q296" s="19"/>
      <c r="R296" s="19">
        <f>Таблица1[[#This Row],[Блок
 Куб]]*Таблица1[[#This Row],[Цена
 Продажа]]</f>
        <v>0</v>
      </c>
      <c r="S296" s="20"/>
      <c r="T296" s="19">
        <f>Таблица1[[#This Row],[Сумма 
Продажа]]-Таблица1[[#This Row],[Сумма 
Приход]]</f>
        <v>0</v>
      </c>
      <c r="U296" s="150"/>
    </row>
    <row r="297" spans="1:21" ht="14.25" x14ac:dyDescent="0.2">
      <c r="A297" s="50">
        <f t="shared" si="4"/>
        <v>294</v>
      </c>
      <c r="B297" s="17"/>
      <c r="C297" s="17"/>
      <c r="D297" s="17"/>
      <c r="E297" s="51"/>
      <c r="F297" s="50"/>
      <c r="G297" s="23"/>
      <c r="H297" s="24"/>
      <c r="I297" s="23"/>
      <c r="J297" s="19">
        <f>Таблица1[[#This Row],[Блок
 Куб]]*Таблица1[[#This Row],[Цена 
Приход]]</f>
        <v>0</v>
      </c>
      <c r="K297" s="25"/>
      <c r="L297" s="25"/>
      <c r="M297" s="19">
        <f>Таблица1[[#This Row],[Поддон
Шт]]*Таблица1[[#This Row],[Цена
Поддон]]</f>
        <v>0</v>
      </c>
      <c r="N297" s="19">
        <f>Таблица1[[#This Row],[Сумма 
Приход]]+Таблица1[[#This Row],[Сумма Поддон]]</f>
        <v>0</v>
      </c>
      <c r="O297" s="20"/>
      <c r="P297" s="19">
        <f>Таблица1[[#This Row],[Цена
 Продажа]]-Таблица1[[#This Row],[Цена 
Приход]]</f>
        <v>0</v>
      </c>
      <c r="Q297" s="19"/>
      <c r="R297" s="19">
        <f>Таблица1[[#This Row],[Блок
 Куб]]*Таблица1[[#This Row],[Цена
 Продажа]]</f>
        <v>0</v>
      </c>
      <c r="S297" s="20"/>
      <c r="T297" s="19">
        <f>Таблица1[[#This Row],[Сумма 
Продажа]]-Таблица1[[#This Row],[Сумма 
Приход]]</f>
        <v>0</v>
      </c>
      <c r="U297" s="150"/>
    </row>
    <row r="298" spans="1:21" ht="14.25" x14ac:dyDescent="0.2">
      <c r="A298" s="50">
        <f t="shared" si="4"/>
        <v>295</v>
      </c>
      <c r="B298" s="17"/>
      <c r="C298" s="17"/>
      <c r="D298" s="17"/>
      <c r="E298" s="51"/>
      <c r="F298" s="50"/>
      <c r="G298" s="23"/>
      <c r="H298" s="24"/>
      <c r="I298" s="23"/>
      <c r="J298" s="19">
        <f>Таблица1[[#This Row],[Блок
 Куб]]*Таблица1[[#This Row],[Цена 
Приход]]</f>
        <v>0</v>
      </c>
      <c r="K298" s="25"/>
      <c r="L298" s="25"/>
      <c r="M298" s="19">
        <f>Таблица1[[#This Row],[Поддон
Шт]]*Таблица1[[#This Row],[Цена
Поддон]]</f>
        <v>0</v>
      </c>
      <c r="N298" s="19">
        <f>Таблица1[[#This Row],[Сумма 
Приход]]+Таблица1[[#This Row],[Сумма Поддон]]</f>
        <v>0</v>
      </c>
      <c r="O298" s="20"/>
      <c r="P298" s="19">
        <f>Таблица1[[#This Row],[Цена
 Продажа]]-Таблица1[[#This Row],[Цена 
Приход]]</f>
        <v>0</v>
      </c>
      <c r="Q298" s="19"/>
      <c r="R298" s="19">
        <f>Таблица1[[#This Row],[Блок
 Куб]]*Таблица1[[#This Row],[Цена
 Продажа]]</f>
        <v>0</v>
      </c>
      <c r="S298" s="20"/>
      <c r="T298" s="19">
        <f>Таблица1[[#This Row],[Сумма 
Продажа]]-Таблица1[[#This Row],[Сумма 
Приход]]</f>
        <v>0</v>
      </c>
      <c r="U298" s="150"/>
    </row>
    <row r="299" spans="1:21" ht="14.25" x14ac:dyDescent="0.2">
      <c r="A299" s="50">
        <f t="shared" si="4"/>
        <v>296</v>
      </c>
      <c r="B299" s="17"/>
      <c r="C299" s="17"/>
      <c r="D299" s="17"/>
      <c r="E299" s="51"/>
      <c r="F299" s="50"/>
      <c r="G299" s="23"/>
      <c r="H299" s="24"/>
      <c r="I299" s="23"/>
      <c r="J299" s="19">
        <f>Таблица1[[#This Row],[Блок
 Куб]]*Таблица1[[#This Row],[Цена 
Приход]]</f>
        <v>0</v>
      </c>
      <c r="K299" s="25"/>
      <c r="L299" s="25"/>
      <c r="M299" s="19">
        <f>Таблица1[[#This Row],[Поддон
Шт]]*Таблица1[[#This Row],[Цена
Поддон]]</f>
        <v>0</v>
      </c>
      <c r="N299" s="19">
        <f>Таблица1[[#This Row],[Сумма 
Приход]]+Таблица1[[#This Row],[Сумма Поддон]]</f>
        <v>0</v>
      </c>
      <c r="O299" s="20"/>
      <c r="P299" s="19">
        <f>Таблица1[[#This Row],[Цена
 Продажа]]-Таблица1[[#This Row],[Цена 
Приход]]</f>
        <v>0</v>
      </c>
      <c r="Q299" s="19"/>
      <c r="R299" s="19">
        <f>Таблица1[[#This Row],[Блок
 Куб]]*Таблица1[[#This Row],[Цена
 Продажа]]</f>
        <v>0</v>
      </c>
      <c r="S299" s="20"/>
      <c r="T299" s="19">
        <f>Таблица1[[#This Row],[Сумма 
Продажа]]-Таблица1[[#This Row],[Сумма 
Приход]]</f>
        <v>0</v>
      </c>
      <c r="U299" s="150"/>
    </row>
    <row r="300" spans="1:21" ht="14.25" x14ac:dyDescent="0.2">
      <c r="A300" s="50">
        <f t="shared" si="4"/>
        <v>297</v>
      </c>
      <c r="B300" s="17"/>
      <c r="C300" s="17"/>
      <c r="D300" s="17"/>
      <c r="E300" s="51"/>
      <c r="F300" s="50"/>
      <c r="G300" s="23"/>
      <c r="H300" s="24"/>
      <c r="I300" s="23"/>
      <c r="J300" s="19">
        <f>Таблица1[[#This Row],[Блок
 Куб]]*Таблица1[[#This Row],[Цена 
Приход]]</f>
        <v>0</v>
      </c>
      <c r="K300" s="25"/>
      <c r="L300" s="25"/>
      <c r="M300" s="19">
        <f>Таблица1[[#This Row],[Поддон
Шт]]*Таблица1[[#This Row],[Цена
Поддон]]</f>
        <v>0</v>
      </c>
      <c r="N300" s="19">
        <f>Таблица1[[#This Row],[Сумма 
Приход]]+Таблица1[[#This Row],[Сумма Поддон]]</f>
        <v>0</v>
      </c>
      <c r="O300" s="20"/>
      <c r="P300" s="19">
        <f>Таблица1[[#This Row],[Цена
 Продажа]]-Таблица1[[#This Row],[Цена 
Приход]]</f>
        <v>0</v>
      </c>
      <c r="Q300" s="19"/>
      <c r="R300" s="19">
        <f>Таблица1[[#This Row],[Блок
 Куб]]*Таблица1[[#This Row],[Цена
 Продажа]]</f>
        <v>0</v>
      </c>
      <c r="S300" s="20"/>
      <c r="T300" s="19">
        <f>Таблица1[[#This Row],[Сумма 
Продажа]]-Таблица1[[#This Row],[Сумма 
Приход]]</f>
        <v>0</v>
      </c>
      <c r="U300" s="150"/>
    </row>
    <row r="301" spans="1:21" ht="14.25" x14ac:dyDescent="0.2">
      <c r="A301" s="50">
        <f t="shared" si="4"/>
        <v>298</v>
      </c>
      <c r="B301" s="17"/>
      <c r="C301" s="17"/>
      <c r="D301" s="17"/>
      <c r="E301" s="51"/>
      <c r="F301" s="50"/>
      <c r="G301" s="23"/>
      <c r="H301" s="24"/>
      <c r="I301" s="23"/>
      <c r="J301" s="19">
        <f>Таблица1[[#This Row],[Блок
 Куб]]*Таблица1[[#This Row],[Цена 
Приход]]</f>
        <v>0</v>
      </c>
      <c r="K301" s="25"/>
      <c r="L301" s="25"/>
      <c r="M301" s="19">
        <f>Таблица1[[#This Row],[Поддон
Шт]]*Таблица1[[#This Row],[Цена
Поддон]]</f>
        <v>0</v>
      </c>
      <c r="N301" s="19">
        <f>Таблица1[[#This Row],[Сумма 
Приход]]+Таблица1[[#This Row],[Сумма Поддон]]</f>
        <v>0</v>
      </c>
      <c r="O301" s="20"/>
      <c r="P301" s="19">
        <f>Таблица1[[#This Row],[Цена
 Продажа]]-Таблица1[[#This Row],[Цена 
Приход]]</f>
        <v>0</v>
      </c>
      <c r="Q301" s="19"/>
      <c r="R301" s="19">
        <f>Таблица1[[#This Row],[Блок
 Куб]]*Таблица1[[#This Row],[Цена
 Продажа]]</f>
        <v>0</v>
      </c>
      <c r="S301" s="20"/>
      <c r="T301" s="19">
        <f>Таблица1[[#This Row],[Сумма 
Продажа]]-Таблица1[[#This Row],[Сумма 
Приход]]</f>
        <v>0</v>
      </c>
      <c r="U301" s="150"/>
    </row>
    <row r="302" spans="1:21" ht="14.25" x14ac:dyDescent="0.2">
      <c r="A302" s="50">
        <f t="shared" si="4"/>
        <v>299</v>
      </c>
      <c r="B302" s="17"/>
      <c r="C302" s="17"/>
      <c r="D302" s="17"/>
      <c r="E302" s="51"/>
      <c r="F302" s="50"/>
      <c r="G302" s="23"/>
      <c r="H302" s="24"/>
      <c r="I302" s="23"/>
      <c r="J302" s="19">
        <f>Таблица1[[#This Row],[Блок
 Куб]]*Таблица1[[#This Row],[Цена 
Приход]]</f>
        <v>0</v>
      </c>
      <c r="K302" s="25"/>
      <c r="L302" s="25"/>
      <c r="M302" s="19">
        <f>Таблица1[[#This Row],[Поддон
Шт]]*Таблица1[[#This Row],[Цена
Поддон]]</f>
        <v>0</v>
      </c>
      <c r="N302" s="19">
        <f>Таблица1[[#This Row],[Сумма 
Приход]]+Таблица1[[#This Row],[Сумма Поддон]]</f>
        <v>0</v>
      </c>
      <c r="O302" s="20"/>
      <c r="P302" s="19">
        <f>Таблица1[[#This Row],[Цена
 Продажа]]-Таблица1[[#This Row],[Цена 
Приход]]</f>
        <v>0</v>
      </c>
      <c r="Q302" s="19"/>
      <c r="R302" s="19">
        <f>Таблица1[[#This Row],[Блок
 Куб]]*Таблица1[[#This Row],[Цена
 Продажа]]</f>
        <v>0</v>
      </c>
      <c r="S302" s="20"/>
      <c r="T302" s="19">
        <f>Таблица1[[#This Row],[Сумма 
Продажа]]-Таблица1[[#This Row],[Сумма 
Приход]]</f>
        <v>0</v>
      </c>
      <c r="U302" s="150"/>
    </row>
    <row r="303" spans="1:21" ht="14.25" x14ac:dyDescent="0.2">
      <c r="A303" s="50">
        <f t="shared" si="4"/>
        <v>300</v>
      </c>
      <c r="B303" s="17"/>
      <c r="C303" s="17"/>
      <c r="D303" s="17"/>
      <c r="E303" s="51"/>
      <c r="F303" s="50"/>
      <c r="G303" s="23"/>
      <c r="H303" s="24"/>
      <c r="I303" s="23"/>
      <c r="J303" s="19">
        <f>Таблица1[[#This Row],[Блок
 Куб]]*Таблица1[[#This Row],[Цена 
Приход]]</f>
        <v>0</v>
      </c>
      <c r="K303" s="25"/>
      <c r="L303" s="25"/>
      <c r="M303" s="19">
        <f>Таблица1[[#This Row],[Поддон
Шт]]*Таблица1[[#This Row],[Цена
Поддон]]</f>
        <v>0</v>
      </c>
      <c r="N303" s="19">
        <f>Таблица1[[#This Row],[Сумма 
Приход]]+Таблица1[[#This Row],[Сумма Поддон]]</f>
        <v>0</v>
      </c>
      <c r="O303" s="20"/>
      <c r="P303" s="19">
        <f>Таблица1[[#This Row],[Цена
 Продажа]]-Таблица1[[#This Row],[Цена 
Приход]]</f>
        <v>0</v>
      </c>
      <c r="Q303" s="19"/>
      <c r="R303" s="19">
        <f>Таблица1[[#This Row],[Блок
 Куб]]*Таблица1[[#This Row],[Цена
 Продажа]]</f>
        <v>0</v>
      </c>
      <c r="S303" s="20"/>
      <c r="T303" s="19">
        <f>Таблица1[[#This Row],[Сумма 
Продажа]]-Таблица1[[#This Row],[Сумма 
Приход]]</f>
        <v>0</v>
      </c>
      <c r="U303" s="150"/>
    </row>
    <row r="304" spans="1:21" ht="14.25" x14ac:dyDescent="0.2">
      <c r="A304" s="50">
        <f t="shared" si="4"/>
        <v>301</v>
      </c>
      <c r="B304" s="17"/>
      <c r="C304" s="17"/>
      <c r="D304" s="17"/>
      <c r="E304" s="51"/>
      <c r="F304" s="50"/>
      <c r="G304" s="23"/>
      <c r="H304" s="24"/>
      <c r="I304" s="23"/>
      <c r="J304" s="19">
        <f>Таблица1[[#This Row],[Блок
 Куб]]*Таблица1[[#This Row],[Цена 
Приход]]</f>
        <v>0</v>
      </c>
      <c r="K304" s="25"/>
      <c r="L304" s="25"/>
      <c r="M304" s="19">
        <f>Таблица1[[#This Row],[Поддон
Шт]]*Таблица1[[#This Row],[Цена
Поддон]]</f>
        <v>0</v>
      </c>
      <c r="N304" s="19">
        <f>Таблица1[[#This Row],[Сумма 
Приход]]+Таблица1[[#This Row],[Сумма Поддон]]</f>
        <v>0</v>
      </c>
      <c r="O304" s="20"/>
      <c r="P304" s="19">
        <f>Таблица1[[#This Row],[Цена
 Продажа]]-Таблица1[[#This Row],[Цена 
Приход]]</f>
        <v>0</v>
      </c>
      <c r="Q304" s="19"/>
      <c r="R304" s="19">
        <f>Таблица1[[#This Row],[Блок
 Куб]]*Таблица1[[#This Row],[Цена
 Продажа]]</f>
        <v>0</v>
      </c>
      <c r="S304" s="20"/>
      <c r="T304" s="19">
        <f>Таблица1[[#This Row],[Сумма 
Продажа]]-Таблица1[[#This Row],[Сумма 
Приход]]</f>
        <v>0</v>
      </c>
      <c r="U304" s="150"/>
    </row>
    <row r="305" spans="1:21" ht="14.25" x14ac:dyDescent="0.2">
      <c r="A305" s="50">
        <f t="shared" si="4"/>
        <v>302</v>
      </c>
      <c r="B305" s="17"/>
      <c r="C305" s="17"/>
      <c r="D305" s="17"/>
      <c r="E305" s="51"/>
      <c r="F305" s="50"/>
      <c r="G305" s="23"/>
      <c r="H305" s="24"/>
      <c r="I305" s="23"/>
      <c r="J305" s="19">
        <f>Таблица1[[#This Row],[Блок
 Куб]]*Таблица1[[#This Row],[Цена 
Приход]]</f>
        <v>0</v>
      </c>
      <c r="K305" s="25"/>
      <c r="L305" s="25"/>
      <c r="M305" s="19">
        <f>Таблица1[[#This Row],[Поддон
Шт]]*Таблица1[[#This Row],[Цена
Поддон]]</f>
        <v>0</v>
      </c>
      <c r="N305" s="19">
        <f>Таблица1[[#This Row],[Сумма 
Приход]]+Таблица1[[#This Row],[Сумма Поддон]]</f>
        <v>0</v>
      </c>
      <c r="O305" s="20"/>
      <c r="P305" s="19">
        <f>Таблица1[[#This Row],[Цена
 Продажа]]-Таблица1[[#This Row],[Цена 
Приход]]</f>
        <v>0</v>
      </c>
      <c r="Q305" s="19"/>
      <c r="R305" s="19">
        <f>Таблица1[[#This Row],[Блок
 Куб]]*Таблица1[[#This Row],[Цена
 Продажа]]</f>
        <v>0</v>
      </c>
      <c r="S305" s="20"/>
      <c r="T305" s="19">
        <f>Таблица1[[#This Row],[Сумма 
Продажа]]-Таблица1[[#This Row],[Сумма 
Приход]]</f>
        <v>0</v>
      </c>
      <c r="U305" s="150"/>
    </row>
    <row r="306" spans="1:21" ht="14.25" x14ac:dyDescent="0.2">
      <c r="A306" s="50">
        <f t="shared" si="4"/>
        <v>303</v>
      </c>
      <c r="B306" s="17"/>
      <c r="C306" s="17"/>
      <c r="D306" s="17"/>
      <c r="E306" s="51"/>
      <c r="F306" s="50"/>
      <c r="G306" s="23"/>
      <c r="H306" s="24"/>
      <c r="I306" s="23"/>
      <c r="J306" s="19">
        <f>Таблица1[[#This Row],[Блок
 Куб]]*Таблица1[[#This Row],[Цена 
Приход]]</f>
        <v>0</v>
      </c>
      <c r="K306" s="25"/>
      <c r="L306" s="25"/>
      <c r="M306" s="19">
        <f>Таблица1[[#This Row],[Поддон
Шт]]*Таблица1[[#This Row],[Цена
Поддон]]</f>
        <v>0</v>
      </c>
      <c r="N306" s="19">
        <f>Таблица1[[#This Row],[Сумма 
Приход]]+Таблица1[[#This Row],[Сумма Поддон]]</f>
        <v>0</v>
      </c>
      <c r="O306" s="20"/>
      <c r="P306" s="19">
        <f>Таблица1[[#This Row],[Цена
 Продажа]]-Таблица1[[#This Row],[Цена 
Приход]]</f>
        <v>0</v>
      </c>
      <c r="Q306" s="19"/>
      <c r="R306" s="19">
        <f>Таблица1[[#This Row],[Блок
 Куб]]*Таблица1[[#This Row],[Цена
 Продажа]]</f>
        <v>0</v>
      </c>
      <c r="S306" s="20"/>
      <c r="T306" s="19">
        <f>Таблица1[[#This Row],[Сумма 
Продажа]]-Таблица1[[#This Row],[Сумма 
Приход]]</f>
        <v>0</v>
      </c>
      <c r="U306" s="150"/>
    </row>
    <row r="307" spans="1:21" ht="14.25" x14ac:dyDescent="0.2">
      <c r="A307" s="50">
        <f t="shared" si="4"/>
        <v>304</v>
      </c>
      <c r="B307" s="17"/>
      <c r="C307" s="17"/>
      <c r="D307" s="17"/>
      <c r="E307" s="51"/>
      <c r="F307" s="50"/>
      <c r="G307" s="23"/>
      <c r="H307" s="24"/>
      <c r="I307" s="23"/>
      <c r="J307" s="19">
        <f>Таблица1[[#This Row],[Блок
 Куб]]*Таблица1[[#This Row],[Цена 
Приход]]</f>
        <v>0</v>
      </c>
      <c r="K307" s="25"/>
      <c r="L307" s="25"/>
      <c r="M307" s="19">
        <f>Таблица1[[#This Row],[Поддон
Шт]]*Таблица1[[#This Row],[Цена
Поддон]]</f>
        <v>0</v>
      </c>
      <c r="N307" s="19">
        <f>Таблица1[[#This Row],[Сумма 
Приход]]+Таблица1[[#This Row],[Сумма Поддон]]</f>
        <v>0</v>
      </c>
      <c r="O307" s="20"/>
      <c r="P307" s="19">
        <f>Таблица1[[#This Row],[Цена
 Продажа]]-Таблица1[[#This Row],[Цена 
Приход]]</f>
        <v>0</v>
      </c>
      <c r="Q307" s="19"/>
      <c r="R307" s="19">
        <f>Таблица1[[#This Row],[Блок
 Куб]]*Таблица1[[#This Row],[Цена
 Продажа]]</f>
        <v>0</v>
      </c>
      <c r="S307" s="20"/>
      <c r="T307" s="19">
        <f>Таблица1[[#This Row],[Сумма 
Продажа]]-Таблица1[[#This Row],[Сумма 
Приход]]</f>
        <v>0</v>
      </c>
      <c r="U307" s="150"/>
    </row>
    <row r="308" spans="1:21" ht="14.25" x14ac:dyDescent="0.2">
      <c r="A308" s="50">
        <f t="shared" si="4"/>
        <v>305</v>
      </c>
      <c r="B308" s="17"/>
      <c r="C308" s="17"/>
      <c r="D308" s="17"/>
      <c r="E308" s="51"/>
      <c r="F308" s="50"/>
      <c r="G308" s="23"/>
      <c r="H308" s="24"/>
      <c r="I308" s="23"/>
      <c r="J308" s="19">
        <f>Таблица1[[#This Row],[Блок
 Куб]]*Таблица1[[#This Row],[Цена 
Приход]]</f>
        <v>0</v>
      </c>
      <c r="K308" s="25"/>
      <c r="L308" s="25"/>
      <c r="M308" s="19">
        <f>Таблица1[[#This Row],[Поддон
Шт]]*Таблица1[[#This Row],[Цена
Поддон]]</f>
        <v>0</v>
      </c>
      <c r="N308" s="19">
        <f>Таблица1[[#This Row],[Сумма 
Приход]]+Таблица1[[#This Row],[Сумма Поддон]]</f>
        <v>0</v>
      </c>
      <c r="O308" s="20"/>
      <c r="P308" s="19">
        <f>Таблица1[[#This Row],[Цена
 Продажа]]-Таблица1[[#This Row],[Цена 
Приход]]</f>
        <v>0</v>
      </c>
      <c r="Q308" s="19"/>
      <c r="R308" s="19">
        <f>Таблица1[[#This Row],[Блок
 Куб]]*Таблица1[[#This Row],[Цена
 Продажа]]</f>
        <v>0</v>
      </c>
      <c r="S308" s="20"/>
      <c r="T308" s="19">
        <f>Таблица1[[#This Row],[Сумма 
Продажа]]-Таблица1[[#This Row],[Сумма 
Приход]]</f>
        <v>0</v>
      </c>
      <c r="U308" s="150"/>
    </row>
    <row r="309" spans="1:21" ht="14.25" x14ac:dyDescent="0.2">
      <c r="A309" s="50">
        <f t="shared" si="4"/>
        <v>306</v>
      </c>
      <c r="B309" s="17"/>
      <c r="C309" s="17"/>
      <c r="D309" s="17"/>
      <c r="E309" s="51"/>
      <c r="F309" s="50"/>
      <c r="G309" s="23"/>
      <c r="H309" s="24"/>
      <c r="I309" s="23"/>
      <c r="J309" s="19">
        <f>Таблица1[[#This Row],[Блок
 Куб]]*Таблица1[[#This Row],[Цена 
Приход]]</f>
        <v>0</v>
      </c>
      <c r="K309" s="25"/>
      <c r="L309" s="25"/>
      <c r="M309" s="19">
        <f>Таблица1[[#This Row],[Поддон
Шт]]*Таблица1[[#This Row],[Цена
Поддон]]</f>
        <v>0</v>
      </c>
      <c r="N309" s="19">
        <f>Таблица1[[#This Row],[Сумма 
Приход]]+Таблица1[[#This Row],[Сумма Поддон]]</f>
        <v>0</v>
      </c>
      <c r="O309" s="20"/>
      <c r="P309" s="19">
        <f>Таблица1[[#This Row],[Цена
 Продажа]]-Таблица1[[#This Row],[Цена 
Приход]]</f>
        <v>0</v>
      </c>
      <c r="Q309" s="19"/>
      <c r="R309" s="19">
        <f>Таблица1[[#This Row],[Блок
 Куб]]*Таблица1[[#This Row],[Цена
 Продажа]]</f>
        <v>0</v>
      </c>
      <c r="S309" s="20"/>
      <c r="T309" s="19">
        <f>Таблица1[[#This Row],[Сумма 
Продажа]]-Таблица1[[#This Row],[Сумма 
Приход]]</f>
        <v>0</v>
      </c>
      <c r="U309" s="150"/>
    </row>
    <row r="310" spans="1:21" ht="14.25" x14ac:dyDescent="0.2">
      <c r="A310" s="50">
        <f t="shared" si="4"/>
        <v>307</v>
      </c>
      <c r="B310" s="17"/>
      <c r="C310" s="17"/>
      <c r="D310" s="17"/>
      <c r="E310" s="51"/>
      <c r="F310" s="50"/>
      <c r="G310" s="23"/>
      <c r="H310" s="24"/>
      <c r="I310" s="23"/>
      <c r="J310" s="19">
        <f>Таблица1[[#This Row],[Блок
 Куб]]*Таблица1[[#This Row],[Цена 
Приход]]</f>
        <v>0</v>
      </c>
      <c r="K310" s="25"/>
      <c r="L310" s="25"/>
      <c r="M310" s="19">
        <f>Таблица1[[#This Row],[Поддон
Шт]]*Таблица1[[#This Row],[Цена
Поддон]]</f>
        <v>0</v>
      </c>
      <c r="N310" s="19">
        <f>Таблица1[[#This Row],[Сумма 
Приход]]+Таблица1[[#This Row],[Сумма Поддон]]</f>
        <v>0</v>
      </c>
      <c r="O310" s="20"/>
      <c r="P310" s="19">
        <f>Таблица1[[#This Row],[Цена
 Продажа]]-Таблица1[[#This Row],[Цена 
Приход]]</f>
        <v>0</v>
      </c>
      <c r="Q310" s="19"/>
      <c r="R310" s="19">
        <f>Таблица1[[#This Row],[Блок
 Куб]]*Таблица1[[#This Row],[Цена
 Продажа]]</f>
        <v>0</v>
      </c>
      <c r="S310" s="20"/>
      <c r="T310" s="19">
        <f>Таблица1[[#This Row],[Сумма 
Продажа]]-Таблица1[[#This Row],[Сумма 
Приход]]</f>
        <v>0</v>
      </c>
      <c r="U310" s="150"/>
    </row>
    <row r="311" spans="1:21" ht="14.25" x14ac:dyDescent="0.2">
      <c r="A311" s="50">
        <f t="shared" si="4"/>
        <v>308</v>
      </c>
      <c r="B311" s="17"/>
      <c r="C311" s="17"/>
      <c r="D311" s="17"/>
      <c r="E311" s="51"/>
      <c r="F311" s="50"/>
      <c r="G311" s="23"/>
      <c r="H311" s="24"/>
      <c r="I311" s="23"/>
      <c r="J311" s="19">
        <f>Таблица1[[#This Row],[Блок
 Куб]]*Таблица1[[#This Row],[Цена 
Приход]]</f>
        <v>0</v>
      </c>
      <c r="K311" s="25"/>
      <c r="L311" s="25"/>
      <c r="M311" s="19">
        <f>Таблица1[[#This Row],[Поддон
Шт]]*Таблица1[[#This Row],[Цена
Поддон]]</f>
        <v>0</v>
      </c>
      <c r="N311" s="19">
        <f>Таблица1[[#This Row],[Сумма 
Приход]]+Таблица1[[#This Row],[Сумма Поддон]]</f>
        <v>0</v>
      </c>
      <c r="O311" s="20"/>
      <c r="P311" s="19">
        <f>Таблица1[[#This Row],[Цена
 Продажа]]-Таблица1[[#This Row],[Цена 
Приход]]</f>
        <v>0</v>
      </c>
      <c r="Q311" s="19"/>
      <c r="R311" s="19">
        <f>Таблица1[[#This Row],[Блок
 Куб]]*Таблица1[[#This Row],[Цена
 Продажа]]</f>
        <v>0</v>
      </c>
      <c r="S311" s="20"/>
      <c r="T311" s="19">
        <f>Таблица1[[#This Row],[Сумма 
Продажа]]-Таблица1[[#This Row],[Сумма 
Приход]]</f>
        <v>0</v>
      </c>
      <c r="U311" s="150"/>
    </row>
    <row r="312" spans="1:21" ht="14.25" x14ac:dyDescent="0.2">
      <c r="A312" s="50">
        <f t="shared" si="4"/>
        <v>309</v>
      </c>
      <c r="B312" s="17"/>
      <c r="C312" s="17"/>
      <c r="D312" s="17"/>
      <c r="E312" s="51"/>
      <c r="F312" s="50"/>
      <c r="G312" s="23"/>
      <c r="H312" s="24"/>
      <c r="I312" s="23"/>
      <c r="J312" s="19">
        <f>Таблица1[[#This Row],[Блок
 Куб]]*Таблица1[[#This Row],[Цена 
Приход]]</f>
        <v>0</v>
      </c>
      <c r="K312" s="25"/>
      <c r="L312" s="25"/>
      <c r="M312" s="19">
        <f>Таблица1[[#This Row],[Поддон
Шт]]*Таблица1[[#This Row],[Цена
Поддон]]</f>
        <v>0</v>
      </c>
      <c r="N312" s="19">
        <f>Таблица1[[#This Row],[Сумма 
Приход]]+Таблица1[[#This Row],[Сумма Поддон]]</f>
        <v>0</v>
      </c>
      <c r="O312" s="20"/>
      <c r="P312" s="19">
        <f>Таблица1[[#This Row],[Цена
 Продажа]]-Таблица1[[#This Row],[Цена 
Приход]]</f>
        <v>0</v>
      </c>
      <c r="Q312" s="19"/>
      <c r="R312" s="19">
        <f>Таблица1[[#This Row],[Блок
 Куб]]*Таблица1[[#This Row],[Цена
 Продажа]]</f>
        <v>0</v>
      </c>
      <c r="S312" s="20"/>
      <c r="T312" s="19">
        <f>Таблица1[[#This Row],[Сумма 
Продажа]]-Таблица1[[#This Row],[Сумма 
Приход]]</f>
        <v>0</v>
      </c>
      <c r="U312" s="150"/>
    </row>
    <row r="313" spans="1:21" ht="14.25" x14ac:dyDescent="0.2">
      <c r="A313" s="50">
        <f t="shared" si="4"/>
        <v>310</v>
      </c>
      <c r="B313" s="17"/>
      <c r="C313" s="17"/>
      <c r="D313" s="17"/>
      <c r="E313" s="51"/>
      <c r="F313" s="50"/>
      <c r="G313" s="23"/>
      <c r="H313" s="24"/>
      <c r="I313" s="23"/>
      <c r="J313" s="19">
        <f>Таблица1[[#This Row],[Блок
 Куб]]*Таблица1[[#This Row],[Цена 
Приход]]</f>
        <v>0</v>
      </c>
      <c r="K313" s="25"/>
      <c r="L313" s="25"/>
      <c r="M313" s="19">
        <f>Таблица1[[#This Row],[Поддон
Шт]]*Таблица1[[#This Row],[Цена
Поддон]]</f>
        <v>0</v>
      </c>
      <c r="N313" s="19">
        <f>Таблица1[[#This Row],[Сумма 
Приход]]+Таблица1[[#This Row],[Сумма Поддон]]</f>
        <v>0</v>
      </c>
      <c r="O313" s="20"/>
      <c r="P313" s="19">
        <f>Таблица1[[#This Row],[Цена
 Продажа]]-Таблица1[[#This Row],[Цена 
Приход]]</f>
        <v>0</v>
      </c>
      <c r="Q313" s="19"/>
      <c r="R313" s="19">
        <f>Таблица1[[#This Row],[Блок
 Куб]]*Таблица1[[#This Row],[Цена
 Продажа]]</f>
        <v>0</v>
      </c>
      <c r="S313" s="20"/>
      <c r="T313" s="19">
        <f>Таблица1[[#This Row],[Сумма 
Продажа]]-Таблица1[[#This Row],[Сумма 
Приход]]</f>
        <v>0</v>
      </c>
      <c r="U313" s="150"/>
    </row>
    <row r="314" spans="1:21" ht="14.25" x14ac:dyDescent="0.2">
      <c r="A314" s="50">
        <f t="shared" si="4"/>
        <v>311</v>
      </c>
      <c r="B314" s="17"/>
      <c r="C314" s="17"/>
      <c r="D314" s="17"/>
      <c r="E314" s="51"/>
      <c r="F314" s="50"/>
      <c r="G314" s="23"/>
      <c r="H314" s="24"/>
      <c r="I314" s="23"/>
      <c r="J314" s="19">
        <f>Таблица1[[#This Row],[Блок
 Куб]]*Таблица1[[#This Row],[Цена 
Приход]]</f>
        <v>0</v>
      </c>
      <c r="K314" s="25"/>
      <c r="L314" s="25"/>
      <c r="M314" s="19">
        <f>Таблица1[[#This Row],[Поддон
Шт]]*Таблица1[[#This Row],[Цена
Поддон]]</f>
        <v>0</v>
      </c>
      <c r="N314" s="19">
        <f>Таблица1[[#This Row],[Сумма 
Приход]]+Таблица1[[#This Row],[Сумма Поддон]]</f>
        <v>0</v>
      </c>
      <c r="O314" s="20"/>
      <c r="P314" s="19">
        <f>Таблица1[[#This Row],[Цена
 Продажа]]-Таблица1[[#This Row],[Цена 
Приход]]</f>
        <v>0</v>
      </c>
      <c r="Q314" s="19"/>
      <c r="R314" s="19">
        <f>Таблица1[[#This Row],[Блок
 Куб]]*Таблица1[[#This Row],[Цена
 Продажа]]</f>
        <v>0</v>
      </c>
      <c r="S314" s="20"/>
      <c r="T314" s="19">
        <f>Таблица1[[#This Row],[Сумма 
Продажа]]-Таблица1[[#This Row],[Сумма 
Приход]]</f>
        <v>0</v>
      </c>
      <c r="U314" s="150"/>
    </row>
    <row r="315" spans="1:21" ht="14.25" x14ac:dyDescent="0.2">
      <c r="A315" s="50">
        <f t="shared" si="4"/>
        <v>312</v>
      </c>
      <c r="B315" s="17"/>
      <c r="C315" s="17"/>
      <c r="D315" s="17"/>
      <c r="E315" s="51"/>
      <c r="F315" s="50"/>
      <c r="G315" s="23"/>
      <c r="H315" s="24"/>
      <c r="I315" s="23"/>
      <c r="J315" s="19">
        <f>Таблица1[[#This Row],[Блок
 Куб]]*Таблица1[[#This Row],[Цена 
Приход]]</f>
        <v>0</v>
      </c>
      <c r="K315" s="25"/>
      <c r="L315" s="25"/>
      <c r="M315" s="19">
        <f>Таблица1[[#This Row],[Поддон
Шт]]*Таблица1[[#This Row],[Цена
Поддон]]</f>
        <v>0</v>
      </c>
      <c r="N315" s="19">
        <f>Таблица1[[#This Row],[Сумма 
Приход]]+Таблица1[[#This Row],[Сумма Поддон]]</f>
        <v>0</v>
      </c>
      <c r="O315" s="20"/>
      <c r="P315" s="19">
        <f>Таблица1[[#This Row],[Цена
 Продажа]]-Таблица1[[#This Row],[Цена 
Приход]]</f>
        <v>0</v>
      </c>
      <c r="Q315" s="19"/>
      <c r="R315" s="19">
        <f>Таблица1[[#This Row],[Блок
 Куб]]*Таблица1[[#This Row],[Цена
 Продажа]]</f>
        <v>0</v>
      </c>
      <c r="S315" s="20"/>
      <c r="T315" s="19">
        <f>Таблица1[[#This Row],[Сумма 
Продажа]]-Таблица1[[#This Row],[Сумма 
Приход]]</f>
        <v>0</v>
      </c>
      <c r="U315" s="150"/>
    </row>
    <row r="316" spans="1:21" ht="14.25" x14ac:dyDescent="0.2">
      <c r="A316" s="50">
        <f t="shared" si="4"/>
        <v>313</v>
      </c>
      <c r="B316" s="17"/>
      <c r="C316" s="17"/>
      <c r="D316" s="17"/>
      <c r="E316" s="51"/>
      <c r="F316" s="50"/>
      <c r="G316" s="23"/>
      <c r="H316" s="24"/>
      <c r="I316" s="23"/>
      <c r="J316" s="19">
        <f>Таблица1[[#This Row],[Блок
 Куб]]*Таблица1[[#This Row],[Цена 
Приход]]</f>
        <v>0</v>
      </c>
      <c r="K316" s="25"/>
      <c r="L316" s="25"/>
      <c r="M316" s="19">
        <f>Таблица1[[#This Row],[Поддон
Шт]]*Таблица1[[#This Row],[Цена
Поддон]]</f>
        <v>0</v>
      </c>
      <c r="N316" s="19">
        <f>Таблица1[[#This Row],[Сумма 
Приход]]+Таблица1[[#This Row],[Сумма Поддон]]</f>
        <v>0</v>
      </c>
      <c r="O316" s="20"/>
      <c r="P316" s="19">
        <f>Таблица1[[#This Row],[Цена
 Продажа]]-Таблица1[[#This Row],[Цена 
Приход]]</f>
        <v>0</v>
      </c>
      <c r="Q316" s="19"/>
      <c r="R316" s="19">
        <f>Таблица1[[#This Row],[Блок
 Куб]]*Таблица1[[#This Row],[Цена
 Продажа]]</f>
        <v>0</v>
      </c>
      <c r="S316" s="20"/>
      <c r="T316" s="19">
        <f>Таблица1[[#This Row],[Сумма 
Продажа]]-Таблица1[[#This Row],[Сумма 
Приход]]</f>
        <v>0</v>
      </c>
      <c r="U316" s="150"/>
    </row>
    <row r="317" spans="1:21" ht="14.25" x14ac:dyDescent="0.2">
      <c r="A317" s="50">
        <f t="shared" si="4"/>
        <v>314</v>
      </c>
      <c r="B317" s="17"/>
      <c r="C317" s="17"/>
      <c r="D317" s="17"/>
      <c r="E317" s="51"/>
      <c r="F317" s="50"/>
      <c r="G317" s="23"/>
      <c r="H317" s="24"/>
      <c r="I317" s="23"/>
      <c r="J317" s="19">
        <f>Таблица1[[#This Row],[Блок
 Куб]]*Таблица1[[#This Row],[Цена 
Приход]]</f>
        <v>0</v>
      </c>
      <c r="K317" s="25"/>
      <c r="L317" s="25"/>
      <c r="M317" s="19">
        <f>Таблица1[[#This Row],[Поддон
Шт]]*Таблица1[[#This Row],[Цена
Поддон]]</f>
        <v>0</v>
      </c>
      <c r="N317" s="19">
        <f>Таблица1[[#This Row],[Сумма 
Приход]]+Таблица1[[#This Row],[Сумма Поддон]]</f>
        <v>0</v>
      </c>
      <c r="O317" s="20"/>
      <c r="P317" s="19">
        <f>Таблица1[[#This Row],[Цена
 Продажа]]-Таблица1[[#This Row],[Цена 
Приход]]</f>
        <v>0</v>
      </c>
      <c r="Q317" s="19"/>
      <c r="R317" s="19">
        <f>Таблица1[[#This Row],[Блок
 Куб]]*Таблица1[[#This Row],[Цена
 Продажа]]</f>
        <v>0</v>
      </c>
      <c r="S317" s="20"/>
      <c r="T317" s="19">
        <f>Таблица1[[#This Row],[Сумма 
Продажа]]-Таблица1[[#This Row],[Сумма 
Приход]]</f>
        <v>0</v>
      </c>
      <c r="U317" s="150"/>
    </row>
    <row r="318" spans="1:21" ht="14.25" x14ac:dyDescent="0.2">
      <c r="A318" s="50">
        <f t="shared" si="4"/>
        <v>315</v>
      </c>
      <c r="B318" s="17"/>
      <c r="C318" s="17"/>
      <c r="D318" s="17"/>
      <c r="E318" s="51"/>
      <c r="F318" s="50"/>
      <c r="G318" s="23"/>
      <c r="H318" s="24"/>
      <c r="I318" s="23"/>
      <c r="J318" s="19">
        <f>Таблица1[[#This Row],[Блок
 Куб]]*Таблица1[[#This Row],[Цена 
Приход]]</f>
        <v>0</v>
      </c>
      <c r="K318" s="25"/>
      <c r="L318" s="25"/>
      <c r="M318" s="19">
        <f>Таблица1[[#This Row],[Поддон
Шт]]*Таблица1[[#This Row],[Цена
Поддон]]</f>
        <v>0</v>
      </c>
      <c r="N318" s="19">
        <f>Таблица1[[#This Row],[Сумма 
Приход]]+Таблица1[[#This Row],[Сумма Поддон]]</f>
        <v>0</v>
      </c>
      <c r="O318" s="20"/>
      <c r="P318" s="19">
        <f>Таблица1[[#This Row],[Цена
 Продажа]]-Таблица1[[#This Row],[Цена 
Приход]]</f>
        <v>0</v>
      </c>
      <c r="Q318" s="19"/>
      <c r="R318" s="19">
        <f>Таблица1[[#This Row],[Блок
 Куб]]*Таблица1[[#This Row],[Цена
 Продажа]]</f>
        <v>0</v>
      </c>
      <c r="S318" s="20"/>
      <c r="T318" s="19">
        <f>Таблица1[[#This Row],[Сумма 
Продажа]]-Таблица1[[#This Row],[Сумма 
Приход]]</f>
        <v>0</v>
      </c>
      <c r="U318" s="150"/>
    </row>
    <row r="319" spans="1:21" ht="14.25" x14ac:dyDescent="0.2">
      <c r="A319" s="50">
        <f t="shared" si="4"/>
        <v>316</v>
      </c>
      <c r="B319" s="17"/>
      <c r="C319" s="17"/>
      <c r="D319" s="17"/>
      <c r="E319" s="51"/>
      <c r="F319" s="50"/>
      <c r="G319" s="23"/>
      <c r="H319" s="24"/>
      <c r="I319" s="23"/>
      <c r="J319" s="19">
        <f>Таблица1[[#This Row],[Блок
 Куб]]*Таблица1[[#This Row],[Цена 
Приход]]</f>
        <v>0</v>
      </c>
      <c r="K319" s="25"/>
      <c r="L319" s="25"/>
      <c r="M319" s="19">
        <f>Таблица1[[#This Row],[Поддон
Шт]]*Таблица1[[#This Row],[Цена
Поддон]]</f>
        <v>0</v>
      </c>
      <c r="N319" s="19">
        <f>Таблица1[[#This Row],[Сумма 
Приход]]+Таблица1[[#This Row],[Сумма Поддон]]</f>
        <v>0</v>
      </c>
      <c r="O319" s="20"/>
      <c r="P319" s="19">
        <f>Таблица1[[#This Row],[Цена
 Продажа]]-Таблица1[[#This Row],[Цена 
Приход]]</f>
        <v>0</v>
      </c>
      <c r="Q319" s="19"/>
      <c r="R319" s="19">
        <f>Таблица1[[#This Row],[Блок
 Куб]]*Таблица1[[#This Row],[Цена
 Продажа]]</f>
        <v>0</v>
      </c>
      <c r="S319" s="20"/>
      <c r="T319" s="19">
        <f>Таблица1[[#This Row],[Сумма 
Продажа]]-Таблица1[[#This Row],[Сумма 
Приход]]</f>
        <v>0</v>
      </c>
      <c r="U319" s="150"/>
    </row>
    <row r="320" spans="1:21" ht="14.25" x14ac:dyDescent="0.2">
      <c r="A320" s="50">
        <f t="shared" si="4"/>
        <v>317</v>
      </c>
      <c r="B320" s="17"/>
      <c r="C320" s="17"/>
      <c r="D320" s="17"/>
      <c r="E320" s="51"/>
      <c r="F320" s="50"/>
      <c r="G320" s="23"/>
      <c r="H320" s="24"/>
      <c r="I320" s="23"/>
      <c r="J320" s="19">
        <f>Таблица1[[#This Row],[Блок
 Куб]]*Таблица1[[#This Row],[Цена 
Приход]]</f>
        <v>0</v>
      </c>
      <c r="K320" s="25"/>
      <c r="L320" s="25"/>
      <c r="M320" s="19">
        <f>Таблица1[[#This Row],[Поддон
Шт]]*Таблица1[[#This Row],[Цена
Поддон]]</f>
        <v>0</v>
      </c>
      <c r="N320" s="19">
        <f>Таблица1[[#This Row],[Сумма 
Приход]]+Таблица1[[#This Row],[Сумма Поддон]]</f>
        <v>0</v>
      </c>
      <c r="O320" s="20"/>
      <c r="P320" s="19">
        <f>Таблица1[[#This Row],[Цена
 Продажа]]-Таблица1[[#This Row],[Цена 
Приход]]</f>
        <v>0</v>
      </c>
      <c r="Q320" s="19"/>
      <c r="R320" s="19">
        <f>Таблица1[[#This Row],[Блок
 Куб]]*Таблица1[[#This Row],[Цена
 Продажа]]</f>
        <v>0</v>
      </c>
      <c r="S320" s="20"/>
      <c r="T320" s="19">
        <f>Таблица1[[#This Row],[Сумма 
Продажа]]-Таблица1[[#This Row],[Сумма 
Приход]]</f>
        <v>0</v>
      </c>
      <c r="U320" s="150"/>
    </row>
    <row r="321" spans="1:21" ht="14.25" x14ac:dyDescent="0.2">
      <c r="A321" s="50">
        <f t="shared" si="4"/>
        <v>318</v>
      </c>
      <c r="B321" s="17"/>
      <c r="C321" s="17"/>
      <c r="D321" s="17"/>
      <c r="E321" s="51"/>
      <c r="F321" s="50"/>
      <c r="G321" s="23"/>
      <c r="H321" s="24"/>
      <c r="I321" s="23"/>
      <c r="J321" s="19">
        <f>Таблица1[[#This Row],[Блок
 Куб]]*Таблица1[[#This Row],[Цена 
Приход]]</f>
        <v>0</v>
      </c>
      <c r="K321" s="25"/>
      <c r="L321" s="25"/>
      <c r="M321" s="19">
        <f>Таблица1[[#This Row],[Поддон
Шт]]*Таблица1[[#This Row],[Цена
Поддон]]</f>
        <v>0</v>
      </c>
      <c r="N321" s="19">
        <f>Таблица1[[#This Row],[Сумма 
Приход]]+Таблица1[[#This Row],[Сумма Поддон]]</f>
        <v>0</v>
      </c>
      <c r="O321" s="20"/>
      <c r="P321" s="19">
        <f>Таблица1[[#This Row],[Цена
 Продажа]]-Таблица1[[#This Row],[Цена 
Приход]]</f>
        <v>0</v>
      </c>
      <c r="Q321" s="19"/>
      <c r="R321" s="19">
        <f>Таблица1[[#This Row],[Блок
 Куб]]*Таблица1[[#This Row],[Цена
 Продажа]]</f>
        <v>0</v>
      </c>
      <c r="S321" s="20"/>
      <c r="T321" s="19">
        <f>Таблица1[[#This Row],[Сумма 
Продажа]]-Таблица1[[#This Row],[Сумма 
Приход]]</f>
        <v>0</v>
      </c>
      <c r="U321" s="150"/>
    </row>
    <row r="322" spans="1:21" ht="14.25" x14ac:dyDescent="0.2">
      <c r="A322" s="50">
        <f t="shared" si="4"/>
        <v>319</v>
      </c>
      <c r="B322" s="17"/>
      <c r="C322" s="17"/>
      <c r="D322" s="17"/>
      <c r="E322" s="51"/>
      <c r="F322" s="50"/>
      <c r="G322" s="23"/>
      <c r="H322" s="24"/>
      <c r="I322" s="23"/>
      <c r="J322" s="19">
        <f>Таблица1[[#This Row],[Блок
 Куб]]*Таблица1[[#This Row],[Цена 
Приход]]</f>
        <v>0</v>
      </c>
      <c r="K322" s="25"/>
      <c r="L322" s="25"/>
      <c r="M322" s="19">
        <f>Таблица1[[#This Row],[Поддон
Шт]]*Таблица1[[#This Row],[Цена
Поддон]]</f>
        <v>0</v>
      </c>
      <c r="N322" s="19">
        <f>Таблица1[[#This Row],[Сумма 
Приход]]+Таблица1[[#This Row],[Сумма Поддон]]</f>
        <v>0</v>
      </c>
      <c r="O322" s="20"/>
      <c r="P322" s="19">
        <f>Таблица1[[#This Row],[Цена
 Продажа]]-Таблица1[[#This Row],[Цена 
Приход]]</f>
        <v>0</v>
      </c>
      <c r="Q322" s="19"/>
      <c r="R322" s="19">
        <f>Таблица1[[#This Row],[Блок
 Куб]]*Таблица1[[#This Row],[Цена
 Продажа]]</f>
        <v>0</v>
      </c>
      <c r="S322" s="20"/>
      <c r="T322" s="19">
        <f>Таблица1[[#This Row],[Сумма 
Продажа]]-Таблица1[[#This Row],[Сумма 
Приход]]</f>
        <v>0</v>
      </c>
      <c r="U322" s="150"/>
    </row>
    <row r="323" spans="1:21" ht="14.25" x14ac:dyDescent="0.2">
      <c r="A323" s="50">
        <f t="shared" si="4"/>
        <v>320</v>
      </c>
      <c r="B323" s="17"/>
      <c r="C323" s="17"/>
      <c r="D323" s="17"/>
      <c r="E323" s="51"/>
      <c r="F323" s="50"/>
      <c r="G323" s="23"/>
      <c r="H323" s="24"/>
      <c r="I323" s="23"/>
      <c r="J323" s="19">
        <f>Таблица1[[#This Row],[Блок
 Куб]]*Таблица1[[#This Row],[Цена 
Приход]]</f>
        <v>0</v>
      </c>
      <c r="K323" s="25"/>
      <c r="L323" s="25"/>
      <c r="M323" s="19">
        <f>Таблица1[[#This Row],[Поддон
Шт]]*Таблица1[[#This Row],[Цена
Поддон]]</f>
        <v>0</v>
      </c>
      <c r="N323" s="19">
        <f>Таблица1[[#This Row],[Сумма 
Приход]]+Таблица1[[#This Row],[Сумма Поддон]]</f>
        <v>0</v>
      </c>
      <c r="O323" s="20"/>
      <c r="P323" s="19">
        <f>Таблица1[[#This Row],[Цена
 Продажа]]-Таблица1[[#This Row],[Цена 
Приход]]</f>
        <v>0</v>
      </c>
      <c r="Q323" s="19"/>
      <c r="R323" s="19">
        <f>Таблица1[[#This Row],[Блок
 Куб]]*Таблица1[[#This Row],[Цена
 Продажа]]</f>
        <v>0</v>
      </c>
      <c r="S323" s="20"/>
      <c r="T323" s="19">
        <f>Таблица1[[#This Row],[Сумма 
Продажа]]-Таблица1[[#This Row],[Сумма 
Приход]]</f>
        <v>0</v>
      </c>
      <c r="U323" s="150"/>
    </row>
    <row r="324" spans="1:21" ht="14.25" x14ac:dyDescent="0.2">
      <c r="A324" s="50">
        <f t="shared" si="4"/>
        <v>321</v>
      </c>
      <c r="B324" s="17"/>
      <c r="C324" s="17"/>
      <c r="D324" s="17"/>
      <c r="E324" s="51"/>
      <c r="F324" s="50"/>
      <c r="G324" s="23"/>
      <c r="H324" s="24"/>
      <c r="I324" s="23"/>
      <c r="J324" s="19">
        <f>Таблица1[[#This Row],[Блок
 Куб]]*Таблица1[[#This Row],[Цена 
Приход]]</f>
        <v>0</v>
      </c>
      <c r="K324" s="25"/>
      <c r="L324" s="25"/>
      <c r="M324" s="19">
        <f>Таблица1[[#This Row],[Поддон
Шт]]*Таблица1[[#This Row],[Цена
Поддон]]</f>
        <v>0</v>
      </c>
      <c r="N324" s="19">
        <f>Таблица1[[#This Row],[Сумма 
Приход]]+Таблица1[[#This Row],[Сумма Поддон]]</f>
        <v>0</v>
      </c>
      <c r="O324" s="20"/>
      <c r="P324" s="19">
        <f>Таблица1[[#This Row],[Цена
 Продажа]]-Таблица1[[#This Row],[Цена 
Приход]]</f>
        <v>0</v>
      </c>
      <c r="Q324" s="19"/>
      <c r="R324" s="19">
        <f>Таблица1[[#This Row],[Блок
 Куб]]*Таблица1[[#This Row],[Цена
 Продажа]]</f>
        <v>0</v>
      </c>
      <c r="S324" s="20"/>
      <c r="T324" s="19">
        <f>Таблица1[[#This Row],[Сумма 
Продажа]]-Таблица1[[#This Row],[Сумма 
Приход]]</f>
        <v>0</v>
      </c>
      <c r="U324" s="150"/>
    </row>
    <row r="325" spans="1:21" ht="14.25" x14ac:dyDescent="0.2">
      <c r="A325" s="50">
        <f t="shared" si="4"/>
        <v>322</v>
      </c>
      <c r="B325" s="17"/>
      <c r="C325" s="17"/>
      <c r="D325" s="17"/>
      <c r="E325" s="51"/>
      <c r="F325" s="50"/>
      <c r="G325" s="23"/>
      <c r="H325" s="24"/>
      <c r="I325" s="23"/>
      <c r="J325" s="19">
        <f>Таблица1[[#This Row],[Блок
 Куб]]*Таблица1[[#This Row],[Цена 
Приход]]</f>
        <v>0</v>
      </c>
      <c r="K325" s="25"/>
      <c r="L325" s="25"/>
      <c r="M325" s="19">
        <f>Таблица1[[#This Row],[Поддон
Шт]]*Таблица1[[#This Row],[Цена
Поддон]]</f>
        <v>0</v>
      </c>
      <c r="N325" s="19">
        <f>Таблица1[[#This Row],[Сумма 
Приход]]+Таблица1[[#This Row],[Сумма Поддон]]</f>
        <v>0</v>
      </c>
      <c r="O325" s="20"/>
      <c r="P325" s="19">
        <f>Таблица1[[#This Row],[Цена
 Продажа]]-Таблица1[[#This Row],[Цена 
Приход]]</f>
        <v>0</v>
      </c>
      <c r="Q325" s="19"/>
      <c r="R325" s="19">
        <f>Таблица1[[#This Row],[Блок
 Куб]]*Таблица1[[#This Row],[Цена
 Продажа]]</f>
        <v>0</v>
      </c>
      <c r="S325" s="20"/>
      <c r="T325" s="19">
        <f>Таблица1[[#This Row],[Сумма 
Продажа]]-Таблица1[[#This Row],[Сумма 
Приход]]</f>
        <v>0</v>
      </c>
      <c r="U325" s="150"/>
    </row>
    <row r="326" spans="1:21" ht="14.25" x14ac:dyDescent="0.2">
      <c r="A326" s="50">
        <f t="shared" ref="A326:A389" si="5">A325+1</f>
        <v>323</v>
      </c>
      <c r="B326" s="17"/>
      <c r="C326" s="17"/>
      <c r="D326" s="17"/>
      <c r="E326" s="51"/>
      <c r="F326" s="50"/>
      <c r="G326" s="23"/>
      <c r="H326" s="24"/>
      <c r="I326" s="23"/>
      <c r="J326" s="19">
        <f>Таблица1[[#This Row],[Блок
 Куб]]*Таблица1[[#This Row],[Цена 
Приход]]</f>
        <v>0</v>
      </c>
      <c r="K326" s="25"/>
      <c r="L326" s="25"/>
      <c r="M326" s="19">
        <f>Таблица1[[#This Row],[Поддон
Шт]]*Таблица1[[#This Row],[Цена
Поддон]]</f>
        <v>0</v>
      </c>
      <c r="N326" s="19">
        <f>Таблица1[[#This Row],[Сумма 
Приход]]+Таблица1[[#This Row],[Сумма Поддон]]</f>
        <v>0</v>
      </c>
      <c r="O326" s="20"/>
      <c r="P326" s="19">
        <f>Таблица1[[#This Row],[Цена
 Продажа]]-Таблица1[[#This Row],[Цена 
Приход]]</f>
        <v>0</v>
      </c>
      <c r="Q326" s="19"/>
      <c r="R326" s="19">
        <f>Таблица1[[#This Row],[Блок
 Куб]]*Таблица1[[#This Row],[Цена
 Продажа]]</f>
        <v>0</v>
      </c>
      <c r="S326" s="20"/>
      <c r="T326" s="19">
        <f>Таблица1[[#This Row],[Сумма 
Продажа]]-Таблица1[[#This Row],[Сумма 
Приход]]</f>
        <v>0</v>
      </c>
      <c r="U326" s="150"/>
    </row>
    <row r="327" spans="1:21" ht="14.25" x14ac:dyDescent="0.2">
      <c r="A327" s="50">
        <f t="shared" si="5"/>
        <v>324</v>
      </c>
      <c r="B327" s="17"/>
      <c r="C327" s="17"/>
      <c r="D327" s="17"/>
      <c r="E327" s="51"/>
      <c r="F327" s="50"/>
      <c r="G327" s="23"/>
      <c r="H327" s="24"/>
      <c r="I327" s="23"/>
      <c r="J327" s="19">
        <f>Таблица1[[#This Row],[Блок
 Куб]]*Таблица1[[#This Row],[Цена 
Приход]]</f>
        <v>0</v>
      </c>
      <c r="K327" s="25"/>
      <c r="L327" s="25"/>
      <c r="M327" s="19">
        <f>Таблица1[[#This Row],[Поддон
Шт]]*Таблица1[[#This Row],[Цена
Поддон]]</f>
        <v>0</v>
      </c>
      <c r="N327" s="19">
        <f>Таблица1[[#This Row],[Сумма 
Приход]]+Таблица1[[#This Row],[Сумма Поддон]]</f>
        <v>0</v>
      </c>
      <c r="O327" s="20"/>
      <c r="P327" s="19">
        <f>Таблица1[[#This Row],[Цена
 Продажа]]-Таблица1[[#This Row],[Цена 
Приход]]</f>
        <v>0</v>
      </c>
      <c r="Q327" s="19"/>
      <c r="R327" s="19">
        <f>Таблица1[[#This Row],[Блок
 Куб]]*Таблица1[[#This Row],[Цена
 Продажа]]</f>
        <v>0</v>
      </c>
      <c r="S327" s="20"/>
      <c r="T327" s="19">
        <f>Таблица1[[#This Row],[Сумма 
Продажа]]-Таблица1[[#This Row],[Сумма 
Приход]]</f>
        <v>0</v>
      </c>
      <c r="U327" s="150"/>
    </row>
    <row r="328" spans="1:21" ht="14.25" x14ac:dyDescent="0.2">
      <c r="A328" s="50">
        <f t="shared" si="5"/>
        <v>325</v>
      </c>
      <c r="B328" s="17"/>
      <c r="C328" s="17"/>
      <c r="D328" s="17"/>
      <c r="E328" s="51"/>
      <c r="F328" s="50"/>
      <c r="G328" s="23"/>
      <c r="H328" s="24"/>
      <c r="I328" s="23"/>
      <c r="J328" s="19">
        <f>Таблица1[[#This Row],[Блок
 Куб]]*Таблица1[[#This Row],[Цена 
Приход]]</f>
        <v>0</v>
      </c>
      <c r="K328" s="25"/>
      <c r="L328" s="25"/>
      <c r="M328" s="19">
        <f>Таблица1[[#This Row],[Поддон
Шт]]*Таблица1[[#This Row],[Цена
Поддон]]</f>
        <v>0</v>
      </c>
      <c r="N328" s="19">
        <f>Таблица1[[#This Row],[Сумма 
Приход]]+Таблица1[[#This Row],[Сумма Поддон]]</f>
        <v>0</v>
      </c>
      <c r="O328" s="20"/>
      <c r="P328" s="19">
        <f>Таблица1[[#This Row],[Цена
 Продажа]]-Таблица1[[#This Row],[Цена 
Приход]]</f>
        <v>0</v>
      </c>
      <c r="Q328" s="19"/>
      <c r="R328" s="19">
        <f>Таблица1[[#This Row],[Блок
 Куб]]*Таблица1[[#This Row],[Цена
 Продажа]]</f>
        <v>0</v>
      </c>
      <c r="S328" s="20"/>
      <c r="T328" s="19">
        <f>Таблица1[[#This Row],[Сумма 
Продажа]]-Таблица1[[#This Row],[Сумма 
Приход]]</f>
        <v>0</v>
      </c>
      <c r="U328" s="150"/>
    </row>
    <row r="329" spans="1:21" ht="14.25" x14ac:dyDescent="0.2">
      <c r="A329" s="50">
        <f t="shared" si="5"/>
        <v>326</v>
      </c>
      <c r="B329" s="17"/>
      <c r="C329" s="17"/>
      <c r="D329" s="17"/>
      <c r="E329" s="51"/>
      <c r="F329" s="50"/>
      <c r="G329" s="23"/>
      <c r="H329" s="24"/>
      <c r="I329" s="23"/>
      <c r="J329" s="19">
        <f>Таблица1[[#This Row],[Блок
 Куб]]*Таблица1[[#This Row],[Цена 
Приход]]</f>
        <v>0</v>
      </c>
      <c r="K329" s="25"/>
      <c r="L329" s="25"/>
      <c r="M329" s="19">
        <f>Таблица1[[#This Row],[Поддон
Шт]]*Таблица1[[#This Row],[Цена
Поддон]]</f>
        <v>0</v>
      </c>
      <c r="N329" s="19">
        <f>Таблица1[[#This Row],[Сумма 
Приход]]+Таблица1[[#This Row],[Сумма Поддон]]</f>
        <v>0</v>
      </c>
      <c r="O329" s="20"/>
      <c r="P329" s="19">
        <f>Таблица1[[#This Row],[Цена
 Продажа]]-Таблица1[[#This Row],[Цена 
Приход]]</f>
        <v>0</v>
      </c>
      <c r="Q329" s="19"/>
      <c r="R329" s="19">
        <f>Таблица1[[#This Row],[Блок
 Куб]]*Таблица1[[#This Row],[Цена
 Продажа]]</f>
        <v>0</v>
      </c>
      <c r="S329" s="20"/>
      <c r="T329" s="19">
        <f>Таблица1[[#This Row],[Сумма 
Продажа]]-Таблица1[[#This Row],[Сумма 
Приход]]</f>
        <v>0</v>
      </c>
      <c r="U329" s="150"/>
    </row>
    <row r="330" spans="1:21" ht="14.25" x14ac:dyDescent="0.2">
      <c r="A330" s="50">
        <f t="shared" si="5"/>
        <v>327</v>
      </c>
      <c r="B330" s="17"/>
      <c r="C330" s="17"/>
      <c r="D330" s="17"/>
      <c r="E330" s="51"/>
      <c r="F330" s="50"/>
      <c r="G330" s="23"/>
      <c r="H330" s="24"/>
      <c r="I330" s="23"/>
      <c r="J330" s="19">
        <f>Таблица1[[#This Row],[Блок
 Куб]]*Таблица1[[#This Row],[Цена 
Приход]]</f>
        <v>0</v>
      </c>
      <c r="K330" s="25"/>
      <c r="L330" s="25"/>
      <c r="M330" s="19">
        <f>Таблица1[[#This Row],[Поддон
Шт]]*Таблица1[[#This Row],[Цена
Поддон]]</f>
        <v>0</v>
      </c>
      <c r="N330" s="19">
        <f>Таблица1[[#This Row],[Сумма 
Приход]]+Таблица1[[#This Row],[Сумма Поддон]]</f>
        <v>0</v>
      </c>
      <c r="O330" s="20"/>
      <c r="P330" s="19">
        <f>Таблица1[[#This Row],[Цена
 Продажа]]-Таблица1[[#This Row],[Цена 
Приход]]</f>
        <v>0</v>
      </c>
      <c r="Q330" s="19"/>
      <c r="R330" s="19">
        <f>Таблица1[[#This Row],[Блок
 Куб]]*Таблица1[[#This Row],[Цена
 Продажа]]</f>
        <v>0</v>
      </c>
      <c r="S330" s="20"/>
      <c r="T330" s="19">
        <f>Таблица1[[#This Row],[Сумма 
Продажа]]-Таблица1[[#This Row],[Сумма 
Приход]]</f>
        <v>0</v>
      </c>
      <c r="U330" s="150"/>
    </row>
    <row r="331" spans="1:21" ht="14.25" x14ac:dyDescent="0.2">
      <c r="A331" s="50">
        <f t="shared" si="5"/>
        <v>328</v>
      </c>
      <c r="B331" s="17"/>
      <c r="C331" s="17"/>
      <c r="D331" s="17"/>
      <c r="E331" s="51"/>
      <c r="F331" s="50"/>
      <c r="G331" s="23"/>
      <c r="H331" s="24"/>
      <c r="I331" s="23"/>
      <c r="J331" s="19">
        <f>Таблица1[[#This Row],[Блок
 Куб]]*Таблица1[[#This Row],[Цена 
Приход]]</f>
        <v>0</v>
      </c>
      <c r="K331" s="25"/>
      <c r="L331" s="25"/>
      <c r="M331" s="19">
        <f>Таблица1[[#This Row],[Поддон
Шт]]*Таблица1[[#This Row],[Цена
Поддон]]</f>
        <v>0</v>
      </c>
      <c r="N331" s="19">
        <f>Таблица1[[#This Row],[Сумма 
Приход]]+Таблица1[[#This Row],[Сумма Поддон]]</f>
        <v>0</v>
      </c>
      <c r="O331" s="20"/>
      <c r="P331" s="19">
        <f>Таблица1[[#This Row],[Цена
 Продажа]]-Таблица1[[#This Row],[Цена 
Приход]]</f>
        <v>0</v>
      </c>
      <c r="Q331" s="19"/>
      <c r="R331" s="19">
        <f>Таблица1[[#This Row],[Блок
 Куб]]*Таблица1[[#This Row],[Цена
 Продажа]]</f>
        <v>0</v>
      </c>
      <c r="S331" s="20"/>
      <c r="T331" s="19">
        <f>Таблица1[[#This Row],[Сумма 
Продажа]]-Таблица1[[#This Row],[Сумма 
Приход]]</f>
        <v>0</v>
      </c>
      <c r="U331" s="150"/>
    </row>
    <row r="332" spans="1:21" ht="14.25" x14ac:dyDescent="0.2">
      <c r="A332" s="50">
        <f t="shared" si="5"/>
        <v>329</v>
      </c>
      <c r="B332" s="17"/>
      <c r="C332" s="17"/>
      <c r="D332" s="17"/>
      <c r="E332" s="51"/>
      <c r="F332" s="50"/>
      <c r="G332" s="23"/>
      <c r="H332" s="24"/>
      <c r="I332" s="23"/>
      <c r="J332" s="19">
        <f>Таблица1[[#This Row],[Блок
 Куб]]*Таблица1[[#This Row],[Цена 
Приход]]</f>
        <v>0</v>
      </c>
      <c r="K332" s="25"/>
      <c r="L332" s="25"/>
      <c r="M332" s="19">
        <f>Таблица1[[#This Row],[Поддон
Шт]]*Таблица1[[#This Row],[Цена
Поддон]]</f>
        <v>0</v>
      </c>
      <c r="N332" s="19">
        <f>Таблица1[[#This Row],[Сумма 
Приход]]+Таблица1[[#This Row],[Сумма Поддон]]</f>
        <v>0</v>
      </c>
      <c r="O332" s="20"/>
      <c r="P332" s="19">
        <f>Таблица1[[#This Row],[Цена
 Продажа]]-Таблица1[[#This Row],[Цена 
Приход]]</f>
        <v>0</v>
      </c>
      <c r="Q332" s="19"/>
      <c r="R332" s="19">
        <f>Таблица1[[#This Row],[Блок
 Куб]]*Таблица1[[#This Row],[Цена
 Продажа]]</f>
        <v>0</v>
      </c>
      <c r="S332" s="20"/>
      <c r="T332" s="19">
        <f>Таблица1[[#This Row],[Сумма 
Продажа]]-Таблица1[[#This Row],[Сумма 
Приход]]</f>
        <v>0</v>
      </c>
      <c r="U332" s="150"/>
    </row>
    <row r="333" spans="1:21" ht="14.25" x14ac:dyDescent="0.2">
      <c r="A333" s="50">
        <f t="shared" si="5"/>
        <v>330</v>
      </c>
      <c r="B333" s="17"/>
      <c r="C333" s="17"/>
      <c r="D333" s="17"/>
      <c r="E333" s="51"/>
      <c r="F333" s="50"/>
      <c r="G333" s="23"/>
      <c r="H333" s="24"/>
      <c r="I333" s="23"/>
      <c r="J333" s="19">
        <f>Таблица1[[#This Row],[Блок
 Куб]]*Таблица1[[#This Row],[Цена 
Приход]]</f>
        <v>0</v>
      </c>
      <c r="K333" s="25"/>
      <c r="L333" s="25"/>
      <c r="M333" s="19">
        <f>Таблица1[[#This Row],[Поддон
Шт]]*Таблица1[[#This Row],[Цена
Поддон]]</f>
        <v>0</v>
      </c>
      <c r="N333" s="19">
        <f>Таблица1[[#This Row],[Сумма 
Приход]]+Таблица1[[#This Row],[Сумма Поддон]]</f>
        <v>0</v>
      </c>
      <c r="O333" s="20"/>
      <c r="P333" s="19">
        <f>Таблица1[[#This Row],[Цена
 Продажа]]-Таблица1[[#This Row],[Цена 
Приход]]</f>
        <v>0</v>
      </c>
      <c r="Q333" s="19"/>
      <c r="R333" s="19">
        <f>Таблица1[[#This Row],[Блок
 Куб]]*Таблица1[[#This Row],[Цена
 Продажа]]</f>
        <v>0</v>
      </c>
      <c r="S333" s="20"/>
      <c r="T333" s="19">
        <f>Таблица1[[#This Row],[Сумма 
Продажа]]-Таблица1[[#This Row],[Сумма 
Приход]]</f>
        <v>0</v>
      </c>
      <c r="U333" s="150"/>
    </row>
    <row r="334" spans="1:21" ht="14.25" x14ac:dyDescent="0.2">
      <c r="A334" s="50">
        <f t="shared" si="5"/>
        <v>331</v>
      </c>
      <c r="B334" s="17"/>
      <c r="C334" s="17"/>
      <c r="D334" s="17"/>
      <c r="E334" s="51"/>
      <c r="F334" s="50"/>
      <c r="G334" s="23"/>
      <c r="H334" s="24"/>
      <c r="I334" s="23"/>
      <c r="J334" s="19">
        <f>Таблица1[[#This Row],[Блок
 Куб]]*Таблица1[[#This Row],[Цена 
Приход]]</f>
        <v>0</v>
      </c>
      <c r="K334" s="25"/>
      <c r="L334" s="25"/>
      <c r="M334" s="19">
        <f>Таблица1[[#This Row],[Поддон
Шт]]*Таблица1[[#This Row],[Цена
Поддон]]</f>
        <v>0</v>
      </c>
      <c r="N334" s="19">
        <f>Таблица1[[#This Row],[Сумма 
Приход]]+Таблица1[[#This Row],[Сумма Поддон]]</f>
        <v>0</v>
      </c>
      <c r="O334" s="20"/>
      <c r="P334" s="19">
        <f>Таблица1[[#This Row],[Цена
 Продажа]]-Таблица1[[#This Row],[Цена 
Приход]]</f>
        <v>0</v>
      </c>
      <c r="Q334" s="19"/>
      <c r="R334" s="19">
        <f>Таблица1[[#This Row],[Блок
 Куб]]*Таблица1[[#This Row],[Цена
 Продажа]]</f>
        <v>0</v>
      </c>
      <c r="S334" s="20"/>
      <c r="T334" s="19">
        <f>Таблица1[[#This Row],[Сумма 
Продажа]]-Таблица1[[#This Row],[Сумма 
Приход]]</f>
        <v>0</v>
      </c>
      <c r="U334" s="150"/>
    </row>
    <row r="335" spans="1:21" ht="14.25" x14ac:dyDescent="0.2">
      <c r="A335" s="50">
        <f t="shared" si="5"/>
        <v>332</v>
      </c>
      <c r="B335" s="17"/>
      <c r="C335" s="17"/>
      <c r="D335" s="17"/>
      <c r="E335" s="51"/>
      <c r="F335" s="50"/>
      <c r="G335" s="23"/>
      <c r="H335" s="24"/>
      <c r="I335" s="23"/>
      <c r="J335" s="19">
        <f>Таблица1[[#This Row],[Блок
 Куб]]*Таблица1[[#This Row],[Цена 
Приход]]</f>
        <v>0</v>
      </c>
      <c r="K335" s="25"/>
      <c r="L335" s="25"/>
      <c r="M335" s="19">
        <f>Таблица1[[#This Row],[Поддон
Шт]]*Таблица1[[#This Row],[Цена
Поддон]]</f>
        <v>0</v>
      </c>
      <c r="N335" s="19">
        <f>Таблица1[[#This Row],[Сумма 
Приход]]+Таблица1[[#This Row],[Сумма Поддон]]</f>
        <v>0</v>
      </c>
      <c r="O335" s="20"/>
      <c r="P335" s="19">
        <f>Таблица1[[#This Row],[Цена
 Продажа]]-Таблица1[[#This Row],[Цена 
Приход]]</f>
        <v>0</v>
      </c>
      <c r="Q335" s="19"/>
      <c r="R335" s="19">
        <f>Таблица1[[#This Row],[Блок
 Куб]]*Таблица1[[#This Row],[Цена
 Продажа]]</f>
        <v>0</v>
      </c>
      <c r="S335" s="20"/>
      <c r="T335" s="19">
        <f>Таблица1[[#This Row],[Сумма 
Продажа]]-Таблица1[[#This Row],[Сумма 
Приход]]</f>
        <v>0</v>
      </c>
      <c r="U335" s="150"/>
    </row>
    <row r="336" spans="1:21" ht="14.25" x14ac:dyDescent="0.2">
      <c r="A336" s="50">
        <f t="shared" si="5"/>
        <v>333</v>
      </c>
      <c r="B336" s="17"/>
      <c r="C336" s="17"/>
      <c r="D336" s="17"/>
      <c r="E336" s="51"/>
      <c r="F336" s="50"/>
      <c r="G336" s="23"/>
      <c r="H336" s="24"/>
      <c r="I336" s="23"/>
      <c r="J336" s="19">
        <f>Таблица1[[#This Row],[Блок
 Куб]]*Таблица1[[#This Row],[Цена 
Приход]]</f>
        <v>0</v>
      </c>
      <c r="K336" s="25"/>
      <c r="L336" s="25"/>
      <c r="M336" s="19">
        <f>Таблица1[[#This Row],[Поддон
Шт]]*Таблица1[[#This Row],[Цена
Поддон]]</f>
        <v>0</v>
      </c>
      <c r="N336" s="19">
        <f>Таблица1[[#This Row],[Сумма 
Приход]]+Таблица1[[#This Row],[Сумма Поддон]]</f>
        <v>0</v>
      </c>
      <c r="O336" s="20"/>
      <c r="P336" s="19">
        <f>Таблица1[[#This Row],[Цена
 Продажа]]-Таблица1[[#This Row],[Цена 
Приход]]</f>
        <v>0</v>
      </c>
      <c r="Q336" s="19"/>
      <c r="R336" s="19">
        <f>Таблица1[[#This Row],[Блок
 Куб]]*Таблица1[[#This Row],[Цена
 Продажа]]</f>
        <v>0</v>
      </c>
      <c r="S336" s="20"/>
      <c r="T336" s="19">
        <f>Таблица1[[#This Row],[Сумма 
Продажа]]-Таблица1[[#This Row],[Сумма 
Приход]]</f>
        <v>0</v>
      </c>
      <c r="U336" s="150"/>
    </row>
    <row r="337" spans="1:21" ht="14.25" x14ac:dyDescent="0.2">
      <c r="A337" s="50">
        <f t="shared" si="5"/>
        <v>334</v>
      </c>
      <c r="B337" s="17"/>
      <c r="C337" s="17"/>
      <c r="D337" s="17"/>
      <c r="E337" s="51"/>
      <c r="F337" s="50"/>
      <c r="G337" s="23"/>
      <c r="H337" s="24"/>
      <c r="I337" s="23"/>
      <c r="J337" s="19">
        <f>Таблица1[[#This Row],[Блок
 Куб]]*Таблица1[[#This Row],[Цена 
Приход]]</f>
        <v>0</v>
      </c>
      <c r="K337" s="25"/>
      <c r="L337" s="25"/>
      <c r="M337" s="19">
        <f>Таблица1[[#This Row],[Поддон
Шт]]*Таблица1[[#This Row],[Цена
Поддон]]</f>
        <v>0</v>
      </c>
      <c r="N337" s="19">
        <f>Таблица1[[#This Row],[Сумма 
Приход]]+Таблица1[[#This Row],[Сумма Поддон]]</f>
        <v>0</v>
      </c>
      <c r="O337" s="20"/>
      <c r="P337" s="19">
        <f>Таблица1[[#This Row],[Цена
 Продажа]]-Таблица1[[#This Row],[Цена 
Приход]]</f>
        <v>0</v>
      </c>
      <c r="Q337" s="19"/>
      <c r="R337" s="19">
        <f>Таблица1[[#This Row],[Блок
 Куб]]*Таблица1[[#This Row],[Цена
 Продажа]]</f>
        <v>0</v>
      </c>
      <c r="S337" s="20"/>
      <c r="T337" s="19">
        <f>Таблица1[[#This Row],[Сумма 
Продажа]]-Таблица1[[#This Row],[Сумма 
Приход]]</f>
        <v>0</v>
      </c>
      <c r="U337" s="150"/>
    </row>
    <row r="338" spans="1:21" ht="14.25" x14ac:dyDescent="0.2">
      <c r="A338" s="50">
        <f t="shared" si="5"/>
        <v>335</v>
      </c>
      <c r="B338" s="17"/>
      <c r="C338" s="17"/>
      <c r="D338" s="17"/>
      <c r="E338" s="51"/>
      <c r="F338" s="50"/>
      <c r="G338" s="23"/>
      <c r="H338" s="24"/>
      <c r="I338" s="23"/>
      <c r="J338" s="19">
        <f>Таблица1[[#This Row],[Блок
 Куб]]*Таблица1[[#This Row],[Цена 
Приход]]</f>
        <v>0</v>
      </c>
      <c r="K338" s="25"/>
      <c r="L338" s="25"/>
      <c r="M338" s="19">
        <f>Таблица1[[#This Row],[Поддон
Шт]]*Таблица1[[#This Row],[Цена
Поддон]]</f>
        <v>0</v>
      </c>
      <c r="N338" s="19">
        <f>Таблица1[[#This Row],[Сумма 
Приход]]+Таблица1[[#This Row],[Сумма Поддон]]</f>
        <v>0</v>
      </c>
      <c r="O338" s="20"/>
      <c r="P338" s="19">
        <f>Таблица1[[#This Row],[Цена
 Продажа]]-Таблица1[[#This Row],[Цена 
Приход]]</f>
        <v>0</v>
      </c>
      <c r="Q338" s="19"/>
      <c r="R338" s="19">
        <f>Таблица1[[#This Row],[Блок
 Куб]]*Таблица1[[#This Row],[Цена
 Продажа]]</f>
        <v>0</v>
      </c>
      <c r="S338" s="20"/>
      <c r="T338" s="19">
        <f>Таблица1[[#This Row],[Сумма 
Продажа]]-Таблица1[[#This Row],[Сумма 
Приход]]</f>
        <v>0</v>
      </c>
      <c r="U338" s="150"/>
    </row>
    <row r="339" spans="1:21" ht="14.25" x14ac:dyDescent="0.2">
      <c r="A339" s="50">
        <f t="shared" si="5"/>
        <v>336</v>
      </c>
      <c r="B339" s="17"/>
      <c r="C339" s="17"/>
      <c r="D339" s="17"/>
      <c r="E339" s="51"/>
      <c r="F339" s="50"/>
      <c r="G339" s="23"/>
      <c r="H339" s="24"/>
      <c r="I339" s="23"/>
      <c r="J339" s="19">
        <f>Таблица1[[#This Row],[Блок
 Куб]]*Таблица1[[#This Row],[Цена 
Приход]]</f>
        <v>0</v>
      </c>
      <c r="K339" s="25"/>
      <c r="L339" s="25"/>
      <c r="M339" s="19">
        <f>Таблица1[[#This Row],[Поддон
Шт]]*Таблица1[[#This Row],[Цена
Поддон]]</f>
        <v>0</v>
      </c>
      <c r="N339" s="19">
        <f>Таблица1[[#This Row],[Сумма 
Приход]]+Таблица1[[#This Row],[Сумма Поддон]]</f>
        <v>0</v>
      </c>
      <c r="O339" s="20"/>
      <c r="P339" s="19">
        <f>Таблица1[[#This Row],[Цена
 Продажа]]-Таблица1[[#This Row],[Цена 
Приход]]</f>
        <v>0</v>
      </c>
      <c r="Q339" s="19"/>
      <c r="R339" s="19">
        <f>Таблица1[[#This Row],[Блок
 Куб]]*Таблица1[[#This Row],[Цена
 Продажа]]</f>
        <v>0</v>
      </c>
      <c r="S339" s="20"/>
      <c r="T339" s="19">
        <f>Таблица1[[#This Row],[Сумма 
Продажа]]-Таблица1[[#This Row],[Сумма 
Приход]]</f>
        <v>0</v>
      </c>
      <c r="U339" s="150"/>
    </row>
    <row r="340" spans="1:21" ht="14.25" x14ac:dyDescent="0.2">
      <c r="A340" s="50">
        <f t="shared" si="5"/>
        <v>337</v>
      </c>
      <c r="B340" s="17"/>
      <c r="C340" s="17"/>
      <c r="D340" s="17"/>
      <c r="E340" s="51"/>
      <c r="F340" s="50"/>
      <c r="G340" s="23"/>
      <c r="H340" s="24"/>
      <c r="I340" s="23"/>
      <c r="J340" s="19">
        <f>Таблица1[[#This Row],[Блок
 Куб]]*Таблица1[[#This Row],[Цена 
Приход]]</f>
        <v>0</v>
      </c>
      <c r="K340" s="25"/>
      <c r="L340" s="25"/>
      <c r="M340" s="19">
        <f>Таблица1[[#This Row],[Поддон
Шт]]*Таблица1[[#This Row],[Цена
Поддон]]</f>
        <v>0</v>
      </c>
      <c r="N340" s="19">
        <f>Таблица1[[#This Row],[Сумма 
Приход]]+Таблица1[[#This Row],[Сумма Поддон]]</f>
        <v>0</v>
      </c>
      <c r="O340" s="20"/>
      <c r="P340" s="19">
        <f>Таблица1[[#This Row],[Цена
 Продажа]]-Таблица1[[#This Row],[Цена 
Приход]]</f>
        <v>0</v>
      </c>
      <c r="Q340" s="19"/>
      <c r="R340" s="19">
        <f>Таблица1[[#This Row],[Блок
 Куб]]*Таблица1[[#This Row],[Цена
 Продажа]]</f>
        <v>0</v>
      </c>
      <c r="S340" s="20"/>
      <c r="T340" s="19">
        <f>Таблица1[[#This Row],[Сумма 
Продажа]]-Таблица1[[#This Row],[Сумма 
Приход]]</f>
        <v>0</v>
      </c>
      <c r="U340" s="150"/>
    </row>
    <row r="341" spans="1:21" ht="14.25" x14ac:dyDescent="0.2">
      <c r="A341" s="50">
        <f t="shared" si="5"/>
        <v>338</v>
      </c>
      <c r="B341" s="17"/>
      <c r="C341" s="17"/>
      <c r="D341" s="17"/>
      <c r="E341" s="51"/>
      <c r="F341" s="50"/>
      <c r="G341" s="23"/>
      <c r="H341" s="24"/>
      <c r="I341" s="23"/>
      <c r="J341" s="19">
        <f>Таблица1[[#This Row],[Блок
 Куб]]*Таблица1[[#This Row],[Цена 
Приход]]</f>
        <v>0</v>
      </c>
      <c r="K341" s="25"/>
      <c r="L341" s="25"/>
      <c r="M341" s="19">
        <f>Таблица1[[#This Row],[Поддон
Шт]]*Таблица1[[#This Row],[Цена
Поддон]]</f>
        <v>0</v>
      </c>
      <c r="N341" s="19">
        <f>Таблица1[[#This Row],[Сумма 
Приход]]+Таблица1[[#This Row],[Сумма Поддон]]</f>
        <v>0</v>
      </c>
      <c r="O341" s="20"/>
      <c r="P341" s="19">
        <f>Таблица1[[#This Row],[Цена
 Продажа]]-Таблица1[[#This Row],[Цена 
Приход]]</f>
        <v>0</v>
      </c>
      <c r="Q341" s="19"/>
      <c r="R341" s="19">
        <f>Таблица1[[#This Row],[Блок
 Куб]]*Таблица1[[#This Row],[Цена
 Продажа]]</f>
        <v>0</v>
      </c>
      <c r="S341" s="20"/>
      <c r="T341" s="19">
        <f>Таблица1[[#This Row],[Сумма 
Продажа]]-Таблица1[[#This Row],[Сумма 
Приход]]</f>
        <v>0</v>
      </c>
      <c r="U341" s="150"/>
    </row>
    <row r="342" spans="1:21" ht="14.25" x14ac:dyDescent="0.2">
      <c r="A342" s="50">
        <f t="shared" si="5"/>
        <v>339</v>
      </c>
      <c r="B342" s="17"/>
      <c r="C342" s="17"/>
      <c r="D342" s="17"/>
      <c r="E342" s="51"/>
      <c r="F342" s="50"/>
      <c r="G342" s="23"/>
      <c r="H342" s="24"/>
      <c r="I342" s="23"/>
      <c r="J342" s="19">
        <f>Таблица1[[#This Row],[Блок
 Куб]]*Таблица1[[#This Row],[Цена 
Приход]]</f>
        <v>0</v>
      </c>
      <c r="K342" s="25"/>
      <c r="L342" s="25"/>
      <c r="M342" s="19">
        <f>Таблица1[[#This Row],[Поддон
Шт]]*Таблица1[[#This Row],[Цена
Поддон]]</f>
        <v>0</v>
      </c>
      <c r="N342" s="19">
        <f>Таблица1[[#This Row],[Сумма 
Приход]]+Таблица1[[#This Row],[Сумма Поддон]]</f>
        <v>0</v>
      </c>
      <c r="O342" s="20"/>
      <c r="P342" s="19">
        <f>Таблица1[[#This Row],[Цена
 Продажа]]-Таблица1[[#This Row],[Цена 
Приход]]</f>
        <v>0</v>
      </c>
      <c r="Q342" s="19"/>
      <c r="R342" s="19">
        <f>Таблица1[[#This Row],[Блок
 Куб]]*Таблица1[[#This Row],[Цена
 Продажа]]</f>
        <v>0</v>
      </c>
      <c r="S342" s="20"/>
      <c r="T342" s="19">
        <f>Таблица1[[#This Row],[Сумма 
Продажа]]-Таблица1[[#This Row],[Сумма 
Приход]]</f>
        <v>0</v>
      </c>
      <c r="U342" s="150"/>
    </row>
    <row r="343" spans="1:21" ht="14.25" x14ac:dyDescent="0.2">
      <c r="A343" s="50">
        <f t="shared" si="5"/>
        <v>340</v>
      </c>
      <c r="B343" s="17"/>
      <c r="C343" s="17"/>
      <c r="D343" s="17"/>
      <c r="E343" s="51"/>
      <c r="F343" s="50"/>
      <c r="G343" s="23"/>
      <c r="H343" s="24"/>
      <c r="I343" s="23"/>
      <c r="J343" s="19">
        <f>Таблица1[[#This Row],[Блок
 Куб]]*Таблица1[[#This Row],[Цена 
Приход]]</f>
        <v>0</v>
      </c>
      <c r="K343" s="25"/>
      <c r="L343" s="25"/>
      <c r="M343" s="19">
        <f>Таблица1[[#This Row],[Поддон
Шт]]*Таблица1[[#This Row],[Цена
Поддон]]</f>
        <v>0</v>
      </c>
      <c r="N343" s="19">
        <f>Таблица1[[#This Row],[Сумма 
Приход]]+Таблица1[[#This Row],[Сумма Поддон]]</f>
        <v>0</v>
      </c>
      <c r="O343" s="20"/>
      <c r="P343" s="19">
        <f>Таблица1[[#This Row],[Цена
 Продажа]]-Таблица1[[#This Row],[Цена 
Приход]]</f>
        <v>0</v>
      </c>
      <c r="Q343" s="19"/>
      <c r="R343" s="19">
        <f>Таблица1[[#This Row],[Блок
 Куб]]*Таблица1[[#This Row],[Цена
 Продажа]]</f>
        <v>0</v>
      </c>
      <c r="S343" s="20"/>
      <c r="T343" s="19">
        <f>Таблица1[[#This Row],[Сумма 
Продажа]]-Таблица1[[#This Row],[Сумма 
Приход]]</f>
        <v>0</v>
      </c>
      <c r="U343" s="150"/>
    </row>
    <row r="344" spans="1:21" ht="14.25" x14ac:dyDescent="0.2">
      <c r="A344" s="50">
        <f t="shared" si="5"/>
        <v>341</v>
      </c>
      <c r="B344" s="17"/>
      <c r="C344" s="17"/>
      <c r="D344" s="17"/>
      <c r="E344" s="51"/>
      <c r="F344" s="50"/>
      <c r="G344" s="23"/>
      <c r="H344" s="24"/>
      <c r="I344" s="23"/>
      <c r="J344" s="19">
        <f>Таблица1[[#This Row],[Блок
 Куб]]*Таблица1[[#This Row],[Цена 
Приход]]</f>
        <v>0</v>
      </c>
      <c r="K344" s="25"/>
      <c r="L344" s="25"/>
      <c r="M344" s="19">
        <f>Таблица1[[#This Row],[Поддон
Шт]]*Таблица1[[#This Row],[Цена
Поддон]]</f>
        <v>0</v>
      </c>
      <c r="N344" s="19">
        <f>Таблица1[[#This Row],[Сумма 
Приход]]+Таблица1[[#This Row],[Сумма Поддон]]</f>
        <v>0</v>
      </c>
      <c r="O344" s="20"/>
      <c r="P344" s="19">
        <f>Таблица1[[#This Row],[Цена
 Продажа]]-Таблица1[[#This Row],[Цена 
Приход]]</f>
        <v>0</v>
      </c>
      <c r="Q344" s="19"/>
      <c r="R344" s="19">
        <f>Таблица1[[#This Row],[Блок
 Куб]]*Таблица1[[#This Row],[Цена
 Продажа]]</f>
        <v>0</v>
      </c>
      <c r="S344" s="20"/>
      <c r="T344" s="19">
        <f>Таблица1[[#This Row],[Сумма 
Продажа]]-Таблица1[[#This Row],[Сумма 
Приход]]</f>
        <v>0</v>
      </c>
      <c r="U344" s="150"/>
    </row>
    <row r="345" spans="1:21" ht="14.25" x14ac:dyDescent="0.2">
      <c r="A345" s="50">
        <f t="shared" si="5"/>
        <v>342</v>
      </c>
      <c r="B345" s="17"/>
      <c r="C345" s="17"/>
      <c r="D345" s="17"/>
      <c r="E345" s="51"/>
      <c r="F345" s="50"/>
      <c r="G345" s="23"/>
      <c r="H345" s="24"/>
      <c r="I345" s="23"/>
      <c r="J345" s="19">
        <f>Таблица1[[#This Row],[Блок
 Куб]]*Таблица1[[#This Row],[Цена 
Приход]]</f>
        <v>0</v>
      </c>
      <c r="K345" s="25"/>
      <c r="L345" s="25"/>
      <c r="M345" s="19">
        <f>Таблица1[[#This Row],[Поддон
Шт]]*Таблица1[[#This Row],[Цена
Поддон]]</f>
        <v>0</v>
      </c>
      <c r="N345" s="19">
        <f>Таблица1[[#This Row],[Сумма 
Приход]]+Таблица1[[#This Row],[Сумма Поддон]]</f>
        <v>0</v>
      </c>
      <c r="O345" s="20"/>
      <c r="P345" s="19">
        <f>Таблица1[[#This Row],[Цена
 Продажа]]-Таблица1[[#This Row],[Цена 
Приход]]</f>
        <v>0</v>
      </c>
      <c r="Q345" s="19"/>
      <c r="R345" s="19">
        <f>Таблица1[[#This Row],[Блок
 Куб]]*Таблица1[[#This Row],[Цена
 Продажа]]</f>
        <v>0</v>
      </c>
      <c r="S345" s="20"/>
      <c r="T345" s="19">
        <f>Таблица1[[#This Row],[Сумма 
Продажа]]-Таблица1[[#This Row],[Сумма 
Приход]]</f>
        <v>0</v>
      </c>
      <c r="U345" s="150"/>
    </row>
    <row r="346" spans="1:21" ht="14.25" x14ac:dyDescent="0.2">
      <c r="A346" s="50">
        <f t="shared" si="5"/>
        <v>343</v>
      </c>
      <c r="B346" s="17"/>
      <c r="C346" s="17"/>
      <c r="D346" s="17"/>
      <c r="E346" s="51"/>
      <c r="F346" s="50"/>
      <c r="G346" s="23"/>
      <c r="H346" s="24"/>
      <c r="I346" s="23"/>
      <c r="J346" s="19">
        <f>Таблица1[[#This Row],[Блок
 Куб]]*Таблица1[[#This Row],[Цена 
Приход]]</f>
        <v>0</v>
      </c>
      <c r="K346" s="25"/>
      <c r="L346" s="25"/>
      <c r="M346" s="19">
        <f>Таблица1[[#This Row],[Поддон
Шт]]*Таблица1[[#This Row],[Цена
Поддон]]</f>
        <v>0</v>
      </c>
      <c r="N346" s="19">
        <f>Таблица1[[#This Row],[Сумма 
Приход]]+Таблица1[[#This Row],[Сумма Поддон]]</f>
        <v>0</v>
      </c>
      <c r="O346" s="20"/>
      <c r="P346" s="19">
        <f>Таблица1[[#This Row],[Цена
 Продажа]]-Таблица1[[#This Row],[Цена 
Приход]]</f>
        <v>0</v>
      </c>
      <c r="Q346" s="19"/>
      <c r="R346" s="19">
        <f>Таблица1[[#This Row],[Блок
 Куб]]*Таблица1[[#This Row],[Цена
 Продажа]]</f>
        <v>0</v>
      </c>
      <c r="S346" s="20"/>
      <c r="T346" s="19">
        <f>Таблица1[[#This Row],[Сумма 
Продажа]]-Таблица1[[#This Row],[Сумма 
Приход]]</f>
        <v>0</v>
      </c>
      <c r="U346" s="150"/>
    </row>
    <row r="347" spans="1:21" ht="14.25" x14ac:dyDescent="0.2">
      <c r="A347" s="50">
        <f t="shared" si="5"/>
        <v>344</v>
      </c>
      <c r="B347" s="17"/>
      <c r="C347" s="17"/>
      <c r="D347" s="17"/>
      <c r="E347" s="51"/>
      <c r="F347" s="50"/>
      <c r="G347" s="23"/>
      <c r="H347" s="24"/>
      <c r="I347" s="23"/>
      <c r="J347" s="19">
        <f>Таблица1[[#This Row],[Блок
 Куб]]*Таблица1[[#This Row],[Цена 
Приход]]</f>
        <v>0</v>
      </c>
      <c r="K347" s="25"/>
      <c r="L347" s="25"/>
      <c r="M347" s="19">
        <f>Таблица1[[#This Row],[Поддон
Шт]]*Таблица1[[#This Row],[Цена
Поддон]]</f>
        <v>0</v>
      </c>
      <c r="N347" s="19">
        <f>Таблица1[[#This Row],[Сумма 
Приход]]+Таблица1[[#This Row],[Сумма Поддон]]</f>
        <v>0</v>
      </c>
      <c r="O347" s="20"/>
      <c r="P347" s="19">
        <f>Таблица1[[#This Row],[Цена
 Продажа]]-Таблица1[[#This Row],[Цена 
Приход]]</f>
        <v>0</v>
      </c>
      <c r="Q347" s="19"/>
      <c r="R347" s="19">
        <f>Таблица1[[#This Row],[Блок
 Куб]]*Таблица1[[#This Row],[Цена
 Продажа]]</f>
        <v>0</v>
      </c>
      <c r="S347" s="20"/>
      <c r="T347" s="19">
        <f>Таблица1[[#This Row],[Сумма 
Продажа]]-Таблица1[[#This Row],[Сумма 
Приход]]</f>
        <v>0</v>
      </c>
      <c r="U347" s="150"/>
    </row>
    <row r="348" spans="1:21" ht="14.25" x14ac:dyDescent="0.2">
      <c r="A348" s="50">
        <f t="shared" si="5"/>
        <v>345</v>
      </c>
      <c r="B348" s="17"/>
      <c r="C348" s="17"/>
      <c r="D348" s="17"/>
      <c r="E348" s="51"/>
      <c r="F348" s="50"/>
      <c r="G348" s="23"/>
      <c r="H348" s="24"/>
      <c r="I348" s="23"/>
      <c r="J348" s="19">
        <f>Таблица1[[#This Row],[Блок
 Куб]]*Таблица1[[#This Row],[Цена 
Приход]]</f>
        <v>0</v>
      </c>
      <c r="K348" s="25"/>
      <c r="L348" s="25"/>
      <c r="M348" s="19">
        <f>Таблица1[[#This Row],[Поддон
Шт]]*Таблица1[[#This Row],[Цена
Поддон]]</f>
        <v>0</v>
      </c>
      <c r="N348" s="19">
        <f>Таблица1[[#This Row],[Сумма 
Приход]]+Таблица1[[#This Row],[Сумма Поддон]]</f>
        <v>0</v>
      </c>
      <c r="O348" s="20"/>
      <c r="P348" s="19">
        <f>Таблица1[[#This Row],[Цена
 Продажа]]-Таблица1[[#This Row],[Цена 
Приход]]</f>
        <v>0</v>
      </c>
      <c r="Q348" s="19"/>
      <c r="R348" s="19">
        <f>Таблица1[[#This Row],[Блок
 Куб]]*Таблица1[[#This Row],[Цена
 Продажа]]</f>
        <v>0</v>
      </c>
      <c r="S348" s="20"/>
      <c r="T348" s="19">
        <f>Таблица1[[#This Row],[Сумма 
Продажа]]-Таблица1[[#This Row],[Сумма 
Приход]]</f>
        <v>0</v>
      </c>
      <c r="U348" s="150"/>
    </row>
    <row r="349" spans="1:21" ht="14.25" x14ac:dyDescent="0.2">
      <c r="A349" s="50">
        <f t="shared" si="5"/>
        <v>346</v>
      </c>
      <c r="B349" s="17"/>
      <c r="C349" s="17"/>
      <c r="D349" s="17"/>
      <c r="E349" s="51"/>
      <c r="F349" s="50"/>
      <c r="G349" s="23"/>
      <c r="H349" s="24"/>
      <c r="I349" s="23"/>
      <c r="J349" s="19">
        <f>Таблица1[[#This Row],[Блок
 Куб]]*Таблица1[[#This Row],[Цена 
Приход]]</f>
        <v>0</v>
      </c>
      <c r="K349" s="25"/>
      <c r="L349" s="25"/>
      <c r="M349" s="19">
        <f>Таблица1[[#This Row],[Поддон
Шт]]*Таблица1[[#This Row],[Цена
Поддон]]</f>
        <v>0</v>
      </c>
      <c r="N349" s="19">
        <f>Таблица1[[#This Row],[Сумма 
Приход]]+Таблица1[[#This Row],[Сумма Поддон]]</f>
        <v>0</v>
      </c>
      <c r="O349" s="20"/>
      <c r="P349" s="19">
        <f>Таблица1[[#This Row],[Цена
 Продажа]]-Таблица1[[#This Row],[Цена 
Приход]]</f>
        <v>0</v>
      </c>
      <c r="Q349" s="19"/>
      <c r="R349" s="19">
        <f>Таблица1[[#This Row],[Блок
 Куб]]*Таблица1[[#This Row],[Цена
 Продажа]]</f>
        <v>0</v>
      </c>
      <c r="S349" s="20"/>
      <c r="T349" s="19">
        <f>Таблица1[[#This Row],[Сумма 
Продажа]]-Таблица1[[#This Row],[Сумма 
Приход]]</f>
        <v>0</v>
      </c>
      <c r="U349" s="150"/>
    </row>
    <row r="350" spans="1:21" ht="14.25" x14ac:dyDescent="0.2">
      <c r="A350" s="50">
        <f t="shared" si="5"/>
        <v>347</v>
      </c>
      <c r="B350" s="17"/>
      <c r="C350" s="17"/>
      <c r="D350" s="17"/>
      <c r="E350" s="51"/>
      <c r="F350" s="50"/>
      <c r="G350" s="23"/>
      <c r="H350" s="24"/>
      <c r="I350" s="23"/>
      <c r="J350" s="19">
        <f>Таблица1[[#This Row],[Блок
 Куб]]*Таблица1[[#This Row],[Цена 
Приход]]</f>
        <v>0</v>
      </c>
      <c r="K350" s="25"/>
      <c r="L350" s="25"/>
      <c r="M350" s="19">
        <f>Таблица1[[#This Row],[Поддон
Шт]]*Таблица1[[#This Row],[Цена
Поддон]]</f>
        <v>0</v>
      </c>
      <c r="N350" s="19">
        <f>Таблица1[[#This Row],[Сумма 
Приход]]+Таблица1[[#This Row],[Сумма Поддон]]</f>
        <v>0</v>
      </c>
      <c r="O350" s="20"/>
      <c r="P350" s="19">
        <f>Таблица1[[#This Row],[Цена
 Продажа]]-Таблица1[[#This Row],[Цена 
Приход]]</f>
        <v>0</v>
      </c>
      <c r="Q350" s="19"/>
      <c r="R350" s="19">
        <f>Таблица1[[#This Row],[Блок
 Куб]]*Таблица1[[#This Row],[Цена
 Продажа]]</f>
        <v>0</v>
      </c>
      <c r="S350" s="20"/>
      <c r="T350" s="19">
        <f>Таблица1[[#This Row],[Сумма 
Продажа]]-Таблица1[[#This Row],[Сумма 
Приход]]</f>
        <v>0</v>
      </c>
      <c r="U350" s="150"/>
    </row>
    <row r="351" spans="1:21" ht="14.25" x14ac:dyDescent="0.2">
      <c r="A351" s="50">
        <f t="shared" si="5"/>
        <v>348</v>
      </c>
      <c r="B351" s="17"/>
      <c r="C351" s="17"/>
      <c r="D351" s="17"/>
      <c r="E351" s="51"/>
      <c r="F351" s="50"/>
      <c r="G351" s="23"/>
      <c r="H351" s="24"/>
      <c r="I351" s="23"/>
      <c r="J351" s="19">
        <f>Таблица1[[#This Row],[Блок
 Куб]]*Таблица1[[#This Row],[Цена 
Приход]]</f>
        <v>0</v>
      </c>
      <c r="K351" s="25"/>
      <c r="L351" s="25"/>
      <c r="M351" s="19">
        <f>Таблица1[[#This Row],[Поддон
Шт]]*Таблица1[[#This Row],[Цена
Поддон]]</f>
        <v>0</v>
      </c>
      <c r="N351" s="19">
        <f>Таблица1[[#This Row],[Сумма 
Приход]]+Таблица1[[#This Row],[Сумма Поддон]]</f>
        <v>0</v>
      </c>
      <c r="O351" s="20"/>
      <c r="P351" s="19">
        <f>Таблица1[[#This Row],[Цена
 Продажа]]-Таблица1[[#This Row],[Цена 
Приход]]</f>
        <v>0</v>
      </c>
      <c r="Q351" s="19"/>
      <c r="R351" s="19">
        <f>Таблица1[[#This Row],[Блок
 Куб]]*Таблица1[[#This Row],[Цена
 Продажа]]</f>
        <v>0</v>
      </c>
      <c r="S351" s="20"/>
      <c r="T351" s="19">
        <f>Таблица1[[#This Row],[Сумма 
Продажа]]-Таблица1[[#This Row],[Сумма 
Приход]]</f>
        <v>0</v>
      </c>
      <c r="U351" s="150"/>
    </row>
    <row r="352" spans="1:21" ht="14.25" x14ac:dyDescent="0.2">
      <c r="A352" s="50">
        <f t="shared" si="5"/>
        <v>349</v>
      </c>
      <c r="B352" s="17"/>
      <c r="C352" s="17"/>
      <c r="D352" s="17"/>
      <c r="E352" s="51"/>
      <c r="F352" s="50"/>
      <c r="G352" s="23"/>
      <c r="H352" s="24"/>
      <c r="I352" s="23"/>
      <c r="J352" s="19">
        <f>Таблица1[[#This Row],[Блок
 Куб]]*Таблица1[[#This Row],[Цена 
Приход]]</f>
        <v>0</v>
      </c>
      <c r="K352" s="25"/>
      <c r="L352" s="25"/>
      <c r="M352" s="19">
        <f>Таблица1[[#This Row],[Поддон
Шт]]*Таблица1[[#This Row],[Цена
Поддон]]</f>
        <v>0</v>
      </c>
      <c r="N352" s="19">
        <f>Таблица1[[#This Row],[Сумма 
Приход]]+Таблица1[[#This Row],[Сумма Поддон]]</f>
        <v>0</v>
      </c>
      <c r="O352" s="20"/>
      <c r="P352" s="19">
        <f>Таблица1[[#This Row],[Цена
 Продажа]]-Таблица1[[#This Row],[Цена 
Приход]]</f>
        <v>0</v>
      </c>
      <c r="Q352" s="19"/>
      <c r="R352" s="19">
        <f>Таблица1[[#This Row],[Блок
 Куб]]*Таблица1[[#This Row],[Цена
 Продажа]]</f>
        <v>0</v>
      </c>
      <c r="S352" s="20"/>
      <c r="T352" s="19">
        <f>Таблица1[[#This Row],[Сумма 
Продажа]]-Таблица1[[#This Row],[Сумма 
Приход]]</f>
        <v>0</v>
      </c>
      <c r="U352" s="150"/>
    </row>
    <row r="353" spans="1:21" ht="14.25" x14ac:dyDescent="0.2">
      <c r="A353" s="50">
        <f t="shared" si="5"/>
        <v>350</v>
      </c>
      <c r="B353" s="17"/>
      <c r="C353" s="17"/>
      <c r="D353" s="17"/>
      <c r="E353" s="51"/>
      <c r="F353" s="50"/>
      <c r="G353" s="23"/>
      <c r="H353" s="24"/>
      <c r="I353" s="23"/>
      <c r="J353" s="19">
        <f>Таблица1[[#This Row],[Блок
 Куб]]*Таблица1[[#This Row],[Цена 
Приход]]</f>
        <v>0</v>
      </c>
      <c r="K353" s="25"/>
      <c r="L353" s="25"/>
      <c r="M353" s="19">
        <f>Таблица1[[#This Row],[Поддон
Шт]]*Таблица1[[#This Row],[Цена
Поддон]]</f>
        <v>0</v>
      </c>
      <c r="N353" s="19">
        <f>Таблица1[[#This Row],[Сумма 
Приход]]+Таблица1[[#This Row],[Сумма Поддон]]</f>
        <v>0</v>
      </c>
      <c r="O353" s="20"/>
      <c r="P353" s="19">
        <f>Таблица1[[#This Row],[Цена
 Продажа]]-Таблица1[[#This Row],[Цена 
Приход]]</f>
        <v>0</v>
      </c>
      <c r="Q353" s="19"/>
      <c r="R353" s="19">
        <f>Таблица1[[#This Row],[Блок
 Куб]]*Таблица1[[#This Row],[Цена
 Продажа]]</f>
        <v>0</v>
      </c>
      <c r="S353" s="20"/>
      <c r="T353" s="19">
        <f>Таблица1[[#This Row],[Сумма 
Продажа]]-Таблица1[[#This Row],[Сумма 
Приход]]</f>
        <v>0</v>
      </c>
      <c r="U353" s="150"/>
    </row>
    <row r="354" spans="1:21" ht="14.25" x14ac:dyDescent="0.2">
      <c r="A354" s="50">
        <f t="shared" si="5"/>
        <v>351</v>
      </c>
      <c r="B354" s="17"/>
      <c r="C354" s="17"/>
      <c r="D354" s="17"/>
      <c r="E354" s="51"/>
      <c r="F354" s="50"/>
      <c r="G354" s="23"/>
      <c r="H354" s="24"/>
      <c r="I354" s="23"/>
      <c r="J354" s="19">
        <f>Таблица1[[#This Row],[Блок
 Куб]]*Таблица1[[#This Row],[Цена 
Приход]]</f>
        <v>0</v>
      </c>
      <c r="K354" s="25"/>
      <c r="L354" s="25"/>
      <c r="M354" s="19">
        <f>Таблица1[[#This Row],[Поддон
Шт]]*Таблица1[[#This Row],[Цена
Поддон]]</f>
        <v>0</v>
      </c>
      <c r="N354" s="19">
        <f>Таблица1[[#This Row],[Сумма 
Приход]]+Таблица1[[#This Row],[Сумма Поддон]]</f>
        <v>0</v>
      </c>
      <c r="O354" s="20"/>
      <c r="P354" s="19">
        <f>Таблица1[[#This Row],[Цена
 Продажа]]-Таблица1[[#This Row],[Цена 
Приход]]</f>
        <v>0</v>
      </c>
      <c r="Q354" s="19"/>
      <c r="R354" s="19">
        <f>Таблица1[[#This Row],[Блок
 Куб]]*Таблица1[[#This Row],[Цена
 Продажа]]</f>
        <v>0</v>
      </c>
      <c r="S354" s="20"/>
      <c r="T354" s="19">
        <f>Таблица1[[#This Row],[Сумма 
Продажа]]-Таблица1[[#This Row],[Сумма 
Приход]]</f>
        <v>0</v>
      </c>
      <c r="U354" s="150"/>
    </row>
    <row r="355" spans="1:21" ht="14.25" x14ac:dyDescent="0.2">
      <c r="A355" s="50">
        <f t="shared" si="5"/>
        <v>352</v>
      </c>
      <c r="B355" s="17"/>
      <c r="C355" s="17"/>
      <c r="D355" s="17"/>
      <c r="E355" s="51"/>
      <c r="F355" s="50"/>
      <c r="G355" s="23"/>
      <c r="H355" s="24"/>
      <c r="I355" s="23"/>
      <c r="J355" s="19">
        <f>Таблица1[[#This Row],[Блок
 Куб]]*Таблица1[[#This Row],[Цена 
Приход]]</f>
        <v>0</v>
      </c>
      <c r="K355" s="25"/>
      <c r="L355" s="25"/>
      <c r="M355" s="19">
        <f>Таблица1[[#This Row],[Поддон
Шт]]*Таблица1[[#This Row],[Цена
Поддон]]</f>
        <v>0</v>
      </c>
      <c r="N355" s="19">
        <f>Таблица1[[#This Row],[Сумма 
Приход]]+Таблица1[[#This Row],[Сумма Поддон]]</f>
        <v>0</v>
      </c>
      <c r="O355" s="20"/>
      <c r="P355" s="19">
        <f>Таблица1[[#This Row],[Цена
 Продажа]]-Таблица1[[#This Row],[Цена 
Приход]]</f>
        <v>0</v>
      </c>
      <c r="Q355" s="19"/>
      <c r="R355" s="19">
        <f>Таблица1[[#This Row],[Блок
 Куб]]*Таблица1[[#This Row],[Цена
 Продажа]]</f>
        <v>0</v>
      </c>
      <c r="S355" s="20"/>
      <c r="T355" s="19">
        <f>Таблица1[[#This Row],[Сумма 
Продажа]]-Таблица1[[#This Row],[Сумма 
Приход]]</f>
        <v>0</v>
      </c>
      <c r="U355" s="150"/>
    </row>
    <row r="356" spans="1:21" ht="14.25" x14ac:dyDescent="0.2">
      <c r="A356" s="50">
        <f t="shared" si="5"/>
        <v>353</v>
      </c>
      <c r="B356" s="17"/>
      <c r="C356" s="17"/>
      <c r="D356" s="17"/>
      <c r="E356" s="51"/>
      <c r="F356" s="50"/>
      <c r="G356" s="23"/>
      <c r="H356" s="24"/>
      <c r="I356" s="23"/>
      <c r="J356" s="19">
        <f>Таблица1[[#This Row],[Блок
 Куб]]*Таблица1[[#This Row],[Цена 
Приход]]</f>
        <v>0</v>
      </c>
      <c r="K356" s="25"/>
      <c r="L356" s="25"/>
      <c r="M356" s="19">
        <f>Таблица1[[#This Row],[Поддон
Шт]]*Таблица1[[#This Row],[Цена
Поддон]]</f>
        <v>0</v>
      </c>
      <c r="N356" s="19">
        <f>Таблица1[[#This Row],[Сумма 
Приход]]+Таблица1[[#This Row],[Сумма Поддон]]</f>
        <v>0</v>
      </c>
      <c r="O356" s="20"/>
      <c r="P356" s="19">
        <f>Таблица1[[#This Row],[Цена
 Продажа]]-Таблица1[[#This Row],[Цена 
Приход]]</f>
        <v>0</v>
      </c>
      <c r="Q356" s="19"/>
      <c r="R356" s="19">
        <f>Таблица1[[#This Row],[Блок
 Куб]]*Таблица1[[#This Row],[Цена
 Продажа]]</f>
        <v>0</v>
      </c>
      <c r="S356" s="20"/>
      <c r="T356" s="19">
        <f>Таблица1[[#This Row],[Сумма 
Продажа]]-Таблица1[[#This Row],[Сумма 
Приход]]</f>
        <v>0</v>
      </c>
      <c r="U356" s="150"/>
    </row>
    <row r="357" spans="1:21" ht="14.25" x14ac:dyDescent="0.2">
      <c r="A357" s="50">
        <f t="shared" si="5"/>
        <v>354</v>
      </c>
      <c r="B357" s="17"/>
      <c r="C357" s="17"/>
      <c r="D357" s="17"/>
      <c r="E357" s="51"/>
      <c r="F357" s="50"/>
      <c r="G357" s="23"/>
      <c r="H357" s="24"/>
      <c r="I357" s="23"/>
      <c r="J357" s="19">
        <f>Таблица1[[#This Row],[Блок
 Куб]]*Таблица1[[#This Row],[Цена 
Приход]]</f>
        <v>0</v>
      </c>
      <c r="K357" s="25"/>
      <c r="L357" s="25"/>
      <c r="M357" s="19">
        <f>Таблица1[[#This Row],[Поддон
Шт]]*Таблица1[[#This Row],[Цена
Поддон]]</f>
        <v>0</v>
      </c>
      <c r="N357" s="19">
        <f>Таблица1[[#This Row],[Сумма 
Приход]]+Таблица1[[#This Row],[Сумма Поддон]]</f>
        <v>0</v>
      </c>
      <c r="O357" s="20"/>
      <c r="P357" s="19">
        <f>Таблица1[[#This Row],[Цена
 Продажа]]-Таблица1[[#This Row],[Цена 
Приход]]</f>
        <v>0</v>
      </c>
      <c r="Q357" s="19"/>
      <c r="R357" s="19">
        <f>Таблица1[[#This Row],[Блок
 Куб]]*Таблица1[[#This Row],[Цена
 Продажа]]</f>
        <v>0</v>
      </c>
      <c r="S357" s="20"/>
      <c r="T357" s="19">
        <f>Таблица1[[#This Row],[Сумма 
Продажа]]-Таблица1[[#This Row],[Сумма 
Приход]]</f>
        <v>0</v>
      </c>
      <c r="U357" s="150"/>
    </row>
    <row r="358" spans="1:21" ht="14.25" x14ac:dyDescent="0.2">
      <c r="A358" s="50">
        <f t="shared" si="5"/>
        <v>355</v>
      </c>
      <c r="B358" s="17"/>
      <c r="C358" s="17"/>
      <c r="D358" s="17"/>
      <c r="E358" s="51"/>
      <c r="F358" s="50"/>
      <c r="G358" s="23"/>
      <c r="H358" s="24"/>
      <c r="I358" s="23"/>
      <c r="J358" s="19">
        <f>Таблица1[[#This Row],[Блок
 Куб]]*Таблица1[[#This Row],[Цена 
Приход]]</f>
        <v>0</v>
      </c>
      <c r="K358" s="25"/>
      <c r="L358" s="25"/>
      <c r="M358" s="19">
        <f>Таблица1[[#This Row],[Поддон
Шт]]*Таблица1[[#This Row],[Цена
Поддон]]</f>
        <v>0</v>
      </c>
      <c r="N358" s="19">
        <f>Таблица1[[#This Row],[Сумма 
Приход]]+Таблица1[[#This Row],[Сумма Поддон]]</f>
        <v>0</v>
      </c>
      <c r="O358" s="20"/>
      <c r="P358" s="19">
        <f>Таблица1[[#This Row],[Цена
 Продажа]]-Таблица1[[#This Row],[Цена 
Приход]]</f>
        <v>0</v>
      </c>
      <c r="Q358" s="19"/>
      <c r="R358" s="19">
        <f>Таблица1[[#This Row],[Блок
 Куб]]*Таблица1[[#This Row],[Цена
 Продажа]]</f>
        <v>0</v>
      </c>
      <c r="S358" s="20"/>
      <c r="T358" s="19">
        <f>Таблица1[[#This Row],[Сумма 
Продажа]]-Таблица1[[#This Row],[Сумма 
Приход]]</f>
        <v>0</v>
      </c>
      <c r="U358" s="150"/>
    </row>
    <row r="359" spans="1:21" ht="14.25" x14ac:dyDescent="0.2">
      <c r="A359" s="50">
        <f t="shared" si="5"/>
        <v>356</v>
      </c>
      <c r="B359" s="17"/>
      <c r="C359" s="17"/>
      <c r="D359" s="17"/>
      <c r="E359" s="51"/>
      <c r="F359" s="50"/>
      <c r="G359" s="23"/>
      <c r="H359" s="24"/>
      <c r="I359" s="23"/>
      <c r="J359" s="19">
        <f>Таблица1[[#This Row],[Блок
 Куб]]*Таблица1[[#This Row],[Цена 
Приход]]</f>
        <v>0</v>
      </c>
      <c r="K359" s="25"/>
      <c r="L359" s="25"/>
      <c r="M359" s="19">
        <f>Таблица1[[#This Row],[Поддон
Шт]]*Таблица1[[#This Row],[Цена
Поддон]]</f>
        <v>0</v>
      </c>
      <c r="N359" s="19">
        <f>Таблица1[[#This Row],[Сумма 
Приход]]+Таблица1[[#This Row],[Сумма Поддон]]</f>
        <v>0</v>
      </c>
      <c r="O359" s="20"/>
      <c r="P359" s="19">
        <f>Таблица1[[#This Row],[Цена
 Продажа]]-Таблица1[[#This Row],[Цена 
Приход]]</f>
        <v>0</v>
      </c>
      <c r="Q359" s="19"/>
      <c r="R359" s="19">
        <f>Таблица1[[#This Row],[Блок
 Куб]]*Таблица1[[#This Row],[Цена
 Продажа]]</f>
        <v>0</v>
      </c>
      <c r="S359" s="20"/>
      <c r="T359" s="19">
        <f>Таблица1[[#This Row],[Сумма 
Продажа]]-Таблица1[[#This Row],[Сумма 
Приход]]</f>
        <v>0</v>
      </c>
      <c r="U359" s="150"/>
    </row>
    <row r="360" spans="1:21" ht="14.25" x14ac:dyDescent="0.2">
      <c r="A360" s="50">
        <f t="shared" si="5"/>
        <v>357</v>
      </c>
      <c r="B360" s="17"/>
      <c r="C360" s="17"/>
      <c r="D360" s="17"/>
      <c r="E360" s="51"/>
      <c r="F360" s="50"/>
      <c r="G360" s="23"/>
      <c r="H360" s="24"/>
      <c r="I360" s="23"/>
      <c r="J360" s="19">
        <f>Таблица1[[#This Row],[Блок
 Куб]]*Таблица1[[#This Row],[Цена 
Приход]]</f>
        <v>0</v>
      </c>
      <c r="K360" s="25"/>
      <c r="L360" s="25"/>
      <c r="M360" s="19">
        <f>Таблица1[[#This Row],[Поддон
Шт]]*Таблица1[[#This Row],[Цена
Поддон]]</f>
        <v>0</v>
      </c>
      <c r="N360" s="19">
        <f>Таблица1[[#This Row],[Сумма 
Приход]]+Таблица1[[#This Row],[Сумма Поддон]]</f>
        <v>0</v>
      </c>
      <c r="O360" s="20"/>
      <c r="P360" s="19">
        <f>Таблица1[[#This Row],[Цена
 Продажа]]-Таблица1[[#This Row],[Цена 
Приход]]</f>
        <v>0</v>
      </c>
      <c r="Q360" s="19"/>
      <c r="R360" s="19">
        <f>Таблица1[[#This Row],[Блок
 Куб]]*Таблица1[[#This Row],[Цена
 Продажа]]</f>
        <v>0</v>
      </c>
      <c r="S360" s="20"/>
      <c r="T360" s="19">
        <f>Таблица1[[#This Row],[Сумма 
Продажа]]-Таблица1[[#This Row],[Сумма 
Приход]]</f>
        <v>0</v>
      </c>
      <c r="U360" s="150"/>
    </row>
    <row r="361" spans="1:21" ht="14.25" x14ac:dyDescent="0.2">
      <c r="A361" s="50">
        <f t="shared" si="5"/>
        <v>358</v>
      </c>
      <c r="B361" s="17"/>
      <c r="C361" s="17"/>
      <c r="D361" s="17"/>
      <c r="E361" s="51"/>
      <c r="F361" s="50"/>
      <c r="G361" s="23"/>
      <c r="H361" s="24"/>
      <c r="I361" s="23"/>
      <c r="J361" s="19">
        <f>Таблица1[[#This Row],[Блок
 Куб]]*Таблица1[[#This Row],[Цена 
Приход]]</f>
        <v>0</v>
      </c>
      <c r="K361" s="25"/>
      <c r="L361" s="25"/>
      <c r="M361" s="19">
        <f>Таблица1[[#This Row],[Поддон
Шт]]*Таблица1[[#This Row],[Цена
Поддон]]</f>
        <v>0</v>
      </c>
      <c r="N361" s="19">
        <f>Таблица1[[#This Row],[Сумма 
Приход]]+Таблица1[[#This Row],[Сумма Поддон]]</f>
        <v>0</v>
      </c>
      <c r="O361" s="20"/>
      <c r="P361" s="19">
        <f>Таблица1[[#This Row],[Цена
 Продажа]]-Таблица1[[#This Row],[Цена 
Приход]]</f>
        <v>0</v>
      </c>
      <c r="Q361" s="19"/>
      <c r="R361" s="19">
        <f>Таблица1[[#This Row],[Блок
 Куб]]*Таблица1[[#This Row],[Цена
 Продажа]]</f>
        <v>0</v>
      </c>
      <c r="S361" s="20"/>
      <c r="T361" s="19">
        <f>Таблица1[[#This Row],[Сумма 
Продажа]]-Таблица1[[#This Row],[Сумма 
Приход]]</f>
        <v>0</v>
      </c>
      <c r="U361" s="150"/>
    </row>
    <row r="362" spans="1:21" ht="14.25" x14ac:dyDescent="0.2">
      <c r="A362" s="50">
        <f t="shared" si="5"/>
        <v>359</v>
      </c>
      <c r="B362" s="17"/>
      <c r="C362" s="17"/>
      <c r="D362" s="17"/>
      <c r="E362" s="51"/>
      <c r="F362" s="50"/>
      <c r="G362" s="23"/>
      <c r="H362" s="24"/>
      <c r="I362" s="23"/>
      <c r="J362" s="19">
        <f>Таблица1[[#This Row],[Блок
 Куб]]*Таблица1[[#This Row],[Цена 
Приход]]</f>
        <v>0</v>
      </c>
      <c r="K362" s="25"/>
      <c r="L362" s="25"/>
      <c r="M362" s="19">
        <f>Таблица1[[#This Row],[Поддон
Шт]]*Таблица1[[#This Row],[Цена
Поддон]]</f>
        <v>0</v>
      </c>
      <c r="N362" s="19">
        <f>Таблица1[[#This Row],[Сумма 
Приход]]+Таблица1[[#This Row],[Сумма Поддон]]</f>
        <v>0</v>
      </c>
      <c r="O362" s="20"/>
      <c r="P362" s="19">
        <f>Таблица1[[#This Row],[Цена
 Продажа]]-Таблица1[[#This Row],[Цена 
Приход]]</f>
        <v>0</v>
      </c>
      <c r="Q362" s="19"/>
      <c r="R362" s="19">
        <f>Таблица1[[#This Row],[Блок
 Куб]]*Таблица1[[#This Row],[Цена
 Продажа]]</f>
        <v>0</v>
      </c>
      <c r="S362" s="20"/>
      <c r="T362" s="19">
        <f>Таблица1[[#This Row],[Сумма 
Продажа]]-Таблица1[[#This Row],[Сумма 
Приход]]</f>
        <v>0</v>
      </c>
      <c r="U362" s="150"/>
    </row>
    <row r="363" spans="1:21" ht="14.25" x14ac:dyDescent="0.2">
      <c r="A363" s="50">
        <f t="shared" si="5"/>
        <v>360</v>
      </c>
      <c r="B363" s="17"/>
      <c r="C363" s="17"/>
      <c r="D363" s="17"/>
      <c r="E363" s="51"/>
      <c r="F363" s="50"/>
      <c r="G363" s="23"/>
      <c r="H363" s="24"/>
      <c r="I363" s="23"/>
      <c r="J363" s="19">
        <f>Таблица1[[#This Row],[Блок
 Куб]]*Таблица1[[#This Row],[Цена 
Приход]]</f>
        <v>0</v>
      </c>
      <c r="K363" s="25"/>
      <c r="L363" s="25"/>
      <c r="M363" s="19">
        <f>Таблица1[[#This Row],[Поддон
Шт]]*Таблица1[[#This Row],[Цена
Поддон]]</f>
        <v>0</v>
      </c>
      <c r="N363" s="19">
        <f>Таблица1[[#This Row],[Сумма 
Приход]]+Таблица1[[#This Row],[Сумма Поддон]]</f>
        <v>0</v>
      </c>
      <c r="O363" s="20"/>
      <c r="P363" s="19">
        <f>Таблица1[[#This Row],[Цена
 Продажа]]-Таблица1[[#This Row],[Цена 
Приход]]</f>
        <v>0</v>
      </c>
      <c r="Q363" s="19"/>
      <c r="R363" s="19">
        <f>Таблица1[[#This Row],[Блок
 Куб]]*Таблица1[[#This Row],[Цена
 Продажа]]</f>
        <v>0</v>
      </c>
      <c r="S363" s="20"/>
      <c r="T363" s="19">
        <f>Таблица1[[#This Row],[Сумма 
Продажа]]-Таблица1[[#This Row],[Сумма 
Приход]]</f>
        <v>0</v>
      </c>
      <c r="U363" s="150"/>
    </row>
    <row r="364" spans="1:21" ht="14.25" x14ac:dyDescent="0.2">
      <c r="A364" s="50">
        <f t="shared" si="5"/>
        <v>361</v>
      </c>
      <c r="B364" s="17"/>
      <c r="C364" s="17"/>
      <c r="D364" s="17"/>
      <c r="E364" s="51"/>
      <c r="F364" s="50"/>
      <c r="G364" s="23"/>
      <c r="H364" s="24"/>
      <c r="I364" s="23"/>
      <c r="J364" s="19">
        <f>Таблица1[[#This Row],[Блок
 Куб]]*Таблица1[[#This Row],[Цена 
Приход]]</f>
        <v>0</v>
      </c>
      <c r="K364" s="25"/>
      <c r="L364" s="25"/>
      <c r="M364" s="19">
        <f>Таблица1[[#This Row],[Поддон
Шт]]*Таблица1[[#This Row],[Цена
Поддон]]</f>
        <v>0</v>
      </c>
      <c r="N364" s="19">
        <f>Таблица1[[#This Row],[Сумма 
Приход]]+Таблица1[[#This Row],[Сумма Поддон]]</f>
        <v>0</v>
      </c>
      <c r="O364" s="20"/>
      <c r="P364" s="19">
        <f>Таблица1[[#This Row],[Цена
 Продажа]]-Таблица1[[#This Row],[Цена 
Приход]]</f>
        <v>0</v>
      </c>
      <c r="Q364" s="19"/>
      <c r="R364" s="19">
        <f>Таблица1[[#This Row],[Блок
 Куб]]*Таблица1[[#This Row],[Цена
 Продажа]]</f>
        <v>0</v>
      </c>
      <c r="S364" s="20"/>
      <c r="T364" s="19">
        <f>Таблица1[[#This Row],[Сумма 
Продажа]]-Таблица1[[#This Row],[Сумма 
Приход]]</f>
        <v>0</v>
      </c>
      <c r="U364" s="150"/>
    </row>
    <row r="365" spans="1:21" ht="14.25" x14ac:dyDescent="0.2">
      <c r="A365" s="50">
        <f t="shared" si="5"/>
        <v>362</v>
      </c>
      <c r="B365" s="17"/>
      <c r="C365" s="17"/>
      <c r="D365" s="17"/>
      <c r="E365" s="51"/>
      <c r="F365" s="50"/>
      <c r="G365" s="23"/>
      <c r="H365" s="24"/>
      <c r="I365" s="23"/>
      <c r="J365" s="19">
        <f>Таблица1[[#This Row],[Блок
 Куб]]*Таблица1[[#This Row],[Цена 
Приход]]</f>
        <v>0</v>
      </c>
      <c r="K365" s="25"/>
      <c r="L365" s="25"/>
      <c r="M365" s="19">
        <f>Таблица1[[#This Row],[Поддон
Шт]]*Таблица1[[#This Row],[Цена
Поддон]]</f>
        <v>0</v>
      </c>
      <c r="N365" s="19">
        <f>Таблица1[[#This Row],[Сумма 
Приход]]+Таблица1[[#This Row],[Сумма Поддон]]</f>
        <v>0</v>
      </c>
      <c r="O365" s="20"/>
      <c r="P365" s="19">
        <f>Таблица1[[#This Row],[Цена
 Продажа]]-Таблица1[[#This Row],[Цена 
Приход]]</f>
        <v>0</v>
      </c>
      <c r="Q365" s="19"/>
      <c r="R365" s="19">
        <f>Таблица1[[#This Row],[Блок
 Куб]]*Таблица1[[#This Row],[Цена
 Продажа]]</f>
        <v>0</v>
      </c>
      <c r="S365" s="20"/>
      <c r="T365" s="19">
        <f>Таблица1[[#This Row],[Сумма 
Продажа]]-Таблица1[[#This Row],[Сумма 
Приход]]</f>
        <v>0</v>
      </c>
      <c r="U365" s="150"/>
    </row>
    <row r="366" spans="1:21" ht="14.25" x14ac:dyDescent="0.2">
      <c r="A366" s="50">
        <f t="shared" si="5"/>
        <v>363</v>
      </c>
      <c r="B366" s="17"/>
      <c r="C366" s="17"/>
      <c r="D366" s="17"/>
      <c r="E366" s="51"/>
      <c r="F366" s="50"/>
      <c r="G366" s="23"/>
      <c r="H366" s="24"/>
      <c r="I366" s="23"/>
      <c r="J366" s="19">
        <f>Таблица1[[#This Row],[Блок
 Куб]]*Таблица1[[#This Row],[Цена 
Приход]]</f>
        <v>0</v>
      </c>
      <c r="K366" s="25"/>
      <c r="L366" s="25"/>
      <c r="M366" s="19">
        <f>Таблица1[[#This Row],[Поддон
Шт]]*Таблица1[[#This Row],[Цена
Поддон]]</f>
        <v>0</v>
      </c>
      <c r="N366" s="19">
        <f>Таблица1[[#This Row],[Сумма 
Приход]]+Таблица1[[#This Row],[Сумма Поддон]]</f>
        <v>0</v>
      </c>
      <c r="O366" s="20"/>
      <c r="P366" s="19">
        <f>Таблица1[[#This Row],[Цена
 Продажа]]-Таблица1[[#This Row],[Цена 
Приход]]</f>
        <v>0</v>
      </c>
      <c r="Q366" s="19"/>
      <c r="R366" s="19">
        <f>Таблица1[[#This Row],[Блок
 Куб]]*Таблица1[[#This Row],[Цена
 Продажа]]</f>
        <v>0</v>
      </c>
      <c r="S366" s="20"/>
      <c r="T366" s="19">
        <f>Таблица1[[#This Row],[Сумма 
Продажа]]-Таблица1[[#This Row],[Сумма 
Приход]]</f>
        <v>0</v>
      </c>
      <c r="U366" s="150"/>
    </row>
    <row r="367" spans="1:21" ht="14.25" x14ac:dyDescent="0.2">
      <c r="A367" s="50">
        <f t="shared" si="5"/>
        <v>364</v>
      </c>
      <c r="B367" s="17"/>
      <c r="C367" s="17"/>
      <c r="D367" s="17"/>
      <c r="E367" s="51"/>
      <c r="F367" s="50"/>
      <c r="G367" s="23"/>
      <c r="H367" s="24"/>
      <c r="I367" s="23"/>
      <c r="J367" s="19">
        <f>Таблица1[[#This Row],[Блок
 Куб]]*Таблица1[[#This Row],[Цена 
Приход]]</f>
        <v>0</v>
      </c>
      <c r="K367" s="25"/>
      <c r="L367" s="25"/>
      <c r="M367" s="19">
        <f>Таблица1[[#This Row],[Поддон
Шт]]*Таблица1[[#This Row],[Цена
Поддон]]</f>
        <v>0</v>
      </c>
      <c r="N367" s="19">
        <f>Таблица1[[#This Row],[Сумма 
Приход]]+Таблица1[[#This Row],[Сумма Поддон]]</f>
        <v>0</v>
      </c>
      <c r="O367" s="20"/>
      <c r="P367" s="19">
        <f>Таблица1[[#This Row],[Цена
 Продажа]]-Таблица1[[#This Row],[Цена 
Приход]]</f>
        <v>0</v>
      </c>
      <c r="Q367" s="19"/>
      <c r="R367" s="19">
        <f>Таблица1[[#This Row],[Блок
 Куб]]*Таблица1[[#This Row],[Цена
 Продажа]]</f>
        <v>0</v>
      </c>
      <c r="S367" s="20"/>
      <c r="T367" s="19">
        <f>Таблица1[[#This Row],[Сумма 
Продажа]]-Таблица1[[#This Row],[Сумма 
Приход]]</f>
        <v>0</v>
      </c>
      <c r="U367" s="150"/>
    </row>
    <row r="368" spans="1:21" ht="14.25" x14ac:dyDescent="0.2">
      <c r="A368" s="50">
        <f t="shared" si="5"/>
        <v>365</v>
      </c>
      <c r="B368" s="17"/>
      <c r="C368" s="17"/>
      <c r="D368" s="17"/>
      <c r="E368" s="51"/>
      <c r="F368" s="50"/>
      <c r="G368" s="23"/>
      <c r="H368" s="24"/>
      <c r="I368" s="23"/>
      <c r="J368" s="19">
        <f>Таблица1[[#This Row],[Блок
 Куб]]*Таблица1[[#This Row],[Цена 
Приход]]</f>
        <v>0</v>
      </c>
      <c r="K368" s="25"/>
      <c r="L368" s="25"/>
      <c r="M368" s="19">
        <f>Таблица1[[#This Row],[Поддон
Шт]]*Таблица1[[#This Row],[Цена
Поддон]]</f>
        <v>0</v>
      </c>
      <c r="N368" s="19">
        <f>Таблица1[[#This Row],[Сумма 
Приход]]+Таблица1[[#This Row],[Сумма Поддон]]</f>
        <v>0</v>
      </c>
      <c r="O368" s="20"/>
      <c r="P368" s="19">
        <f>Таблица1[[#This Row],[Цена
 Продажа]]-Таблица1[[#This Row],[Цена 
Приход]]</f>
        <v>0</v>
      </c>
      <c r="Q368" s="19"/>
      <c r="R368" s="19">
        <f>Таблица1[[#This Row],[Блок
 Куб]]*Таблица1[[#This Row],[Цена
 Продажа]]</f>
        <v>0</v>
      </c>
      <c r="S368" s="20"/>
      <c r="T368" s="19">
        <f>Таблица1[[#This Row],[Сумма 
Продажа]]-Таблица1[[#This Row],[Сумма 
Приход]]</f>
        <v>0</v>
      </c>
      <c r="U368" s="150"/>
    </row>
    <row r="369" spans="1:21" ht="14.25" x14ac:dyDescent="0.2">
      <c r="A369" s="50">
        <f t="shared" si="5"/>
        <v>366</v>
      </c>
      <c r="B369" s="17"/>
      <c r="C369" s="17"/>
      <c r="D369" s="17"/>
      <c r="E369" s="51"/>
      <c r="F369" s="50"/>
      <c r="G369" s="23"/>
      <c r="H369" s="24"/>
      <c r="I369" s="23"/>
      <c r="J369" s="19">
        <f>Таблица1[[#This Row],[Блок
 Куб]]*Таблица1[[#This Row],[Цена 
Приход]]</f>
        <v>0</v>
      </c>
      <c r="K369" s="25"/>
      <c r="L369" s="25"/>
      <c r="M369" s="19">
        <f>Таблица1[[#This Row],[Поддон
Шт]]*Таблица1[[#This Row],[Цена
Поддон]]</f>
        <v>0</v>
      </c>
      <c r="N369" s="19">
        <f>Таблица1[[#This Row],[Сумма 
Приход]]+Таблица1[[#This Row],[Сумма Поддон]]</f>
        <v>0</v>
      </c>
      <c r="O369" s="20"/>
      <c r="P369" s="19">
        <f>Таблица1[[#This Row],[Цена
 Продажа]]-Таблица1[[#This Row],[Цена 
Приход]]</f>
        <v>0</v>
      </c>
      <c r="Q369" s="19"/>
      <c r="R369" s="19">
        <f>Таблица1[[#This Row],[Блок
 Куб]]*Таблица1[[#This Row],[Цена
 Продажа]]</f>
        <v>0</v>
      </c>
      <c r="S369" s="20"/>
      <c r="T369" s="19">
        <f>Таблица1[[#This Row],[Сумма 
Продажа]]-Таблица1[[#This Row],[Сумма 
Приход]]</f>
        <v>0</v>
      </c>
      <c r="U369" s="150"/>
    </row>
    <row r="370" spans="1:21" ht="14.25" x14ac:dyDescent="0.2">
      <c r="A370" s="50">
        <f t="shared" si="5"/>
        <v>367</v>
      </c>
      <c r="B370" s="17"/>
      <c r="C370" s="17"/>
      <c r="D370" s="17"/>
      <c r="E370" s="51"/>
      <c r="F370" s="50"/>
      <c r="G370" s="23"/>
      <c r="H370" s="24"/>
      <c r="I370" s="23"/>
      <c r="J370" s="19">
        <f>Таблица1[[#This Row],[Блок
 Куб]]*Таблица1[[#This Row],[Цена 
Приход]]</f>
        <v>0</v>
      </c>
      <c r="K370" s="25"/>
      <c r="L370" s="25"/>
      <c r="M370" s="19">
        <f>Таблица1[[#This Row],[Поддон
Шт]]*Таблица1[[#This Row],[Цена
Поддон]]</f>
        <v>0</v>
      </c>
      <c r="N370" s="19">
        <f>Таблица1[[#This Row],[Сумма 
Приход]]+Таблица1[[#This Row],[Сумма Поддон]]</f>
        <v>0</v>
      </c>
      <c r="O370" s="20"/>
      <c r="P370" s="19">
        <f>Таблица1[[#This Row],[Цена
 Продажа]]-Таблица1[[#This Row],[Цена 
Приход]]</f>
        <v>0</v>
      </c>
      <c r="Q370" s="19"/>
      <c r="R370" s="19">
        <f>Таблица1[[#This Row],[Блок
 Куб]]*Таблица1[[#This Row],[Цена
 Продажа]]</f>
        <v>0</v>
      </c>
      <c r="S370" s="20"/>
      <c r="T370" s="19">
        <f>Таблица1[[#This Row],[Сумма 
Продажа]]-Таблица1[[#This Row],[Сумма 
Приход]]</f>
        <v>0</v>
      </c>
      <c r="U370" s="150"/>
    </row>
    <row r="371" spans="1:21" ht="14.25" x14ac:dyDescent="0.2">
      <c r="A371" s="50">
        <f t="shared" si="5"/>
        <v>368</v>
      </c>
      <c r="B371" s="17"/>
      <c r="C371" s="17"/>
      <c r="D371" s="17"/>
      <c r="E371" s="51"/>
      <c r="F371" s="50"/>
      <c r="G371" s="23"/>
      <c r="H371" s="24"/>
      <c r="I371" s="23"/>
      <c r="J371" s="19">
        <f>Таблица1[[#This Row],[Блок
 Куб]]*Таблица1[[#This Row],[Цена 
Приход]]</f>
        <v>0</v>
      </c>
      <c r="K371" s="25"/>
      <c r="L371" s="25"/>
      <c r="M371" s="19">
        <f>Таблица1[[#This Row],[Поддон
Шт]]*Таблица1[[#This Row],[Цена
Поддон]]</f>
        <v>0</v>
      </c>
      <c r="N371" s="19">
        <f>Таблица1[[#This Row],[Сумма 
Приход]]+Таблица1[[#This Row],[Сумма Поддон]]</f>
        <v>0</v>
      </c>
      <c r="O371" s="20"/>
      <c r="P371" s="19">
        <f>Таблица1[[#This Row],[Цена
 Продажа]]-Таблица1[[#This Row],[Цена 
Приход]]</f>
        <v>0</v>
      </c>
      <c r="Q371" s="19"/>
      <c r="R371" s="19">
        <f>Таблица1[[#This Row],[Блок
 Куб]]*Таблица1[[#This Row],[Цена
 Продажа]]</f>
        <v>0</v>
      </c>
      <c r="S371" s="20"/>
      <c r="T371" s="19">
        <f>Таблица1[[#This Row],[Сумма 
Продажа]]-Таблица1[[#This Row],[Сумма 
Приход]]</f>
        <v>0</v>
      </c>
      <c r="U371" s="150"/>
    </row>
    <row r="372" spans="1:21" ht="14.25" x14ac:dyDescent="0.2">
      <c r="A372" s="50">
        <f t="shared" si="5"/>
        <v>369</v>
      </c>
      <c r="B372" s="17"/>
      <c r="C372" s="17"/>
      <c r="D372" s="17"/>
      <c r="E372" s="51"/>
      <c r="F372" s="50"/>
      <c r="G372" s="23"/>
      <c r="H372" s="24"/>
      <c r="I372" s="23"/>
      <c r="J372" s="19">
        <f>Таблица1[[#This Row],[Блок
 Куб]]*Таблица1[[#This Row],[Цена 
Приход]]</f>
        <v>0</v>
      </c>
      <c r="K372" s="25"/>
      <c r="L372" s="25"/>
      <c r="M372" s="19">
        <f>Таблица1[[#This Row],[Поддон
Шт]]*Таблица1[[#This Row],[Цена
Поддон]]</f>
        <v>0</v>
      </c>
      <c r="N372" s="19">
        <f>Таблица1[[#This Row],[Сумма 
Приход]]+Таблица1[[#This Row],[Сумма Поддон]]</f>
        <v>0</v>
      </c>
      <c r="O372" s="20"/>
      <c r="P372" s="19">
        <f>Таблица1[[#This Row],[Цена
 Продажа]]-Таблица1[[#This Row],[Цена 
Приход]]</f>
        <v>0</v>
      </c>
      <c r="Q372" s="19"/>
      <c r="R372" s="19">
        <f>Таблица1[[#This Row],[Блок
 Куб]]*Таблица1[[#This Row],[Цена
 Продажа]]</f>
        <v>0</v>
      </c>
      <c r="S372" s="20"/>
      <c r="T372" s="19">
        <f>Таблица1[[#This Row],[Сумма 
Продажа]]-Таблица1[[#This Row],[Сумма 
Приход]]</f>
        <v>0</v>
      </c>
      <c r="U372" s="150"/>
    </row>
    <row r="373" spans="1:21" ht="14.25" x14ac:dyDescent="0.2">
      <c r="A373" s="50">
        <f t="shared" si="5"/>
        <v>370</v>
      </c>
      <c r="B373" s="17"/>
      <c r="C373" s="17"/>
      <c r="D373" s="17"/>
      <c r="E373" s="51"/>
      <c r="F373" s="50"/>
      <c r="G373" s="23"/>
      <c r="H373" s="24"/>
      <c r="I373" s="23"/>
      <c r="J373" s="19">
        <f>Таблица1[[#This Row],[Блок
 Куб]]*Таблица1[[#This Row],[Цена 
Приход]]</f>
        <v>0</v>
      </c>
      <c r="K373" s="25"/>
      <c r="L373" s="25"/>
      <c r="M373" s="19">
        <f>Таблица1[[#This Row],[Поддон
Шт]]*Таблица1[[#This Row],[Цена
Поддон]]</f>
        <v>0</v>
      </c>
      <c r="N373" s="19">
        <f>Таблица1[[#This Row],[Сумма 
Приход]]+Таблица1[[#This Row],[Сумма Поддон]]</f>
        <v>0</v>
      </c>
      <c r="O373" s="20"/>
      <c r="P373" s="19">
        <f>Таблица1[[#This Row],[Цена
 Продажа]]-Таблица1[[#This Row],[Цена 
Приход]]</f>
        <v>0</v>
      </c>
      <c r="Q373" s="19"/>
      <c r="R373" s="19">
        <f>Таблица1[[#This Row],[Блок
 Куб]]*Таблица1[[#This Row],[Цена
 Продажа]]</f>
        <v>0</v>
      </c>
      <c r="S373" s="20"/>
      <c r="T373" s="19">
        <f>Таблица1[[#This Row],[Сумма 
Продажа]]-Таблица1[[#This Row],[Сумма 
Приход]]</f>
        <v>0</v>
      </c>
      <c r="U373" s="150"/>
    </row>
    <row r="374" spans="1:21" ht="14.25" x14ac:dyDescent="0.2">
      <c r="A374" s="50">
        <f t="shared" si="5"/>
        <v>371</v>
      </c>
      <c r="B374" s="17"/>
      <c r="C374" s="17"/>
      <c r="D374" s="17"/>
      <c r="E374" s="51"/>
      <c r="F374" s="50"/>
      <c r="G374" s="23"/>
      <c r="H374" s="24"/>
      <c r="I374" s="23"/>
      <c r="J374" s="19">
        <f>Таблица1[[#This Row],[Блок
 Куб]]*Таблица1[[#This Row],[Цена 
Приход]]</f>
        <v>0</v>
      </c>
      <c r="K374" s="25"/>
      <c r="L374" s="25"/>
      <c r="M374" s="19">
        <f>Таблица1[[#This Row],[Поддон
Шт]]*Таблица1[[#This Row],[Цена
Поддон]]</f>
        <v>0</v>
      </c>
      <c r="N374" s="19">
        <f>Таблица1[[#This Row],[Сумма 
Приход]]+Таблица1[[#This Row],[Сумма Поддон]]</f>
        <v>0</v>
      </c>
      <c r="O374" s="20"/>
      <c r="P374" s="19">
        <f>Таблица1[[#This Row],[Цена
 Продажа]]-Таблица1[[#This Row],[Цена 
Приход]]</f>
        <v>0</v>
      </c>
      <c r="Q374" s="19"/>
      <c r="R374" s="19">
        <f>Таблица1[[#This Row],[Блок
 Куб]]*Таблица1[[#This Row],[Цена
 Продажа]]</f>
        <v>0</v>
      </c>
      <c r="S374" s="20"/>
      <c r="T374" s="19">
        <f>Таблица1[[#This Row],[Сумма 
Продажа]]-Таблица1[[#This Row],[Сумма 
Приход]]</f>
        <v>0</v>
      </c>
      <c r="U374" s="150"/>
    </row>
    <row r="375" spans="1:21" ht="14.25" x14ac:dyDescent="0.2">
      <c r="A375" s="50">
        <f t="shared" si="5"/>
        <v>372</v>
      </c>
      <c r="B375" s="17"/>
      <c r="C375" s="17"/>
      <c r="D375" s="17"/>
      <c r="E375" s="51"/>
      <c r="F375" s="50"/>
      <c r="G375" s="23"/>
      <c r="H375" s="24"/>
      <c r="I375" s="23"/>
      <c r="J375" s="19">
        <f>Таблица1[[#This Row],[Блок
 Куб]]*Таблица1[[#This Row],[Цена 
Приход]]</f>
        <v>0</v>
      </c>
      <c r="K375" s="25"/>
      <c r="L375" s="25"/>
      <c r="M375" s="19">
        <f>Таблица1[[#This Row],[Поддон
Шт]]*Таблица1[[#This Row],[Цена
Поддон]]</f>
        <v>0</v>
      </c>
      <c r="N375" s="19">
        <f>Таблица1[[#This Row],[Сумма 
Приход]]+Таблица1[[#This Row],[Сумма Поддон]]</f>
        <v>0</v>
      </c>
      <c r="O375" s="20"/>
      <c r="P375" s="19">
        <f>Таблица1[[#This Row],[Цена
 Продажа]]-Таблица1[[#This Row],[Цена 
Приход]]</f>
        <v>0</v>
      </c>
      <c r="Q375" s="19"/>
      <c r="R375" s="19">
        <f>Таблица1[[#This Row],[Блок
 Куб]]*Таблица1[[#This Row],[Цена
 Продажа]]</f>
        <v>0</v>
      </c>
      <c r="S375" s="20"/>
      <c r="T375" s="19">
        <f>Таблица1[[#This Row],[Сумма 
Продажа]]-Таблица1[[#This Row],[Сумма 
Приход]]</f>
        <v>0</v>
      </c>
      <c r="U375" s="150"/>
    </row>
    <row r="376" spans="1:21" ht="14.25" x14ac:dyDescent="0.2">
      <c r="A376" s="50">
        <f t="shared" si="5"/>
        <v>373</v>
      </c>
      <c r="B376" s="17"/>
      <c r="C376" s="17"/>
      <c r="D376" s="17"/>
      <c r="E376" s="51"/>
      <c r="F376" s="50"/>
      <c r="G376" s="23"/>
      <c r="H376" s="24"/>
      <c r="I376" s="23"/>
      <c r="J376" s="19">
        <f>Таблица1[[#This Row],[Блок
 Куб]]*Таблица1[[#This Row],[Цена 
Приход]]</f>
        <v>0</v>
      </c>
      <c r="K376" s="25"/>
      <c r="L376" s="25"/>
      <c r="M376" s="19">
        <f>Таблица1[[#This Row],[Поддон
Шт]]*Таблица1[[#This Row],[Цена
Поддон]]</f>
        <v>0</v>
      </c>
      <c r="N376" s="19">
        <f>Таблица1[[#This Row],[Сумма 
Приход]]+Таблица1[[#This Row],[Сумма Поддон]]</f>
        <v>0</v>
      </c>
      <c r="O376" s="20"/>
      <c r="P376" s="19">
        <f>Таблица1[[#This Row],[Цена
 Продажа]]-Таблица1[[#This Row],[Цена 
Приход]]</f>
        <v>0</v>
      </c>
      <c r="Q376" s="19"/>
      <c r="R376" s="19">
        <f>Таблица1[[#This Row],[Блок
 Куб]]*Таблица1[[#This Row],[Цена
 Продажа]]</f>
        <v>0</v>
      </c>
      <c r="S376" s="20"/>
      <c r="T376" s="19">
        <f>Таблица1[[#This Row],[Сумма 
Продажа]]-Таблица1[[#This Row],[Сумма 
Приход]]</f>
        <v>0</v>
      </c>
      <c r="U376" s="150"/>
    </row>
    <row r="377" spans="1:21" ht="14.25" x14ac:dyDescent="0.2">
      <c r="A377" s="50">
        <f t="shared" si="5"/>
        <v>374</v>
      </c>
      <c r="B377" s="17"/>
      <c r="C377" s="17"/>
      <c r="D377" s="17"/>
      <c r="E377" s="51"/>
      <c r="F377" s="50"/>
      <c r="G377" s="23"/>
      <c r="H377" s="24"/>
      <c r="I377" s="23"/>
      <c r="J377" s="19">
        <f>Таблица1[[#This Row],[Блок
 Куб]]*Таблица1[[#This Row],[Цена 
Приход]]</f>
        <v>0</v>
      </c>
      <c r="K377" s="25"/>
      <c r="L377" s="25"/>
      <c r="M377" s="19">
        <f>Таблица1[[#This Row],[Поддон
Шт]]*Таблица1[[#This Row],[Цена
Поддон]]</f>
        <v>0</v>
      </c>
      <c r="N377" s="19">
        <f>Таблица1[[#This Row],[Сумма 
Приход]]+Таблица1[[#This Row],[Сумма Поддон]]</f>
        <v>0</v>
      </c>
      <c r="O377" s="20"/>
      <c r="P377" s="19">
        <f>Таблица1[[#This Row],[Цена
 Продажа]]-Таблица1[[#This Row],[Цена 
Приход]]</f>
        <v>0</v>
      </c>
      <c r="Q377" s="19"/>
      <c r="R377" s="19">
        <f>Таблица1[[#This Row],[Блок
 Куб]]*Таблица1[[#This Row],[Цена
 Продажа]]</f>
        <v>0</v>
      </c>
      <c r="S377" s="20"/>
      <c r="T377" s="19">
        <f>Таблица1[[#This Row],[Сумма 
Продажа]]-Таблица1[[#This Row],[Сумма 
Приход]]</f>
        <v>0</v>
      </c>
      <c r="U377" s="150"/>
    </row>
    <row r="378" spans="1:21" ht="14.25" x14ac:dyDescent="0.2">
      <c r="A378" s="50">
        <f t="shared" si="5"/>
        <v>375</v>
      </c>
      <c r="B378" s="17"/>
      <c r="C378" s="17"/>
      <c r="D378" s="17"/>
      <c r="E378" s="51"/>
      <c r="F378" s="50"/>
      <c r="G378" s="23"/>
      <c r="H378" s="24"/>
      <c r="I378" s="23"/>
      <c r="J378" s="19">
        <f>Таблица1[[#This Row],[Блок
 Куб]]*Таблица1[[#This Row],[Цена 
Приход]]</f>
        <v>0</v>
      </c>
      <c r="K378" s="25"/>
      <c r="L378" s="25"/>
      <c r="M378" s="19">
        <f>Таблица1[[#This Row],[Поддон
Шт]]*Таблица1[[#This Row],[Цена
Поддон]]</f>
        <v>0</v>
      </c>
      <c r="N378" s="19">
        <f>Таблица1[[#This Row],[Сумма 
Приход]]+Таблица1[[#This Row],[Сумма Поддон]]</f>
        <v>0</v>
      </c>
      <c r="O378" s="20"/>
      <c r="P378" s="19">
        <f>Таблица1[[#This Row],[Цена
 Продажа]]-Таблица1[[#This Row],[Цена 
Приход]]</f>
        <v>0</v>
      </c>
      <c r="Q378" s="19"/>
      <c r="R378" s="19">
        <f>Таблица1[[#This Row],[Блок
 Куб]]*Таблица1[[#This Row],[Цена
 Продажа]]</f>
        <v>0</v>
      </c>
      <c r="S378" s="20"/>
      <c r="T378" s="19">
        <f>Таблица1[[#This Row],[Сумма 
Продажа]]-Таблица1[[#This Row],[Сумма 
Приход]]</f>
        <v>0</v>
      </c>
      <c r="U378" s="150"/>
    </row>
    <row r="379" spans="1:21" ht="14.25" x14ac:dyDescent="0.2">
      <c r="A379" s="50">
        <f t="shared" si="5"/>
        <v>376</v>
      </c>
      <c r="B379" s="17"/>
      <c r="C379" s="17"/>
      <c r="D379" s="17"/>
      <c r="E379" s="51"/>
      <c r="F379" s="50"/>
      <c r="G379" s="23"/>
      <c r="H379" s="24"/>
      <c r="I379" s="23"/>
      <c r="J379" s="19">
        <f>Таблица1[[#This Row],[Блок
 Куб]]*Таблица1[[#This Row],[Цена 
Приход]]</f>
        <v>0</v>
      </c>
      <c r="K379" s="25"/>
      <c r="L379" s="25"/>
      <c r="M379" s="19">
        <f>Таблица1[[#This Row],[Поддон
Шт]]*Таблица1[[#This Row],[Цена
Поддон]]</f>
        <v>0</v>
      </c>
      <c r="N379" s="19">
        <f>Таблица1[[#This Row],[Сумма 
Приход]]+Таблица1[[#This Row],[Сумма Поддон]]</f>
        <v>0</v>
      </c>
      <c r="O379" s="20"/>
      <c r="P379" s="19">
        <f>Таблица1[[#This Row],[Цена
 Продажа]]-Таблица1[[#This Row],[Цена 
Приход]]</f>
        <v>0</v>
      </c>
      <c r="Q379" s="19"/>
      <c r="R379" s="19">
        <f>Таблица1[[#This Row],[Блок
 Куб]]*Таблица1[[#This Row],[Цена
 Продажа]]</f>
        <v>0</v>
      </c>
      <c r="S379" s="20"/>
      <c r="T379" s="19">
        <f>Таблица1[[#This Row],[Сумма 
Продажа]]-Таблица1[[#This Row],[Сумма 
Приход]]</f>
        <v>0</v>
      </c>
      <c r="U379" s="150"/>
    </row>
    <row r="380" spans="1:21" ht="14.25" x14ac:dyDescent="0.2">
      <c r="A380" s="50">
        <f t="shared" si="5"/>
        <v>377</v>
      </c>
      <c r="B380" s="17"/>
      <c r="C380" s="17"/>
      <c r="D380" s="17"/>
      <c r="E380" s="51"/>
      <c r="F380" s="50"/>
      <c r="G380" s="23"/>
      <c r="H380" s="24"/>
      <c r="I380" s="23"/>
      <c r="J380" s="19">
        <f>Таблица1[[#This Row],[Блок
 Куб]]*Таблица1[[#This Row],[Цена 
Приход]]</f>
        <v>0</v>
      </c>
      <c r="K380" s="25"/>
      <c r="L380" s="25"/>
      <c r="M380" s="19">
        <f>Таблица1[[#This Row],[Поддон
Шт]]*Таблица1[[#This Row],[Цена
Поддон]]</f>
        <v>0</v>
      </c>
      <c r="N380" s="19">
        <f>Таблица1[[#This Row],[Сумма 
Приход]]+Таблица1[[#This Row],[Сумма Поддон]]</f>
        <v>0</v>
      </c>
      <c r="O380" s="20"/>
      <c r="P380" s="19">
        <f>Таблица1[[#This Row],[Цена
 Продажа]]-Таблица1[[#This Row],[Цена 
Приход]]</f>
        <v>0</v>
      </c>
      <c r="Q380" s="19"/>
      <c r="R380" s="19">
        <f>Таблица1[[#This Row],[Блок
 Куб]]*Таблица1[[#This Row],[Цена
 Продажа]]</f>
        <v>0</v>
      </c>
      <c r="S380" s="20"/>
      <c r="T380" s="19">
        <f>Таблица1[[#This Row],[Сумма 
Продажа]]-Таблица1[[#This Row],[Сумма 
Приход]]</f>
        <v>0</v>
      </c>
      <c r="U380" s="150"/>
    </row>
    <row r="381" spans="1:21" ht="14.25" x14ac:dyDescent="0.2">
      <c r="A381" s="50">
        <f t="shared" si="5"/>
        <v>378</v>
      </c>
      <c r="B381" s="17"/>
      <c r="C381" s="17"/>
      <c r="D381" s="17"/>
      <c r="E381" s="51"/>
      <c r="F381" s="50"/>
      <c r="G381" s="23"/>
      <c r="H381" s="24"/>
      <c r="I381" s="23"/>
      <c r="J381" s="19">
        <f>Таблица1[[#This Row],[Блок
 Куб]]*Таблица1[[#This Row],[Цена 
Приход]]</f>
        <v>0</v>
      </c>
      <c r="K381" s="25"/>
      <c r="L381" s="25"/>
      <c r="M381" s="19">
        <f>Таблица1[[#This Row],[Поддон
Шт]]*Таблица1[[#This Row],[Цена
Поддон]]</f>
        <v>0</v>
      </c>
      <c r="N381" s="19">
        <f>Таблица1[[#This Row],[Сумма 
Приход]]+Таблица1[[#This Row],[Сумма Поддон]]</f>
        <v>0</v>
      </c>
      <c r="O381" s="20"/>
      <c r="P381" s="19">
        <f>Таблица1[[#This Row],[Цена
 Продажа]]-Таблица1[[#This Row],[Цена 
Приход]]</f>
        <v>0</v>
      </c>
      <c r="Q381" s="19"/>
      <c r="R381" s="19">
        <f>Таблица1[[#This Row],[Блок
 Куб]]*Таблица1[[#This Row],[Цена
 Продажа]]</f>
        <v>0</v>
      </c>
      <c r="S381" s="20"/>
      <c r="T381" s="19">
        <f>Таблица1[[#This Row],[Сумма 
Продажа]]-Таблица1[[#This Row],[Сумма 
Приход]]</f>
        <v>0</v>
      </c>
      <c r="U381" s="150"/>
    </row>
    <row r="382" spans="1:21" ht="14.25" x14ac:dyDescent="0.2">
      <c r="A382" s="50">
        <f t="shared" si="5"/>
        <v>379</v>
      </c>
      <c r="B382" s="17"/>
      <c r="C382" s="17"/>
      <c r="D382" s="17"/>
      <c r="E382" s="51"/>
      <c r="F382" s="50"/>
      <c r="G382" s="23"/>
      <c r="H382" s="24"/>
      <c r="I382" s="23"/>
      <c r="J382" s="19">
        <f>Таблица1[[#This Row],[Блок
 Куб]]*Таблица1[[#This Row],[Цена 
Приход]]</f>
        <v>0</v>
      </c>
      <c r="K382" s="25"/>
      <c r="L382" s="25"/>
      <c r="M382" s="19">
        <f>Таблица1[[#This Row],[Поддон
Шт]]*Таблица1[[#This Row],[Цена
Поддон]]</f>
        <v>0</v>
      </c>
      <c r="N382" s="19">
        <f>Таблица1[[#This Row],[Сумма 
Приход]]+Таблица1[[#This Row],[Сумма Поддон]]</f>
        <v>0</v>
      </c>
      <c r="O382" s="20"/>
      <c r="P382" s="19">
        <f>Таблица1[[#This Row],[Цена
 Продажа]]-Таблица1[[#This Row],[Цена 
Приход]]</f>
        <v>0</v>
      </c>
      <c r="Q382" s="19"/>
      <c r="R382" s="19">
        <f>Таблица1[[#This Row],[Блок
 Куб]]*Таблица1[[#This Row],[Цена
 Продажа]]</f>
        <v>0</v>
      </c>
      <c r="S382" s="20"/>
      <c r="T382" s="19">
        <f>Таблица1[[#This Row],[Сумма 
Продажа]]-Таблица1[[#This Row],[Сумма 
Приход]]</f>
        <v>0</v>
      </c>
      <c r="U382" s="150"/>
    </row>
    <row r="383" spans="1:21" ht="14.25" x14ac:dyDescent="0.2">
      <c r="A383" s="50">
        <f t="shared" si="5"/>
        <v>380</v>
      </c>
      <c r="B383" s="17"/>
      <c r="C383" s="17"/>
      <c r="D383" s="17"/>
      <c r="E383" s="51"/>
      <c r="F383" s="50"/>
      <c r="G383" s="23"/>
      <c r="H383" s="24"/>
      <c r="I383" s="23"/>
      <c r="J383" s="19">
        <f>Таблица1[[#This Row],[Блок
 Куб]]*Таблица1[[#This Row],[Цена 
Приход]]</f>
        <v>0</v>
      </c>
      <c r="K383" s="25"/>
      <c r="L383" s="25"/>
      <c r="M383" s="19">
        <f>Таблица1[[#This Row],[Поддон
Шт]]*Таблица1[[#This Row],[Цена
Поддон]]</f>
        <v>0</v>
      </c>
      <c r="N383" s="19">
        <f>Таблица1[[#This Row],[Сумма 
Приход]]+Таблица1[[#This Row],[Сумма Поддон]]</f>
        <v>0</v>
      </c>
      <c r="O383" s="20"/>
      <c r="P383" s="19">
        <f>Таблица1[[#This Row],[Цена
 Продажа]]-Таблица1[[#This Row],[Цена 
Приход]]</f>
        <v>0</v>
      </c>
      <c r="Q383" s="19"/>
      <c r="R383" s="19">
        <f>Таблица1[[#This Row],[Блок
 Куб]]*Таблица1[[#This Row],[Цена
 Продажа]]</f>
        <v>0</v>
      </c>
      <c r="S383" s="20"/>
      <c r="T383" s="19">
        <f>Таблица1[[#This Row],[Сумма 
Продажа]]-Таблица1[[#This Row],[Сумма 
Приход]]</f>
        <v>0</v>
      </c>
      <c r="U383" s="150"/>
    </row>
    <row r="384" spans="1:21" ht="14.25" x14ac:dyDescent="0.2">
      <c r="A384" s="50">
        <f t="shared" si="5"/>
        <v>381</v>
      </c>
      <c r="B384" s="17"/>
      <c r="C384" s="17"/>
      <c r="D384" s="17"/>
      <c r="E384" s="51"/>
      <c r="F384" s="50"/>
      <c r="G384" s="23"/>
      <c r="H384" s="24"/>
      <c r="I384" s="23"/>
      <c r="J384" s="19">
        <f>Таблица1[[#This Row],[Блок
 Куб]]*Таблица1[[#This Row],[Цена 
Приход]]</f>
        <v>0</v>
      </c>
      <c r="K384" s="25"/>
      <c r="L384" s="25"/>
      <c r="M384" s="19">
        <f>Таблица1[[#This Row],[Поддон
Шт]]*Таблица1[[#This Row],[Цена
Поддон]]</f>
        <v>0</v>
      </c>
      <c r="N384" s="19">
        <f>Таблица1[[#This Row],[Сумма 
Приход]]+Таблица1[[#This Row],[Сумма Поддон]]</f>
        <v>0</v>
      </c>
      <c r="O384" s="20"/>
      <c r="P384" s="19">
        <f>Таблица1[[#This Row],[Цена
 Продажа]]-Таблица1[[#This Row],[Цена 
Приход]]</f>
        <v>0</v>
      </c>
      <c r="Q384" s="19"/>
      <c r="R384" s="19">
        <f>Таблица1[[#This Row],[Блок
 Куб]]*Таблица1[[#This Row],[Цена
 Продажа]]</f>
        <v>0</v>
      </c>
      <c r="S384" s="20"/>
      <c r="T384" s="19">
        <f>Таблица1[[#This Row],[Сумма 
Продажа]]-Таблица1[[#This Row],[Сумма 
Приход]]</f>
        <v>0</v>
      </c>
      <c r="U384" s="150"/>
    </row>
    <row r="385" spans="1:21" ht="14.25" x14ac:dyDescent="0.2">
      <c r="A385" s="50">
        <f t="shared" si="5"/>
        <v>382</v>
      </c>
      <c r="B385" s="17"/>
      <c r="C385" s="17"/>
      <c r="D385" s="17"/>
      <c r="E385" s="51"/>
      <c r="F385" s="50"/>
      <c r="G385" s="23"/>
      <c r="H385" s="24"/>
      <c r="I385" s="23"/>
      <c r="J385" s="19">
        <f>Таблица1[[#This Row],[Блок
 Куб]]*Таблица1[[#This Row],[Цена 
Приход]]</f>
        <v>0</v>
      </c>
      <c r="K385" s="25"/>
      <c r="L385" s="25"/>
      <c r="M385" s="19">
        <f>Таблица1[[#This Row],[Поддон
Шт]]*Таблица1[[#This Row],[Цена
Поддон]]</f>
        <v>0</v>
      </c>
      <c r="N385" s="19">
        <f>Таблица1[[#This Row],[Сумма 
Приход]]+Таблица1[[#This Row],[Сумма Поддон]]</f>
        <v>0</v>
      </c>
      <c r="O385" s="20"/>
      <c r="P385" s="19">
        <f>Таблица1[[#This Row],[Цена
 Продажа]]-Таблица1[[#This Row],[Цена 
Приход]]</f>
        <v>0</v>
      </c>
      <c r="Q385" s="19"/>
      <c r="R385" s="19">
        <f>Таблица1[[#This Row],[Блок
 Куб]]*Таблица1[[#This Row],[Цена
 Продажа]]</f>
        <v>0</v>
      </c>
      <c r="S385" s="20"/>
      <c r="T385" s="19">
        <f>Таблица1[[#This Row],[Сумма 
Продажа]]-Таблица1[[#This Row],[Сумма 
Приход]]</f>
        <v>0</v>
      </c>
      <c r="U385" s="150"/>
    </row>
    <row r="386" spans="1:21" ht="14.25" x14ac:dyDescent="0.2">
      <c r="A386" s="50">
        <f t="shared" si="5"/>
        <v>383</v>
      </c>
      <c r="B386" s="17"/>
      <c r="C386" s="17"/>
      <c r="D386" s="17"/>
      <c r="E386" s="51"/>
      <c r="F386" s="50"/>
      <c r="G386" s="23"/>
      <c r="H386" s="24"/>
      <c r="I386" s="23"/>
      <c r="J386" s="19">
        <f>Таблица1[[#This Row],[Блок
 Куб]]*Таблица1[[#This Row],[Цена 
Приход]]</f>
        <v>0</v>
      </c>
      <c r="K386" s="25"/>
      <c r="L386" s="25"/>
      <c r="M386" s="19">
        <f>Таблица1[[#This Row],[Поддон
Шт]]*Таблица1[[#This Row],[Цена
Поддон]]</f>
        <v>0</v>
      </c>
      <c r="N386" s="19">
        <f>Таблица1[[#This Row],[Сумма 
Приход]]+Таблица1[[#This Row],[Сумма Поддон]]</f>
        <v>0</v>
      </c>
      <c r="O386" s="20"/>
      <c r="P386" s="19">
        <f>Таблица1[[#This Row],[Цена
 Продажа]]-Таблица1[[#This Row],[Цена 
Приход]]</f>
        <v>0</v>
      </c>
      <c r="Q386" s="19"/>
      <c r="R386" s="19">
        <f>Таблица1[[#This Row],[Блок
 Куб]]*Таблица1[[#This Row],[Цена
 Продажа]]</f>
        <v>0</v>
      </c>
      <c r="S386" s="20"/>
      <c r="T386" s="19">
        <f>Таблица1[[#This Row],[Сумма 
Продажа]]-Таблица1[[#This Row],[Сумма 
Приход]]</f>
        <v>0</v>
      </c>
      <c r="U386" s="150"/>
    </row>
    <row r="387" spans="1:21" ht="14.25" x14ac:dyDescent="0.2">
      <c r="A387" s="50">
        <f t="shared" si="5"/>
        <v>384</v>
      </c>
      <c r="B387" s="17"/>
      <c r="C387" s="17"/>
      <c r="D387" s="17"/>
      <c r="E387" s="51"/>
      <c r="F387" s="50"/>
      <c r="G387" s="23"/>
      <c r="H387" s="24"/>
      <c r="I387" s="23"/>
      <c r="J387" s="19">
        <f>Таблица1[[#This Row],[Блок
 Куб]]*Таблица1[[#This Row],[Цена 
Приход]]</f>
        <v>0</v>
      </c>
      <c r="K387" s="25"/>
      <c r="L387" s="25"/>
      <c r="M387" s="19">
        <f>Таблица1[[#This Row],[Поддон
Шт]]*Таблица1[[#This Row],[Цена
Поддон]]</f>
        <v>0</v>
      </c>
      <c r="N387" s="19">
        <f>Таблица1[[#This Row],[Сумма 
Приход]]+Таблица1[[#This Row],[Сумма Поддон]]</f>
        <v>0</v>
      </c>
      <c r="O387" s="20"/>
      <c r="P387" s="19">
        <f>Таблица1[[#This Row],[Цена
 Продажа]]-Таблица1[[#This Row],[Цена 
Приход]]</f>
        <v>0</v>
      </c>
      <c r="Q387" s="19"/>
      <c r="R387" s="19">
        <f>Таблица1[[#This Row],[Блок
 Куб]]*Таблица1[[#This Row],[Цена
 Продажа]]</f>
        <v>0</v>
      </c>
      <c r="S387" s="20"/>
      <c r="T387" s="19">
        <f>Таблица1[[#This Row],[Сумма 
Продажа]]-Таблица1[[#This Row],[Сумма 
Приход]]</f>
        <v>0</v>
      </c>
      <c r="U387" s="150"/>
    </row>
    <row r="388" spans="1:21" ht="14.25" x14ac:dyDescent="0.2">
      <c r="A388" s="50">
        <f t="shared" si="5"/>
        <v>385</v>
      </c>
      <c r="B388" s="17"/>
      <c r="C388" s="17"/>
      <c r="D388" s="17"/>
      <c r="E388" s="51"/>
      <c r="F388" s="50"/>
      <c r="G388" s="23"/>
      <c r="H388" s="24"/>
      <c r="I388" s="23"/>
      <c r="J388" s="19">
        <f>Таблица1[[#This Row],[Блок
 Куб]]*Таблица1[[#This Row],[Цена 
Приход]]</f>
        <v>0</v>
      </c>
      <c r="K388" s="25"/>
      <c r="L388" s="25"/>
      <c r="M388" s="19">
        <f>Таблица1[[#This Row],[Поддон
Шт]]*Таблица1[[#This Row],[Цена
Поддон]]</f>
        <v>0</v>
      </c>
      <c r="N388" s="19">
        <f>Таблица1[[#This Row],[Сумма 
Приход]]+Таблица1[[#This Row],[Сумма Поддон]]</f>
        <v>0</v>
      </c>
      <c r="O388" s="20"/>
      <c r="P388" s="19">
        <f>Таблица1[[#This Row],[Цена
 Продажа]]-Таблица1[[#This Row],[Цена 
Приход]]</f>
        <v>0</v>
      </c>
      <c r="Q388" s="19"/>
      <c r="R388" s="19">
        <f>Таблица1[[#This Row],[Блок
 Куб]]*Таблица1[[#This Row],[Цена
 Продажа]]</f>
        <v>0</v>
      </c>
      <c r="S388" s="20"/>
      <c r="T388" s="19">
        <f>Таблица1[[#This Row],[Сумма 
Продажа]]-Таблица1[[#This Row],[Сумма 
Приход]]</f>
        <v>0</v>
      </c>
      <c r="U388" s="150"/>
    </row>
    <row r="389" spans="1:21" ht="14.25" x14ac:dyDescent="0.2">
      <c r="A389" s="50">
        <f t="shared" si="5"/>
        <v>386</v>
      </c>
      <c r="B389" s="17"/>
      <c r="C389" s="17"/>
      <c r="D389" s="17"/>
      <c r="E389" s="51"/>
      <c r="F389" s="50"/>
      <c r="G389" s="23"/>
      <c r="H389" s="24"/>
      <c r="I389" s="23"/>
      <c r="J389" s="19">
        <f>Таблица1[[#This Row],[Блок
 Куб]]*Таблица1[[#This Row],[Цена 
Приход]]</f>
        <v>0</v>
      </c>
      <c r="K389" s="25"/>
      <c r="L389" s="25"/>
      <c r="M389" s="19">
        <f>Таблица1[[#This Row],[Поддон
Шт]]*Таблица1[[#This Row],[Цена
Поддон]]</f>
        <v>0</v>
      </c>
      <c r="N389" s="19">
        <f>Таблица1[[#This Row],[Сумма 
Приход]]+Таблица1[[#This Row],[Сумма Поддон]]</f>
        <v>0</v>
      </c>
      <c r="O389" s="20"/>
      <c r="P389" s="19">
        <f>Таблица1[[#This Row],[Цена
 Продажа]]-Таблица1[[#This Row],[Цена 
Приход]]</f>
        <v>0</v>
      </c>
      <c r="Q389" s="19"/>
      <c r="R389" s="19">
        <f>Таблица1[[#This Row],[Блок
 Куб]]*Таблица1[[#This Row],[Цена
 Продажа]]</f>
        <v>0</v>
      </c>
      <c r="S389" s="20"/>
      <c r="T389" s="19">
        <f>Таблица1[[#This Row],[Сумма 
Продажа]]-Таблица1[[#This Row],[Сумма 
Приход]]</f>
        <v>0</v>
      </c>
      <c r="U389" s="150"/>
    </row>
    <row r="390" spans="1:21" ht="14.25" x14ac:dyDescent="0.2">
      <c r="A390" s="50">
        <f t="shared" ref="A390:A453" si="6">A389+1</f>
        <v>387</v>
      </c>
      <c r="B390" s="17"/>
      <c r="C390" s="17"/>
      <c r="D390" s="17"/>
      <c r="E390" s="51"/>
      <c r="F390" s="50"/>
      <c r="G390" s="23"/>
      <c r="H390" s="24"/>
      <c r="I390" s="23"/>
      <c r="J390" s="19">
        <f>Таблица1[[#This Row],[Блок
 Куб]]*Таблица1[[#This Row],[Цена 
Приход]]</f>
        <v>0</v>
      </c>
      <c r="K390" s="25"/>
      <c r="L390" s="25"/>
      <c r="M390" s="19">
        <f>Таблица1[[#This Row],[Поддон
Шт]]*Таблица1[[#This Row],[Цена
Поддон]]</f>
        <v>0</v>
      </c>
      <c r="N390" s="19">
        <f>Таблица1[[#This Row],[Сумма 
Приход]]+Таблица1[[#This Row],[Сумма Поддон]]</f>
        <v>0</v>
      </c>
      <c r="O390" s="20"/>
      <c r="P390" s="19">
        <f>Таблица1[[#This Row],[Цена
 Продажа]]-Таблица1[[#This Row],[Цена 
Приход]]</f>
        <v>0</v>
      </c>
      <c r="Q390" s="19"/>
      <c r="R390" s="19">
        <f>Таблица1[[#This Row],[Блок
 Куб]]*Таблица1[[#This Row],[Цена
 Продажа]]</f>
        <v>0</v>
      </c>
      <c r="S390" s="20"/>
      <c r="T390" s="19">
        <f>Таблица1[[#This Row],[Сумма 
Продажа]]-Таблица1[[#This Row],[Сумма 
Приход]]</f>
        <v>0</v>
      </c>
      <c r="U390" s="150"/>
    </row>
    <row r="391" spans="1:21" ht="14.25" x14ac:dyDescent="0.2">
      <c r="A391" s="50">
        <f t="shared" si="6"/>
        <v>388</v>
      </c>
      <c r="B391" s="17"/>
      <c r="C391" s="17"/>
      <c r="D391" s="17"/>
      <c r="E391" s="51"/>
      <c r="F391" s="50"/>
      <c r="G391" s="23"/>
      <c r="H391" s="24"/>
      <c r="I391" s="23"/>
      <c r="J391" s="19">
        <f>Таблица1[[#This Row],[Блок
 Куб]]*Таблица1[[#This Row],[Цена 
Приход]]</f>
        <v>0</v>
      </c>
      <c r="K391" s="25"/>
      <c r="L391" s="25"/>
      <c r="M391" s="19">
        <f>Таблица1[[#This Row],[Поддон
Шт]]*Таблица1[[#This Row],[Цена
Поддон]]</f>
        <v>0</v>
      </c>
      <c r="N391" s="19">
        <f>Таблица1[[#This Row],[Сумма 
Приход]]+Таблица1[[#This Row],[Сумма Поддон]]</f>
        <v>0</v>
      </c>
      <c r="O391" s="20"/>
      <c r="P391" s="19">
        <f>Таблица1[[#This Row],[Цена
 Продажа]]-Таблица1[[#This Row],[Цена 
Приход]]</f>
        <v>0</v>
      </c>
      <c r="Q391" s="19"/>
      <c r="R391" s="19">
        <f>Таблица1[[#This Row],[Блок
 Куб]]*Таблица1[[#This Row],[Цена
 Продажа]]</f>
        <v>0</v>
      </c>
      <c r="S391" s="20"/>
      <c r="T391" s="19">
        <f>Таблица1[[#This Row],[Сумма 
Продажа]]-Таблица1[[#This Row],[Сумма 
Приход]]</f>
        <v>0</v>
      </c>
      <c r="U391" s="150"/>
    </row>
    <row r="392" spans="1:21" ht="14.25" x14ac:dyDescent="0.2">
      <c r="A392" s="50">
        <f t="shared" si="6"/>
        <v>389</v>
      </c>
      <c r="B392" s="17"/>
      <c r="C392" s="17"/>
      <c r="D392" s="17"/>
      <c r="E392" s="51"/>
      <c r="F392" s="50"/>
      <c r="G392" s="23"/>
      <c r="H392" s="24"/>
      <c r="I392" s="23"/>
      <c r="J392" s="19">
        <f>Таблица1[[#This Row],[Блок
 Куб]]*Таблица1[[#This Row],[Цена 
Приход]]</f>
        <v>0</v>
      </c>
      <c r="K392" s="25"/>
      <c r="L392" s="25"/>
      <c r="M392" s="19">
        <f>Таблица1[[#This Row],[Поддон
Шт]]*Таблица1[[#This Row],[Цена
Поддон]]</f>
        <v>0</v>
      </c>
      <c r="N392" s="19">
        <f>Таблица1[[#This Row],[Сумма 
Приход]]+Таблица1[[#This Row],[Сумма Поддон]]</f>
        <v>0</v>
      </c>
      <c r="O392" s="20"/>
      <c r="P392" s="19">
        <f>Таблица1[[#This Row],[Цена
 Продажа]]-Таблица1[[#This Row],[Цена 
Приход]]</f>
        <v>0</v>
      </c>
      <c r="Q392" s="19"/>
      <c r="R392" s="19">
        <f>Таблица1[[#This Row],[Блок
 Куб]]*Таблица1[[#This Row],[Цена
 Продажа]]</f>
        <v>0</v>
      </c>
      <c r="S392" s="20"/>
      <c r="T392" s="19">
        <f>Таблица1[[#This Row],[Сумма 
Продажа]]-Таблица1[[#This Row],[Сумма 
Приход]]</f>
        <v>0</v>
      </c>
      <c r="U392" s="150"/>
    </row>
    <row r="393" spans="1:21" ht="14.25" x14ac:dyDescent="0.2">
      <c r="A393" s="50">
        <f t="shared" si="6"/>
        <v>390</v>
      </c>
      <c r="B393" s="17"/>
      <c r="C393" s="17"/>
      <c r="D393" s="17"/>
      <c r="E393" s="51"/>
      <c r="F393" s="50"/>
      <c r="G393" s="23"/>
      <c r="H393" s="24"/>
      <c r="I393" s="23"/>
      <c r="J393" s="19">
        <f>Таблица1[[#This Row],[Блок
 Куб]]*Таблица1[[#This Row],[Цена 
Приход]]</f>
        <v>0</v>
      </c>
      <c r="K393" s="25"/>
      <c r="L393" s="25"/>
      <c r="M393" s="19">
        <f>Таблица1[[#This Row],[Поддон
Шт]]*Таблица1[[#This Row],[Цена
Поддон]]</f>
        <v>0</v>
      </c>
      <c r="N393" s="19">
        <f>Таблица1[[#This Row],[Сумма 
Приход]]+Таблица1[[#This Row],[Сумма Поддон]]</f>
        <v>0</v>
      </c>
      <c r="O393" s="20"/>
      <c r="P393" s="19">
        <f>Таблица1[[#This Row],[Цена
 Продажа]]-Таблица1[[#This Row],[Цена 
Приход]]</f>
        <v>0</v>
      </c>
      <c r="Q393" s="19"/>
      <c r="R393" s="19">
        <f>Таблица1[[#This Row],[Блок
 Куб]]*Таблица1[[#This Row],[Цена
 Продажа]]</f>
        <v>0</v>
      </c>
      <c r="S393" s="20"/>
      <c r="T393" s="19">
        <f>Таблица1[[#This Row],[Сумма 
Продажа]]-Таблица1[[#This Row],[Сумма 
Приход]]</f>
        <v>0</v>
      </c>
      <c r="U393" s="150"/>
    </row>
    <row r="394" spans="1:21" ht="14.25" x14ac:dyDescent="0.2">
      <c r="A394" s="50">
        <f t="shared" si="6"/>
        <v>391</v>
      </c>
      <c r="B394" s="17"/>
      <c r="C394" s="17"/>
      <c r="D394" s="17"/>
      <c r="E394" s="51"/>
      <c r="F394" s="50"/>
      <c r="G394" s="23"/>
      <c r="H394" s="24"/>
      <c r="I394" s="23"/>
      <c r="J394" s="19">
        <f>Таблица1[[#This Row],[Блок
 Куб]]*Таблица1[[#This Row],[Цена 
Приход]]</f>
        <v>0</v>
      </c>
      <c r="K394" s="25"/>
      <c r="L394" s="25"/>
      <c r="M394" s="19">
        <f>Таблица1[[#This Row],[Поддон
Шт]]*Таблица1[[#This Row],[Цена
Поддон]]</f>
        <v>0</v>
      </c>
      <c r="N394" s="19">
        <f>Таблица1[[#This Row],[Сумма 
Приход]]+Таблица1[[#This Row],[Сумма Поддон]]</f>
        <v>0</v>
      </c>
      <c r="O394" s="20"/>
      <c r="P394" s="19">
        <f>Таблица1[[#This Row],[Цена
 Продажа]]-Таблица1[[#This Row],[Цена 
Приход]]</f>
        <v>0</v>
      </c>
      <c r="Q394" s="19"/>
      <c r="R394" s="19">
        <f>Таблица1[[#This Row],[Блок
 Куб]]*Таблица1[[#This Row],[Цена
 Продажа]]</f>
        <v>0</v>
      </c>
      <c r="S394" s="20"/>
      <c r="T394" s="19">
        <f>Таблица1[[#This Row],[Сумма 
Продажа]]-Таблица1[[#This Row],[Сумма 
Приход]]</f>
        <v>0</v>
      </c>
      <c r="U394" s="150"/>
    </row>
    <row r="395" spans="1:21" ht="14.25" x14ac:dyDescent="0.2">
      <c r="A395" s="50">
        <f t="shared" si="6"/>
        <v>392</v>
      </c>
      <c r="B395" s="17"/>
      <c r="C395" s="17"/>
      <c r="D395" s="17"/>
      <c r="E395" s="51"/>
      <c r="F395" s="50"/>
      <c r="G395" s="23"/>
      <c r="H395" s="24"/>
      <c r="I395" s="23"/>
      <c r="J395" s="19">
        <f>Таблица1[[#This Row],[Блок
 Куб]]*Таблица1[[#This Row],[Цена 
Приход]]</f>
        <v>0</v>
      </c>
      <c r="K395" s="25"/>
      <c r="L395" s="25"/>
      <c r="M395" s="19">
        <f>Таблица1[[#This Row],[Поддон
Шт]]*Таблица1[[#This Row],[Цена
Поддон]]</f>
        <v>0</v>
      </c>
      <c r="N395" s="19">
        <f>Таблица1[[#This Row],[Сумма 
Приход]]+Таблица1[[#This Row],[Сумма Поддон]]</f>
        <v>0</v>
      </c>
      <c r="O395" s="20"/>
      <c r="P395" s="19">
        <f>Таблица1[[#This Row],[Цена
 Продажа]]-Таблица1[[#This Row],[Цена 
Приход]]</f>
        <v>0</v>
      </c>
      <c r="Q395" s="19"/>
      <c r="R395" s="19">
        <f>Таблица1[[#This Row],[Блок
 Куб]]*Таблица1[[#This Row],[Цена
 Продажа]]</f>
        <v>0</v>
      </c>
      <c r="S395" s="20"/>
      <c r="T395" s="19">
        <f>Таблица1[[#This Row],[Сумма 
Продажа]]-Таблица1[[#This Row],[Сумма 
Приход]]</f>
        <v>0</v>
      </c>
      <c r="U395" s="150"/>
    </row>
    <row r="396" spans="1:21" ht="14.25" x14ac:dyDescent="0.2">
      <c r="A396" s="50">
        <f t="shared" si="6"/>
        <v>393</v>
      </c>
      <c r="B396" s="17"/>
      <c r="C396" s="17"/>
      <c r="D396" s="17"/>
      <c r="E396" s="51"/>
      <c r="F396" s="50"/>
      <c r="G396" s="23"/>
      <c r="H396" s="24"/>
      <c r="I396" s="23"/>
      <c r="J396" s="19">
        <f>Таблица1[[#This Row],[Блок
 Куб]]*Таблица1[[#This Row],[Цена 
Приход]]</f>
        <v>0</v>
      </c>
      <c r="K396" s="25"/>
      <c r="L396" s="25"/>
      <c r="M396" s="19">
        <f>Таблица1[[#This Row],[Поддон
Шт]]*Таблица1[[#This Row],[Цена
Поддон]]</f>
        <v>0</v>
      </c>
      <c r="N396" s="19">
        <f>Таблица1[[#This Row],[Сумма 
Приход]]+Таблица1[[#This Row],[Сумма Поддон]]</f>
        <v>0</v>
      </c>
      <c r="O396" s="20"/>
      <c r="P396" s="19">
        <f>Таблица1[[#This Row],[Цена
 Продажа]]-Таблица1[[#This Row],[Цена 
Приход]]</f>
        <v>0</v>
      </c>
      <c r="Q396" s="19"/>
      <c r="R396" s="19">
        <f>Таблица1[[#This Row],[Блок
 Куб]]*Таблица1[[#This Row],[Цена
 Продажа]]</f>
        <v>0</v>
      </c>
      <c r="S396" s="20"/>
      <c r="T396" s="19">
        <f>Таблица1[[#This Row],[Сумма 
Продажа]]-Таблица1[[#This Row],[Сумма 
Приход]]</f>
        <v>0</v>
      </c>
      <c r="U396" s="150"/>
    </row>
    <row r="397" spans="1:21" ht="14.25" x14ac:dyDescent="0.2">
      <c r="A397" s="50">
        <f t="shared" si="6"/>
        <v>394</v>
      </c>
      <c r="B397" s="17"/>
      <c r="C397" s="17"/>
      <c r="D397" s="17"/>
      <c r="E397" s="51"/>
      <c r="F397" s="50"/>
      <c r="G397" s="23"/>
      <c r="H397" s="24"/>
      <c r="I397" s="23"/>
      <c r="J397" s="19">
        <f>Таблица1[[#This Row],[Блок
 Куб]]*Таблица1[[#This Row],[Цена 
Приход]]</f>
        <v>0</v>
      </c>
      <c r="K397" s="25"/>
      <c r="L397" s="25"/>
      <c r="M397" s="19">
        <f>Таблица1[[#This Row],[Поддон
Шт]]*Таблица1[[#This Row],[Цена
Поддон]]</f>
        <v>0</v>
      </c>
      <c r="N397" s="19">
        <f>Таблица1[[#This Row],[Сумма 
Приход]]+Таблица1[[#This Row],[Сумма Поддон]]</f>
        <v>0</v>
      </c>
      <c r="O397" s="20"/>
      <c r="P397" s="19">
        <f>Таблица1[[#This Row],[Цена
 Продажа]]-Таблица1[[#This Row],[Цена 
Приход]]</f>
        <v>0</v>
      </c>
      <c r="Q397" s="19"/>
      <c r="R397" s="19">
        <f>Таблица1[[#This Row],[Блок
 Куб]]*Таблица1[[#This Row],[Цена
 Продажа]]</f>
        <v>0</v>
      </c>
      <c r="S397" s="20"/>
      <c r="T397" s="19">
        <f>Таблица1[[#This Row],[Сумма 
Продажа]]-Таблица1[[#This Row],[Сумма 
Приход]]</f>
        <v>0</v>
      </c>
      <c r="U397" s="150"/>
    </row>
    <row r="398" spans="1:21" ht="14.25" x14ac:dyDescent="0.2">
      <c r="A398" s="50">
        <f t="shared" si="6"/>
        <v>395</v>
      </c>
      <c r="B398" s="17"/>
      <c r="C398" s="17"/>
      <c r="D398" s="17"/>
      <c r="E398" s="51"/>
      <c r="F398" s="50"/>
      <c r="G398" s="23"/>
      <c r="H398" s="24"/>
      <c r="I398" s="23"/>
      <c r="J398" s="19">
        <f>Таблица1[[#This Row],[Блок
 Куб]]*Таблица1[[#This Row],[Цена 
Приход]]</f>
        <v>0</v>
      </c>
      <c r="K398" s="25"/>
      <c r="L398" s="25"/>
      <c r="M398" s="19">
        <f>Таблица1[[#This Row],[Поддон
Шт]]*Таблица1[[#This Row],[Цена
Поддон]]</f>
        <v>0</v>
      </c>
      <c r="N398" s="19">
        <f>Таблица1[[#This Row],[Сумма 
Приход]]+Таблица1[[#This Row],[Сумма Поддон]]</f>
        <v>0</v>
      </c>
      <c r="O398" s="20"/>
      <c r="P398" s="19">
        <f>Таблица1[[#This Row],[Цена
 Продажа]]-Таблица1[[#This Row],[Цена 
Приход]]</f>
        <v>0</v>
      </c>
      <c r="Q398" s="19"/>
      <c r="R398" s="19">
        <f>Таблица1[[#This Row],[Блок
 Куб]]*Таблица1[[#This Row],[Цена
 Продажа]]</f>
        <v>0</v>
      </c>
      <c r="S398" s="20"/>
      <c r="T398" s="19">
        <f>Таблица1[[#This Row],[Сумма 
Продажа]]-Таблица1[[#This Row],[Сумма 
Приход]]</f>
        <v>0</v>
      </c>
      <c r="U398" s="150"/>
    </row>
    <row r="399" spans="1:21" ht="14.25" x14ac:dyDescent="0.2">
      <c r="A399" s="50">
        <f t="shared" si="6"/>
        <v>396</v>
      </c>
      <c r="B399" s="17"/>
      <c r="C399" s="17"/>
      <c r="D399" s="17"/>
      <c r="E399" s="51"/>
      <c r="F399" s="50"/>
      <c r="G399" s="23"/>
      <c r="H399" s="24"/>
      <c r="I399" s="23"/>
      <c r="J399" s="19">
        <f>Таблица1[[#This Row],[Блок
 Куб]]*Таблица1[[#This Row],[Цена 
Приход]]</f>
        <v>0</v>
      </c>
      <c r="K399" s="25"/>
      <c r="L399" s="25"/>
      <c r="M399" s="19">
        <f>Таблица1[[#This Row],[Поддон
Шт]]*Таблица1[[#This Row],[Цена
Поддон]]</f>
        <v>0</v>
      </c>
      <c r="N399" s="19">
        <f>Таблица1[[#This Row],[Сумма 
Приход]]+Таблица1[[#This Row],[Сумма Поддон]]</f>
        <v>0</v>
      </c>
      <c r="O399" s="20"/>
      <c r="P399" s="19">
        <f>Таблица1[[#This Row],[Цена
 Продажа]]-Таблица1[[#This Row],[Цена 
Приход]]</f>
        <v>0</v>
      </c>
      <c r="Q399" s="19"/>
      <c r="R399" s="19">
        <f>Таблица1[[#This Row],[Блок
 Куб]]*Таблица1[[#This Row],[Цена
 Продажа]]</f>
        <v>0</v>
      </c>
      <c r="S399" s="20"/>
      <c r="T399" s="19">
        <f>Таблица1[[#This Row],[Сумма 
Продажа]]-Таблица1[[#This Row],[Сумма 
Приход]]</f>
        <v>0</v>
      </c>
      <c r="U399" s="150"/>
    </row>
    <row r="400" spans="1:21" ht="14.25" x14ac:dyDescent="0.2">
      <c r="A400" s="50">
        <f t="shared" si="6"/>
        <v>397</v>
      </c>
      <c r="B400" s="17"/>
      <c r="C400" s="17"/>
      <c r="D400" s="17"/>
      <c r="E400" s="51"/>
      <c r="F400" s="50"/>
      <c r="G400" s="23"/>
      <c r="H400" s="24"/>
      <c r="I400" s="23"/>
      <c r="J400" s="19">
        <f>Таблица1[[#This Row],[Блок
 Куб]]*Таблица1[[#This Row],[Цена 
Приход]]</f>
        <v>0</v>
      </c>
      <c r="K400" s="25"/>
      <c r="L400" s="25"/>
      <c r="M400" s="19">
        <f>Таблица1[[#This Row],[Поддон
Шт]]*Таблица1[[#This Row],[Цена
Поддон]]</f>
        <v>0</v>
      </c>
      <c r="N400" s="19">
        <f>Таблица1[[#This Row],[Сумма 
Приход]]+Таблица1[[#This Row],[Сумма Поддон]]</f>
        <v>0</v>
      </c>
      <c r="O400" s="20"/>
      <c r="P400" s="19">
        <f>Таблица1[[#This Row],[Цена
 Продажа]]-Таблица1[[#This Row],[Цена 
Приход]]</f>
        <v>0</v>
      </c>
      <c r="Q400" s="19"/>
      <c r="R400" s="19">
        <f>Таблица1[[#This Row],[Блок
 Куб]]*Таблица1[[#This Row],[Цена
 Продажа]]</f>
        <v>0</v>
      </c>
      <c r="S400" s="20"/>
      <c r="T400" s="19">
        <f>Таблица1[[#This Row],[Сумма 
Продажа]]-Таблица1[[#This Row],[Сумма 
Приход]]</f>
        <v>0</v>
      </c>
      <c r="U400" s="150"/>
    </row>
    <row r="401" spans="1:21" ht="14.25" x14ac:dyDescent="0.2">
      <c r="A401" s="50">
        <f t="shared" si="6"/>
        <v>398</v>
      </c>
      <c r="B401" s="17"/>
      <c r="C401" s="17"/>
      <c r="D401" s="17"/>
      <c r="E401" s="51"/>
      <c r="F401" s="50"/>
      <c r="G401" s="23"/>
      <c r="H401" s="24"/>
      <c r="I401" s="23"/>
      <c r="J401" s="19">
        <f>Таблица1[[#This Row],[Блок
 Куб]]*Таблица1[[#This Row],[Цена 
Приход]]</f>
        <v>0</v>
      </c>
      <c r="K401" s="25"/>
      <c r="L401" s="25"/>
      <c r="M401" s="19">
        <f>Таблица1[[#This Row],[Поддон
Шт]]*Таблица1[[#This Row],[Цена
Поддон]]</f>
        <v>0</v>
      </c>
      <c r="N401" s="19">
        <f>Таблица1[[#This Row],[Сумма 
Приход]]+Таблица1[[#This Row],[Сумма Поддон]]</f>
        <v>0</v>
      </c>
      <c r="O401" s="20"/>
      <c r="P401" s="19">
        <f>Таблица1[[#This Row],[Цена
 Продажа]]-Таблица1[[#This Row],[Цена 
Приход]]</f>
        <v>0</v>
      </c>
      <c r="Q401" s="19"/>
      <c r="R401" s="19">
        <f>Таблица1[[#This Row],[Блок
 Куб]]*Таблица1[[#This Row],[Цена
 Продажа]]</f>
        <v>0</v>
      </c>
      <c r="S401" s="20"/>
      <c r="T401" s="19">
        <f>Таблица1[[#This Row],[Сумма 
Продажа]]-Таблица1[[#This Row],[Сумма 
Приход]]</f>
        <v>0</v>
      </c>
      <c r="U401" s="150"/>
    </row>
    <row r="402" spans="1:21" ht="14.25" x14ac:dyDescent="0.2">
      <c r="A402" s="50">
        <f t="shared" si="6"/>
        <v>399</v>
      </c>
      <c r="B402" s="17"/>
      <c r="C402" s="17"/>
      <c r="D402" s="17"/>
      <c r="E402" s="51"/>
      <c r="F402" s="50"/>
      <c r="G402" s="23"/>
      <c r="H402" s="24"/>
      <c r="I402" s="23"/>
      <c r="J402" s="19">
        <f>Таблица1[[#This Row],[Блок
 Куб]]*Таблица1[[#This Row],[Цена 
Приход]]</f>
        <v>0</v>
      </c>
      <c r="K402" s="25"/>
      <c r="L402" s="25"/>
      <c r="M402" s="19">
        <f>Таблица1[[#This Row],[Поддон
Шт]]*Таблица1[[#This Row],[Цена
Поддон]]</f>
        <v>0</v>
      </c>
      <c r="N402" s="19">
        <f>Таблица1[[#This Row],[Сумма 
Приход]]+Таблица1[[#This Row],[Сумма Поддон]]</f>
        <v>0</v>
      </c>
      <c r="O402" s="20"/>
      <c r="P402" s="19">
        <f>Таблица1[[#This Row],[Цена
 Продажа]]-Таблица1[[#This Row],[Цена 
Приход]]</f>
        <v>0</v>
      </c>
      <c r="Q402" s="19"/>
      <c r="R402" s="19">
        <f>Таблица1[[#This Row],[Блок
 Куб]]*Таблица1[[#This Row],[Цена
 Продажа]]</f>
        <v>0</v>
      </c>
      <c r="S402" s="20"/>
      <c r="T402" s="19">
        <f>Таблица1[[#This Row],[Сумма 
Продажа]]-Таблица1[[#This Row],[Сумма 
Приход]]</f>
        <v>0</v>
      </c>
      <c r="U402" s="150"/>
    </row>
    <row r="403" spans="1:21" ht="14.25" x14ac:dyDescent="0.2">
      <c r="A403" s="50">
        <f t="shared" si="6"/>
        <v>400</v>
      </c>
      <c r="B403" s="17"/>
      <c r="C403" s="17"/>
      <c r="D403" s="17"/>
      <c r="E403" s="51"/>
      <c r="F403" s="50"/>
      <c r="G403" s="23"/>
      <c r="H403" s="24"/>
      <c r="I403" s="23"/>
      <c r="J403" s="19">
        <f>Таблица1[[#This Row],[Блок
 Куб]]*Таблица1[[#This Row],[Цена 
Приход]]</f>
        <v>0</v>
      </c>
      <c r="K403" s="25"/>
      <c r="L403" s="25"/>
      <c r="M403" s="19">
        <f>Таблица1[[#This Row],[Поддон
Шт]]*Таблица1[[#This Row],[Цена
Поддон]]</f>
        <v>0</v>
      </c>
      <c r="N403" s="19">
        <f>Таблица1[[#This Row],[Сумма 
Приход]]+Таблица1[[#This Row],[Сумма Поддон]]</f>
        <v>0</v>
      </c>
      <c r="O403" s="20"/>
      <c r="P403" s="19">
        <f>Таблица1[[#This Row],[Цена
 Продажа]]-Таблица1[[#This Row],[Цена 
Приход]]</f>
        <v>0</v>
      </c>
      <c r="Q403" s="19"/>
      <c r="R403" s="19">
        <f>Таблица1[[#This Row],[Блок
 Куб]]*Таблица1[[#This Row],[Цена
 Продажа]]</f>
        <v>0</v>
      </c>
      <c r="S403" s="20"/>
      <c r="T403" s="19">
        <f>Таблица1[[#This Row],[Сумма 
Продажа]]-Таблица1[[#This Row],[Сумма 
Приход]]</f>
        <v>0</v>
      </c>
      <c r="U403" s="150"/>
    </row>
    <row r="404" spans="1:21" ht="14.25" x14ac:dyDescent="0.2">
      <c r="A404" s="50">
        <f t="shared" si="6"/>
        <v>401</v>
      </c>
      <c r="B404" s="17"/>
      <c r="C404" s="17"/>
      <c r="D404" s="17"/>
      <c r="E404" s="51"/>
      <c r="F404" s="50"/>
      <c r="G404" s="23"/>
      <c r="H404" s="24"/>
      <c r="I404" s="23"/>
      <c r="J404" s="19">
        <f>Таблица1[[#This Row],[Блок
 Куб]]*Таблица1[[#This Row],[Цена 
Приход]]</f>
        <v>0</v>
      </c>
      <c r="K404" s="25"/>
      <c r="L404" s="25"/>
      <c r="M404" s="19">
        <f>Таблица1[[#This Row],[Поддон
Шт]]*Таблица1[[#This Row],[Цена
Поддон]]</f>
        <v>0</v>
      </c>
      <c r="N404" s="19">
        <f>Таблица1[[#This Row],[Сумма 
Приход]]+Таблица1[[#This Row],[Сумма Поддон]]</f>
        <v>0</v>
      </c>
      <c r="O404" s="20"/>
      <c r="P404" s="19">
        <f>Таблица1[[#This Row],[Цена
 Продажа]]-Таблица1[[#This Row],[Цена 
Приход]]</f>
        <v>0</v>
      </c>
      <c r="Q404" s="19"/>
      <c r="R404" s="19">
        <f>Таблица1[[#This Row],[Блок
 Куб]]*Таблица1[[#This Row],[Цена
 Продажа]]</f>
        <v>0</v>
      </c>
      <c r="S404" s="20"/>
      <c r="T404" s="19">
        <f>Таблица1[[#This Row],[Сумма 
Продажа]]-Таблица1[[#This Row],[Сумма 
Приход]]</f>
        <v>0</v>
      </c>
      <c r="U404" s="150"/>
    </row>
    <row r="405" spans="1:21" ht="14.25" x14ac:dyDescent="0.2">
      <c r="A405" s="50">
        <f t="shared" si="6"/>
        <v>402</v>
      </c>
      <c r="B405" s="17"/>
      <c r="C405" s="17"/>
      <c r="D405" s="17"/>
      <c r="E405" s="51"/>
      <c r="F405" s="50"/>
      <c r="G405" s="23"/>
      <c r="H405" s="24"/>
      <c r="I405" s="23"/>
      <c r="J405" s="19">
        <f>Таблица1[[#This Row],[Блок
 Куб]]*Таблица1[[#This Row],[Цена 
Приход]]</f>
        <v>0</v>
      </c>
      <c r="K405" s="25"/>
      <c r="L405" s="25"/>
      <c r="M405" s="19">
        <f>Таблица1[[#This Row],[Поддон
Шт]]*Таблица1[[#This Row],[Цена
Поддон]]</f>
        <v>0</v>
      </c>
      <c r="N405" s="19">
        <f>Таблица1[[#This Row],[Сумма 
Приход]]+Таблица1[[#This Row],[Сумма Поддон]]</f>
        <v>0</v>
      </c>
      <c r="O405" s="20"/>
      <c r="P405" s="19">
        <f>Таблица1[[#This Row],[Цена
 Продажа]]-Таблица1[[#This Row],[Цена 
Приход]]</f>
        <v>0</v>
      </c>
      <c r="Q405" s="19"/>
      <c r="R405" s="19">
        <f>Таблица1[[#This Row],[Блок
 Куб]]*Таблица1[[#This Row],[Цена
 Продажа]]</f>
        <v>0</v>
      </c>
      <c r="S405" s="20"/>
      <c r="T405" s="19">
        <f>Таблица1[[#This Row],[Сумма 
Продажа]]-Таблица1[[#This Row],[Сумма 
Приход]]</f>
        <v>0</v>
      </c>
      <c r="U405" s="150"/>
    </row>
    <row r="406" spans="1:21" ht="14.25" x14ac:dyDescent="0.2">
      <c r="A406" s="50">
        <f t="shared" si="6"/>
        <v>403</v>
      </c>
      <c r="B406" s="17"/>
      <c r="C406" s="17"/>
      <c r="D406" s="17"/>
      <c r="E406" s="51"/>
      <c r="F406" s="50"/>
      <c r="G406" s="23"/>
      <c r="H406" s="24"/>
      <c r="I406" s="23"/>
      <c r="J406" s="19">
        <f>Таблица1[[#This Row],[Блок
 Куб]]*Таблица1[[#This Row],[Цена 
Приход]]</f>
        <v>0</v>
      </c>
      <c r="K406" s="25"/>
      <c r="L406" s="25"/>
      <c r="M406" s="19">
        <f>Таблица1[[#This Row],[Поддон
Шт]]*Таблица1[[#This Row],[Цена
Поддон]]</f>
        <v>0</v>
      </c>
      <c r="N406" s="19">
        <f>Таблица1[[#This Row],[Сумма 
Приход]]+Таблица1[[#This Row],[Сумма Поддон]]</f>
        <v>0</v>
      </c>
      <c r="O406" s="20"/>
      <c r="P406" s="19">
        <f>Таблица1[[#This Row],[Цена
 Продажа]]-Таблица1[[#This Row],[Цена 
Приход]]</f>
        <v>0</v>
      </c>
      <c r="Q406" s="19"/>
      <c r="R406" s="19">
        <f>Таблица1[[#This Row],[Блок
 Куб]]*Таблица1[[#This Row],[Цена
 Продажа]]</f>
        <v>0</v>
      </c>
      <c r="S406" s="20"/>
      <c r="T406" s="19">
        <f>Таблица1[[#This Row],[Сумма 
Продажа]]-Таблица1[[#This Row],[Сумма 
Приход]]</f>
        <v>0</v>
      </c>
      <c r="U406" s="150"/>
    </row>
    <row r="407" spans="1:21" ht="14.25" x14ac:dyDescent="0.2">
      <c r="A407" s="50">
        <f t="shared" si="6"/>
        <v>404</v>
      </c>
      <c r="B407" s="17"/>
      <c r="C407" s="17"/>
      <c r="D407" s="17"/>
      <c r="E407" s="51"/>
      <c r="F407" s="50"/>
      <c r="G407" s="23"/>
      <c r="H407" s="24"/>
      <c r="I407" s="23"/>
      <c r="J407" s="19">
        <f>Таблица1[[#This Row],[Блок
 Куб]]*Таблица1[[#This Row],[Цена 
Приход]]</f>
        <v>0</v>
      </c>
      <c r="K407" s="25"/>
      <c r="L407" s="25"/>
      <c r="M407" s="19">
        <f>Таблица1[[#This Row],[Поддон
Шт]]*Таблица1[[#This Row],[Цена
Поддон]]</f>
        <v>0</v>
      </c>
      <c r="N407" s="19">
        <f>Таблица1[[#This Row],[Сумма 
Приход]]+Таблица1[[#This Row],[Сумма Поддон]]</f>
        <v>0</v>
      </c>
      <c r="O407" s="20"/>
      <c r="P407" s="19">
        <f>Таблица1[[#This Row],[Цена
 Продажа]]-Таблица1[[#This Row],[Цена 
Приход]]</f>
        <v>0</v>
      </c>
      <c r="Q407" s="19"/>
      <c r="R407" s="19">
        <f>Таблица1[[#This Row],[Блок
 Куб]]*Таблица1[[#This Row],[Цена
 Продажа]]</f>
        <v>0</v>
      </c>
      <c r="S407" s="20"/>
      <c r="T407" s="19">
        <f>Таблица1[[#This Row],[Сумма 
Продажа]]-Таблица1[[#This Row],[Сумма 
Приход]]</f>
        <v>0</v>
      </c>
      <c r="U407" s="150"/>
    </row>
    <row r="408" spans="1:21" ht="14.25" x14ac:dyDescent="0.2">
      <c r="A408" s="50">
        <f t="shared" si="6"/>
        <v>405</v>
      </c>
      <c r="B408" s="17"/>
      <c r="C408" s="17"/>
      <c r="D408" s="17"/>
      <c r="E408" s="51"/>
      <c r="F408" s="50"/>
      <c r="G408" s="23"/>
      <c r="H408" s="24"/>
      <c r="I408" s="23"/>
      <c r="J408" s="19">
        <f>Таблица1[[#This Row],[Блок
 Куб]]*Таблица1[[#This Row],[Цена 
Приход]]</f>
        <v>0</v>
      </c>
      <c r="K408" s="25"/>
      <c r="L408" s="25"/>
      <c r="M408" s="19">
        <f>Таблица1[[#This Row],[Поддон
Шт]]*Таблица1[[#This Row],[Цена
Поддон]]</f>
        <v>0</v>
      </c>
      <c r="N408" s="19">
        <f>Таблица1[[#This Row],[Сумма 
Приход]]+Таблица1[[#This Row],[Сумма Поддон]]</f>
        <v>0</v>
      </c>
      <c r="O408" s="20"/>
      <c r="P408" s="19">
        <f>Таблица1[[#This Row],[Цена
 Продажа]]-Таблица1[[#This Row],[Цена 
Приход]]</f>
        <v>0</v>
      </c>
      <c r="Q408" s="19"/>
      <c r="R408" s="19">
        <f>Таблица1[[#This Row],[Блок
 Куб]]*Таблица1[[#This Row],[Цена
 Продажа]]</f>
        <v>0</v>
      </c>
      <c r="S408" s="20"/>
      <c r="T408" s="19">
        <f>Таблица1[[#This Row],[Сумма 
Продажа]]-Таблица1[[#This Row],[Сумма 
Приход]]</f>
        <v>0</v>
      </c>
      <c r="U408" s="150"/>
    </row>
    <row r="409" spans="1:21" ht="14.25" x14ac:dyDescent="0.2">
      <c r="A409" s="50">
        <f t="shared" si="6"/>
        <v>406</v>
      </c>
      <c r="B409" s="17"/>
      <c r="C409" s="17"/>
      <c r="D409" s="17"/>
      <c r="E409" s="51"/>
      <c r="F409" s="50"/>
      <c r="G409" s="23"/>
      <c r="H409" s="24"/>
      <c r="I409" s="23"/>
      <c r="J409" s="19">
        <f>Таблица1[[#This Row],[Блок
 Куб]]*Таблица1[[#This Row],[Цена 
Приход]]</f>
        <v>0</v>
      </c>
      <c r="K409" s="25"/>
      <c r="L409" s="25"/>
      <c r="M409" s="19">
        <f>Таблица1[[#This Row],[Поддон
Шт]]*Таблица1[[#This Row],[Цена
Поддон]]</f>
        <v>0</v>
      </c>
      <c r="N409" s="19">
        <f>Таблица1[[#This Row],[Сумма 
Приход]]+Таблица1[[#This Row],[Сумма Поддон]]</f>
        <v>0</v>
      </c>
      <c r="O409" s="20"/>
      <c r="P409" s="19">
        <f>Таблица1[[#This Row],[Цена
 Продажа]]-Таблица1[[#This Row],[Цена 
Приход]]</f>
        <v>0</v>
      </c>
      <c r="Q409" s="19"/>
      <c r="R409" s="19">
        <f>Таблица1[[#This Row],[Блок
 Куб]]*Таблица1[[#This Row],[Цена
 Продажа]]</f>
        <v>0</v>
      </c>
      <c r="S409" s="20"/>
      <c r="T409" s="19">
        <f>Таблица1[[#This Row],[Сумма 
Продажа]]-Таблица1[[#This Row],[Сумма 
Приход]]</f>
        <v>0</v>
      </c>
      <c r="U409" s="150"/>
    </row>
    <row r="410" spans="1:21" ht="14.25" x14ac:dyDescent="0.2">
      <c r="A410" s="50">
        <f t="shared" si="6"/>
        <v>407</v>
      </c>
      <c r="B410" s="17"/>
      <c r="C410" s="17"/>
      <c r="D410" s="17"/>
      <c r="E410" s="51"/>
      <c r="F410" s="50"/>
      <c r="G410" s="23"/>
      <c r="H410" s="24"/>
      <c r="I410" s="23"/>
      <c r="J410" s="19">
        <f>Таблица1[[#This Row],[Блок
 Куб]]*Таблица1[[#This Row],[Цена 
Приход]]</f>
        <v>0</v>
      </c>
      <c r="K410" s="25"/>
      <c r="L410" s="25"/>
      <c r="M410" s="19">
        <f>Таблица1[[#This Row],[Поддон
Шт]]*Таблица1[[#This Row],[Цена
Поддон]]</f>
        <v>0</v>
      </c>
      <c r="N410" s="19">
        <f>Таблица1[[#This Row],[Сумма 
Приход]]+Таблица1[[#This Row],[Сумма Поддон]]</f>
        <v>0</v>
      </c>
      <c r="O410" s="20"/>
      <c r="P410" s="19">
        <f>Таблица1[[#This Row],[Цена
 Продажа]]-Таблица1[[#This Row],[Цена 
Приход]]</f>
        <v>0</v>
      </c>
      <c r="Q410" s="19"/>
      <c r="R410" s="19">
        <f>Таблица1[[#This Row],[Блок
 Куб]]*Таблица1[[#This Row],[Цена
 Продажа]]</f>
        <v>0</v>
      </c>
      <c r="S410" s="20"/>
      <c r="T410" s="19">
        <f>Таблица1[[#This Row],[Сумма 
Продажа]]-Таблица1[[#This Row],[Сумма 
Приход]]</f>
        <v>0</v>
      </c>
      <c r="U410" s="150"/>
    </row>
    <row r="411" spans="1:21" ht="14.25" x14ac:dyDescent="0.2">
      <c r="A411" s="50">
        <f t="shared" si="6"/>
        <v>408</v>
      </c>
      <c r="B411" s="17"/>
      <c r="C411" s="17"/>
      <c r="D411" s="17"/>
      <c r="E411" s="51"/>
      <c r="F411" s="50"/>
      <c r="G411" s="23"/>
      <c r="H411" s="24"/>
      <c r="I411" s="23"/>
      <c r="J411" s="19">
        <f>Таблица1[[#This Row],[Блок
 Куб]]*Таблица1[[#This Row],[Цена 
Приход]]</f>
        <v>0</v>
      </c>
      <c r="K411" s="25"/>
      <c r="L411" s="25"/>
      <c r="M411" s="19">
        <f>Таблица1[[#This Row],[Поддон
Шт]]*Таблица1[[#This Row],[Цена
Поддон]]</f>
        <v>0</v>
      </c>
      <c r="N411" s="19">
        <f>Таблица1[[#This Row],[Сумма 
Приход]]+Таблица1[[#This Row],[Сумма Поддон]]</f>
        <v>0</v>
      </c>
      <c r="O411" s="20"/>
      <c r="P411" s="19">
        <f>Таблица1[[#This Row],[Цена
 Продажа]]-Таблица1[[#This Row],[Цена 
Приход]]</f>
        <v>0</v>
      </c>
      <c r="Q411" s="19"/>
      <c r="R411" s="19">
        <f>Таблица1[[#This Row],[Блок
 Куб]]*Таблица1[[#This Row],[Цена
 Продажа]]</f>
        <v>0</v>
      </c>
      <c r="S411" s="20"/>
      <c r="T411" s="19">
        <f>Таблица1[[#This Row],[Сумма 
Продажа]]-Таблица1[[#This Row],[Сумма 
Приход]]</f>
        <v>0</v>
      </c>
      <c r="U411" s="150"/>
    </row>
    <row r="412" spans="1:21" ht="14.25" x14ac:dyDescent="0.2">
      <c r="A412" s="50">
        <f t="shared" si="6"/>
        <v>409</v>
      </c>
      <c r="B412" s="17"/>
      <c r="C412" s="17"/>
      <c r="D412" s="17"/>
      <c r="E412" s="51"/>
      <c r="F412" s="50"/>
      <c r="G412" s="23"/>
      <c r="H412" s="24"/>
      <c r="I412" s="23"/>
      <c r="J412" s="19">
        <f>Таблица1[[#This Row],[Блок
 Куб]]*Таблица1[[#This Row],[Цена 
Приход]]</f>
        <v>0</v>
      </c>
      <c r="K412" s="25"/>
      <c r="L412" s="25"/>
      <c r="M412" s="19">
        <f>Таблица1[[#This Row],[Поддон
Шт]]*Таблица1[[#This Row],[Цена
Поддон]]</f>
        <v>0</v>
      </c>
      <c r="N412" s="19">
        <f>Таблица1[[#This Row],[Сумма 
Приход]]+Таблица1[[#This Row],[Сумма Поддон]]</f>
        <v>0</v>
      </c>
      <c r="O412" s="20"/>
      <c r="P412" s="19">
        <f>Таблица1[[#This Row],[Цена
 Продажа]]-Таблица1[[#This Row],[Цена 
Приход]]</f>
        <v>0</v>
      </c>
      <c r="Q412" s="19"/>
      <c r="R412" s="19">
        <f>Таблица1[[#This Row],[Блок
 Куб]]*Таблица1[[#This Row],[Цена
 Продажа]]</f>
        <v>0</v>
      </c>
      <c r="S412" s="20"/>
      <c r="T412" s="19">
        <f>Таблица1[[#This Row],[Сумма 
Продажа]]-Таблица1[[#This Row],[Сумма 
Приход]]</f>
        <v>0</v>
      </c>
      <c r="U412" s="150"/>
    </row>
    <row r="413" spans="1:21" ht="14.25" x14ac:dyDescent="0.2">
      <c r="A413" s="50">
        <f t="shared" si="6"/>
        <v>410</v>
      </c>
      <c r="B413" s="17"/>
      <c r="C413" s="17"/>
      <c r="D413" s="17"/>
      <c r="E413" s="51"/>
      <c r="F413" s="50"/>
      <c r="G413" s="23"/>
      <c r="H413" s="24"/>
      <c r="I413" s="23"/>
      <c r="J413" s="19">
        <f>Таблица1[[#This Row],[Блок
 Куб]]*Таблица1[[#This Row],[Цена 
Приход]]</f>
        <v>0</v>
      </c>
      <c r="K413" s="25"/>
      <c r="L413" s="25"/>
      <c r="M413" s="19">
        <f>Таблица1[[#This Row],[Поддон
Шт]]*Таблица1[[#This Row],[Цена
Поддон]]</f>
        <v>0</v>
      </c>
      <c r="N413" s="19">
        <f>Таблица1[[#This Row],[Сумма 
Приход]]+Таблица1[[#This Row],[Сумма Поддон]]</f>
        <v>0</v>
      </c>
      <c r="O413" s="20"/>
      <c r="P413" s="19">
        <f>Таблица1[[#This Row],[Цена
 Продажа]]-Таблица1[[#This Row],[Цена 
Приход]]</f>
        <v>0</v>
      </c>
      <c r="Q413" s="19"/>
      <c r="R413" s="19">
        <f>Таблица1[[#This Row],[Блок
 Куб]]*Таблица1[[#This Row],[Цена
 Продажа]]</f>
        <v>0</v>
      </c>
      <c r="S413" s="20"/>
      <c r="T413" s="19">
        <f>Таблица1[[#This Row],[Сумма 
Продажа]]-Таблица1[[#This Row],[Сумма 
Приход]]</f>
        <v>0</v>
      </c>
      <c r="U413" s="150"/>
    </row>
    <row r="414" spans="1:21" ht="14.25" x14ac:dyDescent="0.2">
      <c r="A414" s="50">
        <f t="shared" si="6"/>
        <v>411</v>
      </c>
      <c r="B414" s="17"/>
      <c r="C414" s="17"/>
      <c r="D414" s="17"/>
      <c r="E414" s="51"/>
      <c r="F414" s="50"/>
      <c r="G414" s="23"/>
      <c r="H414" s="24"/>
      <c r="I414" s="23"/>
      <c r="J414" s="19">
        <f>Таблица1[[#This Row],[Блок
 Куб]]*Таблица1[[#This Row],[Цена 
Приход]]</f>
        <v>0</v>
      </c>
      <c r="K414" s="25"/>
      <c r="L414" s="25"/>
      <c r="M414" s="19">
        <f>Таблица1[[#This Row],[Поддон
Шт]]*Таблица1[[#This Row],[Цена
Поддон]]</f>
        <v>0</v>
      </c>
      <c r="N414" s="19">
        <f>Таблица1[[#This Row],[Сумма 
Приход]]+Таблица1[[#This Row],[Сумма Поддон]]</f>
        <v>0</v>
      </c>
      <c r="O414" s="20"/>
      <c r="P414" s="19">
        <f>Таблица1[[#This Row],[Цена
 Продажа]]-Таблица1[[#This Row],[Цена 
Приход]]</f>
        <v>0</v>
      </c>
      <c r="Q414" s="19"/>
      <c r="R414" s="19">
        <f>Таблица1[[#This Row],[Блок
 Куб]]*Таблица1[[#This Row],[Цена
 Продажа]]</f>
        <v>0</v>
      </c>
      <c r="S414" s="20"/>
      <c r="T414" s="19">
        <f>Таблица1[[#This Row],[Сумма 
Продажа]]-Таблица1[[#This Row],[Сумма 
Приход]]</f>
        <v>0</v>
      </c>
      <c r="U414" s="150"/>
    </row>
    <row r="415" spans="1:21" ht="14.25" x14ac:dyDescent="0.2">
      <c r="A415" s="50">
        <f t="shared" si="6"/>
        <v>412</v>
      </c>
      <c r="B415" s="17"/>
      <c r="C415" s="17"/>
      <c r="D415" s="17"/>
      <c r="E415" s="51"/>
      <c r="F415" s="50"/>
      <c r="G415" s="23"/>
      <c r="H415" s="24"/>
      <c r="I415" s="23"/>
      <c r="J415" s="19">
        <f>Таблица1[[#This Row],[Блок
 Куб]]*Таблица1[[#This Row],[Цена 
Приход]]</f>
        <v>0</v>
      </c>
      <c r="K415" s="25"/>
      <c r="L415" s="25"/>
      <c r="M415" s="19">
        <f>Таблица1[[#This Row],[Поддон
Шт]]*Таблица1[[#This Row],[Цена
Поддон]]</f>
        <v>0</v>
      </c>
      <c r="N415" s="19">
        <f>Таблица1[[#This Row],[Сумма 
Приход]]+Таблица1[[#This Row],[Сумма Поддон]]</f>
        <v>0</v>
      </c>
      <c r="O415" s="20"/>
      <c r="P415" s="19">
        <f>Таблица1[[#This Row],[Цена
 Продажа]]-Таблица1[[#This Row],[Цена 
Приход]]</f>
        <v>0</v>
      </c>
      <c r="Q415" s="19"/>
      <c r="R415" s="19">
        <f>Таблица1[[#This Row],[Блок
 Куб]]*Таблица1[[#This Row],[Цена
 Продажа]]</f>
        <v>0</v>
      </c>
      <c r="S415" s="20"/>
      <c r="T415" s="19">
        <f>Таблица1[[#This Row],[Сумма 
Продажа]]-Таблица1[[#This Row],[Сумма 
Приход]]</f>
        <v>0</v>
      </c>
      <c r="U415" s="150"/>
    </row>
    <row r="416" spans="1:21" ht="14.25" x14ac:dyDescent="0.2">
      <c r="A416" s="50">
        <f t="shared" si="6"/>
        <v>413</v>
      </c>
      <c r="B416" s="17"/>
      <c r="C416" s="17"/>
      <c r="D416" s="17"/>
      <c r="E416" s="51"/>
      <c r="F416" s="50"/>
      <c r="G416" s="23"/>
      <c r="H416" s="24"/>
      <c r="I416" s="23"/>
      <c r="J416" s="19">
        <f>Таблица1[[#This Row],[Блок
 Куб]]*Таблица1[[#This Row],[Цена 
Приход]]</f>
        <v>0</v>
      </c>
      <c r="K416" s="25"/>
      <c r="L416" s="25"/>
      <c r="M416" s="19">
        <f>Таблица1[[#This Row],[Поддон
Шт]]*Таблица1[[#This Row],[Цена
Поддон]]</f>
        <v>0</v>
      </c>
      <c r="N416" s="19">
        <f>Таблица1[[#This Row],[Сумма 
Приход]]+Таблица1[[#This Row],[Сумма Поддон]]</f>
        <v>0</v>
      </c>
      <c r="O416" s="20"/>
      <c r="P416" s="19">
        <f>Таблица1[[#This Row],[Цена
 Продажа]]-Таблица1[[#This Row],[Цена 
Приход]]</f>
        <v>0</v>
      </c>
      <c r="Q416" s="19"/>
      <c r="R416" s="19">
        <f>Таблица1[[#This Row],[Блок
 Куб]]*Таблица1[[#This Row],[Цена
 Продажа]]</f>
        <v>0</v>
      </c>
      <c r="S416" s="20"/>
      <c r="T416" s="19">
        <f>Таблица1[[#This Row],[Сумма 
Продажа]]-Таблица1[[#This Row],[Сумма 
Приход]]</f>
        <v>0</v>
      </c>
      <c r="U416" s="150"/>
    </row>
    <row r="417" spans="1:21" ht="14.25" x14ac:dyDescent="0.2">
      <c r="A417" s="50">
        <f t="shared" si="6"/>
        <v>414</v>
      </c>
      <c r="B417" s="17"/>
      <c r="C417" s="17"/>
      <c r="D417" s="17"/>
      <c r="E417" s="51"/>
      <c r="F417" s="50"/>
      <c r="G417" s="23"/>
      <c r="H417" s="24"/>
      <c r="I417" s="23"/>
      <c r="J417" s="19">
        <f>Таблица1[[#This Row],[Блок
 Куб]]*Таблица1[[#This Row],[Цена 
Приход]]</f>
        <v>0</v>
      </c>
      <c r="K417" s="25"/>
      <c r="L417" s="25"/>
      <c r="M417" s="19">
        <f>Таблица1[[#This Row],[Поддон
Шт]]*Таблица1[[#This Row],[Цена
Поддон]]</f>
        <v>0</v>
      </c>
      <c r="N417" s="19">
        <f>Таблица1[[#This Row],[Сумма 
Приход]]+Таблица1[[#This Row],[Сумма Поддон]]</f>
        <v>0</v>
      </c>
      <c r="O417" s="20"/>
      <c r="P417" s="19">
        <f>Таблица1[[#This Row],[Цена
 Продажа]]-Таблица1[[#This Row],[Цена 
Приход]]</f>
        <v>0</v>
      </c>
      <c r="Q417" s="19"/>
      <c r="R417" s="19">
        <f>Таблица1[[#This Row],[Блок
 Куб]]*Таблица1[[#This Row],[Цена
 Продажа]]</f>
        <v>0</v>
      </c>
      <c r="S417" s="20"/>
      <c r="T417" s="19">
        <f>Таблица1[[#This Row],[Сумма 
Продажа]]-Таблица1[[#This Row],[Сумма 
Приход]]</f>
        <v>0</v>
      </c>
      <c r="U417" s="150"/>
    </row>
    <row r="418" spans="1:21" ht="14.25" x14ac:dyDescent="0.2">
      <c r="A418" s="50">
        <f t="shared" si="6"/>
        <v>415</v>
      </c>
      <c r="B418" s="17"/>
      <c r="C418" s="17"/>
      <c r="D418" s="17"/>
      <c r="E418" s="51"/>
      <c r="F418" s="50"/>
      <c r="G418" s="23"/>
      <c r="H418" s="24"/>
      <c r="I418" s="23"/>
      <c r="J418" s="19">
        <f>Таблица1[[#This Row],[Блок
 Куб]]*Таблица1[[#This Row],[Цена 
Приход]]</f>
        <v>0</v>
      </c>
      <c r="K418" s="25"/>
      <c r="L418" s="25"/>
      <c r="M418" s="19">
        <f>Таблица1[[#This Row],[Поддон
Шт]]*Таблица1[[#This Row],[Цена
Поддон]]</f>
        <v>0</v>
      </c>
      <c r="N418" s="19">
        <f>Таблица1[[#This Row],[Сумма 
Приход]]+Таблица1[[#This Row],[Сумма Поддон]]</f>
        <v>0</v>
      </c>
      <c r="O418" s="20"/>
      <c r="P418" s="19">
        <f>Таблица1[[#This Row],[Цена
 Продажа]]-Таблица1[[#This Row],[Цена 
Приход]]</f>
        <v>0</v>
      </c>
      <c r="Q418" s="19"/>
      <c r="R418" s="19">
        <f>Таблица1[[#This Row],[Блок
 Куб]]*Таблица1[[#This Row],[Цена
 Продажа]]</f>
        <v>0</v>
      </c>
      <c r="S418" s="20"/>
      <c r="T418" s="19">
        <f>Таблица1[[#This Row],[Сумма 
Продажа]]-Таблица1[[#This Row],[Сумма 
Приход]]</f>
        <v>0</v>
      </c>
      <c r="U418" s="150"/>
    </row>
    <row r="419" spans="1:21" ht="14.25" x14ac:dyDescent="0.2">
      <c r="A419" s="50">
        <f t="shared" si="6"/>
        <v>416</v>
      </c>
      <c r="B419" s="17"/>
      <c r="C419" s="17"/>
      <c r="D419" s="17"/>
      <c r="E419" s="51"/>
      <c r="F419" s="50"/>
      <c r="G419" s="23"/>
      <c r="H419" s="24"/>
      <c r="I419" s="23"/>
      <c r="J419" s="19">
        <f>Таблица1[[#This Row],[Блок
 Куб]]*Таблица1[[#This Row],[Цена 
Приход]]</f>
        <v>0</v>
      </c>
      <c r="K419" s="25"/>
      <c r="L419" s="25"/>
      <c r="M419" s="19">
        <f>Таблица1[[#This Row],[Поддон
Шт]]*Таблица1[[#This Row],[Цена
Поддон]]</f>
        <v>0</v>
      </c>
      <c r="N419" s="19">
        <f>Таблица1[[#This Row],[Сумма 
Приход]]+Таблица1[[#This Row],[Сумма Поддон]]</f>
        <v>0</v>
      </c>
      <c r="O419" s="20"/>
      <c r="P419" s="19">
        <f>Таблица1[[#This Row],[Цена
 Продажа]]-Таблица1[[#This Row],[Цена 
Приход]]</f>
        <v>0</v>
      </c>
      <c r="Q419" s="19"/>
      <c r="R419" s="19">
        <f>Таблица1[[#This Row],[Блок
 Куб]]*Таблица1[[#This Row],[Цена
 Продажа]]</f>
        <v>0</v>
      </c>
      <c r="S419" s="20"/>
      <c r="T419" s="19">
        <f>Таблица1[[#This Row],[Сумма 
Продажа]]-Таблица1[[#This Row],[Сумма 
Приход]]</f>
        <v>0</v>
      </c>
      <c r="U419" s="150"/>
    </row>
    <row r="420" spans="1:21" ht="14.25" x14ac:dyDescent="0.2">
      <c r="A420" s="50">
        <f t="shared" si="6"/>
        <v>417</v>
      </c>
      <c r="B420" s="17"/>
      <c r="C420" s="17"/>
      <c r="D420" s="17"/>
      <c r="E420" s="51"/>
      <c r="F420" s="50"/>
      <c r="G420" s="23"/>
      <c r="H420" s="24"/>
      <c r="I420" s="23"/>
      <c r="J420" s="19">
        <f>Таблица1[[#This Row],[Блок
 Куб]]*Таблица1[[#This Row],[Цена 
Приход]]</f>
        <v>0</v>
      </c>
      <c r="K420" s="25"/>
      <c r="L420" s="25"/>
      <c r="M420" s="19">
        <f>Таблица1[[#This Row],[Поддон
Шт]]*Таблица1[[#This Row],[Цена
Поддон]]</f>
        <v>0</v>
      </c>
      <c r="N420" s="19">
        <f>Таблица1[[#This Row],[Сумма 
Приход]]+Таблица1[[#This Row],[Сумма Поддон]]</f>
        <v>0</v>
      </c>
      <c r="O420" s="20"/>
      <c r="P420" s="19">
        <f>Таблица1[[#This Row],[Цена
 Продажа]]-Таблица1[[#This Row],[Цена 
Приход]]</f>
        <v>0</v>
      </c>
      <c r="Q420" s="19"/>
      <c r="R420" s="19">
        <f>Таблица1[[#This Row],[Блок
 Куб]]*Таблица1[[#This Row],[Цена
 Продажа]]</f>
        <v>0</v>
      </c>
      <c r="S420" s="20"/>
      <c r="T420" s="19">
        <f>Таблица1[[#This Row],[Сумма 
Продажа]]-Таблица1[[#This Row],[Сумма 
Приход]]</f>
        <v>0</v>
      </c>
      <c r="U420" s="150"/>
    </row>
    <row r="421" spans="1:21" ht="14.25" x14ac:dyDescent="0.2">
      <c r="A421" s="50">
        <f t="shared" si="6"/>
        <v>418</v>
      </c>
      <c r="B421" s="17"/>
      <c r="C421" s="17"/>
      <c r="D421" s="17"/>
      <c r="E421" s="51"/>
      <c r="F421" s="50"/>
      <c r="G421" s="23"/>
      <c r="H421" s="24"/>
      <c r="I421" s="23"/>
      <c r="J421" s="19">
        <f>Таблица1[[#This Row],[Блок
 Куб]]*Таблица1[[#This Row],[Цена 
Приход]]</f>
        <v>0</v>
      </c>
      <c r="K421" s="25"/>
      <c r="L421" s="25"/>
      <c r="M421" s="19">
        <f>Таблица1[[#This Row],[Поддон
Шт]]*Таблица1[[#This Row],[Цена
Поддон]]</f>
        <v>0</v>
      </c>
      <c r="N421" s="19">
        <f>Таблица1[[#This Row],[Сумма 
Приход]]+Таблица1[[#This Row],[Сумма Поддон]]</f>
        <v>0</v>
      </c>
      <c r="O421" s="20"/>
      <c r="P421" s="19">
        <f>Таблица1[[#This Row],[Цена
 Продажа]]-Таблица1[[#This Row],[Цена 
Приход]]</f>
        <v>0</v>
      </c>
      <c r="Q421" s="19"/>
      <c r="R421" s="19">
        <f>Таблица1[[#This Row],[Блок
 Куб]]*Таблица1[[#This Row],[Цена
 Продажа]]</f>
        <v>0</v>
      </c>
      <c r="S421" s="20"/>
      <c r="T421" s="19">
        <f>Таблица1[[#This Row],[Сумма 
Продажа]]-Таблица1[[#This Row],[Сумма 
Приход]]</f>
        <v>0</v>
      </c>
      <c r="U421" s="150"/>
    </row>
    <row r="422" spans="1:21" ht="14.25" x14ac:dyDescent="0.2">
      <c r="A422" s="50">
        <f t="shared" si="6"/>
        <v>419</v>
      </c>
      <c r="B422" s="17"/>
      <c r="C422" s="17"/>
      <c r="D422" s="17"/>
      <c r="E422" s="51"/>
      <c r="F422" s="50"/>
      <c r="G422" s="23"/>
      <c r="H422" s="24"/>
      <c r="I422" s="23"/>
      <c r="J422" s="19">
        <f>Таблица1[[#This Row],[Блок
 Куб]]*Таблица1[[#This Row],[Цена 
Приход]]</f>
        <v>0</v>
      </c>
      <c r="K422" s="25"/>
      <c r="L422" s="25"/>
      <c r="M422" s="19">
        <f>Таблица1[[#This Row],[Поддон
Шт]]*Таблица1[[#This Row],[Цена
Поддон]]</f>
        <v>0</v>
      </c>
      <c r="N422" s="19">
        <f>Таблица1[[#This Row],[Сумма 
Приход]]+Таблица1[[#This Row],[Сумма Поддон]]</f>
        <v>0</v>
      </c>
      <c r="O422" s="20"/>
      <c r="P422" s="19">
        <f>Таблица1[[#This Row],[Цена
 Продажа]]-Таблица1[[#This Row],[Цена 
Приход]]</f>
        <v>0</v>
      </c>
      <c r="Q422" s="19"/>
      <c r="R422" s="19">
        <f>Таблица1[[#This Row],[Блок
 Куб]]*Таблица1[[#This Row],[Цена
 Продажа]]</f>
        <v>0</v>
      </c>
      <c r="S422" s="20"/>
      <c r="T422" s="19">
        <f>Таблица1[[#This Row],[Сумма 
Продажа]]-Таблица1[[#This Row],[Сумма 
Приход]]</f>
        <v>0</v>
      </c>
      <c r="U422" s="150"/>
    </row>
    <row r="423" spans="1:21" ht="14.25" x14ac:dyDescent="0.2">
      <c r="A423" s="50">
        <f t="shared" si="6"/>
        <v>420</v>
      </c>
      <c r="B423" s="17"/>
      <c r="C423" s="17"/>
      <c r="D423" s="17"/>
      <c r="E423" s="51"/>
      <c r="F423" s="50"/>
      <c r="G423" s="23"/>
      <c r="H423" s="24"/>
      <c r="I423" s="23"/>
      <c r="J423" s="19">
        <f>Таблица1[[#This Row],[Блок
 Куб]]*Таблица1[[#This Row],[Цена 
Приход]]</f>
        <v>0</v>
      </c>
      <c r="K423" s="25"/>
      <c r="L423" s="25"/>
      <c r="M423" s="19">
        <f>Таблица1[[#This Row],[Поддон
Шт]]*Таблица1[[#This Row],[Цена
Поддон]]</f>
        <v>0</v>
      </c>
      <c r="N423" s="19">
        <f>Таблица1[[#This Row],[Сумма 
Приход]]+Таблица1[[#This Row],[Сумма Поддон]]</f>
        <v>0</v>
      </c>
      <c r="O423" s="20"/>
      <c r="P423" s="19">
        <f>Таблица1[[#This Row],[Цена
 Продажа]]-Таблица1[[#This Row],[Цена 
Приход]]</f>
        <v>0</v>
      </c>
      <c r="Q423" s="19"/>
      <c r="R423" s="19">
        <f>Таблица1[[#This Row],[Блок
 Куб]]*Таблица1[[#This Row],[Цена
 Продажа]]</f>
        <v>0</v>
      </c>
      <c r="S423" s="20"/>
      <c r="T423" s="19">
        <f>Таблица1[[#This Row],[Сумма 
Продажа]]-Таблица1[[#This Row],[Сумма 
Приход]]</f>
        <v>0</v>
      </c>
      <c r="U423" s="150"/>
    </row>
    <row r="424" spans="1:21" ht="14.25" x14ac:dyDescent="0.2">
      <c r="A424" s="50">
        <f t="shared" si="6"/>
        <v>421</v>
      </c>
      <c r="B424" s="17"/>
      <c r="C424" s="17"/>
      <c r="D424" s="17"/>
      <c r="E424" s="51"/>
      <c r="F424" s="50"/>
      <c r="G424" s="23"/>
      <c r="H424" s="24"/>
      <c r="I424" s="23"/>
      <c r="J424" s="19">
        <f>Таблица1[[#This Row],[Блок
 Куб]]*Таблица1[[#This Row],[Цена 
Приход]]</f>
        <v>0</v>
      </c>
      <c r="K424" s="25"/>
      <c r="L424" s="25"/>
      <c r="M424" s="19">
        <f>Таблица1[[#This Row],[Поддон
Шт]]*Таблица1[[#This Row],[Цена
Поддон]]</f>
        <v>0</v>
      </c>
      <c r="N424" s="19">
        <f>Таблица1[[#This Row],[Сумма 
Приход]]+Таблица1[[#This Row],[Сумма Поддон]]</f>
        <v>0</v>
      </c>
      <c r="O424" s="20"/>
      <c r="P424" s="19">
        <f>Таблица1[[#This Row],[Цена
 Продажа]]-Таблица1[[#This Row],[Цена 
Приход]]</f>
        <v>0</v>
      </c>
      <c r="Q424" s="19"/>
      <c r="R424" s="19">
        <f>Таблица1[[#This Row],[Блок
 Куб]]*Таблица1[[#This Row],[Цена
 Продажа]]</f>
        <v>0</v>
      </c>
      <c r="S424" s="20"/>
      <c r="T424" s="19">
        <f>Таблица1[[#This Row],[Сумма 
Продажа]]-Таблица1[[#This Row],[Сумма 
Приход]]</f>
        <v>0</v>
      </c>
      <c r="U424" s="150"/>
    </row>
    <row r="425" spans="1:21" ht="14.25" x14ac:dyDescent="0.2">
      <c r="A425" s="50">
        <f t="shared" si="6"/>
        <v>422</v>
      </c>
      <c r="B425" s="17"/>
      <c r="C425" s="17"/>
      <c r="D425" s="17"/>
      <c r="E425" s="51"/>
      <c r="F425" s="50"/>
      <c r="G425" s="23"/>
      <c r="H425" s="24"/>
      <c r="I425" s="23"/>
      <c r="J425" s="19">
        <f>Таблица1[[#This Row],[Блок
 Куб]]*Таблица1[[#This Row],[Цена 
Приход]]</f>
        <v>0</v>
      </c>
      <c r="K425" s="25"/>
      <c r="L425" s="25"/>
      <c r="M425" s="19">
        <f>Таблица1[[#This Row],[Поддон
Шт]]*Таблица1[[#This Row],[Цена
Поддон]]</f>
        <v>0</v>
      </c>
      <c r="N425" s="19">
        <f>Таблица1[[#This Row],[Сумма 
Приход]]+Таблица1[[#This Row],[Сумма Поддон]]</f>
        <v>0</v>
      </c>
      <c r="O425" s="20"/>
      <c r="P425" s="19">
        <f>Таблица1[[#This Row],[Цена
 Продажа]]-Таблица1[[#This Row],[Цена 
Приход]]</f>
        <v>0</v>
      </c>
      <c r="Q425" s="19"/>
      <c r="R425" s="19">
        <f>Таблица1[[#This Row],[Блок
 Куб]]*Таблица1[[#This Row],[Цена
 Продажа]]</f>
        <v>0</v>
      </c>
      <c r="S425" s="20"/>
      <c r="T425" s="19">
        <f>Таблица1[[#This Row],[Сумма 
Продажа]]-Таблица1[[#This Row],[Сумма 
Приход]]</f>
        <v>0</v>
      </c>
      <c r="U425" s="150"/>
    </row>
    <row r="426" spans="1:21" ht="14.25" x14ac:dyDescent="0.2">
      <c r="A426" s="50">
        <f t="shared" si="6"/>
        <v>423</v>
      </c>
      <c r="B426" s="17"/>
      <c r="C426" s="17"/>
      <c r="D426" s="17"/>
      <c r="E426" s="51"/>
      <c r="F426" s="50"/>
      <c r="G426" s="23"/>
      <c r="H426" s="24"/>
      <c r="I426" s="23"/>
      <c r="J426" s="19">
        <f>Таблица1[[#This Row],[Блок
 Куб]]*Таблица1[[#This Row],[Цена 
Приход]]</f>
        <v>0</v>
      </c>
      <c r="K426" s="25"/>
      <c r="L426" s="25"/>
      <c r="M426" s="19">
        <f>Таблица1[[#This Row],[Поддон
Шт]]*Таблица1[[#This Row],[Цена
Поддон]]</f>
        <v>0</v>
      </c>
      <c r="N426" s="19">
        <f>Таблица1[[#This Row],[Сумма 
Приход]]+Таблица1[[#This Row],[Сумма Поддон]]</f>
        <v>0</v>
      </c>
      <c r="O426" s="20"/>
      <c r="P426" s="19">
        <f>Таблица1[[#This Row],[Цена
 Продажа]]-Таблица1[[#This Row],[Цена 
Приход]]</f>
        <v>0</v>
      </c>
      <c r="Q426" s="19"/>
      <c r="R426" s="19">
        <f>Таблица1[[#This Row],[Блок
 Куб]]*Таблица1[[#This Row],[Цена
 Продажа]]</f>
        <v>0</v>
      </c>
      <c r="S426" s="20"/>
      <c r="T426" s="19">
        <f>Таблица1[[#This Row],[Сумма 
Продажа]]-Таблица1[[#This Row],[Сумма 
Приход]]</f>
        <v>0</v>
      </c>
      <c r="U426" s="150"/>
    </row>
    <row r="427" spans="1:21" ht="14.25" x14ac:dyDescent="0.2">
      <c r="A427" s="50">
        <f t="shared" si="6"/>
        <v>424</v>
      </c>
      <c r="B427" s="17"/>
      <c r="C427" s="17"/>
      <c r="D427" s="17"/>
      <c r="E427" s="51"/>
      <c r="F427" s="50"/>
      <c r="G427" s="23"/>
      <c r="H427" s="24"/>
      <c r="I427" s="23"/>
      <c r="J427" s="19">
        <f>Таблица1[[#This Row],[Блок
 Куб]]*Таблица1[[#This Row],[Цена 
Приход]]</f>
        <v>0</v>
      </c>
      <c r="K427" s="25"/>
      <c r="L427" s="25"/>
      <c r="M427" s="19">
        <f>Таблица1[[#This Row],[Поддон
Шт]]*Таблица1[[#This Row],[Цена
Поддон]]</f>
        <v>0</v>
      </c>
      <c r="N427" s="19">
        <f>Таблица1[[#This Row],[Сумма 
Приход]]+Таблица1[[#This Row],[Сумма Поддон]]</f>
        <v>0</v>
      </c>
      <c r="O427" s="20"/>
      <c r="P427" s="19">
        <f>Таблица1[[#This Row],[Цена
 Продажа]]-Таблица1[[#This Row],[Цена 
Приход]]</f>
        <v>0</v>
      </c>
      <c r="Q427" s="19"/>
      <c r="R427" s="19">
        <f>Таблица1[[#This Row],[Блок
 Куб]]*Таблица1[[#This Row],[Цена
 Продажа]]</f>
        <v>0</v>
      </c>
      <c r="S427" s="20"/>
      <c r="T427" s="19">
        <f>Таблица1[[#This Row],[Сумма 
Продажа]]-Таблица1[[#This Row],[Сумма 
Приход]]</f>
        <v>0</v>
      </c>
      <c r="U427" s="150"/>
    </row>
    <row r="428" spans="1:21" ht="14.25" x14ac:dyDescent="0.2">
      <c r="A428" s="50">
        <f t="shared" si="6"/>
        <v>425</v>
      </c>
      <c r="B428" s="17"/>
      <c r="C428" s="17"/>
      <c r="D428" s="17"/>
      <c r="E428" s="51"/>
      <c r="F428" s="50"/>
      <c r="G428" s="23"/>
      <c r="H428" s="24"/>
      <c r="I428" s="23"/>
      <c r="J428" s="19">
        <f>Таблица1[[#This Row],[Блок
 Куб]]*Таблица1[[#This Row],[Цена 
Приход]]</f>
        <v>0</v>
      </c>
      <c r="K428" s="25"/>
      <c r="L428" s="25"/>
      <c r="M428" s="19">
        <f>Таблица1[[#This Row],[Поддон
Шт]]*Таблица1[[#This Row],[Цена
Поддон]]</f>
        <v>0</v>
      </c>
      <c r="N428" s="19">
        <f>Таблица1[[#This Row],[Сумма 
Приход]]+Таблица1[[#This Row],[Сумма Поддон]]</f>
        <v>0</v>
      </c>
      <c r="O428" s="20"/>
      <c r="P428" s="19">
        <f>Таблица1[[#This Row],[Цена
 Продажа]]-Таблица1[[#This Row],[Цена 
Приход]]</f>
        <v>0</v>
      </c>
      <c r="Q428" s="19"/>
      <c r="R428" s="19">
        <f>Таблица1[[#This Row],[Блок
 Куб]]*Таблица1[[#This Row],[Цена
 Продажа]]</f>
        <v>0</v>
      </c>
      <c r="S428" s="20"/>
      <c r="T428" s="19">
        <f>Таблица1[[#This Row],[Сумма 
Продажа]]-Таблица1[[#This Row],[Сумма 
Приход]]</f>
        <v>0</v>
      </c>
      <c r="U428" s="150"/>
    </row>
    <row r="429" spans="1:21" ht="14.25" x14ac:dyDescent="0.2">
      <c r="A429" s="50">
        <f t="shared" si="6"/>
        <v>426</v>
      </c>
      <c r="B429" s="17"/>
      <c r="C429" s="17"/>
      <c r="D429" s="17"/>
      <c r="E429" s="51"/>
      <c r="F429" s="50"/>
      <c r="G429" s="23"/>
      <c r="H429" s="24"/>
      <c r="I429" s="23"/>
      <c r="J429" s="19">
        <f>Таблица1[[#This Row],[Блок
 Куб]]*Таблица1[[#This Row],[Цена 
Приход]]</f>
        <v>0</v>
      </c>
      <c r="K429" s="25"/>
      <c r="L429" s="25"/>
      <c r="M429" s="19">
        <f>Таблица1[[#This Row],[Поддон
Шт]]*Таблица1[[#This Row],[Цена
Поддон]]</f>
        <v>0</v>
      </c>
      <c r="N429" s="19">
        <f>Таблица1[[#This Row],[Сумма 
Приход]]+Таблица1[[#This Row],[Сумма Поддон]]</f>
        <v>0</v>
      </c>
      <c r="O429" s="20"/>
      <c r="P429" s="19">
        <f>Таблица1[[#This Row],[Цена
 Продажа]]-Таблица1[[#This Row],[Цена 
Приход]]</f>
        <v>0</v>
      </c>
      <c r="Q429" s="19"/>
      <c r="R429" s="19">
        <f>Таблица1[[#This Row],[Блок
 Куб]]*Таблица1[[#This Row],[Цена
 Продажа]]</f>
        <v>0</v>
      </c>
      <c r="S429" s="20"/>
      <c r="T429" s="19">
        <f>Таблица1[[#This Row],[Сумма 
Продажа]]-Таблица1[[#This Row],[Сумма 
Приход]]</f>
        <v>0</v>
      </c>
      <c r="U429" s="150"/>
    </row>
    <row r="430" spans="1:21" ht="14.25" x14ac:dyDescent="0.2">
      <c r="A430" s="50">
        <f t="shared" si="6"/>
        <v>427</v>
      </c>
      <c r="B430" s="17"/>
      <c r="C430" s="17"/>
      <c r="D430" s="17"/>
      <c r="E430" s="51"/>
      <c r="F430" s="50"/>
      <c r="G430" s="23"/>
      <c r="H430" s="24"/>
      <c r="I430" s="23"/>
      <c r="J430" s="19">
        <f>Таблица1[[#This Row],[Блок
 Куб]]*Таблица1[[#This Row],[Цена 
Приход]]</f>
        <v>0</v>
      </c>
      <c r="K430" s="25"/>
      <c r="L430" s="25"/>
      <c r="M430" s="19">
        <f>Таблица1[[#This Row],[Поддон
Шт]]*Таблица1[[#This Row],[Цена
Поддон]]</f>
        <v>0</v>
      </c>
      <c r="N430" s="19">
        <f>Таблица1[[#This Row],[Сумма 
Приход]]+Таблица1[[#This Row],[Сумма Поддон]]</f>
        <v>0</v>
      </c>
      <c r="O430" s="20"/>
      <c r="P430" s="19">
        <f>Таблица1[[#This Row],[Цена
 Продажа]]-Таблица1[[#This Row],[Цена 
Приход]]</f>
        <v>0</v>
      </c>
      <c r="Q430" s="19"/>
      <c r="R430" s="19">
        <f>Таблица1[[#This Row],[Блок
 Куб]]*Таблица1[[#This Row],[Цена
 Продажа]]</f>
        <v>0</v>
      </c>
      <c r="S430" s="20"/>
      <c r="T430" s="19">
        <f>Таблица1[[#This Row],[Сумма 
Продажа]]-Таблица1[[#This Row],[Сумма 
Приход]]</f>
        <v>0</v>
      </c>
      <c r="U430" s="150"/>
    </row>
    <row r="431" spans="1:21" ht="14.25" x14ac:dyDescent="0.2">
      <c r="A431" s="50">
        <f t="shared" si="6"/>
        <v>428</v>
      </c>
      <c r="B431" s="17"/>
      <c r="C431" s="17"/>
      <c r="D431" s="17"/>
      <c r="E431" s="51"/>
      <c r="F431" s="50"/>
      <c r="G431" s="23"/>
      <c r="H431" s="24"/>
      <c r="I431" s="23"/>
      <c r="J431" s="19">
        <f>Таблица1[[#This Row],[Блок
 Куб]]*Таблица1[[#This Row],[Цена 
Приход]]</f>
        <v>0</v>
      </c>
      <c r="K431" s="25"/>
      <c r="L431" s="25"/>
      <c r="M431" s="19">
        <f>Таблица1[[#This Row],[Поддон
Шт]]*Таблица1[[#This Row],[Цена
Поддон]]</f>
        <v>0</v>
      </c>
      <c r="N431" s="19">
        <f>Таблица1[[#This Row],[Сумма 
Приход]]+Таблица1[[#This Row],[Сумма Поддон]]</f>
        <v>0</v>
      </c>
      <c r="O431" s="20"/>
      <c r="P431" s="19">
        <f>Таблица1[[#This Row],[Цена
 Продажа]]-Таблица1[[#This Row],[Цена 
Приход]]</f>
        <v>0</v>
      </c>
      <c r="Q431" s="19"/>
      <c r="R431" s="19">
        <f>Таблица1[[#This Row],[Блок
 Куб]]*Таблица1[[#This Row],[Цена
 Продажа]]</f>
        <v>0</v>
      </c>
      <c r="S431" s="20"/>
      <c r="T431" s="19">
        <f>Таблица1[[#This Row],[Сумма 
Продажа]]-Таблица1[[#This Row],[Сумма 
Приход]]</f>
        <v>0</v>
      </c>
      <c r="U431" s="150"/>
    </row>
    <row r="432" spans="1:21" ht="14.25" x14ac:dyDescent="0.2">
      <c r="A432" s="50">
        <f t="shared" si="6"/>
        <v>429</v>
      </c>
      <c r="B432" s="17"/>
      <c r="C432" s="17"/>
      <c r="D432" s="17"/>
      <c r="E432" s="51"/>
      <c r="F432" s="50"/>
      <c r="G432" s="23"/>
      <c r="H432" s="24"/>
      <c r="I432" s="23"/>
      <c r="J432" s="19">
        <f>Таблица1[[#This Row],[Блок
 Куб]]*Таблица1[[#This Row],[Цена 
Приход]]</f>
        <v>0</v>
      </c>
      <c r="K432" s="25"/>
      <c r="L432" s="25"/>
      <c r="M432" s="19">
        <f>Таблица1[[#This Row],[Поддон
Шт]]*Таблица1[[#This Row],[Цена
Поддон]]</f>
        <v>0</v>
      </c>
      <c r="N432" s="19">
        <f>Таблица1[[#This Row],[Сумма 
Приход]]+Таблица1[[#This Row],[Сумма Поддон]]</f>
        <v>0</v>
      </c>
      <c r="O432" s="20"/>
      <c r="P432" s="19">
        <f>Таблица1[[#This Row],[Цена
 Продажа]]-Таблица1[[#This Row],[Цена 
Приход]]</f>
        <v>0</v>
      </c>
      <c r="Q432" s="19"/>
      <c r="R432" s="19">
        <f>Таблица1[[#This Row],[Блок
 Куб]]*Таблица1[[#This Row],[Цена
 Продажа]]</f>
        <v>0</v>
      </c>
      <c r="S432" s="20"/>
      <c r="T432" s="19">
        <f>Таблица1[[#This Row],[Сумма 
Продажа]]-Таблица1[[#This Row],[Сумма 
Приход]]</f>
        <v>0</v>
      </c>
      <c r="U432" s="150"/>
    </row>
    <row r="433" spans="1:21" ht="14.25" x14ac:dyDescent="0.2">
      <c r="A433" s="50">
        <f t="shared" si="6"/>
        <v>430</v>
      </c>
      <c r="B433" s="17"/>
      <c r="C433" s="17"/>
      <c r="D433" s="17"/>
      <c r="E433" s="51"/>
      <c r="F433" s="50"/>
      <c r="G433" s="23"/>
      <c r="H433" s="24"/>
      <c r="I433" s="23"/>
      <c r="J433" s="19">
        <f>Таблица1[[#This Row],[Блок
 Куб]]*Таблица1[[#This Row],[Цена 
Приход]]</f>
        <v>0</v>
      </c>
      <c r="K433" s="25"/>
      <c r="L433" s="25"/>
      <c r="M433" s="19">
        <f>Таблица1[[#This Row],[Поддон
Шт]]*Таблица1[[#This Row],[Цена
Поддон]]</f>
        <v>0</v>
      </c>
      <c r="N433" s="19">
        <f>Таблица1[[#This Row],[Сумма 
Приход]]+Таблица1[[#This Row],[Сумма Поддон]]</f>
        <v>0</v>
      </c>
      <c r="O433" s="20"/>
      <c r="P433" s="19">
        <f>Таблица1[[#This Row],[Цена
 Продажа]]-Таблица1[[#This Row],[Цена 
Приход]]</f>
        <v>0</v>
      </c>
      <c r="Q433" s="19"/>
      <c r="R433" s="19">
        <f>Таблица1[[#This Row],[Блок
 Куб]]*Таблица1[[#This Row],[Цена
 Продажа]]</f>
        <v>0</v>
      </c>
      <c r="S433" s="20"/>
      <c r="T433" s="19">
        <f>Таблица1[[#This Row],[Сумма 
Продажа]]-Таблица1[[#This Row],[Сумма 
Приход]]</f>
        <v>0</v>
      </c>
      <c r="U433" s="150"/>
    </row>
    <row r="434" spans="1:21" ht="14.25" x14ac:dyDescent="0.2">
      <c r="A434" s="50">
        <f t="shared" si="6"/>
        <v>431</v>
      </c>
      <c r="B434" s="17"/>
      <c r="C434" s="17"/>
      <c r="D434" s="17"/>
      <c r="E434" s="51"/>
      <c r="F434" s="50"/>
      <c r="G434" s="23"/>
      <c r="H434" s="24"/>
      <c r="I434" s="23"/>
      <c r="J434" s="19">
        <f>Таблица1[[#This Row],[Блок
 Куб]]*Таблица1[[#This Row],[Цена 
Приход]]</f>
        <v>0</v>
      </c>
      <c r="K434" s="25"/>
      <c r="L434" s="25"/>
      <c r="M434" s="19">
        <f>Таблица1[[#This Row],[Поддон
Шт]]*Таблица1[[#This Row],[Цена
Поддон]]</f>
        <v>0</v>
      </c>
      <c r="N434" s="19">
        <f>Таблица1[[#This Row],[Сумма 
Приход]]+Таблица1[[#This Row],[Сумма Поддон]]</f>
        <v>0</v>
      </c>
      <c r="O434" s="20"/>
      <c r="P434" s="19">
        <f>Таблица1[[#This Row],[Цена
 Продажа]]-Таблица1[[#This Row],[Цена 
Приход]]</f>
        <v>0</v>
      </c>
      <c r="Q434" s="19"/>
      <c r="R434" s="19">
        <f>Таблица1[[#This Row],[Блок
 Куб]]*Таблица1[[#This Row],[Цена
 Продажа]]</f>
        <v>0</v>
      </c>
      <c r="S434" s="20"/>
      <c r="T434" s="19">
        <f>Таблица1[[#This Row],[Сумма 
Продажа]]-Таблица1[[#This Row],[Сумма 
Приход]]</f>
        <v>0</v>
      </c>
      <c r="U434" s="150"/>
    </row>
    <row r="435" spans="1:21" ht="14.25" x14ac:dyDescent="0.2">
      <c r="A435" s="50">
        <f t="shared" si="6"/>
        <v>432</v>
      </c>
      <c r="B435" s="17"/>
      <c r="C435" s="17"/>
      <c r="D435" s="17"/>
      <c r="E435" s="51"/>
      <c r="F435" s="50"/>
      <c r="G435" s="23"/>
      <c r="H435" s="24"/>
      <c r="I435" s="23"/>
      <c r="J435" s="19">
        <f>Таблица1[[#This Row],[Блок
 Куб]]*Таблица1[[#This Row],[Цена 
Приход]]</f>
        <v>0</v>
      </c>
      <c r="K435" s="25"/>
      <c r="L435" s="25"/>
      <c r="M435" s="19">
        <f>Таблица1[[#This Row],[Поддон
Шт]]*Таблица1[[#This Row],[Цена
Поддон]]</f>
        <v>0</v>
      </c>
      <c r="N435" s="19">
        <f>Таблица1[[#This Row],[Сумма 
Приход]]+Таблица1[[#This Row],[Сумма Поддон]]</f>
        <v>0</v>
      </c>
      <c r="O435" s="20"/>
      <c r="P435" s="19">
        <f>Таблица1[[#This Row],[Цена
 Продажа]]-Таблица1[[#This Row],[Цена 
Приход]]</f>
        <v>0</v>
      </c>
      <c r="Q435" s="19"/>
      <c r="R435" s="19">
        <f>Таблица1[[#This Row],[Блок
 Куб]]*Таблица1[[#This Row],[Цена
 Продажа]]</f>
        <v>0</v>
      </c>
      <c r="S435" s="20"/>
      <c r="T435" s="19">
        <f>Таблица1[[#This Row],[Сумма 
Продажа]]-Таблица1[[#This Row],[Сумма 
Приход]]</f>
        <v>0</v>
      </c>
      <c r="U435" s="150"/>
    </row>
    <row r="436" spans="1:21" ht="14.25" x14ac:dyDescent="0.2">
      <c r="A436" s="50">
        <f t="shared" si="6"/>
        <v>433</v>
      </c>
      <c r="B436" s="17"/>
      <c r="C436" s="17"/>
      <c r="D436" s="17"/>
      <c r="E436" s="51"/>
      <c r="F436" s="50"/>
      <c r="G436" s="23"/>
      <c r="H436" s="24"/>
      <c r="I436" s="23"/>
      <c r="J436" s="19">
        <f>Таблица1[[#This Row],[Блок
 Куб]]*Таблица1[[#This Row],[Цена 
Приход]]</f>
        <v>0</v>
      </c>
      <c r="K436" s="25"/>
      <c r="L436" s="25"/>
      <c r="M436" s="19">
        <f>Таблица1[[#This Row],[Поддон
Шт]]*Таблица1[[#This Row],[Цена
Поддон]]</f>
        <v>0</v>
      </c>
      <c r="N436" s="19">
        <f>Таблица1[[#This Row],[Сумма 
Приход]]+Таблица1[[#This Row],[Сумма Поддон]]</f>
        <v>0</v>
      </c>
      <c r="O436" s="20"/>
      <c r="P436" s="19">
        <f>Таблица1[[#This Row],[Цена
 Продажа]]-Таблица1[[#This Row],[Цена 
Приход]]</f>
        <v>0</v>
      </c>
      <c r="Q436" s="19"/>
      <c r="R436" s="19">
        <f>Таблица1[[#This Row],[Блок
 Куб]]*Таблица1[[#This Row],[Цена
 Продажа]]</f>
        <v>0</v>
      </c>
      <c r="S436" s="20"/>
      <c r="T436" s="19">
        <f>Таблица1[[#This Row],[Сумма 
Продажа]]-Таблица1[[#This Row],[Сумма 
Приход]]</f>
        <v>0</v>
      </c>
      <c r="U436" s="150"/>
    </row>
    <row r="437" spans="1:21" ht="14.25" x14ac:dyDescent="0.2">
      <c r="A437" s="50">
        <f t="shared" si="6"/>
        <v>434</v>
      </c>
      <c r="B437" s="17"/>
      <c r="C437" s="17"/>
      <c r="D437" s="17"/>
      <c r="E437" s="51"/>
      <c r="F437" s="50"/>
      <c r="G437" s="23"/>
      <c r="H437" s="24"/>
      <c r="I437" s="23"/>
      <c r="J437" s="19">
        <f>Таблица1[[#This Row],[Блок
 Куб]]*Таблица1[[#This Row],[Цена 
Приход]]</f>
        <v>0</v>
      </c>
      <c r="K437" s="25"/>
      <c r="L437" s="25"/>
      <c r="M437" s="19">
        <f>Таблица1[[#This Row],[Поддон
Шт]]*Таблица1[[#This Row],[Цена
Поддон]]</f>
        <v>0</v>
      </c>
      <c r="N437" s="19">
        <f>Таблица1[[#This Row],[Сумма 
Приход]]+Таблица1[[#This Row],[Сумма Поддон]]</f>
        <v>0</v>
      </c>
      <c r="O437" s="20"/>
      <c r="P437" s="19">
        <f>Таблица1[[#This Row],[Цена
 Продажа]]-Таблица1[[#This Row],[Цена 
Приход]]</f>
        <v>0</v>
      </c>
      <c r="Q437" s="19"/>
      <c r="R437" s="19">
        <f>Таблица1[[#This Row],[Блок
 Куб]]*Таблица1[[#This Row],[Цена
 Продажа]]</f>
        <v>0</v>
      </c>
      <c r="S437" s="20"/>
      <c r="T437" s="19">
        <f>Таблица1[[#This Row],[Сумма 
Продажа]]-Таблица1[[#This Row],[Сумма 
Приход]]</f>
        <v>0</v>
      </c>
      <c r="U437" s="150"/>
    </row>
    <row r="438" spans="1:21" ht="14.25" x14ac:dyDescent="0.2">
      <c r="A438" s="50">
        <f t="shared" si="6"/>
        <v>435</v>
      </c>
      <c r="B438" s="17"/>
      <c r="C438" s="17"/>
      <c r="D438" s="17"/>
      <c r="E438" s="51"/>
      <c r="F438" s="50"/>
      <c r="G438" s="23"/>
      <c r="H438" s="24"/>
      <c r="I438" s="23"/>
      <c r="J438" s="19">
        <f>Таблица1[[#This Row],[Блок
 Куб]]*Таблица1[[#This Row],[Цена 
Приход]]</f>
        <v>0</v>
      </c>
      <c r="K438" s="25"/>
      <c r="L438" s="25"/>
      <c r="M438" s="19">
        <f>Таблица1[[#This Row],[Поддон
Шт]]*Таблица1[[#This Row],[Цена
Поддон]]</f>
        <v>0</v>
      </c>
      <c r="N438" s="19">
        <f>Таблица1[[#This Row],[Сумма 
Приход]]+Таблица1[[#This Row],[Сумма Поддон]]</f>
        <v>0</v>
      </c>
      <c r="O438" s="20"/>
      <c r="P438" s="19">
        <f>Таблица1[[#This Row],[Цена
 Продажа]]-Таблица1[[#This Row],[Цена 
Приход]]</f>
        <v>0</v>
      </c>
      <c r="Q438" s="19"/>
      <c r="R438" s="19">
        <f>Таблица1[[#This Row],[Блок
 Куб]]*Таблица1[[#This Row],[Цена
 Продажа]]</f>
        <v>0</v>
      </c>
      <c r="S438" s="20"/>
      <c r="T438" s="19">
        <f>Таблица1[[#This Row],[Сумма 
Продажа]]-Таблица1[[#This Row],[Сумма 
Приход]]</f>
        <v>0</v>
      </c>
      <c r="U438" s="150"/>
    </row>
    <row r="439" spans="1:21" ht="14.25" x14ac:dyDescent="0.2">
      <c r="A439" s="50">
        <f t="shared" si="6"/>
        <v>436</v>
      </c>
      <c r="B439" s="17"/>
      <c r="C439" s="17"/>
      <c r="D439" s="17"/>
      <c r="E439" s="51"/>
      <c r="F439" s="50"/>
      <c r="G439" s="23"/>
      <c r="H439" s="24"/>
      <c r="I439" s="23"/>
      <c r="J439" s="19">
        <f>Таблица1[[#This Row],[Блок
 Куб]]*Таблица1[[#This Row],[Цена 
Приход]]</f>
        <v>0</v>
      </c>
      <c r="K439" s="25"/>
      <c r="L439" s="25"/>
      <c r="M439" s="19">
        <f>Таблица1[[#This Row],[Поддон
Шт]]*Таблица1[[#This Row],[Цена
Поддон]]</f>
        <v>0</v>
      </c>
      <c r="N439" s="19">
        <f>Таблица1[[#This Row],[Сумма 
Приход]]+Таблица1[[#This Row],[Сумма Поддон]]</f>
        <v>0</v>
      </c>
      <c r="O439" s="20"/>
      <c r="P439" s="19">
        <f>Таблица1[[#This Row],[Цена
 Продажа]]-Таблица1[[#This Row],[Цена 
Приход]]</f>
        <v>0</v>
      </c>
      <c r="Q439" s="19"/>
      <c r="R439" s="19">
        <f>Таблица1[[#This Row],[Блок
 Куб]]*Таблица1[[#This Row],[Цена
 Продажа]]</f>
        <v>0</v>
      </c>
      <c r="S439" s="20"/>
      <c r="T439" s="19">
        <f>Таблица1[[#This Row],[Сумма 
Продажа]]-Таблица1[[#This Row],[Сумма 
Приход]]</f>
        <v>0</v>
      </c>
      <c r="U439" s="150"/>
    </row>
    <row r="440" spans="1:21" ht="14.25" x14ac:dyDescent="0.2">
      <c r="A440" s="50">
        <f t="shared" si="6"/>
        <v>437</v>
      </c>
      <c r="B440" s="17"/>
      <c r="C440" s="17"/>
      <c r="D440" s="17"/>
      <c r="E440" s="51"/>
      <c r="F440" s="50"/>
      <c r="G440" s="23"/>
      <c r="H440" s="24"/>
      <c r="I440" s="23"/>
      <c r="J440" s="19">
        <f>Таблица1[[#This Row],[Блок
 Куб]]*Таблица1[[#This Row],[Цена 
Приход]]</f>
        <v>0</v>
      </c>
      <c r="K440" s="25"/>
      <c r="L440" s="25"/>
      <c r="M440" s="19">
        <f>Таблица1[[#This Row],[Поддон
Шт]]*Таблица1[[#This Row],[Цена
Поддон]]</f>
        <v>0</v>
      </c>
      <c r="N440" s="19">
        <f>Таблица1[[#This Row],[Сумма 
Приход]]+Таблица1[[#This Row],[Сумма Поддон]]</f>
        <v>0</v>
      </c>
      <c r="O440" s="20"/>
      <c r="P440" s="19">
        <f>Таблица1[[#This Row],[Цена
 Продажа]]-Таблица1[[#This Row],[Цена 
Приход]]</f>
        <v>0</v>
      </c>
      <c r="Q440" s="19"/>
      <c r="R440" s="19">
        <f>Таблица1[[#This Row],[Блок
 Куб]]*Таблица1[[#This Row],[Цена
 Продажа]]</f>
        <v>0</v>
      </c>
      <c r="S440" s="20"/>
      <c r="T440" s="19">
        <f>Таблица1[[#This Row],[Сумма 
Продажа]]-Таблица1[[#This Row],[Сумма 
Приход]]</f>
        <v>0</v>
      </c>
      <c r="U440" s="150"/>
    </row>
    <row r="441" spans="1:21" ht="14.25" x14ac:dyDescent="0.2">
      <c r="A441" s="50">
        <f t="shared" si="6"/>
        <v>438</v>
      </c>
      <c r="B441" s="17"/>
      <c r="C441" s="17"/>
      <c r="D441" s="17"/>
      <c r="E441" s="51"/>
      <c r="F441" s="50"/>
      <c r="G441" s="23"/>
      <c r="H441" s="24"/>
      <c r="I441" s="23"/>
      <c r="J441" s="19">
        <f>Таблица1[[#This Row],[Блок
 Куб]]*Таблица1[[#This Row],[Цена 
Приход]]</f>
        <v>0</v>
      </c>
      <c r="K441" s="25"/>
      <c r="L441" s="25"/>
      <c r="M441" s="19">
        <f>Таблица1[[#This Row],[Поддон
Шт]]*Таблица1[[#This Row],[Цена
Поддон]]</f>
        <v>0</v>
      </c>
      <c r="N441" s="19">
        <f>Таблица1[[#This Row],[Сумма 
Приход]]+Таблица1[[#This Row],[Сумма Поддон]]</f>
        <v>0</v>
      </c>
      <c r="O441" s="20"/>
      <c r="P441" s="19">
        <f>Таблица1[[#This Row],[Цена
 Продажа]]-Таблица1[[#This Row],[Цена 
Приход]]</f>
        <v>0</v>
      </c>
      <c r="Q441" s="19"/>
      <c r="R441" s="19">
        <f>Таблица1[[#This Row],[Блок
 Куб]]*Таблица1[[#This Row],[Цена
 Продажа]]</f>
        <v>0</v>
      </c>
      <c r="S441" s="20"/>
      <c r="T441" s="19">
        <f>Таблица1[[#This Row],[Сумма 
Продажа]]-Таблица1[[#This Row],[Сумма 
Приход]]</f>
        <v>0</v>
      </c>
      <c r="U441" s="150"/>
    </row>
    <row r="442" spans="1:21" ht="14.25" x14ac:dyDescent="0.2">
      <c r="A442" s="50">
        <f t="shared" si="6"/>
        <v>439</v>
      </c>
      <c r="B442" s="17"/>
      <c r="C442" s="17"/>
      <c r="D442" s="17"/>
      <c r="E442" s="51"/>
      <c r="F442" s="50"/>
      <c r="G442" s="23"/>
      <c r="H442" s="24"/>
      <c r="I442" s="23"/>
      <c r="J442" s="19">
        <f>Таблица1[[#This Row],[Блок
 Куб]]*Таблица1[[#This Row],[Цена 
Приход]]</f>
        <v>0</v>
      </c>
      <c r="K442" s="25"/>
      <c r="L442" s="25"/>
      <c r="M442" s="19">
        <f>Таблица1[[#This Row],[Поддон
Шт]]*Таблица1[[#This Row],[Цена
Поддон]]</f>
        <v>0</v>
      </c>
      <c r="N442" s="19">
        <f>Таблица1[[#This Row],[Сумма 
Приход]]+Таблица1[[#This Row],[Сумма Поддон]]</f>
        <v>0</v>
      </c>
      <c r="O442" s="20"/>
      <c r="P442" s="19">
        <f>Таблица1[[#This Row],[Цена
 Продажа]]-Таблица1[[#This Row],[Цена 
Приход]]</f>
        <v>0</v>
      </c>
      <c r="Q442" s="19"/>
      <c r="R442" s="19">
        <f>Таблица1[[#This Row],[Блок
 Куб]]*Таблица1[[#This Row],[Цена
 Продажа]]</f>
        <v>0</v>
      </c>
      <c r="S442" s="20"/>
      <c r="T442" s="19">
        <f>Таблица1[[#This Row],[Сумма 
Продажа]]-Таблица1[[#This Row],[Сумма 
Приход]]</f>
        <v>0</v>
      </c>
      <c r="U442" s="150"/>
    </row>
    <row r="443" spans="1:21" ht="14.25" x14ac:dyDescent="0.2">
      <c r="A443" s="50">
        <f t="shared" si="6"/>
        <v>440</v>
      </c>
      <c r="B443" s="17"/>
      <c r="C443" s="17"/>
      <c r="D443" s="17"/>
      <c r="E443" s="51"/>
      <c r="F443" s="50"/>
      <c r="G443" s="23"/>
      <c r="H443" s="24"/>
      <c r="I443" s="23"/>
      <c r="J443" s="19">
        <f>Таблица1[[#This Row],[Блок
 Куб]]*Таблица1[[#This Row],[Цена 
Приход]]</f>
        <v>0</v>
      </c>
      <c r="K443" s="25"/>
      <c r="L443" s="25"/>
      <c r="M443" s="19">
        <f>Таблица1[[#This Row],[Поддон
Шт]]*Таблица1[[#This Row],[Цена
Поддон]]</f>
        <v>0</v>
      </c>
      <c r="N443" s="19">
        <f>Таблица1[[#This Row],[Сумма 
Приход]]+Таблица1[[#This Row],[Сумма Поддон]]</f>
        <v>0</v>
      </c>
      <c r="O443" s="20"/>
      <c r="P443" s="19">
        <f>Таблица1[[#This Row],[Цена
 Продажа]]-Таблица1[[#This Row],[Цена 
Приход]]</f>
        <v>0</v>
      </c>
      <c r="Q443" s="19"/>
      <c r="R443" s="19">
        <f>Таблица1[[#This Row],[Блок
 Куб]]*Таблица1[[#This Row],[Цена
 Продажа]]</f>
        <v>0</v>
      </c>
      <c r="S443" s="20"/>
      <c r="T443" s="19">
        <f>Таблица1[[#This Row],[Сумма 
Продажа]]-Таблица1[[#This Row],[Сумма 
Приход]]</f>
        <v>0</v>
      </c>
      <c r="U443" s="150"/>
    </row>
    <row r="444" spans="1:21" ht="14.25" x14ac:dyDescent="0.2">
      <c r="A444" s="50">
        <f t="shared" si="6"/>
        <v>441</v>
      </c>
      <c r="B444" s="17"/>
      <c r="C444" s="17"/>
      <c r="D444" s="17"/>
      <c r="E444" s="51"/>
      <c r="F444" s="50"/>
      <c r="G444" s="23"/>
      <c r="H444" s="24"/>
      <c r="I444" s="23"/>
      <c r="J444" s="19">
        <f>Таблица1[[#This Row],[Блок
 Куб]]*Таблица1[[#This Row],[Цена 
Приход]]</f>
        <v>0</v>
      </c>
      <c r="K444" s="25"/>
      <c r="L444" s="25"/>
      <c r="M444" s="19">
        <f>Таблица1[[#This Row],[Поддон
Шт]]*Таблица1[[#This Row],[Цена
Поддон]]</f>
        <v>0</v>
      </c>
      <c r="N444" s="19">
        <f>Таблица1[[#This Row],[Сумма 
Приход]]+Таблица1[[#This Row],[Сумма Поддон]]</f>
        <v>0</v>
      </c>
      <c r="O444" s="20"/>
      <c r="P444" s="19">
        <f>Таблица1[[#This Row],[Цена
 Продажа]]-Таблица1[[#This Row],[Цена 
Приход]]</f>
        <v>0</v>
      </c>
      <c r="Q444" s="19"/>
      <c r="R444" s="19">
        <f>Таблица1[[#This Row],[Блок
 Куб]]*Таблица1[[#This Row],[Цена
 Продажа]]</f>
        <v>0</v>
      </c>
      <c r="S444" s="20"/>
      <c r="T444" s="19">
        <f>Таблица1[[#This Row],[Сумма 
Продажа]]-Таблица1[[#This Row],[Сумма 
Приход]]</f>
        <v>0</v>
      </c>
      <c r="U444" s="150"/>
    </row>
    <row r="445" spans="1:21" ht="14.25" x14ac:dyDescent="0.2">
      <c r="A445" s="50">
        <f t="shared" si="6"/>
        <v>442</v>
      </c>
      <c r="B445" s="17"/>
      <c r="C445" s="17"/>
      <c r="D445" s="17"/>
      <c r="E445" s="51"/>
      <c r="F445" s="50"/>
      <c r="G445" s="23"/>
      <c r="H445" s="24"/>
      <c r="I445" s="23"/>
      <c r="J445" s="19">
        <f>Таблица1[[#This Row],[Блок
 Куб]]*Таблица1[[#This Row],[Цена 
Приход]]</f>
        <v>0</v>
      </c>
      <c r="K445" s="25"/>
      <c r="L445" s="25"/>
      <c r="M445" s="19">
        <f>Таблица1[[#This Row],[Поддон
Шт]]*Таблица1[[#This Row],[Цена
Поддон]]</f>
        <v>0</v>
      </c>
      <c r="N445" s="19">
        <f>Таблица1[[#This Row],[Сумма 
Приход]]+Таблица1[[#This Row],[Сумма Поддон]]</f>
        <v>0</v>
      </c>
      <c r="O445" s="20"/>
      <c r="P445" s="19">
        <f>Таблица1[[#This Row],[Цена
 Продажа]]-Таблица1[[#This Row],[Цена 
Приход]]</f>
        <v>0</v>
      </c>
      <c r="Q445" s="19"/>
      <c r="R445" s="19">
        <f>Таблица1[[#This Row],[Блок
 Куб]]*Таблица1[[#This Row],[Цена
 Продажа]]</f>
        <v>0</v>
      </c>
      <c r="S445" s="20"/>
      <c r="T445" s="19">
        <f>Таблица1[[#This Row],[Сумма 
Продажа]]-Таблица1[[#This Row],[Сумма 
Приход]]</f>
        <v>0</v>
      </c>
      <c r="U445" s="150"/>
    </row>
    <row r="446" spans="1:21" ht="14.25" x14ac:dyDescent="0.2">
      <c r="A446" s="50">
        <f t="shared" si="6"/>
        <v>443</v>
      </c>
      <c r="B446" s="17"/>
      <c r="C446" s="17"/>
      <c r="D446" s="17"/>
      <c r="E446" s="51"/>
      <c r="F446" s="50"/>
      <c r="G446" s="23"/>
      <c r="H446" s="24"/>
      <c r="I446" s="23"/>
      <c r="J446" s="19">
        <f>Таблица1[[#This Row],[Блок
 Куб]]*Таблица1[[#This Row],[Цена 
Приход]]</f>
        <v>0</v>
      </c>
      <c r="K446" s="25"/>
      <c r="L446" s="25"/>
      <c r="M446" s="19">
        <f>Таблица1[[#This Row],[Поддон
Шт]]*Таблица1[[#This Row],[Цена
Поддон]]</f>
        <v>0</v>
      </c>
      <c r="N446" s="19">
        <f>Таблица1[[#This Row],[Сумма 
Приход]]+Таблица1[[#This Row],[Сумма Поддон]]</f>
        <v>0</v>
      </c>
      <c r="O446" s="20"/>
      <c r="P446" s="19">
        <f>Таблица1[[#This Row],[Цена
 Продажа]]-Таблица1[[#This Row],[Цена 
Приход]]</f>
        <v>0</v>
      </c>
      <c r="Q446" s="19"/>
      <c r="R446" s="19">
        <f>Таблица1[[#This Row],[Блок
 Куб]]*Таблица1[[#This Row],[Цена
 Продажа]]</f>
        <v>0</v>
      </c>
      <c r="S446" s="20"/>
      <c r="T446" s="19">
        <f>Таблица1[[#This Row],[Сумма 
Продажа]]-Таблица1[[#This Row],[Сумма 
Приход]]</f>
        <v>0</v>
      </c>
      <c r="U446" s="150"/>
    </row>
    <row r="447" spans="1:21" ht="14.25" x14ac:dyDescent="0.2">
      <c r="A447" s="50">
        <f t="shared" si="6"/>
        <v>444</v>
      </c>
      <c r="B447" s="17"/>
      <c r="C447" s="17"/>
      <c r="D447" s="17"/>
      <c r="E447" s="51"/>
      <c r="F447" s="50"/>
      <c r="G447" s="23"/>
      <c r="H447" s="24"/>
      <c r="I447" s="23"/>
      <c r="J447" s="19">
        <f>Таблица1[[#This Row],[Блок
 Куб]]*Таблица1[[#This Row],[Цена 
Приход]]</f>
        <v>0</v>
      </c>
      <c r="K447" s="25"/>
      <c r="L447" s="25"/>
      <c r="M447" s="19">
        <f>Таблица1[[#This Row],[Поддон
Шт]]*Таблица1[[#This Row],[Цена
Поддон]]</f>
        <v>0</v>
      </c>
      <c r="N447" s="19">
        <f>Таблица1[[#This Row],[Сумма 
Приход]]+Таблица1[[#This Row],[Сумма Поддон]]</f>
        <v>0</v>
      </c>
      <c r="O447" s="20"/>
      <c r="P447" s="19">
        <f>Таблица1[[#This Row],[Цена
 Продажа]]-Таблица1[[#This Row],[Цена 
Приход]]</f>
        <v>0</v>
      </c>
      <c r="Q447" s="19"/>
      <c r="R447" s="19">
        <f>Таблица1[[#This Row],[Блок
 Куб]]*Таблица1[[#This Row],[Цена
 Продажа]]</f>
        <v>0</v>
      </c>
      <c r="S447" s="20"/>
      <c r="T447" s="19">
        <f>Таблица1[[#This Row],[Сумма 
Продажа]]-Таблица1[[#This Row],[Сумма 
Приход]]</f>
        <v>0</v>
      </c>
      <c r="U447" s="150"/>
    </row>
    <row r="448" spans="1:21" ht="14.25" x14ac:dyDescent="0.2">
      <c r="A448" s="50">
        <f t="shared" si="6"/>
        <v>445</v>
      </c>
      <c r="B448" s="17"/>
      <c r="C448" s="17"/>
      <c r="D448" s="17"/>
      <c r="E448" s="51"/>
      <c r="F448" s="50"/>
      <c r="G448" s="23"/>
      <c r="H448" s="24"/>
      <c r="I448" s="23"/>
      <c r="J448" s="19">
        <f>Таблица1[[#This Row],[Блок
 Куб]]*Таблица1[[#This Row],[Цена 
Приход]]</f>
        <v>0</v>
      </c>
      <c r="K448" s="25"/>
      <c r="L448" s="25"/>
      <c r="M448" s="19">
        <f>Таблица1[[#This Row],[Поддон
Шт]]*Таблица1[[#This Row],[Цена
Поддон]]</f>
        <v>0</v>
      </c>
      <c r="N448" s="19">
        <f>Таблица1[[#This Row],[Сумма 
Приход]]+Таблица1[[#This Row],[Сумма Поддон]]</f>
        <v>0</v>
      </c>
      <c r="O448" s="20"/>
      <c r="P448" s="19">
        <f>Таблица1[[#This Row],[Цена
 Продажа]]-Таблица1[[#This Row],[Цена 
Приход]]</f>
        <v>0</v>
      </c>
      <c r="Q448" s="19"/>
      <c r="R448" s="19">
        <f>Таблица1[[#This Row],[Блок
 Куб]]*Таблица1[[#This Row],[Цена
 Продажа]]</f>
        <v>0</v>
      </c>
      <c r="S448" s="20"/>
      <c r="T448" s="19">
        <f>Таблица1[[#This Row],[Сумма 
Продажа]]-Таблица1[[#This Row],[Сумма 
Приход]]</f>
        <v>0</v>
      </c>
      <c r="U448" s="150"/>
    </row>
    <row r="449" spans="1:21" ht="14.25" x14ac:dyDescent="0.2">
      <c r="A449" s="50">
        <f t="shared" si="6"/>
        <v>446</v>
      </c>
      <c r="B449" s="17"/>
      <c r="C449" s="17"/>
      <c r="D449" s="17"/>
      <c r="E449" s="51"/>
      <c r="F449" s="50"/>
      <c r="G449" s="23"/>
      <c r="H449" s="24"/>
      <c r="I449" s="23"/>
      <c r="J449" s="19">
        <f>Таблица1[[#This Row],[Блок
 Куб]]*Таблица1[[#This Row],[Цена 
Приход]]</f>
        <v>0</v>
      </c>
      <c r="K449" s="25"/>
      <c r="L449" s="25"/>
      <c r="M449" s="19">
        <f>Таблица1[[#This Row],[Поддон
Шт]]*Таблица1[[#This Row],[Цена
Поддон]]</f>
        <v>0</v>
      </c>
      <c r="N449" s="19">
        <f>Таблица1[[#This Row],[Сумма 
Приход]]+Таблица1[[#This Row],[Сумма Поддон]]</f>
        <v>0</v>
      </c>
      <c r="O449" s="20"/>
      <c r="P449" s="19">
        <f>Таблица1[[#This Row],[Цена
 Продажа]]-Таблица1[[#This Row],[Цена 
Приход]]</f>
        <v>0</v>
      </c>
      <c r="Q449" s="19"/>
      <c r="R449" s="19">
        <f>Таблица1[[#This Row],[Блок
 Куб]]*Таблица1[[#This Row],[Цена
 Продажа]]</f>
        <v>0</v>
      </c>
      <c r="S449" s="20"/>
      <c r="T449" s="19">
        <f>Таблица1[[#This Row],[Сумма 
Продажа]]-Таблица1[[#This Row],[Сумма 
Приход]]</f>
        <v>0</v>
      </c>
      <c r="U449" s="150"/>
    </row>
    <row r="450" spans="1:21" ht="14.25" x14ac:dyDescent="0.2">
      <c r="A450" s="50">
        <f t="shared" si="6"/>
        <v>447</v>
      </c>
      <c r="B450" s="17"/>
      <c r="C450" s="17"/>
      <c r="D450" s="17"/>
      <c r="E450" s="51"/>
      <c r="F450" s="50"/>
      <c r="G450" s="23"/>
      <c r="H450" s="24"/>
      <c r="I450" s="23"/>
      <c r="J450" s="19">
        <f>Таблица1[[#This Row],[Блок
 Куб]]*Таблица1[[#This Row],[Цена 
Приход]]</f>
        <v>0</v>
      </c>
      <c r="K450" s="25"/>
      <c r="L450" s="25"/>
      <c r="M450" s="19">
        <f>Таблица1[[#This Row],[Поддон
Шт]]*Таблица1[[#This Row],[Цена
Поддон]]</f>
        <v>0</v>
      </c>
      <c r="N450" s="19">
        <f>Таблица1[[#This Row],[Сумма 
Приход]]+Таблица1[[#This Row],[Сумма Поддон]]</f>
        <v>0</v>
      </c>
      <c r="O450" s="20"/>
      <c r="P450" s="19">
        <f>Таблица1[[#This Row],[Цена
 Продажа]]-Таблица1[[#This Row],[Цена 
Приход]]</f>
        <v>0</v>
      </c>
      <c r="Q450" s="19"/>
      <c r="R450" s="19">
        <f>Таблица1[[#This Row],[Блок
 Куб]]*Таблица1[[#This Row],[Цена
 Продажа]]</f>
        <v>0</v>
      </c>
      <c r="S450" s="20"/>
      <c r="T450" s="19">
        <f>Таблица1[[#This Row],[Сумма 
Продажа]]-Таблица1[[#This Row],[Сумма 
Приход]]</f>
        <v>0</v>
      </c>
      <c r="U450" s="150"/>
    </row>
    <row r="451" spans="1:21" ht="14.25" x14ac:dyDescent="0.2">
      <c r="A451" s="50">
        <f t="shared" si="6"/>
        <v>448</v>
      </c>
      <c r="B451" s="17"/>
      <c r="C451" s="17"/>
      <c r="D451" s="17"/>
      <c r="E451" s="51"/>
      <c r="F451" s="50"/>
      <c r="G451" s="23"/>
      <c r="H451" s="24"/>
      <c r="I451" s="23"/>
      <c r="J451" s="19">
        <f>Таблица1[[#This Row],[Блок
 Куб]]*Таблица1[[#This Row],[Цена 
Приход]]</f>
        <v>0</v>
      </c>
      <c r="K451" s="25"/>
      <c r="L451" s="25"/>
      <c r="M451" s="19">
        <f>Таблица1[[#This Row],[Поддон
Шт]]*Таблица1[[#This Row],[Цена
Поддон]]</f>
        <v>0</v>
      </c>
      <c r="N451" s="19">
        <f>Таблица1[[#This Row],[Сумма 
Приход]]+Таблица1[[#This Row],[Сумма Поддон]]</f>
        <v>0</v>
      </c>
      <c r="O451" s="20"/>
      <c r="P451" s="19">
        <f>Таблица1[[#This Row],[Цена
 Продажа]]-Таблица1[[#This Row],[Цена 
Приход]]</f>
        <v>0</v>
      </c>
      <c r="Q451" s="19"/>
      <c r="R451" s="19">
        <f>Таблица1[[#This Row],[Блок
 Куб]]*Таблица1[[#This Row],[Цена
 Продажа]]</f>
        <v>0</v>
      </c>
      <c r="S451" s="20"/>
      <c r="T451" s="19">
        <f>Таблица1[[#This Row],[Сумма 
Продажа]]-Таблица1[[#This Row],[Сумма 
Приход]]</f>
        <v>0</v>
      </c>
      <c r="U451" s="150"/>
    </row>
    <row r="452" spans="1:21" ht="14.25" x14ac:dyDescent="0.2">
      <c r="A452" s="50">
        <f t="shared" si="6"/>
        <v>449</v>
      </c>
      <c r="B452" s="17"/>
      <c r="C452" s="17"/>
      <c r="D452" s="17"/>
      <c r="E452" s="51"/>
      <c r="F452" s="50"/>
      <c r="G452" s="23"/>
      <c r="H452" s="24"/>
      <c r="I452" s="23"/>
      <c r="J452" s="19">
        <f>Таблица1[[#This Row],[Блок
 Куб]]*Таблица1[[#This Row],[Цена 
Приход]]</f>
        <v>0</v>
      </c>
      <c r="K452" s="25"/>
      <c r="L452" s="25"/>
      <c r="M452" s="19">
        <f>Таблица1[[#This Row],[Поддон
Шт]]*Таблица1[[#This Row],[Цена
Поддон]]</f>
        <v>0</v>
      </c>
      <c r="N452" s="19">
        <f>Таблица1[[#This Row],[Сумма 
Приход]]+Таблица1[[#This Row],[Сумма Поддон]]</f>
        <v>0</v>
      </c>
      <c r="O452" s="20"/>
      <c r="P452" s="19">
        <f>Таблица1[[#This Row],[Цена
 Продажа]]-Таблица1[[#This Row],[Цена 
Приход]]</f>
        <v>0</v>
      </c>
      <c r="Q452" s="19"/>
      <c r="R452" s="19">
        <f>Таблица1[[#This Row],[Блок
 Куб]]*Таблица1[[#This Row],[Цена
 Продажа]]</f>
        <v>0</v>
      </c>
      <c r="S452" s="20"/>
      <c r="T452" s="19">
        <f>Таблица1[[#This Row],[Сумма 
Продажа]]-Таблица1[[#This Row],[Сумма 
Приход]]</f>
        <v>0</v>
      </c>
      <c r="U452" s="150"/>
    </row>
    <row r="453" spans="1:21" ht="14.25" x14ac:dyDescent="0.2">
      <c r="A453" s="50">
        <f t="shared" si="6"/>
        <v>450</v>
      </c>
      <c r="B453" s="17"/>
      <c r="C453" s="17"/>
      <c r="D453" s="17"/>
      <c r="E453" s="51"/>
      <c r="F453" s="50"/>
      <c r="G453" s="23"/>
      <c r="H453" s="24"/>
      <c r="I453" s="23"/>
      <c r="J453" s="19">
        <f>Таблица1[[#This Row],[Блок
 Куб]]*Таблица1[[#This Row],[Цена 
Приход]]</f>
        <v>0</v>
      </c>
      <c r="K453" s="25"/>
      <c r="L453" s="25"/>
      <c r="M453" s="19">
        <f>Таблица1[[#This Row],[Поддон
Шт]]*Таблица1[[#This Row],[Цена
Поддон]]</f>
        <v>0</v>
      </c>
      <c r="N453" s="19">
        <f>Таблица1[[#This Row],[Сумма 
Приход]]+Таблица1[[#This Row],[Сумма Поддон]]</f>
        <v>0</v>
      </c>
      <c r="O453" s="20"/>
      <c r="P453" s="19">
        <f>Таблица1[[#This Row],[Цена
 Продажа]]-Таблица1[[#This Row],[Цена 
Приход]]</f>
        <v>0</v>
      </c>
      <c r="Q453" s="19"/>
      <c r="R453" s="19">
        <f>Таблица1[[#This Row],[Блок
 Куб]]*Таблица1[[#This Row],[Цена
 Продажа]]</f>
        <v>0</v>
      </c>
      <c r="S453" s="20"/>
      <c r="T453" s="19">
        <f>Таблица1[[#This Row],[Сумма 
Продажа]]-Таблица1[[#This Row],[Сумма 
Приход]]</f>
        <v>0</v>
      </c>
      <c r="U453" s="150"/>
    </row>
    <row r="454" spans="1:21" ht="14.25" x14ac:dyDescent="0.2">
      <c r="A454" s="50">
        <f t="shared" ref="A454:A517" si="7">A453+1</f>
        <v>451</v>
      </c>
      <c r="B454" s="17"/>
      <c r="C454" s="17"/>
      <c r="D454" s="17"/>
      <c r="E454" s="51"/>
      <c r="F454" s="50"/>
      <c r="G454" s="23"/>
      <c r="H454" s="24"/>
      <c r="I454" s="23"/>
      <c r="J454" s="19">
        <f>Таблица1[[#This Row],[Блок
 Куб]]*Таблица1[[#This Row],[Цена 
Приход]]</f>
        <v>0</v>
      </c>
      <c r="K454" s="25"/>
      <c r="L454" s="25"/>
      <c r="M454" s="19">
        <f>Таблица1[[#This Row],[Поддон
Шт]]*Таблица1[[#This Row],[Цена
Поддон]]</f>
        <v>0</v>
      </c>
      <c r="N454" s="19">
        <f>Таблица1[[#This Row],[Сумма 
Приход]]+Таблица1[[#This Row],[Сумма Поддон]]</f>
        <v>0</v>
      </c>
      <c r="O454" s="20"/>
      <c r="P454" s="19">
        <f>Таблица1[[#This Row],[Цена
 Продажа]]-Таблица1[[#This Row],[Цена 
Приход]]</f>
        <v>0</v>
      </c>
      <c r="Q454" s="19"/>
      <c r="R454" s="19">
        <f>Таблица1[[#This Row],[Блок
 Куб]]*Таблица1[[#This Row],[Цена
 Продажа]]</f>
        <v>0</v>
      </c>
      <c r="S454" s="20"/>
      <c r="T454" s="19">
        <f>Таблица1[[#This Row],[Сумма 
Продажа]]-Таблица1[[#This Row],[Сумма 
Приход]]</f>
        <v>0</v>
      </c>
      <c r="U454" s="150"/>
    </row>
    <row r="455" spans="1:21" ht="14.25" x14ac:dyDescent="0.2">
      <c r="A455" s="50">
        <f t="shared" si="7"/>
        <v>452</v>
      </c>
      <c r="B455" s="17"/>
      <c r="C455" s="17"/>
      <c r="D455" s="17"/>
      <c r="E455" s="51"/>
      <c r="F455" s="50"/>
      <c r="G455" s="23"/>
      <c r="H455" s="24"/>
      <c r="I455" s="23"/>
      <c r="J455" s="19">
        <f>Таблица1[[#This Row],[Блок
 Куб]]*Таблица1[[#This Row],[Цена 
Приход]]</f>
        <v>0</v>
      </c>
      <c r="K455" s="25"/>
      <c r="L455" s="25"/>
      <c r="M455" s="19">
        <f>Таблица1[[#This Row],[Поддон
Шт]]*Таблица1[[#This Row],[Цена
Поддон]]</f>
        <v>0</v>
      </c>
      <c r="N455" s="19">
        <f>Таблица1[[#This Row],[Сумма 
Приход]]+Таблица1[[#This Row],[Сумма Поддон]]</f>
        <v>0</v>
      </c>
      <c r="O455" s="20"/>
      <c r="P455" s="19">
        <f>Таблица1[[#This Row],[Цена
 Продажа]]-Таблица1[[#This Row],[Цена 
Приход]]</f>
        <v>0</v>
      </c>
      <c r="Q455" s="19"/>
      <c r="R455" s="19">
        <f>Таблица1[[#This Row],[Блок
 Куб]]*Таблица1[[#This Row],[Цена
 Продажа]]</f>
        <v>0</v>
      </c>
      <c r="S455" s="20"/>
      <c r="T455" s="19">
        <f>Таблица1[[#This Row],[Сумма 
Продажа]]-Таблица1[[#This Row],[Сумма 
Приход]]</f>
        <v>0</v>
      </c>
      <c r="U455" s="150"/>
    </row>
    <row r="456" spans="1:21" ht="14.25" x14ac:dyDescent="0.2">
      <c r="A456" s="50">
        <f t="shared" si="7"/>
        <v>453</v>
      </c>
      <c r="B456" s="17"/>
      <c r="C456" s="17"/>
      <c r="D456" s="17"/>
      <c r="E456" s="51"/>
      <c r="F456" s="50"/>
      <c r="G456" s="23"/>
      <c r="H456" s="24"/>
      <c r="I456" s="23"/>
      <c r="J456" s="19">
        <f>Таблица1[[#This Row],[Блок
 Куб]]*Таблица1[[#This Row],[Цена 
Приход]]</f>
        <v>0</v>
      </c>
      <c r="K456" s="25"/>
      <c r="L456" s="25"/>
      <c r="M456" s="19">
        <f>Таблица1[[#This Row],[Поддон
Шт]]*Таблица1[[#This Row],[Цена
Поддон]]</f>
        <v>0</v>
      </c>
      <c r="N456" s="19">
        <f>Таблица1[[#This Row],[Сумма 
Приход]]+Таблица1[[#This Row],[Сумма Поддон]]</f>
        <v>0</v>
      </c>
      <c r="O456" s="20"/>
      <c r="P456" s="19">
        <f>Таблица1[[#This Row],[Цена
 Продажа]]-Таблица1[[#This Row],[Цена 
Приход]]</f>
        <v>0</v>
      </c>
      <c r="Q456" s="19"/>
      <c r="R456" s="19">
        <f>Таблица1[[#This Row],[Блок
 Куб]]*Таблица1[[#This Row],[Цена
 Продажа]]</f>
        <v>0</v>
      </c>
      <c r="S456" s="20"/>
      <c r="T456" s="19">
        <f>Таблица1[[#This Row],[Сумма 
Продажа]]-Таблица1[[#This Row],[Сумма 
Приход]]</f>
        <v>0</v>
      </c>
      <c r="U456" s="150"/>
    </row>
    <row r="457" spans="1:21" ht="14.25" x14ac:dyDescent="0.2">
      <c r="A457" s="50">
        <f t="shared" si="7"/>
        <v>454</v>
      </c>
      <c r="B457" s="17"/>
      <c r="C457" s="17"/>
      <c r="D457" s="17"/>
      <c r="E457" s="51"/>
      <c r="F457" s="50"/>
      <c r="G457" s="23"/>
      <c r="H457" s="24"/>
      <c r="I457" s="23"/>
      <c r="J457" s="19">
        <f>Таблица1[[#This Row],[Блок
 Куб]]*Таблица1[[#This Row],[Цена 
Приход]]</f>
        <v>0</v>
      </c>
      <c r="K457" s="25"/>
      <c r="L457" s="25"/>
      <c r="M457" s="19">
        <f>Таблица1[[#This Row],[Поддон
Шт]]*Таблица1[[#This Row],[Цена
Поддон]]</f>
        <v>0</v>
      </c>
      <c r="N457" s="19">
        <f>Таблица1[[#This Row],[Сумма 
Приход]]+Таблица1[[#This Row],[Сумма Поддон]]</f>
        <v>0</v>
      </c>
      <c r="O457" s="20"/>
      <c r="P457" s="19">
        <f>Таблица1[[#This Row],[Цена
 Продажа]]-Таблица1[[#This Row],[Цена 
Приход]]</f>
        <v>0</v>
      </c>
      <c r="Q457" s="19"/>
      <c r="R457" s="19">
        <f>Таблица1[[#This Row],[Блок
 Куб]]*Таблица1[[#This Row],[Цена
 Продажа]]</f>
        <v>0</v>
      </c>
      <c r="S457" s="20"/>
      <c r="T457" s="19">
        <f>Таблица1[[#This Row],[Сумма 
Продажа]]-Таблица1[[#This Row],[Сумма 
Приход]]</f>
        <v>0</v>
      </c>
      <c r="U457" s="150"/>
    </row>
    <row r="458" spans="1:21" ht="14.25" x14ac:dyDescent="0.2">
      <c r="A458" s="50">
        <f t="shared" si="7"/>
        <v>455</v>
      </c>
      <c r="B458" s="17"/>
      <c r="C458" s="17"/>
      <c r="D458" s="17"/>
      <c r="E458" s="51"/>
      <c r="F458" s="50"/>
      <c r="G458" s="23"/>
      <c r="H458" s="24"/>
      <c r="I458" s="23"/>
      <c r="J458" s="19">
        <f>Таблица1[[#This Row],[Блок
 Куб]]*Таблица1[[#This Row],[Цена 
Приход]]</f>
        <v>0</v>
      </c>
      <c r="K458" s="25"/>
      <c r="L458" s="25"/>
      <c r="M458" s="19">
        <f>Таблица1[[#This Row],[Поддон
Шт]]*Таблица1[[#This Row],[Цена
Поддон]]</f>
        <v>0</v>
      </c>
      <c r="N458" s="19">
        <f>Таблица1[[#This Row],[Сумма 
Приход]]+Таблица1[[#This Row],[Сумма Поддон]]</f>
        <v>0</v>
      </c>
      <c r="O458" s="20"/>
      <c r="P458" s="19">
        <f>Таблица1[[#This Row],[Цена
 Продажа]]-Таблица1[[#This Row],[Цена 
Приход]]</f>
        <v>0</v>
      </c>
      <c r="Q458" s="19"/>
      <c r="R458" s="19">
        <f>Таблица1[[#This Row],[Блок
 Куб]]*Таблица1[[#This Row],[Цена
 Продажа]]</f>
        <v>0</v>
      </c>
      <c r="S458" s="20"/>
      <c r="T458" s="19">
        <f>Таблица1[[#This Row],[Сумма 
Продажа]]-Таблица1[[#This Row],[Сумма 
Приход]]</f>
        <v>0</v>
      </c>
      <c r="U458" s="150"/>
    </row>
    <row r="459" spans="1:21" ht="14.25" x14ac:dyDescent="0.2">
      <c r="A459" s="50">
        <f t="shared" si="7"/>
        <v>456</v>
      </c>
      <c r="B459" s="17"/>
      <c r="C459" s="17"/>
      <c r="D459" s="17"/>
      <c r="E459" s="51"/>
      <c r="F459" s="50"/>
      <c r="G459" s="23"/>
      <c r="H459" s="24"/>
      <c r="I459" s="23"/>
      <c r="J459" s="19">
        <f>Таблица1[[#This Row],[Блок
 Куб]]*Таблица1[[#This Row],[Цена 
Приход]]</f>
        <v>0</v>
      </c>
      <c r="K459" s="25"/>
      <c r="L459" s="25"/>
      <c r="M459" s="19">
        <f>Таблица1[[#This Row],[Поддон
Шт]]*Таблица1[[#This Row],[Цена
Поддон]]</f>
        <v>0</v>
      </c>
      <c r="N459" s="19">
        <f>Таблица1[[#This Row],[Сумма 
Приход]]+Таблица1[[#This Row],[Сумма Поддон]]</f>
        <v>0</v>
      </c>
      <c r="O459" s="20"/>
      <c r="P459" s="19">
        <f>Таблица1[[#This Row],[Цена
 Продажа]]-Таблица1[[#This Row],[Цена 
Приход]]</f>
        <v>0</v>
      </c>
      <c r="Q459" s="19"/>
      <c r="R459" s="19">
        <f>Таблица1[[#This Row],[Блок
 Куб]]*Таблица1[[#This Row],[Цена
 Продажа]]</f>
        <v>0</v>
      </c>
      <c r="S459" s="20"/>
      <c r="T459" s="19">
        <f>Таблица1[[#This Row],[Сумма 
Продажа]]-Таблица1[[#This Row],[Сумма 
Приход]]</f>
        <v>0</v>
      </c>
      <c r="U459" s="150"/>
    </row>
    <row r="460" spans="1:21" ht="14.25" x14ac:dyDescent="0.2">
      <c r="A460" s="50">
        <f t="shared" si="7"/>
        <v>457</v>
      </c>
      <c r="B460" s="17"/>
      <c r="C460" s="17"/>
      <c r="D460" s="17"/>
      <c r="E460" s="51"/>
      <c r="F460" s="50"/>
      <c r="G460" s="23"/>
      <c r="H460" s="24"/>
      <c r="I460" s="23"/>
      <c r="J460" s="19">
        <f>Таблица1[[#This Row],[Блок
 Куб]]*Таблица1[[#This Row],[Цена 
Приход]]</f>
        <v>0</v>
      </c>
      <c r="K460" s="25"/>
      <c r="L460" s="25"/>
      <c r="M460" s="19">
        <f>Таблица1[[#This Row],[Поддон
Шт]]*Таблица1[[#This Row],[Цена
Поддон]]</f>
        <v>0</v>
      </c>
      <c r="N460" s="19">
        <f>Таблица1[[#This Row],[Сумма 
Приход]]+Таблица1[[#This Row],[Сумма Поддон]]</f>
        <v>0</v>
      </c>
      <c r="O460" s="20"/>
      <c r="P460" s="19">
        <f>Таблица1[[#This Row],[Цена
 Продажа]]-Таблица1[[#This Row],[Цена 
Приход]]</f>
        <v>0</v>
      </c>
      <c r="Q460" s="19"/>
      <c r="R460" s="19">
        <f>Таблица1[[#This Row],[Блок
 Куб]]*Таблица1[[#This Row],[Цена
 Продажа]]</f>
        <v>0</v>
      </c>
      <c r="S460" s="20"/>
      <c r="T460" s="19">
        <f>Таблица1[[#This Row],[Сумма 
Продажа]]-Таблица1[[#This Row],[Сумма 
Приход]]</f>
        <v>0</v>
      </c>
      <c r="U460" s="150"/>
    </row>
    <row r="461" spans="1:21" ht="14.25" x14ac:dyDescent="0.2">
      <c r="A461" s="50">
        <f t="shared" si="7"/>
        <v>458</v>
      </c>
      <c r="B461" s="17"/>
      <c r="C461" s="17"/>
      <c r="D461" s="17"/>
      <c r="E461" s="51"/>
      <c r="F461" s="50"/>
      <c r="G461" s="23"/>
      <c r="H461" s="24"/>
      <c r="I461" s="23"/>
      <c r="J461" s="19">
        <f>Таблица1[[#This Row],[Блок
 Куб]]*Таблица1[[#This Row],[Цена 
Приход]]</f>
        <v>0</v>
      </c>
      <c r="K461" s="25"/>
      <c r="L461" s="25"/>
      <c r="M461" s="19">
        <f>Таблица1[[#This Row],[Поддон
Шт]]*Таблица1[[#This Row],[Цена
Поддон]]</f>
        <v>0</v>
      </c>
      <c r="N461" s="19">
        <f>Таблица1[[#This Row],[Сумма 
Приход]]+Таблица1[[#This Row],[Сумма Поддон]]</f>
        <v>0</v>
      </c>
      <c r="O461" s="20"/>
      <c r="P461" s="19">
        <f>Таблица1[[#This Row],[Цена
 Продажа]]-Таблица1[[#This Row],[Цена 
Приход]]</f>
        <v>0</v>
      </c>
      <c r="Q461" s="19"/>
      <c r="R461" s="19">
        <f>Таблица1[[#This Row],[Блок
 Куб]]*Таблица1[[#This Row],[Цена
 Продажа]]</f>
        <v>0</v>
      </c>
      <c r="S461" s="20"/>
      <c r="T461" s="19">
        <f>Таблица1[[#This Row],[Сумма 
Продажа]]-Таблица1[[#This Row],[Сумма 
Приход]]</f>
        <v>0</v>
      </c>
      <c r="U461" s="150"/>
    </row>
    <row r="462" spans="1:21" ht="14.25" x14ac:dyDescent="0.2">
      <c r="A462" s="50">
        <f t="shared" si="7"/>
        <v>459</v>
      </c>
      <c r="B462" s="17"/>
      <c r="C462" s="17"/>
      <c r="D462" s="17"/>
      <c r="E462" s="51"/>
      <c r="F462" s="50"/>
      <c r="G462" s="23"/>
      <c r="H462" s="24"/>
      <c r="I462" s="23"/>
      <c r="J462" s="19">
        <f>Таблица1[[#This Row],[Блок
 Куб]]*Таблица1[[#This Row],[Цена 
Приход]]</f>
        <v>0</v>
      </c>
      <c r="K462" s="25"/>
      <c r="L462" s="25"/>
      <c r="M462" s="19">
        <f>Таблица1[[#This Row],[Поддон
Шт]]*Таблица1[[#This Row],[Цена
Поддон]]</f>
        <v>0</v>
      </c>
      <c r="N462" s="19">
        <f>Таблица1[[#This Row],[Сумма 
Приход]]+Таблица1[[#This Row],[Сумма Поддон]]</f>
        <v>0</v>
      </c>
      <c r="O462" s="20"/>
      <c r="P462" s="19">
        <f>Таблица1[[#This Row],[Цена
 Продажа]]-Таблица1[[#This Row],[Цена 
Приход]]</f>
        <v>0</v>
      </c>
      <c r="Q462" s="19"/>
      <c r="R462" s="19">
        <f>Таблица1[[#This Row],[Блок
 Куб]]*Таблица1[[#This Row],[Цена
 Продажа]]</f>
        <v>0</v>
      </c>
      <c r="S462" s="20"/>
      <c r="T462" s="19">
        <f>Таблица1[[#This Row],[Сумма 
Продажа]]-Таблица1[[#This Row],[Сумма 
Приход]]</f>
        <v>0</v>
      </c>
      <c r="U462" s="150"/>
    </row>
    <row r="463" spans="1:21" ht="14.25" x14ac:dyDescent="0.2">
      <c r="A463" s="50">
        <f t="shared" si="7"/>
        <v>460</v>
      </c>
      <c r="B463" s="17"/>
      <c r="C463" s="17"/>
      <c r="D463" s="17"/>
      <c r="E463" s="51"/>
      <c r="F463" s="50"/>
      <c r="G463" s="23"/>
      <c r="H463" s="24"/>
      <c r="I463" s="23"/>
      <c r="J463" s="19">
        <f>Таблица1[[#This Row],[Блок
 Куб]]*Таблица1[[#This Row],[Цена 
Приход]]</f>
        <v>0</v>
      </c>
      <c r="K463" s="25"/>
      <c r="L463" s="25"/>
      <c r="M463" s="19">
        <f>Таблица1[[#This Row],[Поддон
Шт]]*Таблица1[[#This Row],[Цена
Поддон]]</f>
        <v>0</v>
      </c>
      <c r="N463" s="19">
        <f>Таблица1[[#This Row],[Сумма 
Приход]]+Таблица1[[#This Row],[Сумма Поддон]]</f>
        <v>0</v>
      </c>
      <c r="O463" s="20"/>
      <c r="P463" s="19">
        <f>Таблица1[[#This Row],[Цена
 Продажа]]-Таблица1[[#This Row],[Цена 
Приход]]</f>
        <v>0</v>
      </c>
      <c r="Q463" s="19"/>
      <c r="R463" s="19">
        <f>Таблица1[[#This Row],[Блок
 Куб]]*Таблица1[[#This Row],[Цена
 Продажа]]</f>
        <v>0</v>
      </c>
      <c r="S463" s="20"/>
      <c r="T463" s="19">
        <f>Таблица1[[#This Row],[Сумма 
Продажа]]-Таблица1[[#This Row],[Сумма 
Приход]]</f>
        <v>0</v>
      </c>
      <c r="U463" s="150"/>
    </row>
    <row r="464" spans="1:21" ht="14.25" x14ac:dyDescent="0.2">
      <c r="A464" s="50">
        <f t="shared" si="7"/>
        <v>461</v>
      </c>
      <c r="B464" s="17"/>
      <c r="C464" s="17"/>
      <c r="D464" s="17"/>
      <c r="E464" s="51"/>
      <c r="F464" s="50"/>
      <c r="G464" s="23"/>
      <c r="H464" s="24"/>
      <c r="I464" s="23"/>
      <c r="J464" s="19">
        <f>Таблица1[[#This Row],[Блок
 Куб]]*Таблица1[[#This Row],[Цена 
Приход]]</f>
        <v>0</v>
      </c>
      <c r="K464" s="25"/>
      <c r="L464" s="25"/>
      <c r="M464" s="19">
        <f>Таблица1[[#This Row],[Поддон
Шт]]*Таблица1[[#This Row],[Цена
Поддон]]</f>
        <v>0</v>
      </c>
      <c r="N464" s="19">
        <f>Таблица1[[#This Row],[Сумма 
Приход]]+Таблица1[[#This Row],[Сумма Поддон]]</f>
        <v>0</v>
      </c>
      <c r="O464" s="20"/>
      <c r="P464" s="19">
        <f>Таблица1[[#This Row],[Цена
 Продажа]]-Таблица1[[#This Row],[Цена 
Приход]]</f>
        <v>0</v>
      </c>
      <c r="Q464" s="19"/>
      <c r="R464" s="19">
        <f>Таблица1[[#This Row],[Блок
 Куб]]*Таблица1[[#This Row],[Цена
 Продажа]]</f>
        <v>0</v>
      </c>
      <c r="S464" s="20"/>
      <c r="T464" s="19">
        <f>Таблица1[[#This Row],[Сумма 
Продажа]]-Таблица1[[#This Row],[Сумма 
Приход]]</f>
        <v>0</v>
      </c>
      <c r="U464" s="150"/>
    </row>
    <row r="465" spans="1:21" ht="14.25" x14ac:dyDescent="0.2">
      <c r="A465" s="50">
        <f t="shared" si="7"/>
        <v>462</v>
      </c>
      <c r="B465" s="17"/>
      <c r="C465" s="17"/>
      <c r="D465" s="17"/>
      <c r="E465" s="51"/>
      <c r="F465" s="50"/>
      <c r="G465" s="23"/>
      <c r="H465" s="24"/>
      <c r="I465" s="23"/>
      <c r="J465" s="19">
        <f>Таблица1[[#This Row],[Блок
 Куб]]*Таблица1[[#This Row],[Цена 
Приход]]</f>
        <v>0</v>
      </c>
      <c r="K465" s="25"/>
      <c r="L465" s="25"/>
      <c r="M465" s="19">
        <f>Таблица1[[#This Row],[Поддон
Шт]]*Таблица1[[#This Row],[Цена
Поддон]]</f>
        <v>0</v>
      </c>
      <c r="N465" s="19">
        <f>Таблица1[[#This Row],[Сумма 
Приход]]+Таблица1[[#This Row],[Сумма Поддон]]</f>
        <v>0</v>
      </c>
      <c r="O465" s="20"/>
      <c r="P465" s="19">
        <f>Таблица1[[#This Row],[Цена
 Продажа]]-Таблица1[[#This Row],[Цена 
Приход]]</f>
        <v>0</v>
      </c>
      <c r="Q465" s="19"/>
      <c r="R465" s="19">
        <f>Таблица1[[#This Row],[Блок
 Куб]]*Таблица1[[#This Row],[Цена
 Продажа]]</f>
        <v>0</v>
      </c>
      <c r="S465" s="20"/>
      <c r="T465" s="19">
        <f>Таблица1[[#This Row],[Сумма 
Продажа]]-Таблица1[[#This Row],[Сумма 
Приход]]</f>
        <v>0</v>
      </c>
      <c r="U465" s="150"/>
    </row>
    <row r="466" spans="1:21" ht="14.25" x14ac:dyDescent="0.2">
      <c r="A466" s="50">
        <f t="shared" si="7"/>
        <v>463</v>
      </c>
      <c r="B466" s="17"/>
      <c r="C466" s="17"/>
      <c r="D466" s="17"/>
      <c r="E466" s="51"/>
      <c r="F466" s="50"/>
      <c r="G466" s="23"/>
      <c r="H466" s="24"/>
      <c r="I466" s="23"/>
      <c r="J466" s="19">
        <f>Таблица1[[#This Row],[Блок
 Куб]]*Таблица1[[#This Row],[Цена 
Приход]]</f>
        <v>0</v>
      </c>
      <c r="K466" s="25"/>
      <c r="L466" s="25"/>
      <c r="M466" s="19">
        <f>Таблица1[[#This Row],[Поддон
Шт]]*Таблица1[[#This Row],[Цена
Поддон]]</f>
        <v>0</v>
      </c>
      <c r="N466" s="19">
        <f>Таблица1[[#This Row],[Сумма 
Приход]]+Таблица1[[#This Row],[Сумма Поддон]]</f>
        <v>0</v>
      </c>
      <c r="O466" s="20"/>
      <c r="P466" s="19">
        <f>Таблица1[[#This Row],[Цена
 Продажа]]-Таблица1[[#This Row],[Цена 
Приход]]</f>
        <v>0</v>
      </c>
      <c r="Q466" s="19"/>
      <c r="R466" s="19">
        <f>Таблица1[[#This Row],[Блок
 Куб]]*Таблица1[[#This Row],[Цена
 Продажа]]</f>
        <v>0</v>
      </c>
      <c r="S466" s="20"/>
      <c r="T466" s="19">
        <f>Таблица1[[#This Row],[Сумма 
Продажа]]-Таблица1[[#This Row],[Сумма 
Приход]]</f>
        <v>0</v>
      </c>
      <c r="U466" s="150"/>
    </row>
    <row r="467" spans="1:21" ht="14.25" x14ac:dyDescent="0.2">
      <c r="A467" s="50">
        <f t="shared" si="7"/>
        <v>464</v>
      </c>
      <c r="B467" s="17"/>
      <c r="C467" s="17"/>
      <c r="D467" s="17"/>
      <c r="E467" s="51"/>
      <c r="F467" s="50"/>
      <c r="G467" s="23"/>
      <c r="H467" s="24"/>
      <c r="I467" s="23"/>
      <c r="J467" s="19">
        <f>Таблица1[[#This Row],[Блок
 Куб]]*Таблица1[[#This Row],[Цена 
Приход]]</f>
        <v>0</v>
      </c>
      <c r="K467" s="25"/>
      <c r="L467" s="25"/>
      <c r="M467" s="19">
        <f>Таблица1[[#This Row],[Поддон
Шт]]*Таблица1[[#This Row],[Цена
Поддон]]</f>
        <v>0</v>
      </c>
      <c r="N467" s="19">
        <f>Таблица1[[#This Row],[Сумма 
Приход]]+Таблица1[[#This Row],[Сумма Поддон]]</f>
        <v>0</v>
      </c>
      <c r="O467" s="20"/>
      <c r="P467" s="19">
        <f>Таблица1[[#This Row],[Цена
 Продажа]]-Таблица1[[#This Row],[Цена 
Приход]]</f>
        <v>0</v>
      </c>
      <c r="Q467" s="19"/>
      <c r="R467" s="19">
        <f>Таблица1[[#This Row],[Блок
 Куб]]*Таблица1[[#This Row],[Цена
 Продажа]]</f>
        <v>0</v>
      </c>
      <c r="S467" s="20"/>
      <c r="T467" s="19">
        <f>Таблица1[[#This Row],[Сумма 
Продажа]]-Таблица1[[#This Row],[Сумма 
Приход]]</f>
        <v>0</v>
      </c>
      <c r="U467" s="150"/>
    </row>
    <row r="468" spans="1:21" ht="14.25" x14ac:dyDescent="0.2">
      <c r="A468" s="50">
        <f t="shared" si="7"/>
        <v>465</v>
      </c>
      <c r="B468" s="17"/>
      <c r="C468" s="17"/>
      <c r="D468" s="17"/>
      <c r="E468" s="51"/>
      <c r="F468" s="50"/>
      <c r="G468" s="23"/>
      <c r="H468" s="24"/>
      <c r="I468" s="23"/>
      <c r="J468" s="19">
        <f>Таблица1[[#This Row],[Блок
 Куб]]*Таблица1[[#This Row],[Цена 
Приход]]</f>
        <v>0</v>
      </c>
      <c r="K468" s="25"/>
      <c r="L468" s="25"/>
      <c r="M468" s="19">
        <f>Таблица1[[#This Row],[Поддон
Шт]]*Таблица1[[#This Row],[Цена
Поддон]]</f>
        <v>0</v>
      </c>
      <c r="N468" s="19">
        <f>Таблица1[[#This Row],[Сумма 
Приход]]+Таблица1[[#This Row],[Сумма Поддон]]</f>
        <v>0</v>
      </c>
      <c r="O468" s="20"/>
      <c r="P468" s="19">
        <f>Таблица1[[#This Row],[Цена
 Продажа]]-Таблица1[[#This Row],[Цена 
Приход]]</f>
        <v>0</v>
      </c>
      <c r="Q468" s="19"/>
      <c r="R468" s="19">
        <f>Таблица1[[#This Row],[Блок
 Куб]]*Таблица1[[#This Row],[Цена
 Продажа]]</f>
        <v>0</v>
      </c>
      <c r="S468" s="20"/>
      <c r="T468" s="19">
        <f>Таблица1[[#This Row],[Сумма 
Продажа]]-Таблица1[[#This Row],[Сумма 
Приход]]</f>
        <v>0</v>
      </c>
      <c r="U468" s="150"/>
    </row>
    <row r="469" spans="1:21" ht="14.25" x14ac:dyDescent="0.2">
      <c r="A469" s="50">
        <f t="shared" si="7"/>
        <v>466</v>
      </c>
      <c r="B469" s="17"/>
      <c r="C469" s="17"/>
      <c r="D469" s="17"/>
      <c r="E469" s="51"/>
      <c r="F469" s="50"/>
      <c r="G469" s="23"/>
      <c r="H469" s="24"/>
      <c r="I469" s="23"/>
      <c r="J469" s="19">
        <f>Таблица1[[#This Row],[Блок
 Куб]]*Таблица1[[#This Row],[Цена 
Приход]]</f>
        <v>0</v>
      </c>
      <c r="K469" s="25"/>
      <c r="L469" s="25"/>
      <c r="M469" s="19">
        <f>Таблица1[[#This Row],[Поддон
Шт]]*Таблица1[[#This Row],[Цена
Поддон]]</f>
        <v>0</v>
      </c>
      <c r="N469" s="19">
        <f>Таблица1[[#This Row],[Сумма 
Приход]]+Таблица1[[#This Row],[Сумма Поддон]]</f>
        <v>0</v>
      </c>
      <c r="O469" s="20"/>
      <c r="P469" s="19">
        <f>Таблица1[[#This Row],[Цена
 Продажа]]-Таблица1[[#This Row],[Цена 
Приход]]</f>
        <v>0</v>
      </c>
      <c r="Q469" s="19"/>
      <c r="R469" s="19">
        <f>Таблица1[[#This Row],[Блок
 Куб]]*Таблица1[[#This Row],[Цена
 Продажа]]</f>
        <v>0</v>
      </c>
      <c r="S469" s="20"/>
      <c r="T469" s="19">
        <f>Таблица1[[#This Row],[Сумма 
Продажа]]-Таблица1[[#This Row],[Сумма 
Приход]]</f>
        <v>0</v>
      </c>
      <c r="U469" s="150"/>
    </row>
    <row r="470" spans="1:21" ht="14.25" x14ac:dyDescent="0.2">
      <c r="A470" s="50">
        <f t="shared" si="7"/>
        <v>467</v>
      </c>
      <c r="B470" s="17"/>
      <c r="C470" s="17"/>
      <c r="D470" s="17"/>
      <c r="E470" s="51"/>
      <c r="F470" s="50"/>
      <c r="G470" s="23"/>
      <c r="H470" s="24"/>
      <c r="I470" s="23"/>
      <c r="J470" s="19">
        <f>Таблица1[[#This Row],[Блок
 Куб]]*Таблица1[[#This Row],[Цена 
Приход]]</f>
        <v>0</v>
      </c>
      <c r="K470" s="25"/>
      <c r="L470" s="25"/>
      <c r="M470" s="19">
        <f>Таблица1[[#This Row],[Поддон
Шт]]*Таблица1[[#This Row],[Цена
Поддон]]</f>
        <v>0</v>
      </c>
      <c r="N470" s="19">
        <f>Таблица1[[#This Row],[Сумма 
Приход]]+Таблица1[[#This Row],[Сумма Поддон]]</f>
        <v>0</v>
      </c>
      <c r="O470" s="20"/>
      <c r="P470" s="19">
        <f>Таблица1[[#This Row],[Цена
 Продажа]]-Таблица1[[#This Row],[Цена 
Приход]]</f>
        <v>0</v>
      </c>
      <c r="Q470" s="19"/>
      <c r="R470" s="19">
        <f>Таблица1[[#This Row],[Блок
 Куб]]*Таблица1[[#This Row],[Цена
 Продажа]]</f>
        <v>0</v>
      </c>
      <c r="S470" s="20"/>
      <c r="T470" s="19">
        <f>Таблица1[[#This Row],[Сумма 
Продажа]]-Таблица1[[#This Row],[Сумма 
Приход]]</f>
        <v>0</v>
      </c>
      <c r="U470" s="150"/>
    </row>
    <row r="471" spans="1:21" ht="14.25" x14ac:dyDescent="0.2">
      <c r="A471" s="50">
        <f t="shared" si="7"/>
        <v>468</v>
      </c>
      <c r="B471" s="17"/>
      <c r="C471" s="17"/>
      <c r="D471" s="17"/>
      <c r="E471" s="51"/>
      <c r="F471" s="50"/>
      <c r="G471" s="23"/>
      <c r="H471" s="24"/>
      <c r="I471" s="23"/>
      <c r="J471" s="19">
        <f>Таблица1[[#This Row],[Блок
 Куб]]*Таблица1[[#This Row],[Цена 
Приход]]</f>
        <v>0</v>
      </c>
      <c r="K471" s="25"/>
      <c r="L471" s="25"/>
      <c r="M471" s="19">
        <f>Таблица1[[#This Row],[Поддон
Шт]]*Таблица1[[#This Row],[Цена
Поддон]]</f>
        <v>0</v>
      </c>
      <c r="N471" s="19">
        <f>Таблица1[[#This Row],[Сумма 
Приход]]+Таблица1[[#This Row],[Сумма Поддон]]</f>
        <v>0</v>
      </c>
      <c r="O471" s="20"/>
      <c r="P471" s="19">
        <f>Таблица1[[#This Row],[Цена
 Продажа]]-Таблица1[[#This Row],[Цена 
Приход]]</f>
        <v>0</v>
      </c>
      <c r="Q471" s="19"/>
      <c r="R471" s="19">
        <f>Таблица1[[#This Row],[Блок
 Куб]]*Таблица1[[#This Row],[Цена
 Продажа]]</f>
        <v>0</v>
      </c>
      <c r="S471" s="20"/>
      <c r="T471" s="19">
        <f>Таблица1[[#This Row],[Сумма 
Продажа]]-Таблица1[[#This Row],[Сумма 
Приход]]</f>
        <v>0</v>
      </c>
      <c r="U471" s="150"/>
    </row>
    <row r="472" spans="1:21" ht="14.25" x14ac:dyDescent="0.2">
      <c r="A472" s="50">
        <f t="shared" si="7"/>
        <v>469</v>
      </c>
      <c r="B472" s="17"/>
      <c r="C472" s="17"/>
      <c r="D472" s="17"/>
      <c r="E472" s="51"/>
      <c r="F472" s="50"/>
      <c r="G472" s="23"/>
      <c r="H472" s="24"/>
      <c r="I472" s="23"/>
      <c r="J472" s="19">
        <f>Таблица1[[#This Row],[Блок
 Куб]]*Таблица1[[#This Row],[Цена 
Приход]]</f>
        <v>0</v>
      </c>
      <c r="K472" s="25"/>
      <c r="L472" s="25"/>
      <c r="M472" s="19">
        <f>Таблица1[[#This Row],[Поддон
Шт]]*Таблица1[[#This Row],[Цена
Поддон]]</f>
        <v>0</v>
      </c>
      <c r="N472" s="19">
        <f>Таблица1[[#This Row],[Сумма 
Приход]]+Таблица1[[#This Row],[Сумма Поддон]]</f>
        <v>0</v>
      </c>
      <c r="O472" s="20"/>
      <c r="P472" s="19">
        <f>Таблица1[[#This Row],[Цена
 Продажа]]-Таблица1[[#This Row],[Цена 
Приход]]</f>
        <v>0</v>
      </c>
      <c r="Q472" s="19"/>
      <c r="R472" s="19">
        <f>Таблица1[[#This Row],[Блок
 Куб]]*Таблица1[[#This Row],[Цена
 Продажа]]</f>
        <v>0</v>
      </c>
      <c r="S472" s="20"/>
      <c r="T472" s="19">
        <f>Таблица1[[#This Row],[Сумма 
Продажа]]-Таблица1[[#This Row],[Сумма 
Приход]]</f>
        <v>0</v>
      </c>
      <c r="U472" s="150"/>
    </row>
    <row r="473" spans="1:21" ht="14.25" x14ac:dyDescent="0.2">
      <c r="A473" s="50">
        <f t="shared" si="7"/>
        <v>470</v>
      </c>
      <c r="B473" s="17"/>
      <c r="C473" s="17"/>
      <c r="D473" s="17"/>
      <c r="E473" s="51"/>
      <c r="F473" s="50"/>
      <c r="G473" s="23"/>
      <c r="H473" s="24"/>
      <c r="I473" s="23"/>
      <c r="J473" s="19">
        <f>Таблица1[[#This Row],[Блок
 Куб]]*Таблица1[[#This Row],[Цена 
Приход]]</f>
        <v>0</v>
      </c>
      <c r="K473" s="25"/>
      <c r="L473" s="25"/>
      <c r="M473" s="19">
        <f>Таблица1[[#This Row],[Поддон
Шт]]*Таблица1[[#This Row],[Цена
Поддон]]</f>
        <v>0</v>
      </c>
      <c r="N473" s="19">
        <f>Таблица1[[#This Row],[Сумма 
Приход]]+Таблица1[[#This Row],[Сумма Поддон]]</f>
        <v>0</v>
      </c>
      <c r="O473" s="20"/>
      <c r="P473" s="19">
        <f>Таблица1[[#This Row],[Цена
 Продажа]]-Таблица1[[#This Row],[Цена 
Приход]]</f>
        <v>0</v>
      </c>
      <c r="Q473" s="19"/>
      <c r="R473" s="19">
        <f>Таблица1[[#This Row],[Блок
 Куб]]*Таблица1[[#This Row],[Цена
 Продажа]]</f>
        <v>0</v>
      </c>
      <c r="S473" s="20"/>
      <c r="T473" s="19">
        <f>Таблица1[[#This Row],[Сумма 
Продажа]]-Таблица1[[#This Row],[Сумма 
Приход]]</f>
        <v>0</v>
      </c>
      <c r="U473" s="150"/>
    </row>
    <row r="474" spans="1:21" ht="14.25" x14ac:dyDescent="0.2">
      <c r="A474" s="50">
        <f t="shared" si="7"/>
        <v>471</v>
      </c>
      <c r="B474" s="17"/>
      <c r="C474" s="17"/>
      <c r="D474" s="17"/>
      <c r="E474" s="51"/>
      <c r="F474" s="50"/>
      <c r="G474" s="23"/>
      <c r="H474" s="24"/>
      <c r="I474" s="23"/>
      <c r="J474" s="19">
        <f>Таблица1[[#This Row],[Блок
 Куб]]*Таблица1[[#This Row],[Цена 
Приход]]</f>
        <v>0</v>
      </c>
      <c r="K474" s="25"/>
      <c r="L474" s="25"/>
      <c r="M474" s="19">
        <f>Таблица1[[#This Row],[Поддон
Шт]]*Таблица1[[#This Row],[Цена
Поддон]]</f>
        <v>0</v>
      </c>
      <c r="N474" s="19">
        <f>Таблица1[[#This Row],[Сумма 
Приход]]+Таблица1[[#This Row],[Сумма Поддон]]</f>
        <v>0</v>
      </c>
      <c r="O474" s="20"/>
      <c r="P474" s="19">
        <f>Таблица1[[#This Row],[Цена
 Продажа]]-Таблица1[[#This Row],[Цена 
Приход]]</f>
        <v>0</v>
      </c>
      <c r="Q474" s="19"/>
      <c r="R474" s="19">
        <f>Таблица1[[#This Row],[Блок
 Куб]]*Таблица1[[#This Row],[Цена
 Продажа]]</f>
        <v>0</v>
      </c>
      <c r="S474" s="20"/>
      <c r="T474" s="19">
        <f>Таблица1[[#This Row],[Сумма 
Продажа]]-Таблица1[[#This Row],[Сумма 
Приход]]</f>
        <v>0</v>
      </c>
      <c r="U474" s="150"/>
    </row>
    <row r="475" spans="1:21" ht="14.25" x14ac:dyDescent="0.2">
      <c r="A475" s="50">
        <f t="shared" si="7"/>
        <v>472</v>
      </c>
      <c r="B475" s="17"/>
      <c r="C475" s="17"/>
      <c r="D475" s="17"/>
      <c r="E475" s="51"/>
      <c r="F475" s="50"/>
      <c r="G475" s="23"/>
      <c r="H475" s="24"/>
      <c r="I475" s="23"/>
      <c r="J475" s="19">
        <f>Таблица1[[#This Row],[Блок
 Куб]]*Таблица1[[#This Row],[Цена 
Приход]]</f>
        <v>0</v>
      </c>
      <c r="K475" s="25"/>
      <c r="L475" s="25"/>
      <c r="M475" s="19">
        <f>Таблица1[[#This Row],[Поддон
Шт]]*Таблица1[[#This Row],[Цена
Поддон]]</f>
        <v>0</v>
      </c>
      <c r="N475" s="19">
        <f>Таблица1[[#This Row],[Сумма 
Приход]]+Таблица1[[#This Row],[Сумма Поддон]]</f>
        <v>0</v>
      </c>
      <c r="O475" s="20"/>
      <c r="P475" s="19">
        <f>Таблица1[[#This Row],[Цена
 Продажа]]-Таблица1[[#This Row],[Цена 
Приход]]</f>
        <v>0</v>
      </c>
      <c r="Q475" s="19"/>
      <c r="R475" s="19">
        <f>Таблица1[[#This Row],[Блок
 Куб]]*Таблица1[[#This Row],[Цена
 Продажа]]</f>
        <v>0</v>
      </c>
      <c r="S475" s="20"/>
      <c r="T475" s="19">
        <f>Таблица1[[#This Row],[Сумма 
Продажа]]-Таблица1[[#This Row],[Сумма 
Приход]]</f>
        <v>0</v>
      </c>
      <c r="U475" s="150"/>
    </row>
    <row r="476" spans="1:21" ht="14.25" x14ac:dyDescent="0.2">
      <c r="A476" s="50">
        <f t="shared" si="7"/>
        <v>473</v>
      </c>
      <c r="B476" s="17"/>
      <c r="C476" s="17"/>
      <c r="D476" s="17"/>
      <c r="E476" s="51"/>
      <c r="F476" s="50"/>
      <c r="G476" s="23"/>
      <c r="H476" s="24"/>
      <c r="I476" s="23"/>
      <c r="J476" s="19">
        <f>Таблица1[[#This Row],[Блок
 Куб]]*Таблица1[[#This Row],[Цена 
Приход]]</f>
        <v>0</v>
      </c>
      <c r="K476" s="25"/>
      <c r="L476" s="25"/>
      <c r="M476" s="19">
        <f>Таблица1[[#This Row],[Поддон
Шт]]*Таблица1[[#This Row],[Цена
Поддон]]</f>
        <v>0</v>
      </c>
      <c r="N476" s="19">
        <f>Таблица1[[#This Row],[Сумма 
Приход]]+Таблица1[[#This Row],[Сумма Поддон]]</f>
        <v>0</v>
      </c>
      <c r="O476" s="20"/>
      <c r="P476" s="19">
        <f>Таблица1[[#This Row],[Цена
 Продажа]]-Таблица1[[#This Row],[Цена 
Приход]]</f>
        <v>0</v>
      </c>
      <c r="Q476" s="19"/>
      <c r="R476" s="19">
        <f>Таблица1[[#This Row],[Блок
 Куб]]*Таблица1[[#This Row],[Цена
 Продажа]]</f>
        <v>0</v>
      </c>
      <c r="S476" s="20"/>
      <c r="T476" s="19">
        <f>Таблица1[[#This Row],[Сумма 
Продажа]]-Таблица1[[#This Row],[Сумма 
Приход]]</f>
        <v>0</v>
      </c>
      <c r="U476" s="150"/>
    </row>
    <row r="477" spans="1:21" ht="14.25" x14ac:dyDescent="0.2">
      <c r="A477" s="50">
        <f t="shared" si="7"/>
        <v>474</v>
      </c>
      <c r="B477" s="17"/>
      <c r="C477" s="17"/>
      <c r="D477" s="17"/>
      <c r="E477" s="51"/>
      <c r="F477" s="50"/>
      <c r="G477" s="23"/>
      <c r="H477" s="24"/>
      <c r="I477" s="23"/>
      <c r="J477" s="19">
        <f>Таблица1[[#This Row],[Блок
 Куб]]*Таблица1[[#This Row],[Цена 
Приход]]</f>
        <v>0</v>
      </c>
      <c r="K477" s="25"/>
      <c r="L477" s="25"/>
      <c r="M477" s="19">
        <f>Таблица1[[#This Row],[Поддон
Шт]]*Таблица1[[#This Row],[Цена
Поддон]]</f>
        <v>0</v>
      </c>
      <c r="N477" s="19">
        <f>Таблица1[[#This Row],[Сумма 
Приход]]+Таблица1[[#This Row],[Сумма Поддон]]</f>
        <v>0</v>
      </c>
      <c r="O477" s="20"/>
      <c r="P477" s="19">
        <f>Таблица1[[#This Row],[Цена
 Продажа]]-Таблица1[[#This Row],[Цена 
Приход]]</f>
        <v>0</v>
      </c>
      <c r="Q477" s="19"/>
      <c r="R477" s="19">
        <f>Таблица1[[#This Row],[Блок
 Куб]]*Таблица1[[#This Row],[Цена
 Продажа]]</f>
        <v>0</v>
      </c>
      <c r="S477" s="20"/>
      <c r="T477" s="19">
        <f>Таблица1[[#This Row],[Сумма 
Продажа]]-Таблица1[[#This Row],[Сумма 
Приход]]</f>
        <v>0</v>
      </c>
      <c r="U477" s="150"/>
    </row>
    <row r="478" spans="1:21" ht="14.25" x14ac:dyDescent="0.2">
      <c r="A478" s="50">
        <f t="shared" si="7"/>
        <v>475</v>
      </c>
      <c r="B478" s="17"/>
      <c r="C478" s="17"/>
      <c r="D478" s="17"/>
      <c r="E478" s="51"/>
      <c r="F478" s="50"/>
      <c r="G478" s="23"/>
      <c r="H478" s="24"/>
      <c r="I478" s="23"/>
      <c r="J478" s="19">
        <f>Таблица1[[#This Row],[Блок
 Куб]]*Таблица1[[#This Row],[Цена 
Приход]]</f>
        <v>0</v>
      </c>
      <c r="K478" s="25"/>
      <c r="L478" s="25"/>
      <c r="M478" s="19">
        <f>Таблица1[[#This Row],[Поддон
Шт]]*Таблица1[[#This Row],[Цена
Поддон]]</f>
        <v>0</v>
      </c>
      <c r="N478" s="19">
        <f>Таблица1[[#This Row],[Сумма 
Приход]]+Таблица1[[#This Row],[Сумма Поддон]]</f>
        <v>0</v>
      </c>
      <c r="O478" s="20"/>
      <c r="P478" s="19">
        <f>Таблица1[[#This Row],[Цена
 Продажа]]-Таблица1[[#This Row],[Цена 
Приход]]</f>
        <v>0</v>
      </c>
      <c r="Q478" s="19"/>
      <c r="R478" s="19">
        <f>Таблица1[[#This Row],[Блок
 Куб]]*Таблица1[[#This Row],[Цена
 Продажа]]</f>
        <v>0</v>
      </c>
      <c r="S478" s="20"/>
      <c r="T478" s="19">
        <f>Таблица1[[#This Row],[Сумма 
Продажа]]-Таблица1[[#This Row],[Сумма 
Приход]]</f>
        <v>0</v>
      </c>
      <c r="U478" s="150"/>
    </row>
    <row r="479" spans="1:21" ht="14.25" x14ac:dyDescent="0.2">
      <c r="A479" s="50">
        <f t="shared" si="7"/>
        <v>476</v>
      </c>
      <c r="B479" s="17"/>
      <c r="C479" s="17"/>
      <c r="D479" s="17"/>
      <c r="E479" s="51"/>
      <c r="F479" s="50"/>
      <c r="G479" s="23"/>
      <c r="H479" s="24"/>
      <c r="I479" s="23"/>
      <c r="J479" s="19">
        <f>Таблица1[[#This Row],[Блок
 Куб]]*Таблица1[[#This Row],[Цена 
Приход]]</f>
        <v>0</v>
      </c>
      <c r="K479" s="25"/>
      <c r="L479" s="25"/>
      <c r="M479" s="19">
        <f>Таблица1[[#This Row],[Поддон
Шт]]*Таблица1[[#This Row],[Цена
Поддон]]</f>
        <v>0</v>
      </c>
      <c r="N479" s="19">
        <f>Таблица1[[#This Row],[Сумма 
Приход]]+Таблица1[[#This Row],[Сумма Поддон]]</f>
        <v>0</v>
      </c>
      <c r="O479" s="20"/>
      <c r="P479" s="19">
        <f>Таблица1[[#This Row],[Цена
 Продажа]]-Таблица1[[#This Row],[Цена 
Приход]]</f>
        <v>0</v>
      </c>
      <c r="Q479" s="19"/>
      <c r="R479" s="19">
        <f>Таблица1[[#This Row],[Блок
 Куб]]*Таблица1[[#This Row],[Цена
 Продажа]]</f>
        <v>0</v>
      </c>
      <c r="S479" s="20"/>
      <c r="T479" s="19">
        <f>Таблица1[[#This Row],[Сумма 
Продажа]]-Таблица1[[#This Row],[Сумма 
Приход]]</f>
        <v>0</v>
      </c>
      <c r="U479" s="150"/>
    </row>
    <row r="480" spans="1:21" ht="14.25" x14ac:dyDescent="0.2">
      <c r="A480" s="50">
        <f t="shared" si="7"/>
        <v>477</v>
      </c>
      <c r="B480" s="17"/>
      <c r="C480" s="17"/>
      <c r="D480" s="17"/>
      <c r="E480" s="51"/>
      <c r="F480" s="50"/>
      <c r="G480" s="23"/>
      <c r="H480" s="24"/>
      <c r="I480" s="23"/>
      <c r="J480" s="19">
        <f>Таблица1[[#This Row],[Блок
 Куб]]*Таблица1[[#This Row],[Цена 
Приход]]</f>
        <v>0</v>
      </c>
      <c r="K480" s="25"/>
      <c r="L480" s="25"/>
      <c r="M480" s="19">
        <f>Таблица1[[#This Row],[Поддон
Шт]]*Таблица1[[#This Row],[Цена
Поддон]]</f>
        <v>0</v>
      </c>
      <c r="N480" s="19">
        <f>Таблица1[[#This Row],[Сумма 
Приход]]+Таблица1[[#This Row],[Сумма Поддон]]</f>
        <v>0</v>
      </c>
      <c r="O480" s="20"/>
      <c r="P480" s="19">
        <f>Таблица1[[#This Row],[Цена
 Продажа]]-Таблица1[[#This Row],[Цена 
Приход]]</f>
        <v>0</v>
      </c>
      <c r="Q480" s="19"/>
      <c r="R480" s="19">
        <f>Таблица1[[#This Row],[Блок
 Куб]]*Таблица1[[#This Row],[Цена
 Продажа]]</f>
        <v>0</v>
      </c>
      <c r="S480" s="20"/>
      <c r="T480" s="19">
        <f>Таблица1[[#This Row],[Сумма 
Продажа]]-Таблица1[[#This Row],[Сумма 
Приход]]</f>
        <v>0</v>
      </c>
      <c r="U480" s="150"/>
    </row>
    <row r="481" spans="1:21" ht="14.25" x14ac:dyDescent="0.2">
      <c r="A481" s="50">
        <f t="shared" si="7"/>
        <v>478</v>
      </c>
      <c r="B481" s="17"/>
      <c r="C481" s="17"/>
      <c r="D481" s="17"/>
      <c r="E481" s="51"/>
      <c r="F481" s="50"/>
      <c r="G481" s="23"/>
      <c r="H481" s="24"/>
      <c r="I481" s="23"/>
      <c r="J481" s="19">
        <f>Таблица1[[#This Row],[Блок
 Куб]]*Таблица1[[#This Row],[Цена 
Приход]]</f>
        <v>0</v>
      </c>
      <c r="K481" s="25"/>
      <c r="L481" s="25"/>
      <c r="M481" s="19">
        <f>Таблица1[[#This Row],[Поддон
Шт]]*Таблица1[[#This Row],[Цена
Поддон]]</f>
        <v>0</v>
      </c>
      <c r="N481" s="19">
        <f>Таблица1[[#This Row],[Сумма 
Приход]]+Таблица1[[#This Row],[Сумма Поддон]]</f>
        <v>0</v>
      </c>
      <c r="O481" s="20"/>
      <c r="P481" s="19">
        <f>Таблица1[[#This Row],[Цена
 Продажа]]-Таблица1[[#This Row],[Цена 
Приход]]</f>
        <v>0</v>
      </c>
      <c r="Q481" s="19"/>
      <c r="R481" s="19">
        <f>Таблица1[[#This Row],[Блок
 Куб]]*Таблица1[[#This Row],[Цена
 Продажа]]</f>
        <v>0</v>
      </c>
      <c r="S481" s="20"/>
      <c r="T481" s="19">
        <f>Таблица1[[#This Row],[Сумма 
Продажа]]-Таблица1[[#This Row],[Сумма 
Приход]]</f>
        <v>0</v>
      </c>
      <c r="U481" s="150"/>
    </row>
    <row r="482" spans="1:21" ht="14.25" x14ac:dyDescent="0.2">
      <c r="A482" s="50">
        <f t="shared" si="7"/>
        <v>479</v>
      </c>
      <c r="B482" s="17"/>
      <c r="C482" s="17"/>
      <c r="D482" s="17"/>
      <c r="E482" s="51"/>
      <c r="F482" s="50"/>
      <c r="G482" s="23"/>
      <c r="H482" s="24"/>
      <c r="I482" s="23"/>
      <c r="J482" s="19">
        <f>Таблица1[[#This Row],[Блок
 Куб]]*Таблица1[[#This Row],[Цена 
Приход]]</f>
        <v>0</v>
      </c>
      <c r="K482" s="25"/>
      <c r="L482" s="25"/>
      <c r="M482" s="19">
        <f>Таблица1[[#This Row],[Поддон
Шт]]*Таблица1[[#This Row],[Цена
Поддон]]</f>
        <v>0</v>
      </c>
      <c r="N482" s="19">
        <f>Таблица1[[#This Row],[Сумма 
Приход]]+Таблица1[[#This Row],[Сумма Поддон]]</f>
        <v>0</v>
      </c>
      <c r="O482" s="20"/>
      <c r="P482" s="19">
        <f>Таблица1[[#This Row],[Цена
 Продажа]]-Таблица1[[#This Row],[Цена 
Приход]]</f>
        <v>0</v>
      </c>
      <c r="Q482" s="19"/>
      <c r="R482" s="19">
        <f>Таблица1[[#This Row],[Блок
 Куб]]*Таблица1[[#This Row],[Цена
 Продажа]]</f>
        <v>0</v>
      </c>
      <c r="S482" s="20"/>
      <c r="T482" s="19">
        <f>Таблица1[[#This Row],[Сумма 
Продажа]]-Таблица1[[#This Row],[Сумма 
Приход]]</f>
        <v>0</v>
      </c>
      <c r="U482" s="150"/>
    </row>
    <row r="483" spans="1:21" ht="14.25" x14ac:dyDescent="0.2">
      <c r="A483" s="50">
        <f t="shared" si="7"/>
        <v>480</v>
      </c>
      <c r="B483" s="17"/>
      <c r="C483" s="17"/>
      <c r="D483" s="17"/>
      <c r="E483" s="51"/>
      <c r="F483" s="50"/>
      <c r="G483" s="23"/>
      <c r="H483" s="24"/>
      <c r="I483" s="23"/>
      <c r="J483" s="19">
        <f>Таблица1[[#This Row],[Блок
 Куб]]*Таблица1[[#This Row],[Цена 
Приход]]</f>
        <v>0</v>
      </c>
      <c r="K483" s="25"/>
      <c r="L483" s="25"/>
      <c r="M483" s="19">
        <f>Таблица1[[#This Row],[Поддон
Шт]]*Таблица1[[#This Row],[Цена
Поддон]]</f>
        <v>0</v>
      </c>
      <c r="N483" s="19">
        <f>Таблица1[[#This Row],[Сумма 
Приход]]+Таблица1[[#This Row],[Сумма Поддон]]</f>
        <v>0</v>
      </c>
      <c r="O483" s="20"/>
      <c r="P483" s="19">
        <f>Таблица1[[#This Row],[Цена
 Продажа]]-Таблица1[[#This Row],[Цена 
Приход]]</f>
        <v>0</v>
      </c>
      <c r="Q483" s="19"/>
      <c r="R483" s="19">
        <f>Таблица1[[#This Row],[Блок
 Куб]]*Таблица1[[#This Row],[Цена
 Продажа]]</f>
        <v>0</v>
      </c>
      <c r="S483" s="20"/>
      <c r="T483" s="19">
        <f>Таблица1[[#This Row],[Сумма 
Продажа]]-Таблица1[[#This Row],[Сумма 
Приход]]</f>
        <v>0</v>
      </c>
      <c r="U483" s="150"/>
    </row>
    <row r="484" spans="1:21" ht="14.25" x14ac:dyDescent="0.2">
      <c r="A484" s="50">
        <f t="shared" si="7"/>
        <v>481</v>
      </c>
      <c r="B484" s="17"/>
      <c r="C484" s="17"/>
      <c r="D484" s="17"/>
      <c r="E484" s="51"/>
      <c r="F484" s="50"/>
      <c r="G484" s="23"/>
      <c r="H484" s="24"/>
      <c r="I484" s="23"/>
      <c r="J484" s="19">
        <f>Таблица1[[#This Row],[Блок
 Куб]]*Таблица1[[#This Row],[Цена 
Приход]]</f>
        <v>0</v>
      </c>
      <c r="K484" s="25"/>
      <c r="L484" s="25"/>
      <c r="M484" s="19">
        <f>Таблица1[[#This Row],[Поддон
Шт]]*Таблица1[[#This Row],[Цена
Поддон]]</f>
        <v>0</v>
      </c>
      <c r="N484" s="19">
        <f>Таблица1[[#This Row],[Сумма 
Приход]]+Таблица1[[#This Row],[Сумма Поддон]]</f>
        <v>0</v>
      </c>
      <c r="O484" s="20"/>
      <c r="P484" s="19">
        <f>Таблица1[[#This Row],[Цена
 Продажа]]-Таблица1[[#This Row],[Цена 
Приход]]</f>
        <v>0</v>
      </c>
      <c r="Q484" s="19"/>
      <c r="R484" s="19">
        <f>Таблица1[[#This Row],[Блок
 Куб]]*Таблица1[[#This Row],[Цена
 Продажа]]</f>
        <v>0</v>
      </c>
      <c r="S484" s="20"/>
      <c r="T484" s="19">
        <f>Таблица1[[#This Row],[Сумма 
Продажа]]-Таблица1[[#This Row],[Сумма 
Приход]]</f>
        <v>0</v>
      </c>
      <c r="U484" s="150"/>
    </row>
    <row r="485" spans="1:21" ht="14.25" x14ac:dyDescent="0.2">
      <c r="A485" s="50">
        <f t="shared" si="7"/>
        <v>482</v>
      </c>
      <c r="B485" s="17"/>
      <c r="C485" s="17"/>
      <c r="D485" s="17"/>
      <c r="E485" s="51"/>
      <c r="F485" s="50"/>
      <c r="G485" s="23"/>
      <c r="H485" s="24"/>
      <c r="I485" s="23"/>
      <c r="J485" s="19">
        <f>Таблица1[[#This Row],[Блок
 Куб]]*Таблица1[[#This Row],[Цена 
Приход]]</f>
        <v>0</v>
      </c>
      <c r="K485" s="25"/>
      <c r="L485" s="25"/>
      <c r="M485" s="19">
        <f>Таблица1[[#This Row],[Поддон
Шт]]*Таблица1[[#This Row],[Цена
Поддон]]</f>
        <v>0</v>
      </c>
      <c r="N485" s="19">
        <f>Таблица1[[#This Row],[Сумма 
Приход]]+Таблица1[[#This Row],[Сумма Поддон]]</f>
        <v>0</v>
      </c>
      <c r="O485" s="20"/>
      <c r="P485" s="19">
        <f>Таблица1[[#This Row],[Цена
 Продажа]]-Таблица1[[#This Row],[Цена 
Приход]]</f>
        <v>0</v>
      </c>
      <c r="Q485" s="19"/>
      <c r="R485" s="19">
        <f>Таблица1[[#This Row],[Блок
 Куб]]*Таблица1[[#This Row],[Цена
 Продажа]]</f>
        <v>0</v>
      </c>
      <c r="S485" s="20"/>
      <c r="T485" s="19">
        <f>Таблица1[[#This Row],[Сумма 
Продажа]]-Таблица1[[#This Row],[Сумма 
Приход]]</f>
        <v>0</v>
      </c>
      <c r="U485" s="150"/>
    </row>
    <row r="486" spans="1:21" ht="14.25" x14ac:dyDescent="0.2">
      <c r="A486" s="50">
        <f t="shared" si="7"/>
        <v>483</v>
      </c>
      <c r="B486" s="17"/>
      <c r="C486" s="17"/>
      <c r="D486" s="17"/>
      <c r="E486" s="51"/>
      <c r="F486" s="50"/>
      <c r="G486" s="23"/>
      <c r="H486" s="24"/>
      <c r="I486" s="23"/>
      <c r="J486" s="19">
        <f>Таблица1[[#This Row],[Блок
 Куб]]*Таблица1[[#This Row],[Цена 
Приход]]</f>
        <v>0</v>
      </c>
      <c r="K486" s="25"/>
      <c r="L486" s="25"/>
      <c r="M486" s="19">
        <f>Таблица1[[#This Row],[Поддон
Шт]]*Таблица1[[#This Row],[Цена
Поддон]]</f>
        <v>0</v>
      </c>
      <c r="N486" s="19">
        <f>Таблица1[[#This Row],[Сумма 
Приход]]+Таблица1[[#This Row],[Сумма Поддон]]</f>
        <v>0</v>
      </c>
      <c r="O486" s="20"/>
      <c r="P486" s="19">
        <f>Таблица1[[#This Row],[Цена
 Продажа]]-Таблица1[[#This Row],[Цена 
Приход]]</f>
        <v>0</v>
      </c>
      <c r="Q486" s="19"/>
      <c r="R486" s="19">
        <f>Таблица1[[#This Row],[Блок
 Куб]]*Таблица1[[#This Row],[Цена
 Продажа]]</f>
        <v>0</v>
      </c>
      <c r="S486" s="20"/>
      <c r="T486" s="19">
        <f>Таблица1[[#This Row],[Сумма 
Продажа]]-Таблица1[[#This Row],[Сумма 
Приход]]</f>
        <v>0</v>
      </c>
      <c r="U486" s="150"/>
    </row>
    <row r="487" spans="1:21" ht="14.25" x14ac:dyDescent="0.2">
      <c r="A487" s="50">
        <f t="shared" si="7"/>
        <v>484</v>
      </c>
      <c r="B487" s="17"/>
      <c r="C487" s="17"/>
      <c r="D487" s="17"/>
      <c r="E487" s="51"/>
      <c r="F487" s="50"/>
      <c r="G487" s="23"/>
      <c r="H487" s="24"/>
      <c r="I487" s="23"/>
      <c r="J487" s="19">
        <f>Таблица1[[#This Row],[Блок
 Куб]]*Таблица1[[#This Row],[Цена 
Приход]]</f>
        <v>0</v>
      </c>
      <c r="K487" s="25"/>
      <c r="L487" s="25"/>
      <c r="M487" s="19">
        <f>Таблица1[[#This Row],[Поддон
Шт]]*Таблица1[[#This Row],[Цена
Поддон]]</f>
        <v>0</v>
      </c>
      <c r="N487" s="19">
        <f>Таблица1[[#This Row],[Сумма 
Приход]]+Таблица1[[#This Row],[Сумма Поддон]]</f>
        <v>0</v>
      </c>
      <c r="O487" s="20"/>
      <c r="P487" s="19">
        <f>Таблица1[[#This Row],[Цена
 Продажа]]-Таблица1[[#This Row],[Цена 
Приход]]</f>
        <v>0</v>
      </c>
      <c r="Q487" s="19"/>
      <c r="R487" s="19">
        <f>Таблица1[[#This Row],[Блок
 Куб]]*Таблица1[[#This Row],[Цена
 Продажа]]</f>
        <v>0</v>
      </c>
      <c r="S487" s="20"/>
      <c r="T487" s="19">
        <f>Таблица1[[#This Row],[Сумма 
Продажа]]-Таблица1[[#This Row],[Сумма 
Приход]]</f>
        <v>0</v>
      </c>
      <c r="U487" s="150"/>
    </row>
    <row r="488" spans="1:21" ht="14.25" x14ac:dyDescent="0.2">
      <c r="A488" s="50">
        <f t="shared" si="7"/>
        <v>485</v>
      </c>
      <c r="B488" s="17"/>
      <c r="C488" s="17"/>
      <c r="D488" s="17"/>
      <c r="E488" s="51"/>
      <c r="F488" s="50"/>
      <c r="G488" s="23"/>
      <c r="H488" s="24"/>
      <c r="I488" s="23"/>
      <c r="J488" s="19">
        <f>Таблица1[[#This Row],[Блок
 Куб]]*Таблица1[[#This Row],[Цена 
Приход]]</f>
        <v>0</v>
      </c>
      <c r="K488" s="25"/>
      <c r="L488" s="25"/>
      <c r="M488" s="19">
        <f>Таблица1[[#This Row],[Поддон
Шт]]*Таблица1[[#This Row],[Цена
Поддон]]</f>
        <v>0</v>
      </c>
      <c r="N488" s="19">
        <f>Таблица1[[#This Row],[Сумма 
Приход]]+Таблица1[[#This Row],[Сумма Поддон]]</f>
        <v>0</v>
      </c>
      <c r="O488" s="20"/>
      <c r="P488" s="19">
        <f>Таблица1[[#This Row],[Цена
 Продажа]]-Таблица1[[#This Row],[Цена 
Приход]]</f>
        <v>0</v>
      </c>
      <c r="Q488" s="19"/>
      <c r="R488" s="19">
        <f>Таблица1[[#This Row],[Блок
 Куб]]*Таблица1[[#This Row],[Цена
 Продажа]]</f>
        <v>0</v>
      </c>
      <c r="S488" s="20"/>
      <c r="T488" s="19">
        <f>Таблица1[[#This Row],[Сумма 
Продажа]]-Таблица1[[#This Row],[Сумма 
Приход]]</f>
        <v>0</v>
      </c>
      <c r="U488" s="150"/>
    </row>
    <row r="489" spans="1:21" ht="14.25" x14ac:dyDescent="0.2">
      <c r="A489" s="50">
        <f t="shared" si="7"/>
        <v>486</v>
      </c>
      <c r="B489" s="17"/>
      <c r="C489" s="17"/>
      <c r="D489" s="17"/>
      <c r="E489" s="51"/>
      <c r="F489" s="50"/>
      <c r="G489" s="23"/>
      <c r="H489" s="24"/>
      <c r="I489" s="23"/>
      <c r="J489" s="19">
        <f>Таблица1[[#This Row],[Блок
 Куб]]*Таблица1[[#This Row],[Цена 
Приход]]</f>
        <v>0</v>
      </c>
      <c r="K489" s="25"/>
      <c r="L489" s="25"/>
      <c r="M489" s="19">
        <f>Таблица1[[#This Row],[Поддон
Шт]]*Таблица1[[#This Row],[Цена
Поддон]]</f>
        <v>0</v>
      </c>
      <c r="N489" s="19">
        <f>Таблица1[[#This Row],[Сумма 
Приход]]+Таблица1[[#This Row],[Сумма Поддон]]</f>
        <v>0</v>
      </c>
      <c r="O489" s="20"/>
      <c r="P489" s="19">
        <f>Таблица1[[#This Row],[Цена
 Продажа]]-Таблица1[[#This Row],[Цена 
Приход]]</f>
        <v>0</v>
      </c>
      <c r="Q489" s="19"/>
      <c r="R489" s="19">
        <f>Таблица1[[#This Row],[Блок
 Куб]]*Таблица1[[#This Row],[Цена
 Продажа]]</f>
        <v>0</v>
      </c>
      <c r="S489" s="20"/>
      <c r="T489" s="19">
        <f>Таблица1[[#This Row],[Сумма 
Продажа]]-Таблица1[[#This Row],[Сумма 
Приход]]</f>
        <v>0</v>
      </c>
      <c r="U489" s="150"/>
    </row>
    <row r="490" spans="1:21" ht="14.25" x14ac:dyDescent="0.2">
      <c r="A490" s="50">
        <f t="shared" si="7"/>
        <v>487</v>
      </c>
      <c r="B490" s="17"/>
      <c r="C490" s="17"/>
      <c r="D490" s="17"/>
      <c r="E490" s="51"/>
      <c r="F490" s="50"/>
      <c r="G490" s="23"/>
      <c r="H490" s="24"/>
      <c r="I490" s="23"/>
      <c r="J490" s="19">
        <f>Таблица1[[#This Row],[Блок
 Куб]]*Таблица1[[#This Row],[Цена 
Приход]]</f>
        <v>0</v>
      </c>
      <c r="K490" s="25"/>
      <c r="L490" s="25"/>
      <c r="M490" s="19">
        <f>Таблица1[[#This Row],[Поддон
Шт]]*Таблица1[[#This Row],[Цена
Поддон]]</f>
        <v>0</v>
      </c>
      <c r="N490" s="19">
        <f>Таблица1[[#This Row],[Сумма 
Приход]]+Таблица1[[#This Row],[Сумма Поддон]]</f>
        <v>0</v>
      </c>
      <c r="O490" s="20"/>
      <c r="P490" s="19">
        <f>Таблица1[[#This Row],[Цена
 Продажа]]-Таблица1[[#This Row],[Цена 
Приход]]</f>
        <v>0</v>
      </c>
      <c r="Q490" s="19"/>
      <c r="R490" s="19">
        <f>Таблица1[[#This Row],[Блок
 Куб]]*Таблица1[[#This Row],[Цена
 Продажа]]</f>
        <v>0</v>
      </c>
      <c r="S490" s="20"/>
      <c r="T490" s="19">
        <f>Таблица1[[#This Row],[Сумма 
Продажа]]-Таблица1[[#This Row],[Сумма 
Приход]]</f>
        <v>0</v>
      </c>
      <c r="U490" s="150"/>
    </row>
    <row r="491" spans="1:21" ht="14.25" x14ac:dyDescent="0.2">
      <c r="A491" s="50">
        <f t="shared" si="7"/>
        <v>488</v>
      </c>
      <c r="B491" s="17"/>
      <c r="C491" s="17"/>
      <c r="D491" s="17"/>
      <c r="E491" s="51"/>
      <c r="F491" s="50"/>
      <c r="G491" s="23"/>
      <c r="H491" s="24"/>
      <c r="I491" s="23"/>
      <c r="J491" s="19">
        <f>Таблица1[[#This Row],[Блок
 Куб]]*Таблица1[[#This Row],[Цена 
Приход]]</f>
        <v>0</v>
      </c>
      <c r="K491" s="25"/>
      <c r="L491" s="25"/>
      <c r="M491" s="19">
        <f>Таблица1[[#This Row],[Поддон
Шт]]*Таблица1[[#This Row],[Цена
Поддон]]</f>
        <v>0</v>
      </c>
      <c r="N491" s="19">
        <f>Таблица1[[#This Row],[Сумма 
Приход]]+Таблица1[[#This Row],[Сумма Поддон]]</f>
        <v>0</v>
      </c>
      <c r="O491" s="20"/>
      <c r="P491" s="19">
        <f>Таблица1[[#This Row],[Цена
 Продажа]]-Таблица1[[#This Row],[Цена 
Приход]]</f>
        <v>0</v>
      </c>
      <c r="Q491" s="19"/>
      <c r="R491" s="19">
        <f>Таблица1[[#This Row],[Блок
 Куб]]*Таблица1[[#This Row],[Цена
 Продажа]]</f>
        <v>0</v>
      </c>
      <c r="S491" s="20"/>
      <c r="T491" s="19">
        <f>Таблица1[[#This Row],[Сумма 
Продажа]]-Таблица1[[#This Row],[Сумма 
Приход]]</f>
        <v>0</v>
      </c>
      <c r="U491" s="150"/>
    </row>
    <row r="492" spans="1:21" ht="14.25" x14ac:dyDescent="0.2">
      <c r="A492" s="50">
        <f t="shared" si="7"/>
        <v>489</v>
      </c>
      <c r="B492" s="17"/>
      <c r="C492" s="17"/>
      <c r="D492" s="17"/>
      <c r="E492" s="51"/>
      <c r="F492" s="50"/>
      <c r="G492" s="23"/>
      <c r="H492" s="24"/>
      <c r="I492" s="23"/>
      <c r="J492" s="19">
        <f>Таблица1[[#This Row],[Блок
 Куб]]*Таблица1[[#This Row],[Цена 
Приход]]</f>
        <v>0</v>
      </c>
      <c r="K492" s="25"/>
      <c r="L492" s="25"/>
      <c r="M492" s="19">
        <f>Таблица1[[#This Row],[Поддон
Шт]]*Таблица1[[#This Row],[Цена
Поддон]]</f>
        <v>0</v>
      </c>
      <c r="N492" s="19">
        <f>Таблица1[[#This Row],[Сумма 
Приход]]+Таблица1[[#This Row],[Сумма Поддон]]</f>
        <v>0</v>
      </c>
      <c r="O492" s="20"/>
      <c r="P492" s="19">
        <f>Таблица1[[#This Row],[Цена
 Продажа]]-Таблица1[[#This Row],[Цена 
Приход]]</f>
        <v>0</v>
      </c>
      <c r="Q492" s="19"/>
      <c r="R492" s="19">
        <f>Таблица1[[#This Row],[Блок
 Куб]]*Таблица1[[#This Row],[Цена
 Продажа]]</f>
        <v>0</v>
      </c>
      <c r="S492" s="20"/>
      <c r="T492" s="19">
        <f>Таблица1[[#This Row],[Сумма 
Продажа]]-Таблица1[[#This Row],[Сумма 
Приход]]</f>
        <v>0</v>
      </c>
      <c r="U492" s="150"/>
    </row>
    <row r="493" spans="1:21" ht="14.25" x14ac:dyDescent="0.2">
      <c r="A493" s="50">
        <f t="shared" si="7"/>
        <v>490</v>
      </c>
      <c r="B493" s="17"/>
      <c r="C493" s="17"/>
      <c r="D493" s="17"/>
      <c r="E493" s="51"/>
      <c r="F493" s="50"/>
      <c r="G493" s="23"/>
      <c r="H493" s="24"/>
      <c r="I493" s="23"/>
      <c r="J493" s="19">
        <f>Таблица1[[#This Row],[Блок
 Куб]]*Таблица1[[#This Row],[Цена 
Приход]]</f>
        <v>0</v>
      </c>
      <c r="K493" s="25"/>
      <c r="L493" s="25"/>
      <c r="M493" s="19">
        <f>Таблица1[[#This Row],[Поддон
Шт]]*Таблица1[[#This Row],[Цена
Поддон]]</f>
        <v>0</v>
      </c>
      <c r="N493" s="19">
        <f>Таблица1[[#This Row],[Сумма 
Приход]]+Таблица1[[#This Row],[Сумма Поддон]]</f>
        <v>0</v>
      </c>
      <c r="O493" s="20"/>
      <c r="P493" s="19">
        <f>Таблица1[[#This Row],[Цена
 Продажа]]-Таблица1[[#This Row],[Цена 
Приход]]</f>
        <v>0</v>
      </c>
      <c r="Q493" s="19"/>
      <c r="R493" s="19">
        <f>Таблица1[[#This Row],[Блок
 Куб]]*Таблица1[[#This Row],[Цена
 Продажа]]</f>
        <v>0</v>
      </c>
      <c r="S493" s="20"/>
      <c r="T493" s="19">
        <f>Таблица1[[#This Row],[Сумма 
Продажа]]-Таблица1[[#This Row],[Сумма 
Приход]]</f>
        <v>0</v>
      </c>
      <c r="U493" s="150"/>
    </row>
    <row r="494" spans="1:21" ht="14.25" x14ac:dyDescent="0.2">
      <c r="A494" s="50">
        <f t="shared" si="7"/>
        <v>491</v>
      </c>
      <c r="B494" s="17"/>
      <c r="C494" s="17"/>
      <c r="D494" s="17"/>
      <c r="E494" s="51"/>
      <c r="F494" s="50"/>
      <c r="G494" s="23"/>
      <c r="H494" s="24"/>
      <c r="I494" s="23"/>
      <c r="J494" s="19">
        <f>Таблица1[[#This Row],[Блок
 Куб]]*Таблица1[[#This Row],[Цена 
Приход]]</f>
        <v>0</v>
      </c>
      <c r="K494" s="25"/>
      <c r="L494" s="25"/>
      <c r="M494" s="19">
        <f>Таблица1[[#This Row],[Поддон
Шт]]*Таблица1[[#This Row],[Цена
Поддон]]</f>
        <v>0</v>
      </c>
      <c r="N494" s="19">
        <f>Таблица1[[#This Row],[Сумма 
Приход]]+Таблица1[[#This Row],[Сумма Поддон]]</f>
        <v>0</v>
      </c>
      <c r="O494" s="20"/>
      <c r="P494" s="19">
        <f>Таблица1[[#This Row],[Цена
 Продажа]]-Таблица1[[#This Row],[Цена 
Приход]]</f>
        <v>0</v>
      </c>
      <c r="Q494" s="19"/>
      <c r="R494" s="19">
        <f>Таблица1[[#This Row],[Блок
 Куб]]*Таблица1[[#This Row],[Цена
 Продажа]]</f>
        <v>0</v>
      </c>
      <c r="S494" s="20"/>
      <c r="T494" s="19">
        <f>Таблица1[[#This Row],[Сумма 
Продажа]]-Таблица1[[#This Row],[Сумма 
Приход]]</f>
        <v>0</v>
      </c>
      <c r="U494" s="150"/>
    </row>
    <row r="495" spans="1:21" ht="14.25" x14ac:dyDescent="0.2">
      <c r="A495" s="50">
        <f t="shared" si="7"/>
        <v>492</v>
      </c>
      <c r="B495" s="17"/>
      <c r="C495" s="17"/>
      <c r="D495" s="17"/>
      <c r="E495" s="51"/>
      <c r="F495" s="50"/>
      <c r="G495" s="23"/>
      <c r="H495" s="24"/>
      <c r="I495" s="23"/>
      <c r="J495" s="19">
        <f>Таблица1[[#This Row],[Блок
 Куб]]*Таблица1[[#This Row],[Цена 
Приход]]</f>
        <v>0</v>
      </c>
      <c r="K495" s="25"/>
      <c r="L495" s="25"/>
      <c r="M495" s="19">
        <f>Таблица1[[#This Row],[Поддон
Шт]]*Таблица1[[#This Row],[Цена
Поддон]]</f>
        <v>0</v>
      </c>
      <c r="N495" s="19">
        <f>Таблица1[[#This Row],[Сумма 
Приход]]+Таблица1[[#This Row],[Сумма Поддон]]</f>
        <v>0</v>
      </c>
      <c r="O495" s="20"/>
      <c r="P495" s="19">
        <f>Таблица1[[#This Row],[Цена
 Продажа]]-Таблица1[[#This Row],[Цена 
Приход]]</f>
        <v>0</v>
      </c>
      <c r="Q495" s="19"/>
      <c r="R495" s="19">
        <f>Таблица1[[#This Row],[Блок
 Куб]]*Таблица1[[#This Row],[Цена
 Продажа]]</f>
        <v>0</v>
      </c>
      <c r="S495" s="20"/>
      <c r="T495" s="19">
        <f>Таблица1[[#This Row],[Сумма 
Продажа]]-Таблица1[[#This Row],[Сумма 
Приход]]</f>
        <v>0</v>
      </c>
      <c r="U495" s="150"/>
    </row>
    <row r="496" spans="1:21" ht="14.25" x14ac:dyDescent="0.2">
      <c r="A496" s="50">
        <f t="shared" si="7"/>
        <v>493</v>
      </c>
      <c r="B496" s="17"/>
      <c r="C496" s="17"/>
      <c r="D496" s="17"/>
      <c r="E496" s="51"/>
      <c r="F496" s="50"/>
      <c r="G496" s="23"/>
      <c r="H496" s="24"/>
      <c r="I496" s="23"/>
      <c r="J496" s="19">
        <f>Таблица1[[#This Row],[Блок
 Куб]]*Таблица1[[#This Row],[Цена 
Приход]]</f>
        <v>0</v>
      </c>
      <c r="K496" s="25"/>
      <c r="L496" s="25"/>
      <c r="M496" s="19">
        <f>Таблица1[[#This Row],[Поддон
Шт]]*Таблица1[[#This Row],[Цена
Поддон]]</f>
        <v>0</v>
      </c>
      <c r="N496" s="19">
        <f>Таблица1[[#This Row],[Сумма 
Приход]]+Таблица1[[#This Row],[Сумма Поддон]]</f>
        <v>0</v>
      </c>
      <c r="O496" s="20"/>
      <c r="P496" s="19">
        <f>Таблица1[[#This Row],[Цена
 Продажа]]-Таблица1[[#This Row],[Цена 
Приход]]</f>
        <v>0</v>
      </c>
      <c r="Q496" s="19"/>
      <c r="R496" s="19">
        <f>Таблица1[[#This Row],[Блок
 Куб]]*Таблица1[[#This Row],[Цена
 Продажа]]</f>
        <v>0</v>
      </c>
      <c r="S496" s="20"/>
      <c r="T496" s="19">
        <f>Таблица1[[#This Row],[Сумма 
Продажа]]-Таблица1[[#This Row],[Сумма 
Приход]]</f>
        <v>0</v>
      </c>
      <c r="U496" s="150"/>
    </row>
    <row r="497" spans="1:21" ht="14.25" x14ac:dyDescent="0.2">
      <c r="A497" s="50">
        <f t="shared" si="7"/>
        <v>494</v>
      </c>
      <c r="B497" s="17"/>
      <c r="C497" s="17"/>
      <c r="D497" s="17"/>
      <c r="E497" s="51"/>
      <c r="F497" s="50"/>
      <c r="G497" s="23"/>
      <c r="H497" s="24"/>
      <c r="I497" s="23"/>
      <c r="J497" s="19">
        <f>Таблица1[[#This Row],[Блок
 Куб]]*Таблица1[[#This Row],[Цена 
Приход]]</f>
        <v>0</v>
      </c>
      <c r="K497" s="25"/>
      <c r="L497" s="25"/>
      <c r="M497" s="19">
        <f>Таблица1[[#This Row],[Поддон
Шт]]*Таблица1[[#This Row],[Цена
Поддон]]</f>
        <v>0</v>
      </c>
      <c r="N497" s="19">
        <f>Таблица1[[#This Row],[Сумма 
Приход]]+Таблица1[[#This Row],[Сумма Поддон]]</f>
        <v>0</v>
      </c>
      <c r="O497" s="20"/>
      <c r="P497" s="19">
        <f>Таблица1[[#This Row],[Цена
 Продажа]]-Таблица1[[#This Row],[Цена 
Приход]]</f>
        <v>0</v>
      </c>
      <c r="Q497" s="19"/>
      <c r="R497" s="19">
        <f>Таблица1[[#This Row],[Блок
 Куб]]*Таблица1[[#This Row],[Цена
 Продажа]]</f>
        <v>0</v>
      </c>
      <c r="S497" s="20"/>
      <c r="T497" s="19">
        <f>Таблица1[[#This Row],[Сумма 
Продажа]]-Таблица1[[#This Row],[Сумма 
Приход]]</f>
        <v>0</v>
      </c>
      <c r="U497" s="150"/>
    </row>
    <row r="498" spans="1:21" ht="14.25" x14ac:dyDescent="0.2">
      <c r="A498" s="50">
        <f t="shared" si="7"/>
        <v>495</v>
      </c>
      <c r="B498" s="17"/>
      <c r="C498" s="17"/>
      <c r="D498" s="17"/>
      <c r="E498" s="51"/>
      <c r="F498" s="50"/>
      <c r="G498" s="23"/>
      <c r="H498" s="24"/>
      <c r="I498" s="23"/>
      <c r="J498" s="19">
        <f>Таблица1[[#This Row],[Блок
 Куб]]*Таблица1[[#This Row],[Цена 
Приход]]</f>
        <v>0</v>
      </c>
      <c r="K498" s="25"/>
      <c r="L498" s="25"/>
      <c r="M498" s="19">
        <f>Таблица1[[#This Row],[Поддон
Шт]]*Таблица1[[#This Row],[Цена
Поддон]]</f>
        <v>0</v>
      </c>
      <c r="N498" s="19">
        <f>Таблица1[[#This Row],[Сумма 
Приход]]+Таблица1[[#This Row],[Сумма Поддон]]</f>
        <v>0</v>
      </c>
      <c r="O498" s="20"/>
      <c r="P498" s="19">
        <f>Таблица1[[#This Row],[Цена
 Продажа]]-Таблица1[[#This Row],[Цена 
Приход]]</f>
        <v>0</v>
      </c>
      <c r="Q498" s="19"/>
      <c r="R498" s="19">
        <f>Таблица1[[#This Row],[Блок
 Куб]]*Таблица1[[#This Row],[Цена
 Продажа]]</f>
        <v>0</v>
      </c>
      <c r="S498" s="20"/>
      <c r="T498" s="19">
        <f>Таблица1[[#This Row],[Сумма 
Продажа]]-Таблица1[[#This Row],[Сумма 
Приход]]</f>
        <v>0</v>
      </c>
      <c r="U498" s="150"/>
    </row>
    <row r="499" spans="1:21" ht="14.25" x14ac:dyDescent="0.2">
      <c r="A499" s="50">
        <f t="shared" si="7"/>
        <v>496</v>
      </c>
      <c r="B499" s="17"/>
      <c r="C499" s="17"/>
      <c r="D499" s="17"/>
      <c r="E499" s="51"/>
      <c r="F499" s="50"/>
      <c r="G499" s="23"/>
      <c r="H499" s="24"/>
      <c r="I499" s="23"/>
      <c r="J499" s="19">
        <f>Таблица1[[#This Row],[Блок
 Куб]]*Таблица1[[#This Row],[Цена 
Приход]]</f>
        <v>0</v>
      </c>
      <c r="K499" s="25"/>
      <c r="L499" s="25"/>
      <c r="M499" s="19">
        <f>Таблица1[[#This Row],[Поддон
Шт]]*Таблица1[[#This Row],[Цена
Поддон]]</f>
        <v>0</v>
      </c>
      <c r="N499" s="19">
        <f>Таблица1[[#This Row],[Сумма 
Приход]]+Таблица1[[#This Row],[Сумма Поддон]]</f>
        <v>0</v>
      </c>
      <c r="O499" s="20"/>
      <c r="P499" s="19">
        <f>Таблица1[[#This Row],[Цена
 Продажа]]-Таблица1[[#This Row],[Цена 
Приход]]</f>
        <v>0</v>
      </c>
      <c r="Q499" s="19"/>
      <c r="R499" s="19">
        <f>Таблица1[[#This Row],[Блок
 Куб]]*Таблица1[[#This Row],[Цена
 Продажа]]</f>
        <v>0</v>
      </c>
      <c r="S499" s="20"/>
      <c r="T499" s="19">
        <f>Таблица1[[#This Row],[Сумма 
Продажа]]-Таблица1[[#This Row],[Сумма 
Приход]]</f>
        <v>0</v>
      </c>
      <c r="U499" s="150"/>
    </row>
    <row r="500" spans="1:21" ht="14.25" x14ac:dyDescent="0.2">
      <c r="A500" s="50">
        <f t="shared" si="7"/>
        <v>497</v>
      </c>
      <c r="B500" s="17"/>
      <c r="C500" s="17"/>
      <c r="D500" s="17"/>
      <c r="E500" s="51"/>
      <c r="F500" s="50"/>
      <c r="G500" s="23"/>
      <c r="H500" s="24"/>
      <c r="I500" s="23"/>
      <c r="J500" s="19">
        <f>Таблица1[[#This Row],[Блок
 Куб]]*Таблица1[[#This Row],[Цена 
Приход]]</f>
        <v>0</v>
      </c>
      <c r="K500" s="25"/>
      <c r="L500" s="25"/>
      <c r="M500" s="19">
        <f>Таблица1[[#This Row],[Поддон
Шт]]*Таблица1[[#This Row],[Цена
Поддон]]</f>
        <v>0</v>
      </c>
      <c r="N500" s="19">
        <f>Таблица1[[#This Row],[Сумма 
Приход]]+Таблица1[[#This Row],[Сумма Поддон]]</f>
        <v>0</v>
      </c>
      <c r="O500" s="20"/>
      <c r="P500" s="19">
        <f>Таблица1[[#This Row],[Цена
 Продажа]]-Таблица1[[#This Row],[Цена 
Приход]]</f>
        <v>0</v>
      </c>
      <c r="Q500" s="19"/>
      <c r="R500" s="19">
        <f>Таблица1[[#This Row],[Блок
 Куб]]*Таблица1[[#This Row],[Цена
 Продажа]]</f>
        <v>0</v>
      </c>
      <c r="S500" s="20"/>
      <c r="T500" s="19">
        <f>Таблица1[[#This Row],[Сумма 
Продажа]]-Таблица1[[#This Row],[Сумма 
Приход]]</f>
        <v>0</v>
      </c>
      <c r="U500" s="150"/>
    </row>
    <row r="501" spans="1:21" ht="14.25" x14ac:dyDescent="0.2">
      <c r="A501" s="50">
        <f t="shared" si="7"/>
        <v>498</v>
      </c>
      <c r="B501" s="17"/>
      <c r="C501" s="17"/>
      <c r="D501" s="17"/>
      <c r="E501" s="51"/>
      <c r="F501" s="50"/>
      <c r="G501" s="23"/>
      <c r="H501" s="24"/>
      <c r="I501" s="23"/>
      <c r="J501" s="19">
        <f>Таблица1[[#This Row],[Блок
 Куб]]*Таблица1[[#This Row],[Цена 
Приход]]</f>
        <v>0</v>
      </c>
      <c r="K501" s="25"/>
      <c r="L501" s="25"/>
      <c r="M501" s="19">
        <f>Таблица1[[#This Row],[Поддон
Шт]]*Таблица1[[#This Row],[Цена
Поддон]]</f>
        <v>0</v>
      </c>
      <c r="N501" s="19">
        <f>Таблица1[[#This Row],[Сумма 
Приход]]+Таблица1[[#This Row],[Сумма Поддон]]</f>
        <v>0</v>
      </c>
      <c r="O501" s="20"/>
      <c r="P501" s="19">
        <f>Таблица1[[#This Row],[Цена
 Продажа]]-Таблица1[[#This Row],[Цена 
Приход]]</f>
        <v>0</v>
      </c>
      <c r="Q501" s="19"/>
      <c r="R501" s="19">
        <f>Таблица1[[#This Row],[Блок
 Куб]]*Таблица1[[#This Row],[Цена
 Продажа]]</f>
        <v>0</v>
      </c>
      <c r="S501" s="20"/>
      <c r="T501" s="19">
        <f>Таблица1[[#This Row],[Сумма 
Продажа]]-Таблица1[[#This Row],[Сумма 
Приход]]</f>
        <v>0</v>
      </c>
      <c r="U501" s="150"/>
    </row>
    <row r="502" spans="1:21" ht="14.25" x14ac:dyDescent="0.2">
      <c r="A502" s="50">
        <f t="shared" si="7"/>
        <v>499</v>
      </c>
      <c r="B502" s="17"/>
      <c r="C502" s="17"/>
      <c r="D502" s="17"/>
      <c r="E502" s="51"/>
      <c r="F502" s="50"/>
      <c r="G502" s="23"/>
      <c r="H502" s="24"/>
      <c r="I502" s="23"/>
      <c r="J502" s="19">
        <f>Таблица1[[#This Row],[Блок
 Куб]]*Таблица1[[#This Row],[Цена 
Приход]]</f>
        <v>0</v>
      </c>
      <c r="K502" s="25"/>
      <c r="L502" s="25"/>
      <c r="M502" s="19">
        <f>Таблица1[[#This Row],[Поддон
Шт]]*Таблица1[[#This Row],[Цена
Поддон]]</f>
        <v>0</v>
      </c>
      <c r="N502" s="19">
        <f>Таблица1[[#This Row],[Сумма 
Приход]]+Таблица1[[#This Row],[Сумма Поддон]]</f>
        <v>0</v>
      </c>
      <c r="O502" s="20"/>
      <c r="P502" s="19">
        <f>Таблица1[[#This Row],[Цена
 Продажа]]-Таблица1[[#This Row],[Цена 
Приход]]</f>
        <v>0</v>
      </c>
      <c r="Q502" s="19"/>
      <c r="R502" s="19">
        <f>Таблица1[[#This Row],[Блок
 Куб]]*Таблица1[[#This Row],[Цена
 Продажа]]</f>
        <v>0</v>
      </c>
      <c r="S502" s="20"/>
      <c r="T502" s="19">
        <f>Таблица1[[#This Row],[Сумма 
Продажа]]-Таблица1[[#This Row],[Сумма 
Приход]]</f>
        <v>0</v>
      </c>
      <c r="U502" s="150"/>
    </row>
    <row r="503" spans="1:21" ht="14.25" x14ac:dyDescent="0.2">
      <c r="A503" s="50">
        <f t="shared" si="7"/>
        <v>500</v>
      </c>
      <c r="B503" s="17"/>
      <c r="C503" s="17"/>
      <c r="D503" s="17"/>
      <c r="E503" s="51"/>
      <c r="F503" s="50"/>
      <c r="G503" s="23"/>
      <c r="H503" s="24"/>
      <c r="I503" s="23"/>
      <c r="J503" s="19">
        <f>Таблица1[[#This Row],[Блок
 Куб]]*Таблица1[[#This Row],[Цена 
Приход]]</f>
        <v>0</v>
      </c>
      <c r="K503" s="25"/>
      <c r="L503" s="25"/>
      <c r="M503" s="19">
        <f>Таблица1[[#This Row],[Поддон
Шт]]*Таблица1[[#This Row],[Цена
Поддон]]</f>
        <v>0</v>
      </c>
      <c r="N503" s="19">
        <f>Таблица1[[#This Row],[Сумма 
Приход]]+Таблица1[[#This Row],[Сумма Поддон]]</f>
        <v>0</v>
      </c>
      <c r="O503" s="20"/>
      <c r="P503" s="19">
        <f>Таблица1[[#This Row],[Цена
 Продажа]]-Таблица1[[#This Row],[Цена 
Приход]]</f>
        <v>0</v>
      </c>
      <c r="Q503" s="19"/>
      <c r="R503" s="19">
        <f>Таблица1[[#This Row],[Блок
 Куб]]*Таблица1[[#This Row],[Цена
 Продажа]]</f>
        <v>0</v>
      </c>
      <c r="S503" s="20"/>
      <c r="T503" s="19">
        <f>Таблица1[[#This Row],[Сумма 
Продажа]]-Таблица1[[#This Row],[Сумма 
Приход]]</f>
        <v>0</v>
      </c>
      <c r="U503" s="150"/>
    </row>
    <row r="504" spans="1:21" ht="14.25" x14ac:dyDescent="0.2">
      <c r="A504" s="50">
        <f t="shared" si="7"/>
        <v>501</v>
      </c>
      <c r="B504" s="17"/>
      <c r="C504" s="17"/>
      <c r="D504" s="17"/>
      <c r="E504" s="51"/>
      <c r="F504" s="50"/>
      <c r="G504" s="23"/>
      <c r="H504" s="24"/>
      <c r="I504" s="23"/>
      <c r="J504" s="19">
        <f>Таблица1[[#This Row],[Блок
 Куб]]*Таблица1[[#This Row],[Цена 
Приход]]</f>
        <v>0</v>
      </c>
      <c r="K504" s="25"/>
      <c r="L504" s="25"/>
      <c r="M504" s="19">
        <f>Таблица1[[#This Row],[Поддон
Шт]]*Таблица1[[#This Row],[Цена
Поддон]]</f>
        <v>0</v>
      </c>
      <c r="N504" s="19">
        <f>Таблица1[[#This Row],[Сумма 
Приход]]+Таблица1[[#This Row],[Сумма Поддон]]</f>
        <v>0</v>
      </c>
      <c r="O504" s="20"/>
      <c r="P504" s="19">
        <f>Таблица1[[#This Row],[Цена
 Продажа]]-Таблица1[[#This Row],[Цена 
Приход]]</f>
        <v>0</v>
      </c>
      <c r="Q504" s="19"/>
      <c r="R504" s="19">
        <f>Таблица1[[#This Row],[Блок
 Куб]]*Таблица1[[#This Row],[Цена
 Продажа]]</f>
        <v>0</v>
      </c>
      <c r="S504" s="20"/>
      <c r="T504" s="19">
        <f>Таблица1[[#This Row],[Сумма 
Продажа]]-Таблица1[[#This Row],[Сумма 
Приход]]</f>
        <v>0</v>
      </c>
      <c r="U504" s="150"/>
    </row>
    <row r="505" spans="1:21" ht="14.25" x14ac:dyDescent="0.2">
      <c r="A505" s="50">
        <f t="shared" si="7"/>
        <v>502</v>
      </c>
      <c r="B505" s="17"/>
      <c r="C505" s="17"/>
      <c r="D505" s="17"/>
      <c r="E505" s="51"/>
      <c r="F505" s="50"/>
      <c r="G505" s="23"/>
      <c r="H505" s="24"/>
      <c r="I505" s="23"/>
      <c r="J505" s="19">
        <f>Таблица1[[#This Row],[Блок
 Куб]]*Таблица1[[#This Row],[Цена 
Приход]]</f>
        <v>0</v>
      </c>
      <c r="K505" s="25"/>
      <c r="L505" s="25"/>
      <c r="M505" s="19">
        <f>Таблица1[[#This Row],[Поддон
Шт]]*Таблица1[[#This Row],[Цена
Поддон]]</f>
        <v>0</v>
      </c>
      <c r="N505" s="19">
        <f>Таблица1[[#This Row],[Сумма 
Приход]]+Таблица1[[#This Row],[Сумма Поддон]]</f>
        <v>0</v>
      </c>
      <c r="O505" s="20"/>
      <c r="P505" s="19">
        <f>Таблица1[[#This Row],[Цена
 Продажа]]-Таблица1[[#This Row],[Цена 
Приход]]</f>
        <v>0</v>
      </c>
      <c r="Q505" s="19"/>
      <c r="R505" s="19">
        <f>Таблица1[[#This Row],[Блок
 Куб]]*Таблица1[[#This Row],[Цена
 Продажа]]</f>
        <v>0</v>
      </c>
      <c r="S505" s="20"/>
      <c r="T505" s="19">
        <f>Таблица1[[#This Row],[Сумма 
Продажа]]-Таблица1[[#This Row],[Сумма 
Приход]]</f>
        <v>0</v>
      </c>
      <c r="U505" s="150"/>
    </row>
    <row r="506" spans="1:21" ht="14.25" x14ac:dyDescent="0.2">
      <c r="A506" s="50">
        <f t="shared" si="7"/>
        <v>503</v>
      </c>
      <c r="B506" s="17"/>
      <c r="C506" s="17"/>
      <c r="D506" s="17"/>
      <c r="E506" s="51"/>
      <c r="F506" s="50"/>
      <c r="G506" s="23"/>
      <c r="H506" s="24"/>
      <c r="I506" s="23"/>
      <c r="J506" s="19">
        <f>Таблица1[[#This Row],[Блок
 Куб]]*Таблица1[[#This Row],[Цена 
Приход]]</f>
        <v>0</v>
      </c>
      <c r="K506" s="25"/>
      <c r="L506" s="25"/>
      <c r="M506" s="19">
        <f>Таблица1[[#This Row],[Поддон
Шт]]*Таблица1[[#This Row],[Цена
Поддон]]</f>
        <v>0</v>
      </c>
      <c r="N506" s="19">
        <f>Таблица1[[#This Row],[Сумма 
Приход]]+Таблица1[[#This Row],[Сумма Поддон]]</f>
        <v>0</v>
      </c>
      <c r="O506" s="20"/>
      <c r="P506" s="19">
        <f>Таблица1[[#This Row],[Цена
 Продажа]]-Таблица1[[#This Row],[Цена 
Приход]]</f>
        <v>0</v>
      </c>
      <c r="Q506" s="19"/>
      <c r="R506" s="19">
        <f>Таблица1[[#This Row],[Блок
 Куб]]*Таблица1[[#This Row],[Цена
 Продажа]]</f>
        <v>0</v>
      </c>
      <c r="S506" s="20"/>
      <c r="T506" s="19">
        <f>Таблица1[[#This Row],[Сумма 
Продажа]]-Таблица1[[#This Row],[Сумма 
Приход]]</f>
        <v>0</v>
      </c>
      <c r="U506" s="150"/>
    </row>
    <row r="507" spans="1:21" ht="14.25" x14ac:dyDescent="0.2">
      <c r="A507" s="50">
        <f t="shared" si="7"/>
        <v>504</v>
      </c>
      <c r="B507" s="17"/>
      <c r="C507" s="17"/>
      <c r="D507" s="17"/>
      <c r="E507" s="51"/>
      <c r="F507" s="50"/>
      <c r="G507" s="23"/>
      <c r="H507" s="24"/>
      <c r="I507" s="23"/>
      <c r="J507" s="19">
        <f>Таблица1[[#This Row],[Блок
 Куб]]*Таблица1[[#This Row],[Цена 
Приход]]</f>
        <v>0</v>
      </c>
      <c r="K507" s="25"/>
      <c r="L507" s="25"/>
      <c r="M507" s="19">
        <f>Таблица1[[#This Row],[Поддон
Шт]]*Таблица1[[#This Row],[Цена
Поддон]]</f>
        <v>0</v>
      </c>
      <c r="N507" s="19">
        <f>Таблица1[[#This Row],[Сумма 
Приход]]+Таблица1[[#This Row],[Сумма Поддон]]</f>
        <v>0</v>
      </c>
      <c r="O507" s="20"/>
      <c r="P507" s="19">
        <f>Таблица1[[#This Row],[Цена
 Продажа]]-Таблица1[[#This Row],[Цена 
Приход]]</f>
        <v>0</v>
      </c>
      <c r="Q507" s="19"/>
      <c r="R507" s="19">
        <f>Таблица1[[#This Row],[Блок
 Куб]]*Таблица1[[#This Row],[Цена
 Продажа]]</f>
        <v>0</v>
      </c>
      <c r="S507" s="20"/>
      <c r="T507" s="19">
        <f>Таблица1[[#This Row],[Сумма 
Продажа]]-Таблица1[[#This Row],[Сумма 
Приход]]</f>
        <v>0</v>
      </c>
      <c r="U507" s="150"/>
    </row>
    <row r="508" spans="1:21" ht="14.25" x14ac:dyDescent="0.2">
      <c r="A508" s="50">
        <f t="shared" si="7"/>
        <v>505</v>
      </c>
      <c r="B508" s="17"/>
      <c r="C508" s="17"/>
      <c r="D508" s="17"/>
      <c r="E508" s="51"/>
      <c r="F508" s="50"/>
      <c r="G508" s="23"/>
      <c r="H508" s="24"/>
      <c r="I508" s="23"/>
      <c r="J508" s="19">
        <f>Таблица1[[#This Row],[Блок
 Куб]]*Таблица1[[#This Row],[Цена 
Приход]]</f>
        <v>0</v>
      </c>
      <c r="K508" s="25"/>
      <c r="L508" s="25"/>
      <c r="M508" s="19">
        <f>Таблица1[[#This Row],[Поддон
Шт]]*Таблица1[[#This Row],[Цена
Поддон]]</f>
        <v>0</v>
      </c>
      <c r="N508" s="19">
        <f>Таблица1[[#This Row],[Сумма 
Приход]]+Таблица1[[#This Row],[Сумма Поддон]]</f>
        <v>0</v>
      </c>
      <c r="O508" s="20"/>
      <c r="P508" s="19">
        <f>Таблица1[[#This Row],[Цена
 Продажа]]-Таблица1[[#This Row],[Цена 
Приход]]</f>
        <v>0</v>
      </c>
      <c r="Q508" s="19"/>
      <c r="R508" s="19">
        <f>Таблица1[[#This Row],[Блок
 Куб]]*Таблица1[[#This Row],[Цена
 Продажа]]</f>
        <v>0</v>
      </c>
      <c r="S508" s="20"/>
      <c r="T508" s="19">
        <f>Таблица1[[#This Row],[Сумма 
Продажа]]-Таблица1[[#This Row],[Сумма 
Приход]]</f>
        <v>0</v>
      </c>
      <c r="U508" s="150"/>
    </row>
    <row r="509" spans="1:21" ht="14.25" x14ac:dyDescent="0.2">
      <c r="A509" s="50">
        <f t="shared" si="7"/>
        <v>506</v>
      </c>
      <c r="B509" s="17"/>
      <c r="C509" s="17"/>
      <c r="D509" s="17"/>
      <c r="E509" s="51"/>
      <c r="F509" s="50"/>
      <c r="G509" s="23"/>
      <c r="H509" s="24"/>
      <c r="I509" s="23"/>
      <c r="J509" s="19">
        <f>Таблица1[[#This Row],[Блок
 Куб]]*Таблица1[[#This Row],[Цена 
Приход]]</f>
        <v>0</v>
      </c>
      <c r="K509" s="25"/>
      <c r="L509" s="25"/>
      <c r="M509" s="19">
        <f>Таблица1[[#This Row],[Поддон
Шт]]*Таблица1[[#This Row],[Цена
Поддон]]</f>
        <v>0</v>
      </c>
      <c r="N509" s="19">
        <f>Таблица1[[#This Row],[Сумма 
Приход]]+Таблица1[[#This Row],[Сумма Поддон]]</f>
        <v>0</v>
      </c>
      <c r="O509" s="20"/>
      <c r="P509" s="19">
        <f>Таблица1[[#This Row],[Цена
 Продажа]]-Таблица1[[#This Row],[Цена 
Приход]]</f>
        <v>0</v>
      </c>
      <c r="Q509" s="19"/>
      <c r="R509" s="19">
        <f>Таблица1[[#This Row],[Блок
 Куб]]*Таблица1[[#This Row],[Цена
 Продажа]]</f>
        <v>0</v>
      </c>
      <c r="S509" s="20"/>
      <c r="T509" s="19">
        <f>Таблица1[[#This Row],[Сумма 
Продажа]]-Таблица1[[#This Row],[Сумма 
Приход]]</f>
        <v>0</v>
      </c>
      <c r="U509" s="150"/>
    </row>
    <row r="510" spans="1:21" ht="14.25" x14ac:dyDescent="0.2">
      <c r="A510" s="50">
        <f t="shared" si="7"/>
        <v>507</v>
      </c>
      <c r="B510" s="17"/>
      <c r="C510" s="17"/>
      <c r="D510" s="17"/>
      <c r="E510" s="51"/>
      <c r="F510" s="50"/>
      <c r="G510" s="23"/>
      <c r="H510" s="24"/>
      <c r="I510" s="23"/>
      <c r="J510" s="19">
        <f>Таблица1[[#This Row],[Блок
 Куб]]*Таблица1[[#This Row],[Цена 
Приход]]</f>
        <v>0</v>
      </c>
      <c r="K510" s="25"/>
      <c r="L510" s="25"/>
      <c r="M510" s="19">
        <f>Таблица1[[#This Row],[Поддон
Шт]]*Таблица1[[#This Row],[Цена
Поддон]]</f>
        <v>0</v>
      </c>
      <c r="N510" s="19">
        <f>Таблица1[[#This Row],[Сумма 
Приход]]+Таблица1[[#This Row],[Сумма Поддон]]</f>
        <v>0</v>
      </c>
      <c r="O510" s="20"/>
      <c r="P510" s="19">
        <f>Таблица1[[#This Row],[Цена
 Продажа]]-Таблица1[[#This Row],[Цена 
Приход]]</f>
        <v>0</v>
      </c>
      <c r="Q510" s="19"/>
      <c r="R510" s="19">
        <f>Таблица1[[#This Row],[Блок
 Куб]]*Таблица1[[#This Row],[Цена
 Продажа]]</f>
        <v>0</v>
      </c>
      <c r="S510" s="20"/>
      <c r="T510" s="19">
        <f>Таблица1[[#This Row],[Сумма 
Продажа]]-Таблица1[[#This Row],[Сумма 
Приход]]</f>
        <v>0</v>
      </c>
      <c r="U510" s="150"/>
    </row>
    <row r="511" spans="1:21" ht="14.25" x14ac:dyDescent="0.2">
      <c r="A511" s="50">
        <f t="shared" si="7"/>
        <v>508</v>
      </c>
      <c r="B511" s="17"/>
      <c r="C511" s="17"/>
      <c r="D511" s="17"/>
      <c r="E511" s="51"/>
      <c r="F511" s="50"/>
      <c r="G511" s="23"/>
      <c r="H511" s="24"/>
      <c r="I511" s="23"/>
      <c r="J511" s="19">
        <f>Таблица1[[#This Row],[Блок
 Куб]]*Таблица1[[#This Row],[Цена 
Приход]]</f>
        <v>0</v>
      </c>
      <c r="K511" s="25"/>
      <c r="L511" s="25"/>
      <c r="M511" s="19">
        <f>Таблица1[[#This Row],[Поддон
Шт]]*Таблица1[[#This Row],[Цена
Поддон]]</f>
        <v>0</v>
      </c>
      <c r="N511" s="19">
        <f>Таблица1[[#This Row],[Сумма 
Приход]]+Таблица1[[#This Row],[Сумма Поддон]]</f>
        <v>0</v>
      </c>
      <c r="O511" s="20"/>
      <c r="P511" s="19">
        <f>Таблица1[[#This Row],[Цена
 Продажа]]-Таблица1[[#This Row],[Цена 
Приход]]</f>
        <v>0</v>
      </c>
      <c r="Q511" s="19"/>
      <c r="R511" s="19">
        <f>Таблица1[[#This Row],[Блок
 Куб]]*Таблица1[[#This Row],[Цена
 Продажа]]</f>
        <v>0</v>
      </c>
      <c r="S511" s="20"/>
      <c r="T511" s="19">
        <f>Таблица1[[#This Row],[Сумма 
Продажа]]-Таблица1[[#This Row],[Сумма 
Приход]]</f>
        <v>0</v>
      </c>
      <c r="U511" s="150"/>
    </row>
    <row r="512" spans="1:21" ht="14.25" x14ac:dyDescent="0.2">
      <c r="A512" s="50">
        <f t="shared" si="7"/>
        <v>509</v>
      </c>
      <c r="B512" s="17"/>
      <c r="C512" s="17"/>
      <c r="D512" s="17"/>
      <c r="E512" s="51"/>
      <c r="F512" s="50"/>
      <c r="G512" s="23"/>
      <c r="H512" s="24"/>
      <c r="I512" s="23"/>
      <c r="J512" s="19">
        <f>Таблица1[[#This Row],[Блок
 Куб]]*Таблица1[[#This Row],[Цена 
Приход]]</f>
        <v>0</v>
      </c>
      <c r="K512" s="25"/>
      <c r="L512" s="25"/>
      <c r="M512" s="19">
        <f>Таблица1[[#This Row],[Поддон
Шт]]*Таблица1[[#This Row],[Цена
Поддон]]</f>
        <v>0</v>
      </c>
      <c r="N512" s="19">
        <f>Таблица1[[#This Row],[Сумма 
Приход]]+Таблица1[[#This Row],[Сумма Поддон]]</f>
        <v>0</v>
      </c>
      <c r="O512" s="20"/>
      <c r="P512" s="19">
        <f>Таблица1[[#This Row],[Цена
 Продажа]]-Таблица1[[#This Row],[Цена 
Приход]]</f>
        <v>0</v>
      </c>
      <c r="Q512" s="19"/>
      <c r="R512" s="19">
        <f>Таблица1[[#This Row],[Блок
 Куб]]*Таблица1[[#This Row],[Цена
 Продажа]]</f>
        <v>0</v>
      </c>
      <c r="S512" s="20"/>
      <c r="T512" s="19">
        <f>Таблица1[[#This Row],[Сумма 
Продажа]]-Таблица1[[#This Row],[Сумма 
Приход]]</f>
        <v>0</v>
      </c>
      <c r="U512" s="150"/>
    </row>
    <row r="513" spans="1:21" ht="14.25" x14ac:dyDescent="0.2">
      <c r="A513" s="50">
        <f t="shared" si="7"/>
        <v>510</v>
      </c>
      <c r="B513" s="17"/>
      <c r="C513" s="17"/>
      <c r="D513" s="17"/>
      <c r="E513" s="51"/>
      <c r="F513" s="50"/>
      <c r="G513" s="23"/>
      <c r="H513" s="24"/>
      <c r="I513" s="23"/>
      <c r="J513" s="19">
        <f>Таблица1[[#This Row],[Блок
 Куб]]*Таблица1[[#This Row],[Цена 
Приход]]</f>
        <v>0</v>
      </c>
      <c r="K513" s="25"/>
      <c r="L513" s="25"/>
      <c r="M513" s="19">
        <f>Таблица1[[#This Row],[Поддон
Шт]]*Таблица1[[#This Row],[Цена
Поддон]]</f>
        <v>0</v>
      </c>
      <c r="N513" s="19">
        <f>Таблица1[[#This Row],[Сумма 
Приход]]+Таблица1[[#This Row],[Сумма Поддон]]</f>
        <v>0</v>
      </c>
      <c r="O513" s="20"/>
      <c r="P513" s="19">
        <f>Таблица1[[#This Row],[Цена
 Продажа]]-Таблица1[[#This Row],[Цена 
Приход]]</f>
        <v>0</v>
      </c>
      <c r="Q513" s="19"/>
      <c r="R513" s="19">
        <f>Таблица1[[#This Row],[Блок
 Куб]]*Таблица1[[#This Row],[Цена
 Продажа]]</f>
        <v>0</v>
      </c>
      <c r="S513" s="20"/>
      <c r="T513" s="19">
        <f>Таблица1[[#This Row],[Сумма 
Продажа]]-Таблица1[[#This Row],[Сумма 
Приход]]</f>
        <v>0</v>
      </c>
      <c r="U513" s="150"/>
    </row>
    <row r="514" spans="1:21" ht="14.25" x14ac:dyDescent="0.2">
      <c r="A514" s="50">
        <f t="shared" si="7"/>
        <v>511</v>
      </c>
      <c r="B514" s="17"/>
      <c r="C514" s="17"/>
      <c r="D514" s="17"/>
      <c r="E514" s="51"/>
      <c r="F514" s="50"/>
      <c r="G514" s="23"/>
      <c r="H514" s="24"/>
      <c r="I514" s="23"/>
      <c r="J514" s="19">
        <f>Таблица1[[#This Row],[Блок
 Куб]]*Таблица1[[#This Row],[Цена 
Приход]]</f>
        <v>0</v>
      </c>
      <c r="K514" s="25"/>
      <c r="L514" s="25"/>
      <c r="M514" s="19">
        <f>Таблица1[[#This Row],[Поддон
Шт]]*Таблица1[[#This Row],[Цена
Поддон]]</f>
        <v>0</v>
      </c>
      <c r="N514" s="19">
        <f>Таблица1[[#This Row],[Сумма 
Приход]]+Таблица1[[#This Row],[Сумма Поддон]]</f>
        <v>0</v>
      </c>
      <c r="O514" s="20"/>
      <c r="P514" s="19">
        <f>Таблица1[[#This Row],[Цена
 Продажа]]-Таблица1[[#This Row],[Цена 
Приход]]</f>
        <v>0</v>
      </c>
      <c r="Q514" s="19"/>
      <c r="R514" s="19">
        <f>Таблица1[[#This Row],[Блок
 Куб]]*Таблица1[[#This Row],[Цена
 Продажа]]</f>
        <v>0</v>
      </c>
      <c r="S514" s="20"/>
      <c r="T514" s="19">
        <f>Таблица1[[#This Row],[Сумма 
Продажа]]-Таблица1[[#This Row],[Сумма 
Приход]]</f>
        <v>0</v>
      </c>
      <c r="U514" s="150"/>
    </row>
    <row r="515" spans="1:21" ht="14.25" x14ac:dyDescent="0.2">
      <c r="A515" s="50">
        <f t="shared" si="7"/>
        <v>512</v>
      </c>
      <c r="B515" s="17"/>
      <c r="C515" s="17"/>
      <c r="D515" s="17"/>
      <c r="E515" s="51"/>
      <c r="F515" s="50"/>
      <c r="G515" s="23"/>
      <c r="H515" s="24"/>
      <c r="I515" s="23"/>
      <c r="J515" s="19">
        <f>Таблица1[[#This Row],[Блок
 Куб]]*Таблица1[[#This Row],[Цена 
Приход]]</f>
        <v>0</v>
      </c>
      <c r="K515" s="25"/>
      <c r="L515" s="25"/>
      <c r="M515" s="19">
        <f>Таблица1[[#This Row],[Поддон
Шт]]*Таблица1[[#This Row],[Цена
Поддон]]</f>
        <v>0</v>
      </c>
      <c r="N515" s="19">
        <f>Таблица1[[#This Row],[Сумма 
Приход]]+Таблица1[[#This Row],[Сумма Поддон]]</f>
        <v>0</v>
      </c>
      <c r="O515" s="20"/>
      <c r="P515" s="19">
        <f>Таблица1[[#This Row],[Цена
 Продажа]]-Таблица1[[#This Row],[Цена 
Приход]]</f>
        <v>0</v>
      </c>
      <c r="Q515" s="19"/>
      <c r="R515" s="19">
        <f>Таблица1[[#This Row],[Блок
 Куб]]*Таблица1[[#This Row],[Цена
 Продажа]]</f>
        <v>0</v>
      </c>
      <c r="S515" s="20"/>
      <c r="T515" s="19">
        <f>Таблица1[[#This Row],[Сумма 
Продажа]]-Таблица1[[#This Row],[Сумма 
Приход]]</f>
        <v>0</v>
      </c>
      <c r="U515" s="150"/>
    </row>
    <row r="516" spans="1:21" ht="14.25" x14ac:dyDescent="0.2">
      <c r="A516" s="50">
        <f t="shared" si="7"/>
        <v>513</v>
      </c>
      <c r="B516" s="17"/>
      <c r="C516" s="17"/>
      <c r="D516" s="17"/>
      <c r="E516" s="51"/>
      <c r="F516" s="50"/>
      <c r="G516" s="23"/>
      <c r="H516" s="24"/>
      <c r="I516" s="23"/>
      <c r="J516" s="19">
        <f>Таблица1[[#This Row],[Блок
 Куб]]*Таблица1[[#This Row],[Цена 
Приход]]</f>
        <v>0</v>
      </c>
      <c r="K516" s="25"/>
      <c r="L516" s="25"/>
      <c r="M516" s="19">
        <f>Таблица1[[#This Row],[Поддон
Шт]]*Таблица1[[#This Row],[Цена
Поддон]]</f>
        <v>0</v>
      </c>
      <c r="N516" s="19">
        <f>Таблица1[[#This Row],[Сумма 
Приход]]+Таблица1[[#This Row],[Сумма Поддон]]</f>
        <v>0</v>
      </c>
      <c r="O516" s="20"/>
      <c r="P516" s="19">
        <f>Таблица1[[#This Row],[Цена
 Продажа]]-Таблица1[[#This Row],[Цена 
Приход]]</f>
        <v>0</v>
      </c>
      <c r="Q516" s="19"/>
      <c r="R516" s="19">
        <f>Таблица1[[#This Row],[Блок
 Куб]]*Таблица1[[#This Row],[Цена
 Продажа]]</f>
        <v>0</v>
      </c>
      <c r="S516" s="20"/>
      <c r="T516" s="19">
        <f>Таблица1[[#This Row],[Сумма 
Продажа]]-Таблица1[[#This Row],[Сумма 
Приход]]</f>
        <v>0</v>
      </c>
      <c r="U516" s="150"/>
    </row>
    <row r="517" spans="1:21" ht="14.25" x14ac:dyDescent="0.2">
      <c r="A517" s="50">
        <f t="shared" si="7"/>
        <v>514</v>
      </c>
      <c r="B517" s="17"/>
      <c r="C517" s="17"/>
      <c r="D517" s="17"/>
      <c r="E517" s="51"/>
      <c r="F517" s="50"/>
      <c r="G517" s="23"/>
      <c r="H517" s="24"/>
      <c r="I517" s="23"/>
      <c r="J517" s="19">
        <f>Таблица1[[#This Row],[Блок
 Куб]]*Таблица1[[#This Row],[Цена 
Приход]]</f>
        <v>0</v>
      </c>
      <c r="K517" s="25"/>
      <c r="L517" s="25"/>
      <c r="M517" s="19">
        <f>Таблица1[[#This Row],[Поддон
Шт]]*Таблица1[[#This Row],[Цена
Поддон]]</f>
        <v>0</v>
      </c>
      <c r="N517" s="19">
        <f>Таблица1[[#This Row],[Сумма 
Приход]]+Таблица1[[#This Row],[Сумма Поддон]]</f>
        <v>0</v>
      </c>
      <c r="O517" s="20"/>
      <c r="P517" s="19">
        <f>Таблица1[[#This Row],[Цена
 Продажа]]-Таблица1[[#This Row],[Цена 
Приход]]</f>
        <v>0</v>
      </c>
      <c r="Q517" s="19"/>
      <c r="R517" s="19">
        <f>Таблица1[[#This Row],[Блок
 Куб]]*Таблица1[[#This Row],[Цена
 Продажа]]</f>
        <v>0</v>
      </c>
      <c r="S517" s="20"/>
      <c r="T517" s="19">
        <f>Таблица1[[#This Row],[Сумма 
Продажа]]-Таблица1[[#This Row],[Сумма 
Приход]]</f>
        <v>0</v>
      </c>
      <c r="U517" s="150"/>
    </row>
    <row r="518" spans="1:21" ht="14.25" x14ac:dyDescent="0.2">
      <c r="A518" s="50">
        <f t="shared" ref="A518:A581" si="8">A517+1</f>
        <v>515</v>
      </c>
      <c r="B518" s="17"/>
      <c r="C518" s="17"/>
      <c r="D518" s="17"/>
      <c r="E518" s="51"/>
      <c r="F518" s="50"/>
      <c r="G518" s="23"/>
      <c r="H518" s="24"/>
      <c r="I518" s="23"/>
      <c r="J518" s="19">
        <f>Таблица1[[#This Row],[Блок
 Куб]]*Таблица1[[#This Row],[Цена 
Приход]]</f>
        <v>0</v>
      </c>
      <c r="K518" s="25"/>
      <c r="L518" s="25"/>
      <c r="M518" s="19">
        <f>Таблица1[[#This Row],[Поддон
Шт]]*Таблица1[[#This Row],[Цена
Поддон]]</f>
        <v>0</v>
      </c>
      <c r="N518" s="19">
        <f>Таблица1[[#This Row],[Сумма 
Приход]]+Таблица1[[#This Row],[Сумма Поддон]]</f>
        <v>0</v>
      </c>
      <c r="O518" s="20"/>
      <c r="P518" s="19">
        <f>Таблица1[[#This Row],[Цена
 Продажа]]-Таблица1[[#This Row],[Цена 
Приход]]</f>
        <v>0</v>
      </c>
      <c r="Q518" s="19"/>
      <c r="R518" s="19">
        <f>Таблица1[[#This Row],[Блок
 Куб]]*Таблица1[[#This Row],[Цена
 Продажа]]</f>
        <v>0</v>
      </c>
      <c r="S518" s="20"/>
      <c r="T518" s="19">
        <f>Таблица1[[#This Row],[Сумма 
Продажа]]-Таблица1[[#This Row],[Сумма 
Приход]]</f>
        <v>0</v>
      </c>
      <c r="U518" s="150"/>
    </row>
    <row r="519" spans="1:21" ht="14.25" x14ac:dyDescent="0.2">
      <c r="A519" s="50">
        <f t="shared" si="8"/>
        <v>516</v>
      </c>
      <c r="B519" s="17"/>
      <c r="C519" s="17"/>
      <c r="D519" s="17"/>
      <c r="E519" s="51"/>
      <c r="F519" s="50"/>
      <c r="G519" s="23"/>
      <c r="H519" s="24"/>
      <c r="I519" s="23"/>
      <c r="J519" s="19">
        <f>Таблица1[[#This Row],[Блок
 Куб]]*Таблица1[[#This Row],[Цена 
Приход]]</f>
        <v>0</v>
      </c>
      <c r="K519" s="25"/>
      <c r="L519" s="25"/>
      <c r="M519" s="19">
        <f>Таблица1[[#This Row],[Поддон
Шт]]*Таблица1[[#This Row],[Цена
Поддон]]</f>
        <v>0</v>
      </c>
      <c r="N519" s="19">
        <f>Таблица1[[#This Row],[Сумма 
Приход]]+Таблица1[[#This Row],[Сумма Поддон]]</f>
        <v>0</v>
      </c>
      <c r="O519" s="20"/>
      <c r="P519" s="19">
        <f>Таблица1[[#This Row],[Цена
 Продажа]]-Таблица1[[#This Row],[Цена 
Приход]]</f>
        <v>0</v>
      </c>
      <c r="Q519" s="19"/>
      <c r="R519" s="19">
        <f>Таблица1[[#This Row],[Блок
 Куб]]*Таблица1[[#This Row],[Цена
 Продажа]]</f>
        <v>0</v>
      </c>
      <c r="S519" s="20"/>
      <c r="T519" s="19">
        <f>Таблица1[[#This Row],[Сумма 
Продажа]]-Таблица1[[#This Row],[Сумма 
Приход]]</f>
        <v>0</v>
      </c>
      <c r="U519" s="150"/>
    </row>
    <row r="520" spans="1:21" ht="14.25" x14ac:dyDescent="0.2">
      <c r="A520" s="50">
        <f t="shared" si="8"/>
        <v>517</v>
      </c>
      <c r="B520" s="17"/>
      <c r="C520" s="17"/>
      <c r="D520" s="17"/>
      <c r="E520" s="51"/>
      <c r="F520" s="50"/>
      <c r="G520" s="23"/>
      <c r="H520" s="24"/>
      <c r="I520" s="23"/>
      <c r="J520" s="19">
        <f>Таблица1[[#This Row],[Блок
 Куб]]*Таблица1[[#This Row],[Цена 
Приход]]</f>
        <v>0</v>
      </c>
      <c r="K520" s="25"/>
      <c r="L520" s="25"/>
      <c r="M520" s="19">
        <f>Таблица1[[#This Row],[Поддон
Шт]]*Таблица1[[#This Row],[Цена
Поддон]]</f>
        <v>0</v>
      </c>
      <c r="N520" s="19">
        <f>Таблица1[[#This Row],[Сумма 
Приход]]+Таблица1[[#This Row],[Сумма Поддон]]</f>
        <v>0</v>
      </c>
      <c r="O520" s="20"/>
      <c r="P520" s="19">
        <f>Таблица1[[#This Row],[Цена
 Продажа]]-Таблица1[[#This Row],[Цена 
Приход]]</f>
        <v>0</v>
      </c>
      <c r="Q520" s="19"/>
      <c r="R520" s="19">
        <f>Таблица1[[#This Row],[Блок
 Куб]]*Таблица1[[#This Row],[Цена
 Продажа]]</f>
        <v>0</v>
      </c>
      <c r="S520" s="20"/>
      <c r="T520" s="19">
        <f>Таблица1[[#This Row],[Сумма 
Продажа]]-Таблица1[[#This Row],[Сумма 
Приход]]</f>
        <v>0</v>
      </c>
      <c r="U520" s="150"/>
    </row>
    <row r="521" spans="1:21" ht="14.25" x14ac:dyDescent="0.2">
      <c r="A521" s="50">
        <f t="shared" si="8"/>
        <v>518</v>
      </c>
      <c r="B521" s="17"/>
      <c r="C521" s="17"/>
      <c r="D521" s="17"/>
      <c r="E521" s="51"/>
      <c r="F521" s="50"/>
      <c r="G521" s="23"/>
      <c r="H521" s="24"/>
      <c r="I521" s="23"/>
      <c r="J521" s="19">
        <f>Таблица1[[#This Row],[Блок
 Куб]]*Таблица1[[#This Row],[Цена 
Приход]]</f>
        <v>0</v>
      </c>
      <c r="K521" s="25"/>
      <c r="L521" s="25"/>
      <c r="M521" s="19">
        <f>Таблица1[[#This Row],[Поддон
Шт]]*Таблица1[[#This Row],[Цена
Поддон]]</f>
        <v>0</v>
      </c>
      <c r="N521" s="19">
        <f>Таблица1[[#This Row],[Сумма 
Приход]]+Таблица1[[#This Row],[Сумма Поддон]]</f>
        <v>0</v>
      </c>
      <c r="O521" s="20"/>
      <c r="P521" s="19">
        <f>Таблица1[[#This Row],[Цена
 Продажа]]-Таблица1[[#This Row],[Цена 
Приход]]</f>
        <v>0</v>
      </c>
      <c r="Q521" s="19"/>
      <c r="R521" s="19">
        <f>Таблица1[[#This Row],[Блок
 Куб]]*Таблица1[[#This Row],[Цена
 Продажа]]</f>
        <v>0</v>
      </c>
      <c r="S521" s="20"/>
      <c r="T521" s="19">
        <f>Таблица1[[#This Row],[Сумма 
Продажа]]-Таблица1[[#This Row],[Сумма 
Приход]]</f>
        <v>0</v>
      </c>
      <c r="U521" s="150"/>
    </row>
    <row r="522" spans="1:21" ht="14.25" x14ac:dyDescent="0.2">
      <c r="A522" s="50">
        <f t="shared" si="8"/>
        <v>519</v>
      </c>
      <c r="B522" s="17"/>
      <c r="C522" s="17"/>
      <c r="D522" s="17"/>
      <c r="E522" s="51"/>
      <c r="F522" s="50"/>
      <c r="G522" s="23"/>
      <c r="H522" s="24"/>
      <c r="I522" s="23"/>
      <c r="J522" s="19">
        <f>Таблица1[[#This Row],[Блок
 Куб]]*Таблица1[[#This Row],[Цена 
Приход]]</f>
        <v>0</v>
      </c>
      <c r="K522" s="25"/>
      <c r="L522" s="25"/>
      <c r="M522" s="19">
        <f>Таблица1[[#This Row],[Поддон
Шт]]*Таблица1[[#This Row],[Цена
Поддон]]</f>
        <v>0</v>
      </c>
      <c r="N522" s="19">
        <f>Таблица1[[#This Row],[Сумма 
Приход]]+Таблица1[[#This Row],[Сумма Поддон]]</f>
        <v>0</v>
      </c>
      <c r="O522" s="20"/>
      <c r="P522" s="19">
        <f>Таблица1[[#This Row],[Цена
 Продажа]]-Таблица1[[#This Row],[Цена 
Приход]]</f>
        <v>0</v>
      </c>
      <c r="Q522" s="19"/>
      <c r="R522" s="19">
        <f>Таблица1[[#This Row],[Блок
 Куб]]*Таблица1[[#This Row],[Цена
 Продажа]]</f>
        <v>0</v>
      </c>
      <c r="S522" s="20"/>
      <c r="T522" s="19">
        <f>Таблица1[[#This Row],[Сумма 
Продажа]]-Таблица1[[#This Row],[Сумма 
Приход]]</f>
        <v>0</v>
      </c>
      <c r="U522" s="150"/>
    </row>
    <row r="523" spans="1:21" ht="14.25" x14ac:dyDescent="0.2">
      <c r="A523" s="50">
        <f t="shared" si="8"/>
        <v>520</v>
      </c>
      <c r="B523" s="17"/>
      <c r="C523" s="17"/>
      <c r="D523" s="17"/>
      <c r="E523" s="51"/>
      <c r="F523" s="50"/>
      <c r="G523" s="23"/>
      <c r="H523" s="24"/>
      <c r="I523" s="23"/>
      <c r="J523" s="19">
        <f>Таблица1[[#This Row],[Блок
 Куб]]*Таблица1[[#This Row],[Цена 
Приход]]</f>
        <v>0</v>
      </c>
      <c r="K523" s="25"/>
      <c r="L523" s="25"/>
      <c r="M523" s="19">
        <f>Таблица1[[#This Row],[Поддон
Шт]]*Таблица1[[#This Row],[Цена
Поддон]]</f>
        <v>0</v>
      </c>
      <c r="N523" s="19">
        <f>Таблица1[[#This Row],[Сумма 
Приход]]+Таблица1[[#This Row],[Сумма Поддон]]</f>
        <v>0</v>
      </c>
      <c r="O523" s="20"/>
      <c r="P523" s="19">
        <f>Таблица1[[#This Row],[Цена
 Продажа]]-Таблица1[[#This Row],[Цена 
Приход]]</f>
        <v>0</v>
      </c>
      <c r="Q523" s="19"/>
      <c r="R523" s="19">
        <f>Таблица1[[#This Row],[Блок
 Куб]]*Таблица1[[#This Row],[Цена
 Продажа]]</f>
        <v>0</v>
      </c>
      <c r="S523" s="20"/>
      <c r="T523" s="19">
        <f>Таблица1[[#This Row],[Сумма 
Продажа]]-Таблица1[[#This Row],[Сумма 
Приход]]</f>
        <v>0</v>
      </c>
      <c r="U523" s="150"/>
    </row>
    <row r="524" spans="1:21" ht="14.25" x14ac:dyDescent="0.2">
      <c r="A524" s="50">
        <f t="shared" si="8"/>
        <v>521</v>
      </c>
      <c r="B524" s="17"/>
      <c r="C524" s="17"/>
      <c r="D524" s="17"/>
      <c r="E524" s="51"/>
      <c r="F524" s="50"/>
      <c r="G524" s="23"/>
      <c r="H524" s="24"/>
      <c r="I524" s="23"/>
      <c r="J524" s="19">
        <f>Таблица1[[#This Row],[Блок
 Куб]]*Таблица1[[#This Row],[Цена 
Приход]]</f>
        <v>0</v>
      </c>
      <c r="K524" s="25"/>
      <c r="L524" s="25"/>
      <c r="M524" s="19">
        <f>Таблица1[[#This Row],[Поддон
Шт]]*Таблица1[[#This Row],[Цена
Поддон]]</f>
        <v>0</v>
      </c>
      <c r="N524" s="19">
        <f>Таблица1[[#This Row],[Сумма 
Приход]]+Таблица1[[#This Row],[Сумма Поддон]]</f>
        <v>0</v>
      </c>
      <c r="O524" s="20"/>
      <c r="P524" s="19">
        <f>Таблица1[[#This Row],[Цена
 Продажа]]-Таблица1[[#This Row],[Цена 
Приход]]</f>
        <v>0</v>
      </c>
      <c r="Q524" s="19"/>
      <c r="R524" s="19">
        <f>Таблица1[[#This Row],[Блок
 Куб]]*Таблица1[[#This Row],[Цена
 Продажа]]</f>
        <v>0</v>
      </c>
      <c r="S524" s="20"/>
      <c r="T524" s="19">
        <f>Таблица1[[#This Row],[Сумма 
Продажа]]-Таблица1[[#This Row],[Сумма 
Приход]]</f>
        <v>0</v>
      </c>
      <c r="U524" s="150"/>
    </row>
    <row r="525" spans="1:21" ht="14.25" x14ac:dyDescent="0.2">
      <c r="A525" s="50">
        <f t="shared" si="8"/>
        <v>522</v>
      </c>
      <c r="B525" s="17"/>
      <c r="C525" s="17"/>
      <c r="D525" s="17"/>
      <c r="E525" s="51"/>
      <c r="F525" s="50"/>
      <c r="G525" s="23"/>
      <c r="H525" s="24"/>
      <c r="I525" s="23"/>
      <c r="J525" s="19">
        <f>Таблица1[[#This Row],[Блок
 Куб]]*Таблица1[[#This Row],[Цена 
Приход]]</f>
        <v>0</v>
      </c>
      <c r="K525" s="25"/>
      <c r="L525" s="25"/>
      <c r="M525" s="19">
        <f>Таблица1[[#This Row],[Поддон
Шт]]*Таблица1[[#This Row],[Цена
Поддон]]</f>
        <v>0</v>
      </c>
      <c r="N525" s="19">
        <f>Таблица1[[#This Row],[Сумма 
Приход]]+Таблица1[[#This Row],[Сумма Поддон]]</f>
        <v>0</v>
      </c>
      <c r="O525" s="20"/>
      <c r="P525" s="19">
        <f>Таблица1[[#This Row],[Цена
 Продажа]]-Таблица1[[#This Row],[Цена 
Приход]]</f>
        <v>0</v>
      </c>
      <c r="Q525" s="19"/>
      <c r="R525" s="19">
        <f>Таблица1[[#This Row],[Блок
 Куб]]*Таблица1[[#This Row],[Цена
 Продажа]]</f>
        <v>0</v>
      </c>
      <c r="S525" s="20"/>
      <c r="T525" s="19">
        <f>Таблица1[[#This Row],[Сумма 
Продажа]]-Таблица1[[#This Row],[Сумма 
Приход]]</f>
        <v>0</v>
      </c>
      <c r="U525" s="150"/>
    </row>
    <row r="526" spans="1:21" ht="14.25" x14ac:dyDescent="0.2">
      <c r="A526" s="50">
        <f t="shared" si="8"/>
        <v>523</v>
      </c>
      <c r="B526" s="17"/>
      <c r="C526" s="17"/>
      <c r="D526" s="17"/>
      <c r="E526" s="51"/>
      <c r="F526" s="50"/>
      <c r="G526" s="23"/>
      <c r="H526" s="24"/>
      <c r="I526" s="23"/>
      <c r="J526" s="19">
        <f>Таблица1[[#This Row],[Блок
 Куб]]*Таблица1[[#This Row],[Цена 
Приход]]</f>
        <v>0</v>
      </c>
      <c r="K526" s="25"/>
      <c r="L526" s="25"/>
      <c r="M526" s="19">
        <f>Таблица1[[#This Row],[Поддон
Шт]]*Таблица1[[#This Row],[Цена
Поддон]]</f>
        <v>0</v>
      </c>
      <c r="N526" s="19">
        <f>Таблица1[[#This Row],[Сумма 
Приход]]+Таблица1[[#This Row],[Сумма Поддон]]</f>
        <v>0</v>
      </c>
      <c r="O526" s="20"/>
      <c r="P526" s="19">
        <f>Таблица1[[#This Row],[Цена
 Продажа]]-Таблица1[[#This Row],[Цена 
Приход]]</f>
        <v>0</v>
      </c>
      <c r="Q526" s="19"/>
      <c r="R526" s="19">
        <f>Таблица1[[#This Row],[Блок
 Куб]]*Таблица1[[#This Row],[Цена
 Продажа]]</f>
        <v>0</v>
      </c>
      <c r="S526" s="20"/>
      <c r="T526" s="19">
        <f>Таблица1[[#This Row],[Сумма 
Продажа]]-Таблица1[[#This Row],[Сумма 
Приход]]</f>
        <v>0</v>
      </c>
      <c r="U526" s="150"/>
    </row>
    <row r="527" spans="1:21" ht="14.25" x14ac:dyDescent="0.2">
      <c r="A527" s="50">
        <f t="shared" si="8"/>
        <v>524</v>
      </c>
      <c r="B527" s="17"/>
      <c r="C527" s="17"/>
      <c r="D527" s="17"/>
      <c r="E527" s="51"/>
      <c r="F527" s="50"/>
      <c r="G527" s="23"/>
      <c r="H527" s="24"/>
      <c r="I527" s="23"/>
      <c r="J527" s="19">
        <f>Таблица1[[#This Row],[Блок
 Куб]]*Таблица1[[#This Row],[Цена 
Приход]]</f>
        <v>0</v>
      </c>
      <c r="K527" s="25"/>
      <c r="L527" s="25"/>
      <c r="M527" s="19">
        <f>Таблица1[[#This Row],[Поддон
Шт]]*Таблица1[[#This Row],[Цена
Поддон]]</f>
        <v>0</v>
      </c>
      <c r="N527" s="19">
        <f>Таблица1[[#This Row],[Сумма 
Приход]]+Таблица1[[#This Row],[Сумма Поддон]]</f>
        <v>0</v>
      </c>
      <c r="O527" s="20"/>
      <c r="P527" s="19">
        <f>Таблица1[[#This Row],[Цена
 Продажа]]-Таблица1[[#This Row],[Цена 
Приход]]</f>
        <v>0</v>
      </c>
      <c r="Q527" s="19"/>
      <c r="R527" s="19">
        <f>Таблица1[[#This Row],[Блок
 Куб]]*Таблица1[[#This Row],[Цена
 Продажа]]</f>
        <v>0</v>
      </c>
      <c r="S527" s="20"/>
      <c r="T527" s="19">
        <f>Таблица1[[#This Row],[Сумма 
Продажа]]-Таблица1[[#This Row],[Сумма 
Приход]]</f>
        <v>0</v>
      </c>
      <c r="U527" s="150"/>
    </row>
    <row r="528" spans="1:21" ht="14.25" x14ac:dyDescent="0.2">
      <c r="A528" s="50">
        <f t="shared" si="8"/>
        <v>525</v>
      </c>
      <c r="B528" s="17"/>
      <c r="C528" s="17"/>
      <c r="D528" s="17"/>
      <c r="E528" s="51"/>
      <c r="F528" s="50"/>
      <c r="G528" s="23"/>
      <c r="H528" s="24"/>
      <c r="I528" s="23"/>
      <c r="J528" s="19">
        <f>Таблица1[[#This Row],[Блок
 Куб]]*Таблица1[[#This Row],[Цена 
Приход]]</f>
        <v>0</v>
      </c>
      <c r="K528" s="25"/>
      <c r="L528" s="25"/>
      <c r="M528" s="19">
        <f>Таблица1[[#This Row],[Поддон
Шт]]*Таблица1[[#This Row],[Цена
Поддон]]</f>
        <v>0</v>
      </c>
      <c r="N528" s="19">
        <f>Таблица1[[#This Row],[Сумма 
Приход]]+Таблица1[[#This Row],[Сумма Поддон]]</f>
        <v>0</v>
      </c>
      <c r="O528" s="20"/>
      <c r="P528" s="19">
        <f>Таблица1[[#This Row],[Цена
 Продажа]]-Таблица1[[#This Row],[Цена 
Приход]]</f>
        <v>0</v>
      </c>
      <c r="Q528" s="19"/>
      <c r="R528" s="19">
        <f>Таблица1[[#This Row],[Блок
 Куб]]*Таблица1[[#This Row],[Цена
 Продажа]]</f>
        <v>0</v>
      </c>
      <c r="S528" s="20"/>
      <c r="T528" s="19">
        <f>Таблица1[[#This Row],[Сумма 
Продажа]]-Таблица1[[#This Row],[Сумма 
Приход]]</f>
        <v>0</v>
      </c>
      <c r="U528" s="150"/>
    </row>
    <row r="529" spans="1:21" ht="14.25" x14ac:dyDescent="0.2">
      <c r="A529" s="50">
        <f t="shared" si="8"/>
        <v>526</v>
      </c>
      <c r="B529" s="17"/>
      <c r="C529" s="17"/>
      <c r="D529" s="17"/>
      <c r="E529" s="51"/>
      <c r="F529" s="50"/>
      <c r="G529" s="23"/>
      <c r="H529" s="24"/>
      <c r="I529" s="23"/>
      <c r="J529" s="19">
        <f>Таблица1[[#This Row],[Блок
 Куб]]*Таблица1[[#This Row],[Цена 
Приход]]</f>
        <v>0</v>
      </c>
      <c r="K529" s="25"/>
      <c r="L529" s="25"/>
      <c r="M529" s="19">
        <f>Таблица1[[#This Row],[Поддон
Шт]]*Таблица1[[#This Row],[Цена
Поддон]]</f>
        <v>0</v>
      </c>
      <c r="N529" s="19">
        <f>Таблица1[[#This Row],[Сумма 
Приход]]+Таблица1[[#This Row],[Сумма Поддон]]</f>
        <v>0</v>
      </c>
      <c r="O529" s="20"/>
      <c r="P529" s="19">
        <f>Таблица1[[#This Row],[Цена
 Продажа]]-Таблица1[[#This Row],[Цена 
Приход]]</f>
        <v>0</v>
      </c>
      <c r="Q529" s="19"/>
      <c r="R529" s="19">
        <f>Таблица1[[#This Row],[Блок
 Куб]]*Таблица1[[#This Row],[Цена
 Продажа]]</f>
        <v>0</v>
      </c>
      <c r="S529" s="20"/>
      <c r="T529" s="19">
        <f>Таблица1[[#This Row],[Сумма 
Продажа]]-Таблица1[[#This Row],[Сумма 
Приход]]</f>
        <v>0</v>
      </c>
      <c r="U529" s="150"/>
    </row>
    <row r="530" spans="1:21" ht="14.25" x14ac:dyDescent="0.2">
      <c r="A530" s="50">
        <f t="shared" si="8"/>
        <v>527</v>
      </c>
      <c r="B530" s="17"/>
      <c r="C530" s="17"/>
      <c r="D530" s="17"/>
      <c r="E530" s="51"/>
      <c r="F530" s="50"/>
      <c r="G530" s="23"/>
      <c r="H530" s="24"/>
      <c r="I530" s="23"/>
      <c r="J530" s="19">
        <f>Таблица1[[#This Row],[Блок
 Куб]]*Таблица1[[#This Row],[Цена 
Приход]]</f>
        <v>0</v>
      </c>
      <c r="K530" s="25"/>
      <c r="L530" s="25"/>
      <c r="M530" s="19">
        <f>Таблица1[[#This Row],[Поддон
Шт]]*Таблица1[[#This Row],[Цена
Поддон]]</f>
        <v>0</v>
      </c>
      <c r="N530" s="19">
        <f>Таблица1[[#This Row],[Сумма 
Приход]]+Таблица1[[#This Row],[Сумма Поддон]]</f>
        <v>0</v>
      </c>
      <c r="O530" s="20"/>
      <c r="P530" s="19">
        <f>Таблица1[[#This Row],[Цена
 Продажа]]-Таблица1[[#This Row],[Цена 
Приход]]</f>
        <v>0</v>
      </c>
      <c r="Q530" s="19"/>
      <c r="R530" s="19">
        <f>Таблица1[[#This Row],[Блок
 Куб]]*Таблица1[[#This Row],[Цена
 Продажа]]</f>
        <v>0</v>
      </c>
      <c r="S530" s="20"/>
      <c r="T530" s="19">
        <f>Таблица1[[#This Row],[Сумма 
Продажа]]-Таблица1[[#This Row],[Сумма 
Приход]]</f>
        <v>0</v>
      </c>
      <c r="U530" s="150"/>
    </row>
    <row r="531" spans="1:21" ht="14.25" x14ac:dyDescent="0.2">
      <c r="A531" s="50">
        <f t="shared" si="8"/>
        <v>528</v>
      </c>
      <c r="B531" s="17"/>
      <c r="C531" s="17"/>
      <c r="D531" s="17"/>
      <c r="E531" s="51"/>
      <c r="F531" s="50"/>
      <c r="G531" s="23"/>
      <c r="H531" s="24"/>
      <c r="I531" s="23"/>
      <c r="J531" s="19">
        <f>Таблица1[[#This Row],[Блок
 Куб]]*Таблица1[[#This Row],[Цена 
Приход]]</f>
        <v>0</v>
      </c>
      <c r="K531" s="25"/>
      <c r="L531" s="25"/>
      <c r="M531" s="19">
        <f>Таблица1[[#This Row],[Поддон
Шт]]*Таблица1[[#This Row],[Цена
Поддон]]</f>
        <v>0</v>
      </c>
      <c r="N531" s="19">
        <f>Таблица1[[#This Row],[Сумма 
Приход]]+Таблица1[[#This Row],[Сумма Поддон]]</f>
        <v>0</v>
      </c>
      <c r="O531" s="20"/>
      <c r="P531" s="19">
        <f>Таблица1[[#This Row],[Цена
 Продажа]]-Таблица1[[#This Row],[Цена 
Приход]]</f>
        <v>0</v>
      </c>
      <c r="Q531" s="19"/>
      <c r="R531" s="19">
        <f>Таблица1[[#This Row],[Блок
 Куб]]*Таблица1[[#This Row],[Цена
 Продажа]]</f>
        <v>0</v>
      </c>
      <c r="S531" s="20"/>
      <c r="T531" s="19">
        <f>Таблица1[[#This Row],[Сумма 
Продажа]]-Таблица1[[#This Row],[Сумма 
Приход]]</f>
        <v>0</v>
      </c>
      <c r="U531" s="150"/>
    </row>
    <row r="532" spans="1:21" ht="14.25" x14ac:dyDescent="0.2">
      <c r="A532" s="50">
        <f t="shared" si="8"/>
        <v>529</v>
      </c>
      <c r="B532" s="17"/>
      <c r="C532" s="17"/>
      <c r="D532" s="17"/>
      <c r="E532" s="51"/>
      <c r="F532" s="50"/>
      <c r="G532" s="23"/>
      <c r="H532" s="24"/>
      <c r="I532" s="23"/>
      <c r="J532" s="19">
        <f>Таблица1[[#This Row],[Блок
 Куб]]*Таблица1[[#This Row],[Цена 
Приход]]</f>
        <v>0</v>
      </c>
      <c r="K532" s="25"/>
      <c r="L532" s="25"/>
      <c r="M532" s="19">
        <f>Таблица1[[#This Row],[Поддон
Шт]]*Таблица1[[#This Row],[Цена
Поддон]]</f>
        <v>0</v>
      </c>
      <c r="N532" s="19">
        <f>Таблица1[[#This Row],[Сумма 
Приход]]+Таблица1[[#This Row],[Сумма Поддон]]</f>
        <v>0</v>
      </c>
      <c r="O532" s="20"/>
      <c r="P532" s="19">
        <f>Таблица1[[#This Row],[Цена
 Продажа]]-Таблица1[[#This Row],[Цена 
Приход]]</f>
        <v>0</v>
      </c>
      <c r="Q532" s="19"/>
      <c r="R532" s="19">
        <f>Таблица1[[#This Row],[Блок
 Куб]]*Таблица1[[#This Row],[Цена
 Продажа]]</f>
        <v>0</v>
      </c>
      <c r="S532" s="20"/>
      <c r="T532" s="19">
        <f>Таблица1[[#This Row],[Сумма 
Продажа]]-Таблица1[[#This Row],[Сумма 
Приход]]</f>
        <v>0</v>
      </c>
      <c r="U532" s="150"/>
    </row>
    <row r="533" spans="1:21" ht="14.25" x14ac:dyDescent="0.2">
      <c r="A533" s="50">
        <f t="shared" si="8"/>
        <v>530</v>
      </c>
      <c r="B533" s="17"/>
      <c r="C533" s="17"/>
      <c r="D533" s="17"/>
      <c r="E533" s="51"/>
      <c r="F533" s="50"/>
      <c r="G533" s="23"/>
      <c r="H533" s="24"/>
      <c r="I533" s="23"/>
      <c r="J533" s="19">
        <f>Таблица1[[#This Row],[Блок
 Куб]]*Таблица1[[#This Row],[Цена 
Приход]]</f>
        <v>0</v>
      </c>
      <c r="K533" s="25"/>
      <c r="L533" s="25"/>
      <c r="M533" s="19">
        <f>Таблица1[[#This Row],[Поддон
Шт]]*Таблица1[[#This Row],[Цена
Поддон]]</f>
        <v>0</v>
      </c>
      <c r="N533" s="19">
        <f>Таблица1[[#This Row],[Сумма 
Приход]]+Таблица1[[#This Row],[Сумма Поддон]]</f>
        <v>0</v>
      </c>
      <c r="O533" s="20"/>
      <c r="P533" s="19">
        <f>Таблица1[[#This Row],[Цена
 Продажа]]-Таблица1[[#This Row],[Цена 
Приход]]</f>
        <v>0</v>
      </c>
      <c r="Q533" s="19"/>
      <c r="R533" s="19">
        <f>Таблица1[[#This Row],[Блок
 Куб]]*Таблица1[[#This Row],[Цена
 Продажа]]</f>
        <v>0</v>
      </c>
      <c r="S533" s="20"/>
      <c r="T533" s="19">
        <f>Таблица1[[#This Row],[Сумма 
Продажа]]-Таблица1[[#This Row],[Сумма 
Приход]]</f>
        <v>0</v>
      </c>
      <c r="U533" s="150"/>
    </row>
    <row r="534" spans="1:21" ht="14.25" x14ac:dyDescent="0.2">
      <c r="A534" s="50">
        <f t="shared" si="8"/>
        <v>531</v>
      </c>
      <c r="B534" s="17"/>
      <c r="C534" s="17"/>
      <c r="D534" s="17"/>
      <c r="E534" s="51"/>
      <c r="F534" s="50"/>
      <c r="G534" s="23"/>
      <c r="H534" s="24"/>
      <c r="I534" s="23"/>
      <c r="J534" s="19">
        <f>Таблица1[[#This Row],[Блок
 Куб]]*Таблица1[[#This Row],[Цена 
Приход]]</f>
        <v>0</v>
      </c>
      <c r="K534" s="25"/>
      <c r="L534" s="25"/>
      <c r="M534" s="19">
        <f>Таблица1[[#This Row],[Поддон
Шт]]*Таблица1[[#This Row],[Цена
Поддон]]</f>
        <v>0</v>
      </c>
      <c r="N534" s="19">
        <f>Таблица1[[#This Row],[Сумма 
Приход]]+Таблица1[[#This Row],[Сумма Поддон]]</f>
        <v>0</v>
      </c>
      <c r="O534" s="20"/>
      <c r="P534" s="19">
        <f>Таблица1[[#This Row],[Цена
 Продажа]]-Таблица1[[#This Row],[Цена 
Приход]]</f>
        <v>0</v>
      </c>
      <c r="Q534" s="19"/>
      <c r="R534" s="19">
        <f>Таблица1[[#This Row],[Блок
 Куб]]*Таблица1[[#This Row],[Цена
 Продажа]]</f>
        <v>0</v>
      </c>
      <c r="S534" s="20"/>
      <c r="T534" s="19">
        <f>Таблица1[[#This Row],[Сумма 
Продажа]]-Таблица1[[#This Row],[Сумма 
Приход]]</f>
        <v>0</v>
      </c>
      <c r="U534" s="150"/>
    </row>
    <row r="535" spans="1:21" ht="14.25" x14ac:dyDescent="0.2">
      <c r="A535" s="50">
        <f t="shared" si="8"/>
        <v>532</v>
      </c>
      <c r="B535" s="17"/>
      <c r="C535" s="17"/>
      <c r="D535" s="17"/>
      <c r="E535" s="51"/>
      <c r="F535" s="50"/>
      <c r="G535" s="23"/>
      <c r="H535" s="24"/>
      <c r="I535" s="23"/>
      <c r="J535" s="19">
        <f>Таблица1[[#This Row],[Блок
 Куб]]*Таблица1[[#This Row],[Цена 
Приход]]</f>
        <v>0</v>
      </c>
      <c r="K535" s="25"/>
      <c r="L535" s="25"/>
      <c r="M535" s="19">
        <f>Таблица1[[#This Row],[Поддон
Шт]]*Таблица1[[#This Row],[Цена
Поддон]]</f>
        <v>0</v>
      </c>
      <c r="N535" s="19">
        <f>Таблица1[[#This Row],[Сумма 
Приход]]+Таблица1[[#This Row],[Сумма Поддон]]</f>
        <v>0</v>
      </c>
      <c r="O535" s="20"/>
      <c r="P535" s="19">
        <f>Таблица1[[#This Row],[Цена
 Продажа]]-Таблица1[[#This Row],[Цена 
Приход]]</f>
        <v>0</v>
      </c>
      <c r="Q535" s="19"/>
      <c r="R535" s="19">
        <f>Таблица1[[#This Row],[Блок
 Куб]]*Таблица1[[#This Row],[Цена
 Продажа]]</f>
        <v>0</v>
      </c>
      <c r="S535" s="20"/>
      <c r="T535" s="19">
        <f>Таблица1[[#This Row],[Сумма 
Продажа]]-Таблица1[[#This Row],[Сумма 
Приход]]</f>
        <v>0</v>
      </c>
      <c r="U535" s="150"/>
    </row>
    <row r="536" spans="1:21" ht="14.25" x14ac:dyDescent="0.2">
      <c r="A536" s="50">
        <f t="shared" si="8"/>
        <v>533</v>
      </c>
      <c r="B536" s="17"/>
      <c r="C536" s="17"/>
      <c r="D536" s="17"/>
      <c r="E536" s="51"/>
      <c r="F536" s="50"/>
      <c r="G536" s="23"/>
      <c r="H536" s="24"/>
      <c r="I536" s="23"/>
      <c r="J536" s="19">
        <f>Таблица1[[#This Row],[Блок
 Куб]]*Таблица1[[#This Row],[Цена 
Приход]]</f>
        <v>0</v>
      </c>
      <c r="K536" s="25"/>
      <c r="L536" s="25"/>
      <c r="M536" s="19">
        <f>Таблица1[[#This Row],[Поддон
Шт]]*Таблица1[[#This Row],[Цена
Поддон]]</f>
        <v>0</v>
      </c>
      <c r="N536" s="19">
        <f>Таблица1[[#This Row],[Сумма 
Приход]]+Таблица1[[#This Row],[Сумма Поддон]]</f>
        <v>0</v>
      </c>
      <c r="O536" s="20"/>
      <c r="P536" s="19">
        <f>Таблица1[[#This Row],[Цена
 Продажа]]-Таблица1[[#This Row],[Цена 
Приход]]</f>
        <v>0</v>
      </c>
      <c r="Q536" s="19"/>
      <c r="R536" s="19">
        <f>Таблица1[[#This Row],[Блок
 Куб]]*Таблица1[[#This Row],[Цена
 Продажа]]</f>
        <v>0</v>
      </c>
      <c r="S536" s="20"/>
      <c r="T536" s="19">
        <f>Таблица1[[#This Row],[Сумма 
Продажа]]-Таблица1[[#This Row],[Сумма 
Приход]]</f>
        <v>0</v>
      </c>
      <c r="U536" s="150"/>
    </row>
    <row r="537" spans="1:21" ht="14.25" x14ac:dyDescent="0.2">
      <c r="A537" s="50">
        <f t="shared" si="8"/>
        <v>534</v>
      </c>
      <c r="B537" s="17"/>
      <c r="C537" s="17"/>
      <c r="D537" s="17"/>
      <c r="E537" s="51"/>
      <c r="F537" s="50"/>
      <c r="G537" s="23"/>
      <c r="H537" s="24"/>
      <c r="I537" s="23"/>
      <c r="J537" s="19">
        <f>Таблица1[[#This Row],[Блок
 Куб]]*Таблица1[[#This Row],[Цена 
Приход]]</f>
        <v>0</v>
      </c>
      <c r="K537" s="25"/>
      <c r="L537" s="25"/>
      <c r="M537" s="19">
        <f>Таблица1[[#This Row],[Поддон
Шт]]*Таблица1[[#This Row],[Цена
Поддон]]</f>
        <v>0</v>
      </c>
      <c r="N537" s="19">
        <f>Таблица1[[#This Row],[Сумма 
Приход]]+Таблица1[[#This Row],[Сумма Поддон]]</f>
        <v>0</v>
      </c>
      <c r="O537" s="20"/>
      <c r="P537" s="19">
        <f>Таблица1[[#This Row],[Цена
 Продажа]]-Таблица1[[#This Row],[Цена 
Приход]]</f>
        <v>0</v>
      </c>
      <c r="Q537" s="19"/>
      <c r="R537" s="19">
        <f>Таблица1[[#This Row],[Блок
 Куб]]*Таблица1[[#This Row],[Цена
 Продажа]]</f>
        <v>0</v>
      </c>
      <c r="S537" s="20"/>
      <c r="T537" s="19">
        <f>Таблица1[[#This Row],[Сумма 
Продажа]]-Таблица1[[#This Row],[Сумма 
Приход]]</f>
        <v>0</v>
      </c>
      <c r="U537" s="150"/>
    </row>
    <row r="538" spans="1:21" ht="14.25" x14ac:dyDescent="0.2">
      <c r="A538" s="50">
        <f t="shared" si="8"/>
        <v>535</v>
      </c>
      <c r="B538" s="17"/>
      <c r="C538" s="17"/>
      <c r="D538" s="17"/>
      <c r="E538" s="51"/>
      <c r="F538" s="50"/>
      <c r="G538" s="23"/>
      <c r="H538" s="24"/>
      <c r="I538" s="23"/>
      <c r="J538" s="19">
        <f>Таблица1[[#This Row],[Блок
 Куб]]*Таблица1[[#This Row],[Цена 
Приход]]</f>
        <v>0</v>
      </c>
      <c r="K538" s="25"/>
      <c r="L538" s="25"/>
      <c r="M538" s="19">
        <f>Таблица1[[#This Row],[Поддон
Шт]]*Таблица1[[#This Row],[Цена
Поддон]]</f>
        <v>0</v>
      </c>
      <c r="N538" s="19">
        <f>Таблица1[[#This Row],[Сумма 
Приход]]+Таблица1[[#This Row],[Сумма Поддон]]</f>
        <v>0</v>
      </c>
      <c r="O538" s="20"/>
      <c r="P538" s="19">
        <f>Таблица1[[#This Row],[Цена
 Продажа]]-Таблица1[[#This Row],[Цена 
Приход]]</f>
        <v>0</v>
      </c>
      <c r="Q538" s="19"/>
      <c r="R538" s="19">
        <f>Таблица1[[#This Row],[Блок
 Куб]]*Таблица1[[#This Row],[Цена
 Продажа]]</f>
        <v>0</v>
      </c>
      <c r="S538" s="20"/>
      <c r="T538" s="19">
        <f>Таблица1[[#This Row],[Сумма 
Продажа]]-Таблица1[[#This Row],[Сумма 
Приход]]</f>
        <v>0</v>
      </c>
      <c r="U538" s="150"/>
    </row>
    <row r="539" spans="1:21" ht="14.25" x14ac:dyDescent="0.2">
      <c r="A539" s="50">
        <f t="shared" si="8"/>
        <v>536</v>
      </c>
      <c r="B539" s="17"/>
      <c r="C539" s="17"/>
      <c r="D539" s="17"/>
      <c r="E539" s="51"/>
      <c r="F539" s="50"/>
      <c r="G539" s="23"/>
      <c r="H539" s="24"/>
      <c r="I539" s="23"/>
      <c r="J539" s="19">
        <f>Таблица1[[#This Row],[Блок
 Куб]]*Таблица1[[#This Row],[Цена 
Приход]]</f>
        <v>0</v>
      </c>
      <c r="K539" s="25"/>
      <c r="L539" s="25"/>
      <c r="M539" s="19">
        <f>Таблица1[[#This Row],[Поддон
Шт]]*Таблица1[[#This Row],[Цена
Поддон]]</f>
        <v>0</v>
      </c>
      <c r="N539" s="19">
        <f>Таблица1[[#This Row],[Сумма 
Приход]]+Таблица1[[#This Row],[Сумма Поддон]]</f>
        <v>0</v>
      </c>
      <c r="O539" s="20"/>
      <c r="P539" s="19">
        <f>Таблица1[[#This Row],[Цена
 Продажа]]-Таблица1[[#This Row],[Цена 
Приход]]</f>
        <v>0</v>
      </c>
      <c r="Q539" s="19"/>
      <c r="R539" s="19">
        <f>Таблица1[[#This Row],[Блок
 Куб]]*Таблица1[[#This Row],[Цена
 Продажа]]</f>
        <v>0</v>
      </c>
      <c r="S539" s="20"/>
      <c r="T539" s="19">
        <f>Таблица1[[#This Row],[Сумма 
Продажа]]-Таблица1[[#This Row],[Сумма 
Приход]]</f>
        <v>0</v>
      </c>
      <c r="U539" s="150"/>
    </row>
    <row r="540" spans="1:21" ht="14.25" x14ac:dyDescent="0.2">
      <c r="A540" s="50">
        <f t="shared" si="8"/>
        <v>537</v>
      </c>
      <c r="B540" s="17"/>
      <c r="C540" s="17"/>
      <c r="D540" s="17"/>
      <c r="E540" s="51"/>
      <c r="F540" s="50"/>
      <c r="G540" s="23"/>
      <c r="H540" s="24"/>
      <c r="I540" s="23"/>
      <c r="J540" s="19">
        <f>Таблица1[[#This Row],[Блок
 Куб]]*Таблица1[[#This Row],[Цена 
Приход]]</f>
        <v>0</v>
      </c>
      <c r="K540" s="25"/>
      <c r="L540" s="25"/>
      <c r="M540" s="19">
        <f>Таблица1[[#This Row],[Поддон
Шт]]*Таблица1[[#This Row],[Цена
Поддон]]</f>
        <v>0</v>
      </c>
      <c r="N540" s="19">
        <f>Таблица1[[#This Row],[Сумма 
Приход]]+Таблица1[[#This Row],[Сумма Поддон]]</f>
        <v>0</v>
      </c>
      <c r="O540" s="20"/>
      <c r="P540" s="19">
        <f>Таблица1[[#This Row],[Цена
 Продажа]]-Таблица1[[#This Row],[Цена 
Приход]]</f>
        <v>0</v>
      </c>
      <c r="Q540" s="19"/>
      <c r="R540" s="19">
        <f>Таблица1[[#This Row],[Блок
 Куб]]*Таблица1[[#This Row],[Цена
 Продажа]]</f>
        <v>0</v>
      </c>
      <c r="S540" s="20"/>
      <c r="T540" s="19">
        <f>Таблица1[[#This Row],[Сумма 
Продажа]]-Таблица1[[#This Row],[Сумма 
Приход]]</f>
        <v>0</v>
      </c>
      <c r="U540" s="150"/>
    </row>
    <row r="541" spans="1:21" ht="14.25" x14ac:dyDescent="0.2">
      <c r="A541" s="50">
        <f t="shared" si="8"/>
        <v>538</v>
      </c>
      <c r="B541" s="17"/>
      <c r="C541" s="17"/>
      <c r="D541" s="17"/>
      <c r="E541" s="51"/>
      <c r="F541" s="50"/>
      <c r="G541" s="23"/>
      <c r="H541" s="24"/>
      <c r="I541" s="23"/>
      <c r="J541" s="19">
        <f>Таблица1[[#This Row],[Блок
 Куб]]*Таблица1[[#This Row],[Цена 
Приход]]</f>
        <v>0</v>
      </c>
      <c r="K541" s="25"/>
      <c r="L541" s="25"/>
      <c r="M541" s="19">
        <f>Таблица1[[#This Row],[Поддон
Шт]]*Таблица1[[#This Row],[Цена
Поддон]]</f>
        <v>0</v>
      </c>
      <c r="N541" s="19">
        <f>Таблица1[[#This Row],[Сумма 
Приход]]+Таблица1[[#This Row],[Сумма Поддон]]</f>
        <v>0</v>
      </c>
      <c r="O541" s="20"/>
      <c r="P541" s="19">
        <f>Таблица1[[#This Row],[Цена
 Продажа]]-Таблица1[[#This Row],[Цена 
Приход]]</f>
        <v>0</v>
      </c>
      <c r="Q541" s="19"/>
      <c r="R541" s="19">
        <f>Таблица1[[#This Row],[Блок
 Куб]]*Таблица1[[#This Row],[Цена
 Продажа]]</f>
        <v>0</v>
      </c>
      <c r="S541" s="20"/>
      <c r="T541" s="19">
        <f>Таблица1[[#This Row],[Сумма 
Продажа]]-Таблица1[[#This Row],[Сумма 
Приход]]</f>
        <v>0</v>
      </c>
      <c r="U541" s="150"/>
    </row>
    <row r="542" spans="1:21" ht="14.25" x14ac:dyDescent="0.2">
      <c r="A542" s="50">
        <f t="shared" si="8"/>
        <v>539</v>
      </c>
      <c r="B542" s="17"/>
      <c r="C542" s="17"/>
      <c r="D542" s="17"/>
      <c r="E542" s="51"/>
      <c r="F542" s="50"/>
      <c r="G542" s="23"/>
      <c r="H542" s="24"/>
      <c r="I542" s="23"/>
      <c r="J542" s="19">
        <f>Таблица1[[#This Row],[Блок
 Куб]]*Таблица1[[#This Row],[Цена 
Приход]]</f>
        <v>0</v>
      </c>
      <c r="K542" s="25"/>
      <c r="L542" s="25"/>
      <c r="M542" s="19">
        <f>Таблица1[[#This Row],[Поддон
Шт]]*Таблица1[[#This Row],[Цена
Поддон]]</f>
        <v>0</v>
      </c>
      <c r="N542" s="19">
        <f>Таблица1[[#This Row],[Сумма 
Приход]]+Таблица1[[#This Row],[Сумма Поддон]]</f>
        <v>0</v>
      </c>
      <c r="O542" s="20"/>
      <c r="P542" s="19">
        <f>Таблица1[[#This Row],[Цена
 Продажа]]-Таблица1[[#This Row],[Цена 
Приход]]</f>
        <v>0</v>
      </c>
      <c r="Q542" s="19"/>
      <c r="R542" s="19">
        <f>Таблица1[[#This Row],[Блок
 Куб]]*Таблица1[[#This Row],[Цена
 Продажа]]</f>
        <v>0</v>
      </c>
      <c r="S542" s="20"/>
      <c r="T542" s="19">
        <f>Таблица1[[#This Row],[Сумма 
Продажа]]-Таблица1[[#This Row],[Сумма 
Приход]]</f>
        <v>0</v>
      </c>
      <c r="U542" s="150"/>
    </row>
    <row r="543" spans="1:21" ht="14.25" x14ac:dyDescent="0.2">
      <c r="A543" s="50">
        <f t="shared" si="8"/>
        <v>540</v>
      </c>
      <c r="B543" s="17"/>
      <c r="C543" s="17"/>
      <c r="D543" s="17"/>
      <c r="E543" s="51"/>
      <c r="F543" s="50"/>
      <c r="G543" s="23"/>
      <c r="H543" s="24"/>
      <c r="I543" s="23"/>
      <c r="J543" s="19">
        <f>Таблица1[[#This Row],[Блок
 Куб]]*Таблица1[[#This Row],[Цена 
Приход]]</f>
        <v>0</v>
      </c>
      <c r="K543" s="25"/>
      <c r="L543" s="25"/>
      <c r="M543" s="19">
        <f>Таблица1[[#This Row],[Поддон
Шт]]*Таблица1[[#This Row],[Цена
Поддон]]</f>
        <v>0</v>
      </c>
      <c r="N543" s="19">
        <f>Таблица1[[#This Row],[Сумма 
Приход]]+Таблица1[[#This Row],[Сумма Поддон]]</f>
        <v>0</v>
      </c>
      <c r="O543" s="20"/>
      <c r="P543" s="19">
        <f>Таблица1[[#This Row],[Цена
 Продажа]]-Таблица1[[#This Row],[Цена 
Приход]]</f>
        <v>0</v>
      </c>
      <c r="Q543" s="19"/>
      <c r="R543" s="19">
        <f>Таблица1[[#This Row],[Блок
 Куб]]*Таблица1[[#This Row],[Цена
 Продажа]]</f>
        <v>0</v>
      </c>
      <c r="S543" s="20"/>
      <c r="T543" s="19">
        <f>Таблица1[[#This Row],[Сумма 
Продажа]]-Таблица1[[#This Row],[Сумма 
Приход]]</f>
        <v>0</v>
      </c>
      <c r="U543" s="150"/>
    </row>
    <row r="544" spans="1:21" ht="14.25" x14ac:dyDescent="0.2">
      <c r="A544" s="50">
        <f t="shared" si="8"/>
        <v>541</v>
      </c>
      <c r="B544" s="17"/>
      <c r="C544" s="17"/>
      <c r="D544" s="17"/>
      <c r="E544" s="51"/>
      <c r="F544" s="50"/>
      <c r="G544" s="23"/>
      <c r="H544" s="24"/>
      <c r="I544" s="23"/>
      <c r="J544" s="19">
        <f>Таблица1[[#This Row],[Блок
 Куб]]*Таблица1[[#This Row],[Цена 
Приход]]</f>
        <v>0</v>
      </c>
      <c r="K544" s="25"/>
      <c r="L544" s="25"/>
      <c r="M544" s="19">
        <f>Таблица1[[#This Row],[Поддон
Шт]]*Таблица1[[#This Row],[Цена
Поддон]]</f>
        <v>0</v>
      </c>
      <c r="N544" s="19">
        <f>Таблица1[[#This Row],[Сумма 
Приход]]+Таблица1[[#This Row],[Сумма Поддон]]</f>
        <v>0</v>
      </c>
      <c r="O544" s="20"/>
      <c r="P544" s="19">
        <f>Таблица1[[#This Row],[Цена
 Продажа]]-Таблица1[[#This Row],[Цена 
Приход]]</f>
        <v>0</v>
      </c>
      <c r="Q544" s="19"/>
      <c r="R544" s="19">
        <f>Таблица1[[#This Row],[Блок
 Куб]]*Таблица1[[#This Row],[Цена
 Продажа]]</f>
        <v>0</v>
      </c>
      <c r="S544" s="20"/>
      <c r="T544" s="19">
        <f>Таблица1[[#This Row],[Сумма 
Продажа]]-Таблица1[[#This Row],[Сумма 
Приход]]</f>
        <v>0</v>
      </c>
      <c r="U544" s="150"/>
    </row>
    <row r="545" spans="1:21" ht="14.25" x14ac:dyDescent="0.2">
      <c r="A545" s="50">
        <f t="shared" si="8"/>
        <v>542</v>
      </c>
      <c r="B545" s="17"/>
      <c r="C545" s="17"/>
      <c r="D545" s="17"/>
      <c r="E545" s="51"/>
      <c r="F545" s="50"/>
      <c r="G545" s="23"/>
      <c r="H545" s="24"/>
      <c r="I545" s="23"/>
      <c r="J545" s="19">
        <f>Таблица1[[#This Row],[Блок
 Куб]]*Таблица1[[#This Row],[Цена 
Приход]]</f>
        <v>0</v>
      </c>
      <c r="K545" s="25"/>
      <c r="L545" s="25"/>
      <c r="M545" s="19">
        <f>Таблица1[[#This Row],[Поддон
Шт]]*Таблица1[[#This Row],[Цена
Поддон]]</f>
        <v>0</v>
      </c>
      <c r="N545" s="19">
        <f>Таблица1[[#This Row],[Сумма 
Приход]]+Таблица1[[#This Row],[Сумма Поддон]]</f>
        <v>0</v>
      </c>
      <c r="O545" s="20"/>
      <c r="P545" s="19">
        <f>Таблица1[[#This Row],[Цена
 Продажа]]-Таблица1[[#This Row],[Цена 
Приход]]</f>
        <v>0</v>
      </c>
      <c r="Q545" s="19"/>
      <c r="R545" s="19">
        <f>Таблица1[[#This Row],[Блок
 Куб]]*Таблица1[[#This Row],[Цена
 Продажа]]</f>
        <v>0</v>
      </c>
      <c r="S545" s="20"/>
      <c r="T545" s="19">
        <f>Таблица1[[#This Row],[Сумма 
Продажа]]-Таблица1[[#This Row],[Сумма 
Приход]]</f>
        <v>0</v>
      </c>
      <c r="U545" s="150"/>
    </row>
    <row r="546" spans="1:21" ht="14.25" x14ac:dyDescent="0.2">
      <c r="A546" s="50">
        <f t="shared" si="8"/>
        <v>543</v>
      </c>
      <c r="B546" s="17"/>
      <c r="C546" s="17"/>
      <c r="D546" s="17"/>
      <c r="E546" s="51"/>
      <c r="F546" s="50"/>
      <c r="G546" s="23"/>
      <c r="H546" s="24"/>
      <c r="I546" s="23"/>
      <c r="J546" s="19">
        <f>Таблица1[[#This Row],[Блок
 Куб]]*Таблица1[[#This Row],[Цена 
Приход]]</f>
        <v>0</v>
      </c>
      <c r="K546" s="25"/>
      <c r="L546" s="25"/>
      <c r="M546" s="19">
        <f>Таблица1[[#This Row],[Поддон
Шт]]*Таблица1[[#This Row],[Цена
Поддон]]</f>
        <v>0</v>
      </c>
      <c r="N546" s="19">
        <f>Таблица1[[#This Row],[Сумма 
Приход]]+Таблица1[[#This Row],[Сумма Поддон]]</f>
        <v>0</v>
      </c>
      <c r="O546" s="20"/>
      <c r="P546" s="19">
        <f>Таблица1[[#This Row],[Цена
 Продажа]]-Таблица1[[#This Row],[Цена 
Приход]]</f>
        <v>0</v>
      </c>
      <c r="Q546" s="19"/>
      <c r="R546" s="19">
        <f>Таблица1[[#This Row],[Блок
 Куб]]*Таблица1[[#This Row],[Цена
 Продажа]]</f>
        <v>0</v>
      </c>
      <c r="S546" s="20"/>
      <c r="T546" s="19">
        <f>Таблица1[[#This Row],[Сумма 
Продажа]]-Таблица1[[#This Row],[Сумма 
Приход]]</f>
        <v>0</v>
      </c>
      <c r="U546" s="150"/>
    </row>
    <row r="547" spans="1:21" ht="14.25" x14ac:dyDescent="0.2">
      <c r="A547" s="50">
        <f t="shared" si="8"/>
        <v>544</v>
      </c>
      <c r="B547" s="17"/>
      <c r="C547" s="17"/>
      <c r="D547" s="17"/>
      <c r="E547" s="51"/>
      <c r="F547" s="50"/>
      <c r="G547" s="23"/>
      <c r="H547" s="24"/>
      <c r="I547" s="23"/>
      <c r="J547" s="19">
        <f>Таблица1[[#This Row],[Блок
 Куб]]*Таблица1[[#This Row],[Цена 
Приход]]</f>
        <v>0</v>
      </c>
      <c r="K547" s="25"/>
      <c r="L547" s="25"/>
      <c r="M547" s="19">
        <f>Таблица1[[#This Row],[Поддон
Шт]]*Таблица1[[#This Row],[Цена
Поддон]]</f>
        <v>0</v>
      </c>
      <c r="N547" s="19">
        <f>Таблица1[[#This Row],[Сумма 
Приход]]+Таблица1[[#This Row],[Сумма Поддон]]</f>
        <v>0</v>
      </c>
      <c r="O547" s="20"/>
      <c r="P547" s="19">
        <f>Таблица1[[#This Row],[Цена
 Продажа]]-Таблица1[[#This Row],[Цена 
Приход]]</f>
        <v>0</v>
      </c>
      <c r="Q547" s="19"/>
      <c r="R547" s="19">
        <f>Таблица1[[#This Row],[Блок
 Куб]]*Таблица1[[#This Row],[Цена
 Продажа]]</f>
        <v>0</v>
      </c>
      <c r="S547" s="20"/>
      <c r="T547" s="19">
        <f>Таблица1[[#This Row],[Сумма 
Продажа]]-Таблица1[[#This Row],[Сумма 
Приход]]</f>
        <v>0</v>
      </c>
      <c r="U547" s="150"/>
    </row>
    <row r="548" spans="1:21" ht="14.25" x14ac:dyDescent="0.2">
      <c r="A548" s="50">
        <f t="shared" si="8"/>
        <v>545</v>
      </c>
      <c r="B548" s="17"/>
      <c r="C548" s="17"/>
      <c r="D548" s="17"/>
      <c r="E548" s="51"/>
      <c r="F548" s="50"/>
      <c r="G548" s="23"/>
      <c r="H548" s="24"/>
      <c r="I548" s="23"/>
      <c r="J548" s="19">
        <f>Таблица1[[#This Row],[Блок
 Куб]]*Таблица1[[#This Row],[Цена 
Приход]]</f>
        <v>0</v>
      </c>
      <c r="K548" s="25"/>
      <c r="L548" s="25"/>
      <c r="M548" s="19">
        <f>Таблица1[[#This Row],[Поддон
Шт]]*Таблица1[[#This Row],[Цена
Поддон]]</f>
        <v>0</v>
      </c>
      <c r="N548" s="19">
        <f>Таблица1[[#This Row],[Сумма 
Приход]]+Таблица1[[#This Row],[Сумма Поддон]]</f>
        <v>0</v>
      </c>
      <c r="O548" s="20"/>
      <c r="P548" s="19">
        <f>Таблица1[[#This Row],[Цена
 Продажа]]-Таблица1[[#This Row],[Цена 
Приход]]</f>
        <v>0</v>
      </c>
      <c r="Q548" s="19"/>
      <c r="R548" s="19">
        <f>Таблица1[[#This Row],[Блок
 Куб]]*Таблица1[[#This Row],[Цена
 Продажа]]</f>
        <v>0</v>
      </c>
      <c r="S548" s="20"/>
      <c r="T548" s="19">
        <f>Таблица1[[#This Row],[Сумма 
Продажа]]-Таблица1[[#This Row],[Сумма 
Приход]]</f>
        <v>0</v>
      </c>
      <c r="U548" s="150"/>
    </row>
    <row r="549" spans="1:21" ht="14.25" x14ac:dyDescent="0.2">
      <c r="A549" s="50">
        <f t="shared" si="8"/>
        <v>546</v>
      </c>
      <c r="B549" s="17"/>
      <c r="C549" s="17"/>
      <c r="D549" s="17"/>
      <c r="E549" s="51"/>
      <c r="F549" s="50"/>
      <c r="G549" s="23"/>
      <c r="H549" s="24"/>
      <c r="I549" s="23"/>
      <c r="J549" s="19">
        <f>Таблица1[[#This Row],[Блок
 Куб]]*Таблица1[[#This Row],[Цена 
Приход]]</f>
        <v>0</v>
      </c>
      <c r="K549" s="25"/>
      <c r="L549" s="25"/>
      <c r="M549" s="19">
        <f>Таблица1[[#This Row],[Поддон
Шт]]*Таблица1[[#This Row],[Цена
Поддон]]</f>
        <v>0</v>
      </c>
      <c r="N549" s="19">
        <f>Таблица1[[#This Row],[Сумма 
Приход]]+Таблица1[[#This Row],[Сумма Поддон]]</f>
        <v>0</v>
      </c>
      <c r="O549" s="20"/>
      <c r="P549" s="19">
        <f>Таблица1[[#This Row],[Цена
 Продажа]]-Таблица1[[#This Row],[Цена 
Приход]]</f>
        <v>0</v>
      </c>
      <c r="Q549" s="19"/>
      <c r="R549" s="19">
        <f>Таблица1[[#This Row],[Блок
 Куб]]*Таблица1[[#This Row],[Цена
 Продажа]]</f>
        <v>0</v>
      </c>
      <c r="S549" s="20"/>
      <c r="T549" s="19">
        <f>Таблица1[[#This Row],[Сумма 
Продажа]]-Таблица1[[#This Row],[Сумма 
Приход]]</f>
        <v>0</v>
      </c>
      <c r="U549" s="150"/>
    </row>
    <row r="550" spans="1:21" ht="14.25" x14ac:dyDescent="0.2">
      <c r="A550" s="50">
        <f t="shared" si="8"/>
        <v>547</v>
      </c>
      <c r="B550" s="17"/>
      <c r="C550" s="17"/>
      <c r="D550" s="17"/>
      <c r="E550" s="51"/>
      <c r="F550" s="50"/>
      <c r="G550" s="23"/>
      <c r="H550" s="24"/>
      <c r="I550" s="23"/>
      <c r="J550" s="19">
        <f>Таблица1[[#This Row],[Блок
 Куб]]*Таблица1[[#This Row],[Цена 
Приход]]</f>
        <v>0</v>
      </c>
      <c r="K550" s="25"/>
      <c r="L550" s="25"/>
      <c r="M550" s="19">
        <f>Таблица1[[#This Row],[Поддон
Шт]]*Таблица1[[#This Row],[Цена
Поддон]]</f>
        <v>0</v>
      </c>
      <c r="N550" s="19">
        <f>Таблица1[[#This Row],[Сумма 
Приход]]+Таблица1[[#This Row],[Сумма Поддон]]</f>
        <v>0</v>
      </c>
      <c r="O550" s="20"/>
      <c r="P550" s="19">
        <f>Таблица1[[#This Row],[Цена
 Продажа]]-Таблица1[[#This Row],[Цена 
Приход]]</f>
        <v>0</v>
      </c>
      <c r="Q550" s="19"/>
      <c r="R550" s="19">
        <f>Таблица1[[#This Row],[Блок
 Куб]]*Таблица1[[#This Row],[Цена
 Продажа]]</f>
        <v>0</v>
      </c>
      <c r="S550" s="20"/>
      <c r="T550" s="19">
        <f>Таблица1[[#This Row],[Сумма 
Продажа]]-Таблица1[[#This Row],[Сумма 
Приход]]</f>
        <v>0</v>
      </c>
      <c r="U550" s="150"/>
    </row>
    <row r="551" spans="1:21" ht="14.25" x14ac:dyDescent="0.2">
      <c r="A551" s="50">
        <f t="shared" si="8"/>
        <v>548</v>
      </c>
      <c r="B551" s="17"/>
      <c r="C551" s="17"/>
      <c r="D551" s="17"/>
      <c r="E551" s="51"/>
      <c r="F551" s="50"/>
      <c r="G551" s="23"/>
      <c r="H551" s="24"/>
      <c r="I551" s="23"/>
      <c r="J551" s="19">
        <f>Таблица1[[#This Row],[Блок
 Куб]]*Таблица1[[#This Row],[Цена 
Приход]]</f>
        <v>0</v>
      </c>
      <c r="K551" s="25"/>
      <c r="L551" s="25"/>
      <c r="M551" s="19">
        <f>Таблица1[[#This Row],[Поддон
Шт]]*Таблица1[[#This Row],[Цена
Поддон]]</f>
        <v>0</v>
      </c>
      <c r="N551" s="19">
        <f>Таблица1[[#This Row],[Сумма 
Приход]]+Таблица1[[#This Row],[Сумма Поддон]]</f>
        <v>0</v>
      </c>
      <c r="O551" s="20"/>
      <c r="P551" s="19">
        <f>Таблица1[[#This Row],[Цена
 Продажа]]-Таблица1[[#This Row],[Цена 
Приход]]</f>
        <v>0</v>
      </c>
      <c r="Q551" s="19"/>
      <c r="R551" s="19">
        <f>Таблица1[[#This Row],[Блок
 Куб]]*Таблица1[[#This Row],[Цена
 Продажа]]</f>
        <v>0</v>
      </c>
      <c r="S551" s="20"/>
      <c r="T551" s="19">
        <f>Таблица1[[#This Row],[Сумма 
Продажа]]-Таблица1[[#This Row],[Сумма 
Приход]]</f>
        <v>0</v>
      </c>
      <c r="U551" s="150"/>
    </row>
    <row r="552" spans="1:21" ht="14.25" x14ac:dyDescent="0.2">
      <c r="A552" s="50">
        <f t="shared" si="8"/>
        <v>549</v>
      </c>
      <c r="B552" s="17"/>
      <c r="C552" s="17"/>
      <c r="D552" s="17"/>
      <c r="E552" s="51"/>
      <c r="F552" s="50"/>
      <c r="G552" s="23"/>
      <c r="H552" s="24"/>
      <c r="I552" s="23"/>
      <c r="J552" s="19">
        <f>Таблица1[[#This Row],[Блок
 Куб]]*Таблица1[[#This Row],[Цена 
Приход]]</f>
        <v>0</v>
      </c>
      <c r="K552" s="25"/>
      <c r="L552" s="25"/>
      <c r="M552" s="19">
        <f>Таблица1[[#This Row],[Поддон
Шт]]*Таблица1[[#This Row],[Цена
Поддон]]</f>
        <v>0</v>
      </c>
      <c r="N552" s="19">
        <f>Таблица1[[#This Row],[Сумма 
Приход]]+Таблица1[[#This Row],[Сумма Поддон]]</f>
        <v>0</v>
      </c>
      <c r="O552" s="20"/>
      <c r="P552" s="19">
        <f>Таблица1[[#This Row],[Цена
 Продажа]]-Таблица1[[#This Row],[Цена 
Приход]]</f>
        <v>0</v>
      </c>
      <c r="Q552" s="19"/>
      <c r="R552" s="19">
        <f>Таблица1[[#This Row],[Блок
 Куб]]*Таблица1[[#This Row],[Цена
 Продажа]]</f>
        <v>0</v>
      </c>
      <c r="S552" s="20"/>
      <c r="T552" s="19">
        <f>Таблица1[[#This Row],[Сумма 
Продажа]]-Таблица1[[#This Row],[Сумма 
Приход]]</f>
        <v>0</v>
      </c>
      <c r="U552" s="150"/>
    </row>
    <row r="553" spans="1:21" ht="14.25" x14ac:dyDescent="0.2">
      <c r="A553" s="50">
        <f t="shared" si="8"/>
        <v>550</v>
      </c>
      <c r="B553" s="17"/>
      <c r="C553" s="17"/>
      <c r="D553" s="17"/>
      <c r="E553" s="51"/>
      <c r="F553" s="50"/>
      <c r="G553" s="23"/>
      <c r="H553" s="24"/>
      <c r="I553" s="23"/>
      <c r="J553" s="19">
        <f>Таблица1[[#This Row],[Блок
 Куб]]*Таблица1[[#This Row],[Цена 
Приход]]</f>
        <v>0</v>
      </c>
      <c r="K553" s="25"/>
      <c r="L553" s="25"/>
      <c r="M553" s="19">
        <f>Таблица1[[#This Row],[Поддон
Шт]]*Таблица1[[#This Row],[Цена
Поддон]]</f>
        <v>0</v>
      </c>
      <c r="N553" s="19">
        <f>Таблица1[[#This Row],[Сумма 
Приход]]+Таблица1[[#This Row],[Сумма Поддон]]</f>
        <v>0</v>
      </c>
      <c r="O553" s="20"/>
      <c r="P553" s="19">
        <f>Таблица1[[#This Row],[Цена
 Продажа]]-Таблица1[[#This Row],[Цена 
Приход]]</f>
        <v>0</v>
      </c>
      <c r="Q553" s="19"/>
      <c r="R553" s="19">
        <f>Таблица1[[#This Row],[Блок
 Куб]]*Таблица1[[#This Row],[Цена
 Продажа]]</f>
        <v>0</v>
      </c>
      <c r="S553" s="20"/>
      <c r="T553" s="19">
        <f>Таблица1[[#This Row],[Сумма 
Продажа]]-Таблица1[[#This Row],[Сумма 
Приход]]</f>
        <v>0</v>
      </c>
      <c r="U553" s="150"/>
    </row>
    <row r="554" spans="1:21" ht="14.25" x14ac:dyDescent="0.2">
      <c r="A554" s="50">
        <f t="shared" si="8"/>
        <v>551</v>
      </c>
      <c r="B554" s="17"/>
      <c r="C554" s="17"/>
      <c r="D554" s="17"/>
      <c r="E554" s="51"/>
      <c r="F554" s="50"/>
      <c r="G554" s="23"/>
      <c r="H554" s="24"/>
      <c r="I554" s="23"/>
      <c r="J554" s="19">
        <f>Таблица1[[#This Row],[Блок
 Куб]]*Таблица1[[#This Row],[Цена 
Приход]]</f>
        <v>0</v>
      </c>
      <c r="K554" s="25"/>
      <c r="L554" s="25"/>
      <c r="M554" s="19">
        <f>Таблица1[[#This Row],[Поддон
Шт]]*Таблица1[[#This Row],[Цена
Поддон]]</f>
        <v>0</v>
      </c>
      <c r="N554" s="19">
        <f>Таблица1[[#This Row],[Сумма 
Приход]]+Таблица1[[#This Row],[Сумма Поддон]]</f>
        <v>0</v>
      </c>
      <c r="O554" s="20"/>
      <c r="P554" s="19">
        <f>Таблица1[[#This Row],[Цена
 Продажа]]-Таблица1[[#This Row],[Цена 
Приход]]</f>
        <v>0</v>
      </c>
      <c r="Q554" s="19"/>
      <c r="R554" s="19">
        <f>Таблица1[[#This Row],[Блок
 Куб]]*Таблица1[[#This Row],[Цена
 Продажа]]</f>
        <v>0</v>
      </c>
      <c r="S554" s="20"/>
      <c r="T554" s="19">
        <f>Таблица1[[#This Row],[Сумма 
Продажа]]-Таблица1[[#This Row],[Сумма 
Приход]]</f>
        <v>0</v>
      </c>
      <c r="U554" s="150"/>
    </row>
    <row r="555" spans="1:21" ht="14.25" x14ac:dyDescent="0.2">
      <c r="A555" s="50">
        <f t="shared" si="8"/>
        <v>552</v>
      </c>
      <c r="B555" s="17"/>
      <c r="C555" s="17"/>
      <c r="D555" s="17"/>
      <c r="E555" s="51"/>
      <c r="F555" s="50"/>
      <c r="G555" s="23"/>
      <c r="H555" s="24"/>
      <c r="I555" s="23"/>
      <c r="J555" s="19">
        <f>Таблица1[[#This Row],[Блок
 Куб]]*Таблица1[[#This Row],[Цена 
Приход]]</f>
        <v>0</v>
      </c>
      <c r="K555" s="25"/>
      <c r="L555" s="25"/>
      <c r="M555" s="19">
        <f>Таблица1[[#This Row],[Поддон
Шт]]*Таблица1[[#This Row],[Цена
Поддон]]</f>
        <v>0</v>
      </c>
      <c r="N555" s="19">
        <f>Таблица1[[#This Row],[Сумма 
Приход]]+Таблица1[[#This Row],[Сумма Поддон]]</f>
        <v>0</v>
      </c>
      <c r="O555" s="20"/>
      <c r="P555" s="19">
        <f>Таблица1[[#This Row],[Цена
 Продажа]]-Таблица1[[#This Row],[Цена 
Приход]]</f>
        <v>0</v>
      </c>
      <c r="Q555" s="19"/>
      <c r="R555" s="19">
        <f>Таблица1[[#This Row],[Блок
 Куб]]*Таблица1[[#This Row],[Цена
 Продажа]]</f>
        <v>0</v>
      </c>
      <c r="S555" s="20"/>
      <c r="T555" s="19">
        <f>Таблица1[[#This Row],[Сумма 
Продажа]]-Таблица1[[#This Row],[Сумма 
Приход]]</f>
        <v>0</v>
      </c>
      <c r="U555" s="150"/>
    </row>
    <row r="556" spans="1:21" ht="14.25" x14ac:dyDescent="0.2">
      <c r="A556" s="50">
        <f t="shared" si="8"/>
        <v>553</v>
      </c>
      <c r="B556" s="17"/>
      <c r="C556" s="17"/>
      <c r="D556" s="17"/>
      <c r="E556" s="51"/>
      <c r="F556" s="50"/>
      <c r="G556" s="23"/>
      <c r="H556" s="24"/>
      <c r="I556" s="23"/>
      <c r="J556" s="19">
        <f>Таблица1[[#This Row],[Блок
 Куб]]*Таблица1[[#This Row],[Цена 
Приход]]</f>
        <v>0</v>
      </c>
      <c r="K556" s="25"/>
      <c r="L556" s="25"/>
      <c r="M556" s="19">
        <f>Таблица1[[#This Row],[Поддон
Шт]]*Таблица1[[#This Row],[Цена
Поддон]]</f>
        <v>0</v>
      </c>
      <c r="N556" s="19">
        <f>Таблица1[[#This Row],[Сумма 
Приход]]+Таблица1[[#This Row],[Сумма Поддон]]</f>
        <v>0</v>
      </c>
      <c r="O556" s="20"/>
      <c r="P556" s="19">
        <f>Таблица1[[#This Row],[Цена
 Продажа]]-Таблица1[[#This Row],[Цена 
Приход]]</f>
        <v>0</v>
      </c>
      <c r="Q556" s="19"/>
      <c r="R556" s="19">
        <f>Таблица1[[#This Row],[Блок
 Куб]]*Таблица1[[#This Row],[Цена
 Продажа]]</f>
        <v>0</v>
      </c>
      <c r="S556" s="20"/>
      <c r="T556" s="19">
        <f>Таблица1[[#This Row],[Сумма 
Продажа]]-Таблица1[[#This Row],[Сумма 
Приход]]</f>
        <v>0</v>
      </c>
      <c r="U556" s="150"/>
    </row>
    <row r="557" spans="1:21" ht="14.25" x14ac:dyDescent="0.2">
      <c r="A557" s="50">
        <f t="shared" si="8"/>
        <v>554</v>
      </c>
      <c r="B557" s="17"/>
      <c r="C557" s="17"/>
      <c r="D557" s="17"/>
      <c r="E557" s="51"/>
      <c r="F557" s="50"/>
      <c r="G557" s="23"/>
      <c r="H557" s="24"/>
      <c r="I557" s="23"/>
      <c r="J557" s="19">
        <f>Таблица1[[#This Row],[Блок
 Куб]]*Таблица1[[#This Row],[Цена 
Приход]]</f>
        <v>0</v>
      </c>
      <c r="K557" s="25"/>
      <c r="L557" s="25"/>
      <c r="M557" s="19">
        <f>Таблица1[[#This Row],[Поддон
Шт]]*Таблица1[[#This Row],[Цена
Поддон]]</f>
        <v>0</v>
      </c>
      <c r="N557" s="19">
        <f>Таблица1[[#This Row],[Сумма 
Приход]]+Таблица1[[#This Row],[Сумма Поддон]]</f>
        <v>0</v>
      </c>
      <c r="O557" s="20"/>
      <c r="P557" s="19">
        <f>Таблица1[[#This Row],[Цена
 Продажа]]-Таблица1[[#This Row],[Цена 
Приход]]</f>
        <v>0</v>
      </c>
      <c r="Q557" s="19"/>
      <c r="R557" s="19">
        <f>Таблица1[[#This Row],[Блок
 Куб]]*Таблица1[[#This Row],[Цена
 Продажа]]</f>
        <v>0</v>
      </c>
      <c r="S557" s="20"/>
      <c r="T557" s="19">
        <f>Таблица1[[#This Row],[Сумма 
Продажа]]-Таблица1[[#This Row],[Сумма 
Приход]]</f>
        <v>0</v>
      </c>
      <c r="U557" s="150"/>
    </row>
    <row r="558" spans="1:21" ht="14.25" x14ac:dyDescent="0.2">
      <c r="A558" s="50">
        <f t="shared" si="8"/>
        <v>555</v>
      </c>
      <c r="B558" s="17"/>
      <c r="C558" s="17"/>
      <c r="D558" s="17"/>
      <c r="E558" s="51"/>
      <c r="F558" s="50"/>
      <c r="G558" s="23"/>
      <c r="H558" s="24"/>
      <c r="I558" s="23"/>
      <c r="J558" s="19">
        <f>Таблица1[[#This Row],[Блок
 Куб]]*Таблица1[[#This Row],[Цена 
Приход]]</f>
        <v>0</v>
      </c>
      <c r="K558" s="25"/>
      <c r="L558" s="25"/>
      <c r="M558" s="19">
        <f>Таблица1[[#This Row],[Поддон
Шт]]*Таблица1[[#This Row],[Цена
Поддон]]</f>
        <v>0</v>
      </c>
      <c r="N558" s="19">
        <f>Таблица1[[#This Row],[Сумма 
Приход]]+Таблица1[[#This Row],[Сумма Поддон]]</f>
        <v>0</v>
      </c>
      <c r="O558" s="20"/>
      <c r="P558" s="19">
        <f>Таблица1[[#This Row],[Цена
 Продажа]]-Таблица1[[#This Row],[Цена 
Приход]]</f>
        <v>0</v>
      </c>
      <c r="Q558" s="19"/>
      <c r="R558" s="19">
        <f>Таблица1[[#This Row],[Блок
 Куб]]*Таблица1[[#This Row],[Цена
 Продажа]]</f>
        <v>0</v>
      </c>
      <c r="S558" s="20"/>
      <c r="T558" s="19">
        <f>Таблица1[[#This Row],[Сумма 
Продажа]]-Таблица1[[#This Row],[Сумма 
Приход]]</f>
        <v>0</v>
      </c>
      <c r="U558" s="150"/>
    </row>
    <row r="559" spans="1:21" ht="14.25" x14ac:dyDescent="0.2">
      <c r="A559" s="50">
        <f t="shared" si="8"/>
        <v>556</v>
      </c>
      <c r="B559" s="17"/>
      <c r="C559" s="17"/>
      <c r="D559" s="17"/>
      <c r="E559" s="51"/>
      <c r="F559" s="50"/>
      <c r="G559" s="23"/>
      <c r="H559" s="24"/>
      <c r="I559" s="23"/>
      <c r="J559" s="19">
        <f>Таблица1[[#This Row],[Блок
 Куб]]*Таблица1[[#This Row],[Цена 
Приход]]</f>
        <v>0</v>
      </c>
      <c r="K559" s="25"/>
      <c r="L559" s="25"/>
      <c r="M559" s="19">
        <f>Таблица1[[#This Row],[Поддон
Шт]]*Таблица1[[#This Row],[Цена
Поддон]]</f>
        <v>0</v>
      </c>
      <c r="N559" s="19">
        <f>Таблица1[[#This Row],[Сумма 
Приход]]+Таблица1[[#This Row],[Сумма Поддон]]</f>
        <v>0</v>
      </c>
      <c r="O559" s="20"/>
      <c r="P559" s="19">
        <f>Таблица1[[#This Row],[Цена
 Продажа]]-Таблица1[[#This Row],[Цена 
Приход]]</f>
        <v>0</v>
      </c>
      <c r="Q559" s="19"/>
      <c r="R559" s="19">
        <f>Таблица1[[#This Row],[Блок
 Куб]]*Таблица1[[#This Row],[Цена
 Продажа]]</f>
        <v>0</v>
      </c>
      <c r="S559" s="20"/>
      <c r="T559" s="19">
        <f>Таблица1[[#This Row],[Сумма 
Продажа]]-Таблица1[[#This Row],[Сумма 
Приход]]</f>
        <v>0</v>
      </c>
      <c r="U559" s="150"/>
    </row>
    <row r="560" spans="1:21" ht="14.25" x14ac:dyDescent="0.2">
      <c r="A560" s="50">
        <f t="shared" si="8"/>
        <v>557</v>
      </c>
      <c r="B560" s="17"/>
      <c r="C560" s="17"/>
      <c r="D560" s="17"/>
      <c r="E560" s="51"/>
      <c r="F560" s="50"/>
      <c r="G560" s="23"/>
      <c r="H560" s="24"/>
      <c r="I560" s="23"/>
      <c r="J560" s="19">
        <f>Таблица1[[#This Row],[Блок
 Куб]]*Таблица1[[#This Row],[Цена 
Приход]]</f>
        <v>0</v>
      </c>
      <c r="K560" s="25"/>
      <c r="L560" s="25"/>
      <c r="M560" s="19">
        <f>Таблица1[[#This Row],[Поддон
Шт]]*Таблица1[[#This Row],[Цена
Поддон]]</f>
        <v>0</v>
      </c>
      <c r="N560" s="19">
        <f>Таблица1[[#This Row],[Сумма 
Приход]]+Таблица1[[#This Row],[Сумма Поддон]]</f>
        <v>0</v>
      </c>
      <c r="O560" s="20"/>
      <c r="P560" s="19">
        <f>Таблица1[[#This Row],[Цена
 Продажа]]-Таблица1[[#This Row],[Цена 
Приход]]</f>
        <v>0</v>
      </c>
      <c r="Q560" s="19"/>
      <c r="R560" s="19">
        <f>Таблица1[[#This Row],[Блок
 Куб]]*Таблица1[[#This Row],[Цена
 Продажа]]</f>
        <v>0</v>
      </c>
      <c r="S560" s="20"/>
      <c r="T560" s="19">
        <f>Таблица1[[#This Row],[Сумма 
Продажа]]-Таблица1[[#This Row],[Сумма 
Приход]]</f>
        <v>0</v>
      </c>
      <c r="U560" s="150"/>
    </row>
    <row r="561" spans="1:21" ht="14.25" x14ac:dyDescent="0.2">
      <c r="A561" s="50">
        <f t="shared" si="8"/>
        <v>558</v>
      </c>
      <c r="B561" s="17"/>
      <c r="C561" s="17"/>
      <c r="D561" s="17"/>
      <c r="E561" s="51"/>
      <c r="F561" s="50"/>
      <c r="G561" s="23"/>
      <c r="H561" s="24"/>
      <c r="I561" s="23"/>
      <c r="J561" s="19">
        <f>Таблица1[[#This Row],[Блок
 Куб]]*Таблица1[[#This Row],[Цена 
Приход]]</f>
        <v>0</v>
      </c>
      <c r="K561" s="25"/>
      <c r="L561" s="25"/>
      <c r="M561" s="19">
        <f>Таблица1[[#This Row],[Поддон
Шт]]*Таблица1[[#This Row],[Цена
Поддон]]</f>
        <v>0</v>
      </c>
      <c r="N561" s="19">
        <f>Таблица1[[#This Row],[Сумма 
Приход]]+Таблица1[[#This Row],[Сумма Поддон]]</f>
        <v>0</v>
      </c>
      <c r="O561" s="20"/>
      <c r="P561" s="19">
        <f>Таблица1[[#This Row],[Цена
 Продажа]]-Таблица1[[#This Row],[Цена 
Приход]]</f>
        <v>0</v>
      </c>
      <c r="Q561" s="19"/>
      <c r="R561" s="19">
        <f>Таблица1[[#This Row],[Блок
 Куб]]*Таблица1[[#This Row],[Цена
 Продажа]]</f>
        <v>0</v>
      </c>
      <c r="S561" s="20"/>
      <c r="T561" s="19">
        <f>Таблица1[[#This Row],[Сумма 
Продажа]]-Таблица1[[#This Row],[Сумма 
Приход]]</f>
        <v>0</v>
      </c>
      <c r="U561" s="150"/>
    </row>
    <row r="562" spans="1:21" ht="14.25" x14ac:dyDescent="0.2">
      <c r="A562" s="50">
        <f t="shared" si="8"/>
        <v>559</v>
      </c>
      <c r="B562" s="17"/>
      <c r="C562" s="17"/>
      <c r="D562" s="17"/>
      <c r="E562" s="51"/>
      <c r="F562" s="50"/>
      <c r="G562" s="23"/>
      <c r="H562" s="24"/>
      <c r="I562" s="23"/>
      <c r="J562" s="19">
        <f>Таблица1[[#This Row],[Блок
 Куб]]*Таблица1[[#This Row],[Цена 
Приход]]</f>
        <v>0</v>
      </c>
      <c r="K562" s="25"/>
      <c r="L562" s="25"/>
      <c r="M562" s="19">
        <f>Таблица1[[#This Row],[Поддон
Шт]]*Таблица1[[#This Row],[Цена
Поддон]]</f>
        <v>0</v>
      </c>
      <c r="N562" s="19">
        <f>Таблица1[[#This Row],[Сумма 
Приход]]+Таблица1[[#This Row],[Сумма Поддон]]</f>
        <v>0</v>
      </c>
      <c r="O562" s="20"/>
      <c r="P562" s="19">
        <f>Таблица1[[#This Row],[Цена
 Продажа]]-Таблица1[[#This Row],[Цена 
Приход]]</f>
        <v>0</v>
      </c>
      <c r="Q562" s="19"/>
      <c r="R562" s="19">
        <f>Таблица1[[#This Row],[Блок
 Куб]]*Таблица1[[#This Row],[Цена
 Продажа]]</f>
        <v>0</v>
      </c>
      <c r="S562" s="20"/>
      <c r="T562" s="19">
        <f>Таблица1[[#This Row],[Сумма 
Продажа]]-Таблица1[[#This Row],[Сумма 
Приход]]</f>
        <v>0</v>
      </c>
      <c r="U562" s="150"/>
    </row>
    <row r="563" spans="1:21" ht="14.25" x14ac:dyDescent="0.2">
      <c r="A563" s="50">
        <f t="shared" si="8"/>
        <v>560</v>
      </c>
      <c r="B563" s="17"/>
      <c r="C563" s="17"/>
      <c r="D563" s="17"/>
      <c r="E563" s="51"/>
      <c r="F563" s="50"/>
      <c r="G563" s="23"/>
      <c r="H563" s="24"/>
      <c r="I563" s="23"/>
      <c r="J563" s="19">
        <f>Таблица1[[#This Row],[Блок
 Куб]]*Таблица1[[#This Row],[Цена 
Приход]]</f>
        <v>0</v>
      </c>
      <c r="K563" s="25"/>
      <c r="L563" s="25"/>
      <c r="M563" s="19">
        <f>Таблица1[[#This Row],[Поддон
Шт]]*Таблица1[[#This Row],[Цена
Поддон]]</f>
        <v>0</v>
      </c>
      <c r="N563" s="19">
        <f>Таблица1[[#This Row],[Сумма 
Приход]]+Таблица1[[#This Row],[Сумма Поддон]]</f>
        <v>0</v>
      </c>
      <c r="O563" s="20"/>
      <c r="P563" s="19">
        <f>Таблица1[[#This Row],[Цена
 Продажа]]-Таблица1[[#This Row],[Цена 
Приход]]</f>
        <v>0</v>
      </c>
      <c r="Q563" s="19"/>
      <c r="R563" s="19">
        <f>Таблица1[[#This Row],[Блок
 Куб]]*Таблица1[[#This Row],[Цена
 Продажа]]</f>
        <v>0</v>
      </c>
      <c r="S563" s="20"/>
      <c r="T563" s="19">
        <f>Таблица1[[#This Row],[Сумма 
Продажа]]-Таблица1[[#This Row],[Сумма 
Приход]]</f>
        <v>0</v>
      </c>
      <c r="U563" s="150"/>
    </row>
    <row r="564" spans="1:21" ht="14.25" x14ac:dyDescent="0.2">
      <c r="A564" s="50">
        <f t="shared" si="8"/>
        <v>561</v>
      </c>
      <c r="B564" s="17"/>
      <c r="C564" s="17"/>
      <c r="D564" s="17"/>
      <c r="E564" s="51"/>
      <c r="F564" s="50"/>
      <c r="G564" s="23"/>
      <c r="H564" s="24"/>
      <c r="I564" s="23"/>
      <c r="J564" s="19">
        <f>Таблица1[[#This Row],[Блок
 Куб]]*Таблица1[[#This Row],[Цена 
Приход]]</f>
        <v>0</v>
      </c>
      <c r="K564" s="25"/>
      <c r="L564" s="25"/>
      <c r="M564" s="19">
        <f>Таблица1[[#This Row],[Поддон
Шт]]*Таблица1[[#This Row],[Цена
Поддон]]</f>
        <v>0</v>
      </c>
      <c r="N564" s="19">
        <f>Таблица1[[#This Row],[Сумма 
Приход]]+Таблица1[[#This Row],[Сумма Поддон]]</f>
        <v>0</v>
      </c>
      <c r="O564" s="20"/>
      <c r="P564" s="19">
        <f>Таблица1[[#This Row],[Цена
 Продажа]]-Таблица1[[#This Row],[Цена 
Приход]]</f>
        <v>0</v>
      </c>
      <c r="Q564" s="19"/>
      <c r="R564" s="19">
        <f>Таблица1[[#This Row],[Блок
 Куб]]*Таблица1[[#This Row],[Цена
 Продажа]]</f>
        <v>0</v>
      </c>
      <c r="S564" s="20"/>
      <c r="T564" s="19">
        <f>Таблица1[[#This Row],[Сумма 
Продажа]]-Таблица1[[#This Row],[Сумма 
Приход]]</f>
        <v>0</v>
      </c>
      <c r="U564" s="150"/>
    </row>
    <row r="565" spans="1:21" ht="14.25" x14ac:dyDescent="0.2">
      <c r="A565" s="50">
        <f t="shared" si="8"/>
        <v>562</v>
      </c>
      <c r="B565" s="17"/>
      <c r="C565" s="17"/>
      <c r="D565" s="17"/>
      <c r="E565" s="51"/>
      <c r="F565" s="50"/>
      <c r="G565" s="23"/>
      <c r="H565" s="24"/>
      <c r="I565" s="23"/>
      <c r="J565" s="19">
        <f>Таблица1[[#This Row],[Блок
 Куб]]*Таблица1[[#This Row],[Цена 
Приход]]</f>
        <v>0</v>
      </c>
      <c r="K565" s="25"/>
      <c r="L565" s="25"/>
      <c r="M565" s="19">
        <f>Таблица1[[#This Row],[Поддон
Шт]]*Таблица1[[#This Row],[Цена
Поддон]]</f>
        <v>0</v>
      </c>
      <c r="N565" s="19">
        <f>Таблица1[[#This Row],[Сумма 
Приход]]+Таблица1[[#This Row],[Сумма Поддон]]</f>
        <v>0</v>
      </c>
      <c r="O565" s="20"/>
      <c r="P565" s="19">
        <f>Таблица1[[#This Row],[Цена
 Продажа]]-Таблица1[[#This Row],[Цена 
Приход]]</f>
        <v>0</v>
      </c>
      <c r="Q565" s="19"/>
      <c r="R565" s="19">
        <f>Таблица1[[#This Row],[Блок
 Куб]]*Таблица1[[#This Row],[Цена
 Продажа]]</f>
        <v>0</v>
      </c>
      <c r="S565" s="20"/>
      <c r="T565" s="19">
        <f>Таблица1[[#This Row],[Сумма 
Продажа]]-Таблица1[[#This Row],[Сумма 
Приход]]</f>
        <v>0</v>
      </c>
      <c r="U565" s="150"/>
    </row>
    <row r="566" spans="1:21" ht="14.25" x14ac:dyDescent="0.2">
      <c r="A566" s="50">
        <f t="shared" si="8"/>
        <v>563</v>
      </c>
      <c r="B566" s="17"/>
      <c r="C566" s="17"/>
      <c r="D566" s="17"/>
      <c r="E566" s="51"/>
      <c r="F566" s="50"/>
      <c r="G566" s="23"/>
      <c r="H566" s="24"/>
      <c r="I566" s="23"/>
      <c r="J566" s="19">
        <f>Таблица1[[#This Row],[Блок
 Куб]]*Таблица1[[#This Row],[Цена 
Приход]]</f>
        <v>0</v>
      </c>
      <c r="K566" s="25"/>
      <c r="L566" s="25"/>
      <c r="M566" s="19">
        <f>Таблица1[[#This Row],[Поддон
Шт]]*Таблица1[[#This Row],[Цена
Поддон]]</f>
        <v>0</v>
      </c>
      <c r="N566" s="19">
        <f>Таблица1[[#This Row],[Сумма 
Приход]]+Таблица1[[#This Row],[Сумма Поддон]]</f>
        <v>0</v>
      </c>
      <c r="O566" s="20"/>
      <c r="P566" s="19">
        <f>Таблица1[[#This Row],[Цена
 Продажа]]-Таблица1[[#This Row],[Цена 
Приход]]</f>
        <v>0</v>
      </c>
      <c r="Q566" s="19"/>
      <c r="R566" s="19">
        <f>Таблица1[[#This Row],[Блок
 Куб]]*Таблица1[[#This Row],[Цена
 Продажа]]</f>
        <v>0</v>
      </c>
      <c r="S566" s="20"/>
      <c r="T566" s="19">
        <f>Таблица1[[#This Row],[Сумма 
Продажа]]-Таблица1[[#This Row],[Сумма 
Приход]]</f>
        <v>0</v>
      </c>
      <c r="U566" s="150"/>
    </row>
    <row r="567" spans="1:21" ht="14.25" x14ac:dyDescent="0.2">
      <c r="A567" s="50">
        <f t="shared" si="8"/>
        <v>564</v>
      </c>
      <c r="B567" s="17"/>
      <c r="C567" s="17"/>
      <c r="D567" s="17"/>
      <c r="E567" s="51"/>
      <c r="F567" s="50"/>
      <c r="G567" s="23"/>
      <c r="H567" s="24"/>
      <c r="I567" s="23"/>
      <c r="J567" s="19">
        <f>Таблица1[[#This Row],[Блок
 Куб]]*Таблица1[[#This Row],[Цена 
Приход]]</f>
        <v>0</v>
      </c>
      <c r="K567" s="25"/>
      <c r="L567" s="25"/>
      <c r="M567" s="19">
        <f>Таблица1[[#This Row],[Поддон
Шт]]*Таблица1[[#This Row],[Цена
Поддон]]</f>
        <v>0</v>
      </c>
      <c r="N567" s="19">
        <f>Таблица1[[#This Row],[Сумма 
Приход]]+Таблица1[[#This Row],[Сумма Поддон]]</f>
        <v>0</v>
      </c>
      <c r="O567" s="20"/>
      <c r="P567" s="19">
        <f>Таблица1[[#This Row],[Цена
 Продажа]]-Таблица1[[#This Row],[Цена 
Приход]]</f>
        <v>0</v>
      </c>
      <c r="Q567" s="19"/>
      <c r="R567" s="19">
        <f>Таблица1[[#This Row],[Блок
 Куб]]*Таблица1[[#This Row],[Цена
 Продажа]]</f>
        <v>0</v>
      </c>
      <c r="S567" s="20"/>
      <c r="T567" s="19">
        <f>Таблица1[[#This Row],[Сумма 
Продажа]]-Таблица1[[#This Row],[Сумма 
Приход]]</f>
        <v>0</v>
      </c>
      <c r="U567" s="150"/>
    </row>
    <row r="568" spans="1:21" ht="14.25" x14ac:dyDescent="0.2">
      <c r="A568" s="50">
        <f t="shared" si="8"/>
        <v>565</v>
      </c>
      <c r="B568" s="17"/>
      <c r="C568" s="17"/>
      <c r="D568" s="17"/>
      <c r="E568" s="51"/>
      <c r="F568" s="50"/>
      <c r="G568" s="23"/>
      <c r="H568" s="24"/>
      <c r="I568" s="23"/>
      <c r="J568" s="19">
        <f>Таблица1[[#This Row],[Блок
 Куб]]*Таблица1[[#This Row],[Цена 
Приход]]</f>
        <v>0</v>
      </c>
      <c r="K568" s="25"/>
      <c r="L568" s="25"/>
      <c r="M568" s="19">
        <f>Таблица1[[#This Row],[Поддон
Шт]]*Таблица1[[#This Row],[Цена
Поддон]]</f>
        <v>0</v>
      </c>
      <c r="N568" s="19">
        <f>Таблица1[[#This Row],[Сумма 
Приход]]+Таблица1[[#This Row],[Сумма Поддон]]</f>
        <v>0</v>
      </c>
      <c r="O568" s="20"/>
      <c r="P568" s="19">
        <f>Таблица1[[#This Row],[Цена
 Продажа]]-Таблица1[[#This Row],[Цена 
Приход]]</f>
        <v>0</v>
      </c>
      <c r="Q568" s="19"/>
      <c r="R568" s="19">
        <f>Таблица1[[#This Row],[Блок
 Куб]]*Таблица1[[#This Row],[Цена
 Продажа]]</f>
        <v>0</v>
      </c>
      <c r="S568" s="20"/>
      <c r="T568" s="19">
        <f>Таблица1[[#This Row],[Сумма 
Продажа]]-Таблица1[[#This Row],[Сумма 
Приход]]</f>
        <v>0</v>
      </c>
      <c r="U568" s="150"/>
    </row>
    <row r="569" spans="1:21" ht="14.25" x14ac:dyDescent="0.2">
      <c r="A569" s="50">
        <f t="shared" si="8"/>
        <v>566</v>
      </c>
      <c r="B569" s="17"/>
      <c r="C569" s="17"/>
      <c r="D569" s="17"/>
      <c r="E569" s="51"/>
      <c r="F569" s="50"/>
      <c r="G569" s="23"/>
      <c r="H569" s="24"/>
      <c r="I569" s="23"/>
      <c r="J569" s="19">
        <f>Таблица1[[#This Row],[Блок
 Куб]]*Таблица1[[#This Row],[Цена 
Приход]]</f>
        <v>0</v>
      </c>
      <c r="K569" s="25"/>
      <c r="L569" s="25"/>
      <c r="M569" s="19">
        <f>Таблица1[[#This Row],[Поддон
Шт]]*Таблица1[[#This Row],[Цена
Поддон]]</f>
        <v>0</v>
      </c>
      <c r="N569" s="19">
        <f>Таблица1[[#This Row],[Сумма 
Приход]]+Таблица1[[#This Row],[Сумма Поддон]]</f>
        <v>0</v>
      </c>
      <c r="O569" s="20"/>
      <c r="P569" s="19">
        <f>Таблица1[[#This Row],[Цена
 Продажа]]-Таблица1[[#This Row],[Цена 
Приход]]</f>
        <v>0</v>
      </c>
      <c r="Q569" s="19"/>
      <c r="R569" s="19">
        <f>Таблица1[[#This Row],[Блок
 Куб]]*Таблица1[[#This Row],[Цена
 Продажа]]</f>
        <v>0</v>
      </c>
      <c r="S569" s="20"/>
      <c r="T569" s="19">
        <f>Таблица1[[#This Row],[Сумма 
Продажа]]-Таблица1[[#This Row],[Сумма 
Приход]]</f>
        <v>0</v>
      </c>
      <c r="U569" s="150"/>
    </row>
    <row r="570" spans="1:21" ht="14.25" x14ac:dyDescent="0.2">
      <c r="A570" s="50">
        <f t="shared" si="8"/>
        <v>567</v>
      </c>
      <c r="B570" s="17"/>
      <c r="C570" s="17"/>
      <c r="D570" s="17"/>
      <c r="E570" s="51"/>
      <c r="F570" s="50"/>
      <c r="G570" s="23"/>
      <c r="H570" s="24"/>
      <c r="I570" s="23"/>
      <c r="J570" s="19">
        <f>Таблица1[[#This Row],[Блок
 Куб]]*Таблица1[[#This Row],[Цена 
Приход]]</f>
        <v>0</v>
      </c>
      <c r="K570" s="25"/>
      <c r="L570" s="25"/>
      <c r="M570" s="19">
        <f>Таблица1[[#This Row],[Поддон
Шт]]*Таблица1[[#This Row],[Цена
Поддон]]</f>
        <v>0</v>
      </c>
      <c r="N570" s="19">
        <f>Таблица1[[#This Row],[Сумма 
Приход]]+Таблица1[[#This Row],[Сумма Поддон]]</f>
        <v>0</v>
      </c>
      <c r="O570" s="20"/>
      <c r="P570" s="19">
        <f>Таблица1[[#This Row],[Цена
 Продажа]]-Таблица1[[#This Row],[Цена 
Приход]]</f>
        <v>0</v>
      </c>
      <c r="Q570" s="19"/>
      <c r="R570" s="19">
        <f>Таблица1[[#This Row],[Блок
 Куб]]*Таблица1[[#This Row],[Цена
 Продажа]]</f>
        <v>0</v>
      </c>
      <c r="S570" s="20"/>
      <c r="T570" s="19">
        <f>Таблица1[[#This Row],[Сумма 
Продажа]]-Таблица1[[#This Row],[Сумма 
Приход]]</f>
        <v>0</v>
      </c>
      <c r="U570" s="150"/>
    </row>
    <row r="571" spans="1:21" ht="14.25" x14ac:dyDescent="0.2">
      <c r="A571" s="50">
        <f t="shared" si="8"/>
        <v>568</v>
      </c>
      <c r="B571" s="17"/>
      <c r="C571" s="17"/>
      <c r="D571" s="17"/>
      <c r="E571" s="51"/>
      <c r="F571" s="50"/>
      <c r="G571" s="23"/>
      <c r="H571" s="24"/>
      <c r="I571" s="23"/>
      <c r="J571" s="19">
        <f>Таблица1[[#This Row],[Блок
 Куб]]*Таблица1[[#This Row],[Цена 
Приход]]</f>
        <v>0</v>
      </c>
      <c r="K571" s="25"/>
      <c r="L571" s="25"/>
      <c r="M571" s="19">
        <f>Таблица1[[#This Row],[Поддон
Шт]]*Таблица1[[#This Row],[Цена
Поддон]]</f>
        <v>0</v>
      </c>
      <c r="N571" s="19">
        <f>Таблица1[[#This Row],[Сумма 
Приход]]+Таблица1[[#This Row],[Сумма Поддон]]</f>
        <v>0</v>
      </c>
      <c r="O571" s="20"/>
      <c r="P571" s="19">
        <f>Таблица1[[#This Row],[Цена
 Продажа]]-Таблица1[[#This Row],[Цена 
Приход]]</f>
        <v>0</v>
      </c>
      <c r="Q571" s="19"/>
      <c r="R571" s="19">
        <f>Таблица1[[#This Row],[Блок
 Куб]]*Таблица1[[#This Row],[Цена
 Продажа]]</f>
        <v>0</v>
      </c>
      <c r="S571" s="20"/>
      <c r="T571" s="19">
        <f>Таблица1[[#This Row],[Сумма 
Продажа]]-Таблица1[[#This Row],[Сумма 
Приход]]</f>
        <v>0</v>
      </c>
      <c r="U571" s="150"/>
    </row>
    <row r="572" spans="1:21" ht="14.25" x14ac:dyDescent="0.2">
      <c r="A572" s="50">
        <f t="shared" si="8"/>
        <v>569</v>
      </c>
      <c r="B572" s="17"/>
      <c r="C572" s="17"/>
      <c r="D572" s="17"/>
      <c r="E572" s="51"/>
      <c r="F572" s="50"/>
      <c r="G572" s="23"/>
      <c r="H572" s="24"/>
      <c r="I572" s="23"/>
      <c r="J572" s="19">
        <f>Таблица1[[#This Row],[Блок
 Куб]]*Таблица1[[#This Row],[Цена 
Приход]]</f>
        <v>0</v>
      </c>
      <c r="K572" s="25"/>
      <c r="L572" s="25"/>
      <c r="M572" s="19">
        <f>Таблица1[[#This Row],[Поддон
Шт]]*Таблица1[[#This Row],[Цена
Поддон]]</f>
        <v>0</v>
      </c>
      <c r="N572" s="19">
        <f>Таблица1[[#This Row],[Сумма 
Приход]]+Таблица1[[#This Row],[Сумма Поддон]]</f>
        <v>0</v>
      </c>
      <c r="O572" s="20"/>
      <c r="P572" s="19">
        <f>Таблица1[[#This Row],[Цена
 Продажа]]-Таблица1[[#This Row],[Цена 
Приход]]</f>
        <v>0</v>
      </c>
      <c r="Q572" s="19"/>
      <c r="R572" s="19">
        <f>Таблица1[[#This Row],[Блок
 Куб]]*Таблица1[[#This Row],[Цена
 Продажа]]</f>
        <v>0</v>
      </c>
      <c r="S572" s="20"/>
      <c r="T572" s="19">
        <f>Таблица1[[#This Row],[Сумма 
Продажа]]-Таблица1[[#This Row],[Сумма 
Приход]]</f>
        <v>0</v>
      </c>
      <c r="U572" s="150"/>
    </row>
    <row r="573" spans="1:21" ht="14.25" x14ac:dyDescent="0.2">
      <c r="A573" s="50">
        <f t="shared" si="8"/>
        <v>570</v>
      </c>
      <c r="B573" s="17"/>
      <c r="C573" s="17"/>
      <c r="D573" s="17"/>
      <c r="E573" s="51"/>
      <c r="F573" s="50"/>
      <c r="G573" s="23"/>
      <c r="H573" s="24"/>
      <c r="I573" s="23"/>
      <c r="J573" s="19">
        <f>Таблица1[[#This Row],[Блок
 Куб]]*Таблица1[[#This Row],[Цена 
Приход]]</f>
        <v>0</v>
      </c>
      <c r="K573" s="25"/>
      <c r="L573" s="25"/>
      <c r="M573" s="19">
        <f>Таблица1[[#This Row],[Поддон
Шт]]*Таблица1[[#This Row],[Цена
Поддон]]</f>
        <v>0</v>
      </c>
      <c r="N573" s="19">
        <f>Таблица1[[#This Row],[Сумма 
Приход]]+Таблица1[[#This Row],[Сумма Поддон]]</f>
        <v>0</v>
      </c>
      <c r="O573" s="20"/>
      <c r="P573" s="19">
        <f>Таблица1[[#This Row],[Цена
 Продажа]]-Таблица1[[#This Row],[Цена 
Приход]]</f>
        <v>0</v>
      </c>
      <c r="Q573" s="19"/>
      <c r="R573" s="19">
        <f>Таблица1[[#This Row],[Блок
 Куб]]*Таблица1[[#This Row],[Цена
 Продажа]]</f>
        <v>0</v>
      </c>
      <c r="S573" s="20"/>
      <c r="T573" s="19">
        <f>Таблица1[[#This Row],[Сумма 
Продажа]]-Таблица1[[#This Row],[Сумма 
Приход]]</f>
        <v>0</v>
      </c>
      <c r="U573" s="150"/>
    </row>
    <row r="574" spans="1:21" ht="14.25" x14ac:dyDescent="0.2">
      <c r="A574" s="50">
        <f t="shared" si="8"/>
        <v>571</v>
      </c>
      <c r="B574" s="17"/>
      <c r="C574" s="17"/>
      <c r="D574" s="17"/>
      <c r="E574" s="51"/>
      <c r="F574" s="50"/>
      <c r="G574" s="23"/>
      <c r="H574" s="24"/>
      <c r="I574" s="23"/>
      <c r="J574" s="19">
        <f>Таблица1[[#This Row],[Блок
 Куб]]*Таблица1[[#This Row],[Цена 
Приход]]</f>
        <v>0</v>
      </c>
      <c r="K574" s="25"/>
      <c r="L574" s="25"/>
      <c r="M574" s="19">
        <f>Таблица1[[#This Row],[Поддон
Шт]]*Таблица1[[#This Row],[Цена
Поддон]]</f>
        <v>0</v>
      </c>
      <c r="N574" s="19">
        <f>Таблица1[[#This Row],[Сумма 
Приход]]+Таблица1[[#This Row],[Сумма Поддон]]</f>
        <v>0</v>
      </c>
      <c r="O574" s="20"/>
      <c r="P574" s="19">
        <f>Таблица1[[#This Row],[Цена
 Продажа]]-Таблица1[[#This Row],[Цена 
Приход]]</f>
        <v>0</v>
      </c>
      <c r="Q574" s="19"/>
      <c r="R574" s="19">
        <f>Таблица1[[#This Row],[Блок
 Куб]]*Таблица1[[#This Row],[Цена
 Продажа]]</f>
        <v>0</v>
      </c>
      <c r="S574" s="20"/>
      <c r="T574" s="19">
        <f>Таблица1[[#This Row],[Сумма 
Продажа]]-Таблица1[[#This Row],[Сумма 
Приход]]</f>
        <v>0</v>
      </c>
      <c r="U574" s="150"/>
    </row>
    <row r="575" spans="1:21" ht="14.25" x14ac:dyDescent="0.2">
      <c r="A575" s="50">
        <f t="shared" si="8"/>
        <v>572</v>
      </c>
      <c r="B575" s="17"/>
      <c r="C575" s="17"/>
      <c r="D575" s="17"/>
      <c r="E575" s="51"/>
      <c r="F575" s="50"/>
      <c r="G575" s="23"/>
      <c r="H575" s="24"/>
      <c r="I575" s="23"/>
      <c r="J575" s="19">
        <f>Таблица1[[#This Row],[Блок
 Куб]]*Таблица1[[#This Row],[Цена 
Приход]]</f>
        <v>0</v>
      </c>
      <c r="K575" s="25"/>
      <c r="L575" s="25"/>
      <c r="M575" s="19">
        <f>Таблица1[[#This Row],[Поддон
Шт]]*Таблица1[[#This Row],[Цена
Поддон]]</f>
        <v>0</v>
      </c>
      <c r="N575" s="19">
        <f>Таблица1[[#This Row],[Сумма 
Приход]]+Таблица1[[#This Row],[Сумма Поддон]]</f>
        <v>0</v>
      </c>
      <c r="O575" s="20"/>
      <c r="P575" s="19">
        <f>Таблица1[[#This Row],[Цена
 Продажа]]-Таблица1[[#This Row],[Цена 
Приход]]</f>
        <v>0</v>
      </c>
      <c r="Q575" s="19"/>
      <c r="R575" s="19">
        <f>Таблица1[[#This Row],[Блок
 Куб]]*Таблица1[[#This Row],[Цена
 Продажа]]</f>
        <v>0</v>
      </c>
      <c r="S575" s="20"/>
      <c r="T575" s="19">
        <f>Таблица1[[#This Row],[Сумма 
Продажа]]-Таблица1[[#This Row],[Сумма 
Приход]]</f>
        <v>0</v>
      </c>
      <c r="U575" s="150"/>
    </row>
    <row r="576" spans="1:21" ht="14.25" x14ac:dyDescent="0.2">
      <c r="A576" s="50">
        <f t="shared" si="8"/>
        <v>573</v>
      </c>
      <c r="B576" s="17"/>
      <c r="C576" s="17"/>
      <c r="D576" s="17"/>
      <c r="E576" s="51"/>
      <c r="F576" s="50"/>
      <c r="G576" s="23"/>
      <c r="H576" s="24"/>
      <c r="I576" s="23"/>
      <c r="J576" s="19">
        <f>Таблица1[[#This Row],[Блок
 Куб]]*Таблица1[[#This Row],[Цена 
Приход]]</f>
        <v>0</v>
      </c>
      <c r="K576" s="25"/>
      <c r="L576" s="25"/>
      <c r="M576" s="19">
        <f>Таблица1[[#This Row],[Поддон
Шт]]*Таблица1[[#This Row],[Цена
Поддон]]</f>
        <v>0</v>
      </c>
      <c r="N576" s="19">
        <f>Таблица1[[#This Row],[Сумма 
Приход]]+Таблица1[[#This Row],[Сумма Поддон]]</f>
        <v>0</v>
      </c>
      <c r="O576" s="20"/>
      <c r="P576" s="19">
        <f>Таблица1[[#This Row],[Цена
 Продажа]]-Таблица1[[#This Row],[Цена 
Приход]]</f>
        <v>0</v>
      </c>
      <c r="Q576" s="19"/>
      <c r="R576" s="19">
        <f>Таблица1[[#This Row],[Блок
 Куб]]*Таблица1[[#This Row],[Цена
 Продажа]]</f>
        <v>0</v>
      </c>
      <c r="S576" s="20"/>
      <c r="T576" s="19">
        <f>Таблица1[[#This Row],[Сумма 
Продажа]]-Таблица1[[#This Row],[Сумма 
Приход]]</f>
        <v>0</v>
      </c>
      <c r="U576" s="150"/>
    </row>
    <row r="577" spans="1:21" ht="14.25" x14ac:dyDescent="0.2">
      <c r="A577" s="50">
        <f t="shared" si="8"/>
        <v>574</v>
      </c>
      <c r="B577" s="17"/>
      <c r="C577" s="17"/>
      <c r="D577" s="17"/>
      <c r="E577" s="51"/>
      <c r="F577" s="50"/>
      <c r="G577" s="23"/>
      <c r="H577" s="24"/>
      <c r="I577" s="23"/>
      <c r="J577" s="19">
        <f>Таблица1[[#This Row],[Блок
 Куб]]*Таблица1[[#This Row],[Цена 
Приход]]</f>
        <v>0</v>
      </c>
      <c r="K577" s="25"/>
      <c r="L577" s="25"/>
      <c r="M577" s="19">
        <f>Таблица1[[#This Row],[Поддон
Шт]]*Таблица1[[#This Row],[Цена
Поддон]]</f>
        <v>0</v>
      </c>
      <c r="N577" s="19">
        <f>Таблица1[[#This Row],[Сумма 
Приход]]+Таблица1[[#This Row],[Сумма Поддон]]</f>
        <v>0</v>
      </c>
      <c r="O577" s="20"/>
      <c r="P577" s="19">
        <f>Таблица1[[#This Row],[Цена
 Продажа]]-Таблица1[[#This Row],[Цена 
Приход]]</f>
        <v>0</v>
      </c>
      <c r="Q577" s="19"/>
      <c r="R577" s="19">
        <f>Таблица1[[#This Row],[Блок
 Куб]]*Таблица1[[#This Row],[Цена
 Продажа]]</f>
        <v>0</v>
      </c>
      <c r="S577" s="20"/>
      <c r="T577" s="19">
        <f>Таблица1[[#This Row],[Сумма 
Продажа]]-Таблица1[[#This Row],[Сумма 
Приход]]</f>
        <v>0</v>
      </c>
      <c r="U577" s="150"/>
    </row>
    <row r="578" spans="1:21" ht="14.25" x14ac:dyDescent="0.2">
      <c r="A578" s="50">
        <f t="shared" si="8"/>
        <v>575</v>
      </c>
      <c r="B578" s="17"/>
      <c r="C578" s="17"/>
      <c r="D578" s="17"/>
      <c r="E578" s="51"/>
      <c r="F578" s="50"/>
      <c r="G578" s="23"/>
      <c r="H578" s="24"/>
      <c r="I578" s="23"/>
      <c r="J578" s="19">
        <f>Таблица1[[#This Row],[Блок
 Куб]]*Таблица1[[#This Row],[Цена 
Приход]]</f>
        <v>0</v>
      </c>
      <c r="K578" s="25"/>
      <c r="L578" s="25"/>
      <c r="M578" s="19">
        <f>Таблица1[[#This Row],[Поддон
Шт]]*Таблица1[[#This Row],[Цена
Поддон]]</f>
        <v>0</v>
      </c>
      <c r="N578" s="19">
        <f>Таблица1[[#This Row],[Сумма 
Приход]]+Таблица1[[#This Row],[Сумма Поддон]]</f>
        <v>0</v>
      </c>
      <c r="O578" s="20"/>
      <c r="P578" s="19">
        <f>Таблица1[[#This Row],[Цена
 Продажа]]-Таблица1[[#This Row],[Цена 
Приход]]</f>
        <v>0</v>
      </c>
      <c r="Q578" s="19"/>
      <c r="R578" s="19">
        <f>Таблица1[[#This Row],[Блок
 Куб]]*Таблица1[[#This Row],[Цена
 Продажа]]</f>
        <v>0</v>
      </c>
      <c r="S578" s="20"/>
      <c r="T578" s="19">
        <f>Таблица1[[#This Row],[Сумма 
Продажа]]-Таблица1[[#This Row],[Сумма 
Приход]]</f>
        <v>0</v>
      </c>
      <c r="U578" s="150"/>
    </row>
    <row r="579" spans="1:21" ht="14.25" x14ac:dyDescent="0.2">
      <c r="A579" s="50">
        <f t="shared" si="8"/>
        <v>576</v>
      </c>
      <c r="B579" s="17"/>
      <c r="C579" s="17"/>
      <c r="D579" s="17"/>
      <c r="E579" s="51"/>
      <c r="F579" s="50"/>
      <c r="G579" s="23"/>
      <c r="H579" s="24"/>
      <c r="I579" s="23"/>
      <c r="J579" s="19">
        <f>Таблица1[[#This Row],[Блок
 Куб]]*Таблица1[[#This Row],[Цена 
Приход]]</f>
        <v>0</v>
      </c>
      <c r="K579" s="25"/>
      <c r="L579" s="25"/>
      <c r="M579" s="19">
        <f>Таблица1[[#This Row],[Поддон
Шт]]*Таблица1[[#This Row],[Цена
Поддон]]</f>
        <v>0</v>
      </c>
      <c r="N579" s="19">
        <f>Таблица1[[#This Row],[Сумма 
Приход]]+Таблица1[[#This Row],[Сумма Поддон]]</f>
        <v>0</v>
      </c>
      <c r="O579" s="20"/>
      <c r="P579" s="19">
        <f>Таблица1[[#This Row],[Цена
 Продажа]]-Таблица1[[#This Row],[Цена 
Приход]]</f>
        <v>0</v>
      </c>
      <c r="Q579" s="19"/>
      <c r="R579" s="19">
        <f>Таблица1[[#This Row],[Блок
 Куб]]*Таблица1[[#This Row],[Цена
 Продажа]]</f>
        <v>0</v>
      </c>
      <c r="S579" s="20"/>
      <c r="T579" s="19">
        <f>Таблица1[[#This Row],[Сумма 
Продажа]]-Таблица1[[#This Row],[Сумма 
Приход]]</f>
        <v>0</v>
      </c>
      <c r="U579" s="150"/>
    </row>
    <row r="580" spans="1:21" ht="14.25" x14ac:dyDescent="0.2">
      <c r="A580" s="50">
        <f t="shared" si="8"/>
        <v>577</v>
      </c>
      <c r="B580" s="17"/>
      <c r="C580" s="17"/>
      <c r="D580" s="17"/>
      <c r="E580" s="51"/>
      <c r="F580" s="50"/>
      <c r="G580" s="23"/>
      <c r="H580" s="24"/>
      <c r="I580" s="23"/>
      <c r="J580" s="19">
        <f>Таблица1[[#This Row],[Блок
 Куб]]*Таблица1[[#This Row],[Цена 
Приход]]</f>
        <v>0</v>
      </c>
      <c r="K580" s="25"/>
      <c r="L580" s="25"/>
      <c r="M580" s="19">
        <f>Таблица1[[#This Row],[Поддон
Шт]]*Таблица1[[#This Row],[Цена
Поддон]]</f>
        <v>0</v>
      </c>
      <c r="N580" s="19">
        <f>Таблица1[[#This Row],[Сумма 
Приход]]+Таблица1[[#This Row],[Сумма Поддон]]</f>
        <v>0</v>
      </c>
      <c r="O580" s="20"/>
      <c r="P580" s="19">
        <f>Таблица1[[#This Row],[Цена
 Продажа]]-Таблица1[[#This Row],[Цена 
Приход]]</f>
        <v>0</v>
      </c>
      <c r="Q580" s="19"/>
      <c r="R580" s="19">
        <f>Таблица1[[#This Row],[Блок
 Куб]]*Таблица1[[#This Row],[Цена
 Продажа]]</f>
        <v>0</v>
      </c>
      <c r="S580" s="20"/>
      <c r="T580" s="19">
        <f>Таблица1[[#This Row],[Сумма 
Продажа]]-Таблица1[[#This Row],[Сумма 
Приход]]</f>
        <v>0</v>
      </c>
      <c r="U580" s="150"/>
    </row>
    <row r="581" spans="1:21" ht="14.25" x14ac:dyDescent="0.2">
      <c r="A581" s="50">
        <f t="shared" si="8"/>
        <v>578</v>
      </c>
      <c r="B581" s="17"/>
      <c r="C581" s="17"/>
      <c r="D581" s="17"/>
      <c r="E581" s="51"/>
      <c r="F581" s="50"/>
      <c r="G581" s="23"/>
      <c r="H581" s="24"/>
      <c r="I581" s="23"/>
      <c r="J581" s="19">
        <f>Таблица1[[#This Row],[Блок
 Куб]]*Таблица1[[#This Row],[Цена 
Приход]]</f>
        <v>0</v>
      </c>
      <c r="K581" s="25"/>
      <c r="L581" s="25"/>
      <c r="M581" s="19">
        <f>Таблица1[[#This Row],[Поддон
Шт]]*Таблица1[[#This Row],[Цена
Поддон]]</f>
        <v>0</v>
      </c>
      <c r="N581" s="19">
        <f>Таблица1[[#This Row],[Сумма 
Приход]]+Таблица1[[#This Row],[Сумма Поддон]]</f>
        <v>0</v>
      </c>
      <c r="O581" s="20"/>
      <c r="P581" s="19">
        <f>Таблица1[[#This Row],[Цена
 Продажа]]-Таблица1[[#This Row],[Цена 
Приход]]</f>
        <v>0</v>
      </c>
      <c r="Q581" s="19"/>
      <c r="R581" s="19">
        <f>Таблица1[[#This Row],[Блок
 Куб]]*Таблица1[[#This Row],[Цена
 Продажа]]</f>
        <v>0</v>
      </c>
      <c r="S581" s="20"/>
      <c r="T581" s="19">
        <f>Таблица1[[#This Row],[Сумма 
Продажа]]-Таблица1[[#This Row],[Сумма 
Приход]]</f>
        <v>0</v>
      </c>
      <c r="U581" s="150"/>
    </row>
    <row r="582" spans="1:21" ht="14.25" x14ac:dyDescent="0.2">
      <c r="A582" s="50">
        <f t="shared" ref="A582:A645" si="9">A581+1</f>
        <v>579</v>
      </c>
      <c r="B582" s="17"/>
      <c r="C582" s="17"/>
      <c r="D582" s="17"/>
      <c r="E582" s="51"/>
      <c r="F582" s="50"/>
      <c r="G582" s="23"/>
      <c r="H582" s="24"/>
      <c r="I582" s="23"/>
      <c r="J582" s="19">
        <f>Таблица1[[#This Row],[Блок
 Куб]]*Таблица1[[#This Row],[Цена 
Приход]]</f>
        <v>0</v>
      </c>
      <c r="K582" s="25"/>
      <c r="L582" s="25"/>
      <c r="M582" s="19">
        <f>Таблица1[[#This Row],[Поддон
Шт]]*Таблица1[[#This Row],[Цена
Поддон]]</f>
        <v>0</v>
      </c>
      <c r="N582" s="19">
        <f>Таблица1[[#This Row],[Сумма 
Приход]]+Таблица1[[#This Row],[Сумма Поддон]]</f>
        <v>0</v>
      </c>
      <c r="O582" s="20"/>
      <c r="P582" s="19">
        <f>Таблица1[[#This Row],[Цена
 Продажа]]-Таблица1[[#This Row],[Цена 
Приход]]</f>
        <v>0</v>
      </c>
      <c r="Q582" s="19"/>
      <c r="R582" s="19">
        <f>Таблица1[[#This Row],[Блок
 Куб]]*Таблица1[[#This Row],[Цена
 Продажа]]</f>
        <v>0</v>
      </c>
      <c r="S582" s="20"/>
      <c r="T582" s="19">
        <f>Таблица1[[#This Row],[Сумма 
Продажа]]-Таблица1[[#This Row],[Сумма 
Приход]]</f>
        <v>0</v>
      </c>
      <c r="U582" s="150"/>
    </row>
    <row r="583" spans="1:21" ht="14.25" x14ac:dyDescent="0.2">
      <c r="A583" s="50">
        <f t="shared" si="9"/>
        <v>580</v>
      </c>
      <c r="B583" s="17"/>
      <c r="C583" s="17"/>
      <c r="D583" s="17"/>
      <c r="E583" s="51"/>
      <c r="F583" s="50"/>
      <c r="G583" s="23"/>
      <c r="H583" s="24"/>
      <c r="I583" s="23"/>
      <c r="J583" s="19">
        <f>Таблица1[[#This Row],[Блок
 Куб]]*Таблица1[[#This Row],[Цена 
Приход]]</f>
        <v>0</v>
      </c>
      <c r="K583" s="25"/>
      <c r="L583" s="25"/>
      <c r="M583" s="19">
        <f>Таблица1[[#This Row],[Поддон
Шт]]*Таблица1[[#This Row],[Цена
Поддон]]</f>
        <v>0</v>
      </c>
      <c r="N583" s="19">
        <f>Таблица1[[#This Row],[Сумма 
Приход]]+Таблица1[[#This Row],[Сумма Поддон]]</f>
        <v>0</v>
      </c>
      <c r="O583" s="20"/>
      <c r="P583" s="19">
        <f>Таблица1[[#This Row],[Цена
 Продажа]]-Таблица1[[#This Row],[Цена 
Приход]]</f>
        <v>0</v>
      </c>
      <c r="Q583" s="19"/>
      <c r="R583" s="19">
        <f>Таблица1[[#This Row],[Блок
 Куб]]*Таблица1[[#This Row],[Цена
 Продажа]]</f>
        <v>0</v>
      </c>
      <c r="S583" s="20"/>
      <c r="T583" s="19">
        <f>Таблица1[[#This Row],[Сумма 
Продажа]]-Таблица1[[#This Row],[Сумма 
Приход]]</f>
        <v>0</v>
      </c>
      <c r="U583" s="150"/>
    </row>
    <row r="584" spans="1:21" ht="14.25" x14ac:dyDescent="0.2">
      <c r="A584" s="50">
        <f t="shared" si="9"/>
        <v>581</v>
      </c>
      <c r="B584" s="17"/>
      <c r="C584" s="17"/>
      <c r="D584" s="17"/>
      <c r="E584" s="51"/>
      <c r="F584" s="50"/>
      <c r="G584" s="23"/>
      <c r="H584" s="24"/>
      <c r="I584" s="23"/>
      <c r="J584" s="19">
        <f>Таблица1[[#This Row],[Блок
 Куб]]*Таблица1[[#This Row],[Цена 
Приход]]</f>
        <v>0</v>
      </c>
      <c r="K584" s="25"/>
      <c r="L584" s="25"/>
      <c r="M584" s="19">
        <f>Таблица1[[#This Row],[Поддон
Шт]]*Таблица1[[#This Row],[Цена
Поддон]]</f>
        <v>0</v>
      </c>
      <c r="N584" s="19">
        <f>Таблица1[[#This Row],[Сумма 
Приход]]+Таблица1[[#This Row],[Сумма Поддон]]</f>
        <v>0</v>
      </c>
      <c r="O584" s="20"/>
      <c r="P584" s="19">
        <f>Таблица1[[#This Row],[Цена
 Продажа]]-Таблица1[[#This Row],[Цена 
Приход]]</f>
        <v>0</v>
      </c>
      <c r="Q584" s="19"/>
      <c r="R584" s="19">
        <f>Таблица1[[#This Row],[Блок
 Куб]]*Таблица1[[#This Row],[Цена
 Продажа]]</f>
        <v>0</v>
      </c>
      <c r="S584" s="20"/>
      <c r="T584" s="19">
        <f>Таблица1[[#This Row],[Сумма 
Продажа]]-Таблица1[[#This Row],[Сумма 
Приход]]</f>
        <v>0</v>
      </c>
      <c r="U584" s="150"/>
    </row>
    <row r="585" spans="1:21" ht="14.25" x14ac:dyDescent="0.2">
      <c r="A585" s="50">
        <f t="shared" si="9"/>
        <v>582</v>
      </c>
      <c r="B585" s="17"/>
      <c r="C585" s="17"/>
      <c r="D585" s="17"/>
      <c r="E585" s="51"/>
      <c r="F585" s="50"/>
      <c r="G585" s="23"/>
      <c r="H585" s="24"/>
      <c r="I585" s="23"/>
      <c r="J585" s="19">
        <f>Таблица1[[#This Row],[Блок
 Куб]]*Таблица1[[#This Row],[Цена 
Приход]]</f>
        <v>0</v>
      </c>
      <c r="K585" s="25"/>
      <c r="L585" s="25"/>
      <c r="M585" s="19">
        <f>Таблица1[[#This Row],[Поддон
Шт]]*Таблица1[[#This Row],[Цена
Поддон]]</f>
        <v>0</v>
      </c>
      <c r="N585" s="19">
        <f>Таблица1[[#This Row],[Сумма 
Приход]]+Таблица1[[#This Row],[Сумма Поддон]]</f>
        <v>0</v>
      </c>
      <c r="O585" s="20"/>
      <c r="P585" s="19">
        <f>Таблица1[[#This Row],[Цена
 Продажа]]-Таблица1[[#This Row],[Цена 
Приход]]</f>
        <v>0</v>
      </c>
      <c r="Q585" s="19"/>
      <c r="R585" s="19">
        <f>Таблица1[[#This Row],[Блок
 Куб]]*Таблица1[[#This Row],[Цена
 Продажа]]</f>
        <v>0</v>
      </c>
      <c r="S585" s="20"/>
      <c r="T585" s="19">
        <f>Таблица1[[#This Row],[Сумма 
Продажа]]-Таблица1[[#This Row],[Сумма 
Приход]]</f>
        <v>0</v>
      </c>
      <c r="U585" s="150"/>
    </row>
    <row r="586" spans="1:21" ht="14.25" x14ac:dyDescent="0.2">
      <c r="A586" s="50">
        <f t="shared" si="9"/>
        <v>583</v>
      </c>
      <c r="B586" s="17"/>
      <c r="C586" s="17"/>
      <c r="D586" s="17"/>
      <c r="E586" s="51"/>
      <c r="F586" s="50"/>
      <c r="G586" s="23"/>
      <c r="H586" s="24"/>
      <c r="I586" s="23"/>
      <c r="J586" s="19">
        <f>Таблица1[[#This Row],[Блок
 Куб]]*Таблица1[[#This Row],[Цена 
Приход]]</f>
        <v>0</v>
      </c>
      <c r="K586" s="25"/>
      <c r="L586" s="25"/>
      <c r="M586" s="19">
        <f>Таблица1[[#This Row],[Поддон
Шт]]*Таблица1[[#This Row],[Цена
Поддон]]</f>
        <v>0</v>
      </c>
      <c r="N586" s="19">
        <f>Таблица1[[#This Row],[Сумма 
Приход]]+Таблица1[[#This Row],[Сумма Поддон]]</f>
        <v>0</v>
      </c>
      <c r="O586" s="20"/>
      <c r="P586" s="19">
        <f>Таблица1[[#This Row],[Цена
 Продажа]]-Таблица1[[#This Row],[Цена 
Приход]]</f>
        <v>0</v>
      </c>
      <c r="Q586" s="19"/>
      <c r="R586" s="19">
        <f>Таблица1[[#This Row],[Блок
 Куб]]*Таблица1[[#This Row],[Цена
 Продажа]]</f>
        <v>0</v>
      </c>
      <c r="S586" s="20"/>
      <c r="T586" s="19">
        <f>Таблица1[[#This Row],[Сумма 
Продажа]]-Таблица1[[#This Row],[Сумма 
Приход]]</f>
        <v>0</v>
      </c>
      <c r="U586" s="150"/>
    </row>
    <row r="587" spans="1:21" ht="14.25" x14ac:dyDescent="0.2">
      <c r="A587" s="50">
        <f t="shared" si="9"/>
        <v>584</v>
      </c>
      <c r="B587" s="17"/>
      <c r="C587" s="17"/>
      <c r="D587" s="17"/>
      <c r="E587" s="51"/>
      <c r="F587" s="50"/>
      <c r="G587" s="23"/>
      <c r="H587" s="24"/>
      <c r="I587" s="23"/>
      <c r="J587" s="19">
        <f>Таблица1[[#This Row],[Блок
 Куб]]*Таблица1[[#This Row],[Цена 
Приход]]</f>
        <v>0</v>
      </c>
      <c r="K587" s="25"/>
      <c r="L587" s="25"/>
      <c r="M587" s="19">
        <f>Таблица1[[#This Row],[Поддон
Шт]]*Таблица1[[#This Row],[Цена
Поддон]]</f>
        <v>0</v>
      </c>
      <c r="N587" s="19">
        <f>Таблица1[[#This Row],[Сумма 
Приход]]+Таблица1[[#This Row],[Сумма Поддон]]</f>
        <v>0</v>
      </c>
      <c r="O587" s="20"/>
      <c r="P587" s="19">
        <f>Таблица1[[#This Row],[Цена
 Продажа]]-Таблица1[[#This Row],[Цена 
Приход]]</f>
        <v>0</v>
      </c>
      <c r="Q587" s="19"/>
      <c r="R587" s="19">
        <f>Таблица1[[#This Row],[Блок
 Куб]]*Таблица1[[#This Row],[Цена
 Продажа]]</f>
        <v>0</v>
      </c>
      <c r="S587" s="20"/>
      <c r="T587" s="19">
        <f>Таблица1[[#This Row],[Сумма 
Продажа]]-Таблица1[[#This Row],[Сумма 
Приход]]</f>
        <v>0</v>
      </c>
      <c r="U587" s="150"/>
    </row>
    <row r="588" spans="1:21" ht="14.25" x14ac:dyDescent="0.2">
      <c r="A588" s="50">
        <f t="shared" si="9"/>
        <v>585</v>
      </c>
      <c r="B588" s="17"/>
      <c r="C588" s="17"/>
      <c r="D588" s="17"/>
      <c r="E588" s="51"/>
      <c r="F588" s="50"/>
      <c r="G588" s="23"/>
      <c r="H588" s="24"/>
      <c r="I588" s="23"/>
      <c r="J588" s="19">
        <f>Таблица1[[#This Row],[Блок
 Куб]]*Таблица1[[#This Row],[Цена 
Приход]]</f>
        <v>0</v>
      </c>
      <c r="K588" s="25"/>
      <c r="L588" s="25"/>
      <c r="M588" s="19">
        <f>Таблица1[[#This Row],[Поддон
Шт]]*Таблица1[[#This Row],[Цена
Поддон]]</f>
        <v>0</v>
      </c>
      <c r="N588" s="19">
        <f>Таблица1[[#This Row],[Сумма 
Приход]]+Таблица1[[#This Row],[Сумма Поддон]]</f>
        <v>0</v>
      </c>
      <c r="O588" s="20"/>
      <c r="P588" s="19">
        <f>Таблица1[[#This Row],[Цена
 Продажа]]-Таблица1[[#This Row],[Цена 
Приход]]</f>
        <v>0</v>
      </c>
      <c r="Q588" s="19"/>
      <c r="R588" s="19">
        <f>Таблица1[[#This Row],[Блок
 Куб]]*Таблица1[[#This Row],[Цена
 Продажа]]</f>
        <v>0</v>
      </c>
      <c r="S588" s="20"/>
      <c r="T588" s="19">
        <f>Таблица1[[#This Row],[Сумма 
Продажа]]-Таблица1[[#This Row],[Сумма 
Приход]]</f>
        <v>0</v>
      </c>
      <c r="U588" s="150"/>
    </row>
    <row r="589" spans="1:21" ht="14.25" x14ac:dyDescent="0.2">
      <c r="A589" s="50">
        <f t="shared" si="9"/>
        <v>586</v>
      </c>
      <c r="B589" s="17"/>
      <c r="C589" s="17"/>
      <c r="D589" s="17"/>
      <c r="E589" s="51"/>
      <c r="F589" s="50"/>
      <c r="G589" s="23"/>
      <c r="H589" s="24"/>
      <c r="I589" s="23"/>
      <c r="J589" s="19">
        <f>Таблица1[[#This Row],[Блок
 Куб]]*Таблица1[[#This Row],[Цена 
Приход]]</f>
        <v>0</v>
      </c>
      <c r="K589" s="25"/>
      <c r="L589" s="25"/>
      <c r="M589" s="19">
        <f>Таблица1[[#This Row],[Поддон
Шт]]*Таблица1[[#This Row],[Цена
Поддон]]</f>
        <v>0</v>
      </c>
      <c r="N589" s="19">
        <f>Таблица1[[#This Row],[Сумма 
Приход]]+Таблица1[[#This Row],[Сумма Поддон]]</f>
        <v>0</v>
      </c>
      <c r="O589" s="20"/>
      <c r="P589" s="19">
        <f>Таблица1[[#This Row],[Цена
 Продажа]]-Таблица1[[#This Row],[Цена 
Приход]]</f>
        <v>0</v>
      </c>
      <c r="Q589" s="19"/>
      <c r="R589" s="19">
        <f>Таблица1[[#This Row],[Блок
 Куб]]*Таблица1[[#This Row],[Цена
 Продажа]]</f>
        <v>0</v>
      </c>
      <c r="S589" s="20"/>
      <c r="T589" s="19">
        <f>Таблица1[[#This Row],[Сумма 
Продажа]]-Таблица1[[#This Row],[Сумма 
Приход]]</f>
        <v>0</v>
      </c>
      <c r="U589" s="150"/>
    </row>
    <row r="590" spans="1:21" ht="14.25" x14ac:dyDescent="0.2">
      <c r="A590" s="50">
        <f t="shared" si="9"/>
        <v>587</v>
      </c>
      <c r="B590" s="17"/>
      <c r="C590" s="17"/>
      <c r="D590" s="17"/>
      <c r="E590" s="51"/>
      <c r="F590" s="50"/>
      <c r="G590" s="23"/>
      <c r="H590" s="24"/>
      <c r="I590" s="23"/>
      <c r="J590" s="19">
        <f>Таблица1[[#This Row],[Блок
 Куб]]*Таблица1[[#This Row],[Цена 
Приход]]</f>
        <v>0</v>
      </c>
      <c r="K590" s="25"/>
      <c r="L590" s="25"/>
      <c r="M590" s="19">
        <f>Таблица1[[#This Row],[Поддон
Шт]]*Таблица1[[#This Row],[Цена
Поддон]]</f>
        <v>0</v>
      </c>
      <c r="N590" s="19">
        <f>Таблица1[[#This Row],[Сумма 
Приход]]+Таблица1[[#This Row],[Сумма Поддон]]</f>
        <v>0</v>
      </c>
      <c r="O590" s="20"/>
      <c r="P590" s="19">
        <f>Таблица1[[#This Row],[Цена
 Продажа]]-Таблица1[[#This Row],[Цена 
Приход]]</f>
        <v>0</v>
      </c>
      <c r="Q590" s="19"/>
      <c r="R590" s="19">
        <f>Таблица1[[#This Row],[Блок
 Куб]]*Таблица1[[#This Row],[Цена
 Продажа]]</f>
        <v>0</v>
      </c>
      <c r="S590" s="20"/>
      <c r="T590" s="19">
        <f>Таблица1[[#This Row],[Сумма 
Продажа]]-Таблица1[[#This Row],[Сумма 
Приход]]</f>
        <v>0</v>
      </c>
      <c r="U590" s="150"/>
    </row>
    <row r="591" spans="1:21" ht="14.25" x14ac:dyDescent="0.2">
      <c r="A591" s="50">
        <f t="shared" si="9"/>
        <v>588</v>
      </c>
      <c r="B591" s="17"/>
      <c r="C591" s="17"/>
      <c r="D591" s="17"/>
      <c r="E591" s="51"/>
      <c r="F591" s="50"/>
      <c r="G591" s="23"/>
      <c r="H591" s="24"/>
      <c r="I591" s="23"/>
      <c r="J591" s="19">
        <f>Таблица1[[#This Row],[Блок
 Куб]]*Таблица1[[#This Row],[Цена 
Приход]]</f>
        <v>0</v>
      </c>
      <c r="K591" s="25"/>
      <c r="L591" s="25"/>
      <c r="M591" s="19">
        <f>Таблица1[[#This Row],[Поддон
Шт]]*Таблица1[[#This Row],[Цена
Поддон]]</f>
        <v>0</v>
      </c>
      <c r="N591" s="19">
        <f>Таблица1[[#This Row],[Сумма 
Приход]]+Таблица1[[#This Row],[Сумма Поддон]]</f>
        <v>0</v>
      </c>
      <c r="O591" s="20"/>
      <c r="P591" s="19">
        <f>Таблица1[[#This Row],[Цена
 Продажа]]-Таблица1[[#This Row],[Цена 
Приход]]</f>
        <v>0</v>
      </c>
      <c r="Q591" s="19"/>
      <c r="R591" s="19">
        <f>Таблица1[[#This Row],[Блок
 Куб]]*Таблица1[[#This Row],[Цена
 Продажа]]</f>
        <v>0</v>
      </c>
      <c r="S591" s="20"/>
      <c r="T591" s="19">
        <f>Таблица1[[#This Row],[Сумма 
Продажа]]-Таблица1[[#This Row],[Сумма 
Приход]]</f>
        <v>0</v>
      </c>
      <c r="U591" s="150"/>
    </row>
    <row r="592" spans="1:21" ht="14.25" x14ac:dyDescent="0.2">
      <c r="A592" s="50">
        <f t="shared" si="9"/>
        <v>589</v>
      </c>
      <c r="B592" s="17"/>
      <c r="C592" s="17"/>
      <c r="D592" s="17"/>
      <c r="E592" s="51"/>
      <c r="F592" s="50"/>
      <c r="G592" s="23"/>
      <c r="H592" s="24"/>
      <c r="I592" s="23"/>
      <c r="J592" s="19">
        <f>Таблица1[[#This Row],[Блок
 Куб]]*Таблица1[[#This Row],[Цена 
Приход]]</f>
        <v>0</v>
      </c>
      <c r="K592" s="25"/>
      <c r="L592" s="25"/>
      <c r="M592" s="19">
        <f>Таблица1[[#This Row],[Поддон
Шт]]*Таблица1[[#This Row],[Цена
Поддон]]</f>
        <v>0</v>
      </c>
      <c r="N592" s="19">
        <f>Таблица1[[#This Row],[Сумма 
Приход]]+Таблица1[[#This Row],[Сумма Поддон]]</f>
        <v>0</v>
      </c>
      <c r="O592" s="20"/>
      <c r="P592" s="19">
        <f>Таблица1[[#This Row],[Цена
 Продажа]]-Таблица1[[#This Row],[Цена 
Приход]]</f>
        <v>0</v>
      </c>
      <c r="Q592" s="19"/>
      <c r="R592" s="19">
        <f>Таблица1[[#This Row],[Блок
 Куб]]*Таблица1[[#This Row],[Цена
 Продажа]]</f>
        <v>0</v>
      </c>
      <c r="S592" s="20"/>
      <c r="T592" s="19">
        <f>Таблица1[[#This Row],[Сумма 
Продажа]]-Таблица1[[#This Row],[Сумма 
Приход]]</f>
        <v>0</v>
      </c>
      <c r="U592" s="150"/>
    </row>
    <row r="593" spans="1:21" ht="14.25" x14ac:dyDescent="0.2">
      <c r="A593" s="50">
        <f t="shared" si="9"/>
        <v>590</v>
      </c>
      <c r="B593" s="17"/>
      <c r="C593" s="17"/>
      <c r="D593" s="17"/>
      <c r="E593" s="51"/>
      <c r="F593" s="50"/>
      <c r="G593" s="23"/>
      <c r="H593" s="24"/>
      <c r="I593" s="23"/>
      <c r="J593" s="19">
        <f>Таблица1[[#This Row],[Блок
 Куб]]*Таблица1[[#This Row],[Цена 
Приход]]</f>
        <v>0</v>
      </c>
      <c r="K593" s="25"/>
      <c r="L593" s="25"/>
      <c r="M593" s="19">
        <f>Таблица1[[#This Row],[Поддон
Шт]]*Таблица1[[#This Row],[Цена
Поддон]]</f>
        <v>0</v>
      </c>
      <c r="N593" s="19">
        <f>Таблица1[[#This Row],[Сумма 
Приход]]+Таблица1[[#This Row],[Сумма Поддон]]</f>
        <v>0</v>
      </c>
      <c r="O593" s="20"/>
      <c r="P593" s="19">
        <f>Таблица1[[#This Row],[Цена
 Продажа]]-Таблица1[[#This Row],[Цена 
Приход]]</f>
        <v>0</v>
      </c>
      <c r="Q593" s="19"/>
      <c r="R593" s="19">
        <f>Таблица1[[#This Row],[Блок
 Куб]]*Таблица1[[#This Row],[Цена
 Продажа]]</f>
        <v>0</v>
      </c>
      <c r="S593" s="20"/>
      <c r="T593" s="19">
        <f>Таблица1[[#This Row],[Сумма 
Продажа]]-Таблица1[[#This Row],[Сумма 
Приход]]</f>
        <v>0</v>
      </c>
      <c r="U593" s="150"/>
    </row>
    <row r="594" spans="1:21" ht="14.25" x14ac:dyDescent="0.2">
      <c r="A594" s="50">
        <f t="shared" si="9"/>
        <v>591</v>
      </c>
      <c r="B594" s="17"/>
      <c r="C594" s="17"/>
      <c r="D594" s="17"/>
      <c r="E594" s="51"/>
      <c r="F594" s="50"/>
      <c r="G594" s="23"/>
      <c r="H594" s="24"/>
      <c r="I594" s="23"/>
      <c r="J594" s="19">
        <f>Таблица1[[#This Row],[Блок
 Куб]]*Таблица1[[#This Row],[Цена 
Приход]]</f>
        <v>0</v>
      </c>
      <c r="K594" s="25"/>
      <c r="L594" s="25"/>
      <c r="M594" s="19">
        <f>Таблица1[[#This Row],[Поддон
Шт]]*Таблица1[[#This Row],[Цена
Поддон]]</f>
        <v>0</v>
      </c>
      <c r="N594" s="19">
        <f>Таблица1[[#This Row],[Сумма 
Приход]]+Таблица1[[#This Row],[Сумма Поддон]]</f>
        <v>0</v>
      </c>
      <c r="O594" s="20"/>
      <c r="P594" s="19">
        <f>Таблица1[[#This Row],[Цена
 Продажа]]-Таблица1[[#This Row],[Цена 
Приход]]</f>
        <v>0</v>
      </c>
      <c r="Q594" s="19"/>
      <c r="R594" s="19">
        <f>Таблица1[[#This Row],[Блок
 Куб]]*Таблица1[[#This Row],[Цена
 Продажа]]</f>
        <v>0</v>
      </c>
      <c r="S594" s="20"/>
      <c r="T594" s="19">
        <f>Таблица1[[#This Row],[Сумма 
Продажа]]-Таблица1[[#This Row],[Сумма 
Приход]]</f>
        <v>0</v>
      </c>
      <c r="U594" s="150"/>
    </row>
    <row r="595" spans="1:21" ht="14.25" x14ac:dyDescent="0.2">
      <c r="A595" s="50">
        <f t="shared" si="9"/>
        <v>592</v>
      </c>
      <c r="B595" s="17"/>
      <c r="C595" s="17"/>
      <c r="D595" s="17"/>
      <c r="E595" s="51"/>
      <c r="F595" s="50"/>
      <c r="G595" s="23"/>
      <c r="H595" s="24"/>
      <c r="I595" s="23"/>
      <c r="J595" s="19">
        <f>Таблица1[[#This Row],[Блок
 Куб]]*Таблица1[[#This Row],[Цена 
Приход]]</f>
        <v>0</v>
      </c>
      <c r="K595" s="25"/>
      <c r="L595" s="25"/>
      <c r="M595" s="19">
        <f>Таблица1[[#This Row],[Поддон
Шт]]*Таблица1[[#This Row],[Цена
Поддон]]</f>
        <v>0</v>
      </c>
      <c r="N595" s="19">
        <f>Таблица1[[#This Row],[Сумма 
Приход]]+Таблица1[[#This Row],[Сумма Поддон]]</f>
        <v>0</v>
      </c>
      <c r="O595" s="20"/>
      <c r="P595" s="19">
        <f>Таблица1[[#This Row],[Цена
 Продажа]]-Таблица1[[#This Row],[Цена 
Приход]]</f>
        <v>0</v>
      </c>
      <c r="Q595" s="19"/>
      <c r="R595" s="19">
        <f>Таблица1[[#This Row],[Блок
 Куб]]*Таблица1[[#This Row],[Цена
 Продажа]]</f>
        <v>0</v>
      </c>
      <c r="S595" s="20"/>
      <c r="T595" s="19">
        <f>Таблица1[[#This Row],[Сумма 
Продажа]]-Таблица1[[#This Row],[Сумма 
Приход]]</f>
        <v>0</v>
      </c>
      <c r="U595" s="150"/>
    </row>
    <row r="596" spans="1:21" ht="14.25" x14ac:dyDescent="0.2">
      <c r="A596" s="50">
        <f t="shared" si="9"/>
        <v>593</v>
      </c>
      <c r="B596" s="17"/>
      <c r="C596" s="17"/>
      <c r="D596" s="17"/>
      <c r="E596" s="51"/>
      <c r="F596" s="50"/>
      <c r="G596" s="23"/>
      <c r="H596" s="24"/>
      <c r="I596" s="23"/>
      <c r="J596" s="19">
        <f>Таблица1[[#This Row],[Блок
 Куб]]*Таблица1[[#This Row],[Цена 
Приход]]</f>
        <v>0</v>
      </c>
      <c r="K596" s="25"/>
      <c r="L596" s="25"/>
      <c r="M596" s="19">
        <f>Таблица1[[#This Row],[Поддон
Шт]]*Таблица1[[#This Row],[Цена
Поддон]]</f>
        <v>0</v>
      </c>
      <c r="N596" s="19">
        <f>Таблица1[[#This Row],[Сумма 
Приход]]+Таблица1[[#This Row],[Сумма Поддон]]</f>
        <v>0</v>
      </c>
      <c r="O596" s="20"/>
      <c r="P596" s="19">
        <f>Таблица1[[#This Row],[Цена
 Продажа]]-Таблица1[[#This Row],[Цена 
Приход]]</f>
        <v>0</v>
      </c>
      <c r="Q596" s="19"/>
      <c r="R596" s="19">
        <f>Таблица1[[#This Row],[Блок
 Куб]]*Таблица1[[#This Row],[Цена
 Продажа]]</f>
        <v>0</v>
      </c>
      <c r="S596" s="20"/>
      <c r="T596" s="19">
        <f>Таблица1[[#This Row],[Сумма 
Продажа]]-Таблица1[[#This Row],[Сумма 
Приход]]</f>
        <v>0</v>
      </c>
      <c r="U596" s="150"/>
    </row>
    <row r="597" spans="1:21" ht="14.25" x14ac:dyDescent="0.2">
      <c r="A597" s="50">
        <f t="shared" si="9"/>
        <v>594</v>
      </c>
      <c r="B597" s="17"/>
      <c r="C597" s="17"/>
      <c r="D597" s="17"/>
      <c r="E597" s="51"/>
      <c r="F597" s="50"/>
      <c r="G597" s="23"/>
      <c r="H597" s="24"/>
      <c r="I597" s="23"/>
      <c r="J597" s="19">
        <f>Таблица1[[#This Row],[Блок
 Куб]]*Таблица1[[#This Row],[Цена 
Приход]]</f>
        <v>0</v>
      </c>
      <c r="K597" s="25"/>
      <c r="L597" s="25"/>
      <c r="M597" s="19">
        <f>Таблица1[[#This Row],[Поддон
Шт]]*Таблица1[[#This Row],[Цена
Поддон]]</f>
        <v>0</v>
      </c>
      <c r="N597" s="19">
        <f>Таблица1[[#This Row],[Сумма 
Приход]]+Таблица1[[#This Row],[Сумма Поддон]]</f>
        <v>0</v>
      </c>
      <c r="O597" s="20"/>
      <c r="P597" s="19">
        <f>Таблица1[[#This Row],[Цена
 Продажа]]-Таблица1[[#This Row],[Цена 
Приход]]</f>
        <v>0</v>
      </c>
      <c r="Q597" s="19"/>
      <c r="R597" s="19">
        <f>Таблица1[[#This Row],[Блок
 Куб]]*Таблица1[[#This Row],[Цена
 Продажа]]</f>
        <v>0</v>
      </c>
      <c r="S597" s="20"/>
      <c r="T597" s="19">
        <f>Таблица1[[#This Row],[Сумма 
Продажа]]-Таблица1[[#This Row],[Сумма 
Приход]]</f>
        <v>0</v>
      </c>
      <c r="U597" s="150"/>
    </row>
    <row r="598" spans="1:21" ht="14.25" x14ac:dyDescent="0.2">
      <c r="A598" s="50">
        <f t="shared" si="9"/>
        <v>595</v>
      </c>
      <c r="B598" s="17"/>
      <c r="C598" s="17"/>
      <c r="D598" s="17"/>
      <c r="E598" s="51"/>
      <c r="F598" s="50"/>
      <c r="G598" s="23"/>
      <c r="H598" s="24"/>
      <c r="I598" s="23"/>
      <c r="J598" s="19">
        <f>Таблица1[[#This Row],[Блок
 Куб]]*Таблица1[[#This Row],[Цена 
Приход]]</f>
        <v>0</v>
      </c>
      <c r="K598" s="25"/>
      <c r="L598" s="25"/>
      <c r="M598" s="19">
        <f>Таблица1[[#This Row],[Поддон
Шт]]*Таблица1[[#This Row],[Цена
Поддон]]</f>
        <v>0</v>
      </c>
      <c r="N598" s="19">
        <f>Таблица1[[#This Row],[Сумма 
Приход]]+Таблица1[[#This Row],[Сумма Поддон]]</f>
        <v>0</v>
      </c>
      <c r="O598" s="20"/>
      <c r="P598" s="19">
        <f>Таблица1[[#This Row],[Цена
 Продажа]]-Таблица1[[#This Row],[Цена 
Приход]]</f>
        <v>0</v>
      </c>
      <c r="Q598" s="19"/>
      <c r="R598" s="19">
        <f>Таблица1[[#This Row],[Блок
 Куб]]*Таблица1[[#This Row],[Цена
 Продажа]]</f>
        <v>0</v>
      </c>
      <c r="S598" s="20"/>
      <c r="T598" s="19">
        <f>Таблица1[[#This Row],[Сумма 
Продажа]]-Таблица1[[#This Row],[Сумма 
Приход]]</f>
        <v>0</v>
      </c>
      <c r="U598" s="150"/>
    </row>
    <row r="599" spans="1:21" ht="14.25" x14ac:dyDescent="0.2">
      <c r="A599" s="50">
        <f t="shared" si="9"/>
        <v>596</v>
      </c>
      <c r="B599" s="17"/>
      <c r="C599" s="17"/>
      <c r="D599" s="17"/>
      <c r="E599" s="51"/>
      <c r="F599" s="50"/>
      <c r="G599" s="23"/>
      <c r="H599" s="24"/>
      <c r="I599" s="23"/>
      <c r="J599" s="19">
        <f>Таблица1[[#This Row],[Блок
 Куб]]*Таблица1[[#This Row],[Цена 
Приход]]</f>
        <v>0</v>
      </c>
      <c r="K599" s="25"/>
      <c r="L599" s="25"/>
      <c r="M599" s="19">
        <f>Таблица1[[#This Row],[Поддон
Шт]]*Таблица1[[#This Row],[Цена
Поддон]]</f>
        <v>0</v>
      </c>
      <c r="N599" s="19">
        <f>Таблица1[[#This Row],[Сумма 
Приход]]+Таблица1[[#This Row],[Сумма Поддон]]</f>
        <v>0</v>
      </c>
      <c r="O599" s="20"/>
      <c r="P599" s="19">
        <f>Таблица1[[#This Row],[Цена
 Продажа]]-Таблица1[[#This Row],[Цена 
Приход]]</f>
        <v>0</v>
      </c>
      <c r="Q599" s="19"/>
      <c r="R599" s="19">
        <f>Таблица1[[#This Row],[Блок
 Куб]]*Таблица1[[#This Row],[Цена
 Продажа]]</f>
        <v>0</v>
      </c>
      <c r="S599" s="20"/>
      <c r="T599" s="19">
        <f>Таблица1[[#This Row],[Сумма 
Продажа]]-Таблица1[[#This Row],[Сумма 
Приход]]</f>
        <v>0</v>
      </c>
      <c r="U599" s="150"/>
    </row>
    <row r="600" spans="1:21" ht="14.25" x14ac:dyDescent="0.2">
      <c r="A600" s="50">
        <f t="shared" si="9"/>
        <v>597</v>
      </c>
      <c r="B600" s="17"/>
      <c r="C600" s="17"/>
      <c r="D600" s="17"/>
      <c r="E600" s="51"/>
      <c r="F600" s="50"/>
      <c r="G600" s="23"/>
      <c r="H600" s="24"/>
      <c r="I600" s="23"/>
      <c r="J600" s="19">
        <f>Таблица1[[#This Row],[Блок
 Куб]]*Таблица1[[#This Row],[Цена 
Приход]]</f>
        <v>0</v>
      </c>
      <c r="K600" s="25"/>
      <c r="L600" s="25"/>
      <c r="M600" s="19">
        <f>Таблица1[[#This Row],[Поддон
Шт]]*Таблица1[[#This Row],[Цена
Поддон]]</f>
        <v>0</v>
      </c>
      <c r="N600" s="19">
        <f>Таблица1[[#This Row],[Сумма 
Приход]]+Таблица1[[#This Row],[Сумма Поддон]]</f>
        <v>0</v>
      </c>
      <c r="O600" s="20"/>
      <c r="P600" s="19">
        <f>Таблица1[[#This Row],[Цена
 Продажа]]-Таблица1[[#This Row],[Цена 
Приход]]</f>
        <v>0</v>
      </c>
      <c r="Q600" s="19"/>
      <c r="R600" s="19">
        <f>Таблица1[[#This Row],[Блок
 Куб]]*Таблица1[[#This Row],[Цена
 Продажа]]</f>
        <v>0</v>
      </c>
      <c r="S600" s="20"/>
      <c r="T600" s="19">
        <f>Таблица1[[#This Row],[Сумма 
Продажа]]-Таблица1[[#This Row],[Сумма 
Приход]]</f>
        <v>0</v>
      </c>
      <c r="U600" s="150"/>
    </row>
    <row r="601" spans="1:21" ht="14.25" x14ac:dyDescent="0.2">
      <c r="A601" s="50">
        <f t="shared" si="9"/>
        <v>598</v>
      </c>
      <c r="B601" s="17"/>
      <c r="C601" s="17"/>
      <c r="D601" s="17"/>
      <c r="E601" s="51"/>
      <c r="F601" s="50"/>
      <c r="G601" s="23"/>
      <c r="H601" s="24"/>
      <c r="I601" s="23"/>
      <c r="J601" s="19">
        <f>Таблица1[[#This Row],[Блок
 Куб]]*Таблица1[[#This Row],[Цена 
Приход]]</f>
        <v>0</v>
      </c>
      <c r="K601" s="25"/>
      <c r="L601" s="25"/>
      <c r="M601" s="19">
        <f>Таблица1[[#This Row],[Поддон
Шт]]*Таблица1[[#This Row],[Цена
Поддон]]</f>
        <v>0</v>
      </c>
      <c r="N601" s="19">
        <f>Таблица1[[#This Row],[Сумма 
Приход]]+Таблица1[[#This Row],[Сумма Поддон]]</f>
        <v>0</v>
      </c>
      <c r="O601" s="20"/>
      <c r="P601" s="19">
        <f>Таблица1[[#This Row],[Цена
 Продажа]]-Таблица1[[#This Row],[Цена 
Приход]]</f>
        <v>0</v>
      </c>
      <c r="Q601" s="19"/>
      <c r="R601" s="19">
        <f>Таблица1[[#This Row],[Блок
 Куб]]*Таблица1[[#This Row],[Цена
 Продажа]]</f>
        <v>0</v>
      </c>
      <c r="S601" s="20"/>
      <c r="T601" s="19">
        <f>Таблица1[[#This Row],[Сумма 
Продажа]]-Таблица1[[#This Row],[Сумма 
Приход]]</f>
        <v>0</v>
      </c>
      <c r="U601" s="150"/>
    </row>
    <row r="602" spans="1:21" ht="14.25" x14ac:dyDescent="0.2">
      <c r="A602" s="50">
        <f t="shared" si="9"/>
        <v>599</v>
      </c>
      <c r="B602" s="17"/>
      <c r="C602" s="17"/>
      <c r="D602" s="17"/>
      <c r="E602" s="51"/>
      <c r="F602" s="50"/>
      <c r="G602" s="23"/>
      <c r="H602" s="24"/>
      <c r="I602" s="23"/>
      <c r="J602" s="19">
        <f>Таблица1[[#This Row],[Блок
 Куб]]*Таблица1[[#This Row],[Цена 
Приход]]</f>
        <v>0</v>
      </c>
      <c r="K602" s="25"/>
      <c r="L602" s="25"/>
      <c r="M602" s="19">
        <f>Таблица1[[#This Row],[Поддон
Шт]]*Таблица1[[#This Row],[Цена
Поддон]]</f>
        <v>0</v>
      </c>
      <c r="N602" s="19">
        <f>Таблица1[[#This Row],[Сумма 
Приход]]+Таблица1[[#This Row],[Сумма Поддон]]</f>
        <v>0</v>
      </c>
      <c r="O602" s="20"/>
      <c r="P602" s="19">
        <f>Таблица1[[#This Row],[Цена
 Продажа]]-Таблица1[[#This Row],[Цена 
Приход]]</f>
        <v>0</v>
      </c>
      <c r="Q602" s="19"/>
      <c r="R602" s="19">
        <f>Таблица1[[#This Row],[Блок
 Куб]]*Таблица1[[#This Row],[Цена
 Продажа]]</f>
        <v>0</v>
      </c>
      <c r="S602" s="20"/>
      <c r="T602" s="19">
        <f>Таблица1[[#This Row],[Сумма 
Продажа]]-Таблица1[[#This Row],[Сумма 
Приход]]</f>
        <v>0</v>
      </c>
      <c r="U602" s="150"/>
    </row>
    <row r="603" spans="1:21" ht="14.25" x14ac:dyDescent="0.2">
      <c r="A603" s="50">
        <f t="shared" si="9"/>
        <v>600</v>
      </c>
      <c r="B603" s="17"/>
      <c r="C603" s="17"/>
      <c r="D603" s="17"/>
      <c r="E603" s="51"/>
      <c r="F603" s="50"/>
      <c r="G603" s="23"/>
      <c r="H603" s="24"/>
      <c r="I603" s="23"/>
      <c r="J603" s="19">
        <f>Таблица1[[#This Row],[Блок
 Куб]]*Таблица1[[#This Row],[Цена 
Приход]]</f>
        <v>0</v>
      </c>
      <c r="K603" s="25"/>
      <c r="L603" s="25"/>
      <c r="M603" s="19">
        <f>Таблица1[[#This Row],[Поддон
Шт]]*Таблица1[[#This Row],[Цена
Поддон]]</f>
        <v>0</v>
      </c>
      <c r="N603" s="19">
        <f>Таблица1[[#This Row],[Сумма 
Приход]]+Таблица1[[#This Row],[Сумма Поддон]]</f>
        <v>0</v>
      </c>
      <c r="O603" s="20"/>
      <c r="P603" s="19">
        <f>Таблица1[[#This Row],[Цена
 Продажа]]-Таблица1[[#This Row],[Цена 
Приход]]</f>
        <v>0</v>
      </c>
      <c r="Q603" s="19"/>
      <c r="R603" s="19">
        <f>Таблица1[[#This Row],[Блок
 Куб]]*Таблица1[[#This Row],[Цена
 Продажа]]</f>
        <v>0</v>
      </c>
      <c r="S603" s="20"/>
      <c r="T603" s="19">
        <f>Таблица1[[#This Row],[Сумма 
Продажа]]-Таблица1[[#This Row],[Сумма 
Приход]]</f>
        <v>0</v>
      </c>
      <c r="U603" s="150"/>
    </row>
    <row r="604" spans="1:21" ht="14.25" x14ac:dyDescent="0.2">
      <c r="A604" s="50">
        <f t="shared" si="9"/>
        <v>601</v>
      </c>
      <c r="B604" s="17"/>
      <c r="C604" s="17"/>
      <c r="D604" s="17"/>
      <c r="E604" s="51"/>
      <c r="F604" s="50"/>
      <c r="G604" s="23"/>
      <c r="H604" s="24"/>
      <c r="I604" s="23"/>
      <c r="J604" s="19">
        <f>Таблица1[[#This Row],[Блок
 Куб]]*Таблица1[[#This Row],[Цена 
Приход]]</f>
        <v>0</v>
      </c>
      <c r="K604" s="25"/>
      <c r="L604" s="25"/>
      <c r="M604" s="19">
        <f>Таблица1[[#This Row],[Поддон
Шт]]*Таблица1[[#This Row],[Цена
Поддон]]</f>
        <v>0</v>
      </c>
      <c r="N604" s="19">
        <f>Таблица1[[#This Row],[Сумма 
Приход]]+Таблица1[[#This Row],[Сумма Поддон]]</f>
        <v>0</v>
      </c>
      <c r="O604" s="20"/>
      <c r="P604" s="19">
        <f>Таблица1[[#This Row],[Цена
 Продажа]]-Таблица1[[#This Row],[Цена 
Приход]]</f>
        <v>0</v>
      </c>
      <c r="Q604" s="19"/>
      <c r="R604" s="19">
        <f>Таблица1[[#This Row],[Блок
 Куб]]*Таблица1[[#This Row],[Цена
 Продажа]]</f>
        <v>0</v>
      </c>
      <c r="S604" s="20"/>
      <c r="T604" s="19">
        <f>Таблица1[[#This Row],[Сумма 
Продажа]]-Таблица1[[#This Row],[Сумма 
Приход]]</f>
        <v>0</v>
      </c>
      <c r="U604" s="150"/>
    </row>
    <row r="605" spans="1:21" ht="14.25" x14ac:dyDescent="0.2">
      <c r="A605" s="50">
        <f t="shared" si="9"/>
        <v>602</v>
      </c>
      <c r="B605" s="17"/>
      <c r="C605" s="17"/>
      <c r="D605" s="17"/>
      <c r="E605" s="51"/>
      <c r="F605" s="50"/>
      <c r="G605" s="23"/>
      <c r="H605" s="24"/>
      <c r="I605" s="23"/>
      <c r="J605" s="19">
        <f>Таблица1[[#This Row],[Блок
 Куб]]*Таблица1[[#This Row],[Цена 
Приход]]</f>
        <v>0</v>
      </c>
      <c r="K605" s="25"/>
      <c r="L605" s="25"/>
      <c r="M605" s="19">
        <f>Таблица1[[#This Row],[Поддон
Шт]]*Таблица1[[#This Row],[Цена
Поддон]]</f>
        <v>0</v>
      </c>
      <c r="N605" s="19">
        <f>Таблица1[[#This Row],[Сумма 
Приход]]+Таблица1[[#This Row],[Сумма Поддон]]</f>
        <v>0</v>
      </c>
      <c r="O605" s="20"/>
      <c r="P605" s="19">
        <f>Таблица1[[#This Row],[Цена
 Продажа]]-Таблица1[[#This Row],[Цена 
Приход]]</f>
        <v>0</v>
      </c>
      <c r="Q605" s="19"/>
      <c r="R605" s="19">
        <f>Таблица1[[#This Row],[Блок
 Куб]]*Таблица1[[#This Row],[Цена
 Продажа]]</f>
        <v>0</v>
      </c>
      <c r="S605" s="20"/>
      <c r="T605" s="19">
        <f>Таблица1[[#This Row],[Сумма 
Продажа]]-Таблица1[[#This Row],[Сумма 
Приход]]</f>
        <v>0</v>
      </c>
      <c r="U605" s="150"/>
    </row>
    <row r="606" spans="1:21" ht="14.25" x14ac:dyDescent="0.2">
      <c r="A606" s="50">
        <f t="shared" si="9"/>
        <v>603</v>
      </c>
      <c r="B606" s="17"/>
      <c r="C606" s="17"/>
      <c r="D606" s="17"/>
      <c r="E606" s="51"/>
      <c r="F606" s="50"/>
      <c r="G606" s="23"/>
      <c r="H606" s="24"/>
      <c r="I606" s="23"/>
      <c r="J606" s="19">
        <f>Таблица1[[#This Row],[Блок
 Куб]]*Таблица1[[#This Row],[Цена 
Приход]]</f>
        <v>0</v>
      </c>
      <c r="K606" s="25"/>
      <c r="L606" s="25"/>
      <c r="M606" s="19">
        <f>Таблица1[[#This Row],[Поддон
Шт]]*Таблица1[[#This Row],[Цена
Поддон]]</f>
        <v>0</v>
      </c>
      <c r="N606" s="19">
        <f>Таблица1[[#This Row],[Сумма 
Приход]]+Таблица1[[#This Row],[Сумма Поддон]]</f>
        <v>0</v>
      </c>
      <c r="O606" s="20"/>
      <c r="P606" s="19">
        <f>Таблица1[[#This Row],[Цена
 Продажа]]-Таблица1[[#This Row],[Цена 
Приход]]</f>
        <v>0</v>
      </c>
      <c r="Q606" s="19"/>
      <c r="R606" s="19">
        <f>Таблица1[[#This Row],[Блок
 Куб]]*Таблица1[[#This Row],[Цена
 Продажа]]</f>
        <v>0</v>
      </c>
      <c r="S606" s="20"/>
      <c r="T606" s="19">
        <f>Таблица1[[#This Row],[Сумма 
Продажа]]-Таблица1[[#This Row],[Сумма 
Приход]]</f>
        <v>0</v>
      </c>
      <c r="U606" s="150"/>
    </row>
    <row r="607" spans="1:21" ht="14.25" x14ac:dyDescent="0.2">
      <c r="A607" s="50">
        <f t="shared" si="9"/>
        <v>604</v>
      </c>
      <c r="B607" s="17"/>
      <c r="C607" s="17"/>
      <c r="D607" s="17"/>
      <c r="E607" s="51"/>
      <c r="F607" s="50"/>
      <c r="G607" s="23"/>
      <c r="H607" s="24"/>
      <c r="I607" s="23"/>
      <c r="J607" s="19">
        <f>Таблица1[[#This Row],[Блок
 Куб]]*Таблица1[[#This Row],[Цена 
Приход]]</f>
        <v>0</v>
      </c>
      <c r="K607" s="25"/>
      <c r="L607" s="25"/>
      <c r="M607" s="19">
        <f>Таблица1[[#This Row],[Поддон
Шт]]*Таблица1[[#This Row],[Цена
Поддон]]</f>
        <v>0</v>
      </c>
      <c r="N607" s="19">
        <f>Таблица1[[#This Row],[Сумма 
Приход]]+Таблица1[[#This Row],[Сумма Поддон]]</f>
        <v>0</v>
      </c>
      <c r="O607" s="20"/>
      <c r="P607" s="19">
        <f>Таблица1[[#This Row],[Цена
 Продажа]]-Таблица1[[#This Row],[Цена 
Приход]]</f>
        <v>0</v>
      </c>
      <c r="Q607" s="19"/>
      <c r="R607" s="19">
        <f>Таблица1[[#This Row],[Блок
 Куб]]*Таблица1[[#This Row],[Цена
 Продажа]]</f>
        <v>0</v>
      </c>
      <c r="S607" s="20"/>
      <c r="T607" s="19">
        <f>Таблица1[[#This Row],[Сумма 
Продажа]]-Таблица1[[#This Row],[Сумма 
Приход]]</f>
        <v>0</v>
      </c>
      <c r="U607" s="150"/>
    </row>
    <row r="608" spans="1:21" ht="14.25" x14ac:dyDescent="0.2">
      <c r="A608" s="50">
        <f t="shared" si="9"/>
        <v>605</v>
      </c>
      <c r="B608" s="17"/>
      <c r="C608" s="17"/>
      <c r="D608" s="17"/>
      <c r="E608" s="51"/>
      <c r="F608" s="50"/>
      <c r="G608" s="23"/>
      <c r="H608" s="24"/>
      <c r="I608" s="23"/>
      <c r="J608" s="19">
        <f>Таблица1[[#This Row],[Блок
 Куб]]*Таблица1[[#This Row],[Цена 
Приход]]</f>
        <v>0</v>
      </c>
      <c r="K608" s="25"/>
      <c r="L608" s="25"/>
      <c r="M608" s="19">
        <f>Таблица1[[#This Row],[Поддон
Шт]]*Таблица1[[#This Row],[Цена
Поддон]]</f>
        <v>0</v>
      </c>
      <c r="N608" s="19">
        <f>Таблица1[[#This Row],[Сумма 
Приход]]+Таблица1[[#This Row],[Сумма Поддон]]</f>
        <v>0</v>
      </c>
      <c r="O608" s="20"/>
      <c r="P608" s="19">
        <f>Таблица1[[#This Row],[Цена
 Продажа]]-Таблица1[[#This Row],[Цена 
Приход]]</f>
        <v>0</v>
      </c>
      <c r="Q608" s="19"/>
      <c r="R608" s="19">
        <f>Таблица1[[#This Row],[Блок
 Куб]]*Таблица1[[#This Row],[Цена
 Продажа]]</f>
        <v>0</v>
      </c>
      <c r="S608" s="20"/>
      <c r="T608" s="19">
        <f>Таблица1[[#This Row],[Сумма 
Продажа]]-Таблица1[[#This Row],[Сумма 
Приход]]</f>
        <v>0</v>
      </c>
      <c r="U608" s="150"/>
    </row>
    <row r="609" spans="1:21" ht="14.25" x14ac:dyDescent="0.2">
      <c r="A609" s="50">
        <f t="shared" si="9"/>
        <v>606</v>
      </c>
      <c r="B609" s="17"/>
      <c r="C609" s="17"/>
      <c r="D609" s="17"/>
      <c r="E609" s="51"/>
      <c r="F609" s="50"/>
      <c r="G609" s="23"/>
      <c r="H609" s="24"/>
      <c r="I609" s="23"/>
      <c r="J609" s="19">
        <f>Таблица1[[#This Row],[Блок
 Куб]]*Таблица1[[#This Row],[Цена 
Приход]]</f>
        <v>0</v>
      </c>
      <c r="K609" s="25"/>
      <c r="L609" s="25"/>
      <c r="M609" s="19">
        <f>Таблица1[[#This Row],[Поддон
Шт]]*Таблица1[[#This Row],[Цена
Поддон]]</f>
        <v>0</v>
      </c>
      <c r="N609" s="19">
        <f>Таблица1[[#This Row],[Сумма 
Приход]]+Таблица1[[#This Row],[Сумма Поддон]]</f>
        <v>0</v>
      </c>
      <c r="O609" s="20"/>
      <c r="P609" s="19">
        <f>Таблица1[[#This Row],[Цена
 Продажа]]-Таблица1[[#This Row],[Цена 
Приход]]</f>
        <v>0</v>
      </c>
      <c r="Q609" s="19"/>
      <c r="R609" s="19">
        <f>Таблица1[[#This Row],[Блок
 Куб]]*Таблица1[[#This Row],[Цена
 Продажа]]</f>
        <v>0</v>
      </c>
      <c r="S609" s="20"/>
      <c r="T609" s="19">
        <f>Таблица1[[#This Row],[Сумма 
Продажа]]-Таблица1[[#This Row],[Сумма 
Приход]]</f>
        <v>0</v>
      </c>
      <c r="U609" s="150"/>
    </row>
    <row r="610" spans="1:21" ht="14.25" x14ac:dyDescent="0.2">
      <c r="A610" s="50">
        <f t="shared" si="9"/>
        <v>607</v>
      </c>
      <c r="B610" s="17"/>
      <c r="C610" s="17"/>
      <c r="D610" s="17"/>
      <c r="E610" s="51"/>
      <c r="F610" s="50"/>
      <c r="G610" s="23"/>
      <c r="H610" s="24"/>
      <c r="I610" s="23"/>
      <c r="J610" s="19">
        <f>Таблица1[[#This Row],[Блок
 Куб]]*Таблица1[[#This Row],[Цена 
Приход]]</f>
        <v>0</v>
      </c>
      <c r="K610" s="25"/>
      <c r="L610" s="25"/>
      <c r="M610" s="19">
        <f>Таблица1[[#This Row],[Поддон
Шт]]*Таблица1[[#This Row],[Цена
Поддон]]</f>
        <v>0</v>
      </c>
      <c r="N610" s="19">
        <f>Таблица1[[#This Row],[Сумма 
Приход]]+Таблица1[[#This Row],[Сумма Поддон]]</f>
        <v>0</v>
      </c>
      <c r="O610" s="20"/>
      <c r="P610" s="19">
        <f>Таблица1[[#This Row],[Цена
 Продажа]]-Таблица1[[#This Row],[Цена 
Приход]]</f>
        <v>0</v>
      </c>
      <c r="Q610" s="19"/>
      <c r="R610" s="19">
        <f>Таблица1[[#This Row],[Блок
 Куб]]*Таблица1[[#This Row],[Цена
 Продажа]]</f>
        <v>0</v>
      </c>
      <c r="S610" s="20"/>
      <c r="T610" s="19">
        <f>Таблица1[[#This Row],[Сумма 
Продажа]]-Таблица1[[#This Row],[Сумма 
Приход]]</f>
        <v>0</v>
      </c>
      <c r="U610" s="150"/>
    </row>
    <row r="611" spans="1:21" ht="14.25" x14ac:dyDescent="0.2">
      <c r="A611" s="50">
        <f t="shared" si="9"/>
        <v>608</v>
      </c>
      <c r="B611" s="17"/>
      <c r="C611" s="17"/>
      <c r="D611" s="17"/>
      <c r="E611" s="51"/>
      <c r="F611" s="50"/>
      <c r="G611" s="23"/>
      <c r="H611" s="24"/>
      <c r="I611" s="23"/>
      <c r="J611" s="19">
        <f>Таблица1[[#This Row],[Блок
 Куб]]*Таблица1[[#This Row],[Цена 
Приход]]</f>
        <v>0</v>
      </c>
      <c r="K611" s="25"/>
      <c r="L611" s="25"/>
      <c r="M611" s="19">
        <f>Таблица1[[#This Row],[Поддон
Шт]]*Таблица1[[#This Row],[Цена
Поддон]]</f>
        <v>0</v>
      </c>
      <c r="N611" s="19">
        <f>Таблица1[[#This Row],[Сумма 
Приход]]+Таблица1[[#This Row],[Сумма Поддон]]</f>
        <v>0</v>
      </c>
      <c r="O611" s="20"/>
      <c r="P611" s="19">
        <f>Таблица1[[#This Row],[Цена
 Продажа]]-Таблица1[[#This Row],[Цена 
Приход]]</f>
        <v>0</v>
      </c>
      <c r="Q611" s="19"/>
      <c r="R611" s="19">
        <f>Таблица1[[#This Row],[Блок
 Куб]]*Таблица1[[#This Row],[Цена
 Продажа]]</f>
        <v>0</v>
      </c>
      <c r="S611" s="20"/>
      <c r="T611" s="19">
        <f>Таблица1[[#This Row],[Сумма 
Продажа]]-Таблица1[[#This Row],[Сумма 
Приход]]</f>
        <v>0</v>
      </c>
      <c r="U611" s="150"/>
    </row>
    <row r="612" spans="1:21" ht="14.25" x14ac:dyDescent="0.2">
      <c r="A612" s="50">
        <f t="shared" si="9"/>
        <v>609</v>
      </c>
      <c r="B612" s="17"/>
      <c r="C612" s="17"/>
      <c r="D612" s="17"/>
      <c r="E612" s="51"/>
      <c r="F612" s="50"/>
      <c r="G612" s="23"/>
      <c r="H612" s="24"/>
      <c r="I612" s="23"/>
      <c r="J612" s="19">
        <f>Таблица1[[#This Row],[Блок
 Куб]]*Таблица1[[#This Row],[Цена 
Приход]]</f>
        <v>0</v>
      </c>
      <c r="K612" s="25"/>
      <c r="L612" s="25"/>
      <c r="M612" s="19">
        <f>Таблица1[[#This Row],[Поддон
Шт]]*Таблица1[[#This Row],[Цена
Поддон]]</f>
        <v>0</v>
      </c>
      <c r="N612" s="19">
        <f>Таблица1[[#This Row],[Сумма 
Приход]]+Таблица1[[#This Row],[Сумма Поддон]]</f>
        <v>0</v>
      </c>
      <c r="O612" s="20"/>
      <c r="P612" s="19">
        <f>Таблица1[[#This Row],[Цена
 Продажа]]-Таблица1[[#This Row],[Цена 
Приход]]</f>
        <v>0</v>
      </c>
      <c r="Q612" s="19"/>
      <c r="R612" s="19">
        <f>Таблица1[[#This Row],[Блок
 Куб]]*Таблица1[[#This Row],[Цена
 Продажа]]</f>
        <v>0</v>
      </c>
      <c r="S612" s="20"/>
      <c r="T612" s="19">
        <f>Таблица1[[#This Row],[Сумма 
Продажа]]-Таблица1[[#This Row],[Сумма 
Приход]]</f>
        <v>0</v>
      </c>
      <c r="U612" s="150"/>
    </row>
    <row r="613" spans="1:21" ht="14.25" x14ac:dyDescent="0.2">
      <c r="A613" s="50">
        <f t="shared" si="9"/>
        <v>610</v>
      </c>
      <c r="B613" s="17"/>
      <c r="C613" s="17"/>
      <c r="D613" s="17"/>
      <c r="E613" s="51"/>
      <c r="F613" s="50"/>
      <c r="G613" s="23"/>
      <c r="H613" s="24"/>
      <c r="I613" s="23"/>
      <c r="J613" s="19">
        <f>Таблица1[[#This Row],[Блок
 Куб]]*Таблица1[[#This Row],[Цена 
Приход]]</f>
        <v>0</v>
      </c>
      <c r="K613" s="25"/>
      <c r="L613" s="25"/>
      <c r="M613" s="19">
        <f>Таблица1[[#This Row],[Поддон
Шт]]*Таблица1[[#This Row],[Цена
Поддон]]</f>
        <v>0</v>
      </c>
      <c r="N613" s="19">
        <f>Таблица1[[#This Row],[Сумма 
Приход]]+Таблица1[[#This Row],[Сумма Поддон]]</f>
        <v>0</v>
      </c>
      <c r="O613" s="20"/>
      <c r="P613" s="19">
        <f>Таблица1[[#This Row],[Цена
 Продажа]]-Таблица1[[#This Row],[Цена 
Приход]]</f>
        <v>0</v>
      </c>
      <c r="Q613" s="19"/>
      <c r="R613" s="19">
        <f>Таблица1[[#This Row],[Блок
 Куб]]*Таблица1[[#This Row],[Цена
 Продажа]]</f>
        <v>0</v>
      </c>
      <c r="S613" s="20"/>
      <c r="T613" s="19">
        <f>Таблица1[[#This Row],[Сумма 
Продажа]]-Таблица1[[#This Row],[Сумма 
Приход]]</f>
        <v>0</v>
      </c>
      <c r="U613" s="150"/>
    </row>
    <row r="614" spans="1:21" ht="14.25" x14ac:dyDescent="0.2">
      <c r="A614" s="50">
        <f t="shared" si="9"/>
        <v>611</v>
      </c>
      <c r="B614" s="17"/>
      <c r="C614" s="17"/>
      <c r="D614" s="17"/>
      <c r="E614" s="51"/>
      <c r="F614" s="50"/>
      <c r="G614" s="23"/>
      <c r="H614" s="24"/>
      <c r="I614" s="23"/>
      <c r="J614" s="19">
        <f>Таблица1[[#This Row],[Блок
 Куб]]*Таблица1[[#This Row],[Цена 
Приход]]</f>
        <v>0</v>
      </c>
      <c r="K614" s="25"/>
      <c r="L614" s="25"/>
      <c r="M614" s="19">
        <f>Таблица1[[#This Row],[Поддон
Шт]]*Таблица1[[#This Row],[Цена
Поддон]]</f>
        <v>0</v>
      </c>
      <c r="N614" s="19">
        <f>Таблица1[[#This Row],[Сумма 
Приход]]+Таблица1[[#This Row],[Сумма Поддон]]</f>
        <v>0</v>
      </c>
      <c r="O614" s="20"/>
      <c r="P614" s="19">
        <f>Таблица1[[#This Row],[Цена
 Продажа]]-Таблица1[[#This Row],[Цена 
Приход]]</f>
        <v>0</v>
      </c>
      <c r="Q614" s="19"/>
      <c r="R614" s="19">
        <f>Таблица1[[#This Row],[Блок
 Куб]]*Таблица1[[#This Row],[Цена
 Продажа]]</f>
        <v>0</v>
      </c>
      <c r="S614" s="20"/>
      <c r="T614" s="19">
        <f>Таблица1[[#This Row],[Сумма 
Продажа]]-Таблица1[[#This Row],[Сумма 
Приход]]</f>
        <v>0</v>
      </c>
      <c r="U614" s="150"/>
    </row>
    <row r="615" spans="1:21" ht="14.25" x14ac:dyDescent="0.2">
      <c r="A615" s="50">
        <f t="shared" si="9"/>
        <v>612</v>
      </c>
      <c r="B615" s="17"/>
      <c r="C615" s="17"/>
      <c r="D615" s="17"/>
      <c r="E615" s="51"/>
      <c r="F615" s="50"/>
      <c r="G615" s="23"/>
      <c r="H615" s="24"/>
      <c r="I615" s="23"/>
      <c r="J615" s="19">
        <f>Таблица1[[#This Row],[Блок
 Куб]]*Таблица1[[#This Row],[Цена 
Приход]]</f>
        <v>0</v>
      </c>
      <c r="K615" s="25"/>
      <c r="L615" s="25"/>
      <c r="M615" s="19">
        <f>Таблица1[[#This Row],[Поддон
Шт]]*Таблица1[[#This Row],[Цена
Поддон]]</f>
        <v>0</v>
      </c>
      <c r="N615" s="19">
        <f>Таблица1[[#This Row],[Сумма 
Приход]]+Таблица1[[#This Row],[Сумма Поддон]]</f>
        <v>0</v>
      </c>
      <c r="O615" s="20"/>
      <c r="P615" s="19">
        <f>Таблица1[[#This Row],[Цена
 Продажа]]-Таблица1[[#This Row],[Цена 
Приход]]</f>
        <v>0</v>
      </c>
      <c r="Q615" s="19"/>
      <c r="R615" s="19">
        <f>Таблица1[[#This Row],[Блок
 Куб]]*Таблица1[[#This Row],[Цена
 Продажа]]</f>
        <v>0</v>
      </c>
      <c r="S615" s="20"/>
      <c r="T615" s="19">
        <f>Таблица1[[#This Row],[Сумма 
Продажа]]-Таблица1[[#This Row],[Сумма 
Приход]]</f>
        <v>0</v>
      </c>
      <c r="U615" s="150"/>
    </row>
    <row r="616" spans="1:21" ht="14.25" x14ac:dyDescent="0.2">
      <c r="A616" s="50">
        <f t="shared" si="9"/>
        <v>613</v>
      </c>
      <c r="B616" s="17"/>
      <c r="C616" s="17"/>
      <c r="D616" s="17"/>
      <c r="E616" s="51"/>
      <c r="F616" s="50"/>
      <c r="G616" s="23"/>
      <c r="H616" s="24"/>
      <c r="I616" s="23"/>
      <c r="J616" s="19">
        <f>Таблица1[[#This Row],[Блок
 Куб]]*Таблица1[[#This Row],[Цена 
Приход]]</f>
        <v>0</v>
      </c>
      <c r="K616" s="25"/>
      <c r="L616" s="25"/>
      <c r="M616" s="19">
        <f>Таблица1[[#This Row],[Поддон
Шт]]*Таблица1[[#This Row],[Цена
Поддон]]</f>
        <v>0</v>
      </c>
      <c r="N616" s="19">
        <f>Таблица1[[#This Row],[Сумма 
Приход]]+Таблица1[[#This Row],[Сумма Поддон]]</f>
        <v>0</v>
      </c>
      <c r="O616" s="20"/>
      <c r="P616" s="19">
        <f>Таблица1[[#This Row],[Цена
 Продажа]]-Таблица1[[#This Row],[Цена 
Приход]]</f>
        <v>0</v>
      </c>
      <c r="Q616" s="19"/>
      <c r="R616" s="19">
        <f>Таблица1[[#This Row],[Блок
 Куб]]*Таблица1[[#This Row],[Цена
 Продажа]]</f>
        <v>0</v>
      </c>
      <c r="S616" s="20"/>
      <c r="T616" s="19">
        <f>Таблица1[[#This Row],[Сумма 
Продажа]]-Таблица1[[#This Row],[Сумма 
Приход]]</f>
        <v>0</v>
      </c>
      <c r="U616" s="150"/>
    </row>
    <row r="617" spans="1:21" ht="14.25" x14ac:dyDescent="0.2">
      <c r="A617" s="50">
        <f t="shared" si="9"/>
        <v>614</v>
      </c>
      <c r="B617" s="17"/>
      <c r="C617" s="17"/>
      <c r="D617" s="17"/>
      <c r="E617" s="51"/>
      <c r="F617" s="50"/>
      <c r="G617" s="23"/>
      <c r="H617" s="24"/>
      <c r="I617" s="23"/>
      <c r="J617" s="19">
        <f>Таблица1[[#This Row],[Блок
 Куб]]*Таблица1[[#This Row],[Цена 
Приход]]</f>
        <v>0</v>
      </c>
      <c r="K617" s="25"/>
      <c r="L617" s="25"/>
      <c r="M617" s="19">
        <f>Таблица1[[#This Row],[Поддон
Шт]]*Таблица1[[#This Row],[Цена
Поддон]]</f>
        <v>0</v>
      </c>
      <c r="N617" s="19">
        <f>Таблица1[[#This Row],[Сумма 
Приход]]+Таблица1[[#This Row],[Сумма Поддон]]</f>
        <v>0</v>
      </c>
      <c r="O617" s="20"/>
      <c r="P617" s="19">
        <f>Таблица1[[#This Row],[Цена
 Продажа]]-Таблица1[[#This Row],[Цена 
Приход]]</f>
        <v>0</v>
      </c>
      <c r="Q617" s="19"/>
      <c r="R617" s="19">
        <f>Таблица1[[#This Row],[Блок
 Куб]]*Таблица1[[#This Row],[Цена
 Продажа]]</f>
        <v>0</v>
      </c>
      <c r="S617" s="20"/>
      <c r="T617" s="19">
        <f>Таблица1[[#This Row],[Сумма 
Продажа]]-Таблица1[[#This Row],[Сумма 
Приход]]</f>
        <v>0</v>
      </c>
      <c r="U617" s="150"/>
    </row>
    <row r="618" spans="1:21" ht="14.25" x14ac:dyDescent="0.2">
      <c r="A618" s="50">
        <f t="shared" si="9"/>
        <v>615</v>
      </c>
      <c r="B618" s="17"/>
      <c r="C618" s="17"/>
      <c r="D618" s="17"/>
      <c r="E618" s="51"/>
      <c r="F618" s="50"/>
      <c r="G618" s="23"/>
      <c r="H618" s="24"/>
      <c r="I618" s="23"/>
      <c r="J618" s="19">
        <f>Таблица1[[#This Row],[Блок
 Куб]]*Таблица1[[#This Row],[Цена 
Приход]]</f>
        <v>0</v>
      </c>
      <c r="K618" s="25"/>
      <c r="L618" s="25"/>
      <c r="M618" s="19">
        <f>Таблица1[[#This Row],[Поддон
Шт]]*Таблица1[[#This Row],[Цена
Поддон]]</f>
        <v>0</v>
      </c>
      <c r="N618" s="19">
        <f>Таблица1[[#This Row],[Сумма 
Приход]]+Таблица1[[#This Row],[Сумма Поддон]]</f>
        <v>0</v>
      </c>
      <c r="O618" s="20"/>
      <c r="P618" s="19">
        <f>Таблица1[[#This Row],[Цена
 Продажа]]-Таблица1[[#This Row],[Цена 
Приход]]</f>
        <v>0</v>
      </c>
      <c r="Q618" s="19"/>
      <c r="R618" s="19">
        <f>Таблица1[[#This Row],[Блок
 Куб]]*Таблица1[[#This Row],[Цена
 Продажа]]</f>
        <v>0</v>
      </c>
      <c r="S618" s="20"/>
      <c r="T618" s="19">
        <f>Таблица1[[#This Row],[Сумма 
Продажа]]-Таблица1[[#This Row],[Сумма 
Приход]]</f>
        <v>0</v>
      </c>
      <c r="U618" s="150"/>
    </row>
    <row r="619" spans="1:21" ht="14.25" x14ac:dyDescent="0.2">
      <c r="A619" s="50">
        <f t="shared" si="9"/>
        <v>616</v>
      </c>
      <c r="B619" s="17"/>
      <c r="C619" s="17"/>
      <c r="D619" s="17"/>
      <c r="E619" s="51"/>
      <c r="F619" s="50"/>
      <c r="G619" s="23"/>
      <c r="H619" s="24"/>
      <c r="I619" s="23"/>
      <c r="J619" s="19">
        <f>Таблица1[[#This Row],[Блок
 Куб]]*Таблица1[[#This Row],[Цена 
Приход]]</f>
        <v>0</v>
      </c>
      <c r="K619" s="25"/>
      <c r="L619" s="25"/>
      <c r="M619" s="19">
        <f>Таблица1[[#This Row],[Поддон
Шт]]*Таблица1[[#This Row],[Цена
Поддон]]</f>
        <v>0</v>
      </c>
      <c r="N619" s="19">
        <f>Таблица1[[#This Row],[Сумма 
Приход]]+Таблица1[[#This Row],[Сумма Поддон]]</f>
        <v>0</v>
      </c>
      <c r="O619" s="20"/>
      <c r="P619" s="19">
        <f>Таблица1[[#This Row],[Цена
 Продажа]]-Таблица1[[#This Row],[Цена 
Приход]]</f>
        <v>0</v>
      </c>
      <c r="Q619" s="19"/>
      <c r="R619" s="19">
        <f>Таблица1[[#This Row],[Блок
 Куб]]*Таблица1[[#This Row],[Цена
 Продажа]]</f>
        <v>0</v>
      </c>
      <c r="S619" s="20"/>
      <c r="T619" s="19">
        <f>Таблица1[[#This Row],[Сумма 
Продажа]]-Таблица1[[#This Row],[Сумма 
Приход]]</f>
        <v>0</v>
      </c>
      <c r="U619" s="150"/>
    </row>
    <row r="620" spans="1:21" ht="14.25" x14ac:dyDescent="0.2">
      <c r="A620" s="50">
        <f t="shared" si="9"/>
        <v>617</v>
      </c>
      <c r="B620" s="17"/>
      <c r="C620" s="17"/>
      <c r="D620" s="17"/>
      <c r="E620" s="51"/>
      <c r="F620" s="50"/>
      <c r="G620" s="23"/>
      <c r="H620" s="24"/>
      <c r="I620" s="23"/>
      <c r="J620" s="19">
        <f>Таблица1[[#This Row],[Блок
 Куб]]*Таблица1[[#This Row],[Цена 
Приход]]</f>
        <v>0</v>
      </c>
      <c r="K620" s="25"/>
      <c r="L620" s="25"/>
      <c r="M620" s="19">
        <f>Таблица1[[#This Row],[Поддон
Шт]]*Таблица1[[#This Row],[Цена
Поддон]]</f>
        <v>0</v>
      </c>
      <c r="N620" s="19">
        <f>Таблица1[[#This Row],[Сумма 
Приход]]+Таблица1[[#This Row],[Сумма Поддон]]</f>
        <v>0</v>
      </c>
      <c r="O620" s="20"/>
      <c r="P620" s="19">
        <f>Таблица1[[#This Row],[Цена
 Продажа]]-Таблица1[[#This Row],[Цена 
Приход]]</f>
        <v>0</v>
      </c>
      <c r="Q620" s="19"/>
      <c r="R620" s="19">
        <f>Таблица1[[#This Row],[Блок
 Куб]]*Таблица1[[#This Row],[Цена
 Продажа]]</f>
        <v>0</v>
      </c>
      <c r="S620" s="20"/>
      <c r="T620" s="19">
        <f>Таблица1[[#This Row],[Сумма 
Продажа]]-Таблица1[[#This Row],[Сумма 
Приход]]</f>
        <v>0</v>
      </c>
      <c r="U620" s="150"/>
    </row>
    <row r="621" spans="1:21" ht="14.25" x14ac:dyDescent="0.2">
      <c r="A621" s="50">
        <f t="shared" si="9"/>
        <v>618</v>
      </c>
      <c r="B621" s="17"/>
      <c r="C621" s="17"/>
      <c r="D621" s="17"/>
      <c r="E621" s="51"/>
      <c r="F621" s="50"/>
      <c r="G621" s="23"/>
      <c r="H621" s="24"/>
      <c r="I621" s="23"/>
      <c r="J621" s="19">
        <f>Таблица1[[#This Row],[Блок
 Куб]]*Таблица1[[#This Row],[Цена 
Приход]]</f>
        <v>0</v>
      </c>
      <c r="K621" s="25"/>
      <c r="L621" s="25"/>
      <c r="M621" s="19">
        <f>Таблица1[[#This Row],[Поддон
Шт]]*Таблица1[[#This Row],[Цена
Поддон]]</f>
        <v>0</v>
      </c>
      <c r="N621" s="19">
        <f>Таблица1[[#This Row],[Сумма 
Приход]]+Таблица1[[#This Row],[Сумма Поддон]]</f>
        <v>0</v>
      </c>
      <c r="O621" s="20"/>
      <c r="P621" s="19">
        <f>Таблица1[[#This Row],[Цена
 Продажа]]-Таблица1[[#This Row],[Цена 
Приход]]</f>
        <v>0</v>
      </c>
      <c r="Q621" s="19"/>
      <c r="R621" s="19">
        <f>Таблица1[[#This Row],[Блок
 Куб]]*Таблица1[[#This Row],[Цена
 Продажа]]</f>
        <v>0</v>
      </c>
      <c r="S621" s="20"/>
      <c r="T621" s="19">
        <f>Таблица1[[#This Row],[Сумма 
Продажа]]-Таблица1[[#This Row],[Сумма 
Приход]]</f>
        <v>0</v>
      </c>
      <c r="U621" s="150"/>
    </row>
    <row r="622" spans="1:21" ht="14.25" x14ac:dyDescent="0.2">
      <c r="A622" s="50">
        <f t="shared" si="9"/>
        <v>619</v>
      </c>
      <c r="B622" s="17"/>
      <c r="C622" s="17"/>
      <c r="D622" s="17"/>
      <c r="E622" s="51"/>
      <c r="F622" s="50"/>
      <c r="G622" s="23"/>
      <c r="H622" s="24"/>
      <c r="I622" s="23"/>
      <c r="J622" s="19">
        <f>Таблица1[[#This Row],[Блок
 Куб]]*Таблица1[[#This Row],[Цена 
Приход]]</f>
        <v>0</v>
      </c>
      <c r="K622" s="25"/>
      <c r="L622" s="25"/>
      <c r="M622" s="19">
        <f>Таблица1[[#This Row],[Поддон
Шт]]*Таблица1[[#This Row],[Цена
Поддон]]</f>
        <v>0</v>
      </c>
      <c r="N622" s="19">
        <f>Таблица1[[#This Row],[Сумма 
Приход]]+Таблица1[[#This Row],[Сумма Поддон]]</f>
        <v>0</v>
      </c>
      <c r="O622" s="20"/>
      <c r="P622" s="19">
        <f>Таблица1[[#This Row],[Цена
 Продажа]]-Таблица1[[#This Row],[Цена 
Приход]]</f>
        <v>0</v>
      </c>
      <c r="Q622" s="19"/>
      <c r="R622" s="19">
        <f>Таблица1[[#This Row],[Блок
 Куб]]*Таблица1[[#This Row],[Цена
 Продажа]]</f>
        <v>0</v>
      </c>
      <c r="S622" s="20"/>
      <c r="T622" s="19">
        <f>Таблица1[[#This Row],[Сумма 
Продажа]]-Таблица1[[#This Row],[Сумма 
Приход]]</f>
        <v>0</v>
      </c>
      <c r="U622" s="150"/>
    </row>
    <row r="623" spans="1:21" ht="14.25" x14ac:dyDescent="0.2">
      <c r="A623" s="50">
        <f t="shared" si="9"/>
        <v>620</v>
      </c>
      <c r="B623" s="17"/>
      <c r="C623" s="17"/>
      <c r="D623" s="17"/>
      <c r="E623" s="51"/>
      <c r="F623" s="50"/>
      <c r="G623" s="23"/>
      <c r="H623" s="24"/>
      <c r="I623" s="23"/>
      <c r="J623" s="19">
        <f>Таблица1[[#This Row],[Блок
 Куб]]*Таблица1[[#This Row],[Цена 
Приход]]</f>
        <v>0</v>
      </c>
      <c r="K623" s="25"/>
      <c r="L623" s="25"/>
      <c r="M623" s="19">
        <f>Таблица1[[#This Row],[Поддон
Шт]]*Таблица1[[#This Row],[Цена
Поддон]]</f>
        <v>0</v>
      </c>
      <c r="N623" s="19">
        <f>Таблица1[[#This Row],[Сумма 
Приход]]+Таблица1[[#This Row],[Сумма Поддон]]</f>
        <v>0</v>
      </c>
      <c r="O623" s="20"/>
      <c r="P623" s="19">
        <f>Таблица1[[#This Row],[Цена
 Продажа]]-Таблица1[[#This Row],[Цена 
Приход]]</f>
        <v>0</v>
      </c>
      <c r="Q623" s="19"/>
      <c r="R623" s="19">
        <f>Таблица1[[#This Row],[Блок
 Куб]]*Таблица1[[#This Row],[Цена
 Продажа]]</f>
        <v>0</v>
      </c>
      <c r="S623" s="20"/>
      <c r="T623" s="19">
        <f>Таблица1[[#This Row],[Сумма 
Продажа]]-Таблица1[[#This Row],[Сумма 
Приход]]</f>
        <v>0</v>
      </c>
      <c r="U623" s="150"/>
    </row>
    <row r="624" spans="1:21" ht="14.25" x14ac:dyDescent="0.2">
      <c r="A624" s="50">
        <f t="shared" si="9"/>
        <v>621</v>
      </c>
      <c r="B624" s="17"/>
      <c r="C624" s="17"/>
      <c r="D624" s="17"/>
      <c r="E624" s="51"/>
      <c r="F624" s="50"/>
      <c r="G624" s="23"/>
      <c r="H624" s="24"/>
      <c r="I624" s="23"/>
      <c r="J624" s="19">
        <f>Таблица1[[#This Row],[Блок
 Куб]]*Таблица1[[#This Row],[Цена 
Приход]]</f>
        <v>0</v>
      </c>
      <c r="K624" s="25"/>
      <c r="L624" s="25"/>
      <c r="M624" s="19">
        <f>Таблица1[[#This Row],[Поддон
Шт]]*Таблица1[[#This Row],[Цена
Поддон]]</f>
        <v>0</v>
      </c>
      <c r="N624" s="19">
        <f>Таблица1[[#This Row],[Сумма 
Приход]]+Таблица1[[#This Row],[Сумма Поддон]]</f>
        <v>0</v>
      </c>
      <c r="O624" s="20"/>
      <c r="P624" s="19">
        <f>Таблица1[[#This Row],[Цена
 Продажа]]-Таблица1[[#This Row],[Цена 
Приход]]</f>
        <v>0</v>
      </c>
      <c r="Q624" s="19"/>
      <c r="R624" s="19">
        <f>Таблица1[[#This Row],[Блок
 Куб]]*Таблица1[[#This Row],[Цена
 Продажа]]</f>
        <v>0</v>
      </c>
      <c r="S624" s="20"/>
      <c r="T624" s="19">
        <f>Таблица1[[#This Row],[Сумма 
Продажа]]-Таблица1[[#This Row],[Сумма 
Приход]]</f>
        <v>0</v>
      </c>
      <c r="U624" s="150"/>
    </row>
    <row r="625" spans="1:21" ht="14.25" x14ac:dyDescent="0.2">
      <c r="A625" s="50">
        <f t="shared" si="9"/>
        <v>622</v>
      </c>
      <c r="B625" s="17"/>
      <c r="C625" s="17"/>
      <c r="D625" s="17"/>
      <c r="E625" s="51"/>
      <c r="F625" s="50"/>
      <c r="G625" s="23"/>
      <c r="H625" s="24"/>
      <c r="I625" s="23"/>
      <c r="J625" s="19">
        <f>Таблица1[[#This Row],[Блок
 Куб]]*Таблица1[[#This Row],[Цена 
Приход]]</f>
        <v>0</v>
      </c>
      <c r="K625" s="25"/>
      <c r="L625" s="25"/>
      <c r="M625" s="19">
        <f>Таблица1[[#This Row],[Поддон
Шт]]*Таблица1[[#This Row],[Цена
Поддон]]</f>
        <v>0</v>
      </c>
      <c r="N625" s="19">
        <f>Таблица1[[#This Row],[Сумма 
Приход]]+Таблица1[[#This Row],[Сумма Поддон]]</f>
        <v>0</v>
      </c>
      <c r="O625" s="20"/>
      <c r="P625" s="19">
        <f>Таблица1[[#This Row],[Цена
 Продажа]]-Таблица1[[#This Row],[Цена 
Приход]]</f>
        <v>0</v>
      </c>
      <c r="Q625" s="19"/>
      <c r="R625" s="19">
        <f>Таблица1[[#This Row],[Блок
 Куб]]*Таблица1[[#This Row],[Цена
 Продажа]]</f>
        <v>0</v>
      </c>
      <c r="S625" s="20"/>
      <c r="T625" s="19">
        <f>Таблица1[[#This Row],[Сумма 
Продажа]]-Таблица1[[#This Row],[Сумма 
Приход]]</f>
        <v>0</v>
      </c>
      <c r="U625" s="150"/>
    </row>
    <row r="626" spans="1:21" ht="14.25" x14ac:dyDescent="0.2">
      <c r="A626" s="50">
        <f t="shared" si="9"/>
        <v>623</v>
      </c>
      <c r="B626" s="17"/>
      <c r="C626" s="17"/>
      <c r="D626" s="17"/>
      <c r="E626" s="51"/>
      <c r="F626" s="50"/>
      <c r="G626" s="23"/>
      <c r="H626" s="24"/>
      <c r="I626" s="23"/>
      <c r="J626" s="19">
        <f>Таблица1[[#This Row],[Блок
 Куб]]*Таблица1[[#This Row],[Цена 
Приход]]</f>
        <v>0</v>
      </c>
      <c r="K626" s="25"/>
      <c r="L626" s="25"/>
      <c r="M626" s="19">
        <f>Таблица1[[#This Row],[Поддон
Шт]]*Таблица1[[#This Row],[Цена
Поддон]]</f>
        <v>0</v>
      </c>
      <c r="N626" s="19">
        <f>Таблица1[[#This Row],[Сумма 
Приход]]+Таблица1[[#This Row],[Сумма Поддон]]</f>
        <v>0</v>
      </c>
      <c r="O626" s="20"/>
      <c r="P626" s="19">
        <f>Таблица1[[#This Row],[Цена
 Продажа]]-Таблица1[[#This Row],[Цена 
Приход]]</f>
        <v>0</v>
      </c>
      <c r="Q626" s="19"/>
      <c r="R626" s="19">
        <f>Таблица1[[#This Row],[Блок
 Куб]]*Таблица1[[#This Row],[Цена
 Продажа]]</f>
        <v>0</v>
      </c>
      <c r="S626" s="20"/>
      <c r="T626" s="19">
        <f>Таблица1[[#This Row],[Сумма 
Продажа]]-Таблица1[[#This Row],[Сумма 
Приход]]</f>
        <v>0</v>
      </c>
      <c r="U626" s="150"/>
    </row>
    <row r="627" spans="1:21" ht="14.25" x14ac:dyDescent="0.2">
      <c r="A627" s="50">
        <f t="shared" si="9"/>
        <v>624</v>
      </c>
      <c r="B627" s="17"/>
      <c r="C627" s="17"/>
      <c r="D627" s="17"/>
      <c r="E627" s="51"/>
      <c r="F627" s="50"/>
      <c r="G627" s="23"/>
      <c r="H627" s="24"/>
      <c r="I627" s="23"/>
      <c r="J627" s="19">
        <f>Таблица1[[#This Row],[Блок
 Куб]]*Таблица1[[#This Row],[Цена 
Приход]]</f>
        <v>0</v>
      </c>
      <c r="K627" s="25"/>
      <c r="L627" s="25"/>
      <c r="M627" s="19">
        <f>Таблица1[[#This Row],[Поддон
Шт]]*Таблица1[[#This Row],[Цена
Поддон]]</f>
        <v>0</v>
      </c>
      <c r="N627" s="19">
        <f>Таблица1[[#This Row],[Сумма 
Приход]]+Таблица1[[#This Row],[Сумма Поддон]]</f>
        <v>0</v>
      </c>
      <c r="O627" s="20"/>
      <c r="P627" s="19">
        <f>Таблица1[[#This Row],[Цена
 Продажа]]-Таблица1[[#This Row],[Цена 
Приход]]</f>
        <v>0</v>
      </c>
      <c r="Q627" s="19"/>
      <c r="R627" s="19">
        <f>Таблица1[[#This Row],[Блок
 Куб]]*Таблица1[[#This Row],[Цена
 Продажа]]</f>
        <v>0</v>
      </c>
      <c r="S627" s="20"/>
      <c r="T627" s="19">
        <f>Таблица1[[#This Row],[Сумма 
Продажа]]-Таблица1[[#This Row],[Сумма 
Приход]]</f>
        <v>0</v>
      </c>
      <c r="U627" s="150"/>
    </row>
    <row r="628" spans="1:21" ht="14.25" x14ac:dyDescent="0.2">
      <c r="A628" s="50">
        <f t="shared" si="9"/>
        <v>625</v>
      </c>
      <c r="B628" s="17"/>
      <c r="C628" s="17"/>
      <c r="D628" s="17"/>
      <c r="E628" s="51"/>
      <c r="F628" s="50"/>
      <c r="G628" s="23"/>
      <c r="H628" s="24"/>
      <c r="I628" s="23"/>
      <c r="J628" s="19">
        <f>Таблица1[[#This Row],[Блок
 Куб]]*Таблица1[[#This Row],[Цена 
Приход]]</f>
        <v>0</v>
      </c>
      <c r="K628" s="25"/>
      <c r="L628" s="25"/>
      <c r="M628" s="19">
        <f>Таблица1[[#This Row],[Поддон
Шт]]*Таблица1[[#This Row],[Цена
Поддон]]</f>
        <v>0</v>
      </c>
      <c r="N628" s="19">
        <f>Таблица1[[#This Row],[Сумма 
Приход]]+Таблица1[[#This Row],[Сумма Поддон]]</f>
        <v>0</v>
      </c>
      <c r="O628" s="20"/>
      <c r="P628" s="19">
        <f>Таблица1[[#This Row],[Цена
 Продажа]]-Таблица1[[#This Row],[Цена 
Приход]]</f>
        <v>0</v>
      </c>
      <c r="Q628" s="19"/>
      <c r="R628" s="19">
        <f>Таблица1[[#This Row],[Блок
 Куб]]*Таблица1[[#This Row],[Цена
 Продажа]]</f>
        <v>0</v>
      </c>
      <c r="S628" s="20"/>
      <c r="T628" s="19">
        <f>Таблица1[[#This Row],[Сумма 
Продажа]]-Таблица1[[#This Row],[Сумма 
Приход]]</f>
        <v>0</v>
      </c>
      <c r="U628" s="150"/>
    </row>
    <row r="629" spans="1:21" ht="14.25" x14ac:dyDescent="0.2">
      <c r="A629" s="50">
        <f t="shared" si="9"/>
        <v>626</v>
      </c>
      <c r="B629" s="17"/>
      <c r="C629" s="17"/>
      <c r="D629" s="17"/>
      <c r="E629" s="51"/>
      <c r="F629" s="50"/>
      <c r="G629" s="23"/>
      <c r="H629" s="24"/>
      <c r="I629" s="23"/>
      <c r="J629" s="19">
        <f>Таблица1[[#This Row],[Блок
 Куб]]*Таблица1[[#This Row],[Цена 
Приход]]</f>
        <v>0</v>
      </c>
      <c r="K629" s="25"/>
      <c r="L629" s="25"/>
      <c r="M629" s="19">
        <f>Таблица1[[#This Row],[Поддон
Шт]]*Таблица1[[#This Row],[Цена
Поддон]]</f>
        <v>0</v>
      </c>
      <c r="N629" s="19">
        <f>Таблица1[[#This Row],[Сумма 
Приход]]+Таблица1[[#This Row],[Сумма Поддон]]</f>
        <v>0</v>
      </c>
      <c r="O629" s="20"/>
      <c r="P629" s="19">
        <f>Таблица1[[#This Row],[Цена
 Продажа]]-Таблица1[[#This Row],[Цена 
Приход]]</f>
        <v>0</v>
      </c>
      <c r="Q629" s="19"/>
      <c r="R629" s="19">
        <f>Таблица1[[#This Row],[Блок
 Куб]]*Таблица1[[#This Row],[Цена
 Продажа]]</f>
        <v>0</v>
      </c>
      <c r="S629" s="20"/>
      <c r="T629" s="19">
        <f>Таблица1[[#This Row],[Сумма 
Продажа]]-Таблица1[[#This Row],[Сумма 
Приход]]</f>
        <v>0</v>
      </c>
      <c r="U629" s="150"/>
    </row>
    <row r="630" spans="1:21" ht="14.25" x14ac:dyDescent="0.2">
      <c r="A630" s="50">
        <f t="shared" si="9"/>
        <v>627</v>
      </c>
      <c r="B630" s="17"/>
      <c r="C630" s="17"/>
      <c r="D630" s="17"/>
      <c r="E630" s="51"/>
      <c r="F630" s="50"/>
      <c r="G630" s="23"/>
      <c r="H630" s="24"/>
      <c r="I630" s="23"/>
      <c r="J630" s="19">
        <f>Таблица1[[#This Row],[Блок
 Куб]]*Таблица1[[#This Row],[Цена 
Приход]]</f>
        <v>0</v>
      </c>
      <c r="K630" s="25"/>
      <c r="L630" s="25"/>
      <c r="M630" s="19">
        <f>Таблица1[[#This Row],[Поддон
Шт]]*Таблица1[[#This Row],[Цена
Поддон]]</f>
        <v>0</v>
      </c>
      <c r="N630" s="19">
        <f>Таблица1[[#This Row],[Сумма 
Приход]]+Таблица1[[#This Row],[Сумма Поддон]]</f>
        <v>0</v>
      </c>
      <c r="O630" s="20"/>
      <c r="P630" s="19">
        <f>Таблица1[[#This Row],[Цена
 Продажа]]-Таблица1[[#This Row],[Цена 
Приход]]</f>
        <v>0</v>
      </c>
      <c r="Q630" s="19"/>
      <c r="R630" s="19">
        <f>Таблица1[[#This Row],[Блок
 Куб]]*Таблица1[[#This Row],[Цена
 Продажа]]</f>
        <v>0</v>
      </c>
      <c r="S630" s="20"/>
      <c r="T630" s="19">
        <f>Таблица1[[#This Row],[Сумма 
Продажа]]-Таблица1[[#This Row],[Сумма 
Приход]]</f>
        <v>0</v>
      </c>
      <c r="U630" s="150"/>
    </row>
    <row r="631" spans="1:21" ht="14.25" x14ac:dyDescent="0.2">
      <c r="A631" s="50">
        <f t="shared" si="9"/>
        <v>628</v>
      </c>
      <c r="B631" s="17"/>
      <c r="C631" s="17"/>
      <c r="D631" s="17"/>
      <c r="E631" s="51"/>
      <c r="F631" s="50"/>
      <c r="G631" s="23"/>
      <c r="H631" s="24"/>
      <c r="I631" s="23"/>
      <c r="J631" s="19">
        <f>Таблица1[[#This Row],[Блок
 Куб]]*Таблица1[[#This Row],[Цена 
Приход]]</f>
        <v>0</v>
      </c>
      <c r="K631" s="25"/>
      <c r="L631" s="25"/>
      <c r="M631" s="19">
        <f>Таблица1[[#This Row],[Поддон
Шт]]*Таблица1[[#This Row],[Цена
Поддон]]</f>
        <v>0</v>
      </c>
      <c r="N631" s="19">
        <f>Таблица1[[#This Row],[Сумма 
Приход]]+Таблица1[[#This Row],[Сумма Поддон]]</f>
        <v>0</v>
      </c>
      <c r="O631" s="20"/>
      <c r="P631" s="19">
        <f>Таблица1[[#This Row],[Цена
 Продажа]]-Таблица1[[#This Row],[Цена 
Приход]]</f>
        <v>0</v>
      </c>
      <c r="Q631" s="19"/>
      <c r="R631" s="19">
        <f>Таблица1[[#This Row],[Блок
 Куб]]*Таблица1[[#This Row],[Цена
 Продажа]]</f>
        <v>0</v>
      </c>
      <c r="S631" s="20"/>
      <c r="T631" s="19">
        <f>Таблица1[[#This Row],[Сумма 
Продажа]]-Таблица1[[#This Row],[Сумма 
Приход]]</f>
        <v>0</v>
      </c>
      <c r="U631" s="150"/>
    </row>
    <row r="632" spans="1:21" ht="14.25" x14ac:dyDescent="0.2">
      <c r="A632" s="50">
        <f t="shared" si="9"/>
        <v>629</v>
      </c>
      <c r="B632" s="17"/>
      <c r="C632" s="17"/>
      <c r="D632" s="17"/>
      <c r="E632" s="51"/>
      <c r="F632" s="50"/>
      <c r="G632" s="23"/>
      <c r="H632" s="24"/>
      <c r="I632" s="23"/>
      <c r="J632" s="19">
        <f>Таблица1[[#This Row],[Блок
 Куб]]*Таблица1[[#This Row],[Цена 
Приход]]</f>
        <v>0</v>
      </c>
      <c r="K632" s="25"/>
      <c r="L632" s="25"/>
      <c r="M632" s="19">
        <f>Таблица1[[#This Row],[Поддон
Шт]]*Таблица1[[#This Row],[Цена
Поддон]]</f>
        <v>0</v>
      </c>
      <c r="N632" s="19">
        <f>Таблица1[[#This Row],[Сумма 
Приход]]+Таблица1[[#This Row],[Сумма Поддон]]</f>
        <v>0</v>
      </c>
      <c r="O632" s="20"/>
      <c r="P632" s="19">
        <f>Таблица1[[#This Row],[Цена
 Продажа]]-Таблица1[[#This Row],[Цена 
Приход]]</f>
        <v>0</v>
      </c>
      <c r="Q632" s="19"/>
      <c r="R632" s="19">
        <f>Таблица1[[#This Row],[Блок
 Куб]]*Таблица1[[#This Row],[Цена
 Продажа]]</f>
        <v>0</v>
      </c>
      <c r="S632" s="20"/>
      <c r="T632" s="19">
        <f>Таблица1[[#This Row],[Сумма 
Продажа]]-Таблица1[[#This Row],[Сумма 
Приход]]</f>
        <v>0</v>
      </c>
      <c r="U632" s="150"/>
    </row>
    <row r="633" spans="1:21" ht="14.25" x14ac:dyDescent="0.2">
      <c r="A633" s="50">
        <f t="shared" si="9"/>
        <v>630</v>
      </c>
      <c r="B633" s="17"/>
      <c r="C633" s="17"/>
      <c r="D633" s="17"/>
      <c r="E633" s="51"/>
      <c r="F633" s="50"/>
      <c r="G633" s="23"/>
      <c r="H633" s="24"/>
      <c r="I633" s="23"/>
      <c r="J633" s="19">
        <f>Таблица1[[#This Row],[Блок
 Куб]]*Таблица1[[#This Row],[Цена 
Приход]]</f>
        <v>0</v>
      </c>
      <c r="K633" s="25"/>
      <c r="L633" s="25"/>
      <c r="M633" s="19">
        <f>Таблица1[[#This Row],[Поддон
Шт]]*Таблица1[[#This Row],[Цена
Поддон]]</f>
        <v>0</v>
      </c>
      <c r="N633" s="19">
        <f>Таблица1[[#This Row],[Сумма 
Приход]]+Таблица1[[#This Row],[Сумма Поддон]]</f>
        <v>0</v>
      </c>
      <c r="O633" s="20"/>
      <c r="P633" s="19">
        <f>Таблица1[[#This Row],[Цена
 Продажа]]-Таблица1[[#This Row],[Цена 
Приход]]</f>
        <v>0</v>
      </c>
      <c r="Q633" s="19"/>
      <c r="R633" s="19">
        <f>Таблица1[[#This Row],[Блок
 Куб]]*Таблица1[[#This Row],[Цена
 Продажа]]</f>
        <v>0</v>
      </c>
      <c r="S633" s="20"/>
      <c r="T633" s="19">
        <f>Таблица1[[#This Row],[Сумма 
Продажа]]-Таблица1[[#This Row],[Сумма 
Приход]]</f>
        <v>0</v>
      </c>
      <c r="U633" s="150"/>
    </row>
    <row r="634" spans="1:21" ht="14.25" x14ac:dyDescent="0.2">
      <c r="A634" s="50">
        <f t="shared" si="9"/>
        <v>631</v>
      </c>
      <c r="B634" s="17"/>
      <c r="C634" s="17"/>
      <c r="D634" s="17"/>
      <c r="E634" s="51"/>
      <c r="F634" s="50"/>
      <c r="G634" s="23"/>
      <c r="H634" s="24"/>
      <c r="I634" s="23"/>
      <c r="J634" s="19">
        <f>Таблица1[[#This Row],[Блок
 Куб]]*Таблица1[[#This Row],[Цена 
Приход]]</f>
        <v>0</v>
      </c>
      <c r="K634" s="25"/>
      <c r="L634" s="25"/>
      <c r="M634" s="19">
        <f>Таблица1[[#This Row],[Поддон
Шт]]*Таблица1[[#This Row],[Цена
Поддон]]</f>
        <v>0</v>
      </c>
      <c r="N634" s="19">
        <f>Таблица1[[#This Row],[Сумма 
Приход]]+Таблица1[[#This Row],[Сумма Поддон]]</f>
        <v>0</v>
      </c>
      <c r="O634" s="20"/>
      <c r="P634" s="19">
        <f>Таблица1[[#This Row],[Цена
 Продажа]]-Таблица1[[#This Row],[Цена 
Приход]]</f>
        <v>0</v>
      </c>
      <c r="Q634" s="19"/>
      <c r="R634" s="19">
        <f>Таблица1[[#This Row],[Блок
 Куб]]*Таблица1[[#This Row],[Цена
 Продажа]]</f>
        <v>0</v>
      </c>
      <c r="S634" s="20"/>
      <c r="T634" s="19">
        <f>Таблица1[[#This Row],[Сумма 
Продажа]]-Таблица1[[#This Row],[Сумма 
Приход]]</f>
        <v>0</v>
      </c>
      <c r="U634" s="150"/>
    </row>
    <row r="635" spans="1:21" ht="14.25" x14ac:dyDescent="0.2">
      <c r="A635" s="50">
        <f t="shared" si="9"/>
        <v>632</v>
      </c>
      <c r="B635" s="17"/>
      <c r="C635" s="17"/>
      <c r="D635" s="17"/>
      <c r="E635" s="51"/>
      <c r="F635" s="50"/>
      <c r="G635" s="23"/>
      <c r="H635" s="24"/>
      <c r="I635" s="23"/>
      <c r="J635" s="19">
        <f>Таблица1[[#This Row],[Блок
 Куб]]*Таблица1[[#This Row],[Цена 
Приход]]</f>
        <v>0</v>
      </c>
      <c r="K635" s="25"/>
      <c r="L635" s="25"/>
      <c r="M635" s="19">
        <f>Таблица1[[#This Row],[Поддон
Шт]]*Таблица1[[#This Row],[Цена
Поддон]]</f>
        <v>0</v>
      </c>
      <c r="N635" s="19">
        <f>Таблица1[[#This Row],[Сумма 
Приход]]+Таблица1[[#This Row],[Сумма Поддон]]</f>
        <v>0</v>
      </c>
      <c r="O635" s="20"/>
      <c r="P635" s="19">
        <f>Таблица1[[#This Row],[Цена
 Продажа]]-Таблица1[[#This Row],[Цена 
Приход]]</f>
        <v>0</v>
      </c>
      <c r="Q635" s="19"/>
      <c r="R635" s="19">
        <f>Таблица1[[#This Row],[Блок
 Куб]]*Таблица1[[#This Row],[Цена
 Продажа]]</f>
        <v>0</v>
      </c>
      <c r="S635" s="20"/>
      <c r="T635" s="19">
        <f>Таблица1[[#This Row],[Сумма 
Продажа]]-Таблица1[[#This Row],[Сумма 
Приход]]</f>
        <v>0</v>
      </c>
      <c r="U635" s="150"/>
    </row>
    <row r="636" spans="1:21" ht="14.25" x14ac:dyDescent="0.2">
      <c r="A636" s="50">
        <f t="shared" si="9"/>
        <v>633</v>
      </c>
      <c r="B636" s="17"/>
      <c r="C636" s="17"/>
      <c r="D636" s="17"/>
      <c r="E636" s="51"/>
      <c r="F636" s="50"/>
      <c r="G636" s="23"/>
      <c r="H636" s="24"/>
      <c r="I636" s="23"/>
      <c r="J636" s="19">
        <f>Таблица1[[#This Row],[Блок
 Куб]]*Таблица1[[#This Row],[Цена 
Приход]]</f>
        <v>0</v>
      </c>
      <c r="K636" s="25"/>
      <c r="L636" s="25"/>
      <c r="M636" s="19">
        <f>Таблица1[[#This Row],[Поддон
Шт]]*Таблица1[[#This Row],[Цена
Поддон]]</f>
        <v>0</v>
      </c>
      <c r="N636" s="19">
        <f>Таблица1[[#This Row],[Сумма 
Приход]]+Таблица1[[#This Row],[Сумма Поддон]]</f>
        <v>0</v>
      </c>
      <c r="O636" s="20"/>
      <c r="P636" s="19">
        <f>Таблица1[[#This Row],[Цена
 Продажа]]-Таблица1[[#This Row],[Цена 
Приход]]</f>
        <v>0</v>
      </c>
      <c r="Q636" s="19"/>
      <c r="R636" s="19">
        <f>Таблица1[[#This Row],[Блок
 Куб]]*Таблица1[[#This Row],[Цена
 Продажа]]</f>
        <v>0</v>
      </c>
      <c r="S636" s="20"/>
      <c r="T636" s="19">
        <f>Таблица1[[#This Row],[Сумма 
Продажа]]-Таблица1[[#This Row],[Сумма 
Приход]]</f>
        <v>0</v>
      </c>
      <c r="U636" s="150"/>
    </row>
    <row r="637" spans="1:21" ht="14.25" x14ac:dyDescent="0.2">
      <c r="A637" s="50">
        <f t="shared" si="9"/>
        <v>634</v>
      </c>
      <c r="B637" s="17"/>
      <c r="C637" s="17"/>
      <c r="D637" s="17"/>
      <c r="E637" s="51"/>
      <c r="F637" s="50"/>
      <c r="G637" s="23"/>
      <c r="H637" s="24"/>
      <c r="I637" s="23"/>
      <c r="J637" s="19">
        <f>Таблица1[[#This Row],[Блок
 Куб]]*Таблица1[[#This Row],[Цена 
Приход]]</f>
        <v>0</v>
      </c>
      <c r="K637" s="25"/>
      <c r="L637" s="25"/>
      <c r="M637" s="19">
        <f>Таблица1[[#This Row],[Поддон
Шт]]*Таблица1[[#This Row],[Цена
Поддон]]</f>
        <v>0</v>
      </c>
      <c r="N637" s="19">
        <f>Таблица1[[#This Row],[Сумма 
Приход]]+Таблица1[[#This Row],[Сумма Поддон]]</f>
        <v>0</v>
      </c>
      <c r="O637" s="20"/>
      <c r="P637" s="19">
        <f>Таблица1[[#This Row],[Цена
 Продажа]]-Таблица1[[#This Row],[Цена 
Приход]]</f>
        <v>0</v>
      </c>
      <c r="Q637" s="19"/>
      <c r="R637" s="19">
        <f>Таблица1[[#This Row],[Блок
 Куб]]*Таблица1[[#This Row],[Цена
 Продажа]]</f>
        <v>0</v>
      </c>
      <c r="S637" s="20"/>
      <c r="T637" s="19">
        <f>Таблица1[[#This Row],[Сумма 
Продажа]]-Таблица1[[#This Row],[Сумма 
Приход]]</f>
        <v>0</v>
      </c>
      <c r="U637" s="150"/>
    </row>
    <row r="638" spans="1:21" ht="14.25" x14ac:dyDescent="0.2">
      <c r="A638" s="50">
        <f t="shared" si="9"/>
        <v>635</v>
      </c>
      <c r="B638" s="17"/>
      <c r="C638" s="17"/>
      <c r="D638" s="17"/>
      <c r="E638" s="51"/>
      <c r="F638" s="50"/>
      <c r="G638" s="23"/>
      <c r="H638" s="24"/>
      <c r="I638" s="23"/>
      <c r="J638" s="19">
        <f>Таблица1[[#This Row],[Блок
 Куб]]*Таблица1[[#This Row],[Цена 
Приход]]</f>
        <v>0</v>
      </c>
      <c r="K638" s="25"/>
      <c r="L638" s="25"/>
      <c r="M638" s="19">
        <f>Таблица1[[#This Row],[Поддон
Шт]]*Таблица1[[#This Row],[Цена
Поддон]]</f>
        <v>0</v>
      </c>
      <c r="N638" s="19">
        <f>Таблица1[[#This Row],[Сумма 
Приход]]+Таблица1[[#This Row],[Сумма Поддон]]</f>
        <v>0</v>
      </c>
      <c r="O638" s="20"/>
      <c r="P638" s="19">
        <f>Таблица1[[#This Row],[Цена
 Продажа]]-Таблица1[[#This Row],[Цена 
Приход]]</f>
        <v>0</v>
      </c>
      <c r="Q638" s="19"/>
      <c r="R638" s="19">
        <f>Таблица1[[#This Row],[Блок
 Куб]]*Таблица1[[#This Row],[Цена
 Продажа]]</f>
        <v>0</v>
      </c>
      <c r="S638" s="20"/>
      <c r="T638" s="19">
        <f>Таблица1[[#This Row],[Сумма 
Продажа]]-Таблица1[[#This Row],[Сумма 
Приход]]</f>
        <v>0</v>
      </c>
      <c r="U638" s="150"/>
    </row>
    <row r="639" spans="1:21" ht="14.25" x14ac:dyDescent="0.2">
      <c r="A639" s="50">
        <f t="shared" si="9"/>
        <v>636</v>
      </c>
      <c r="B639" s="17"/>
      <c r="C639" s="17"/>
      <c r="D639" s="17"/>
      <c r="E639" s="51"/>
      <c r="F639" s="50"/>
      <c r="G639" s="23"/>
      <c r="H639" s="24"/>
      <c r="I639" s="23"/>
      <c r="J639" s="19">
        <f>Таблица1[[#This Row],[Блок
 Куб]]*Таблица1[[#This Row],[Цена 
Приход]]</f>
        <v>0</v>
      </c>
      <c r="K639" s="25"/>
      <c r="L639" s="25"/>
      <c r="M639" s="19">
        <f>Таблица1[[#This Row],[Поддон
Шт]]*Таблица1[[#This Row],[Цена
Поддон]]</f>
        <v>0</v>
      </c>
      <c r="N639" s="19">
        <f>Таблица1[[#This Row],[Сумма 
Приход]]+Таблица1[[#This Row],[Сумма Поддон]]</f>
        <v>0</v>
      </c>
      <c r="O639" s="20"/>
      <c r="P639" s="19">
        <f>Таблица1[[#This Row],[Цена
 Продажа]]-Таблица1[[#This Row],[Цена 
Приход]]</f>
        <v>0</v>
      </c>
      <c r="Q639" s="19"/>
      <c r="R639" s="19">
        <f>Таблица1[[#This Row],[Блок
 Куб]]*Таблица1[[#This Row],[Цена
 Продажа]]</f>
        <v>0</v>
      </c>
      <c r="S639" s="20"/>
      <c r="T639" s="19">
        <f>Таблица1[[#This Row],[Сумма 
Продажа]]-Таблица1[[#This Row],[Сумма 
Приход]]</f>
        <v>0</v>
      </c>
      <c r="U639" s="150"/>
    </row>
    <row r="640" spans="1:21" ht="14.25" x14ac:dyDescent="0.2">
      <c r="A640" s="50">
        <f t="shared" si="9"/>
        <v>637</v>
      </c>
      <c r="B640" s="17"/>
      <c r="C640" s="17"/>
      <c r="D640" s="17"/>
      <c r="E640" s="51"/>
      <c r="F640" s="50"/>
      <c r="G640" s="23"/>
      <c r="H640" s="24"/>
      <c r="I640" s="23"/>
      <c r="J640" s="19">
        <f>Таблица1[[#This Row],[Блок
 Куб]]*Таблица1[[#This Row],[Цена 
Приход]]</f>
        <v>0</v>
      </c>
      <c r="K640" s="25"/>
      <c r="L640" s="25"/>
      <c r="M640" s="19">
        <f>Таблица1[[#This Row],[Поддон
Шт]]*Таблица1[[#This Row],[Цена
Поддон]]</f>
        <v>0</v>
      </c>
      <c r="N640" s="19">
        <f>Таблица1[[#This Row],[Сумма 
Приход]]+Таблица1[[#This Row],[Сумма Поддон]]</f>
        <v>0</v>
      </c>
      <c r="O640" s="20"/>
      <c r="P640" s="19">
        <f>Таблица1[[#This Row],[Цена
 Продажа]]-Таблица1[[#This Row],[Цена 
Приход]]</f>
        <v>0</v>
      </c>
      <c r="Q640" s="19"/>
      <c r="R640" s="19">
        <f>Таблица1[[#This Row],[Блок
 Куб]]*Таблица1[[#This Row],[Цена
 Продажа]]</f>
        <v>0</v>
      </c>
      <c r="S640" s="20"/>
      <c r="T640" s="19">
        <f>Таблица1[[#This Row],[Сумма 
Продажа]]-Таблица1[[#This Row],[Сумма 
Приход]]</f>
        <v>0</v>
      </c>
      <c r="U640" s="150"/>
    </row>
    <row r="641" spans="1:21" ht="14.25" x14ac:dyDescent="0.2">
      <c r="A641" s="50">
        <f t="shared" si="9"/>
        <v>638</v>
      </c>
      <c r="B641" s="17"/>
      <c r="C641" s="17"/>
      <c r="D641" s="17"/>
      <c r="E641" s="51"/>
      <c r="F641" s="50"/>
      <c r="G641" s="23"/>
      <c r="H641" s="24"/>
      <c r="I641" s="23"/>
      <c r="J641" s="19">
        <f>Таблица1[[#This Row],[Блок
 Куб]]*Таблица1[[#This Row],[Цена 
Приход]]</f>
        <v>0</v>
      </c>
      <c r="K641" s="25"/>
      <c r="L641" s="25"/>
      <c r="M641" s="19">
        <f>Таблица1[[#This Row],[Поддон
Шт]]*Таблица1[[#This Row],[Цена
Поддон]]</f>
        <v>0</v>
      </c>
      <c r="N641" s="19">
        <f>Таблица1[[#This Row],[Сумма 
Приход]]+Таблица1[[#This Row],[Сумма Поддон]]</f>
        <v>0</v>
      </c>
      <c r="O641" s="20"/>
      <c r="P641" s="19">
        <f>Таблица1[[#This Row],[Цена
 Продажа]]-Таблица1[[#This Row],[Цена 
Приход]]</f>
        <v>0</v>
      </c>
      <c r="Q641" s="19"/>
      <c r="R641" s="19">
        <f>Таблица1[[#This Row],[Блок
 Куб]]*Таблица1[[#This Row],[Цена
 Продажа]]</f>
        <v>0</v>
      </c>
      <c r="S641" s="20"/>
      <c r="T641" s="19">
        <f>Таблица1[[#This Row],[Сумма 
Продажа]]-Таблица1[[#This Row],[Сумма 
Приход]]</f>
        <v>0</v>
      </c>
      <c r="U641" s="150"/>
    </row>
    <row r="642" spans="1:21" ht="14.25" x14ac:dyDescent="0.2">
      <c r="A642" s="50">
        <f t="shared" si="9"/>
        <v>639</v>
      </c>
      <c r="B642" s="17"/>
      <c r="C642" s="17"/>
      <c r="D642" s="17"/>
      <c r="E642" s="51"/>
      <c r="F642" s="50"/>
      <c r="G642" s="23"/>
      <c r="H642" s="24"/>
      <c r="I642" s="23"/>
      <c r="J642" s="19">
        <f>Таблица1[[#This Row],[Блок
 Куб]]*Таблица1[[#This Row],[Цена 
Приход]]</f>
        <v>0</v>
      </c>
      <c r="K642" s="25"/>
      <c r="L642" s="25"/>
      <c r="M642" s="19">
        <f>Таблица1[[#This Row],[Поддон
Шт]]*Таблица1[[#This Row],[Цена
Поддон]]</f>
        <v>0</v>
      </c>
      <c r="N642" s="19">
        <f>Таблица1[[#This Row],[Сумма 
Приход]]+Таблица1[[#This Row],[Сумма Поддон]]</f>
        <v>0</v>
      </c>
      <c r="O642" s="20"/>
      <c r="P642" s="19">
        <f>Таблица1[[#This Row],[Цена
 Продажа]]-Таблица1[[#This Row],[Цена 
Приход]]</f>
        <v>0</v>
      </c>
      <c r="Q642" s="19"/>
      <c r="R642" s="19">
        <f>Таблица1[[#This Row],[Блок
 Куб]]*Таблица1[[#This Row],[Цена
 Продажа]]</f>
        <v>0</v>
      </c>
      <c r="S642" s="20"/>
      <c r="T642" s="19">
        <f>Таблица1[[#This Row],[Сумма 
Продажа]]-Таблица1[[#This Row],[Сумма 
Приход]]</f>
        <v>0</v>
      </c>
      <c r="U642" s="150"/>
    </row>
    <row r="643" spans="1:21" ht="14.25" x14ac:dyDescent="0.2">
      <c r="A643" s="50">
        <f t="shared" si="9"/>
        <v>640</v>
      </c>
      <c r="B643" s="17"/>
      <c r="C643" s="17"/>
      <c r="D643" s="17"/>
      <c r="E643" s="51"/>
      <c r="F643" s="50"/>
      <c r="G643" s="23"/>
      <c r="H643" s="24"/>
      <c r="I643" s="23"/>
      <c r="J643" s="19">
        <f>Таблица1[[#This Row],[Блок
 Куб]]*Таблица1[[#This Row],[Цена 
Приход]]</f>
        <v>0</v>
      </c>
      <c r="K643" s="25"/>
      <c r="L643" s="25"/>
      <c r="M643" s="19">
        <f>Таблица1[[#This Row],[Поддон
Шт]]*Таблица1[[#This Row],[Цена
Поддон]]</f>
        <v>0</v>
      </c>
      <c r="N643" s="19">
        <f>Таблица1[[#This Row],[Сумма 
Приход]]+Таблица1[[#This Row],[Сумма Поддон]]</f>
        <v>0</v>
      </c>
      <c r="O643" s="20"/>
      <c r="P643" s="19">
        <f>Таблица1[[#This Row],[Цена
 Продажа]]-Таблица1[[#This Row],[Цена 
Приход]]</f>
        <v>0</v>
      </c>
      <c r="Q643" s="19"/>
      <c r="R643" s="19">
        <f>Таблица1[[#This Row],[Блок
 Куб]]*Таблица1[[#This Row],[Цена
 Продажа]]</f>
        <v>0</v>
      </c>
      <c r="S643" s="20"/>
      <c r="T643" s="19">
        <f>Таблица1[[#This Row],[Сумма 
Продажа]]-Таблица1[[#This Row],[Сумма 
Приход]]</f>
        <v>0</v>
      </c>
      <c r="U643" s="150"/>
    </row>
    <row r="644" spans="1:21" ht="14.25" x14ac:dyDescent="0.2">
      <c r="A644" s="50">
        <f t="shared" si="9"/>
        <v>641</v>
      </c>
      <c r="B644" s="17"/>
      <c r="C644" s="17"/>
      <c r="D644" s="17"/>
      <c r="E644" s="51"/>
      <c r="F644" s="50"/>
      <c r="G644" s="23"/>
      <c r="H644" s="24"/>
      <c r="I644" s="23"/>
      <c r="J644" s="19">
        <f>Таблица1[[#This Row],[Блок
 Куб]]*Таблица1[[#This Row],[Цена 
Приход]]</f>
        <v>0</v>
      </c>
      <c r="K644" s="25"/>
      <c r="L644" s="25"/>
      <c r="M644" s="19">
        <f>Таблица1[[#This Row],[Поддон
Шт]]*Таблица1[[#This Row],[Цена
Поддон]]</f>
        <v>0</v>
      </c>
      <c r="N644" s="19">
        <f>Таблица1[[#This Row],[Сумма 
Приход]]+Таблица1[[#This Row],[Сумма Поддон]]</f>
        <v>0</v>
      </c>
      <c r="O644" s="20"/>
      <c r="P644" s="19">
        <f>Таблица1[[#This Row],[Цена
 Продажа]]-Таблица1[[#This Row],[Цена 
Приход]]</f>
        <v>0</v>
      </c>
      <c r="Q644" s="19"/>
      <c r="R644" s="19">
        <f>Таблица1[[#This Row],[Блок
 Куб]]*Таблица1[[#This Row],[Цена
 Продажа]]</f>
        <v>0</v>
      </c>
      <c r="S644" s="20"/>
      <c r="T644" s="19">
        <f>Таблица1[[#This Row],[Сумма 
Продажа]]-Таблица1[[#This Row],[Сумма 
Приход]]</f>
        <v>0</v>
      </c>
      <c r="U644" s="150"/>
    </row>
    <row r="645" spans="1:21" ht="14.25" x14ac:dyDescent="0.2">
      <c r="A645" s="50">
        <f t="shared" si="9"/>
        <v>642</v>
      </c>
      <c r="B645" s="17"/>
      <c r="C645" s="17"/>
      <c r="D645" s="17"/>
      <c r="E645" s="51"/>
      <c r="F645" s="50"/>
      <c r="G645" s="23"/>
      <c r="H645" s="24"/>
      <c r="I645" s="23"/>
      <c r="J645" s="19">
        <f>Таблица1[[#This Row],[Блок
 Куб]]*Таблица1[[#This Row],[Цена 
Приход]]</f>
        <v>0</v>
      </c>
      <c r="K645" s="25"/>
      <c r="L645" s="25"/>
      <c r="M645" s="19">
        <f>Таблица1[[#This Row],[Поддон
Шт]]*Таблица1[[#This Row],[Цена
Поддон]]</f>
        <v>0</v>
      </c>
      <c r="N645" s="19">
        <f>Таблица1[[#This Row],[Сумма 
Приход]]+Таблица1[[#This Row],[Сумма Поддон]]</f>
        <v>0</v>
      </c>
      <c r="O645" s="20"/>
      <c r="P645" s="19">
        <f>Таблица1[[#This Row],[Цена
 Продажа]]-Таблица1[[#This Row],[Цена 
Приход]]</f>
        <v>0</v>
      </c>
      <c r="Q645" s="19"/>
      <c r="R645" s="19">
        <f>Таблица1[[#This Row],[Блок
 Куб]]*Таблица1[[#This Row],[Цена
 Продажа]]</f>
        <v>0</v>
      </c>
      <c r="S645" s="20"/>
      <c r="T645" s="19">
        <f>Таблица1[[#This Row],[Сумма 
Продажа]]-Таблица1[[#This Row],[Сумма 
Приход]]</f>
        <v>0</v>
      </c>
      <c r="U645" s="150"/>
    </row>
    <row r="646" spans="1:21" ht="14.25" x14ac:dyDescent="0.2">
      <c r="A646" s="50">
        <f t="shared" ref="A646:A709" si="10">A645+1</f>
        <v>643</v>
      </c>
      <c r="B646" s="17"/>
      <c r="C646" s="17"/>
      <c r="D646" s="17"/>
      <c r="E646" s="51"/>
      <c r="F646" s="50"/>
      <c r="G646" s="23"/>
      <c r="H646" s="24"/>
      <c r="I646" s="23"/>
      <c r="J646" s="19">
        <f>Таблица1[[#This Row],[Блок
 Куб]]*Таблица1[[#This Row],[Цена 
Приход]]</f>
        <v>0</v>
      </c>
      <c r="K646" s="25"/>
      <c r="L646" s="25"/>
      <c r="M646" s="19">
        <f>Таблица1[[#This Row],[Поддон
Шт]]*Таблица1[[#This Row],[Цена
Поддон]]</f>
        <v>0</v>
      </c>
      <c r="N646" s="19">
        <f>Таблица1[[#This Row],[Сумма 
Приход]]+Таблица1[[#This Row],[Сумма Поддон]]</f>
        <v>0</v>
      </c>
      <c r="O646" s="20"/>
      <c r="P646" s="19">
        <f>Таблица1[[#This Row],[Цена
 Продажа]]-Таблица1[[#This Row],[Цена 
Приход]]</f>
        <v>0</v>
      </c>
      <c r="Q646" s="19"/>
      <c r="R646" s="19">
        <f>Таблица1[[#This Row],[Блок
 Куб]]*Таблица1[[#This Row],[Цена
 Продажа]]</f>
        <v>0</v>
      </c>
      <c r="S646" s="20"/>
      <c r="T646" s="19">
        <f>Таблица1[[#This Row],[Сумма 
Продажа]]-Таблица1[[#This Row],[Сумма 
Приход]]</f>
        <v>0</v>
      </c>
      <c r="U646" s="150"/>
    </row>
    <row r="647" spans="1:21" ht="14.25" x14ac:dyDescent="0.2">
      <c r="A647" s="50">
        <f t="shared" si="10"/>
        <v>644</v>
      </c>
      <c r="B647" s="17"/>
      <c r="C647" s="17"/>
      <c r="D647" s="17"/>
      <c r="E647" s="51"/>
      <c r="F647" s="50"/>
      <c r="G647" s="23"/>
      <c r="H647" s="24"/>
      <c r="I647" s="23"/>
      <c r="J647" s="19">
        <f>Таблица1[[#This Row],[Блок
 Куб]]*Таблица1[[#This Row],[Цена 
Приход]]</f>
        <v>0</v>
      </c>
      <c r="K647" s="25"/>
      <c r="L647" s="25"/>
      <c r="M647" s="19">
        <f>Таблица1[[#This Row],[Поддон
Шт]]*Таблица1[[#This Row],[Цена
Поддон]]</f>
        <v>0</v>
      </c>
      <c r="N647" s="19">
        <f>Таблица1[[#This Row],[Сумма 
Приход]]+Таблица1[[#This Row],[Сумма Поддон]]</f>
        <v>0</v>
      </c>
      <c r="O647" s="20"/>
      <c r="P647" s="19">
        <f>Таблица1[[#This Row],[Цена
 Продажа]]-Таблица1[[#This Row],[Цена 
Приход]]</f>
        <v>0</v>
      </c>
      <c r="Q647" s="19"/>
      <c r="R647" s="19">
        <f>Таблица1[[#This Row],[Блок
 Куб]]*Таблица1[[#This Row],[Цена
 Продажа]]</f>
        <v>0</v>
      </c>
      <c r="S647" s="20"/>
      <c r="T647" s="19">
        <f>Таблица1[[#This Row],[Сумма 
Продажа]]-Таблица1[[#This Row],[Сумма 
Приход]]</f>
        <v>0</v>
      </c>
      <c r="U647" s="150"/>
    </row>
    <row r="648" spans="1:21" ht="14.25" x14ac:dyDescent="0.2">
      <c r="A648" s="50">
        <f t="shared" si="10"/>
        <v>645</v>
      </c>
      <c r="B648" s="17"/>
      <c r="C648" s="17"/>
      <c r="D648" s="17"/>
      <c r="E648" s="51"/>
      <c r="F648" s="50"/>
      <c r="G648" s="23"/>
      <c r="H648" s="24"/>
      <c r="I648" s="23"/>
      <c r="J648" s="19">
        <f>Таблица1[[#This Row],[Блок
 Куб]]*Таблица1[[#This Row],[Цена 
Приход]]</f>
        <v>0</v>
      </c>
      <c r="K648" s="25"/>
      <c r="L648" s="25"/>
      <c r="M648" s="19">
        <f>Таблица1[[#This Row],[Поддон
Шт]]*Таблица1[[#This Row],[Цена
Поддон]]</f>
        <v>0</v>
      </c>
      <c r="N648" s="19">
        <f>Таблица1[[#This Row],[Сумма 
Приход]]+Таблица1[[#This Row],[Сумма Поддон]]</f>
        <v>0</v>
      </c>
      <c r="O648" s="20"/>
      <c r="P648" s="19">
        <f>Таблица1[[#This Row],[Цена
 Продажа]]-Таблица1[[#This Row],[Цена 
Приход]]</f>
        <v>0</v>
      </c>
      <c r="Q648" s="19"/>
      <c r="R648" s="19">
        <f>Таблица1[[#This Row],[Блок
 Куб]]*Таблица1[[#This Row],[Цена
 Продажа]]</f>
        <v>0</v>
      </c>
      <c r="S648" s="20"/>
      <c r="T648" s="19">
        <f>Таблица1[[#This Row],[Сумма 
Продажа]]-Таблица1[[#This Row],[Сумма 
Приход]]</f>
        <v>0</v>
      </c>
      <c r="U648" s="150"/>
    </row>
    <row r="649" spans="1:21" ht="14.25" x14ac:dyDescent="0.2">
      <c r="A649" s="50">
        <f t="shared" si="10"/>
        <v>646</v>
      </c>
      <c r="B649" s="17"/>
      <c r="C649" s="17"/>
      <c r="D649" s="17"/>
      <c r="E649" s="51"/>
      <c r="F649" s="50"/>
      <c r="G649" s="23"/>
      <c r="H649" s="24"/>
      <c r="I649" s="23"/>
      <c r="J649" s="19">
        <f>Таблица1[[#This Row],[Блок
 Куб]]*Таблица1[[#This Row],[Цена 
Приход]]</f>
        <v>0</v>
      </c>
      <c r="K649" s="25"/>
      <c r="L649" s="25"/>
      <c r="M649" s="19">
        <f>Таблица1[[#This Row],[Поддон
Шт]]*Таблица1[[#This Row],[Цена
Поддон]]</f>
        <v>0</v>
      </c>
      <c r="N649" s="19">
        <f>Таблица1[[#This Row],[Сумма 
Приход]]+Таблица1[[#This Row],[Сумма Поддон]]</f>
        <v>0</v>
      </c>
      <c r="O649" s="20"/>
      <c r="P649" s="19">
        <f>Таблица1[[#This Row],[Цена
 Продажа]]-Таблица1[[#This Row],[Цена 
Приход]]</f>
        <v>0</v>
      </c>
      <c r="Q649" s="19"/>
      <c r="R649" s="19">
        <f>Таблица1[[#This Row],[Блок
 Куб]]*Таблица1[[#This Row],[Цена
 Продажа]]</f>
        <v>0</v>
      </c>
      <c r="S649" s="20"/>
      <c r="T649" s="19">
        <f>Таблица1[[#This Row],[Сумма 
Продажа]]-Таблица1[[#This Row],[Сумма 
Приход]]</f>
        <v>0</v>
      </c>
      <c r="U649" s="150"/>
    </row>
    <row r="650" spans="1:21" ht="14.25" x14ac:dyDescent="0.2">
      <c r="A650" s="50">
        <f t="shared" si="10"/>
        <v>647</v>
      </c>
      <c r="B650" s="17"/>
      <c r="C650" s="17"/>
      <c r="D650" s="17"/>
      <c r="E650" s="51"/>
      <c r="F650" s="50"/>
      <c r="G650" s="23"/>
      <c r="H650" s="24"/>
      <c r="I650" s="23"/>
      <c r="J650" s="19">
        <f>Таблица1[[#This Row],[Блок
 Куб]]*Таблица1[[#This Row],[Цена 
Приход]]</f>
        <v>0</v>
      </c>
      <c r="K650" s="25"/>
      <c r="L650" s="25"/>
      <c r="M650" s="19">
        <f>Таблица1[[#This Row],[Поддон
Шт]]*Таблица1[[#This Row],[Цена
Поддон]]</f>
        <v>0</v>
      </c>
      <c r="N650" s="19">
        <f>Таблица1[[#This Row],[Сумма 
Приход]]+Таблица1[[#This Row],[Сумма Поддон]]</f>
        <v>0</v>
      </c>
      <c r="O650" s="20"/>
      <c r="P650" s="19">
        <f>Таблица1[[#This Row],[Цена
 Продажа]]-Таблица1[[#This Row],[Цена 
Приход]]</f>
        <v>0</v>
      </c>
      <c r="Q650" s="19"/>
      <c r="R650" s="19">
        <f>Таблица1[[#This Row],[Блок
 Куб]]*Таблица1[[#This Row],[Цена
 Продажа]]</f>
        <v>0</v>
      </c>
      <c r="S650" s="20"/>
      <c r="T650" s="19">
        <f>Таблица1[[#This Row],[Сумма 
Продажа]]-Таблица1[[#This Row],[Сумма 
Приход]]</f>
        <v>0</v>
      </c>
      <c r="U650" s="150"/>
    </row>
    <row r="651" spans="1:21" ht="14.25" x14ac:dyDescent="0.2">
      <c r="A651" s="50">
        <f t="shared" si="10"/>
        <v>648</v>
      </c>
      <c r="B651" s="17"/>
      <c r="C651" s="17"/>
      <c r="D651" s="17"/>
      <c r="E651" s="51"/>
      <c r="F651" s="50"/>
      <c r="G651" s="23"/>
      <c r="H651" s="24"/>
      <c r="I651" s="23"/>
      <c r="J651" s="19">
        <f>Таблица1[[#This Row],[Блок
 Куб]]*Таблица1[[#This Row],[Цена 
Приход]]</f>
        <v>0</v>
      </c>
      <c r="K651" s="25"/>
      <c r="L651" s="25"/>
      <c r="M651" s="19">
        <f>Таблица1[[#This Row],[Поддон
Шт]]*Таблица1[[#This Row],[Цена
Поддон]]</f>
        <v>0</v>
      </c>
      <c r="N651" s="19">
        <f>Таблица1[[#This Row],[Сумма 
Приход]]+Таблица1[[#This Row],[Сумма Поддон]]</f>
        <v>0</v>
      </c>
      <c r="O651" s="20"/>
      <c r="P651" s="19">
        <f>Таблица1[[#This Row],[Цена
 Продажа]]-Таблица1[[#This Row],[Цена 
Приход]]</f>
        <v>0</v>
      </c>
      <c r="Q651" s="19"/>
      <c r="R651" s="19">
        <f>Таблица1[[#This Row],[Блок
 Куб]]*Таблица1[[#This Row],[Цена
 Продажа]]</f>
        <v>0</v>
      </c>
      <c r="S651" s="20"/>
      <c r="T651" s="19">
        <f>Таблица1[[#This Row],[Сумма 
Продажа]]-Таблица1[[#This Row],[Сумма 
Приход]]</f>
        <v>0</v>
      </c>
      <c r="U651" s="150"/>
    </row>
    <row r="652" spans="1:21" ht="14.25" x14ac:dyDescent="0.2">
      <c r="A652" s="50">
        <f t="shared" si="10"/>
        <v>649</v>
      </c>
      <c r="B652" s="17"/>
      <c r="C652" s="17"/>
      <c r="D652" s="17"/>
      <c r="E652" s="51"/>
      <c r="F652" s="50"/>
      <c r="G652" s="23"/>
      <c r="H652" s="24"/>
      <c r="I652" s="23"/>
      <c r="J652" s="19">
        <f>Таблица1[[#This Row],[Блок
 Куб]]*Таблица1[[#This Row],[Цена 
Приход]]</f>
        <v>0</v>
      </c>
      <c r="K652" s="25"/>
      <c r="L652" s="25"/>
      <c r="M652" s="19">
        <f>Таблица1[[#This Row],[Поддон
Шт]]*Таблица1[[#This Row],[Цена
Поддон]]</f>
        <v>0</v>
      </c>
      <c r="N652" s="19">
        <f>Таблица1[[#This Row],[Сумма 
Приход]]+Таблица1[[#This Row],[Сумма Поддон]]</f>
        <v>0</v>
      </c>
      <c r="O652" s="20"/>
      <c r="P652" s="19">
        <f>Таблица1[[#This Row],[Цена
 Продажа]]-Таблица1[[#This Row],[Цена 
Приход]]</f>
        <v>0</v>
      </c>
      <c r="Q652" s="19"/>
      <c r="R652" s="19">
        <f>Таблица1[[#This Row],[Блок
 Куб]]*Таблица1[[#This Row],[Цена
 Продажа]]</f>
        <v>0</v>
      </c>
      <c r="S652" s="20"/>
      <c r="T652" s="19">
        <f>Таблица1[[#This Row],[Сумма 
Продажа]]-Таблица1[[#This Row],[Сумма 
Приход]]</f>
        <v>0</v>
      </c>
      <c r="U652" s="150"/>
    </row>
    <row r="653" spans="1:21" ht="14.25" x14ac:dyDescent="0.2">
      <c r="A653" s="50">
        <f t="shared" si="10"/>
        <v>650</v>
      </c>
      <c r="B653" s="17"/>
      <c r="C653" s="17"/>
      <c r="D653" s="17"/>
      <c r="E653" s="51"/>
      <c r="F653" s="50"/>
      <c r="G653" s="23"/>
      <c r="H653" s="24"/>
      <c r="I653" s="23"/>
      <c r="J653" s="19">
        <f>Таблица1[[#This Row],[Блок
 Куб]]*Таблица1[[#This Row],[Цена 
Приход]]</f>
        <v>0</v>
      </c>
      <c r="K653" s="25"/>
      <c r="L653" s="25"/>
      <c r="M653" s="19">
        <f>Таблица1[[#This Row],[Поддон
Шт]]*Таблица1[[#This Row],[Цена
Поддон]]</f>
        <v>0</v>
      </c>
      <c r="N653" s="19">
        <f>Таблица1[[#This Row],[Сумма 
Приход]]+Таблица1[[#This Row],[Сумма Поддон]]</f>
        <v>0</v>
      </c>
      <c r="O653" s="20"/>
      <c r="P653" s="19">
        <f>Таблица1[[#This Row],[Цена
 Продажа]]-Таблица1[[#This Row],[Цена 
Приход]]</f>
        <v>0</v>
      </c>
      <c r="Q653" s="19"/>
      <c r="R653" s="19">
        <f>Таблица1[[#This Row],[Блок
 Куб]]*Таблица1[[#This Row],[Цена
 Продажа]]</f>
        <v>0</v>
      </c>
      <c r="S653" s="20"/>
      <c r="T653" s="19">
        <f>Таблица1[[#This Row],[Сумма 
Продажа]]-Таблица1[[#This Row],[Сумма 
Приход]]</f>
        <v>0</v>
      </c>
      <c r="U653" s="150"/>
    </row>
    <row r="654" spans="1:21" ht="14.25" x14ac:dyDescent="0.2">
      <c r="A654" s="50">
        <f t="shared" si="10"/>
        <v>651</v>
      </c>
      <c r="B654" s="17"/>
      <c r="C654" s="17"/>
      <c r="D654" s="17"/>
      <c r="E654" s="51"/>
      <c r="F654" s="50"/>
      <c r="G654" s="23"/>
      <c r="H654" s="24"/>
      <c r="I654" s="23"/>
      <c r="J654" s="19">
        <f>Таблица1[[#This Row],[Блок
 Куб]]*Таблица1[[#This Row],[Цена 
Приход]]</f>
        <v>0</v>
      </c>
      <c r="K654" s="25"/>
      <c r="L654" s="25"/>
      <c r="M654" s="19">
        <f>Таблица1[[#This Row],[Поддон
Шт]]*Таблица1[[#This Row],[Цена
Поддон]]</f>
        <v>0</v>
      </c>
      <c r="N654" s="19">
        <f>Таблица1[[#This Row],[Сумма 
Приход]]+Таблица1[[#This Row],[Сумма Поддон]]</f>
        <v>0</v>
      </c>
      <c r="O654" s="20"/>
      <c r="P654" s="19">
        <f>Таблица1[[#This Row],[Цена
 Продажа]]-Таблица1[[#This Row],[Цена 
Приход]]</f>
        <v>0</v>
      </c>
      <c r="Q654" s="19"/>
      <c r="R654" s="19">
        <f>Таблица1[[#This Row],[Блок
 Куб]]*Таблица1[[#This Row],[Цена
 Продажа]]</f>
        <v>0</v>
      </c>
      <c r="S654" s="20"/>
      <c r="T654" s="19">
        <f>Таблица1[[#This Row],[Сумма 
Продажа]]-Таблица1[[#This Row],[Сумма 
Приход]]</f>
        <v>0</v>
      </c>
      <c r="U654" s="150"/>
    </row>
    <row r="655" spans="1:21" ht="14.25" x14ac:dyDescent="0.2">
      <c r="A655" s="50">
        <f t="shared" si="10"/>
        <v>652</v>
      </c>
      <c r="B655" s="17"/>
      <c r="C655" s="17"/>
      <c r="D655" s="17"/>
      <c r="E655" s="51"/>
      <c r="F655" s="50"/>
      <c r="G655" s="23"/>
      <c r="H655" s="24"/>
      <c r="I655" s="23"/>
      <c r="J655" s="19">
        <f>Таблица1[[#This Row],[Блок
 Куб]]*Таблица1[[#This Row],[Цена 
Приход]]</f>
        <v>0</v>
      </c>
      <c r="K655" s="25"/>
      <c r="L655" s="25"/>
      <c r="M655" s="19">
        <f>Таблица1[[#This Row],[Поддон
Шт]]*Таблица1[[#This Row],[Цена
Поддон]]</f>
        <v>0</v>
      </c>
      <c r="N655" s="19">
        <f>Таблица1[[#This Row],[Сумма 
Приход]]+Таблица1[[#This Row],[Сумма Поддон]]</f>
        <v>0</v>
      </c>
      <c r="O655" s="20"/>
      <c r="P655" s="19">
        <f>Таблица1[[#This Row],[Цена
 Продажа]]-Таблица1[[#This Row],[Цена 
Приход]]</f>
        <v>0</v>
      </c>
      <c r="Q655" s="19"/>
      <c r="R655" s="19">
        <f>Таблица1[[#This Row],[Блок
 Куб]]*Таблица1[[#This Row],[Цена
 Продажа]]</f>
        <v>0</v>
      </c>
      <c r="S655" s="20"/>
      <c r="T655" s="19">
        <f>Таблица1[[#This Row],[Сумма 
Продажа]]-Таблица1[[#This Row],[Сумма 
Приход]]</f>
        <v>0</v>
      </c>
      <c r="U655" s="150"/>
    </row>
    <row r="656" spans="1:21" ht="14.25" x14ac:dyDescent="0.2">
      <c r="A656" s="50">
        <f t="shared" si="10"/>
        <v>653</v>
      </c>
      <c r="B656" s="17"/>
      <c r="C656" s="17"/>
      <c r="D656" s="17"/>
      <c r="E656" s="51"/>
      <c r="F656" s="50"/>
      <c r="G656" s="23"/>
      <c r="H656" s="24"/>
      <c r="I656" s="23"/>
      <c r="J656" s="19">
        <f>Таблица1[[#This Row],[Блок
 Куб]]*Таблица1[[#This Row],[Цена 
Приход]]</f>
        <v>0</v>
      </c>
      <c r="K656" s="25"/>
      <c r="L656" s="25"/>
      <c r="M656" s="19">
        <f>Таблица1[[#This Row],[Поддон
Шт]]*Таблица1[[#This Row],[Цена
Поддон]]</f>
        <v>0</v>
      </c>
      <c r="N656" s="19">
        <f>Таблица1[[#This Row],[Сумма 
Приход]]+Таблица1[[#This Row],[Сумма Поддон]]</f>
        <v>0</v>
      </c>
      <c r="O656" s="20"/>
      <c r="P656" s="19">
        <f>Таблица1[[#This Row],[Цена
 Продажа]]-Таблица1[[#This Row],[Цена 
Приход]]</f>
        <v>0</v>
      </c>
      <c r="Q656" s="19"/>
      <c r="R656" s="19">
        <f>Таблица1[[#This Row],[Блок
 Куб]]*Таблица1[[#This Row],[Цена
 Продажа]]</f>
        <v>0</v>
      </c>
      <c r="S656" s="20"/>
      <c r="T656" s="19">
        <f>Таблица1[[#This Row],[Сумма 
Продажа]]-Таблица1[[#This Row],[Сумма 
Приход]]</f>
        <v>0</v>
      </c>
      <c r="U656" s="150"/>
    </row>
    <row r="657" spans="1:21" ht="14.25" x14ac:dyDescent="0.2">
      <c r="A657" s="50">
        <f t="shared" si="10"/>
        <v>654</v>
      </c>
      <c r="B657" s="17"/>
      <c r="C657" s="17"/>
      <c r="D657" s="17"/>
      <c r="E657" s="51"/>
      <c r="F657" s="50"/>
      <c r="G657" s="23"/>
      <c r="H657" s="24"/>
      <c r="I657" s="23"/>
      <c r="J657" s="19">
        <f>Таблица1[[#This Row],[Блок
 Куб]]*Таблица1[[#This Row],[Цена 
Приход]]</f>
        <v>0</v>
      </c>
      <c r="K657" s="25"/>
      <c r="L657" s="25"/>
      <c r="M657" s="19">
        <f>Таблица1[[#This Row],[Поддон
Шт]]*Таблица1[[#This Row],[Цена
Поддон]]</f>
        <v>0</v>
      </c>
      <c r="N657" s="19">
        <f>Таблица1[[#This Row],[Сумма 
Приход]]+Таблица1[[#This Row],[Сумма Поддон]]</f>
        <v>0</v>
      </c>
      <c r="O657" s="20"/>
      <c r="P657" s="19">
        <f>Таблица1[[#This Row],[Цена
 Продажа]]-Таблица1[[#This Row],[Цена 
Приход]]</f>
        <v>0</v>
      </c>
      <c r="Q657" s="19"/>
      <c r="R657" s="19">
        <f>Таблица1[[#This Row],[Блок
 Куб]]*Таблица1[[#This Row],[Цена
 Продажа]]</f>
        <v>0</v>
      </c>
      <c r="S657" s="20"/>
      <c r="T657" s="19">
        <f>Таблица1[[#This Row],[Сумма 
Продажа]]-Таблица1[[#This Row],[Сумма 
Приход]]</f>
        <v>0</v>
      </c>
      <c r="U657" s="150"/>
    </row>
    <row r="658" spans="1:21" ht="14.25" x14ac:dyDescent="0.2">
      <c r="A658" s="50">
        <f t="shared" si="10"/>
        <v>655</v>
      </c>
      <c r="B658" s="17"/>
      <c r="C658" s="17"/>
      <c r="D658" s="17"/>
      <c r="E658" s="51"/>
      <c r="F658" s="50"/>
      <c r="G658" s="23"/>
      <c r="H658" s="24"/>
      <c r="I658" s="23"/>
      <c r="J658" s="19">
        <f>Таблица1[[#This Row],[Блок
 Куб]]*Таблица1[[#This Row],[Цена 
Приход]]</f>
        <v>0</v>
      </c>
      <c r="K658" s="25"/>
      <c r="L658" s="25"/>
      <c r="M658" s="19">
        <f>Таблица1[[#This Row],[Поддон
Шт]]*Таблица1[[#This Row],[Цена
Поддон]]</f>
        <v>0</v>
      </c>
      <c r="N658" s="19">
        <f>Таблица1[[#This Row],[Сумма 
Приход]]+Таблица1[[#This Row],[Сумма Поддон]]</f>
        <v>0</v>
      </c>
      <c r="O658" s="20"/>
      <c r="P658" s="19">
        <f>Таблица1[[#This Row],[Цена
 Продажа]]-Таблица1[[#This Row],[Цена 
Приход]]</f>
        <v>0</v>
      </c>
      <c r="Q658" s="19"/>
      <c r="R658" s="19">
        <f>Таблица1[[#This Row],[Блок
 Куб]]*Таблица1[[#This Row],[Цена
 Продажа]]</f>
        <v>0</v>
      </c>
      <c r="S658" s="20"/>
      <c r="T658" s="19">
        <f>Таблица1[[#This Row],[Сумма 
Продажа]]-Таблица1[[#This Row],[Сумма 
Приход]]</f>
        <v>0</v>
      </c>
      <c r="U658" s="150"/>
    </row>
    <row r="659" spans="1:21" ht="14.25" x14ac:dyDescent="0.2">
      <c r="A659" s="50">
        <f t="shared" si="10"/>
        <v>656</v>
      </c>
      <c r="B659" s="17"/>
      <c r="C659" s="17"/>
      <c r="D659" s="17"/>
      <c r="E659" s="51"/>
      <c r="F659" s="50"/>
      <c r="G659" s="23"/>
      <c r="H659" s="24"/>
      <c r="I659" s="23"/>
      <c r="J659" s="19">
        <f>Таблица1[[#This Row],[Блок
 Куб]]*Таблица1[[#This Row],[Цена 
Приход]]</f>
        <v>0</v>
      </c>
      <c r="K659" s="25"/>
      <c r="L659" s="25"/>
      <c r="M659" s="19">
        <f>Таблица1[[#This Row],[Поддон
Шт]]*Таблица1[[#This Row],[Цена
Поддон]]</f>
        <v>0</v>
      </c>
      <c r="N659" s="19">
        <f>Таблица1[[#This Row],[Сумма 
Приход]]+Таблица1[[#This Row],[Сумма Поддон]]</f>
        <v>0</v>
      </c>
      <c r="O659" s="20"/>
      <c r="P659" s="19">
        <f>Таблица1[[#This Row],[Цена
 Продажа]]-Таблица1[[#This Row],[Цена 
Приход]]</f>
        <v>0</v>
      </c>
      <c r="Q659" s="19"/>
      <c r="R659" s="19">
        <f>Таблица1[[#This Row],[Блок
 Куб]]*Таблица1[[#This Row],[Цена
 Продажа]]</f>
        <v>0</v>
      </c>
      <c r="S659" s="20"/>
      <c r="T659" s="19">
        <f>Таблица1[[#This Row],[Сумма 
Продажа]]-Таблица1[[#This Row],[Сумма 
Приход]]</f>
        <v>0</v>
      </c>
      <c r="U659" s="150"/>
    </row>
    <row r="660" spans="1:21" ht="14.25" x14ac:dyDescent="0.2">
      <c r="A660" s="50">
        <f t="shared" si="10"/>
        <v>657</v>
      </c>
      <c r="B660" s="17"/>
      <c r="C660" s="17"/>
      <c r="D660" s="17"/>
      <c r="E660" s="51"/>
      <c r="F660" s="50"/>
      <c r="G660" s="23"/>
      <c r="H660" s="24"/>
      <c r="I660" s="23"/>
      <c r="J660" s="19">
        <f>Таблица1[[#This Row],[Блок
 Куб]]*Таблица1[[#This Row],[Цена 
Приход]]</f>
        <v>0</v>
      </c>
      <c r="K660" s="25"/>
      <c r="L660" s="25"/>
      <c r="M660" s="19">
        <f>Таблица1[[#This Row],[Поддон
Шт]]*Таблица1[[#This Row],[Цена
Поддон]]</f>
        <v>0</v>
      </c>
      <c r="N660" s="19">
        <f>Таблица1[[#This Row],[Сумма 
Приход]]+Таблица1[[#This Row],[Сумма Поддон]]</f>
        <v>0</v>
      </c>
      <c r="O660" s="20"/>
      <c r="P660" s="19">
        <f>Таблица1[[#This Row],[Цена
 Продажа]]-Таблица1[[#This Row],[Цена 
Приход]]</f>
        <v>0</v>
      </c>
      <c r="Q660" s="19"/>
      <c r="R660" s="19">
        <f>Таблица1[[#This Row],[Блок
 Куб]]*Таблица1[[#This Row],[Цена
 Продажа]]</f>
        <v>0</v>
      </c>
      <c r="S660" s="20"/>
      <c r="T660" s="19">
        <f>Таблица1[[#This Row],[Сумма 
Продажа]]-Таблица1[[#This Row],[Сумма 
Приход]]</f>
        <v>0</v>
      </c>
      <c r="U660" s="150"/>
    </row>
    <row r="661" spans="1:21" ht="14.25" x14ac:dyDescent="0.2">
      <c r="A661" s="50">
        <f t="shared" si="10"/>
        <v>658</v>
      </c>
      <c r="B661" s="17"/>
      <c r="C661" s="17"/>
      <c r="D661" s="17"/>
      <c r="E661" s="51"/>
      <c r="F661" s="50"/>
      <c r="G661" s="23"/>
      <c r="H661" s="24"/>
      <c r="I661" s="23"/>
      <c r="J661" s="19">
        <f>Таблица1[[#This Row],[Блок
 Куб]]*Таблица1[[#This Row],[Цена 
Приход]]</f>
        <v>0</v>
      </c>
      <c r="K661" s="25"/>
      <c r="L661" s="25"/>
      <c r="M661" s="19">
        <f>Таблица1[[#This Row],[Поддон
Шт]]*Таблица1[[#This Row],[Цена
Поддон]]</f>
        <v>0</v>
      </c>
      <c r="N661" s="19">
        <f>Таблица1[[#This Row],[Сумма 
Приход]]+Таблица1[[#This Row],[Сумма Поддон]]</f>
        <v>0</v>
      </c>
      <c r="O661" s="20"/>
      <c r="P661" s="19">
        <f>Таблица1[[#This Row],[Цена
 Продажа]]-Таблица1[[#This Row],[Цена 
Приход]]</f>
        <v>0</v>
      </c>
      <c r="Q661" s="19"/>
      <c r="R661" s="19">
        <f>Таблица1[[#This Row],[Блок
 Куб]]*Таблица1[[#This Row],[Цена
 Продажа]]</f>
        <v>0</v>
      </c>
      <c r="S661" s="20"/>
      <c r="T661" s="19">
        <f>Таблица1[[#This Row],[Сумма 
Продажа]]-Таблица1[[#This Row],[Сумма 
Приход]]</f>
        <v>0</v>
      </c>
      <c r="U661" s="150"/>
    </row>
    <row r="662" spans="1:21" ht="14.25" x14ac:dyDescent="0.2">
      <c r="A662" s="50">
        <f t="shared" si="10"/>
        <v>659</v>
      </c>
      <c r="B662" s="17"/>
      <c r="C662" s="17"/>
      <c r="D662" s="17"/>
      <c r="E662" s="51"/>
      <c r="F662" s="50"/>
      <c r="G662" s="23"/>
      <c r="H662" s="24"/>
      <c r="I662" s="23"/>
      <c r="J662" s="19">
        <f>Таблица1[[#This Row],[Блок
 Куб]]*Таблица1[[#This Row],[Цена 
Приход]]</f>
        <v>0</v>
      </c>
      <c r="K662" s="25"/>
      <c r="L662" s="25"/>
      <c r="M662" s="19">
        <f>Таблица1[[#This Row],[Поддон
Шт]]*Таблица1[[#This Row],[Цена
Поддон]]</f>
        <v>0</v>
      </c>
      <c r="N662" s="19">
        <f>Таблица1[[#This Row],[Сумма 
Приход]]+Таблица1[[#This Row],[Сумма Поддон]]</f>
        <v>0</v>
      </c>
      <c r="O662" s="20"/>
      <c r="P662" s="19">
        <f>Таблица1[[#This Row],[Цена
 Продажа]]-Таблица1[[#This Row],[Цена 
Приход]]</f>
        <v>0</v>
      </c>
      <c r="Q662" s="19"/>
      <c r="R662" s="19">
        <f>Таблица1[[#This Row],[Блок
 Куб]]*Таблица1[[#This Row],[Цена
 Продажа]]</f>
        <v>0</v>
      </c>
      <c r="S662" s="20"/>
      <c r="T662" s="19">
        <f>Таблица1[[#This Row],[Сумма 
Продажа]]-Таблица1[[#This Row],[Сумма 
Приход]]</f>
        <v>0</v>
      </c>
      <c r="U662" s="150"/>
    </row>
    <row r="663" spans="1:21" ht="14.25" x14ac:dyDescent="0.2">
      <c r="A663" s="50">
        <f t="shared" si="10"/>
        <v>660</v>
      </c>
      <c r="B663" s="17"/>
      <c r="C663" s="17"/>
      <c r="D663" s="17"/>
      <c r="E663" s="51"/>
      <c r="F663" s="50"/>
      <c r="G663" s="23"/>
      <c r="H663" s="24"/>
      <c r="I663" s="23"/>
      <c r="J663" s="19">
        <f>Таблица1[[#This Row],[Блок
 Куб]]*Таблица1[[#This Row],[Цена 
Приход]]</f>
        <v>0</v>
      </c>
      <c r="K663" s="25"/>
      <c r="L663" s="25"/>
      <c r="M663" s="19">
        <f>Таблица1[[#This Row],[Поддон
Шт]]*Таблица1[[#This Row],[Цена
Поддон]]</f>
        <v>0</v>
      </c>
      <c r="N663" s="19">
        <f>Таблица1[[#This Row],[Сумма 
Приход]]+Таблица1[[#This Row],[Сумма Поддон]]</f>
        <v>0</v>
      </c>
      <c r="O663" s="20"/>
      <c r="P663" s="19">
        <f>Таблица1[[#This Row],[Цена
 Продажа]]-Таблица1[[#This Row],[Цена 
Приход]]</f>
        <v>0</v>
      </c>
      <c r="Q663" s="19"/>
      <c r="R663" s="19">
        <f>Таблица1[[#This Row],[Блок
 Куб]]*Таблица1[[#This Row],[Цена
 Продажа]]</f>
        <v>0</v>
      </c>
      <c r="S663" s="20"/>
      <c r="T663" s="19">
        <f>Таблица1[[#This Row],[Сумма 
Продажа]]-Таблица1[[#This Row],[Сумма 
Приход]]</f>
        <v>0</v>
      </c>
      <c r="U663" s="150"/>
    </row>
    <row r="664" spans="1:21" ht="14.25" x14ac:dyDescent="0.2">
      <c r="A664" s="50">
        <f t="shared" si="10"/>
        <v>661</v>
      </c>
      <c r="B664" s="17"/>
      <c r="C664" s="17"/>
      <c r="D664" s="17"/>
      <c r="E664" s="51"/>
      <c r="F664" s="50"/>
      <c r="G664" s="23"/>
      <c r="H664" s="24"/>
      <c r="I664" s="23"/>
      <c r="J664" s="19">
        <f>Таблица1[[#This Row],[Блок
 Куб]]*Таблица1[[#This Row],[Цена 
Приход]]</f>
        <v>0</v>
      </c>
      <c r="K664" s="25"/>
      <c r="L664" s="25"/>
      <c r="M664" s="19">
        <f>Таблица1[[#This Row],[Поддон
Шт]]*Таблица1[[#This Row],[Цена
Поддон]]</f>
        <v>0</v>
      </c>
      <c r="N664" s="19">
        <f>Таблица1[[#This Row],[Сумма 
Приход]]+Таблица1[[#This Row],[Сумма Поддон]]</f>
        <v>0</v>
      </c>
      <c r="O664" s="20"/>
      <c r="P664" s="19">
        <f>Таблица1[[#This Row],[Цена
 Продажа]]-Таблица1[[#This Row],[Цена 
Приход]]</f>
        <v>0</v>
      </c>
      <c r="Q664" s="19"/>
      <c r="R664" s="19">
        <f>Таблица1[[#This Row],[Блок
 Куб]]*Таблица1[[#This Row],[Цена
 Продажа]]</f>
        <v>0</v>
      </c>
      <c r="S664" s="20"/>
      <c r="T664" s="19">
        <f>Таблица1[[#This Row],[Сумма 
Продажа]]-Таблица1[[#This Row],[Сумма 
Приход]]</f>
        <v>0</v>
      </c>
      <c r="U664" s="150"/>
    </row>
    <row r="665" spans="1:21" ht="14.25" x14ac:dyDescent="0.2">
      <c r="A665" s="50">
        <f t="shared" si="10"/>
        <v>662</v>
      </c>
      <c r="B665" s="17"/>
      <c r="C665" s="17"/>
      <c r="D665" s="17"/>
      <c r="E665" s="51"/>
      <c r="F665" s="50"/>
      <c r="G665" s="23"/>
      <c r="H665" s="24"/>
      <c r="I665" s="23"/>
      <c r="J665" s="19">
        <f>Таблица1[[#This Row],[Блок
 Куб]]*Таблица1[[#This Row],[Цена 
Приход]]</f>
        <v>0</v>
      </c>
      <c r="K665" s="25"/>
      <c r="L665" s="25"/>
      <c r="M665" s="19">
        <f>Таблица1[[#This Row],[Поддон
Шт]]*Таблица1[[#This Row],[Цена
Поддон]]</f>
        <v>0</v>
      </c>
      <c r="N665" s="19">
        <f>Таблица1[[#This Row],[Сумма 
Приход]]+Таблица1[[#This Row],[Сумма Поддон]]</f>
        <v>0</v>
      </c>
      <c r="O665" s="20"/>
      <c r="P665" s="19">
        <f>Таблица1[[#This Row],[Цена
 Продажа]]-Таблица1[[#This Row],[Цена 
Приход]]</f>
        <v>0</v>
      </c>
      <c r="Q665" s="19"/>
      <c r="R665" s="19">
        <f>Таблица1[[#This Row],[Блок
 Куб]]*Таблица1[[#This Row],[Цена
 Продажа]]</f>
        <v>0</v>
      </c>
      <c r="S665" s="20"/>
      <c r="T665" s="19">
        <f>Таблица1[[#This Row],[Сумма 
Продажа]]-Таблица1[[#This Row],[Сумма 
Приход]]</f>
        <v>0</v>
      </c>
      <c r="U665" s="150"/>
    </row>
    <row r="666" spans="1:21" ht="14.25" x14ac:dyDescent="0.2">
      <c r="A666" s="50">
        <f t="shared" si="10"/>
        <v>663</v>
      </c>
      <c r="B666" s="17"/>
      <c r="C666" s="17"/>
      <c r="D666" s="17"/>
      <c r="E666" s="51"/>
      <c r="F666" s="50"/>
      <c r="G666" s="23"/>
      <c r="H666" s="24"/>
      <c r="I666" s="23"/>
      <c r="J666" s="19">
        <f>Таблица1[[#This Row],[Блок
 Куб]]*Таблица1[[#This Row],[Цена 
Приход]]</f>
        <v>0</v>
      </c>
      <c r="K666" s="25"/>
      <c r="L666" s="25"/>
      <c r="M666" s="19">
        <f>Таблица1[[#This Row],[Поддон
Шт]]*Таблица1[[#This Row],[Цена
Поддон]]</f>
        <v>0</v>
      </c>
      <c r="N666" s="19">
        <f>Таблица1[[#This Row],[Сумма 
Приход]]+Таблица1[[#This Row],[Сумма Поддон]]</f>
        <v>0</v>
      </c>
      <c r="O666" s="20"/>
      <c r="P666" s="19">
        <f>Таблица1[[#This Row],[Цена
 Продажа]]-Таблица1[[#This Row],[Цена 
Приход]]</f>
        <v>0</v>
      </c>
      <c r="Q666" s="19"/>
      <c r="R666" s="19">
        <f>Таблица1[[#This Row],[Блок
 Куб]]*Таблица1[[#This Row],[Цена
 Продажа]]</f>
        <v>0</v>
      </c>
      <c r="S666" s="20"/>
      <c r="T666" s="19">
        <f>Таблица1[[#This Row],[Сумма 
Продажа]]-Таблица1[[#This Row],[Сумма 
Приход]]</f>
        <v>0</v>
      </c>
      <c r="U666" s="150"/>
    </row>
    <row r="667" spans="1:21" ht="14.25" x14ac:dyDescent="0.2">
      <c r="A667" s="50">
        <f t="shared" si="10"/>
        <v>664</v>
      </c>
      <c r="B667" s="17"/>
      <c r="C667" s="17"/>
      <c r="D667" s="17"/>
      <c r="E667" s="51"/>
      <c r="F667" s="50"/>
      <c r="G667" s="23"/>
      <c r="H667" s="24"/>
      <c r="I667" s="23"/>
      <c r="J667" s="19">
        <f>Таблица1[[#This Row],[Блок
 Куб]]*Таблица1[[#This Row],[Цена 
Приход]]</f>
        <v>0</v>
      </c>
      <c r="K667" s="25"/>
      <c r="L667" s="25"/>
      <c r="M667" s="19">
        <f>Таблица1[[#This Row],[Поддон
Шт]]*Таблица1[[#This Row],[Цена
Поддон]]</f>
        <v>0</v>
      </c>
      <c r="N667" s="19">
        <f>Таблица1[[#This Row],[Сумма 
Приход]]+Таблица1[[#This Row],[Сумма Поддон]]</f>
        <v>0</v>
      </c>
      <c r="O667" s="20"/>
      <c r="P667" s="19">
        <f>Таблица1[[#This Row],[Цена
 Продажа]]-Таблица1[[#This Row],[Цена 
Приход]]</f>
        <v>0</v>
      </c>
      <c r="Q667" s="19"/>
      <c r="R667" s="19">
        <f>Таблица1[[#This Row],[Блок
 Куб]]*Таблица1[[#This Row],[Цена
 Продажа]]</f>
        <v>0</v>
      </c>
      <c r="S667" s="20"/>
      <c r="T667" s="19">
        <f>Таблица1[[#This Row],[Сумма 
Продажа]]-Таблица1[[#This Row],[Сумма 
Приход]]</f>
        <v>0</v>
      </c>
      <c r="U667" s="150"/>
    </row>
    <row r="668" spans="1:21" ht="14.25" x14ac:dyDescent="0.2">
      <c r="A668" s="50">
        <f t="shared" si="10"/>
        <v>665</v>
      </c>
      <c r="B668" s="17"/>
      <c r="C668" s="17"/>
      <c r="D668" s="17"/>
      <c r="E668" s="51"/>
      <c r="F668" s="50"/>
      <c r="G668" s="23"/>
      <c r="H668" s="24"/>
      <c r="I668" s="23"/>
      <c r="J668" s="19">
        <f>Таблица1[[#This Row],[Блок
 Куб]]*Таблица1[[#This Row],[Цена 
Приход]]</f>
        <v>0</v>
      </c>
      <c r="K668" s="25"/>
      <c r="L668" s="25"/>
      <c r="M668" s="19">
        <f>Таблица1[[#This Row],[Поддон
Шт]]*Таблица1[[#This Row],[Цена
Поддон]]</f>
        <v>0</v>
      </c>
      <c r="N668" s="19">
        <f>Таблица1[[#This Row],[Сумма 
Приход]]+Таблица1[[#This Row],[Сумма Поддон]]</f>
        <v>0</v>
      </c>
      <c r="O668" s="20"/>
      <c r="P668" s="19">
        <f>Таблица1[[#This Row],[Цена
 Продажа]]-Таблица1[[#This Row],[Цена 
Приход]]</f>
        <v>0</v>
      </c>
      <c r="Q668" s="19"/>
      <c r="R668" s="19">
        <f>Таблица1[[#This Row],[Блок
 Куб]]*Таблица1[[#This Row],[Цена
 Продажа]]</f>
        <v>0</v>
      </c>
      <c r="S668" s="20"/>
      <c r="T668" s="19">
        <f>Таблица1[[#This Row],[Сумма 
Продажа]]-Таблица1[[#This Row],[Сумма 
Приход]]</f>
        <v>0</v>
      </c>
      <c r="U668" s="150"/>
    </row>
    <row r="669" spans="1:21" ht="14.25" x14ac:dyDescent="0.2">
      <c r="A669" s="50">
        <f t="shared" si="10"/>
        <v>666</v>
      </c>
      <c r="B669" s="17"/>
      <c r="C669" s="17"/>
      <c r="D669" s="17"/>
      <c r="E669" s="51"/>
      <c r="F669" s="50"/>
      <c r="G669" s="23"/>
      <c r="H669" s="24"/>
      <c r="I669" s="23"/>
      <c r="J669" s="19">
        <f>Таблица1[[#This Row],[Блок
 Куб]]*Таблица1[[#This Row],[Цена 
Приход]]</f>
        <v>0</v>
      </c>
      <c r="K669" s="25"/>
      <c r="L669" s="25"/>
      <c r="M669" s="19">
        <f>Таблица1[[#This Row],[Поддон
Шт]]*Таблица1[[#This Row],[Цена
Поддон]]</f>
        <v>0</v>
      </c>
      <c r="N669" s="19">
        <f>Таблица1[[#This Row],[Сумма 
Приход]]+Таблица1[[#This Row],[Сумма Поддон]]</f>
        <v>0</v>
      </c>
      <c r="O669" s="20"/>
      <c r="P669" s="19">
        <f>Таблица1[[#This Row],[Цена
 Продажа]]-Таблица1[[#This Row],[Цена 
Приход]]</f>
        <v>0</v>
      </c>
      <c r="Q669" s="19"/>
      <c r="R669" s="19">
        <f>Таблица1[[#This Row],[Блок
 Куб]]*Таблица1[[#This Row],[Цена
 Продажа]]</f>
        <v>0</v>
      </c>
      <c r="S669" s="20"/>
      <c r="T669" s="19">
        <f>Таблица1[[#This Row],[Сумма 
Продажа]]-Таблица1[[#This Row],[Сумма 
Приход]]</f>
        <v>0</v>
      </c>
      <c r="U669" s="150"/>
    </row>
    <row r="670" spans="1:21" ht="14.25" x14ac:dyDescent="0.2">
      <c r="A670" s="50">
        <f t="shared" si="10"/>
        <v>667</v>
      </c>
      <c r="B670" s="17"/>
      <c r="C670" s="17"/>
      <c r="D670" s="17"/>
      <c r="E670" s="51"/>
      <c r="F670" s="50"/>
      <c r="G670" s="23"/>
      <c r="H670" s="24"/>
      <c r="I670" s="23"/>
      <c r="J670" s="19">
        <f>Таблица1[[#This Row],[Блок
 Куб]]*Таблица1[[#This Row],[Цена 
Приход]]</f>
        <v>0</v>
      </c>
      <c r="K670" s="25"/>
      <c r="L670" s="25"/>
      <c r="M670" s="19">
        <f>Таблица1[[#This Row],[Поддон
Шт]]*Таблица1[[#This Row],[Цена
Поддон]]</f>
        <v>0</v>
      </c>
      <c r="N670" s="19">
        <f>Таблица1[[#This Row],[Сумма 
Приход]]+Таблица1[[#This Row],[Сумма Поддон]]</f>
        <v>0</v>
      </c>
      <c r="O670" s="20"/>
      <c r="P670" s="19">
        <f>Таблица1[[#This Row],[Цена
 Продажа]]-Таблица1[[#This Row],[Цена 
Приход]]</f>
        <v>0</v>
      </c>
      <c r="Q670" s="19"/>
      <c r="R670" s="19">
        <f>Таблица1[[#This Row],[Блок
 Куб]]*Таблица1[[#This Row],[Цена
 Продажа]]</f>
        <v>0</v>
      </c>
      <c r="S670" s="20"/>
      <c r="T670" s="19">
        <f>Таблица1[[#This Row],[Сумма 
Продажа]]-Таблица1[[#This Row],[Сумма 
Приход]]</f>
        <v>0</v>
      </c>
      <c r="U670" s="150"/>
    </row>
    <row r="671" spans="1:21" ht="14.25" x14ac:dyDescent="0.2">
      <c r="A671" s="50">
        <f t="shared" si="10"/>
        <v>668</v>
      </c>
      <c r="B671" s="17"/>
      <c r="C671" s="17"/>
      <c r="D671" s="17"/>
      <c r="E671" s="51"/>
      <c r="F671" s="50"/>
      <c r="G671" s="23"/>
      <c r="H671" s="24"/>
      <c r="I671" s="23"/>
      <c r="J671" s="19">
        <f>Таблица1[[#This Row],[Блок
 Куб]]*Таблица1[[#This Row],[Цена 
Приход]]</f>
        <v>0</v>
      </c>
      <c r="K671" s="25"/>
      <c r="L671" s="25"/>
      <c r="M671" s="19">
        <f>Таблица1[[#This Row],[Поддон
Шт]]*Таблица1[[#This Row],[Цена
Поддон]]</f>
        <v>0</v>
      </c>
      <c r="N671" s="19">
        <f>Таблица1[[#This Row],[Сумма 
Приход]]+Таблица1[[#This Row],[Сумма Поддон]]</f>
        <v>0</v>
      </c>
      <c r="O671" s="20"/>
      <c r="P671" s="19">
        <f>Таблица1[[#This Row],[Цена
 Продажа]]-Таблица1[[#This Row],[Цена 
Приход]]</f>
        <v>0</v>
      </c>
      <c r="Q671" s="19"/>
      <c r="R671" s="19">
        <f>Таблица1[[#This Row],[Блок
 Куб]]*Таблица1[[#This Row],[Цена
 Продажа]]</f>
        <v>0</v>
      </c>
      <c r="S671" s="20"/>
      <c r="T671" s="19">
        <f>Таблица1[[#This Row],[Сумма 
Продажа]]-Таблица1[[#This Row],[Сумма 
Приход]]</f>
        <v>0</v>
      </c>
      <c r="U671" s="150"/>
    </row>
    <row r="672" spans="1:21" ht="14.25" x14ac:dyDescent="0.2">
      <c r="A672" s="50">
        <f t="shared" si="10"/>
        <v>669</v>
      </c>
      <c r="B672" s="17"/>
      <c r="C672" s="17"/>
      <c r="D672" s="17"/>
      <c r="E672" s="51"/>
      <c r="F672" s="50"/>
      <c r="G672" s="23"/>
      <c r="H672" s="24"/>
      <c r="I672" s="23"/>
      <c r="J672" s="19">
        <f>Таблица1[[#This Row],[Блок
 Куб]]*Таблица1[[#This Row],[Цена 
Приход]]</f>
        <v>0</v>
      </c>
      <c r="K672" s="25"/>
      <c r="L672" s="25"/>
      <c r="M672" s="19">
        <f>Таблица1[[#This Row],[Поддон
Шт]]*Таблица1[[#This Row],[Цена
Поддон]]</f>
        <v>0</v>
      </c>
      <c r="N672" s="19">
        <f>Таблица1[[#This Row],[Сумма 
Приход]]+Таблица1[[#This Row],[Сумма Поддон]]</f>
        <v>0</v>
      </c>
      <c r="O672" s="20"/>
      <c r="P672" s="19">
        <f>Таблица1[[#This Row],[Цена
 Продажа]]-Таблица1[[#This Row],[Цена 
Приход]]</f>
        <v>0</v>
      </c>
      <c r="Q672" s="19"/>
      <c r="R672" s="19">
        <f>Таблица1[[#This Row],[Блок
 Куб]]*Таблица1[[#This Row],[Цена
 Продажа]]</f>
        <v>0</v>
      </c>
      <c r="S672" s="20"/>
      <c r="T672" s="19">
        <f>Таблица1[[#This Row],[Сумма 
Продажа]]-Таблица1[[#This Row],[Сумма 
Приход]]</f>
        <v>0</v>
      </c>
      <c r="U672" s="150"/>
    </row>
    <row r="673" spans="1:21" ht="14.25" x14ac:dyDescent="0.2">
      <c r="A673" s="50">
        <f t="shared" si="10"/>
        <v>670</v>
      </c>
      <c r="B673" s="17"/>
      <c r="C673" s="17"/>
      <c r="D673" s="17"/>
      <c r="E673" s="51"/>
      <c r="F673" s="50"/>
      <c r="G673" s="23"/>
      <c r="H673" s="24"/>
      <c r="I673" s="23"/>
      <c r="J673" s="19">
        <f>Таблица1[[#This Row],[Блок
 Куб]]*Таблица1[[#This Row],[Цена 
Приход]]</f>
        <v>0</v>
      </c>
      <c r="K673" s="25"/>
      <c r="L673" s="25"/>
      <c r="M673" s="19">
        <f>Таблица1[[#This Row],[Поддон
Шт]]*Таблица1[[#This Row],[Цена
Поддон]]</f>
        <v>0</v>
      </c>
      <c r="N673" s="19">
        <f>Таблица1[[#This Row],[Сумма 
Приход]]+Таблица1[[#This Row],[Сумма Поддон]]</f>
        <v>0</v>
      </c>
      <c r="O673" s="20"/>
      <c r="P673" s="19">
        <f>Таблица1[[#This Row],[Цена
 Продажа]]-Таблица1[[#This Row],[Цена 
Приход]]</f>
        <v>0</v>
      </c>
      <c r="Q673" s="19"/>
      <c r="R673" s="19">
        <f>Таблица1[[#This Row],[Блок
 Куб]]*Таблица1[[#This Row],[Цена
 Продажа]]</f>
        <v>0</v>
      </c>
      <c r="S673" s="20"/>
      <c r="T673" s="19">
        <f>Таблица1[[#This Row],[Сумма 
Продажа]]-Таблица1[[#This Row],[Сумма 
Приход]]</f>
        <v>0</v>
      </c>
      <c r="U673" s="150"/>
    </row>
    <row r="674" spans="1:21" ht="14.25" x14ac:dyDescent="0.2">
      <c r="A674" s="50">
        <f t="shared" si="10"/>
        <v>671</v>
      </c>
      <c r="B674" s="17"/>
      <c r="C674" s="17"/>
      <c r="D674" s="17"/>
      <c r="E674" s="51"/>
      <c r="F674" s="50"/>
      <c r="G674" s="23"/>
      <c r="H674" s="24"/>
      <c r="I674" s="23"/>
      <c r="J674" s="19">
        <f>Таблица1[[#This Row],[Блок
 Куб]]*Таблица1[[#This Row],[Цена 
Приход]]</f>
        <v>0</v>
      </c>
      <c r="K674" s="25"/>
      <c r="L674" s="25"/>
      <c r="M674" s="19">
        <f>Таблица1[[#This Row],[Поддон
Шт]]*Таблица1[[#This Row],[Цена
Поддон]]</f>
        <v>0</v>
      </c>
      <c r="N674" s="19">
        <f>Таблица1[[#This Row],[Сумма 
Приход]]+Таблица1[[#This Row],[Сумма Поддон]]</f>
        <v>0</v>
      </c>
      <c r="O674" s="20"/>
      <c r="P674" s="19">
        <f>Таблица1[[#This Row],[Цена
 Продажа]]-Таблица1[[#This Row],[Цена 
Приход]]</f>
        <v>0</v>
      </c>
      <c r="Q674" s="19"/>
      <c r="R674" s="19">
        <f>Таблица1[[#This Row],[Блок
 Куб]]*Таблица1[[#This Row],[Цена
 Продажа]]</f>
        <v>0</v>
      </c>
      <c r="S674" s="20"/>
      <c r="T674" s="19">
        <f>Таблица1[[#This Row],[Сумма 
Продажа]]-Таблица1[[#This Row],[Сумма 
Приход]]</f>
        <v>0</v>
      </c>
      <c r="U674" s="150"/>
    </row>
    <row r="675" spans="1:21" ht="14.25" x14ac:dyDescent="0.2">
      <c r="A675" s="50">
        <f t="shared" si="10"/>
        <v>672</v>
      </c>
      <c r="B675" s="17"/>
      <c r="C675" s="17"/>
      <c r="D675" s="17"/>
      <c r="E675" s="51"/>
      <c r="F675" s="50"/>
      <c r="G675" s="23"/>
      <c r="H675" s="24"/>
      <c r="I675" s="23"/>
      <c r="J675" s="19">
        <f>Таблица1[[#This Row],[Блок
 Куб]]*Таблица1[[#This Row],[Цена 
Приход]]</f>
        <v>0</v>
      </c>
      <c r="K675" s="25"/>
      <c r="L675" s="25"/>
      <c r="M675" s="19">
        <f>Таблица1[[#This Row],[Поддон
Шт]]*Таблица1[[#This Row],[Цена
Поддон]]</f>
        <v>0</v>
      </c>
      <c r="N675" s="19">
        <f>Таблица1[[#This Row],[Сумма 
Приход]]+Таблица1[[#This Row],[Сумма Поддон]]</f>
        <v>0</v>
      </c>
      <c r="O675" s="20"/>
      <c r="P675" s="19">
        <f>Таблица1[[#This Row],[Цена
 Продажа]]-Таблица1[[#This Row],[Цена 
Приход]]</f>
        <v>0</v>
      </c>
      <c r="Q675" s="19"/>
      <c r="R675" s="19">
        <f>Таблица1[[#This Row],[Блок
 Куб]]*Таблица1[[#This Row],[Цена
 Продажа]]</f>
        <v>0</v>
      </c>
      <c r="S675" s="20"/>
      <c r="T675" s="19">
        <f>Таблица1[[#This Row],[Сумма 
Продажа]]-Таблица1[[#This Row],[Сумма 
Приход]]</f>
        <v>0</v>
      </c>
      <c r="U675" s="150"/>
    </row>
    <row r="676" spans="1:21" ht="14.25" x14ac:dyDescent="0.2">
      <c r="A676" s="50">
        <f t="shared" si="10"/>
        <v>673</v>
      </c>
      <c r="B676" s="17"/>
      <c r="C676" s="17"/>
      <c r="D676" s="17"/>
      <c r="E676" s="51"/>
      <c r="F676" s="50"/>
      <c r="G676" s="23"/>
      <c r="H676" s="24"/>
      <c r="I676" s="23"/>
      <c r="J676" s="19">
        <f>Таблица1[[#This Row],[Блок
 Куб]]*Таблица1[[#This Row],[Цена 
Приход]]</f>
        <v>0</v>
      </c>
      <c r="K676" s="25"/>
      <c r="L676" s="25"/>
      <c r="M676" s="19">
        <f>Таблица1[[#This Row],[Поддон
Шт]]*Таблица1[[#This Row],[Цена
Поддон]]</f>
        <v>0</v>
      </c>
      <c r="N676" s="19">
        <f>Таблица1[[#This Row],[Сумма 
Приход]]+Таблица1[[#This Row],[Сумма Поддон]]</f>
        <v>0</v>
      </c>
      <c r="O676" s="20"/>
      <c r="P676" s="19">
        <f>Таблица1[[#This Row],[Цена
 Продажа]]-Таблица1[[#This Row],[Цена 
Приход]]</f>
        <v>0</v>
      </c>
      <c r="Q676" s="19"/>
      <c r="R676" s="19">
        <f>Таблица1[[#This Row],[Блок
 Куб]]*Таблица1[[#This Row],[Цена
 Продажа]]</f>
        <v>0</v>
      </c>
      <c r="S676" s="20"/>
      <c r="T676" s="19">
        <f>Таблица1[[#This Row],[Сумма 
Продажа]]-Таблица1[[#This Row],[Сумма 
Приход]]</f>
        <v>0</v>
      </c>
      <c r="U676" s="150"/>
    </row>
    <row r="677" spans="1:21" ht="14.25" x14ac:dyDescent="0.2">
      <c r="A677" s="50">
        <f t="shared" si="10"/>
        <v>674</v>
      </c>
      <c r="B677" s="17"/>
      <c r="C677" s="17"/>
      <c r="D677" s="17"/>
      <c r="E677" s="51"/>
      <c r="F677" s="50"/>
      <c r="G677" s="23"/>
      <c r="H677" s="24"/>
      <c r="I677" s="23"/>
      <c r="J677" s="19">
        <f>Таблица1[[#This Row],[Блок
 Куб]]*Таблица1[[#This Row],[Цена 
Приход]]</f>
        <v>0</v>
      </c>
      <c r="K677" s="25"/>
      <c r="L677" s="25"/>
      <c r="M677" s="19">
        <f>Таблица1[[#This Row],[Поддон
Шт]]*Таблица1[[#This Row],[Цена
Поддон]]</f>
        <v>0</v>
      </c>
      <c r="N677" s="19">
        <f>Таблица1[[#This Row],[Сумма 
Приход]]+Таблица1[[#This Row],[Сумма Поддон]]</f>
        <v>0</v>
      </c>
      <c r="O677" s="20"/>
      <c r="P677" s="19">
        <f>Таблица1[[#This Row],[Цена
 Продажа]]-Таблица1[[#This Row],[Цена 
Приход]]</f>
        <v>0</v>
      </c>
      <c r="Q677" s="19"/>
      <c r="R677" s="19">
        <f>Таблица1[[#This Row],[Блок
 Куб]]*Таблица1[[#This Row],[Цена
 Продажа]]</f>
        <v>0</v>
      </c>
      <c r="S677" s="20"/>
      <c r="T677" s="19">
        <f>Таблица1[[#This Row],[Сумма 
Продажа]]-Таблица1[[#This Row],[Сумма 
Приход]]</f>
        <v>0</v>
      </c>
      <c r="U677" s="150"/>
    </row>
    <row r="678" spans="1:21" ht="14.25" x14ac:dyDescent="0.2">
      <c r="A678" s="50">
        <f t="shared" si="10"/>
        <v>675</v>
      </c>
      <c r="B678" s="17"/>
      <c r="C678" s="17"/>
      <c r="D678" s="17"/>
      <c r="E678" s="51"/>
      <c r="F678" s="50"/>
      <c r="G678" s="23"/>
      <c r="H678" s="24"/>
      <c r="I678" s="23"/>
      <c r="J678" s="19">
        <f>Таблица1[[#This Row],[Блок
 Куб]]*Таблица1[[#This Row],[Цена 
Приход]]</f>
        <v>0</v>
      </c>
      <c r="K678" s="25"/>
      <c r="L678" s="25"/>
      <c r="M678" s="19">
        <f>Таблица1[[#This Row],[Поддон
Шт]]*Таблица1[[#This Row],[Цена
Поддон]]</f>
        <v>0</v>
      </c>
      <c r="N678" s="19">
        <f>Таблица1[[#This Row],[Сумма 
Приход]]+Таблица1[[#This Row],[Сумма Поддон]]</f>
        <v>0</v>
      </c>
      <c r="O678" s="20"/>
      <c r="P678" s="19">
        <f>Таблица1[[#This Row],[Цена
 Продажа]]-Таблица1[[#This Row],[Цена 
Приход]]</f>
        <v>0</v>
      </c>
      <c r="Q678" s="19"/>
      <c r="R678" s="19">
        <f>Таблица1[[#This Row],[Блок
 Куб]]*Таблица1[[#This Row],[Цена
 Продажа]]</f>
        <v>0</v>
      </c>
      <c r="S678" s="20"/>
      <c r="T678" s="19">
        <f>Таблица1[[#This Row],[Сумма 
Продажа]]-Таблица1[[#This Row],[Сумма 
Приход]]</f>
        <v>0</v>
      </c>
      <c r="U678" s="150"/>
    </row>
    <row r="679" spans="1:21" ht="14.25" x14ac:dyDescent="0.2">
      <c r="A679" s="50">
        <f t="shared" si="10"/>
        <v>676</v>
      </c>
      <c r="B679" s="17"/>
      <c r="C679" s="17"/>
      <c r="D679" s="17"/>
      <c r="E679" s="51"/>
      <c r="F679" s="50"/>
      <c r="G679" s="23"/>
      <c r="H679" s="24"/>
      <c r="I679" s="23"/>
      <c r="J679" s="19">
        <f>Таблица1[[#This Row],[Блок
 Куб]]*Таблица1[[#This Row],[Цена 
Приход]]</f>
        <v>0</v>
      </c>
      <c r="K679" s="25"/>
      <c r="L679" s="25"/>
      <c r="M679" s="19">
        <f>Таблица1[[#This Row],[Поддон
Шт]]*Таблица1[[#This Row],[Цена
Поддон]]</f>
        <v>0</v>
      </c>
      <c r="N679" s="19">
        <f>Таблица1[[#This Row],[Сумма 
Приход]]+Таблица1[[#This Row],[Сумма Поддон]]</f>
        <v>0</v>
      </c>
      <c r="O679" s="20"/>
      <c r="P679" s="19">
        <f>Таблица1[[#This Row],[Цена
 Продажа]]-Таблица1[[#This Row],[Цена 
Приход]]</f>
        <v>0</v>
      </c>
      <c r="Q679" s="19"/>
      <c r="R679" s="19">
        <f>Таблица1[[#This Row],[Блок
 Куб]]*Таблица1[[#This Row],[Цена
 Продажа]]</f>
        <v>0</v>
      </c>
      <c r="S679" s="20"/>
      <c r="T679" s="19">
        <f>Таблица1[[#This Row],[Сумма 
Продажа]]-Таблица1[[#This Row],[Сумма 
Приход]]</f>
        <v>0</v>
      </c>
      <c r="U679" s="150"/>
    </row>
    <row r="680" spans="1:21" ht="14.25" x14ac:dyDescent="0.2">
      <c r="A680" s="50">
        <f t="shared" si="10"/>
        <v>677</v>
      </c>
      <c r="B680" s="17"/>
      <c r="C680" s="17"/>
      <c r="D680" s="17"/>
      <c r="E680" s="51"/>
      <c r="F680" s="50"/>
      <c r="G680" s="23"/>
      <c r="H680" s="24"/>
      <c r="I680" s="23"/>
      <c r="J680" s="19">
        <f>Таблица1[[#This Row],[Блок
 Куб]]*Таблица1[[#This Row],[Цена 
Приход]]</f>
        <v>0</v>
      </c>
      <c r="K680" s="25"/>
      <c r="L680" s="25"/>
      <c r="M680" s="19">
        <f>Таблица1[[#This Row],[Поддон
Шт]]*Таблица1[[#This Row],[Цена
Поддон]]</f>
        <v>0</v>
      </c>
      <c r="N680" s="19">
        <f>Таблица1[[#This Row],[Сумма 
Приход]]+Таблица1[[#This Row],[Сумма Поддон]]</f>
        <v>0</v>
      </c>
      <c r="O680" s="20"/>
      <c r="P680" s="19">
        <f>Таблица1[[#This Row],[Цена
 Продажа]]-Таблица1[[#This Row],[Цена 
Приход]]</f>
        <v>0</v>
      </c>
      <c r="Q680" s="19"/>
      <c r="R680" s="19">
        <f>Таблица1[[#This Row],[Блок
 Куб]]*Таблица1[[#This Row],[Цена
 Продажа]]</f>
        <v>0</v>
      </c>
      <c r="S680" s="20"/>
      <c r="T680" s="19">
        <f>Таблица1[[#This Row],[Сумма 
Продажа]]-Таблица1[[#This Row],[Сумма 
Приход]]</f>
        <v>0</v>
      </c>
      <c r="U680" s="150"/>
    </row>
    <row r="681" spans="1:21" ht="14.25" x14ac:dyDescent="0.2">
      <c r="A681" s="50">
        <f t="shared" si="10"/>
        <v>678</v>
      </c>
      <c r="B681" s="17"/>
      <c r="C681" s="17"/>
      <c r="D681" s="17"/>
      <c r="E681" s="51"/>
      <c r="F681" s="50"/>
      <c r="G681" s="23"/>
      <c r="H681" s="24"/>
      <c r="I681" s="23"/>
      <c r="J681" s="19">
        <f>Таблица1[[#This Row],[Блок
 Куб]]*Таблица1[[#This Row],[Цена 
Приход]]</f>
        <v>0</v>
      </c>
      <c r="K681" s="25"/>
      <c r="L681" s="25"/>
      <c r="M681" s="19">
        <f>Таблица1[[#This Row],[Поддон
Шт]]*Таблица1[[#This Row],[Цена
Поддон]]</f>
        <v>0</v>
      </c>
      <c r="N681" s="19">
        <f>Таблица1[[#This Row],[Сумма 
Приход]]+Таблица1[[#This Row],[Сумма Поддон]]</f>
        <v>0</v>
      </c>
      <c r="O681" s="20"/>
      <c r="P681" s="19">
        <f>Таблица1[[#This Row],[Цена
 Продажа]]-Таблица1[[#This Row],[Цена 
Приход]]</f>
        <v>0</v>
      </c>
      <c r="Q681" s="19"/>
      <c r="R681" s="19">
        <f>Таблица1[[#This Row],[Блок
 Куб]]*Таблица1[[#This Row],[Цена
 Продажа]]</f>
        <v>0</v>
      </c>
      <c r="S681" s="20"/>
      <c r="T681" s="19">
        <f>Таблица1[[#This Row],[Сумма 
Продажа]]-Таблица1[[#This Row],[Сумма 
Приход]]</f>
        <v>0</v>
      </c>
      <c r="U681" s="150"/>
    </row>
    <row r="682" spans="1:21" ht="14.25" x14ac:dyDescent="0.2">
      <c r="A682" s="50">
        <f t="shared" si="10"/>
        <v>679</v>
      </c>
      <c r="B682" s="17"/>
      <c r="C682" s="17"/>
      <c r="D682" s="17"/>
      <c r="E682" s="51"/>
      <c r="F682" s="50"/>
      <c r="G682" s="23"/>
      <c r="H682" s="24"/>
      <c r="I682" s="23"/>
      <c r="J682" s="19">
        <f>Таблица1[[#This Row],[Блок
 Куб]]*Таблица1[[#This Row],[Цена 
Приход]]</f>
        <v>0</v>
      </c>
      <c r="K682" s="25"/>
      <c r="L682" s="25"/>
      <c r="M682" s="19">
        <f>Таблица1[[#This Row],[Поддон
Шт]]*Таблица1[[#This Row],[Цена
Поддон]]</f>
        <v>0</v>
      </c>
      <c r="N682" s="19">
        <f>Таблица1[[#This Row],[Сумма 
Приход]]+Таблица1[[#This Row],[Сумма Поддон]]</f>
        <v>0</v>
      </c>
      <c r="O682" s="20"/>
      <c r="P682" s="19">
        <f>Таблица1[[#This Row],[Цена
 Продажа]]-Таблица1[[#This Row],[Цена 
Приход]]</f>
        <v>0</v>
      </c>
      <c r="Q682" s="19"/>
      <c r="R682" s="19">
        <f>Таблица1[[#This Row],[Блок
 Куб]]*Таблица1[[#This Row],[Цена
 Продажа]]</f>
        <v>0</v>
      </c>
      <c r="S682" s="20"/>
      <c r="T682" s="19">
        <f>Таблица1[[#This Row],[Сумма 
Продажа]]-Таблица1[[#This Row],[Сумма 
Приход]]</f>
        <v>0</v>
      </c>
      <c r="U682" s="150"/>
    </row>
    <row r="683" spans="1:21" ht="14.25" x14ac:dyDescent="0.2">
      <c r="A683" s="50">
        <f t="shared" si="10"/>
        <v>680</v>
      </c>
      <c r="B683" s="17"/>
      <c r="C683" s="17"/>
      <c r="D683" s="17"/>
      <c r="E683" s="51"/>
      <c r="F683" s="50"/>
      <c r="G683" s="23"/>
      <c r="H683" s="24"/>
      <c r="I683" s="23"/>
      <c r="J683" s="19">
        <f>Таблица1[[#This Row],[Блок
 Куб]]*Таблица1[[#This Row],[Цена 
Приход]]</f>
        <v>0</v>
      </c>
      <c r="K683" s="25"/>
      <c r="L683" s="25"/>
      <c r="M683" s="19">
        <f>Таблица1[[#This Row],[Поддон
Шт]]*Таблица1[[#This Row],[Цена
Поддон]]</f>
        <v>0</v>
      </c>
      <c r="N683" s="19">
        <f>Таблица1[[#This Row],[Сумма 
Приход]]+Таблица1[[#This Row],[Сумма Поддон]]</f>
        <v>0</v>
      </c>
      <c r="O683" s="20"/>
      <c r="P683" s="19">
        <f>Таблица1[[#This Row],[Цена
 Продажа]]-Таблица1[[#This Row],[Цена 
Приход]]</f>
        <v>0</v>
      </c>
      <c r="Q683" s="19"/>
      <c r="R683" s="19">
        <f>Таблица1[[#This Row],[Блок
 Куб]]*Таблица1[[#This Row],[Цена
 Продажа]]</f>
        <v>0</v>
      </c>
      <c r="S683" s="20"/>
      <c r="T683" s="19">
        <f>Таблица1[[#This Row],[Сумма 
Продажа]]-Таблица1[[#This Row],[Сумма 
Приход]]</f>
        <v>0</v>
      </c>
      <c r="U683" s="150"/>
    </row>
    <row r="684" spans="1:21" ht="14.25" x14ac:dyDescent="0.2">
      <c r="A684" s="50">
        <f t="shared" si="10"/>
        <v>681</v>
      </c>
      <c r="B684" s="17"/>
      <c r="C684" s="17"/>
      <c r="D684" s="17"/>
      <c r="E684" s="51"/>
      <c r="F684" s="50"/>
      <c r="G684" s="23"/>
      <c r="H684" s="24"/>
      <c r="I684" s="23"/>
      <c r="J684" s="19">
        <f>Таблица1[[#This Row],[Блок
 Куб]]*Таблица1[[#This Row],[Цена 
Приход]]</f>
        <v>0</v>
      </c>
      <c r="K684" s="25"/>
      <c r="L684" s="25"/>
      <c r="M684" s="19">
        <f>Таблица1[[#This Row],[Поддон
Шт]]*Таблица1[[#This Row],[Цена
Поддон]]</f>
        <v>0</v>
      </c>
      <c r="N684" s="19">
        <f>Таблица1[[#This Row],[Сумма 
Приход]]+Таблица1[[#This Row],[Сумма Поддон]]</f>
        <v>0</v>
      </c>
      <c r="O684" s="20"/>
      <c r="P684" s="19">
        <f>Таблица1[[#This Row],[Цена
 Продажа]]-Таблица1[[#This Row],[Цена 
Приход]]</f>
        <v>0</v>
      </c>
      <c r="Q684" s="19"/>
      <c r="R684" s="19">
        <f>Таблица1[[#This Row],[Блок
 Куб]]*Таблица1[[#This Row],[Цена
 Продажа]]</f>
        <v>0</v>
      </c>
      <c r="S684" s="20"/>
      <c r="T684" s="19">
        <f>Таблица1[[#This Row],[Сумма 
Продажа]]-Таблица1[[#This Row],[Сумма 
Приход]]</f>
        <v>0</v>
      </c>
      <c r="U684" s="150"/>
    </row>
    <row r="685" spans="1:21" ht="14.25" x14ac:dyDescent="0.2">
      <c r="A685" s="50">
        <f t="shared" si="10"/>
        <v>682</v>
      </c>
      <c r="B685" s="17"/>
      <c r="C685" s="17"/>
      <c r="D685" s="17"/>
      <c r="E685" s="51"/>
      <c r="F685" s="50"/>
      <c r="G685" s="23"/>
      <c r="H685" s="24"/>
      <c r="I685" s="23"/>
      <c r="J685" s="19">
        <f>Таблица1[[#This Row],[Блок
 Куб]]*Таблица1[[#This Row],[Цена 
Приход]]</f>
        <v>0</v>
      </c>
      <c r="K685" s="25"/>
      <c r="L685" s="25"/>
      <c r="M685" s="19">
        <f>Таблица1[[#This Row],[Поддон
Шт]]*Таблица1[[#This Row],[Цена
Поддон]]</f>
        <v>0</v>
      </c>
      <c r="N685" s="19">
        <f>Таблица1[[#This Row],[Сумма 
Приход]]+Таблица1[[#This Row],[Сумма Поддон]]</f>
        <v>0</v>
      </c>
      <c r="O685" s="20"/>
      <c r="P685" s="19">
        <f>Таблица1[[#This Row],[Цена
 Продажа]]-Таблица1[[#This Row],[Цена 
Приход]]</f>
        <v>0</v>
      </c>
      <c r="Q685" s="19"/>
      <c r="R685" s="19">
        <f>Таблица1[[#This Row],[Блок
 Куб]]*Таблица1[[#This Row],[Цена
 Продажа]]</f>
        <v>0</v>
      </c>
      <c r="S685" s="20"/>
      <c r="T685" s="19">
        <f>Таблица1[[#This Row],[Сумма 
Продажа]]-Таблица1[[#This Row],[Сумма 
Приход]]</f>
        <v>0</v>
      </c>
      <c r="U685" s="150"/>
    </row>
    <row r="686" spans="1:21" ht="14.25" x14ac:dyDescent="0.2">
      <c r="A686" s="50">
        <f t="shared" si="10"/>
        <v>683</v>
      </c>
      <c r="B686" s="17"/>
      <c r="C686" s="17"/>
      <c r="D686" s="17"/>
      <c r="E686" s="51"/>
      <c r="F686" s="50"/>
      <c r="G686" s="23"/>
      <c r="H686" s="24"/>
      <c r="I686" s="23"/>
      <c r="J686" s="19">
        <f>Таблица1[[#This Row],[Блок
 Куб]]*Таблица1[[#This Row],[Цена 
Приход]]</f>
        <v>0</v>
      </c>
      <c r="K686" s="25"/>
      <c r="L686" s="25"/>
      <c r="M686" s="19">
        <f>Таблица1[[#This Row],[Поддон
Шт]]*Таблица1[[#This Row],[Цена
Поддон]]</f>
        <v>0</v>
      </c>
      <c r="N686" s="19">
        <f>Таблица1[[#This Row],[Сумма 
Приход]]+Таблица1[[#This Row],[Сумма Поддон]]</f>
        <v>0</v>
      </c>
      <c r="O686" s="20"/>
      <c r="P686" s="19">
        <f>Таблица1[[#This Row],[Цена
 Продажа]]-Таблица1[[#This Row],[Цена 
Приход]]</f>
        <v>0</v>
      </c>
      <c r="Q686" s="19"/>
      <c r="R686" s="19">
        <f>Таблица1[[#This Row],[Блок
 Куб]]*Таблица1[[#This Row],[Цена
 Продажа]]</f>
        <v>0</v>
      </c>
      <c r="S686" s="20"/>
      <c r="T686" s="19">
        <f>Таблица1[[#This Row],[Сумма 
Продажа]]-Таблица1[[#This Row],[Сумма 
Приход]]</f>
        <v>0</v>
      </c>
      <c r="U686" s="150"/>
    </row>
    <row r="687" spans="1:21" ht="14.25" x14ac:dyDescent="0.2">
      <c r="A687" s="50">
        <f t="shared" si="10"/>
        <v>684</v>
      </c>
      <c r="B687" s="17"/>
      <c r="C687" s="17"/>
      <c r="D687" s="17"/>
      <c r="E687" s="51"/>
      <c r="F687" s="50"/>
      <c r="G687" s="23"/>
      <c r="H687" s="24"/>
      <c r="I687" s="23"/>
      <c r="J687" s="19">
        <f>Таблица1[[#This Row],[Блок
 Куб]]*Таблица1[[#This Row],[Цена 
Приход]]</f>
        <v>0</v>
      </c>
      <c r="K687" s="25"/>
      <c r="L687" s="25"/>
      <c r="M687" s="19">
        <f>Таблица1[[#This Row],[Поддон
Шт]]*Таблица1[[#This Row],[Цена
Поддон]]</f>
        <v>0</v>
      </c>
      <c r="N687" s="19">
        <f>Таблица1[[#This Row],[Сумма 
Приход]]+Таблица1[[#This Row],[Сумма Поддон]]</f>
        <v>0</v>
      </c>
      <c r="O687" s="20"/>
      <c r="P687" s="19">
        <f>Таблица1[[#This Row],[Цена
 Продажа]]-Таблица1[[#This Row],[Цена 
Приход]]</f>
        <v>0</v>
      </c>
      <c r="Q687" s="19"/>
      <c r="R687" s="19">
        <f>Таблица1[[#This Row],[Блок
 Куб]]*Таблица1[[#This Row],[Цена
 Продажа]]</f>
        <v>0</v>
      </c>
      <c r="S687" s="20"/>
      <c r="T687" s="19">
        <f>Таблица1[[#This Row],[Сумма 
Продажа]]-Таблица1[[#This Row],[Сумма 
Приход]]</f>
        <v>0</v>
      </c>
      <c r="U687" s="150"/>
    </row>
    <row r="688" spans="1:21" ht="14.25" x14ac:dyDescent="0.2">
      <c r="A688" s="50">
        <f t="shared" si="10"/>
        <v>685</v>
      </c>
      <c r="B688" s="17"/>
      <c r="C688" s="17"/>
      <c r="D688" s="17"/>
      <c r="E688" s="51"/>
      <c r="F688" s="50"/>
      <c r="G688" s="23"/>
      <c r="H688" s="24"/>
      <c r="I688" s="23"/>
      <c r="J688" s="19">
        <f>Таблица1[[#This Row],[Блок
 Куб]]*Таблица1[[#This Row],[Цена 
Приход]]</f>
        <v>0</v>
      </c>
      <c r="K688" s="25"/>
      <c r="L688" s="25"/>
      <c r="M688" s="19">
        <f>Таблица1[[#This Row],[Поддон
Шт]]*Таблица1[[#This Row],[Цена
Поддон]]</f>
        <v>0</v>
      </c>
      <c r="N688" s="19">
        <f>Таблица1[[#This Row],[Сумма 
Приход]]+Таблица1[[#This Row],[Сумма Поддон]]</f>
        <v>0</v>
      </c>
      <c r="O688" s="20"/>
      <c r="P688" s="19">
        <f>Таблица1[[#This Row],[Цена
 Продажа]]-Таблица1[[#This Row],[Цена 
Приход]]</f>
        <v>0</v>
      </c>
      <c r="Q688" s="19"/>
      <c r="R688" s="19">
        <f>Таблица1[[#This Row],[Блок
 Куб]]*Таблица1[[#This Row],[Цена
 Продажа]]</f>
        <v>0</v>
      </c>
      <c r="S688" s="20"/>
      <c r="T688" s="19">
        <f>Таблица1[[#This Row],[Сумма 
Продажа]]-Таблица1[[#This Row],[Сумма 
Приход]]</f>
        <v>0</v>
      </c>
      <c r="U688" s="150"/>
    </row>
    <row r="689" spans="1:21" ht="14.25" x14ac:dyDescent="0.2">
      <c r="A689" s="50">
        <f t="shared" si="10"/>
        <v>686</v>
      </c>
      <c r="B689" s="17"/>
      <c r="C689" s="17"/>
      <c r="D689" s="17"/>
      <c r="E689" s="51"/>
      <c r="F689" s="50"/>
      <c r="G689" s="23"/>
      <c r="H689" s="24"/>
      <c r="I689" s="23"/>
      <c r="J689" s="19">
        <f>Таблица1[[#This Row],[Блок
 Куб]]*Таблица1[[#This Row],[Цена 
Приход]]</f>
        <v>0</v>
      </c>
      <c r="K689" s="25"/>
      <c r="L689" s="25"/>
      <c r="M689" s="19">
        <f>Таблица1[[#This Row],[Поддон
Шт]]*Таблица1[[#This Row],[Цена
Поддон]]</f>
        <v>0</v>
      </c>
      <c r="N689" s="19">
        <f>Таблица1[[#This Row],[Сумма 
Приход]]+Таблица1[[#This Row],[Сумма Поддон]]</f>
        <v>0</v>
      </c>
      <c r="O689" s="20"/>
      <c r="P689" s="19">
        <f>Таблица1[[#This Row],[Цена
 Продажа]]-Таблица1[[#This Row],[Цена 
Приход]]</f>
        <v>0</v>
      </c>
      <c r="Q689" s="19"/>
      <c r="R689" s="19">
        <f>Таблица1[[#This Row],[Блок
 Куб]]*Таблица1[[#This Row],[Цена
 Продажа]]</f>
        <v>0</v>
      </c>
      <c r="S689" s="20"/>
      <c r="T689" s="19">
        <f>Таблица1[[#This Row],[Сумма 
Продажа]]-Таблица1[[#This Row],[Сумма 
Приход]]</f>
        <v>0</v>
      </c>
      <c r="U689" s="150"/>
    </row>
    <row r="690" spans="1:21" ht="14.25" x14ac:dyDescent="0.2">
      <c r="A690" s="50">
        <f t="shared" si="10"/>
        <v>687</v>
      </c>
      <c r="B690" s="17"/>
      <c r="C690" s="17"/>
      <c r="D690" s="17"/>
      <c r="E690" s="51"/>
      <c r="F690" s="50"/>
      <c r="G690" s="23"/>
      <c r="H690" s="24"/>
      <c r="I690" s="23"/>
      <c r="J690" s="19">
        <f>Таблица1[[#This Row],[Блок
 Куб]]*Таблица1[[#This Row],[Цена 
Приход]]</f>
        <v>0</v>
      </c>
      <c r="K690" s="25"/>
      <c r="L690" s="25"/>
      <c r="M690" s="19">
        <f>Таблица1[[#This Row],[Поддон
Шт]]*Таблица1[[#This Row],[Цена
Поддон]]</f>
        <v>0</v>
      </c>
      <c r="N690" s="19">
        <f>Таблица1[[#This Row],[Сумма 
Приход]]+Таблица1[[#This Row],[Сумма Поддон]]</f>
        <v>0</v>
      </c>
      <c r="O690" s="20"/>
      <c r="P690" s="19">
        <f>Таблица1[[#This Row],[Цена
 Продажа]]-Таблица1[[#This Row],[Цена 
Приход]]</f>
        <v>0</v>
      </c>
      <c r="Q690" s="19"/>
      <c r="R690" s="19">
        <f>Таблица1[[#This Row],[Блок
 Куб]]*Таблица1[[#This Row],[Цена
 Продажа]]</f>
        <v>0</v>
      </c>
      <c r="S690" s="20"/>
      <c r="T690" s="19">
        <f>Таблица1[[#This Row],[Сумма 
Продажа]]-Таблица1[[#This Row],[Сумма 
Приход]]</f>
        <v>0</v>
      </c>
      <c r="U690" s="150"/>
    </row>
    <row r="691" spans="1:21" ht="14.25" x14ac:dyDescent="0.2">
      <c r="A691" s="50">
        <f t="shared" si="10"/>
        <v>688</v>
      </c>
      <c r="B691" s="17"/>
      <c r="C691" s="17"/>
      <c r="D691" s="17"/>
      <c r="E691" s="51"/>
      <c r="F691" s="50"/>
      <c r="G691" s="23"/>
      <c r="H691" s="24"/>
      <c r="I691" s="23"/>
      <c r="J691" s="19">
        <f>Таблица1[[#This Row],[Блок
 Куб]]*Таблица1[[#This Row],[Цена 
Приход]]</f>
        <v>0</v>
      </c>
      <c r="K691" s="25"/>
      <c r="L691" s="25"/>
      <c r="M691" s="19">
        <f>Таблица1[[#This Row],[Поддон
Шт]]*Таблица1[[#This Row],[Цена
Поддон]]</f>
        <v>0</v>
      </c>
      <c r="N691" s="19">
        <f>Таблица1[[#This Row],[Сумма 
Приход]]+Таблица1[[#This Row],[Сумма Поддон]]</f>
        <v>0</v>
      </c>
      <c r="O691" s="20"/>
      <c r="P691" s="19">
        <f>Таблица1[[#This Row],[Цена
 Продажа]]-Таблица1[[#This Row],[Цена 
Приход]]</f>
        <v>0</v>
      </c>
      <c r="Q691" s="19"/>
      <c r="R691" s="19">
        <f>Таблица1[[#This Row],[Блок
 Куб]]*Таблица1[[#This Row],[Цена
 Продажа]]</f>
        <v>0</v>
      </c>
      <c r="S691" s="20"/>
      <c r="T691" s="19">
        <f>Таблица1[[#This Row],[Сумма 
Продажа]]-Таблица1[[#This Row],[Сумма 
Приход]]</f>
        <v>0</v>
      </c>
      <c r="U691" s="150"/>
    </row>
    <row r="692" spans="1:21" ht="14.25" x14ac:dyDescent="0.2">
      <c r="A692" s="50">
        <f t="shared" si="10"/>
        <v>689</v>
      </c>
      <c r="B692" s="17"/>
      <c r="C692" s="17"/>
      <c r="D692" s="17"/>
      <c r="E692" s="51"/>
      <c r="F692" s="50"/>
      <c r="G692" s="23"/>
      <c r="H692" s="24"/>
      <c r="I692" s="23"/>
      <c r="J692" s="19">
        <f>Таблица1[[#This Row],[Блок
 Куб]]*Таблица1[[#This Row],[Цена 
Приход]]</f>
        <v>0</v>
      </c>
      <c r="K692" s="25"/>
      <c r="L692" s="25"/>
      <c r="M692" s="19">
        <f>Таблица1[[#This Row],[Поддон
Шт]]*Таблица1[[#This Row],[Цена
Поддон]]</f>
        <v>0</v>
      </c>
      <c r="N692" s="19">
        <f>Таблица1[[#This Row],[Сумма 
Приход]]+Таблица1[[#This Row],[Сумма Поддон]]</f>
        <v>0</v>
      </c>
      <c r="O692" s="20"/>
      <c r="P692" s="19">
        <f>Таблица1[[#This Row],[Цена
 Продажа]]-Таблица1[[#This Row],[Цена 
Приход]]</f>
        <v>0</v>
      </c>
      <c r="Q692" s="19"/>
      <c r="R692" s="19">
        <f>Таблица1[[#This Row],[Блок
 Куб]]*Таблица1[[#This Row],[Цена
 Продажа]]</f>
        <v>0</v>
      </c>
      <c r="S692" s="20"/>
      <c r="T692" s="19">
        <f>Таблица1[[#This Row],[Сумма 
Продажа]]-Таблица1[[#This Row],[Сумма 
Приход]]</f>
        <v>0</v>
      </c>
      <c r="U692" s="150"/>
    </row>
    <row r="693" spans="1:21" ht="14.25" x14ac:dyDescent="0.2">
      <c r="A693" s="50">
        <f t="shared" si="10"/>
        <v>690</v>
      </c>
      <c r="B693" s="17"/>
      <c r="C693" s="17"/>
      <c r="D693" s="17"/>
      <c r="E693" s="51"/>
      <c r="F693" s="50"/>
      <c r="G693" s="23"/>
      <c r="H693" s="24"/>
      <c r="I693" s="23"/>
      <c r="J693" s="19">
        <f>Таблица1[[#This Row],[Блок
 Куб]]*Таблица1[[#This Row],[Цена 
Приход]]</f>
        <v>0</v>
      </c>
      <c r="K693" s="25"/>
      <c r="L693" s="25"/>
      <c r="M693" s="19">
        <f>Таблица1[[#This Row],[Поддон
Шт]]*Таблица1[[#This Row],[Цена
Поддон]]</f>
        <v>0</v>
      </c>
      <c r="N693" s="19">
        <f>Таблица1[[#This Row],[Сумма 
Приход]]+Таблица1[[#This Row],[Сумма Поддон]]</f>
        <v>0</v>
      </c>
      <c r="O693" s="20"/>
      <c r="P693" s="19">
        <f>Таблица1[[#This Row],[Цена
 Продажа]]-Таблица1[[#This Row],[Цена 
Приход]]</f>
        <v>0</v>
      </c>
      <c r="Q693" s="19"/>
      <c r="R693" s="19">
        <f>Таблица1[[#This Row],[Блок
 Куб]]*Таблица1[[#This Row],[Цена
 Продажа]]</f>
        <v>0</v>
      </c>
      <c r="S693" s="20"/>
      <c r="T693" s="19">
        <f>Таблица1[[#This Row],[Сумма 
Продажа]]-Таблица1[[#This Row],[Сумма 
Приход]]</f>
        <v>0</v>
      </c>
      <c r="U693" s="150"/>
    </row>
    <row r="694" spans="1:21" ht="14.25" x14ac:dyDescent="0.2">
      <c r="A694" s="50">
        <f t="shared" si="10"/>
        <v>691</v>
      </c>
      <c r="B694" s="17"/>
      <c r="C694" s="17"/>
      <c r="D694" s="17"/>
      <c r="E694" s="51"/>
      <c r="F694" s="50"/>
      <c r="G694" s="23"/>
      <c r="H694" s="24"/>
      <c r="I694" s="23"/>
      <c r="J694" s="19">
        <f>Таблица1[[#This Row],[Блок
 Куб]]*Таблица1[[#This Row],[Цена 
Приход]]</f>
        <v>0</v>
      </c>
      <c r="K694" s="25"/>
      <c r="L694" s="25"/>
      <c r="M694" s="19">
        <f>Таблица1[[#This Row],[Поддон
Шт]]*Таблица1[[#This Row],[Цена
Поддон]]</f>
        <v>0</v>
      </c>
      <c r="N694" s="19">
        <f>Таблица1[[#This Row],[Сумма 
Приход]]+Таблица1[[#This Row],[Сумма Поддон]]</f>
        <v>0</v>
      </c>
      <c r="O694" s="20"/>
      <c r="P694" s="19">
        <f>Таблица1[[#This Row],[Цена
 Продажа]]-Таблица1[[#This Row],[Цена 
Приход]]</f>
        <v>0</v>
      </c>
      <c r="Q694" s="19"/>
      <c r="R694" s="19">
        <f>Таблица1[[#This Row],[Блок
 Куб]]*Таблица1[[#This Row],[Цена
 Продажа]]</f>
        <v>0</v>
      </c>
      <c r="S694" s="20"/>
      <c r="T694" s="19">
        <f>Таблица1[[#This Row],[Сумма 
Продажа]]-Таблица1[[#This Row],[Сумма 
Приход]]</f>
        <v>0</v>
      </c>
      <c r="U694" s="150"/>
    </row>
    <row r="695" spans="1:21" ht="14.25" x14ac:dyDescent="0.2">
      <c r="A695" s="50">
        <f t="shared" si="10"/>
        <v>692</v>
      </c>
      <c r="B695" s="17"/>
      <c r="C695" s="17"/>
      <c r="D695" s="17"/>
      <c r="E695" s="51"/>
      <c r="F695" s="50"/>
      <c r="G695" s="23"/>
      <c r="H695" s="24"/>
      <c r="I695" s="23"/>
      <c r="J695" s="19">
        <f>Таблица1[[#This Row],[Блок
 Куб]]*Таблица1[[#This Row],[Цена 
Приход]]</f>
        <v>0</v>
      </c>
      <c r="K695" s="25"/>
      <c r="L695" s="25"/>
      <c r="M695" s="19">
        <f>Таблица1[[#This Row],[Поддон
Шт]]*Таблица1[[#This Row],[Цена
Поддон]]</f>
        <v>0</v>
      </c>
      <c r="N695" s="19">
        <f>Таблица1[[#This Row],[Сумма 
Приход]]+Таблица1[[#This Row],[Сумма Поддон]]</f>
        <v>0</v>
      </c>
      <c r="O695" s="20"/>
      <c r="P695" s="19">
        <f>Таблица1[[#This Row],[Цена
 Продажа]]-Таблица1[[#This Row],[Цена 
Приход]]</f>
        <v>0</v>
      </c>
      <c r="Q695" s="19"/>
      <c r="R695" s="19">
        <f>Таблица1[[#This Row],[Блок
 Куб]]*Таблица1[[#This Row],[Цена
 Продажа]]</f>
        <v>0</v>
      </c>
      <c r="S695" s="20"/>
      <c r="T695" s="19">
        <f>Таблица1[[#This Row],[Сумма 
Продажа]]-Таблица1[[#This Row],[Сумма 
Приход]]</f>
        <v>0</v>
      </c>
      <c r="U695" s="150"/>
    </row>
    <row r="696" spans="1:21" ht="14.25" x14ac:dyDescent="0.2">
      <c r="A696" s="50">
        <f t="shared" si="10"/>
        <v>693</v>
      </c>
      <c r="B696" s="17"/>
      <c r="C696" s="17"/>
      <c r="D696" s="17"/>
      <c r="E696" s="51"/>
      <c r="F696" s="50"/>
      <c r="G696" s="23"/>
      <c r="H696" s="24"/>
      <c r="I696" s="23"/>
      <c r="J696" s="19">
        <f>Таблица1[[#This Row],[Блок
 Куб]]*Таблица1[[#This Row],[Цена 
Приход]]</f>
        <v>0</v>
      </c>
      <c r="K696" s="25"/>
      <c r="L696" s="25"/>
      <c r="M696" s="19">
        <f>Таблица1[[#This Row],[Поддон
Шт]]*Таблица1[[#This Row],[Цена
Поддон]]</f>
        <v>0</v>
      </c>
      <c r="N696" s="19">
        <f>Таблица1[[#This Row],[Сумма 
Приход]]+Таблица1[[#This Row],[Сумма Поддон]]</f>
        <v>0</v>
      </c>
      <c r="O696" s="20"/>
      <c r="P696" s="19">
        <f>Таблица1[[#This Row],[Цена
 Продажа]]-Таблица1[[#This Row],[Цена 
Приход]]</f>
        <v>0</v>
      </c>
      <c r="Q696" s="19"/>
      <c r="R696" s="19">
        <f>Таблица1[[#This Row],[Блок
 Куб]]*Таблица1[[#This Row],[Цена
 Продажа]]</f>
        <v>0</v>
      </c>
      <c r="S696" s="20"/>
      <c r="T696" s="19">
        <f>Таблица1[[#This Row],[Сумма 
Продажа]]-Таблица1[[#This Row],[Сумма 
Приход]]</f>
        <v>0</v>
      </c>
      <c r="U696" s="150"/>
    </row>
    <row r="697" spans="1:21" ht="14.25" x14ac:dyDescent="0.2">
      <c r="A697" s="50">
        <f t="shared" si="10"/>
        <v>694</v>
      </c>
      <c r="B697" s="17"/>
      <c r="C697" s="17"/>
      <c r="D697" s="17"/>
      <c r="E697" s="51"/>
      <c r="F697" s="50"/>
      <c r="G697" s="23"/>
      <c r="H697" s="24"/>
      <c r="I697" s="23"/>
      <c r="J697" s="19">
        <f>Таблица1[[#This Row],[Блок
 Куб]]*Таблица1[[#This Row],[Цена 
Приход]]</f>
        <v>0</v>
      </c>
      <c r="K697" s="25"/>
      <c r="L697" s="25"/>
      <c r="M697" s="19">
        <f>Таблица1[[#This Row],[Поддон
Шт]]*Таблица1[[#This Row],[Цена
Поддон]]</f>
        <v>0</v>
      </c>
      <c r="N697" s="19">
        <f>Таблица1[[#This Row],[Сумма 
Приход]]+Таблица1[[#This Row],[Сумма Поддон]]</f>
        <v>0</v>
      </c>
      <c r="O697" s="20"/>
      <c r="P697" s="19">
        <f>Таблица1[[#This Row],[Цена
 Продажа]]-Таблица1[[#This Row],[Цена 
Приход]]</f>
        <v>0</v>
      </c>
      <c r="Q697" s="19"/>
      <c r="R697" s="19">
        <f>Таблица1[[#This Row],[Блок
 Куб]]*Таблица1[[#This Row],[Цена
 Продажа]]</f>
        <v>0</v>
      </c>
      <c r="S697" s="20"/>
      <c r="T697" s="19">
        <f>Таблица1[[#This Row],[Сумма 
Продажа]]-Таблица1[[#This Row],[Сумма 
Приход]]</f>
        <v>0</v>
      </c>
      <c r="U697" s="150"/>
    </row>
    <row r="698" spans="1:21" ht="14.25" x14ac:dyDescent="0.2">
      <c r="A698" s="50">
        <f t="shared" si="10"/>
        <v>695</v>
      </c>
      <c r="B698" s="17"/>
      <c r="C698" s="17"/>
      <c r="D698" s="17"/>
      <c r="E698" s="51"/>
      <c r="F698" s="50"/>
      <c r="G698" s="23"/>
      <c r="H698" s="24"/>
      <c r="I698" s="23"/>
      <c r="J698" s="19">
        <f>Таблица1[[#This Row],[Блок
 Куб]]*Таблица1[[#This Row],[Цена 
Приход]]</f>
        <v>0</v>
      </c>
      <c r="K698" s="25"/>
      <c r="L698" s="25"/>
      <c r="M698" s="19">
        <f>Таблица1[[#This Row],[Поддон
Шт]]*Таблица1[[#This Row],[Цена
Поддон]]</f>
        <v>0</v>
      </c>
      <c r="N698" s="19">
        <f>Таблица1[[#This Row],[Сумма 
Приход]]+Таблица1[[#This Row],[Сумма Поддон]]</f>
        <v>0</v>
      </c>
      <c r="O698" s="20"/>
      <c r="P698" s="19">
        <f>Таблица1[[#This Row],[Цена
 Продажа]]-Таблица1[[#This Row],[Цена 
Приход]]</f>
        <v>0</v>
      </c>
      <c r="Q698" s="19"/>
      <c r="R698" s="19">
        <f>Таблица1[[#This Row],[Блок
 Куб]]*Таблица1[[#This Row],[Цена
 Продажа]]</f>
        <v>0</v>
      </c>
      <c r="S698" s="20"/>
      <c r="T698" s="19">
        <f>Таблица1[[#This Row],[Сумма 
Продажа]]-Таблица1[[#This Row],[Сумма 
Приход]]</f>
        <v>0</v>
      </c>
      <c r="U698" s="150"/>
    </row>
    <row r="699" spans="1:21" ht="14.25" x14ac:dyDescent="0.2">
      <c r="A699" s="50">
        <f t="shared" si="10"/>
        <v>696</v>
      </c>
      <c r="B699" s="17"/>
      <c r="C699" s="17"/>
      <c r="D699" s="17"/>
      <c r="E699" s="51"/>
      <c r="F699" s="50"/>
      <c r="G699" s="23"/>
      <c r="H699" s="24"/>
      <c r="I699" s="23"/>
      <c r="J699" s="19">
        <f>Таблица1[[#This Row],[Блок
 Куб]]*Таблица1[[#This Row],[Цена 
Приход]]</f>
        <v>0</v>
      </c>
      <c r="K699" s="25"/>
      <c r="L699" s="25"/>
      <c r="M699" s="19">
        <f>Таблица1[[#This Row],[Поддон
Шт]]*Таблица1[[#This Row],[Цена
Поддон]]</f>
        <v>0</v>
      </c>
      <c r="N699" s="19">
        <f>Таблица1[[#This Row],[Сумма 
Приход]]+Таблица1[[#This Row],[Сумма Поддон]]</f>
        <v>0</v>
      </c>
      <c r="O699" s="20"/>
      <c r="P699" s="19">
        <f>Таблица1[[#This Row],[Цена
 Продажа]]-Таблица1[[#This Row],[Цена 
Приход]]</f>
        <v>0</v>
      </c>
      <c r="Q699" s="19"/>
      <c r="R699" s="19">
        <f>Таблица1[[#This Row],[Блок
 Куб]]*Таблица1[[#This Row],[Цена
 Продажа]]</f>
        <v>0</v>
      </c>
      <c r="S699" s="20"/>
      <c r="T699" s="19">
        <f>Таблица1[[#This Row],[Сумма 
Продажа]]-Таблица1[[#This Row],[Сумма 
Приход]]</f>
        <v>0</v>
      </c>
      <c r="U699" s="150"/>
    </row>
    <row r="700" spans="1:21" ht="14.25" x14ac:dyDescent="0.2">
      <c r="A700" s="50">
        <f t="shared" si="10"/>
        <v>697</v>
      </c>
      <c r="B700" s="17"/>
      <c r="C700" s="17"/>
      <c r="D700" s="17"/>
      <c r="E700" s="51"/>
      <c r="F700" s="50"/>
      <c r="G700" s="23"/>
      <c r="H700" s="24"/>
      <c r="I700" s="23"/>
      <c r="J700" s="19">
        <f>Таблица1[[#This Row],[Блок
 Куб]]*Таблица1[[#This Row],[Цена 
Приход]]</f>
        <v>0</v>
      </c>
      <c r="K700" s="25"/>
      <c r="L700" s="25"/>
      <c r="M700" s="19">
        <f>Таблица1[[#This Row],[Поддон
Шт]]*Таблица1[[#This Row],[Цена
Поддон]]</f>
        <v>0</v>
      </c>
      <c r="N700" s="19">
        <f>Таблица1[[#This Row],[Сумма 
Приход]]+Таблица1[[#This Row],[Сумма Поддон]]</f>
        <v>0</v>
      </c>
      <c r="O700" s="20"/>
      <c r="P700" s="19">
        <f>Таблица1[[#This Row],[Цена
 Продажа]]-Таблица1[[#This Row],[Цена 
Приход]]</f>
        <v>0</v>
      </c>
      <c r="Q700" s="19"/>
      <c r="R700" s="19">
        <f>Таблица1[[#This Row],[Блок
 Куб]]*Таблица1[[#This Row],[Цена
 Продажа]]</f>
        <v>0</v>
      </c>
      <c r="S700" s="20"/>
      <c r="T700" s="19">
        <f>Таблица1[[#This Row],[Сумма 
Продажа]]-Таблица1[[#This Row],[Сумма 
Приход]]</f>
        <v>0</v>
      </c>
      <c r="U700" s="150"/>
    </row>
    <row r="701" spans="1:21" ht="14.25" x14ac:dyDescent="0.2">
      <c r="A701" s="50">
        <f t="shared" si="10"/>
        <v>698</v>
      </c>
      <c r="B701" s="17"/>
      <c r="C701" s="17"/>
      <c r="D701" s="17"/>
      <c r="E701" s="51"/>
      <c r="F701" s="50"/>
      <c r="G701" s="23"/>
      <c r="H701" s="24"/>
      <c r="I701" s="23"/>
      <c r="J701" s="19">
        <f>Таблица1[[#This Row],[Блок
 Куб]]*Таблица1[[#This Row],[Цена 
Приход]]</f>
        <v>0</v>
      </c>
      <c r="K701" s="25"/>
      <c r="L701" s="25"/>
      <c r="M701" s="19">
        <f>Таблица1[[#This Row],[Поддон
Шт]]*Таблица1[[#This Row],[Цена
Поддон]]</f>
        <v>0</v>
      </c>
      <c r="N701" s="19">
        <f>Таблица1[[#This Row],[Сумма 
Приход]]+Таблица1[[#This Row],[Сумма Поддон]]</f>
        <v>0</v>
      </c>
      <c r="O701" s="20"/>
      <c r="P701" s="19">
        <f>Таблица1[[#This Row],[Цена
 Продажа]]-Таблица1[[#This Row],[Цена 
Приход]]</f>
        <v>0</v>
      </c>
      <c r="Q701" s="19"/>
      <c r="R701" s="19">
        <f>Таблица1[[#This Row],[Блок
 Куб]]*Таблица1[[#This Row],[Цена
 Продажа]]</f>
        <v>0</v>
      </c>
      <c r="S701" s="20"/>
      <c r="T701" s="19">
        <f>Таблица1[[#This Row],[Сумма 
Продажа]]-Таблица1[[#This Row],[Сумма 
Приход]]</f>
        <v>0</v>
      </c>
      <c r="U701" s="150"/>
    </row>
    <row r="702" spans="1:21" ht="14.25" x14ac:dyDescent="0.2">
      <c r="A702" s="50">
        <f t="shared" si="10"/>
        <v>699</v>
      </c>
      <c r="B702" s="17"/>
      <c r="C702" s="17"/>
      <c r="D702" s="17"/>
      <c r="E702" s="51"/>
      <c r="F702" s="50"/>
      <c r="G702" s="23"/>
      <c r="H702" s="24"/>
      <c r="I702" s="23"/>
      <c r="J702" s="19">
        <f>Таблица1[[#This Row],[Блок
 Куб]]*Таблица1[[#This Row],[Цена 
Приход]]</f>
        <v>0</v>
      </c>
      <c r="K702" s="25"/>
      <c r="L702" s="25"/>
      <c r="M702" s="19">
        <f>Таблица1[[#This Row],[Поддон
Шт]]*Таблица1[[#This Row],[Цена
Поддон]]</f>
        <v>0</v>
      </c>
      <c r="N702" s="19">
        <f>Таблица1[[#This Row],[Сумма 
Приход]]+Таблица1[[#This Row],[Сумма Поддон]]</f>
        <v>0</v>
      </c>
      <c r="O702" s="20"/>
      <c r="P702" s="19">
        <f>Таблица1[[#This Row],[Цена
 Продажа]]-Таблица1[[#This Row],[Цена 
Приход]]</f>
        <v>0</v>
      </c>
      <c r="Q702" s="19"/>
      <c r="R702" s="19">
        <f>Таблица1[[#This Row],[Блок
 Куб]]*Таблица1[[#This Row],[Цена
 Продажа]]</f>
        <v>0</v>
      </c>
      <c r="S702" s="20"/>
      <c r="T702" s="19">
        <f>Таблица1[[#This Row],[Сумма 
Продажа]]-Таблица1[[#This Row],[Сумма 
Приход]]</f>
        <v>0</v>
      </c>
      <c r="U702" s="150"/>
    </row>
    <row r="703" spans="1:21" ht="14.25" x14ac:dyDescent="0.2">
      <c r="A703" s="50">
        <f t="shared" si="10"/>
        <v>700</v>
      </c>
      <c r="B703" s="17"/>
      <c r="C703" s="17"/>
      <c r="D703" s="17"/>
      <c r="E703" s="51"/>
      <c r="F703" s="50"/>
      <c r="G703" s="23"/>
      <c r="H703" s="24"/>
      <c r="I703" s="23"/>
      <c r="J703" s="19">
        <f>Таблица1[[#This Row],[Блок
 Куб]]*Таблица1[[#This Row],[Цена 
Приход]]</f>
        <v>0</v>
      </c>
      <c r="K703" s="25"/>
      <c r="L703" s="25"/>
      <c r="M703" s="19">
        <f>Таблица1[[#This Row],[Поддон
Шт]]*Таблица1[[#This Row],[Цена
Поддон]]</f>
        <v>0</v>
      </c>
      <c r="N703" s="19">
        <f>Таблица1[[#This Row],[Сумма 
Приход]]+Таблица1[[#This Row],[Сумма Поддон]]</f>
        <v>0</v>
      </c>
      <c r="O703" s="20"/>
      <c r="P703" s="19">
        <f>Таблица1[[#This Row],[Цена
 Продажа]]-Таблица1[[#This Row],[Цена 
Приход]]</f>
        <v>0</v>
      </c>
      <c r="Q703" s="19"/>
      <c r="R703" s="19">
        <f>Таблица1[[#This Row],[Блок
 Куб]]*Таблица1[[#This Row],[Цена
 Продажа]]</f>
        <v>0</v>
      </c>
      <c r="S703" s="20"/>
      <c r="T703" s="19">
        <f>Таблица1[[#This Row],[Сумма 
Продажа]]-Таблица1[[#This Row],[Сумма 
Приход]]</f>
        <v>0</v>
      </c>
      <c r="U703" s="150"/>
    </row>
    <row r="704" spans="1:21" ht="14.25" x14ac:dyDescent="0.2">
      <c r="A704" s="50">
        <f t="shared" si="10"/>
        <v>701</v>
      </c>
      <c r="B704" s="17"/>
      <c r="C704" s="17"/>
      <c r="D704" s="17"/>
      <c r="E704" s="51"/>
      <c r="F704" s="50"/>
      <c r="G704" s="23"/>
      <c r="H704" s="24"/>
      <c r="I704" s="23"/>
      <c r="J704" s="19">
        <f>Таблица1[[#This Row],[Блок
 Куб]]*Таблица1[[#This Row],[Цена 
Приход]]</f>
        <v>0</v>
      </c>
      <c r="K704" s="25"/>
      <c r="L704" s="25"/>
      <c r="M704" s="19">
        <f>Таблица1[[#This Row],[Поддон
Шт]]*Таблица1[[#This Row],[Цена
Поддон]]</f>
        <v>0</v>
      </c>
      <c r="N704" s="19">
        <f>Таблица1[[#This Row],[Сумма 
Приход]]+Таблица1[[#This Row],[Сумма Поддон]]</f>
        <v>0</v>
      </c>
      <c r="O704" s="20"/>
      <c r="P704" s="19">
        <f>Таблица1[[#This Row],[Цена
 Продажа]]-Таблица1[[#This Row],[Цена 
Приход]]</f>
        <v>0</v>
      </c>
      <c r="Q704" s="19"/>
      <c r="R704" s="19">
        <f>Таблица1[[#This Row],[Блок
 Куб]]*Таблица1[[#This Row],[Цена
 Продажа]]</f>
        <v>0</v>
      </c>
      <c r="S704" s="20"/>
      <c r="T704" s="19">
        <f>Таблица1[[#This Row],[Сумма 
Продажа]]-Таблица1[[#This Row],[Сумма 
Приход]]</f>
        <v>0</v>
      </c>
      <c r="U704" s="150"/>
    </row>
    <row r="705" spans="1:21" ht="14.25" x14ac:dyDescent="0.2">
      <c r="A705" s="50">
        <f t="shared" si="10"/>
        <v>702</v>
      </c>
      <c r="B705" s="17"/>
      <c r="C705" s="17"/>
      <c r="D705" s="17"/>
      <c r="E705" s="51"/>
      <c r="F705" s="50"/>
      <c r="G705" s="23"/>
      <c r="H705" s="24"/>
      <c r="I705" s="23"/>
      <c r="J705" s="19">
        <f>Таблица1[[#This Row],[Блок
 Куб]]*Таблица1[[#This Row],[Цена 
Приход]]</f>
        <v>0</v>
      </c>
      <c r="K705" s="25"/>
      <c r="L705" s="25"/>
      <c r="M705" s="19">
        <f>Таблица1[[#This Row],[Поддон
Шт]]*Таблица1[[#This Row],[Цена
Поддон]]</f>
        <v>0</v>
      </c>
      <c r="N705" s="19">
        <f>Таблица1[[#This Row],[Сумма 
Приход]]+Таблица1[[#This Row],[Сумма Поддон]]</f>
        <v>0</v>
      </c>
      <c r="O705" s="20"/>
      <c r="P705" s="19">
        <f>Таблица1[[#This Row],[Цена
 Продажа]]-Таблица1[[#This Row],[Цена 
Приход]]</f>
        <v>0</v>
      </c>
      <c r="Q705" s="19"/>
      <c r="R705" s="19">
        <f>Таблица1[[#This Row],[Блок
 Куб]]*Таблица1[[#This Row],[Цена
 Продажа]]</f>
        <v>0</v>
      </c>
      <c r="S705" s="20"/>
      <c r="T705" s="19">
        <f>Таблица1[[#This Row],[Сумма 
Продажа]]-Таблица1[[#This Row],[Сумма 
Приход]]</f>
        <v>0</v>
      </c>
      <c r="U705" s="150"/>
    </row>
    <row r="706" spans="1:21" ht="14.25" x14ac:dyDescent="0.2">
      <c r="A706" s="50">
        <f t="shared" si="10"/>
        <v>703</v>
      </c>
      <c r="B706" s="17"/>
      <c r="C706" s="17"/>
      <c r="D706" s="17"/>
      <c r="E706" s="51"/>
      <c r="F706" s="50"/>
      <c r="G706" s="23"/>
      <c r="H706" s="24"/>
      <c r="I706" s="23"/>
      <c r="J706" s="19">
        <f>Таблица1[[#This Row],[Блок
 Куб]]*Таблица1[[#This Row],[Цена 
Приход]]</f>
        <v>0</v>
      </c>
      <c r="K706" s="25"/>
      <c r="L706" s="25"/>
      <c r="M706" s="19">
        <f>Таблица1[[#This Row],[Поддон
Шт]]*Таблица1[[#This Row],[Цена
Поддон]]</f>
        <v>0</v>
      </c>
      <c r="N706" s="19">
        <f>Таблица1[[#This Row],[Сумма 
Приход]]+Таблица1[[#This Row],[Сумма Поддон]]</f>
        <v>0</v>
      </c>
      <c r="O706" s="20"/>
      <c r="P706" s="19">
        <f>Таблица1[[#This Row],[Цена
 Продажа]]-Таблица1[[#This Row],[Цена 
Приход]]</f>
        <v>0</v>
      </c>
      <c r="Q706" s="19"/>
      <c r="R706" s="19">
        <f>Таблица1[[#This Row],[Блок
 Куб]]*Таблица1[[#This Row],[Цена
 Продажа]]</f>
        <v>0</v>
      </c>
      <c r="S706" s="20"/>
      <c r="T706" s="19">
        <f>Таблица1[[#This Row],[Сумма 
Продажа]]-Таблица1[[#This Row],[Сумма 
Приход]]</f>
        <v>0</v>
      </c>
      <c r="U706" s="150"/>
    </row>
    <row r="707" spans="1:21" ht="14.25" x14ac:dyDescent="0.2">
      <c r="A707" s="50">
        <f t="shared" si="10"/>
        <v>704</v>
      </c>
      <c r="B707" s="17"/>
      <c r="C707" s="17"/>
      <c r="D707" s="17"/>
      <c r="E707" s="51"/>
      <c r="F707" s="50"/>
      <c r="G707" s="23"/>
      <c r="H707" s="24"/>
      <c r="I707" s="23"/>
      <c r="J707" s="19">
        <f>Таблица1[[#This Row],[Блок
 Куб]]*Таблица1[[#This Row],[Цена 
Приход]]</f>
        <v>0</v>
      </c>
      <c r="K707" s="25"/>
      <c r="L707" s="25"/>
      <c r="M707" s="19">
        <f>Таблица1[[#This Row],[Поддон
Шт]]*Таблица1[[#This Row],[Цена
Поддон]]</f>
        <v>0</v>
      </c>
      <c r="N707" s="19">
        <f>Таблица1[[#This Row],[Сумма 
Приход]]+Таблица1[[#This Row],[Сумма Поддон]]</f>
        <v>0</v>
      </c>
      <c r="O707" s="20"/>
      <c r="P707" s="19">
        <f>Таблица1[[#This Row],[Цена
 Продажа]]-Таблица1[[#This Row],[Цена 
Приход]]</f>
        <v>0</v>
      </c>
      <c r="Q707" s="19"/>
      <c r="R707" s="19">
        <f>Таблица1[[#This Row],[Блок
 Куб]]*Таблица1[[#This Row],[Цена
 Продажа]]</f>
        <v>0</v>
      </c>
      <c r="S707" s="20"/>
      <c r="T707" s="19">
        <f>Таблица1[[#This Row],[Сумма 
Продажа]]-Таблица1[[#This Row],[Сумма 
Приход]]</f>
        <v>0</v>
      </c>
      <c r="U707" s="150"/>
    </row>
    <row r="708" spans="1:21" ht="14.25" x14ac:dyDescent="0.2">
      <c r="A708" s="50">
        <f t="shared" si="10"/>
        <v>705</v>
      </c>
      <c r="B708" s="17"/>
      <c r="C708" s="17"/>
      <c r="D708" s="17"/>
      <c r="E708" s="51"/>
      <c r="F708" s="50"/>
      <c r="G708" s="23"/>
      <c r="H708" s="24"/>
      <c r="I708" s="23"/>
      <c r="J708" s="19">
        <f>Таблица1[[#This Row],[Блок
 Куб]]*Таблица1[[#This Row],[Цена 
Приход]]</f>
        <v>0</v>
      </c>
      <c r="K708" s="25"/>
      <c r="L708" s="25"/>
      <c r="M708" s="19">
        <f>Таблица1[[#This Row],[Поддон
Шт]]*Таблица1[[#This Row],[Цена
Поддон]]</f>
        <v>0</v>
      </c>
      <c r="N708" s="19">
        <f>Таблица1[[#This Row],[Сумма 
Приход]]+Таблица1[[#This Row],[Сумма Поддон]]</f>
        <v>0</v>
      </c>
      <c r="O708" s="20"/>
      <c r="P708" s="19">
        <f>Таблица1[[#This Row],[Цена
 Продажа]]-Таблица1[[#This Row],[Цена 
Приход]]</f>
        <v>0</v>
      </c>
      <c r="Q708" s="19"/>
      <c r="R708" s="19">
        <f>Таблица1[[#This Row],[Блок
 Куб]]*Таблица1[[#This Row],[Цена
 Продажа]]</f>
        <v>0</v>
      </c>
      <c r="S708" s="20"/>
      <c r="T708" s="19">
        <f>Таблица1[[#This Row],[Сумма 
Продажа]]-Таблица1[[#This Row],[Сумма 
Приход]]</f>
        <v>0</v>
      </c>
      <c r="U708" s="150"/>
    </row>
    <row r="709" spans="1:21" ht="14.25" x14ac:dyDescent="0.2">
      <c r="A709" s="50">
        <f t="shared" si="10"/>
        <v>706</v>
      </c>
      <c r="B709" s="17"/>
      <c r="C709" s="17"/>
      <c r="D709" s="17"/>
      <c r="E709" s="51"/>
      <c r="F709" s="50"/>
      <c r="G709" s="23"/>
      <c r="H709" s="24"/>
      <c r="I709" s="23"/>
      <c r="J709" s="19">
        <f>Таблица1[[#This Row],[Блок
 Куб]]*Таблица1[[#This Row],[Цена 
Приход]]</f>
        <v>0</v>
      </c>
      <c r="K709" s="25"/>
      <c r="L709" s="25"/>
      <c r="M709" s="19">
        <f>Таблица1[[#This Row],[Поддон
Шт]]*Таблица1[[#This Row],[Цена
Поддон]]</f>
        <v>0</v>
      </c>
      <c r="N709" s="19">
        <f>Таблица1[[#This Row],[Сумма 
Приход]]+Таблица1[[#This Row],[Сумма Поддон]]</f>
        <v>0</v>
      </c>
      <c r="O709" s="20"/>
      <c r="P709" s="19">
        <f>Таблица1[[#This Row],[Цена
 Продажа]]-Таблица1[[#This Row],[Цена 
Приход]]</f>
        <v>0</v>
      </c>
      <c r="Q709" s="19"/>
      <c r="R709" s="19">
        <f>Таблица1[[#This Row],[Блок
 Куб]]*Таблица1[[#This Row],[Цена
 Продажа]]</f>
        <v>0</v>
      </c>
      <c r="S709" s="20"/>
      <c r="T709" s="19">
        <f>Таблица1[[#This Row],[Сумма 
Продажа]]-Таблица1[[#This Row],[Сумма 
Приход]]</f>
        <v>0</v>
      </c>
      <c r="U709" s="150"/>
    </row>
    <row r="710" spans="1:21" ht="14.25" x14ac:dyDescent="0.2">
      <c r="A710" s="50">
        <f t="shared" ref="A710:A773" si="11">A709+1</f>
        <v>707</v>
      </c>
      <c r="B710" s="17"/>
      <c r="C710" s="17"/>
      <c r="D710" s="17"/>
      <c r="E710" s="51"/>
      <c r="F710" s="50"/>
      <c r="G710" s="23"/>
      <c r="H710" s="24"/>
      <c r="I710" s="23"/>
      <c r="J710" s="19">
        <f>Таблица1[[#This Row],[Блок
 Куб]]*Таблица1[[#This Row],[Цена 
Приход]]</f>
        <v>0</v>
      </c>
      <c r="K710" s="25"/>
      <c r="L710" s="25"/>
      <c r="M710" s="19">
        <f>Таблица1[[#This Row],[Поддон
Шт]]*Таблица1[[#This Row],[Цена
Поддон]]</f>
        <v>0</v>
      </c>
      <c r="N710" s="19">
        <f>Таблица1[[#This Row],[Сумма 
Приход]]+Таблица1[[#This Row],[Сумма Поддон]]</f>
        <v>0</v>
      </c>
      <c r="O710" s="20"/>
      <c r="P710" s="19">
        <f>Таблица1[[#This Row],[Цена
 Продажа]]-Таблица1[[#This Row],[Цена 
Приход]]</f>
        <v>0</v>
      </c>
      <c r="Q710" s="19"/>
      <c r="R710" s="19">
        <f>Таблица1[[#This Row],[Блок
 Куб]]*Таблица1[[#This Row],[Цена
 Продажа]]</f>
        <v>0</v>
      </c>
      <c r="S710" s="20"/>
      <c r="T710" s="19">
        <f>Таблица1[[#This Row],[Сумма 
Продажа]]-Таблица1[[#This Row],[Сумма 
Приход]]</f>
        <v>0</v>
      </c>
      <c r="U710" s="150"/>
    </row>
    <row r="711" spans="1:21" ht="14.25" x14ac:dyDescent="0.2">
      <c r="A711" s="50">
        <f t="shared" si="11"/>
        <v>708</v>
      </c>
      <c r="B711" s="17"/>
      <c r="C711" s="17"/>
      <c r="D711" s="17"/>
      <c r="E711" s="51"/>
      <c r="F711" s="50"/>
      <c r="G711" s="23"/>
      <c r="H711" s="24"/>
      <c r="I711" s="23"/>
      <c r="J711" s="19">
        <f>Таблица1[[#This Row],[Блок
 Куб]]*Таблица1[[#This Row],[Цена 
Приход]]</f>
        <v>0</v>
      </c>
      <c r="K711" s="25"/>
      <c r="L711" s="25"/>
      <c r="M711" s="19">
        <f>Таблица1[[#This Row],[Поддон
Шт]]*Таблица1[[#This Row],[Цена
Поддон]]</f>
        <v>0</v>
      </c>
      <c r="N711" s="19">
        <f>Таблица1[[#This Row],[Сумма 
Приход]]+Таблица1[[#This Row],[Сумма Поддон]]</f>
        <v>0</v>
      </c>
      <c r="O711" s="20"/>
      <c r="P711" s="19">
        <f>Таблица1[[#This Row],[Цена
 Продажа]]-Таблица1[[#This Row],[Цена 
Приход]]</f>
        <v>0</v>
      </c>
      <c r="Q711" s="19"/>
      <c r="R711" s="19">
        <f>Таблица1[[#This Row],[Блок
 Куб]]*Таблица1[[#This Row],[Цена
 Продажа]]</f>
        <v>0</v>
      </c>
      <c r="S711" s="20"/>
      <c r="T711" s="19">
        <f>Таблица1[[#This Row],[Сумма 
Продажа]]-Таблица1[[#This Row],[Сумма 
Приход]]</f>
        <v>0</v>
      </c>
      <c r="U711" s="150"/>
    </row>
    <row r="712" spans="1:21" ht="14.25" x14ac:dyDescent="0.2">
      <c r="A712" s="50">
        <f t="shared" si="11"/>
        <v>709</v>
      </c>
      <c r="B712" s="17"/>
      <c r="C712" s="17"/>
      <c r="D712" s="17"/>
      <c r="E712" s="51"/>
      <c r="F712" s="50"/>
      <c r="G712" s="23"/>
      <c r="H712" s="24"/>
      <c r="I712" s="23"/>
      <c r="J712" s="19">
        <f>Таблица1[[#This Row],[Блок
 Куб]]*Таблица1[[#This Row],[Цена 
Приход]]</f>
        <v>0</v>
      </c>
      <c r="K712" s="25"/>
      <c r="L712" s="25"/>
      <c r="M712" s="19">
        <f>Таблица1[[#This Row],[Поддон
Шт]]*Таблица1[[#This Row],[Цена
Поддон]]</f>
        <v>0</v>
      </c>
      <c r="N712" s="19">
        <f>Таблица1[[#This Row],[Сумма 
Приход]]+Таблица1[[#This Row],[Сумма Поддон]]</f>
        <v>0</v>
      </c>
      <c r="O712" s="20"/>
      <c r="P712" s="19">
        <f>Таблица1[[#This Row],[Цена
 Продажа]]-Таблица1[[#This Row],[Цена 
Приход]]</f>
        <v>0</v>
      </c>
      <c r="Q712" s="19"/>
      <c r="R712" s="19">
        <f>Таблица1[[#This Row],[Блок
 Куб]]*Таблица1[[#This Row],[Цена
 Продажа]]</f>
        <v>0</v>
      </c>
      <c r="S712" s="20"/>
      <c r="T712" s="19">
        <f>Таблица1[[#This Row],[Сумма 
Продажа]]-Таблица1[[#This Row],[Сумма 
Приход]]</f>
        <v>0</v>
      </c>
      <c r="U712" s="150"/>
    </row>
    <row r="713" spans="1:21" ht="14.25" x14ac:dyDescent="0.2">
      <c r="A713" s="50">
        <f t="shared" si="11"/>
        <v>710</v>
      </c>
      <c r="B713" s="17"/>
      <c r="C713" s="17"/>
      <c r="D713" s="17"/>
      <c r="E713" s="51"/>
      <c r="F713" s="50"/>
      <c r="G713" s="23"/>
      <c r="H713" s="24"/>
      <c r="I713" s="23"/>
      <c r="J713" s="19">
        <f>Таблица1[[#This Row],[Блок
 Куб]]*Таблица1[[#This Row],[Цена 
Приход]]</f>
        <v>0</v>
      </c>
      <c r="K713" s="25"/>
      <c r="L713" s="25"/>
      <c r="M713" s="19">
        <f>Таблица1[[#This Row],[Поддон
Шт]]*Таблица1[[#This Row],[Цена
Поддон]]</f>
        <v>0</v>
      </c>
      <c r="N713" s="19">
        <f>Таблица1[[#This Row],[Сумма 
Приход]]+Таблица1[[#This Row],[Сумма Поддон]]</f>
        <v>0</v>
      </c>
      <c r="O713" s="20"/>
      <c r="P713" s="19">
        <f>Таблица1[[#This Row],[Цена
 Продажа]]-Таблица1[[#This Row],[Цена 
Приход]]</f>
        <v>0</v>
      </c>
      <c r="Q713" s="19"/>
      <c r="R713" s="19">
        <f>Таблица1[[#This Row],[Блок
 Куб]]*Таблица1[[#This Row],[Цена
 Продажа]]</f>
        <v>0</v>
      </c>
      <c r="S713" s="20"/>
      <c r="T713" s="19">
        <f>Таблица1[[#This Row],[Сумма 
Продажа]]-Таблица1[[#This Row],[Сумма 
Приход]]</f>
        <v>0</v>
      </c>
      <c r="U713" s="150"/>
    </row>
    <row r="714" spans="1:21" ht="14.25" x14ac:dyDescent="0.2">
      <c r="A714" s="50">
        <f t="shared" si="11"/>
        <v>711</v>
      </c>
      <c r="B714" s="17"/>
      <c r="C714" s="17"/>
      <c r="D714" s="17"/>
      <c r="E714" s="51"/>
      <c r="F714" s="50"/>
      <c r="G714" s="23"/>
      <c r="H714" s="24"/>
      <c r="I714" s="23"/>
      <c r="J714" s="19">
        <f>Таблица1[[#This Row],[Блок
 Куб]]*Таблица1[[#This Row],[Цена 
Приход]]</f>
        <v>0</v>
      </c>
      <c r="K714" s="25"/>
      <c r="L714" s="25"/>
      <c r="M714" s="19">
        <f>Таблица1[[#This Row],[Поддон
Шт]]*Таблица1[[#This Row],[Цена
Поддон]]</f>
        <v>0</v>
      </c>
      <c r="N714" s="19">
        <f>Таблица1[[#This Row],[Сумма 
Приход]]+Таблица1[[#This Row],[Сумма Поддон]]</f>
        <v>0</v>
      </c>
      <c r="O714" s="20"/>
      <c r="P714" s="19">
        <f>Таблица1[[#This Row],[Цена
 Продажа]]-Таблица1[[#This Row],[Цена 
Приход]]</f>
        <v>0</v>
      </c>
      <c r="Q714" s="19"/>
      <c r="R714" s="19">
        <f>Таблица1[[#This Row],[Блок
 Куб]]*Таблица1[[#This Row],[Цена
 Продажа]]</f>
        <v>0</v>
      </c>
      <c r="S714" s="20"/>
      <c r="T714" s="19">
        <f>Таблица1[[#This Row],[Сумма 
Продажа]]-Таблица1[[#This Row],[Сумма 
Приход]]</f>
        <v>0</v>
      </c>
      <c r="U714" s="150"/>
    </row>
    <row r="715" spans="1:21" ht="14.25" x14ac:dyDescent="0.2">
      <c r="A715" s="50">
        <f t="shared" si="11"/>
        <v>712</v>
      </c>
      <c r="B715" s="17"/>
      <c r="C715" s="17"/>
      <c r="D715" s="17"/>
      <c r="E715" s="51"/>
      <c r="F715" s="50"/>
      <c r="G715" s="23"/>
      <c r="H715" s="24"/>
      <c r="I715" s="23"/>
      <c r="J715" s="19">
        <f>Таблица1[[#This Row],[Блок
 Куб]]*Таблица1[[#This Row],[Цена 
Приход]]</f>
        <v>0</v>
      </c>
      <c r="K715" s="25"/>
      <c r="L715" s="25"/>
      <c r="M715" s="19">
        <f>Таблица1[[#This Row],[Поддон
Шт]]*Таблица1[[#This Row],[Цена
Поддон]]</f>
        <v>0</v>
      </c>
      <c r="N715" s="19">
        <f>Таблица1[[#This Row],[Сумма 
Приход]]+Таблица1[[#This Row],[Сумма Поддон]]</f>
        <v>0</v>
      </c>
      <c r="O715" s="20"/>
      <c r="P715" s="19">
        <f>Таблица1[[#This Row],[Цена
 Продажа]]-Таблица1[[#This Row],[Цена 
Приход]]</f>
        <v>0</v>
      </c>
      <c r="Q715" s="19"/>
      <c r="R715" s="19">
        <f>Таблица1[[#This Row],[Блок
 Куб]]*Таблица1[[#This Row],[Цена
 Продажа]]</f>
        <v>0</v>
      </c>
      <c r="S715" s="20"/>
      <c r="T715" s="19">
        <f>Таблица1[[#This Row],[Сумма 
Продажа]]-Таблица1[[#This Row],[Сумма 
Приход]]</f>
        <v>0</v>
      </c>
      <c r="U715" s="150"/>
    </row>
    <row r="716" spans="1:21" ht="14.25" x14ac:dyDescent="0.2">
      <c r="A716" s="50">
        <f t="shared" si="11"/>
        <v>713</v>
      </c>
      <c r="B716" s="17"/>
      <c r="C716" s="17"/>
      <c r="D716" s="17"/>
      <c r="E716" s="51"/>
      <c r="F716" s="50"/>
      <c r="G716" s="23"/>
      <c r="H716" s="24"/>
      <c r="I716" s="23"/>
      <c r="J716" s="19">
        <f>Таблица1[[#This Row],[Блок
 Куб]]*Таблица1[[#This Row],[Цена 
Приход]]</f>
        <v>0</v>
      </c>
      <c r="K716" s="25"/>
      <c r="L716" s="25"/>
      <c r="M716" s="19">
        <f>Таблица1[[#This Row],[Поддон
Шт]]*Таблица1[[#This Row],[Цена
Поддон]]</f>
        <v>0</v>
      </c>
      <c r="N716" s="19">
        <f>Таблица1[[#This Row],[Сумма 
Приход]]+Таблица1[[#This Row],[Сумма Поддон]]</f>
        <v>0</v>
      </c>
      <c r="O716" s="20"/>
      <c r="P716" s="19">
        <f>Таблица1[[#This Row],[Цена
 Продажа]]-Таблица1[[#This Row],[Цена 
Приход]]</f>
        <v>0</v>
      </c>
      <c r="Q716" s="19"/>
      <c r="R716" s="19">
        <f>Таблица1[[#This Row],[Блок
 Куб]]*Таблица1[[#This Row],[Цена
 Продажа]]</f>
        <v>0</v>
      </c>
      <c r="S716" s="20"/>
      <c r="T716" s="19">
        <f>Таблица1[[#This Row],[Сумма 
Продажа]]-Таблица1[[#This Row],[Сумма 
Приход]]</f>
        <v>0</v>
      </c>
      <c r="U716" s="150"/>
    </row>
    <row r="717" spans="1:21" ht="14.25" x14ac:dyDescent="0.2">
      <c r="A717" s="50">
        <f t="shared" si="11"/>
        <v>714</v>
      </c>
      <c r="B717" s="17"/>
      <c r="C717" s="17"/>
      <c r="D717" s="17"/>
      <c r="E717" s="51"/>
      <c r="F717" s="50"/>
      <c r="G717" s="23"/>
      <c r="H717" s="24"/>
      <c r="I717" s="23"/>
      <c r="J717" s="19">
        <f>Таблица1[[#This Row],[Блок
 Куб]]*Таблица1[[#This Row],[Цена 
Приход]]</f>
        <v>0</v>
      </c>
      <c r="K717" s="25"/>
      <c r="L717" s="25"/>
      <c r="M717" s="19">
        <f>Таблица1[[#This Row],[Поддон
Шт]]*Таблица1[[#This Row],[Цена
Поддон]]</f>
        <v>0</v>
      </c>
      <c r="N717" s="19">
        <f>Таблица1[[#This Row],[Сумма 
Приход]]+Таблица1[[#This Row],[Сумма Поддон]]</f>
        <v>0</v>
      </c>
      <c r="O717" s="20"/>
      <c r="P717" s="19">
        <f>Таблица1[[#This Row],[Цена
 Продажа]]-Таблица1[[#This Row],[Цена 
Приход]]</f>
        <v>0</v>
      </c>
      <c r="Q717" s="19"/>
      <c r="R717" s="19">
        <f>Таблица1[[#This Row],[Блок
 Куб]]*Таблица1[[#This Row],[Цена
 Продажа]]</f>
        <v>0</v>
      </c>
      <c r="S717" s="20"/>
      <c r="T717" s="19">
        <f>Таблица1[[#This Row],[Сумма 
Продажа]]-Таблица1[[#This Row],[Сумма 
Приход]]</f>
        <v>0</v>
      </c>
      <c r="U717" s="150"/>
    </row>
    <row r="718" spans="1:21" ht="14.25" x14ac:dyDescent="0.2">
      <c r="A718" s="50">
        <f t="shared" si="11"/>
        <v>715</v>
      </c>
      <c r="B718" s="17"/>
      <c r="C718" s="17"/>
      <c r="D718" s="17"/>
      <c r="E718" s="51"/>
      <c r="F718" s="50"/>
      <c r="G718" s="23"/>
      <c r="H718" s="24"/>
      <c r="I718" s="23"/>
      <c r="J718" s="19">
        <f>Таблица1[[#This Row],[Блок
 Куб]]*Таблица1[[#This Row],[Цена 
Приход]]</f>
        <v>0</v>
      </c>
      <c r="K718" s="25"/>
      <c r="L718" s="25"/>
      <c r="M718" s="19">
        <f>Таблица1[[#This Row],[Поддон
Шт]]*Таблица1[[#This Row],[Цена
Поддон]]</f>
        <v>0</v>
      </c>
      <c r="N718" s="19">
        <f>Таблица1[[#This Row],[Сумма 
Приход]]+Таблица1[[#This Row],[Сумма Поддон]]</f>
        <v>0</v>
      </c>
      <c r="O718" s="20"/>
      <c r="P718" s="19">
        <f>Таблица1[[#This Row],[Цена
 Продажа]]-Таблица1[[#This Row],[Цена 
Приход]]</f>
        <v>0</v>
      </c>
      <c r="Q718" s="19"/>
      <c r="R718" s="19">
        <f>Таблица1[[#This Row],[Блок
 Куб]]*Таблица1[[#This Row],[Цена
 Продажа]]</f>
        <v>0</v>
      </c>
      <c r="S718" s="20"/>
      <c r="T718" s="19">
        <f>Таблица1[[#This Row],[Сумма 
Продажа]]-Таблица1[[#This Row],[Сумма 
Приход]]</f>
        <v>0</v>
      </c>
      <c r="U718" s="150"/>
    </row>
    <row r="719" spans="1:21" ht="14.25" x14ac:dyDescent="0.2">
      <c r="A719" s="50">
        <f t="shared" si="11"/>
        <v>716</v>
      </c>
      <c r="B719" s="17"/>
      <c r="C719" s="17"/>
      <c r="D719" s="17"/>
      <c r="E719" s="51"/>
      <c r="F719" s="50"/>
      <c r="G719" s="23"/>
      <c r="H719" s="24"/>
      <c r="I719" s="23"/>
      <c r="J719" s="19">
        <f>Таблица1[[#This Row],[Блок
 Куб]]*Таблица1[[#This Row],[Цена 
Приход]]</f>
        <v>0</v>
      </c>
      <c r="K719" s="25"/>
      <c r="L719" s="25"/>
      <c r="M719" s="19">
        <f>Таблица1[[#This Row],[Поддон
Шт]]*Таблица1[[#This Row],[Цена
Поддон]]</f>
        <v>0</v>
      </c>
      <c r="N719" s="19">
        <f>Таблица1[[#This Row],[Сумма 
Приход]]+Таблица1[[#This Row],[Сумма Поддон]]</f>
        <v>0</v>
      </c>
      <c r="O719" s="20"/>
      <c r="P719" s="19">
        <f>Таблица1[[#This Row],[Цена
 Продажа]]-Таблица1[[#This Row],[Цена 
Приход]]</f>
        <v>0</v>
      </c>
      <c r="Q719" s="19"/>
      <c r="R719" s="19">
        <f>Таблица1[[#This Row],[Блок
 Куб]]*Таблица1[[#This Row],[Цена
 Продажа]]</f>
        <v>0</v>
      </c>
      <c r="S719" s="20"/>
      <c r="T719" s="19">
        <f>Таблица1[[#This Row],[Сумма 
Продажа]]-Таблица1[[#This Row],[Сумма 
Приход]]</f>
        <v>0</v>
      </c>
      <c r="U719" s="150"/>
    </row>
    <row r="720" spans="1:21" ht="14.25" x14ac:dyDescent="0.2">
      <c r="A720" s="50">
        <f t="shared" si="11"/>
        <v>717</v>
      </c>
      <c r="B720" s="17"/>
      <c r="C720" s="17"/>
      <c r="D720" s="17"/>
      <c r="E720" s="51"/>
      <c r="F720" s="50"/>
      <c r="G720" s="23"/>
      <c r="H720" s="24"/>
      <c r="I720" s="23"/>
      <c r="J720" s="19">
        <f>Таблица1[[#This Row],[Блок
 Куб]]*Таблица1[[#This Row],[Цена 
Приход]]</f>
        <v>0</v>
      </c>
      <c r="K720" s="25"/>
      <c r="L720" s="25"/>
      <c r="M720" s="19">
        <f>Таблица1[[#This Row],[Поддон
Шт]]*Таблица1[[#This Row],[Цена
Поддон]]</f>
        <v>0</v>
      </c>
      <c r="N720" s="19">
        <f>Таблица1[[#This Row],[Сумма 
Приход]]+Таблица1[[#This Row],[Сумма Поддон]]</f>
        <v>0</v>
      </c>
      <c r="O720" s="20"/>
      <c r="P720" s="19">
        <f>Таблица1[[#This Row],[Цена
 Продажа]]-Таблица1[[#This Row],[Цена 
Приход]]</f>
        <v>0</v>
      </c>
      <c r="Q720" s="19"/>
      <c r="R720" s="19">
        <f>Таблица1[[#This Row],[Блок
 Куб]]*Таблица1[[#This Row],[Цена
 Продажа]]</f>
        <v>0</v>
      </c>
      <c r="S720" s="20"/>
      <c r="T720" s="19">
        <f>Таблица1[[#This Row],[Сумма 
Продажа]]-Таблица1[[#This Row],[Сумма 
Приход]]</f>
        <v>0</v>
      </c>
      <c r="U720" s="150"/>
    </row>
    <row r="721" spans="1:21" ht="14.25" x14ac:dyDescent="0.2">
      <c r="A721" s="50">
        <f t="shared" si="11"/>
        <v>718</v>
      </c>
      <c r="B721" s="17"/>
      <c r="C721" s="17"/>
      <c r="D721" s="17"/>
      <c r="E721" s="51"/>
      <c r="F721" s="50"/>
      <c r="G721" s="23"/>
      <c r="H721" s="24"/>
      <c r="I721" s="23"/>
      <c r="J721" s="19">
        <f>Таблица1[[#This Row],[Блок
 Куб]]*Таблица1[[#This Row],[Цена 
Приход]]</f>
        <v>0</v>
      </c>
      <c r="K721" s="25"/>
      <c r="L721" s="25"/>
      <c r="M721" s="19">
        <f>Таблица1[[#This Row],[Поддон
Шт]]*Таблица1[[#This Row],[Цена
Поддон]]</f>
        <v>0</v>
      </c>
      <c r="N721" s="19">
        <f>Таблица1[[#This Row],[Сумма 
Приход]]+Таблица1[[#This Row],[Сумма Поддон]]</f>
        <v>0</v>
      </c>
      <c r="O721" s="20"/>
      <c r="P721" s="19">
        <f>Таблица1[[#This Row],[Цена
 Продажа]]-Таблица1[[#This Row],[Цена 
Приход]]</f>
        <v>0</v>
      </c>
      <c r="Q721" s="19"/>
      <c r="R721" s="19">
        <f>Таблица1[[#This Row],[Блок
 Куб]]*Таблица1[[#This Row],[Цена
 Продажа]]</f>
        <v>0</v>
      </c>
      <c r="S721" s="20"/>
      <c r="T721" s="19">
        <f>Таблица1[[#This Row],[Сумма 
Продажа]]-Таблица1[[#This Row],[Сумма 
Приход]]</f>
        <v>0</v>
      </c>
      <c r="U721" s="150"/>
    </row>
    <row r="722" spans="1:21" ht="14.25" x14ac:dyDescent="0.2">
      <c r="A722" s="50">
        <f t="shared" si="11"/>
        <v>719</v>
      </c>
      <c r="B722" s="17"/>
      <c r="C722" s="17"/>
      <c r="D722" s="17"/>
      <c r="E722" s="51"/>
      <c r="F722" s="50"/>
      <c r="G722" s="23"/>
      <c r="H722" s="24"/>
      <c r="I722" s="23"/>
      <c r="J722" s="19">
        <f>Таблица1[[#This Row],[Блок
 Куб]]*Таблица1[[#This Row],[Цена 
Приход]]</f>
        <v>0</v>
      </c>
      <c r="K722" s="25"/>
      <c r="L722" s="25"/>
      <c r="M722" s="19">
        <f>Таблица1[[#This Row],[Поддон
Шт]]*Таблица1[[#This Row],[Цена
Поддон]]</f>
        <v>0</v>
      </c>
      <c r="N722" s="19">
        <f>Таблица1[[#This Row],[Сумма 
Приход]]+Таблица1[[#This Row],[Сумма Поддон]]</f>
        <v>0</v>
      </c>
      <c r="O722" s="20"/>
      <c r="P722" s="19">
        <f>Таблица1[[#This Row],[Цена
 Продажа]]-Таблица1[[#This Row],[Цена 
Приход]]</f>
        <v>0</v>
      </c>
      <c r="Q722" s="19"/>
      <c r="R722" s="19">
        <f>Таблица1[[#This Row],[Блок
 Куб]]*Таблица1[[#This Row],[Цена
 Продажа]]</f>
        <v>0</v>
      </c>
      <c r="S722" s="20"/>
      <c r="T722" s="19">
        <f>Таблица1[[#This Row],[Сумма 
Продажа]]-Таблица1[[#This Row],[Сумма 
Приход]]</f>
        <v>0</v>
      </c>
      <c r="U722" s="150"/>
    </row>
    <row r="723" spans="1:21" ht="14.25" x14ac:dyDescent="0.2">
      <c r="A723" s="50">
        <f t="shared" si="11"/>
        <v>720</v>
      </c>
      <c r="B723" s="17"/>
      <c r="C723" s="17"/>
      <c r="D723" s="17"/>
      <c r="E723" s="51"/>
      <c r="F723" s="50"/>
      <c r="G723" s="23"/>
      <c r="H723" s="24"/>
      <c r="I723" s="23"/>
      <c r="J723" s="19">
        <f>Таблица1[[#This Row],[Блок
 Куб]]*Таблица1[[#This Row],[Цена 
Приход]]</f>
        <v>0</v>
      </c>
      <c r="K723" s="25"/>
      <c r="L723" s="25"/>
      <c r="M723" s="19">
        <f>Таблица1[[#This Row],[Поддон
Шт]]*Таблица1[[#This Row],[Цена
Поддон]]</f>
        <v>0</v>
      </c>
      <c r="N723" s="19">
        <f>Таблица1[[#This Row],[Сумма 
Приход]]+Таблица1[[#This Row],[Сумма Поддон]]</f>
        <v>0</v>
      </c>
      <c r="O723" s="20"/>
      <c r="P723" s="19">
        <f>Таблица1[[#This Row],[Цена
 Продажа]]-Таблица1[[#This Row],[Цена 
Приход]]</f>
        <v>0</v>
      </c>
      <c r="Q723" s="19"/>
      <c r="R723" s="19">
        <f>Таблица1[[#This Row],[Блок
 Куб]]*Таблица1[[#This Row],[Цена
 Продажа]]</f>
        <v>0</v>
      </c>
      <c r="S723" s="20"/>
      <c r="T723" s="19">
        <f>Таблица1[[#This Row],[Сумма 
Продажа]]-Таблица1[[#This Row],[Сумма 
Приход]]</f>
        <v>0</v>
      </c>
      <c r="U723" s="150"/>
    </row>
    <row r="724" spans="1:21" ht="14.25" x14ac:dyDescent="0.2">
      <c r="A724" s="50">
        <f t="shared" si="11"/>
        <v>721</v>
      </c>
      <c r="B724" s="17"/>
      <c r="C724" s="17"/>
      <c r="D724" s="17"/>
      <c r="E724" s="51"/>
      <c r="F724" s="50"/>
      <c r="G724" s="23"/>
      <c r="H724" s="24"/>
      <c r="I724" s="23"/>
      <c r="J724" s="19">
        <f>Таблица1[[#This Row],[Блок
 Куб]]*Таблица1[[#This Row],[Цена 
Приход]]</f>
        <v>0</v>
      </c>
      <c r="K724" s="25"/>
      <c r="L724" s="25"/>
      <c r="M724" s="19">
        <f>Таблица1[[#This Row],[Поддон
Шт]]*Таблица1[[#This Row],[Цена
Поддон]]</f>
        <v>0</v>
      </c>
      <c r="N724" s="19">
        <f>Таблица1[[#This Row],[Сумма 
Приход]]+Таблица1[[#This Row],[Сумма Поддон]]</f>
        <v>0</v>
      </c>
      <c r="O724" s="20"/>
      <c r="P724" s="19">
        <f>Таблица1[[#This Row],[Цена
 Продажа]]-Таблица1[[#This Row],[Цена 
Приход]]</f>
        <v>0</v>
      </c>
      <c r="Q724" s="19"/>
      <c r="R724" s="19">
        <f>Таблица1[[#This Row],[Блок
 Куб]]*Таблица1[[#This Row],[Цена
 Продажа]]</f>
        <v>0</v>
      </c>
      <c r="S724" s="20"/>
      <c r="T724" s="19">
        <f>Таблица1[[#This Row],[Сумма 
Продажа]]-Таблица1[[#This Row],[Сумма 
Приход]]</f>
        <v>0</v>
      </c>
      <c r="U724" s="150"/>
    </row>
    <row r="725" spans="1:21" ht="14.25" x14ac:dyDescent="0.2">
      <c r="A725" s="50">
        <f t="shared" si="11"/>
        <v>722</v>
      </c>
      <c r="B725" s="17"/>
      <c r="C725" s="17"/>
      <c r="D725" s="17"/>
      <c r="E725" s="51"/>
      <c r="F725" s="50"/>
      <c r="G725" s="23"/>
      <c r="H725" s="24"/>
      <c r="I725" s="23"/>
      <c r="J725" s="19">
        <f>Таблица1[[#This Row],[Блок
 Куб]]*Таблица1[[#This Row],[Цена 
Приход]]</f>
        <v>0</v>
      </c>
      <c r="K725" s="25"/>
      <c r="L725" s="25"/>
      <c r="M725" s="19">
        <f>Таблица1[[#This Row],[Поддон
Шт]]*Таблица1[[#This Row],[Цена
Поддон]]</f>
        <v>0</v>
      </c>
      <c r="N725" s="19">
        <f>Таблица1[[#This Row],[Сумма 
Приход]]+Таблица1[[#This Row],[Сумма Поддон]]</f>
        <v>0</v>
      </c>
      <c r="O725" s="20"/>
      <c r="P725" s="19">
        <f>Таблица1[[#This Row],[Цена
 Продажа]]-Таблица1[[#This Row],[Цена 
Приход]]</f>
        <v>0</v>
      </c>
      <c r="Q725" s="19"/>
      <c r="R725" s="19">
        <f>Таблица1[[#This Row],[Блок
 Куб]]*Таблица1[[#This Row],[Цена
 Продажа]]</f>
        <v>0</v>
      </c>
      <c r="S725" s="20"/>
      <c r="T725" s="19">
        <f>Таблица1[[#This Row],[Сумма 
Продажа]]-Таблица1[[#This Row],[Сумма 
Приход]]</f>
        <v>0</v>
      </c>
      <c r="U725" s="150"/>
    </row>
    <row r="726" spans="1:21" ht="14.25" x14ac:dyDescent="0.2">
      <c r="A726" s="50">
        <f t="shared" si="11"/>
        <v>723</v>
      </c>
      <c r="B726" s="17"/>
      <c r="C726" s="17"/>
      <c r="D726" s="17"/>
      <c r="E726" s="51"/>
      <c r="F726" s="50"/>
      <c r="G726" s="23"/>
      <c r="H726" s="24"/>
      <c r="I726" s="23"/>
      <c r="J726" s="19">
        <f>Таблица1[[#This Row],[Блок
 Куб]]*Таблица1[[#This Row],[Цена 
Приход]]</f>
        <v>0</v>
      </c>
      <c r="K726" s="25"/>
      <c r="L726" s="25"/>
      <c r="M726" s="19">
        <f>Таблица1[[#This Row],[Поддон
Шт]]*Таблица1[[#This Row],[Цена
Поддон]]</f>
        <v>0</v>
      </c>
      <c r="N726" s="19">
        <f>Таблица1[[#This Row],[Сумма 
Приход]]+Таблица1[[#This Row],[Сумма Поддон]]</f>
        <v>0</v>
      </c>
      <c r="O726" s="20"/>
      <c r="P726" s="19">
        <f>Таблица1[[#This Row],[Цена
 Продажа]]-Таблица1[[#This Row],[Цена 
Приход]]</f>
        <v>0</v>
      </c>
      <c r="Q726" s="19"/>
      <c r="R726" s="19">
        <f>Таблица1[[#This Row],[Блок
 Куб]]*Таблица1[[#This Row],[Цена
 Продажа]]</f>
        <v>0</v>
      </c>
      <c r="S726" s="20"/>
      <c r="T726" s="19">
        <f>Таблица1[[#This Row],[Сумма 
Продажа]]-Таблица1[[#This Row],[Сумма 
Приход]]</f>
        <v>0</v>
      </c>
      <c r="U726" s="150"/>
    </row>
    <row r="727" spans="1:21" ht="14.25" x14ac:dyDescent="0.2">
      <c r="A727" s="50">
        <f t="shared" si="11"/>
        <v>724</v>
      </c>
      <c r="B727" s="17"/>
      <c r="C727" s="17"/>
      <c r="D727" s="17"/>
      <c r="E727" s="51"/>
      <c r="F727" s="50"/>
      <c r="G727" s="23"/>
      <c r="H727" s="24"/>
      <c r="I727" s="23"/>
      <c r="J727" s="19">
        <f>Таблица1[[#This Row],[Блок
 Куб]]*Таблица1[[#This Row],[Цена 
Приход]]</f>
        <v>0</v>
      </c>
      <c r="K727" s="25"/>
      <c r="L727" s="25"/>
      <c r="M727" s="19">
        <f>Таблица1[[#This Row],[Поддон
Шт]]*Таблица1[[#This Row],[Цена
Поддон]]</f>
        <v>0</v>
      </c>
      <c r="N727" s="19">
        <f>Таблица1[[#This Row],[Сумма 
Приход]]+Таблица1[[#This Row],[Сумма Поддон]]</f>
        <v>0</v>
      </c>
      <c r="O727" s="20"/>
      <c r="P727" s="19">
        <f>Таблица1[[#This Row],[Цена
 Продажа]]-Таблица1[[#This Row],[Цена 
Приход]]</f>
        <v>0</v>
      </c>
      <c r="Q727" s="19"/>
      <c r="R727" s="19">
        <f>Таблица1[[#This Row],[Блок
 Куб]]*Таблица1[[#This Row],[Цена
 Продажа]]</f>
        <v>0</v>
      </c>
      <c r="S727" s="20"/>
      <c r="T727" s="19">
        <f>Таблица1[[#This Row],[Сумма 
Продажа]]-Таблица1[[#This Row],[Сумма 
Приход]]</f>
        <v>0</v>
      </c>
      <c r="U727" s="150"/>
    </row>
    <row r="728" spans="1:21" ht="14.25" x14ac:dyDescent="0.2">
      <c r="A728" s="50">
        <f t="shared" si="11"/>
        <v>725</v>
      </c>
      <c r="B728" s="17"/>
      <c r="C728" s="17"/>
      <c r="D728" s="17"/>
      <c r="E728" s="51"/>
      <c r="F728" s="50"/>
      <c r="G728" s="23"/>
      <c r="H728" s="24"/>
      <c r="I728" s="23"/>
      <c r="J728" s="19">
        <f>Таблица1[[#This Row],[Блок
 Куб]]*Таблица1[[#This Row],[Цена 
Приход]]</f>
        <v>0</v>
      </c>
      <c r="K728" s="25"/>
      <c r="L728" s="25"/>
      <c r="M728" s="19">
        <f>Таблица1[[#This Row],[Поддон
Шт]]*Таблица1[[#This Row],[Цена
Поддон]]</f>
        <v>0</v>
      </c>
      <c r="N728" s="19">
        <f>Таблица1[[#This Row],[Сумма 
Приход]]+Таблица1[[#This Row],[Сумма Поддон]]</f>
        <v>0</v>
      </c>
      <c r="O728" s="20"/>
      <c r="P728" s="19">
        <f>Таблица1[[#This Row],[Цена
 Продажа]]-Таблица1[[#This Row],[Цена 
Приход]]</f>
        <v>0</v>
      </c>
      <c r="Q728" s="19"/>
      <c r="R728" s="19">
        <f>Таблица1[[#This Row],[Блок
 Куб]]*Таблица1[[#This Row],[Цена
 Продажа]]</f>
        <v>0</v>
      </c>
      <c r="S728" s="20"/>
      <c r="T728" s="19">
        <f>Таблица1[[#This Row],[Сумма 
Продажа]]-Таблица1[[#This Row],[Сумма 
Приход]]</f>
        <v>0</v>
      </c>
      <c r="U728" s="150"/>
    </row>
    <row r="729" spans="1:21" ht="14.25" x14ac:dyDescent="0.2">
      <c r="A729" s="50">
        <f t="shared" si="11"/>
        <v>726</v>
      </c>
      <c r="B729" s="17"/>
      <c r="C729" s="17"/>
      <c r="D729" s="17"/>
      <c r="E729" s="51"/>
      <c r="F729" s="50"/>
      <c r="G729" s="23"/>
      <c r="H729" s="24"/>
      <c r="I729" s="23"/>
      <c r="J729" s="19">
        <f>Таблица1[[#This Row],[Блок
 Куб]]*Таблица1[[#This Row],[Цена 
Приход]]</f>
        <v>0</v>
      </c>
      <c r="K729" s="25"/>
      <c r="L729" s="25"/>
      <c r="M729" s="19">
        <f>Таблица1[[#This Row],[Поддон
Шт]]*Таблица1[[#This Row],[Цена
Поддон]]</f>
        <v>0</v>
      </c>
      <c r="N729" s="19">
        <f>Таблица1[[#This Row],[Сумма 
Приход]]+Таблица1[[#This Row],[Сумма Поддон]]</f>
        <v>0</v>
      </c>
      <c r="O729" s="20"/>
      <c r="P729" s="19">
        <f>Таблица1[[#This Row],[Цена
 Продажа]]-Таблица1[[#This Row],[Цена 
Приход]]</f>
        <v>0</v>
      </c>
      <c r="Q729" s="19"/>
      <c r="R729" s="19">
        <f>Таблица1[[#This Row],[Блок
 Куб]]*Таблица1[[#This Row],[Цена
 Продажа]]</f>
        <v>0</v>
      </c>
      <c r="S729" s="20"/>
      <c r="T729" s="19">
        <f>Таблица1[[#This Row],[Сумма 
Продажа]]-Таблица1[[#This Row],[Сумма 
Приход]]</f>
        <v>0</v>
      </c>
      <c r="U729" s="150"/>
    </row>
    <row r="730" spans="1:21" ht="14.25" x14ac:dyDescent="0.2">
      <c r="A730" s="50">
        <f t="shared" si="11"/>
        <v>727</v>
      </c>
      <c r="B730" s="17"/>
      <c r="C730" s="17"/>
      <c r="D730" s="17"/>
      <c r="E730" s="51"/>
      <c r="F730" s="50"/>
      <c r="G730" s="23"/>
      <c r="H730" s="24"/>
      <c r="I730" s="23"/>
      <c r="J730" s="19">
        <f>Таблица1[[#This Row],[Блок
 Куб]]*Таблица1[[#This Row],[Цена 
Приход]]</f>
        <v>0</v>
      </c>
      <c r="K730" s="25"/>
      <c r="L730" s="25"/>
      <c r="M730" s="19">
        <f>Таблица1[[#This Row],[Поддон
Шт]]*Таблица1[[#This Row],[Цена
Поддон]]</f>
        <v>0</v>
      </c>
      <c r="N730" s="19">
        <f>Таблица1[[#This Row],[Сумма 
Приход]]+Таблица1[[#This Row],[Сумма Поддон]]</f>
        <v>0</v>
      </c>
      <c r="O730" s="20"/>
      <c r="P730" s="19">
        <f>Таблица1[[#This Row],[Цена
 Продажа]]-Таблица1[[#This Row],[Цена 
Приход]]</f>
        <v>0</v>
      </c>
      <c r="Q730" s="19"/>
      <c r="R730" s="19">
        <f>Таблица1[[#This Row],[Блок
 Куб]]*Таблица1[[#This Row],[Цена
 Продажа]]</f>
        <v>0</v>
      </c>
      <c r="S730" s="20"/>
      <c r="T730" s="19">
        <f>Таблица1[[#This Row],[Сумма 
Продажа]]-Таблица1[[#This Row],[Сумма 
Приход]]</f>
        <v>0</v>
      </c>
      <c r="U730" s="150"/>
    </row>
    <row r="731" spans="1:21" ht="14.25" x14ac:dyDescent="0.2">
      <c r="A731" s="50">
        <f t="shared" si="11"/>
        <v>728</v>
      </c>
      <c r="B731" s="17"/>
      <c r="C731" s="17"/>
      <c r="D731" s="17"/>
      <c r="E731" s="51"/>
      <c r="F731" s="50"/>
      <c r="G731" s="23"/>
      <c r="H731" s="24"/>
      <c r="I731" s="23"/>
      <c r="J731" s="19">
        <f>Таблица1[[#This Row],[Блок
 Куб]]*Таблица1[[#This Row],[Цена 
Приход]]</f>
        <v>0</v>
      </c>
      <c r="K731" s="25"/>
      <c r="L731" s="25"/>
      <c r="M731" s="19">
        <f>Таблица1[[#This Row],[Поддон
Шт]]*Таблица1[[#This Row],[Цена
Поддон]]</f>
        <v>0</v>
      </c>
      <c r="N731" s="19">
        <f>Таблица1[[#This Row],[Сумма 
Приход]]+Таблица1[[#This Row],[Сумма Поддон]]</f>
        <v>0</v>
      </c>
      <c r="O731" s="20"/>
      <c r="P731" s="19">
        <f>Таблица1[[#This Row],[Цена
 Продажа]]-Таблица1[[#This Row],[Цена 
Приход]]</f>
        <v>0</v>
      </c>
      <c r="Q731" s="19"/>
      <c r="R731" s="19">
        <f>Таблица1[[#This Row],[Блок
 Куб]]*Таблица1[[#This Row],[Цена
 Продажа]]</f>
        <v>0</v>
      </c>
      <c r="S731" s="20"/>
      <c r="T731" s="19">
        <f>Таблица1[[#This Row],[Сумма 
Продажа]]-Таблица1[[#This Row],[Сумма 
Приход]]</f>
        <v>0</v>
      </c>
      <c r="U731" s="150"/>
    </row>
    <row r="732" spans="1:21" ht="14.25" x14ac:dyDescent="0.2">
      <c r="A732" s="50">
        <f t="shared" si="11"/>
        <v>729</v>
      </c>
      <c r="B732" s="17"/>
      <c r="C732" s="17"/>
      <c r="D732" s="17"/>
      <c r="E732" s="51"/>
      <c r="F732" s="50"/>
      <c r="G732" s="23"/>
      <c r="H732" s="24"/>
      <c r="I732" s="23"/>
      <c r="J732" s="19">
        <f>Таблица1[[#This Row],[Блок
 Куб]]*Таблица1[[#This Row],[Цена 
Приход]]</f>
        <v>0</v>
      </c>
      <c r="K732" s="25"/>
      <c r="L732" s="25"/>
      <c r="M732" s="19">
        <f>Таблица1[[#This Row],[Поддон
Шт]]*Таблица1[[#This Row],[Цена
Поддон]]</f>
        <v>0</v>
      </c>
      <c r="N732" s="19">
        <f>Таблица1[[#This Row],[Сумма 
Приход]]+Таблица1[[#This Row],[Сумма Поддон]]</f>
        <v>0</v>
      </c>
      <c r="O732" s="20"/>
      <c r="P732" s="19">
        <f>Таблица1[[#This Row],[Цена
 Продажа]]-Таблица1[[#This Row],[Цена 
Приход]]</f>
        <v>0</v>
      </c>
      <c r="Q732" s="19"/>
      <c r="R732" s="19">
        <f>Таблица1[[#This Row],[Блок
 Куб]]*Таблица1[[#This Row],[Цена
 Продажа]]</f>
        <v>0</v>
      </c>
      <c r="S732" s="20"/>
      <c r="T732" s="19">
        <f>Таблица1[[#This Row],[Сумма 
Продажа]]-Таблица1[[#This Row],[Сумма 
Приход]]</f>
        <v>0</v>
      </c>
      <c r="U732" s="150"/>
    </row>
    <row r="733" spans="1:21" ht="14.25" x14ac:dyDescent="0.2">
      <c r="A733" s="50">
        <f t="shared" si="11"/>
        <v>730</v>
      </c>
      <c r="B733" s="17"/>
      <c r="C733" s="17"/>
      <c r="D733" s="17"/>
      <c r="E733" s="51"/>
      <c r="F733" s="50"/>
      <c r="G733" s="23"/>
      <c r="H733" s="24"/>
      <c r="I733" s="23"/>
      <c r="J733" s="19">
        <f>Таблица1[[#This Row],[Блок
 Куб]]*Таблица1[[#This Row],[Цена 
Приход]]</f>
        <v>0</v>
      </c>
      <c r="K733" s="25"/>
      <c r="L733" s="25"/>
      <c r="M733" s="19">
        <f>Таблица1[[#This Row],[Поддон
Шт]]*Таблица1[[#This Row],[Цена
Поддон]]</f>
        <v>0</v>
      </c>
      <c r="N733" s="19">
        <f>Таблица1[[#This Row],[Сумма 
Приход]]+Таблица1[[#This Row],[Сумма Поддон]]</f>
        <v>0</v>
      </c>
      <c r="O733" s="20"/>
      <c r="P733" s="19">
        <f>Таблица1[[#This Row],[Цена
 Продажа]]-Таблица1[[#This Row],[Цена 
Приход]]</f>
        <v>0</v>
      </c>
      <c r="Q733" s="19"/>
      <c r="R733" s="19">
        <f>Таблица1[[#This Row],[Блок
 Куб]]*Таблица1[[#This Row],[Цена
 Продажа]]</f>
        <v>0</v>
      </c>
      <c r="S733" s="20"/>
      <c r="T733" s="19">
        <f>Таблица1[[#This Row],[Сумма 
Продажа]]-Таблица1[[#This Row],[Сумма 
Приход]]</f>
        <v>0</v>
      </c>
      <c r="U733" s="150"/>
    </row>
    <row r="734" spans="1:21" ht="14.25" x14ac:dyDescent="0.2">
      <c r="A734" s="50">
        <f t="shared" si="11"/>
        <v>731</v>
      </c>
      <c r="B734" s="17"/>
      <c r="C734" s="17"/>
      <c r="D734" s="17"/>
      <c r="E734" s="51"/>
      <c r="F734" s="50"/>
      <c r="G734" s="23"/>
      <c r="H734" s="24"/>
      <c r="I734" s="23"/>
      <c r="J734" s="19">
        <f>Таблица1[[#This Row],[Блок
 Куб]]*Таблица1[[#This Row],[Цена 
Приход]]</f>
        <v>0</v>
      </c>
      <c r="K734" s="25"/>
      <c r="L734" s="25"/>
      <c r="M734" s="19">
        <f>Таблица1[[#This Row],[Поддон
Шт]]*Таблица1[[#This Row],[Цена
Поддон]]</f>
        <v>0</v>
      </c>
      <c r="N734" s="19">
        <f>Таблица1[[#This Row],[Сумма 
Приход]]+Таблица1[[#This Row],[Сумма Поддон]]</f>
        <v>0</v>
      </c>
      <c r="O734" s="20"/>
      <c r="P734" s="19">
        <f>Таблица1[[#This Row],[Цена
 Продажа]]-Таблица1[[#This Row],[Цена 
Приход]]</f>
        <v>0</v>
      </c>
      <c r="Q734" s="19"/>
      <c r="R734" s="19">
        <f>Таблица1[[#This Row],[Блок
 Куб]]*Таблица1[[#This Row],[Цена
 Продажа]]</f>
        <v>0</v>
      </c>
      <c r="S734" s="20"/>
      <c r="T734" s="19">
        <f>Таблица1[[#This Row],[Сумма 
Продажа]]-Таблица1[[#This Row],[Сумма 
Приход]]</f>
        <v>0</v>
      </c>
      <c r="U734" s="150"/>
    </row>
    <row r="735" spans="1:21" ht="14.25" x14ac:dyDescent="0.2">
      <c r="A735" s="50">
        <f t="shared" si="11"/>
        <v>732</v>
      </c>
      <c r="B735" s="17"/>
      <c r="C735" s="17"/>
      <c r="D735" s="17"/>
      <c r="E735" s="51"/>
      <c r="F735" s="50"/>
      <c r="G735" s="23"/>
      <c r="H735" s="24"/>
      <c r="I735" s="23"/>
      <c r="J735" s="19">
        <f>Таблица1[[#This Row],[Блок
 Куб]]*Таблица1[[#This Row],[Цена 
Приход]]</f>
        <v>0</v>
      </c>
      <c r="K735" s="25"/>
      <c r="L735" s="25"/>
      <c r="M735" s="19">
        <f>Таблица1[[#This Row],[Поддон
Шт]]*Таблица1[[#This Row],[Цена
Поддон]]</f>
        <v>0</v>
      </c>
      <c r="N735" s="19">
        <f>Таблица1[[#This Row],[Сумма 
Приход]]+Таблица1[[#This Row],[Сумма Поддон]]</f>
        <v>0</v>
      </c>
      <c r="O735" s="20"/>
      <c r="P735" s="19">
        <f>Таблица1[[#This Row],[Цена
 Продажа]]-Таблица1[[#This Row],[Цена 
Приход]]</f>
        <v>0</v>
      </c>
      <c r="Q735" s="19"/>
      <c r="R735" s="19">
        <f>Таблица1[[#This Row],[Блок
 Куб]]*Таблица1[[#This Row],[Цена
 Продажа]]</f>
        <v>0</v>
      </c>
      <c r="S735" s="20"/>
      <c r="T735" s="19">
        <f>Таблица1[[#This Row],[Сумма 
Продажа]]-Таблица1[[#This Row],[Сумма 
Приход]]</f>
        <v>0</v>
      </c>
      <c r="U735" s="150"/>
    </row>
    <row r="736" spans="1:21" ht="14.25" x14ac:dyDescent="0.2">
      <c r="A736" s="50">
        <f t="shared" si="11"/>
        <v>733</v>
      </c>
      <c r="B736" s="17"/>
      <c r="C736" s="17"/>
      <c r="D736" s="17"/>
      <c r="E736" s="51"/>
      <c r="F736" s="50"/>
      <c r="G736" s="23"/>
      <c r="H736" s="24"/>
      <c r="I736" s="23"/>
      <c r="J736" s="19">
        <f>Таблица1[[#This Row],[Блок
 Куб]]*Таблица1[[#This Row],[Цена 
Приход]]</f>
        <v>0</v>
      </c>
      <c r="K736" s="25"/>
      <c r="L736" s="25"/>
      <c r="M736" s="19">
        <f>Таблица1[[#This Row],[Поддон
Шт]]*Таблица1[[#This Row],[Цена
Поддон]]</f>
        <v>0</v>
      </c>
      <c r="N736" s="19">
        <f>Таблица1[[#This Row],[Сумма 
Приход]]+Таблица1[[#This Row],[Сумма Поддон]]</f>
        <v>0</v>
      </c>
      <c r="O736" s="20"/>
      <c r="P736" s="19">
        <f>Таблица1[[#This Row],[Цена
 Продажа]]-Таблица1[[#This Row],[Цена 
Приход]]</f>
        <v>0</v>
      </c>
      <c r="Q736" s="19"/>
      <c r="R736" s="19">
        <f>Таблица1[[#This Row],[Блок
 Куб]]*Таблица1[[#This Row],[Цена
 Продажа]]</f>
        <v>0</v>
      </c>
      <c r="S736" s="20"/>
      <c r="T736" s="19">
        <f>Таблица1[[#This Row],[Сумма 
Продажа]]-Таблица1[[#This Row],[Сумма 
Приход]]</f>
        <v>0</v>
      </c>
      <c r="U736" s="150"/>
    </row>
    <row r="737" spans="1:21" ht="14.25" x14ac:dyDescent="0.2">
      <c r="A737" s="50">
        <f t="shared" si="11"/>
        <v>734</v>
      </c>
      <c r="B737" s="17"/>
      <c r="C737" s="17"/>
      <c r="D737" s="17"/>
      <c r="E737" s="51"/>
      <c r="F737" s="50"/>
      <c r="G737" s="23"/>
      <c r="H737" s="24"/>
      <c r="I737" s="23"/>
      <c r="J737" s="19">
        <f>Таблица1[[#This Row],[Блок
 Куб]]*Таблица1[[#This Row],[Цена 
Приход]]</f>
        <v>0</v>
      </c>
      <c r="K737" s="25"/>
      <c r="L737" s="25"/>
      <c r="M737" s="19">
        <f>Таблица1[[#This Row],[Поддон
Шт]]*Таблица1[[#This Row],[Цена
Поддон]]</f>
        <v>0</v>
      </c>
      <c r="N737" s="19">
        <f>Таблица1[[#This Row],[Сумма 
Приход]]+Таблица1[[#This Row],[Сумма Поддон]]</f>
        <v>0</v>
      </c>
      <c r="O737" s="20"/>
      <c r="P737" s="19">
        <f>Таблица1[[#This Row],[Цена
 Продажа]]-Таблица1[[#This Row],[Цена 
Приход]]</f>
        <v>0</v>
      </c>
      <c r="Q737" s="19"/>
      <c r="R737" s="19">
        <f>Таблица1[[#This Row],[Блок
 Куб]]*Таблица1[[#This Row],[Цена
 Продажа]]</f>
        <v>0</v>
      </c>
      <c r="S737" s="20"/>
      <c r="T737" s="19">
        <f>Таблица1[[#This Row],[Сумма 
Продажа]]-Таблица1[[#This Row],[Сумма 
Приход]]</f>
        <v>0</v>
      </c>
      <c r="U737" s="150"/>
    </row>
    <row r="738" spans="1:21" ht="14.25" x14ac:dyDescent="0.2">
      <c r="A738" s="50">
        <f t="shared" si="11"/>
        <v>735</v>
      </c>
      <c r="B738" s="17"/>
      <c r="C738" s="17"/>
      <c r="D738" s="17"/>
      <c r="E738" s="51"/>
      <c r="F738" s="50"/>
      <c r="G738" s="23"/>
      <c r="H738" s="24"/>
      <c r="I738" s="23"/>
      <c r="J738" s="19">
        <f>Таблица1[[#This Row],[Блок
 Куб]]*Таблица1[[#This Row],[Цена 
Приход]]</f>
        <v>0</v>
      </c>
      <c r="K738" s="25"/>
      <c r="L738" s="25"/>
      <c r="M738" s="19">
        <f>Таблица1[[#This Row],[Поддон
Шт]]*Таблица1[[#This Row],[Цена
Поддон]]</f>
        <v>0</v>
      </c>
      <c r="N738" s="19">
        <f>Таблица1[[#This Row],[Сумма 
Приход]]+Таблица1[[#This Row],[Сумма Поддон]]</f>
        <v>0</v>
      </c>
      <c r="O738" s="20"/>
      <c r="P738" s="19">
        <f>Таблица1[[#This Row],[Цена
 Продажа]]-Таблица1[[#This Row],[Цена 
Приход]]</f>
        <v>0</v>
      </c>
      <c r="Q738" s="19"/>
      <c r="R738" s="19">
        <f>Таблица1[[#This Row],[Блок
 Куб]]*Таблица1[[#This Row],[Цена
 Продажа]]</f>
        <v>0</v>
      </c>
      <c r="S738" s="20"/>
      <c r="T738" s="19">
        <f>Таблица1[[#This Row],[Сумма 
Продажа]]-Таблица1[[#This Row],[Сумма 
Приход]]</f>
        <v>0</v>
      </c>
      <c r="U738" s="150"/>
    </row>
    <row r="739" spans="1:21" ht="14.25" x14ac:dyDescent="0.2">
      <c r="A739" s="50">
        <f t="shared" si="11"/>
        <v>736</v>
      </c>
      <c r="B739" s="17"/>
      <c r="C739" s="17"/>
      <c r="D739" s="17"/>
      <c r="E739" s="51"/>
      <c r="F739" s="50"/>
      <c r="G739" s="23"/>
      <c r="H739" s="24"/>
      <c r="I739" s="23"/>
      <c r="J739" s="19">
        <f>Таблица1[[#This Row],[Блок
 Куб]]*Таблица1[[#This Row],[Цена 
Приход]]</f>
        <v>0</v>
      </c>
      <c r="K739" s="25"/>
      <c r="L739" s="25"/>
      <c r="M739" s="19">
        <f>Таблица1[[#This Row],[Поддон
Шт]]*Таблица1[[#This Row],[Цена
Поддон]]</f>
        <v>0</v>
      </c>
      <c r="N739" s="19">
        <f>Таблица1[[#This Row],[Сумма 
Приход]]+Таблица1[[#This Row],[Сумма Поддон]]</f>
        <v>0</v>
      </c>
      <c r="O739" s="20"/>
      <c r="P739" s="19">
        <f>Таблица1[[#This Row],[Цена
 Продажа]]-Таблица1[[#This Row],[Цена 
Приход]]</f>
        <v>0</v>
      </c>
      <c r="Q739" s="19"/>
      <c r="R739" s="19">
        <f>Таблица1[[#This Row],[Блок
 Куб]]*Таблица1[[#This Row],[Цена
 Продажа]]</f>
        <v>0</v>
      </c>
      <c r="S739" s="20"/>
      <c r="T739" s="19">
        <f>Таблица1[[#This Row],[Сумма 
Продажа]]-Таблица1[[#This Row],[Сумма 
Приход]]</f>
        <v>0</v>
      </c>
      <c r="U739" s="150"/>
    </row>
    <row r="740" spans="1:21" ht="14.25" x14ac:dyDescent="0.2">
      <c r="A740" s="50">
        <f t="shared" si="11"/>
        <v>737</v>
      </c>
      <c r="B740" s="17"/>
      <c r="C740" s="17"/>
      <c r="D740" s="17"/>
      <c r="E740" s="51"/>
      <c r="F740" s="50"/>
      <c r="G740" s="23"/>
      <c r="H740" s="24"/>
      <c r="I740" s="23"/>
      <c r="J740" s="19">
        <f>Таблица1[[#This Row],[Блок
 Куб]]*Таблица1[[#This Row],[Цена 
Приход]]</f>
        <v>0</v>
      </c>
      <c r="K740" s="25"/>
      <c r="L740" s="25"/>
      <c r="M740" s="19">
        <f>Таблица1[[#This Row],[Поддон
Шт]]*Таблица1[[#This Row],[Цена
Поддон]]</f>
        <v>0</v>
      </c>
      <c r="N740" s="19">
        <f>Таблица1[[#This Row],[Сумма 
Приход]]+Таблица1[[#This Row],[Сумма Поддон]]</f>
        <v>0</v>
      </c>
      <c r="O740" s="20"/>
      <c r="P740" s="19">
        <f>Таблица1[[#This Row],[Цена
 Продажа]]-Таблица1[[#This Row],[Цена 
Приход]]</f>
        <v>0</v>
      </c>
      <c r="Q740" s="19"/>
      <c r="R740" s="19">
        <f>Таблица1[[#This Row],[Блок
 Куб]]*Таблица1[[#This Row],[Цена
 Продажа]]</f>
        <v>0</v>
      </c>
      <c r="S740" s="20"/>
      <c r="T740" s="19">
        <f>Таблица1[[#This Row],[Сумма 
Продажа]]-Таблица1[[#This Row],[Сумма 
Приход]]</f>
        <v>0</v>
      </c>
      <c r="U740" s="150"/>
    </row>
    <row r="741" spans="1:21" ht="14.25" x14ac:dyDescent="0.2">
      <c r="A741" s="50">
        <f t="shared" si="11"/>
        <v>738</v>
      </c>
      <c r="B741" s="17"/>
      <c r="C741" s="17"/>
      <c r="D741" s="17"/>
      <c r="E741" s="51"/>
      <c r="F741" s="50"/>
      <c r="G741" s="23"/>
      <c r="H741" s="24"/>
      <c r="I741" s="23"/>
      <c r="J741" s="19">
        <f>Таблица1[[#This Row],[Блок
 Куб]]*Таблица1[[#This Row],[Цена 
Приход]]</f>
        <v>0</v>
      </c>
      <c r="K741" s="25"/>
      <c r="L741" s="25"/>
      <c r="M741" s="19">
        <f>Таблица1[[#This Row],[Поддон
Шт]]*Таблица1[[#This Row],[Цена
Поддон]]</f>
        <v>0</v>
      </c>
      <c r="N741" s="19">
        <f>Таблица1[[#This Row],[Сумма 
Приход]]+Таблица1[[#This Row],[Сумма Поддон]]</f>
        <v>0</v>
      </c>
      <c r="O741" s="20"/>
      <c r="P741" s="19">
        <f>Таблица1[[#This Row],[Цена
 Продажа]]-Таблица1[[#This Row],[Цена 
Приход]]</f>
        <v>0</v>
      </c>
      <c r="Q741" s="19"/>
      <c r="R741" s="19">
        <f>Таблица1[[#This Row],[Блок
 Куб]]*Таблица1[[#This Row],[Цена
 Продажа]]</f>
        <v>0</v>
      </c>
      <c r="S741" s="20"/>
      <c r="T741" s="19">
        <f>Таблица1[[#This Row],[Сумма 
Продажа]]-Таблица1[[#This Row],[Сумма 
Приход]]</f>
        <v>0</v>
      </c>
      <c r="U741" s="150"/>
    </row>
    <row r="742" spans="1:21" ht="14.25" x14ac:dyDescent="0.2">
      <c r="A742" s="50">
        <f t="shared" si="11"/>
        <v>739</v>
      </c>
      <c r="B742" s="17"/>
      <c r="C742" s="17"/>
      <c r="D742" s="17"/>
      <c r="E742" s="51"/>
      <c r="F742" s="50"/>
      <c r="G742" s="23"/>
      <c r="H742" s="24"/>
      <c r="I742" s="23"/>
      <c r="J742" s="19">
        <f>Таблица1[[#This Row],[Блок
 Куб]]*Таблица1[[#This Row],[Цена 
Приход]]</f>
        <v>0</v>
      </c>
      <c r="K742" s="25"/>
      <c r="L742" s="25"/>
      <c r="M742" s="19">
        <f>Таблица1[[#This Row],[Поддон
Шт]]*Таблица1[[#This Row],[Цена
Поддон]]</f>
        <v>0</v>
      </c>
      <c r="N742" s="19">
        <f>Таблица1[[#This Row],[Сумма 
Приход]]+Таблица1[[#This Row],[Сумма Поддон]]</f>
        <v>0</v>
      </c>
      <c r="O742" s="20"/>
      <c r="P742" s="19">
        <f>Таблица1[[#This Row],[Цена
 Продажа]]-Таблица1[[#This Row],[Цена 
Приход]]</f>
        <v>0</v>
      </c>
      <c r="Q742" s="19"/>
      <c r="R742" s="19">
        <f>Таблица1[[#This Row],[Блок
 Куб]]*Таблица1[[#This Row],[Цена
 Продажа]]</f>
        <v>0</v>
      </c>
      <c r="S742" s="20"/>
      <c r="T742" s="19">
        <f>Таблица1[[#This Row],[Сумма 
Продажа]]-Таблица1[[#This Row],[Сумма 
Приход]]</f>
        <v>0</v>
      </c>
      <c r="U742" s="150"/>
    </row>
    <row r="743" spans="1:21" ht="14.25" x14ac:dyDescent="0.2">
      <c r="A743" s="50">
        <f t="shared" si="11"/>
        <v>740</v>
      </c>
      <c r="B743" s="17"/>
      <c r="C743" s="17"/>
      <c r="D743" s="17"/>
      <c r="E743" s="51"/>
      <c r="F743" s="50"/>
      <c r="G743" s="23"/>
      <c r="H743" s="24"/>
      <c r="I743" s="23"/>
      <c r="J743" s="19">
        <f>Таблица1[[#This Row],[Блок
 Куб]]*Таблица1[[#This Row],[Цена 
Приход]]</f>
        <v>0</v>
      </c>
      <c r="K743" s="25"/>
      <c r="L743" s="25"/>
      <c r="M743" s="19">
        <f>Таблица1[[#This Row],[Поддон
Шт]]*Таблица1[[#This Row],[Цена
Поддон]]</f>
        <v>0</v>
      </c>
      <c r="N743" s="19">
        <f>Таблица1[[#This Row],[Сумма 
Приход]]+Таблица1[[#This Row],[Сумма Поддон]]</f>
        <v>0</v>
      </c>
      <c r="O743" s="20"/>
      <c r="P743" s="19">
        <f>Таблица1[[#This Row],[Цена
 Продажа]]-Таблица1[[#This Row],[Цена 
Приход]]</f>
        <v>0</v>
      </c>
      <c r="Q743" s="19"/>
      <c r="R743" s="19">
        <f>Таблица1[[#This Row],[Блок
 Куб]]*Таблица1[[#This Row],[Цена
 Продажа]]</f>
        <v>0</v>
      </c>
      <c r="S743" s="20"/>
      <c r="T743" s="19">
        <f>Таблица1[[#This Row],[Сумма 
Продажа]]-Таблица1[[#This Row],[Сумма 
Приход]]</f>
        <v>0</v>
      </c>
      <c r="U743" s="150"/>
    </row>
    <row r="744" spans="1:21" ht="14.25" x14ac:dyDescent="0.2">
      <c r="A744" s="50">
        <f t="shared" si="11"/>
        <v>741</v>
      </c>
      <c r="B744" s="17"/>
      <c r="C744" s="17"/>
      <c r="D744" s="17"/>
      <c r="E744" s="51"/>
      <c r="F744" s="50"/>
      <c r="G744" s="23"/>
      <c r="H744" s="24"/>
      <c r="I744" s="23"/>
      <c r="J744" s="19">
        <f>Таблица1[[#This Row],[Блок
 Куб]]*Таблица1[[#This Row],[Цена 
Приход]]</f>
        <v>0</v>
      </c>
      <c r="K744" s="25"/>
      <c r="L744" s="25"/>
      <c r="M744" s="19">
        <f>Таблица1[[#This Row],[Поддон
Шт]]*Таблица1[[#This Row],[Цена
Поддон]]</f>
        <v>0</v>
      </c>
      <c r="N744" s="19">
        <f>Таблица1[[#This Row],[Сумма 
Приход]]+Таблица1[[#This Row],[Сумма Поддон]]</f>
        <v>0</v>
      </c>
      <c r="O744" s="20"/>
      <c r="P744" s="19">
        <f>Таблица1[[#This Row],[Цена
 Продажа]]-Таблица1[[#This Row],[Цена 
Приход]]</f>
        <v>0</v>
      </c>
      <c r="Q744" s="19"/>
      <c r="R744" s="19">
        <f>Таблица1[[#This Row],[Блок
 Куб]]*Таблица1[[#This Row],[Цена
 Продажа]]</f>
        <v>0</v>
      </c>
      <c r="S744" s="20"/>
      <c r="T744" s="19">
        <f>Таблица1[[#This Row],[Сумма 
Продажа]]-Таблица1[[#This Row],[Сумма 
Приход]]</f>
        <v>0</v>
      </c>
      <c r="U744" s="150"/>
    </row>
    <row r="745" spans="1:21" ht="14.25" x14ac:dyDescent="0.2">
      <c r="A745" s="50">
        <f t="shared" si="11"/>
        <v>742</v>
      </c>
      <c r="B745" s="17"/>
      <c r="C745" s="17"/>
      <c r="D745" s="17"/>
      <c r="E745" s="51"/>
      <c r="F745" s="50"/>
      <c r="G745" s="23"/>
      <c r="H745" s="24"/>
      <c r="I745" s="23"/>
      <c r="J745" s="19">
        <f>Таблица1[[#This Row],[Блок
 Куб]]*Таблица1[[#This Row],[Цена 
Приход]]</f>
        <v>0</v>
      </c>
      <c r="K745" s="25"/>
      <c r="L745" s="25"/>
      <c r="M745" s="19">
        <f>Таблица1[[#This Row],[Поддон
Шт]]*Таблица1[[#This Row],[Цена
Поддон]]</f>
        <v>0</v>
      </c>
      <c r="N745" s="19">
        <f>Таблица1[[#This Row],[Сумма 
Приход]]+Таблица1[[#This Row],[Сумма Поддон]]</f>
        <v>0</v>
      </c>
      <c r="O745" s="20"/>
      <c r="P745" s="19">
        <f>Таблица1[[#This Row],[Цена
 Продажа]]-Таблица1[[#This Row],[Цена 
Приход]]</f>
        <v>0</v>
      </c>
      <c r="Q745" s="19"/>
      <c r="R745" s="19">
        <f>Таблица1[[#This Row],[Блок
 Куб]]*Таблица1[[#This Row],[Цена
 Продажа]]</f>
        <v>0</v>
      </c>
      <c r="S745" s="20"/>
      <c r="T745" s="19">
        <f>Таблица1[[#This Row],[Сумма 
Продажа]]-Таблица1[[#This Row],[Сумма 
Приход]]</f>
        <v>0</v>
      </c>
      <c r="U745" s="150"/>
    </row>
    <row r="746" spans="1:21" ht="14.25" x14ac:dyDescent="0.2">
      <c r="A746" s="50">
        <f t="shared" si="11"/>
        <v>743</v>
      </c>
      <c r="B746" s="17"/>
      <c r="C746" s="17"/>
      <c r="D746" s="17"/>
      <c r="E746" s="51"/>
      <c r="F746" s="50"/>
      <c r="G746" s="23"/>
      <c r="H746" s="24"/>
      <c r="I746" s="23"/>
      <c r="J746" s="19">
        <f>Таблица1[[#This Row],[Блок
 Куб]]*Таблица1[[#This Row],[Цена 
Приход]]</f>
        <v>0</v>
      </c>
      <c r="K746" s="25"/>
      <c r="L746" s="25"/>
      <c r="M746" s="19">
        <f>Таблица1[[#This Row],[Поддон
Шт]]*Таблица1[[#This Row],[Цена
Поддон]]</f>
        <v>0</v>
      </c>
      <c r="N746" s="19">
        <f>Таблица1[[#This Row],[Сумма 
Приход]]+Таблица1[[#This Row],[Сумма Поддон]]</f>
        <v>0</v>
      </c>
      <c r="O746" s="20"/>
      <c r="P746" s="19">
        <f>Таблица1[[#This Row],[Цена
 Продажа]]-Таблица1[[#This Row],[Цена 
Приход]]</f>
        <v>0</v>
      </c>
      <c r="Q746" s="19"/>
      <c r="R746" s="19">
        <f>Таблица1[[#This Row],[Блок
 Куб]]*Таблица1[[#This Row],[Цена
 Продажа]]</f>
        <v>0</v>
      </c>
      <c r="S746" s="20"/>
      <c r="T746" s="19">
        <f>Таблица1[[#This Row],[Сумма 
Продажа]]-Таблица1[[#This Row],[Сумма 
Приход]]</f>
        <v>0</v>
      </c>
      <c r="U746" s="150"/>
    </row>
    <row r="747" spans="1:21" ht="14.25" x14ac:dyDescent="0.2">
      <c r="A747" s="50">
        <f t="shared" si="11"/>
        <v>744</v>
      </c>
      <c r="B747" s="17"/>
      <c r="C747" s="17"/>
      <c r="D747" s="17"/>
      <c r="E747" s="51"/>
      <c r="F747" s="50"/>
      <c r="G747" s="23"/>
      <c r="H747" s="24"/>
      <c r="I747" s="23"/>
      <c r="J747" s="19">
        <f>Таблица1[[#This Row],[Блок
 Куб]]*Таблица1[[#This Row],[Цена 
Приход]]</f>
        <v>0</v>
      </c>
      <c r="K747" s="25"/>
      <c r="L747" s="25"/>
      <c r="M747" s="19">
        <f>Таблица1[[#This Row],[Поддон
Шт]]*Таблица1[[#This Row],[Цена
Поддон]]</f>
        <v>0</v>
      </c>
      <c r="N747" s="19">
        <f>Таблица1[[#This Row],[Сумма 
Приход]]+Таблица1[[#This Row],[Сумма Поддон]]</f>
        <v>0</v>
      </c>
      <c r="O747" s="20"/>
      <c r="P747" s="19">
        <f>Таблица1[[#This Row],[Цена
 Продажа]]-Таблица1[[#This Row],[Цена 
Приход]]</f>
        <v>0</v>
      </c>
      <c r="Q747" s="19"/>
      <c r="R747" s="19">
        <f>Таблица1[[#This Row],[Блок
 Куб]]*Таблица1[[#This Row],[Цена
 Продажа]]</f>
        <v>0</v>
      </c>
      <c r="S747" s="20"/>
      <c r="T747" s="19">
        <f>Таблица1[[#This Row],[Сумма 
Продажа]]-Таблица1[[#This Row],[Сумма 
Приход]]</f>
        <v>0</v>
      </c>
      <c r="U747" s="150"/>
    </row>
    <row r="748" spans="1:21" ht="14.25" x14ac:dyDescent="0.2">
      <c r="A748" s="50">
        <f t="shared" si="11"/>
        <v>745</v>
      </c>
      <c r="B748" s="17"/>
      <c r="C748" s="17"/>
      <c r="D748" s="17"/>
      <c r="E748" s="51"/>
      <c r="F748" s="50"/>
      <c r="G748" s="23"/>
      <c r="H748" s="24"/>
      <c r="I748" s="23"/>
      <c r="J748" s="19">
        <f>Таблица1[[#This Row],[Блок
 Куб]]*Таблица1[[#This Row],[Цена 
Приход]]</f>
        <v>0</v>
      </c>
      <c r="K748" s="25"/>
      <c r="L748" s="25"/>
      <c r="M748" s="19">
        <f>Таблица1[[#This Row],[Поддон
Шт]]*Таблица1[[#This Row],[Цена
Поддон]]</f>
        <v>0</v>
      </c>
      <c r="N748" s="19">
        <f>Таблица1[[#This Row],[Сумма 
Приход]]+Таблица1[[#This Row],[Сумма Поддон]]</f>
        <v>0</v>
      </c>
      <c r="O748" s="20"/>
      <c r="P748" s="19">
        <f>Таблица1[[#This Row],[Цена
 Продажа]]-Таблица1[[#This Row],[Цена 
Приход]]</f>
        <v>0</v>
      </c>
      <c r="Q748" s="19"/>
      <c r="R748" s="19">
        <f>Таблица1[[#This Row],[Блок
 Куб]]*Таблица1[[#This Row],[Цена
 Продажа]]</f>
        <v>0</v>
      </c>
      <c r="S748" s="20"/>
      <c r="T748" s="19">
        <f>Таблица1[[#This Row],[Сумма 
Продажа]]-Таблица1[[#This Row],[Сумма 
Приход]]</f>
        <v>0</v>
      </c>
      <c r="U748" s="150"/>
    </row>
    <row r="749" spans="1:21" ht="14.25" x14ac:dyDescent="0.2">
      <c r="A749" s="50">
        <f t="shared" si="11"/>
        <v>746</v>
      </c>
      <c r="B749" s="17"/>
      <c r="C749" s="17"/>
      <c r="D749" s="17"/>
      <c r="E749" s="51"/>
      <c r="F749" s="50"/>
      <c r="G749" s="23"/>
      <c r="H749" s="24"/>
      <c r="I749" s="23"/>
      <c r="J749" s="19">
        <f>Таблица1[[#This Row],[Блок
 Куб]]*Таблица1[[#This Row],[Цена 
Приход]]</f>
        <v>0</v>
      </c>
      <c r="K749" s="25"/>
      <c r="L749" s="25"/>
      <c r="M749" s="19">
        <f>Таблица1[[#This Row],[Поддон
Шт]]*Таблица1[[#This Row],[Цена
Поддон]]</f>
        <v>0</v>
      </c>
      <c r="N749" s="19">
        <f>Таблица1[[#This Row],[Сумма 
Приход]]+Таблица1[[#This Row],[Сумма Поддон]]</f>
        <v>0</v>
      </c>
      <c r="O749" s="20"/>
      <c r="P749" s="19">
        <f>Таблица1[[#This Row],[Цена
 Продажа]]-Таблица1[[#This Row],[Цена 
Приход]]</f>
        <v>0</v>
      </c>
      <c r="Q749" s="19"/>
      <c r="R749" s="19">
        <f>Таблица1[[#This Row],[Блок
 Куб]]*Таблица1[[#This Row],[Цена
 Продажа]]</f>
        <v>0</v>
      </c>
      <c r="S749" s="20"/>
      <c r="T749" s="19">
        <f>Таблица1[[#This Row],[Сумма 
Продажа]]-Таблица1[[#This Row],[Сумма 
Приход]]</f>
        <v>0</v>
      </c>
      <c r="U749" s="150"/>
    </row>
    <row r="750" spans="1:21" ht="14.25" x14ac:dyDescent="0.2">
      <c r="A750" s="50">
        <f t="shared" si="11"/>
        <v>747</v>
      </c>
      <c r="B750" s="17"/>
      <c r="C750" s="17"/>
      <c r="D750" s="17"/>
      <c r="E750" s="51"/>
      <c r="F750" s="50"/>
      <c r="G750" s="23"/>
      <c r="H750" s="24"/>
      <c r="I750" s="23"/>
      <c r="J750" s="19">
        <f>Таблица1[[#This Row],[Блок
 Куб]]*Таблица1[[#This Row],[Цена 
Приход]]</f>
        <v>0</v>
      </c>
      <c r="K750" s="25"/>
      <c r="L750" s="25"/>
      <c r="M750" s="19">
        <f>Таблица1[[#This Row],[Поддон
Шт]]*Таблица1[[#This Row],[Цена
Поддон]]</f>
        <v>0</v>
      </c>
      <c r="N750" s="19">
        <f>Таблица1[[#This Row],[Сумма 
Приход]]+Таблица1[[#This Row],[Сумма Поддон]]</f>
        <v>0</v>
      </c>
      <c r="O750" s="20"/>
      <c r="P750" s="19">
        <f>Таблица1[[#This Row],[Цена
 Продажа]]-Таблица1[[#This Row],[Цена 
Приход]]</f>
        <v>0</v>
      </c>
      <c r="Q750" s="19"/>
      <c r="R750" s="19">
        <f>Таблица1[[#This Row],[Блок
 Куб]]*Таблица1[[#This Row],[Цена
 Продажа]]</f>
        <v>0</v>
      </c>
      <c r="S750" s="20"/>
      <c r="T750" s="19">
        <f>Таблица1[[#This Row],[Сумма 
Продажа]]-Таблица1[[#This Row],[Сумма 
Приход]]</f>
        <v>0</v>
      </c>
      <c r="U750" s="150"/>
    </row>
    <row r="751" spans="1:21" ht="14.25" x14ac:dyDescent="0.2">
      <c r="A751" s="50">
        <f t="shared" si="11"/>
        <v>748</v>
      </c>
      <c r="B751" s="17"/>
      <c r="C751" s="17"/>
      <c r="D751" s="17"/>
      <c r="E751" s="51"/>
      <c r="F751" s="50"/>
      <c r="G751" s="23"/>
      <c r="H751" s="24"/>
      <c r="I751" s="23"/>
      <c r="J751" s="19">
        <f>Таблица1[[#This Row],[Блок
 Куб]]*Таблица1[[#This Row],[Цена 
Приход]]</f>
        <v>0</v>
      </c>
      <c r="K751" s="25"/>
      <c r="L751" s="25"/>
      <c r="M751" s="19">
        <f>Таблица1[[#This Row],[Поддон
Шт]]*Таблица1[[#This Row],[Цена
Поддон]]</f>
        <v>0</v>
      </c>
      <c r="N751" s="19">
        <f>Таблица1[[#This Row],[Сумма 
Приход]]+Таблица1[[#This Row],[Сумма Поддон]]</f>
        <v>0</v>
      </c>
      <c r="O751" s="20"/>
      <c r="P751" s="19">
        <f>Таблица1[[#This Row],[Цена
 Продажа]]-Таблица1[[#This Row],[Цена 
Приход]]</f>
        <v>0</v>
      </c>
      <c r="Q751" s="19"/>
      <c r="R751" s="19">
        <f>Таблица1[[#This Row],[Блок
 Куб]]*Таблица1[[#This Row],[Цена
 Продажа]]</f>
        <v>0</v>
      </c>
      <c r="S751" s="20"/>
      <c r="T751" s="19">
        <f>Таблица1[[#This Row],[Сумма 
Продажа]]-Таблица1[[#This Row],[Сумма 
Приход]]</f>
        <v>0</v>
      </c>
      <c r="U751" s="150"/>
    </row>
    <row r="752" spans="1:21" ht="14.25" x14ac:dyDescent="0.2">
      <c r="A752" s="50">
        <f t="shared" si="11"/>
        <v>749</v>
      </c>
      <c r="B752" s="17"/>
      <c r="C752" s="17"/>
      <c r="D752" s="17"/>
      <c r="E752" s="51"/>
      <c r="F752" s="50"/>
      <c r="G752" s="23"/>
      <c r="H752" s="24"/>
      <c r="I752" s="23"/>
      <c r="J752" s="19">
        <f>Таблица1[[#This Row],[Блок
 Куб]]*Таблица1[[#This Row],[Цена 
Приход]]</f>
        <v>0</v>
      </c>
      <c r="K752" s="25"/>
      <c r="L752" s="25"/>
      <c r="M752" s="19">
        <f>Таблица1[[#This Row],[Поддон
Шт]]*Таблица1[[#This Row],[Цена
Поддон]]</f>
        <v>0</v>
      </c>
      <c r="N752" s="19">
        <f>Таблица1[[#This Row],[Сумма 
Приход]]+Таблица1[[#This Row],[Сумма Поддон]]</f>
        <v>0</v>
      </c>
      <c r="O752" s="20"/>
      <c r="P752" s="19">
        <f>Таблица1[[#This Row],[Цена
 Продажа]]-Таблица1[[#This Row],[Цена 
Приход]]</f>
        <v>0</v>
      </c>
      <c r="Q752" s="19"/>
      <c r="R752" s="19">
        <f>Таблица1[[#This Row],[Блок
 Куб]]*Таблица1[[#This Row],[Цена
 Продажа]]</f>
        <v>0</v>
      </c>
      <c r="S752" s="20"/>
      <c r="T752" s="19">
        <f>Таблица1[[#This Row],[Сумма 
Продажа]]-Таблица1[[#This Row],[Сумма 
Приход]]</f>
        <v>0</v>
      </c>
      <c r="U752" s="150"/>
    </row>
    <row r="753" spans="1:21" ht="14.25" x14ac:dyDescent="0.2">
      <c r="A753" s="50">
        <f t="shared" si="11"/>
        <v>750</v>
      </c>
      <c r="B753" s="17"/>
      <c r="C753" s="17"/>
      <c r="D753" s="17"/>
      <c r="E753" s="51"/>
      <c r="F753" s="50"/>
      <c r="G753" s="23"/>
      <c r="H753" s="24"/>
      <c r="I753" s="23"/>
      <c r="J753" s="19">
        <f>Таблица1[[#This Row],[Блок
 Куб]]*Таблица1[[#This Row],[Цена 
Приход]]</f>
        <v>0</v>
      </c>
      <c r="K753" s="25"/>
      <c r="L753" s="25"/>
      <c r="M753" s="19">
        <f>Таблица1[[#This Row],[Поддон
Шт]]*Таблица1[[#This Row],[Цена
Поддон]]</f>
        <v>0</v>
      </c>
      <c r="N753" s="19">
        <f>Таблица1[[#This Row],[Сумма 
Приход]]+Таблица1[[#This Row],[Сумма Поддон]]</f>
        <v>0</v>
      </c>
      <c r="O753" s="20"/>
      <c r="P753" s="19">
        <f>Таблица1[[#This Row],[Цена
 Продажа]]-Таблица1[[#This Row],[Цена 
Приход]]</f>
        <v>0</v>
      </c>
      <c r="Q753" s="19"/>
      <c r="R753" s="19">
        <f>Таблица1[[#This Row],[Блок
 Куб]]*Таблица1[[#This Row],[Цена
 Продажа]]</f>
        <v>0</v>
      </c>
      <c r="S753" s="20"/>
      <c r="T753" s="19">
        <f>Таблица1[[#This Row],[Сумма 
Продажа]]-Таблица1[[#This Row],[Сумма 
Приход]]</f>
        <v>0</v>
      </c>
      <c r="U753" s="150"/>
    </row>
    <row r="754" spans="1:21" ht="14.25" x14ac:dyDescent="0.2">
      <c r="A754" s="50">
        <f t="shared" si="11"/>
        <v>751</v>
      </c>
      <c r="B754" s="17"/>
      <c r="C754" s="17"/>
      <c r="D754" s="17"/>
      <c r="E754" s="51"/>
      <c r="F754" s="50"/>
      <c r="G754" s="23"/>
      <c r="H754" s="24"/>
      <c r="I754" s="23"/>
      <c r="J754" s="19">
        <f>Таблица1[[#This Row],[Блок
 Куб]]*Таблица1[[#This Row],[Цена 
Приход]]</f>
        <v>0</v>
      </c>
      <c r="K754" s="25"/>
      <c r="L754" s="25"/>
      <c r="M754" s="19">
        <f>Таблица1[[#This Row],[Поддон
Шт]]*Таблица1[[#This Row],[Цена
Поддон]]</f>
        <v>0</v>
      </c>
      <c r="N754" s="19">
        <f>Таблица1[[#This Row],[Сумма 
Приход]]+Таблица1[[#This Row],[Сумма Поддон]]</f>
        <v>0</v>
      </c>
      <c r="O754" s="20"/>
      <c r="P754" s="19">
        <f>Таблица1[[#This Row],[Цена
 Продажа]]-Таблица1[[#This Row],[Цена 
Приход]]</f>
        <v>0</v>
      </c>
      <c r="Q754" s="19"/>
      <c r="R754" s="19">
        <f>Таблица1[[#This Row],[Блок
 Куб]]*Таблица1[[#This Row],[Цена
 Продажа]]</f>
        <v>0</v>
      </c>
      <c r="S754" s="20"/>
      <c r="T754" s="19">
        <f>Таблица1[[#This Row],[Сумма 
Продажа]]-Таблица1[[#This Row],[Сумма 
Приход]]</f>
        <v>0</v>
      </c>
      <c r="U754" s="150"/>
    </row>
    <row r="755" spans="1:21" ht="14.25" x14ac:dyDescent="0.2">
      <c r="A755" s="50">
        <f t="shared" si="11"/>
        <v>752</v>
      </c>
      <c r="B755" s="17"/>
      <c r="C755" s="17"/>
      <c r="D755" s="17"/>
      <c r="E755" s="51"/>
      <c r="F755" s="50"/>
      <c r="G755" s="23"/>
      <c r="H755" s="24"/>
      <c r="I755" s="23"/>
      <c r="J755" s="19">
        <f>Таблица1[[#This Row],[Блок
 Куб]]*Таблица1[[#This Row],[Цена 
Приход]]</f>
        <v>0</v>
      </c>
      <c r="K755" s="25"/>
      <c r="L755" s="25"/>
      <c r="M755" s="19">
        <f>Таблица1[[#This Row],[Поддон
Шт]]*Таблица1[[#This Row],[Цена
Поддон]]</f>
        <v>0</v>
      </c>
      <c r="N755" s="19">
        <f>Таблица1[[#This Row],[Сумма 
Приход]]+Таблица1[[#This Row],[Сумма Поддон]]</f>
        <v>0</v>
      </c>
      <c r="O755" s="20"/>
      <c r="P755" s="19">
        <f>Таблица1[[#This Row],[Цена
 Продажа]]-Таблица1[[#This Row],[Цена 
Приход]]</f>
        <v>0</v>
      </c>
      <c r="Q755" s="19"/>
      <c r="R755" s="19">
        <f>Таблица1[[#This Row],[Блок
 Куб]]*Таблица1[[#This Row],[Цена
 Продажа]]</f>
        <v>0</v>
      </c>
      <c r="S755" s="20"/>
      <c r="T755" s="19">
        <f>Таблица1[[#This Row],[Сумма 
Продажа]]-Таблица1[[#This Row],[Сумма 
Приход]]</f>
        <v>0</v>
      </c>
      <c r="U755" s="150"/>
    </row>
    <row r="756" spans="1:21" ht="14.25" x14ac:dyDescent="0.2">
      <c r="A756" s="50">
        <f t="shared" si="11"/>
        <v>753</v>
      </c>
      <c r="B756" s="17"/>
      <c r="C756" s="17"/>
      <c r="D756" s="17"/>
      <c r="E756" s="51"/>
      <c r="F756" s="50"/>
      <c r="G756" s="23"/>
      <c r="H756" s="24"/>
      <c r="I756" s="23"/>
      <c r="J756" s="19">
        <f>Таблица1[[#This Row],[Блок
 Куб]]*Таблица1[[#This Row],[Цена 
Приход]]</f>
        <v>0</v>
      </c>
      <c r="K756" s="25"/>
      <c r="L756" s="25"/>
      <c r="M756" s="19">
        <f>Таблица1[[#This Row],[Поддон
Шт]]*Таблица1[[#This Row],[Цена
Поддон]]</f>
        <v>0</v>
      </c>
      <c r="N756" s="19">
        <f>Таблица1[[#This Row],[Сумма 
Приход]]+Таблица1[[#This Row],[Сумма Поддон]]</f>
        <v>0</v>
      </c>
      <c r="O756" s="20"/>
      <c r="P756" s="19">
        <f>Таблица1[[#This Row],[Цена
 Продажа]]-Таблица1[[#This Row],[Цена 
Приход]]</f>
        <v>0</v>
      </c>
      <c r="Q756" s="19"/>
      <c r="R756" s="19">
        <f>Таблица1[[#This Row],[Блок
 Куб]]*Таблица1[[#This Row],[Цена
 Продажа]]</f>
        <v>0</v>
      </c>
      <c r="S756" s="20"/>
      <c r="T756" s="19">
        <f>Таблица1[[#This Row],[Сумма 
Продажа]]-Таблица1[[#This Row],[Сумма 
Приход]]</f>
        <v>0</v>
      </c>
      <c r="U756" s="150"/>
    </row>
    <row r="757" spans="1:21" ht="14.25" x14ac:dyDescent="0.2">
      <c r="A757" s="50">
        <f t="shared" si="11"/>
        <v>754</v>
      </c>
      <c r="B757" s="17"/>
      <c r="C757" s="17"/>
      <c r="D757" s="17"/>
      <c r="E757" s="51"/>
      <c r="F757" s="50"/>
      <c r="G757" s="23"/>
      <c r="H757" s="24"/>
      <c r="I757" s="23"/>
      <c r="J757" s="19">
        <f>Таблица1[[#This Row],[Блок
 Куб]]*Таблица1[[#This Row],[Цена 
Приход]]</f>
        <v>0</v>
      </c>
      <c r="K757" s="25"/>
      <c r="L757" s="25"/>
      <c r="M757" s="19">
        <f>Таблица1[[#This Row],[Поддон
Шт]]*Таблица1[[#This Row],[Цена
Поддон]]</f>
        <v>0</v>
      </c>
      <c r="N757" s="19">
        <f>Таблица1[[#This Row],[Сумма 
Приход]]+Таблица1[[#This Row],[Сумма Поддон]]</f>
        <v>0</v>
      </c>
      <c r="O757" s="20"/>
      <c r="P757" s="19">
        <f>Таблица1[[#This Row],[Цена
 Продажа]]-Таблица1[[#This Row],[Цена 
Приход]]</f>
        <v>0</v>
      </c>
      <c r="Q757" s="19"/>
      <c r="R757" s="19">
        <f>Таблица1[[#This Row],[Блок
 Куб]]*Таблица1[[#This Row],[Цена
 Продажа]]</f>
        <v>0</v>
      </c>
      <c r="S757" s="20"/>
      <c r="T757" s="19">
        <f>Таблица1[[#This Row],[Сумма 
Продажа]]-Таблица1[[#This Row],[Сумма 
Приход]]</f>
        <v>0</v>
      </c>
      <c r="U757" s="150"/>
    </row>
    <row r="758" spans="1:21" ht="14.25" x14ac:dyDescent="0.2">
      <c r="A758" s="50">
        <f t="shared" si="11"/>
        <v>755</v>
      </c>
      <c r="B758" s="17"/>
      <c r="C758" s="17"/>
      <c r="D758" s="17"/>
      <c r="E758" s="51"/>
      <c r="F758" s="50"/>
      <c r="G758" s="23"/>
      <c r="H758" s="24"/>
      <c r="I758" s="23"/>
      <c r="J758" s="19">
        <f>Таблица1[[#This Row],[Блок
 Куб]]*Таблица1[[#This Row],[Цена 
Приход]]</f>
        <v>0</v>
      </c>
      <c r="K758" s="25"/>
      <c r="L758" s="25"/>
      <c r="M758" s="19">
        <f>Таблица1[[#This Row],[Поддон
Шт]]*Таблица1[[#This Row],[Цена
Поддон]]</f>
        <v>0</v>
      </c>
      <c r="N758" s="19">
        <f>Таблица1[[#This Row],[Сумма 
Приход]]+Таблица1[[#This Row],[Сумма Поддон]]</f>
        <v>0</v>
      </c>
      <c r="O758" s="20"/>
      <c r="P758" s="19">
        <f>Таблица1[[#This Row],[Цена
 Продажа]]-Таблица1[[#This Row],[Цена 
Приход]]</f>
        <v>0</v>
      </c>
      <c r="Q758" s="19"/>
      <c r="R758" s="19">
        <f>Таблица1[[#This Row],[Блок
 Куб]]*Таблица1[[#This Row],[Цена
 Продажа]]</f>
        <v>0</v>
      </c>
      <c r="S758" s="20"/>
      <c r="T758" s="19">
        <f>Таблица1[[#This Row],[Сумма 
Продажа]]-Таблица1[[#This Row],[Сумма 
Приход]]</f>
        <v>0</v>
      </c>
      <c r="U758" s="150"/>
    </row>
    <row r="759" spans="1:21" ht="14.25" x14ac:dyDescent="0.2">
      <c r="A759" s="50">
        <f t="shared" si="11"/>
        <v>756</v>
      </c>
      <c r="B759" s="17"/>
      <c r="C759" s="17"/>
      <c r="D759" s="17"/>
      <c r="E759" s="51"/>
      <c r="F759" s="50"/>
      <c r="G759" s="23"/>
      <c r="H759" s="24"/>
      <c r="I759" s="23"/>
      <c r="J759" s="19">
        <f>Таблица1[[#This Row],[Блок
 Куб]]*Таблица1[[#This Row],[Цена 
Приход]]</f>
        <v>0</v>
      </c>
      <c r="K759" s="25"/>
      <c r="L759" s="25"/>
      <c r="M759" s="19">
        <f>Таблица1[[#This Row],[Поддон
Шт]]*Таблица1[[#This Row],[Цена
Поддон]]</f>
        <v>0</v>
      </c>
      <c r="N759" s="19">
        <f>Таблица1[[#This Row],[Сумма 
Приход]]+Таблица1[[#This Row],[Сумма Поддон]]</f>
        <v>0</v>
      </c>
      <c r="O759" s="20"/>
      <c r="P759" s="19">
        <f>Таблица1[[#This Row],[Цена
 Продажа]]-Таблица1[[#This Row],[Цена 
Приход]]</f>
        <v>0</v>
      </c>
      <c r="Q759" s="19"/>
      <c r="R759" s="19">
        <f>Таблица1[[#This Row],[Блок
 Куб]]*Таблица1[[#This Row],[Цена
 Продажа]]</f>
        <v>0</v>
      </c>
      <c r="S759" s="20"/>
      <c r="T759" s="19">
        <f>Таблица1[[#This Row],[Сумма 
Продажа]]-Таблица1[[#This Row],[Сумма 
Приход]]</f>
        <v>0</v>
      </c>
      <c r="U759" s="150"/>
    </row>
    <row r="760" spans="1:21" ht="14.25" x14ac:dyDescent="0.2">
      <c r="A760" s="50">
        <f t="shared" si="11"/>
        <v>757</v>
      </c>
      <c r="B760" s="17"/>
      <c r="C760" s="17"/>
      <c r="D760" s="17"/>
      <c r="E760" s="51"/>
      <c r="F760" s="50"/>
      <c r="G760" s="23"/>
      <c r="H760" s="24"/>
      <c r="I760" s="23"/>
      <c r="J760" s="19">
        <f>Таблица1[[#This Row],[Блок
 Куб]]*Таблица1[[#This Row],[Цена 
Приход]]</f>
        <v>0</v>
      </c>
      <c r="K760" s="25"/>
      <c r="L760" s="25"/>
      <c r="M760" s="19">
        <f>Таблица1[[#This Row],[Поддон
Шт]]*Таблица1[[#This Row],[Цена
Поддон]]</f>
        <v>0</v>
      </c>
      <c r="N760" s="19">
        <f>Таблица1[[#This Row],[Сумма 
Приход]]+Таблица1[[#This Row],[Сумма Поддон]]</f>
        <v>0</v>
      </c>
      <c r="O760" s="20"/>
      <c r="P760" s="19">
        <f>Таблица1[[#This Row],[Цена
 Продажа]]-Таблица1[[#This Row],[Цена 
Приход]]</f>
        <v>0</v>
      </c>
      <c r="Q760" s="19"/>
      <c r="R760" s="19">
        <f>Таблица1[[#This Row],[Блок
 Куб]]*Таблица1[[#This Row],[Цена
 Продажа]]</f>
        <v>0</v>
      </c>
      <c r="S760" s="20"/>
      <c r="T760" s="19">
        <f>Таблица1[[#This Row],[Сумма 
Продажа]]-Таблица1[[#This Row],[Сумма 
Приход]]</f>
        <v>0</v>
      </c>
      <c r="U760" s="150"/>
    </row>
    <row r="761" spans="1:21" ht="14.25" x14ac:dyDescent="0.2">
      <c r="A761" s="50">
        <f t="shared" si="11"/>
        <v>758</v>
      </c>
      <c r="B761" s="17"/>
      <c r="C761" s="17"/>
      <c r="D761" s="17"/>
      <c r="E761" s="51"/>
      <c r="F761" s="50"/>
      <c r="G761" s="23"/>
      <c r="H761" s="24"/>
      <c r="I761" s="23"/>
      <c r="J761" s="19">
        <f>Таблица1[[#This Row],[Блок
 Куб]]*Таблица1[[#This Row],[Цена 
Приход]]</f>
        <v>0</v>
      </c>
      <c r="K761" s="25"/>
      <c r="L761" s="25"/>
      <c r="M761" s="19">
        <f>Таблица1[[#This Row],[Поддон
Шт]]*Таблица1[[#This Row],[Цена
Поддон]]</f>
        <v>0</v>
      </c>
      <c r="N761" s="19">
        <f>Таблица1[[#This Row],[Сумма 
Приход]]+Таблица1[[#This Row],[Сумма Поддон]]</f>
        <v>0</v>
      </c>
      <c r="O761" s="20"/>
      <c r="P761" s="19">
        <f>Таблица1[[#This Row],[Цена
 Продажа]]-Таблица1[[#This Row],[Цена 
Приход]]</f>
        <v>0</v>
      </c>
      <c r="Q761" s="19"/>
      <c r="R761" s="19">
        <f>Таблица1[[#This Row],[Блок
 Куб]]*Таблица1[[#This Row],[Цена
 Продажа]]</f>
        <v>0</v>
      </c>
      <c r="S761" s="20"/>
      <c r="T761" s="19">
        <f>Таблица1[[#This Row],[Сумма 
Продажа]]-Таблица1[[#This Row],[Сумма 
Приход]]</f>
        <v>0</v>
      </c>
      <c r="U761" s="150"/>
    </row>
    <row r="762" spans="1:21" ht="14.25" x14ac:dyDescent="0.2">
      <c r="A762" s="50">
        <f t="shared" si="11"/>
        <v>759</v>
      </c>
      <c r="B762" s="17"/>
      <c r="C762" s="17"/>
      <c r="D762" s="17"/>
      <c r="E762" s="51"/>
      <c r="F762" s="50"/>
      <c r="G762" s="23"/>
      <c r="H762" s="24"/>
      <c r="I762" s="23"/>
      <c r="J762" s="19">
        <f>Таблица1[[#This Row],[Блок
 Куб]]*Таблица1[[#This Row],[Цена 
Приход]]</f>
        <v>0</v>
      </c>
      <c r="K762" s="25"/>
      <c r="L762" s="25"/>
      <c r="M762" s="19">
        <f>Таблица1[[#This Row],[Поддон
Шт]]*Таблица1[[#This Row],[Цена
Поддон]]</f>
        <v>0</v>
      </c>
      <c r="N762" s="19">
        <f>Таблица1[[#This Row],[Сумма 
Приход]]+Таблица1[[#This Row],[Сумма Поддон]]</f>
        <v>0</v>
      </c>
      <c r="O762" s="20"/>
      <c r="P762" s="19">
        <f>Таблица1[[#This Row],[Цена
 Продажа]]-Таблица1[[#This Row],[Цена 
Приход]]</f>
        <v>0</v>
      </c>
      <c r="Q762" s="19"/>
      <c r="R762" s="19">
        <f>Таблица1[[#This Row],[Блок
 Куб]]*Таблица1[[#This Row],[Цена
 Продажа]]</f>
        <v>0</v>
      </c>
      <c r="S762" s="20"/>
      <c r="T762" s="19">
        <f>Таблица1[[#This Row],[Сумма 
Продажа]]-Таблица1[[#This Row],[Сумма 
Приход]]</f>
        <v>0</v>
      </c>
      <c r="U762" s="150"/>
    </row>
    <row r="763" spans="1:21" ht="14.25" x14ac:dyDescent="0.2">
      <c r="A763" s="50">
        <f t="shared" si="11"/>
        <v>760</v>
      </c>
      <c r="B763" s="17"/>
      <c r="C763" s="17"/>
      <c r="D763" s="17"/>
      <c r="E763" s="51"/>
      <c r="F763" s="50"/>
      <c r="G763" s="23"/>
      <c r="H763" s="24"/>
      <c r="I763" s="23"/>
      <c r="J763" s="19">
        <f>Таблица1[[#This Row],[Блок
 Куб]]*Таблица1[[#This Row],[Цена 
Приход]]</f>
        <v>0</v>
      </c>
      <c r="K763" s="25"/>
      <c r="L763" s="25"/>
      <c r="M763" s="19">
        <f>Таблица1[[#This Row],[Поддон
Шт]]*Таблица1[[#This Row],[Цена
Поддон]]</f>
        <v>0</v>
      </c>
      <c r="N763" s="19">
        <f>Таблица1[[#This Row],[Сумма 
Приход]]+Таблица1[[#This Row],[Сумма Поддон]]</f>
        <v>0</v>
      </c>
      <c r="O763" s="20"/>
      <c r="P763" s="19">
        <f>Таблица1[[#This Row],[Цена
 Продажа]]-Таблица1[[#This Row],[Цена 
Приход]]</f>
        <v>0</v>
      </c>
      <c r="Q763" s="19"/>
      <c r="R763" s="19">
        <f>Таблица1[[#This Row],[Блок
 Куб]]*Таблица1[[#This Row],[Цена
 Продажа]]</f>
        <v>0</v>
      </c>
      <c r="S763" s="20"/>
      <c r="T763" s="19">
        <f>Таблица1[[#This Row],[Сумма 
Продажа]]-Таблица1[[#This Row],[Сумма 
Приход]]</f>
        <v>0</v>
      </c>
      <c r="U763" s="150"/>
    </row>
    <row r="764" spans="1:21" ht="14.25" x14ac:dyDescent="0.2">
      <c r="A764" s="50">
        <f t="shared" si="11"/>
        <v>761</v>
      </c>
      <c r="B764" s="17"/>
      <c r="C764" s="17"/>
      <c r="D764" s="17"/>
      <c r="E764" s="51"/>
      <c r="F764" s="50"/>
      <c r="G764" s="23"/>
      <c r="H764" s="24"/>
      <c r="I764" s="23"/>
      <c r="J764" s="19">
        <f>Таблица1[[#This Row],[Блок
 Куб]]*Таблица1[[#This Row],[Цена 
Приход]]</f>
        <v>0</v>
      </c>
      <c r="K764" s="25"/>
      <c r="L764" s="25"/>
      <c r="M764" s="19">
        <f>Таблица1[[#This Row],[Поддон
Шт]]*Таблица1[[#This Row],[Цена
Поддон]]</f>
        <v>0</v>
      </c>
      <c r="N764" s="19">
        <f>Таблица1[[#This Row],[Сумма 
Приход]]+Таблица1[[#This Row],[Сумма Поддон]]</f>
        <v>0</v>
      </c>
      <c r="O764" s="20"/>
      <c r="P764" s="19">
        <f>Таблица1[[#This Row],[Цена
 Продажа]]-Таблица1[[#This Row],[Цена 
Приход]]</f>
        <v>0</v>
      </c>
      <c r="Q764" s="19"/>
      <c r="R764" s="19">
        <f>Таблица1[[#This Row],[Блок
 Куб]]*Таблица1[[#This Row],[Цена
 Продажа]]</f>
        <v>0</v>
      </c>
      <c r="S764" s="20"/>
      <c r="T764" s="19">
        <f>Таблица1[[#This Row],[Сумма 
Продажа]]-Таблица1[[#This Row],[Сумма 
Приход]]</f>
        <v>0</v>
      </c>
      <c r="U764" s="150"/>
    </row>
    <row r="765" spans="1:21" ht="14.25" x14ac:dyDescent="0.2">
      <c r="A765" s="50">
        <f t="shared" si="11"/>
        <v>762</v>
      </c>
      <c r="B765" s="17"/>
      <c r="C765" s="17"/>
      <c r="D765" s="17"/>
      <c r="E765" s="51"/>
      <c r="F765" s="50"/>
      <c r="G765" s="23"/>
      <c r="H765" s="24"/>
      <c r="I765" s="23"/>
      <c r="J765" s="19">
        <f>Таблица1[[#This Row],[Блок
 Куб]]*Таблица1[[#This Row],[Цена 
Приход]]</f>
        <v>0</v>
      </c>
      <c r="K765" s="25"/>
      <c r="L765" s="25"/>
      <c r="M765" s="19">
        <f>Таблица1[[#This Row],[Поддон
Шт]]*Таблица1[[#This Row],[Цена
Поддон]]</f>
        <v>0</v>
      </c>
      <c r="N765" s="19">
        <f>Таблица1[[#This Row],[Сумма 
Приход]]+Таблица1[[#This Row],[Сумма Поддон]]</f>
        <v>0</v>
      </c>
      <c r="O765" s="20"/>
      <c r="P765" s="19">
        <f>Таблица1[[#This Row],[Цена
 Продажа]]-Таблица1[[#This Row],[Цена 
Приход]]</f>
        <v>0</v>
      </c>
      <c r="Q765" s="19"/>
      <c r="R765" s="19">
        <f>Таблица1[[#This Row],[Блок
 Куб]]*Таблица1[[#This Row],[Цена
 Продажа]]</f>
        <v>0</v>
      </c>
      <c r="S765" s="20"/>
      <c r="T765" s="19">
        <f>Таблица1[[#This Row],[Сумма 
Продажа]]-Таблица1[[#This Row],[Сумма 
Приход]]</f>
        <v>0</v>
      </c>
      <c r="U765" s="150"/>
    </row>
    <row r="766" spans="1:21" ht="14.25" x14ac:dyDescent="0.2">
      <c r="A766" s="50">
        <f t="shared" si="11"/>
        <v>763</v>
      </c>
      <c r="B766" s="17"/>
      <c r="C766" s="17"/>
      <c r="D766" s="17"/>
      <c r="E766" s="51"/>
      <c r="F766" s="50"/>
      <c r="G766" s="23"/>
      <c r="H766" s="24"/>
      <c r="I766" s="23"/>
      <c r="J766" s="19">
        <f>Таблица1[[#This Row],[Блок
 Куб]]*Таблица1[[#This Row],[Цена 
Приход]]</f>
        <v>0</v>
      </c>
      <c r="K766" s="25"/>
      <c r="L766" s="25"/>
      <c r="M766" s="19">
        <f>Таблица1[[#This Row],[Поддон
Шт]]*Таблица1[[#This Row],[Цена
Поддон]]</f>
        <v>0</v>
      </c>
      <c r="N766" s="19">
        <f>Таблица1[[#This Row],[Сумма 
Приход]]+Таблица1[[#This Row],[Сумма Поддон]]</f>
        <v>0</v>
      </c>
      <c r="O766" s="20"/>
      <c r="P766" s="19">
        <f>Таблица1[[#This Row],[Цена
 Продажа]]-Таблица1[[#This Row],[Цена 
Приход]]</f>
        <v>0</v>
      </c>
      <c r="Q766" s="19"/>
      <c r="R766" s="19">
        <f>Таблица1[[#This Row],[Блок
 Куб]]*Таблица1[[#This Row],[Цена
 Продажа]]</f>
        <v>0</v>
      </c>
      <c r="S766" s="20"/>
      <c r="T766" s="19">
        <f>Таблица1[[#This Row],[Сумма 
Продажа]]-Таблица1[[#This Row],[Сумма 
Приход]]</f>
        <v>0</v>
      </c>
      <c r="U766" s="150"/>
    </row>
    <row r="767" spans="1:21" ht="14.25" x14ac:dyDescent="0.2">
      <c r="A767" s="50">
        <f t="shared" si="11"/>
        <v>764</v>
      </c>
      <c r="B767" s="17"/>
      <c r="C767" s="17"/>
      <c r="D767" s="17"/>
      <c r="E767" s="51"/>
      <c r="F767" s="50"/>
      <c r="G767" s="23"/>
      <c r="H767" s="24"/>
      <c r="I767" s="23"/>
      <c r="J767" s="19">
        <f>Таблица1[[#This Row],[Блок
 Куб]]*Таблица1[[#This Row],[Цена 
Приход]]</f>
        <v>0</v>
      </c>
      <c r="K767" s="25"/>
      <c r="L767" s="25"/>
      <c r="M767" s="19">
        <f>Таблица1[[#This Row],[Поддон
Шт]]*Таблица1[[#This Row],[Цена
Поддон]]</f>
        <v>0</v>
      </c>
      <c r="N767" s="19">
        <f>Таблица1[[#This Row],[Сумма 
Приход]]+Таблица1[[#This Row],[Сумма Поддон]]</f>
        <v>0</v>
      </c>
      <c r="O767" s="20"/>
      <c r="P767" s="19">
        <f>Таблица1[[#This Row],[Цена
 Продажа]]-Таблица1[[#This Row],[Цена 
Приход]]</f>
        <v>0</v>
      </c>
      <c r="Q767" s="19"/>
      <c r="R767" s="19">
        <f>Таблица1[[#This Row],[Блок
 Куб]]*Таблица1[[#This Row],[Цена
 Продажа]]</f>
        <v>0</v>
      </c>
      <c r="S767" s="20"/>
      <c r="T767" s="19">
        <f>Таблица1[[#This Row],[Сумма 
Продажа]]-Таблица1[[#This Row],[Сумма 
Приход]]</f>
        <v>0</v>
      </c>
      <c r="U767" s="150"/>
    </row>
    <row r="768" spans="1:21" ht="14.25" x14ac:dyDescent="0.2">
      <c r="A768" s="50">
        <f t="shared" si="11"/>
        <v>765</v>
      </c>
      <c r="B768" s="17"/>
      <c r="C768" s="17"/>
      <c r="D768" s="17"/>
      <c r="E768" s="51"/>
      <c r="F768" s="50"/>
      <c r="G768" s="23"/>
      <c r="H768" s="24"/>
      <c r="I768" s="23"/>
      <c r="J768" s="19">
        <f>Таблица1[[#This Row],[Блок
 Куб]]*Таблица1[[#This Row],[Цена 
Приход]]</f>
        <v>0</v>
      </c>
      <c r="K768" s="25"/>
      <c r="L768" s="25"/>
      <c r="M768" s="19">
        <f>Таблица1[[#This Row],[Поддон
Шт]]*Таблица1[[#This Row],[Цена
Поддон]]</f>
        <v>0</v>
      </c>
      <c r="N768" s="19">
        <f>Таблица1[[#This Row],[Сумма 
Приход]]+Таблица1[[#This Row],[Сумма Поддон]]</f>
        <v>0</v>
      </c>
      <c r="O768" s="20"/>
      <c r="P768" s="19">
        <f>Таблица1[[#This Row],[Цена
 Продажа]]-Таблица1[[#This Row],[Цена 
Приход]]</f>
        <v>0</v>
      </c>
      <c r="Q768" s="19"/>
      <c r="R768" s="19">
        <f>Таблица1[[#This Row],[Блок
 Куб]]*Таблица1[[#This Row],[Цена
 Продажа]]</f>
        <v>0</v>
      </c>
      <c r="S768" s="20"/>
      <c r="T768" s="19">
        <f>Таблица1[[#This Row],[Сумма 
Продажа]]-Таблица1[[#This Row],[Сумма 
Приход]]</f>
        <v>0</v>
      </c>
      <c r="U768" s="150"/>
    </row>
    <row r="769" spans="1:21" ht="14.25" x14ac:dyDescent="0.2">
      <c r="A769" s="50">
        <f t="shared" si="11"/>
        <v>766</v>
      </c>
      <c r="B769" s="17"/>
      <c r="C769" s="17"/>
      <c r="D769" s="17"/>
      <c r="E769" s="51"/>
      <c r="F769" s="50"/>
      <c r="G769" s="23"/>
      <c r="H769" s="24"/>
      <c r="I769" s="23"/>
      <c r="J769" s="19">
        <f>Таблица1[[#This Row],[Блок
 Куб]]*Таблица1[[#This Row],[Цена 
Приход]]</f>
        <v>0</v>
      </c>
      <c r="K769" s="25"/>
      <c r="L769" s="25"/>
      <c r="M769" s="19">
        <f>Таблица1[[#This Row],[Поддон
Шт]]*Таблица1[[#This Row],[Цена
Поддон]]</f>
        <v>0</v>
      </c>
      <c r="N769" s="19">
        <f>Таблица1[[#This Row],[Сумма 
Приход]]+Таблица1[[#This Row],[Сумма Поддон]]</f>
        <v>0</v>
      </c>
      <c r="O769" s="20"/>
      <c r="P769" s="19">
        <f>Таблица1[[#This Row],[Цена
 Продажа]]-Таблица1[[#This Row],[Цена 
Приход]]</f>
        <v>0</v>
      </c>
      <c r="Q769" s="19"/>
      <c r="R769" s="19">
        <f>Таблица1[[#This Row],[Блок
 Куб]]*Таблица1[[#This Row],[Цена
 Продажа]]</f>
        <v>0</v>
      </c>
      <c r="S769" s="20"/>
      <c r="T769" s="19">
        <f>Таблица1[[#This Row],[Сумма 
Продажа]]-Таблица1[[#This Row],[Сумма 
Приход]]</f>
        <v>0</v>
      </c>
      <c r="U769" s="150"/>
    </row>
    <row r="770" spans="1:21" ht="14.25" x14ac:dyDescent="0.2">
      <c r="A770" s="50">
        <f t="shared" si="11"/>
        <v>767</v>
      </c>
      <c r="B770" s="17"/>
      <c r="C770" s="17"/>
      <c r="D770" s="17"/>
      <c r="E770" s="51"/>
      <c r="F770" s="50"/>
      <c r="G770" s="23"/>
      <c r="H770" s="24"/>
      <c r="I770" s="23"/>
      <c r="J770" s="19">
        <f>Таблица1[[#This Row],[Блок
 Куб]]*Таблица1[[#This Row],[Цена 
Приход]]</f>
        <v>0</v>
      </c>
      <c r="K770" s="25"/>
      <c r="L770" s="25"/>
      <c r="M770" s="19">
        <f>Таблица1[[#This Row],[Поддон
Шт]]*Таблица1[[#This Row],[Цена
Поддон]]</f>
        <v>0</v>
      </c>
      <c r="N770" s="19">
        <f>Таблица1[[#This Row],[Сумма 
Приход]]+Таблица1[[#This Row],[Сумма Поддон]]</f>
        <v>0</v>
      </c>
      <c r="O770" s="20"/>
      <c r="P770" s="19">
        <f>Таблица1[[#This Row],[Цена
 Продажа]]-Таблица1[[#This Row],[Цена 
Приход]]</f>
        <v>0</v>
      </c>
      <c r="Q770" s="19"/>
      <c r="R770" s="19">
        <f>Таблица1[[#This Row],[Блок
 Куб]]*Таблица1[[#This Row],[Цена
 Продажа]]</f>
        <v>0</v>
      </c>
      <c r="S770" s="20"/>
      <c r="T770" s="19">
        <f>Таблица1[[#This Row],[Сумма 
Продажа]]-Таблица1[[#This Row],[Сумма 
Приход]]</f>
        <v>0</v>
      </c>
      <c r="U770" s="150"/>
    </row>
    <row r="771" spans="1:21" ht="14.25" x14ac:dyDescent="0.2">
      <c r="A771" s="50">
        <f t="shared" si="11"/>
        <v>768</v>
      </c>
      <c r="B771" s="17"/>
      <c r="C771" s="17"/>
      <c r="D771" s="17"/>
      <c r="E771" s="51"/>
      <c r="F771" s="50"/>
      <c r="G771" s="23"/>
      <c r="H771" s="24"/>
      <c r="I771" s="23"/>
      <c r="J771" s="19">
        <f>Таблица1[[#This Row],[Блок
 Куб]]*Таблица1[[#This Row],[Цена 
Приход]]</f>
        <v>0</v>
      </c>
      <c r="K771" s="25"/>
      <c r="L771" s="25"/>
      <c r="M771" s="19">
        <f>Таблица1[[#This Row],[Поддон
Шт]]*Таблица1[[#This Row],[Цена
Поддон]]</f>
        <v>0</v>
      </c>
      <c r="N771" s="19">
        <f>Таблица1[[#This Row],[Сумма 
Приход]]+Таблица1[[#This Row],[Сумма Поддон]]</f>
        <v>0</v>
      </c>
      <c r="O771" s="20"/>
      <c r="P771" s="19">
        <f>Таблица1[[#This Row],[Цена
 Продажа]]-Таблица1[[#This Row],[Цена 
Приход]]</f>
        <v>0</v>
      </c>
      <c r="Q771" s="19"/>
      <c r="R771" s="19">
        <f>Таблица1[[#This Row],[Блок
 Куб]]*Таблица1[[#This Row],[Цена
 Продажа]]</f>
        <v>0</v>
      </c>
      <c r="S771" s="20"/>
      <c r="T771" s="19">
        <f>Таблица1[[#This Row],[Сумма 
Продажа]]-Таблица1[[#This Row],[Сумма 
Приход]]</f>
        <v>0</v>
      </c>
      <c r="U771" s="150"/>
    </row>
    <row r="772" spans="1:21" ht="14.25" x14ac:dyDescent="0.2">
      <c r="A772" s="50">
        <f t="shared" si="11"/>
        <v>769</v>
      </c>
      <c r="B772" s="17"/>
      <c r="C772" s="17"/>
      <c r="D772" s="17"/>
      <c r="E772" s="51"/>
      <c r="F772" s="50"/>
      <c r="G772" s="23"/>
      <c r="H772" s="24"/>
      <c r="I772" s="23"/>
      <c r="J772" s="19">
        <f>Таблица1[[#This Row],[Блок
 Куб]]*Таблица1[[#This Row],[Цена 
Приход]]</f>
        <v>0</v>
      </c>
      <c r="K772" s="25"/>
      <c r="L772" s="25"/>
      <c r="M772" s="19">
        <f>Таблица1[[#This Row],[Поддон
Шт]]*Таблица1[[#This Row],[Цена
Поддон]]</f>
        <v>0</v>
      </c>
      <c r="N772" s="19">
        <f>Таблица1[[#This Row],[Сумма 
Приход]]+Таблица1[[#This Row],[Сумма Поддон]]</f>
        <v>0</v>
      </c>
      <c r="O772" s="20"/>
      <c r="P772" s="19">
        <f>Таблица1[[#This Row],[Цена
 Продажа]]-Таблица1[[#This Row],[Цена 
Приход]]</f>
        <v>0</v>
      </c>
      <c r="Q772" s="19"/>
      <c r="R772" s="19">
        <f>Таблица1[[#This Row],[Блок
 Куб]]*Таблица1[[#This Row],[Цена
 Продажа]]</f>
        <v>0</v>
      </c>
      <c r="S772" s="20"/>
      <c r="T772" s="19">
        <f>Таблица1[[#This Row],[Сумма 
Продажа]]-Таблица1[[#This Row],[Сумма 
Приход]]</f>
        <v>0</v>
      </c>
      <c r="U772" s="150"/>
    </row>
    <row r="773" spans="1:21" ht="14.25" x14ac:dyDescent="0.2">
      <c r="A773" s="50">
        <f t="shared" si="11"/>
        <v>770</v>
      </c>
      <c r="B773" s="17"/>
      <c r="C773" s="17"/>
      <c r="D773" s="17"/>
      <c r="E773" s="51"/>
      <c r="F773" s="50"/>
      <c r="G773" s="23"/>
      <c r="H773" s="24"/>
      <c r="I773" s="23"/>
      <c r="J773" s="19">
        <f>Таблица1[[#This Row],[Блок
 Куб]]*Таблица1[[#This Row],[Цена 
Приход]]</f>
        <v>0</v>
      </c>
      <c r="K773" s="25"/>
      <c r="L773" s="25"/>
      <c r="M773" s="19">
        <f>Таблица1[[#This Row],[Поддон
Шт]]*Таблица1[[#This Row],[Цена
Поддон]]</f>
        <v>0</v>
      </c>
      <c r="N773" s="19">
        <f>Таблица1[[#This Row],[Сумма 
Приход]]+Таблица1[[#This Row],[Сумма Поддон]]</f>
        <v>0</v>
      </c>
      <c r="O773" s="20"/>
      <c r="P773" s="19">
        <f>Таблица1[[#This Row],[Цена
 Продажа]]-Таблица1[[#This Row],[Цена 
Приход]]</f>
        <v>0</v>
      </c>
      <c r="Q773" s="19"/>
      <c r="R773" s="19">
        <f>Таблица1[[#This Row],[Блок
 Куб]]*Таблица1[[#This Row],[Цена
 Продажа]]</f>
        <v>0</v>
      </c>
      <c r="S773" s="20"/>
      <c r="T773" s="19">
        <f>Таблица1[[#This Row],[Сумма 
Продажа]]-Таблица1[[#This Row],[Сумма 
Приход]]</f>
        <v>0</v>
      </c>
      <c r="U773" s="150"/>
    </row>
    <row r="774" spans="1:21" ht="14.25" x14ac:dyDescent="0.2">
      <c r="A774" s="50">
        <f t="shared" ref="A774:A837" si="12">A773+1</f>
        <v>771</v>
      </c>
      <c r="B774" s="17"/>
      <c r="C774" s="17"/>
      <c r="D774" s="17"/>
      <c r="E774" s="51"/>
      <c r="F774" s="50"/>
      <c r="G774" s="23"/>
      <c r="H774" s="24"/>
      <c r="I774" s="23"/>
      <c r="J774" s="19">
        <f>Таблица1[[#This Row],[Блок
 Куб]]*Таблица1[[#This Row],[Цена 
Приход]]</f>
        <v>0</v>
      </c>
      <c r="K774" s="25"/>
      <c r="L774" s="25"/>
      <c r="M774" s="19">
        <f>Таблица1[[#This Row],[Поддон
Шт]]*Таблица1[[#This Row],[Цена
Поддон]]</f>
        <v>0</v>
      </c>
      <c r="N774" s="19">
        <f>Таблица1[[#This Row],[Сумма 
Приход]]+Таблица1[[#This Row],[Сумма Поддон]]</f>
        <v>0</v>
      </c>
      <c r="O774" s="20"/>
      <c r="P774" s="19">
        <f>Таблица1[[#This Row],[Цена
 Продажа]]-Таблица1[[#This Row],[Цена 
Приход]]</f>
        <v>0</v>
      </c>
      <c r="Q774" s="19"/>
      <c r="R774" s="19">
        <f>Таблица1[[#This Row],[Блок
 Куб]]*Таблица1[[#This Row],[Цена
 Продажа]]</f>
        <v>0</v>
      </c>
      <c r="S774" s="20"/>
      <c r="T774" s="19">
        <f>Таблица1[[#This Row],[Сумма 
Продажа]]-Таблица1[[#This Row],[Сумма 
Приход]]</f>
        <v>0</v>
      </c>
      <c r="U774" s="150"/>
    </row>
    <row r="775" spans="1:21" ht="14.25" x14ac:dyDescent="0.2">
      <c r="A775" s="50">
        <f t="shared" si="12"/>
        <v>772</v>
      </c>
      <c r="B775" s="17"/>
      <c r="C775" s="17"/>
      <c r="D775" s="17"/>
      <c r="E775" s="51"/>
      <c r="F775" s="50"/>
      <c r="G775" s="23"/>
      <c r="H775" s="24"/>
      <c r="I775" s="23"/>
      <c r="J775" s="19">
        <f>Таблица1[[#This Row],[Блок
 Куб]]*Таблица1[[#This Row],[Цена 
Приход]]</f>
        <v>0</v>
      </c>
      <c r="K775" s="25"/>
      <c r="L775" s="25"/>
      <c r="M775" s="19">
        <f>Таблица1[[#This Row],[Поддон
Шт]]*Таблица1[[#This Row],[Цена
Поддон]]</f>
        <v>0</v>
      </c>
      <c r="N775" s="19">
        <f>Таблица1[[#This Row],[Сумма 
Приход]]+Таблица1[[#This Row],[Сумма Поддон]]</f>
        <v>0</v>
      </c>
      <c r="O775" s="20"/>
      <c r="P775" s="19">
        <f>Таблица1[[#This Row],[Цена
 Продажа]]-Таблица1[[#This Row],[Цена 
Приход]]</f>
        <v>0</v>
      </c>
      <c r="Q775" s="19"/>
      <c r="R775" s="19">
        <f>Таблица1[[#This Row],[Блок
 Куб]]*Таблица1[[#This Row],[Цена
 Продажа]]</f>
        <v>0</v>
      </c>
      <c r="S775" s="20"/>
      <c r="T775" s="19">
        <f>Таблица1[[#This Row],[Сумма 
Продажа]]-Таблица1[[#This Row],[Сумма 
Приход]]</f>
        <v>0</v>
      </c>
      <c r="U775" s="150"/>
    </row>
    <row r="776" spans="1:21" ht="14.25" x14ac:dyDescent="0.2">
      <c r="A776" s="50">
        <f t="shared" si="12"/>
        <v>773</v>
      </c>
      <c r="B776" s="17"/>
      <c r="C776" s="17"/>
      <c r="D776" s="17"/>
      <c r="E776" s="51"/>
      <c r="F776" s="50"/>
      <c r="G776" s="23"/>
      <c r="H776" s="24"/>
      <c r="I776" s="23"/>
      <c r="J776" s="19">
        <f>Таблица1[[#This Row],[Блок
 Куб]]*Таблица1[[#This Row],[Цена 
Приход]]</f>
        <v>0</v>
      </c>
      <c r="K776" s="25"/>
      <c r="L776" s="25"/>
      <c r="M776" s="19">
        <f>Таблица1[[#This Row],[Поддон
Шт]]*Таблица1[[#This Row],[Цена
Поддон]]</f>
        <v>0</v>
      </c>
      <c r="N776" s="19">
        <f>Таблица1[[#This Row],[Сумма 
Приход]]+Таблица1[[#This Row],[Сумма Поддон]]</f>
        <v>0</v>
      </c>
      <c r="O776" s="20"/>
      <c r="P776" s="19">
        <f>Таблица1[[#This Row],[Цена
 Продажа]]-Таблица1[[#This Row],[Цена 
Приход]]</f>
        <v>0</v>
      </c>
      <c r="Q776" s="19"/>
      <c r="R776" s="19">
        <f>Таблица1[[#This Row],[Блок
 Куб]]*Таблица1[[#This Row],[Цена
 Продажа]]</f>
        <v>0</v>
      </c>
      <c r="S776" s="20"/>
      <c r="T776" s="19">
        <f>Таблица1[[#This Row],[Сумма 
Продажа]]-Таблица1[[#This Row],[Сумма 
Приход]]</f>
        <v>0</v>
      </c>
      <c r="U776" s="150"/>
    </row>
    <row r="777" spans="1:21" ht="14.25" x14ac:dyDescent="0.2">
      <c r="A777" s="50">
        <f t="shared" si="12"/>
        <v>774</v>
      </c>
      <c r="B777" s="17"/>
      <c r="C777" s="17"/>
      <c r="D777" s="17"/>
      <c r="E777" s="51"/>
      <c r="F777" s="50"/>
      <c r="G777" s="23"/>
      <c r="H777" s="24"/>
      <c r="I777" s="23"/>
      <c r="J777" s="19">
        <f>Таблица1[[#This Row],[Блок
 Куб]]*Таблица1[[#This Row],[Цена 
Приход]]</f>
        <v>0</v>
      </c>
      <c r="K777" s="25"/>
      <c r="L777" s="25"/>
      <c r="M777" s="19">
        <f>Таблица1[[#This Row],[Поддон
Шт]]*Таблица1[[#This Row],[Цена
Поддон]]</f>
        <v>0</v>
      </c>
      <c r="N777" s="19">
        <f>Таблица1[[#This Row],[Сумма 
Приход]]+Таблица1[[#This Row],[Сумма Поддон]]</f>
        <v>0</v>
      </c>
      <c r="O777" s="20"/>
      <c r="P777" s="19">
        <f>Таблица1[[#This Row],[Цена
 Продажа]]-Таблица1[[#This Row],[Цена 
Приход]]</f>
        <v>0</v>
      </c>
      <c r="Q777" s="19"/>
      <c r="R777" s="19">
        <f>Таблица1[[#This Row],[Блок
 Куб]]*Таблица1[[#This Row],[Цена
 Продажа]]</f>
        <v>0</v>
      </c>
      <c r="S777" s="20"/>
      <c r="T777" s="19">
        <f>Таблица1[[#This Row],[Сумма 
Продажа]]-Таблица1[[#This Row],[Сумма 
Приход]]</f>
        <v>0</v>
      </c>
      <c r="U777" s="150"/>
    </row>
    <row r="778" spans="1:21" ht="14.25" x14ac:dyDescent="0.2">
      <c r="A778" s="50">
        <f t="shared" si="12"/>
        <v>775</v>
      </c>
      <c r="B778" s="17"/>
      <c r="C778" s="17"/>
      <c r="D778" s="17"/>
      <c r="E778" s="51"/>
      <c r="F778" s="50"/>
      <c r="G778" s="23"/>
      <c r="H778" s="24"/>
      <c r="I778" s="23"/>
      <c r="J778" s="19">
        <f>Таблица1[[#This Row],[Блок
 Куб]]*Таблица1[[#This Row],[Цена 
Приход]]</f>
        <v>0</v>
      </c>
      <c r="K778" s="25"/>
      <c r="L778" s="25"/>
      <c r="M778" s="19">
        <f>Таблица1[[#This Row],[Поддон
Шт]]*Таблица1[[#This Row],[Цена
Поддон]]</f>
        <v>0</v>
      </c>
      <c r="N778" s="19">
        <f>Таблица1[[#This Row],[Сумма 
Приход]]+Таблица1[[#This Row],[Сумма Поддон]]</f>
        <v>0</v>
      </c>
      <c r="O778" s="20"/>
      <c r="P778" s="19">
        <f>Таблица1[[#This Row],[Цена
 Продажа]]-Таблица1[[#This Row],[Цена 
Приход]]</f>
        <v>0</v>
      </c>
      <c r="Q778" s="19"/>
      <c r="R778" s="19">
        <f>Таблица1[[#This Row],[Блок
 Куб]]*Таблица1[[#This Row],[Цена
 Продажа]]</f>
        <v>0</v>
      </c>
      <c r="S778" s="20"/>
      <c r="T778" s="19">
        <f>Таблица1[[#This Row],[Сумма 
Продажа]]-Таблица1[[#This Row],[Сумма 
Приход]]</f>
        <v>0</v>
      </c>
      <c r="U778" s="150"/>
    </row>
    <row r="779" spans="1:21" ht="14.25" x14ac:dyDescent="0.2">
      <c r="A779" s="50">
        <f t="shared" si="12"/>
        <v>776</v>
      </c>
      <c r="B779" s="17"/>
      <c r="C779" s="17"/>
      <c r="D779" s="17"/>
      <c r="E779" s="51"/>
      <c r="F779" s="50"/>
      <c r="G779" s="23"/>
      <c r="H779" s="24"/>
      <c r="I779" s="23"/>
      <c r="J779" s="19">
        <f>Таблица1[[#This Row],[Блок
 Куб]]*Таблица1[[#This Row],[Цена 
Приход]]</f>
        <v>0</v>
      </c>
      <c r="K779" s="25"/>
      <c r="L779" s="25"/>
      <c r="M779" s="19">
        <f>Таблица1[[#This Row],[Поддон
Шт]]*Таблица1[[#This Row],[Цена
Поддон]]</f>
        <v>0</v>
      </c>
      <c r="N779" s="19">
        <f>Таблица1[[#This Row],[Сумма 
Приход]]+Таблица1[[#This Row],[Сумма Поддон]]</f>
        <v>0</v>
      </c>
      <c r="O779" s="20"/>
      <c r="P779" s="19">
        <f>Таблица1[[#This Row],[Цена
 Продажа]]-Таблица1[[#This Row],[Цена 
Приход]]</f>
        <v>0</v>
      </c>
      <c r="Q779" s="19"/>
      <c r="R779" s="19">
        <f>Таблица1[[#This Row],[Блок
 Куб]]*Таблица1[[#This Row],[Цена
 Продажа]]</f>
        <v>0</v>
      </c>
      <c r="S779" s="20"/>
      <c r="T779" s="19">
        <f>Таблица1[[#This Row],[Сумма 
Продажа]]-Таблица1[[#This Row],[Сумма 
Приход]]</f>
        <v>0</v>
      </c>
      <c r="U779" s="150"/>
    </row>
    <row r="780" spans="1:21" ht="14.25" x14ac:dyDescent="0.2">
      <c r="A780" s="50">
        <f t="shared" si="12"/>
        <v>777</v>
      </c>
      <c r="B780" s="17"/>
      <c r="C780" s="17"/>
      <c r="D780" s="17"/>
      <c r="E780" s="51"/>
      <c r="F780" s="50"/>
      <c r="G780" s="23"/>
      <c r="H780" s="24"/>
      <c r="I780" s="23"/>
      <c r="J780" s="19">
        <f>Таблица1[[#This Row],[Блок
 Куб]]*Таблица1[[#This Row],[Цена 
Приход]]</f>
        <v>0</v>
      </c>
      <c r="K780" s="25"/>
      <c r="L780" s="25"/>
      <c r="M780" s="19">
        <f>Таблица1[[#This Row],[Поддон
Шт]]*Таблица1[[#This Row],[Цена
Поддон]]</f>
        <v>0</v>
      </c>
      <c r="N780" s="19">
        <f>Таблица1[[#This Row],[Сумма 
Приход]]+Таблица1[[#This Row],[Сумма Поддон]]</f>
        <v>0</v>
      </c>
      <c r="O780" s="20"/>
      <c r="P780" s="19">
        <f>Таблица1[[#This Row],[Цена
 Продажа]]-Таблица1[[#This Row],[Цена 
Приход]]</f>
        <v>0</v>
      </c>
      <c r="Q780" s="19"/>
      <c r="R780" s="19">
        <f>Таблица1[[#This Row],[Блок
 Куб]]*Таблица1[[#This Row],[Цена
 Продажа]]</f>
        <v>0</v>
      </c>
      <c r="S780" s="20"/>
      <c r="T780" s="19">
        <f>Таблица1[[#This Row],[Сумма 
Продажа]]-Таблица1[[#This Row],[Сумма 
Приход]]</f>
        <v>0</v>
      </c>
      <c r="U780" s="150"/>
    </row>
    <row r="781" spans="1:21" ht="14.25" x14ac:dyDescent="0.2">
      <c r="A781" s="50">
        <f t="shared" si="12"/>
        <v>778</v>
      </c>
      <c r="B781" s="17"/>
      <c r="C781" s="17"/>
      <c r="D781" s="17"/>
      <c r="E781" s="51"/>
      <c r="F781" s="50"/>
      <c r="G781" s="23"/>
      <c r="H781" s="24"/>
      <c r="I781" s="23"/>
      <c r="J781" s="19">
        <f>Таблица1[[#This Row],[Блок
 Куб]]*Таблица1[[#This Row],[Цена 
Приход]]</f>
        <v>0</v>
      </c>
      <c r="K781" s="25"/>
      <c r="L781" s="25"/>
      <c r="M781" s="19">
        <f>Таблица1[[#This Row],[Поддон
Шт]]*Таблица1[[#This Row],[Цена
Поддон]]</f>
        <v>0</v>
      </c>
      <c r="N781" s="19">
        <f>Таблица1[[#This Row],[Сумма 
Приход]]+Таблица1[[#This Row],[Сумма Поддон]]</f>
        <v>0</v>
      </c>
      <c r="O781" s="20"/>
      <c r="P781" s="19">
        <f>Таблица1[[#This Row],[Цена
 Продажа]]-Таблица1[[#This Row],[Цена 
Приход]]</f>
        <v>0</v>
      </c>
      <c r="Q781" s="19"/>
      <c r="R781" s="19">
        <f>Таблица1[[#This Row],[Блок
 Куб]]*Таблица1[[#This Row],[Цена
 Продажа]]</f>
        <v>0</v>
      </c>
      <c r="S781" s="20"/>
      <c r="T781" s="19">
        <f>Таблица1[[#This Row],[Сумма 
Продажа]]-Таблица1[[#This Row],[Сумма 
Приход]]</f>
        <v>0</v>
      </c>
      <c r="U781" s="150"/>
    </row>
    <row r="782" spans="1:21" ht="14.25" x14ac:dyDescent="0.2">
      <c r="A782" s="50">
        <f t="shared" si="12"/>
        <v>779</v>
      </c>
      <c r="B782" s="17"/>
      <c r="C782" s="17"/>
      <c r="D782" s="17"/>
      <c r="E782" s="51"/>
      <c r="F782" s="50"/>
      <c r="G782" s="23"/>
      <c r="H782" s="24"/>
      <c r="I782" s="23"/>
      <c r="J782" s="19">
        <f>Таблица1[[#This Row],[Блок
 Куб]]*Таблица1[[#This Row],[Цена 
Приход]]</f>
        <v>0</v>
      </c>
      <c r="K782" s="25"/>
      <c r="L782" s="25"/>
      <c r="M782" s="19">
        <f>Таблица1[[#This Row],[Поддон
Шт]]*Таблица1[[#This Row],[Цена
Поддон]]</f>
        <v>0</v>
      </c>
      <c r="N782" s="19">
        <f>Таблица1[[#This Row],[Сумма 
Приход]]+Таблица1[[#This Row],[Сумма Поддон]]</f>
        <v>0</v>
      </c>
      <c r="O782" s="20"/>
      <c r="P782" s="19">
        <f>Таблица1[[#This Row],[Цена
 Продажа]]-Таблица1[[#This Row],[Цена 
Приход]]</f>
        <v>0</v>
      </c>
      <c r="Q782" s="19"/>
      <c r="R782" s="19">
        <f>Таблица1[[#This Row],[Блок
 Куб]]*Таблица1[[#This Row],[Цена
 Продажа]]</f>
        <v>0</v>
      </c>
      <c r="S782" s="20"/>
      <c r="T782" s="19">
        <f>Таблица1[[#This Row],[Сумма 
Продажа]]-Таблица1[[#This Row],[Сумма 
Приход]]</f>
        <v>0</v>
      </c>
      <c r="U782" s="150"/>
    </row>
    <row r="783" spans="1:21" ht="14.25" x14ac:dyDescent="0.2">
      <c r="A783" s="50">
        <f t="shared" si="12"/>
        <v>780</v>
      </c>
      <c r="B783" s="17"/>
      <c r="C783" s="17"/>
      <c r="D783" s="17"/>
      <c r="E783" s="51"/>
      <c r="F783" s="50"/>
      <c r="G783" s="23"/>
      <c r="H783" s="24"/>
      <c r="I783" s="23"/>
      <c r="J783" s="19">
        <f>Таблица1[[#This Row],[Блок
 Куб]]*Таблица1[[#This Row],[Цена 
Приход]]</f>
        <v>0</v>
      </c>
      <c r="K783" s="25"/>
      <c r="L783" s="25"/>
      <c r="M783" s="19">
        <f>Таблица1[[#This Row],[Поддон
Шт]]*Таблица1[[#This Row],[Цена
Поддон]]</f>
        <v>0</v>
      </c>
      <c r="N783" s="19">
        <f>Таблица1[[#This Row],[Сумма 
Приход]]+Таблица1[[#This Row],[Сумма Поддон]]</f>
        <v>0</v>
      </c>
      <c r="O783" s="20"/>
      <c r="P783" s="19">
        <f>Таблица1[[#This Row],[Цена
 Продажа]]-Таблица1[[#This Row],[Цена 
Приход]]</f>
        <v>0</v>
      </c>
      <c r="Q783" s="19"/>
      <c r="R783" s="19">
        <f>Таблица1[[#This Row],[Блок
 Куб]]*Таблица1[[#This Row],[Цена
 Продажа]]</f>
        <v>0</v>
      </c>
      <c r="S783" s="20"/>
      <c r="T783" s="19">
        <f>Таблица1[[#This Row],[Сумма 
Продажа]]-Таблица1[[#This Row],[Сумма 
Приход]]</f>
        <v>0</v>
      </c>
      <c r="U783" s="150"/>
    </row>
    <row r="784" spans="1:21" ht="14.25" x14ac:dyDescent="0.2">
      <c r="A784" s="50">
        <f t="shared" si="12"/>
        <v>781</v>
      </c>
      <c r="B784" s="17"/>
      <c r="C784" s="17"/>
      <c r="D784" s="17"/>
      <c r="E784" s="51"/>
      <c r="F784" s="50"/>
      <c r="G784" s="23"/>
      <c r="H784" s="24"/>
      <c r="I784" s="23"/>
      <c r="J784" s="19">
        <f>Таблица1[[#This Row],[Блок
 Куб]]*Таблица1[[#This Row],[Цена 
Приход]]</f>
        <v>0</v>
      </c>
      <c r="K784" s="25"/>
      <c r="L784" s="25"/>
      <c r="M784" s="19">
        <f>Таблица1[[#This Row],[Поддон
Шт]]*Таблица1[[#This Row],[Цена
Поддон]]</f>
        <v>0</v>
      </c>
      <c r="N784" s="19">
        <f>Таблица1[[#This Row],[Сумма 
Приход]]+Таблица1[[#This Row],[Сумма Поддон]]</f>
        <v>0</v>
      </c>
      <c r="O784" s="20"/>
      <c r="P784" s="19">
        <f>Таблица1[[#This Row],[Цена
 Продажа]]-Таблица1[[#This Row],[Цена 
Приход]]</f>
        <v>0</v>
      </c>
      <c r="Q784" s="19"/>
      <c r="R784" s="19">
        <f>Таблица1[[#This Row],[Блок
 Куб]]*Таблица1[[#This Row],[Цена
 Продажа]]</f>
        <v>0</v>
      </c>
      <c r="S784" s="20"/>
      <c r="T784" s="19">
        <f>Таблица1[[#This Row],[Сумма 
Продажа]]-Таблица1[[#This Row],[Сумма 
Приход]]</f>
        <v>0</v>
      </c>
      <c r="U784" s="150"/>
    </row>
    <row r="785" spans="1:21" ht="14.25" x14ac:dyDescent="0.2">
      <c r="A785" s="50">
        <f t="shared" si="12"/>
        <v>782</v>
      </c>
      <c r="B785" s="17"/>
      <c r="C785" s="17"/>
      <c r="D785" s="17"/>
      <c r="E785" s="51"/>
      <c r="F785" s="50"/>
      <c r="G785" s="23"/>
      <c r="H785" s="24"/>
      <c r="I785" s="23"/>
      <c r="J785" s="19">
        <f>Таблица1[[#This Row],[Блок
 Куб]]*Таблица1[[#This Row],[Цена 
Приход]]</f>
        <v>0</v>
      </c>
      <c r="K785" s="25"/>
      <c r="L785" s="25"/>
      <c r="M785" s="19">
        <f>Таблица1[[#This Row],[Поддон
Шт]]*Таблица1[[#This Row],[Цена
Поддон]]</f>
        <v>0</v>
      </c>
      <c r="N785" s="19">
        <f>Таблица1[[#This Row],[Сумма 
Приход]]+Таблица1[[#This Row],[Сумма Поддон]]</f>
        <v>0</v>
      </c>
      <c r="O785" s="20"/>
      <c r="P785" s="19">
        <f>Таблица1[[#This Row],[Цена
 Продажа]]-Таблица1[[#This Row],[Цена 
Приход]]</f>
        <v>0</v>
      </c>
      <c r="Q785" s="19"/>
      <c r="R785" s="19">
        <f>Таблица1[[#This Row],[Блок
 Куб]]*Таблица1[[#This Row],[Цена
 Продажа]]</f>
        <v>0</v>
      </c>
      <c r="S785" s="20"/>
      <c r="T785" s="19">
        <f>Таблица1[[#This Row],[Сумма 
Продажа]]-Таблица1[[#This Row],[Сумма 
Приход]]</f>
        <v>0</v>
      </c>
      <c r="U785" s="150"/>
    </row>
    <row r="786" spans="1:21" ht="14.25" x14ac:dyDescent="0.2">
      <c r="A786" s="50">
        <f t="shared" si="12"/>
        <v>783</v>
      </c>
      <c r="B786" s="17"/>
      <c r="C786" s="17"/>
      <c r="D786" s="17"/>
      <c r="E786" s="51"/>
      <c r="F786" s="50"/>
      <c r="G786" s="23"/>
      <c r="H786" s="24"/>
      <c r="I786" s="23"/>
      <c r="J786" s="19">
        <f>Таблица1[[#This Row],[Блок
 Куб]]*Таблица1[[#This Row],[Цена 
Приход]]</f>
        <v>0</v>
      </c>
      <c r="K786" s="25"/>
      <c r="L786" s="25"/>
      <c r="M786" s="19">
        <f>Таблица1[[#This Row],[Поддон
Шт]]*Таблица1[[#This Row],[Цена
Поддон]]</f>
        <v>0</v>
      </c>
      <c r="N786" s="19">
        <f>Таблица1[[#This Row],[Сумма 
Приход]]+Таблица1[[#This Row],[Сумма Поддон]]</f>
        <v>0</v>
      </c>
      <c r="O786" s="20"/>
      <c r="P786" s="19">
        <f>Таблица1[[#This Row],[Цена
 Продажа]]-Таблица1[[#This Row],[Цена 
Приход]]</f>
        <v>0</v>
      </c>
      <c r="Q786" s="19"/>
      <c r="R786" s="19">
        <f>Таблица1[[#This Row],[Блок
 Куб]]*Таблица1[[#This Row],[Цена
 Продажа]]</f>
        <v>0</v>
      </c>
      <c r="S786" s="20"/>
      <c r="T786" s="19">
        <f>Таблица1[[#This Row],[Сумма 
Продажа]]-Таблица1[[#This Row],[Сумма 
Приход]]</f>
        <v>0</v>
      </c>
      <c r="U786" s="150"/>
    </row>
    <row r="787" spans="1:21" ht="14.25" x14ac:dyDescent="0.2">
      <c r="A787" s="50">
        <f t="shared" si="12"/>
        <v>784</v>
      </c>
      <c r="B787" s="17"/>
      <c r="C787" s="17"/>
      <c r="D787" s="17"/>
      <c r="E787" s="51"/>
      <c r="F787" s="50"/>
      <c r="G787" s="23"/>
      <c r="H787" s="24"/>
      <c r="I787" s="23"/>
      <c r="J787" s="19">
        <f>Таблица1[[#This Row],[Блок
 Куб]]*Таблица1[[#This Row],[Цена 
Приход]]</f>
        <v>0</v>
      </c>
      <c r="K787" s="25"/>
      <c r="L787" s="25"/>
      <c r="M787" s="19">
        <f>Таблица1[[#This Row],[Поддон
Шт]]*Таблица1[[#This Row],[Цена
Поддон]]</f>
        <v>0</v>
      </c>
      <c r="N787" s="19">
        <f>Таблица1[[#This Row],[Сумма 
Приход]]+Таблица1[[#This Row],[Сумма Поддон]]</f>
        <v>0</v>
      </c>
      <c r="O787" s="20"/>
      <c r="P787" s="19">
        <f>Таблица1[[#This Row],[Цена
 Продажа]]-Таблица1[[#This Row],[Цена 
Приход]]</f>
        <v>0</v>
      </c>
      <c r="Q787" s="19"/>
      <c r="R787" s="19">
        <f>Таблица1[[#This Row],[Блок
 Куб]]*Таблица1[[#This Row],[Цена
 Продажа]]</f>
        <v>0</v>
      </c>
      <c r="S787" s="20"/>
      <c r="T787" s="19">
        <f>Таблица1[[#This Row],[Сумма 
Продажа]]-Таблица1[[#This Row],[Сумма 
Приход]]</f>
        <v>0</v>
      </c>
      <c r="U787" s="150"/>
    </row>
    <row r="788" spans="1:21" ht="14.25" x14ac:dyDescent="0.2">
      <c r="A788" s="50">
        <f t="shared" si="12"/>
        <v>785</v>
      </c>
      <c r="B788" s="17"/>
      <c r="C788" s="17"/>
      <c r="D788" s="17"/>
      <c r="E788" s="51"/>
      <c r="F788" s="50"/>
      <c r="G788" s="23"/>
      <c r="H788" s="24"/>
      <c r="I788" s="23"/>
      <c r="J788" s="19">
        <f>Таблица1[[#This Row],[Блок
 Куб]]*Таблица1[[#This Row],[Цена 
Приход]]</f>
        <v>0</v>
      </c>
      <c r="K788" s="25"/>
      <c r="L788" s="25"/>
      <c r="M788" s="19">
        <f>Таблица1[[#This Row],[Поддон
Шт]]*Таблица1[[#This Row],[Цена
Поддон]]</f>
        <v>0</v>
      </c>
      <c r="N788" s="19">
        <f>Таблица1[[#This Row],[Сумма 
Приход]]+Таблица1[[#This Row],[Сумма Поддон]]</f>
        <v>0</v>
      </c>
      <c r="O788" s="20"/>
      <c r="P788" s="19">
        <f>Таблица1[[#This Row],[Цена
 Продажа]]-Таблица1[[#This Row],[Цена 
Приход]]</f>
        <v>0</v>
      </c>
      <c r="Q788" s="19"/>
      <c r="R788" s="19">
        <f>Таблица1[[#This Row],[Блок
 Куб]]*Таблица1[[#This Row],[Цена
 Продажа]]</f>
        <v>0</v>
      </c>
      <c r="S788" s="20"/>
      <c r="T788" s="19">
        <f>Таблица1[[#This Row],[Сумма 
Продажа]]-Таблица1[[#This Row],[Сумма 
Приход]]</f>
        <v>0</v>
      </c>
      <c r="U788" s="150"/>
    </row>
    <row r="789" spans="1:21" ht="14.25" x14ac:dyDescent="0.2">
      <c r="A789" s="50">
        <f t="shared" si="12"/>
        <v>786</v>
      </c>
      <c r="B789" s="17"/>
      <c r="C789" s="17"/>
      <c r="D789" s="17"/>
      <c r="E789" s="51"/>
      <c r="F789" s="50"/>
      <c r="G789" s="23"/>
      <c r="H789" s="24"/>
      <c r="I789" s="23"/>
      <c r="J789" s="19">
        <f>Таблица1[[#This Row],[Блок
 Куб]]*Таблица1[[#This Row],[Цена 
Приход]]</f>
        <v>0</v>
      </c>
      <c r="K789" s="25"/>
      <c r="L789" s="25"/>
      <c r="M789" s="19">
        <f>Таблица1[[#This Row],[Поддон
Шт]]*Таблица1[[#This Row],[Цена
Поддон]]</f>
        <v>0</v>
      </c>
      <c r="N789" s="19">
        <f>Таблица1[[#This Row],[Сумма 
Приход]]+Таблица1[[#This Row],[Сумма Поддон]]</f>
        <v>0</v>
      </c>
      <c r="O789" s="20"/>
      <c r="P789" s="19">
        <f>Таблица1[[#This Row],[Цена
 Продажа]]-Таблица1[[#This Row],[Цена 
Приход]]</f>
        <v>0</v>
      </c>
      <c r="Q789" s="19"/>
      <c r="R789" s="19">
        <f>Таблица1[[#This Row],[Блок
 Куб]]*Таблица1[[#This Row],[Цена
 Продажа]]</f>
        <v>0</v>
      </c>
      <c r="S789" s="20"/>
      <c r="T789" s="19">
        <f>Таблица1[[#This Row],[Сумма 
Продажа]]-Таблица1[[#This Row],[Сумма 
Приход]]</f>
        <v>0</v>
      </c>
      <c r="U789" s="150"/>
    </row>
    <row r="790" spans="1:21" ht="14.25" x14ac:dyDescent="0.2">
      <c r="A790" s="50">
        <f t="shared" si="12"/>
        <v>787</v>
      </c>
      <c r="B790" s="17"/>
      <c r="C790" s="17"/>
      <c r="D790" s="17"/>
      <c r="E790" s="51"/>
      <c r="F790" s="50"/>
      <c r="G790" s="23"/>
      <c r="H790" s="24"/>
      <c r="I790" s="23"/>
      <c r="J790" s="19">
        <f>Таблица1[[#This Row],[Блок
 Куб]]*Таблица1[[#This Row],[Цена 
Приход]]</f>
        <v>0</v>
      </c>
      <c r="K790" s="25"/>
      <c r="L790" s="25"/>
      <c r="M790" s="19">
        <f>Таблица1[[#This Row],[Поддон
Шт]]*Таблица1[[#This Row],[Цена
Поддон]]</f>
        <v>0</v>
      </c>
      <c r="N790" s="19">
        <f>Таблица1[[#This Row],[Сумма 
Приход]]+Таблица1[[#This Row],[Сумма Поддон]]</f>
        <v>0</v>
      </c>
      <c r="O790" s="20"/>
      <c r="P790" s="19">
        <f>Таблица1[[#This Row],[Цена
 Продажа]]-Таблица1[[#This Row],[Цена 
Приход]]</f>
        <v>0</v>
      </c>
      <c r="Q790" s="19"/>
      <c r="R790" s="19">
        <f>Таблица1[[#This Row],[Блок
 Куб]]*Таблица1[[#This Row],[Цена
 Продажа]]</f>
        <v>0</v>
      </c>
      <c r="S790" s="20"/>
      <c r="T790" s="19">
        <f>Таблица1[[#This Row],[Сумма 
Продажа]]-Таблица1[[#This Row],[Сумма 
Приход]]</f>
        <v>0</v>
      </c>
      <c r="U790" s="150"/>
    </row>
    <row r="791" spans="1:21" ht="14.25" x14ac:dyDescent="0.2">
      <c r="A791" s="50">
        <f t="shared" si="12"/>
        <v>788</v>
      </c>
      <c r="B791" s="17"/>
      <c r="C791" s="17"/>
      <c r="D791" s="17"/>
      <c r="E791" s="51"/>
      <c r="F791" s="50"/>
      <c r="G791" s="23"/>
      <c r="H791" s="24"/>
      <c r="I791" s="23"/>
      <c r="J791" s="19">
        <f>Таблица1[[#This Row],[Блок
 Куб]]*Таблица1[[#This Row],[Цена 
Приход]]</f>
        <v>0</v>
      </c>
      <c r="K791" s="25"/>
      <c r="L791" s="25"/>
      <c r="M791" s="19">
        <f>Таблица1[[#This Row],[Поддон
Шт]]*Таблица1[[#This Row],[Цена
Поддон]]</f>
        <v>0</v>
      </c>
      <c r="N791" s="19">
        <f>Таблица1[[#This Row],[Сумма 
Приход]]+Таблица1[[#This Row],[Сумма Поддон]]</f>
        <v>0</v>
      </c>
      <c r="O791" s="20"/>
      <c r="P791" s="19">
        <f>Таблица1[[#This Row],[Цена
 Продажа]]-Таблица1[[#This Row],[Цена 
Приход]]</f>
        <v>0</v>
      </c>
      <c r="Q791" s="19"/>
      <c r="R791" s="19">
        <f>Таблица1[[#This Row],[Блок
 Куб]]*Таблица1[[#This Row],[Цена
 Продажа]]</f>
        <v>0</v>
      </c>
      <c r="S791" s="20"/>
      <c r="T791" s="19">
        <f>Таблица1[[#This Row],[Сумма 
Продажа]]-Таблица1[[#This Row],[Сумма 
Приход]]</f>
        <v>0</v>
      </c>
      <c r="U791" s="150"/>
    </row>
    <row r="792" spans="1:21" ht="14.25" x14ac:dyDescent="0.2">
      <c r="A792" s="50">
        <f t="shared" si="12"/>
        <v>789</v>
      </c>
      <c r="B792" s="17"/>
      <c r="C792" s="17"/>
      <c r="D792" s="17"/>
      <c r="E792" s="51"/>
      <c r="F792" s="50"/>
      <c r="G792" s="23"/>
      <c r="H792" s="24"/>
      <c r="I792" s="23"/>
      <c r="J792" s="19">
        <f>Таблица1[[#This Row],[Блок
 Куб]]*Таблица1[[#This Row],[Цена 
Приход]]</f>
        <v>0</v>
      </c>
      <c r="K792" s="25"/>
      <c r="L792" s="25"/>
      <c r="M792" s="19">
        <f>Таблица1[[#This Row],[Поддон
Шт]]*Таблица1[[#This Row],[Цена
Поддон]]</f>
        <v>0</v>
      </c>
      <c r="N792" s="19">
        <f>Таблица1[[#This Row],[Сумма 
Приход]]+Таблица1[[#This Row],[Сумма Поддон]]</f>
        <v>0</v>
      </c>
      <c r="O792" s="20"/>
      <c r="P792" s="19">
        <f>Таблица1[[#This Row],[Цена
 Продажа]]-Таблица1[[#This Row],[Цена 
Приход]]</f>
        <v>0</v>
      </c>
      <c r="Q792" s="19"/>
      <c r="R792" s="19">
        <f>Таблица1[[#This Row],[Блок
 Куб]]*Таблица1[[#This Row],[Цена
 Продажа]]</f>
        <v>0</v>
      </c>
      <c r="S792" s="20"/>
      <c r="T792" s="19">
        <f>Таблица1[[#This Row],[Сумма 
Продажа]]-Таблица1[[#This Row],[Сумма 
Приход]]</f>
        <v>0</v>
      </c>
      <c r="U792" s="150"/>
    </row>
    <row r="793" spans="1:21" ht="14.25" x14ac:dyDescent="0.2">
      <c r="A793" s="50">
        <f t="shared" si="12"/>
        <v>790</v>
      </c>
      <c r="B793" s="17"/>
      <c r="C793" s="17"/>
      <c r="D793" s="17"/>
      <c r="E793" s="51"/>
      <c r="F793" s="50"/>
      <c r="G793" s="23"/>
      <c r="H793" s="24"/>
      <c r="I793" s="23"/>
      <c r="J793" s="19">
        <f>Таблица1[[#This Row],[Блок
 Куб]]*Таблица1[[#This Row],[Цена 
Приход]]</f>
        <v>0</v>
      </c>
      <c r="K793" s="25"/>
      <c r="L793" s="25"/>
      <c r="M793" s="19">
        <f>Таблица1[[#This Row],[Поддон
Шт]]*Таблица1[[#This Row],[Цена
Поддон]]</f>
        <v>0</v>
      </c>
      <c r="N793" s="19">
        <f>Таблица1[[#This Row],[Сумма 
Приход]]+Таблица1[[#This Row],[Сумма Поддон]]</f>
        <v>0</v>
      </c>
      <c r="O793" s="20"/>
      <c r="P793" s="19">
        <f>Таблица1[[#This Row],[Цена
 Продажа]]-Таблица1[[#This Row],[Цена 
Приход]]</f>
        <v>0</v>
      </c>
      <c r="Q793" s="19"/>
      <c r="R793" s="19">
        <f>Таблица1[[#This Row],[Блок
 Куб]]*Таблица1[[#This Row],[Цена
 Продажа]]</f>
        <v>0</v>
      </c>
      <c r="S793" s="20"/>
      <c r="T793" s="19">
        <f>Таблица1[[#This Row],[Сумма 
Продажа]]-Таблица1[[#This Row],[Сумма 
Приход]]</f>
        <v>0</v>
      </c>
      <c r="U793" s="150"/>
    </row>
    <row r="794" spans="1:21" ht="14.25" x14ac:dyDescent="0.2">
      <c r="A794" s="50">
        <f t="shared" si="12"/>
        <v>791</v>
      </c>
      <c r="B794" s="17"/>
      <c r="C794" s="17"/>
      <c r="D794" s="17"/>
      <c r="E794" s="51"/>
      <c r="F794" s="50"/>
      <c r="G794" s="23"/>
      <c r="H794" s="24"/>
      <c r="I794" s="23"/>
      <c r="J794" s="19">
        <f>Таблица1[[#This Row],[Блок
 Куб]]*Таблица1[[#This Row],[Цена 
Приход]]</f>
        <v>0</v>
      </c>
      <c r="K794" s="25"/>
      <c r="L794" s="25"/>
      <c r="M794" s="19">
        <f>Таблица1[[#This Row],[Поддон
Шт]]*Таблица1[[#This Row],[Цена
Поддон]]</f>
        <v>0</v>
      </c>
      <c r="N794" s="19">
        <f>Таблица1[[#This Row],[Сумма 
Приход]]+Таблица1[[#This Row],[Сумма Поддон]]</f>
        <v>0</v>
      </c>
      <c r="O794" s="20"/>
      <c r="P794" s="19">
        <f>Таблица1[[#This Row],[Цена
 Продажа]]-Таблица1[[#This Row],[Цена 
Приход]]</f>
        <v>0</v>
      </c>
      <c r="Q794" s="19"/>
      <c r="R794" s="19">
        <f>Таблица1[[#This Row],[Блок
 Куб]]*Таблица1[[#This Row],[Цена
 Продажа]]</f>
        <v>0</v>
      </c>
      <c r="S794" s="20"/>
      <c r="T794" s="19">
        <f>Таблица1[[#This Row],[Сумма 
Продажа]]-Таблица1[[#This Row],[Сумма 
Приход]]</f>
        <v>0</v>
      </c>
      <c r="U794" s="150"/>
    </row>
    <row r="795" spans="1:21" ht="14.25" x14ac:dyDescent="0.2">
      <c r="A795" s="50">
        <f t="shared" si="12"/>
        <v>792</v>
      </c>
      <c r="B795" s="17"/>
      <c r="C795" s="17"/>
      <c r="D795" s="17"/>
      <c r="E795" s="51"/>
      <c r="F795" s="50"/>
      <c r="G795" s="23"/>
      <c r="H795" s="24"/>
      <c r="I795" s="23"/>
      <c r="J795" s="19">
        <f>Таблица1[[#This Row],[Блок
 Куб]]*Таблица1[[#This Row],[Цена 
Приход]]</f>
        <v>0</v>
      </c>
      <c r="K795" s="25"/>
      <c r="L795" s="25"/>
      <c r="M795" s="19">
        <f>Таблица1[[#This Row],[Поддон
Шт]]*Таблица1[[#This Row],[Цена
Поддон]]</f>
        <v>0</v>
      </c>
      <c r="N795" s="19">
        <f>Таблица1[[#This Row],[Сумма 
Приход]]+Таблица1[[#This Row],[Сумма Поддон]]</f>
        <v>0</v>
      </c>
      <c r="O795" s="20"/>
      <c r="P795" s="19">
        <f>Таблица1[[#This Row],[Цена
 Продажа]]-Таблица1[[#This Row],[Цена 
Приход]]</f>
        <v>0</v>
      </c>
      <c r="Q795" s="19"/>
      <c r="R795" s="19">
        <f>Таблица1[[#This Row],[Блок
 Куб]]*Таблица1[[#This Row],[Цена
 Продажа]]</f>
        <v>0</v>
      </c>
      <c r="S795" s="20"/>
      <c r="T795" s="19">
        <f>Таблица1[[#This Row],[Сумма 
Продажа]]-Таблица1[[#This Row],[Сумма 
Приход]]</f>
        <v>0</v>
      </c>
      <c r="U795" s="150"/>
    </row>
    <row r="796" spans="1:21" ht="14.25" x14ac:dyDescent="0.2">
      <c r="A796" s="50">
        <f t="shared" si="12"/>
        <v>793</v>
      </c>
      <c r="B796" s="17"/>
      <c r="C796" s="17"/>
      <c r="D796" s="17"/>
      <c r="E796" s="51"/>
      <c r="F796" s="50"/>
      <c r="G796" s="23"/>
      <c r="H796" s="24"/>
      <c r="I796" s="23"/>
      <c r="J796" s="19">
        <f>Таблица1[[#This Row],[Блок
 Куб]]*Таблица1[[#This Row],[Цена 
Приход]]</f>
        <v>0</v>
      </c>
      <c r="K796" s="25"/>
      <c r="L796" s="25"/>
      <c r="M796" s="19">
        <f>Таблица1[[#This Row],[Поддон
Шт]]*Таблица1[[#This Row],[Цена
Поддон]]</f>
        <v>0</v>
      </c>
      <c r="N796" s="19">
        <f>Таблица1[[#This Row],[Сумма 
Приход]]+Таблица1[[#This Row],[Сумма Поддон]]</f>
        <v>0</v>
      </c>
      <c r="O796" s="20"/>
      <c r="P796" s="19">
        <f>Таблица1[[#This Row],[Цена
 Продажа]]-Таблица1[[#This Row],[Цена 
Приход]]</f>
        <v>0</v>
      </c>
      <c r="Q796" s="19"/>
      <c r="R796" s="19">
        <f>Таблица1[[#This Row],[Блок
 Куб]]*Таблица1[[#This Row],[Цена
 Продажа]]</f>
        <v>0</v>
      </c>
      <c r="S796" s="20"/>
      <c r="T796" s="19">
        <f>Таблица1[[#This Row],[Сумма 
Продажа]]-Таблица1[[#This Row],[Сумма 
Приход]]</f>
        <v>0</v>
      </c>
      <c r="U796" s="150"/>
    </row>
    <row r="797" spans="1:21" ht="14.25" x14ac:dyDescent="0.2">
      <c r="A797" s="50">
        <f t="shared" si="12"/>
        <v>794</v>
      </c>
      <c r="B797" s="17"/>
      <c r="C797" s="17"/>
      <c r="D797" s="17"/>
      <c r="E797" s="51"/>
      <c r="F797" s="50"/>
      <c r="G797" s="23"/>
      <c r="H797" s="24"/>
      <c r="I797" s="23"/>
      <c r="J797" s="19">
        <f>Таблица1[[#This Row],[Блок
 Куб]]*Таблица1[[#This Row],[Цена 
Приход]]</f>
        <v>0</v>
      </c>
      <c r="K797" s="25"/>
      <c r="L797" s="25"/>
      <c r="M797" s="19">
        <f>Таблица1[[#This Row],[Поддон
Шт]]*Таблица1[[#This Row],[Цена
Поддон]]</f>
        <v>0</v>
      </c>
      <c r="N797" s="19">
        <f>Таблица1[[#This Row],[Сумма 
Приход]]+Таблица1[[#This Row],[Сумма Поддон]]</f>
        <v>0</v>
      </c>
      <c r="O797" s="20"/>
      <c r="P797" s="19">
        <f>Таблица1[[#This Row],[Цена
 Продажа]]-Таблица1[[#This Row],[Цена 
Приход]]</f>
        <v>0</v>
      </c>
      <c r="Q797" s="19"/>
      <c r="R797" s="19">
        <f>Таблица1[[#This Row],[Блок
 Куб]]*Таблица1[[#This Row],[Цена
 Продажа]]</f>
        <v>0</v>
      </c>
      <c r="S797" s="20"/>
      <c r="T797" s="19">
        <f>Таблица1[[#This Row],[Сумма 
Продажа]]-Таблица1[[#This Row],[Сумма 
Приход]]</f>
        <v>0</v>
      </c>
      <c r="U797" s="150"/>
    </row>
    <row r="798" spans="1:21" ht="14.25" x14ac:dyDescent="0.2">
      <c r="A798" s="50">
        <f t="shared" si="12"/>
        <v>795</v>
      </c>
      <c r="B798" s="17"/>
      <c r="C798" s="17"/>
      <c r="D798" s="17"/>
      <c r="E798" s="51"/>
      <c r="F798" s="50"/>
      <c r="G798" s="23"/>
      <c r="H798" s="24"/>
      <c r="I798" s="23"/>
      <c r="J798" s="19">
        <f>Таблица1[[#This Row],[Блок
 Куб]]*Таблица1[[#This Row],[Цена 
Приход]]</f>
        <v>0</v>
      </c>
      <c r="K798" s="25"/>
      <c r="L798" s="25"/>
      <c r="M798" s="19">
        <f>Таблица1[[#This Row],[Поддон
Шт]]*Таблица1[[#This Row],[Цена
Поддон]]</f>
        <v>0</v>
      </c>
      <c r="N798" s="19">
        <f>Таблица1[[#This Row],[Сумма 
Приход]]+Таблица1[[#This Row],[Сумма Поддон]]</f>
        <v>0</v>
      </c>
      <c r="O798" s="20"/>
      <c r="P798" s="19">
        <f>Таблица1[[#This Row],[Цена
 Продажа]]-Таблица1[[#This Row],[Цена 
Приход]]</f>
        <v>0</v>
      </c>
      <c r="Q798" s="19"/>
      <c r="R798" s="19">
        <f>Таблица1[[#This Row],[Блок
 Куб]]*Таблица1[[#This Row],[Цена
 Продажа]]</f>
        <v>0</v>
      </c>
      <c r="S798" s="20"/>
      <c r="T798" s="19">
        <f>Таблица1[[#This Row],[Сумма 
Продажа]]-Таблица1[[#This Row],[Сумма 
Приход]]</f>
        <v>0</v>
      </c>
      <c r="U798" s="150"/>
    </row>
    <row r="799" spans="1:21" ht="14.25" x14ac:dyDescent="0.2">
      <c r="A799" s="50">
        <f t="shared" si="12"/>
        <v>796</v>
      </c>
      <c r="B799" s="17"/>
      <c r="C799" s="17"/>
      <c r="D799" s="17"/>
      <c r="E799" s="51"/>
      <c r="F799" s="50"/>
      <c r="G799" s="23"/>
      <c r="H799" s="24"/>
      <c r="I799" s="23"/>
      <c r="J799" s="19">
        <f>Таблица1[[#This Row],[Блок
 Куб]]*Таблица1[[#This Row],[Цена 
Приход]]</f>
        <v>0</v>
      </c>
      <c r="K799" s="25"/>
      <c r="L799" s="25"/>
      <c r="M799" s="19">
        <f>Таблица1[[#This Row],[Поддон
Шт]]*Таблица1[[#This Row],[Цена
Поддон]]</f>
        <v>0</v>
      </c>
      <c r="N799" s="19">
        <f>Таблица1[[#This Row],[Сумма 
Приход]]+Таблица1[[#This Row],[Сумма Поддон]]</f>
        <v>0</v>
      </c>
      <c r="O799" s="20"/>
      <c r="P799" s="19">
        <f>Таблица1[[#This Row],[Цена
 Продажа]]-Таблица1[[#This Row],[Цена 
Приход]]</f>
        <v>0</v>
      </c>
      <c r="Q799" s="19"/>
      <c r="R799" s="19">
        <f>Таблица1[[#This Row],[Блок
 Куб]]*Таблица1[[#This Row],[Цена
 Продажа]]</f>
        <v>0</v>
      </c>
      <c r="S799" s="20"/>
      <c r="T799" s="19">
        <f>Таблица1[[#This Row],[Сумма 
Продажа]]-Таблица1[[#This Row],[Сумма 
Приход]]</f>
        <v>0</v>
      </c>
      <c r="U799" s="150"/>
    </row>
    <row r="800" spans="1:21" ht="14.25" x14ac:dyDescent="0.2">
      <c r="A800" s="50">
        <f t="shared" si="12"/>
        <v>797</v>
      </c>
      <c r="B800" s="17"/>
      <c r="C800" s="17"/>
      <c r="D800" s="17"/>
      <c r="E800" s="51"/>
      <c r="F800" s="50"/>
      <c r="G800" s="23"/>
      <c r="H800" s="24"/>
      <c r="I800" s="23"/>
      <c r="J800" s="19">
        <f>Таблица1[[#This Row],[Блок
 Куб]]*Таблица1[[#This Row],[Цена 
Приход]]</f>
        <v>0</v>
      </c>
      <c r="K800" s="25"/>
      <c r="L800" s="25"/>
      <c r="M800" s="19">
        <f>Таблица1[[#This Row],[Поддон
Шт]]*Таблица1[[#This Row],[Цена
Поддон]]</f>
        <v>0</v>
      </c>
      <c r="N800" s="19">
        <f>Таблица1[[#This Row],[Сумма 
Приход]]+Таблица1[[#This Row],[Сумма Поддон]]</f>
        <v>0</v>
      </c>
      <c r="O800" s="20"/>
      <c r="P800" s="19">
        <f>Таблица1[[#This Row],[Цена
 Продажа]]-Таблица1[[#This Row],[Цена 
Приход]]</f>
        <v>0</v>
      </c>
      <c r="Q800" s="19"/>
      <c r="R800" s="19">
        <f>Таблица1[[#This Row],[Блок
 Куб]]*Таблица1[[#This Row],[Цена
 Продажа]]</f>
        <v>0</v>
      </c>
      <c r="S800" s="20"/>
      <c r="T800" s="19">
        <f>Таблица1[[#This Row],[Сумма 
Продажа]]-Таблица1[[#This Row],[Сумма 
Приход]]</f>
        <v>0</v>
      </c>
      <c r="U800" s="150"/>
    </row>
    <row r="801" spans="1:21" ht="14.25" x14ac:dyDescent="0.2">
      <c r="A801" s="50">
        <f t="shared" si="12"/>
        <v>798</v>
      </c>
      <c r="B801" s="17"/>
      <c r="C801" s="17"/>
      <c r="D801" s="17"/>
      <c r="E801" s="51"/>
      <c r="F801" s="50"/>
      <c r="G801" s="23"/>
      <c r="H801" s="24"/>
      <c r="I801" s="23"/>
      <c r="J801" s="19">
        <f>Таблица1[[#This Row],[Блок
 Куб]]*Таблица1[[#This Row],[Цена 
Приход]]</f>
        <v>0</v>
      </c>
      <c r="K801" s="25"/>
      <c r="L801" s="25"/>
      <c r="M801" s="19">
        <f>Таблица1[[#This Row],[Поддон
Шт]]*Таблица1[[#This Row],[Цена
Поддон]]</f>
        <v>0</v>
      </c>
      <c r="N801" s="19">
        <f>Таблица1[[#This Row],[Сумма 
Приход]]+Таблица1[[#This Row],[Сумма Поддон]]</f>
        <v>0</v>
      </c>
      <c r="O801" s="20"/>
      <c r="P801" s="19">
        <f>Таблица1[[#This Row],[Цена
 Продажа]]-Таблица1[[#This Row],[Цена 
Приход]]</f>
        <v>0</v>
      </c>
      <c r="Q801" s="19"/>
      <c r="R801" s="19">
        <f>Таблица1[[#This Row],[Блок
 Куб]]*Таблица1[[#This Row],[Цена
 Продажа]]</f>
        <v>0</v>
      </c>
      <c r="S801" s="20"/>
      <c r="T801" s="19">
        <f>Таблица1[[#This Row],[Сумма 
Продажа]]-Таблица1[[#This Row],[Сумма 
Приход]]</f>
        <v>0</v>
      </c>
      <c r="U801" s="150"/>
    </row>
    <row r="802" spans="1:21" ht="14.25" x14ac:dyDescent="0.2">
      <c r="A802" s="50">
        <f t="shared" si="12"/>
        <v>799</v>
      </c>
      <c r="B802" s="17"/>
      <c r="C802" s="17"/>
      <c r="D802" s="17"/>
      <c r="E802" s="51"/>
      <c r="F802" s="50"/>
      <c r="G802" s="23"/>
      <c r="H802" s="24"/>
      <c r="I802" s="23"/>
      <c r="J802" s="19">
        <f>Таблица1[[#This Row],[Блок
 Куб]]*Таблица1[[#This Row],[Цена 
Приход]]</f>
        <v>0</v>
      </c>
      <c r="K802" s="25"/>
      <c r="L802" s="25"/>
      <c r="M802" s="19">
        <f>Таблица1[[#This Row],[Поддон
Шт]]*Таблица1[[#This Row],[Цена
Поддон]]</f>
        <v>0</v>
      </c>
      <c r="N802" s="19">
        <f>Таблица1[[#This Row],[Сумма 
Приход]]+Таблица1[[#This Row],[Сумма Поддон]]</f>
        <v>0</v>
      </c>
      <c r="O802" s="20"/>
      <c r="P802" s="19">
        <f>Таблица1[[#This Row],[Цена
 Продажа]]-Таблица1[[#This Row],[Цена 
Приход]]</f>
        <v>0</v>
      </c>
      <c r="Q802" s="19"/>
      <c r="R802" s="19">
        <f>Таблица1[[#This Row],[Блок
 Куб]]*Таблица1[[#This Row],[Цена
 Продажа]]</f>
        <v>0</v>
      </c>
      <c r="S802" s="20"/>
      <c r="T802" s="19">
        <f>Таблица1[[#This Row],[Сумма 
Продажа]]-Таблица1[[#This Row],[Сумма 
Приход]]</f>
        <v>0</v>
      </c>
      <c r="U802" s="150"/>
    </row>
    <row r="803" spans="1:21" ht="14.25" x14ac:dyDescent="0.2">
      <c r="A803" s="50">
        <f t="shared" si="12"/>
        <v>800</v>
      </c>
      <c r="B803" s="17"/>
      <c r="C803" s="17"/>
      <c r="D803" s="17"/>
      <c r="E803" s="51"/>
      <c r="F803" s="50"/>
      <c r="G803" s="23"/>
      <c r="H803" s="24"/>
      <c r="I803" s="23"/>
      <c r="J803" s="19">
        <f>Таблица1[[#This Row],[Блок
 Куб]]*Таблица1[[#This Row],[Цена 
Приход]]</f>
        <v>0</v>
      </c>
      <c r="K803" s="25"/>
      <c r="L803" s="25"/>
      <c r="M803" s="19">
        <f>Таблица1[[#This Row],[Поддон
Шт]]*Таблица1[[#This Row],[Цена
Поддон]]</f>
        <v>0</v>
      </c>
      <c r="N803" s="19">
        <f>Таблица1[[#This Row],[Сумма 
Приход]]+Таблица1[[#This Row],[Сумма Поддон]]</f>
        <v>0</v>
      </c>
      <c r="O803" s="20"/>
      <c r="P803" s="19">
        <f>Таблица1[[#This Row],[Цена
 Продажа]]-Таблица1[[#This Row],[Цена 
Приход]]</f>
        <v>0</v>
      </c>
      <c r="Q803" s="19"/>
      <c r="R803" s="19">
        <f>Таблица1[[#This Row],[Блок
 Куб]]*Таблица1[[#This Row],[Цена
 Продажа]]</f>
        <v>0</v>
      </c>
      <c r="S803" s="20"/>
      <c r="T803" s="19">
        <f>Таблица1[[#This Row],[Сумма 
Продажа]]-Таблица1[[#This Row],[Сумма 
Приход]]</f>
        <v>0</v>
      </c>
      <c r="U803" s="150"/>
    </row>
    <row r="804" spans="1:21" ht="14.25" x14ac:dyDescent="0.2">
      <c r="A804" s="50">
        <f t="shared" si="12"/>
        <v>801</v>
      </c>
      <c r="B804" s="17"/>
      <c r="C804" s="17"/>
      <c r="D804" s="17"/>
      <c r="E804" s="51"/>
      <c r="F804" s="50"/>
      <c r="G804" s="23"/>
      <c r="H804" s="24"/>
      <c r="I804" s="23"/>
      <c r="J804" s="19">
        <f>Таблица1[[#This Row],[Блок
 Куб]]*Таблица1[[#This Row],[Цена 
Приход]]</f>
        <v>0</v>
      </c>
      <c r="K804" s="25"/>
      <c r="L804" s="25"/>
      <c r="M804" s="19">
        <f>Таблица1[[#This Row],[Поддон
Шт]]*Таблица1[[#This Row],[Цена
Поддон]]</f>
        <v>0</v>
      </c>
      <c r="N804" s="19">
        <f>Таблица1[[#This Row],[Сумма 
Приход]]+Таблица1[[#This Row],[Сумма Поддон]]</f>
        <v>0</v>
      </c>
      <c r="O804" s="20"/>
      <c r="P804" s="19">
        <f>Таблица1[[#This Row],[Цена
 Продажа]]-Таблица1[[#This Row],[Цена 
Приход]]</f>
        <v>0</v>
      </c>
      <c r="Q804" s="19"/>
      <c r="R804" s="19">
        <f>Таблица1[[#This Row],[Блок
 Куб]]*Таблица1[[#This Row],[Цена
 Продажа]]</f>
        <v>0</v>
      </c>
      <c r="S804" s="20"/>
      <c r="T804" s="19">
        <f>Таблица1[[#This Row],[Сумма 
Продажа]]-Таблица1[[#This Row],[Сумма 
Приход]]</f>
        <v>0</v>
      </c>
      <c r="U804" s="150"/>
    </row>
    <row r="805" spans="1:21" ht="14.25" x14ac:dyDescent="0.2">
      <c r="A805" s="50">
        <f t="shared" si="12"/>
        <v>802</v>
      </c>
      <c r="B805" s="17"/>
      <c r="C805" s="17"/>
      <c r="D805" s="17"/>
      <c r="E805" s="51"/>
      <c r="F805" s="50"/>
      <c r="G805" s="23"/>
      <c r="H805" s="24"/>
      <c r="I805" s="23"/>
      <c r="J805" s="19">
        <f>Таблица1[[#This Row],[Блок
 Куб]]*Таблица1[[#This Row],[Цена 
Приход]]</f>
        <v>0</v>
      </c>
      <c r="K805" s="25"/>
      <c r="L805" s="25"/>
      <c r="M805" s="19">
        <f>Таблица1[[#This Row],[Поддон
Шт]]*Таблица1[[#This Row],[Цена
Поддон]]</f>
        <v>0</v>
      </c>
      <c r="N805" s="19">
        <f>Таблица1[[#This Row],[Сумма 
Приход]]+Таблица1[[#This Row],[Сумма Поддон]]</f>
        <v>0</v>
      </c>
      <c r="O805" s="20"/>
      <c r="P805" s="19">
        <f>Таблица1[[#This Row],[Цена
 Продажа]]-Таблица1[[#This Row],[Цена 
Приход]]</f>
        <v>0</v>
      </c>
      <c r="Q805" s="19"/>
      <c r="R805" s="19">
        <f>Таблица1[[#This Row],[Блок
 Куб]]*Таблица1[[#This Row],[Цена
 Продажа]]</f>
        <v>0</v>
      </c>
      <c r="S805" s="20"/>
      <c r="T805" s="19">
        <f>Таблица1[[#This Row],[Сумма 
Продажа]]-Таблица1[[#This Row],[Сумма 
Приход]]</f>
        <v>0</v>
      </c>
      <c r="U805" s="150"/>
    </row>
    <row r="806" spans="1:21" ht="14.25" x14ac:dyDescent="0.2">
      <c r="A806" s="50">
        <f t="shared" si="12"/>
        <v>803</v>
      </c>
      <c r="B806" s="17"/>
      <c r="C806" s="17"/>
      <c r="D806" s="17"/>
      <c r="E806" s="51"/>
      <c r="F806" s="50"/>
      <c r="G806" s="23"/>
      <c r="H806" s="24"/>
      <c r="I806" s="23"/>
      <c r="J806" s="19">
        <f>Таблица1[[#This Row],[Блок
 Куб]]*Таблица1[[#This Row],[Цена 
Приход]]</f>
        <v>0</v>
      </c>
      <c r="K806" s="25"/>
      <c r="L806" s="25"/>
      <c r="M806" s="19">
        <f>Таблица1[[#This Row],[Поддон
Шт]]*Таблица1[[#This Row],[Цена
Поддон]]</f>
        <v>0</v>
      </c>
      <c r="N806" s="19">
        <f>Таблица1[[#This Row],[Сумма 
Приход]]+Таблица1[[#This Row],[Сумма Поддон]]</f>
        <v>0</v>
      </c>
      <c r="O806" s="20"/>
      <c r="P806" s="19">
        <f>Таблица1[[#This Row],[Цена
 Продажа]]-Таблица1[[#This Row],[Цена 
Приход]]</f>
        <v>0</v>
      </c>
      <c r="Q806" s="19"/>
      <c r="R806" s="19">
        <f>Таблица1[[#This Row],[Блок
 Куб]]*Таблица1[[#This Row],[Цена
 Продажа]]</f>
        <v>0</v>
      </c>
      <c r="S806" s="20"/>
      <c r="T806" s="19">
        <f>Таблица1[[#This Row],[Сумма 
Продажа]]-Таблица1[[#This Row],[Сумма 
Приход]]</f>
        <v>0</v>
      </c>
      <c r="U806" s="150"/>
    </row>
    <row r="807" spans="1:21" ht="14.25" x14ac:dyDescent="0.2">
      <c r="A807" s="50">
        <f t="shared" si="12"/>
        <v>804</v>
      </c>
      <c r="B807" s="17"/>
      <c r="C807" s="17"/>
      <c r="D807" s="17"/>
      <c r="E807" s="51"/>
      <c r="F807" s="50"/>
      <c r="G807" s="23"/>
      <c r="H807" s="24"/>
      <c r="I807" s="23"/>
      <c r="J807" s="19">
        <f>Таблица1[[#This Row],[Блок
 Куб]]*Таблица1[[#This Row],[Цена 
Приход]]</f>
        <v>0</v>
      </c>
      <c r="K807" s="25"/>
      <c r="L807" s="25"/>
      <c r="M807" s="19">
        <f>Таблица1[[#This Row],[Поддон
Шт]]*Таблица1[[#This Row],[Цена
Поддон]]</f>
        <v>0</v>
      </c>
      <c r="N807" s="19">
        <f>Таблица1[[#This Row],[Сумма 
Приход]]+Таблица1[[#This Row],[Сумма Поддон]]</f>
        <v>0</v>
      </c>
      <c r="O807" s="20"/>
      <c r="P807" s="19">
        <f>Таблица1[[#This Row],[Цена
 Продажа]]-Таблица1[[#This Row],[Цена 
Приход]]</f>
        <v>0</v>
      </c>
      <c r="Q807" s="19"/>
      <c r="R807" s="19">
        <f>Таблица1[[#This Row],[Блок
 Куб]]*Таблица1[[#This Row],[Цена
 Продажа]]</f>
        <v>0</v>
      </c>
      <c r="S807" s="20"/>
      <c r="T807" s="19">
        <f>Таблица1[[#This Row],[Сумма 
Продажа]]-Таблица1[[#This Row],[Сумма 
Приход]]</f>
        <v>0</v>
      </c>
      <c r="U807" s="150"/>
    </row>
    <row r="808" spans="1:21" ht="14.25" x14ac:dyDescent="0.2">
      <c r="A808" s="50">
        <f t="shared" si="12"/>
        <v>805</v>
      </c>
      <c r="B808" s="17"/>
      <c r="C808" s="17"/>
      <c r="D808" s="17"/>
      <c r="E808" s="51"/>
      <c r="F808" s="50"/>
      <c r="G808" s="23"/>
      <c r="H808" s="24"/>
      <c r="I808" s="23"/>
      <c r="J808" s="19">
        <f>Таблица1[[#This Row],[Блок
 Куб]]*Таблица1[[#This Row],[Цена 
Приход]]</f>
        <v>0</v>
      </c>
      <c r="K808" s="25"/>
      <c r="L808" s="25"/>
      <c r="M808" s="19">
        <f>Таблица1[[#This Row],[Поддон
Шт]]*Таблица1[[#This Row],[Цена
Поддон]]</f>
        <v>0</v>
      </c>
      <c r="N808" s="19">
        <f>Таблица1[[#This Row],[Сумма 
Приход]]+Таблица1[[#This Row],[Сумма Поддон]]</f>
        <v>0</v>
      </c>
      <c r="O808" s="20"/>
      <c r="P808" s="19">
        <f>Таблица1[[#This Row],[Цена
 Продажа]]-Таблица1[[#This Row],[Цена 
Приход]]</f>
        <v>0</v>
      </c>
      <c r="Q808" s="19"/>
      <c r="R808" s="19">
        <f>Таблица1[[#This Row],[Блок
 Куб]]*Таблица1[[#This Row],[Цена
 Продажа]]</f>
        <v>0</v>
      </c>
      <c r="S808" s="20"/>
      <c r="T808" s="19">
        <f>Таблица1[[#This Row],[Сумма 
Продажа]]-Таблица1[[#This Row],[Сумма 
Приход]]</f>
        <v>0</v>
      </c>
      <c r="U808" s="150"/>
    </row>
    <row r="809" spans="1:21" ht="14.25" x14ac:dyDescent="0.2">
      <c r="A809" s="50">
        <f t="shared" si="12"/>
        <v>806</v>
      </c>
      <c r="B809" s="17"/>
      <c r="C809" s="17"/>
      <c r="D809" s="17"/>
      <c r="E809" s="51"/>
      <c r="F809" s="50"/>
      <c r="G809" s="23"/>
      <c r="H809" s="24"/>
      <c r="I809" s="23"/>
      <c r="J809" s="19">
        <f>Таблица1[[#This Row],[Блок
 Куб]]*Таблица1[[#This Row],[Цена 
Приход]]</f>
        <v>0</v>
      </c>
      <c r="K809" s="25"/>
      <c r="L809" s="25"/>
      <c r="M809" s="19">
        <f>Таблица1[[#This Row],[Поддон
Шт]]*Таблица1[[#This Row],[Цена
Поддон]]</f>
        <v>0</v>
      </c>
      <c r="N809" s="19">
        <f>Таблица1[[#This Row],[Сумма 
Приход]]+Таблица1[[#This Row],[Сумма Поддон]]</f>
        <v>0</v>
      </c>
      <c r="O809" s="20"/>
      <c r="P809" s="19">
        <f>Таблица1[[#This Row],[Цена
 Продажа]]-Таблица1[[#This Row],[Цена 
Приход]]</f>
        <v>0</v>
      </c>
      <c r="Q809" s="19"/>
      <c r="R809" s="19">
        <f>Таблица1[[#This Row],[Блок
 Куб]]*Таблица1[[#This Row],[Цена
 Продажа]]</f>
        <v>0</v>
      </c>
      <c r="S809" s="20"/>
      <c r="T809" s="19">
        <f>Таблица1[[#This Row],[Сумма 
Продажа]]-Таблица1[[#This Row],[Сумма 
Приход]]</f>
        <v>0</v>
      </c>
      <c r="U809" s="150"/>
    </row>
    <row r="810" spans="1:21" ht="14.25" x14ac:dyDescent="0.2">
      <c r="A810" s="50">
        <f t="shared" si="12"/>
        <v>807</v>
      </c>
      <c r="B810" s="17"/>
      <c r="C810" s="17"/>
      <c r="D810" s="17"/>
      <c r="E810" s="51"/>
      <c r="F810" s="50"/>
      <c r="G810" s="23"/>
      <c r="H810" s="24"/>
      <c r="I810" s="23"/>
      <c r="J810" s="19">
        <f>Таблица1[[#This Row],[Блок
 Куб]]*Таблица1[[#This Row],[Цена 
Приход]]</f>
        <v>0</v>
      </c>
      <c r="K810" s="25"/>
      <c r="L810" s="25"/>
      <c r="M810" s="19">
        <f>Таблица1[[#This Row],[Поддон
Шт]]*Таблица1[[#This Row],[Цена
Поддон]]</f>
        <v>0</v>
      </c>
      <c r="N810" s="19">
        <f>Таблица1[[#This Row],[Сумма 
Приход]]+Таблица1[[#This Row],[Сумма Поддон]]</f>
        <v>0</v>
      </c>
      <c r="O810" s="20"/>
      <c r="P810" s="19">
        <f>Таблица1[[#This Row],[Цена
 Продажа]]-Таблица1[[#This Row],[Цена 
Приход]]</f>
        <v>0</v>
      </c>
      <c r="Q810" s="19"/>
      <c r="R810" s="19">
        <f>Таблица1[[#This Row],[Блок
 Куб]]*Таблица1[[#This Row],[Цена
 Продажа]]</f>
        <v>0</v>
      </c>
      <c r="S810" s="20"/>
      <c r="T810" s="19">
        <f>Таблица1[[#This Row],[Сумма 
Продажа]]-Таблица1[[#This Row],[Сумма 
Приход]]</f>
        <v>0</v>
      </c>
      <c r="U810" s="150"/>
    </row>
    <row r="811" spans="1:21" ht="14.25" x14ac:dyDescent="0.2">
      <c r="A811" s="50">
        <f t="shared" si="12"/>
        <v>808</v>
      </c>
      <c r="B811" s="17"/>
      <c r="C811" s="17"/>
      <c r="D811" s="17"/>
      <c r="E811" s="51"/>
      <c r="F811" s="50"/>
      <c r="G811" s="23"/>
      <c r="H811" s="24"/>
      <c r="I811" s="23"/>
      <c r="J811" s="19">
        <f>Таблица1[[#This Row],[Блок
 Куб]]*Таблица1[[#This Row],[Цена 
Приход]]</f>
        <v>0</v>
      </c>
      <c r="K811" s="25"/>
      <c r="L811" s="25"/>
      <c r="M811" s="19">
        <f>Таблица1[[#This Row],[Поддон
Шт]]*Таблица1[[#This Row],[Цена
Поддон]]</f>
        <v>0</v>
      </c>
      <c r="N811" s="19">
        <f>Таблица1[[#This Row],[Сумма 
Приход]]+Таблица1[[#This Row],[Сумма Поддон]]</f>
        <v>0</v>
      </c>
      <c r="O811" s="20"/>
      <c r="P811" s="19">
        <f>Таблица1[[#This Row],[Цена
 Продажа]]-Таблица1[[#This Row],[Цена 
Приход]]</f>
        <v>0</v>
      </c>
      <c r="Q811" s="19"/>
      <c r="R811" s="19">
        <f>Таблица1[[#This Row],[Блок
 Куб]]*Таблица1[[#This Row],[Цена
 Продажа]]</f>
        <v>0</v>
      </c>
      <c r="S811" s="20"/>
      <c r="T811" s="19">
        <f>Таблица1[[#This Row],[Сумма 
Продажа]]-Таблица1[[#This Row],[Сумма 
Приход]]</f>
        <v>0</v>
      </c>
      <c r="U811" s="150"/>
    </row>
    <row r="812" spans="1:21" ht="14.25" x14ac:dyDescent="0.2">
      <c r="A812" s="50">
        <f t="shared" si="12"/>
        <v>809</v>
      </c>
      <c r="B812" s="17"/>
      <c r="C812" s="17"/>
      <c r="D812" s="17"/>
      <c r="E812" s="51"/>
      <c r="F812" s="50"/>
      <c r="G812" s="23"/>
      <c r="H812" s="24"/>
      <c r="I812" s="23"/>
      <c r="J812" s="19">
        <f>Таблица1[[#This Row],[Блок
 Куб]]*Таблица1[[#This Row],[Цена 
Приход]]</f>
        <v>0</v>
      </c>
      <c r="K812" s="25"/>
      <c r="L812" s="25"/>
      <c r="M812" s="19">
        <f>Таблица1[[#This Row],[Поддон
Шт]]*Таблица1[[#This Row],[Цена
Поддон]]</f>
        <v>0</v>
      </c>
      <c r="N812" s="19">
        <f>Таблица1[[#This Row],[Сумма 
Приход]]+Таблица1[[#This Row],[Сумма Поддон]]</f>
        <v>0</v>
      </c>
      <c r="O812" s="20"/>
      <c r="P812" s="19">
        <f>Таблица1[[#This Row],[Цена
 Продажа]]-Таблица1[[#This Row],[Цена 
Приход]]</f>
        <v>0</v>
      </c>
      <c r="Q812" s="19"/>
      <c r="R812" s="19">
        <f>Таблица1[[#This Row],[Блок
 Куб]]*Таблица1[[#This Row],[Цена
 Продажа]]</f>
        <v>0</v>
      </c>
      <c r="S812" s="20"/>
      <c r="T812" s="19">
        <f>Таблица1[[#This Row],[Сумма 
Продажа]]-Таблица1[[#This Row],[Сумма 
Приход]]</f>
        <v>0</v>
      </c>
      <c r="U812" s="150"/>
    </row>
    <row r="813" spans="1:21" ht="14.25" x14ac:dyDescent="0.2">
      <c r="A813" s="50">
        <f t="shared" si="12"/>
        <v>810</v>
      </c>
      <c r="B813" s="17"/>
      <c r="C813" s="17"/>
      <c r="D813" s="17"/>
      <c r="E813" s="51"/>
      <c r="F813" s="50"/>
      <c r="G813" s="23"/>
      <c r="H813" s="24"/>
      <c r="I813" s="23"/>
      <c r="J813" s="19">
        <f>Таблица1[[#This Row],[Блок
 Куб]]*Таблица1[[#This Row],[Цена 
Приход]]</f>
        <v>0</v>
      </c>
      <c r="K813" s="25"/>
      <c r="L813" s="25"/>
      <c r="M813" s="19">
        <f>Таблица1[[#This Row],[Поддон
Шт]]*Таблица1[[#This Row],[Цена
Поддон]]</f>
        <v>0</v>
      </c>
      <c r="N813" s="19">
        <f>Таблица1[[#This Row],[Сумма 
Приход]]+Таблица1[[#This Row],[Сумма Поддон]]</f>
        <v>0</v>
      </c>
      <c r="O813" s="20"/>
      <c r="P813" s="19">
        <f>Таблица1[[#This Row],[Цена
 Продажа]]-Таблица1[[#This Row],[Цена 
Приход]]</f>
        <v>0</v>
      </c>
      <c r="Q813" s="19"/>
      <c r="R813" s="19">
        <f>Таблица1[[#This Row],[Блок
 Куб]]*Таблица1[[#This Row],[Цена
 Продажа]]</f>
        <v>0</v>
      </c>
      <c r="S813" s="20"/>
      <c r="T813" s="19">
        <f>Таблица1[[#This Row],[Сумма 
Продажа]]-Таблица1[[#This Row],[Сумма 
Приход]]</f>
        <v>0</v>
      </c>
      <c r="U813" s="150"/>
    </row>
    <row r="814" spans="1:21" ht="14.25" x14ac:dyDescent="0.2">
      <c r="A814" s="50">
        <f t="shared" si="12"/>
        <v>811</v>
      </c>
      <c r="B814" s="17"/>
      <c r="C814" s="17"/>
      <c r="D814" s="17"/>
      <c r="E814" s="51"/>
      <c r="F814" s="50"/>
      <c r="G814" s="23"/>
      <c r="H814" s="24"/>
      <c r="I814" s="23"/>
      <c r="J814" s="19">
        <f>Таблица1[[#This Row],[Блок
 Куб]]*Таблица1[[#This Row],[Цена 
Приход]]</f>
        <v>0</v>
      </c>
      <c r="K814" s="25"/>
      <c r="L814" s="25"/>
      <c r="M814" s="19">
        <f>Таблица1[[#This Row],[Поддон
Шт]]*Таблица1[[#This Row],[Цена
Поддон]]</f>
        <v>0</v>
      </c>
      <c r="N814" s="19">
        <f>Таблица1[[#This Row],[Сумма 
Приход]]+Таблица1[[#This Row],[Сумма Поддон]]</f>
        <v>0</v>
      </c>
      <c r="O814" s="20"/>
      <c r="P814" s="19">
        <f>Таблица1[[#This Row],[Цена
 Продажа]]-Таблица1[[#This Row],[Цена 
Приход]]</f>
        <v>0</v>
      </c>
      <c r="Q814" s="19"/>
      <c r="R814" s="19">
        <f>Таблица1[[#This Row],[Блок
 Куб]]*Таблица1[[#This Row],[Цена
 Продажа]]</f>
        <v>0</v>
      </c>
      <c r="S814" s="20"/>
      <c r="T814" s="19">
        <f>Таблица1[[#This Row],[Сумма 
Продажа]]-Таблица1[[#This Row],[Сумма 
Приход]]</f>
        <v>0</v>
      </c>
      <c r="U814" s="150"/>
    </row>
    <row r="815" spans="1:21" ht="14.25" x14ac:dyDescent="0.2">
      <c r="A815" s="50">
        <f t="shared" si="12"/>
        <v>812</v>
      </c>
      <c r="B815" s="17"/>
      <c r="C815" s="17"/>
      <c r="D815" s="17"/>
      <c r="E815" s="51"/>
      <c r="F815" s="50"/>
      <c r="G815" s="23"/>
      <c r="H815" s="24"/>
      <c r="I815" s="23"/>
      <c r="J815" s="19">
        <f>Таблица1[[#This Row],[Блок
 Куб]]*Таблица1[[#This Row],[Цена 
Приход]]</f>
        <v>0</v>
      </c>
      <c r="K815" s="25"/>
      <c r="L815" s="25"/>
      <c r="M815" s="19">
        <f>Таблица1[[#This Row],[Поддон
Шт]]*Таблица1[[#This Row],[Цена
Поддон]]</f>
        <v>0</v>
      </c>
      <c r="N815" s="19">
        <f>Таблица1[[#This Row],[Сумма 
Приход]]+Таблица1[[#This Row],[Сумма Поддон]]</f>
        <v>0</v>
      </c>
      <c r="O815" s="20"/>
      <c r="P815" s="19">
        <f>Таблица1[[#This Row],[Цена
 Продажа]]-Таблица1[[#This Row],[Цена 
Приход]]</f>
        <v>0</v>
      </c>
      <c r="Q815" s="19"/>
      <c r="R815" s="19">
        <f>Таблица1[[#This Row],[Блок
 Куб]]*Таблица1[[#This Row],[Цена
 Продажа]]</f>
        <v>0</v>
      </c>
      <c r="S815" s="20"/>
      <c r="T815" s="19">
        <f>Таблица1[[#This Row],[Сумма 
Продажа]]-Таблица1[[#This Row],[Сумма 
Приход]]</f>
        <v>0</v>
      </c>
      <c r="U815" s="150"/>
    </row>
    <row r="816" spans="1:21" ht="14.25" x14ac:dyDescent="0.2">
      <c r="A816" s="50">
        <f t="shared" si="12"/>
        <v>813</v>
      </c>
      <c r="B816" s="17"/>
      <c r="C816" s="17"/>
      <c r="D816" s="17"/>
      <c r="E816" s="51"/>
      <c r="F816" s="50"/>
      <c r="G816" s="23"/>
      <c r="H816" s="24"/>
      <c r="I816" s="23"/>
      <c r="J816" s="19">
        <f>Таблица1[[#This Row],[Блок
 Куб]]*Таблица1[[#This Row],[Цена 
Приход]]</f>
        <v>0</v>
      </c>
      <c r="K816" s="25"/>
      <c r="L816" s="25"/>
      <c r="M816" s="19">
        <f>Таблица1[[#This Row],[Поддон
Шт]]*Таблица1[[#This Row],[Цена
Поддон]]</f>
        <v>0</v>
      </c>
      <c r="N816" s="19">
        <f>Таблица1[[#This Row],[Сумма 
Приход]]+Таблица1[[#This Row],[Сумма Поддон]]</f>
        <v>0</v>
      </c>
      <c r="O816" s="20"/>
      <c r="P816" s="19">
        <f>Таблица1[[#This Row],[Цена
 Продажа]]-Таблица1[[#This Row],[Цена 
Приход]]</f>
        <v>0</v>
      </c>
      <c r="Q816" s="19"/>
      <c r="R816" s="19">
        <f>Таблица1[[#This Row],[Блок
 Куб]]*Таблица1[[#This Row],[Цена
 Продажа]]</f>
        <v>0</v>
      </c>
      <c r="S816" s="20"/>
      <c r="T816" s="19">
        <f>Таблица1[[#This Row],[Сумма 
Продажа]]-Таблица1[[#This Row],[Сумма 
Приход]]</f>
        <v>0</v>
      </c>
      <c r="U816" s="150"/>
    </row>
    <row r="817" spans="1:21" ht="14.25" x14ac:dyDescent="0.2">
      <c r="A817" s="50">
        <f t="shared" si="12"/>
        <v>814</v>
      </c>
      <c r="B817" s="17"/>
      <c r="C817" s="17"/>
      <c r="D817" s="17"/>
      <c r="E817" s="51"/>
      <c r="F817" s="50"/>
      <c r="G817" s="23"/>
      <c r="H817" s="24"/>
      <c r="I817" s="23"/>
      <c r="J817" s="19">
        <f>Таблица1[[#This Row],[Блок
 Куб]]*Таблица1[[#This Row],[Цена 
Приход]]</f>
        <v>0</v>
      </c>
      <c r="K817" s="25"/>
      <c r="L817" s="25"/>
      <c r="M817" s="19">
        <f>Таблица1[[#This Row],[Поддон
Шт]]*Таблица1[[#This Row],[Цена
Поддон]]</f>
        <v>0</v>
      </c>
      <c r="N817" s="19">
        <f>Таблица1[[#This Row],[Сумма 
Приход]]+Таблица1[[#This Row],[Сумма Поддон]]</f>
        <v>0</v>
      </c>
      <c r="O817" s="20"/>
      <c r="P817" s="19">
        <f>Таблица1[[#This Row],[Цена
 Продажа]]-Таблица1[[#This Row],[Цена 
Приход]]</f>
        <v>0</v>
      </c>
      <c r="Q817" s="19"/>
      <c r="R817" s="19">
        <f>Таблица1[[#This Row],[Блок
 Куб]]*Таблица1[[#This Row],[Цена
 Продажа]]</f>
        <v>0</v>
      </c>
      <c r="S817" s="20"/>
      <c r="T817" s="19">
        <f>Таблица1[[#This Row],[Сумма 
Продажа]]-Таблица1[[#This Row],[Сумма 
Приход]]</f>
        <v>0</v>
      </c>
      <c r="U817" s="150"/>
    </row>
    <row r="818" spans="1:21" ht="14.25" x14ac:dyDescent="0.2">
      <c r="A818" s="50">
        <f t="shared" si="12"/>
        <v>815</v>
      </c>
      <c r="B818" s="17"/>
      <c r="C818" s="17"/>
      <c r="D818" s="17"/>
      <c r="E818" s="51"/>
      <c r="F818" s="50"/>
      <c r="G818" s="23"/>
      <c r="H818" s="24"/>
      <c r="I818" s="23"/>
      <c r="J818" s="19">
        <f>Таблица1[[#This Row],[Блок
 Куб]]*Таблица1[[#This Row],[Цена 
Приход]]</f>
        <v>0</v>
      </c>
      <c r="K818" s="25"/>
      <c r="L818" s="25"/>
      <c r="M818" s="19">
        <f>Таблица1[[#This Row],[Поддон
Шт]]*Таблица1[[#This Row],[Цена
Поддон]]</f>
        <v>0</v>
      </c>
      <c r="N818" s="19">
        <f>Таблица1[[#This Row],[Сумма 
Приход]]+Таблица1[[#This Row],[Сумма Поддон]]</f>
        <v>0</v>
      </c>
      <c r="O818" s="20"/>
      <c r="P818" s="19">
        <f>Таблица1[[#This Row],[Цена
 Продажа]]-Таблица1[[#This Row],[Цена 
Приход]]</f>
        <v>0</v>
      </c>
      <c r="Q818" s="19"/>
      <c r="R818" s="19">
        <f>Таблица1[[#This Row],[Блок
 Куб]]*Таблица1[[#This Row],[Цена
 Продажа]]</f>
        <v>0</v>
      </c>
      <c r="S818" s="20"/>
      <c r="T818" s="19">
        <f>Таблица1[[#This Row],[Сумма 
Продажа]]-Таблица1[[#This Row],[Сумма 
Приход]]</f>
        <v>0</v>
      </c>
      <c r="U818" s="150"/>
    </row>
    <row r="819" spans="1:21" ht="14.25" x14ac:dyDescent="0.2">
      <c r="A819" s="50">
        <f t="shared" si="12"/>
        <v>816</v>
      </c>
      <c r="B819" s="17"/>
      <c r="C819" s="17"/>
      <c r="D819" s="17"/>
      <c r="E819" s="51"/>
      <c r="F819" s="50"/>
      <c r="G819" s="23"/>
      <c r="H819" s="24"/>
      <c r="I819" s="23"/>
      <c r="J819" s="19">
        <f>Таблица1[[#This Row],[Блок
 Куб]]*Таблица1[[#This Row],[Цена 
Приход]]</f>
        <v>0</v>
      </c>
      <c r="K819" s="25"/>
      <c r="L819" s="25"/>
      <c r="M819" s="19">
        <f>Таблица1[[#This Row],[Поддон
Шт]]*Таблица1[[#This Row],[Цена
Поддон]]</f>
        <v>0</v>
      </c>
      <c r="N819" s="19">
        <f>Таблица1[[#This Row],[Сумма 
Приход]]+Таблица1[[#This Row],[Сумма Поддон]]</f>
        <v>0</v>
      </c>
      <c r="O819" s="20"/>
      <c r="P819" s="19">
        <f>Таблица1[[#This Row],[Цена
 Продажа]]-Таблица1[[#This Row],[Цена 
Приход]]</f>
        <v>0</v>
      </c>
      <c r="Q819" s="19"/>
      <c r="R819" s="19">
        <f>Таблица1[[#This Row],[Блок
 Куб]]*Таблица1[[#This Row],[Цена
 Продажа]]</f>
        <v>0</v>
      </c>
      <c r="S819" s="20"/>
      <c r="T819" s="19">
        <f>Таблица1[[#This Row],[Сумма 
Продажа]]-Таблица1[[#This Row],[Сумма 
Приход]]</f>
        <v>0</v>
      </c>
      <c r="U819" s="150"/>
    </row>
    <row r="820" spans="1:21" ht="14.25" x14ac:dyDescent="0.2">
      <c r="A820" s="50">
        <f t="shared" si="12"/>
        <v>817</v>
      </c>
      <c r="B820" s="17"/>
      <c r="C820" s="17"/>
      <c r="D820" s="17"/>
      <c r="E820" s="51"/>
      <c r="F820" s="50"/>
      <c r="G820" s="23"/>
      <c r="H820" s="24"/>
      <c r="I820" s="23"/>
      <c r="J820" s="19">
        <f>Таблица1[[#This Row],[Блок
 Куб]]*Таблица1[[#This Row],[Цена 
Приход]]</f>
        <v>0</v>
      </c>
      <c r="K820" s="25"/>
      <c r="L820" s="25"/>
      <c r="M820" s="19">
        <f>Таблица1[[#This Row],[Поддон
Шт]]*Таблица1[[#This Row],[Цена
Поддон]]</f>
        <v>0</v>
      </c>
      <c r="N820" s="19">
        <f>Таблица1[[#This Row],[Сумма 
Приход]]+Таблица1[[#This Row],[Сумма Поддон]]</f>
        <v>0</v>
      </c>
      <c r="O820" s="20"/>
      <c r="P820" s="19">
        <f>Таблица1[[#This Row],[Цена
 Продажа]]-Таблица1[[#This Row],[Цена 
Приход]]</f>
        <v>0</v>
      </c>
      <c r="Q820" s="19"/>
      <c r="R820" s="19">
        <f>Таблица1[[#This Row],[Блок
 Куб]]*Таблица1[[#This Row],[Цена
 Продажа]]</f>
        <v>0</v>
      </c>
      <c r="S820" s="20"/>
      <c r="T820" s="19">
        <f>Таблица1[[#This Row],[Сумма 
Продажа]]-Таблица1[[#This Row],[Сумма 
Приход]]</f>
        <v>0</v>
      </c>
      <c r="U820" s="150"/>
    </row>
    <row r="821" spans="1:21" ht="14.25" x14ac:dyDescent="0.2">
      <c r="A821" s="50">
        <f t="shared" si="12"/>
        <v>818</v>
      </c>
      <c r="B821" s="17"/>
      <c r="C821" s="17"/>
      <c r="D821" s="17"/>
      <c r="E821" s="51"/>
      <c r="F821" s="50"/>
      <c r="G821" s="23"/>
      <c r="H821" s="24"/>
      <c r="I821" s="23"/>
      <c r="J821" s="19">
        <f>Таблица1[[#This Row],[Блок
 Куб]]*Таблица1[[#This Row],[Цена 
Приход]]</f>
        <v>0</v>
      </c>
      <c r="K821" s="25"/>
      <c r="L821" s="25"/>
      <c r="M821" s="19">
        <f>Таблица1[[#This Row],[Поддон
Шт]]*Таблица1[[#This Row],[Цена
Поддон]]</f>
        <v>0</v>
      </c>
      <c r="N821" s="19">
        <f>Таблица1[[#This Row],[Сумма 
Приход]]+Таблица1[[#This Row],[Сумма Поддон]]</f>
        <v>0</v>
      </c>
      <c r="O821" s="20"/>
      <c r="P821" s="19">
        <f>Таблица1[[#This Row],[Цена
 Продажа]]-Таблица1[[#This Row],[Цена 
Приход]]</f>
        <v>0</v>
      </c>
      <c r="Q821" s="19"/>
      <c r="R821" s="19">
        <f>Таблица1[[#This Row],[Блок
 Куб]]*Таблица1[[#This Row],[Цена
 Продажа]]</f>
        <v>0</v>
      </c>
      <c r="S821" s="20"/>
      <c r="T821" s="19">
        <f>Таблица1[[#This Row],[Сумма 
Продажа]]-Таблица1[[#This Row],[Сумма 
Приход]]</f>
        <v>0</v>
      </c>
      <c r="U821" s="150"/>
    </row>
    <row r="822" spans="1:21" ht="14.25" x14ac:dyDescent="0.2">
      <c r="A822" s="50">
        <f t="shared" si="12"/>
        <v>819</v>
      </c>
      <c r="B822" s="17"/>
      <c r="C822" s="17"/>
      <c r="D822" s="17"/>
      <c r="E822" s="51"/>
      <c r="F822" s="50"/>
      <c r="G822" s="23"/>
      <c r="H822" s="24"/>
      <c r="I822" s="23"/>
      <c r="J822" s="19">
        <f>Таблица1[[#This Row],[Блок
 Куб]]*Таблица1[[#This Row],[Цена 
Приход]]</f>
        <v>0</v>
      </c>
      <c r="K822" s="25"/>
      <c r="L822" s="25"/>
      <c r="M822" s="19">
        <f>Таблица1[[#This Row],[Поддон
Шт]]*Таблица1[[#This Row],[Цена
Поддон]]</f>
        <v>0</v>
      </c>
      <c r="N822" s="19">
        <f>Таблица1[[#This Row],[Сумма 
Приход]]+Таблица1[[#This Row],[Сумма Поддон]]</f>
        <v>0</v>
      </c>
      <c r="O822" s="20"/>
      <c r="P822" s="19">
        <f>Таблица1[[#This Row],[Цена
 Продажа]]-Таблица1[[#This Row],[Цена 
Приход]]</f>
        <v>0</v>
      </c>
      <c r="Q822" s="19"/>
      <c r="R822" s="19">
        <f>Таблица1[[#This Row],[Блок
 Куб]]*Таблица1[[#This Row],[Цена
 Продажа]]</f>
        <v>0</v>
      </c>
      <c r="S822" s="20"/>
      <c r="T822" s="19">
        <f>Таблица1[[#This Row],[Сумма 
Продажа]]-Таблица1[[#This Row],[Сумма 
Приход]]</f>
        <v>0</v>
      </c>
      <c r="U822" s="150"/>
    </row>
    <row r="823" spans="1:21" ht="14.25" x14ac:dyDescent="0.2">
      <c r="A823" s="50">
        <f t="shared" si="12"/>
        <v>820</v>
      </c>
      <c r="B823" s="17"/>
      <c r="C823" s="17"/>
      <c r="D823" s="17"/>
      <c r="E823" s="51"/>
      <c r="F823" s="50"/>
      <c r="G823" s="23"/>
      <c r="H823" s="24"/>
      <c r="I823" s="23"/>
      <c r="J823" s="19">
        <f>Таблица1[[#This Row],[Блок
 Куб]]*Таблица1[[#This Row],[Цена 
Приход]]</f>
        <v>0</v>
      </c>
      <c r="K823" s="25"/>
      <c r="L823" s="25"/>
      <c r="M823" s="19">
        <f>Таблица1[[#This Row],[Поддон
Шт]]*Таблица1[[#This Row],[Цена
Поддон]]</f>
        <v>0</v>
      </c>
      <c r="N823" s="19">
        <f>Таблица1[[#This Row],[Сумма 
Приход]]+Таблица1[[#This Row],[Сумма Поддон]]</f>
        <v>0</v>
      </c>
      <c r="O823" s="20"/>
      <c r="P823" s="19">
        <f>Таблица1[[#This Row],[Цена
 Продажа]]-Таблица1[[#This Row],[Цена 
Приход]]</f>
        <v>0</v>
      </c>
      <c r="Q823" s="19"/>
      <c r="R823" s="19">
        <f>Таблица1[[#This Row],[Блок
 Куб]]*Таблица1[[#This Row],[Цена
 Продажа]]</f>
        <v>0</v>
      </c>
      <c r="S823" s="20"/>
      <c r="T823" s="19">
        <f>Таблица1[[#This Row],[Сумма 
Продажа]]-Таблица1[[#This Row],[Сумма 
Приход]]</f>
        <v>0</v>
      </c>
      <c r="U823" s="150"/>
    </row>
    <row r="824" spans="1:21" ht="14.25" x14ac:dyDescent="0.2">
      <c r="A824" s="50">
        <f t="shared" si="12"/>
        <v>821</v>
      </c>
      <c r="B824" s="17"/>
      <c r="C824" s="17"/>
      <c r="D824" s="17"/>
      <c r="E824" s="51"/>
      <c r="F824" s="50"/>
      <c r="G824" s="23"/>
      <c r="H824" s="24"/>
      <c r="I824" s="23"/>
      <c r="J824" s="19">
        <f>Таблица1[[#This Row],[Блок
 Куб]]*Таблица1[[#This Row],[Цена 
Приход]]</f>
        <v>0</v>
      </c>
      <c r="K824" s="25"/>
      <c r="L824" s="25"/>
      <c r="M824" s="19">
        <f>Таблица1[[#This Row],[Поддон
Шт]]*Таблица1[[#This Row],[Цена
Поддон]]</f>
        <v>0</v>
      </c>
      <c r="N824" s="19">
        <f>Таблица1[[#This Row],[Сумма 
Приход]]+Таблица1[[#This Row],[Сумма Поддон]]</f>
        <v>0</v>
      </c>
      <c r="O824" s="20"/>
      <c r="P824" s="19">
        <f>Таблица1[[#This Row],[Цена
 Продажа]]-Таблица1[[#This Row],[Цена 
Приход]]</f>
        <v>0</v>
      </c>
      <c r="Q824" s="19"/>
      <c r="R824" s="19">
        <f>Таблица1[[#This Row],[Блок
 Куб]]*Таблица1[[#This Row],[Цена
 Продажа]]</f>
        <v>0</v>
      </c>
      <c r="S824" s="20"/>
      <c r="T824" s="19">
        <f>Таблица1[[#This Row],[Сумма 
Продажа]]-Таблица1[[#This Row],[Сумма 
Приход]]</f>
        <v>0</v>
      </c>
      <c r="U824" s="150"/>
    </row>
    <row r="825" spans="1:21" ht="14.25" x14ac:dyDescent="0.2">
      <c r="A825" s="50">
        <f t="shared" si="12"/>
        <v>822</v>
      </c>
      <c r="B825" s="17"/>
      <c r="C825" s="17"/>
      <c r="D825" s="17"/>
      <c r="E825" s="51"/>
      <c r="F825" s="50"/>
      <c r="G825" s="23"/>
      <c r="H825" s="24"/>
      <c r="I825" s="23"/>
      <c r="J825" s="19">
        <f>Таблица1[[#This Row],[Блок
 Куб]]*Таблица1[[#This Row],[Цена 
Приход]]</f>
        <v>0</v>
      </c>
      <c r="K825" s="25"/>
      <c r="L825" s="25"/>
      <c r="M825" s="19">
        <f>Таблица1[[#This Row],[Поддон
Шт]]*Таблица1[[#This Row],[Цена
Поддон]]</f>
        <v>0</v>
      </c>
      <c r="N825" s="19">
        <f>Таблица1[[#This Row],[Сумма 
Приход]]+Таблица1[[#This Row],[Сумма Поддон]]</f>
        <v>0</v>
      </c>
      <c r="O825" s="20"/>
      <c r="P825" s="19">
        <f>Таблица1[[#This Row],[Цена
 Продажа]]-Таблица1[[#This Row],[Цена 
Приход]]</f>
        <v>0</v>
      </c>
      <c r="Q825" s="19"/>
      <c r="R825" s="19">
        <f>Таблица1[[#This Row],[Блок
 Куб]]*Таблица1[[#This Row],[Цена
 Продажа]]</f>
        <v>0</v>
      </c>
      <c r="S825" s="20"/>
      <c r="T825" s="19">
        <f>Таблица1[[#This Row],[Сумма 
Продажа]]-Таблица1[[#This Row],[Сумма 
Приход]]</f>
        <v>0</v>
      </c>
      <c r="U825" s="150"/>
    </row>
    <row r="826" spans="1:21" ht="14.25" x14ac:dyDescent="0.2">
      <c r="A826" s="50">
        <f t="shared" si="12"/>
        <v>823</v>
      </c>
      <c r="B826" s="17"/>
      <c r="C826" s="17"/>
      <c r="D826" s="17"/>
      <c r="E826" s="51"/>
      <c r="F826" s="50"/>
      <c r="G826" s="23"/>
      <c r="H826" s="24"/>
      <c r="I826" s="23"/>
      <c r="J826" s="19">
        <f>Таблица1[[#This Row],[Блок
 Куб]]*Таблица1[[#This Row],[Цена 
Приход]]</f>
        <v>0</v>
      </c>
      <c r="K826" s="25"/>
      <c r="L826" s="25"/>
      <c r="M826" s="19">
        <f>Таблица1[[#This Row],[Поддон
Шт]]*Таблица1[[#This Row],[Цена
Поддон]]</f>
        <v>0</v>
      </c>
      <c r="N826" s="19">
        <f>Таблица1[[#This Row],[Сумма 
Приход]]+Таблица1[[#This Row],[Сумма Поддон]]</f>
        <v>0</v>
      </c>
      <c r="O826" s="20"/>
      <c r="P826" s="19">
        <f>Таблица1[[#This Row],[Цена
 Продажа]]-Таблица1[[#This Row],[Цена 
Приход]]</f>
        <v>0</v>
      </c>
      <c r="Q826" s="19"/>
      <c r="R826" s="19">
        <f>Таблица1[[#This Row],[Блок
 Куб]]*Таблица1[[#This Row],[Цена
 Продажа]]</f>
        <v>0</v>
      </c>
      <c r="S826" s="20"/>
      <c r="T826" s="19">
        <f>Таблица1[[#This Row],[Сумма 
Продажа]]-Таблица1[[#This Row],[Сумма 
Приход]]</f>
        <v>0</v>
      </c>
      <c r="U826" s="150"/>
    </row>
    <row r="827" spans="1:21" ht="14.25" x14ac:dyDescent="0.2">
      <c r="A827" s="50">
        <f t="shared" si="12"/>
        <v>824</v>
      </c>
      <c r="B827" s="17"/>
      <c r="C827" s="17"/>
      <c r="D827" s="17"/>
      <c r="E827" s="51"/>
      <c r="F827" s="50"/>
      <c r="G827" s="23"/>
      <c r="H827" s="24"/>
      <c r="I827" s="23"/>
      <c r="J827" s="19">
        <f>Таблица1[[#This Row],[Блок
 Куб]]*Таблица1[[#This Row],[Цена 
Приход]]</f>
        <v>0</v>
      </c>
      <c r="K827" s="25"/>
      <c r="L827" s="25"/>
      <c r="M827" s="19">
        <f>Таблица1[[#This Row],[Поддон
Шт]]*Таблица1[[#This Row],[Цена
Поддон]]</f>
        <v>0</v>
      </c>
      <c r="N827" s="19">
        <f>Таблица1[[#This Row],[Сумма 
Приход]]+Таблица1[[#This Row],[Сумма Поддон]]</f>
        <v>0</v>
      </c>
      <c r="O827" s="20"/>
      <c r="P827" s="19">
        <f>Таблица1[[#This Row],[Цена
 Продажа]]-Таблица1[[#This Row],[Цена 
Приход]]</f>
        <v>0</v>
      </c>
      <c r="Q827" s="19"/>
      <c r="R827" s="19">
        <f>Таблица1[[#This Row],[Блок
 Куб]]*Таблица1[[#This Row],[Цена
 Продажа]]</f>
        <v>0</v>
      </c>
      <c r="S827" s="20"/>
      <c r="T827" s="19">
        <f>Таблица1[[#This Row],[Сумма 
Продажа]]-Таблица1[[#This Row],[Сумма 
Приход]]</f>
        <v>0</v>
      </c>
      <c r="U827" s="150"/>
    </row>
    <row r="828" spans="1:21" ht="14.25" x14ac:dyDescent="0.2">
      <c r="A828" s="50">
        <f t="shared" si="12"/>
        <v>825</v>
      </c>
      <c r="B828" s="17"/>
      <c r="C828" s="17"/>
      <c r="D828" s="17"/>
      <c r="E828" s="51"/>
      <c r="F828" s="50"/>
      <c r="G828" s="23"/>
      <c r="H828" s="24"/>
      <c r="I828" s="23"/>
      <c r="J828" s="19">
        <f>Таблица1[[#This Row],[Блок
 Куб]]*Таблица1[[#This Row],[Цена 
Приход]]</f>
        <v>0</v>
      </c>
      <c r="K828" s="25"/>
      <c r="L828" s="25"/>
      <c r="M828" s="19">
        <f>Таблица1[[#This Row],[Поддон
Шт]]*Таблица1[[#This Row],[Цена
Поддон]]</f>
        <v>0</v>
      </c>
      <c r="N828" s="19">
        <f>Таблица1[[#This Row],[Сумма 
Приход]]+Таблица1[[#This Row],[Сумма Поддон]]</f>
        <v>0</v>
      </c>
      <c r="O828" s="20"/>
      <c r="P828" s="19">
        <f>Таблица1[[#This Row],[Цена
 Продажа]]-Таблица1[[#This Row],[Цена 
Приход]]</f>
        <v>0</v>
      </c>
      <c r="Q828" s="19"/>
      <c r="R828" s="19">
        <f>Таблица1[[#This Row],[Блок
 Куб]]*Таблица1[[#This Row],[Цена
 Продажа]]</f>
        <v>0</v>
      </c>
      <c r="S828" s="20"/>
      <c r="T828" s="19">
        <f>Таблица1[[#This Row],[Сумма 
Продажа]]-Таблица1[[#This Row],[Сумма 
Приход]]</f>
        <v>0</v>
      </c>
      <c r="U828" s="150"/>
    </row>
    <row r="829" spans="1:21" ht="14.25" x14ac:dyDescent="0.2">
      <c r="A829" s="50">
        <f t="shared" si="12"/>
        <v>826</v>
      </c>
      <c r="B829" s="17"/>
      <c r="C829" s="17"/>
      <c r="D829" s="17"/>
      <c r="E829" s="51"/>
      <c r="F829" s="50"/>
      <c r="G829" s="23"/>
      <c r="H829" s="24"/>
      <c r="I829" s="23"/>
      <c r="J829" s="19">
        <f>Таблица1[[#This Row],[Блок
 Куб]]*Таблица1[[#This Row],[Цена 
Приход]]</f>
        <v>0</v>
      </c>
      <c r="K829" s="25"/>
      <c r="L829" s="25"/>
      <c r="M829" s="19">
        <f>Таблица1[[#This Row],[Поддон
Шт]]*Таблица1[[#This Row],[Цена
Поддон]]</f>
        <v>0</v>
      </c>
      <c r="N829" s="19">
        <f>Таблица1[[#This Row],[Сумма 
Приход]]+Таблица1[[#This Row],[Сумма Поддон]]</f>
        <v>0</v>
      </c>
      <c r="O829" s="20"/>
      <c r="P829" s="19">
        <f>Таблица1[[#This Row],[Цена
 Продажа]]-Таблица1[[#This Row],[Цена 
Приход]]</f>
        <v>0</v>
      </c>
      <c r="Q829" s="19"/>
      <c r="R829" s="19">
        <f>Таблица1[[#This Row],[Блок
 Куб]]*Таблица1[[#This Row],[Цена
 Продажа]]</f>
        <v>0</v>
      </c>
      <c r="S829" s="20"/>
      <c r="T829" s="19">
        <f>Таблица1[[#This Row],[Сумма 
Продажа]]-Таблица1[[#This Row],[Сумма 
Приход]]</f>
        <v>0</v>
      </c>
      <c r="U829" s="150"/>
    </row>
    <row r="830" spans="1:21" ht="14.25" x14ac:dyDescent="0.2">
      <c r="A830" s="50">
        <f t="shared" si="12"/>
        <v>827</v>
      </c>
      <c r="B830" s="17"/>
      <c r="C830" s="17"/>
      <c r="D830" s="17"/>
      <c r="E830" s="51"/>
      <c r="F830" s="50"/>
      <c r="G830" s="23"/>
      <c r="H830" s="24"/>
      <c r="I830" s="23"/>
      <c r="J830" s="19">
        <f>Таблица1[[#This Row],[Блок
 Куб]]*Таблица1[[#This Row],[Цена 
Приход]]</f>
        <v>0</v>
      </c>
      <c r="K830" s="25"/>
      <c r="L830" s="25"/>
      <c r="M830" s="19">
        <f>Таблица1[[#This Row],[Поддон
Шт]]*Таблица1[[#This Row],[Цена
Поддон]]</f>
        <v>0</v>
      </c>
      <c r="N830" s="19">
        <f>Таблица1[[#This Row],[Сумма 
Приход]]+Таблица1[[#This Row],[Сумма Поддон]]</f>
        <v>0</v>
      </c>
      <c r="O830" s="20"/>
      <c r="P830" s="19">
        <f>Таблица1[[#This Row],[Цена
 Продажа]]-Таблица1[[#This Row],[Цена 
Приход]]</f>
        <v>0</v>
      </c>
      <c r="Q830" s="19"/>
      <c r="R830" s="19">
        <f>Таблица1[[#This Row],[Блок
 Куб]]*Таблица1[[#This Row],[Цена
 Продажа]]</f>
        <v>0</v>
      </c>
      <c r="S830" s="20"/>
      <c r="T830" s="19">
        <f>Таблица1[[#This Row],[Сумма 
Продажа]]-Таблица1[[#This Row],[Сумма 
Приход]]</f>
        <v>0</v>
      </c>
      <c r="U830" s="150"/>
    </row>
    <row r="831" spans="1:21" ht="14.25" x14ac:dyDescent="0.2">
      <c r="A831" s="50">
        <f t="shared" si="12"/>
        <v>828</v>
      </c>
      <c r="B831" s="17"/>
      <c r="C831" s="17"/>
      <c r="D831" s="17"/>
      <c r="E831" s="51"/>
      <c r="F831" s="50"/>
      <c r="G831" s="23"/>
      <c r="H831" s="24"/>
      <c r="I831" s="23"/>
      <c r="J831" s="19">
        <f>Таблица1[[#This Row],[Блок
 Куб]]*Таблица1[[#This Row],[Цена 
Приход]]</f>
        <v>0</v>
      </c>
      <c r="K831" s="25"/>
      <c r="L831" s="25"/>
      <c r="M831" s="19">
        <f>Таблица1[[#This Row],[Поддон
Шт]]*Таблица1[[#This Row],[Цена
Поддон]]</f>
        <v>0</v>
      </c>
      <c r="N831" s="19">
        <f>Таблица1[[#This Row],[Сумма 
Приход]]+Таблица1[[#This Row],[Сумма Поддон]]</f>
        <v>0</v>
      </c>
      <c r="O831" s="20"/>
      <c r="P831" s="19">
        <f>Таблица1[[#This Row],[Цена
 Продажа]]-Таблица1[[#This Row],[Цена 
Приход]]</f>
        <v>0</v>
      </c>
      <c r="Q831" s="19"/>
      <c r="R831" s="19">
        <f>Таблица1[[#This Row],[Блок
 Куб]]*Таблица1[[#This Row],[Цена
 Продажа]]</f>
        <v>0</v>
      </c>
      <c r="S831" s="20"/>
      <c r="T831" s="19">
        <f>Таблица1[[#This Row],[Сумма 
Продажа]]-Таблица1[[#This Row],[Сумма 
Приход]]</f>
        <v>0</v>
      </c>
      <c r="U831" s="150"/>
    </row>
    <row r="832" spans="1:21" ht="14.25" x14ac:dyDescent="0.2">
      <c r="A832" s="50">
        <f t="shared" si="12"/>
        <v>829</v>
      </c>
      <c r="B832" s="17"/>
      <c r="C832" s="17"/>
      <c r="D832" s="17"/>
      <c r="E832" s="51"/>
      <c r="F832" s="50"/>
      <c r="G832" s="23"/>
      <c r="H832" s="24"/>
      <c r="I832" s="23"/>
      <c r="J832" s="19">
        <f>Таблица1[[#This Row],[Блок
 Куб]]*Таблица1[[#This Row],[Цена 
Приход]]</f>
        <v>0</v>
      </c>
      <c r="K832" s="25"/>
      <c r="L832" s="25"/>
      <c r="M832" s="19">
        <f>Таблица1[[#This Row],[Поддон
Шт]]*Таблица1[[#This Row],[Цена
Поддон]]</f>
        <v>0</v>
      </c>
      <c r="N832" s="19">
        <f>Таблица1[[#This Row],[Сумма 
Приход]]+Таблица1[[#This Row],[Сумма Поддон]]</f>
        <v>0</v>
      </c>
      <c r="O832" s="20"/>
      <c r="P832" s="19">
        <f>Таблица1[[#This Row],[Цена
 Продажа]]-Таблица1[[#This Row],[Цена 
Приход]]</f>
        <v>0</v>
      </c>
      <c r="Q832" s="19"/>
      <c r="R832" s="19">
        <f>Таблица1[[#This Row],[Блок
 Куб]]*Таблица1[[#This Row],[Цена
 Продажа]]</f>
        <v>0</v>
      </c>
      <c r="S832" s="20"/>
      <c r="T832" s="19">
        <f>Таблица1[[#This Row],[Сумма 
Продажа]]-Таблица1[[#This Row],[Сумма 
Приход]]</f>
        <v>0</v>
      </c>
      <c r="U832" s="150"/>
    </row>
    <row r="833" spans="1:21" ht="14.25" x14ac:dyDescent="0.2">
      <c r="A833" s="50">
        <f t="shared" si="12"/>
        <v>830</v>
      </c>
      <c r="B833" s="17"/>
      <c r="C833" s="17"/>
      <c r="D833" s="17"/>
      <c r="E833" s="51"/>
      <c r="F833" s="50"/>
      <c r="G833" s="23"/>
      <c r="H833" s="24"/>
      <c r="I833" s="23"/>
      <c r="J833" s="19">
        <f>Таблица1[[#This Row],[Блок
 Куб]]*Таблица1[[#This Row],[Цена 
Приход]]</f>
        <v>0</v>
      </c>
      <c r="K833" s="25"/>
      <c r="L833" s="25"/>
      <c r="M833" s="19">
        <f>Таблица1[[#This Row],[Поддон
Шт]]*Таблица1[[#This Row],[Цена
Поддон]]</f>
        <v>0</v>
      </c>
      <c r="N833" s="19">
        <f>Таблица1[[#This Row],[Сумма 
Приход]]+Таблица1[[#This Row],[Сумма Поддон]]</f>
        <v>0</v>
      </c>
      <c r="O833" s="20"/>
      <c r="P833" s="19">
        <f>Таблица1[[#This Row],[Цена
 Продажа]]-Таблица1[[#This Row],[Цена 
Приход]]</f>
        <v>0</v>
      </c>
      <c r="Q833" s="19"/>
      <c r="R833" s="19">
        <f>Таблица1[[#This Row],[Блок
 Куб]]*Таблица1[[#This Row],[Цена
 Продажа]]</f>
        <v>0</v>
      </c>
      <c r="S833" s="20"/>
      <c r="T833" s="19">
        <f>Таблица1[[#This Row],[Сумма 
Продажа]]-Таблица1[[#This Row],[Сумма 
Приход]]</f>
        <v>0</v>
      </c>
      <c r="U833" s="150"/>
    </row>
    <row r="834" spans="1:21" ht="14.25" x14ac:dyDescent="0.2">
      <c r="A834" s="50">
        <f t="shared" si="12"/>
        <v>831</v>
      </c>
      <c r="B834" s="17"/>
      <c r="C834" s="17"/>
      <c r="D834" s="17"/>
      <c r="E834" s="51"/>
      <c r="F834" s="50"/>
      <c r="G834" s="23"/>
      <c r="H834" s="24"/>
      <c r="I834" s="23"/>
      <c r="J834" s="19">
        <f>Таблица1[[#This Row],[Блок
 Куб]]*Таблица1[[#This Row],[Цена 
Приход]]</f>
        <v>0</v>
      </c>
      <c r="K834" s="25"/>
      <c r="L834" s="25"/>
      <c r="M834" s="19">
        <f>Таблица1[[#This Row],[Поддон
Шт]]*Таблица1[[#This Row],[Цена
Поддон]]</f>
        <v>0</v>
      </c>
      <c r="N834" s="19">
        <f>Таблица1[[#This Row],[Сумма 
Приход]]+Таблица1[[#This Row],[Сумма Поддон]]</f>
        <v>0</v>
      </c>
      <c r="O834" s="20"/>
      <c r="P834" s="19">
        <f>Таблица1[[#This Row],[Цена
 Продажа]]-Таблица1[[#This Row],[Цена 
Приход]]</f>
        <v>0</v>
      </c>
      <c r="Q834" s="19"/>
      <c r="R834" s="19">
        <f>Таблица1[[#This Row],[Блок
 Куб]]*Таблица1[[#This Row],[Цена
 Продажа]]</f>
        <v>0</v>
      </c>
      <c r="S834" s="20"/>
      <c r="T834" s="19">
        <f>Таблица1[[#This Row],[Сумма 
Продажа]]-Таблица1[[#This Row],[Сумма 
Приход]]</f>
        <v>0</v>
      </c>
      <c r="U834" s="150"/>
    </row>
    <row r="835" spans="1:21" ht="14.25" x14ac:dyDescent="0.2">
      <c r="A835" s="50">
        <f t="shared" si="12"/>
        <v>832</v>
      </c>
      <c r="B835" s="17"/>
      <c r="C835" s="17"/>
      <c r="D835" s="17"/>
      <c r="E835" s="51"/>
      <c r="F835" s="50"/>
      <c r="G835" s="23"/>
      <c r="H835" s="24"/>
      <c r="I835" s="23"/>
      <c r="J835" s="19">
        <f>Таблица1[[#This Row],[Блок
 Куб]]*Таблица1[[#This Row],[Цена 
Приход]]</f>
        <v>0</v>
      </c>
      <c r="K835" s="25"/>
      <c r="L835" s="25"/>
      <c r="M835" s="19">
        <f>Таблица1[[#This Row],[Поддон
Шт]]*Таблица1[[#This Row],[Цена
Поддон]]</f>
        <v>0</v>
      </c>
      <c r="N835" s="19">
        <f>Таблица1[[#This Row],[Сумма 
Приход]]+Таблица1[[#This Row],[Сумма Поддон]]</f>
        <v>0</v>
      </c>
      <c r="O835" s="20"/>
      <c r="P835" s="19">
        <f>Таблица1[[#This Row],[Цена
 Продажа]]-Таблица1[[#This Row],[Цена 
Приход]]</f>
        <v>0</v>
      </c>
      <c r="Q835" s="19"/>
      <c r="R835" s="19">
        <f>Таблица1[[#This Row],[Блок
 Куб]]*Таблица1[[#This Row],[Цена
 Продажа]]</f>
        <v>0</v>
      </c>
      <c r="S835" s="20"/>
      <c r="T835" s="19">
        <f>Таблица1[[#This Row],[Сумма 
Продажа]]-Таблица1[[#This Row],[Сумма 
Приход]]</f>
        <v>0</v>
      </c>
      <c r="U835" s="150"/>
    </row>
    <row r="836" spans="1:21" ht="14.25" x14ac:dyDescent="0.2">
      <c r="A836" s="50">
        <f t="shared" si="12"/>
        <v>833</v>
      </c>
      <c r="B836" s="17"/>
      <c r="C836" s="17"/>
      <c r="D836" s="17"/>
      <c r="E836" s="51"/>
      <c r="F836" s="50"/>
      <c r="G836" s="23"/>
      <c r="H836" s="24"/>
      <c r="I836" s="23"/>
      <c r="J836" s="19">
        <f>Таблица1[[#This Row],[Блок
 Куб]]*Таблица1[[#This Row],[Цена 
Приход]]</f>
        <v>0</v>
      </c>
      <c r="K836" s="25"/>
      <c r="L836" s="25"/>
      <c r="M836" s="19">
        <f>Таблица1[[#This Row],[Поддон
Шт]]*Таблица1[[#This Row],[Цена
Поддон]]</f>
        <v>0</v>
      </c>
      <c r="N836" s="19">
        <f>Таблица1[[#This Row],[Сумма 
Приход]]+Таблица1[[#This Row],[Сумма Поддон]]</f>
        <v>0</v>
      </c>
      <c r="O836" s="20"/>
      <c r="P836" s="19">
        <f>Таблица1[[#This Row],[Цена
 Продажа]]-Таблица1[[#This Row],[Цена 
Приход]]</f>
        <v>0</v>
      </c>
      <c r="Q836" s="19"/>
      <c r="R836" s="19">
        <f>Таблица1[[#This Row],[Блок
 Куб]]*Таблица1[[#This Row],[Цена
 Продажа]]</f>
        <v>0</v>
      </c>
      <c r="S836" s="20"/>
      <c r="T836" s="19">
        <f>Таблица1[[#This Row],[Сумма 
Продажа]]-Таблица1[[#This Row],[Сумма 
Приход]]</f>
        <v>0</v>
      </c>
      <c r="U836" s="150"/>
    </row>
    <row r="837" spans="1:21" ht="14.25" x14ac:dyDescent="0.2">
      <c r="A837" s="50">
        <f t="shared" si="12"/>
        <v>834</v>
      </c>
      <c r="B837" s="17"/>
      <c r="C837" s="17"/>
      <c r="D837" s="17"/>
      <c r="E837" s="51"/>
      <c r="F837" s="50"/>
      <c r="G837" s="23"/>
      <c r="H837" s="24"/>
      <c r="I837" s="23"/>
      <c r="J837" s="19">
        <f>Таблица1[[#This Row],[Блок
 Куб]]*Таблица1[[#This Row],[Цена 
Приход]]</f>
        <v>0</v>
      </c>
      <c r="K837" s="25"/>
      <c r="L837" s="25"/>
      <c r="M837" s="19">
        <f>Таблица1[[#This Row],[Поддон
Шт]]*Таблица1[[#This Row],[Цена
Поддон]]</f>
        <v>0</v>
      </c>
      <c r="N837" s="19">
        <f>Таблица1[[#This Row],[Сумма 
Приход]]+Таблица1[[#This Row],[Сумма Поддон]]</f>
        <v>0</v>
      </c>
      <c r="O837" s="20"/>
      <c r="P837" s="19">
        <f>Таблица1[[#This Row],[Цена
 Продажа]]-Таблица1[[#This Row],[Цена 
Приход]]</f>
        <v>0</v>
      </c>
      <c r="Q837" s="19"/>
      <c r="R837" s="19">
        <f>Таблица1[[#This Row],[Блок
 Куб]]*Таблица1[[#This Row],[Цена
 Продажа]]</f>
        <v>0</v>
      </c>
      <c r="S837" s="20"/>
      <c r="T837" s="19">
        <f>Таблица1[[#This Row],[Сумма 
Продажа]]-Таблица1[[#This Row],[Сумма 
Приход]]</f>
        <v>0</v>
      </c>
      <c r="U837" s="150"/>
    </row>
    <row r="838" spans="1:21" ht="14.25" x14ac:dyDescent="0.2">
      <c r="A838" s="50">
        <f t="shared" ref="A838:A901" si="13">A837+1</f>
        <v>835</v>
      </c>
      <c r="B838" s="17"/>
      <c r="C838" s="17"/>
      <c r="D838" s="17"/>
      <c r="E838" s="51"/>
      <c r="F838" s="50"/>
      <c r="G838" s="23"/>
      <c r="H838" s="24"/>
      <c r="I838" s="23"/>
      <c r="J838" s="19">
        <f>Таблица1[[#This Row],[Блок
 Куб]]*Таблица1[[#This Row],[Цена 
Приход]]</f>
        <v>0</v>
      </c>
      <c r="K838" s="25"/>
      <c r="L838" s="25"/>
      <c r="M838" s="19">
        <f>Таблица1[[#This Row],[Поддон
Шт]]*Таблица1[[#This Row],[Цена
Поддон]]</f>
        <v>0</v>
      </c>
      <c r="N838" s="19">
        <f>Таблица1[[#This Row],[Сумма 
Приход]]+Таблица1[[#This Row],[Сумма Поддон]]</f>
        <v>0</v>
      </c>
      <c r="O838" s="20"/>
      <c r="P838" s="19">
        <f>Таблица1[[#This Row],[Цена
 Продажа]]-Таблица1[[#This Row],[Цена 
Приход]]</f>
        <v>0</v>
      </c>
      <c r="Q838" s="19"/>
      <c r="R838" s="19">
        <f>Таблица1[[#This Row],[Блок
 Куб]]*Таблица1[[#This Row],[Цена
 Продажа]]</f>
        <v>0</v>
      </c>
      <c r="S838" s="20"/>
      <c r="T838" s="19">
        <f>Таблица1[[#This Row],[Сумма 
Продажа]]-Таблица1[[#This Row],[Сумма 
Приход]]</f>
        <v>0</v>
      </c>
      <c r="U838" s="150"/>
    </row>
    <row r="839" spans="1:21" ht="14.25" x14ac:dyDescent="0.2">
      <c r="A839" s="50">
        <f t="shared" si="13"/>
        <v>836</v>
      </c>
      <c r="B839" s="17"/>
      <c r="C839" s="17"/>
      <c r="D839" s="17"/>
      <c r="E839" s="51"/>
      <c r="F839" s="50"/>
      <c r="G839" s="23"/>
      <c r="H839" s="24"/>
      <c r="I839" s="23"/>
      <c r="J839" s="19">
        <f>Таблица1[[#This Row],[Блок
 Куб]]*Таблица1[[#This Row],[Цена 
Приход]]</f>
        <v>0</v>
      </c>
      <c r="K839" s="25"/>
      <c r="L839" s="25"/>
      <c r="M839" s="19">
        <f>Таблица1[[#This Row],[Поддон
Шт]]*Таблица1[[#This Row],[Цена
Поддон]]</f>
        <v>0</v>
      </c>
      <c r="N839" s="19">
        <f>Таблица1[[#This Row],[Сумма 
Приход]]+Таблица1[[#This Row],[Сумма Поддон]]</f>
        <v>0</v>
      </c>
      <c r="O839" s="20"/>
      <c r="P839" s="19">
        <f>Таблица1[[#This Row],[Цена
 Продажа]]-Таблица1[[#This Row],[Цена 
Приход]]</f>
        <v>0</v>
      </c>
      <c r="Q839" s="19"/>
      <c r="R839" s="19">
        <f>Таблица1[[#This Row],[Блок
 Куб]]*Таблица1[[#This Row],[Цена
 Продажа]]</f>
        <v>0</v>
      </c>
      <c r="S839" s="20"/>
      <c r="T839" s="19">
        <f>Таблица1[[#This Row],[Сумма 
Продажа]]-Таблица1[[#This Row],[Сумма 
Приход]]</f>
        <v>0</v>
      </c>
      <c r="U839" s="150"/>
    </row>
    <row r="840" spans="1:21" ht="14.25" x14ac:dyDescent="0.2">
      <c r="A840" s="50">
        <f t="shared" si="13"/>
        <v>837</v>
      </c>
      <c r="B840" s="17"/>
      <c r="C840" s="17"/>
      <c r="D840" s="17"/>
      <c r="E840" s="51"/>
      <c r="F840" s="50"/>
      <c r="G840" s="23"/>
      <c r="H840" s="24"/>
      <c r="I840" s="23"/>
      <c r="J840" s="19">
        <f>Таблица1[[#This Row],[Блок
 Куб]]*Таблица1[[#This Row],[Цена 
Приход]]</f>
        <v>0</v>
      </c>
      <c r="K840" s="25"/>
      <c r="L840" s="25"/>
      <c r="M840" s="19">
        <f>Таблица1[[#This Row],[Поддон
Шт]]*Таблица1[[#This Row],[Цена
Поддон]]</f>
        <v>0</v>
      </c>
      <c r="N840" s="19">
        <f>Таблица1[[#This Row],[Сумма 
Приход]]+Таблица1[[#This Row],[Сумма Поддон]]</f>
        <v>0</v>
      </c>
      <c r="O840" s="20"/>
      <c r="P840" s="19">
        <f>Таблица1[[#This Row],[Цена
 Продажа]]-Таблица1[[#This Row],[Цена 
Приход]]</f>
        <v>0</v>
      </c>
      <c r="Q840" s="19"/>
      <c r="R840" s="19">
        <f>Таблица1[[#This Row],[Блок
 Куб]]*Таблица1[[#This Row],[Цена
 Продажа]]</f>
        <v>0</v>
      </c>
      <c r="S840" s="20"/>
      <c r="T840" s="19">
        <f>Таблица1[[#This Row],[Сумма 
Продажа]]-Таблица1[[#This Row],[Сумма 
Приход]]</f>
        <v>0</v>
      </c>
      <c r="U840" s="150"/>
    </row>
    <row r="841" spans="1:21" ht="14.25" x14ac:dyDescent="0.2">
      <c r="A841" s="50">
        <f t="shared" si="13"/>
        <v>838</v>
      </c>
      <c r="B841" s="17"/>
      <c r="C841" s="17"/>
      <c r="D841" s="17"/>
      <c r="E841" s="51"/>
      <c r="F841" s="50"/>
      <c r="G841" s="23"/>
      <c r="H841" s="24"/>
      <c r="I841" s="23"/>
      <c r="J841" s="19">
        <f>Таблица1[[#This Row],[Блок
 Куб]]*Таблица1[[#This Row],[Цена 
Приход]]</f>
        <v>0</v>
      </c>
      <c r="K841" s="25"/>
      <c r="L841" s="25"/>
      <c r="M841" s="19">
        <f>Таблица1[[#This Row],[Поддон
Шт]]*Таблица1[[#This Row],[Цена
Поддон]]</f>
        <v>0</v>
      </c>
      <c r="N841" s="19">
        <f>Таблица1[[#This Row],[Сумма 
Приход]]+Таблица1[[#This Row],[Сумма Поддон]]</f>
        <v>0</v>
      </c>
      <c r="O841" s="20"/>
      <c r="P841" s="19">
        <f>Таблица1[[#This Row],[Цена
 Продажа]]-Таблица1[[#This Row],[Цена 
Приход]]</f>
        <v>0</v>
      </c>
      <c r="Q841" s="19"/>
      <c r="R841" s="19">
        <f>Таблица1[[#This Row],[Блок
 Куб]]*Таблица1[[#This Row],[Цена
 Продажа]]</f>
        <v>0</v>
      </c>
      <c r="S841" s="20"/>
      <c r="T841" s="19">
        <f>Таблица1[[#This Row],[Сумма 
Продажа]]-Таблица1[[#This Row],[Сумма 
Приход]]</f>
        <v>0</v>
      </c>
      <c r="U841" s="150"/>
    </row>
    <row r="842" spans="1:21" ht="14.25" x14ac:dyDescent="0.2">
      <c r="A842" s="50">
        <f t="shared" si="13"/>
        <v>839</v>
      </c>
      <c r="B842" s="17"/>
      <c r="C842" s="17"/>
      <c r="D842" s="17"/>
      <c r="E842" s="51"/>
      <c r="F842" s="50"/>
      <c r="G842" s="23"/>
      <c r="H842" s="24"/>
      <c r="I842" s="23"/>
      <c r="J842" s="19">
        <f>Таблица1[[#This Row],[Блок
 Куб]]*Таблица1[[#This Row],[Цена 
Приход]]</f>
        <v>0</v>
      </c>
      <c r="K842" s="25"/>
      <c r="L842" s="25"/>
      <c r="M842" s="19">
        <f>Таблица1[[#This Row],[Поддон
Шт]]*Таблица1[[#This Row],[Цена
Поддон]]</f>
        <v>0</v>
      </c>
      <c r="N842" s="19">
        <f>Таблица1[[#This Row],[Сумма 
Приход]]+Таблица1[[#This Row],[Сумма Поддон]]</f>
        <v>0</v>
      </c>
      <c r="O842" s="20"/>
      <c r="P842" s="19">
        <f>Таблица1[[#This Row],[Цена
 Продажа]]-Таблица1[[#This Row],[Цена 
Приход]]</f>
        <v>0</v>
      </c>
      <c r="Q842" s="19"/>
      <c r="R842" s="19">
        <f>Таблица1[[#This Row],[Блок
 Куб]]*Таблица1[[#This Row],[Цена
 Продажа]]</f>
        <v>0</v>
      </c>
      <c r="S842" s="20"/>
      <c r="T842" s="19">
        <f>Таблица1[[#This Row],[Сумма 
Продажа]]-Таблица1[[#This Row],[Сумма 
Приход]]</f>
        <v>0</v>
      </c>
      <c r="U842" s="150"/>
    </row>
    <row r="843" spans="1:21" ht="14.25" x14ac:dyDescent="0.2">
      <c r="A843" s="50">
        <f t="shared" si="13"/>
        <v>840</v>
      </c>
      <c r="B843" s="17"/>
      <c r="C843" s="17"/>
      <c r="D843" s="17"/>
      <c r="E843" s="51"/>
      <c r="F843" s="50"/>
      <c r="G843" s="23"/>
      <c r="H843" s="24"/>
      <c r="I843" s="23"/>
      <c r="J843" s="19">
        <f>Таблица1[[#This Row],[Блок
 Куб]]*Таблица1[[#This Row],[Цена 
Приход]]</f>
        <v>0</v>
      </c>
      <c r="K843" s="25"/>
      <c r="L843" s="25"/>
      <c r="M843" s="19">
        <f>Таблица1[[#This Row],[Поддон
Шт]]*Таблица1[[#This Row],[Цена
Поддон]]</f>
        <v>0</v>
      </c>
      <c r="N843" s="19">
        <f>Таблица1[[#This Row],[Сумма 
Приход]]+Таблица1[[#This Row],[Сумма Поддон]]</f>
        <v>0</v>
      </c>
      <c r="O843" s="20"/>
      <c r="P843" s="19">
        <f>Таблица1[[#This Row],[Цена
 Продажа]]-Таблица1[[#This Row],[Цена 
Приход]]</f>
        <v>0</v>
      </c>
      <c r="Q843" s="19"/>
      <c r="R843" s="19">
        <f>Таблица1[[#This Row],[Блок
 Куб]]*Таблица1[[#This Row],[Цена
 Продажа]]</f>
        <v>0</v>
      </c>
      <c r="S843" s="20"/>
      <c r="T843" s="19">
        <f>Таблица1[[#This Row],[Сумма 
Продажа]]-Таблица1[[#This Row],[Сумма 
Приход]]</f>
        <v>0</v>
      </c>
      <c r="U843" s="150"/>
    </row>
    <row r="844" spans="1:21" ht="14.25" x14ac:dyDescent="0.2">
      <c r="A844" s="50">
        <f t="shared" si="13"/>
        <v>841</v>
      </c>
      <c r="B844" s="17"/>
      <c r="C844" s="17"/>
      <c r="D844" s="17"/>
      <c r="E844" s="51"/>
      <c r="F844" s="50"/>
      <c r="G844" s="23"/>
      <c r="H844" s="24"/>
      <c r="I844" s="23"/>
      <c r="J844" s="19">
        <f>Таблица1[[#This Row],[Блок
 Куб]]*Таблица1[[#This Row],[Цена 
Приход]]</f>
        <v>0</v>
      </c>
      <c r="K844" s="25"/>
      <c r="L844" s="25"/>
      <c r="M844" s="19">
        <f>Таблица1[[#This Row],[Поддон
Шт]]*Таблица1[[#This Row],[Цена
Поддон]]</f>
        <v>0</v>
      </c>
      <c r="N844" s="19">
        <f>Таблица1[[#This Row],[Сумма 
Приход]]+Таблица1[[#This Row],[Сумма Поддон]]</f>
        <v>0</v>
      </c>
      <c r="O844" s="20"/>
      <c r="P844" s="19">
        <f>Таблица1[[#This Row],[Цена
 Продажа]]-Таблица1[[#This Row],[Цена 
Приход]]</f>
        <v>0</v>
      </c>
      <c r="Q844" s="19"/>
      <c r="R844" s="19">
        <f>Таблица1[[#This Row],[Блок
 Куб]]*Таблица1[[#This Row],[Цена
 Продажа]]</f>
        <v>0</v>
      </c>
      <c r="S844" s="20"/>
      <c r="T844" s="19">
        <f>Таблица1[[#This Row],[Сумма 
Продажа]]-Таблица1[[#This Row],[Сумма 
Приход]]</f>
        <v>0</v>
      </c>
      <c r="U844" s="150"/>
    </row>
    <row r="845" spans="1:21" ht="14.25" x14ac:dyDescent="0.2">
      <c r="A845" s="50">
        <f t="shared" si="13"/>
        <v>842</v>
      </c>
      <c r="B845" s="17"/>
      <c r="C845" s="17"/>
      <c r="D845" s="17"/>
      <c r="E845" s="51"/>
      <c r="F845" s="50"/>
      <c r="G845" s="23"/>
      <c r="H845" s="24"/>
      <c r="I845" s="23"/>
      <c r="J845" s="19">
        <f>Таблица1[[#This Row],[Блок
 Куб]]*Таблица1[[#This Row],[Цена 
Приход]]</f>
        <v>0</v>
      </c>
      <c r="K845" s="25"/>
      <c r="L845" s="25"/>
      <c r="M845" s="19">
        <f>Таблица1[[#This Row],[Поддон
Шт]]*Таблица1[[#This Row],[Цена
Поддон]]</f>
        <v>0</v>
      </c>
      <c r="N845" s="19">
        <f>Таблица1[[#This Row],[Сумма 
Приход]]+Таблица1[[#This Row],[Сумма Поддон]]</f>
        <v>0</v>
      </c>
      <c r="O845" s="20"/>
      <c r="P845" s="19">
        <f>Таблица1[[#This Row],[Цена
 Продажа]]-Таблица1[[#This Row],[Цена 
Приход]]</f>
        <v>0</v>
      </c>
      <c r="Q845" s="19"/>
      <c r="R845" s="19">
        <f>Таблица1[[#This Row],[Блок
 Куб]]*Таблица1[[#This Row],[Цена
 Продажа]]</f>
        <v>0</v>
      </c>
      <c r="S845" s="20"/>
      <c r="T845" s="19">
        <f>Таблица1[[#This Row],[Сумма 
Продажа]]-Таблица1[[#This Row],[Сумма 
Приход]]</f>
        <v>0</v>
      </c>
      <c r="U845" s="150"/>
    </row>
    <row r="846" spans="1:21" ht="14.25" x14ac:dyDescent="0.2">
      <c r="A846" s="50">
        <f t="shared" si="13"/>
        <v>843</v>
      </c>
      <c r="B846" s="17"/>
      <c r="C846" s="17"/>
      <c r="D846" s="17"/>
      <c r="E846" s="51"/>
      <c r="F846" s="50"/>
      <c r="G846" s="23"/>
      <c r="H846" s="24"/>
      <c r="I846" s="23"/>
      <c r="J846" s="19">
        <f>Таблица1[[#This Row],[Блок
 Куб]]*Таблица1[[#This Row],[Цена 
Приход]]</f>
        <v>0</v>
      </c>
      <c r="K846" s="25"/>
      <c r="L846" s="25"/>
      <c r="M846" s="19">
        <f>Таблица1[[#This Row],[Поддон
Шт]]*Таблица1[[#This Row],[Цена
Поддон]]</f>
        <v>0</v>
      </c>
      <c r="N846" s="19">
        <f>Таблица1[[#This Row],[Сумма 
Приход]]+Таблица1[[#This Row],[Сумма Поддон]]</f>
        <v>0</v>
      </c>
      <c r="O846" s="20"/>
      <c r="P846" s="19">
        <f>Таблица1[[#This Row],[Цена
 Продажа]]-Таблица1[[#This Row],[Цена 
Приход]]</f>
        <v>0</v>
      </c>
      <c r="Q846" s="19"/>
      <c r="R846" s="19">
        <f>Таблица1[[#This Row],[Блок
 Куб]]*Таблица1[[#This Row],[Цена
 Продажа]]</f>
        <v>0</v>
      </c>
      <c r="S846" s="20"/>
      <c r="T846" s="19">
        <f>Таблица1[[#This Row],[Сумма 
Продажа]]-Таблица1[[#This Row],[Сумма 
Приход]]</f>
        <v>0</v>
      </c>
      <c r="U846" s="150"/>
    </row>
    <row r="847" spans="1:21" ht="14.25" x14ac:dyDescent="0.2">
      <c r="A847" s="50">
        <f t="shared" si="13"/>
        <v>844</v>
      </c>
      <c r="B847" s="17"/>
      <c r="C847" s="17"/>
      <c r="D847" s="17"/>
      <c r="E847" s="51"/>
      <c r="F847" s="50"/>
      <c r="G847" s="23"/>
      <c r="H847" s="24"/>
      <c r="I847" s="23"/>
      <c r="J847" s="19">
        <f>Таблица1[[#This Row],[Блок
 Куб]]*Таблица1[[#This Row],[Цена 
Приход]]</f>
        <v>0</v>
      </c>
      <c r="K847" s="25"/>
      <c r="L847" s="25"/>
      <c r="M847" s="19">
        <f>Таблица1[[#This Row],[Поддон
Шт]]*Таблица1[[#This Row],[Цена
Поддон]]</f>
        <v>0</v>
      </c>
      <c r="N847" s="19">
        <f>Таблица1[[#This Row],[Сумма 
Приход]]+Таблица1[[#This Row],[Сумма Поддон]]</f>
        <v>0</v>
      </c>
      <c r="O847" s="20"/>
      <c r="P847" s="19">
        <f>Таблица1[[#This Row],[Цена
 Продажа]]-Таблица1[[#This Row],[Цена 
Приход]]</f>
        <v>0</v>
      </c>
      <c r="Q847" s="19"/>
      <c r="R847" s="19">
        <f>Таблица1[[#This Row],[Блок
 Куб]]*Таблица1[[#This Row],[Цена
 Продажа]]</f>
        <v>0</v>
      </c>
      <c r="S847" s="20"/>
      <c r="T847" s="19">
        <f>Таблица1[[#This Row],[Сумма 
Продажа]]-Таблица1[[#This Row],[Сумма 
Приход]]</f>
        <v>0</v>
      </c>
      <c r="U847" s="150"/>
    </row>
    <row r="848" spans="1:21" ht="14.25" x14ac:dyDescent="0.2">
      <c r="A848" s="50">
        <f t="shared" si="13"/>
        <v>845</v>
      </c>
      <c r="B848" s="17"/>
      <c r="C848" s="17"/>
      <c r="D848" s="17"/>
      <c r="E848" s="51"/>
      <c r="F848" s="50"/>
      <c r="G848" s="23"/>
      <c r="H848" s="24"/>
      <c r="I848" s="23"/>
      <c r="J848" s="19">
        <f>Таблица1[[#This Row],[Блок
 Куб]]*Таблица1[[#This Row],[Цена 
Приход]]</f>
        <v>0</v>
      </c>
      <c r="K848" s="25"/>
      <c r="L848" s="25"/>
      <c r="M848" s="19">
        <f>Таблица1[[#This Row],[Поддон
Шт]]*Таблица1[[#This Row],[Цена
Поддон]]</f>
        <v>0</v>
      </c>
      <c r="N848" s="19">
        <f>Таблица1[[#This Row],[Сумма 
Приход]]+Таблица1[[#This Row],[Сумма Поддон]]</f>
        <v>0</v>
      </c>
      <c r="O848" s="20"/>
      <c r="P848" s="19">
        <f>Таблица1[[#This Row],[Цена
 Продажа]]-Таблица1[[#This Row],[Цена 
Приход]]</f>
        <v>0</v>
      </c>
      <c r="Q848" s="19"/>
      <c r="R848" s="19">
        <f>Таблица1[[#This Row],[Блок
 Куб]]*Таблица1[[#This Row],[Цена
 Продажа]]</f>
        <v>0</v>
      </c>
      <c r="S848" s="20"/>
      <c r="T848" s="19">
        <f>Таблица1[[#This Row],[Сумма 
Продажа]]-Таблица1[[#This Row],[Сумма 
Приход]]</f>
        <v>0</v>
      </c>
      <c r="U848" s="150"/>
    </row>
    <row r="849" spans="1:21" ht="14.25" x14ac:dyDescent="0.2">
      <c r="A849" s="50">
        <f t="shared" si="13"/>
        <v>846</v>
      </c>
      <c r="B849" s="17"/>
      <c r="C849" s="17"/>
      <c r="D849" s="17"/>
      <c r="E849" s="51"/>
      <c r="F849" s="50"/>
      <c r="G849" s="23"/>
      <c r="H849" s="24"/>
      <c r="I849" s="23"/>
      <c r="J849" s="19">
        <f>Таблица1[[#This Row],[Блок
 Куб]]*Таблица1[[#This Row],[Цена 
Приход]]</f>
        <v>0</v>
      </c>
      <c r="K849" s="25"/>
      <c r="L849" s="25"/>
      <c r="M849" s="19">
        <f>Таблица1[[#This Row],[Поддон
Шт]]*Таблица1[[#This Row],[Цена
Поддон]]</f>
        <v>0</v>
      </c>
      <c r="N849" s="19">
        <f>Таблица1[[#This Row],[Сумма 
Приход]]+Таблица1[[#This Row],[Сумма Поддон]]</f>
        <v>0</v>
      </c>
      <c r="O849" s="20"/>
      <c r="P849" s="19">
        <f>Таблица1[[#This Row],[Цена
 Продажа]]-Таблица1[[#This Row],[Цена 
Приход]]</f>
        <v>0</v>
      </c>
      <c r="Q849" s="19"/>
      <c r="R849" s="19">
        <f>Таблица1[[#This Row],[Блок
 Куб]]*Таблица1[[#This Row],[Цена
 Продажа]]</f>
        <v>0</v>
      </c>
      <c r="S849" s="20"/>
      <c r="T849" s="19">
        <f>Таблица1[[#This Row],[Сумма 
Продажа]]-Таблица1[[#This Row],[Сумма 
Приход]]</f>
        <v>0</v>
      </c>
      <c r="U849" s="150"/>
    </row>
    <row r="850" spans="1:21" ht="14.25" x14ac:dyDescent="0.2">
      <c r="A850" s="50">
        <f t="shared" si="13"/>
        <v>847</v>
      </c>
      <c r="B850" s="17"/>
      <c r="C850" s="17"/>
      <c r="D850" s="17"/>
      <c r="E850" s="51"/>
      <c r="F850" s="50"/>
      <c r="G850" s="23"/>
      <c r="H850" s="24"/>
      <c r="I850" s="23"/>
      <c r="J850" s="19">
        <f>Таблица1[[#This Row],[Блок
 Куб]]*Таблица1[[#This Row],[Цена 
Приход]]</f>
        <v>0</v>
      </c>
      <c r="K850" s="25"/>
      <c r="L850" s="25"/>
      <c r="M850" s="19">
        <f>Таблица1[[#This Row],[Поддон
Шт]]*Таблица1[[#This Row],[Цена
Поддон]]</f>
        <v>0</v>
      </c>
      <c r="N850" s="19">
        <f>Таблица1[[#This Row],[Сумма 
Приход]]+Таблица1[[#This Row],[Сумма Поддон]]</f>
        <v>0</v>
      </c>
      <c r="O850" s="20"/>
      <c r="P850" s="19">
        <f>Таблица1[[#This Row],[Цена
 Продажа]]-Таблица1[[#This Row],[Цена 
Приход]]</f>
        <v>0</v>
      </c>
      <c r="Q850" s="19"/>
      <c r="R850" s="19">
        <f>Таблица1[[#This Row],[Блок
 Куб]]*Таблица1[[#This Row],[Цена
 Продажа]]</f>
        <v>0</v>
      </c>
      <c r="S850" s="20"/>
      <c r="T850" s="19">
        <f>Таблица1[[#This Row],[Сумма 
Продажа]]-Таблица1[[#This Row],[Сумма 
Приход]]</f>
        <v>0</v>
      </c>
      <c r="U850" s="150"/>
    </row>
    <row r="851" spans="1:21" ht="14.25" x14ac:dyDescent="0.2">
      <c r="A851" s="50">
        <f t="shared" si="13"/>
        <v>848</v>
      </c>
      <c r="B851" s="17"/>
      <c r="C851" s="17"/>
      <c r="D851" s="17"/>
      <c r="E851" s="51"/>
      <c r="F851" s="50"/>
      <c r="G851" s="23"/>
      <c r="H851" s="24"/>
      <c r="I851" s="23"/>
      <c r="J851" s="19">
        <f>Таблица1[[#This Row],[Блок
 Куб]]*Таблица1[[#This Row],[Цена 
Приход]]</f>
        <v>0</v>
      </c>
      <c r="K851" s="25"/>
      <c r="L851" s="25"/>
      <c r="M851" s="19">
        <f>Таблица1[[#This Row],[Поддон
Шт]]*Таблица1[[#This Row],[Цена
Поддон]]</f>
        <v>0</v>
      </c>
      <c r="N851" s="19">
        <f>Таблица1[[#This Row],[Сумма 
Приход]]+Таблица1[[#This Row],[Сумма Поддон]]</f>
        <v>0</v>
      </c>
      <c r="O851" s="20"/>
      <c r="P851" s="19">
        <f>Таблица1[[#This Row],[Цена
 Продажа]]-Таблица1[[#This Row],[Цена 
Приход]]</f>
        <v>0</v>
      </c>
      <c r="Q851" s="19"/>
      <c r="R851" s="19">
        <f>Таблица1[[#This Row],[Блок
 Куб]]*Таблица1[[#This Row],[Цена
 Продажа]]</f>
        <v>0</v>
      </c>
      <c r="S851" s="20"/>
      <c r="T851" s="19">
        <f>Таблица1[[#This Row],[Сумма 
Продажа]]-Таблица1[[#This Row],[Сумма 
Приход]]</f>
        <v>0</v>
      </c>
      <c r="U851" s="150"/>
    </row>
    <row r="852" spans="1:21" ht="14.25" x14ac:dyDescent="0.2">
      <c r="A852" s="50">
        <f t="shared" si="13"/>
        <v>849</v>
      </c>
      <c r="B852" s="17"/>
      <c r="C852" s="17"/>
      <c r="D852" s="17"/>
      <c r="E852" s="51"/>
      <c r="F852" s="50"/>
      <c r="G852" s="23"/>
      <c r="H852" s="24"/>
      <c r="I852" s="23"/>
      <c r="J852" s="19">
        <f>Таблица1[[#This Row],[Блок
 Куб]]*Таблица1[[#This Row],[Цена 
Приход]]</f>
        <v>0</v>
      </c>
      <c r="K852" s="25"/>
      <c r="L852" s="25"/>
      <c r="M852" s="19">
        <f>Таблица1[[#This Row],[Поддон
Шт]]*Таблица1[[#This Row],[Цена
Поддон]]</f>
        <v>0</v>
      </c>
      <c r="N852" s="19">
        <f>Таблица1[[#This Row],[Сумма 
Приход]]+Таблица1[[#This Row],[Сумма Поддон]]</f>
        <v>0</v>
      </c>
      <c r="O852" s="20"/>
      <c r="P852" s="19">
        <f>Таблица1[[#This Row],[Цена
 Продажа]]-Таблица1[[#This Row],[Цена 
Приход]]</f>
        <v>0</v>
      </c>
      <c r="Q852" s="19"/>
      <c r="R852" s="19">
        <f>Таблица1[[#This Row],[Блок
 Куб]]*Таблица1[[#This Row],[Цена
 Продажа]]</f>
        <v>0</v>
      </c>
      <c r="S852" s="20"/>
      <c r="T852" s="19">
        <f>Таблица1[[#This Row],[Сумма 
Продажа]]-Таблица1[[#This Row],[Сумма 
Приход]]</f>
        <v>0</v>
      </c>
      <c r="U852" s="150"/>
    </row>
    <row r="853" spans="1:21" ht="14.25" x14ac:dyDescent="0.2">
      <c r="A853" s="50">
        <f t="shared" si="13"/>
        <v>850</v>
      </c>
      <c r="B853" s="17"/>
      <c r="C853" s="17"/>
      <c r="D853" s="17"/>
      <c r="E853" s="51"/>
      <c r="F853" s="50"/>
      <c r="G853" s="23"/>
      <c r="H853" s="24"/>
      <c r="I853" s="23"/>
      <c r="J853" s="19">
        <f>Таблица1[[#This Row],[Блок
 Куб]]*Таблица1[[#This Row],[Цена 
Приход]]</f>
        <v>0</v>
      </c>
      <c r="K853" s="25"/>
      <c r="L853" s="25"/>
      <c r="M853" s="19">
        <f>Таблица1[[#This Row],[Поддон
Шт]]*Таблица1[[#This Row],[Цена
Поддон]]</f>
        <v>0</v>
      </c>
      <c r="N853" s="19">
        <f>Таблица1[[#This Row],[Сумма 
Приход]]+Таблица1[[#This Row],[Сумма Поддон]]</f>
        <v>0</v>
      </c>
      <c r="O853" s="20"/>
      <c r="P853" s="19">
        <f>Таблица1[[#This Row],[Цена
 Продажа]]-Таблица1[[#This Row],[Цена 
Приход]]</f>
        <v>0</v>
      </c>
      <c r="Q853" s="19"/>
      <c r="R853" s="19">
        <f>Таблица1[[#This Row],[Блок
 Куб]]*Таблица1[[#This Row],[Цена
 Продажа]]</f>
        <v>0</v>
      </c>
      <c r="S853" s="20"/>
      <c r="T853" s="19">
        <f>Таблица1[[#This Row],[Сумма 
Продажа]]-Таблица1[[#This Row],[Сумма 
Приход]]</f>
        <v>0</v>
      </c>
      <c r="U853" s="150"/>
    </row>
    <row r="854" spans="1:21" ht="14.25" x14ac:dyDescent="0.2">
      <c r="A854" s="50">
        <f t="shared" si="13"/>
        <v>851</v>
      </c>
      <c r="B854" s="17"/>
      <c r="C854" s="17"/>
      <c r="D854" s="17"/>
      <c r="E854" s="51"/>
      <c r="F854" s="50"/>
      <c r="G854" s="23"/>
      <c r="H854" s="24"/>
      <c r="I854" s="23"/>
      <c r="J854" s="19">
        <f>Таблица1[[#This Row],[Блок
 Куб]]*Таблица1[[#This Row],[Цена 
Приход]]</f>
        <v>0</v>
      </c>
      <c r="K854" s="25"/>
      <c r="L854" s="25"/>
      <c r="M854" s="19">
        <f>Таблица1[[#This Row],[Поддон
Шт]]*Таблица1[[#This Row],[Цена
Поддон]]</f>
        <v>0</v>
      </c>
      <c r="N854" s="19">
        <f>Таблица1[[#This Row],[Сумма 
Приход]]+Таблица1[[#This Row],[Сумма Поддон]]</f>
        <v>0</v>
      </c>
      <c r="O854" s="20"/>
      <c r="P854" s="19">
        <f>Таблица1[[#This Row],[Цена
 Продажа]]-Таблица1[[#This Row],[Цена 
Приход]]</f>
        <v>0</v>
      </c>
      <c r="Q854" s="19"/>
      <c r="R854" s="19">
        <f>Таблица1[[#This Row],[Блок
 Куб]]*Таблица1[[#This Row],[Цена
 Продажа]]</f>
        <v>0</v>
      </c>
      <c r="S854" s="20"/>
      <c r="T854" s="19">
        <f>Таблица1[[#This Row],[Сумма 
Продажа]]-Таблица1[[#This Row],[Сумма 
Приход]]</f>
        <v>0</v>
      </c>
      <c r="U854" s="150"/>
    </row>
    <row r="855" spans="1:21" ht="14.25" x14ac:dyDescent="0.2">
      <c r="A855" s="50">
        <f t="shared" si="13"/>
        <v>852</v>
      </c>
      <c r="B855" s="17"/>
      <c r="C855" s="17"/>
      <c r="D855" s="17"/>
      <c r="E855" s="51"/>
      <c r="F855" s="50"/>
      <c r="G855" s="23"/>
      <c r="H855" s="24"/>
      <c r="I855" s="23"/>
      <c r="J855" s="19">
        <f>Таблица1[[#This Row],[Блок
 Куб]]*Таблица1[[#This Row],[Цена 
Приход]]</f>
        <v>0</v>
      </c>
      <c r="K855" s="25"/>
      <c r="L855" s="25"/>
      <c r="M855" s="19">
        <f>Таблица1[[#This Row],[Поддон
Шт]]*Таблица1[[#This Row],[Цена
Поддон]]</f>
        <v>0</v>
      </c>
      <c r="N855" s="19">
        <f>Таблица1[[#This Row],[Сумма 
Приход]]+Таблица1[[#This Row],[Сумма Поддон]]</f>
        <v>0</v>
      </c>
      <c r="O855" s="20"/>
      <c r="P855" s="19">
        <f>Таблица1[[#This Row],[Цена
 Продажа]]-Таблица1[[#This Row],[Цена 
Приход]]</f>
        <v>0</v>
      </c>
      <c r="Q855" s="19"/>
      <c r="R855" s="19">
        <f>Таблица1[[#This Row],[Блок
 Куб]]*Таблица1[[#This Row],[Цена
 Продажа]]</f>
        <v>0</v>
      </c>
      <c r="S855" s="20"/>
      <c r="T855" s="19">
        <f>Таблица1[[#This Row],[Сумма 
Продажа]]-Таблица1[[#This Row],[Сумма 
Приход]]</f>
        <v>0</v>
      </c>
      <c r="U855" s="150"/>
    </row>
    <row r="856" spans="1:21" ht="14.25" x14ac:dyDescent="0.2">
      <c r="A856" s="50">
        <f t="shared" si="13"/>
        <v>853</v>
      </c>
      <c r="B856" s="17"/>
      <c r="C856" s="17"/>
      <c r="D856" s="17"/>
      <c r="E856" s="51"/>
      <c r="F856" s="50"/>
      <c r="G856" s="23"/>
      <c r="H856" s="24"/>
      <c r="I856" s="23"/>
      <c r="J856" s="19">
        <f>Таблица1[[#This Row],[Блок
 Куб]]*Таблица1[[#This Row],[Цена 
Приход]]</f>
        <v>0</v>
      </c>
      <c r="K856" s="25"/>
      <c r="L856" s="25"/>
      <c r="M856" s="19">
        <f>Таблица1[[#This Row],[Поддон
Шт]]*Таблица1[[#This Row],[Цена
Поддон]]</f>
        <v>0</v>
      </c>
      <c r="N856" s="19">
        <f>Таблица1[[#This Row],[Сумма 
Приход]]+Таблица1[[#This Row],[Сумма Поддон]]</f>
        <v>0</v>
      </c>
      <c r="O856" s="20"/>
      <c r="P856" s="19">
        <f>Таблица1[[#This Row],[Цена
 Продажа]]-Таблица1[[#This Row],[Цена 
Приход]]</f>
        <v>0</v>
      </c>
      <c r="Q856" s="19"/>
      <c r="R856" s="19">
        <f>Таблица1[[#This Row],[Блок
 Куб]]*Таблица1[[#This Row],[Цена
 Продажа]]</f>
        <v>0</v>
      </c>
      <c r="S856" s="20"/>
      <c r="T856" s="19">
        <f>Таблица1[[#This Row],[Сумма 
Продажа]]-Таблица1[[#This Row],[Сумма 
Приход]]</f>
        <v>0</v>
      </c>
      <c r="U856" s="150"/>
    </row>
    <row r="857" spans="1:21" ht="14.25" x14ac:dyDescent="0.2">
      <c r="A857" s="50">
        <f t="shared" si="13"/>
        <v>854</v>
      </c>
      <c r="B857" s="17"/>
      <c r="C857" s="17"/>
      <c r="D857" s="17"/>
      <c r="E857" s="51"/>
      <c r="F857" s="50"/>
      <c r="G857" s="23"/>
      <c r="H857" s="24"/>
      <c r="I857" s="23"/>
      <c r="J857" s="19">
        <f>Таблица1[[#This Row],[Блок
 Куб]]*Таблица1[[#This Row],[Цена 
Приход]]</f>
        <v>0</v>
      </c>
      <c r="K857" s="25"/>
      <c r="L857" s="25"/>
      <c r="M857" s="19">
        <f>Таблица1[[#This Row],[Поддон
Шт]]*Таблица1[[#This Row],[Цена
Поддон]]</f>
        <v>0</v>
      </c>
      <c r="N857" s="19">
        <f>Таблица1[[#This Row],[Сумма 
Приход]]+Таблица1[[#This Row],[Сумма Поддон]]</f>
        <v>0</v>
      </c>
      <c r="O857" s="20"/>
      <c r="P857" s="19">
        <f>Таблица1[[#This Row],[Цена
 Продажа]]-Таблица1[[#This Row],[Цена 
Приход]]</f>
        <v>0</v>
      </c>
      <c r="Q857" s="19"/>
      <c r="R857" s="19">
        <f>Таблица1[[#This Row],[Блок
 Куб]]*Таблица1[[#This Row],[Цена
 Продажа]]</f>
        <v>0</v>
      </c>
      <c r="S857" s="20"/>
      <c r="T857" s="19">
        <f>Таблица1[[#This Row],[Сумма 
Продажа]]-Таблица1[[#This Row],[Сумма 
Приход]]</f>
        <v>0</v>
      </c>
      <c r="U857" s="150"/>
    </row>
    <row r="858" spans="1:21" ht="14.25" x14ac:dyDescent="0.2">
      <c r="A858" s="50">
        <f t="shared" si="13"/>
        <v>855</v>
      </c>
      <c r="B858" s="17"/>
      <c r="C858" s="17"/>
      <c r="D858" s="17"/>
      <c r="E858" s="51"/>
      <c r="F858" s="50"/>
      <c r="G858" s="23"/>
      <c r="H858" s="24"/>
      <c r="I858" s="23"/>
      <c r="J858" s="19">
        <f>Таблица1[[#This Row],[Блок
 Куб]]*Таблица1[[#This Row],[Цена 
Приход]]</f>
        <v>0</v>
      </c>
      <c r="K858" s="25"/>
      <c r="L858" s="25"/>
      <c r="M858" s="19">
        <f>Таблица1[[#This Row],[Поддон
Шт]]*Таблица1[[#This Row],[Цена
Поддон]]</f>
        <v>0</v>
      </c>
      <c r="N858" s="19">
        <f>Таблица1[[#This Row],[Сумма 
Приход]]+Таблица1[[#This Row],[Сумма Поддон]]</f>
        <v>0</v>
      </c>
      <c r="O858" s="20"/>
      <c r="P858" s="19">
        <f>Таблица1[[#This Row],[Цена
 Продажа]]-Таблица1[[#This Row],[Цена 
Приход]]</f>
        <v>0</v>
      </c>
      <c r="Q858" s="19"/>
      <c r="R858" s="19">
        <f>Таблица1[[#This Row],[Блок
 Куб]]*Таблица1[[#This Row],[Цена
 Продажа]]</f>
        <v>0</v>
      </c>
      <c r="S858" s="20"/>
      <c r="T858" s="19">
        <f>Таблица1[[#This Row],[Сумма 
Продажа]]-Таблица1[[#This Row],[Сумма 
Приход]]</f>
        <v>0</v>
      </c>
      <c r="U858" s="150"/>
    </row>
    <row r="859" spans="1:21" ht="14.25" x14ac:dyDescent="0.2">
      <c r="A859" s="50">
        <f t="shared" si="13"/>
        <v>856</v>
      </c>
      <c r="B859" s="17"/>
      <c r="C859" s="17"/>
      <c r="D859" s="17"/>
      <c r="E859" s="51"/>
      <c r="F859" s="50"/>
      <c r="G859" s="23"/>
      <c r="H859" s="24"/>
      <c r="I859" s="23"/>
      <c r="J859" s="19">
        <f>Таблица1[[#This Row],[Блок
 Куб]]*Таблица1[[#This Row],[Цена 
Приход]]</f>
        <v>0</v>
      </c>
      <c r="K859" s="25"/>
      <c r="L859" s="25"/>
      <c r="M859" s="19">
        <f>Таблица1[[#This Row],[Поддон
Шт]]*Таблица1[[#This Row],[Цена
Поддон]]</f>
        <v>0</v>
      </c>
      <c r="N859" s="19">
        <f>Таблица1[[#This Row],[Сумма 
Приход]]+Таблица1[[#This Row],[Сумма Поддон]]</f>
        <v>0</v>
      </c>
      <c r="O859" s="20"/>
      <c r="P859" s="19">
        <f>Таблица1[[#This Row],[Цена
 Продажа]]-Таблица1[[#This Row],[Цена 
Приход]]</f>
        <v>0</v>
      </c>
      <c r="Q859" s="19"/>
      <c r="R859" s="19">
        <f>Таблица1[[#This Row],[Блок
 Куб]]*Таблица1[[#This Row],[Цена
 Продажа]]</f>
        <v>0</v>
      </c>
      <c r="S859" s="20"/>
      <c r="T859" s="19">
        <f>Таблица1[[#This Row],[Сумма 
Продажа]]-Таблица1[[#This Row],[Сумма 
Приход]]</f>
        <v>0</v>
      </c>
      <c r="U859" s="150"/>
    </row>
    <row r="860" spans="1:21" ht="14.25" x14ac:dyDescent="0.2">
      <c r="A860" s="50">
        <f t="shared" si="13"/>
        <v>857</v>
      </c>
      <c r="B860" s="17"/>
      <c r="C860" s="17"/>
      <c r="D860" s="17"/>
      <c r="E860" s="51"/>
      <c r="F860" s="50"/>
      <c r="G860" s="23"/>
      <c r="H860" s="24"/>
      <c r="I860" s="23"/>
      <c r="J860" s="19">
        <f>Таблица1[[#This Row],[Блок
 Куб]]*Таблица1[[#This Row],[Цена 
Приход]]</f>
        <v>0</v>
      </c>
      <c r="K860" s="25"/>
      <c r="L860" s="25"/>
      <c r="M860" s="19">
        <f>Таблица1[[#This Row],[Поддон
Шт]]*Таблица1[[#This Row],[Цена
Поддон]]</f>
        <v>0</v>
      </c>
      <c r="N860" s="19">
        <f>Таблица1[[#This Row],[Сумма 
Приход]]+Таблица1[[#This Row],[Сумма Поддон]]</f>
        <v>0</v>
      </c>
      <c r="O860" s="20"/>
      <c r="P860" s="19">
        <f>Таблица1[[#This Row],[Цена
 Продажа]]-Таблица1[[#This Row],[Цена 
Приход]]</f>
        <v>0</v>
      </c>
      <c r="Q860" s="19"/>
      <c r="R860" s="19">
        <f>Таблица1[[#This Row],[Блок
 Куб]]*Таблица1[[#This Row],[Цена
 Продажа]]</f>
        <v>0</v>
      </c>
      <c r="S860" s="20"/>
      <c r="T860" s="19">
        <f>Таблица1[[#This Row],[Сумма 
Продажа]]-Таблица1[[#This Row],[Сумма 
Приход]]</f>
        <v>0</v>
      </c>
      <c r="U860" s="150"/>
    </row>
    <row r="861" spans="1:21" ht="14.25" x14ac:dyDescent="0.2">
      <c r="A861" s="50">
        <f t="shared" si="13"/>
        <v>858</v>
      </c>
      <c r="B861" s="17"/>
      <c r="C861" s="17"/>
      <c r="D861" s="17"/>
      <c r="E861" s="51"/>
      <c r="F861" s="50"/>
      <c r="G861" s="23"/>
      <c r="H861" s="24"/>
      <c r="I861" s="23"/>
      <c r="J861" s="19">
        <f>Таблица1[[#This Row],[Блок
 Куб]]*Таблица1[[#This Row],[Цена 
Приход]]</f>
        <v>0</v>
      </c>
      <c r="K861" s="25"/>
      <c r="L861" s="25"/>
      <c r="M861" s="19">
        <f>Таблица1[[#This Row],[Поддон
Шт]]*Таблица1[[#This Row],[Цена
Поддон]]</f>
        <v>0</v>
      </c>
      <c r="N861" s="19">
        <f>Таблица1[[#This Row],[Сумма 
Приход]]+Таблица1[[#This Row],[Сумма Поддон]]</f>
        <v>0</v>
      </c>
      <c r="O861" s="20"/>
      <c r="P861" s="19">
        <f>Таблица1[[#This Row],[Цена
 Продажа]]-Таблица1[[#This Row],[Цена 
Приход]]</f>
        <v>0</v>
      </c>
      <c r="Q861" s="19"/>
      <c r="R861" s="19">
        <f>Таблица1[[#This Row],[Блок
 Куб]]*Таблица1[[#This Row],[Цена
 Продажа]]</f>
        <v>0</v>
      </c>
      <c r="S861" s="20"/>
      <c r="T861" s="19">
        <f>Таблица1[[#This Row],[Сумма 
Продажа]]-Таблица1[[#This Row],[Сумма 
Приход]]</f>
        <v>0</v>
      </c>
      <c r="U861" s="150"/>
    </row>
    <row r="862" spans="1:21" ht="14.25" x14ac:dyDescent="0.2">
      <c r="A862" s="50">
        <f t="shared" si="13"/>
        <v>859</v>
      </c>
      <c r="B862" s="17"/>
      <c r="C862" s="17"/>
      <c r="D862" s="17"/>
      <c r="E862" s="51"/>
      <c r="F862" s="50"/>
      <c r="G862" s="23"/>
      <c r="H862" s="24"/>
      <c r="I862" s="23"/>
      <c r="J862" s="19">
        <f>Таблица1[[#This Row],[Блок
 Куб]]*Таблица1[[#This Row],[Цена 
Приход]]</f>
        <v>0</v>
      </c>
      <c r="K862" s="25"/>
      <c r="L862" s="25"/>
      <c r="M862" s="19">
        <f>Таблица1[[#This Row],[Поддон
Шт]]*Таблица1[[#This Row],[Цена
Поддон]]</f>
        <v>0</v>
      </c>
      <c r="N862" s="19">
        <f>Таблица1[[#This Row],[Сумма 
Приход]]+Таблица1[[#This Row],[Сумма Поддон]]</f>
        <v>0</v>
      </c>
      <c r="O862" s="20"/>
      <c r="P862" s="19">
        <f>Таблица1[[#This Row],[Цена
 Продажа]]-Таблица1[[#This Row],[Цена 
Приход]]</f>
        <v>0</v>
      </c>
      <c r="Q862" s="19"/>
      <c r="R862" s="19">
        <f>Таблица1[[#This Row],[Блок
 Куб]]*Таблица1[[#This Row],[Цена
 Продажа]]</f>
        <v>0</v>
      </c>
      <c r="S862" s="20"/>
      <c r="T862" s="19">
        <f>Таблица1[[#This Row],[Сумма 
Продажа]]-Таблица1[[#This Row],[Сумма 
Приход]]</f>
        <v>0</v>
      </c>
      <c r="U862" s="150"/>
    </row>
    <row r="863" spans="1:21" ht="14.25" x14ac:dyDescent="0.2">
      <c r="A863" s="50">
        <f t="shared" si="13"/>
        <v>860</v>
      </c>
      <c r="B863" s="17"/>
      <c r="C863" s="17"/>
      <c r="D863" s="17"/>
      <c r="E863" s="51"/>
      <c r="F863" s="50"/>
      <c r="G863" s="23"/>
      <c r="H863" s="24"/>
      <c r="I863" s="23"/>
      <c r="J863" s="19">
        <f>Таблица1[[#This Row],[Блок
 Куб]]*Таблица1[[#This Row],[Цена 
Приход]]</f>
        <v>0</v>
      </c>
      <c r="K863" s="25"/>
      <c r="L863" s="25"/>
      <c r="M863" s="19">
        <f>Таблица1[[#This Row],[Поддон
Шт]]*Таблица1[[#This Row],[Цена
Поддон]]</f>
        <v>0</v>
      </c>
      <c r="N863" s="19">
        <f>Таблица1[[#This Row],[Сумма 
Приход]]+Таблица1[[#This Row],[Сумма Поддон]]</f>
        <v>0</v>
      </c>
      <c r="O863" s="20"/>
      <c r="P863" s="19">
        <f>Таблица1[[#This Row],[Цена
 Продажа]]-Таблица1[[#This Row],[Цена 
Приход]]</f>
        <v>0</v>
      </c>
      <c r="Q863" s="19"/>
      <c r="R863" s="19">
        <f>Таблица1[[#This Row],[Блок
 Куб]]*Таблица1[[#This Row],[Цена
 Продажа]]</f>
        <v>0</v>
      </c>
      <c r="S863" s="20"/>
      <c r="T863" s="19">
        <f>Таблица1[[#This Row],[Сумма 
Продажа]]-Таблица1[[#This Row],[Сумма 
Приход]]</f>
        <v>0</v>
      </c>
      <c r="U863" s="150"/>
    </row>
    <row r="864" spans="1:21" ht="14.25" x14ac:dyDescent="0.2">
      <c r="A864" s="50">
        <f t="shared" si="13"/>
        <v>861</v>
      </c>
      <c r="B864" s="17"/>
      <c r="C864" s="17"/>
      <c r="D864" s="17"/>
      <c r="E864" s="51"/>
      <c r="F864" s="50"/>
      <c r="G864" s="23"/>
      <c r="H864" s="24"/>
      <c r="I864" s="23"/>
      <c r="J864" s="19">
        <f>Таблица1[[#This Row],[Блок
 Куб]]*Таблица1[[#This Row],[Цена 
Приход]]</f>
        <v>0</v>
      </c>
      <c r="K864" s="25"/>
      <c r="L864" s="25"/>
      <c r="M864" s="19">
        <f>Таблица1[[#This Row],[Поддон
Шт]]*Таблица1[[#This Row],[Цена
Поддон]]</f>
        <v>0</v>
      </c>
      <c r="N864" s="19">
        <f>Таблица1[[#This Row],[Сумма 
Приход]]+Таблица1[[#This Row],[Сумма Поддон]]</f>
        <v>0</v>
      </c>
      <c r="O864" s="20"/>
      <c r="P864" s="19">
        <f>Таблица1[[#This Row],[Цена
 Продажа]]-Таблица1[[#This Row],[Цена 
Приход]]</f>
        <v>0</v>
      </c>
      <c r="Q864" s="19"/>
      <c r="R864" s="19">
        <f>Таблица1[[#This Row],[Блок
 Куб]]*Таблица1[[#This Row],[Цена
 Продажа]]</f>
        <v>0</v>
      </c>
      <c r="S864" s="20"/>
      <c r="T864" s="19">
        <f>Таблица1[[#This Row],[Сумма 
Продажа]]-Таблица1[[#This Row],[Сумма 
Приход]]</f>
        <v>0</v>
      </c>
      <c r="U864" s="150"/>
    </row>
    <row r="865" spans="1:21" ht="14.25" x14ac:dyDescent="0.2">
      <c r="A865" s="50">
        <f t="shared" si="13"/>
        <v>862</v>
      </c>
      <c r="B865" s="17"/>
      <c r="C865" s="17"/>
      <c r="D865" s="17"/>
      <c r="E865" s="51"/>
      <c r="F865" s="50"/>
      <c r="G865" s="23"/>
      <c r="H865" s="24"/>
      <c r="I865" s="23"/>
      <c r="J865" s="19">
        <f>Таблица1[[#This Row],[Блок
 Куб]]*Таблица1[[#This Row],[Цена 
Приход]]</f>
        <v>0</v>
      </c>
      <c r="K865" s="25"/>
      <c r="L865" s="25"/>
      <c r="M865" s="19">
        <f>Таблица1[[#This Row],[Поддон
Шт]]*Таблица1[[#This Row],[Цена
Поддон]]</f>
        <v>0</v>
      </c>
      <c r="N865" s="19">
        <f>Таблица1[[#This Row],[Сумма 
Приход]]+Таблица1[[#This Row],[Сумма Поддон]]</f>
        <v>0</v>
      </c>
      <c r="O865" s="20"/>
      <c r="P865" s="19">
        <f>Таблица1[[#This Row],[Цена
 Продажа]]-Таблица1[[#This Row],[Цена 
Приход]]</f>
        <v>0</v>
      </c>
      <c r="Q865" s="19"/>
      <c r="R865" s="19">
        <f>Таблица1[[#This Row],[Блок
 Куб]]*Таблица1[[#This Row],[Цена
 Продажа]]</f>
        <v>0</v>
      </c>
      <c r="S865" s="20"/>
      <c r="T865" s="19">
        <f>Таблица1[[#This Row],[Сумма 
Продажа]]-Таблица1[[#This Row],[Сумма 
Приход]]</f>
        <v>0</v>
      </c>
      <c r="U865" s="150"/>
    </row>
    <row r="866" spans="1:21" ht="14.25" x14ac:dyDescent="0.2">
      <c r="A866" s="50">
        <f t="shared" si="13"/>
        <v>863</v>
      </c>
      <c r="B866" s="17"/>
      <c r="C866" s="17"/>
      <c r="D866" s="17"/>
      <c r="E866" s="51"/>
      <c r="F866" s="50"/>
      <c r="G866" s="23"/>
      <c r="H866" s="24"/>
      <c r="I866" s="23"/>
      <c r="J866" s="19">
        <f>Таблица1[[#This Row],[Блок
 Куб]]*Таблица1[[#This Row],[Цена 
Приход]]</f>
        <v>0</v>
      </c>
      <c r="K866" s="25"/>
      <c r="L866" s="25"/>
      <c r="M866" s="19">
        <f>Таблица1[[#This Row],[Поддон
Шт]]*Таблица1[[#This Row],[Цена
Поддон]]</f>
        <v>0</v>
      </c>
      <c r="N866" s="19">
        <f>Таблица1[[#This Row],[Сумма 
Приход]]+Таблица1[[#This Row],[Сумма Поддон]]</f>
        <v>0</v>
      </c>
      <c r="O866" s="20"/>
      <c r="P866" s="19">
        <f>Таблица1[[#This Row],[Цена
 Продажа]]-Таблица1[[#This Row],[Цена 
Приход]]</f>
        <v>0</v>
      </c>
      <c r="Q866" s="19"/>
      <c r="R866" s="19">
        <f>Таблица1[[#This Row],[Блок
 Куб]]*Таблица1[[#This Row],[Цена
 Продажа]]</f>
        <v>0</v>
      </c>
      <c r="S866" s="20"/>
      <c r="T866" s="19">
        <f>Таблица1[[#This Row],[Сумма 
Продажа]]-Таблица1[[#This Row],[Сумма 
Приход]]</f>
        <v>0</v>
      </c>
      <c r="U866" s="150"/>
    </row>
    <row r="867" spans="1:21" ht="14.25" x14ac:dyDescent="0.2">
      <c r="A867" s="50">
        <f t="shared" si="13"/>
        <v>864</v>
      </c>
      <c r="B867" s="17"/>
      <c r="C867" s="17"/>
      <c r="D867" s="17"/>
      <c r="E867" s="51"/>
      <c r="F867" s="50"/>
      <c r="G867" s="23"/>
      <c r="H867" s="24"/>
      <c r="I867" s="23"/>
      <c r="J867" s="19">
        <f>Таблица1[[#This Row],[Блок
 Куб]]*Таблица1[[#This Row],[Цена 
Приход]]</f>
        <v>0</v>
      </c>
      <c r="K867" s="25"/>
      <c r="L867" s="25"/>
      <c r="M867" s="19">
        <f>Таблица1[[#This Row],[Поддон
Шт]]*Таблица1[[#This Row],[Цена
Поддон]]</f>
        <v>0</v>
      </c>
      <c r="N867" s="19">
        <f>Таблица1[[#This Row],[Сумма 
Приход]]+Таблица1[[#This Row],[Сумма Поддон]]</f>
        <v>0</v>
      </c>
      <c r="O867" s="20"/>
      <c r="P867" s="19">
        <f>Таблица1[[#This Row],[Цена
 Продажа]]-Таблица1[[#This Row],[Цена 
Приход]]</f>
        <v>0</v>
      </c>
      <c r="Q867" s="19"/>
      <c r="R867" s="19">
        <f>Таблица1[[#This Row],[Блок
 Куб]]*Таблица1[[#This Row],[Цена
 Продажа]]</f>
        <v>0</v>
      </c>
      <c r="S867" s="20"/>
      <c r="T867" s="19">
        <f>Таблица1[[#This Row],[Сумма 
Продажа]]-Таблица1[[#This Row],[Сумма 
Приход]]</f>
        <v>0</v>
      </c>
      <c r="U867" s="150"/>
    </row>
    <row r="868" spans="1:21" ht="14.25" x14ac:dyDescent="0.2">
      <c r="A868" s="50">
        <f t="shared" si="13"/>
        <v>865</v>
      </c>
      <c r="B868" s="17"/>
      <c r="C868" s="17"/>
      <c r="D868" s="17"/>
      <c r="E868" s="51"/>
      <c r="F868" s="50"/>
      <c r="G868" s="23"/>
      <c r="H868" s="24"/>
      <c r="I868" s="23"/>
      <c r="J868" s="19">
        <f>Таблица1[[#This Row],[Блок
 Куб]]*Таблица1[[#This Row],[Цена 
Приход]]</f>
        <v>0</v>
      </c>
      <c r="K868" s="25"/>
      <c r="L868" s="25"/>
      <c r="M868" s="19">
        <f>Таблица1[[#This Row],[Поддон
Шт]]*Таблица1[[#This Row],[Цена
Поддон]]</f>
        <v>0</v>
      </c>
      <c r="N868" s="19">
        <f>Таблица1[[#This Row],[Сумма 
Приход]]+Таблица1[[#This Row],[Сумма Поддон]]</f>
        <v>0</v>
      </c>
      <c r="O868" s="20"/>
      <c r="P868" s="19">
        <f>Таблица1[[#This Row],[Цена
 Продажа]]-Таблица1[[#This Row],[Цена 
Приход]]</f>
        <v>0</v>
      </c>
      <c r="Q868" s="19"/>
      <c r="R868" s="19">
        <f>Таблица1[[#This Row],[Блок
 Куб]]*Таблица1[[#This Row],[Цена
 Продажа]]</f>
        <v>0</v>
      </c>
      <c r="S868" s="20"/>
      <c r="T868" s="19">
        <f>Таблица1[[#This Row],[Сумма 
Продажа]]-Таблица1[[#This Row],[Сумма 
Приход]]</f>
        <v>0</v>
      </c>
      <c r="U868" s="150"/>
    </row>
    <row r="869" spans="1:21" ht="14.25" x14ac:dyDescent="0.2">
      <c r="A869" s="50">
        <f t="shared" si="13"/>
        <v>866</v>
      </c>
      <c r="B869" s="17"/>
      <c r="C869" s="17"/>
      <c r="D869" s="17"/>
      <c r="E869" s="51"/>
      <c r="F869" s="50"/>
      <c r="G869" s="23"/>
      <c r="H869" s="24"/>
      <c r="I869" s="23"/>
      <c r="J869" s="19">
        <f>Таблица1[[#This Row],[Блок
 Куб]]*Таблица1[[#This Row],[Цена 
Приход]]</f>
        <v>0</v>
      </c>
      <c r="K869" s="25"/>
      <c r="L869" s="25"/>
      <c r="M869" s="19">
        <f>Таблица1[[#This Row],[Поддон
Шт]]*Таблица1[[#This Row],[Цена
Поддон]]</f>
        <v>0</v>
      </c>
      <c r="N869" s="19">
        <f>Таблица1[[#This Row],[Сумма 
Приход]]+Таблица1[[#This Row],[Сумма Поддон]]</f>
        <v>0</v>
      </c>
      <c r="O869" s="20"/>
      <c r="P869" s="19">
        <f>Таблица1[[#This Row],[Цена
 Продажа]]-Таблица1[[#This Row],[Цена 
Приход]]</f>
        <v>0</v>
      </c>
      <c r="Q869" s="19"/>
      <c r="R869" s="19">
        <f>Таблица1[[#This Row],[Блок
 Куб]]*Таблица1[[#This Row],[Цена
 Продажа]]</f>
        <v>0</v>
      </c>
      <c r="S869" s="20"/>
      <c r="T869" s="19">
        <f>Таблица1[[#This Row],[Сумма 
Продажа]]-Таблица1[[#This Row],[Сумма 
Приход]]</f>
        <v>0</v>
      </c>
      <c r="U869" s="150"/>
    </row>
    <row r="870" spans="1:21" ht="14.25" x14ac:dyDescent="0.2">
      <c r="A870" s="50">
        <f t="shared" si="13"/>
        <v>867</v>
      </c>
      <c r="B870" s="17"/>
      <c r="C870" s="17"/>
      <c r="D870" s="17"/>
      <c r="E870" s="51"/>
      <c r="F870" s="50"/>
      <c r="G870" s="23"/>
      <c r="H870" s="24"/>
      <c r="I870" s="23"/>
      <c r="J870" s="19">
        <f>Таблица1[[#This Row],[Блок
 Куб]]*Таблица1[[#This Row],[Цена 
Приход]]</f>
        <v>0</v>
      </c>
      <c r="K870" s="25"/>
      <c r="L870" s="25"/>
      <c r="M870" s="19">
        <f>Таблица1[[#This Row],[Поддон
Шт]]*Таблица1[[#This Row],[Цена
Поддон]]</f>
        <v>0</v>
      </c>
      <c r="N870" s="19">
        <f>Таблица1[[#This Row],[Сумма 
Приход]]+Таблица1[[#This Row],[Сумма Поддон]]</f>
        <v>0</v>
      </c>
      <c r="O870" s="20"/>
      <c r="P870" s="19">
        <f>Таблица1[[#This Row],[Цена
 Продажа]]-Таблица1[[#This Row],[Цена 
Приход]]</f>
        <v>0</v>
      </c>
      <c r="Q870" s="19"/>
      <c r="R870" s="19">
        <f>Таблица1[[#This Row],[Блок
 Куб]]*Таблица1[[#This Row],[Цена
 Продажа]]</f>
        <v>0</v>
      </c>
      <c r="S870" s="20"/>
      <c r="T870" s="19">
        <f>Таблица1[[#This Row],[Сумма 
Продажа]]-Таблица1[[#This Row],[Сумма 
Приход]]</f>
        <v>0</v>
      </c>
      <c r="U870" s="150"/>
    </row>
    <row r="871" spans="1:21" ht="14.25" x14ac:dyDescent="0.2">
      <c r="A871" s="50">
        <f t="shared" si="13"/>
        <v>868</v>
      </c>
      <c r="B871" s="17"/>
      <c r="C871" s="17"/>
      <c r="D871" s="17"/>
      <c r="E871" s="51"/>
      <c r="F871" s="50"/>
      <c r="G871" s="23"/>
      <c r="H871" s="24"/>
      <c r="I871" s="23"/>
      <c r="J871" s="19">
        <f>Таблица1[[#This Row],[Блок
 Куб]]*Таблица1[[#This Row],[Цена 
Приход]]</f>
        <v>0</v>
      </c>
      <c r="K871" s="25"/>
      <c r="L871" s="25"/>
      <c r="M871" s="19">
        <f>Таблица1[[#This Row],[Поддон
Шт]]*Таблица1[[#This Row],[Цена
Поддон]]</f>
        <v>0</v>
      </c>
      <c r="N871" s="19">
        <f>Таблица1[[#This Row],[Сумма 
Приход]]+Таблица1[[#This Row],[Сумма Поддон]]</f>
        <v>0</v>
      </c>
      <c r="O871" s="20"/>
      <c r="P871" s="19">
        <f>Таблица1[[#This Row],[Цена
 Продажа]]-Таблица1[[#This Row],[Цена 
Приход]]</f>
        <v>0</v>
      </c>
      <c r="Q871" s="19"/>
      <c r="R871" s="19">
        <f>Таблица1[[#This Row],[Блок
 Куб]]*Таблица1[[#This Row],[Цена
 Продажа]]</f>
        <v>0</v>
      </c>
      <c r="S871" s="20"/>
      <c r="T871" s="19">
        <f>Таблица1[[#This Row],[Сумма 
Продажа]]-Таблица1[[#This Row],[Сумма 
Приход]]</f>
        <v>0</v>
      </c>
      <c r="U871" s="150"/>
    </row>
    <row r="872" spans="1:21" ht="14.25" x14ac:dyDescent="0.2">
      <c r="A872" s="50">
        <f t="shared" si="13"/>
        <v>869</v>
      </c>
      <c r="B872" s="17"/>
      <c r="C872" s="17"/>
      <c r="D872" s="17"/>
      <c r="E872" s="51"/>
      <c r="F872" s="50"/>
      <c r="G872" s="23"/>
      <c r="H872" s="24"/>
      <c r="I872" s="23"/>
      <c r="J872" s="19">
        <f>Таблица1[[#This Row],[Блок
 Куб]]*Таблица1[[#This Row],[Цена 
Приход]]</f>
        <v>0</v>
      </c>
      <c r="K872" s="25"/>
      <c r="L872" s="25"/>
      <c r="M872" s="19">
        <f>Таблица1[[#This Row],[Поддон
Шт]]*Таблица1[[#This Row],[Цена
Поддон]]</f>
        <v>0</v>
      </c>
      <c r="N872" s="19">
        <f>Таблица1[[#This Row],[Сумма 
Приход]]+Таблица1[[#This Row],[Сумма Поддон]]</f>
        <v>0</v>
      </c>
      <c r="O872" s="20"/>
      <c r="P872" s="19">
        <f>Таблица1[[#This Row],[Цена
 Продажа]]-Таблица1[[#This Row],[Цена 
Приход]]</f>
        <v>0</v>
      </c>
      <c r="Q872" s="19"/>
      <c r="R872" s="19">
        <f>Таблица1[[#This Row],[Блок
 Куб]]*Таблица1[[#This Row],[Цена
 Продажа]]</f>
        <v>0</v>
      </c>
      <c r="S872" s="20"/>
      <c r="T872" s="19">
        <f>Таблица1[[#This Row],[Сумма 
Продажа]]-Таблица1[[#This Row],[Сумма 
Приход]]</f>
        <v>0</v>
      </c>
      <c r="U872" s="150"/>
    </row>
    <row r="873" spans="1:21" ht="14.25" x14ac:dyDescent="0.2">
      <c r="A873" s="50">
        <f t="shared" si="13"/>
        <v>870</v>
      </c>
      <c r="B873" s="17"/>
      <c r="C873" s="17"/>
      <c r="D873" s="17"/>
      <c r="E873" s="51"/>
      <c r="F873" s="50"/>
      <c r="G873" s="23"/>
      <c r="H873" s="24"/>
      <c r="I873" s="23"/>
      <c r="J873" s="19">
        <f>Таблица1[[#This Row],[Блок
 Куб]]*Таблица1[[#This Row],[Цена 
Приход]]</f>
        <v>0</v>
      </c>
      <c r="K873" s="25"/>
      <c r="L873" s="25"/>
      <c r="M873" s="19">
        <f>Таблица1[[#This Row],[Поддон
Шт]]*Таблица1[[#This Row],[Цена
Поддон]]</f>
        <v>0</v>
      </c>
      <c r="N873" s="19">
        <f>Таблица1[[#This Row],[Сумма 
Приход]]+Таблица1[[#This Row],[Сумма Поддон]]</f>
        <v>0</v>
      </c>
      <c r="O873" s="20"/>
      <c r="P873" s="19">
        <f>Таблица1[[#This Row],[Цена
 Продажа]]-Таблица1[[#This Row],[Цена 
Приход]]</f>
        <v>0</v>
      </c>
      <c r="Q873" s="19"/>
      <c r="R873" s="19">
        <f>Таблица1[[#This Row],[Блок
 Куб]]*Таблица1[[#This Row],[Цена
 Продажа]]</f>
        <v>0</v>
      </c>
      <c r="S873" s="20"/>
      <c r="T873" s="19">
        <f>Таблица1[[#This Row],[Сумма 
Продажа]]-Таблица1[[#This Row],[Сумма 
Приход]]</f>
        <v>0</v>
      </c>
      <c r="U873" s="150"/>
    </row>
    <row r="874" spans="1:21" ht="14.25" x14ac:dyDescent="0.2">
      <c r="A874" s="50">
        <f t="shared" si="13"/>
        <v>871</v>
      </c>
      <c r="B874" s="17"/>
      <c r="C874" s="17"/>
      <c r="D874" s="17"/>
      <c r="E874" s="51"/>
      <c r="F874" s="50"/>
      <c r="G874" s="23"/>
      <c r="H874" s="24"/>
      <c r="I874" s="23"/>
      <c r="J874" s="19">
        <f>Таблица1[[#This Row],[Блок
 Куб]]*Таблица1[[#This Row],[Цена 
Приход]]</f>
        <v>0</v>
      </c>
      <c r="K874" s="25"/>
      <c r="L874" s="25"/>
      <c r="M874" s="19">
        <f>Таблица1[[#This Row],[Поддон
Шт]]*Таблица1[[#This Row],[Цена
Поддон]]</f>
        <v>0</v>
      </c>
      <c r="N874" s="19">
        <f>Таблица1[[#This Row],[Сумма 
Приход]]+Таблица1[[#This Row],[Сумма Поддон]]</f>
        <v>0</v>
      </c>
      <c r="O874" s="20"/>
      <c r="P874" s="19">
        <f>Таблица1[[#This Row],[Цена
 Продажа]]-Таблица1[[#This Row],[Цена 
Приход]]</f>
        <v>0</v>
      </c>
      <c r="Q874" s="19"/>
      <c r="R874" s="19">
        <f>Таблица1[[#This Row],[Блок
 Куб]]*Таблица1[[#This Row],[Цена
 Продажа]]</f>
        <v>0</v>
      </c>
      <c r="S874" s="20"/>
      <c r="T874" s="19">
        <f>Таблица1[[#This Row],[Сумма 
Продажа]]-Таблица1[[#This Row],[Сумма 
Приход]]</f>
        <v>0</v>
      </c>
      <c r="U874" s="150"/>
    </row>
    <row r="875" spans="1:21" ht="14.25" x14ac:dyDescent="0.2">
      <c r="A875" s="50">
        <f t="shared" si="13"/>
        <v>872</v>
      </c>
      <c r="B875" s="17"/>
      <c r="C875" s="17"/>
      <c r="D875" s="17"/>
      <c r="E875" s="51"/>
      <c r="F875" s="50"/>
      <c r="G875" s="23"/>
      <c r="H875" s="24"/>
      <c r="I875" s="23"/>
      <c r="J875" s="19">
        <f>Таблица1[[#This Row],[Блок
 Куб]]*Таблица1[[#This Row],[Цена 
Приход]]</f>
        <v>0</v>
      </c>
      <c r="K875" s="25"/>
      <c r="L875" s="25"/>
      <c r="M875" s="19">
        <f>Таблица1[[#This Row],[Поддон
Шт]]*Таблица1[[#This Row],[Цена
Поддон]]</f>
        <v>0</v>
      </c>
      <c r="N875" s="19">
        <f>Таблица1[[#This Row],[Сумма 
Приход]]+Таблица1[[#This Row],[Сумма Поддон]]</f>
        <v>0</v>
      </c>
      <c r="O875" s="20"/>
      <c r="P875" s="19">
        <f>Таблица1[[#This Row],[Цена
 Продажа]]-Таблица1[[#This Row],[Цена 
Приход]]</f>
        <v>0</v>
      </c>
      <c r="Q875" s="19"/>
      <c r="R875" s="19">
        <f>Таблица1[[#This Row],[Блок
 Куб]]*Таблица1[[#This Row],[Цена
 Продажа]]</f>
        <v>0</v>
      </c>
      <c r="S875" s="20"/>
      <c r="T875" s="19">
        <f>Таблица1[[#This Row],[Сумма 
Продажа]]-Таблица1[[#This Row],[Сумма 
Приход]]</f>
        <v>0</v>
      </c>
      <c r="U875" s="150"/>
    </row>
    <row r="876" spans="1:21" ht="14.25" x14ac:dyDescent="0.2">
      <c r="A876" s="50">
        <f t="shared" si="13"/>
        <v>873</v>
      </c>
      <c r="B876" s="17"/>
      <c r="C876" s="17"/>
      <c r="D876" s="17"/>
      <c r="E876" s="51"/>
      <c r="F876" s="50"/>
      <c r="G876" s="23"/>
      <c r="H876" s="24"/>
      <c r="I876" s="23"/>
      <c r="J876" s="19">
        <f>Таблица1[[#This Row],[Блок
 Куб]]*Таблица1[[#This Row],[Цена 
Приход]]</f>
        <v>0</v>
      </c>
      <c r="K876" s="25"/>
      <c r="L876" s="25"/>
      <c r="M876" s="19">
        <f>Таблица1[[#This Row],[Поддон
Шт]]*Таблица1[[#This Row],[Цена
Поддон]]</f>
        <v>0</v>
      </c>
      <c r="N876" s="19">
        <f>Таблица1[[#This Row],[Сумма 
Приход]]+Таблица1[[#This Row],[Сумма Поддон]]</f>
        <v>0</v>
      </c>
      <c r="O876" s="20"/>
      <c r="P876" s="19">
        <f>Таблица1[[#This Row],[Цена
 Продажа]]-Таблица1[[#This Row],[Цена 
Приход]]</f>
        <v>0</v>
      </c>
      <c r="Q876" s="19"/>
      <c r="R876" s="19">
        <f>Таблица1[[#This Row],[Блок
 Куб]]*Таблица1[[#This Row],[Цена
 Продажа]]</f>
        <v>0</v>
      </c>
      <c r="S876" s="20"/>
      <c r="T876" s="19">
        <f>Таблица1[[#This Row],[Сумма 
Продажа]]-Таблица1[[#This Row],[Сумма 
Приход]]</f>
        <v>0</v>
      </c>
      <c r="U876" s="150"/>
    </row>
    <row r="877" spans="1:21" ht="14.25" x14ac:dyDescent="0.2">
      <c r="A877" s="50">
        <f t="shared" si="13"/>
        <v>874</v>
      </c>
      <c r="B877" s="17"/>
      <c r="C877" s="17"/>
      <c r="D877" s="17"/>
      <c r="E877" s="51"/>
      <c r="F877" s="50"/>
      <c r="G877" s="23"/>
      <c r="H877" s="24"/>
      <c r="I877" s="23"/>
      <c r="J877" s="19">
        <f>Таблица1[[#This Row],[Блок
 Куб]]*Таблица1[[#This Row],[Цена 
Приход]]</f>
        <v>0</v>
      </c>
      <c r="K877" s="25"/>
      <c r="L877" s="25"/>
      <c r="M877" s="19">
        <f>Таблица1[[#This Row],[Поддон
Шт]]*Таблица1[[#This Row],[Цена
Поддон]]</f>
        <v>0</v>
      </c>
      <c r="N877" s="19">
        <f>Таблица1[[#This Row],[Сумма 
Приход]]+Таблица1[[#This Row],[Сумма Поддон]]</f>
        <v>0</v>
      </c>
      <c r="O877" s="20"/>
      <c r="P877" s="19">
        <f>Таблица1[[#This Row],[Цена
 Продажа]]-Таблица1[[#This Row],[Цена 
Приход]]</f>
        <v>0</v>
      </c>
      <c r="Q877" s="19"/>
      <c r="R877" s="19">
        <f>Таблица1[[#This Row],[Блок
 Куб]]*Таблица1[[#This Row],[Цена
 Продажа]]</f>
        <v>0</v>
      </c>
      <c r="S877" s="20"/>
      <c r="T877" s="19">
        <f>Таблица1[[#This Row],[Сумма 
Продажа]]-Таблица1[[#This Row],[Сумма 
Приход]]</f>
        <v>0</v>
      </c>
      <c r="U877" s="150"/>
    </row>
    <row r="878" spans="1:21" ht="14.25" x14ac:dyDescent="0.2">
      <c r="A878" s="50">
        <f t="shared" si="13"/>
        <v>875</v>
      </c>
      <c r="B878" s="17"/>
      <c r="C878" s="17"/>
      <c r="D878" s="17"/>
      <c r="E878" s="51"/>
      <c r="F878" s="50"/>
      <c r="G878" s="23"/>
      <c r="H878" s="24"/>
      <c r="I878" s="23"/>
      <c r="J878" s="19">
        <f>Таблица1[[#This Row],[Блок
 Куб]]*Таблица1[[#This Row],[Цена 
Приход]]</f>
        <v>0</v>
      </c>
      <c r="K878" s="25"/>
      <c r="L878" s="25"/>
      <c r="M878" s="19">
        <f>Таблица1[[#This Row],[Поддон
Шт]]*Таблица1[[#This Row],[Цена
Поддон]]</f>
        <v>0</v>
      </c>
      <c r="N878" s="19">
        <f>Таблица1[[#This Row],[Сумма 
Приход]]+Таблица1[[#This Row],[Сумма Поддон]]</f>
        <v>0</v>
      </c>
      <c r="O878" s="20"/>
      <c r="P878" s="19">
        <f>Таблица1[[#This Row],[Цена
 Продажа]]-Таблица1[[#This Row],[Цена 
Приход]]</f>
        <v>0</v>
      </c>
      <c r="Q878" s="19"/>
      <c r="R878" s="19">
        <f>Таблица1[[#This Row],[Блок
 Куб]]*Таблица1[[#This Row],[Цена
 Продажа]]</f>
        <v>0</v>
      </c>
      <c r="S878" s="20"/>
      <c r="T878" s="19">
        <f>Таблица1[[#This Row],[Сумма 
Продажа]]-Таблица1[[#This Row],[Сумма 
Приход]]</f>
        <v>0</v>
      </c>
      <c r="U878" s="150"/>
    </row>
    <row r="879" spans="1:21" ht="14.25" x14ac:dyDescent="0.2">
      <c r="A879" s="50">
        <f t="shared" si="13"/>
        <v>876</v>
      </c>
      <c r="B879" s="17"/>
      <c r="C879" s="17"/>
      <c r="D879" s="17"/>
      <c r="E879" s="51"/>
      <c r="F879" s="50"/>
      <c r="G879" s="23"/>
      <c r="H879" s="24"/>
      <c r="I879" s="23"/>
      <c r="J879" s="19">
        <f>Таблица1[[#This Row],[Блок
 Куб]]*Таблица1[[#This Row],[Цена 
Приход]]</f>
        <v>0</v>
      </c>
      <c r="K879" s="25"/>
      <c r="L879" s="25"/>
      <c r="M879" s="19">
        <f>Таблица1[[#This Row],[Поддон
Шт]]*Таблица1[[#This Row],[Цена
Поддон]]</f>
        <v>0</v>
      </c>
      <c r="N879" s="19">
        <f>Таблица1[[#This Row],[Сумма 
Приход]]+Таблица1[[#This Row],[Сумма Поддон]]</f>
        <v>0</v>
      </c>
      <c r="O879" s="20"/>
      <c r="P879" s="19">
        <f>Таблица1[[#This Row],[Цена
 Продажа]]-Таблица1[[#This Row],[Цена 
Приход]]</f>
        <v>0</v>
      </c>
      <c r="Q879" s="19"/>
      <c r="R879" s="19">
        <f>Таблица1[[#This Row],[Блок
 Куб]]*Таблица1[[#This Row],[Цена
 Продажа]]</f>
        <v>0</v>
      </c>
      <c r="S879" s="20"/>
      <c r="T879" s="19">
        <f>Таблица1[[#This Row],[Сумма 
Продажа]]-Таблица1[[#This Row],[Сумма 
Приход]]</f>
        <v>0</v>
      </c>
      <c r="U879" s="150"/>
    </row>
    <row r="880" spans="1:21" ht="14.25" x14ac:dyDescent="0.2">
      <c r="A880" s="50">
        <f t="shared" si="13"/>
        <v>877</v>
      </c>
      <c r="B880" s="17"/>
      <c r="C880" s="17"/>
      <c r="D880" s="17"/>
      <c r="E880" s="51"/>
      <c r="F880" s="50"/>
      <c r="G880" s="23"/>
      <c r="H880" s="24"/>
      <c r="I880" s="23"/>
      <c r="J880" s="19">
        <f>Таблица1[[#This Row],[Блок
 Куб]]*Таблица1[[#This Row],[Цена 
Приход]]</f>
        <v>0</v>
      </c>
      <c r="K880" s="25"/>
      <c r="L880" s="25"/>
      <c r="M880" s="19">
        <f>Таблица1[[#This Row],[Поддон
Шт]]*Таблица1[[#This Row],[Цена
Поддон]]</f>
        <v>0</v>
      </c>
      <c r="N880" s="19">
        <f>Таблица1[[#This Row],[Сумма 
Приход]]+Таблица1[[#This Row],[Сумма Поддон]]</f>
        <v>0</v>
      </c>
      <c r="O880" s="20"/>
      <c r="P880" s="19">
        <f>Таблица1[[#This Row],[Цена
 Продажа]]-Таблица1[[#This Row],[Цена 
Приход]]</f>
        <v>0</v>
      </c>
      <c r="Q880" s="19"/>
      <c r="R880" s="19">
        <f>Таблица1[[#This Row],[Блок
 Куб]]*Таблица1[[#This Row],[Цена
 Продажа]]</f>
        <v>0</v>
      </c>
      <c r="S880" s="20"/>
      <c r="T880" s="19">
        <f>Таблица1[[#This Row],[Сумма 
Продажа]]-Таблица1[[#This Row],[Сумма 
Приход]]</f>
        <v>0</v>
      </c>
      <c r="U880" s="150"/>
    </row>
    <row r="881" spans="1:21" ht="14.25" x14ac:dyDescent="0.2">
      <c r="A881" s="50">
        <f t="shared" si="13"/>
        <v>878</v>
      </c>
      <c r="B881" s="17"/>
      <c r="C881" s="17"/>
      <c r="D881" s="17"/>
      <c r="E881" s="51"/>
      <c r="F881" s="50"/>
      <c r="G881" s="23"/>
      <c r="H881" s="24"/>
      <c r="I881" s="23"/>
      <c r="J881" s="19">
        <f>Таблица1[[#This Row],[Блок
 Куб]]*Таблица1[[#This Row],[Цена 
Приход]]</f>
        <v>0</v>
      </c>
      <c r="K881" s="25"/>
      <c r="L881" s="25"/>
      <c r="M881" s="19">
        <f>Таблица1[[#This Row],[Поддон
Шт]]*Таблица1[[#This Row],[Цена
Поддон]]</f>
        <v>0</v>
      </c>
      <c r="N881" s="19">
        <f>Таблица1[[#This Row],[Сумма 
Приход]]+Таблица1[[#This Row],[Сумма Поддон]]</f>
        <v>0</v>
      </c>
      <c r="O881" s="20"/>
      <c r="P881" s="19">
        <f>Таблица1[[#This Row],[Цена
 Продажа]]-Таблица1[[#This Row],[Цена 
Приход]]</f>
        <v>0</v>
      </c>
      <c r="Q881" s="19"/>
      <c r="R881" s="19">
        <f>Таблица1[[#This Row],[Блок
 Куб]]*Таблица1[[#This Row],[Цена
 Продажа]]</f>
        <v>0</v>
      </c>
      <c r="S881" s="20"/>
      <c r="T881" s="19">
        <f>Таблица1[[#This Row],[Сумма 
Продажа]]-Таблица1[[#This Row],[Сумма 
Приход]]</f>
        <v>0</v>
      </c>
      <c r="U881" s="150"/>
    </row>
    <row r="882" spans="1:21" ht="14.25" x14ac:dyDescent="0.2">
      <c r="A882" s="50">
        <f t="shared" si="13"/>
        <v>879</v>
      </c>
      <c r="B882" s="17"/>
      <c r="C882" s="17"/>
      <c r="D882" s="17"/>
      <c r="E882" s="51"/>
      <c r="F882" s="50"/>
      <c r="G882" s="23"/>
      <c r="H882" s="24"/>
      <c r="I882" s="23"/>
      <c r="J882" s="19">
        <f>Таблица1[[#This Row],[Блок
 Куб]]*Таблица1[[#This Row],[Цена 
Приход]]</f>
        <v>0</v>
      </c>
      <c r="K882" s="25"/>
      <c r="L882" s="25"/>
      <c r="M882" s="19">
        <f>Таблица1[[#This Row],[Поддон
Шт]]*Таблица1[[#This Row],[Цена
Поддон]]</f>
        <v>0</v>
      </c>
      <c r="N882" s="19">
        <f>Таблица1[[#This Row],[Сумма 
Приход]]+Таблица1[[#This Row],[Сумма Поддон]]</f>
        <v>0</v>
      </c>
      <c r="O882" s="20"/>
      <c r="P882" s="19">
        <f>Таблица1[[#This Row],[Цена
 Продажа]]-Таблица1[[#This Row],[Цена 
Приход]]</f>
        <v>0</v>
      </c>
      <c r="Q882" s="19"/>
      <c r="R882" s="19">
        <f>Таблица1[[#This Row],[Блок
 Куб]]*Таблица1[[#This Row],[Цена
 Продажа]]</f>
        <v>0</v>
      </c>
      <c r="S882" s="20"/>
      <c r="T882" s="19">
        <f>Таблица1[[#This Row],[Сумма 
Продажа]]-Таблица1[[#This Row],[Сумма 
Приход]]</f>
        <v>0</v>
      </c>
      <c r="U882" s="150"/>
    </row>
    <row r="883" spans="1:21" ht="14.25" x14ac:dyDescent="0.2">
      <c r="A883" s="50">
        <f t="shared" si="13"/>
        <v>880</v>
      </c>
      <c r="B883" s="17"/>
      <c r="C883" s="17"/>
      <c r="D883" s="17"/>
      <c r="E883" s="51"/>
      <c r="F883" s="50"/>
      <c r="G883" s="23"/>
      <c r="H883" s="24"/>
      <c r="I883" s="23"/>
      <c r="J883" s="19">
        <f>Таблица1[[#This Row],[Блок
 Куб]]*Таблица1[[#This Row],[Цена 
Приход]]</f>
        <v>0</v>
      </c>
      <c r="K883" s="25"/>
      <c r="L883" s="25"/>
      <c r="M883" s="19">
        <f>Таблица1[[#This Row],[Поддон
Шт]]*Таблица1[[#This Row],[Цена
Поддон]]</f>
        <v>0</v>
      </c>
      <c r="N883" s="19">
        <f>Таблица1[[#This Row],[Сумма 
Приход]]+Таблица1[[#This Row],[Сумма Поддон]]</f>
        <v>0</v>
      </c>
      <c r="O883" s="20"/>
      <c r="P883" s="19">
        <f>Таблица1[[#This Row],[Цена
 Продажа]]-Таблица1[[#This Row],[Цена 
Приход]]</f>
        <v>0</v>
      </c>
      <c r="Q883" s="19"/>
      <c r="R883" s="19">
        <f>Таблица1[[#This Row],[Блок
 Куб]]*Таблица1[[#This Row],[Цена
 Продажа]]</f>
        <v>0</v>
      </c>
      <c r="S883" s="20"/>
      <c r="T883" s="19">
        <f>Таблица1[[#This Row],[Сумма 
Продажа]]-Таблица1[[#This Row],[Сумма 
Приход]]</f>
        <v>0</v>
      </c>
      <c r="U883" s="150"/>
    </row>
    <row r="884" spans="1:21" ht="14.25" x14ac:dyDescent="0.2">
      <c r="A884" s="50">
        <f t="shared" si="13"/>
        <v>881</v>
      </c>
      <c r="B884" s="17"/>
      <c r="C884" s="17"/>
      <c r="D884" s="17"/>
      <c r="E884" s="51"/>
      <c r="F884" s="50"/>
      <c r="G884" s="23"/>
      <c r="H884" s="24"/>
      <c r="I884" s="23"/>
      <c r="J884" s="19">
        <f>Таблица1[[#This Row],[Блок
 Куб]]*Таблица1[[#This Row],[Цена 
Приход]]</f>
        <v>0</v>
      </c>
      <c r="K884" s="25"/>
      <c r="L884" s="25"/>
      <c r="M884" s="19">
        <f>Таблица1[[#This Row],[Поддон
Шт]]*Таблица1[[#This Row],[Цена
Поддон]]</f>
        <v>0</v>
      </c>
      <c r="N884" s="19">
        <f>Таблица1[[#This Row],[Сумма 
Приход]]+Таблица1[[#This Row],[Сумма Поддон]]</f>
        <v>0</v>
      </c>
      <c r="O884" s="20"/>
      <c r="P884" s="19">
        <f>Таблица1[[#This Row],[Цена
 Продажа]]-Таблица1[[#This Row],[Цена 
Приход]]</f>
        <v>0</v>
      </c>
      <c r="Q884" s="19"/>
      <c r="R884" s="19">
        <f>Таблица1[[#This Row],[Блок
 Куб]]*Таблица1[[#This Row],[Цена
 Продажа]]</f>
        <v>0</v>
      </c>
      <c r="S884" s="20"/>
      <c r="T884" s="19">
        <f>Таблица1[[#This Row],[Сумма 
Продажа]]-Таблица1[[#This Row],[Сумма 
Приход]]</f>
        <v>0</v>
      </c>
      <c r="U884" s="150"/>
    </row>
    <row r="885" spans="1:21" ht="14.25" x14ac:dyDescent="0.2">
      <c r="A885" s="50">
        <f t="shared" si="13"/>
        <v>882</v>
      </c>
      <c r="B885" s="17"/>
      <c r="C885" s="17"/>
      <c r="D885" s="17"/>
      <c r="E885" s="51"/>
      <c r="F885" s="50"/>
      <c r="G885" s="23"/>
      <c r="H885" s="24"/>
      <c r="I885" s="23"/>
      <c r="J885" s="19">
        <f>Таблица1[[#This Row],[Блок
 Куб]]*Таблица1[[#This Row],[Цена 
Приход]]</f>
        <v>0</v>
      </c>
      <c r="K885" s="25"/>
      <c r="L885" s="25"/>
      <c r="M885" s="19">
        <f>Таблица1[[#This Row],[Поддон
Шт]]*Таблица1[[#This Row],[Цена
Поддон]]</f>
        <v>0</v>
      </c>
      <c r="N885" s="19">
        <f>Таблица1[[#This Row],[Сумма 
Приход]]+Таблица1[[#This Row],[Сумма Поддон]]</f>
        <v>0</v>
      </c>
      <c r="O885" s="20"/>
      <c r="P885" s="19">
        <f>Таблица1[[#This Row],[Цена
 Продажа]]-Таблица1[[#This Row],[Цена 
Приход]]</f>
        <v>0</v>
      </c>
      <c r="Q885" s="19"/>
      <c r="R885" s="19">
        <f>Таблица1[[#This Row],[Блок
 Куб]]*Таблица1[[#This Row],[Цена
 Продажа]]</f>
        <v>0</v>
      </c>
      <c r="S885" s="20"/>
      <c r="T885" s="19">
        <f>Таблица1[[#This Row],[Сумма 
Продажа]]-Таблица1[[#This Row],[Сумма 
Приход]]</f>
        <v>0</v>
      </c>
      <c r="U885" s="150"/>
    </row>
    <row r="886" spans="1:21" ht="14.25" x14ac:dyDescent="0.2">
      <c r="A886" s="50">
        <f t="shared" si="13"/>
        <v>883</v>
      </c>
      <c r="B886" s="17"/>
      <c r="C886" s="17"/>
      <c r="D886" s="17"/>
      <c r="E886" s="51"/>
      <c r="F886" s="50"/>
      <c r="G886" s="23"/>
      <c r="H886" s="24"/>
      <c r="I886" s="23"/>
      <c r="J886" s="19">
        <f>Таблица1[[#This Row],[Блок
 Куб]]*Таблица1[[#This Row],[Цена 
Приход]]</f>
        <v>0</v>
      </c>
      <c r="K886" s="25"/>
      <c r="L886" s="25"/>
      <c r="M886" s="19">
        <f>Таблица1[[#This Row],[Поддон
Шт]]*Таблица1[[#This Row],[Цена
Поддон]]</f>
        <v>0</v>
      </c>
      <c r="N886" s="19">
        <f>Таблица1[[#This Row],[Сумма 
Приход]]+Таблица1[[#This Row],[Сумма Поддон]]</f>
        <v>0</v>
      </c>
      <c r="O886" s="20"/>
      <c r="P886" s="19">
        <f>Таблица1[[#This Row],[Цена
 Продажа]]-Таблица1[[#This Row],[Цена 
Приход]]</f>
        <v>0</v>
      </c>
      <c r="Q886" s="19"/>
      <c r="R886" s="19">
        <f>Таблица1[[#This Row],[Блок
 Куб]]*Таблица1[[#This Row],[Цена
 Продажа]]</f>
        <v>0</v>
      </c>
      <c r="S886" s="20"/>
      <c r="T886" s="19">
        <f>Таблица1[[#This Row],[Сумма 
Продажа]]-Таблица1[[#This Row],[Сумма 
Приход]]</f>
        <v>0</v>
      </c>
      <c r="U886" s="150"/>
    </row>
    <row r="887" spans="1:21" ht="14.25" x14ac:dyDescent="0.2">
      <c r="A887" s="50">
        <f t="shared" si="13"/>
        <v>884</v>
      </c>
      <c r="B887" s="17"/>
      <c r="C887" s="17"/>
      <c r="D887" s="17"/>
      <c r="E887" s="51"/>
      <c r="F887" s="50"/>
      <c r="G887" s="23"/>
      <c r="H887" s="24"/>
      <c r="I887" s="23"/>
      <c r="J887" s="19">
        <f>Таблица1[[#This Row],[Блок
 Куб]]*Таблица1[[#This Row],[Цена 
Приход]]</f>
        <v>0</v>
      </c>
      <c r="K887" s="25"/>
      <c r="L887" s="25"/>
      <c r="M887" s="19">
        <f>Таблица1[[#This Row],[Поддон
Шт]]*Таблица1[[#This Row],[Цена
Поддон]]</f>
        <v>0</v>
      </c>
      <c r="N887" s="19">
        <f>Таблица1[[#This Row],[Сумма 
Приход]]+Таблица1[[#This Row],[Сумма Поддон]]</f>
        <v>0</v>
      </c>
      <c r="O887" s="20"/>
      <c r="P887" s="19">
        <f>Таблица1[[#This Row],[Цена
 Продажа]]-Таблица1[[#This Row],[Цена 
Приход]]</f>
        <v>0</v>
      </c>
      <c r="Q887" s="19"/>
      <c r="R887" s="19">
        <f>Таблица1[[#This Row],[Блок
 Куб]]*Таблица1[[#This Row],[Цена
 Продажа]]</f>
        <v>0</v>
      </c>
      <c r="S887" s="20"/>
      <c r="T887" s="19">
        <f>Таблица1[[#This Row],[Сумма 
Продажа]]-Таблица1[[#This Row],[Сумма 
Приход]]</f>
        <v>0</v>
      </c>
      <c r="U887" s="150"/>
    </row>
    <row r="888" spans="1:21" ht="14.25" x14ac:dyDescent="0.2">
      <c r="A888" s="50">
        <f t="shared" si="13"/>
        <v>885</v>
      </c>
      <c r="B888" s="17"/>
      <c r="C888" s="17"/>
      <c r="D888" s="17"/>
      <c r="E888" s="51"/>
      <c r="F888" s="50"/>
      <c r="G888" s="23"/>
      <c r="H888" s="24"/>
      <c r="I888" s="23"/>
      <c r="J888" s="19">
        <f>Таблица1[[#This Row],[Блок
 Куб]]*Таблица1[[#This Row],[Цена 
Приход]]</f>
        <v>0</v>
      </c>
      <c r="K888" s="25"/>
      <c r="L888" s="25"/>
      <c r="M888" s="19">
        <f>Таблица1[[#This Row],[Поддон
Шт]]*Таблица1[[#This Row],[Цена
Поддон]]</f>
        <v>0</v>
      </c>
      <c r="N888" s="19">
        <f>Таблица1[[#This Row],[Сумма 
Приход]]+Таблица1[[#This Row],[Сумма Поддон]]</f>
        <v>0</v>
      </c>
      <c r="O888" s="20"/>
      <c r="P888" s="19">
        <f>Таблица1[[#This Row],[Цена
 Продажа]]-Таблица1[[#This Row],[Цена 
Приход]]</f>
        <v>0</v>
      </c>
      <c r="Q888" s="19"/>
      <c r="R888" s="19">
        <f>Таблица1[[#This Row],[Блок
 Куб]]*Таблица1[[#This Row],[Цена
 Продажа]]</f>
        <v>0</v>
      </c>
      <c r="S888" s="20"/>
      <c r="T888" s="19">
        <f>Таблица1[[#This Row],[Сумма 
Продажа]]-Таблица1[[#This Row],[Сумма 
Приход]]</f>
        <v>0</v>
      </c>
      <c r="U888" s="150"/>
    </row>
    <row r="889" spans="1:21" ht="14.25" x14ac:dyDescent="0.2">
      <c r="A889" s="50">
        <f t="shared" si="13"/>
        <v>886</v>
      </c>
      <c r="B889" s="17"/>
      <c r="C889" s="17"/>
      <c r="D889" s="17"/>
      <c r="E889" s="51"/>
      <c r="F889" s="50"/>
      <c r="G889" s="23"/>
      <c r="H889" s="24"/>
      <c r="I889" s="23"/>
      <c r="J889" s="19">
        <f>Таблица1[[#This Row],[Блок
 Куб]]*Таблица1[[#This Row],[Цена 
Приход]]</f>
        <v>0</v>
      </c>
      <c r="K889" s="25"/>
      <c r="L889" s="25"/>
      <c r="M889" s="19">
        <f>Таблица1[[#This Row],[Поддон
Шт]]*Таблица1[[#This Row],[Цена
Поддон]]</f>
        <v>0</v>
      </c>
      <c r="N889" s="19">
        <f>Таблица1[[#This Row],[Сумма 
Приход]]+Таблица1[[#This Row],[Сумма Поддон]]</f>
        <v>0</v>
      </c>
      <c r="O889" s="20"/>
      <c r="P889" s="19">
        <f>Таблица1[[#This Row],[Цена
 Продажа]]-Таблица1[[#This Row],[Цена 
Приход]]</f>
        <v>0</v>
      </c>
      <c r="Q889" s="19"/>
      <c r="R889" s="19">
        <f>Таблица1[[#This Row],[Блок
 Куб]]*Таблица1[[#This Row],[Цена
 Продажа]]</f>
        <v>0</v>
      </c>
      <c r="S889" s="20"/>
      <c r="T889" s="19">
        <f>Таблица1[[#This Row],[Сумма 
Продажа]]-Таблица1[[#This Row],[Сумма 
Приход]]</f>
        <v>0</v>
      </c>
      <c r="U889" s="150"/>
    </row>
    <row r="890" spans="1:21" ht="14.25" x14ac:dyDescent="0.2">
      <c r="A890" s="50">
        <f t="shared" si="13"/>
        <v>887</v>
      </c>
      <c r="B890" s="17"/>
      <c r="C890" s="17"/>
      <c r="D890" s="17"/>
      <c r="E890" s="51"/>
      <c r="F890" s="50"/>
      <c r="G890" s="23"/>
      <c r="H890" s="24"/>
      <c r="I890" s="23"/>
      <c r="J890" s="19">
        <f>Таблица1[[#This Row],[Блок
 Куб]]*Таблица1[[#This Row],[Цена 
Приход]]</f>
        <v>0</v>
      </c>
      <c r="K890" s="25"/>
      <c r="L890" s="25"/>
      <c r="M890" s="19">
        <f>Таблица1[[#This Row],[Поддон
Шт]]*Таблица1[[#This Row],[Цена
Поддон]]</f>
        <v>0</v>
      </c>
      <c r="N890" s="19">
        <f>Таблица1[[#This Row],[Сумма 
Приход]]+Таблица1[[#This Row],[Сумма Поддон]]</f>
        <v>0</v>
      </c>
      <c r="O890" s="20"/>
      <c r="P890" s="19">
        <f>Таблица1[[#This Row],[Цена
 Продажа]]-Таблица1[[#This Row],[Цена 
Приход]]</f>
        <v>0</v>
      </c>
      <c r="Q890" s="19"/>
      <c r="R890" s="19">
        <f>Таблица1[[#This Row],[Блок
 Куб]]*Таблица1[[#This Row],[Цена
 Продажа]]</f>
        <v>0</v>
      </c>
      <c r="S890" s="20"/>
      <c r="T890" s="19">
        <f>Таблица1[[#This Row],[Сумма 
Продажа]]-Таблица1[[#This Row],[Сумма 
Приход]]</f>
        <v>0</v>
      </c>
      <c r="U890" s="150"/>
    </row>
    <row r="891" spans="1:21" ht="14.25" x14ac:dyDescent="0.2">
      <c r="A891" s="50">
        <f t="shared" si="13"/>
        <v>888</v>
      </c>
      <c r="B891" s="17"/>
      <c r="C891" s="17"/>
      <c r="D891" s="17"/>
      <c r="E891" s="51"/>
      <c r="F891" s="50"/>
      <c r="G891" s="23"/>
      <c r="H891" s="24"/>
      <c r="I891" s="23"/>
      <c r="J891" s="19">
        <f>Таблица1[[#This Row],[Блок
 Куб]]*Таблица1[[#This Row],[Цена 
Приход]]</f>
        <v>0</v>
      </c>
      <c r="K891" s="25"/>
      <c r="L891" s="25"/>
      <c r="M891" s="19">
        <f>Таблица1[[#This Row],[Поддон
Шт]]*Таблица1[[#This Row],[Цена
Поддон]]</f>
        <v>0</v>
      </c>
      <c r="N891" s="19">
        <f>Таблица1[[#This Row],[Сумма 
Приход]]+Таблица1[[#This Row],[Сумма Поддон]]</f>
        <v>0</v>
      </c>
      <c r="O891" s="20"/>
      <c r="P891" s="19">
        <f>Таблица1[[#This Row],[Цена
 Продажа]]-Таблица1[[#This Row],[Цена 
Приход]]</f>
        <v>0</v>
      </c>
      <c r="Q891" s="19"/>
      <c r="R891" s="19">
        <f>Таблица1[[#This Row],[Блок
 Куб]]*Таблица1[[#This Row],[Цена
 Продажа]]</f>
        <v>0</v>
      </c>
      <c r="S891" s="20"/>
      <c r="T891" s="19">
        <f>Таблица1[[#This Row],[Сумма 
Продажа]]-Таблица1[[#This Row],[Сумма 
Приход]]</f>
        <v>0</v>
      </c>
      <c r="U891" s="150"/>
    </row>
    <row r="892" spans="1:21" ht="14.25" x14ac:dyDescent="0.2">
      <c r="A892" s="50">
        <f t="shared" si="13"/>
        <v>889</v>
      </c>
      <c r="B892" s="17"/>
      <c r="C892" s="17"/>
      <c r="D892" s="17"/>
      <c r="E892" s="51"/>
      <c r="F892" s="50"/>
      <c r="G892" s="23"/>
      <c r="H892" s="24"/>
      <c r="I892" s="23"/>
      <c r="J892" s="19">
        <f>Таблица1[[#This Row],[Блок
 Куб]]*Таблица1[[#This Row],[Цена 
Приход]]</f>
        <v>0</v>
      </c>
      <c r="K892" s="25"/>
      <c r="L892" s="25"/>
      <c r="M892" s="19">
        <f>Таблица1[[#This Row],[Поддон
Шт]]*Таблица1[[#This Row],[Цена
Поддон]]</f>
        <v>0</v>
      </c>
      <c r="N892" s="19">
        <f>Таблица1[[#This Row],[Сумма 
Приход]]+Таблица1[[#This Row],[Сумма Поддон]]</f>
        <v>0</v>
      </c>
      <c r="O892" s="20"/>
      <c r="P892" s="19">
        <f>Таблица1[[#This Row],[Цена
 Продажа]]-Таблица1[[#This Row],[Цена 
Приход]]</f>
        <v>0</v>
      </c>
      <c r="Q892" s="19"/>
      <c r="R892" s="19">
        <f>Таблица1[[#This Row],[Блок
 Куб]]*Таблица1[[#This Row],[Цена
 Продажа]]</f>
        <v>0</v>
      </c>
      <c r="S892" s="20"/>
      <c r="T892" s="19">
        <f>Таблица1[[#This Row],[Сумма 
Продажа]]-Таблица1[[#This Row],[Сумма 
Приход]]</f>
        <v>0</v>
      </c>
      <c r="U892" s="150"/>
    </row>
    <row r="893" spans="1:21" ht="14.25" x14ac:dyDescent="0.2">
      <c r="A893" s="50">
        <f t="shared" si="13"/>
        <v>890</v>
      </c>
      <c r="B893" s="17"/>
      <c r="C893" s="17"/>
      <c r="D893" s="17"/>
      <c r="E893" s="51"/>
      <c r="F893" s="50"/>
      <c r="G893" s="23"/>
      <c r="H893" s="24"/>
      <c r="I893" s="23"/>
      <c r="J893" s="19">
        <f>Таблица1[[#This Row],[Блок
 Куб]]*Таблица1[[#This Row],[Цена 
Приход]]</f>
        <v>0</v>
      </c>
      <c r="K893" s="25"/>
      <c r="L893" s="25"/>
      <c r="M893" s="19">
        <f>Таблица1[[#This Row],[Поддон
Шт]]*Таблица1[[#This Row],[Цена
Поддон]]</f>
        <v>0</v>
      </c>
      <c r="N893" s="19">
        <f>Таблица1[[#This Row],[Сумма 
Приход]]+Таблица1[[#This Row],[Сумма Поддон]]</f>
        <v>0</v>
      </c>
      <c r="O893" s="20"/>
      <c r="P893" s="19">
        <f>Таблица1[[#This Row],[Цена
 Продажа]]-Таблица1[[#This Row],[Цена 
Приход]]</f>
        <v>0</v>
      </c>
      <c r="Q893" s="19"/>
      <c r="R893" s="19">
        <f>Таблица1[[#This Row],[Блок
 Куб]]*Таблица1[[#This Row],[Цена
 Продажа]]</f>
        <v>0</v>
      </c>
      <c r="S893" s="20"/>
      <c r="T893" s="19">
        <f>Таблица1[[#This Row],[Сумма 
Продажа]]-Таблица1[[#This Row],[Сумма 
Приход]]</f>
        <v>0</v>
      </c>
      <c r="U893" s="150"/>
    </row>
    <row r="894" spans="1:21" ht="14.25" x14ac:dyDescent="0.2">
      <c r="A894" s="50">
        <f t="shared" si="13"/>
        <v>891</v>
      </c>
      <c r="B894" s="17"/>
      <c r="C894" s="17"/>
      <c r="D894" s="17"/>
      <c r="E894" s="51"/>
      <c r="F894" s="50"/>
      <c r="G894" s="23"/>
      <c r="H894" s="24"/>
      <c r="I894" s="23"/>
      <c r="J894" s="19">
        <f>Таблица1[[#This Row],[Блок
 Куб]]*Таблица1[[#This Row],[Цена 
Приход]]</f>
        <v>0</v>
      </c>
      <c r="K894" s="25"/>
      <c r="L894" s="25"/>
      <c r="M894" s="19">
        <f>Таблица1[[#This Row],[Поддон
Шт]]*Таблица1[[#This Row],[Цена
Поддон]]</f>
        <v>0</v>
      </c>
      <c r="N894" s="19">
        <f>Таблица1[[#This Row],[Сумма 
Приход]]+Таблица1[[#This Row],[Сумма Поддон]]</f>
        <v>0</v>
      </c>
      <c r="O894" s="20"/>
      <c r="P894" s="19">
        <f>Таблица1[[#This Row],[Цена
 Продажа]]-Таблица1[[#This Row],[Цена 
Приход]]</f>
        <v>0</v>
      </c>
      <c r="Q894" s="19"/>
      <c r="R894" s="19">
        <f>Таблица1[[#This Row],[Блок
 Куб]]*Таблица1[[#This Row],[Цена
 Продажа]]</f>
        <v>0</v>
      </c>
      <c r="S894" s="20"/>
      <c r="T894" s="19">
        <f>Таблица1[[#This Row],[Сумма 
Продажа]]-Таблица1[[#This Row],[Сумма 
Приход]]</f>
        <v>0</v>
      </c>
      <c r="U894" s="150"/>
    </row>
    <row r="895" spans="1:21" ht="14.25" x14ac:dyDescent="0.2">
      <c r="A895" s="50">
        <f t="shared" si="13"/>
        <v>892</v>
      </c>
      <c r="B895" s="17"/>
      <c r="C895" s="17"/>
      <c r="D895" s="17"/>
      <c r="E895" s="51"/>
      <c r="F895" s="50"/>
      <c r="G895" s="23"/>
      <c r="H895" s="24"/>
      <c r="I895" s="23"/>
      <c r="J895" s="19">
        <f>Таблица1[[#This Row],[Блок
 Куб]]*Таблица1[[#This Row],[Цена 
Приход]]</f>
        <v>0</v>
      </c>
      <c r="K895" s="25"/>
      <c r="L895" s="25"/>
      <c r="M895" s="19">
        <f>Таблица1[[#This Row],[Поддон
Шт]]*Таблица1[[#This Row],[Цена
Поддон]]</f>
        <v>0</v>
      </c>
      <c r="N895" s="19">
        <f>Таблица1[[#This Row],[Сумма 
Приход]]+Таблица1[[#This Row],[Сумма Поддон]]</f>
        <v>0</v>
      </c>
      <c r="O895" s="20"/>
      <c r="P895" s="19">
        <f>Таблица1[[#This Row],[Цена
 Продажа]]-Таблица1[[#This Row],[Цена 
Приход]]</f>
        <v>0</v>
      </c>
      <c r="Q895" s="19"/>
      <c r="R895" s="19">
        <f>Таблица1[[#This Row],[Блок
 Куб]]*Таблица1[[#This Row],[Цена
 Продажа]]</f>
        <v>0</v>
      </c>
      <c r="S895" s="20"/>
      <c r="T895" s="19">
        <f>Таблица1[[#This Row],[Сумма 
Продажа]]-Таблица1[[#This Row],[Сумма 
Приход]]</f>
        <v>0</v>
      </c>
      <c r="U895" s="150"/>
    </row>
    <row r="896" spans="1:21" ht="14.25" x14ac:dyDescent="0.2">
      <c r="A896" s="50">
        <f t="shared" si="13"/>
        <v>893</v>
      </c>
      <c r="B896" s="17"/>
      <c r="C896" s="17"/>
      <c r="D896" s="17"/>
      <c r="E896" s="51"/>
      <c r="F896" s="50"/>
      <c r="G896" s="23"/>
      <c r="H896" s="24"/>
      <c r="I896" s="23"/>
      <c r="J896" s="19">
        <f>Таблица1[[#This Row],[Блок
 Куб]]*Таблица1[[#This Row],[Цена 
Приход]]</f>
        <v>0</v>
      </c>
      <c r="K896" s="25"/>
      <c r="L896" s="25"/>
      <c r="M896" s="19">
        <f>Таблица1[[#This Row],[Поддон
Шт]]*Таблица1[[#This Row],[Цена
Поддон]]</f>
        <v>0</v>
      </c>
      <c r="N896" s="19">
        <f>Таблица1[[#This Row],[Сумма 
Приход]]+Таблица1[[#This Row],[Сумма Поддон]]</f>
        <v>0</v>
      </c>
      <c r="O896" s="20"/>
      <c r="P896" s="19">
        <f>Таблица1[[#This Row],[Цена
 Продажа]]-Таблица1[[#This Row],[Цена 
Приход]]</f>
        <v>0</v>
      </c>
      <c r="Q896" s="19"/>
      <c r="R896" s="19">
        <f>Таблица1[[#This Row],[Блок
 Куб]]*Таблица1[[#This Row],[Цена
 Продажа]]</f>
        <v>0</v>
      </c>
      <c r="S896" s="20"/>
      <c r="T896" s="19">
        <f>Таблица1[[#This Row],[Сумма 
Продажа]]-Таблица1[[#This Row],[Сумма 
Приход]]</f>
        <v>0</v>
      </c>
      <c r="U896" s="150"/>
    </row>
    <row r="897" spans="1:21" ht="14.25" x14ac:dyDescent="0.2">
      <c r="A897" s="50">
        <f t="shared" si="13"/>
        <v>894</v>
      </c>
      <c r="B897" s="17"/>
      <c r="C897" s="17"/>
      <c r="D897" s="17"/>
      <c r="E897" s="51"/>
      <c r="F897" s="50"/>
      <c r="G897" s="23"/>
      <c r="H897" s="24"/>
      <c r="I897" s="23"/>
      <c r="J897" s="19">
        <f>Таблица1[[#This Row],[Блок
 Куб]]*Таблица1[[#This Row],[Цена 
Приход]]</f>
        <v>0</v>
      </c>
      <c r="K897" s="25"/>
      <c r="L897" s="25"/>
      <c r="M897" s="19">
        <f>Таблица1[[#This Row],[Поддон
Шт]]*Таблица1[[#This Row],[Цена
Поддон]]</f>
        <v>0</v>
      </c>
      <c r="N897" s="19">
        <f>Таблица1[[#This Row],[Сумма 
Приход]]+Таблица1[[#This Row],[Сумма Поддон]]</f>
        <v>0</v>
      </c>
      <c r="O897" s="20"/>
      <c r="P897" s="19">
        <f>Таблица1[[#This Row],[Цена
 Продажа]]-Таблица1[[#This Row],[Цена 
Приход]]</f>
        <v>0</v>
      </c>
      <c r="Q897" s="19"/>
      <c r="R897" s="19">
        <f>Таблица1[[#This Row],[Блок
 Куб]]*Таблица1[[#This Row],[Цена
 Продажа]]</f>
        <v>0</v>
      </c>
      <c r="S897" s="20"/>
      <c r="T897" s="19">
        <f>Таблица1[[#This Row],[Сумма 
Продажа]]-Таблица1[[#This Row],[Сумма 
Приход]]</f>
        <v>0</v>
      </c>
      <c r="U897" s="150"/>
    </row>
    <row r="898" spans="1:21" ht="14.25" x14ac:dyDescent="0.2">
      <c r="A898" s="50">
        <f t="shared" si="13"/>
        <v>895</v>
      </c>
      <c r="B898" s="17"/>
      <c r="C898" s="17"/>
      <c r="D898" s="17"/>
      <c r="E898" s="51"/>
      <c r="F898" s="50"/>
      <c r="G898" s="23"/>
      <c r="H898" s="24"/>
      <c r="I898" s="23"/>
      <c r="J898" s="19">
        <f>Таблица1[[#This Row],[Блок
 Куб]]*Таблица1[[#This Row],[Цена 
Приход]]</f>
        <v>0</v>
      </c>
      <c r="K898" s="25"/>
      <c r="L898" s="25"/>
      <c r="M898" s="19">
        <f>Таблица1[[#This Row],[Поддон
Шт]]*Таблица1[[#This Row],[Цена
Поддон]]</f>
        <v>0</v>
      </c>
      <c r="N898" s="19">
        <f>Таблица1[[#This Row],[Сумма 
Приход]]+Таблица1[[#This Row],[Сумма Поддон]]</f>
        <v>0</v>
      </c>
      <c r="O898" s="20"/>
      <c r="P898" s="19">
        <f>Таблица1[[#This Row],[Цена
 Продажа]]-Таблица1[[#This Row],[Цена 
Приход]]</f>
        <v>0</v>
      </c>
      <c r="Q898" s="19"/>
      <c r="R898" s="19">
        <f>Таблица1[[#This Row],[Блок
 Куб]]*Таблица1[[#This Row],[Цена
 Продажа]]</f>
        <v>0</v>
      </c>
      <c r="S898" s="20"/>
      <c r="T898" s="19">
        <f>Таблица1[[#This Row],[Сумма 
Продажа]]-Таблица1[[#This Row],[Сумма 
Приход]]</f>
        <v>0</v>
      </c>
      <c r="U898" s="150"/>
    </row>
    <row r="899" spans="1:21" ht="14.25" x14ac:dyDescent="0.2">
      <c r="A899" s="50">
        <f t="shared" si="13"/>
        <v>896</v>
      </c>
      <c r="B899" s="17"/>
      <c r="C899" s="17"/>
      <c r="D899" s="17"/>
      <c r="E899" s="51"/>
      <c r="F899" s="50"/>
      <c r="G899" s="23"/>
      <c r="H899" s="24"/>
      <c r="I899" s="23"/>
      <c r="J899" s="19">
        <f>Таблица1[[#This Row],[Блок
 Куб]]*Таблица1[[#This Row],[Цена 
Приход]]</f>
        <v>0</v>
      </c>
      <c r="K899" s="25"/>
      <c r="L899" s="25"/>
      <c r="M899" s="19">
        <f>Таблица1[[#This Row],[Поддон
Шт]]*Таблица1[[#This Row],[Цена
Поддон]]</f>
        <v>0</v>
      </c>
      <c r="N899" s="19">
        <f>Таблица1[[#This Row],[Сумма 
Приход]]+Таблица1[[#This Row],[Сумма Поддон]]</f>
        <v>0</v>
      </c>
      <c r="O899" s="20"/>
      <c r="P899" s="19">
        <f>Таблица1[[#This Row],[Цена
 Продажа]]-Таблица1[[#This Row],[Цена 
Приход]]</f>
        <v>0</v>
      </c>
      <c r="Q899" s="19"/>
      <c r="R899" s="19">
        <f>Таблица1[[#This Row],[Блок
 Куб]]*Таблица1[[#This Row],[Цена
 Продажа]]</f>
        <v>0</v>
      </c>
      <c r="S899" s="20"/>
      <c r="T899" s="19">
        <f>Таблица1[[#This Row],[Сумма 
Продажа]]-Таблица1[[#This Row],[Сумма 
Приход]]</f>
        <v>0</v>
      </c>
      <c r="U899" s="150"/>
    </row>
    <row r="900" spans="1:21" ht="14.25" x14ac:dyDescent="0.2">
      <c r="A900" s="50">
        <f t="shared" si="13"/>
        <v>897</v>
      </c>
      <c r="B900" s="17"/>
      <c r="C900" s="17"/>
      <c r="D900" s="17"/>
      <c r="E900" s="51"/>
      <c r="F900" s="50"/>
      <c r="G900" s="23"/>
      <c r="H900" s="24"/>
      <c r="I900" s="23"/>
      <c r="J900" s="19">
        <f>Таблица1[[#This Row],[Блок
 Куб]]*Таблица1[[#This Row],[Цена 
Приход]]</f>
        <v>0</v>
      </c>
      <c r="K900" s="25"/>
      <c r="L900" s="25"/>
      <c r="M900" s="19">
        <f>Таблица1[[#This Row],[Поддон
Шт]]*Таблица1[[#This Row],[Цена
Поддон]]</f>
        <v>0</v>
      </c>
      <c r="N900" s="19">
        <f>Таблица1[[#This Row],[Сумма 
Приход]]+Таблица1[[#This Row],[Сумма Поддон]]</f>
        <v>0</v>
      </c>
      <c r="O900" s="20"/>
      <c r="P900" s="19">
        <f>Таблица1[[#This Row],[Цена
 Продажа]]-Таблица1[[#This Row],[Цена 
Приход]]</f>
        <v>0</v>
      </c>
      <c r="Q900" s="19"/>
      <c r="R900" s="19">
        <f>Таблица1[[#This Row],[Блок
 Куб]]*Таблица1[[#This Row],[Цена
 Продажа]]</f>
        <v>0</v>
      </c>
      <c r="S900" s="20"/>
      <c r="T900" s="19">
        <f>Таблица1[[#This Row],[Сумма 
Продажа]]-Таблица1[[#This Row],[Сумма 
Приход]]</f>
        <v>0</v>
      </c>
      <c r="U900" s="150"/>
    </row>
    <row r="901" spans="1:21" ht="14.25" x14ac:dyDescent="0.2">
      <c r="A901" s="50">
        <f t="shared" si="13"/>
        <v>898</v>
      </c>
      <c r="B901" s="17"/>
      <c r="C901" s="17"/>
      <c r="D901" s="17"/>
      <c r="E901" s="51"/>
      <c r="F901" s="50"/>
      <c r="G901" s="23"/>
      <c r="H901" s="24"/>
      <c r="I901" s="23"/>
      <c r="J901" s="19">
        <f>Таблица1[[#This Row],[Блок
 Куб]]*Таблица1[[#This Row],[Цена 
Приход]]</f>
        <v>0</v>
      </c>
      <c r="K901" s="25"/>
      <c r="L901" s="25"/>
      <c r="M901" s="19">
        <f>Таблица1[[#This Row],[Поддон
Шт]]*Таблица1[[#This Row],[Цена
Поддон]]</f>
        <v>0</v>
      </c>
      <c r="N901" s="19">
        <f>Таблица1[[#This Row],[Сумма 
Приход]]+Таблица1[[#This Row],[Сумма Поддон]]</f>
        <v>0</v>
      </c>
      <c r="O901" s="20"/>
      <c r="P901" s="19">
        <f>Таблица1[[#This Row],[Цена
 Продажа]]-Таблица1[[#This Row],[Цена 
Приход]]</f>
        <v>0</v>
      </c>
      <c r="Q901" s="19"/>
      <c r="R901" s="19">
        <f>Таблица1[[#This Row],[Блок
 Куб]]*Таблица1[[#This Row],[Цена
 Продажа]]</f>
        <v>0</v>
      </c>
      <c r="S901" s="20"/>
      <c r="T901" s="19">
        <f>Таблица1[[#This Row],[Сумма 
Продажа]]-Таблица1[[#This Row],[Сумма 
Приход]]</f>
        <v>0</v>
      </c>
      <c r="U901" s="150"/>
    </row>
    <row r="902" spans="1:21" ht="14.25" x14ac:dyDescent="0.2">
      <c r="A902" s="50">
        <f t="shared" ref="A902:A965" si="14">A901+1</f>
        <v>899</v>
      </c>
      <c r="B902" s="17"/>
      <c r="C902" s="17"/>
      <c r="D902" s="17"/>
      <c r="E902" s="51"/>
      <c r="F902" s="50"/>
      <c r="G902" s="23"/>
      <c r="H902" s="24"/>
      <c r="I902" s="23"/>
      <c r="J902" s="19">
        <f>Таблица1[[#This Row],[Блок
 Куб]]*Таблица1[[#This Row],[Цена 
Приход]]</f>
        <v>0</v>
      </c>
      <c r="K902" s="25"/>
      <c r="L902" s="25"/>
      <c r="M902" s="19">
        <f>Таблица1[[#This Row],[Поддон
Шт]]*Таблица1[[#This Row],[Цена
Поддон]]</f>
        <v>0</v>
      </c>
      <c r="N902" s="19">
        <f>Таблица1[[#This Row],[Сумма 
Приход]]+Таблица1[[#This Row],[Сумма Поддон]]</f>
        <v>0</v>
      </c>
      <c r="O902" s="20"/>
      <c r="P902" s="19">
        <f>Таблица1[[#This Row],[Цена
 Продажа]]-Таблица1[[#This Row],[Цена 
Приход]]</f>
        <v>0</v>
      </c>
      <c r="Q902" s="19"/>
      <c r="R902" s="19">
        <f>Таблица1[[#This Row],[Блок
 Куб]]*Таблица1[[#This Row],[Цена
 Продажа]]</f>
        <v>0</v>
      </c>
      <c r="S902" s="20"/>
      <c r="T902" s="19">
        <f>Таблица1[[#This Row],[Сумма 
Продажа]]-Таблица1[[#This Row],[Сумма 
Приход]]</f>
        <v>0</v>
      </c>
      <c r="U902" s="150"/>
    </row>
    <row r="903" spans="1:21" ht="14.25" x14ac:dyDescent="0.2">
      <c r="A903" s="50">
        <f t="shared" si="14"/>
        <v>900</v>
      </c>
      <c r="B903" s="17"/>
      <c r="C903" s="17"/>
      <c r="D903" s="17"/>
      <c r="E903" s="51"/>
      <c r="F903" s="50"/>
      <c r="G903" s="23"/>
      <c r="H903" s="24"/>
      <c r="I903" s="23"/>
      <c r="J903" s="19">
        <f>Таблица1[[#This Row],[Блок
 Куб]]*Таблица1[[#This Row],[Цена 
Приход]]</f>
        <v>0</v>
      </c>
      <c r="K903" s="25"/>
      <c r="L903" s="25"/>
      <c r="M903" s="19">
        <f>Таблица1[[#This Row],[Поддон
Шт]]*Таблица1[[#This Row],[Цена
Поддон]]</f>
        <v>0</v>
      </c>
      <c r="N903" s="19">
        <f>Таблица1[[#This Row],[Сумма 
Приход]]+Таблица1[[#This Row],[Сумма Поддон]]</f>
        <v>0</v>
      </c>
      <c r="O903" s="20"/>
      <c r="P903" s="19">
        <f>Таблица1[[#This Row],[Цена
 Продажа]]-Таблица1[[#This Row],[Цена 
Приход]]</f>
        <v>0</v>
      </c>
      <c r="Q903" s="19"/>
      <c r="R903" s="19">
        <f>Таблица1[[#This Row],[Блок
 Куб]]*Таблица1[[#This Row],[Цена
 Продажа]]</f>
        <v>0</v>
      </c>
      <c r="S903" s="20"/>
      <c r="T903" s="19">
        <f>Таблица1[[#This Row],[Сумма 
Продажа]]-Таблица1[[#This Row],[Сумма 
Приход]]</f>
        <v>0</v>
      </c>
      <c r="U903" s="150"/>
    </row>
    <row r="904" spans="1:21" ht="14.25" x14ac:dyDescent="0.2">
      <c r="A904" s="50">
        <f t="shared" si="14"/>
        <v>901</v>
      </c>
      <c r="B904" s="17"/>
      <c r="C904" s="17"/>
      <c r="D904" s="17"/>
      <c r="E904" s="51"/>
      <c r="F904" s="50"/>
      <c r="G904" s="23"/>
      <c r="H904" s="24"/>
      <c r="I904" s="23"/>
      <c r="J904" s="19">
        <f>Таблица1[[#This Row],[Блок
 Куб]]*Таблица1[[#This Row],[Цена 
Приход]]</f>
        <v>0</v>
      </c>
      <c r="K904" s="25"/>
      <c r="L904" s="25"/>
      <c r="M904" s="19">
        <f>Таблица1[[#This Row],[Поддон
Шт]]*Таблица1[[#This Row],[Цена
Поддон]]</f>
        <v>0</v>
      </c>
      <c r="N904" s="19">
        <f>Таблица1[[#This Row],[Сумма 
Приход]]+Таблица1[[#This Row],[Сумма Поддон]]</f>
        <v>0</v>
      </c>
      <c r="O904" s="20"/>
      <c r="P904" s="19">
        <f>Таблица1[[#This Row],[Цена
 Продажа]]-Таблица1[[#This Row],[Цена 
Приход]]</f>
        <v>0</v>
      </c>
      <c r="Q904" s="19"/>
      <c r="R904" s="19">
        <f>Таблица1[[#This Row],[Блок
 Куб]]*Таблица1[[#This Row],[Цена
 Продажа]]</f>
        <v>0</v>
      </c>
      <c r="S904" s="20"/>
      <c r="T904" s="19">
        <f>Таблица1[[#This Row],[Сумма 
Продажа]]-Таблица1[[#This Row],[Сумма 
Приход]]</f>
        <v>0</v>
      </c>
      <c r="U904" s="150"/>
    </row>
    <row r="905" spans="1:21" ht="14.25" x14ac:dyDescent="0.2">
      <c r="A905" s="50">
        <f t="shared" si="14"/>
        <v>902</v>
      </c>
      <c r="B905" s="17"/>
      <c r="C905" s="17"/>
      <c r="D905" s="17"/>
      <c r="E905" s="51"/>
      <c r="F905" s="50"/>
      <c r="G905" s="23"/>
      <c r="H905" s="24"/>
      <c r="I905" s="23"/>
      <c r="J905" s="19">
        <f>Таблица1[[#This Row],[Блок
 Куб]]*Таблица1[[#This Row],[Цена 
Приход]]</f>
        <v>0</v>
      </c>
      <c r="K905" s="25"/>
      <c r="L905" s="25"/>
      <c r="M905" s="19">
        <f>Таблица1[[#This Row],[Поддон
Шт]]*Таблица1[[#This Row],[Цена
Поддон]]</f>
        <v>0</v>
      </c>
      <c r="N905" s="19">
        <f>Таблица1[[#This Row],[Сумма 
Приход]]+Таблица1[[#This Row],[Сумма Поддон]]</f>
        <v>0</v>
      </c>
      <c r="O905" s="20"/>
      <c r="P905" s="19">
        <f>Таблица1[[#This Row],[Цена
 Продажа]]-Таблица1[[#This Row],[Цена 
Приход]]</f>
        <v>0</v>
      </c>
      <c r="Q905" s="19"/>
      <c r="R905" s="19">
        <f>Таблица1[[#This Row],[Блок
 Куб]]*Таблица1[[#This Row],[Цена
 Продажа]]</f>
        <v>0</v>
      </c>
      <c r="S905" s="20"/>
      <c r="T905" s="19">
        <f>Таблица1[[#This Row],[Сумма 
Продажа]]-Таблица1[[#This Row],[Сумма 
Приход]]</f>
        <v>0</v>
      </c>
      <c r="U905" s="150"/>
    </row>
    <row r="906" spans="1:21" ht="14.25" x14ac:dyDescent="0.2">
      <c r="A906" s="50">
        <f t="shared" si="14"/>
        <v>903</v>
      </c>
      <c r="B906" s="17"/>
      <c r="C906" s="17"/>
      <c r="D906" s="17"/>
      <c r="E906" s="51"/>
      <c r="F906" s="50"/>
      <c r="G906" s="23"/>
      <c r="H906" s="24"/>
      <c r="I906" s="23"/>
      <c r="J906" s="19">
        <f>Таблица1[[#This Row],[Блок
 Куб]]*Таблица1[[#This Row],[Цена 
Приход]]</f>
        <v>0</v>
      </c>
      <c r="K906" s="25"/>
      <c r="L906" s="25"/>
      <c r="M906" s="19">
        <f>Таблица1[[#This Row],[Поддон
Шт]]*Таблица1[[#This Row],[Цена
Поддон]]</f>
        <v>0</v>
      </c>
      <c r="N906" s="19">
        <f>Таблица1[[#This Row],[Сумма 
Приход]]+Таблица1[[#This Row],[Сумма Поддон]]</f>
        <v>0</v>
      </c>
      <c r="O906" s="20"/>
      <c r="P906" s="19">
        <f>Таблица1[[#This Row],[Цена
 Продажа]]-Таблица1[[#This Row],[Цена 
Приход]]</f>
        <v>0</v>
      </c>
      <c r="Q906" s="19"/>
      <c r="R906" s="19">
        <f>Таблица1[[#This Row],[Блок
 Куб]]*Таблица1[[#This Row],[Цена
 Продажа]]</f>
        <v>0</v>
      </c>
      <c r="S906" s="20"/>
      <c r="T906" s="19">
        <f>Таблица1[[#This Row],[Сумма 
Продажа]]-Таблица1[[#This Row],[Сумма 
Приход]]</f>
        <v>0</v>
      </c>
      <c r="U906" s="150"/>
    </row>
    <row r="907" spans="1:21" ht="14.25" x14ac:dyDescent="0.2">
      <c r="A907" s="50">
        <f t="shared" si="14"/>
        <v>904</v>
      </c>
      <c r="B907" s="17"/>
      <c r="C907" s="17"/>
      <c r="D907" s="17"/>
      <c r="E907" s="51"/>
      <c r="F907" s="50"/>
      <c r="G907" s="23"/>
      <c r="H907" s="24"/>
      <c r="I907" s="23"/>
      <c r="J907" s="19">
        <f>Таблица1[[#This Row],[Блок
 Куб]]*Таблица1[[#This Row],[Цена 
Приход]]</f>
        <v>0</v>
      </c>
      <c r="K907" s="25"/>
      <c r="L907" s="25"/>
      <c r="M907" s="19">
        <f>Таблица1[[#This Row],[Поддон
Шт]]*Таблица1[[#This Row],[Цена
Поддон]]</f>
        <v>0</v>
      </c>
      <c r="N907" s="19">
        <f>Таблица1[[#This Row],[Сумма 
Приход]]+Таблица1[[#This Row],[Сумма Поддон]]</f>
        <v>0</v>
      </c>
      <c r="O907" s="20"/>
      <c r="P907" s="19">
        <f>Таблица1[[#This Row],[Цена
 Продажа]]-Таблица1[[#This Row],[Цена 
Приход]]</f>
        <v>0</v>
      </c>
      <c r="Q907" s="19"/>
      <c r="R907" s="19">
        <f>Таблица1[[#This Row],[Блок
 Куб]]*Таблица1[[#This Row],[Цена
 Продажа]]</f>
        <v>0</v>
      </c>
      <c r="S907" s="20"/>
      <c r="T907" s="19">
        <f>Таблица1[[#This Row],[Сумма 
Продажа]]-Таблица1[[#This Row],[Сумма 
Приход]]</f>
        <v>0</v>
      </c>
      <c r="U907" s="150"/>
    </row>
    <row r="908" spans="1:21" ht="14.25" x14ac:dyDescent="0.2">
      <c r="A908" s="50">
        <f t="shared" si="14"/>
        <v>905</v>
      </c>
      <c r="B908" s="17"/>
      <c r="C908" s="17"/>
      <c r="D908" s="17"/>
      <c r="E908" s="51"/>
      <c r="F908" s="50"/>
      <c r="G908" s="23"/>
      <c r="H908" s="24"/>
      <c r="I908" s="23"/>
      <c r="J908" s="19">
        <f>Таблица1[[#This Row],[Блок
 Куб]]*Таблица1[[#This Row],[Цена 
Приход]]</f>
        <v>0</v>
      </c>
      <c r="K908" s="25"/>
      <c r="L908" s="25"/>
      <c r="M908" s="19">
        <f>Таблица1[[#This Row],[Поддон
Шт]]*Таблица1[[#This Row],[Цена
Поддон]]</f>
        <v>0</v>
      </c>
      <c r="N908" s="19">
        <f>Таблица1[[#This Row],[Сумма 
Приход]]+Таблица1[[#This Row],[Сумма Поддон]]</f>
        <v>0</v>
      </c>
      <c r="O908" s="20"/>
      <c r="P908" s="19">
        <f>Таблица1[[#This Row],[Цена
 Продажа]]-Таблица1[[#This Row],[Цена 
Приход]]</f>
        <v>0</v>
      </c>
      <c r="Q908" s="19"/>
      <c r="R908" s="19">
        <f>Таблица1[[#This Row],[Блок
 Куб]]*Таблица1[[#This Row],[Цена
 Продажа]]</f>
        <v>0</v>
      </c>
      <c r="S908" s="20"/>
      <c r="T908" s="19">
        <f>Таблица1[[#This Row],[Сумма 
Продажа]]-Таблица1[[#This Row],[Сумма 
Приход]]</f>
        <v>0</v>
      </c>
      <c r="U908" s="150"/>
    </row>
    <row r="909" spans="1:21" ht="14.25" x14ac:dyDescent="0.2">
      <c r="A909" s="50">
        <f t="shared" si="14"/>
        <v>906</v>
      </c>
      <c r="B909" s="17"/>
      <c r="C909" s="17"/>
      <c r="D909" s="17"/>
      <c r="E909" s="51"/>
      <c r="F909" s="50"/>
      <c r="G909" s="23"/>
      <c r="H909" s="24"/>
      <c r="I909" s="23"/>
      <c r="J909" s="19">
        <f>Таблица1[[#This Row],[Блок
 Куб]]*Таблица1[[#This Row],[Цена 
Приход]]</f>
        <v>0</v>
      </c>
      <c r="K909" s="25"/>
      <c r="L909" s="25"/>
      <c r="M909" s="19">
        <f>Таблица1[[#This Row],[Поддон
Шт]]*Таблица1[[#This Row],[Цена
Поддон]]</f>
        <v>0</v>
      </c>
      <c r="N909" s="19">
        <f>Таблица1[[#This Row],[Сумма 
Приход]]+Таблица1[[#This Row],[Сумма Поддон]]</f>
        <v>0</v>
      </c>
      <c r="O909" s="20"/>
      <c r="P909" s="19">
        <f>Таблица1[[#This Row],[Цена
 Продажа]]-Таблица1[[#This Row],[Цена 
Приход]]</f>
        <v>0</v>
      </c>
      <c r="Q909" s="19"/>
      <c r="R909" s="19">
        <f>Таблица1[[#This Row],[Блок
 Куб]]*Таблица1[[#This Row],[Цена
 Продажа]]</f>
        <v>0</v>
      </c>
      <c r="S909" s="20"/>
      <c r="T909" s="19">
        <f>Таблица1[[#This Row],[Сумма 
Продажа]]-Таблица1[[#This Row],[Сумма 
Приход]]</f>
        <v>0</v>
      </c>
      <c r="U909" s="150"/>
    </row>
    <row r="910" spans="1:21" ht="14.25" x14ac:dyDescent="0.2">
      <c r="A910" s="50">
        <f t="shared" si="14"/>
        <v>907</v>
      </c>
      <c r="B910" s="17"/>
      <c r="C910" s="17"/>
      <c r="D910" s="17"/>
      <c r="E910" s="51"/>
      <c r="F910" s="50"/>
      <c r="G910" s="23"/>
      <c r="H910" s="24"/>
      <c r="I910" s="23"/>
      <c r="J910" s="19">
        <f>Таблица1[[#This Row],[Блок
 Куб]]*Таблица1[[#This Row],[Цена 
Приход]]</f>
        <v>0</v>
      </c>
      <c r="K910" s="25"/>
      <c r="L910" s="25"/>
      <c r="M910" s="19">
        <f>Таблица1[[#This Row],[Поддон
Шт]]*Таблица1[[#This Row],[Цена
Поддон]]</f>
        <v>0</v>
      </c>
      <c r="N910" s="19">
        <f>Таблица1[[#This Row],[Сумма 
Приход]]+Таблица1[[#This Row],[Сумма Поддон]]</f>
        <v>0</v>
      </c>
      <c r="O910" s="20"/>
      <c r="P910" s="19">
        <f>Таблица1[[#This Row],[Цена
 Продажа]]-Таблица1[[#This Row],[Цена 
Приход]]</f>
        <v>0</v>
      </c>
      <c r="Q910" s="19"/>
      <c r="R910" s="19">
        <f>Таблица1[[#This Row],[Блок
 Куб]]*Таблица1[[#This Row],[Цена
 Продажа]]</f>
        <v>0</v>
      </c>
      <c r="S910" s="20"/>
      <c r="T910" s="19">
        <f>Таблица1[[#This Row],[Сумма 
Продажа]]-Таблица1[[#This Row],[Сумма 
Приход]]</f>
        <v>0</v>
      </c>
      <c r="U910" s="150"/>
    </row>
    <row r="911" spans="1:21" ht="14.25" x14ac:dyDescent="0.2">
      <c r="A911" s="50">
        <f t="shared" si="14"/>
        <v>908</v>
      </c>
      <c r="B911" s="17"/>
      <c r="C911" s="17"/>
      <c r="D911" s="17"/>
      <c r="E911" s="51"/>
      <c r="F911" s="50"/>
      <c r="G911" s="23"/>
      <c r="H911" s="24"/>
      <c r="I911" s="23"/>
      <c r="J911" s="19">
        <f>Таблица1[[#This Row],[Блок
 Куб]]*Таблица1[[#This Row],[Цена 
Приход]]</f>
        <v>0</v>
      </c>
      <c r="K911" s="25"/>
      <c r="L911" s="25"/>
      <c r="M911" s="19">
        <f>Таблица1[[#This Row],[Поддон
Шт]]*Таблица1[[#This Row],[Цена
Поддон]]</f>
        <v>0</v>
      </c>
      <c r="N911" s="19">
        <f>Таблица1[[#This Row],[Сумма 
Приход]]+Таблица1[[#This Row],[Сумма Поддон]]</f>
        <v>0</v>
      </c>
      <c r="O911" s="20"/>
      <c r="P911" s="19">
        <f>Таблица1[[#This Row],[Цена
 Продажа]]-Таблица1[[#This Row],[Цена 
Приход]]</f>
        <v>0</v>
      </c>
      <c r="Q911" s="19"/>
      <c r="R911" s="19">
        <f>Таблица1[[#This Row],[Блок
 Куб]]*Таблица1[[#This Row],[Цена
 Продажа]]</f>
        <v>0</v>
      </c>
      <c r="S911" s="20"/>
      <c r="T911" s="19">
        <f>Таблица1[[#This Row],[Сумма 
Продажа]]-Таблица1[[#This Row],[Сумма 
Приход]]</f>
        <v>0</v>
      </c>
      <c r="U911" s="150"/>
    </row>
    <row r="912" spans="1:21" ht="14.25" x14ac:dyDescent="0.2">
      <c r="A912" s="50">
        <f t="shared" si="14"/>
        <v>909</v>
      </c>
      <c r="B912" s="17"/>
      <c r="C912" s="17"/>
      <c r="D912" s="17"/>
      <c r="E912" s="51"/>
      <c r="F912" s="50"/>
      <c r="G912" s="23"/>
      <c r="H912" s="24"/>
      <c r="I912" s="23"/>
      <c r="J912" s="19">
        <f>Таблица1[[#This Row],[Блок
 Куб]]*Таблица1[[#This Row],[Цена 
Приход]]</f>
        <v>0</v>
      </c>
      <c r="K912" s="25"/>
      <c r="L912" s="25"/>
      <c r="M912" s="19">
        <f>Таблица1[[#This Row],[Поддон
Шт]]*Таблица1[[#This Row],[Цена
Поддон]]</f>
        <v>0</v>
      </c>
      <c r="N912" s="19">
        <f>Таблица1[[#This Row],[Сумма 
Приход]]+Таблица1[[#This Row],[Сумма Поддон]]</f>
        <v>0</v>
      </c>
      <c r="O912" s="20"/>
      <c r="P912" s="19">
        <f>Таблица1[[#This Row],[Цена
 Продажа]]-Таблица1[[#This Row],[Цена 
Приход]]</f>
        <v>0</v>
      </c>
      <c r="Q912" s="19"/>
      <c r="R912" s="19">
        <f>Таблица1[[#This Row],[Блок
 Куб]]*Таблица1[[#This Row],[Цена
 Продажа]]</f>
        <v>0</v>
      </c>
      <c r="S912" s="20"/>
      <c r="T912" s="19">
        <f>Таблица1[[#This Row],[Сумма 
Продажа]]-Таблица1[[#This Row],[Сумма 
Приход]]</f>
        <v>0</v>
      </c>
      <c r="U912" s="150"/>
    </row>
    <row r="913" spans="1:21" ht="14.25" x14ac:dyDescent="0.2">
      <c r="A913" s="50">
        <f t="shared" si="14"/>
        <v>910</v>
      </c>
      <c r="B913" s="17"/>
      <c r="C913" s="17"/>
      <c r="D913" s="17"/>
      <c r="E913" s="51"/>
      <c r="F913" s="50"/>
      <c r="G913" s="23"/>
      <c r="H913" s="24"/>
      <c r="I913" s="23"/>
      <c r="J913" s="19">
        <f>Таблица1[[#This Row],[Блок
 Куб]]*Таблица1[[#This Row],[Цена 
Приход]]</f>
        <v>0</v>
      </c>
      <c r="K913" s="25"/>
      <c r="L913" s="25"/>
      <c r="M913" s="19">
        <f>Таблица1[[#This Row],[Поддон
Шт]]*Таблица1[[#This Row],[Цена
Поддон]]</f>
        <v>0</v>
      </c>
      <c r="N913" s="19">
        <f>Таблица1[[#This Row],[Сумма 
Приход]]+Таблица1[[#This Row],[Сумма Поддон]]</f>
        <v>0</v>
      </c>
      <c r="O913" s="20"/>
      <c r="P913" s="19">
        <f>Таблица1[[#This Row],[Цена
 Продажа]]-Таблица1[[#This Row],[Цена 
Приход]]</f>
        <v>0</v>
      </c>
      <c r="Q913" s="19"/>
      <c r="R913" s="19">
        <f>Таблица1[[#This Row],[Блок
 Куб]]*Таблица1[[#This Row],[Цена
 Продажа]]</f>
        <v>0</v>
      </c>
      <c r="S913" s="20"/>
      <c r="T913" s="19">
        <f>Таблица1[[#This Row],[Сумма 
Продажа]]-Таблица1[[#This Row],[Сумма 
Приход]]</f>
        <v>0</v>
      </c>
      <c r="U913" s="150"/>
    </row>
    <row r="914" spans="1:21" ht="14.25" x14ac:dyDescent="0.2">
      <c r="A914" s="50">
        <f t="shared" si="14"/>
        <v>911</v>
      </c>
      <c r="B914" s="17"/>
      <c r="C914" s="17"/>
      <c r="D914" s="17"/>
      <c r="E914" s="51"/>
      <c r="F914" s="50"/>
      <c r="G914" s="23"/>
      <c r="H914" s="24"/>
      <c r="I914" s="23"/>
      <c r="J914" s="19">
        <f>Таблица1[[#This Row],[Блок
 Куб]]*Таблица1[[#This Row],[Цена 
Приход]]</f>
        <v>0</v>
      </c>
      <c r="K914" s="25"/>
      <c r="L914" s="25"/>
      <c r="M914" s="19">
        <f>Таблица1[[#This Row],[Поддон
Шт]]*Таблица1[[#This Row],[Цена
Поддон]]</f>
        <v>0</v>
      </c>
      <c r="N914" s="19">
        <f>Таблица1[[#This Row],[Сумма 
Приход]]+Таблица1[[#This Row],[Сумма Поддон]]</f>
        <v>0</v>
      </c>
      <c r="O914" s="20"/>
      <c r="P914" s="19">
        <f>Таблица1[[#This Row],[Цена
 Продажа]]-Таблица1[[#This Row],[Цена 
Приход]]</f>
        <v>0</v>
      </c>
      <c r="Q914" s="19"/>
      <c r="R914" s="19">
        <f>Таблица1[[#This Row],[Блок
 Куб]]*Таблица1[[#This Row],[Цена
 Продажа]]</f>
        <v>0</v>
      </c>
      <c r="S914" s="20"/>
      <c r="T914" s="19">
        <f>Таблица1[[#This Row],[Сумма 
Продажа]]-Таблица1[[#This Row],[Сумма 
Приход]]</f>
        <v>0</v>
      </c>
      <c r="U914" s="150"/>
    </row>
    <row r="915" spans="1:21" ht="14.25" x14ac:dyDescent="0.2">
      <c r="A915" s="50">
        <f t="shared" si="14"/>
        <v>912</v>
      </c>
      <c r="B915" s="17"/>
      <c r="C915" s="17"/>
      <c r="D915" s="17"/>
      <c r="E915" s="51"/>
      <c r="F915" s="50"/>
      <c r="G915" s="23"/>
      <c r="H915" s="24"/>
      <c r="I915" s="23"/>
      <c r="J915" s="19">
        <f>Таблица1[[#This Row],[Блок
 Куб]]*Таблица1[[#This Row],[Цена 
Приход]]</f>
        <v>0</v>
      </c>
      <c r="K915" s="25"/>
      <c r="L915" s="25"/>
      <c r="M915" s="19">
        <f>Таблица1[[#This Row],[Поддон
Шт]]*Таблица1[[#This Row],[Цена
Поддон]]</f>
        <v>0</v>
      </c>
      <c r="N915" s="19">
        <f>Таблица1[[#This Row],[Сумма 
Приход]]+Таблица1[[#This Row],[Сумма Поддон]]</f>
        <v>0</v>
      </c>
      <c r="O915" s="20"/>
      <c r="P915" s="19">
        <f>Таблица1[[#This Row],[Цена
 Продажа]]-Таблица1[[#This Row],[Цена 
Приход]]</f>
        <v>0</v>
      </c>
      <c r="Q915" s="19"/>
      <c r="R915" s="19">
        <f>Таблица1[[#This Row],[Блок
 Куб]]*Таблица1[[#This Row],[Цена
 Продажа]]</f>
        <v>0</v>
      </c>
      <c r="S915" s="20"/>
      <c r="T915" s="19">
        <f>Таблица1[[#This Row],[Сумма 
Продажа]]-Таблица1[[#This Row],[Сумма 
Приход]]</f>
        <v>0</v>
      </c>
      <c r="U915" s="150"/>
    </row>
    <row r="916" spans="1:21" ht="14.25" x14ac:dyDescent="0.2">
      <c r="A916" s="50">
        <f t="shared" si="14"/>
        <v>913</v>
      </c>
      <c r="B916" s="17"/>
      <c r="C916" s="17"/>
      <c r="D916" s="17"/>
      <c r="E916" s="51"/>
      <c r="F916" s="50"/>
      <c r="G916" s="23"/>
      <c r="H916" s="24"/>
      <c r="I916" s="23"/>
      <c r="J916" s="19">
        <f>Таблица1[[#This Row],[Блок
 Куб]]*Таблица1[[#This Row],[Цена 
Приход]]</f>
        <v>0</v>
      </c>
      <c r="K916" s="25"/>
      <c r="L916" s="25"/>
      <c r="M916" s="19">
        <f>Таблица1[[#This Row],[Поддон
Шт]]*Таблица1[[#This Row],[Цена
Поддон]]</f>
        <v>0</v>
      </c>
      <c r="N916" s="19">
        <f>Таблица1[[#This Row],[Сумма 
Приход]]+Таблица1[[#This Row],[Сумма Поддон]]</f>
        <v>0</v>
      </c>
      <c r="O916" s="20"/>
      <c r="P916" s="19">
        <f>Таблица1[[#This Row],[Цена
 Продажа]]-Таблица1[[#This Row],[Цена 
Приход]]</f>
        <v>0</v>
      </c>
      <c r="Q916" s="19"/>
      <c r="R916" s="19">
        <f>Таблица1[[#This Row],[Блок
 Куб]]*Таблица1[[#This Row],[Цена
 Продажа]]</f>
        <v>0</v>
      </c>
      <c r="S916" s="20"/>
      <c r="T916" s="19">
        <f>Таблица1[[#This Row],[Сумма 
Продажа]]-Таблица1[[#This Row],[Сумма 
Приход]]</f>
        <v>0</v>
      </c>
      <c r="U916" s="150"/>
    </row>
    <row r="917" spans="1:21" ht="14.25" x14ac:dyDescent="0.2">
      <c r="A917" s="50">
        <f t="shared" si="14"/>
        <v>914</v>
      </c>
      <c r="B917" s="17"/>
      <c r="C917" s="17"/>
      <c r="D917" s="17"/>
      <c r="E917" s="51"/>
      <c r="F917" s="50"/>
      <c r="G917" s="23"/>
      <c r="H917" s="24"/>
      <c r="I917" s="23"/>
      <c r="J917" s="19">
        <f>Таблица1[[#This Row],[Блок
 Куб]]*Таблица1[[#This Row],[Цена 
Приход]]</f>
        <v>0</v>
      </c>
      <c r="K917" s="25"/>
      <c r="L917" s="25"/>
      <c r="M917" s="19">
        <f>Таблица1[[#This Row],[Поддон
Шт]]*Таблица1[[#This Row],[Цена
Поддон]]</f>
        <v>0</v>
      </c>
      <c r="N917" s="19">
        <f>Таблица1[[#This Row],[Сумма 
Приход]]+Таблица1[[#This Row],[Сумма Поддон]]</f>
        <v>0</v>
      </c>
      <c r="O917" s="20"/>
      <c r="P917" s="19">
        <f>Таблица1[[#This Row],[Цена
 Продажа]]-Таблица1[[#This Row],[Цена 
Приход]]</f>
        <v>0</v>
      </c>
      <c r="Q917" s="19"/>
      <c r="R917" s="19">
        <f>Таблица1[[#This Row],[Блок
 Куб]]*Таблица1[[#This Row],[Цена
 Продажа]]</f>
        <v>0</v>
      </c>
      <c r="S917" s="20"/>
      <c r="T917" s="19">
        <f>Таблица1[[#This Row],[Сумма 
Продажа]]-Таблица1[[#This Row],[Сумма 
Приход]]</f>
        <v>0</v>
      </c>
      <c r="U917" s="150"/>
    </row>
    <row r="918" spans="1:21" ht="14.25" x14ac:dyDescent="0.2">
      <c r="A918" s="50">
        <f t="shared" si="14"/>
        <v>915</v>
      </c>
      <c r="B918" s="17"/>
      <c r="C918" s="17"/>
      <c r="D918" s="17"/>
      <c r="E918" s="51"/>
      <c r="F918" s="50"/>
      <c r="G918" s="23"/>
      <c r="H918" s="24"/>
      <c r="I918" s="23"/>
      <c r="J918" s="19">
        <f>Таблица1[[#This Row],[Блок
 Куб]]*Таблица1[[#This Row],[Цена 
Приход]]</f>
        <v>0</v>
      </c>
      <c r="K918" s="25"/>
      <c r="L918" s="25"/>
      <c r="M918" s="19">
        <f>Таблица1[[#This Row],[Поддон
Шт]]*Таблица1[[#This Row],[Цена
Поддон]]</f>
        <v>0</v>
      </c>
      <c r="N918" s="19">
        <f>Таблица1[[#This Row],[Сумма 
Приход]]+Таблица1[[#This Row],[Сумма Поддон]]</f>
        <v>0</v>
      </c>
      <c r="O918" s="20"/>
      <c r="P918" s="19">
        <f>Таблица1[[#This Row],[Цена
 Продажа]]-Таблица1[[#This Row],[Цена 
Приход]]</f>
        <v>0</v>
      </c>
      <c r="Q918" s="19"/>
      <c r="R918" s="19">
        <f>Таблица1[[#This Row],[Блок
 Куб]]*Таблица1[[#This Row],[Цена
 Продажа]]</f>
        <v>0</v>
      </c>
      <c r="S918" s="20"/>
      <c r="T918" s="19">
        <f>Таблица1[[#This Row],[Сумма 
Продажа]]-Таблица1[[#This Row],[Сумма 
Приход]]</f>
        <v>0</v>
      </c>
      <c r="U918" s="150"/>
    </row>
    <row r="919" spans="1:21" ht="14.25" x14ac:dyDescent="0.2">
      <c r="A919" s="50">
        <f t="shared" si="14"/>
        <v>916</v>
      </c>
      <c r="B919" s="17"/>
      <c r="C919" s="17"/>
      <c r="D919" s="17"/>
      <c r="E919" s="51"/>
      <c r="F919" s="50"/>
      <c r="G919" s="23"/>
      <c r="H919" s="24"/>
      <c r="I919" s="23"/>
      <c r="J919" s="19">
        <f>Таблица1[[#This Row],[Блок
 Куб]]*Таблица1[[#This Row],[Цена 
Приход]]</f>
        <v>0</v>
      </c>
      <c r="K919" s="25"/>
      <c r="L919" s="25"/>
      <c r="M919" s="19">
        <f>Таблица1[[#This Row],[Поддон
Шт]]*Таблица1[[#This Row],[Цена
Поддон]]</f>
        <v>0</v>
      </c>
      <c r="N919" s="19">
        <f>Таблица1[[#This Row],[Сумма 
Приход]]+Таблица1[[#This Row],[Сумма Поддон]]</f>
        <v>0</v>
      </c>
      <c r="O919" s="20"/>
      <c r="P919" s="19">
        <f>Таблица1[[#This Row],[Цена
 Продажа]]-Таблица1[[#This Row],[Цена 
Приход]]</f>
        <v>0</v>
      </c>
      <c r="Q919" s="19"/>
      <c r="R919" s="19">
        <f>Таблица1[[#This Row],[Блок
 Куб]]*Таблица1[[#This Row],[Цена
 Продажа]]</f>
        <v>0</v>
      </c>
      <c r="S919" s="20"/>
      <c r="T919" s="19">
        <f>Таблица1[[#This Row],[Сумма 
Продажа]]-Таблица1[[#This Row],[Сумма 
Приход]]</f>
        <v>0</v>
      </c>
      <c r="U919" s="150"/>
    </row>
    <row r="920" spans="1:21" ht="14.25" x14ac:dyDescent="0.2">
      <c r="A920" s="50">
        <f t="shared" si="14"/>
        <v>917</v>
      </c>
      <c r="B920" s="17"/>
      <c r="C920" s="17"/>
      <c r="D920" s="17"/>
      <c r="E920" s="51"/>
      <c r="F920" s="50"/>
      <c r="G920" s="23"/>
      <c r="H920" s="24"/>
      <c r="I920" s="23"/>
      <c r="J920" s="19">
        <f>Таблица1[[#This Row],[Блок
 Куб]]*Таблица1[[#This Row],[Цена 
Приход]]</f>
        <v>0</v>
      </c>
      <c r="K920" s="25"/>
      <c r="L920" s="25"/>
      <c r="M920" s="19">
        <f>Таблица1[[#This Row],[Поддон
Шт]]*Таблица1[[#This Row],[Цена
Поддон]]</f>
        <v>0</v>
      </c>
      <c r="N920" s="19">
        <f>Таблица1[[#This Row],[Сумма 
Приход]]+Таблица1[[#This Row],[Сумма Поддон]]</f>
        <v>0</v>
      </c>
      <c r="O920" s="20"/>
      <c r="P920" s="19">
        <f>Таблица1[[#This Row],[Цена
 Продажа]]-Таблица1[[#This Row],[Цена 
Приход]]</f>
        <v>0</v>
      </c>
      <c r="Q920" s="19"/>
      <c r="R920" s="19">
        <f>Таблица1[[#This Row],[Блок
 Куб]]*Таблица1[[#This Row],[Цена
 Продажа]]</f>
        <v>0</v>
      </c>
      <c r="S920" s="20"/>
      <c r="T920" s="19">
        <f>Таблица1[[#This Row],[Сумма 
Продажа]]-Таблица1[[#This Row],[Сумма 
Приход]]</f>
        <v>0</v>
      </c>
      <c r="U920" s="150"/>
    </row>
    <row r="921" spans="1:21" ht="14.25" x14ac:dyDescent="0.2">
      <c r="A921" s="50">
        <f t="shared" si="14"/>
        <v>918</v>
      </c>
      <c r="B921" s="17"/>
      <c r="C921" s="17"/>
      <c r="D921" s="17"/>
      <c r="E921" s="51"/>
      <c r="F921" s="50"/>
      <c r="G921" s="23"/>
      <c r="H921" s="24"/>
      <c r="I921" s="23"/>
      <c r="J921" s="19">
        <f>Таблица1[[#This Row],[Блок
 Куб]]*Таблица1[[#This Row],[Цена 
Приход]]</f>
        <v>0</v>
      </c>
      <c r="K921" s="25"/>
      <c r="L921" s="25"/>
      <c r="M921" s="19">
        <f>Таблица1[[#This Row],[Поддон
Шт]]*Таблица1[[#This Row],[Цена
Поддон]]</f>
        <v>0</v>
      </c>
      <c r="N921" s="19">
        <f>Таблица1[[#This Row],[Сумма 
Приход]]+Таблица1[[#This Row],[Сумма Поддон]]</f>
        <v>0</v>
      </c>
      <c r="O921" s="20"/>
      <c r="P921" s="19">
        <f>Таблица1[[#This Row],[Цена
 Продажа]]-Таблица1[[#This Row],[Цена 
Приход]]</f>
        <v>0</v>
      </c>
      <c r="Q921" s="19"/>
      <c r="R921" s="19">
        <f>Таблица1[[#This Row],[Блок
 Куб]]*Таблица1[[#This Row],[Цена
 Продажа]]</f>
        <v>0</v>
      </c>
      <c r="S921" s="20"/>
      <c r="T921" s="19">
        <f>Таблица1[[#This Row],[Сумма 
Продажа]]-Таблица1[[#This Row],[Сумма 
Приход]]</f>
        <v>0</v>
      </c>
      <c r="U921" s="150"/>
    </row>
    <row r="922" spans="1:21" ht="14.25" x14ac:dyDescent="0.2">
      <c r="A922" s="50">
        <f t="shared" si="14"/>
        <v>919</v>
      </c>
      <c r="B922" s="17"/>
      <c r="C922" s="17"/>
      <c r="D922" s="17"/>
      <c r="E922" s="51"/>
      <c r="F922" s="50"/>
      <c r="G922" s="23"/>
      <c r="H922" s="24"/>
      <c r="I922" s="23"/>
      <c r="J922" s="19">
        <f>Таблица1[[#This Row],[Блок
 Куб]]*Таблица1[[#This Row],[Цена 
Приход]]</f>
        <v>0</v>
      </c>
      <c r="K922" s="25"/>
      <c r="L922" s="25"/>
      <c r="M922" s="19">
        <f>Таблица1[[#This Row],[Поддон
Шт]]*Таблица1[[#This Row],[Цена
Поддон]]</f>
        <v>0</v>
      </c>
      <c r="N922" s="19">
        <f>Таблица1[[#This Row],[Сумма 
Приход]]+Таблица1[[#This Row],[Сумма Поддон]]</f>
        <v>0</v>
      </c>
      <c r="O922" s="20"/>
      <c r="P922" s="19">
        <f>Таблица1[[#This Row],[Цена
 Продажа]]-Таблица1[[#This Row],[Цена 
Приход]]</f>
        <v>0</v>
      </c>
      <c r="Q922" s="19"/>
      <c r="R922" s="19">
        <f>Таблица1[[#This Row],[Блок
 Куб]]*Таблица1[[#This Row],[Цена
 Продажа]]</f>
        <v>0</v>
      </c>
      <c r="S922" s="20"/>
      <c r="T922" s="19">
        <f>Таблица1[[#This Row],[Сумма 
Продажа]]-Таблица1[[#This Row],[Сумма 
Приход]]</f>
        <v>0</v>
      </c>
      <c r="U922" s="150"/>
    </row>
    <row r="923" spans="1:21" ht="14.25" x14ac:dyDescent="0.2">
      <c r="A923" s="50">
        <f t="shared" si="14"/>
        <v>920</v>
      </c>
      <c r="B923" s="17"/>
      <c r="C923" s="17"/>
      <c r="D923" s="17"/>
      <c r="E923" s="51"/>
      <c r="F923" s="50"/>
      <c r="G923" s="23"/>
      <c r="H923" s="24"/>
      <c r="I923" s="23"/>
      <c r="J923" s="19">
        <f>Таблица1[[#This Row],[Блок
 Куб]]*Таблица1[[#This Row],[Цена 
Приход]]</f>
        <v>0</v>
      </c>
      <c r="K923" s="25"/>
      <c r="L923" s="25"/>
      <c r="M923" s="19">
        <f>Таблица1[[#This Row],[Поддон
Шт]]*Таблица1[[#This Row],[Цена
Поддон]]</f>
        <v>0</v>
      </c>
      <c r="N923" s="19">
        <f>Таблица1[[#This Row],[Сумма 
Приход]]+Таблица1[[#This Row],[Сумма Поддон]]</f>
        <v>0</v>
      </c>
      <c r="O923" s="20"/>
      <c r="P923" s="19">
        <f>Таблица1[[#This Row],[Цена
 Продажа]]-Таблица1[[#This Row],[Цена 
Приход]]</f>
        <v>0</v>
      </c>
      <c r="Q923" s="19"/>
      <c r="R923" s="19">
        <f>Таблица1[[#This Row],[Блок
 Куб]]*Таблица1[[#This Row],[Цена
 Продажа]]</f>
        <v>0</v>
      </c>
      <c r="S923" s="20"/>
      <c r="T923" s="19">
        <f>Таблица1[[#This Row],[Сумма 
Продажа]]-Таблица1[[#This Row],[Сумма 
Приход]]</f>
        <v>0</v>
      </c>
      <c r="U923" s="150"/>
    </row>
    <row r="924" spans="1:21" ht="14.25" x14ac:dyDescent="0.2">
      <c r="A924" s="50">
        <f t="shared" si="14"/>
        <v>921</v>
      </c>
      <c r="B924" s="17"/>
      <c r="C924" s="17"/>
      <c r="D924" s="17"/>
      <c r="E924" s="51"/>
      <c r="F924" s="50"/>
      <c r="G924" s="23"/>
      <c r="H924" s="24"/>
      <c r="I924" s="23"/>
      <c r="J924" s="19">
        <f>Таблица1[[#This Row],[Блок
 Куб]]*Таблица1[[#This Row],[Цена 
Приход]]</f>
        <v>0</v>
      </c>
      <c r="K924" s="25"/>
      <c r="L924" s="25"/>
      <c r="M924" s="19">
        <f>Таблица1[[#This Row],[Поддон
Шт]]*Таблица1[[#This Row],[Цена
Поддон]]</f>
        <v>0</v>
      </c>
      <c r="N924" s="19">
        <f>Таблица1[[#This Row],[Сумма 
Приход]]+Таблица1[[#This Row],[Сумма Поддон]]</f>
        <v>0</v>
      </c>
      <c r="O924" s="20"/>
      <c r="P924" s="19">
        <f>Таблица1[[#This Row],[Цена
 Продажа]]-Таблица1[[#This Row],[Цена 
Приход]]</f>
        <v>0</v>
      </c>
      <c r="Q924" s="19"/>
      <c r="R924" s="19">
        <f>Таблица1[[#This Row],[Блок
 Куб]]*Таблица1[[#This Row],[Цена
 Продажа]]</f>
        <v>0</v>
      </c>
      <c r="S924" s="20"/>
      <c r="T924" s="19">
        <f>Таблица1[[#This Row],[Сумма 
Продажа]]-Таблица1[[#This Row],[Сумма 
Приход]]</f>
        <v>0</v>
      </c>
      <c r="U924" s="150"/>
    </row>
    <row r="925" spans="1:21" ht="14.25" x14ac:dyDescent="0.2">
      <c r="A925" s="50">
        <f t="shared" si="14"/>
        <v>922</v>
      </c>
      <c r="B925" s="17"/>
      <c r="C925" s="17"/>
      <c r="D925" s="17"/>
      <c r="E925" s="51"/>
      <c r="F925" s="50"/>
      <c r="G925" s="23"/>
      <c r="H925" s="24"/>
      <c r="I925" s="23"/>
      <c r="J925" s="19">
        <f>Таблица1[[#This Row],[Блок
 Куб]]*Таблица1[[#This Row],[Цена 
Приход]]</f>
        <v>0</v>
      </c>
      <c r="K925" s="25"/>
      <c r="L925" s="25"/>
      <c r="M925" s="19">
        <f>Таблица1[[#This Row],[Поддон
Шт]]*Таблица1[[#This Row],[Цена
Поддон]]</f>
        <v>0</v>
      </c>
      <c r="N925" s="19">
        <f>Таблица1[[#This Row],[Сумма 
Приход]]+Таблица1[[#This Row],[Сумма Поддон]]</f>
        <v>0</v>
      </c>
      <c r="O925" s="20"/>
      <c r="P925" s="19">
        <f>Таблица1[[#This Row],[Цена
 Продажа]]-Таблица1[[#This Row],[Цена 
Приход]]</f>
        <v>0</v>
      </c>
      <c r="Q925" s="19"/>
      <c r="R925" s="19">
        <f>Таблица1[[#This Row],[Блок
 Куб]]*Таблица1[[#This Row],[Цена
 Продажа]]</f>
        <v>0</v>
      </c>
      <c r="S925" s="20"/>
      <c r="T925" s="19">
        <f>Таблица1[[#This Row],[Сумма 
Продажа]]-Таблица1[[#This Row],[Сумма 
Приход]]</f>
        <v>0</v>
      </c>
      <c r="U925" s="150"/>
    </row>
    <row r="926" spans="1:21" ht="14.25" x14ac:dyDescent="0.2">
      <c r="A926" s="50">
        <f t="shared" si="14"/>
        <v>923</v>
      </c>
      <c r="B926" s="17"/>
      <c r="C926" s="17"/>
      <c r="D926" s="17"/>
      <c r="E926" s="51"/>
      <c r="F926" s="50"/>
      <c r="G926" s="23"/>
      <c r="H926" s="24"/>
      <c r="I926" s="23"/>
      <c r="J926" s="19">
        <f>Таблица1[[#This Row],[Блок
 Куб]]*Таблица1[[#This Row],[Цена 
Приход]]</f>
        <v>0</v>
      </c>
      <c r="K926" s="25"/>
      <c r="L926" s="25"/>
      <c r="M926" s="19">
        <f>Таблица1[[#This Row],[Поддон
Шт]]*Таблица1[[#This Row],[Цена
Поддон]]</f>
        <v>0</v>
      </c>
      <c r="N926" s="19">
        <f>Таблица1[[#This Row],[Сумма 
Приход]]+Таблица1[[#This Row],[Сумма Поддон]]</f>
        <v>0</v>
      </c>
      <c r="O926" s="20"/>
      <c r="P926" s="19">
        <f>Таблица1[[#This Row],[Цена
 Продажа]]-Таблица1[[#This Row],[Цена 
Приход]]</f>
        <v>0</v>
      </c>
      <c r="Q926" s="19"/>
      <c r="R926" s="19">
        <f>Таблица1[[#This Row],[Блок
 Куб]]*Таблица1[[#This Row],[Цена
 Продажа]]</f>
        <v>0</v>
      </c>
      <c r="S926" s="20"/>
      <c r="T926" s="19">
        <f>Таблица1[[#This Row],[Сумма 
Продажа]]-Таблица1[[#This Row],[Сумма 
Приход]]</f>
        <v>0</v>
      </c>
      <c r="U926" s="150"/>
    </row>
    <row r="927" spans="1:21" ht="14.25" x14ac:dyDescent="0.2">
      <c r="A927" s="50">
        <f t="shared" si="14"/>
        <v>924</v>
      </c>
      <c r="B927" s="17"/>
      <c r="C927" s="17"/>
      <c r="D927" s="17"/>
      <c r="E927" s="51"/>
      <c r="F927" s="50"/>
      <c r="G927" s="23"/>
      <c r="H927" s="24"/>
      <c r="I927" s="23"/>
      <c r="J927" s="19">
        <f>Таблица1[[#This Row],[Блок
 Куб]]*Таблица1[[#This Row],[Цена 
Приход]]</f>
        <v>0</v>
      </c>
      <c r="K927" s="25"/>
      <c r="L927" s="25"/>
      <c r="M927" s="19">
        <f>Таблица1[[#This Row],[Поддон
Шт]]*Таблица1[[#This Row],[Цена
Поддон]]</f>
        <v>0</v>
      </c>
      <c r="N927" s="19">
        <f>Таблица1[[#This Row],[Сумма 
Приход]]+Таблица1[[#This Row],[Сумма Поддон]]</f>
        <v>0</v>
      </c>
      <c r="O927" s="20"/>
      <c r="P927" s="19">
        <f>Таблица1[[#This Row],[Цена
 Продажа]]-Таблица1[[#This Row],[Цена 
Приход]]</f>
        <v>0</v>
      </c>
      <c r="Q927" s="19"/>
      <c r="R927" s="19">
        <f>Таблица1[[#This Row],[Блок
 Куб]]*Таблица1[[#This Row],[Цена
 Продажа]]</f>
        <v>0</v>
      </c>
      <c r="S927" s="20"/>
      <c r="T927" s="19">
        <f>Таблица1[[#This Row],[Сумма 
Продажа]]-Таблица1[[#This Row],[Сумма 
Приход]]</f>
        <v>0</v>
      </c>
      <c r="U927" s="150"/>
    </row>
    <row r="928" spans="1:21" ht="14.25" x14ac:dyDescent="0.2">
      <c r="A928" s="50">
        <f t="shared" si="14"/>
        <v>925</v>
      </c>
      <c r="B928" s="17"/>
      <c r="C928" s="17"/>
      <c r="D928" s="17"/>
      <c r="E928" s="51"/>
      <c r="F928" s="50"/>
      <c r="G928" s="23"/>
      <c r="H928" s="24"/>
      <c r="I928" s="23"/>
      <c r="J928" s="19">
        <f>Таблица1[[#This Row],[Блок
 Куб]]*Таблица1[[#This Row],[Цена 
Приход]]</f>
        <v>0</v>
      </c>
      <c r="K928" s="25"/>
      <c r="L928" s="25"/>
      <c r="M928" s="19">
        <f>Таблица1[[#This Row],[Поддон
Шт]]*Таблица1[[#This Row],[Цена
Поддон]]</f>
        <v>0</v>
      </c>
      <c r="N928" s="19">
        <f>Таблица1[[#This Row],[Сумма 
Приход]]+Таблица1[[#This Row],[Сумма Поддон]]</f>
        <v>0</v>
      </c>
      <c r="O928" s="20"/>
      <c r="P928" s="19">
        <f>Таблица1[[#This Row],[Цена
 Продажа]]-Таблица1[[#This Row],[Цена 
Приход]]</f>
        <v>0</v>
      </c>
      <c r="Q928" s="19"/>
      <c r="R928" s="19">
        <f>Таблица1[[#This Row],[Блок
 Куб]]*Таблица1[[#This Row],[Цена
 Продажа]]</f>
        <v>0</v>
      </c>
      <c r="S928" s="20"/>
      <c r="T928" s="19">
        <f>Таблица1[[#This Row],[Сумма 
Продажа]]-Таблица1[[#This Row],[Сумма 
Приход]]</f>
        <v>0</v>
      </c>
      <c r="U928" s="150"/>
    </row>
    <row r="929" spans="1:21" ht="14.25" x14ac:dyDescent="0.2">
      <c r="A929" s="50">
        <f t="shared" si="14"/>
        <v>926</v>
      </c>
      <c r="B929" s="17"/>
      <c r="C929" s="17"/>
      <c r="D929" s="17"/>
      <c r="E929" s="51"/>
      <c r="F929" s="50"/>
      <c r="G929" s="23"/>
      <c r="H929" s="24"/>
      <c r="I929" s="23"/>
      <c r="J929" s="19">
        <f>Таблица1[[#This Row],[Блок
 Куб]]*Таблица1[[#This Row],[Цена 
Приход]]</f>
        <v>0</v>
      </c>
      <c r="K929" s="25"/>
      <c r="L929" s="25"/>
      <c r="M929" s="19">
        <f>Таблица1[[#This Row],[Поддон
Шт]]*Таблица1[[#This Row],[Цена
Поддон]]</f>
        <v>0</v>
      </c>
      <c r="N929" s="19">
        <f>Таблица1[[#This Row],[Сумма 
Приход]]+Таблица1[[#This Row],[Сумма Поддон]]</f>
        <v>0</v>
      </c>
      <c r="O929" s="20"/>
      <c r="P929" s="19">
        <f>Таблица1[[#This Row],[Цена
 Продажа]]-Таблица1[[#This Row],[Цена 
Приход]]</f>
        <v>0</v>
      </c>
      <c r="Q929" s="19"/>
      <c r="R929" s="19">
        <f>Таблица1[[#This Row],[Блок
 Куб]]*Таблица1[[#This Row],[Цена
 Продажа]]</f>
        <v>0</v>
      </c>
      <c r="S929" s="20"/>
      <c r="T929" s="19">
        <f>Таблица1[[#This Row],[Сумма 
Продажа]]-Таблица1[[#This Row],[Сумма 
Приход]]</f>
        <v>0</v>
      </c>
      <c r="U929" s="150"/>
    </row>
    <row r="930" spans="1:21" ht="14.25" x14ac:dyDescent="0.2">
      <c r="A930" s="50">
        <f t="shared" si="14"/>
        <v>927</v>
      </c>
      <c r="B930" s="17"/>
      <c r="C930" s="17"/>
      <c r="D930" s="17"/>
      <c r="E930" s="51"/>
      <c r="F930" s="50"/>
      <c r="G930" s="23"/>
      <c r="H930" s="24"/>
      <c r="I930" s="23"/>
      <c r="J930" s="19">
        <f>Таблица1[[#This Row],[Блок
 Куб]]*Таблица1[[#This Row],[Цена 
Приход]]</f>
        <v>0</v>
      </c>
      <c r="K930" s="25"/>
      <c r="L930" s="25"/>
      <c r="M930" s="19">
        <f>Таблица1[[#This Row],[Поддон
Шт]]*Таблица1[[#This Row],[Цена
Поддон]]</f>
        <v>0</v>
      </c>
      <c r="N930" s="19">
        <f>Таблица1[[#This Row],[Сумма 
Приход]]+Таблица1[[#This Row],[Сумма Поддон]]</f>
        <v>0</v>
      </c>
      <c r="O930" s="20"/>
      <c r="P930" s="19">
        <f>Таблица1[[#This Row],[Цена
 Продажа]]-Таблица1[[#This Row],[Цена 
Приход]]</f>
        <v>0</v>
      </c>
      <c r="Q930" s="19"/>
      <c r="R930" s="19">
        <f>Таблица1[[#This Row],[Блок
 Куб]]*Таблица1[[#This Row],[Цена
 Продажа]]</f>
        <v>0</v>
      </c>
      <c r="S930" s="20"/>
      <c r="T930" s="19">
        <f>Таблица1[[#This Row],[Сумма 
Продажа]]-Таблица1[[#This Row],[Сумма 
Приход]]</f>
        <v>0</v>
      </c>
      <c r="U930" s="150"/>
    </row>
    <row r="931" spans="1:21" ht="14.25" x14ac:dyDescent="0.2">
      <c r="A931" s="50">
        <f t="shared" si="14"/>
        <v>928</v>
      </c>
      <c r="B931" s="17"/>
      <c r="C931" s="17"/>
      <c r="D931" s="17"/>
      <c r="E931" s="51"/>
      <c r="F931" s="50"/>
      <c r="G931" s="23"/>
      <c r="H931" s="24"/>
      <c r="I931" s="23"/>
      <c r="J931" s="19">
        <f>Таблица1[[#This Row],[Блок
 Куб]]*Таблица1[[#This Row],[Цена 
Приход]]</f>
        <v>0</v>
      </c>
      <c r="K931" s="25"/>
      <c r="L931" s="25"/>
      <c r="M931" s="19">
        <f>Таблица1[[#This Row],[Поддон
Шт]]*Таблица1[[#This Row],[Цена
Поддон]]</f>
        <v>0</v>
      </c>
      <c r="N931" s="19">
        <f>Таблица1[[#This Row],[Сумма 
Приход]]+Таблица1[[#This Row],[Сумма Поддон]]</f>
        <v>0</v>
      </c>
      <c r="O931" s="20"/>
      <c r="P931" s="19">
        <f>Таблица1[[#This Row],[Цена
 Продажа]]-Таблица1[[#This Row],[Цена 
Приход]]</f>
        <v>0</v>
      </c>
      <c r="Q931" s="19"/>
      <c r="R931" s="19">
        <f>Таблица1[[#This Row],[Блок
 Куб]]*Таблица1[[#This Row],[Цена
 Продажа]]</f>
        <v>0</v>
      </c>
      <c r="S931" s="20"/>
      <c r="T931" s="19">
        <f>Таблица1[[#This Row],[Сумма 
Продажа]]-Таблица1[[#This Row],[Сумма 
Приход]]</f>
        <v>0</v>
      </c>
      <c r="U931" s="150"/>
    </row>
    <row r="932" spans="1:21" ht="14.25" x14ac:dyDescent="0.2">
      <c r="A932" s="50">
        <f t="shared" si="14"/>
        <v>929</v>
      </c>
      <c r="B932" s="17"/>
      <c r="C932" s="17"/>
      <c r="D932" s="17"/>
      <c r="E932" s="51"/>
      <c r="F932" s="50"/>
      <c r="G932" s="23"/>
      <c r="H932" s="24"/>
      <c r="I932" s="23"/>
      <c r="J932" s="19">
        <f>Таблица1[[#This Row],[Блок
 Куб]]*Таблица1[[#This Row],[Цена 
Приход]]</f>
        <v>0</v>
      </c>
      <c r="K932" s="25"/>
      <c r="L932" s="25"/>
      <c r="M932" s="19">
        <f>Таблица1[[#This Row],[Поддон
Шт]]*Таблица1[[#This Row],[Цена
Поддон]]</f>
        <v>0</v>
      </c>
      <c r="N932" s="19">
        <f>Таблица1[[#This Row],[Сумма 
Приход]]+Таблица1[[#This Row],[Сумма Поддон]]</f>
        <v>0</v>
      </c>
      <c r="O932" s="20"/>
      <c r="P932" s="19">
        <f>Таблица1[[#This Row],[Цена
 Продажа]]-Таблица1[[#This Row],[Цена 
Приход]]</f>
        <v>0</v>
      </c>
      <c r="Q932" s="19"/>
      <c r="R932" s="19">
        <f>Таблица1[[#This Row],[Блок
 Куб]]*Таблица1[[#This Row],[Цена
 Продажа]]</f>
        <v>0</v>
      </c>
      <c r="S932" s="20"/>
      <c r="T932" s="19">
        <f>Таблица1[[#This Row],[Сумма 
Продажа]]-Таблица1[[#This Row],[Сумма 
Приход]]</f>
        <v>0</v>
      </c>
      <c r="U932" s="150"/>
    </row>
    <row r="933" spans="1:21" ht="14.25" x14ac:dyDescent="0.2">
      <c r="A933" s="50">
        <f t="shared" si="14"/>
        <v>930</v>
      </c>
      <c r="B933" s="17"/>
      <c r="C933" s="17"/>
      <c r="D933" s="17"/>
      <c r="E933" s="51"/>
      <c r="F933" s="50"/>
      <c r="G933" s="23"/>
      <c r="H933" s="24"/>
      <c r="I933" s="23"/>
      <c r="J933" s="19">
        <f>Таблица1[[#This Row],[Блок
 Куб]]*Таблица1[[#This Row],[Цена 
Приход]]</f>
        <v>0</v>
      </c>
      <c r="K933" s="25"/>
      <c r="L933" s="25"/>
      <c r="M933" s="19">
        <f>Таблица1[[#This Row],[Поддон
Шт]]*Таблица1[[#This Row],[Цена
Поддон]]</f>
        <v>0</v>
      </c>
      <c r="N933" s="19">
        <f>Таблица1[[#This Row],[Сумма 
Приход]]+Таблица1[[#This Row],[Сумма Поддон]]</f>
        <v>0</v>
      </c>
      <c r="O933" s="20"/>
      <c r="P933" s="19">
        <f>Таблица1[[#This Row],[Цена
 Продажа]]-Таблица1[[#This Row],[Цена 
Приход]]</f>
        <v>0</v>
      </c>
      <c r="Q933" s="19"/>
      <c r="R933" s="19">
        <f>Таблица1[[#This Row],[Блок
 Куб]]*Таблица1[[#This Row],[Цена
 Продажа]]</f>
        <v>0</v>
      </c>
      <c r="S933" s="20"/>
      <c r="T933" s="19">
        <f>Таблица1[[#This Row],[Сумма 
Продажа]]-Таблица1[[#This Row],[Сумма 
Приход]]</f>
        <v>0</v>
      </c>
      <c r="U933" s="150"/>
    </row>
    <row r="934" spans="1:21" ht="14.25" x14ac:dyDescent="0.2">
      <c r="A934" s="50">
        <f t="shared" si="14"/>
        <v>931</v>
      </c>
      <c r="B934" s="17"/>
      <c r="C934" s="17"/>
      <c r="D934" s="17"/>
      <c r="E934" s="51"/>
      <c r="F934" s="50"/>
      <c r="G934" s="23"/>
      <c r="H934" s="24"/>
      <c r="I934" s="23"/>
      <c r="J934" s="19">
        <f>Таблица1[[#This Row],[Блок
 Куб]]*Таблица1[[#This Row],[Цена 
Приход]]</f>
        <v>0</v>
      </c>
      <c r="K934" s="25"/>
      <c r="L934" s="25"/>
      <c r="M934" s="19">
        <f>Таблица1[[#This Row],[Поддон
Шт]]*Таблица1[[#This Row],[Цена
Поддон]]</f>
        <v>0</v>
      </c>
      <c r="N934" s="19">
        <f>Таблица1[[#This Row],[Сумма 
Приход]]+Таблица1[[#This Row],[Сумма Поддон]]</f>
        <v>0</v>
      </c>
      <c r="O934" s="20"/>
      <c r="P934" s="19">
        <f>Таблица1[[#This Row],[Цена
 Продажа]]-Таблица1[[#This Row],[Цена 
Приход]]</f>
        <v>0</v>
      </c>
      <c r="Q934" s="19"/>
      <c r="R934" s="19">
        <f>Таблица1[[#This Row],[Блок
 Куб]]*Таблица1[[#This Row],[Цена
 Продажа]]</f>
        <v>0</v>
      </c>
      <c r="S934" s="20"/>
      <c r="T934" s="19">
        <f>Таблица1[[#This Row],[Сумма 
Продажа]]-Таблица1[[#This Row],[Сумма 
Приход]]</f>
        <v>0</v>
      </c>
      <c r="U934" s="150"/>
    </row>
    <row r="935" spans="1:21" ht="14.25" x14ac:dyDescent="0.2">
      <c r="A935" s="50">
        <f t="shared" si="14"/>
        <v>932</v>
      </c>
      <c r="B935" s="17"/>
      <c r="C935" s="17"/>
      <c r="D935" s="17"/>
      <c r="E935" s="51"/>
      <c r="F935" s="50"/>
      <c r="G935" s="23"/>
      <c r="H935" s="24"/>
      <c r="I935" s="23"/>
      <c r="J935" s="19">
        <f>Таблица1[[#This Row],[Блок
 Куб]]*Таблица1[[#This Row],[Цена 
Приход]]</f>
        <v>0</v>
      </c>
      <c r="K935" s="25"/>
      <c r="L935" s="25"/>
      <c r="M935" s="19">
        <f>Таблица1[[#This Row],[Поддон
Шт]]*Таблица1[[#This Row],[Цена
Поддон]]</f>
        <v>0</v>
      </c>
      <c r="N935" s="19">
        <f>Таблица1[[#This Row],[Сумма 
Приход]]+Таблица1[[#This Row],[Сумма Поддон]]</f>
        <v>0</v>
      </c>
      <c r="O935" s="20"/>
      <c r="P935" s="19">
        <f>Таблица1[[#This Row],[Цена
 Продажа]]-Таблица1[[#This Row],[Цена 
Приход]]</f>
        <v>0</v>
      </c>
      <c r="Q935" s="19"/>
      <c r="R935" s="19">
        <f>Таблица1[[#This Row],[Блок
 Куб]]*Таблица1[[#This Row],[Цена
 Продажа]]</f>
        <v>0</v>
      </c>
      <c r="S935" s="20"/>
      <c r="T935" s="19">
        <f>Таблица1[[#This Row],[Сумма 
Продажа]]-Таблица1[[#This Row],[Сумма 
Приход]]</f>
        <v>0</v>
      </c>
      <c r="U935" s="150"/>
    </row>
    <row r="936" spans="1:21" ht="14.25" x14ac:dyDescent="0.2">
      <c r="A936" s="50">
        <f t="shared" si="14"/>
        <v>933</v>
      </c>
      <c r="B936" s="17"/>
      <c r="C936" s="17"/>
      <c r="D936" s="17"/>
      <c r="E936" s="51"/>
      <c r="F936" s="50"/>
      <c r="G936" s="23"/>
      <c r="H936" s="24"/>
      <c r="I936" s="23"/>
      <c r="J936" s="19">
        <f>Таблица1[[#This Row],[Блок
 Куб]]*Таблица1[[#This Row],[Цена 
Приход]]</f>
        <v>0</v>
      </c>
      <c r="K936" s="25"/>
      <c r="L936" s="25"/>
      <c r="M936" s="19">
        <f>Таблица1[[#This Row],[Поддон
Шт]]*Таблица1[[#This Row],[Цена
Поддон]]</f>
        <v>0</v>
      </c>
      <c r="N936" s="19">
        <f>Таблица1[[#This Row],[Сумма 
Приход]]+Таблица1[[#This Row],[Сумма Поддон]]</f>
        <v>0</v>
      </c>
      <c r="O936" s="20"/>
      <c r="P936" s="19">
        <f>Таблица1[[#This Row],[Цена
 Продажа]]-Таблица1[[#This Row],[Цена 
Приход]]</f>
        <v>0</v>
      </c>
      <c r="Q936" s="19"/>
      <c r="R936" s="19">
        <f>Таблица1[[#This Row],[Блок
 Куб]]*Таблица1[[#This Row],[Цена
 Продажа]]</f>
        <v>0</v>
      </c>
      <c r="S936" s="20"/>
      <c r="T936" s="19">
        <f>Таблица1[[#This Row],[Сумма 
Продажа]]-Таблица1[[#This Row],[Сумма 
Приход]]</f>
        <v>0</v>
      </c>
      <c r="U936" s="150"/>
    </row>
    <row r="937" spans="1:21" ht="14.25" x14ac:dyDescent="0.2">
      <c r="A937" s="50">
        <f t="shared" si="14"/>
        <v>934</v>
      </c>
      <c r="B937" s="17"/>
      <c r="C937" s="17"/>
      <c r="D937" s="17"/>
      <c r="E937" s="51"/>
      <c r="F937" s="50"/>
      <c r="G937" s="23"/>
      <c r="H937" s="24"/>
      <c r="I937" s="23"/>
      <c r="J937" s="19">
        <f>Таблица1[[#This Row],[Блок
 Куб]]*Таблица1[[#This Row],[Цена 
Приход]]</f>
        <v>0</v>
      </c>
      <c r="K937" s="25"/>
      <c r="L937" s="25"/>
      <c r="M937" s="19">
        <f>Таблица1[[#This Row],[Поддон
Шт]]*Таблица1[[#This Row],[Цена
Поддон]]</f>
        <v>0</v>
      </c>
      <c r="N937" s="19">
        <f>Таблица1[[#This Row],[Сумма 
Приход]]+Таблица1[[#This Row],[Сумма Поддон]]</f>
        <v>0</v>
      </c>
      <c r="O937" s="20"/>
      <c r="P937" s="19">
        <f>Таблица1[[#This Row],[Цена
 Продажа]]-Таблица1[[#This Row],[Цена 
Приход]]</f>
        <v>0</v>
      </c>
      <c r="Q937" s="19"/>
      <c r="R937" s="19">
        <f>Таблица1[[#This Row],[Блок
 Куб]]*Таблица1[[#This Row],[Цена
 Продажа]]</f>
        <v>0</v>
      </c>
      <c r="S937" s="20"/>
      <c r="T937" s="19">
        <f>Таблица1[[#This Row],[Сумма 
Продажа]]-Таблица1[[#This Row],[Сумма 
Приход]]</f>
        <v>0</v>
      </c>
      <c r="U937" s="150"/>
    </row>
    <row r="938" spans="1:21" ht="14.25" x14ac:dyDescent="0.2">
      <c r="A938" s="50">
        <f t="shared" si="14"/>
        <v>935</v>
      </c>
      <c r="B938" s="17"/>
      <c r="C938" s="17"/>
      <c r="D938" s="17"/>
      <c r="E938" s="51"/>
      <c r="F938" s="50"/>
      <c r="G938" s="23"/>
      <c r="H938" s="24"/>
      <c r="I938" s="23"/>
      <c r="J938" s="19">
        <f>Таблица1[[#This Row],[Блок
 Куб]]*Таблица1[[#This Row],[Цена 
Приход]]</f>
        <v>0</v>
      </c>
      <c r="K938" s="25"/>
      <c r="L938" s="25"/>
      <c r="M938" s="19">
        <f>Таблица1[[#This Row],[Поддон
Шт]]*Таблица1[[#This Row],[Цена
Поддон]]</f>
        <v>0</v>
      </c>
      <c r="N938" s="19">
        <f>Таблица1[[#This Row],[Сумма 
Приход]]+Таблица1[[#This Row],[Сумма Поддон]]</f>
        <v>0</v>
      </c>
      <c r="O938" s="20"/>
      <c r="P938" s="19">
        <f>Таблица1[[#This Row],[Цена
 Продажа]]-Таблица1[[#This Row],[Цена 
Приход]]</f>
        <v>0</v>
      </c>
      <c r="Q938" s="19"/>
      <c r="R938" s="19">
        <f>Таблица1[[#This Row],[Блок
 Куб]]*Таблица1[[#This Row],[Цена
 Продажа]]</f>
        <v>0</v>
      </c>
      <c r="S938" s="20"/>
      <c r="T938" s="19">
        <f>Таблица1[[#This Row],[Сумма 
Продажа]]-Таблица1[[#This Row],[Сумма 
Приход]]</f>
        <v>0</v>
      </c>
      <c r="U938" s="150"/>
    </row>
    <row r="939" spans="1:21" ht="14.25" x14ac:dyDescent="0.2">
      <c r="A939" s="50">
        <f t="shared" si="14"/>
        <v>936</v>
      </c>
      <c r="B939" s="17"/>
      <c r="C939" s="17"/>
      <c r="D939" s="17"/>
      <c r="E939" s="51"/>
      <c r="F939" s="50"/>
      <c r="G939" s="23"/>
      <c r="H939" s="24"/>
      <c r="I939" s="23"/>
      <c r="J939" s="19">
        <f>Таблица1[[#This Row],[Блок
 Куб]]*Таблица1[[#This Row],[Цена 
Приход]]</f>
        <v>0</v>
      </c>
      <c r="K939" s="25"/>
      <c r="L939" s="25"/>
      <c r="M939" s="19">
        <f>Таблица1[[#This Row],[Поддон
Шт]]*Таблица1[[#This Row],[Цена
Поддон]]</f>
        <v>0</v>
      </c>
      <c r="N939" s="19">
        <f>Таблица1[[#This Row],[Сумма 
Приход]]+Таблица1[[#This Row],[Сумма Поддон]]</f>
        <v>0</v>
      </c>
      <c r="O939" s="20"/>
      <c r="P939" s="19">
        <f>Таблица1[[#This Row],[Цена
 Продажа]]-Таблица1[[#This Row],[Цена 
Приход]]</f>
        <v>0</v>
      </c>
      <c r="Q939" s="19"/>
      <c r="R939" s="19">
        <f>Таблица1[[#This Row],[Блок
 Куб]]*Таблица1[[#This Row],[Цена
 Продажа]]</f>
        <v>0</v>
      </c>
      <c r="S939" s="20"/>
      <c r="T939" s="19">
        <f>Таблица1[[#This Row],[Сумма 
Продажа]]-Таблица1[[#This Row],[Сумма 
Приход]]</f>
        <v>0</v>
      </c>
      <c r="U939" s="150"/>
    </row>
    <row r="940" spans="1:21" ht="14.25" x14ac:dyDescent="0.2">
      <c r="A940" s="50">
        <f t="shared" si="14"/>
        <v>937</v>
      </c>
      <c r="B940" s="17"/>
      <c r="C940" s="17"/>
      <c r="D940" s="17"/>
      <c r="E940" s="51"/>
      <c r="F940" s="50"/>
      <c r="G940" s="23"/>
      <c r="H940" s="24"/>
      <c r="I940" s="23"/>
      <c r="J940" s="19">
        <f>Таблица1[[#This Row],[Блок
 Куб]]*Таблица1[[#This Row],[Цена 
Приход]]</f>
        <v>0</v>
      </c>
      <c r="K940" s="25"/>
      <c r="L940" s="25"/>
      <c r="M940" s="19">
        <f>Таблица1[[#This Row],[Поддон
Шт]]*Таблица1[[#This Row],[Цена
Поддон]]</f>
        <v>0</v>
      </c>
      <c r="N940" s="19">
        <f>Таблица1[[#This Row],[Сумма 
Приход]]+Таблица1[[#This Row],[Сумма Поддон]]</f>
        <v>0</v>
      </c>
      <c r="O940" s="20"/>
      <c r="P940" s="19">
        <f>Таблица1[[#This Row],[Цена
 Продажа]]-Таблица1[[#This Row],[Цена 
Приход]]</f>
        <v>0</v>
      </c>
      <c r="Q940" s="19"/>
      <c r="R940" s="19">
        <f>Таблица1[[#This Row],[Блок
 Куб]]*Таблица1[[#This Row],[Цена
 Продажа]]</f>
        <v>0</v>
      </c>
      <c r="S940" s="20"/>
      <c r="T940" s="19">
        <f>Таблица1[[#This Row],[Сумма 
Продажа]]-Таблица1[[#This Row],[Сумма 
Приход]]</f>
        <v>0</v>
      </c>
      <c r="U940" s="150"/>
    </row>
    <row r="941" spans="1:21" ht="14.25" x14ac:dyDescent="0.2">
      <c r="A941" s="50">
        <f t="shared" si="14"/>
        <v>938</v>
      </c>
      <c r="B941" s="17"/>
      <c r="C941" s="17"/>
      <c r="D941" s="17"/>
      <c r="E941" s="51"/>
      <c r="F941" s="50"/>
      <c r="G941" s="23"/>
      <c r="H941" s="24"/>
      <c r="I941" s="23"/>
      <c r="J941" s="19">
        <f>Таблица1[[#This Row],[Блок
 Куб]]*Таблица1[[#This Row],[Цена 
Приход]]</f>
        <v>0</v>
      </c>
      <c r="K941" s="25"/>
      <c r="L941" s="25"/>
      <c r="M941" s="19">
        <f>Таблица1[[#This Row],[Поддон
Шт]]*Таблица1[[#This Row],[Цена
Поддон]]</f>
        <v>0</v>
      </c>
      <c r="N941" s="19">
        <f>Таблица1[[#This Row],[Сумма 
Приход]]+Таблица1[[#This Row],[Сумма Поддон]]</f>
        <v>0</v>
      </c>
      <c r="O941" s="20"/>
      <c r="P941" s="19">
        <f>Таблица1[[#This Row],[Цена
 Продажа]]-Таблица1[[#This Row],[Цена 
Приход]]</f>
        <v>0</v>
      </c>
      <c r="Q941" s="19"/>
      <c r="R941" s="19">
        <f>Таблица1[[#This Row],[Блок
 Куб]]*Таблица1[[#This Row],[Цена
 Продажа]]</f>
        <v>0</v>
      </c>
      <c r="S941" s="20"/>
      <c r="T941" s="19">
        <f>Таблица1[[#This Row],[Сумма 
Продажа]]-Таблица1[[#This Row],[Сумма 
Приход]]</f>
        <v>0</v>
      </c>
      <c r="U941" s="150"/>
    </row>
    <row r="942" spans="1:21" ht="14.25" x14ac:dyDescent="0.2">
      <c r="A942" s="50">
        <f t="shared" si="14"/>
        <v>939</v>
      </c>
      <c r="B942" s="17"/>
      <c r="C942" s="17"/>
      <c r="D942" s="17"/>
      <c r="E942" s="51"/>
      <c r="F942" s="50"/>
      <c r="G942" s="23"/>
      <c r="H942" s="24"/>
      <c r="I942" s="23"/>
      <c r="J942" s="19">
        <f>Таблица1[[#This Row],[Блок
 Куб]]*Таблица1[[#This Row],[Цена 
Приход]]</f>
        <v>0</v>
      </c>
      <c r="K942" s="25"/>
      <c r="L942" s="25"/>
      <c r="M942" s="19">
        <f>Таблица1[[#This Row],[Поддон
Шт]]*Таблица1[[#This Row],[Цена
Поддон]]</f>
        <v>0</v>
      </c>
      <c r="N942" s="19">
        <f>Таблица1[[#This Row],[Сумма 
Приход]]+Таблица1[[#This Row],[Сумма Поддон]]</f>
        <v>0</v>
      </c>
      <c r="O942" s="20"/>
      <c r="P942" s="19">
        <f>Таблица1[[#This Row],[Цена
 Продажа]]-Таблица1[[#This Row],[Цена 
Приход]]</f>
        <v>0</v>
      </c>
      <c r="Q942" s="19"/>
      <c r="R942" s="19">
        <f>Таблица1[[#This Row],[Блок
 Куб]]*Таблица1[[#This Row],[Цена
 Продажа]]</f>
        <v>0</v>
      </c>
      <c r="S942" s="20"/>
      <c r="T942" s="19">
        <f>Таблица1[[#This Row],[Сумма 
Продажа]]-Таблица1[[#This Row],[Сумма 
Приход]]</f>
        <v>0</v>
      </c>
      <c r="U942" s="150"/>
    </row>
    <row r="943" spans="1:21" ht="14.25" x14ac:dyDescent="0.2">
      <c r="A943" s="50">
        <f t="shared" si="14"/>
        <v>940</v>
      </c>
      <c r="B943" s="17"/>
      <c r="C943" s="17"/>
      <c r="D943" s="17"/>
      <c r="E943" s="51"/>
      <c r="F943" s="50"/>
      <c r="G943" s="23"/>
      <c r="H943" s="24"/>
      <c r="I943" s="23"/>
      <c r="J943" s="19">
        <f>Таблица1[[#This Row],[Блок
 Куб]]*Таблица1[[#This Row],[Цена 
Приход]]</f>
        <v>0</v>
      </c>
      <c r="K943" s="25"/>
      <c r="L943" s="25"/>
      <c r="M943" s="19">
        <f>Таблица1[[#This Row],[Поддон
Шт]]*Таблица1[[#This Row],[Цена
Поддон]]</f>
        <v>0</v>
      </c>
      <c r="N943" s="19">
        <f>Таблица1[[#This Row],[Сумма 
Приход]]+Таблица1[[#This Row],[Сумма Поддон]]</f>
        <v>0</v>
      </c>
      <c r="O943" s="20"/>
      <c r="P943" s="19">
        <f>Таблица1[[#This Row],[Цена
 Продажа]]-Таблица1[[#This Row],[Цена 
Приход]]</f>
        <v>0</v>
      </c>
      <c r="Q943" s="19"/>
      <c r="R943" s="19">
        <f>Таблица1[[#This Row],[Блок
 Куб]]*Таблица1[[#This Row],[Цена
 Продажа]]</f>
        <v>0</v>
      </c>
      <c r="S943" s="20"/>
      <c r="T943" s="19">
        <f>Таблица1[[#This Row],[Сумма 
Продажа]]-Таблица1[[#This Row],[Сумма 
Приход]]</f>
        <v>0</v>
      </c>
      <c r="U943" s="150"/>
    </row>
    <row r="944" spans="1:21" ht="14.25" x14ac:dyDescent="0.2">
      <c r="A944" s="50">
        <f t="shared" si="14"/>
        <v>941</v>
      </c>
      <c r="B944" s="17"/>
      <c r="C944" s="17"/>
      <c r="D944" s="17"/>
      <c r="E944" s="51"/>
      <c r="F944" s="50"/>
      <c r="G944" s="23"/>
      <c r="H944" s="24"/>
      <c r="I944" s="23"/>
      <c r="J944" s="19">
        <f>Таблица1[[#This Row],[Блок
 Куб]]*Таблица1[[#This Row],[Цена 
Приход]]</f>
        <v>0</v>
      </c>
      <c r="K944" s="25"/>
      <c r="L944" s="25"/>
      <c r="M944" s="19">
        <f>Таблица1[[#This Row],[Поддон
Шт]]*Таблица1[[#This Row],[Цена
Поддон]]</f>
        <v>0</v>
      </c>
      <c r="N944" s="19">
        <f>Таблица1[[#This Row],[Сумма 
Приход]]+Таблица1[[#This Row],[Сумма Поддон]]</f>
        <v>0</v>
      </c>
      <c r="O944" s="20"/>
      <c r="P944" s="19">
        <f>Таблица1[[#This Row],[Цена
 Продажа]]-Таблица1[[#This Row],[Цена 
Приход]]</f>
        <v>0</v>
      </c>
      <c r="Q944" s="19"/>
      <c r="R944" s="19">
        <f>Таблица1[[#This Row],[Блок
 Куб]]*Таблица1[[#This Row],[Цена
 Продажа]]</f>
        <v>0</v>
      </c>
      <c r="S944" s="20"/>
      <c r="T944" s="19">
        <f>Таблица1[[#This Row],[Сумма 
Продажа]]-Таблица1[[#This Row],[Сумма 
Приход]]</f>
        <v>0</v>
      </c>
      <c r="U944" s="150"/>
    </row>
    <row r="945" spans="1:21" ht="14.25" x14ac:dyDescent="0.2">
      <c r="A945" s="50">
        <f t="shared" si="14"/>
        <v>942</v>
      </c>
      <c r="B945" s="17"/>
      <c r="C945" s="17"/>
      <c r="D945" s="17"/>
      <c r="E945" s="51"/>
      <c r="F945" s="50"/>
      <c r="G945" s="23"/>
      <c r="H945" s="24"/>
      <c r="I945" s="23"/>
      <c r="J945" s="19">
        <f>Таблица1[[#This Row],[Блок
 Куб]]*Таблица1[[#This Row],[Цена 
Приход]]</f>
        <v>0</v>
      </c>
      <c r="K945" s="25"/>
      <c r="L945" s="25"/>
      <c r="M945" s="19">
        <f>Таблица1[[#This Row],[Поддон
Шт]]*Таблица1[[#This Row],[Цена
Поддон]]</f>
        <v>0</v>
      </c>
      <c r="N945" s="19">
        <f>Таблица1[[#This Row],[Сумма 
Приход]]+Таблица1[[#This Row],[Сумма Поддон]]</f>
        <v>0</v>
      </c>
      <c r="O945" s="20"/>
      <c r="P945" s="19">
        <f>Таблица1[[#This Row],[Цена
 Продажа]]-Таблица1[[#This Row],[Цена 
Приход]]</f>
        <v>0</v>
      </c>
      <c r="Q945" s="19"/>
      <c r="R945" s="19">
        <f>Таблица1[[#This Row],[Блок
 Куб]]*Таблица1[[#This Row],[Цена
 Продажа]]</f>
        <v>0</v>
      </c>
      <c r="S945" s="20"/>
      <c r="T945" s="19">
        <f>Таблица1[[#This Row],[Сумма 
Продажа]]-Таблица1[[#This Row],[Сумма 
Приход]]</f>
        <v>0</v>
      </c>
      <c r="U945" s="150"/>
    </row>
    <row r="946" spans="1:21" ht="14.25" x14ac:dyDescent="0.2">
      <c r="A946" s="50">
        <f t="shared" si="14"/>
        <v>943</v>
      </c>
      <c r="B946" s="17"/>
      <c r="C946" s="17"/>
      <c r="D946" s="17"/>
      <c r="E946" s="51"/>
      <c r="F946" s="50"/>
      <c r="G946" s="23"/>
      <c r="H946" s="24"/>
      <c r="I946" s="23"/>
      <c r="J946" s="19">
        <f>Таблица1[[#This Row],[Блок
 Куб]]*Таблица1[[#This Row],[Цена 
Приход]]</f>
        <v>0</v>
      </c>
      <c r="K946" s="25"/>
      <c r="L946" s="25"/>
      <c r="M946" s="19">
        <f>Таблица1[[#This Row],[Поддон
Шт]]*Таблица1[[#This Row],[Цена
Поддон]]</f>
        <v>0</v>
      </c>
      <c r="N946" s="19">
        <f>Таблица1[[#This Row],[Сумма 
Приход]]+Таблица1[[#This Row],[Сумма Поддон]]</f>
        <v>0</v>
      </c>
      <c r="O946" s="20"/>
      <c r="P946" s="19">
        <f>Таблица1[[#This Row],[Цена
 Продажа]]-Таблица1[[#This Row],[Цена 
Приход]]</f>
        <v>0</v>
      </c>
      <c r="Q946" s="19"/>
      <c r="R946" s="19">
        <f>Таблица1[[#This Row],[Блок
 Куб]]*Таблица1[[#This Row],[Цена
 Продажа]]</f>
        <v>0</v>
      </c>
      <c r="S946" s="20"/>
      <c r="T946" s="19">
        <f>Таблица1[[#This Row],[Сумма 
Продажа]]-Таблица1[[#This Row],[Сумма 
Приход]]</f>
        <v>0</v>
      </c>
      <c r="U946" s="150"/>
    </row>
    <row r="947" spans="1:21" ht="14.25" x14ac:dyDescent="0.2">
      <c r="A947" s="50">
        <f t="shared" si="14"/>
        <v>944</v>
      </c>
      <c r="B947" s="17"/>
      <c r="C947" s="17"/>
      <c r="D947" s="17"/>
      <c r="E947" s="51"/>
      <c r="F947" s="50"/>
      <c r="G947" s="23"/>
      <c r="H947" s="24"/>
      <c r="I947" s="23"/>
      <c r="J947" s="19">
        <f>Таблица1[[#This Row],[Блок
 Куб]]*Таблица1[[#This Row],[Цена 
Приход]]</f>
        <v>0</v>
      </c>
      <c r="K947" s="25"/>
      <c r="L947" s="25"/>
      <c r="M947" s="19">
        <f>Таблица1[[#This Row],[Поддон
Шт]]*Таблица1[[#This Row],[Цена
Поддон]]</f>
        <v>0</v>
      </c>
      <c r="N947" s="19">
        <f>Таблица1[[#This Row],[Сумма 
Приход]]+Таблица1[[#This Row],[Сумма Поддон]]</f>
        <v>0</v>
      </c>
      <c r="O947" s="20"/>
      <c r="P947" s="19">
        <f>Таблица1[[#This Row],[Цена
 Продажа]]-Таблица1[[#This Row],[Цена 
Приход]]</f>
        <v>0</v>
      </c>
      <c r="Q947" s="19"/>
      <c r="R947" s="19">
        <f>Таблица1[[#This Row],[Блок
 Куб]]*Таблица1[[#This Row],[Цена
 Продажа]]</f>
        <v>0</v>
      </c>
      <c r="S947" s="20"/>
      <c r="T947" s="19">
        <f>Таблица1[[#This Row],[Сумма 
Продажа]]-Таблица1[[#This Row],[Сумма 
Приход]]</f>
        <v>0</v>
      </c>
      <c r="U947" s="150"/>
    </row>
    <row r="948" spans="1:21" ht="14.25" x14ac:dyDescent="0.2">
      <c r="A948" s="50">
        <f t="shared" si="14"/>
        <v>945</v>
      </c>
      <c r="B948" s="17"/>
      <c r="C948" s="17"/>
      <c r="D948" s="17"/>
      <c r="E948" s="51"/>
      <c r="F948" s="50"/>
      <c r="G948" s="23"/>
      <c r="H948" s="24"/>
      <c r="I948" s="23"/>
      <c r="J948" s="19">
        <f>Таблица1[[#This Row],[Блок
 Куб]]*Таблица1[[#This Row],[Цена 
Приход]]</f>
        <v>0</v>
      </c>
      <c r="K948" s="25"/>
      <c r="L948" s="25"/>
      <c r="M948" s="19">
        <f>Таблица1[[#This Row],[Поддон
Шт]]*Таблица1[[#This Row],[Цена
Поддон]]</f>
        <v>0</v>
      </c>
      <c r="N948" s="19">
        <f>Таблица1[[#This Row],[Сумма 
Приход]]+Таблица1[[#This Row],[Сумма Поддон]]</f>
        <v>0</v>
      </c>
      <c r="O948" s="20"/>
      <c r="P948" s="19">
        <f>Таблица1[[#This Row],[Цена
 Продажа]]-Таблица1[[#This Row],[Цена 
Приход]]</f>
        <v>0</v>
      </c>
      <c r="Q948" s="19"/>
      <c r="R948" s="19">
        <f>Таблица1[[#This Row],[Блок
 Куб]]*Таблица1[[#This Row],[Цена
 Продажа]]</f>
        <v>0</v>
      </c>
      <c r="S948" s="20"/>
      <c r="T948" s="19">
        <f>Таблица1[[#This Row],[Сумма 
Продажа]]-Таблица1[[#This Row],[Сумма 
Приход]]</f>
        <v>0</v>
      </c>
      <c r="U948" s="150"/>
    </row>
    <row r="949" spans="1:21" ht="14.25" x14ac:dyDescent="0.2">
      <c r="A949" s="50">
        <f t="shared" si="14"/>
        <v>946</v>
      </c>
      <c r="B949" s="17"/>
      <c r="C949" s="17"/>
      <c r="D949" s="17"/>
      <c r="E949" s="51"/>
      <c r="F949" s="50"/>
      <c r="G949" s="23"/>
      <c r="H949" s="24"/>
      <c r="I949" s="23"/>
      <c r="J949" s="19">
        <f>Таблица1[[#This Row],[Блок
 Куб]]*Таблица1[[#This Row],[Цена 
Приход]]</f>
        <v>0</v>
      </c>
      <c r="K949" s="25"/>
      <c r="L949" s="25"/>
      <c r="M949" s="19">
        <f>Таблица1[[#This Row],[Поддон
Шт]]*Таблица1[[#This Row],[Цена
Поддон]]</f>
        <v>0</v>
      </c>
      <c r="N949" s="19">
        <f>Таблица1[[#This Row],[Сумма 
Приход]]+Таблица1[[#This Row],[Сумма Поддон]]</f>
        <v>0</v>
      </c>
      <c r="O949" s="20"/>
      <c r="P949" s="19">
        <f>Таблица1[[#This Row],[Цена
 Продажа]]-Таблица1[[#This Row],[Цена 
Приход]]</f>
        <v>0</v>
      </c>
      <c r="Q949" s="19"/>
      <c r="R949" s="19">
        <f>Таблица1[[#This Row],[Блок
 Куб]]*Таблица1[[#This Row],[Цена
 Продажа]]</f>
        <v>0</v>
      </c>
      <c r="S949" s="20"/>
      <c r="T949" s="19">
        <f>Таблица1[[#This Row],[Сумма 
Продажа]]-Таблица1[[#This Row],[Сумма 
Приход]]</f>
        <v>0</v>
      </c>
      <c r="U949" s="150"/>
    </row>
    <row r="950" spans="1:21" ht="14.25" x14ac:dyDescent="0.2">
      <c r="A950" s="50">
        <f t="shared" si="14"/>
        <v>947</v>
      </c>
      <c r="B950" s="17"/>
      <c r="C950" s="17"/>
      <c r="D950" s="17"/>
      <c r="E950" s="51"/>
      <c r="F950" s="50"/>
      <c r="G950" s="23"/>
      <c r="H950" s="24"/>
      <c r="I950" s="23"/>
      <c r="J950" s="19">
        <f>Таблица1[[#This Row],[Блок
 Куб]]*Таблица1[[#This Row],[Цена 
Приход]]</f>
        <v>0</v>
      </c>
      <c r="K950" s="25"/>
      <c r="L950" s="25"/>
      <c r="M950" s="19">
        <f>Таблица1[[#This Row],[Поддон
Шт]]*Таблица1[[#This Row],[Цена
Поддон]]</f>
        <v>0</v>
      </c>
      <c r="N950" s="19">
        <f>Таблица1[[#This Row],[Сумма 
Приход]]+Таблица1[[#This Row],[Сумма Поддон]]</f>
        <v>0</v>
      </c>
      <c r="O950" s="20"/>
      <c r="P950" s="19">
        <f>Таблица1[[#This Row],[Цена
 Продажа]]-Таблица1[[#This Row],[Цена 
Приход]]</f>
        <v>0</v>
      </c>
      <c r="Q950" s="19"/>
      <c r="R950" s="19">
        <f>Таблица1[[#This Row],[Блок
 Куб]]*Таблица1[[#This Row],[Цена
 Продажа]]</f>
        <v>0</v>
      </c>
      <c r="S950" s="20"/>
      <c r="T950" s="19">
        <f>Таблица1[[#This Row],[Сумма 
Продажа]]-Таблица1[[#This Row],[Сумма 
Приход]]</f>
        <v>0</v>
      </c>
      <c r="U950" s="150"/>
    </row>
    <row r="951" spans="1:21" ht="14.25" x14ac:dyDescent="0.2">
      <c r="A951" s="50">
        <f t="shared" si="14"/>
        <v>948</v>
      </c>
      <c r="B951" s="17"/>
      <c r="C951" s="17"/>
      <c r="D951" s="17"/>
      <c r="E951" s="51"/>
      <c r="F951" s="50"/>
      <c r="G951" s="23"/>
      <c r="H951" s="24"/>
      <c r="I951" s="23"/>
      <c r="J951" s="19">
        <f>Таблица1[[#This Row],[Блок
 Куб]]*Таблица1[[#This Row],[Цена 
Приход]]</f>
        <v>0</v>
      </c>
      <c r="K951" s="25"/>
      <c r="L951" s="25"/>
      <c r="M951" s="19">
        <f>Таблица1[[#This Row],[Поддон
Шт]]*Таблица1[[#This Row],[Цена
Поддон]]</f>
        <v>0</v>
      </c>
      <c r="N951" s="19">
        <f>Таблица1[[#This Row],[Сумма 
Приход]]+Таблица1[[#This Row],[Сумма Поддон]]</f>
        <v>0</v>
      </c>
      <c r="O951" s="20"/>
      <c r="P951" s="19">
        <f>Таблица1[[#This Row],[Цена
 Продажа]]-Таблица1[[#This Row],[Цена 
Приход]]</f>
        <v>0</v>
      </c>
      <c r="Q951" s="19"/>
      <c r="R951" s="19">
        <f>Таблица1[[#This Row],[Блок
 Куб]]*Таблица1[[#This Row],[Цена
 Продажа]]</f>
        <v>0</v>
      </c>
      <c r="S951" s="20"/>
      <c r="T951" s="19">
        <f>Таблица1[[#This Row],[Сумма 
Продажа]]-Таблица1[[#This Row],[Сумма 
Приход]]</f>
        <v>0</v>
      </c>
      <c r="U951" s="150"/>
    </row>
    <row r="952" spans="1:21" ht="14.25" x14ac:dyDescent="0.2">
      <c r="A952" s="50">
        <f t="shared" si="14"/>
        <v>949</v>
      </c>
      <c r="B952" s="17"/>
      <c r="C952" s="17"/>
      <c r="D952" s="17"/>
      <c r="E952" s="51"/>
      <c r="F952" s="50"/>
      <c r="G952" s="23"/>
      <c r="H952" s="24"/>
      <c r="I952" s="23"/>
      <c r="J952" s="19">
        <f>Таблица1[[#This Row],[Блок
 Куб]]*Таблица1[[#This Row],[Цена 
Приход]]</f>
        <v>0</v>
      </c>
      <c r="K952" s="25"/>
      <c r="L952" s="25"/>
      <c r="M952" s="19">
        <f>Таблица1[[#This Row],[Поддон
Шт]]*Таблица1[[#This Row],[Цена
Поддон]]</f>
        <v>0</v>
      </c>
      <c r="N952" s="19">
        <f>Таблица1[[#This Row],[Сумма 
Приход]]+Таблица1[[#This Row],[Сумма Поддон]]</f>
        <v>0</v>
      </c>
      <c r="O952" s="20"/>
      <c r="P952" s="19">
        <f>Таблица1[[#This Row],[Цена
 Продажа]]-Таблица1[[#This Row],[Цена 
Приход]]</f>
        <v>0</v>
      </c>
      <c r="Q952" s="19"/>
      <c r="R952" s="19">
        <f>Таблица1[[#This Row],[Блок
 Куб]]*Таблица1[[#This Row],[Цена
 Продажа]]</f>
        <v>0</v>
      </c>
      <c r="S952" s="20"/>
      <c r="T952" s="19">
        <f>Таблица1[[#This Row],[Сумма 
Продажа]]-Таблица1[[#This Row],[Сумма 
Приход]]</f>
        <v>0</v>
      </c>
      <c r="U952" s="150"/>
    </row>
    <row r="953" spans="1:21" ht="14.25" x14ac:dyDescent="0.2">
      <c r="A953" s="50">
        <f t="shared" si="14"/>
        <v>950</v>
      </c>
      <c r="B953" s="17"/>
      <c r="C953" s="17"/>
      <c r="D953" s="17"/>
      <c r="E953" s="51"/>
      <c r="F953" s="50"/>
      <c r="G953" s="23"/>
      <c r="H953" s="24"/>
      <c r="I953" s="23"/>
      <c r="J953" s="19">
        <f>Таблица1[[#This Row],[Блок
 Куб]]*Таблица1[[#This Row],[Цена 
Приход]]</f>
        <v>0</v>
      </c>
      <c r="K953" s="25"/>
      <c r="L953" s="25"/>
      <c r="M953" s="19">
        <f>Таблица1[[#This Row],[Поддон
Шт]]*Таблица1[[#This Row],[Цена
Поддон]]</f>
        <v>0</v>
      </c>
      <c r="N953" s="19">
        <f>Таблица1[[#This Row],[Сумма 
Приход]]+Таблица1[[#This Row],[Сумма Поддон]]</f>
        <v>0</v>
      </c>
      <c r="O953" s="20"/>
      <c r="P953" s="19">
        <f>Таблица1[[#This Row],[Цена
 Продажа]]-Таблица1[[#This Row],[Цена 
Приход]]</f>
        <v>0</v>
      </c>
      <c r="Q953" s="19"/>
      <c r="R953" s="19">
        <f>Таблица1[[#This Row],[Блок
 Куб]]*Таблица1[[#This Row],[Цена
 Продажа]]</f>
        <v>0</v>
      </c>
      <c r="S953" s="20"/>
      <c r="T953" s="19">
        <f>Таблица1[[#This Row],[Сумма 
Продажа]]-Таблица1[[#This Row],[Сумма 
Приход]]</f>
        <v>0</v>
      </c>
      <c r="U953" s="150"/>
    </row>
    <row r="954" spans="1:21" ht="14.25" x14ac:dyDescent="0.2">
      <c r="A954" s="50">
        <f t="shared" si="14"/>
        <v>951</v>
      </c>
      <c r="B954" s="17"/>
      <c r="C954" s="17"/>
      <c r="D954" s="17"/>
      <c r="E954" s="51"/>
      <c r="F954" s="50"/>
      <c r="G954" s="23"/>
      <c r="H954" s="24"/>
      <c r="I954" s="23"/>
      <c r="J954" s="19">
        <f>Таблица1[[#This Row],[Блок
 Куб]]*Таблица1[[#This Row],[Цена 
Приход]]</f>
        <v>0</v>
      </c>
      <c r="K954" s="25"/>
      <c r="L954" s="25"/>
      <c r="M954" s="19">
        <f>Таблица1[[#This Row],[Поддон
Шт]]*Таблица1[[#This Row],[Цена
Поддон]]</f>
        <v>0</v>
      </c>
      <c r="N954" s="19">
        <f>Таблица1[[#This Row],[Сумма 
Приход]]+Таблица1[[#This Row],[Сумма Поддон]]</f>
        <v>0</v>
      </c>
      <c r="O954" s="20"/>
      <c r="P954" s="19">
        <f>Таблица1[[#This Row],[Цена
 Продажа]]-Таблица1[[#This Row],[Цена 
Приход]]</f>
        <v>0</v>
      </c>
      <c r="Q954" s="19"/>
      <c r="R954" s="19">
        <f>Таблица1[[#This Row],[Блок
 Куб]]*Таблица1[[#This Row],[Цена
 Продажа]]</f>
        <v>0</v>
      </c>
      <c r="S954" s="20"/>
      <c r="T954" s="19">
        <f>Таблица1[[#This Row],[Сумма 
Продажа]]-Таблица1[[#This Row],[Сумма 
Приход]]</f>
        <v>0</v>
      </c>
      <c r="U954" s="150"/>
    </row>
    <row r="955" spans="1:21" ht="14.25" x14ac:dyDescent="0.2">
      <c r="A955" s="50">
        <f t="shared" si="14"/>
        <v>952</v>
      </c>
      <c r="B955" s="17"/>
      <c r="C955" s="17"/>
      <c r="D955" s="17"/>
      <c r="E955" s="51"/>
      <c r="F955" s="50"/>
      <c r="G955" s="23"/>
      <c r="H955" s="24"/>
      <c r="I955" s="23"/>
      <c r="J955" s="19">
        <f>Таблица1[[#This Row],[Блок
 Куб]]*Таблица1[[#This Row],[Цена 
Приход]]</f>
        <v>0</v>
      </c>
      <c r="K955" s="25"/>
      <c r="L955" s="25"/>
      <c r="M955" s="19">
        <f>Таблица1[[#This Row],[Поддон
Шт]]*Таблица1[[#This Row],[Цена
Поддон]]</f>
        <v>0</v>
      </c>
      <c r="N955" s="19">
        <f>Таблица1[[#This Row],[Сумма 
Приход]]+Таблица1[[#This Row],[Сумма Поддон]]</f>
        <v>0</v>
      </c>
      <c r="O955" s="20"/>
      <c r="P955" s="19">
        <f>Таблица1[[#This Row],[Цена
 Продажа]]-Таблица1[[#This Row],[Цена 
Приход]]</f>
        <v>0</v>
      </c>
      <c r="Q955" s="19"/>
      <c r="R955" s="19">
        <f>Таблица1[[#This Row],[Блок
 Куб]]*Таблица1[[#This Row],[Цена
 Продажа]]</f>
        <v>0</v>
      </c>
      <c r="S955" s="20"/>
      <c r="T955" s="19">
        <f>Таблица1[[#This Row],[Сумма 
Продажа]]-Таблица1[[#This Row],[Сумма 
Приход]]</f>
        <v>0</v>
      </c>
      <c r="U955" s="150"/>
    </row>
    <row r="956" spans="1:21" ht="14.25" x14ac:dyDescent="0.2">
      <c r="A956" s="50">
        <f t="shared" si="14"/>
        <v>953</v>
      </c>
      <c r="B956" s="17"/>
      <c r="C956" s="17"/>
      <c r="D956" s="17"/>
      <c r="E956" s="51"/>
      <c r="F956" s="50"/>
      <c r="G956" s="23"/>
      <c r="H956" s="24"/>
      <c r="I956" s="23"/>
      <c r="J956" s="19">
        <f>Таблица1[[#This Row],[Блок
 Куб]]*Таблица1[[#This Row],[Цена 
Приход]]</f>
        <v>0</v>
      </c>
      <c r="K956" s="25"/>
      <c r="L956" s="25"/>
      <c r="M956" s="19">
        <f>Таблица1[[#This Row],[Поддон
Шт]]*Таблица1[[#This Row],[Цена
Поддон]]</f>
        <v>0</v>
      </c>
      <c r="N956" s="19">
        <f>Таблица1[[#This Row],[Сумма 
Приход]]+Таблица1[[#This Row],[Сумма Поддон]]</f>
        <v>0</v>
      </c>
      <c r="O956" s="20"/>
      <c r="P956" s="19">
        <f>Таблица1[[#This Row],[Цена
 Продажа]]-Таблица1[[#This Row],[Цена 
Приход]]</f>
        <v>0</v>
      </c>
      <c r="Q956" s="19"/>
      <c r="R956" s="19">
        <f>Таблица1[[#This Row],[Блок
 Куб]]*Таблица1[[#This Row],[Цена
 Продажа]]</f>
        <v>0</v>
      </c>
      <c r="S956" s="20"/>
      <c r="T956" s="19">
        <f>Таблица1[[#This Row],[Сумма 
Продажа]]-Таблица1[[#This Row],[Сумма 
Приход]]</f>
        <v>0</v>
      </c>
      <c r="U956" s="150"/>
    </row>
    <row r="957" spans="1:21" ht="14.25" x14ac:dyDescent="0.2">
      <c r="A957" s="50">
        <f t="shared" si="14"/>
        <v>954</v>
      </c>
      <c r="B957" s="17"/>
      <c r="C957" s="17"/>
      <c r="D957" s="17"/>
      <c r="E957" s="51"/>
      <c r="F957" s="50"/>
      <c r="G957" s="23"/>
      <c r="H957" s="24"/>
      <c r="I957" s="23"/>
      <c r="J957" s="19">
        <f>Таблица1[[#This Row],[Блок
 Куб]]*Таблица1[[#This Row],[Цена 
Приход]]</f>
        <v>0</v>
      </c>
      <c r="K957" s="25"/>
      <c r="L957" s="25"/>
      <c r="M957" s="19">
        <f>Таблица1[[#This Row],[Поддон
Шт]]*Таблица1[[#This Row],[Цена
Поддон]]</f>
        <v>0</v>
      </c>
      <c r="N957" s="19">
        <f>Таблица1[[#This Row],[Сумма 
Приход]]+Таблица1[[#This Row],[Сумма Поддон]]</f>
        <v>0</v>
      </c>
      <c r="O957" s="20"/>
      <c r="P957" s="19">
        <f>Таблица1[[#This Row],[Цена
 Продажа]]-Таблица1[[#This Row],[Цена 
Приход]]</f>
        <v>0</v>
      </c>
      <c r="Q957" s="19"/>
      <c r="R957" s="19">
        <f>Таблица1[[#This Row],[Блок
 Куб]]*Таблица1[[#This Row],[Цена
 Продажа]]</f>
        <v>0</v>
      </c>
      <c r="S957" s="20"/>
      <c r="T957" s="19">
        <f>Таблица1[[#This Row],[Сумма 
Продажа]]-Таблица1[[#This Row],[Сумма 
Приход]]</f>
        <v>0</v>
      </c>
      <c r="U957" s="150"/>
    </row>
    <row r="958" spans="1:21" ht="14.25" x14ac:dyDescent="0.2">
      <c r="A958" s="50">
        <f t="shared" si="14"/>
        <v>955</v>
      </c>
      <c r="B958" s="17"/>
      <c r="C958" s="17"/>
      <c r="D958" s="17"/>
      <c r="E958" s="51"/>
      <c r="F958" s="50"/>
      <c r="G958" s="23"/>
      <c r="H958" s="24"/>
      <c r="I958" s="23"/>
      <c r="J958" s="19">
        <f>Таблица1[[#This Row],[Блок
 Куб]]*Таблица1[[#This Row],[Цена 
Приход]]</f>
        <v>0</v>
      </c>
      <c r="K958" s="25"/>
      <c r="L958" s="25"/>
      <c r="M958" s="19">
        <f>Таблица1[[#This Row],[Поддон
Шт]]*Таблица1[[#This Row],[Цена
Поддон]]</f>
        <v>0</v>
      </c>
      <c r="N958" s="19">
        <f>Таблица1[[#This Row],[Сумма 
Приход]]+Таблица1[[#This Row],[Сумма Поддон]]</f>
        <v>0</v>
      </c>
      <c r="O958" s="20"/>
      <c r="P958" s="19">
        <f>Таблица1[[#This Row],[Цена
 Продажа]]-Таблица1[[#This Row],[Цена 
Приход]]</f>
        <v>0</v>
      </c>
      <c r="Q958" s="19"/>
      <c r="R958" s="19">
        <f>Таблица1[[#This Row],[Блок
 Куб]]*Таблица1[[#This Row],[Цена
 Продажа]]</f>
        <v>0</v>
      </c>
      <c r="S958" s="20"/>
      <c r="T958" s="19">
        <f>Таблица1[[#This Row],[Сумма 
Продажа]]-Таблица1[[#This Row],[Сумма 
Приход]]</f>
        <v>0</v>
      </c>
      <c r="U958" s="150"/>
    </row>
    <row r="959" spans="1:21" ht="14.25" x14ac:dyDescent="0.2">
      <c r="A959" s="50">
        <f t="shared" si="14"/>
        <v>956</v>
      </c>
      <c r="B959" s="17"/>
      <c r="C959" s="17"/>
      <c r="D959" s="17"/>
      <c r="E959" s="51"/>
      <c r="F959" s="50"/>
      <c r="G959" s="23"/>
      <c r="H959" s="24"/>
      <c r="I959" s="23"/>
      <c r="J959" s="19">
        <f>Таблица1[[#This Row],[Блок
 Куб]]*Таблица1[[#This Row],[Цена 
Приход]]</f>
        <v>0</v>
      </c>
      <c r="K959" s="25"/>
      <c r="L959" s="25"/>
      <c r="M959" s="19">
        <f>Таблица1[[#This Row],[Поддон
Шт]]*Таблица1[[#This Row],[Цена
Поддон]]</f>
        <v>0</v>
      </c>
      <c r="N959" s="19">
        <f>Таблица1[[#This Row],[Сумма 
Приход]]+Таблица1[[#This Row],[Сумма Поддон]]</f>
        <v>0</v>
      </c>
      <c r="O959" s="20"/>
      <c r="P959" s="19">
        <f>Таблица1[[#This Row],[Цена
 Продажа]]-Таблица1[[#This Row],[Цена 
Приход]]</f>
        <v>0</v>
      </c>
      <c r="Q959" s="19"/>
      <c r="R959" s="19">
        <f>Таблица1[[#This Row],[Блок
 Куб]]*Таблица1[[#This Row],[Цена
 Продажа]]</f>
        <v>0</v>
      </c>
      <c r="S959" s="20"/>
      <c r="T959" s="19">
        <f>Таблица1[[#This Row],[Сумма 
Продажа]]-Таблица1[[#This Row],[Сумма 
Приход]]</f>
        <v>0</v>
      </c>
      <c r="U959" s="150"/>
    </row>
    <row r="960" spans="1:21" ht="14.25" x14ac:dyDescent="0.2">
      <c r="A960" s="50">
        <f t="shared" si="14"/>
        <v>957</v>
      </c>
      <c r="B960" s="17"/>
      <c r="C960" s="17"/>
      <c r="D960" s="17"/>
      <c r="E960" s="51"/>
      <c r="F960" s="50"/>
      <c r="G960" s="23"/>
      <c r="H960" s="24"/>
      <c r="I960" s="23"/>
      <c r="J960" s="19">
        <f>Таблица1[[#This Row],[Блок
 Куб]]*Таблица1[[#This Row],[Цена 
Приход]]</f>
        <v>0</v>
      </c>
      <c r="K960" s="25"/>
      <c r="L960" s="25"/>
      <c r="M960" s="19">
        <f>Таблица1[[#This Row],[Поддон
Шт]]*Таблица1[[#This Row],[Цена
Поддон]]</f>
        <v>0</v>
      </c>
      <c r="N960" s="19">
        <f>Таблица1[[#This Row],[Сумма 
Приход]]+Таблица1[[#This Row],[Сумма Поддон]]</f>
        <v>0</v>
      </c>
      <c r="O960" s="20"/>
      <c r="P960" s="19">
        <f>Таблица1[[#This Row],[Цена
 Продажа]]-Таблица1[[#This Row],[Цена 
Приход]]</f>
        <v>0</v>
      </c>
      <c r="Q960" s="19"/>
      <c r="R960" s="19">
        <f>Таблица1[[#This Row],[Блок
 Куб]]*Таблица1[[#This Row],[Цена
 Продажа]]</f>
        <v>0</v>
      </c>
      <c r="S960" s="20"/>
      <c r="T960" s="19">
        <f>Таблица1[[#This Row],[Сумма 
Продажа]]-Таблица1[[#This Row],[Сумма 
Приход]]</f>
        <v>0</v>
      </c>
      <c r="U960" s="150"/>
    </row>
    <row r="961" spans="1:21" ht="14.25" x14ac:dyDescent="0.2">
      <c r="A961" s="50">
        <f t="shared" si="14"/>
        <v>958</v>
      </c>
      <c r="B961" s="17"/>
      <c r="C961" s="17"/>
      <c r="D961" s="17"/>
      <c r="E961" s="51"/>
      <c r="F961" s="50"/>
      <c r="G961" s="23"/>
      <c r="H961" s="24"/>
      <c r="I961" s="23"/>
      <c r="J961" s="19">
        <f>Таблица1[[#This Row],[Блок
 Куб]]*Таблица1[[#This Row],[Цена 
Приход]]</f>
        <v>0</v>
      </c>
      <c r="K961" s="25"/>
      <c r="L961" s="25"/>
      <c r="M961" s="19">
        <f>Таблица1[[#This Row],[Поддон
Шт]]*Таблица1[[#This Row],[Цена
Поддон]]</f>
        <v>0</v>
      </c>
      <c r="N961" s="19">
        <f>Таблица1[[#This Row],[Сумма 
Приход]]+Таблица1[[#This Row],[Сумма Поддон]]</f>
        <v>0</v>
      </c>
      <c r="O961" s="20"/>
      <c r="P961" s="19">
        <f>Таблица1[[#This Row],[Цена
 Продажа]]-Таблица1[[#This Row],[Цена 
Приход]]</f>
        <v>0</v>
      </c>
      <c r="Q961" s="19"/>
      <c r="R961" s="19">
        <f>Таблица1[[#This Row],[Блок
 Куб]]*Таблица1[[#This Row],[Цена
 Продажа]]</f>
        <v>0</v>
      </c>
      <c r="S961" s="20"/>
      <c r="T961" s="19">
        <f>Таблица1[[#This Row],[Сумма 
Продажа]]-Таблица1[[#This Row],[Сумма 
Приход]]</f>
        <v>0</v>
      </c>
      <c r="U961" s="150"/>
    </row>
    <row r="962" spans="1:21" ht="14.25" x14ac:dyDescent="0.2">
      <c r="A962" s="50">
        <f t="shared" si="14"/>
        <v>959</v>
      </c>
      <c r="B962" s="17"/>
      <c r="C962" s="17"/>
      <c r="D962" s="17"/>
      <c r="E962" s="51"/>
      <c r="F962" s="50"/>
      <c r="G962" s="23"/>
      <c r="H962" s="24"/>
      <c r="I962" s="23"/>
      <c r="J962" s="19">
        <f>Таблица1[[#This Row],[Блок
 Куб]]*Таблица1[[#This Row],[Цена 
Приход]]</f>
        <v>0</v>
      </c>
      <c r="K962" s="25"/>
      <c r="L962" s="25"/>
      <c r="M962" s="19">
        <f>Таблица1[[#This Row],[Поддон
Шт]]*Таблица1[[#This Row],[Цена
Поддон]]</f>
        <v>0</v>
      </c>
      <c r="N962" s="19">
        <f>Таблица1[[#This Row],[Сумма 
Приход]]+Таблица1[[#This Row],[Сумма Поддон]]</f>
        <v>0</v>
      </c>
      <c r="O962" s="20"/>
      <c r="P962" s="19">
        <f>Таблица1[[#This Row],[Цена
 Продажа]]-Таблица1[[#This Row],[Цена 
Приход]]</f>
        <v>0</v>
      </c>
      <c r="Q962" s="19"/>
      <c r="R962" s="19">
        <f>Таблица1[[#This Row],[Блок
 Куб]]*Таблица1[[#This Row],[Цена
 Продажа]]</f>
        <v>0</v>
      </c>
      <c r="S962" s="20"/>
      <c r="T962" s="19">
        <f>Таблица1[[#This Row],[Сумма 
Продажа]]-Таблица1[[#This Row],[Сумма 
Приход]]</f>
        <v>0</v>
      </c>
      <c r="U962" s="150"/>
    </row>
    <row r="963" spans="1:21" ht="14.25" x14ac:dyDescent="0.2">
      <c r="A963" s="50">
        <f t="shared" si="14"/>
        <v>960</v>
      </c>
      <c r="B963" s="17"/>
      <c r="C963" s="17"/>
      <c r="D963" s="17"/>
      <c r="E963" s="51"/>
      <c r="F963" s="50"/>
      <c r="G963" s="23"/>
      <c r="H963" s="24"/>
      <c r="I963" s="23"/>
      <c r="J963" s="19">
        <f>Таблица1[[#This Row],[Блок
 Куб]]*Таблица1[[#This Row],[Цена 
Приход]]</f>
        <v>0</v>
      </c>
      <c r="K963" s="25"/>
      <c r="L963" s="25"/>
      <c r="M963" s="19">
        <f>Таблица1[[#This Row],[Поддон
Шт]]*Таблица1[[#This Row],[Цена
Поддон]]</f>
        <v>0</v>
      </c>
      <c r="N963" s="19">
        <f>Таблица1[[#This Row],[Сумма 
Приход]]+Таблица1[[#This Row],[Сумма Поддон]]</f>
        <v>0</v>
      </c>
      <c r="O963" s="20"/>
      <c r="P963" s="19">
        <f>Таблица1[[#This Row],[Цена
 Продажа]]-Таблица1[[#This Row],[Цена 
Приход]]</f>
        <v>0</v>
      </c>
      <c r="Q963" s="19"/>
      <c r="R963" s="19">
        <f>Таблица1[[#This Row],[Блок
 Куб]]*Таблица1[[#This Row],[Цена
 Продажа]]</f>
        <v>0</v>
      </c>
      <c r="S963" s="20"/>
      <c r="T963" s="19">
        <f>Таблица1[[#This Row],[Сумма 
Продажа]]-Таблица1[[#This Row],[Сумма 
Приход]]</f>
        <v>0</v>
      </c>
      <c r="U963" s="150"/>
    </row>
    <row r="964" spans="1:21" ht="14.25" x14ac:dyDescent="0.2">
      <c r="A964" s="50">
        <f t="shared" si="14"/>
        <v>961</v>
      </c>
      <c r="B964" s="17"/>
      <c r="C964" s="17"/>
      <c r="D964" s="17"/>
      <c r="E964" s="51"/>
      <c r="F964" s="50"/>
      <c r="G964" s="23"/>
      <c r="H964" s="24"/>
      <c r="I964" s="23"/>
      <c r="J964" s="19">
        <f>Таблица1[[#This Row],[Блок
 Куб]]*Таблица1[[#This Row],[Цена 
Приход]]</f>
        <v>0</v>
      </c>
      <c r="K964" s="25"/>
      <c r="L964" s="25"/>
      <c r="M964" s="19">
        <f>Таблица1[[#This Row],[Поддон
Шт]]*Таблица1[[#This Row],[Цена
Поддон]]</f>
        <v>0</v>
      </c>
      <c r="N964" s="19">
        <f>Таблица1[[#This Row],[Сумма 
Приход]]+Таблица1[[#This Row],[Сумма Поддон]]</f>
        <v>0</v>
      </c>
      <c r="O964" s="20"/>
      <c r="P964" s="19">
        <f>Таблица1[[#This Row],[Цена
 Продажа]]-Таблица1[[#This Row],[Цена 
Приход]]</f>
        <v>0</v>
      </c>
      <c r="Q964" s="19"/>
      <c r="R964" s="19">
        <f>Таблица1[[#This Row],[Блок
 Куб]]*Таблица1[[#This Row],[Цена
 Продажа]]</f>
        <v>0</v>
      </c>
      <c r="S964" s="20"/>
      <c r="T964" s="19">
        <f>Таблица1[[#This Row],[Сумма 
Продажа]]-Таблица1[[#This Row],[Сумма 
Приход]]</f>
        <v>0</v>
      </c>
      <c r="U964" s="150"/>
    </row>
    <row r="965" spans="1:21" ht="14.25" x14ac:dyDescent="0.2">
      <c r="A965" s="50">
        <f t="shared" si="14"/>
        <v>962</v>
      </c>
      <c r="B965" s="17"/>
      <c r="C965" s="17"/>
      <c r="D965" s="17"/>
      <c r="E965" s="51"/>
      <c r="F965" s="50"/>
      <c r="G965" s="23"/>
      <c r="H965" s="24"/>
      <c r="I965" s="23"/>
      <c r="J965" s="19">
        <f>Таблица1[[#This Row],[Блок
 Куб]]*Таблица1[[#This Row],[Цена 
Приход]]</f>
        <v>0</v>
      </c>
      <c r="K965" s="25"/>
      <c r="L965" s="25"/>
      <c r="M965" s="19">
        <f>Таблица1[[#This Row],[Поддон
Шт]]*Таблица1[[#This Row],[Цена
Поддон]]</f>
        <v>0</v>
      </c>
      <c r="N965" s="19">
        <f>Таблица1[[#This Row],[Сумма 
Приход]]+Таблица1[[#This Row],[Сумма Поддон]]</f>
        <v>0</v>
      </c>
      <c r="O965" s="20"/>
      <c r="P965" s="19">
        <f>Таблица1[[#This Row],[Цена
 Продажа]]-Таблица1[[#This Row],[Цена 
Приход]]</f>
        <v>0</v>
      </c>
      <c r="Q965" s="19"/>
      <c r="R965" s="19">
        <f>Таблица1[[#This Row],[Блок
 Куб]]*Таблица1[[#This Row],[Цена
 Продажа]]</f>
        <v>0</v>
      </c>
      <c r="S965" s="20"/>
      <c r="T965" s="19">
        <f>Таблица1[[#This Row],[Сумма 
Продажа]]-Таблица1[[#This Row],[Сумма 
Приход]]</f>
        <v>0</v>
      </c>
      <c r="U965" s="150"/>
    </row>
    <row r="966" spans="1:21" ht="14.25" x14ac:dyDescent="0.2">
      <c r="A966" s="50">
        <f t="shared" ref="A966:A1029" si="15">A965+1</f>
        <v>963</v>
      </c>
      <c r="B966" s="17"/>
      <c r="C966" s="17"/>
      <c r="D966" s="17"/>
      <c r="E966" s="51"/>
      <c r="F966" s="50"/>
      <c r="G966" s="23"/>
      <c r="H966" s="24"/>
      <c r="I966" s="23"/>
      <c r="J966" s="19">
        <f>Таблица1[[#This Row],[Блок
 Куб]]*Таблица1[[#This Row],[Цена 
Приход]]</f>
        <v>0</v>
      </c>
      <c r="K966" s="25"/>
      <c r="L966" s="25"/>
      <c r="M966" s="19">
        <f>Таблица1[[#This Row],[Поддон
Шт]]*Таблица1[[#This Row],[Цена
Поддон]]</f>
        <v>0</v>
      </c>
      <c r="N966" s="19">
        <f>Таблица1[[#This Row],[Сумма 
Приход]]+Таблица1[[#This Row],[Сумма Поддон]]</f>
        <v>0</v>
      </c>
      <c r="O966" s="20"/>
      <c r="P966" s="19">
        <f>Таблица1[[#This Row],[Цена
 Продажа]]-Таблица1[[#This Row],[Цена 
Приход]]</f>
        <v>0</v>
      </c>
      <c r="Q966" s="19"/>
      <c r="R966" s="19">
        <f>Таблица1[[#This Row],[Блок
 Куб]]*Таблица1[[#This Row],[Цена
 Продажа]]</f>
        <v>0</v>
      </c>
      <c r="S966" s="20"/>
      <c r="T966" s="19">
        <f>Таблица1[[#This Row],[Сумма 
Продажа]]-Таблица1[[#This Row],[Сумма 
Приход]]</f>
        <v>0</v>
      </c>
      <c r="U966" s="150"/>
    </row>
    <row r="967" spans="1:21" ht="14.25" x14ac:dyDescent="0.2">
      <c r="A967" s="50">
        <f t="shared" si="15"/>
        <v>964</v>
      </c>
      <c r="B967" s="17"/>
      <c r="C967" s="17"/>
      <c r="D967" s="17"/>
      <c r="E967" s="51"/>
      <c r="F967" s="50"/>
      <c r="G967" s="23"/>
      <c r="H967" s="24"/>
      <c r="I967" s="23"/>
      <c r="J967" s="19">
        <f>Таблица1[[#This Row],[Блок
 Куб]]*Таблица1[[#This Row],[Цена 
Приход]]</f>
        <v>0</v>
      </c>
      <c r="K967" s="25"/>
      <c r="L967" s="25"/>
      <c r="M967" s="19">
        <f>Таблица1[[#This Row],[Поддон
Шт]]*Таблица1[[#This Row],[Цена
Поддон]]</f>
        <v>0</v>
      </c>
      <c r="N967" s="19">
        <f>Таблица1[[#This Row],[Сумма 
Приход]]+Таблица1[[#This Row],[Сумма Поддон]]</f>
        <v>0</v>
      </c>
      <c r="O967" s="20"/>
      <c r="P967" s="19">
        <f>Таблица1[[#This Row],[Цена
 Продажа]]-Таблица1[[#This Row],[Цена 
Приход]]</f>
        <v>0</v>
      </c>
      <c r="Q967" s="19"/>
      <c r="R967" s="19">
        <f>Таблица1[[#This Row],[Блок
 Куб]]*Таблица1[[#This Row],[Цена
 Продажа]]</f>
        <v>0</v>
      </c>
      <c r="S967" s="20"/>
      <c r="T967" s="19">
        <f>Таблица1[[#This Row],[Сумма 
Продажа]]-Таблица1[[#This Row],[Сумма 
Приход]]</f>
        <v>0</v>
      </c>
      <c r="U967" s="150"/>
    </row>
    <row r="968" spans="1:21" ht="14.25" x14ac:dyDescent="0.2">
      <c r="A968" s="50">
        <f t="shared" si="15"/>
        <v>965</v>
      </c>
      <c r="B968" s="17"/>
      <c r="C968" s="17"/>
      <c r="D968" s="17"/>
      <c r="E968" s="51"/>
      <c r="F968" s="50"/>
      <c r="G968" s="23"/>
      <c r="H968" s="24"/>
      <c r="I968" s="23"/>
      <c r="J968" s="19">
        <f>Таблица1[[#This Row],[Блок
 Куб]]*Таблица1[[#This Row],[Цена 
Приход]]</f>
        <v>0</v>
      </c>
      <c r="K968" s="25"/>
      <c r="L968" s="25"/>
      <c r="M968" s="19">
        <f>Таблица1[[#This Row],[Поддон
Шт]]*Таблица1[[#This Row],[Цена
Поддон]]</f>
        <v>0</v>
      </c>
      <c r="N968" s="19">
        <f>Таблица1[[#This Row],[Сумма 
Приход]]+Таблица1[[#This Row],[Сумма Поддон]]</f>
        <v>0</v>
      </c>
      <c r="O968" s="20"/>
      <c r="P968" s="19">
        <f>Таблица1[[#This Row],[Цена
 Продажа]]-Таблица1[[#This Row],[Цена 
Приход]]</f>
        <v>0</v>
      </c>
      <c r="Q968" s="19"/>
      <c r="R968" s="19">
        <f>Таблица1[[#This Row],[Блок
 Куб]]*Таблица1[[#This Row],[Цена
 Продажа]]</f>
        <v>0</v>
      </c>
      <c r="S968" s="20"/>
      <c r="T968" s="19">
        <f>Таблица1[[#This Row],[Сумма 
Продажа]]-Таблица1[[#This Row],[Сумма 
Приход]]</f>
        <v>0</v>
      </c>
      <c r="U968" s="150"/>
    </row>
    <row r="969" spans="1:21" ht="14.25" x14ac:dyDescent="0.2">
      <c r="A969" s="50">
        <f t="shared" si="15"/>
        <v>966</v>
      </c>
      <c r="B969" s="17"/>
      <c r="C969" s="17"/>
      <c r="D969" s="17"/>
      <c r="E969" s="51"/>
      <c r="F969" s="50"/>
      <c r="G969" s="23"/>
      <c r="H969" s="24"/>
      <c r="I969" s="23"/>
      <c r="J969" s="19">
        <f>Таблица1[[#This Row],[Блок
 Куб]]*Таблица1[[#This Row],[Цена 
Приход]]</f>
        <v>0</v>
      </c>
      <c r="K969" s="25"/>
      <c r="L969" s="25"/>
      <c r="M969" s="19">
        <f>Таблица1[[#This Row],[Поддон
Шт]]*Таблица1[[#This Row],[Цена
Поддон]]</f>
        <v>0</v>
      </c>
      <c r="N969" s="19">
        <f>Таблица1[[#This Row],[Сумма 
Приход]]+Таблица1[[#This Row],[Сумма Поддон]]</f>
        <v>0</v>
      </c>
      <c r="O969" s="20"/>
      <c r="P969" s="19">
        <f>Таблица1[[#This Row],[Цена
 Продажа]]-Таблица1[[#This Row],[Цена 
Приход]]</f>
        <v>0</v>
      </c>
      <c r="Q969" s="19"/>
      <c r="R969" s="19">
        <f>Таблица1[[#This Row],[Блок
 Куб]]*Таблица1[[#This Row],[Цена
 Продажа]]</f>
        <v>0</v>
      </c>
      <c r="S969" s="20"/>
      <c r="T969" s="19">
        <f>Таблица1[[#This Row],[Сумма 
Продажа]]-Таблица1[[#This Row],[Сумма 
Приход]]</f>
        <v>0</v>
      </c>
      <c r="U969" s="150"/>
    </row>
    <row r="970" spans="1:21" ht="14.25" x14ac:dyDescent="0.2">
      <c r="A970" s="50">
        <f t="shared" si="15"/>
        <v>967</v>
      </c>
      <c r="B970" s="17"/>
      <c r="C970" s="17"/>
      <c r="D970" s="17"/>
      <c r="E970" s="51"/>
      <c r="F970" s="50"/>
      <c r="G970" s="23"/>
      <c r="H970" s="24"/>
      <c r="I970" s="23"/>
      <c r="J970" s="19">
        <f>Таблица1[[#This Row],[Блок
 Куб]]*Таблица1[[#This Row],[Цена 
Приход]]</f>
        <v>0</v>
      </c>
      <c r="K970" s="25"/>
      <c r="L970" s="25"/>
      <c r="M970" s="19">
        <f>Таблица1[[#This Row],[Поддон
Шт]]*Таблица1[[#This Row],[Цена
Поддон]]</f>
        <v>0</v>
      </c>
      <c r="N970" s="19">
        <f>Таблица1[[#This Row],[Сумма 
Приход]]+Таблица1[[#This Row],[Сумма Поддон]]</f>
        <v>0</v>
      </c>
      <c r="O970" s="20"/>
      <c r="P970" s="19">
        <f>Таблица1[[#This Row],[Цена
 Продажа]]-Таблица1[[#This Row],[Цена 
Приход]]</f>
        <v>0</v>
      </c>
      <c r="Q970" s="19"/>
      <c r="R970" s="19">
        <f>Таблица1[[#This Row],[Блок
 Куб]]*Таблица1[[#This Row],[Цена
 Продажа]]</f>
        <v>0</v>
      </c>
      <c r="S970" s="20"/>
      <c r="T970" s="19">
        <f>Таблица1[[#This Row],[Сумма 
Продажа]]-Таблица1[[#This Row],[Сумма 
Приход]]</f>
        <v>0</v>
      </c>
      <c r="U970" s="150"/>
    </row>
    <row r="971" spans="1:21" ht="14.25" x14ac:dyDescent="0.2">
      <c r="A971" s="50">
        <f t="shared" si="15"/>
        <v>968</v>
      </c>
      <c r="B971" s="17"/>
      <c r="C971" s="17"/>
      <c r="D971" s="17"/>
      <c r="E971" s="51"/>
      <c r="F971" s="50"/>
      <c r="G971" s="23"/>
      <c r="H971" s="24"/>
      <c r="I971" s="23"/>
      <c r="J971" s="19">
        <f>Таблица1[[#This Row],[Блок
 Куб]]*Таблица1[[#This Row],[Цена 
Приход]]</f>
        <v>0</v>
      </c>
      <c r="K971" s="25"/>
      <c r="L971" s="25"/>
      <c r="M971" s="19">
        <f>Таблица1[[#This Row],[Поддон
Шт]]*Таблица1[[#This Row],[Цена
Поддон]]</f>
        <v>0</v>
      </c>
      <c r="N971" s="19">
        <f>Таблица1[[#This Row],[Сумма 
Приход]]+Таблица1[[#This Row],[Сумма Поддон]]</f>
        <v>0</v>
      </c>
      <c r="O971" s="20"/>
      <c r="P971" s="19">
        <f>Таблица1[[#This Row],[Цена
 Продажа]]-Таблица1[[#This Row],[Цена 
Приход]]</f>
        <v>0</v>
      </c>
      <c r="Q971" s="19"/>
      <c r="R971" s="19">
        <f>Таблица1[[#This Row],[Блок
 Куб]]*Таблица1[[#This Row],[Цена
 Продажа]]</f>
        <v>0</v>
      </c>
      <c r="S971" s="20"/>
      <c r="T971" s="19">
        <f>Таблица1[[#This Row],[Сумма 
Продажа]]-Таблица1[[#This Row],[Сумма 
Приход]]</f>
        <v>0</v>
      </c>
      <c r="U971" s="150"/>
    </row>
    <row r="972" spans="1:21" ht="14.25" x14ac:dyDescent="0.2">
      <c r="A972" s="50">
        <f t="shared" si="15"/>
        <v>969</v>
      </c>
      <c r="B972" s="17"/>
      <c r="C972" s="17"/>
      <c r="D972" s="17"/>
      <c r="E972" s="51"/>
      <c r="F972" s="50"/>
      <c r="G972" s="23"/>
      <c r="H972" s="24"/>
      <c r="I972" s="23"/>
      <c r="J972" s="19">
        <f>Таблица1[[#This Row],[Блок
 Куб]]*Таблица1[[#This Row],[Цена 
Приход]]</f>
        <v>0</v>
      </c>
      <c r="K972" s="25"/>
      <c r="L972" s="25"/>
      <c r="M972" s="19">
        <f>Таблица1[[#This Row],[Поддон
Шт]]*Таблица1[[#This Row],[Цена
Поддон]]</f>
        <v>0</v>
      </c>
      <c r="N972" s="19">
        <f>Таблица1[[#This Row],[Сумма 
Приход]]+Таблица1[[#This Row],[Сумма Поддон]]</f>
        <v>0</v>
      </c>
      <c r="O972" s="20"/>
      <c r="P972" s="19">
        <f>Таблица1[[#This Row],[Цена
 Продажа]]-Таблица1[[#This Row],[Цена 
Приход]]</f>
        <v>0</v>
      </c>
      <c r="Q972" s="19"/>
      <c r="R972" s="19">
        <f>Таблица1[[#This Row],[Блок
 Куб]]*Таблица1[[#This Row],[Цена
 Продажа]]</f>
        <v>0</v>
      </c>
      <c r="S972" s="20"/>
      <c r="T972" s="19">
        <f>Таблица1[[#This Row],[Сумма 
Продажа]]-Таблица1[[#This Row],[Сумма 
Приход]]</f>
        <v>0</v>
      </c>
      <c r="U972" s="150"/>
    </row>
    <row r="973" spans="1:21" ht="14.25" x14ac:dyDescent="0.2">
      <c r="A973" s="50">
        <f t="shared" si="15"/>
        <v>970</v>
      </c>
      <c r="B973" s="17"/>
      <c r="C973" s="17"/>
      <c r="D973" s="17"/>
      <c r="E973" s="51"/>
      <c r="F973" s="50"/>
      <c r="G973" s="23"/>
      <c r="H973" s="24"/>
      <c r="I973" s="23"/>
      <c r="J973" s="19">
        <f>Таблица1[[#This Row],[Блок
 Куб]]*Таблица1[[#This Row],[Цена 
Приход]]</f>
        <v>0</v>
      </c>
      <c r="K973" s="25"/>
      <c r="L973" s="25"/>
      <c r="M973" s="19">
        <f>Таблица1[[#This Row],[Поддон
Шт]]*Таблица1[[#This Row],[Цена
Поддон]]</f>
        <v>0</v>
      </c>
      <c r="N973" s="19">
        <f>Таблица1[[#This Row],[Сумма 
Приход]]+Таблица1[[#This Row],[Сумма Поддон]]</f>
        <v>0</v>
      </c>
      <c r="O973" s="20"/>
      <c r="P973" s="19">
        <f>Таблица1[[#This Row],[Цена
 Продажа]]-Таблица1[[#This Row],[Цена 
Приход]]</f>
        <v>0</v>
      </c>
      <c r="Q973" s="19"/>
      <c r="R973" s="19">
        <f>Таблица1[[#This Row],[Блок
 Куб]]*Таблица1[[#This Row],[Цена
 Продажа]]</f>
        <v>0</v>
      </c>
      <c r="S973" s="20"/>
      <c r="T973" s="19">
        <f>Таблица1[[#This Row],[Сумма 
Продажа]]-Таблица1[[#This Row],[Сумма 
Приход]]</f>
        <v>0</v>
      </c>
      <c r="U973" s="150"/>
    </row>
    <row r="974" spans="1:21" ht="14.25" x14ac:dyDescent="0.2">
      <c r="A974" s="50">
        <f t="shared" si="15"/>
        <v>971</v>
      </c>
      <c r="B974" s="17"/>
      <c r="C974" s="17"/>
      <c r="D974" s="17"/>
      <c r="E974" s="51"/>
      <c r="F974" s="50"/>
      <c r="G974" s="23"/>
      <c r="H974" s="24"/>
      <c r="I974" s="23"/>
      <c r="J974" s="19">
        <f>Таблица1[[#This Row],[Блок
 Куб]]*Таблица1[[#This Row],[Цена 
Приход]]</f>
        <v>0</v>
      </c>
      <c r="K974" s="25"/>
      <c r="L974" s="25"/>
      <c r="M974" s="19">
        <f>Таблица1[[#This Row],[Поддон
Шт]]*Таблица1[[#This Row],[Цена
Поддон]]</f>
        <v>0</v>
      </c>
      <c r="N974" s="19">
        <f>Таблица1[[#This Row],[Сумма 
Приход]]+Таблица1[[#This Row],[Сумма Поддон]]</f>
        <v>0</v>
      </c>
      <c r="O974" s="20"/>
      <c r="P974" s="19">
        <f>Таблица1[[#This Row],[Цена
 Продажа]]-Таблица1[[#This Row],[Цена 
Приход]]</f>
        <v>0</v>
      </c>
      <c r="Q974" s="19"/>
      <c r="R974" s="19">
        <f>Таблица1[[#This Row],[Блок
 Куб]]*Таблица1[[#This Row],[Цена
 Продажа]]</f>
        <v>0</v>
      </c>
      <c r="S974" s="20"/>
      <c r="T974" s="19">
        <f>Таблица1[[#This Row],[Сумма 
Продажа]]-Таблица1[[#This Row],[Сумма 
Приход]]</f>
        <v>0</v>
      </c>
      <c r="U974" s="150"/>
    </row>
    <row r="975" spans="1:21" ht="14.25" x14ac:dyDescent="0.2">
      <c r="A975" s="50">
        <f t="shared" si="15"/>
        <v>972</v>
      </c>
      <c r="B975" s="17"/>
      <c r="C975" s="17"/>
      <c r="D975" s="17"/>
      <c r="E975" s="51"/>
      <c r="F975" s="50"/>
      <c r="G975" s="23"/>
      <c r="H975" s="24"/>
      <c r="I975" s="23"/>
      <c r="J975" s="19">
        <f>Таблица1[[#This Row],[Блок
 Куб]]*Таблица1[[#This Row],[Цена 
Приход]]</f>
        <v>0</v>
      </c>
      <c r="K975" s="25"/>
      <c r="L975" s="25"/>
      <c r="M975" s="19">
        <f>Таблица1[[#This Row],[Поддон
Шт]]*Таблица1[[#This Row],[Цена
Поддон]]</f>
        <v>0</v>
      </c>
      <c r="N975" s="19">
        <f>Таблица1[[#This Row],[Сумма 
Приход]]+Таблица1[[#This Row],[Сумма Поддон]]</f>
        <v>0</v>
      </c>
      <c r="O975" s="20"/>
      <c r="P975" s="19">
        <f>Таблица1[[#This Row],[Цена
 Продажа]]-Таблица1[[#This Row],[Цена 
Приход]]</f>
        <v>0</v>
      </c>
      <c r="Q975" s="19"/>
      <c r="R975" s="19">
        <f>Таблица1[[#This Row],[Блок
 Куб]]*Таблица1[[#This Row],[Цена
 Продажа]]</f>
        <v>0</v>
      </c>
      <c r="S975" s="20"/>
      <c r="T975" s="19">
        <f>Таблица1[[#This Row],[Сумма 
Продажа]]-Таблица1[[#This Row],[Сумма 
Приход]]</f>
        <v>0</v>
      </c>
      <c r="U975" s="150"/>
    </row>
    <row r="976" spans="1:21" ht="14.25" x14ac:dyDescent="0.2">
      <c r="A976" s="50">
        <f t="shared" si="15"/>
        <v>973</v>
      </c>
      <c r="B976" s="17"/>
      <c r="C976" s="17"/>
      <c r="D976" s="17"/>
      <c r="E976" s="51"/>
      <c r="F976" s="50"/>
      <c r="G976" s="23"/>
      <c r="H976" s="24"/>
      <c r="I976" s="23"/>
      <c r="J976" s="19">
        <f>Таблица1[[#This Row],[Блок
 Куб]]*Таблица1[[#This Row],[Цена 
Приход]]</f>
        <v>0</v>
      </c>
      <c r="K976" s="25"/>
      <c r="L976" s="25"/>
      <c r="M976" s="19">
        <f>Таблица1[[#This Row],[Поддон
Шт]]*Таблица1[[#This Row],[Цена
Поддон]]</f>
        <v>0</v>
      </c>
      <c r="N976" s="19">
        <f>Таблица1[[#This Row],[Сумма 
Приход]]+Таблица1[[#This Row],[Сумма Поддон]]</f>
        <v>0</v>
      </c>
      <c r="O976" s="20"/>
      <c r="P976" s="19">
        <f>Таблица1[[#This Row],[Цена
 Продажа]]-Таблица1[[#This Row],[Цена 
Приход]]</f>
        <v>0</v>
      </c>
      <c r="Q976" s="19"/>
      <c r="R976" s="19">
        <f>Таблица1[[#This Row],[Блок
 Куб]]*Таблица1[[#This Row],[Цена
 Продажа]]</f>
        <v>0</v>
      </c>
      <c r="S976" s="20"/>
      <c r="T976" s="19">
        <f>Таблица1[[#This Row],[Сумма 
Продажа]]-Таблица1[[#This Row],[Сумма 
Приход]]</f>
        <v>0</v>
      </c>
      <c r="U976" s="150"/>
    </row>
    <row r="977" spans="1:21" ht="14.25" x14ac:dyDescent="0.2">
      <c r="A977" s="50">
        <f t="shared" si="15"/>
        <v>974</v>
      </c>
      <c r="B977" s="17"/>
      <c r="C977" s="17"/>
      <c r="D977" s="17"/>
      <c r="E977" s="51"/>
      <c r="F977" s="50"/>
      <c r="G977" s="23"/>
      <c r="H977" s="24"/>
      <c r="I977" s="23"/>
      <c r="J977" s="19">
        <f>Таблица1[[#This Row],[Блок
 Куб]]*Таблица1[[#This Row],[Цена 
Приход]]</f>
        <v>0</v>
      </c>
      <c r="K977" s="25"/>
      <c r="L977" s="25"/>
      <c r="M977" s="19">
        <f>Таблица1[[#This Row],[Поддон
Шт]]*Таблица1[[#This Row],[Цена
Поддон]]</f>
        <v>0</v>
      </c>
      <c r="N977" s="19">
        <f>Таблица1[[#This Row],[Сумма 
Приход]]+Таблица1[[#This Row],[Сумма Поддон]]</f>
        <v>0</v>
      </c>
      <c r="O977" s="20"/>
      <c r="P977" s="19">
        <f>Таблица1[[#This Row],[Цена
 Продажа]]-Таблица1[[#This Row],[Цена 
Приход]]</f>
        <v>0</v>
      </c>
      <c r="Q977" s="19"/>
      <c r="R977" s="19">
        <f>Таблица1[[#This Row],[Блок
 Куб]]*Таблица1[[#This Row],[Цена
 Продажа]]</f>
        <v>0</v>
      </c>
      <c r="S977" s="20"/>
      <c r="T977" s="19">
        <f>Таблица1[[#This Row],[Сумма 
Продажа]]-Таблица1[[#This Row],[Сумма 
Приход]]</f>
        <v>0</v>
      </c>
      <c r="U977" s="150"/>
    </row>
    <row r="978" spans="1:21" ht="14.25" x14ac:dyDescent="0.2">
      <c r="A978" s="50">
        <f t="shared" si="15"/>
        <v>975</v>
      </c>
      <c r="B978" s="17"/>
      <c r="C978" s="17"/>
      <c r="D978" s="17"/>
      <c r="E978" s="51"/>
      <c r="F978" s="50"/>
      <c r="G978" s="23"/>
      <c r="H978" s="24"/>
      <c r="I978" s="23"/>
      <c r="J978" s="19">
        <f>Таблица1[[#This Row],[Блок
 Куб]]*Таблица1[[#This Row],[Цена 
Приход]]</f>
        <v>0</v>
      </c>
      <c r="K978" s="25"/>
      <c r="L978" s="25"/>
      <c r="M978" s="19">
        <f>Таблица1[[#This Row],[Поддон
Шт]]*Таблица1[[#This Row],[Цена
Поддон]]</f>
        <v>0</v>
      </c>
      <c r="N978" s="19">
        <f>Таблица1[[#This Row],[Сумма 
Приход]]+Таблица1[[#This Row],[Сумма Поддон]]</f>
        <v>0</v>
      </c>
      <c r="O978" s="20"/>
      <c r="P978" s="19">
        <f>Таблица1[[#This Row],[Цена
 Продажа]]-Таблица1[[#This Row],[Цена 
Приход]]</f>
        <v>0</v>
      </c>
      <c r="Q978" s="19"/>
      <c r="R978" s="19">
        <f>Таблица1[[#This Row],[Блок
 Куб]]*Таблица1[[#This Row],[Цена
 Продажа]]</f>
        <v>0</v>
      </c>
      <c r="S978" s="20"/>
      <c r="T978" s="19">
        <f>Таблица1[[#This Row],[Сумма 
Продажа]]-Таблица1[[#This Row],[Сумма 
Приход]]</f>
        <v>0</v>
      </c>
      <c r="U978" s="150"/>
    </row>
    <row r="979" spans="1:21" ht="14.25" x14ac:dyDescent="0.2">
      <c r="A979" s="50">
        <f t="shared" si="15"/>
        <v>976</v>
      </c>
      <c r="B979" s="17"/>
      <c r="C979" s="17"/>
      <c r="D979" s="17"/>
      <c r="E979" s="51"/>
      <c r="F979" s="50"/>
      <c r="G979" s="23"/>
      <c r="H979" s="24"/>
      <c r="I979" s="23"/>
      <c r="J979" s="19">
        <f>Таблица1[[#This Row],[Блок
 Куб]]*Таблица1[[#This Row],[Цена 
Приход]]</f>
        <v>0</v>
      </c>
      <c r="K979" s="25"/>
      <c r="L979" s="25"/>
      <c r="M979" s="19">
        <f>Таблица1[[#This Row],[Поддон
Шт]]*Таблица1[[#This Row],[Цена
Поддон]]</f>
        <v>0</v>
      </c>
      <c r="N979" s="19">
        <f>Таблица1[[#This Row],[Сумма 
Приход]]+Таблица1[[#This Row],[Сумма Поддон]]</f>
        <v>0</v>
      </c>
      <c r="O979" s="20"/>
      <c r="P979" s="19">
        <f>Таблица1[[#This Row],[Цена
 Продажа]]-Таблица1[[#This Row],[Цена 
Приход]]</f>
        <v>0</v>
      </c>
      <c r="Q979" s="19"/>
      <c r="R979" s="19">
        <f>Таблица1[[#This Row],[Блок
 Куб]]*Таблица1[[#This Row],[Цена
 Продажа]]</f>
        <v>0</v>
      </c>
      <c r="S979" s="20"/>
      <c r="T979" s="19">
        <f>Таблица1[[#This Row],[Сумма 
Продажа]]-Таблица1[[#This Row],[Сумма 
Приход]]</f>
        <v>0</v>
      </c>
      <c r="U979" s="150"/>
    </row>
    <row r="980" spans="1:21" ht="14.25" x14ac:dyDescent="0.2">
      <c r="A980" s="50">
        <f t="shared" si="15"/>
        <v>977</v>
      </c>
      <c r="B980" s="17"/>
      <c r="C980" s="17"/>
      <c r="D980" s="17"/>
      <c r="E980" s="51"/>
      <c r="F980" s="50"/>
      <c r="G980" s="23"/>
      <c r="H980" s="24"/>
      <c r="I980" s="23"/>
      <c r="J980" s="19">
        <f>Таблица1[[#This Row],[Блок
 Куб]]*Таблица1[[#This Row],[Цена 
Приход]]</f>
        <v>0</v>
      </c>
      <c r="K980" s="25"/>
      <c r="L980" s="25"/>
      <c r="M980" s="19">
        <f>Таблица1[[#This Row],[Поддон
Шт]]*Таблица1[[#This Row],[Цена
Поддон]]</f>
        <v>0</v>
      </c>
      <c r="N980" s="19">
        <f>Таблица1[[#This Row],[Сумма 
Приход]]+Таблица1[[#This Row],[Сумма Поддон]]</f>
        <v>0</v>
      </c>
      <c r="O980" s="20"/>
      <c r="P980" s="19">
        <f>Таблица1[[#This Row],[Цена
 Продажа]]-Таблица1[[#This Row],[Цена 
Приход]]</f>
        <v>0</v>
      </c>
      <c r="Q980" s="19"/>
      <c r="R980" s="19">
        <f>Таблица1[[#This Row],[Блок
 Куб]]*Таблица1[[#This Row],[Цена
 Продажа]]</f>
        <v>0</v>
      </c>
      <c r="S980" s="20"/>
      <c r="T980" s="19">
        <f>Таблица1[[#This Row],[Сумма 
Продажа]]-Таблица1[[#This Row],[Сумма 
Приход]]</f>
        <v>0</v>
      </c>
      <c r="U980" s="150"/>
    </row>
    <row r="981" spans="1:21" ht="14.25" x14ac:dyDescent="0.2">
      <c r="A981" s="50">
        <f t="shared" si="15"/>
        <v>978</v>
      </c>
      <c r="B981" s="17"/>
      <c r="C981" s="17"/>
      <c r="D981" s="17"/>
      <c r="E981" s="51"/>
      <c r="F981" s="50"/>
      <c r="G981" s="23"/>
      <c r="H981" s="24"/>
      <c r="I981" s="23"/>
      <c r="J981" s="19">
        <f>Таблица1[[#This Row],[Блок
 Куб]]*Таблица1[[#This Row],[Цена 
Приход]]</f>
        <v>0</v>
      </c>
      <c r="K981" s="25"/>
      <c r="L981" s="25"/>
      <c r="M981" s="19">
        <f>Таблица1[[#This Row],[Поддон
Шт]]*Таблица1[[#This Row],[Цена
Поддон]]</f>
        <v>0</v>
      </c>
      <c r="N981" s="19">
        <f>Таблица1[[#This Row],[Сумма 
Приход]]+Таблица1[[#This Row],[Сумма Поддон]]</f>
        <v>0</v>
      </c>
      <c r="O981" s="20"/>
      <c r="P981" s="19">
        <f>Таблица1[[#This Row],[Цена
 Продажа]]-Таблица1[[#This Row],[Цена 
Приход]]</f>
        <v>0</v>
      </c>
      <c r="Q981" s="19"/>
      <c r="R981" s="19">
        <f>Таблица1[[#This Row],[Блок
 Куб]]*Таблица1[[#This Row],[Цена
 Продажа]]</f>
        <v>0</v>
      </c>
      <c r="S981" s="20"/>
      <c r="T981" s="19">
        <f>Таблица1[[#This Row],[Сумма 
Продажа]]-Таблица1[[#This Row],[Сумма 
Приход]]</f>
        <v>0</v>
      </c>
      <c r="U981" s="150"/>
    </row>
    <row r="982" spans="1:21" ht="14.25" x14ac:dyDescent="0.2">
      <c r="A982" s="50">
        <f t="shared" si="15"/>
        <v>979</v>
      </c>
      <c r="B982" s="17"/>
      <c r="C982" s="17"/>
      <c r="D982" s="17"/>
      <c r="E982" s="51"/>
      <c r="F982" s="50"/>
      <c r="G982" s="23"/>
      <c r="H982" s="24"/>
      <c r="I982" s="23"/>
      <c r="J982" s="19">
        <f>Таблица1[[#This Row],[Блок
 Куб]]*Таблица1[[#This Row],[Цена 
Приход]]</f>
        <v>0</v>
      </c>
      <c r="K982" s="25"/>
      <c r="L982" s="25"/>
      <c r="M982" s="19">
        <f>Таблица1[[#This Row],[Поддон
Шт]]*Таблица1[[#This Row],[Цена
Поддон]]</f>
        <v>0</v>
      </c>
      <c r="N982" s="19">
        <f>Таблица1[[#This Row],[Сумма 
Приход]]+Таблица1[[#This Row],[Сумма Поддон]]</f>
        <v>0</v>
      </c>
      <c r="O982" s="20"/>
      <c r="P982" s="19">
        <f>Таблица1[[#This Row],[Цена
 Продажа]]-Таблица1[[#This Row],[Цена 
Приход]]</f>
        <v>0</v>
      </c>
      <c r="Q982" s="19"/>
      <c r="R982" s="19">
        <f>Таблица1[[#This Row],[Блок
 Куб]]*Таблица1[[#This Row],[Цена
 Продажа]]</f>
        <v>0</v>
      </c>
      <c r="S982" s="20"/>
      <c r="T982" s="19">
        <f>Таблица1[[#This Row],[Сумма 
Продажа]]-Таблица1[[#This Row],[Сумма 
Приход]]</f>
        <v>0</v>
      </c>
      <c r="U982" s="150"/>
    </row>
    <row r="983" spans="1:21" ht="14.25" x14ac:dyDescent="0.2">
      <c r="A983" s="50">
        <f t="shared" si="15"/>
        <v>980</v>
      </c>
      <c r="B983" s="17"/>
      <c r="C983" s="17"/>
      <c r="D983" s="17"/>
      <c r="E983" s="51"/>
      <c r="F983" s="50"/>
      <c r="G983" s="23"/>
      <c r="H983" s="24"/>
      <c r="I983" s="23"/>
      <c r="J983" s="19">
        <f>Таблица1[[#This Row],[Блок
 Куб]]*Таблица1[[#This Row],[Цена 
Приход]]</f>
        <v>0</v>
      </c>
      <c r="K983" s="25"/>
      <c r="L983" s="25"/>
      <c r="M983" s="19">
        <f>Таблица1[[#This Row],[Поддон
Шт]]*Таблица1[[#This Row],[Цена
Поддон]]</f>
        <v>0</v>
      </c>
      <c r="N983" s="19">
        <f>Таблица1[[#This Row],[Сумма 
Приход]]+Таблица1[[#This Row],[Сумма Поддон]]</f>
        <v>0</v>
      </c>
      <c r="O983" s="20"/>
      <c r="P983" s="19">
        <f>Таблица1[[#This Row],[Цена
 Продажа]]-Таблица1[[#This Row],[Цена 
Приход]]</f>
        <v>0</v>
      </c>
      <c r="Q983" s="19"/>
      <c r="R983" s="19">
        <f>Таблица1[[#This Row],[Блок
 Куб]]*Таблица1[[#This Row],[Цена
 Продажа]]</f>
        <v>0</v>
      </c>
      <c r="S983" s="20"/>
      <c r="T983" s="19">
        <f>Таблица1[[#This Row],[Сумма 
Продажа]]-Таблица1[[#This Row],[Сумма 
Приход]]</f>
        <v>0</v>
      </c>
      <c r="U983" s="150"/>
    </row>
    <row r="984" spans="1:21" ht="14.25" x14ac:dyDescent="0.2">
      <c r="A984" s="50">
        <f t="shared" si="15"/>
        <v>981</v>
      </c>
      <c r="B984" s="17"/>
      <c r="C984" s="17"/>
      <c r="D984" s="17"/>
      <c r="E984" s="51"/>
      <c r="F984" s="50"/>
      <c r="G984" s="23"/>
      <c r="H984" s="24"/>
      <c r="I984" s="23"/>
      <c r="J984" s="19">
        <f>Таблица1[[#This Row],[Блок
 Куб]]*Таблица1[[#This Row],[Цена 
Приход]]</f>
        <v>0</v>
      </c>
      <c r="K984" s="25"/>
      <c r="L984" s="25"/>
      <c r="M984" s="19">
        <f>Таблица1[[#This Row],[Поддон
Шт]]*Таблица1[[#This Row],[Цена
Поддон]]</f>
        <v>0</v>
      </c>
      <c r="N984" s="19">
        <f>Таблица1[[#This Row],[Сумма 
Приход]]+Таблица1[[#This Row],[Сумма Поддон]]</f>
        <v>0</v>
      </c>
      <c r="O984" s="20"/>
      <c r="P984" s="19">
        <f>Таблица1[[#This Row],[Цена
 Продажа]]-Таблица1[[#This Row],[Цена 
Приход]]</f>
        <v>0</v>
      </c>
      <c r="Q984" s="19"/>
      <c r="R984" s="19">
        <f>Таблица1[[#This Row],[Блок
 Куб]]*Таблица1[[#This Row],[Цена
 Продажа]]</f>
        <v>0</v>
      </c>
      <c r="S984" s="20"/>
      <c r="T984" s="19">
        <f>Таблица1[[#This Row],[Сумма 
Продажа]]-Таблица1[[#This Row],[Сумма 
Приход]]</f>
        <v>0</v>
      </c>
      <c r="U984" s="150"/>
    </row>
    <row r="985" spans="1:21" ht="14.25" x14ac:dyDescent="0.2">
      <c r="A985" s="50">
        <f t="shared" si="15"/>
        <v>982</v>
      </c>
      <c r="B985" s="17"/>
      <c r="C985" s="17"/>
      <c r="D985" s="17"/>
      <c r="E985" s="51"/>
      <c r="F985" s="50"/>
      <c r="G985" s="23"/>
      <c r="H985" s="24"/>
      <c r="I985" s="23"/>
      <c r="J985" s="19">
        <f>Таблица1[[#This Row],[Блок
 Куб]]*Таблица1[[#This Row],[Цена 
Приход]]</f>
        <v>0</v>
      </c>
      <c r="K985" s="25"/>
      <c r="L985" s="25"/>
      <c r="M985" s="19">
        <f>Таблица1[[#This Row],[Поддон
Шт]]*Таблица1[[#This Row],[Цена
Поддон]]</f>
        <v>0</v>
      </c>
      <c r="N985" s="19">
        <f>Таблица1[[#This Row],[Сумма 
Приход]]+Таблица1[[#This Row],[Сумма Поддон]]</f>
        <v>0</v>
      </c>
      <c r="O985" s="20"/>
      <c r="P985" s="19">
        <f>Таблица1[[#This Row],[Цена
 Продажа]]-Таблица1[[#This Row],[Цена 
Приход]]</f>
        <v>0</v>
      </c>
      <c r="Q985" s="19"/>
      <c r="R985" s="19">
        <f>Таблица1[[#This Row],[Блок
 Куб]]*Таблица1[[#This Row],[Цена
 Продажа]]</f>
        <v>0</v>
      </c>
      <c r="S985" s="20"/>
      <c r="T985" s="19">
        <f>Таблица1[[#This Row],[Сумма 
Продажа]]-Таблица1[[#This Row],[Сумма 
Приход]]</f>
        <v>0</v>
      </c>
      <c r="U985" s="150"/>
    </row>
    <row r="986" spans="1:21" ht="14.25" x14ac:dyDescent="0.2">
      <c r="A986" s="50">
        <f t="shared" si="15"/>
        <v>983</v>
      </c>
      <c r="B986" s="17"/>
      <c r="C986" s="17"/>
      <c r="D986" s="17"/>
      <c r="E986" s="51"/>
      <c r="F986" s="50"/>
      <c r="G986" s="23"/>
      <c r="H986" s="24"/>
      <c r="I986" s="23"/>
      <c r="J986" s="19">
        <f>Таблица1[[#This Row],[Блок
 Куб]]*Таблица1[[#This Row],[Цена 
Приход]]</f>
        <v>0</v>
      </c>
      <c r="K986" s="25"/>
      <c r="L986" s="25"/>
      <c r="M986" s="19">
        <f>Таблица1[[#This Row],[Поддон
Шт]]*Таблица1[[#This Row],[Цена
Поддон]]</f>
        <v>0</v>
      </c>
      <c r="N986" s="19">
        <f>Таблица1[[#This Row],[Сумма 
Приход]]+Таблица1[[#This Row],[Сумма Поддон]]</f>
        <v>0</v>
      </c>
      <c r="O986" s="20"/>
      <c r="P986" s="19">
        <f>Таблица1[[#This Row],[Цена
 Продажа]]-Таблица1[[#This Row],[Цена 
Приход]]</f>
        <v>0</v>
      </c>
      <c r="Q986" s="19"/>
      <c r="R986" s="19">
        <f>Таблица1[[#This Row],[Блок
 Куб]]*Таблица1[[#This Row],[Цена
 Продажа]]</f>
        <v>0</v>
      </c>
      <c r="S986" s="20"/>
      <c r="T986" s="19">
        <f>Таблица1[[#This Row],[Сумма 
Продажа]]-Таблица1[[#This Row],[Сумма 
Приход]]</f>
        <v>0</v>
      </c>
      <c r="U986" s="150"/>
    </row>
    <row r="987" spans="1:21" ht="14.25" x14ac:dyDescent="0.2">
      <c r="A987" s="50">
        <f t="shared" si="15"/>
        <v>984</v>
      </c>
      <c r="B987" s="17"/>
      <c r="C987" s="17"/>
      <c r="D987" s="17"/>
      <c r="E987" s="51"/>
      <c r="F987" s="50"/>
      <c r="G987" s="23"/>
      <c r="H987" s="24"/>
      <c r="I987" s="23"/>
      <c r="J987" s="19">
        <f>Таблица1[[#This Row],[Блок
 Куб]]*Таблица1[[#This Row],[Цена 
Приход]]</f>
        <v>0</v>
      </c>
      <c r="K987" s="25"/>
      <c r="L987" s="25"/>
      <c r="M987" s="19">
        <f>Таблица1[[#This Row],[Поддон
Шт]]*Таблица1[[#This Row],[Цена
Поддон]]</f>
        <v>0</v>
      </c>
      <c r="N987" s="19">
        <f>Таблица1[[#This Row],[Сумма 
Приход]]+Таблица1[[#This Row],[Сумма Поддон]]</f>
        <v>0</v>
      </c>
      <c r="O987" s="20"/>
      <c r="P987" s="19">
        <f>Таблица1[[#This Row],[Цена
 Продажа]]-Таблица1[[#This Row],[Цена 
Приход]]</f>
        <v>0</v>
      </c>
      <c r="Q987" s="19"/>
      <c r="R987" s="19">
        <f>Таблица1[[#This Row],[Блок
 Куб]]*Таблица1[[#This Row],[Цена
 Продажа]]</f>
        <v>0</v>
      </c>
      <c r="S987" s="20"/>
      <c r="T987" s="19">
        <f>Таблица1[[#This Row],[Сумма 
Продажа]]-Таблица1[[#This Row],[Сумма 
Приход]]</f>
        <v>0</v>
      </c>
      <c r="U987" s="150"/>
    </row>
    <row r="988" spans="1:21" ht="14.25" x14ac:dyDescent="0.2">
      <c r="A988" s="50">
        <f t="shared" si="15"/>
        <v>985</v>
      </c>
      <c r="B988" s="17"/>
      <c r="C988" s="17"/>
      <c r="D988" s="17"/>
      <c r="E988" s="51"/>
      <c r="F988" s="50"/>
      <c r="G988" s="23"/>
      <c r="H988" s="24"/>
      <c r="I988" s="23"/>
      <c r="J988" s="19">
        <f>Таблица1[[#This Row],[Блок
 Куб]]*Таблица1[[#This Row],[Цена 
Приход]]</f>
        <v>0</v>
      </c>
      <c r="K988" s="25"/>
      <c r="L988" s="25"/>
      <c r="M988" s="19">
        <f>Таблица1[[#This Row],[Поддон
Шт]]*Таблица1[[#This Row],[Цена
Поддон]]</f>
        <v>0</v>
      </c>
      <c r="N988" s="19">
        <f>Таблица1[[#This Row],[Сумма 
Приход]]+Таблица1[[#This Row],[Сумма Поддон]]</f>
        <v>0</v>
      </c>
      <c r="O988" s="20"/>
      <c r="P988" s="19">
        <f>Таблица1[[#This Row],[Цена
 Продажа]]-Таблица1[[#This Row],[Цена 
Приход]]</f>
        <v>0</v>
      </c>
      <c r="Q988" s="19"/>
      <c r="R988" s="19">
        <f>Таблица1[[#This Row],[Блок
 Куб]]*Таблица1[[#This Row],[Цена
 Продажа]]</f>
        <v>0</v>
      </c>
      <c r="S988" s="20"/>
      <c r="T988" s="19">
        <f>Таблица1[[#This Row],[Сумма 
Продажа]]-Таблица1[[#This Row],[Сумма 
Приход]]</f>
        <v>0</v>
      </c>
      <c r="U988" s="150"/>
    </row>
    <row r="989" spans="1:21" ht="14.25" x14ac:dyDescent="0.2">
      <c r="A989" s="50">
        <f t="shared" si="15"/>
        <v>986</v>
      </c>
      <c r="B989" s="17"/>
      <c r="C989" s="17"/>
      <c r="D989" s="17"/>
      <c r="E989" s="51"/>
      <c r="F989" s="50"/>
      <c r="G989" s="23"/>
      <c r="H989" s="24"/>
      <c r="I989" s="23"/>
      <c r="J989" s="19">
        <f>Таблица1[[#This Row],[Блок
 Куб]]*Таблица1[[#This Row],[Цена 
Приход]]</f>
        <v>0</v>
      </c>
      <c r="K989" s="25"/>
      <c r="L989" s="25"/>
      <c r="M989" s="19">
        <f>Таблица1[[#This Row],[Поддон
Шт]]*Таблица1[[#This Row],[Цена
Поддон]]</f>
        <v>0</v>
      </c>
      <c r="N989" s="19">
        <f>Таблица1[[#This Row],[Сумма 
Приход]]+Таблица1[[#This Row],[Сумма Поддон]]</f>
        <v>0</v>
      </c>
      <c r="O989" s="20"/>
      <c r="P989" s="19">
        <f>Таблица1[[#This Row],[Цена
 Продажа]]-Таблица1[[#This Row],[Цена 
Приход]]</f>
        <v>0</v>
      </c>
      <c r="Q989" s="19"/>
      <c r="R989" s="19">
        <f>Таблица1[[#This Row],[Блок
 Куб]]*Таблица1[[#This Row],[Цена
 Продажа]]</f>
        <v>0</v>
      </c>
      <c r="S989" s="20"/>
      <c r="T989" s="19">
        <f>Таблица1[[#This Row],[Сумма 
Продажа]]-Таблица1[[#This Row],[Сумма 
Приход]]</f>
        <v>0</v>
      </c>
      <c r="U989" s="150"/>
    </row>
    <row r="990" spans="1:21" ht="14.25" x14ac:dyDescent="0.2">
      <c r="A990" s="50">
        <f t="shared" si="15"/>
        <v>987</v>
      </c>
      <c r="B990" s="17"/>
      <c r="C990" s="17"/>
      <c r="D990" s="17"/>
      <c r="E990" s="51"/>
      <c r="F990" s="50"/>
      <c r="G990" s="23"/>
      <c r="H990" s="24"/>
      <c r="I990" s="23"/>
      <c r="J990" s="19">
        <f>Таблица1[[#This Row],[Блок
 Куб]]*Таблица1[[#This Row],[Цена 
Приход]]</f>
        <v>0</v>
      </c>
      <c r="K990" s="25"/>
      <c r="L990" s="25"/>
      <c r="M990" s="19">
        <f>Таблица1[[#This Row],[Поддон
Шт]]*Таблица1[[#This Row],[Цена
Поддон]]</f>
        <v>0</v>
      </c>
      <c r="N990" s="19">
        <f>Таблица1[[#This Row],[Сумма 
Приход]]+Таблица1[[#This Row],[Сумма Поддон]]</f>
        <v>0</v>
      </c>
      <c r="O990" s="20"/>
      <c r="P990" s="19">
        <f>Таблица1[[#This Row],[Цена
 Продажа]]-Таблица1[[#This Row],[Цена 
Приход]]</f>
        <v>0</v>
      </c>
      <c r="Q990" s="19"/>
      <c r="R990" s="19">
        <f>Таблица1[[#This Row],[Блок
 Куб]]*Таблица1[[#This Row],[Цена
 Продажа]]</f>
        <v>0</v>
      </c>
      <c r="S990" s="20"/>
      <c r="T990" s="19">
        <f>Таблица1[[#This Row],[Сумма 
Продажа]]-Таблица1[[#This Row],[Сумма 
Приход]]</f>
        <v>0</v>
      </c>
      <c r="U990" s="150"/>
    </row>
    <row r="991" spans="1:21" ht="14.25" x14ac:dyDescent="0.2">
      <c r="A991" s="50">
        <f t="shared" si="15"/>
        <v>988</v>
      </c>
      <c r="B991" s="17"/>
      <c r="C991" s="17"/>
      <c r="D991" s="17"/>
      <c r="E991" s="51"/>
      <c r="F991" s="50"/>
      <c r="G991" s="23"/>
      <c r="H991" s="24"/>
      <c r="I991" s="23"/>
      <c r="J991" s="19">
        <f>Таблица1[[#This Row],[Блок
 Куб]]*Таблица1[[#This Row],[Цена 
Приход]]</f>
        <v>0</v>
      </c>
      <c r="K991" s="25"/>
      <c r="L991" s="25"/>
      <c r="M991" s="19">
        <f>Таблица1[[#This Row],[Поддон
Шт]]*Таблица1[[#This Row],[Цена
Поддон]]</f>
        <v>0</v>
      </c>
      <c r="N991" s="19">
        <f>Таблица1[[#This Row],[Сумма 
Приход]]+Таблица1[[#This Row],[Сумма Поддон]]</f>
        <v>0</v>
      </c>
      <c r="O991" s="20"/>
      <c r="P991" s="19">
        <f>Таблица1[[#This Row],[Цена
 Продажа]]-Таблица1[[#This Row],[Цена 
Приход]]</f>
        <v>0</v>
      </c>
      <c r="Q991" s="19"/>
      <c r="R991" s="19">
        <f>Таблица1[[#This Row],[Блок
 Куб]]*Таблица1[[#This Row],[Цена
 Продажа]]</f>
        <v>0</v>
      </c>
      <c r="S991" s="20"/>
      <c r="T991" s="19">
        <f>Таблица1[[#This Row],[Сумма 
Продажа]]-Таблица1[[#This Row],[Сумма 
Приход]]</f>
        <v>0</v>
      </c>
      <c r="U991" s="150"/>
    </row>
    <row r="992" spans="1:21" ht="14.25" x14ac:dyDescent="0.2">
      <c r="A992" s="50">
        <f t="shared" si="15"/>
        <v>989</v>
      </c>
      <c r="B992" s="17"/>
      <c r="C992" s="17"/>
      <c r="D992" s="17"/>
      <c r="E992" s="51"/>
      <c r="F992" s="50"/>
      <c r="G992" s="23"/>
      <c r="H992" s="24"/>
      <c r="I992" s="23"/>
      <c r="J992" s="19">
        <f>Таблица1[[#This Row],[Блок
 Куб]]*Таблица1[[#This Row],[Цена 
Приход]]</f>
        <v>0</v>
      </c>
      <c r="K992" s="25"/>
      <c r="L992" s="25"/>
      <c r="M992" s="19">
        <f>Таблица1[[#This Row],[Поддон
Шт]]*Таблица1[[#This Row],[Цена
Поддон]]</f>
        <v>0</v>
      </c>
      <c r="N992" s="19">
        <f>Таблица1[[#This Row],[Сумма 
Приход]]+Таблица1[[#This Row],[Сумма Поддон]]</f>
        <v>0</v>
      </c>
      <c r="O992" s="20"/>
      <c r="P992" s="19">
        <f>Таблица1[[#This Row],[Цена
 Продажа]]-Таблица1[[#This Row],[Цена 
Приход]]</f>
        <v>0</v>
      </c>
      <c r="Q992" s="19"/>
      <c r="R992" s="19">
        <f>Таблица1[[#This Row],[Блок
 Куб]]*Таблица1[[#This Row],[Цена
 Продажа]]</f>
        <v>0</v>
      </c>
      <c r="S992" s="20"/>
      <c r="T992" s="19">
        <f>Таблица1[[#This Row],[Сумма 
Продажа]]-Таблица1[[#This Row],[Сумма 
Приход]]</f>
        <v>0</v>
      </c>
      <c r="U992" s="150"/>
    </row>
    <row r="993" spans="1:21" ht="14.25" x14ac:dyDescent="0.2">
      <c r="A993" s="50">
        <f t="shared" si="15"/>
        <v>990</v>
      </c>
      <c r="B993" s="17"/>
      <c r="C993" s="17"/>
      <c r="D993" s="17"/>
      <c r="E993" s="51"/>
      <c r="F993" s="50"/>
      <c r="G993" s="23"/>
      <c r="H993" s="24"/>
      <c r="I993" s="23"/>
      <c r="J993" s="19">
        <f>Таблица1[[#This Row],[Блок
 Куб]]*Таблица1[[#This Row],[Цена 
Приход]]</f>
        <v>0</v>
      </c>
      <c r="K993" s="25"/>
      <c r="L993" s="25"/>
      <c r="M993" s="19">
        <f>Таблица1[[#This Row],[Поддон
Шт]]*Таблица1[[#This Row],[Цена
Поддон]]</f>
        <v>0</v>
      </c>
      <c r="N993" s="19">
        <f>Таблица1[[#This Row],[Сумма 
Приход]]+Таблица1[[#This Row],[Сумма Поддон]]</f>
        <v>0</v>
      </c>
      <c r="O993" s="20"/>
      <c r="P993" s="19">
        <f>Таблица1[[#This Row],[Цена
 Продажа]]-Таблица1[[#This Row],[Цена 
Приход]]</f>
        <v>0</v>
      </c>
      <c r="Q993" s="19"/>
      <c r="R993" s="19">
        <f>Таблица1[[#This Row],[Блок
 Куб]]*Таблица1[[#This Row],[Цена
 Продажа]]</f>
        <v>0</v>
      </c>
      <c r="S993" s="20"/>
      <c r="T993" s="19">
        <f>Таблица1[[#This Row],[Сумма 
Продажа]]-Таблица1[[#This Row],[Сумма 
Приход]]</f>
        <v>0</v>
      </c>
      <c r="U993" s="150"/>
    </row>
    <row r="994" spans="1:21" ht="14.25" x14ac:dyDescent="0.2">
      <c r="A994" s="50">
        <f t="shared" si="15"/>
        <v>991</v>
      </c>
      <c r="B994" s="17"/>
      <c r="C994" s="17"/>
      <c r="D994" s="17"/>
      <c r="E994" s="51"/>
      <c r="F994" s="50"/>
      <c r="G994" s="23"/>
      <c r="H994" s="24"/>
      <c r="I994" s="23"/>
      <c r="J994" s="19">
        <f>Таблица1[[#This Row],[Блок
 Куб]]*Таблица1[[#This Row],[Цена 
Приход]]</f>
        <v>0</v>
      </c>
      <c r="K994" s="25"/>
      <c r="L994" s="25"/>
      <c r="M994" s="19">
        <f>Таблица1[[#This Row],[Поддон
Шт]]*Таблица1[[#This Row],[Цена
Поддон]]</f>
        <v>0</v>
      </c>
      <c r="N994" s="19">
        <f>Таблица1[[#This Row],[Сумма 
Приход]]+Таблица1[[#This Row],[Сумма Поддон]]</f>
        <v>0</v>
      </c>
      <c r="O994" s="20"/>
      <c r="P994" s="19">
        <f>Таблица1[[#This Row],[Цена
 Продажа]]-Таблица1[[#This Row],[Цена 
Приход]]</f>
        <v>0</v>
      </c>
      <c r="Q994" s="19"/>
      <c r="R994" s="19">
        <f>Таблица1[[#This Row],[Блок
 Куб]]*Таблица1[[#This Row],[Цена
 Продажа]]</f>
        <v>0</v>
      </c>
      <c r="S994" s="20"/>
      <c r="T994" s="19">
        <f>Таблица1[[#This Row],[Сумма 
Продажа]]-Таблица1[[#This Row],[Сумма 
Приход]]</f>
        <v>0</v>
      </c>
      <c r="U994" s="150"/>
    </row>
    <row r="995" spans="1:21" ht="14.25" x14ac:dyDescent="0.2">
      <c r="A995" s="50">
        <f t="shared" si="15"/>
        <v>992</v>
      </c>
      <c r="B995" s="17"/>
      <c r="C995" s="17"/>
      <c r="D995" s="17"/>
      <c r="E995" s="51"/>
      <c r="F995" s="50"/>
      <c r="G995" s="23"/>
      <c r="H995" s="24"/>
      <c r="I995" s="23"/>
      <c r="J995" s="19">
        <f>Таблица1[[#This Row],[Блок
 Куб]]*Таблица1[[#This Row],[Цена 
Приход]]</f>
        <v>0</v>
      </c>
      <c r="K995" s="25"/>
      <c r="L995" s="25"/>
      <c r="M995" s="19">
        <f>Таблица1[[#This Row],[Поддон
Шт]]*Таблица1[[#This Row],[Цена
Поддон]]</f>
        <v>0</v>
      </c>
      <c r="N995" s="19">
        <f>Таблица1[[#This Row],[Сумма 
Приход]]+Таблица1[[#This Row],[Сумма Поддон]]</f>
        <v>0</v>
      </c>
      <c r="O995" s="20"/>
      <c r="P995" s="19">
        <f>Таблица1[[#This Row],[Цена
 Продажа]]-Таблица1[[#This Row],[Цена 
Приход]]</f>
        <v>0</v>
      </c>
      <c r="Q995" s="19"/>
      <c r="R995" s="19">
        <f>Таблица1[[#This Row],[Блок
 Куб]]*Таблица1[[#This Row],[Цена
 Продажа]]</f>
        <v>0</v>
      </c>
      <c r="S995" s="20"/>
      <c r="T995" s="19">
        <f>Таблица1[[#This Row],[Сумма 
Продажа]]-Таблица1[[#This Row],[Сумма 
Приход]]</f>
        <v>0</v>
      </c>
      <c r="U995" s="150"/>
    </row>
    <row r="996" spans="1:21" ht="14.25" x14ac:dyDescent="0.2">
      <c r="A996" s="50">
        <f t="shared" si="15"/>
        <v>993</v>
      </c>
      <c r="B996" s="17"/>
      <c r="C996" s="17"/>
      <c r="D996" s="17"/>
      <c r="E996" s="51"/>
      <c r="F996" s="50"/>
      <c r="G996" s="23"/>
      <c r="H996" s="24"/>
      <c r="I996" s="23"/>
      <c r="J996" s="19">
        <f>Таблица1[[#This Row],[Блок
 Куб]]*Таблица1[[#This Row],[Цена 
Приход]]</f>
        <v>0</v>
      </c>
      <c r="K996" s="25"/>
      <c r="L996" s="25"/>
      <c r="M996" s="19">
        <f>Таблица1[[#This Row],[Поддон
Шт]]*Таблица1[[#This Row],[Цена
Поддон]]</f>
        <v>0</v>
      </c>
      <c r="N996" s="19">
        <f>Таблица1[[#This Row],[Сумма 
Приход]]+Таблица1[[#This Row],[Сумма Поддон]]</f>
        <v>0</v>
      </c>
      <c r="O996" s="20"/>
      <c r="P996" s="19">
        <f>Таблица1[[#This Row],[Цена
 Продажа]]-Таблица1[[#This Row],[Цена 
Приход]]</f>
        <v>0</v>
      </c>
      <c r="Q996" s="19"/>
      <c r="R996" s="19">
        <f>Таблица1[[#This Row],[Блок
 Куб]]*Таблица1[[#This Row],[Цена
 Продажа]]</f>
        <v>0</v>
      </c>
      <c r="S996" s="20"/>
      <c r="T996" s="19">
        <f>Таблица1[[#This Row],[Сумма 
Продажа]]-Таблица1[[#This Row],[Сумма 
Приход]]</f>
        <v>0</v>
      </c>
      <c r="U996" s="150"/>
    </row>
    <row r="997" spans="1:21" ht="14.25" x14ac:dyDescent="0.2">
      <c r="A997" s="50">
        <f t="shared" si="15"/>
        <v>994</v>
      </c>
      <c r="B997" s="17"/>
      <c r="C997" s="17"/>
      <c r="D997" s="17"/>
      <c r="E997" s="51"/>
      <c r="F997" s="50"/>
      <c r="G997" s="23"/>
      <c r="H997" s="24"/>
      <c r="I997" s="23"/>
      <c r="J997" s="19">
        <f>Таблица1[[#This Row],[Блок
 Куб]]*Таблица1[[#This Row],[Цена 
Приход]]</f>
        <v>0</v>
      </c>
      <c r="K997" s="25"/>
      <c r="L997" s="25"/>
      <c r="M997" s="19">
        <f>Таблица1[[#This Row],[Поддон
Шт]]*Таблица1[[#This Row],[Цена
Поддон]]</f>
        <v>0</v>
      </c>
      <c r="N997" s="19">
        <f>Таблица1[[#This Row],[Сумма 
Приход]]+Таблица1[[#This Row],[Сумма Поддон]]</f>
        <v>0</v>
      </c>
      <c r="O997" s="20"/>
      <c r="P997" s="19">
        <f>Таблица1[[#This Row],[Цена
 Продажа]]-Таблица1[[#This Row],[Цена 
Приход]]</f>
        <v>0</v>
      </c>
      <c r="Q997" s="19"/>
      <c r="R997" s="19">
        <f>Таблица1[[#This Row],[Блок
 Куб]]*Таблица1[[#This Row],[Цена
 Продажа]]</f>
        <v>0</v>
      </c>
      <c r="S997" s="20"/>
      <c r="T997" s="19">
        <f>Таблица1[[#This Row],[Сумма 
Продажа]]-Таблица1[[#This Row],[Сумма 
Приход]]</f>
        <v>0</v>
      </c>
      <c r="U997" s="150"/>
    </row>
    <row r="998" spans="1:21" ht="14.25" x14ac:dyDescent="0.2">
      <c r="A998" s="50">
        <f t="shared" si="15"/>
        <v>995</v>
      </c>
      <c r="B998" s="17"/>
      <c r="C998" s="17"/>
      <c r="D998" s="17"/>
      <c r="E998" s="51"/>
      <c r="F998" s="50"/>
      <c r="G998" s="23"/>
      <c r="H998" s="24"/>
      <c r="I998" s="23"/>
      <c r="J998" s="19">
        <f>Таблица1[[#This Row],[Блок
 Куб]]*Таблица1[[#This Row],[Цена 
Приход]]</f>
        <v>0</v>
      </c>
      <c r="K998" s="25"/>
      <c r="L998" s="25"/>
      <c r="M998" s="19">
        <f>Таблица1[[#This Row],[Поддон
Шт]]*Таблица1[[#This Row],[Цена
Поддон]]</f>
        <v>0</v>
      </c>
      <c r="N998" s="19">
        <f>Таблица1[[#This Row],[Сумма 
Приход]]+Таблица1[[#This Row],[Сумма Поддон]]</f>
        <v>0</v>
      </c>
      <c r="O998" s="20"/>
      <c r="P998" s="19">
        <f>Таблица1[[#This Row],[Цена
 Продажа]]-Таблица1[[#This Row],[Цена 
Приход]]</f>
        <v>0</v>
      </c>
      <c r="Q998" s="19"/>
      <c r="R998" s="19">
        <f>Таблица1[[#This Row],[Блок
 Куб]]*Таблица1[[#This Row],[Цена
 Продажа]]</f>
        <v>0</v>
      </c>
      <c r="S998" s="20"/>
      <c r="T998" s="19">
        <f>Таблица1[[#This Row],[Сумма 
Продажа]]-Таблица1[[#This Row],[Сумма 
Приход]]</f>
        <v>0</v>
      </c>
      <c r="U998" s="150"/>
    </row>
    <row r="999" spans="1:21" ht="14.25" x14ac:dyDescent="0.2">
      <c r="A999" s="50">
        <f t="shared" si="15"/>
        <v>996</v>
      </c>
      <c r="B999" s="17"/>
      <c r="C999" s="17"/>
      <c r="D999" s="17"/>
      <c r="E999" s="51"/>
      <c r="F999" s="50"/>
      <c r="G999" s="23"/>
      <c r="H999" s="24"/>
      <c r="I999" s="23"/>
      <c r="J999" s="19">
        <f>Таблица1[[#This Row],[Блок
 Куб]]*Таблица1[[#This Row],[Цена 
Приход]]</f>
        <v>0</v>
      </c>
      <c r="K999" s="25"/>
      <c r="L999" s="25"/>
      <c r="M999" s="19">
        <f>Таблица1[[#This Row],[Поддон
Шт]]*Таблица1[[#This Row],[Цена
Поддон]]</f>
        <v>0</v>
      </c>
      <c r="N999" s="19">
        <f>Таблица1[[#This Row],[Сумма 
Приход]]+Таблица1[[#This Row],[Сумма Поддон]]</f>
        <v>0</v>
      </c>
      <c r="O999" s="20"/>
      <c r="P999" s="19">
        <f>Таблица1[[#This Row],[Цена
 Продажа]]-Таблица1[[#This Row],[Цена 
Приход]]</f>
        <v>0</v>
      </c>
      <c r="Q999" s="19"/>
      <c r="R999" s="19">
        <f>Таблица1[[#This Row],[Блок
 Куб]]*Таблица1[[#This Row],[Цена
 Продажа]]</f>
        <v>0</v>
      </c>
      <c r="S999" s="20"/>
      <c r="T999" s="19">
        <f>Таблица1[[#This Row],[Сумма 
Продажа]]-Таблица1[[#This Row],[Сумма 
Приход]]</f>
        <v>0</v>
      </c>
      <c r="U999" s="150"/>
    </row>
    <row r="1000" spans="1:21" ht="14.25" x14ac:dyDescent="0.2">
      <c r="A1000" s="50">
        <f t="shared" si="15"/>
        <v>997</v>
      </c>
      <c r="B1000" s="17"/>
      <c r="C1000" s="17"/>
      <c r="D1000" s="17"/>
      <c r="E1000" s="51"/>
      <c r="F1000" s="50"/>
      <c r="G1000" s="23"/>
      <c r="H1000" s="24"/>
      <c r="I1000" s="23"/>
      <c r="J1000" s="19">
        <f>Таблица1[[#This Row],[Блок
 Куб]]*Таблица1[[#This Row],[Цена 
Приход]]</f>
        <v>0</v>
      </c>
      <c r="K1000" s="25"/>
      <c r="L1000" s="25"/>
      <c r="M1000" s="19">
        <f>Таблица1[[#This Row],[Поддон
Шт]]*Таблица1[[#This Row],[Цена
Поддон]]</f>
        <v>0</v>
      </c>
      <c r="N1000" s="19">
        <f>Таблица1[[#This Row],[Сумма 
Приход]]+Таблица1[[#This Row],[Сумма Поддон]]</f>
        <v>0</v>
      </c>
      <c r="O1000" s="20"/>
      <c r="P1000" s="19">
        <f>Таблица1[[#This Row],[Цена
 Продажа]]-Таблица1[[#This Row],[Цена 
Приход]]</f>
        <v>0</v>
      </c>
      <c r="Q1000" s="19"/>
      <c r="R1000" s="19">
        <f>Таблица1[[#This Row],[Блок
 Куб]]*Таблица1[[#This Row],[Цена
 Продажа]]</f>
        <v>0</v>
      </c>
      <c r="S1000" s="20"/>
      <c r="T1000" s="19">
        <f>Таблица1[[#This Row],[Сумма 
Продажа]]-Таблица1[[#This Row],[Сумма 
Приход]]</f>
        <v>0</v>
      </c>
      <c r="U1000" s="150"/>
    </row>
    <row r="1001" spans="1:21" ht="14.25" x14ac:dyDescent="0.2">
      <c r="A1001" s="50">
        <f t="shared" si="15"/>
        <v>998</v>
      </c>
      <c r="B1001" s="17"/>
      <c r="C1001" s="17"/>
      <c r="D1001" s="17"/>
      <c r="E1001" s="51"/>
      <c r="F1001" s="50"/>
      <c r="G1001" s="23"/>
      <c r="H1001" s="24"/>
      <c r="I1001" s="23"/>
      <c r="J1001" s="19">
        <f>Таблица1[[#This Row],[Блок
 Куб]]*Таблица1[[#This Row],[Цена 
Приход]]</f>
        <v>0</v>
      </c>
      <c r="K1001" s="25"/>
      <c r="L1001" s="25"/>
      <c r="M1001" s="19">
        <f>Таблица1[[#This Row],[Поддон
Шт]]*Таблица1[[#This Row],[Цена
Поддон]]</f>
        <v>0</v>
      </c>
      <c r="N1001" s="19">
        <f>Таблица1[[#This Row],[Сумма 
Приход]]+Таблица1[[#This Row],[Сумма Поддон]]</f>
        <v>0</v>
      </c>
      <c r="O1001" s="20"/>
      <c r="P1001" s="19">
        <f>Таблица1[[#This Row],[Цена
 Продажа]]-Таблица1[[#This Row],[Цена 
Приход]]</f>
        <v>0</v>
      </c>
      <c r="Q1001" s="19"/>
      <c r="R1001" s="19">
        <f>Таблица1[[#This Row],[Блок
 Куб]]*Таблица1[[#This Row],[Цена
 Продажа]]</f>
        <v>0</v>
      </c>
      <c r="S1001" s="20"/>
      <c r="T1001" s="19">
        <f>Таблица1[[#This Row],[Сумма 
Продажа]]-Таблица1[[#This Row],[Сумма 
Приход]]</f>
        <v>0</v>
      </c>
      <c r="U1001" s="150"/>
    </row>
    <row r="1002" spans="1:21" ht="14.25" x14ac:dyDescent="0.2">
      <c r="A1002" s="50">
        <f t="shared" si="15"/>
        <v>999</v>
      </c>
      <c r="B1002" s="17"/>
      <c r="C1002" s="17"/>
      <c r="D1002" s="17"/>
      <c r="E1002" s="51"/>
      <c r="F1002" s="50"/>
      <c r="G1002" s="23"/>
      <c r="H1002" s="24"/>
      <c r="I1002" s="23"/>
      <c r="J1002" s="19">
        <f>Таблица1[[#This Row],[Блок
 Куб]]*Таблица1[[#This Row],[Цена 
Приход]]</f>
        <v>0</v>
      </c>
      <c r="K1002" s="25"/>
      <c r="L1002" s="25"/>
      <c r="M1002" s="19">
        <f>Таблица1[[#This Row],[Поддон
Шт]]*Таблица1[[#This Row],[Цена
Поддон]]</f>
        <v>0</v>
      </c>
      <c r="N1002" s="19">
        <f>Таблица1[[#This Row],[Сумма 
Приход]]+Таблица1[[#This Row],[Сумма Поддон]]</f>
        <v>0</v>
      </c>
      <c r="O1002" s="20"/>
      <c r="P1002" s="19">
        <f>Таблица1[[#This Row],[Цена
 Продажа]]-Таблица1[[#This Row],[Цена 
Приход]]</f>
        <v>0</v>
      </c>
      <c r="Q1002" s="19"/>
      <c r="R1002" s="19">
        <f>Таблица1[[#This Row],[Блок
 Куб]]*Таблица1[[#This Row],[Цена
 Продажа]]</f>
        <v>0</v>
      </c>
      <c r="S1002" s="20"/>
      <c r="T1002" s="19">
        <f>Таблица1[[#This Row],[Сумма 
Продажа]]-Таблица1[[#This Row],[Сумма 
Приход]]</f>
        <v>0</v>
      </c>
      <c r="U1002" s="150"/>
    </row>
    <row r="1003" spans="1:21" ht="14.25" x14ac:dyDescent="0.2">
      <c r="A1003" s="50">
        <f t="shared" si="15"/>
        <v>1000</v>
      </c>
      <c r="B1003" s="17"/>
      <c r="C1003" s="17"/>
      <c r="D1003" s="17"/>
      <c r="E1003" s="51"/>
      <c r="F1003" s="50"/>
      <c r="G1003" s="23"/>
      <c r="H1003" s="24"/>
      <c r="I1003" s="23"/>
      <c r="J1003" s="19">
        <f>Таблица1[[#This Row],[Блок
 Куб]]*Таблица1[[#This Row],[Цена 
Приход]]</f>
        <v>0</v>
      </c>
      <c r="K1003" s="25"/>
      <c r="L1003" s="25"/>
      <c r="M1003" s="19">
        <f>Таблица1[[#This Row],[Поддон
Шт]]*Таблица1[[#This Row],[Цена
Поддон]]</f>
        <v>0</v>
      </c>
      <c r="N1003" s="19">
        <f>Таблица1[[#This Row],[Сумма 
Приход]]+Таблица1[[#This Row],[Сумма Поддон]]</f>
        <v>0</v>
      </c>
      <c r="O1003" s="20"/>
      <c r="P1003" s="19">
        <f>Таблица1[[#This Row],[Цена
 Продажа]]-Таблица1[[#This Row],[Цена 
Приход]]</f>
        <v>0</v>
      </c>
      <c r="Q1003" s="19"/>
      <c r="R1003" s="19">
        <f>Таблица1[[#This Row],[Блок
 Куб]]*Таблица1[[#This Row],[Цена
 Продажа]]</f>
        <v>0</v>
      </c>
      <c r="S1003" s="20"/>
      <c r="T1003" s="19">
        <f>Таблица1[[#This Row],[Сумма 
Продажа]]-Таблица1[[#This Row],[Сумма 
Приход]]</f>
        <v>0</v>
      </c>
      <c r="U1003" s="150"/>
    </row>
    <row r="1004" spans="1:21" ht="14.25" x14ac:dyDescent="0.2">
      <c r="A1004" s="50">
        <f t="shared" si="15"/>
        <v>1001</v>
      </c>
      <c r="B1004" s="17"/>
      <c r="C1004" s="17"/>
      <c r="D1004" s="17"/>
      <c r="E1004" s="51"/>
      <c r="F1004" s="50"/>
      <c r="G1004" s="23"/>
      <c r="H1004" s="24"/>
      <c r="I1004" s="23"/>
      <c r="J1004" s="19">
        <f>Таблица1[[#This Row],[Блок
 Куб]]*Таблица1[[#This Row],[Цена 
Приход]]</f>
        <v>0</v>
      </c>
      <c r="K1004" s="25"/>
      <c r="L1004" s="25"/>
      <c r="M1004" s="19">
        <f>Таблица1[[#This Row],[Поддон
Шт]]*Таблица1[[#This Row],[Цена
Поддон]]</f>
        <v>0</v>
      </c>
      <c r="N1004" s="19">
        <f>Таблица1[[#This Row],[Сумма 
Приход]]+Таблица1[[#This Row],[Сумма Поддон]]</f>
        <v>0</v>
      </c>
      <c r="O1004" s="20"/>
      <c r="P1004" s="19">
        <f>Таблица1[[#This Row],[Цена
 Продажа]]-Таблица1[[#This Row],[Цена 
Приход]]</f>
        <v>0</v>
      </c>
      <c r="Q1004" s="19"/>
      <c r="R1004" s="19">
        <f>Таблица1[[#This Row],[Блок
 Куб]]*Таблица1[[#This Row],[Цена
 Продажа]]</f>
        <v>0</v>
      </c>
      <c r="S1004" s="20"/>
      <c r="T1004" s="19">
        <f>Таблица1[[#This Row],[Сумма 
Продажа]]-Таблица1[[#This Row],[Сумма 
Приход]]</f>
        <v>0</v>
      </c>
      <c r="U1004" s="150"/>
    </row>
    <row r="1005" spans="1:21" ht="14.25" x14ac:dyDescent="0.2">
      <c r="A1005" s="50">
        <f t="shared" si="15"/>
        <v>1002</v>
      </c>
      <c r="B1005" s="17"/>
      <c r="C1005" s="17"/>
      <c r="D1005" s="17"/>
      <c r="E1005" s="51"/>
      <c r="F1005" s="50"/>
      <c r="G1005" s="23"/>
      <c r="H1005" s="24"/>
      <c r="I1005" s="23"/>
      <c r="J1005" s="19">
        <f>Таблица1[[#This Row],[Блок
 Куб]]*Таблица1[[#This Row],[Цена 
Приход]]</f>
        <v>0</v>
      </c>
      <c r="K1005" s="25"/>
      <c r="L1005" s="25"/>
      <c r="M1005" s="19">
        <f>Таблица1[[#This Row],[Поддон
Шт]]*Таблица1[[#This Row],[Цена
Поддон]]</f>
        <v>0</v>
      </c>
      <c r="N1005" s="19">
        <f>Таблица1[[#This Row],[Сумма 
Приход]]+Таблица1[[#This Row],[Сумма Поддон]]</f>
        <v>0</v>
      </c>
      <c r="O1005" s="20"/>
      <c r="P1005" s="19">
        <f>Таблица1[[#This Row],[Цена
 Продажа]]-Таблица1[[#This Row],[Цена 
Приход]]</f>
        <v>0</v>
      </c>
      <c r="Q1005" s="19"/>
      <c r="R1005" s="19">
        <f>Таблица1[[#This Row],[Блок
 Куб]]*Таблица1[[#This Row],[Цена
 Продажа]]</f>
        <v>0</v>
      </c>
      <c r="S1005" s="20"/>
      <c r="T1005" s="19">
        <f>Таблица1[[#This Row],[Сумма 
Продажа]]-Таблица1[[#This Row],[Сумма 
Приход]]</f>
        <v>0</v>
      </c>
      <c r="U1005" s="150"/>
    </row>
    <row r="1006" spans="1:21" ht="14.25" x14ac:dyDescent="0.2">
      <c r="A1006" s="50">
        <f t="shared" si="15"/>
        <v>1003</v>
      </c>
      <c r="B1006" s="17"/>
      <c r="C1006" s="17"/>
      <c r="D1006" s="17"/>
      <c r="E1006" s="51"/>
      <c r="F1006" s="50"/>
      <c r="G1006" s="23"/>
      <c r="H1006" s="24"/>
      <c r="I1006" s="23"/>
      <c r="J1006" s="19">
        <f>Таблица1[[#This Row],[Блок
 Куб]]*Таблица1[[#This Row],[Цена 
Приход]]</f>
        <v>0</v>
      </c>
      <c r="K1006" s="25"/>
      <c r="L1006" s="25"/>
      <c r="M1006" s="19">
        <f>Таблица1[[#This Row],[Поддон
Шт]]*Таблица1[[#This Row],[Цена
Поддон]]</f>
        <v>0</v>
      </c>
      <c r="N1006" s="19">
        <f>Таблица1[[#This Row],[Сумма 
Приход]]+Таблица1[[#This Row],[Сумма Поддон]]</f>
        <v>0</v>
      </c>
      <c r="O1006" s="20"/>
      <c r="P1006" s="19">
        <f>Таблица1[[#This Row],[Цена
 Продажа]]-Таблица1[[#This Row],[Цена 
Приход]]</f>
        <v>0</v>
      </c>
      <c r="Q1006" s="19"/>
      <c r="R1006" s="19">
        <f>Таблица1[[#This Row],[Блок
 Куб]]*Таблица1[[#This Row],[Цена
 Продажа]]</f>
        <v>0</v>
      </c>
      <c r="S1006" s="20"/>
      <c r="T1006" s="19">
        <f>Таблица1[[#This Row],[Сумма 
Продажа]]-Таблица1[[#This Row],[Сумма 
Приход]]</f>
        <v>0</v>
      </c>
      <c r="U1006" s="150"/>
    </row>
    <row r="1007" spans="1:21" ht="14.25" x14ac:dyDescent="0.2">
      <c r="A1007" s="50">
        <f t="shared" si="15"/>
        <v>1004</v>
      </c>
      <c r="B1007" s="17"/>
      <c r="C1007" s="17"/>
      <c r="D1007" s="17"/>
      <c r="E1007" s="51"/>
      <c r="F1007" s="50"/>
      <c r="G1007" s="23"/>
      <c r="H1007" s="24"/>
      <c r="I1007" s="23"/>
      <c r="J1007" s="19">
        <f>Таблица1[[#This Row],[Блок
 Куб]]*Таблица1[[#This Row],[Цена 
Приход]]</f>
        <v>0</v>
      </c>
      <c r="K1007" s="25"/>
      <c r="L1007" s="25"/>
      <c r="M1007" s="19">
        <f>Таблица1[[#This Row],[Поддон
Шт]]*Таблица1[[#This Row],[Цена
Поддон]]</f>
        <v>0</v>
      </c>
      <c r="N1007" s="19">
        <f>Таблица1[[#This Row],[Сумма 
Приход]]+Таблица1[[#This Row],[Сумма Поддон]]</f>
        <v>0</v>
      </c>
      <c r="O1007" s="20"/>
      <c r="P1007" s="19">
        <f>Таблица1[[#This Row],[Цена
 Продажа]]-Таблица1[[#This Row],[Цена 
Приход]]</f>
        <v>0</v>
      </c>
      <c r="Q1007" s="19"/>
      <c r="R1007" s="19">
        <f>Таблица1[[#This Row],[Блок
 Куб]]*Таблица1[[#This Row],[Цена
 Продажа]]</f>
        <v>0</v>
      </c>
      <c r="S1007" s="20"/>
      <c r="T1007" s="19">
        <f>Таблица1[[#This Row],[Сумма 
Продажа]]-Таблица1[[#This Row],[Сумма 
Приход]]</f>
        <v>0</v>
      </c>
      <c r="U1007" s="150"/>
    </row>
    <row r="1008" spans="1:21" ht="14.25" x14ac:dyDescent="0.2">
      <c r="A1008" s="50">
        <f t="shared" si="15"/>
        <v>1005</v>
      </c>
      <c r="B1008" s="17"/>
      <c r="C1008" s="17"/>
      <c r="D1008" s="17"/>
      <c r="E1008" s="51"/>
      <c r="F1008" s="50"/>
      <c r="G1008" s="23"/>
      <c r="H1008" s="24"/>
      <c r="I1008" s="23"/>
      <c r="J1008" s="19">
        <f>Таблица1[[#This Row],[Блок
 Куб]]*Таблица1[[#This Row],[Цена 
Приход]]</f>
        <v>0</v>
      </c>
      <c r="K1008" s="25"/>
      <c r="L1008" s="25"/>
      <c r="M1008" s="19">
        <f>Таблица1[[#This Row],[Поддон
Шт]]*Таблица1[[#This Row],[Цена
Поддон]]</f>
        <v>0</v>
      </c>
      <c r="N1008" s="19">
        <f>Таблица1[[#This Row],[Сумма 
Приход]]+Таблица1[[#This Row],[Сумма Поддон]]</f>
        <v>0</v>
      </c>
      <c r="O1008" s="20"/>
      <c r="P1008" s="19">
        <f>Таблица1[[#This Row],[Цена
 Продажа]]-Таблица1[[#This Row],[Цена 
Приход]]</f>
        <v>0</v>
      </c>
      <c r="Q1008" s="19"/>
      <c r="R1008" s="19">
        <f>Таблица1[[#This Row],[Блок
 Куб]]*Таблица1[[#This Row],[Цена
 Продажа]]</f>
        <v>0</v>
      </c>
      <c r="S1008" s="20"/>
      <c r="T1008" s="19">
        <f>Таблица1[[#This Row],[Сумма 
Продажа]]-Таблица1[[#This Row],[Сумма 
Приход]]</f>
        <v>0</v>
      </c>
      <c r="U1008" s="150"/>
    </row>
    <row r="1009" spans="1:21" ht="14.25" x14ac:dyDescent="0.2">
      <c r="A1009" s="50">
        <f t="shared" si="15"/>
        <v>1006</v>
      </c>
      <c r="B1009" s="17"/>
      <c r="C1009" s="17"/>
      <c r="D1009" s="17"/>
      <c r="E1009" s="51"/>
      <c r="F1009" s="50"/>
      <c r="G1009" s="23"/>
      <c r="H1009" s="24"/>
      <c r="I1009" s="23"/>
      <c r="J1009" s="19">
        <f>Таблица1[[#This Row],[Блок
 Куб]]*Таблица1[[#This Row],[Цена 
Приход]]</f>
        <v>0</v>
      </c>
      <c r="K1009" s="25"/>
      <c r="L1009" s="25"/>
      <c r="M1009" s="19">
        <f>Таблица1[[#This Row],[Поддон
Шт]]*Таблица1[[#This Row],[Цена
Поддон]]</f>
        <v>0</v>
      </c>
      <c r="N1009" s="19">
        <f>Таблица1[[#This Row],[Сумма 
Приход]]+Таблица1[[#This Row],[Сумма Поддон]]</f>
        <v>0</v>
      </c>
      <c r="O1009" s="20"/>
      <c r="P1009" s="19">
        <f>Таблица1[[#This Row],[Цена
 Продажа]]-Таблица1[[#This Row],[Цена 
Приход]]</f>
        <v>0</v>
      </c>
      <c r="Q1009" s="19"/>
      <c r="R1009" s="19">
        <f>Таблица1[[#This Row],[Блок
 Куб]]*Таблица1[[#This Row],[Цена
 Продажа]]</f>
        <v>0</v>
      </c>
      <c r="S1009" s="20"/>
      <c r="T1009" s="19">
        <f>Таблица1[[#This Row],[Сумма 
Продажа]]-Таблица1[[#This Row],[Сумма 
Приход]]</f>
        <v>0</v>
      </c>
      <c r="U1009" s="150"/>
    </row>
    <row r="1010" spans="1:21" ht="14.25" x14ac:dyDescent="0.2">
      <c r="A1010" s="50">
        <f t="shared" si="15"/>
        <v>1007</v>
      </c>
      <c r="B1010" s="17"/>
      <c r="C1010" s="17"/>
      <c r="D1010" s="17"/>
      <c r="E1010" s="51"/>
      <c r="F1010" s="50"/>
      <c r="G1010" s="23"/>
      <c r="H1010" s="24"/>
      <c r="I1010" s="23"/>
      <c r="J1010" s="19">
        <f>Таблица1[[#This Row],[Блок
 Куб]]*Таблица1[[#This Row],[Цена 
Приход]]</f>
        <v>0</v>
      </c>
      <c r="K1010" s="25"/>
      <c r="L1010" s="25"/>
      <c r="M1010" s="19">
        <f>Таблица1[[#This Row],[Поддон
Шт]]*Таблица1[[#This Row],[Цена
Поддон]]</f>
        <v>0</v>
      </c>
      <c r="N1010" s="19">
        <f>Таблица1[[#This Row],[Сумма 
Приход]]+Таблица1[[#This Row],[Сумма Поддон]]</f>
        <v>0</v>
      </c>
      <c r="O1010" s="20"/>
      <c r="P1010" s="19">
        <f>Таблица1[[#This Row],[Цена
 Продажа]]-Таблица1[[#This Row],[Цена 
Приход]]</f>
        <v>0</v>
      </c>
      <c r="Q1010" s="19"/>
      <c r="R1010" s="19">
        <f>Таблица1[[#This Row],[Блок
 Куб]]*Таблица1[[#This Row],[Цена
 Продажа]]</f>
        <v>0</v>
      </c>
      <c r="S1010" s="20"/>
      <c r="T1010" s="19">
        <f>Таблица1[[#This Row],[Сумма 
Продажа]]-Таблица1[[#This Row],[Сумма 
Приход]]</f>
        <v>0</v>
      </c>
      <c r="U1010" s="150"/>
    </row>
    <row r="1011" spans="1:21" ht="14.25" x14ac:dyDescent="0.2">
      <c r="A1011" s="50">
        <f t="shared" si="15"/>
        <v>1008</v>
      </c>
      <c r="B1011" s="17"/>
      <c r="C1011" s="17"/>
      <c r="D1011" s="17"/>
      <c r="E1011" s="51"/>
      <c r="F1011" s="50"/>
      <c r="G1011" s="23"/>
      <c r="H1011" s="24"/>
      <c r="I1011" s="23"/>
      <c r="J1011" s="19">
        <f>Таблица1[[#This Row],[Блок
 Куб]]*Таблица1[[#This Row],[Цена 
Приход]]</f>
        <v>0</v>
      </c>
      <c r="K1011" s="25"/>
      <c r="L1011" s="25"/>
      <c r="M1011" s="19">
        <f>Таблица1[[#This Row],[Поддон
Шт]]*Таблица1[[#This Row],[Цена
Поддон]]</f>
        <v>0</v>
      </c>
      <c r="N1011" s="19">
        <f>Таблица1[[#This Row],[Сумма 
Приход]]+Таблица1[[#This Row],[Сумма Поддон]]</f>
        <v>0</v>
      </c>
      <c r="O1011" s="20"/>
      <c r="P1011" s="19">
        <f>Таблица1[[#This Row],[Цена
 Продажа]]-Таблица1[[#This Row],[Цена 
Приход]]</f>
        <v>0</v>
      </c>
      <c r="Q1011" s="19"/>
      <c r="R1011" s="19">
        <f>Таблица1[[#This Row],[Блок
 Куб]]*Таблица1[[#This Row],[Цена
 Продажа]]</f>
        <v>0</v>
      </c>
      <c r="S1011" s="20"/>
      <c r="T1011" s="19">
        <f>Таблица1[[#This Row],[Сумма 
Продажа]]-Таблица1[[#This Row],[Сумма 
Приход]]</f>
        <v>0</v>
      </c>
      <c r="U1011" s="150"/>
    </row>
    <row r="1012" spans="1:21" ht="14.25" x14ac:dyDescent="0.2">
      <c r="A1012" s="50">
        <f t="shared" si="15"/>
        <v>1009</v>
      </c>
      <c r="B1012" s="17"/>
      <c r="C1012" s="17"/>
      <c r="D1012" s="17"/>
      <c r="E1012" s="51"/>
      <c r="F1012" s="50"/>
      <c r="G1012" s="23"/>
      <c r="H1012" s="24"/>
      <c r="I1012" s="23"/>
      <c r="J1012" s="19">
        <f>Таблица1[[#This Row],[Блок
 Куб]]*Таблица1[[#This Row],[Цена 
Приход]]</f>
        <v>0</v>
      </c>
      <c r="K1012" s="25"/>
      <c r="L1012" s="25"/>
      <c r="M1012" s="19">
        <f>Таблица1[[#This Row],[Поддон
Шт]]*Таблица1[[#This Row],[Цена
Поддон]]</f>
        <v>0</v>
      </c>
      <c r="N1012" s="19">
        <f>Таблица1[[#This Row],[Сумма 
Приход]]+Таблица1[[#This Row],[Сумма Поддон]]</f>
        <v>0</v>
      </c>
      <c r="O1012" s="20"/>
      <c r="P1012" s="19">
        <f>Таблица1[[#This Row],[Цена
 Продажа]]-Таблица1[[#This Row],[Цена 
Приход]]</f>
        <v>0</v>
      </c>
      <c r="Q1012" s="19"/>
      <c r="R1012" s="19">
        <f>Таблица1[[#This Row],[Блок
 Куб]]*Таблица1[[#This Row],[Цена
 Продажа]]</f>
        <v>0</v>
      </c>
      <c r="S1012" s="20"/>
      <c r="T1012" s="19">
        <f>Таблица1[[#This Row],[Сумма 
Продажа]]-Таблица1[[#This Row],[Сумма 
Приход]]</f>
        <v>0</v>
      </c>
      <c r="U1012" s="150"/>
    </row>
    <row r="1013" spans="1:21" ht="14.25" x14ac:dyDescent="0.2">
      <c r="A1013" s="50">
        <f t="shared" si="15"/>
        <v>1010</v>
      </c>
      <c r="B1013" s="17"/>
      <c r="C1013" s="17"/>
      <c r="D1013" s="17"/>
      <c r="E1013" s="51"/>
      <c r="F1013" s="50"/>
      <c r="G1013" s="23"/>
      <c r="H1013" s="24"/>
      <c r="I1013" s="23"/>
      <c r="J1013" s="19">
        <f>Таблица1[[#This Row],[Блок
 Куб]]*Таблица1[[#This Row],[Цена 
Приход]]</f>
        <v>0</v>
      </c>
      <c r="K1013" s="25"/>
      <c r="L1013" s="25"/>
      <c r="M1013" s="19">
        <f>Таблица1[[#This Row],[Поддон
Шт]]*Таблица1[[#This Row],[Цена
Поддон]]</f>
        <v>0</v>
      </c>
      <c r="N1013" s="19">
        <f>Таблица1[[#This Row],[Сумма 
Приход]]+Таблица1[[#This Row],[Сумма Поддон]]</f>
        <v>0</v>
      </c>
      <c r="O1013" s="20"/>
      <c r="P1013" s="19">
        <f>Таблица1[[#This Row],[Цена
 Продажа]]-Таблица1[[#This Row],[Цена 
Приход]]</f>
        <v>0</v>
      </c>
      <c r="Q1013" s="19"/>
      <c r="R1013" s="19">
        <f>Таблица1[[#This Row],[Блок
 Куб]]*Таблица1[[#This Row],[Цена
 Продажа]]</f>
        <v>0</v>
      </c>
      <c r="S1013" s="20"/>
      <c r="T1013" s="19">
        <f>Таблица1[[#This Row],[Сумма 
Продажа]]-Таблица1[[#This Row],[Сумма 
Приход]]</f>
        <v>0</v>
      </c>
      <c r="U1013" s="150"/>
    </row>
    <row r="1014" spans="1:21" ht="14.25" x14ac:dyDescent="0.2">
      <c r="A1014" s="50">
        <f t="shared" si="15"/>
        <v>1011</v>
      </c>
      <c r="B1014" s="17"/>
      <c r="C1014" s="17"/>
      <c r="D1014" s="17"/>
      <c r="E1014" s="51"/>
      <c r="F1014" s="50"/>
      <c r="G1014" s="23"/>
      <c r="H1014" s="24"/>
      <c r="I1014" s="23"/>
      <c r="J1014" s="19">
        <f>Таблица1[[#This Row],[Блок
 Куб]]*Таблица1[[#This Row],[Цена 
Приход]]</f>
        <v>0</v>
      </c>
      <c r="K1014" s="25"/>
      <c r="L1014" s="25"/>
      <c r="M1014" s="19">
        <f>Таблица1[[#This Row],[Поддон
Шт]]*Таблица1[[#This Row],[Цена
Поддон]]</f>
        <v>0</v>
      </c>
      <c r="N1014" s="19">
        <f>Таблица1[[#This Row],[Сумма 
Приход]]+Таблица1[[#This Row],[Сумма Поддон]]</f>
        <v>0</v>
      </c>
      <c r="O1014" s="20"/>
      <c r="P1014" s="19">
        <f>Таблица1[[#This Row],[Цена
 Продажа]]-Таблица1[[#This Row],[Цена 
Приход]]</f>
        <v>0</v>
      </c>
      <c r="Q1014" s="19"/>
      <c r="R1014" s="19">
        <f>Таблица1[[#This Row],[Блок
 Куб]]*Таблица1[[#This Row],[Цена
 Продажа]]</f>
        <v>0</v>
      </c>
      <c r="S1014" s="20"/>
      <c r="T1014" s="19">
        <f>Таблица1[[#This Row],[Сумма 
Продажа]]-Таблица1[[#This Row],[Сумма 
Приход]]</f>
        <v>0</v>
      </c>
      <c r="U1014" s="150"/>
    </row>
    <row r="1015" spans="1:21" ht="14.25" x14ac:dyDescent="0.2">
      <c r="A1015" s="50">
        <f t="shared" si="15"/>
        <v>1012</v>
      </c>
      <c r="B1015" s="17"/>
      <c r="C1015" s="17"/>
      <c r="D1015" s="17"/>
      <c r="E1015" s="51"/>
      <c r="F1015" s="50"/>
      <c r="G1015" s="23"/>
      <c r="H1015" s="24"/>
      <c r="I1015" s="23"/>
      <c r="J1015" s="19">
        <f>Таблица1[[#This Row],[Блок
 Куб]]*Таблица1[[#This Row],[Цена 
Приход]]</f>
        <v>0</v>
      </c>
      <c r="K1015" s="25"/>
      <c r="L1015" s="25"/>
      <c r="M1015" s="19">
        <f>Таблица1[[#This Row],[Поддон
Шт]]*Таблица1[[#This Row],[Цена
Поддон]]</f>
        <v>0</v>
      </c>
      <c r="N1015" s="19">
        <f>Таблица1[[#This Row],[Сумма 
Приход]]+Таблица1[[#This Row],[Сумма Поддон]]</f>
        <v>0</v>
      </c>
      <c r="O1015" s="20"/>
      <c r="P1015" s="19">
        <f>Таблица1[[#This Row],[Цена
 Продажа]]-Таблица1[[#This Row],[Цена 
Приход]]</f>
        <v>0</v>
      </c>
      <c r="Q1015" s="19"/>
      <c r="R1015" s="19">
        <f>Таблица1[[#This Row],[Блок
 Куб]]*Таблица1[[#This Row],[Цена
 Продажа]]</f>
        <v>0</v>
      </c>
      <c r="S1015" s="20"/>
      <c r="T1015" s="19">
        <f>Таблица1[[#This Row],[Сумма 
Продажа]]-Таблица1[[#This Row],[Сумма 
Приход]]</f>
        <v>0</v>
      </c>
      <c r="U1015" s="150"/>
    </row>
    <row r="1016" spans="1:21" ht="14.25" x14ac:dyDescent="0.2">
      <c r="A1016" s="50">
        <f t="shared" si="15"/>
        <v>1013</v>
      </c>
      <c r="B1016" s="17"/>
      <c r="C1016" s="17"/>
      <c r="D1016" s="17"/>
      <c r="E1016" s="51"/>
      <c r="F1016" s="50"/>
      <c r="G1016" s="23"/>
      <c r="H1016" s="24"/>
      <c r="I1016" s="23"/>
      <c r="J1016" s="19">
        <f>Таблица1[[#This Row],[Блок
 Куб]]*Таблица1[[#This Row],[Цена 
Приход]]</f>
        <v>0</v>
      </c>
      <c r="K1016" s="25"/>
      <c r="L1016" s="25"/>
      <c r="M1016" s="19">
        <f>Таблица1[[#This Row],[Поддон
Шт]]*Таблица1[[#This Row],[Цена
Поддон]]</f>
        <v>0</v>
      </c>
      <c r="N1016" s="19">
        <f>Таблица1[[#This Row],[Сумма 
Приход]]+Таблица1[[#This Row],[Сумма Поддон]]</f>
        <v>0</v>
      </c>
      <c r="O1016" s="20"/>
      <c r="P1016" s="19">
        <f>Таблица1[[#This Row],[Цена
 Продажа]]-Таблица1[[#This Row],[Цена 
Приход]]</f>
        <v>0</v>
      </c>
      <c r="Q1016" s="19"/>
      <c r="R1016" s="19">
        <f>Таблица1[[#This Row],[Блок
 Куб]]*Таблица1[[#This Row],[Цена
 Продажа]]</f>
        <v>0</v>
      </c>
      <c r="S1016" s="20"/>
      <c r="T1016" s="19">
        <f>Таблица1[[#This Row],[Сумма 
Продажа]]-Таблица1[[#This Row],[Сумма 
Приход]]</f>
        <v>0</v>
      </c>
      <c r="U1016" s="150"/>
    </row>
    <row r="1017" spans="1:21" ht="14.25" x14ac:dyDescent="0.2">
      <c r="A1017" s="50">
        <f t="shared" si="15"/>
        <v>1014</v>
      </c>
      <c r="B1017" s="17"/>
      <c r="C1017" s="17"/>
      <c r="D1017" s="17"/>
      <c r="E1017" s="51"/>
      <c r="F1017" s="50"/>
      <c r="G1017" s="23"/>
      <c r="H1017" s="24"/>
      <c r="I1017" s="23"/>
      <c r="J1017" s="19">
        <f>Таблица1[[#This Row],[Блок
 Куб]]*Таблица1[[#This Row],[Цена 
Приход]]</f>
        <v>0</v>
      </c>
      <c r="K1017" s="25"/>
      <c r="L1017" s="25"/>
      <c r="M1017" s="19">
        <f>Таблица1[[#This Row],[Поддон
Шт]]*Таблица1[[#This Row],[Цена
Поддон]]</f>
        <v>0</v>
      </c>
      <c r="N1017" s="19">
        <f>Таблица1[[#This Row],[Сумма 
Приход]]+Таблица1[[#This Row],[Сумма Поддон]]</f>
        <v>0</v>
      </c>
      <c r="O1017" s="20"/>
      <c r="P1017" s="19">
        <f>Таблица1[[#This Row],[Цена
 Продажа]]-Таблица1[[#This Row],[Цена 
Приход]]</f>
        <v>0</v>
      </c>
      <c r="Q1017" s="19"/>
      <c r="R1017" s="19">
        <f>Таблица1[[#This Row],[Блок
 Куб]]*Таблица1[[#This Row],[Цена
 Продажа]]</f>
        <v>0</v>
      </c>
      <c r="S1017" s="20"/>
      <c r="T1017" s="19">
        <f>Таблица1[[#This Row],[Сумма 
Продажа]]-Таблица1[[#This Row],[Сумма 
Приход]]</f>
        <v>0</v>
      </c>
      <c r="U1017" s="150"/>
    </row>
    <row r="1018" spans="1:21" ht="14.25" x14ac:dyDescent="0.2">
      <c r="A1018" s="50">
        <f t="shared" si="15"/>
        <v>1015</v>
      </c>
      <c r="B1018" s="17"/>
      <c r="C1018" s="17"/>
      <c r="D1018" s="17"/>
      <c r="E1018" s="51"/>
      <c r="F1018" s="50"/>
      <c r="G1018" s="23"/>
      <c r="H1018" s="24"/>
      <c r="I1018" s="23"/>
      <c r="J1018" s="19">
        <f>Таблица1[[#This Row],[Блок
 Куб]]*Таблица1[[#This Row],[Цена 
Приход]]</f>
        <v>0</v>
      </c>
      <c r="K1018" s="25"/>
      <c r="L1018" s="25"/>
      <c r="M1018" s="19">
        <f>Таблица1[[#This Row],[Поддон
Шт]]*Таблица1[[#This Row],[Цена
Поддон]]</f>
        <v>0</v>
      </c>
      <c r="N1018" s="19">
        <f>Таблица1[[#This Row],[Сумма 
Приход]]+Таблица1[[#This Row],[Сумма Поддон]]</f>
        <v>0</v>
      </c>
      <c r="O1018" s="20"/>
      <c r="P1018" s="19">
        <f>Таблица1[[#This Row],[Цена
 Продажа]]-Таблица1[[#This Row],[Цена 
Приход]]</f>
        <v>0</v>
      </c>
      <c r="Q1018" s="19"/>
      <c r="R1018" s="19">
        <f>Таблица1[[#This Row],[Блок
 Куб]]*Таблица1[[#This Row],[Цена
 Продажа]]</f>
        <v>0</v>
      </c>
      <c r="S1018" s="20"/>
      <c r="T1018" s="19">
        <f>Таблица1[[#This Row],[Сумма 
Продажа]]-Таблица1[[#This Row],[Сумма 
Приход]]</f>
        <v>0</v>
      </c>
      <c r="U1018" s="150"/>
    </row>
    <row r="1019" spans="1:21" ht="14.25" x14ac:dyDescent="0.2">
      <c r="A1019" s="50">
        <f t="shared" si="15"/>
        <v>1016</v>
      </c>
      <c r="B1019" s="17"/>
      <c r="C1019" s="17"/>
      <c r="D1019" s="17"/>
      <c r="E1019" s="51"/>
      <c r="F1019" s="50"/>
      <c r="G1019" s="23"/>
      <c r="H1019" s="24"/>
      <c r="I1019" s="23"/>
      <c r="J1019" s="19">
        <f>Таблица1[[#This Row],[Блок
 Куб]]*Таблица1[[#This Row],[Цена 
Приход]]</f>
        <v>0</v>
      </c>
      <c r="K1019" s="25"/>
      <c r="L1019" s="25"/>
      <c r="M1019" s="19">
        <f>Таблица1[[#This Row],[Поддон
Шт]]*Таблица1[[#This Row],[Цена
Поддон]]</f>
        <v>0</v>
      </c>
      <c r="N1019" s="19">
        <f>Таблица1[[#This Row],[Сумма 
Приход]]+Таблица1[[#This Row],[Сумма Поддон]]</f>
        <v>0</v>
      </c>
      <c r="O1019" s="20"/>
      <c r="P1019" s="19">
        <f>Таблица1[[#This Row],[Цена
 Продажа]]-Таблица1[[#This Row],[Цена 
Приход]]</f>
        <v>0</v>
      </c>
      <c r="Q1019" s="19"/>
      <c r="R1019" s="19">
        <f>Таблица1[[#This Row],[Блок
 Куб]]*Таблица1[[#This Row],[Цена
 Продажа]]</f>
        <v>0</v>
      </c>
      <c r="S1019" s="20"/>
      <c r="T1019" s="19">
        <f>Таблица1[[#This Row],[Сумма 
Продажа]]-Таблица1[[#This Row],[Сумма 
Приход]]</f>
        <v>0</v>
      </c>
      <c r="U1019" s="150"/>
    </row>
    <row r="1020" spans="1:21" ht="14.25" x14ac:dyDescent="0.2">
      <c r="A1020" s="50">
        <f t="shared" si="15"/>
        <v>1017</v>
      </c>
      <c r="B1020" s="17"/>
      <c r="C1020" s="17"/>
      <c r="D1020" s="17"/>
      <c r="E1020" s="51"/>
      <c r="F1020" s="50"/>
      <c r="G1020" s="23"/>
      <c r="H1020" s="24"/>
      <c r="I1020" s="23"/>
      <c r="J1020" s="19">
        <f>Таблица1[[#This Row],[Блок
 Куб]]*Таблица1[[#This Row],[Цена 
Приход]]</f>
        <v>0</v>
      </c>
      <c r="K1020" s="25"/>
      <c r="L1020" s="25"/>
      <c r="M1020" s="19">
        <f>Таблица1[[#This Row],[Поддон
Шт]]*Таблица1[[#This Row],[Цена
Поддон]]</f>
        <v>0</v>
      </c>
      <c r="N1020" s="19">
        <f>Таблица1[[#This Row],[Сумма 
Приход]]+Таблица1[[#This Row],[Сумма Поддон]]</f>
        <v>0</v>
      </c>
      <c r="O1020" s="20"/>
      <c r="P1020" s="19">
        <f>Таблица1[[#This Row],[Цена
 Продажа]]-Таблица1[[#This Row],[Цена 
Приход]]</f>
        <v>0</v>
      </c>
      <c r="Q1020" s="19"/>
      <c r="R1020" s="19">
        <f>Таблица1[[#This Row],[Блок
 Куб]]*Таблица1[[#This Row],[Цена
 Продажа]]</f>
        <v>0</v>
      </c>
      <c r="S1020" s="20"/>
      <c r="T1020" s="19">
        <f>Таблица1[[#This Row],[Сумма 
Продажа]]-Таблица1[[#This Row],[Сумма 
Приход]]</f>
        <v>0</v>
      </c>
      <c r="U1020" s="150"/>
    </row>
    <row r="1021" spans="1:21" ht="14.25" x14ac:dyDescent="0.2">
      <c r="A1021" s="50">
        <f t="shared" si="15"/>
        <v>1018</v>
      </c>
      <c r="B1021" s="17"/>
      <c r="C1021" s="17"/>
      <c r="D1021" s="17"/>
      <c r="E1021" s="51"/>
      <c r="F1021" s="50"/>
      <c r="G1021" s="23"/>
      <c r="H1021" s="24"/>
      <c r="I1021" s="23"/>
      <c r="J1021" s="19">
        <f>Таблица1[[#This Row],[Блок
 Куб]]*Таблица1[[#This Row],[Цена 
Приход]]</f>
        <v>0</v>
      </c>
      <c r="K1021" s="25"/>
      <c r="L1021" s="25"/>
      <c r="M1021" s="19">
        <f>Таблица1[[#This Row],[Поддон
Шт]]*Таблица1[[#This Row],[Цена
Поддон]]</f>
        <v>0</v>
      </c>
      <c r="N1021" s="19">
        <f>Таблица1[[#This Row],[Сумма 
Приход]]+Таблица1[[#This Row],[Сумма Поддон]]</f>
        <v>0</v>
      </c>
      <c r="O1021" s="20"/>
      <c r="P1021" s="19">
        <f>Таблица1[[#This Row],[Цена
 Продажа]]-Таблица1[[#This Row],[Цена 
Приход]]</f>
        <v>0</v>
      </c>
      <c r="Q1021" s="19"/>
      <c r="R1021" s="19">
        <f>Таблица1[[#This Row],[Блок
 Куб]]*Таблица1[[#This Row],[Цена
 Продажа]]</f>
        <v>0</v>
      </c>
      <c r="S1021" s="20"/>
      <c r="T1021" s="19">
        <f>Таблица1[[#This Row],[Сумма 
Продажа]]-Таблица1[[#This Row],[Сумма 
Приход]]</f>
        <v>0</v>
      </c>
      <c r="U1021" s="150"/>
    </row>
    <row r="1022" spans="1:21" ht="14.25" x14ac:dyDescent="0.2">
      <c r="A1022" s="50">
        <f t="shared" si="15"/>
        <v>1019</v>
      </c>
      <c r="B1022" s="17"/>
      <c r="C1022" s="17"/>
      <c r="D1022" s="17"/>
      <c r="E1022" s="51"/>
      <c r="F1022" s="50"/>
      <c r="G1022" s="23"/>
      <c r="H1022" s="24"/>
      <c r="I1022" s="23"/>
      <c r="J1022" s="19">
        <f>Таблица1[[#This Row],[Блок
 Куб]]*Таблица1[[#This Row],[Цена 
Приход]]</f>
        <v>0</v>
      </c>
      <c r="K1022" s="25"/>
      <c r="L1022" s="25"/>
      <c r="M1022" s="19">
        <f>Таблица1[[#This Row],[Поддон
Шт]]*Таблица1[[#This Row],[Цена
Поддон]]</f>
        <v>0</v>
      </c>
      <c r="N1022" s="19">
        <f>Таблица1[[#This Row],[Сумма 
Приход]]+Таблица1[[#This Row],[Сумма Поддон]]</f>
        <v>0</v>
      </c>
      <c r="O1022" s="20"/>
      <c r="P1022" s="19">
        <f>Таблица1[[#This Row],[Цена
 Продажа]]-Таблица1[[#This Row],[Цена 
Приход]]</f>
        <v>0</v>
      </c>
      <c r="Q1022" s="19"/>
      <c r="R1022" s="19">
        <f>Таблица1[[#This Row],[Блок
 Куб]]*Таблица1[[#This Row],[Цена
 Продажа]]</f>
        <v>0</v>
      </c>
      <c r="S1022" s="20"/>
      <c r="T1022" s="19">
        <f>Таблица1[[#This Row],[Сумма 
Продажа]]-Таблица1[[#This Row],[Сумма 
Приход]]</f>
        <v>0</v>
      </c>
      <c r="U1022" s="150"/>
    </row>
    <row r="1023" spans="1:21" ht="14.25" x14ac:dyDescent="0.2">
      <c r="A1023" s="50">
        <f t="shared" si="15"/>
        <v>1020</v>
      </c>
      <c r="B1023" s="17"/>
      <c r="C1023" s="17"/>
      <c r="D1023" s="17"/>
      <c r="E1023" s="51"/>
      <c r="F1023" s="50"/>
      <c r="G1023" s="23"/>
      <c r="H1023" s="24"/>
      <c r="I1023" s="23"/>
      <c r="J1023" s="19">
        <f>Таблица1[[#This Row],[Блок
 Куб]]*Таблица1[[#This Row],[Цена 
Приход]]</f>
        <v>0</v>
      </c>
      <c r="K1023" s="25"/>
      <c r="L1023" s="25"/>
      <c r="M1023" s="19">
        <f>Таблица1[[#This Row],[Поддон
Шт]]*Таблица1[[#This Row],[Цена
Поддон]]</f>
        <v>0</v>
      </c>
      <c r="N1023" s="19">
        <f>Таблица1[[#This Row],[Сумма 
Приход]]+Таблица1[[#This Row],[Сумма Поддон]]</f>
        <v>0</v>
      </c>
      <c r="O1023" s="20"/>
      <c r="P1023" s="19">
        <f>Таблица1[[#This Row],[Цена
 Продажа]]-Таблица1[[#This Row],[Цена 
Приход]]</f>
        <v>0</v>
      </c>
      <c r="Q1023" s="19"/>
      <c r="R1023" s="19">
        <f>Таблица1[[#This Row],[Блок
 Куб]]*Таблица1[[#This Row],[Цена
 Продажа]]</f>
        <v>0</v>
      </c>
      <c r="S1023" s="20"/>
      <c r="T1023" s="19">
        <f>Таблица1[[#This Row],[Сумма 
Продажа]]-Таблица1[[#This Row],[Сумма 
Приход]]</f>
        <v>0</v>
      </c>
      <c r="U1023" s="150"/>
    </row>
    <row r="1024" spans="1:21" ht="14.25" x14ac:dyDescent="0.2">
      <c r="A1024" s="50">
        <f t="shared" si="15"/>
        <v>1021</v>
      </c>
      <c r="B1024" s="17"/>
      <c r="C1024" s="17"/>
      <c r="D1024" s="17"/>
      <c r="E1024" s="51"/>
      <c r="F1024" s="50"/>
      <c r="G1024" s="23"/>
      <c r="H1024" s="24"/>
      <c r="I1024" s="23"/>
      <c r="J1024" s="19">
        <f>Таблица1[[#This Row],[Блок
 Куб]]*Таблица1[[#This Row],[Цена 
Приход]]</f>
        <v>0</v>
      </c>
      <c r="K1024" s="25"/>
      <c r="L1024" s="25"/>
      <c r="M1024" s="19">
        <f>Таблица1[[#This Row],[Поддон
Шт]]*Таблица1[[#This Row],[Цена
Поддон]]</f>
        <v>0</v>
      </c>
      <c r="N1024" s="19">
        <f>Таблица1[[#This Row],[Сумма 
Приход]]+Таблица1[[#This Row],[Сумма Поддон]]</f>
        <v>0</v>
      </c>
      <c r="O1024" s="20"/>
      <c r="P1024" s="19">
        <f>Таблица1[[#This Row],[Цена
 Продажа]]-Таблица1[[#This Row],[Цена 
Приход]]</f>
        <v>0</v>
      </c>
      <c r="Q1024" s="19"/>
      <c r="R1024" s="19">
        <f>Таблица1[[#This Row],[Блок
 Куб]]*Таблица1[[#This Row],[Цена
 Продажа]]</f>
        <v>0</v>
      </c>
      <c r="S1024" s="20"/>
      <c r="T1024" s="19">
        <f>Таблица1[[#This Row],[Сумма 
Продажа]]-Таблица1[[#This Row],[Сумма 
Приход]]</f>
        <v>0</v>
      </c>
      <c r="U1024" s="150"/>
    </row>
    <row r="1025" spans="1:21" ht="14.25" x14ac:dyDescent="0.2">
      <c r="A1025" s="50">
        <f t="shared" si="15"/>
        <v>1022</v>
      </c>
      <c r="B1025" s="17"/>
      <c r="C1025" s="17"/>
      <c r="D1025" s="17"/>
      <c r="E1025" s="51"/>
      <c r="F1025" s="50"/>
      <c r="G1025" s="23"/>
      <c r="H1025" s="24"/>
      <c r="I1025" s="23"/>
      <c r="J1025" s="19">
        <f>Таблица1[[#This Row],[Блок
 Куб]]*Таблица1[[#This Row],[Цена 
Приход]]</f>
        <v>0</v>
      </c>
      <c r="K1025" s="25"/>
      <c r="L1025" s="25"/>
      <c r="M1025" s="19">
        <f>Таблица1[[#This Row],[Поддон
Шт]]*Таблица1[[#This Row],[Цена
Поддон]]</f>
        <v>0</v>
      </c>
      <c r="N1025" s="19">
        <f>Таблица1[[#This Row],[Сумма 
Приход]]+Таблица1[[#This Row],[Сумма Поддон]]</f>
        <v>0</v>
      </c>
      <c r="O1025" s="20"/>
      <c r="P1025" s="19">
        <f>Таблица1[[#This Row],[Цена
 Продажа]]-Таблица1[[#This Row],[Цена 
Приход]]</f>
        <v>0</v>
      </c>
      <c r="Q1025" s="19"/>
      <c r="R1025" s="19">
        <f>Таблица1[[#This Row],[Блок
 Куб]]*Таблица1[[#This Row],[Цена
 Продажа]]</f>
        <v>0</v>
      </c>
      <c r="S1025" s="20"/>
      <c r="T1025" s="19">
        <f>Таблица1[[#This Row],[Сумма 
Продажа]]-Таблица1[[#This Row],[Сумма 
Приход]]</f>
        <v>0</v>
      </c>
      <c r="U1025" s="150"/>
    </row>
    <row r="1026" spans="1:21" ht="14.25" x14ac:dyDescent="0.2">
      <c r="A1026" s="50">
        <f t="shared" si="15"/>
        <v>1023</v>
      </c>
      <c r="B1026" s="17"/>
      <c r="C1026" s="17"/>
      <c r="D1026" s="17"/>
      <c r="E1026" s="51"/>
      <c r="F1026" s="50"/>
      <c r="G1026" s="23"/>
      <c r="H1026" s="24"/>
      <c r="I1026" s="23"/>
      <c r="J1026" s="19">
        <f>Таблица1[[#This Row],[Блок
 Куб]]*Таблица1[[#This Row],[Цена 
Приход]]</f>
        <v>0</v>
      </c>
      <c r="K1026" s="25"/>
      <c r="L1026" s="25"/>
      <c r="M1026" s="19">
        <f>Таблица1[[#This Row],[Поддон
Шт]]*Таблица1[[#This Row],[Цена
Поддон]]</f>
        <v>0</v>
      </c>
      <c r="N1026" s="19">
        <f>Таблица1[[#This Row],[Сумма 
Приход]]+Таблица1[[#This Row],[Сумма Поддон]]</f>
        <v>0</v>
      </c>
      <c r="O1026" s="20"/>
      <c r="P1026" s="19">
        <f>Таблица1[[#This Row],[Цена
 Продажа]]-Таблица1[[#This Row],[Цена 
Приход]]</f>
        <v>0</v>
      </c>
      <c r="Q1026" s="19"/>
      <c r="R1026" s="19">
        <f>Таблица1[[#This Row],[Блок
 Куб]]*Таблица1[[#This Row],[Цена
 Продажа]]</f>
        <v>0</v>
      </c>
      <c r="S1026" s="20"/>
      <c r="T1026" s="19">
        <f>Таблица1[[#This Row],[Сумма 
Продажа]]-Таблица1[[#This Row],[Сумма 
Приход]]</f>
        <v>0</v>
      </c>
      <c r="U1026" s="150"/>
    </row>
    <row r="1027" spans="1:21" ht="14.25" x14ac:dyDescent="0.2">
      <c r="A1027" s="50">
        <f t="shared" si="15"/>
        <v>1024</v>
      </c>
      <c r="B1027" s="17"/>
      <c r="C1027" s="17"/>
      <c r="D1027" s="17"/>
      <c r="E1027" s="51"/>
      <c r="F1027" s="50"/>
      <c r="G1027" s="23"/>
      <c r="H1027" s="24"/>
      <c r="I1027" s="23"/>
      <c r="J1027" s="19">
        <f>Таблица1[[#This Row],[Блок
 Куб]]*Таблица1[[#This Row],[Цена 
Приход]]</f>
        <v>0</v>
      </c>
      <c r="K1027" s="25"/>
      <c r="L1027" s="25"/>
      <c r="M1027" s="19">
        <f>Таблица1[[#This Row],[Поддон
Шт]]*Таблица1[[#This Row],[Цена
Поддон]]</f>
        <v>0</v>
      </c>
      <c r="N1027" s="19">
        <f>Таблица1[[#This Row],[Сумма 
Приход]]+Таблица1[[#This Row],[Сумма Поддон]]</f>
        <v>0</v>
      </c>
      <c r="O1027" s="20"/>
      <c r="P1027" s="19">
        <f>Таблица1[[#This Row],[Цена
 Продажа]]-Таблица1[[#This Row],[Цена 
Приход]]</f>
        <v>0</v>
      </c>
      <c r="Q1027" s="19"/>
      <c r="R1027" s="19">
        <f>Таблица1[[#This Row],[Блок
 Куб]]*Таблица1[[#This Row],[Цена
 Продажа]]</f>
        <v>0</v>
      </c>
      <c r="S1027" s="20"/>
      <c r="T1027" s="19">
        <f>Таблица1[[#This Row],[Сумма 
Продажа]]-Таблица1[[#This Row],[Сумма 
Приход]]</f>
        <v>0</v>
      </c>
      <c r="U1027" s="150"/>
    </row>
    <row r="1028" spans="1:21" ht="14.25" x14ac:dyDescent="0.2">
      <c r="A1028" s="50">
        <f t="shared" si="15"/>
        <v>1025</v>
      </c>
      <c r="B1028" s="17"/>
      <c r="C1028" s="17"/>
      <c r="D1028" s="17"/>
      <c r="E1028" s="51"/>
      <c r="F1028" s="50"/>
      <c r="G1028" s="23"/>
      <c r="H1028" s="24"/>
      <c r="I1028" s="23"/>
      <c r="J1028" s="19">
        <f>Таблица1[[#This Row],[Блок
 Куб]]*Таблица1[[#This Row],[Цена 
Приход]]</f>
        <v>0</v>
      </c>
      <c r="K1028" s="25"/>
      <c r="L1028" s="25"/>
      <c r="M1028" s="19">
        <f>Таблица1[[#This Row],[Поддон
Шт]]*Таблица1[[#This Row],[Цена
Поддон]]</f>
        <v>0</v>
      </c>
      <c r="N1028" s="19">
        <f>Таблица1[[#This Row],[Сумма 
Приход]]+Таблица1[[#This Row],[Сумма Поддон]]</f>
        <v>0</v>
      </c>
      <c r="O1028" s="20"/>
      <c r="P1028" s="19">
        <f>Таблица1[[#This Row],[Цена
 Продажа]]-Таблица1[[#This Row],[Цена 
Приход]]</f>
        <v>0</v>
      </c>
      <c r="Q1028" s="19"/>
      <c r="R1028" s="19">
        <f>Таблица1[[#This Row],[Блок
 Куб]]*Таблица1[[#This Row],[Цена
 Продажа]]</f>
        <v>0</v>
      </c>
      <c r="S1028" s="20"/>
      <c r="T1028" s="19">
        <f>Таблица1[[#This Row],[Сумма 
Продажа]]-Таблица1[[#This Row],[Сумма 
Приход]]</f>
        <v>0</v>
      </c>
      <c r="U1028" s="150"/>
    </row>
    <row r="1029" spans="1:21" ht="14.25" x14ac:dyDescent="0.2">
      <c r="A1029" s="50">
        <f t="shared" si="15"/>
        <v>1026</v>
      </c>
      <c r="B1029" s="17"/>
      <c r="C1029" s="17"/>
      <c r="D1029" s="17"/>
      <c r="E1029" s="51"/>
      <c r="F1029" s="50"/>
      <c r="G1029" s="23"/>
      <c r="H1029" s="24"/>
      <c r="I1029" s="23"/>
      <c r="J1029" s="19">
        <f>Таблица1[[#This Row],[Блок
 Куб]]*Таблица1[[#This Row],[Цена 
Приход]]</f>
        <v>0</v>
      </c>
      <c r="K1029" s="25"/>
      <c r="L1029" s="25"/>
      <c r="M1029" s="19">
        <f>Таблица1[[#This Row],[Поддон
Шт]]*Таблица1[[#This Row],[Цена
Поддон]]</f>
        <v>0</v>
      </c>
      <c r="N1029" s="19">
        <f>Таблица1[[#This Row],[Сумма 
Приход]]+Таблица1[[#This Row],[Сумма Поддон]]</f>
        <v>0</v>
      </c>
      <c r="O1029" s="20"/>
      <c r="P1029" s="19">
        <f>Таблица1[[#This Row],[Цена
 Продажа]]-Таблица1[[#This Row],[Цена 
Приход]]</f>
        <v>0</v>
      </c>
      <c r="Q1029" s="19"/>
      <c r="R1029" s="19">
        <f>Таблица1[[#This Row],[Блок
 Куб]]*Таблица1[[#This Row],[Цена
 Продажа]]</f>
        <v>0</v>
      </c>
      <c r="S1029" s="20"/>
      <c r="T1029" s="19">
        <f>Таблица1[[#This Row],[Сумма 
Продажа]]-Таблица1[[#This Row],[Сумма 
Приход]]</f>
        <v>0</v>
      </c>
      <c r="U1029" s="150"/>
    </row>
    <row r="1030" spans="1:21" ht="14.25" x14ac:dyDescent="0.2">
      <c r="A1030" s="50">
        <f t="shared" ref="A1030:A1093" si="16">A1029+1</f>
        <v>1027</v>
      </c>
      <c r="B1030" s="17"/>
      <c r="C1030" s="17"/>
      <c r="D1030" s="17"/>
      <c r="E1030" s="51"/>
      <c r="F1030" s="50"/>
      <c r="G1030" s="23"/>
      <c r="H1030" s="24"/>
      <c r="I1030" s="23"/>
      <c r="J1030" s="19">
        <f>Таблица1[[#This Row],[Блок
 Куб]]*Таблица1[[#This Row],[Цена 
Приход]]</f>
        <v>0</v>
      </c>
      <c r="K1030" s="25"/>
      <c r="L1030" s="25"/>
      <c r="M1030" s="19">
        <f>Таблица1[[#This Row],[Поддон
Шт]]*Таблица1[[#This Row],[Цена
Поддон]]</f>
        <v>0</v>
      </c>
      <c r="N1030" s="19">
        <f>Таблица1[[#This Row],[Сумма 
Приход]]+Таблица1[[#This Row],[Сумма Поддон]]</f>
        <v>0</v>
      </c>
      <c r="O1030" s="20"/>
      <c r="P1030" s="19">
        <f>Таблица1[[#This Row],[Цена
 Продажа]]-Таблица1[[#This Row],[Цена 
Приход]]</f>
        <v>0</v>
      </c>
      <c r="Q1030" s="19"/>
      <c r="R1030" s="19">
        <f>Таблица1[[#This Row],[Блок
 Куб]]*Таблица1[[#This Row],[Цена
 Продажа]]</f>
        <v>0</v>
      </c>
      <c r="S1030" s="20"/>
      <c r="T1030" s="19">
        <f>Таблица1[[#This Row],[Сумма 
Продажа]]-Таблица1[[#This Row],[Сумма 
Приход]]</f>
        <v>0</v>
      </c>
      <c r="U1030" s="150"/>
    </row>
    <row r="1031" spans="1:21" ht="14.25" x14ac:dyDescent="0.2">
      <c r="A1031" s="50">
        <f t="shared" si="16"/>
        <v>1028</v>
      </c>
      <c r="B1031" s="17"/>
      <c r="C1031" s="17"/>
      <c r="D1031" s="17"/>
      <c r="E1031" s="51"/>
      <c r="F1031" s="50"/>
      <c r="G1031" s="23"/>
      <c r="H1031" s="24"/>
      <c r="I1031" s="23"/>
      <c r="J1031" s="19">
        <f>Таблица1[[#This Row],[Блок
 Куб]]*Таблица1[[#This Row],[Цена 
Приход]]</f>
        <v>0</v>
      </c>
      <c r="K1031" s="25"/>
      <c r="L1031" s="25"/>
      <c r="M1031" s="19">
        <f>Таблица1[[#This Row],[Поддон
Шт]]*Таблица1[[#This Row],[Цена
Поддон]]</f>
        <v>0</v>
      </c>
      <c r="N1031" s="19">
        <f>Таблица1[[#This Row],[Сумма 
Приход]]+Таблица1[[#This Row],[Сумма Поддон]]</f>
        <v>0</v>
      </c>
      <c r="O1031" s="20"/>
      <c r="P1031" s="19">
        <f>Таблица1[[#This Row],[Цена
 Продажа]]-Таблица1[[#This Row],[Цена 
Приход]]</f>
        <v>0</v>
      </c>
      <c r="Q1031" s="19"/>
      <c r="R1031" s="19">
        <f>Таблица1[[#This Row],[Блок
 Куб]]*Таблица1[[#This Row],[Цена
 Продажа]]</f>
        <v>0</v>
      </c>
      <c r="S1031" s="20"/>
      <c r="T1031" s="19">
        <f>Таблица1[[#This Row],[Сумма 
Продажа]]-Таблица1[[#This Row],[Сумма 
Приход]]</f>
        <v>0</v>
      </c>
      <c r="U1031" s="150"/>
    </row>
    <row r="1032" spans="1:21" ht="14.25" x14ac:dyDescent="0.2">
      <c r="A1032" s="50">
        <f t="shared" si="16"/>
        <v>1029</v>
      </c>
      <c r="B1032" s="17"/>
      <c r="C1032" s="17"/>
      <c r="D1032" s="17"/>
      <c r="E1032" s="51"/>
      <c r="F1032" s="50"/>
      <c r="G1032" s="23"/>
      <c r="H1032" s="24"/>
      <c r="I1032" s="23"/>
      <c r="J1032" s="19">
        <f>Таблица1[[#This Row],[Блок
 Куб]]*Таблица1[[#This Row],[Цена 
Приход]]</f>
        <v>0</v>
      </c>
      <c r="K1032" s="25"/>
      <c r="L1032" s="25"/>
      <c r="M1032" s="19">
        <f>Таблица1[[#This Row],[Поддон
Шт]]*Таблица1[[#This Row],[Цена
Поддон]]</f>
        <v>0</v>
      </c>
      <c r="N1032" s="19">
        <f>Таблица1[[#This Row],[Сумма 
Приход]]+Таблица1[[#This Row],[Сумма Поддон]]</f>
        <v>0</v>
      </c>
      <c r="O1032" s="20"/>
      <c r="P1032" s="19">
        <f>Таблица1[[#This Row],[Цена
 Продажа]]-Таблица1[[#This Row],[Цена 
Приход]]</f>
        <v>0</v>
      </c>
      <c r="Q1032" s="19"/>
      <c r="R1032" s="19">
        <f>Таблица1[[#This Row],[Блок
 Куб]]*Таблица1[[#This Row],[Цена
 Продажа]]</f>
        <v>0</v>
      </c>
      <c r="S1032" s="20"/>
      <c r="T1032" s="19">
        <f>Таблица1[[#This Row],[Сумма 
Продажа]]-Таблица1[[#This Row],[Сумма 
Приход]]</f>
        <v>0</v>
      </c>
      <c r="U1032" s="150"/>
    </row>
    <row r="1033" spans="1:21" ht="14.25" x14ac:dyDescent="0.2">
      <c r="A1033" s="50">
        <f t="shared" si="16"/>
        <v>1030</v>
      </c>
      <c r="B1033" s="17"/>
      <c r="C1033" s="17"/>
      <c r="D1033" s="17"/>
      <c r="E1033" s="51"/>
      <c r="F1033" s="50"/>
      <c r="G1033" s="23"/>
      <c r="H1033" s="24"/>
      <c r="I1033" s="23"/>
      <c r="J1033" s="19">
        <f>Таблица1[[#This Row],[Блок
 Куб]]*Таблица1[[#This Row],[Цена 
Приход]]</f>
        <v>0</v>
      </c>
      <c r="K1033" s="25"/>
      <c r="L1033" s="25"/>
      <c r="M1033" s="19">
        <f>Таблица1[[#This Row],[Поддон
Шт]]*Таблица1[[#This Row],[Цена
Поддон]]</f>
        <v>0</v>
      </c>
      <c r="N1033" s="19">
        <f>Таблица1[[#This Row],[Сумма 
Приход]]+Таблица1[[#This Row],[Сумма Поддон]]</f>
        <v>0</v>
      </c>
      <c r="O1033" s="20"/>
      <c r="P1033" s="19">
        <f>Таблица1[[#This Row],[Цена
 Продажа]]-Таблица1[[#This Row],[Цена 
Приход]]</f>
        <v>0</v>
      </c>
      <c r="Q1033" s="19"/>
      <c r="R1033" s="19">
        <f>Таблица1[[#This Row],[Блок
 Куб]]*Таблица1[[#This Row],[Цена
 Продажа]]</f>
        <v>0</v>
      </c>
      <c r="S1033" s="20"/>
      <c r="T1033" s="19">
        <f>Таблица1[[#This Row],[Сумма 
Продажа]]-Таблица1[[#This Row],[Сумма 
Приход]]</f>
        <v>0</v>
      </c>
      <c r="U1033" s="150"/>
    </row>
    <row r="1034" spans="1:21" ht="14.25" x14ac:dyDescent="0.2">
      <c r="A1034" s="50">
        <f t="shared" si="16"/>
        <v>1031</v>
      </c>
      <c r="B1034" s="17"/>
      <c r="C1034" s="17"/>
      <c r="D1034" s="17"/>
      <c r="E1034" s="51"/>
      <c r="F1034" s="50"/>
      <c r="G1034" s="23"/>
      <c r="H1034" s="24"/>
      <c r="I1034" s="23"/>
      <c r="J1034" s="19">
        <f>Таблица1[[#This Row],[Блок
 Куб]]*Таблица1[[#This Row],[Цена 
Приход]]</f>
        <v>0</v>
      </c>
      <c r="K1034" s="25"/>
      <c r="L1034" s="25"/>
      <c r="M1034" s="19">
        <f>Таблица1[[#This Row],[Поддон
Шт]]*Таблица1[[#This Row],[Цена
Поддон]]</f>
        <v>0</v>
      </c>
      <c r="N1034" s="19">
        <f>Таблица1[[#This Row],[Сумма 
Приход]]+Таблица1[[#This Row],[Сумма Поддон]]</f>
        <v>0</v>
      </c>
      <c r="O1034" s="20"/>
      <c r="P1034" s="19">
        <f>Таблица1[[#This Row],[Цена
 Продажа]]-Таблица1[[#This Row],[Цена 
Приход]]</f>
        <v>0</v>
      </c>
      <c r="Q1034" s="19"/>
      <c r="R1034" s="19">
        <f>Таблица1[[#This Row],[Блок
 Куб]]*Таблица1[[#This Row],[Цена
 Продажа]]</f>
        <v>0</v>
      </c>
      <c r="S1034" s="20"/>
      <c r="T1034" s="19">
        <f>Таблица1[[#This Row],[Сумма 
Продажа]]-Таблица1[[#This Row],[Сумма 
Приход]]</f>
        <v>0</v>
      </c>
      <c r="U1034" s="150"/>
    </row>
    <row r="1035" spans="1:21" ht="14.25" x14ac:dyDescent="0.2">
      <c r="A1035" s="50">
        <f t="shared" si="16"/>
        <v>1032</v>
      </c>
      <c r="B1035" s="17"/>
      <c r="C1035" s="17"/>
      <c r="D1035" s="17"/>
      <c r="E1035" s="51"/>
      <c r="F1035" s="50"/>
      <c r="G1035" s="23"/>
      <c r="H1035" s="24"/>
      <c r="I1035" s="23"/>
      <c r="J1035" s="19">
        <f>Таблица1[[#This Row],[Блок
 Куб]]*Таблица1[[#This Row],[Цена 
Приход]]</f>
        <v>0</v>
      </c>
      <c r="K1035" s="25"/>
      <c r="L1035" s="25"/>
      <c r="M1035" s="19">
        <f>Таблица1[[#This Row],[Поддон
Шт]]*Таблица1[[#This Row],[Цена
Поддон]]</f>
        <v>0</v>
      </c>
      <c r="N1035" s="19">
        <f>Таблица1[[#This Row],[Сумма 
Приход]]+Таблица1[[#This Row],[Сумма Поддон]]</f>
        <v>0</v>
      </c>
      <c r="O1035" s="20"/>
      <c r="P1035" s="19">
        <f>Таблица1[[#This Row],[Цена
 Продажа]]-Таблица1[[#This Row],[Цена 
Приход]]</f>
        <v>0</v>
      </c>
      <c r="Q1035" s="19"/>
      <c r="R1035" s="19">
        <f>Таблица1[[#This Row],[Блок
 Куб]]*Таблица1[[#This Row],[Цена
 Продажа]]</f>
        <v>0</v>
      </c>
      <c r="S1035" s="20"/>
      <c r="T1035" s="19">
        <f>Таблица1[[#This Row],[Сумма 
Продажа]]-Таблица1[[#This Row],[Сумма 
Приход]]</f>
        <v>0</v>
      </c>
      <c r="U1035" s="150"/>
    </row>
    <row r="1036" spans="1:21" ht="14.25" x14ac:dyDescent="0.2">
      <c r="A1036" s="50">
        <f t="shared" si="16"/>
        <v>1033</v>
      </c>
      <c r="B1036" s="17"/>
      <c r="C1036" s="17"/>
      <c r="D1036" s="17"/>
      <c r="E1036" s="51"/>
      <c r="F1036" s="50"/>
      <c r="G1036" s="23"/>
      <c r="H1036" s="24"/>
      <c r="I1036" s="23"/>
      <c r="J1036" s="19">
        <f>Таблица1[[#This Row],[Блок
 Куб]]*Таблица1[[#This Row],[Цена 
Приход]]</f>
        <v>0</v>
      </c>
      <c r="K1036" s="25"/>
      <c r="L1036" s="25"/>
      <c r="M1036" s="19">
        <f>Таблица1[[#This Row],[Поддон
Шт]]*Таблица1[[#This Row],[Цена
Поддон]]</f>
        <v>0</v>
      </c>
      <c r="N1036" s="19">
        <f>Таблица1[[#This Row],[Сумма 
Приход]]+Таблица1[[#This Row],[Сумма Поддон]]</f>
        <v>0</v>
      </c>
      <c r="O1036" s="20"/>
      <c r="P1036" s="19">
        <f>Таблица1[[#This Row],[Цена
 Продажа]]-Таблица1[[#This Row],[Цена 
Приход]]</f>
        <v>0</v>
      </c>
      <c r="Q1036" s="19"/>
      <c r="R1036" s="19">
        <f>Таблица1[[#This Row],[Блок
 Куб]]*Таблица1[[#This Row],[Цена
 Продажа]]</f>
        <v>0</v>
      </c>
      <c r="S1036" s="20"/>
      <c r="T1036" s="19">
        <f>Таблица1[[#This Row],[Сумма 
Продажа]]-Таблица1[[#This Row],[Сумма 
Приход]]</f>
        <v>0</v>
      </c>
      <c r="U1036" s="150"/>
    </row>
    <row r="1037" spans="1:21" ht="14.25" x14ac:dyDescent="0.2">
      <c r="A1037" s="50">
        <f t="shared" si="16"/>
        <v>1034</v>
      </c>
      <c r="B1037" s="17"/>
      <c r="C1037" s="17"/>
      <c r="D1037" s="17"/>
      <c r="E1037" s="51"/>
      <c r="F1037" s="50"/>
      <c r="G1037" s="23"/>
      <c r="H1037" s="24"/>
      <c r="I1037" s="23"/>
      <c r="J1037" s="19">
        <f>Таблица1[[#This Row],[Блок
 Куб]]*Таблица1[[#This Row],[Цена 
Приход]]</f>
        <v>0</v>
      </c>
      <c r="K1037" s="25"/>
      <c r="L1037" s="25"/>
      <c r="M1037" s="19">
        <f>Таблица1[[#This Row],[Поддон
Шт]]*Таблица1[[#This Row],[Цена
Поддон]]</f>
        <v>0</v>
      </c>
      <c r="N1037" s="19">
        <f>Таблица1[[#This Row],[Сумма 
Приход]]+Таблица1[[#This Row],[Сумма Поддон]]</f>
        <v>0</v>
      </c>
      <c r="O1037" s="20"/>
      <c r="P1037" s="19">
        <f>Таблица1[[#This Row],[Цена
 Продажа]]-Таблица1[[#This Row],[Цена 
Приход]]</f>
        <v>0</v>
      </c>
      <c r="Q1037" s="19"/>
      <c r="R1037" s="19">
        <f>Таблица1[[#This Row],[Блок
 Куб]]*Таблица1[[#This Row],[Цена
 Продажа]]</f>
        <v>0</v>
      </c>
      <c r="S1037" s="20"/>
      <c r="T1037" s="19">
        <f>Таблица1[[#This Row],[Сумма 
Продажа]]-Таблица1[[#This Row],[Сумма 
Приход]]</f>
        <v>0</v>
      </c>
      <c r="U1037" s="150"/>
    </row>
    <row r="1038" spans="1:21" ht="14.25" x14ac:dyDescent="0.2">
      <c r="A1038" s="50">
        <f t="shared" si="16"/>
        <v>1035</v>
      </c>
      <c r="B1038" s="17"/>
      <c r="C1038" s="17"/>
      <c r="D1038" s="17"/>
      <c r="E1038" s="51"/>
      <c r="F1038" s="50"/>
      <c r="G1038" s="23"/>
      <c r="H1038" s="24"/>
      <c r="I1038" s="23"/>
      <c r="J1038" s="19">
        <f>Таблица1[[#This Row],[Блок
 Куб]]*Таблица1[[#This Row],[Цена 
Приход]]</f>
        <v>0</v>
      </c>
      <c r="K1038" s="25"/>
      <c r="L1038" s="25"/>
      <c r="M1038" s="19">
        <f>Таблица1[[#This Row],[Поддон
Шт]]*Таблица1[[#This Row],[Цена
Поддон]]</f>
        <v>0</v>
      </c>
      <c r="N1038" s="19">
        <f>Таблица1[[#This Row],[Сумма 
Приход]]+Таблица1[[#This Row],[Сумма Поддон]]</f>
        <v>0</v>
      </c>
      <c r="O1038" s="20"/>
      <c r="P1038" s="19">
        <f>Таблица1[[#This Row],[Цена
 Продажа]]-Таблица1[[#This Row],[Цена 
Приход]]</f>
        <v>0</v>
      </c>
      <c r="Q1038" s="19"/>
      <c r="R1038" s="19">
        <f>Таблица1[[#This Row],[Блок
 Куб]]*Таблица1[[#This Row],[Цена
 Продажа]]</f>
        <v>0</v>
      </c>
      <c r="S1038" s="20"/>
      <c r="T1038" s="19">
        <f>Таблица1[[#This Row],[Сумма 
Продажа]]-Таблица1[[#This Row],[Сумма 
Приход]]</f>
        <v>0</v>
      </c>
      <c r="U1038" s="150"/>
    </row>
    <row r="1039" spans="1:21" ht="14.25" x14ac:dyDescent="0.2">
      <c r="A1039" s="50">
        <f t="shared" si="16"/>
        <v>1036</v>
      </c>
      <c r="B1039" s="17"/>
      <c r="C1039" s="17"/>
      <c r="D1039" s="17"/>
      <c r="E1039" s="51"/>
      <c r="F1039" s="50"/>
      <c r="G1039" s="23"/>
      <c r="H1039" s="24"/>
      <c r="I1039" s="23"/>
      <c r="J1039" s="19">
        <f>Таблица1[[#This Row],[Блок
 Куб]]*Таблица1[[#This Row],[Цена 
Приход]]</f>
        <v>0</v>
      </c>
      <c r="K1039" s="25"/>
      <c r="L1039" s="25"/>
      <c r="M1039" s="19">
        <f>Таблица1[[#This Row],[Поддон
Шт]]*Таблица1[[#This Row],[Цена
Поддон]]</f>
        <v>0</v>
      </c>
      <c r="N1039" s="19">
        <f>Таблица1[[#This Row],[Сумма 
Приход]]+Таблица1[[#This Row],[Сумма Поддон]]</f>
        <v>0</v>
      </c>
      <c r="O1039" s="20"/>
      <c r="P1039" s="19">
        <f>Таблица1[[#This Row],[Цена
 Продажа]]-Таблица1[[#This Row],[Цена 
Приход]]</f>
        <v>0</v>
      </c>
      <c r="Q1039" s="19"/>
      <c r="R1039" s="19">
        <f>Таблица1[[#This Row],[Блок
 Куб]]*Таблица1[[#This Row],[Цена
 Продажа]]</f>
        <v>0</v>
      </c>
      <c r="S1039" s="20"/>
      <c r="T1039" s="19">
        <f>Таблица1[[#This Row],[Сумма 
Продажа]]-Таблица1[[#This Row],[Сумма 
Приход]]</f>
        <v>0</v>
      </c>
      <c r="U1039" s="150"/>
    </row>
    <row r="1040" spans="1:21" ht="14.25" x14ac:dyDescent="0.2">
      <c r="A1040" s="50">
        <f t="shared" si="16"/>
        <v>1037</v>
      </c>
      <c r="B1040" s="17"/>
      <c r="C1040" s="17"/>
      <c r="D1040" s="17"/>
      <c r="E1040" s="51"/>
      <c r="F1040" s="50"/>
      <c r="G1040" s="23"/>
      <c r="H1040" s="24"/>
      <c r="I1040" s="23"/>
      <c r="J1040" s="19">
        <f>Таблица1[[#This Row],[Блок
 Куб]]*Таблица1[[#This Row],[Цена 
Приход]]</f>
        <v>0</v>
      </c>
      <c r="K1040" s="25"/>
      <c r="L1040" s="25"/>
      <c r="M1040" s="19">
        <f>Таблица1[[#This Row],[Поддон
Шт]]*Таблица1[[#This Row],[Цена
Поддон]]</f>
        <v>0</v>
      </c>
      <c r="N1040" s="19">
        <f>Таблица1[[#This Row],[Сумма 
Приход]]+Таблица1[[#This Row],[Сумма Поддон]]</f>
        <v>0</v>
      </c>
      <c r="O1040" s="20"/>
      <c r="P1040" s="19">
        <f>Таблица1[[#This Row],[Цена
 Продажа]]-Таблица1[[#This Row],[Цена 
Приход]]</f>
        <v>0</v>
      </c>
      <c r="Q1040" s="19"/>
      <c r="R1040" s="19">
        <f>Таблица1[[#This Row],[Блок
 Куб]]*Таблица1[[#This Row],[Цена
 Продажа]]</f>
        <v>0</v>
      </c>
      <c r="S1040" s="20"/>
      <c r="T1040" s="19">
        <f>Таблица1[[#This Row],[Сумма 
Продажа]]-Таблица1[[#This Row],[Сумма 
Приход]]</f>
        <v>0</v>
      </c>
      <c r="U1040" s="150"/>
    </row>
    <row r="1041" spans="1:21" ht="14.25" x14ac:dyDescent="0.2">
      <c r="A1041" s="50">
        <f t="shared" si="16"/>
        <v>1038</v>
      </c>
      <c r="B1041" s="17"/>
      <c r="C1041" s="17"/>
      <c r="D1041" s="17"/>
      <c r="E1041" s="51"/>
      <c r="F1041" s="50"/>
      <c r="G1041" s="23"/>
      <c r="H1041" s="24"/>
      <c r="I1041" s="23"/>
      <c r="J1041" s="19">
        <f>Таблица1[[#This Row],[Блок
 Куб]]*Таблица1[[#This Row],[Цена 
Приход]]</f>
        <v>0</v>
      </c>
      <c r="K1041" s="25"/>
      <c r="L1041" s="25"/>
      <c r="M1041" s="19">
        <f>Таблица1[[#This Row],[Поддон
Шт]]*Таблица1[[#This Row],[Цена
Поддон]]</f>
        <v>0</v>
      </c>
      <c r="N1041" s="19">
        <f>Таблица1[[#This Row],[Сумма 
Приход]]+Таблица1[[#This Row],[Сумма Поддон]]</f>
        <v>0</v>
      </c>
      <c r="O1041" s="20"/>
      <c r="P1041" s="19">
        <f>Таблица1[[#This Row],[Цена
 Продажа]]-Таблица1[[#This Row],[Цена 
Приход]]</f>
        <v>0</v>
      </c>
      <c r="Q1041" s="19"/>
      <c r="R1041" s="19">
        <f>Таблица1[[#This Row],[Блок
 Куб]]*Таблица1[[#This Row],[Цена
 Продажа]]</f>
        <v>0</v>
      </c>
      <c r="S1041" s="20"/>
      <c r="T1041" s="19">
        <f>Таблица1[[#This Row],[Сумма 
Продажа]]-Таблица1[[#This Row],[Сумма 
Приход]]</f>
        <v>0</v>
      </c>
      <c r="U1041" s="150"/>
    </row>
    <row r="1042" spans="1:21" ht="14.25" x14ac:dyDescent="0.2">
      <c r="A1042" s="50">
        <f t="shared" si="16"/>
        <v>1039</v>
      </c>
      <c r="B1042" s="17"/>
      <c r="C1042" s="17"/>
      <c r="D1042" s="17"/>
      <c r="E1042" s="51"/>
      <c r="F1042" s="50"/>
      <c r="G1042" s="23"/>
      <c r="H1042" s="24"/>
      <c r="I1042" s="23"/>
      <c r="J1042" s="19">
        <f>Таблица1[[#This Row],[Блок
 Куб]]*Таблица1[[#This Row],[Цена 
Приход]]</f>
        <v>0</v>
      </c>
      <c r="K1042" s="25"/>
      <c r="L1042" s="25"/>
      <c r="M1042" s="19">
        <f>Таблица1[[#This Row],[Поддон
Шт]]*Таблица1[[#This Row],[Цена
Поддон]]</f>
        <v>0</v>
      </c>
      <c r="N1042" s="19">
        <f>Таблица1[[#This Row],[Сумма 
Приход]]+Таблица1[[#This Row],[Сумма Поддон]]</f>
        <v>0</v>
      </c>
      <c r="O1042" s="20"/>
      <c r="P1042" s="19">
        <f>Таблица1[[#This Row],[Цена
 Продажа]]-Таблица1[[#This Row],[Цена 
Приход]]</f>
        <v>0</v>
      </c>
      <c r="Q1042" s="19"/>
      <c r="R1042" s="19">
        <f>Таблица1[[#This Row],[Блок
 Куб]]*Таблица1[[#This Row],[Цена
 Продажа]]</f>
        <v>0</v>
      </c>
      <c r="S1042" s="20"/>
      <c r="T1042" s="19">
        <f>Таблица1[[#This Row],[Сумма 
Продажа]]-Таблица1[[#This Row],[Сумма 
Приход]]</f>
        <v>0</v>
      </c>
      <c r="U1042" s="150"/>
    </row>
    <row r="1043" spans="1:21" ht="14.25" x14ac:dyDescent="0.2">
      <c r="A1043" s="50">
        <f t="shared" si="16"/>
        <v>1040</v>
      </c>
      <c r="B1043" s="17"/>
      <c r="C1043" s="17"/>
      <c r="D1043" s="17"/>
      <c r="E1043" s="51"/>
      <c r="F1043" s="50"/>
      <c r="G1043" s="23"/>
      <c r="H1043" s="24"/>
      <c r="I1043" s="23"/>
      <c r="J1043" s="19">
        <f>Таблица1[[#This Row],[Блок
 Куб]]*Таблица1[[#This Row],[Цена 
Приход]]</f>
        <v>0</v>
      </c>
      <c r="K1043" s="25"/>
      <c r="L1043" s="25"/>
      <c r="M1043" s="19">
        <f>Таблица1[[#This Row],[Поддон
Шт]]*Таблица1[[#This Row],[Цена
Поддон]]</f>
        <v>0</v>
      </c>
      <c r="N1043" s="19">
        <f>Таблица1[[#This Row],[Сумма 
Приход]]+Таблица1[[#This Row],[Сумма Поддон]]</f>
        <v>0</v>
      </c>
      <c r="O1043" s="20"/>
      <c r="P1043" s="19">
        <f>Таблица1[[#This Row],[Цена
 Продажа]]-Таблица1[[#This Row],[Цена 
Приход]]</f>
        <v>0</v>
      </c>
      <c r="Q1043" s="19"/>
      <c r="R1043" s="19">
        <f>Таблица1[[#This Row],[Блок
 Куб]]*Таблица1[[#This Row],[Цена
 Продажа]]</f>
        <v>0</v>
      </c>
      <c r="S1043" s="20"/>
      <c r="T1043" s="19">
        <f>Таблица1[[#This Row],[Сумма 
Продажа]]-Таблица1[[#This Row],[Сумма 
Приход]]</f>
        <v>0</v>
      </c>
      <c r="U1043" s="150"/>
    </row>
    <row r="1044" spans="1:21" ht="14.25" x14ac:dyDescent="0.2">
      <c r="A1044" s="50">
        <f t="shared" si="16"/>
        <v>1041</v>
      </c>
      <c r="B1044" s="17"/>
      <c r="C1044" s="17"/>
      <c r="D1044" s="17"/>
      <c r="E1044" s="51"/>
      <c r="F1044" s="50"/>
      <c r="G1044" s="23"/>
      <c r="H1044" s="24"/>
      <c r="I1044" s="23"/>
      <c r="J1044" s="19">
        <f>Таблица1[[#This Row],[Блок
 Куб]]*Таблица1[[#This Row],[Цена 
Приход]]</f>
        <v>0</v>
      </c>
      <c r="K1044" s="25"/>
      <c r="L1044" s="25"/>
      <c r="M1044" s="19">
        <f>Таблица1[[#This Row],[Поддон
Шт]]*Таблица1[[#This Row],[Цена
Поддон]]</f>
        <v>0</v>
      </c>
      <c r="N1044" s="19">
        <f>Таблица1[[#This Row],[Сумма 
Приход]]+Таблица1[[#This Row],[Сумма Поддон]]</f>
        <v>0</v>
      </c>
      <c r="O1044" s="20"/>
      <c r="P1044" s="19">
        <f>Таблица1[[#This Row],[Цена
 Продажа]]-Таблица1[[#This Row],[Цена 
Приход]]</f>
        <v>0</v>
      </c>
      <c r="Q1044" s="19"/>
      <c r="R1044" s="19">
        <f>Таблица1[[#This Row],[Блок
 Куб]]*Таблица1[[#This Row],[Цена
 Продажа]]</f>
        <v>0</v>
      </c>
      <c r="S1044" s="20"/>
      <c r="T1044" s="19">
        <f>Таблица1[[#This Row],[Сумма 
Продажа]]-Таблица1[[#This Row],[Сумма 
Приход]]</f>
        <v>0</v>
      </c>
      <c r="U1044" s="150"/>
    </row>
    <row r="1045" spans="1:21" ht="14.25" x14ac:dyDescent="0.2">
      <c r="A1045" s="50">
        <f t="shared" si="16"/>
        <v>1042</v>
      </c>
      <c r="B1045" s="17"/>
      <c r="C1045" s="17"/>
      <c r="D1045" s="17"/>
      <c r="E1045" s="51"/>
      <c r="F1045" s="50"/>
      <c r="G1045" s="23"/>
      <c r="H1045" s="24"/>
      <c r="I1045" s="23"/>
      <c r="J1045" s="19">
        <f>Таблица1[[#This Row],[Блок
 Куб]]*Таблица1[[#This Row],[Цена 
Приход]]</f>
        <v>0</v>
      </c>
      <c r="K1045" s="25"/>
      <c r="L1045" s="25"/>
      <c r="M1045" s="19">
        <f>Таблица1[[#This Row],[Поддон
Шт]]*Таблица1[[#This Row],[Цена
Поддон]]</f>
        <v>0</v>
      </c>
      <c r="N1045" s="19">
        <f>Таблица1[[#This Row],[Сумма 
Приход]]+Таблица1[[#This Row],[Сумма Поддон]]</f>
        <v>0</v>
      </c>
      <c r="O1045" s="20"/>
      <c r="P1045" s="19">
        <f>Таблица1[[#This Row],[Цена
 Продажа]]-Таблица1[[#This Row],[Цена 
Приход]]</f>
        <v>0</v>
      </c>
      <c r="Q1045" s="19"/>
      <c r="R1045" s="19">
        <f>Таблица1[[#This Row],[Блок
 Куб]]*Таблица1[[#This Row],[Цена
 Продажа]]</f>
        <v>0</v>
      </c>
      <c r="S1045" s="20"/>
      <c r="T1045" s="19">
        <f>Таблица1[[#This Row],[Сумма 
Продажа]]-Таблица1[[#This Row],[Сумма 
Приход]]</f>
        <v>0</v>
      </c>
      <c r="U1045" s="150"/>
    </row>
    <row r="1046" spans="1:21" ht="14.25" x14ac:dyDescent="0.2">
      <c r="A1046" s="50">
        <f t="shared" si="16"/>
        <v>1043</v>
      </c>
      <c r="B1046" s="17"/>
      <c r="C1046" s="17"/>
      <c r="D1046" s="17"/>
      <c r="E1046" s="51"/>
      <c r="F1046" s="50"/>
      <c r="G1046" s="23"/>
      <c r="H1046" s="24"/>
      <c r="I1046" s="23"/>
      <c r="J1046" s="19">
        <f>Таблица1[[#This Row],[Блок
 Куб]]*Таблица1[[#This Row],[Цена 
Приход]]</f>
        <v>0</v>
      </c>
      <c r="K1046" s="25"/>
      <c r="L1046" s="25"/>
      <c r="M1046" s="19">
        <f>Таблица1[[#This Row],[Поддон
Шт]]*Таблица1[[#This Row],[Цена
Поддон]]</f>
        <v>0</v>
      </c>
      <c r="N1046" s="19">
        <f>Таблица1[[#This Row],[Сумма 
Приход]]+Таблица1[[#This Row],[Сумма Поддон]]</f>
        <v>0</v>
      </c>
      <c r="O1046" s="20"/>
      <c r="P1046" s="19">
        <f>Таблица1[[#This Row],[Цена
 Продажа]]-Таблица1[[#This Row],[Цена 
Приход]]</f>
        <v>0</v>
      </c>
      <c r="Q1046" s="19"/>
      <c r="R1046" s="19">
        <f>Таблица1[[#This Row],[Блок
 Куб]]*Таблица1[[#This Row],[Цена
 Продажа]]</f>
        <v>0</v>
      </c>
      <c r="S1046" s="20"/>
      <c r="T1046" s="19">
        <f>Таблица1[[#This Row],[Сумма 
Продажа]]-Таблица1[[#This Row],[Сумма 
Приход]]</f>
        <v>0</v>
      </c>
      <c r="U1046" s="150"/>
    </row>
    <row r="1047" spans="1:21" ht="14.25" x14ac:dyDescent="0.2">
      <c r="A1047" s="50">
        <f t="shared" si="16"/>
        <v>1044</v>
      </c>
      <c r="B1047" s="17"/>
      <c r="C1047" s="17"/>
      <c r="D1047" s="17"/>
      <c r="E1047" s="51"/>
      <c r="F1047" s="50"/>
      <c r="G1047" s="23"/>
      <c r="H1047" s="24"/>
      <c r="I1047" s="23"/>
      <c r="J1047" s="19">
        <f>Таблица1[[#This Row],[Блок
 Куб]]*Таблица1[[#This Row],[Цена 
Приход]]</f>
        <v>0</v>
      </c>
      <c r="K1047" s="25"/>
      <c r="L1047" s="25"/>
      <c r="M1047" s="19">
        <f>Таблица1[[#This Row],[Поддон
Шт]]*Таблица1[[#This Row],[Цена
Поддон]]</f>
        <v>0</v>
      </c>
      <c r="N1047" s="19">
        <f>Таблица1[[#This Row],[Сумма 
Приход]]+Таблица1[[#This Row],[Сумма Поддон]]</f>
        <v>0</v>
      </c>
      <c r="O1047" s="20"/>
      <c r="P1047" s="19">
        <f>Таблица1[[#This Row],[Цена
 Продажа]]-Таблица1[[#This Row],[Цена 
Приход]]</f>
        <v>0</v>
      </c>
      <c r="Q1047" s="19"/>
      <c r="R1047" s="19">
        <f>Таблица1[[#This Row],[Блок
 Куб]]*Таблица1[[#This Row],[Цена
 Продажа]]</f>
        <v>0</v>
      </c>
      <c r="S1047" s="20"/>
      <c r="T1047" s="19">
        <f>Таблица1[[#This Row],[Сумма 
Продажа]]-Таблица1[[#This Row],[Сумма 
Приход]]</f>
        <v>0</v>
      </c>
      <c r="U1047" s="150"/>
    </row>
    <row r="1048" spans="1:21" ht="14.25" x14ac:dyDescent="0.2">
      <c r="A1048" s="50">
        <f t="shared" si="16"/>
        <v>1045</v>
      </c>
      <c r="B1048" s="17"/>
      <c r="C1048" s="17"/>
      <c r="D1048" s="17"/>
      <c r="E1048" s="51"/>
      <c r="F1048" s="50"/>
      <c r="G1048" s="23"/>
      <c r="H1048" s="24"/>
      <c r="I1048" s="23"/>
      <c r="J1048" s="19">
        <f>Таблица1[[#This Row],[Блок
 Куб]]*Таблица1[[#This Row],[Цена 
Приход]]</f>
        <v>0</v>
      </c>
      <c r="K1048" s="25"/>
      <c r="L1048" s="25"/>
      <c r="M1048" s="19">
        <f>Таблица1[[#This Row],[Поддон
Шт]]*Таблица1[[#This Row],[Цена
Поддон]]</f>
        <v>0</v>
      </c>
      <c r="N1048" s="19">
        <f>Таблица1[[#This Row],[Сумма 
Приход]]+Таблица1[[#This Row],[Сумма Поддон]]</f>
        <v>0</v>
      </c>
      <c r="O1048" s="20"/>
      <c r="P1048" s="19">
        <f>Таблица1[[#This Row],[Цена
 Продажа]]-Таблица1[[#This Row],[Цена 
Приход]]</f>
        <v>0</v>
      </c>
      <c r="Q1048" s="19"/>
      <c r="R1048" s="19">
        <f>Таблица1[[#This Row],[Блок
 Куб]]*Таблица1[[#This Row],[Цена
 Продажа]]</f>
        <v>0</v>
      </c>
      <c r="S1048" s="20"/>
      <c r="T1048" s="19">
        <f>Таблица1[[#This Row],[Сумма 
Продажа]]-Таблица1[[#This Row],[Сумма 
Приход]]</f>
        <v>0</v>
      </c>
      <c r="U1048" s="150"/>
    </row>
    <row r="1049" spans="1:21" ht="14.25" x14ac:dyDescent="0.2">
      <c r="A1049" s="50">
        <f t="shared" si="16"/>
        <v>1046</v>
      </c>
      <c r="B1049" s="17"/>
      <c r="C1049" s="17"/>
      <c r="D1049" s="17"/>
      <c r="E1049" s="51"/>
      <c r="F1049" s="50"/>
      <c r="G1049" s="23"/>
      <c r="H1049" s="24"/>
      <c r="I1049" s="23"/>
      <c r="J1049" s="19">
        <f>Таблица1[[#This Row],[Блок
 Куб]]*Таблица1[[#This Row],[Цена 
Приход]]</f>
        <v>0</v>
      </c>
      <c r="K1049" s="25"/>
      <c r="L1049" s="25"/>
      <c r="M1049" s="19">
        <f>Таблица1[[#This Row],[Поддон
Шт]]*Таблица1[[#This Row],[Цена
Поддон]]</f>
        <v>0</v>
      </c>
      <c r="N1049" s="19">
        <f>Таблица1[[#This Row],[Сумма 
Приход]]+Таблица1[[#This Row],[Сумма Поддон]]</f>
        <v>0</v>
      </c>
      <c r="O1049" s="20"/>
      <c r="P1049" s="19">
        <f>Таблица1[[#This Row],[Цена
 Продажа]]-Таблица1[[#This Row],[Цена 
Приход]]</f>
        <v>0</v>
      </c>
      <c r="Q1049" s="19"/>
      <c r="R1049" s="19">
        <f>Таблица1[[#This Row],[Блок
 Куб]]*Таблица1[[#This Row],[Цена
 Продажа]]</f>
        <v>0</v>
      </c>
      <c r="S1049" s="20"/>
      <c r="T1049" s="19">
        <f>Таблица1[[#This Row],[Сумма 
Продажа]]-Таблица1[[#This Row],[Сумма 
Приход]]</f>
        <v>0</v>
      </c>
      <c r="U1049" s="150"/>
    </row>
    <row r="1050" spans="1:21" ht="14.25" x14ac:dyDescent="0.2">
      <c r="A1050" s="50">
        <f t="shared" si="16"/>
        <v>1047</v>
      </c>
      <c r="B1050" s="17"/>
      <c r="C1050" s="17"/>
      <c r="D1050" s="17"/>
      <c r="E1050" s="51"/>
      <c r="F1050" s="50"/>
      <c r="G1050" s="23"/>
      <c r="H1050" s="24"/>
      <c r="I1050" s="23"/>
      <c r="J1050" s="19">
        <f>Таблица1[[#This Row],[Блок
 Куб]]*Таблица1[[#This Row],[Цена 
Приход]]</f>
        <v>0</v>
      </c>
      <c r="K1050" s="25"/>
      <c r="L1050" s="25"/>
      <c r="M1050" s="19">
        <f>Таблица1[[#This Row],[Поддон
Шт]]*Таблица1[[#This Row],[Цена
Поддон]]</f>
        <v>0</v>
      </c>
      <c r="N1050" s="19">
        <f>Таблица1[[#This Row],[Сумма 
Приход]]+Таблица1[[#This Row],[Сумма Поддон]]</f>
        <v>0</v>
      </c>
      <c r="O1050" s="20"/>
      <c r="P1050" s="19">
        <f>Таблица1[[#This Row],[Цена
 Продажа]]-Таблица1[[#This Row],[Цена 
Приход]]</f>
        <v>0</v>
      </c>
      <c r="Q1050" s="19"/>
      <c r="R1050" s="19">
        <f>Таблица1[[#This Row],[Блок
 Куб]]*Таблица1[[#This Row],[Цена
 Продажа]]</f>
        <v>0</v>
      </c>
      <c r="S1050" s="20"/>
      <c r="T1050" s="19">
        <f>Таблица1[[#This Row],[Сумма 
Продажа]]-Таблица1[[#This Row],[Сумма 
Приход]]</f>
        <v>0</v>
      </c>
      <c r="U1050" s="150"/>
    </row>
    <row r="1051" spans="1:21" ht="14.25" x14ac:dyDescent="0.2">
      <c r="A1051" s="50">
        <f t="shared" si="16"/>
        <v>1048</v>
      </c>
      <c r="B1051" s="17"/>
      <c r="C1051" s="17"/>
      <c r="D1051" s="17"/>
      <c r="E1051" s="51"/>
      <c r="F1051" s="50"/>
      <c r="G1051" s="23"/>
      <c r="H1051" s="24"/>
      <c r="I1051" s="23"/>
      <c r="J1051" s="19">
        <f>Таблица1[[#This Row],[Блок
 Куб]]*Таблица1[[#This Row],[Цена 
Приход]]</f>
        <v>0</v>
      </c>
      <c r="K1051" s="25"/>
      <c r="L1051" s="25"/>
      <c r="M1051" s="19">
        <f>Таблица1[[#This Row],[Поддон
Шт]]*Таблица1[[#This Row],[Цена
Поддон]]</f>
        <v>0</v>
      </c>
      <c r="N1051" s="19">
        <f>Таблица1[[#This Row],[Сумма 
Приход]]+Таблица1[[#This Row],[Сумма Поддон]]</f>
        <v>0</v>
      </c>
      <c r="O1051" s="20"/>
      <c r="P1051" s="19">
        <f>Таблица1[[#This Row],[Цена
 Продажа]]-Таблица1[[#This Row],[Цена 
Приход]]</f>
        <v>0</v>
      </c>
      <c r="Q1051" s="19"/>
      <c r="R1051" s="19">
        <f>Таблица1[[#This Row],[Блок
 Куб]]*Таблица1[[#This Row],[Цена
 Продажа]]</f>
        <v>0</v>
      </c>
      <c r="S1051" s="20"/>
      <c r="T1051" s="19">
        <f>Таблица1[[#This Row],[Сумма 
Продажа]]-Таблица1[[#This Row],[Сумма 
Приход]]</f>
        <v>0</v>
      </c>
      <c r="U1051" s="150"/>
    </row>
    <row r="1052" spans="1:21" ht="14.25" x14ac:dyDescent="0.2">
      <c r="A1052" s="50">
        <f t="shared" si="16"/>
        <v>1049</v>
      </c>
      <c r="B1052" s="17"/>
      <c r="C1052" s="17"/>
      <c r="D1052" s="17"/>
      <c r="E1052" s="51"/>
      <c r="F1052" s="50"/>
      <c r="G1052" s="23"/>
      <c r="H1052" s="24"/>
      <c r="I1052" s="23"/>
      <c r="J1052" s="19">
        <f>Таблица1[[#This Row],[Блок
 Куб]]*Таблица1[[#This Row],[Цена 
Приход]]</f>
        <v>0</v>
      </c>
      <c r="K1052" s="25"/>
      <c r="L1052" s="25"/>
      <c r="M1052" s="19">
        <f>Таблица1[[#This Row],[Поддон
Шт]]*Таблица1[[#This Row],[Цена
Поддон]]</f>
        <v>0</v>
      </c>
      <c r="N1052" s="19">
        <f>Таблица1[[#This Row],[Сумма 
Приход]]+Таблица1[[#This Row],[Сумма Поддон]]</f>
        <v>0</v>
      </c>
      <c r="O1052" s="20"/>
      <c r="P1052" s="19">
        <f>Таблица1[[#This Row],[Цена
 Продажа]]-Таблица1[[#This Row],[Цена 
Приход]]</f>
        <v>0</v>
      </c>
      <c r="Q1052" s="19"/>
      <c r="R1052" s="19">
        <f>Таблица1[[#This Row],[Блок
 Куб]]*Таблица1[[#This Row],[Цена
 Продажа]]</f>
        <v>0</v>
      </c>
      <c r="S1052" s="20"/>
      <c r="T1052" s="19">
        <f>Таблица1[[#This Row],[Сумма 
Продажа]]-Таблица1[[#This Row],[Сумма 
Приход]]</f>
        <v>0</v>
      </c>
      <c r="U1052" s="150"/>
    </row>
    <row r="1053" spans="1:21" ht="14.25" x14ac:dyDescent="0.2">
      <c r="A1053" s="50">
        <f t="shared" si="16"/>
        <v>1050</v>
      </c>
      <c r="B1053" s="17"/>
      <c r="C1053" s="17"/>
      <c r="D1053" s="17"/>
      <c r="E1053" s="51"/>
      <c r="F1053" s="50"/>
      <c r="G1053" s="23"/>
      <c r="H1053" s="24"/>
      <c r="I1053" s="23"/>
      <c r="J1053" s="19">
        <f>Таблица1[[#This Row],[Блок
 Куб]]*Таблица1[[#This Row],[Цена 
Приход]]</f>
        <v>0</v>
      </c>
      <c r="K1053" s="25"/>
      <c r="L1053" s="25"/>
      <c r="M1053" s="19">
        <f>Таблица1[[#This Row],[Поддон
Шт]]*Таблица1[[#This Row],[Цена
Поддон]]</f>
        <v>0</v>
      </c>
      <c r="N1053" s="19">
        <f>Таблица1[[#This Row],[Сумма 
Приход]]+Таблица1[[#This Row],[Сумма Поддон]]</f>
        <v>0</v>
      </c>
      <c r="O1053" s="20"/>
      <c r="P1053" s="19">
        <f>Таблица1[[#This Row],[Цена
 Продажа]]-Таблица1[[#This Row],[Цена 
Приход]]</f>
        <v>0</v>
      </c>
      <c r="Q1053" s="19"/>
      <c r="R1053" s="19">
        <f>Таблица1[[#This Row],[Блок
 Куб]]*Таблица1[[#This Row],[Цена
 Продажа]]</f>
        <v>0</v>
      </c>
      <c r="S1053" s="20"/>
      <c r="T1053" s="19">
        <f>Таблица1[[#This Row],[Сумма 
Продажа]]-Таблица1[[#This Row],[Сумма 
Приход]]</f>
        <v>0</v>
      </c>
      <c r="U1053" s="150"/>
    </row>
    <row r="1054" spans="1:21" ht="14.25" x14ac:dyDescent="0.2">
      <c r="A1054" s="50">
        <f t="shared" si="16"/>
        <v>1051</v>
      </c>
      <c r="B1054" s="17"/>
      <c r="C1054" s="17"/>
      <c r="D1054" s="17"/>
      <c r="E1054" s="51"/>
      <c r="F1054" s="50"/>
      <c r="G1054" s="23"/>
      <c r="H1054" s="24"/>
      <c r="I1054" s="23"/>
      <c r="J1054" s="19">
        <f>Таблица1[[#This Row],[Блок
 Куб]]*Таблица1[[#This Row],[Цена 
Приход]]</f>
        <v>0</v>
      </c>
      <c r="K1054" s="25"/>
      <c r="L1054" s="25"/>
      <c r="M1054" s="19">
        <f>Таблица1[[#This Row],[Поддон
Шт]]*Таблица1[[#This Row],[Цена
Поддон]]</f>
        <v>0</v>
      </c>
      <c r="N1054" s="19">
        <f>Таблица1[[#This Row],[Сумма 
Приход]]+Таблица1[[#This Row],[Сумма Поддон]]</f>
        <v>0</v>
      </c>
      <c r="O1054" s="20"/>
      <c r="P1054" s="19">
        <f>Таблица1[[#This Row],[Цена
 Продажа]]-Таблица1[[#This Row],[Цена 
Приход]]</f>
        <v>0</v>
      </c>
      <c r="Q1054" s="19"/>
      <c r="R1054" s="19">
        <f>Таблица1[[#This Row],[Блок
 Куб]]*Таблица1[[#This Row],[Цена
 Продажа]]</f>
        <v>0</v>
      </c>
      <c r="S1054" s="20"/>
      <c r="T1054" s="19">
        <f>Таблица1[[#This Row],[Сумма 
Продажа]]-Таблица1[[#This Row],[Сумма 
Приход]]</f>
        <v>0</v>
      </c>
      <c r="U1054" s="150"/>
    </row>
    <row r="1055" spans="1:21" ht="14.25" x14ac:dyDescent="0.2">
      <c r="A1055" s="50">
        <f t="shared" si="16"/>
        <v>1052</v>
      </c>
      <c r="B1055" s="17"/>
      <c r="C1055" s="17"/>
      <c r="D1055" s="17"/>
      <c r="E1055" s="51"/>
      <c r="F1055" s="50"/>
      <c r="G1055" s="23"/>
      <c r="H1055" s="24"/>
      <c r="I1055" s="23"/>
      <c r="J1055" s="19">
        <f>Таблица1[[#This Row],[Блок
 Куб]]*Таблица1[[#This Row],[Цена 
Приход]]</f>
        <v>0</v>
      </c>
      <c r="K1055" s="25"/>
      <c r="L1055" s="25"/>
      <c r="M1055" s="19">
        <f>Таблица1[[#This Row],[Поддон
Шт]]*Таблица1[[#This Row],[Цена
Поддон]]</f>
        <v>0</v>
      </c>
      <c r="N1055" s="19">
        <f>Таблица1[[#This Row],[Сумма 
Приход]]+Таблица1[[#This Row],[Сумма Поддон]]</f>
        <v>0</v>
      </c>
      <c r="O1055" s="20"/>
      <c r="P1055" s="19">
        <f>Таблица1[[#This Row],[Цена
 Продажа]]-Таблица1[[#This Row],[Цена 
Приход]]</f>
        <v>0</v>
      </c>
      <c r="Q1055" s="19"/>
      <c r="R1055" s="19">
        <f>Таблица1[[#This Row],[Блок
 Куб]]*Таблица1[[#This Row],[Цена
 Продажа]]</f>
        <v>0</v>
      </c>
      <c r="S1055" s="20"/>
      <c r="T1055" s="19">
        <f>Таблица1[[#This Row],[Сумма 
Продажа]]-Таблица1[[#This Row],[Сумма 
Приход]]</f>
        <v>0</v>
      </c>
      <c r="U1055" s="150"/>
    </row>
    <row r="1056" spans="1:21" ht="14.25" x14ac:dyDescent="0.2">
      <c r="A1056" s="50">
        <f t="shared" si="16"/>
        <v>1053</v>
      </c>
      <c r="B1056" s="17"/>
      <c r="C1056" s="17"/>
      <c r="D1056" s="17"/>
      <c r="E1056" s="51"/>
      <c r="F1056" s="50"/>
      <c r="G1056" s="23"/>
      <c r="H1056" s="24"/>
      <c r="I1056" s="23"/>
      <c r="J1056" s="19">
        <f>Таблица1[[#This Row],[Блок
 Куб]]*Таблица1[[#This Row],[Цена 
Приход]]</f>
        <v>0</v>
      </c>
      <c r="K1056" s="25"/>
      <c r="L1056" s="25"/>
      <c r="M1056" s="19">
        <f>Таблица1[[#This Row],[Поддон
Шт]]*Таблица1[[#This Row],[Цена
Поддон]]</f>
        <v>0</v>
      </c>
      <c r="N1056" s="19">
        <f>Таблица1[[#This Row],[Сумма 
Приход]]+Таблица1[[#This Row],[Сумма Поддон]]</f>
        <v>0</v>
      </c>
      <c r="O1056" s="20"/>
      <c r="P1056" s="19">
        <f>Таблица1[[#This Row],[Цена
 Продажа]]-Таблица1[[#This Row],[Цена 
Приход]]</f>
        <v>0</v>
      </c>
      <c r="Q1056" s="19"/>
      <c r="R1056" s="19">
        <f>Таблица1[[#This Row],[Блок
 Куб]]*Таблица1[[#This Row],[Цена
 Продажа]]</f>
        <v>0</v>
      </c>
      <c r="S1056" s="20"/>
      <c r="T1056" s="19">
        <f>Таблица1[[#This Row],[Сумма 
Продажа]]-Таблица1[[#This Row],[Сумма 
Приход]]</f>
        <v>0</v>
      </c>
      <c r="U1056" s="150"/>
    </row>
    <row r="1057" spans="1:21" ht="14.25" x14ac:dyDescent="0.2">
      <c r="A1057" s="50">
        <f t="shared" si="16"/>
        <v>1054</v>
      </c>
      <c r="B1057" s="17"/>
      <c r="C1057" s="17"/>
      <c r="D1057" s="17"/>
      <c r="E1057" s="51"/>
      <c r="F1057" s="50"/>
      <c r="G1057" s="23"/>
      <c r="H1057" s="24"/>
      <c r="I1057" s="23"/>
      <c r="J1057" s="19">
        <f>Таблица1[[#This Row],[Блок
 Куб]]*Таблица1[[#This Row],[Цена 
Приход]]</f>
        <v>0</v>
      </c>
      <c r="K1057" s="25"/>
      <c r="L1057" s="25"/>
      <c r="M1057" s="19">
        <f>Таблица1[[#This Row],[Поддон
Шт]]*Таблица1[[#This Row],[Цена
Поддон]]</f>
        <v>0</v>
      </c>
      <c r="N1057" s="19">
        <f>Таблица1[[#This Row],[Сумма 
Приход]]+Таблица1[[#This Row],[Сумма Поддон]]</f>
        <v>0</v>
      </c>
      <c r="O1057" s="20"/>
      <c r="P1057" s="19">
        <f>Таблица1[[#This Row],[Цена
 Продажа]]-Таблица1[[#This Row],[Цена 
Приход]]</f>
        <v>0</v>
      </c>
      <c r="Q1057" s="19"/>
      <c r="R1057" s="19">
        <f>Таблица1[[#This Row],[Блок
 Куб]]*Таблица1[[#This Row],[Цена
 Продажа]]</f>
        <v>0</v>
      </c>
      <c r="S1057" s="20"/>
      <c r="T1057" s="19">
        <f>Таблица1[[#This Row],[Сумма 
Продажа]]-Таблица1[[#This Row],[Сумма 
Приход]]</f>
        <v>0</v>
      </c>
      <c r="U1057" s="150"/>
    </row>
    <row r="1058" spans="1:21" ht="14.25" x14ac:dyDescent="0.2">
      <c r="A1058" s="50">
        <f t="shared" si="16"/>
        <v>1055</v>
      </c>
      <c r="B1058" s="17"/>
      <c r="C1058" s="17"/>
      <c r="D1058" s="17"/>
      <c r="E1058" s="51"/>
      <c r="F1058" s="50"/>
      <c r="G1058" s="23"/>
      <c r="H1058" s="24"/>
      <c r="I1058" s="23"/>
      <c r="J1058" s="19">
        <f>Таблица1[[#This Row],[Блок
 Куб]]*Таблица1[[#This Row],[Цена 
Приход]]</f>
        <v>0</v>
      </c>
      <c r="K1058" s="25"/>
      <c r="L1058" s="25"/>
      <c r="M1058" s="19">
        <f>Таблица1[[#This Row],[Поддон
Шт]]*Таблица1[[#This Row],[Цена
Поддон]]</f>
        <v>0</v>
      </c>
      <c r="N1058" s="19">
        <f>Таблица1[[#This Row],[Сумма 
Приход]]+Таблица1[[#This Row],[Сумма Поддон]]</f>
        <v>0</v>
      </c>
      <c r="O1058" s="20"/>
      <c r="P1058" s="19">
        <f>Таблица1[[#This Row],[Цена
 Продажа]]-Таблица1[[#This Row],[Цена 
Приход]]</f>
        <v>0</v>
      </c>
      <c r="Q1058" s="19"/>
      <c r="R1058" s="19">
        <f>Таблица1[[#This Row],[Блок
 Куб]]*Таблица1[[#This Row],[Цена
 Продажа]]</f>
        <v>0</v>
      </c>
      <c r="S1058" s="20"/>
      <c r="T1058" s="19">
        <f>Таблица1[[#This Row],[Сумма 
Продажа]]-Таблица1[[#This Row],[Сумма 
Приход]]</f>
        <v>0</v>
      </c>
      <c r="U1058" s="150"/>
    </row>
    <row r="1059" spans="1:21" ht="14.25" x14ac:dyDescent="0.2">
      <c r="A1059" s="50">
        <f t="shared" si="16"/>
        <v>1056</v>
      </c>
      <c r="B1059" s="17"/>
      <c r="C1059" s="17"/>
      <c r="D1059" s="17"/>
      <c r="E1059" s="51"/>
      <c r="F1059" s="50"/>
      <c r="G1059" s="23"/>
      <c r="H1059" s="24"/>
      <c r="I1059" s="23"/>
      <c r="J1059" s="19">
        <f>Таблица1[[#This Row],[Блок
 Куб]]*Таблица1[[#This Row],[Цена 
Приход]]</f>
        <v>0</v>
      </c>
      <c r="K1059" s="25"/>
      <c r="L1059" s="25"/>
      <c r="M1059" s="19">
        <f>Таблица1[[#This Row],[Поддон
Шт]]*Таблица1[[#This Row],[Цена
Поддон]]</f>
        <v>0</v>
      </c>
      <c r="N1059" s="19">
        <f>Таблица1[[#This Row],[Сумма 
Приход]]+Таблица1[[#This Row],[Сумма Поддон]]</f>
        <v>0</v>
      </c>
      <c r="O1059" s="20"/>
      <c r="P1059" s="19">
        <f>Таблица1[[#This Row],[Цена
 Продажа]]-Таблица1[[#This Row],[Цена 
Приход]]</f>
        <v>0</v>
      </c>
      <c r="Q1059" s="19"/>
      <c r="R1059" s="19">
        <f>Таблица1[[#This Row],[Блок
 Куб]]*Таблица1[[#This Row],[Цена
 Продажа]]</f>
        <v>0</v>
      </c>
      <c r="S1059" s="20"/>
      <c r="T1059" s="19">
        <f>Таблица1[[#This Row],[Сумма 
Продажа]]-Таблица1[[#This Row],[Сумма 
Приход]]</f>
        <v>0</v>
      </c>
      <c r="U1059" s="150"/>
    </row>
    <row r="1060" spans="1:21" ht="14.25" x14ac:dyDescent="0.2">
      <c r="A1060" s="50">
        <f t="shared" si="16"/>
        <v>1057</v>
      </c>
      <c r="B1060" s="17"/>
      <c r="C1060" s="17"/>
      <c r="D1060" s="17"/>
      <c r="E1060" s="51"/>
      <c r="F1060" s="50"/>
      <c r="G1060" s="23"/>
      <c r="H1060" s="24"/>
      <c r="I1060" s="23"/>
      <c r="J1060" s="19">
        <f>Таблица1[[#This Row],[Блок
 Куб]]*Таблица1[[#This Row],[Цена 
Приход]]</f>
        <v>0</v>
      </c>
      <c r="K1060" s="25"/>
      <c r="L1060" s="25"/>
      <c r="M1060" s="19">
        <f>Таблица1[[#This Row],[Поддон
Шт]]*Таблица1[[#This Row],[Цена
Поддон]]</f>
        <v>0</v>
      </c>
      <c r="N1060" s="19">
        <f>Таблица1[[#This Row],[Сумма 
Приход]]+Таблица1[[#This Row],[Сумма Поддон]]</f>
        <v>0</v>
      </c>
      <c r="O1060" s="20"/>
      <c r="P1060" s="19">
        <f>Таблица1[[#This Row],[Цена
 Продажа]]-Таблица1[[#This Row],[Цена 
Приход]]</f>
        <v>0</v>
      </c>
      <c r="Q1060" s="19"/>
      <c r="R1060" s="19">
        <f>Таблица1[[#This Row],[Блок
 Куб]]*Таблица1[[#This Row],[Цена
 Продажа]]</f>
        <v>0</v>
      </c>
      <c r="S1060" s="20"/>
      <c r="T1060" s="19">
        <f>Таблица1[[#This Row],[Сумма 
Продажа]]-Таблица1[[#This Row],[Сумма 
Приход]]</f>
        <v>0</v>
      </c>
      <c r="U1060" s="150"/>
    </row>
    <row r="1061" spans="1:21" ht="14.25" x14ac:dyDescent="0.2">
      <c r="A1061" s="50">
        <f t="shared" si="16"/>
        <v>1058</v>
      </c>
      <c r="B1061" s="17"/>
      <c r="C1061" s="17"/>
      <c r="D1061" s="17"/>
      <c r="E1061" s="51"/>
      <c r="F1061" s="50"/>
      <c r="G1061" s="23"/>
      <c r="H1061" s="24"/>
      <c r="I1061" s="23"/>
      <c r="J1061" s="19">
        <f>Таблица1[[#This Row],[Блок
 Куб]]*Таблица1[[#This Row],[Цена 
Приход]]</f>
        <v>0</v>
      </c>
      <c r="K1061" s="25"/>
      <c r="L1061" s="25"/>
      <c r="M1061" s="19">
        <f>Таблица1[[#This Row],[Поддон
Шт]]*Таблица1[[#This Row],[Цена
Поддон]]</f>
        <v>0</v>
      </c>
      <c r="N1061" s="19">
        <f>Таблица1[[#This Row],[Сумма 
Приход]]+Таблица1[[#This Row],[Сумма Поддон]]</f>
        <v>0</v>
      </c>
      <c r="O1061" s="20"/>
      <c r="P1061" s="19">
        <f>Таблица1[[#This Row],[Цена
 Продажа]]-Таблица1[[#This Row],[Цена 
Приход]]</f>
        <v>0</v>
      </c>
      <c r="Q1061" s="19"/>
      <c r="R1061" s="19">
        <f>Таблица1[[#This Row],[Блок
 Куб]]*Таблица1[[#This Row],[Цена
 Продажа]]</f>
        <v>0</v>
      </c>
      <c r="S1061" s="20"/>
      <c r="T1061" s="19">
        <f>Таблица1[[#This Row],[Сумма 
Продажа]]-Таблица1[[#This Row],[Сумма 
Приход]]</f>
        <v>0</v>
      </c>
      <c r="U1061" s="150"/>
    </row>
    <row r="1062" spans="1:21" ht="14.25" x14ac:dyDescent="0.2">
      <c r="A1062" s="50">
        <f t="shared" si="16"/>
        <v>1059</v>
      </c>
      <c r="B1062" s="17"/>
      <c r="C1062" s="17"/>
      <c r="D1062" s="17"/>
      <c r="E1062" s="51"/>
      <c r="F1062" s="50"/>
      <c r="G1062" s="23"/>
      <c r="H1062" s="24"/>
      <c r="I1062" s="23"/>
      <c r="J1062" s="19">
        <f>Таблица1[[#This Row],[Блок
 Куб]]*Таблица1[[#This Row],[Цена 
Приход]]</f>
        <v>0</v>
      </c>
      <c r="K1062" s="25"/>
      <c r="L1062" s="25"/>
      <c r="M1062" s="19">
        <f>Таблица1[[#This Row],[Поддон
Шт]]*Таблица1[[#This Row],[Цена
Поддон]]</f>
        <v>0</v>
      </c>
      <c r="N1062" s="19">
        <f>Таблица1[[#This Row],[Сумма 
Приход]]+Таблица1[[#This Row],[Сумма Поддон]]</f>
        <v>0</v>
      </c>
      <c r="O1062" s="20"/>
      <c r="P1062" s="19">
        <f>Таблица1[[#This Row],[Цена
 Продажа]]-Таблица1[[#This Row],[Цена 
Приход]]</f>
        <v>0</v>
      </c>
      <c r="Q1062" s="19"/>
      <c r="R1062" s="19">
        <f>Таблица1[[#This Row],[Блок
 Куб]]*Таблица1[[#This Row],[Цена
 Продажа]]</f>
        <v>0</v>
      </c>
      <c r="S1062" s="20"/>
      <c r="T1062" s="19">
        <f>Таблица1[[#This Row],[Сумма 
Продажа]]-Таблица1[[#This Row],[Сумма 
Приход]]</f>
        <v>0</v>
      </c>
      <c r="U1062" s="150"/>
    </row>
    <row r="1063" spans="1:21" ht="14.25" x14ac:dyDescent="0.2">
      <c r="A1063" s="50">
        <f t="shared" si="16"/>
        <v>1060</v>
      </c>
      <c r="B1063" s="17"/>
      <c r="C1063" s="17"/>
      <c r="D1063" s="17"/>
      <c r="E1063" s="51"/>
      <c r="F1063" s="50"/>
      <c r="G1063" s="23"/>
      <c r="H1063" s="24"/>
      <c r="I1063" s="23"/>
      <c r="J1063" s="19">
        <f>Таблица1[[#This Row],[Блок
 Куб]]*Таблица1[[#This Row],[Цена 
Приход]]</f>
        <v>0</v>
      </c>
      <c r="K1063" s="25"/>
      <c r="L1063" s="25"/>
      <c r="M1063" s="19">
        <f>Таблица1[[#This Row],[Поддон
Шт]]*Таблица1[[#This Row],[Цена
Поддон]]</f>
        <v>0</v>
      </c>
      <c r="N1063" s="19">
        <f>Таблица1[[#This Row],[Сумма 
Приход]]+Таблица1[[#This Row],[Сумма Поддон]]</f>
        <v>0</v>
      </c>
      <c r="O1063" s="20"/>
      <c r="P1063" s="19">
        <f>Таблица1[[#This Row],[Цена
 Продажа]]-Таблица1[[#This Row],[Цена 
Приход]]</f>
        <v>0</v>
      </c>
      <c r="Q1063" s="19"/>
      <c r="R1063" s="19">
        <f>Таблица1[[#This Row],[Блок
 Куб]]*Таблица1[[#This Row],[Цена
 Продажа]]</f>
        <v>0</v>
      </c>
      <c r="S1063" s="20"/>
      <c r="T1063" s="19">
        <f>Таблица1[[#This Row],[Сумма 
Продажа]]-Таблица1[[#This Row],[Сумма 
Приход]]</f>
        <v>0</v>
      </c>
      <c r="U1063" s="150"/>
    </row>
    <row r="1064" spans="1:21" ht="14.25" x14ac:dyDescent="0.2">
      <c r="A1064" s="50">
        <f t="shared" si="16"/>
        <v>1061</v>
      </c>
      <c r="B1064" s="17"/>
      <c r="C1064" s="17"/>
      <c r="D1064" s="17"/>
      <c r="E1064" s="51"/>
      <c r="F1064" s="50"/>
      <c r="G1064" s="23"/>
      <c r="H1064" s="24"/>
      <c r="I1064" s="23"/>
      <c r="J1064" s="19">
        <f>Таблица1[[#This Row],[Блок
 Куб]]*Таблица1[[#This Row],[Цена 
Приход]]</f>
        <v>0</v>
      </c>
      <c r="K1064" s="25"/>
      <c r="L1064" s="25"/>
      <c r="M1064" s="19">
        <f>Таблица1[[#This Row],[Поддон
Шт]]*Таблица1[[#This Row],[Цена
Поддон]]</f>
        <v>0</v>
      </c>
      <c r="N1064" s="19">
        <f>Таблица1[[#This Row],[Сумма 
Приход]]+Таблица1[[#This Row],[Сумма Поддон]]</f>
        <v>0</v>
      </c>
      <c r="O1064" s="20"/>
      <c r="P1064" s="19">
        <f>Таблица1[[#This Row],[Цена
 Продажа]]-Таблица1[[#This Row],[Цена 
Приход]]</f>
        <v>0</v>
      </c>
      <c r="Q1064" s="19"/>
      <c r="R1064" s="19">
        <f>Таблица1[[#This Row],[Блок
 Куб]]*Таблица1[[#This Row],[Цена
 Продажа]]</f>
        <v>0</v>
      </c>
      <c r="S1064" s="20"/>
      <c r="T1064" s="19">
        <f>Таблица1[[#This Row],[Сумма 
Продажа]]-Таблица1[[#This Row],[Сумма 
Приход]]</f>
        <v>0</v>
      </c>
      <c r="U1064" s="150"/>
    </row>
    <row r="1065" spans="1:21" ht="14.25" x14ac:dyDescent="0.2">
      <c r="A1065" s="50">
        <f t="shared" si="16"/>
        <v>1062</v>
      </c>
      <c r="B1065" s="17"/>
      <c r="C1065" s="17"/>
      <c r="D1065" s="17"/>
      <c r="E1065" s="51"/>
      <c r="F1065" s="50"/>
      <c r="G1065" s="23"/>
      <c r="H1065" s="24"/>
      <c r="I1065" s="23"/>
      <c r="J1065" s="19">
        <f>Таблица1[[#This Row],[Блок
 Куб]]*Таблица1[[#This Row],[Цена 
Приход]]</f>
        <v>0</v>
      </c>
      <c r="K1065" s="25"/>
      <c r="L1065" s="25"/>
      <c r="M1065" s="19">
        <f>Таблица1[[#This Row],[Поддон
Шт]]*Таблица1[[#This Row],[Цена
Поддон]]</f>
        <v>0</v>
      </c>
      <c r="N1065" s="19">
        <f>Таблица1[[#This Row],[Сумма 
Приход]]+Таблица1[[#This Row],[Сумма Поддон]]</f>
        <v>0</v>
      </c>
      <c r="O1065" s="20"/>
      <c r="P1065" s="19">
        <f>Таблица1[[#This Row],[Цена
 Продажа]]-Таблица1[[#This Row],[Цена 
Приход]]</f>
        <v>0</v>
      </c>
      <c r="Q1065" s="19"/>
      <c r="R1065" s="19">
        <f>Таблица1[[#This Row],[Блок
 Куб]]*Таблица1[[#This Row],[Цена
 Продажа]]</f>
        <v>0</v>
      </c>
      <c r="S1065" s="20"/>
      <c r="T1065" s="19">
        <f>Таблица1[[#This Row],[Сумма 
Продажа]]-Таблица1[[#This Row],[Сумма 
Приход]]</f>
        <v>0</v>
      </c>
      <c r="U1065" s="150"/>
    </row>
    <row r="1066" spans="1:21" ht="14.25" x14ac:dyDescent="0.2">
      <c r="A1066" s="50">
        <f t="shared" si="16"/>
        <v>1063</v>
      </c>
      <c r="B1066" s="17"/>
      <c r="C1066" s="17"/>
      <c r="D1066" s="17"/>
      <c r="E1066" s="51"/>
      <c r="F1066" s="50"/>
      <c r="G1066" s="23"/>
      <c r="H1066" s="24"/>
      <c r="I1066" s="23"/>
      <c r="J1066" s="19">
        <f>Таблица1[[#This Row],[Блок
 Куб]]*Таблица1[[#This Row],[Цена 
Приход]]</f>
        <v>0</v>
      </c>
      <c r="K1066" s="25"/>
      <c r="L1066" s="25"/>
      <c r="M1066" s="19">
        <f>Таблица1[[#This Row],[Поддон
Шт]]*Таблица1[[#This Row],[Цена
Поддон]]</f>
        <v>0</v>
      </c>
      <c r="N1066" s="19">
        <f>Таблица1[[#This Row],[Сумма 
Приход]]+Таблица1[[#This Row],[Сумма Поддон]]</f>
        <v>0</v>
      </c>
      <c r="O1066" s="20"/>
      <c r="P1066" s="19">
        <f>Таблица1[[#This Row],[Цена
 Продажа]]-Таблица1[[#This Row],[Цена 
Приход]]</f>
        <v>0</v>
      </c>
      <c r="Q1066" s="19"/>
      <c r="R1066" s="19">
        <f>Таблица1[[#This Row],[Блок
 Куб]]*Таблица1[[#This Row],[Цена
 Продажа]]</f>
        <v>0</v>
      </c>
      <c r="S1066" s="20"/>
      <c r="T1066" s="19">
        <f>Таблица1[[#This Row],[Сумма 
Продажа]]-Таблица1[[#This Row],[Сумма 
Приход]]</f>
        <v>0</v>
      </c>
      <c r="U1066" s="150"/>
    </row>
    <row r="1067" spans="1:21" ht="14.25" x14ac:dyDescent="0.2">
      <c r="A1067" s="50">
        <f t="shared" si="16"/>
        <v>1064</v>
      </c>
      <c r="B1067" s="17"/>
      <c r="C1067" s="17"/>
      <c r="D1067" s="17"/>
      <c r="E1067" s="51"/>
      <c r="F1067" s="50"/>
      <c r="G1067" s="23"/>
      <c r="H1067" s="24"/>
      <c r="I1067" s="23"/>
      <c r="J1067" s="19">
        <f>Таблица1[[#This Row],[Блок
 Куб]]*Таблица1[[#This Row],[Цена 
Приход]]</f>
        <v>0</v>
      </c>
      <c r="K1067" s="25"/>
      <c r="L1067" s="25"/>
      <c r="M1067" s="19">
        <f>Таблица1[[#This Row],[Поддон
Шт]]*Таблица1[[#This Row],[Цена
Поддон]]</f>
        <v>0</v>
      </c>
      <c r="N1067" s="19">
        <f>Таблица1[[#This Row],[Сумма 
Приход]]+Таблица1[[#This Row],[Сумма Поддон]]</f>
        <v>0</v>
      </c>
      <c r="O1067" s="20"/>
      <c r="P1067" s="19">
        <f>Таблица1[[#This Row],[Цена
 Продажа]]-Таблица1[[#This Row],[Цена 
Приход]]</f>
        <v>0</v>
      </c>
      <c r="Q1067" s="19"/>
      <c r="R1067" s="19">
        <f>Таблица1[[#This Row],[Блок
 Куб]]*Таблица1[[#This Row],[Цена
 Продажа]]</f>
        <v>0</v>
      </c>
      <c r="S1067" s="20"/>
      <c r="T1067" s="19">
        <f>Таблица1[[#This Row],[Сумма 
Продажа]]-Таблица1[[#This Row],[Сумма 
Приход]]</f>
        <v>0</v>
      </c>
      <c r="U1067" s="150"/>
    </row>
    <row r="1068" spans="1:21" ht="14.25" x14ac:dyDescent="0.2">
      <c r="A1068" s="50">
        <f t="shared" si="16"/>
        <v>1065</v>
      </c>
      <c r="B1068" s="17"/>
      <c r="C1068" s="17"/>
      <c r="D1068" s="17"/>
      <c r="E1068" s="51"/>
      <c r="F1068" s="50"/>
      <c r="G1068" s="23"/>
      <c r="H1068" s="24"/>
      <c r="I1068" s="23"/>
      <c r="J1068" s="19">
        <f>Таблица1[[#This Row],[Блок
 Куб]]*Таблица1[[#This Row],[Цена 
Приход]]</f>
        <v>0</v>
      </c>
      <c r="K1068" s="25"/>
      <c r="L1068" s="25"/>
      <c r="M1068" s="19">
        <f>Таблица1[[#This Row],[Поддон
Шт]]*Таблица1[[#This Row],[Цена
Поддон]]</f>
        <v>0</v>
      </c>
      <c r="N1068" s="19">
        <f>Таблица1[[#This Row],[Сумма 
Приход]]+Таблица1[[#This Row],[Сумма Поддон]]</f>
        <v>0</v>
      </c>
      <c r="O1068" s="20"/>
      <c r="P1068" s="19">
        <f>Таблица1[[#This Row],[Цена
 Продажа]]-Таблица1[[#This Row],[Цена 
Приход]]</f>
        <v>0</v>
      </c>
      <c r="Q1068" s="19"/>
      <c r="R1068" s="19">
        <f>Таблица1[[#This Row],[Блок
 Куб]]*Таблица1[[#This Row],[Цена
 Продажа]]</f>
        <v>0</v>
      </c>
      <c r="S1068" s="20"/>
      <c r="T1068" s="19">
        <f>Таблица1[[#This Row],[Сумма 
Продажа]]-Таблица1[[#This Row],[Сумма 
Приход]]</f>
        <v>0</v>
      </c>
      <c r="U1068" s="150"/>
    </row>
    <row r="1069" spans="1:21" ht="14.25" x14ac:dyDescent="0.2">
      <c r="A1069" s="50">
        <f t="shared" si="16"/>
        <v>1066</v>
      </c>
      <c r="B1069" s="17"/>
      <c r="C1069" s="17"/>
      <c r="D1069" s="17"/>
      <c r="E1069" s="51"/>
      <c r="F1069" s="50"/>
      <c r="G1069" s="23"/>
      <c r="H1069" s="24"/>
      <c r="I1069" s="23"/>
      <c r="J1069" s="19">
        <f>Таблица1[[#This Row],[Блок
 Куб]]*Таблица1[[#This Row],[Цена 
Приход]]</f>
        <v>0</v>
      </c>
      <c r="K1069" s="25"/>
      <c r="L1069" s="25"/>
      <c r="M1069" s="19">
        <f>Таблица1[[#This Row],[Поддон
Шт]]*Таблица1[[#This Row],[Цена
Поддон]]</f>
        <v>0</v>
      </c>
      <c r="N1069" s="19">
        <f>Таблица1[[#This Row],[Сумма 
Приход]]+Таблица1[[#This Row],[Сумма Поддон]]</f>
        <v>0</v>
      </c>
      <c r="O1069" s="20"/>
      <c r="P1069" s="19">
        <f>Таблица1[[#This Row],[Цена
 Продажа]]-Таблица1[[#This Row],[Цена 
Приход]]</f>
        <v>0</v>
      </c>
      <c r="Q1069" s="19"/>
      <c r="R1069" s="19">
        <f>Таблица1[[#This Row],[Блок
 Куб]]*Таблица1[[#This Row],[Цена
 Продажа]]</f>
        <v>0</v>
      </c>
      <c r="S1069" s="20"/>
      <c r="T1069" s="19">
        <f>Таблица1[[#This Row],[Сумма 
Продажа]]-Таблица1[[#This Row],[Сумма 
Приход]]</f>
        <v>0</v>
      </c>
      <c r="U1069" s="150"/>
    </row>
    <row r="1070" spans="1:21" ht="14.25" x14ac:dyDescent="0.2">
      <c r="A1070" s="50">
        <f t="shared" si="16"/>
        <v>1067</v>
      </c>
      <c r="B1070" s="17"/>
      <c r="C1070" s="17"/>
      <c r="D1070" s="17"/>
      <c r="E1070" s="51"/>
      <c r="F1070" s="50"/>
      <c r="G1070" s="23"/>
      <c r="H1070" s="24"/>
      <c r="I1070" s="23"/>
      <c r="J1070" s="19">
        <f>Таблица1[[#This Row],[Блок
 Куб]]*Таблица1[[#This Row],[Цена 
Приход]]</f>
        <v>0</v>
      </c>
      <c r="K1070" s="25"/>
      <c r="L1070" s="25"/>
      <c r="M1070" s="19">
        <f>Таблица1[[#This Row],[Поддон
Шт]]*Таблица1[[#This Row],[Цена
Поддон]]</f>
        <v>0</v>
      </c>
      <c r="N1070" s="19">
        <f>Таблица1[[#This Row],[Сумма 
Приход]]+Таблица1[[#This Row],[Сумма Поддон]]</f>
        <v>0</v>
      </c>
      <c r="O1070" s="20"/>
      <c r="P1070" s="19">
        <f>Таблица1[[#This Row],[Цена
 Продажа]]-Таблица1[[#This Row],[Цена 
Приход]]</f>
        <v>0</v>
      </c>
      <c r="Q1070" s="19"/>
      <c r="R1070" s="19">
        <f>Таблица1[[#This Row],[Блок
 Куб]]*Таблица1[[#This Row],[Цена
 Продажа]]</f>
        <v>0</v>
      </c>
      <c r="S1070" s="20"/>
      <c r="T1070" s="19">
        <f>Таблица1[[#This Row],[Сумма 
Продажа]]-Таблица1[[#This Row],[Сумма 
Приход]]</f>
        <v>0</v>
      </c>
      <c r="U1070" s="150"/>
    </row>
    <row r="1071" spans="1:21" ht="14.25" x14ac:dyDescent="0.2">
      <c r="A1071" s="50">
        <f t="shared" si="16"/>
        <v>1068</v>
      </c>
      <c r="B1071" s="17"/>
      <c r="C1071" s="17"/>
      <c r="D1071" s="17"/>
      <c r="E1071" s="51"/>
      <c r="F1071" s="50"/>
      <c r="G1071" s="23"/>
      <c r="H1071" s="24"/>
      <c r="I1071" s="23"/>
      <c r="J1071" s="19">
        <f>Таблица1[[#This Row],[Блок
 Куб]]*Таблица1[[#This Row],[Цена 
Приход]]</f>
        <v>0</v>
      </c>
      <c r="K1071" s="25"/>
      <c r="L1071" s="25"/>
      <c r="M1071" s="19">
        <f>Таблица1[[#This Row],[Поддон
Шт]]*Таблица1[[#This Row],[Цена
Поддон]]</f>
        <v>0</v>
      </c>
      <c r="N1071" s="19">
        <f>Таблица1[[#This Row],[Сумма 
Приход]]+Таблица1[[#This Row],[Сумма Поддон]]</f>
        <v>0</v>
      </c>
      <c r="O1071" s="20"/>
      <c r="P1071" s="19">
        <f>Таблица1[[#This Row],[Цена
 Продажа]]-Таблица1[[#This Row],[Цена 
Приход]]</f>
        <v>0</v>
      </c>
      <c r="Q1071" s="19"/>
      <c r="R1071" s="19">
        <f>Таблица1[[#This Row],[Блок
 Куб]]*Таблица1[[#This Row],[Цена
 Продажа]]</f>
        <v>0</v>
      </c>
      <c r="S1071" s="20"/>
      <c r="T1071" s="19">
        <f>Таблица1[[#This Row],[Сумма 
Продажа]]-Таблица1[[#This Row],[Сумма 
Приход]]</f>
        <v>0</v>
      </c>
      <c r="U1071" s="150"/>
    </row>
    <row r="1072" spans="1:21" ht="14.25" x14ac:dyDescent="0.2">
      <c r="A1072" s="50">
        <f t="shared" si="16"/>
        <v>1069</v>
      </c>
      <c r="B1072" s="17"/>
      <c r="C1072" s="17"/>
      <c r="D1072" s="17"/>
      <c r="E1072" s="51"/>
      <c r="F1072" s="50"/>
      <c r="G1072" s="23"/>
      <c r="H1072" s="24"/>
      <c r="I1072" s="23"/>
      <c r="J1072" s="19">
        <f>Таблица1[[#This Row],[Блок
 Куб]]*Таблица1[[#This Row],[Цена 
Приход]]</f>
        <v>0</v>
      </c>
      <c r="K1072" s="25"/>
      <c r="L1072" s="25"/>
      <c r="M1072" s="19">
        <f>Таблица1[[#This Row],[Поддон
Шт]]*Таблица1[[#This Row],[Цена
Поддон]]</f>
        <v>0</v>
      </c>
      <c r="N1072" s="19">
        <f>Таблица1[[#This Row],[Сумма 
Приход]]+Таблица1[[#This Row],[Сумма Поддон]]</f>
        <v>0</v>
      </c>
      <c r="O1072" s="20"/>
      <c r="P1072" s="19">
        <f>Таблица1[[#This Row],[Цена
 Продажа]]-Таблица1[[#This Row],[Цена 
Приход]]</f>
        <v>0</v>
      </c>
      <c r="Q1072" s="19"/>
      <c r="R1072" s="19">
        <f>Таблица1[[#This Row],[Блок
 Куб]]*Таблица1[[#This Row],[Цена
 Продажа]]</f>
        <v>0</v>
      </c>
      <c r="S1072" s="20"/>
      <c r="T1072" s="19">
        <f>Таблица1[[#This Row],[Сумма 
Продажа]]-Таблица1[[#This Row],[Сумма 
Приход]]</f>
        <v>0</v>
      </c>
      <c r="U1072" s="150"/>
    </row>
    <row r="1073" spans="1:21" ht="14.25" x14ac:dyDescent="0.2">
      <c r="A1073" s="50">
        <f t="shared" si="16"/>
        <v>1070</v>
      </c>
      <c r="B1073" s="17"/>
      <c r="C1073" s="17"/>
      <c r="D1073" s="17"/>
      <c r="E1073" s="51"/>
      <c r="F1073" s="50"/>
      <c r="G1073" s="23"/>
      <c r="H1073" s="24"/>
      <c r="I1073" s="23"/>
      <c r="J1073" s="19">
        <f>Таблица1[[#This Row],[Блок
 Куб]]*Таблица1[[#This Row],[Цена 
Приход]]</f>
        <v>0</v>
      </c>
      <c r="K1073" s="25"/>
      <c r="L1073" s="25"/>
      <c r="M1073" s="19">
        <f>Таблица1[[#This Row],[Поддон
Шт]]*Таблица1[[#This Row],[Цена
Поддон]]</f>
        <v>0</v>
      </c>
      <c r="N1073" s="19">
        <f>Таблица1[[#This Row],[Сумма 
Приход]]+Таблица1[[#This Row],[Сумма Поддон]]</f>
        <v>0</v>
      </c>
      <c r="O1073" s="20"/>
      <c r="P1073" s="19">
        <f>Таблица1[[#This Row],[Цена
 Продажа]]-Таблица1[[#This Row],[Цена 
Приход]]</f>
        <v>0</v>
      </c>
      <c r="Q1073" s="19"/>
      <c r="R1073" s="19">
        <f>Таблица1[[#This Row],[Блок
 Куб]]*Таблица1[[#This Row],[Цена
 Продажа]]</f>
        <v>0</v>
      </c>
      <c r="S1073" s="20"/>
      <c r="T1073" s="19">
        <f>Таблица1[[#This Row],[Сумма 
Продажа]]-Таблица1[[#This Row],[Сумма 
Приход]]</f>
        <v>0</v>
      </c>
      <c r="U1073" s="150"/>
    </row>
    <row r="1074" spans="1:21" ht="14.25" x14ac:dyDescent="0.2">
      <c r="A1074" s="50">
        <f t="shared" si="16"/>
        <v>1071</v>
      </c>
      <c r="B1074" s="17"/>
      <c r="C1074" s="17"/>
      <c r="D1074" s="17"/>
      <c r="E1074" s="51"/>
      <c r="F1074" s="50"/>
      <c r="G1074" s="23"/>
      <c r="H1074" s="24"/>
      <c r="I1074" s="23"/>
      <c r="J1074" s="19">
        <f>Таблица1[[#This Row],[Блок
 Куб]]*Таблица1[[#This Row],[Цена 
Приход]]</f>
        <v>0</v>
      </c>
      <c r="K1074" s="25"/>
      <c r="L1074" s="25"/>
      <c r="M1074" s="19">
        <f>Таблица1[[#This Row],[Поддон
Шт]]*Таблица1[[#This Row],[Цена
Поддон]]</f>
        <v>0</v>
      </c>
      <c r="N1074" s="19">
        <f>Таблица1[[#This Row],[Сумма 
Приход]]+Таблица1[[#This Row],[Сумма Поддон]]</f>
        <v>0</v>
      </c>
      <c r="O1074" s="20"/>
      <c r="P1074" s="19">
        <f>Таблица1[[#This Row],[Цена
 Продажа]]-Таблица1[[#This Row],[Цена 
Приход]]</f>
        <v>0</v>
      </c>
      <c r="Q1074" s="19"/>
      <c r="R1074" s="19">
        <f>Таблица1[[#This Row],[Блок
 Куб]]*Таблица1[[#This Row],[Цена
 Продажа]]</f>
        <v>0</v>
      </c>
      <c r="S1074" s="20"/>
      <c r="T1074" s="19">
        <f>Таблица1[[#This Row],[Сумма 
Продажа]]-Таблица1[[#This Row],[Сумма 
Приход]]</f>
        <v>0</v>
      </c>
      <c r="U1074" s="150"/>
    </row>
    <row r="1075" spans="1:21" ht="14.25" x14ac:dyDescent="0.2">
      <c r="A1075" s="50">
        <f t="shared" si="16"/>
        <v>1072</v>
      </c>
      <c r="B1075" s="17"/>
      <c r="C1075" s="17"/>
      <c r="D1075" s="17"/>
      <c r="E1075" s="51"/>
      <c r="F1075" s="50"/>
      <c r="G1075" s="23"/>
      <c r="H1075" s="24"/>
      <c r="I1075" s="23"/>
      <c r="J1075" s="19">
        <f>Таблица1[[#This Row],[Блок
 Куб]]*Таблица1[[#This Row],[Цена 
Приход]]</f>
        <v>0</v>
      </c>
      <c r="K1075" s="25"/>
      <c r="L1075" s="25"/>
      <c r="M1075" s="19">
        <f>Таблица1[[#This Row],[Поддон
Шт]]*Таблица1[[#This Row],[Цена
Поддон]]</f>
        <v>0</v>
      </c>
      <c r="N1075" s="19">
        <f>Таблица1[[#This Row],[Сумма 
Приход]]+Таблица1[[#This Row],[Сумма Поддон]]</f>
        <v>0</v>
      </c>
      <c r="O1075" s="20"/>
      <c r="P1075" s="19">
        <f>Таблица1[[#This Row],[Цена
 Продажа]]-Таблица1[[#This Row],[Цена 
Приход]]</f>
        <v>0</v>
      </c>
      <c r="Q1075" s="19"/>
      <c r="R1075" s="19">
        <f>Таблица1[[#This Row],[Блок
 Куб]]*Таблица1[[#This Row],[Цена
 Продажа]]</f>
        <v>0</v>
      </c>
      <c r="S1075" s="20"/>
      <c r="T1075" s="19">
        <f>Таблица1[[#This Row],[Сумма 
Продажа]]-Таблица1[[#This Row],[Сумма 
Приход]]</f>
        <v>0</v>
      </c>
      <c r="U1075" s="150"/>
    </row>
    <row r="1076" spans="1:21" ht="14.25" x14ac:dyDescent="0.2">
      <c r="A1076" s="50">
        <f t="shared" si="16"/>
        <v>1073</v>
      </c>
      <c r="B1076" s="17"/>
      <c r="C1076" s="17"/>
      <c r="D1076" s="17"/>
      <c r="E1076" s="51"/>
      <c r="F1076" s="50"/>
      <c r="G1076" s="23"/>
      <c r="H1076" s="24"/>
      <c r="I1076" s="23"/>
      <c r="J1076" s="19">
        <f>Таблица1[[#This Row],[Блок
 Куб]]*Таблица1[[#This Row],[Цена 
Приход]]</f>
        <v>0</v>
      </c>
      <c r="K1076" s="25"/>
      <c r="L1076" s="25"/>
      <c r="M1076" s="19">
        <f>Таблица1[[#This Row],[Поддон
Шт]]*Таблица1[[#This Row],[Цена
Поддон]]</f>
        <v>0</v>
      </c>
      <c r="N1076" s="19">
        <f>Таблица1[[#This Row],[Сумма 
Приход]]+Таблица1[[#This Row],[Сумма Поддон]]</f>
        <v>0</v>
      </c>
      <c r="O1076" s="20"/>
      <c r="P1076" s="19">
        <f>Таблица1[[#This Row],[Цена
 Продажа]]-Таблица1[[#This Row],[Цена 
Приход]]</f>
        <v>0</v>
      </c>
      <c r="Q1076" s="19"/>
      <c r="R1076" s="19">
        <f>Таблица1[[#This Row],[Блок
 Куб]]*Таблица1[[#This Row],[Цена
 Продажа]]</f>
        <v>0</v>
      </c>
      <c r="S1076" s="20"/>
      <c r="T1076" s="19">
        <f>Таблица1[[#This Row],[Сумма 
Продажа]]-Таблица1[[#This Row],[Сумма 
Приход]]</f>
        <v>0</v>
      </c>
      <c r="U1076" s="150"/>
    </row>
    <row r="1077" spans="1:21" ht="14.25" x14ac:dyDescent="0.2">
      <c r="A1077" s="50">
        <f t="shared" si="16"/>
        <v>1074</v>
      </c>
      <c r="B1077" s="17"/>
      <c r="C1077" s="17"/>
      <c r="D1077" s="17"/>
      <c r="E1077" s="51"/>
      <c r="F1077" s="50"/>
      <c r="G1077" s="23"/>
      <c r="H1077" s="24"/>
      <c r="I1077" s="23"/>
      <c r="J1077" s="19">
        <f>Таблица1[[#This Row],[Блок
 Куб]]*Таблица1[[#This Row],[Цена 
Приход]]</f>
        <v>0</v>
      </c>
      <c r="K1077" s="25"/>
      <c r="L1077" s="25"/>
      <c r="M1077" s="19">
        <f>Таблица1[[#This Row],[Поддон
Шт]]*Таблица1[[#This Row],[Цена
Поддон]]</f>
        <v>0</v>
      </c>
      <c r="N1077" s="19">
        <f>Таблица1[[#This Row],[Сумма 
Приход]]+Таблица1[[#This Row],[Сумма Поддон]]</f>
        <v>0</v>
      </c>
      <c r="O1077" s="20"/>
      <c r="P1077" s="19">
        <f>Таблица1[[#This Row],[Цена
 Продажа]]-Таблица1[[#This Row],[Цена 
Приход]]</f>
        <v>0</v>
      </c>
      <c r="Q1077" s="19"/>
      <c r="R1077" s="19">
        <f>Таблица1[[#This Row],[Блок
 Куб]]*Таблица1[[#This Row],[Цена
 Продажа]]</f>
        <v>0</v>
      </c>
      <c r="S1077" s="20"/>
      <c r="T1077" s="19">
        <f>Таблица1[[#This Row],[Сумма 
Продажа]]-Таблица1[[#This Row],[Сумма 
Приход]]</f>
        <v>0</v>
      </c>
      <c r="U1077" s="150"/>
    </row>
    <row r="1078" spans="1:21" ht="14.25" x14ac:dyDescent="0.2">
      <c r="A1078" s="50">
        <f t="shared" si="16"/>
        <v>1075</v>
      </c>
      <c r="B1078" s="17"/>
      <c r="C1078" s="17"/>
      <c r="D1078" s="17"/>
      <c r="E1078" s="51"/>
      <c r="F1078" s="50"/>
      <c r="G1078" s="23"/>
      <c r="H1078" s="24"/>
      <c r="I1078" s="23"/>
      <c r="J1078" s="19">
        <f>Таблица1[[#This Row],[Блок
 Куб]]*Таблица1[[#This Row],[Цена 
Приход]]</f>
        <v>0</v>
      </c>
      <c r="K1078" s="25"/>
      <c r="L1078" s="25"/>
      <c r="M1078" s="19">
        <f>Таблица1[[#This Row],[Поддон
Шт]]*Таблица1[[#This Row],[Цена
Поддон]]</f>
        <v>0</v>
      </c>
      <c r="N1078" s="19">
        <f>Таблица1[[#This Row],[Сумма 
Приход]]+Таблица1[[#This Row],[Сумма Поддон]]</f>
        <v>0</v>
      </c>
      <c r="O1078" s="20"/>
      <c r="P1078" s="19">
        <f>Таблица1[[#This Row],[Цена
 Продажа]]-Таблица1[[#This Row],[Цена 
Приход]]</f>
        <v>0</v>
      </c>
      <c r="Q1078" s="19"/>
      <c r="R1078" s="19">
        <f>Таблица1[[#This Row],[Блок
 Куб]]*Таблица1[[#This Row],[Цена
 Продажа]]</f>
        <v>0</v>
      </c>
      <c r="S1078" s="20"/>
      <c r="T1078" s="19">
        <f>Таблица1[[#This Row],[Сумма 
Продажа]]-Таблица1[[#This Row],[Сумма 
Приход]]</f>
        <v>0</v>
      </c>
      <c r="U1078" s="150"/>
    </row>
    <row r="1079" spans="1:21" ht="14.25" x14ac:dyDescent="0.2">
      <c r="A1079" s="50">
        <f t="shared" si="16"/>
        <v>1076</v>
      </c>
      <c r="B1079" s="17"/>
      <c r="C1079" s="17"/>
      <c r="D1079" s="17"/>
      <c r="E1079" s="51"/>
      <c r="F1079" s="50"/>
      <c r="G1079" s="23"/>
      <c r="H1079" s="24"/>
      <c r="I1079" s="23"/>
      <c r="J1079" s="19">
        <f>Таблица1[[#This Row],[Блок
 Куб]]*Таблица1[[#This Row],[Цена 
Приход]]</f>
        <v>0</v>
      </c>
      <c r="K1079" s="25"/>
      <c r="L1079" s="25"/>
      <c r="M1079" s="19">
        <f>Таблица1[[#This Row],[Поддон
Шт]]*Таблица1[[#This Row],[Цена
Поддон]]</f>
        <v>0</v>
      </c>
      <c r="N1079" s="19">
        <f>Таблица1[[#This Row],[Сумма 
Приход]]+Таблица1[[#This Row],[Сумма Поддон]]</f>
        <v>0</v>
      </c>
      <c r="O1079" s="20"/>
      <c r="P1079" s="19">
        <f>Таблица1[[#This Row],[Цена
 Продажа]]-Таблица1[[#This Row],[Цена 
Приход]]</f>
        <v>0</v>
      </c>
      <c r="Q1079" s="19"/>
      <c r="R1079" s="19">
        <f>Таблица1[[#This Row],[Блок
 Куб]]*Таблица1[[#This Row],[Цена
 Продажа]]</f>
        <v>0</v>
      </c>
      <c r="S1079" s="20"/>
      <c r="T1079" s="19">
        <f>Таблица1[[#This Row],[Сумма 
Продажа]]-Таблица1[[#This Row],[Сумма 
Приход]]</f>
        <v>0</v>
      </c>
      <c r="U1079" s="150"/>
    </row>
    <row r="1080" spans="1:21" ht="14.25" x14ac:dyDescent="0.2">
      <c r="A1080" s="50">
        <f t="shared" si="16"/>
        <v>1077</v>
      </c>
      <c r="B1080" s="17"/>
      <c r="C1080" s="17"/>
      <c r="D1080" s="17"/>
      <c r="E1080" s="51"/>
      <c r="F1080" s="50"/>
      <c r="G1080" s="23"/>
      <c r="H1080" s="24"/>
      <c r="I1080" s="23"/>
      <c r="J1080" s="19">
        <f>Таблица1[[#This Row],[Блок
 Куб]]*Таблица1[[#This Row],[Цена 
Приход]]</f>
        <v>0</v>
      </c>
      <c r="K1080" s="25"/>
      <c r="L1080" s="25"/>
      <c r="M1080" s="19">
        <f>Таблица1[[#This Row],[Поддон
Шт]]*Таблица1[[#This Row],[Цена
Поддон]]</f>
        <v>0</v>
      </c>
      <c r="N1080" s="19">
        <f>Таблица1[[#This Row],[Сумма 
Приход]]+Таблица1[[#This Row],[Сумма Поддон]]</f>
        <v>0</v>
      </c>
      <c r="O1080" s="20"/>
      <c r="P1080" s="19">
        <f>Таблица1[[#This Row],[Цена
 Продажа]]-Таблица1[[#This Row],[Цена 
Приход]]</f>
        <v>0</v>
      </c>
      <c r="Q1080" s="19"/>
      <c r="R1080" s="19">
        <f>Таблица1[[#This Row],[Блок
 Куб]]*Таблица1[[#This Row],[Цена
 Продажа]]</f>
        <v>0</v>
      </c>
      <c r="S1080" s="20"/>
      <c r="T1080" s="19">
        <f>Таблица1[[#This Row],[Сумма 
Продажа]]-Таблица1[[#This Row],[Сумма 
Приход]]</f>
        <v>0</v>
      </c>
      <c r="U1080" s="150"/>
    </row>
    <row r="1081" spans="1:21" ht="14.25" x14ac:dyDescent="0.2">
      <c r="A1081" s="50">
        <f t="shared" si="16"/>
        <v>1078</v>
      </c>
      <c r="B1081" s="17"/>
      <c r="C1081" s="17"/>
      <c r="D1081" s="17"/>
      <c r="E1081" s="51"/>
      <c r="F1081" s="50"/>
      <c r="G1081" s="23"/>
      <c r="H1081" s="24"/>
      <c r="I1081" s="23"/>
      <c r="J1081" s="19">
        <f>Таблица1[[#This Row],[Блок
 Куб]]*Таблица1[[#This Row],[Цена 
Приход]]</f>
        <v>0</v>
      </c>
      <c r="K1081" s="25"/>
      <c r="L1081" s="25"/>
      <c r="M1081" s="19">
        <f>Таблица1[[#This Row],[Поддон
Шт]]*Таблица1[[#This Row],[Цена
Поддон]]</f>
        <v>0</v>
      </c>
      <c r="N1081" s="19">
        <f>Таблица1[[#This Row],[Сумма 
Приход]]+Таблица1[[#This Row],[Сумма Поддон]]</f>
        <v>0</v>
      </c>
      <c r="O1081" s="20"/>
      <c r="P1081" s="19">
        <f>Таблица1[[#This Row],[Цена
 Продажа]]-Таблица1[[#This Row],[Цена 
Приход]]</f>
        <v>0</v>
      </c>
      <c r="Q1081" s="19"/>
      <c r="R1081" s="19">
        <f>Таблица1[[#This Row],[Блок
 Куб]]*Таблица1[[#This Row],[Цена
 Продажа]]</f>
        <v>0</v>
      </c>
      <c r="S1081" s="20"/>
      <c r="T1081" s="19">
        <f>Таблица1[[#This Row],[Сумма 
Продажа]]-Таблица1[[#This Row],[Сумма 
Приход]]</f>
        <v>0</v>
      </c>
      <c r="U1081" s="150"/>
    </row>
    <row r="1082" spans="1:21" ht="14.25" x14ac:dyDescent="0.2">
      <c r="A1082" s="50">
        <f t="shared" si="16"/>
        <v>1079</v>
      </c>
      <c r="B1082" s="17"/>
      <c r="C1082" s="17"/>
      <c r="D1082" s="17"/>
      <c r="E1082" s="51"/>
      <c r="F1082" s="50"/>
      <c r="G1082" s="23"/>
      <c r="H1082" s="24"/>
      <c r="I1082" s="23"/>
      <c r="J1082" s="19">
        <f>Таблица1[[#This Row],[Блок
 Куб]]*Таблица1[[#This Row],[Цена 
Приход]]</f>
        <v>0</v>
      </c>
      <c r="K1082" s="25"/>
      <c r="L1082" s="25"/>
      <c r="M1082" s="19">
        <f>Таблица1[[#This Row],[Поддон
Шт]]*Таблица1[[#This Row],[Цена
Поддон]]</f>
        <v>0</v>
      </c>
      <c r="N1082" s="19">
        <f>Таблица1[[#This Row],[Сумма 
Приход]]+Таблица1[[#This Row],[Сумма Поддон]]</f>
        <v>0</v>
      </c>
      <c r="O1082" s="20"/>
      <c r="P1082" s="19">
        <f>Таблица1[[#This Row],[Цена
 Продажа]]-Таблица1[[#This Row],[Цена 
Приход]]</f>
        <v>0</v>
      </c>
      <c r="Q1082" s="19"/>
      <c r="R1082" s="19">
        <f>Таблица1[[#This Row],[Блок
 Куб]]*Таблица1[[#This Row],[Цена
 Продажа]]</f>
        <v>0</v>
      </c>
      <c r="S1082" s="20"/>
      <c r="T1082" s="19">
        <f>Таблица1[[#This Row],[Сумма 
Продажа]]-Таблица1[[#This Row],[Сумма 
Приход]]</f>
        <v>0</v>
      </c>
      <c r="U1082" s="150"/>
    </row>
    <row r="1083" spans="1:21" ht="14.25" x14ac:dyDescent="0.2">
      <c r="A1083" s="50">
        <f t="shared" si="16"/>
        <v>1080</v>
      </c>
      <c r="B1083" s="17"/>
      <c r="C1083" s="17"/>
      <c r="D1083" s="17"/>
      <c r="E1083" s="51"/>
      <c r="F1083" s="50"/>
      <c r="G1083" s="23"/>
      <c r="H1083" s="24"/>
      <c r="I1083" s="23"/>
      <c r="J1083" s="19">
        <f>Таблица1[[#This Row],[Блок
 Куб]]*Таблица1[[#This Row],[Цена 
Приход]]</f>
        <v>0</v>
      </c>
      <c r="K1083" s="25"/>
      <c r="L1083" s="25"/>
      <c r="M1083" s="19">
        <f>Таблица1[[#This Row],[Поддон
Шт]]*Таблица1[[#This Row],[Цена
Поддон]]</f>
        <v>0</v>
      </c>
      <c r="N1083" s="19">
        <f>Таблица1[[#This Row],[Сумма 
Приход]]+Таблица1[[#This Row],[Сумма Поддон]]</f>
        <v>0</v>
      </c>
      <c r="O1083" s="20"/>
      <c r="P1083" s="19">
        <f>Таблица1[[#This Row],[Цена
 Продажа]]-Таблица1[[#This Row],[Цена 
Приход]]</f>
        <v>0</v>
      </c>
      <c r="Q1083" s="19"/>
      <c r="R1083" s="19">
        <f>Таблица1[[#This Row],[Блок
 Куб]]*Таблица1[[#This Row],[Цена
 Продажа]]</f>
        <v>0</v>
      </c>
      <c r="S1083" s="20"/>
      <c r="T1083" s="19">
        <f>Таблица1[[#This Row],[Сумма 
Продажа]]-Таблица1[[#This Row],[Сумма 
Приход]]</f>
        <v>0</v>
      </c>
      <c r="U1083" s="150"/>
    </row>
    <row r="1084" spans="1:21" ht="14.25" x14ac:dyDescent="0.2">
      <c r="A1084" s="50">
        <f t="shared" si="16"/>
        <v>1081</v>
      </c>
      <c r="B1084" s="17"/>
      <c r="C1084" s="17"/>
      <c r="D1084" s="17"/>
      <c r="E1084" s="51"/>
      <c r="F1084" s="50"/>
      <c r="G1084" s="23"/>
      <c r="H1084" s="24"/>
      <c r="I1084" s="23"/>
      <c r="J1084" s="19">
        <f>Таблица1[[#This Row],[Блок
 Куб]]*Таблица1[[#This Row],[Цена 
Приход]]</f>
        <v>0</v>
      </c>
      <c r="K1084" s="25"/>
      <c r="L1084" s="25"/>
      <c r="M1084" s="19">
        <f>Таблица1[[#This Row],[Поддон
Шт]]*Таблица1[[#This Row],[Цена
Поддон]]</f>
        <v>0</v>
      </c>
      <c r="N1084" s="19">
        <f>Таблица1[[#This Row],[Сумма 
Приход]]+Таблица1[[#This Row],[Сумма Поддон]]</f>
        <v>0</v>
      </c>
      <c r="O1084" s="20"/>
      <c r="P1084" s="19">
        <f>Таблица1[[#This Row],[Цена
 Продажа]]-Таблица1[[#This Row],[Цена 
Приход]]</f>
        <v>0</v>
      </c>
      <c r="Q1084" s="19"/>
      <c r="R1084" s="19">
        <f>Таблица1[[#This Row],[Блок
 Куб]]*Таблица1[[#This Row],[Цена
 Продажа]]</f>
        <v>0</v>
      </c>
      <c r="S1084" s="20"/>
      <c r="T1084" s="19">
        <f>Таблица1[[#This Row],[Сумма 
Продажа]]-Таблица1[[#This Row],[Сумма 
Приход]]</f>
        <v>0</v>
      </c>
      <c r="U1084" s="150"/>
    </row>
    <row r="1085" spans="1:21" ht="14.25" x14ac:dyDescent="0.2">
      <c r="A1085" s="50">
        <f t="shared" si="16"/>
        <v>1082</v>
      </c>
      <c r="B1085" s="17"/>
      <c r="C1085" s="17"/>
      <c r="D1085" s="17"/>
      <c r="E1085" s="51"/>
      <c r="F1085" s="50"/>
      <c r="G1085" s="23"/>
      <c r="H1085" s="24"/>
      <c r="I1085" s="23"/>
      <c r="J1085" s="19">
        <f>Таблица1[[#This Row],[Блок
 Куб]]*Таблица1[[#This Row],[Цена 
Приход]]</f>
        <v>0</v>
      </c>
      <c r="K1085" s="25"/>
      <c r="L1085" s="25"/>
      <c r="M1085" s="19">
        <f>Таблица1[[#This Row],[Поддон
Шт]]*Таблица1[[#This Row],[Цена
Поддон]]</f>
        <v>0</v>
      </c>
      <c r="N1085" s="19">
        <f>Таблица1[[#This Row],[Сумма 
Приход]]+Таблица1[[#This Row],[Сумма Поддон]]</f>
        <v>0</v>
      </c>
      <c r="O1085" s="20"/>
      <c r="P1085" s="19">
        <f>Таблица1[[#This Row],[Цена
 Продажа]]-Таблица1[[#This Row],[Цена 
Приход]]</f>
        <v>0</v>
      </c>
      <c r="Q1085" s="19"/>
      <c r="R1085" s="19">
        <f>Таблица1[[#This Row],[Блок
 Куб]]*Таблица1[[#This Row],[Цена
 Продажа]]</f>
        <v>0</v>
      </c>
      <c r="S1085" s="20"/>
      <c r="T1085" s="19">
        <f>Таблица1[[#This Row],[Сумма 
Продажа]]-Таблица1[[#This Row],[Сумма 
Приход]]</f>
        <v>0</v>
      </c>
      <c r="U1085" s="150"/>
    </row>
    <row r="1086" spans="1:21" ht="14.25" x14ac:dyDescent="0.2">
      <c r="A1086" s="50">
        <f t="shared" si="16"/>
        <v>1083</v>
      </c>
      <c r="B1086" s="17"/>
      <c r="C1086" s="17"/>
      <c r="D1086" s="17"/>
      <c r="E1086" s="51"/>
      <c r="F1086" s="50"/>
      <c r="G1086" s="23"/>
      <c r="H1086" s="24"/>
      <c r="I1086" s="23"/>
      <c r="J1086" s="19">
        <f>Таблица1[[#This Row],[Блок
 Куб]]*Таблица1[[#This Row],[Цена 
Приход]]</f>
        <v>0</v>
      </c>
      <c r="K1086" s="25"/>
      <c r="L1086" s="25"/>
      <c r="M1086" s="19">
        <f>Таблица1[[#This Row],[Поддон
Шт]]*Таблица1[[#This Row],[Цена
Поддон]]</f>
        <v>0</v>
      </c>
      <c r="N1086" s="19">
        <f>Таблица1[[#This Row],[Сумма 
Приход]]+Таблица1[[#This Row],[Сумма Поддон]]</f>
        <v>0</v>
      </c>
      <c r="O1086" s="20"/>
      <c r="P1086" s="19">
        <f>Таблица1[[#This Row],[Цена
 Продажа]]-Таблица1[[#This Row],[Цена 
Приход]]</f>
        <v>0</v>
      </c>
      <c r="Q1086" s="19"/>
      <c r="R1086" s="19">
        <f>Таблица1[[#This Row],[Блок
 Куб]]*Таблица1[[#This Row],[Цена
 Продажа]]</f>
        <v>0</v>
      </c>
      <c r="S1086" s="20"/>
      <c r="T1086" s="19">
        <f>Таблица1[[#This Row],[Сумма 
Продажа]]-Таблица1[[#This Row],[Сумма 
Приход]]</f>
        <v>0</v>
      </c>
      <c r="U1086" s="150"/>
    </row>
    <row r="1087" spans="1:21" ht="14.25" x14ac:dyDescent="0.2">
      <c r="A1087" s="50">
        <f t="shared" si="16"/>
        <v>1084</v>
      </c>
      <c r="B1087" s="17"/>
      <c r="C1087" s="17"/>
      <c r="D1087" s="17"/>
      <c r="E1087" s="51"/>
      <c r="F1087" s="50"/>
      <c r="G1087" s="23"/>
      <c r="H1087" s="24"/>
      <c r="I1087" s="23"/>
      <c r="J1087" s="19">
        <f>Таблица1[[#This Row],[Блок
 Куб]]*Таблица1[[#This Row],[Цена 
Приход]]</f>
        <v>0</v>
      </c>
      <c r="K1087" s="25"/>
      <c r="L1087" s="25"/>
      <c r="M1087" s="19">
        <f>Таблица1[[#This Row],[Поддон
Шт]]*Таблица1[[#This Row],[Цена
Поддон]]</f>
        <v>0</v>
      </c>
      <c r="N1087" s="19">
        <f>Таблица1[[#This Row],[Сумма 
Приход]]+Таблица1[[#This Row],[Сумма Поддон]]</f>
        <v>0</v>
      </c>
      <c r="O1087" s="20"/>
      <c r="P1087" s="19">
        <f>Таблица1[[#This Row],[Цена
 Продажа]]-Таблица1[[#This Row],[Цена 
Приход]]</f>
        <v>0</v>
      </c>
      <c r="Q1087" s="19"/>
      <c r="R1087" s="19">
        <f>Таблица1[[#This Row],[Блок
 Куб]]*Таблица1[[#This Row],[Цена
 Продажа]]</f>
        <v>0</v>
      </c>
      <c r="S1087" s="20"/>
      <c r="T1087" s="19">
        <f>Таблица1[[#This Row],[Сумма 
Продажа]]-Таблица1[[#This Row],[Сумма 
Приход]]</f>
        <v>0</v>
      </c>
      <c r="U1087" s="150"/>
    </row>
    <row r="1088" spans="1:21" ht="14.25" x14ac:dyDescent="0.2">
      <c r="A1088" s="50">
        <f t="shared" si="16"/>
        <v>1085</v>
      </c>
      <c r="B1088" s="17"/>
      <c r="C1088" s="17"/>
      <c r="D1088" s="17"/>
      <c r="E1088" s="51"/>
      <c r="F1088" s="50"/>
      <c r="G1088" s="23"/>
      <c r="H1088" s="24"/>
      <c r="I1088" s="23"/>
      <c r="J1088" s="19">
        <f>Таблица1[[#This Row],[Блок
 Куб]]*Таблица1[[#This Row],[Цена 
Приход]]</f>
        <v>0</v>
      </c>
      <c r="K1088" s="25"/>
      <c r="L1088" s="25"/>
      <c r="M1088" s="19">
        <f>Таблица1[[#This Row],[Поддон
Шт]]*Таблица1[[#This Row],[Цена
Поддон]]</f>
        <v>0</v>
      </c>
      <c r="N1088" s="19">
        <f>Таблица1[[#This Row],[Сумма 
Приход]]+Таблица1[[#This Row],[Сумма Поддон]]</f>
        <v>0</v>
      </c>
      <c r="O1088" s="20"/>
      <c r="P1088" s="19">
        <f>Таблица1[[#This Row],[Цена
 Продажа]]-Таблица1[[#This Row],[Цена 
Приход]]</f>
        <v>0</v>
      </c>
      <c r="Q1088" s="19"/>
      <c r="R1088" s="19">
        <f>Таблица1[[#This Row],[Блок
 Куб]]*Таблица1[[#This Row],[Цена
 Продажа]]</f>
        <v>0</v>
      </c>
      <c r="S1088" s="20"/>
      <c r="T1088" s="19">
        <f>Таблица1[[#This Row],[Сумма 
Продажа]]-Таблица1[[#This Row],[Сумма 
Приход]]</f>
        <v>0</v>
      </c>
      <c r="U1088" s="150"/>
    </row>
    <row r="1089" spans="1:21" ht="14.25" x14ac:dyDescent="0.2">
      <c r="A1089" s="50">
        <f t="shared" si="16"/>
        <v>1086</v>
      </c>
      <c r="B1089" s="17"/>
      <c r="C1089" s="17"/>
      <c r="D1089" s="17"/>
      <c r="E1089" s="51"/>
      <c r="F1089" s="50"/>
      <c r="G1089" s="23"/>
      <c r="H1089" s="24"/>
      <c r="I1089" s="23"/>
      <c r="J1089" s="19">
        <f>Таблица1[[#This Row],[Блок
 Куб]]*Таблица1[[#This Row],[Цена 
Приход]]</f>
        <v>0</v>
      </c>
      <c r="K1089" s="25"/>
      <c r="L1089" s="25"/>
      <c r="M1089" s="19">
        <f>Таблица1[[#This Row],[Поддон
Шт]]*Таблица1[[#This Row],[Цена
Поддон]]</f>
        <v>0</v>
      </c>
      <c r="N1089" s="19">
        <f>Таблица1[[#This Row],[Сумма 
Приход]]+Таблица1[[#This Row],[Сумма Поддон]]</f>
        <v>0</v>
      </c>
      <c r="O1089" s="20"/>
      <c r="P1089" s="19">
        <f>Таблица1[[#This Row],[Цена
 Продажа]]-Таблица1[[#This Row],[Цена 
Приход]]</f>
        <v>0</v>
      </c>
      <c r="Q1089" s="19"/>
      <c r="R1089" s="19">
        <f>Таблица1[[#This Row],[Блок
 Куб]]*Таблица1[[#This Row],[Цена
 Продажа]]</f>
        <v>0</v>
      </c>
      <c r="S1089" s="20"/>
      <c r="T1089" s="19">
        <f>Таблица1[[#This Row],[Сумма 
Продажа]]-Таблица1[[#This Row],[Сумма 
Приход]]</f>
        <v>0</v>
      </c>
      <c r="U1089" s="150"/>
    </row>
    <row r="1090" spans="1:21" ht="14.25" x14ac:dyDescent="0.2">
      <c r="A1090" s="50">
        <f t="shared" si="16"/>
        <v>1087</v>
      </c>
      <c r="B1090" s="17"/>
      <c r="C1090" s="17"/>
      <c r="D1090" s="17"/>
      <c r="E1090" s="51"/>
      <c r="F1090" s="50"/>
      <c r="G1090" s="23"/>
      <c r="H1090" s="24"/>
      <c r="I1090" s="23"/>
      <c r="J1090" s="19">
        <f>Таблица1[[#This Row],[Блок
 Куб]]*Таблица1[[#This Row],[Цена 
Приход]]</f>
        <v>0</v>
      </c>
      <c r="K1090" s="25"/>
      <c r="L1090" s="25"/>
      <c r="M1090" s="19">
        <f>Таблица1[[#This Row],[Поддон
Шт]]*Таблица1[[#This Row],[Цена
Поддон]]</f>
        <v>0</v>
      </c>
      <c r="N1090" s="19">
        <f>Таблица1[[#This Row],[Сумма 
Приход]]+Таблица1[[#This Row],[Сумма Поддон]]</f>
        <v>0</v>
      </c>
      <c r="O1090" s="20"/>
      <c r="P1090" s="19">
        <f>Таблица1[[#This Row],[Цена
 Продажа]]-Таблица1[[#This Row],[Цена 
Приход]]</f>
        <v>0</v>
      </c>
      <c r="Q1090" s="19"/>
      <c r="R1090" s="19">
        <f>Таблица1[[#This Row],[Блок
 Куб]]*Таблица1[[#This Row],[Цена
 Продажа]]</f>
        <v>0</v>
      </c>
      <c r="S1090" s="20"/>
      <c r="T1090" s="19">
        <f>Таблица1[[#This Row],[Сумма 
Продажа]]-Таблица1[[#This Row],[Сумма 
Приход]]</f>
        <v>0</v>
      </c>
      <c r="U1090" s="150"/>
    </row>
    <row r="1091" spans="1:21" ht="14.25" x14ac:dyDescent="0.2">
      <c r="A1091" s="50">
        <f t="shared" si="16"/>
        <v>1088</v>
      </c>
      <c r="B1091" s="17"/>
      <c r="C1091" s="17"/>
      <c r="D1091" s="17"/>
      <c r="E1091" s="51"/>
      <c r="F1091" s="50"/>
      <c r="G1091" s="23"/>
      <c r="H1091" s="24"/>
      <c r="I1091" s="23"/>
      <c r="J1091" s="19">
        <f>Таблица1[[#This Row],[Блок
 Куб]]*Таблица1[[#This Row],[Цена 
Приход]]</f>
        <v>0</v>
      </c>
      <c r="K1091" s="25"/>
      <c r="L1091" s="25"/>
      <c r="M1091" s="19">
        <f>Таблица1[[#This Row],[Поддон
Шт]]*Таблица1[[#This Row],[Цена
Поддон]]</f>
        <v>0</v>
      </c>
      <c r="N1091" s="19">
        <f>Таблица1[[#This Row],[Сумма 
Приход]]+Таблица1[[#This Row],[Сумма Поддон]]</f>
        <v>0</v>
      </c>
      <c r="O1091" s="20"/>
      <c r="P1091" s="19">
        <f>Таблица1[[#This Row],[Цена
 Продажа]]-Таблица1[[#This Row],[Цена 
Приход]]</f>
        <v>0</v>
      </c>
      <c r="Q1091" s="19"/>
      <c r="R1091" s="19">
        <f>Таблица1[[#This Row],[Блок
 Куб]]*Таблица1[[#This Row],[Цена
 Продажа]]</f>
        <v>0</v>
      </c>
      <c r="S1091" s="20"/>
      <c r="T1091" s="19">
        <f>Таблица1[[#This Row],[Сумма 
Продажа]]-Таблица1[[#This Row],[Сумма 
Приход]]</f>
        <v>0</v>
      </c>
      <c r="U1091" s="150"/>
    </row>
    <row r="1092" spans="1:21" ht="14.25" x14ac:dyDescent="0.2">
      <c r="A1092" s="50">
        <f t="shared" si="16"/>
        <v>1089</v>
      </c>
      <c r="B1092" s="17"/>
      <c r="C1092" s="17"/>
      <c r="D1092" s="17"/>
      <c r="E1092" s="51"/>
      <c r="F1092" s="50"/>
      <c r="G1092" s="23"/>
      <c r="H1092" s="24"/>
      <c r="I1092" s="23"/>
      <c r="J1092" s="19">
        <f>Таблица1[[#This Row],[Блок
 Куб]]*Таблица1[[#This Row],[Цена 
Приход]]</f>
        <v>0</v>
      </c>
      <c r="K1092" s="25"/>
      <c r="L1092" s="25"/>
      <c r="M1092" s="19">
        <f>Таблица1[[#This Row],[Поддон
Шт]]*Таблица1[[#This Row],[Цена
Поддон]]</f>
        <v>0</v>
      </c>
      <c r="N1092" s="19">
        <f>Таблица1[[#This Row],[Сумма 
Приход]]+Таблица1[[#This Row],[Сумма Поддон]]</f>
        <v>0</v>
      </c>
      <c r="O1092" s="20"/>
      <c r="P1092" s="19">
        <f>Таблица1[[#This Row],[Цена
 Продажа]]-Таблица1[[#This Row],[Цена 
Приход]]</f>
        <v>0</v>
      </c>
      <c r="Q1092" s="19"/>
      <c r="R1092" s="19">
        <f>Таблица1[[#This Row],[Блок
 Куб]]*Таблица1[[#This Row],[Цена
 Продажа]]</f>
        <v>0</v>
      </c>
      <c r="S1092" s="20"/>
      <c r="T1092" s="19">
        <f>Таблица1[[#This Row],[Сумма 
Продажа]]-Таблица1[[#This Row],[Сумма 
Приход]]</f>
        <v>0</v>
      </c>
      <c r="U1092" s="150"/>
    </row>
    <row r="1093" spans="1:21" ht="14.25" x14ac:dyDescent="0.2">
      <c r="A1093" s="50">
        <f t="shared" si="16"/>
        <v>1090</v>
      </c>
      <c r="B1093" s="17"/>
      <c r="C1093" s="17"/>
      <c r="D1093" s="17"/>
      <c r="E1093" s="51"/>
      <c r="F1093" s="50"/>
      <c r="G1093" s="23"/>
      <c r="H1093" s="24"/>
      <c r="I1093" s="23"/>
      <c r="J1093" s="19">
        <f>Таблица1[[#This Row],[Блок
 Куб]]*Таблица1[[#This Row],[Цена 
Приход]]</f>
        <v>0</v>
      </c>
      <c r="K1093" s="25"/>
      <c r="L1093" s="25"/>
      <c r="M1093" s="19">
        <f>Таблица1[[#This Row],[Поддон
Шт]]*Таблица1[[#This Row],[Цена
Поддон]]</f>
        <v>0</v>
      </c>
      <c r="N1093" s="19">
        <f>Таблица1[[#This Row],[Сумма 
Приход]]+Таблица1[[#This Row],[Сумма Поддон]]</f>
        <v>0</v>
      </c>
      <c r="O1093" s="20"/>
      <c r="P1093" s="19">
        <f>Таблица1[[#This Row],[Цена
 Продажа]]-Таблица1[[#This Row],[Цена 
Приход]]</f>
        <v>0</v>
      </c>
      <c r="Q1093" s="19"/>
      <c r="R1093" s="19">
        <f>Таблица1[[#This Row],[Блок
 Куб]]*Таблица1[[#This Row],[Цена
 Продажа]]</f>
        <v>0</v>
      </c>
      <c r="S1093" s="20"/>
      <c r="T1093" s="19">
        <f>Таблица1[[#This Row],[Сумма 
Продажа]]-Таблица1[[#This Row],[Сумма 
Приход]]</f>
        <v>0</v>
      </c>
      <c r="U1093" s="150"/>
    </row>
    <row r="1094" spans="1:21" ht="14.25" x14ac:dyDescent="0.2">
      <c r="A1094" s="50">
        <f t="shared" ref="A1094:A1118" si="17">A1093+1</f>
        <v>1091</v>
      </c>
      <c r="B1094" s="17"/>
      <c r="C1094" s="17"/>
      <c r="D1094" s="17"/>
      <c r="E1094" s="51"/>
      <c r="F1094" s="50"/>
      <c r="G1094" s="23"/>
      <c r="H1094" s="24"/>
      <c r="I1094" s="23"/>
      <c r="J1094" s="19">
        <f>Таблица1[[#This Row],[Блок
 Куб]]*Таблица1[[#This Row],[Цена 
Приход]]</f>
        <v>0</v>
      </c>
      <c r="K1094" s="25"/>
      <c r="L1094" s="25"/>
      <c r="M1094" s="19">
        <f>Таблица1[[#This Row],[Поддон
Шт]]*Таблица1[[#This Row],[Цена
Поддон]]</f>
        <v>0</v>
      </c>
      <c r="N1094" s="19">
        <f>Таблица1[[#This Row],[Сумма 
Приход]]+Таблица1[[#This Row],[Сумма Поддон]]</f>
        <v>0</v>
      </c>
      <c r="O1094" s="20"/>
      <c r="P1094" s="19">
        <f>Таблица1[[#This Row],[Цена
 Продажа]]-Таблица1[[#This Row],[Цена 
Приход]]</f>
        <v>0</v>
      </c>
      <c r="Q1094" s="19"/>
      <c r="R1094" s="19">
        <f>Таблица1[[#This Row],[Блок
 Куб]]*Таблица1[[#This Row],[Цена
 Продажа]]</f>
        <v>0</v>
      </c>
      <c r="S1094" s="20"/>
      <c r="T1094" s="19">
        <f>Таблица1[[#This Row],[Сумма 
Продажа]]-Таблица1[[#This Row],[Сумма 
Приход]]</f>
        <v>0</v>
      </c>
      <c r="U1094" s="150"/>
    </row>
    <row r="1095" spans="1:21" ht="14.25" x14ac:dyDescent="0.2">
      <c r="A1095" s="50">
        <f t="shared" si="17"/>
        <v>1092</v>
      </c>
      <c r="B1095" s="17"/>
      <c r="C1095" s="17"/>
      <c r="D1095" s="17"/>
      <c r="E1095" s="51"/>
      <c r="F1095" s="50"/>
      <c r="G1095" s="23"/>
      <c r="H1095" s="24"/>
      <c r="I1095" s="23"/>
      <c r="J1095" s="19">
        <f>Таблица1[[#This Row],[Блок
 Куб]]*Таблица1[[#This Row],[Цена 
Приход]]</f>
        <v>0</v>
      </c>
      <c r="K1095" s="25"/>
      <c r="L1095" s="25"/>
      <c r="M1095" s="19">
        <f>Таблица1[[#This Row],[Поддон
Шт]]*Таблица1[[#This Row],[Цена
Поддон]]</f>
        <v>0</v>
      </c>
      <c r="N1095" s="19">
        <f>Таблица1[[#This Row],[Сумма 
Приход]]+Таблица1[[#This Row],[Сумма Поддон]]</f>
        <v>0</v>
      </c>
      <c r="O1095" s="20"/>
      <c r="P1095" s="19">
        <f>Таблица1[[#This Row],[Цена
 Продажа]]-Таблица1[[#This Row],[Цена 
Приход]]</f>
        <v>0</v>
      </c>
      <c r="Q1095" s="19"/>
      <c r="R1095" s="19">
        <f>Таблица1[[#This Row],[Блок
 Куб]]*Таблица1[[#This Row],[Цена
 Продажа]]</f>
        <v>0</v>
      </c>
      <c r="S1095" s="20"/>
      <c r="T1095" s="19">
        <f>Таблица1[[#This Row],[Сумма 
Продажа]]-Таблица1[[#This Row],[Сумма 
Приход]]</f>
        <v>0</v>
      </c>
      <c r="U1095" s="150"/>
    </row>
    <row r="1096" spans="1:21" ht="14.25" x14ac:dyDescent="0.2">
      <c r="A1096" s="50">
        <f t="shared" si="17"/>
        <v>1093</v>
      </c>
      <c r="B1096" s="17"/>
      <c r="C1096" s="17"/>
      <c r="D1096" s="17"/>
      <c r="E1096" s="51"/>
      <c r="F1096" s="50"/>
      <c r="G1096" s="23"/>
      <c r="H1096" s="24"/>
      <c r="I1096" s="23"/>
      <c r="J1096" s="19">
        <f>Таблица1[[#This Row],[Блок
 Куб]]*Таблица1[[#This Row],[Цена 
Приход]]</f>
        <v>0</v>
      </c>
      <c r="K1096" s="25"/>
      <c r="L1096" s="25"/>
      <c r="M1096" s="19">
        <f>Таблица1[[#This Row],[Поддон
Шт]]*Таблица1[[#This Row],[Цена
Поддон]]</f>
        <v>0</v>
      </c>
      <c r="N1096" s="19">
        <f>Таблица1[[#This Row],[Сумма 
Приход]]+Таблица1[[#This Row],[Сумма Поддон]]</f>
        <v>0</v>
      </c>
      <c r="O1096" s="20"/>
      <c r="P1096" s="19">
        <f>Таблица1[[#This Row],[Цена
 Продажа]]-Таблица1[[#This Row],[Цена 
Приход]]</f>
        <v>0</v>
      </c>
      <c r="Q1096" s="19"/>
      <c r="R1096" s="19">
        <f>Таблица1[[#This Row],[Блок
 Куб]]*Таблица1[[#This Row],[Цена
 Продажа]]</f>
        <v>0</v>
      </c>
      <c r="S1096" s="20"/>
      <c r="T1096" s="19">
        <f>Таблица1[[#This Row],[Сумма 
Продажа]]-Таблица1[[#This Row],[Сумма 
Приход]]</f>
        <v>0</v>
      </c>
      <c r="U1096" s="150"/>
    </row>
    <row r="1097" spans="1:21" ht="14.25" x14ac:dyDescent="0.2">
      <c r="A1097" s="50">
        <f t="shared" si="17"/>
        <v>1094</v>
      </c>
      <c r="B1097" s="17"/>
      <c r="C1097" s="17"/>
      <c r="D1097" s="17"/>
      <c r="E1097" s="51"/>
      <c r="F1097" s="50"/>
      <c r="G1097" s="23"/>
      <c r="H1097" s="24"/>
      <c r="I1097" s="23"/>
      <c r="J1097" s="19">
        <f>Таблица1[[#This Row],[Блок
 Куб]]*Таблица1[[#This Row],[Цена 
Приход]]</f>
        <v>0</v>
      </c>
      <c r="K1097" s="25"/>
      <c r="L1097" s="25"/>
      <c r="M1097" s="19">
        <f>Таблица1[[#This Row],[Поддон
Шт]]*Таблица1[[#This Row],[Цена
Поддон]]</f>
        <v>0</v>
      </c>
      <c r="N1097" s="19">
        <f>Таблица1[[#This Row],[Сумма 
Приход]]+Таблица1[[#This Row],[Сумма Поддон]]</f>
        <v>0</v>
      </c>
      <c r="O1097" s="20"/>
      <c r="P1097" s="19">
        <f>Таблица1[[#This Row],[Цена
 Продажа]]-Таблица1[[#This Row],[Цена 
Приход]]</f>
        <v>0</v>
      </c>
      <c r="Q1097" s="19"/>
      <c r="R1097" s="19">
        <f>Таблица1[[#This Row],[Блок
 Куб]]*Таблица1[[#This Row],[Цена
 Продажа]]</f>
        <v>0</v>
      </c>
      <c r="S1097" s="20"/>
      <c r="T1097" s="19">
        <f>Таблица1[[#This Row],[Сумма 
Продажа]]-Таблица1[[#This Row],[Сумма 
Приход]]</f>
        <v>0</v>
      </c>
      <c r="U1097" s="150"/>
    </row>
    <row r="1098" spans="1:21" ht="14.25" x14ac:dyDescent="0.2">
      <c r="A1098" s="50">
        <f t="shared" si="17"/>
        <v>1095</v>
      </c>
      <c r="B1098" s="17"/>
      <c r="C1098" s="17"/>
      <c r="D1098" s="17"/>
      <c r="E1098" s="51"/>
      <c r="F1098" s="50"/>
      <c r="G1098" s="23"/>
      <c r="H1098" s="24"/>
      <c r="I1098" s="23"/>
      <c r="J1098" s="19">
        <f>Таблица1[[#This Row],[Блок
 Куб]]*Таблица1[[#This Row],[Цена 
Приход]]</f>
        <v>0</v>
      </c>
      <c r="K1098" s="25"/>
      <c r="L1098" s="25"/>
      <c r="M1098" s="19">
        <f>Таблица1[[#This Row],[Поддон
Шт]]*Таблица1[[#This Row],[Цена
Поддон]]</f>
        <v>0</v>
      </c>
      <c r="N1098" s="19">
        <f>Таблица1[[#This Row],[Сумма 
Приход]]+Таблица1[[#This Row],[Сумма Поддон]]</f>
        <v>0</v>
      </c>
      <c r="O1098" s="20"/>
      <c r="P1098" s="19">
        <f>Таблица1[[#This Row],[Цена
 Продажа]]-Таблица1[[#This Row],[Цена 
Приход]]</f>
        <v>0</v>
      </c>
      <c r="Q1098" s="19"/>
      <c r="R1098" s="19">
        <f>Таблица1[[#This Row],[Блок
 Куб]]*Таблица1[[#This Row],[Цена
 Продажа]]</f>
        <v>0</v>
      </c>
      <c r="S1098" s="20"/>
      <c r="T1098" s="19">
        <f>Таблица1[[#This Row],[Сумма 
Продажа]]-Таблица1[[#This Row],[Сумма 
Приход]]</f>
        <v>0</v>
      </c>
      <c r="U1098" s="150"/>
    </row>
    <row r="1099" spans="1:21" ht="14.25" x14ac:dyDescent="0.2">
      <c r="A1099" s="50">
        <f t="shared" si="17"/>
        <v>1096</v>
      </c>
      <c r="B1099" s="17"/>
      <c r="C1099" s="17"/>
      <c r="D1099" s="17"/>
      <c r="E1099" s="51"/>
      <c r="F1099" s="50"/>
      <c r="G1099" s="23"/>
      <c r="H1099" s="24"/>
      <c r="I1099" s="23"/>
      <c r="J1099" s="19">
        <f>Таблица1[[#This Row],[Блок
 Куб]]*Таблица1[[#This Row],[Цена 
Приход]]</f>
        <v>0</v>
      </c>
      <c r="K1099" s="25"/>
      <c r="L1099" s="25"/>
      <c r="M1099" s="19">
        <f>Таблица1[[#This Row],[Поддон
Шт]]*Таблица1[[#This Row],[Цена
Поддон]]</f>
        <v>0</v>
      </c>
      <c r="N1099" s="19">
        <f>Таблица1[[#This Row],[Сумма 
Приход]]+Таблица1[[#This Row],[Сумма Поддон]]</f>
        <v>0</v>
      </c>
      <c r="O1099" s="20"/>
      <c r="P1099" s="19">
        <f>Таблица1[[#This Row],[Цена
 Продажа]]-Таблица1[[#This Row],[Цена 
Приход]]</f>
        <v>0</v>
      </c>
      <c r="Q1099" s="19"/>
      <c r="R1099" s="19">
        <f>Таблица1[[#This Row],[Блок
 Куб]]*Таблица1[[#This Row],[Цена
 Продажа]]</f>
        <v>0</v>
      </c>
      <c r="S1099" s="20"/>
      <c r="T1099" s="19">
        <f>Таблица1[[#This Row],[Сумма 
Продажа]]-Таблица1[[#This Row],[Сумма 
Приход]]</f>
        <v>0</v>
      </c>
      <c r="U1099" s="150"/>
    </row>
    <row r="1100" spans="1:21" ht="14.25" x14ac:dyDescent="0.2">
      <c r="A1100" s="50">
        <f t="shared" si="17"/>
        <v>1097</v>
      </c>
      <c r="B1100" s="17"/>
      <c r="C1100" s="17"/>
      <c r="D1100" s="17"/>
      <c r="E1100" s="51"/>
      <c r="F1100" s="50"/>
      <c r="G1100" s="23"/>
      <c r="H1100" s="24"/>
      <c r="I1100" s="23"/>
      <c r="J1100" s="19">
        <f>Таблица1[[#This Row],[Блок
 Куб]]*Таблица1[[#This Row],[Цена 
Приход]]</f>
        <v>0</v>
      </c>
      <c r="K1100" s="25"/>
      <c r="L1100" s="25"/>
      <c r="M1100" s="19">
        <f>Таблица1[[#This Row],[Поддон
Шт]]*Таблица1[[#This Row],[Цена
Поддон]]</f>
        <v>0</v>
      </c>
      <c r="N1100" s="19">
        <f>Таблица1[[#This Row],[Сумма 
Приход]]+Таблица1[[#This Row],[Сумма Поддон]]</f>
        <v>0</v>
      </c>
      <c r="O1100" s="20"/>
      <c r="P1100" s="19">
        <f>Таблица1[[#This Row],[Цена
 Продажа]]-Таблица1[[#This Row],[Цена 
Приход]]</f>
        <v>0</v>
      </c>
      <c r="Q1100" s="19"/>
      <c r="R1100" s="19">
        <f>Таблица1[[#This Row],[Блок
 Куб]]*Таблица1[[#This Row],[Цена
 Продажа]]</f>
        <v>0</v>
      </c>
      <c r="S1100" s="20"/>
      <c r="T1100" s="19">
        <f>Таблица1[[#This Row],[Сумма 
Продажа]]-Таблица1[[#This Row],[Сумма 
Приход]]</f>
        <v>0</v>
      </c>
      <c r="U1100" s="150"/>
    </row>
    <row r="1101" spans="1:21" ht="14.25" x14ac:dyDescent="0.2">
      <c r="A1101" s="50">
        <f t="shared" si="17"/>
        <v>1098</v>
      </c>
      <c r="B1101" s="17"/>
      <c r="C1101" s="17"/>
      <c r="D1101" s="17"/>
      <c r="E1101" s="51"/>
      <c r="F1101" s="50"/>
      <c r="G1101" s="23"/>
      <c r="H1101" s="24"/>
      <c r="I1101" s="23"/>
      <c r="J1101" s="19">
        <f>Таблица1[[#This Row],[Блок
 Куб]]*Таблица1[[#This Row],[Цена 
Приход]]</f>
        <v>0</v>
      </c>
      <c r="K1101" s="25"/>
      <c r="L1101" s="25"/>
      <c r="M1101" s="19">
        <f>Таблица1[[#This Row],[Поддон
Шт]]*Таблица1[[#This Row],[Цена
Поддон]]</f>
        <v>0</v>
      </c>
      <c r="N1101" s="19">
        <f>Таблица1[[#This Row],[Сумма 
Приход]]+Таблица1[[#This Row],[Сумма Поддон]]</f>
        <v>0</v>
      </c>
      <c r="O1101" s="20"/>
      <c r="P1101" s="19">
        <f>Таблица1[[#This Row],[Цена
 Продажа]]-Таблица1[[#This Row],[Цена 
Приход]]</f>
        <v>0</v>
      </c>
      <c r="Q1101" s="19"/>
      <c r="R1101" s="19">
        <f>Таблица1[[#This Row],[Блок
 Куб]]*Таблица1[[#This Row],[Цена
 Продажа]]</f>
        <v>0</v>
      </c>
      <c r="S1101" s="20"/>
      <c r="T1101" s="19">
        <f>Таблица1[[#This Row],[Сумма 
Продажа]]-Таблица1[[#This Row],[Сумма 
Приход]]</f>
        <v>0</v>
      </c>
      <c r="U1101" s="150"/>
    </row>
    <row r="1102" spans="1:21" ht="14.25" x14ac:dyDescent="0.2">
      <c r="A1102" s="50">
        <f t="shared" si="17"/>
        <v>1099</v>
      </c>
      <c r="B1102" s="17"/>
      <c r="C1102" s="17"/>
      <c r="D1102" s="17"/>
      <c r="E1102" s="51"/>
      <c r="F1102" s="50"/>
      <c r="G1102" s="23"/>
      <c r="H1102" s="24"/>
      <c r="I1102" s="23"/>
      <c r="J1102" s="19">
        <f>Таблица1[[#This Row],[Блок
 Куб]]*Таблица1[[#This Row],[Цена 
Приход]]</f>
        <v>0</v>
      </c>
      <c r="K1102" s="25"/>
      <c r="L1102" s="25"/>
      <c r="M1102" s="19">
        <f>Таблица1[[#This Row],[Поддон
Шт]]*Таблица1[[#This Row],[Цена
Поддон]]</f>
        <v>0</v>
      </c>
      <c r="N1102" s="19">
        <f>Таблица1[[#This Row],[Сумма 
Приход]]+Таблица1[[#This Row],[Сумма Поддон]]</f>
        <v>0</v>
      </c>
      <c r="O1102" s="20"/>
      <c r="P1102" s="19">
        <f>Таблица1[[#This Row],[Цена
 Продажа]]-Таблица1[[#This Row],[Цена 
Приход]]</f>
        <v>0</v>
      </c>
      <c r="Q1102" s="19"/>
      <c r="R1102" s="19">
        <f>Таблица1[[#This Row],[Блок
 Куб]]*Таблица1[[#This Row],[Цена
 Продажа]]</f>
        <v>0</v>
      </c>
      <c r="S1102" s="20"/>
      <c r="T1102" s="19">
        <f>Таблица1[[#This Row],[Сумма 
Продажа]]-Таблица1[[#This Row],[Сумма 
Приход]]</f>
        <v>0</v>
      </c>
      <c r="U1102" s="150"/>
    </row>
    <row r="1103" spans="1:21" ht="14.25" x14ac:dyDescent="0.2">
      <c r="A1103" s="50">
        <f t="shared" si="17"/>
        <v>1100</v>
      </c>
      <c r="B1103" s="17"/>
      <c r="C1103" s="17"/>
      <c r="D1103" s="17"/>
      <c r="E1103" s="51"/>
      <c r="F1103" s="50"/>
      <c r="G1103" s="23"/>
      <c r="H1103" s="24"/>
      <c r="I1103" s="23"/>
      <c r="J1103" s="19">
        <f>Таблица1[[#This Row],[Блок
 Куб]]*Таблица1[[#This Row],[Цена 
Приход]]</f>
        <v>0</v>
      </c>
      <c r="K1103" s="25"/>
      <c r="L1103" s="25"/>
      <c r="M1103" s="19">
        <f>Таблица1[[#This Row],[Поддон
Шт]]*Таблица1[[#This Row],[Цена
Поддон]]</f>
        <v>0</v>
      </c>
      <c r="N1103" s="19">
        <f>Таблица1[[#This Row],[Сумма 
Приход]]+Таблица1[[#This Row],[Сумма Поддон]]</f>
        <v>0</v>
      </c>
      <c r="O1103" s="20"/>
      <c r="P1103" s="19">
        <f>Таблица1[[#This Row],[Цена
 Продажа]]-Таблица1[[#This Row],[Цена 
Приход]]</f>
        <v>0</v>
      </c>
      <c r="Q1103" s="19"/>
      <c r="R1103" s="19">
        <f>Таблица1[[#This Row],[Блок
 Куб]]*Таблица1[[#This Row],[Цена
 Продажа]]</f>
        <v>0</v>
      </c>
      <c r="S1103" s="20"/>
      <c r="T1103" s="19">
        <f>Таблица1[[#This Row],[Сумма 
Продажа]]-Таблица1[[#This Row],[Сумма 
Приход]]</f>
        <v>0</v>
      </c>
      <c r="U1103" s="150"/>
    </row>
    <row r="1104" spans="1:21" ht="14.25" x14ac:dyDescent="0.2">
      <c r="A1104" s="50">
        <f t="shared" si="17"/>
        <v>1101</v>
      </c>
      <c r="B1104" s="17"/>
      <c r="C1104" s="17"/>
      <c r="D1104" s="17"/>
      <c r="E1104" s="51"/>
      <c r="F1104" s="50"/>
      <c r="G1104" s="23"/>
      <c r="H1104" s="24"/>
      <c r="I1104" s="23"/>
      <c r="J1104" s="19">
        <f>Таблица1[[#This Row],[Блок
 Куб]]*Таблица1[[#This Row],[Цена 
Приход]]</f>
        <v>0</v>
      </c>
      <c r="K1104" s="25"/>
      <c r="L1104" s="25"/>
      <c r="M1104" s="19">
        <f>Таблица1[[#This Row],[Поддон
Шт]]*Таблица1[[#This Row],[Цена
Поддон]]</f>
        <v>0</v>
      </c>
      <c r="N1104" s="19">
        <f>Таблица1[[#This Row],[Сумма 
Приход]]+Таблица1[[#This Row],[Сумма Поддон]]</f>
        <v>0</v>
      </c>
      <c r="O1104" s="20"/>
      <c r="P1104" s="19">
        <f>Таблица1[[#This Row],[Цена
 Продажа]]-Таблица1[[#This Row],[Цена 
Приход]]</f>
        <v>0</v>
      </c>
      <c r="Q1104" s="19"/>
      <c r="R1104" s="19">
        <f>Таблица1[[#This Row],[Блок
 Куб]]*Таблица1[[#This Row],[Цена
 Продажа]]</f>
        <v>0</v>
      </c>
      <c r="S1104" s="20"/>
      <c r="T1104" s="19">
        <f>Таблица1[[#This Row],[Сумма 
Продажа]]-Таблица1[[#This Row],[Сумма 
Приход]]</f>
        <v>0</v>
      </c>
      <c r="U1104" s="150"/>
    </row>
    <row r="1105" spans="1:21" ht="14.25" x14ac:dyDescent="0.2">
      <c r="A1105" s="50">
        <f t="shared" si="17"/>
        <v>1102</v>
      </c>
      <c r="B1105" s="17"/>
      <c r="C1105" s="17"/>
      <c r="D1105" s="17"/>
      <c r="E1105" s="51"/>
      <c r="F1105" s="50"/>
      <c r="G1105" s="23"/>
      <c r="H1105" s="24"/>
      <c r="I1105" s="23"/>
      <c r="J1105" s="19">
        <f>Таблица1[[#This Row],[Блок
 Куб]]*Таблица1[[#This Row],[Цена 
Приход]]</f>
        <v>0</v>
      </c>
      <c r="K1105" s="25"/>
      <c r="L1105" s="25"/>
      <c r="M1105" s="19">
        <f>Таблица1[[#This Row],[Поддон
Шт]]*Таблица1[[#This Row],[Цена
Поддон]]</f>
        <v>0</v>
      </c>
      <c r="N1105" s="19">
        <f>Таблица1[[#This Row],[Сумма 
Приход]]+Таблица1[[#This Row],[Сумма Поддон]]</f>
        <v>0</v>
      </c>
      <c r="O1105" s="20"/>
      <c r="P1105" s="19">
        <f>Таблица1[[#This Row],[Цена
 Продажа]]-Таблица1[[#This Row],[Цена 
Приход]]</f>
        <v>0</v>
      </c>
      <c r="Q1105" s="19"/>
      <c r="R1105" s="19">
        <f>Таблица1[[#This Row],[Блок
 Куб]]*Таблица1[[#This Row],[Цена
 Продажа]]</f>
        <v>0</v>
      </c>
      <c r="S1105" s="20"/>
      <c r="T1105" s="19">
        <f>Таблица1[[#This Row],[Сумма 
Продажа]]-Таблица1[[#This Row],[Сумма 
Приход]]</f>
        <v>0</v>
      </c>
      <c r="U1105" s="150"/>
    </row>
    <row r="1106" spans="1:21" ht="14.25" x14ac:dyDescent="0.2">
      <c r="A1106" s="50">
        <f t="shared" si="17"/>
        <v>1103</v>
      </c>
      <c r="B1106" s="17"/>
      <c r="C1106" s="17"/>
      <c r="D1106" s="17"/>
      <c r="E1106" s="51"/>
      <c r="F1106" s="50"/>
      <c r="G1106" s="23"/>
      <c r="H1106" s="24"/>
      <c r="I1106" s="23"/>
      <c r="J1106" s="19">
        <f>Таблица1[[#This Row],[Блок
 Куб]]*Таблица1[[#This Row],[Цена 
Приход]]</f>
        <v>0</v>
      </c>
      <c r="K1106" s="25"/>
      <c r="L1106" s="25"/>
      <c r="M1106" s="19">
        <f>Таблица1[[#This Row],[Поддон
Шт]]*Таблица1[[#This Row],[Цена
Поддон]]</f>
        <v>0</v>
      </c>
      <c r="N1106" s="19">
        <f>Таблица1[[#This Row],[Сумма 
Приход]]+Таблица1[[#This Row],[Сумма Поддон]]</f>
        <v>0</v>
      </c>
      <c r="O1106" s="20"/>
      <c r="P1106" s="19">
        <f>Таблица1[[#This Row],[Цена
 Продажа]]-Таблица1[[#This Row],[Цена 
Приход]]</f>
        <v>0</v>
      </c>
      <c r="Q1106" s="19"/>
      <c r="R1106" s="19">
        <f>Таблица1[[#This Row],[Блок
 Куб]]*Таблица1[[#This Row],[Цена
 Продажа]]</f>
        <v>0</v>
      </c>
      <c r="S1106" s="20"/>
      <c r="T1106" s="19">
        <f>Таблица1[[#This Row],[Сумма 
Продажа]]-Таблица1[[#This Row],[Сумма 
Приход]]</f>
        <v>0</v>
      </c>
      <c r="U1106" s="150"/>
    </row>
    <row r="1107" spans="1:21" ht="14.25" x14ac:dyDescent="0.2">
      <c r="A1107" s="50">
        <f t="shared" si="17"/>
        <v>1104</v>
      </c>
      <c r="B1107" s="17"/>
      <c r="C1107" s="17"/>
      <c r="D1107" s="17"/>
      <c r="E1107" s="51"/>
      <c r="F1107" s="50"/>
      <c r="G1107" s="23"/>
      <c r="H1107" s="24"/>
      <c r="I1107" s="23"/>
      <c r="J1107" s="19">
        <f>Таблица1[[#This Row],[Блок
 Куб]]*Таблица1[[#This Row],[Цена 
Приход]]</f>
        <v>0</v>
      </c>
      <c r="K1107" s="25"/>
      <c r="L1107" s="25"/>
      <c r="M1107" s="19">
        <f>Таблица1[[#This Row],[Поддон
Шт]]*Таблица1[[#This Row],[Цена
Поддон]]</f>
        <v>0</v>
      </c>
      <c r="N1107" s="19">
        <f>Таблица1[[#This Row],[Сумма 
Приход]]+Таблица1[[#This Row],[Сумма Поддон]]</f>
        <v>0</v>
      </c>
      <c r="O1107" s="20"/>
      <c r="P1107" s="19">
        <f>Таблица1[[#This Row],[Цена
 Продажа]]-Таблица1[[#This Row],[Цена 
Приход]]</f>
        <v>0</v>
      </c>
      <c r="Q1107" s="19"/>
      <c r="R1107" s="19">
        <f>Таблица1[[#This Row],[Блок
 Куб]]*Таблица1[[#This Row],[Цена
 Продажа]]</f>
        <v>0</v>
      </c>
      <c r="S1107" s="20"/>
      <c r="T1107" s="19">
        <f>Таблица1[[#This Row],[Сумма 
Продажа]]-Таблица1[[#This Row],[Сумма 
Приход]]</f>
        <v>0</v>
      </c>
      <c r="U1107" s="150"/>
    </row>
    <row r="1108" spans="1:21" ht="14.25" x14ac:dyDescent="0.2">
      <c r="A1108" s="50">
        <f t="shared" si="17"/>
        <v>1105</v>
      </c>
      <c r="B1108" s="17"/>
      <c r="C1108" s="17"/>
      <c r="D1108" s="17"/>
      <c r="E1108" s="51"/>
      <c r="F1108" s="50"/>
      <c r="G1108" s="23"/>
      <c r="H1108" s="24"/>
      <c r="I1108" s="23"/>
      <c r="J1108" s="19">
        <f>Таблица1[[#This Row],[Блок
 Куб]]*Таблица1[[#This Row],[Цена 
Приход]]</f>
        <v>0</v>
      </c>
      <c r="K1108" s="25"/>
      <c r="L1108" s="25"/>
      <c r="M1108" s="19">
        <f>Таблица1[[#This Row],[Поддон
Шт]]*Таблица1[[#This Row],[Цена
Поддон]]</f>
        <v>0</v>
      </c>
      <c r="N1108" s="19">
        <f>Таблица1[[#This Row],[Сумма 
Приход]]+Таблица1[[#This Row],[Сумма Поддон]]</f>
        <v>0</v>
      </c>
      <c r="O1108" s="20"/>
      <c r="P1108" s="19">
        <f>Таблица1[[#This Row],[Цена
 Продажа]]-Таблица1[[#This Row],[Цена 
Приход]]</f>
        <v>0</v>
      </c>
      <c r="Q1108" s="19"/>
      <c r="R1108" s="19">
        <f>Таблица1[[#This Row],[Блок
 Куб]]*Таблица1[[#This Row],[Цена
 Продажа]]</f>
        <v>0</v>
      </c>
      <c r="S1108" s="20"/>
      <c r="T1108" s="19">
        <f>Таблица1[[#This Row],[Сумма 
Продажа]]-Таблица1[[#This Row],[Сумма 
Приход]]</f>
        <v>0</v>
      </c>
      <c r="U1108" s="150"/>
    </row>
    <row r="1109" spans="1:21" ht="14.25" x14ac:dyDescent="0.2">
      <c r="A1109" s="50">
        <f t="shared" si="17"/>
        <v>1106</v>
      </c>
      <c r="B1109" s="17"/>
      <c r="C1109" s="17"/>
      <c r="D1109" s="17"/>
      <c r="E1109" s="51"/>
      <c r="F1109" s="50"/>
      <c r="G1109" s="23"/>
      <c r="H1109" s="24"/>
      <c r="I1109" s="23"/>
      <c r="J1109" s="19">
        <f>Таблица1[[#This Row],[Блок
 Куб]]*Таблица1[[#This Row],[Цена 
Приход]]</f>
        <v>0</v>
      </c>
      <c r="K1109" s="25"/>
      <c r="L1109" s="25"/>
      <c r="M1109" s="19">
        <f>Таблица1[[#This Row],[Поддон
Шт]]*Таблица1[[#This Row],[Цена
Поддон]]</f>
        <v>0</v>
      </c>
      <c r="N1109" s="19">
        <f>Таблица1[[#This Row],[Сумма 
Приход]]+Таблица1[[#This Row],[Сумма Поддон]]</f>
        <v>0</v>
      </c>
      <c r="O1109" s="20"/>
      <c r="P1109" s="19">
        <f>Таблица1[[#This Row],[Цена
 Продажа]]-Таблица1[[#This Row],[Цена 
Приход]]</f>
        <v>0</v>
      </c>
      <c r="Q1109" s="19"/>
      <c r="R1109" s="19">
        <f>Таблица1[[#This Row],[Блок
 Куб]]*Таблица1[[#This Row],[Цена
 Продажа]]</f>
        <v>0</v>
      </c>
      <c r="S1109" s="20"/>
      <c r="T1109" s="19">
        <f>Таблица1[[#This Row],[Сумма 
Продажа]]-Таблица1[[#This Row],[Сумма 
Приход]]</f>
        <v>0</v>
      </c>
      <c r="U1109" s="150"/>
    </row>
    <row r="1110" spans="1:21" ht="14.25" x14ac:dyDescent="0.2">
      <c r="A1110" s="50">
        <f t="shared" si="17"/>
        <v>1107</v>
      </c>
      <c r="B1110" s="17"/>
      <c r="C1110" s="17"/>
      <c r="D1110" s="17"/>
      <c r="E1110" s="51"/>
      <c r="F1110" s="50"/>
      <c r="G1110" s="23"/>
      <c r="H1110" s="24"/>
      <c r="I1110" s="23"/>
      <c r="J1110" s="19">
        <f>Таблица1[[#This Row],[Блок
 Куб]]*Таблица1[[#This Row],[Цена 
Приход]]</f>
        <v>0</v>
      </c>
      <c r="K1110" s="25"/>
      <c r="L1110" s="25"/>
      <c r="M1110" s="19">
        <f>Таблица1[[#This Row],[Поддон
Шт]]*Таблица1[[#This Row],[Цена
Поддон]]</f>
        <v>0</v>
      </c>
      <c r="N1110" s="19">
        <f>Таблица1[[#This Row],[Сумма 
Приход]]+Таблица1[[#This Row],[Сумма Поддон]]</f>
        <v>0</v>
      </c>
      <c r="O1110" s="20"/>
      <c r="P1110" s="19">
        <f>Таблица1[[#This Row],[Цена
 Продажа]]-Таблица1[[#This Row],[Цена 
Приход]]</f>
        <v>0</v>
      </c>
      <c r="Q1110" s="19"/>
      <c r="R1110" s="19">
        <f>Таблица1[[#This Row],[Блок
 Куб]]*Таблица1[[#This Row],[Цена
 Продажа]]</f>
        <v>0</v>
      </c>
      <c r="S1110" s="20"/>
      <c r="T1110" s="19">
        <f>Таблица1[[#This Row],[Сумма 
Продажа]]-Таблица1[[#This Row],[Сумма 
Приход]]</f>
        <v>0</v>
      </c>
      <c r="U1110" s="150"/>
    </row>
    <row r="1111" spans="1:21" ht="14.25" x14ac:dyDescent="0.2">
      <c r="A1111" s="50">
        <f t="shared" si="17"/>
        <v>1108</v>
      </c>
      <c r="B1111" s="17"/>
      <c r="C1111" s="17"/>
      <c r="D1111" s="17"/>
      <c r="E1111" s="51"/>
      <c r="F1111" s="50"/>
      <c r="G1111" s="23"/>
      <c r="H1111" s="24"/>
      <c r="I1111" s="23"/>
      <c r="J1111" s="19">
        <f>Таблица1[[#This Row],[Блок
 Куб]]*Таблица1[[#This Row],[Цена 
Приход]]</f>
        <v>0</v>
      </c>
      <c r="K1111" s="25"/>
      <c r="L1111" s="25"/>
      <c r="M1111" s="19">
        <f>Таблица1[[#This Row],[Поддон
Шт]]*Таблица1[[#This Row],[Цена
Поддон]]</f>
        <v>0</v>
      </c>
      <c r="N1111" s="19">
        <f>Таблица1[[#This Row],[Сумма 
Приход]]+Таблица1[[#This Row],[Сумма Поддон]]</f>
        <v>0</v>
      </c>
      <c r="O1111" s="20"/>
      <c r="P1111" s="19">
        <f>Таблица1[[#This Row],[Цена
 Продажа]]-Таблица1[[#This Row],[Цена 
Приход]]</f>
        <v>0</v>
      </c>
      <c r="Q1111" s="19"/>
      <c r="R1111" s="19">
        <f>Таблица1[[#This Row],[Блок
 Куб]]*Таблица1[[#This Row],[Цена
 Продажа]]</f>
        <v>0</v>
      </c>
      <c r="S1111" s="20"/>
      <c r="T1111" s="19">
        <f>Таблица1[[#This Row],[Сумма 
Продажа]]-Таблица1[[#This Row],[Сумма 
Приход]]</f>
        <v>0</v>
      </c>
      <c r="U1111" s="150"/>
    </row>
    <row r="1112" spans="1:21" ht="14.25" x14ac:dyDescent="0.2">
      <c r="A1112" s="50">
        <f t="shared" si="17"/>
        <v>1109</v>
      </c>
      <c r="B1112" s="17"/>
      <c r="C1112" s="17"/>
      <c r="D1112" s="17"/>
      <c r="E1112" s="51"/>
      <c r="F1112" s="50"/>
      <c r="G1112" s="23"/>
      <c r="H1112" s="24"/>
      <c r="I1112" s="23"/>
      <c r="J1112" s="19">
        <f>Таблица1[[#This Row],[Блок
 Куб]]*Таблица1[[#This Row],[Цена 
Приход]]</f>
        <v>0</v>
      </c>
      <c r="K1112" s="25"/>
      <c r="L1112" s="25"/>
      <c r="M1112" s="19">
        <f>Таблица1[[#This Row],[Поддон
Шт]]*Таблица1[[#This Row],[Цена
Поддон]]</f>
        <v>0</v>
      </c>
      <c r="N1112" s="19">
        <f>Таблица1[[#This Row],[Сумма 
Приход]]+Таблица1[[#This Row],[Сумма Поддон]]</f>
        <v>0</v>
      </c>
      <c r="O1112" s="20"/>
      <c r="P1112" s="19">
        <f>Таблица1[[#This Row],[Цена
 Продажа]]-Таблица1[[#This Row],[Цена 
Приход]]</f>
        <v>0</v>
      </c>
      <c r="Q1112" s="19"/>
      <c r="R1112" s="19">
        <f>Таблица1[[#This Row],[Блок
 Куб]]*Таблица1[[#This Row],[Цена
 Продажа]]</f>
        <v>0</v>
      </c>
      <c r="S1112" s="20"/>
      <c r="T1112" s="19">
        <f>Таблица1[[#This Row],[Сумма 
Продажа]]-Таблица1[[#This Row],[Сумма 
Приход]]</f>
        <v>0</v>
      </c>
      <c r="U1112" s="150"/>
    </row>
    <row r="1113" spans="1:21" ht="14.25" x14ac:dyDescent="0.2">
      <c r="A1113" s="50">
        <f t="shared" si="17"/>
        <v>1110</v>
      </c>
      <c r="B1113" s="17"/>
      <c r="C1113" s="17"/>
      <c r="D1113" s="17"/>
      <c r="E1113" s="51"/>
      <c r="F1113" s="50"/>
      <c r="G1113" s="23"/>
      <c r="H1113" s="24"/>
      <c r="I1113" s="23"/>
      <c r="J1113" s="19">
        <f>Таблица1[[#This Row],[Блок
 Куб]]*Таблица1[[#This Row],[Цена 
Приход]]</f>
        <v>0</v>
      </c>
      <c r="K1113" s="25"/>
      <c r="L1113" s="25"/>
      <c r="M1113" s="19">
        <f>Таблица1[[#This Row],[Поддон
Шт]]*Таблица1[[#This Row],[Цена
Поддон]]</f>
        <v>0</v>
      </c>
      <c r="N1113" s="19">
        <f>Таблица1[[#This Row],[Сумма 
Приход]]+Таблица1[[#This Row],[Сумма Поддон]]</f>
        <v>0</v>
      </c>
      <c r="O1113" s="20"/>
      <c r="P1113" s="19">
        <f>Таблица1[[#This Row],[Цена
 Продажа]]-Таблица1[[#This Row],[Цена 
Приход]]</f>
        <v>0</v>
      </c>
      <c r="Q1113" s="19"/>
      <c r="R1113" s="19">
        <f>Таблица1[[#This Row],[Блок
 Куб]]*Таблица1[[#This Row],[Цена
 Продажа]]</f>
        <v>0</v>
      </c>
      <c r="S1113" s="20"/>
      <c r="T1113" s="19">
        <f>Таблица1[[#This Row],[Сумма 
Продажа]]-Таблица1[[#This Row],[Сумма 
Приход]]</f>
        <v>0</v>
      </c>
      <c r="U1113" s="150"/>
    </row>
    <row r="1114" spans="1:21" ht="14.25" x14ac:dyDescent="0.2">
      <c r="A1114" s="50">
        <f t="shared" si="17"/>
        <v>1111</v>
      </c>
      <c r="B1114" s="17"/>
      <c r="C1114" s="17"/>
      <c r="D1114" s="17"/>
      <c r="E1114" s="51"/>
      <c r="F1114" s="50"/>
      <c r="G1114" s="23"/>
      <c r="H1114" s="24"/>
      <c r="I1114" s="23"/>
      <c r="J1114" s="19">
        <f>Таблица1[[#This Row],[Блок
 Куб]]*Таблица1[[#This Row],[Цена 
Приход]]</f>
        <v>0</v>
      </c>
      <c r="K1114" s="25"/>
      <c r="L1114" s="25"/>
      <c r="M1114" s="19">
        <f>Таблица1[[#This Row],[Поддон
Шт]]*Таблица1[[#This Row],[Цена
Поддон]]</f>
        <v>0</v>
      </c>
      <c r="N1114" s="19">
        <f>Таблица1[[#This Row],[Сумма 
Приход]]+Таблица1[[#This Row],[Сумма Поддон]]</f>
        <v>0</v>
      </c>
      <c r="O1114" s="20"/>
      <c r="P1114" s="19">
        <f>Таблица1[[#This Row],[Цена
 Продажа]]-Таблица1[[#This Row],[Цена 
Приход]]</f>
        <v>0</v>
      </c>
      <c r="Q1114" s="19"/>
      <c r="R1114" s="19">
        <f>Таблица1[[#This Row],[Блок
 Куб]]*Таблица1[[#This Row],[Цена
 Продажа]]</f>
        <v>0</v>
      </c>
      <c r="S1114" s="20"/>
      <c r="T1114" s="19">
        <f>Таблица1[[#This Row],[Сумма 
Продажа]]-Таблица1[[#This Row],[Сумма 
Приход]]</f>
        <v>0</v>
      </c>
      <c r="U1114" s="150"/>
    </row>
    <row r="1115" spans="1:21" ht="14.25" x14ac:dyDescent="0.2">
      <c r="A1115" s="50">
        <f t="shared" si="17"/>
        <v>1112</v>
      </c>
      <c r="B1115" s="17"/>
      <c r="C1115" s="17"/>
      <c r="D1115" s="17"/>
      <c r="E1115" s="51"/>
      <c r="F1115" s="50"/>
      <c r="G1115" s="23"/>
      <c r="H1115" s="24"/>
      <c r="I1115" s="23"/>
      <c r="J1115" s="19">
        <f>Таблица1[[#This Row],[Блок
 Куб]]*Таблица1[[#This Row],[Цена 
Приход]]</f>
        <v>0</v>
      </c>
      <c r="K1115" s="25"/>
      <c r="L1115" s="25"/>
      <c r="M1115" s="19">
        <f>Таблица1[[#This Row],[Поддон
Шт]]*Таблица1[[#This Row],[Цена
Поддон]]</f>
        <v>0</v>
      </c>
      <c r="N1115" s="19">
        <f>Таблица1[[#This Row],[Сумма 
Приход]]+Таблица1[[#This Row],[Сумма Поддон]]</f>
        <v>0</v>
      </c>
      <c r="O1115" s="20"/>
      <c r="P1115" s="19">
        <f>Таблица1[[#This Row],[Цена
 Продажа]]-Таблица1[[#This Row],[Цена 
Приход]]</f>
        <v>0</v>
      </c>
      <c r="Q1115" s="19"/>
      <c r="R1115" s="19">
        <f>Таблица1[[#This Row],[Блок
 Куб]]*Таблица1[[#This Row],[Цена
 Продажа]]</f>
        <v>0</v>
      </c>
      <c r="S1115" s="20"/>
      <c r="T1115" s="19">
        <f>Таблица1[[#This Row],[Сумма 
Продажа]]-Таблица1[[#This Row],[Сумма 
Приход]]</f>
        <v>0</v>
      </c>
      <c r="U1115" s="150"/>
    </row>
    <row r="1116" spans="1:21" ht="14.25" x14ac:dyDescent="0.2">
      <c r="A1116" s="50">
        <f t="shared" si="17"/>
        <v>1113</v>
      </c>
      <c r="B1116" s="17"/>
      <c r="C1116" s="17"/>
      <c r="D1116" s="17"/>
      <c r="E1116" s="51"/>
      <c r="F1116" s="50"/>
      <c r="G1116" s="23"/>
      <c r="H1116" s="24"/>
      <c r="I1116" s="23"/>
      <c r="J1116" s="19">
        <f>Таблица1[[#This Row],[Блок
 Куб]]*Таблица1[[#This Row],[Цена 
Приход]]</f>
        <v>0</v>
      </c>
      <c r="K1116" s="25"/>
      <c r="L1116" s="25"/>
      <c r="M1116" s="19">
        <f>Таблица1[[#This Row],[Поддон
Шт]]*Таблица1[[#This Row],[Цена
Поддон]]</f>
        <v>0</v>
      </c>
      <c r="N1116" s="19">
        <f>Таблица1[[#This Row],[Сумма 
Приход]]+Таблица1[[#This Row],[Сумма Поддон]]</f>
        <v>0</v>
      </c>
      <c r="O1116" s="20"/>
      <c r="P1116" s="19">
        <f>Таблица1[[#This Row],[Цена
 Продажа]]-Таблица1[[#This Row],[Цена 
Приход]]</f>
        <v>0</v>
      </c>
      <c r="Q1116" s="19"/>
      <c r="R1116" s="19">
        <f>Таблица1[[#This Row],[Блок
 Куб]]*Таблица1[[#This Row],[Цена
 Продажа]]</f>
        <v>0</v>
      </c>
      <c r="S1116" s="20"/>
      <c r="T1116" s="19">
        <f>Таблица1[[#This Row],[Сумма 
Продажа]]-Таблица1[[#This Row],[Сумма 
Приход]]</f>
        <v>0</v>
      </c>
      <c r="U1116" s="150"/>
    </row>
    <row r="1117" spans="1:21" ht="14.25" x14ac:dyDescent="0.2">
      <c r="A1117" s="50">
        <f t="shared" si="17"/>
        <v>1114</v>
      </c>
      <c r="B1117" s="17"/>
      <c r="C1117" s="17"/>
      <c r="D1117" s="17"/>
      <c r="E1117" s="51"/>
      <c r="F1117" s="50"/>
      <c r="G1117" s="23"/>
      <c r="H1117" s="24"/>
      <c r="I1117" s="23"/>
      <c r="J1117" s="19">
        <f>Таблица1[[#This Row],[Блок
 Куб]]*Таблица1[[#This Row],[Цена 
Приход]]</f>
        <v>0</v>
      </c>
      <c r="K1117" s="25"/>
      <c r="L1117" s="25"/>
      <c r="M1117" s="19">
        <f>Таблица1[[#This Row],[Поддон
Шт]]*Таблица1[[#This Row],[Цена
Поддон]]</f>
        <v>0</v>
      </c>
      <c r="N1117" s="19">
        <f>Таблица1[[#This Row],[Сумма 
Приход]]+Таблица1[[#This Row],[Сумма Поддон]]</f>
        <v>0</v>
      </c>
      <c r="O1117" s="20"/>
      <c r="P1117" s="19">
        <f>Таблица1[[#This Row],[Цена
 Продажа]]-Таблица1[[#This Row],[Цена 
Приход]]</f>
        <v>0</v>
      </c>
      <c r="Q1117" s="19"/>
      <c r="R1117" s="19">
        <f>Таблица1[[#This Row],[Блок
 Куб]]*Таблица1[[#This Row],[Цена
 Продажа]]</f>
        <v>0</v>
      </c>
      <c r="S1117" s="20"/>
      <c r="T1117" s="19">
        <f>Таблица1[[#This Row],[Сумма 
Продажа]]-Таблица1[[#This Row],[Сумма 
Приход]]</f>
        <v>0</v>
      </c>
      <c r="U1117" s="150"/>
    </row>
    <row r="1118" spans="1:21" ht="14.25" x14ac:dyDescent="0.2">
      <c r="A1118" s="50">
        <f t="shared" si="17"/>
        <v>1115</v>
      </c>
      <c r="B1118" s="17"/>
      <c r="C1118" s="17"/>
      <c r="D1118" s="17"/>
      <c r="E1118" s="51"/>
      <c r="F1118" s="50"/>
      <c r="G1118" s="23"/>
      <c r="H1118" s="24"/>
      <c r="I1118" s="23"/>
      <c r="J1118" s="19">
        <f>Таблица1[[#This Row],[Блок
 Куб]]*Таблица1[[#This Row],[Цена 
Приход]]</f>
        <v>0</v>
      </c>
      <c r="K1118" s="25"/>
      <c r="L1118" s="25"/>
      <c r="M1118" s="19">
        <f>Таблица1[[#This Row],[Поддон
Шт]]*Таблица1[[#This Row],[Цена
Поддон]]</f>
        <v>0</v>
      </c>
      <c r="N1118" s="19">
        <f>Таблица1[[#This Row],[Сумма 
Приход]]+Таблица1[[#This Row],[Сумма Поддон]]</f>
        <v>0</v>
      </c>
      <c r="O1118" s="20"/>
      <c r="P1118" s="19">
        <f>Таблица1[[#This Row],[Цена
 Продажа]]-Таблица1[[#This Row],[Цена 
Приход]]</f>
        <v>0</v>
      </c>
      <c r="Q1118" s="19"/>
      <c r="R1118" s="19">
        <f>Таблица1[[#This Row],[Блок
 Куб]]*Таблица1[[#This Row],[Цена
 Продажа]]</f>
        <v>0</v>
      </c>
      <c r="S1118" s="20"/>
      <c r="T1118" s="19">
        <f>Таблица1[[#This Row],[Сумма 
Продажа]]-Таблица1[[#This Row],[Сумма 
Приход]]</f>
        <v>0</v>
      </c>
      <c r="U1118" s="151"/>
    </row>
    <row r="1119" spans="1:21" ht="14.25" x14ac:dyDescent="0.2">
      <c r="O1119" s="6"/>
    </row>
    <row r="1120" spans="1:21" ht="14.25" x14ac:dyDescent="0.2">
      <c r="O1120" s="6"/>
    </row>
    <row r="1121" spans="15:15" ht="14.25" x14ac:dyDescent="0.2">
      <c r="O1121" s="6"/>
    </row>
    <row r="1122" spans="15:15" ht="14.25" x14ac:dyDescent="0.2">
      <c r="O1122" s="6"/>
    </row>
    <row r="1123" spans="15:15" ht="14.25" x14ac:dyDescent="0.2">
      <c r="O1123" s="6"/>
    </row>
  </sheetData>
  <phoneticPr fontId="2" type="noConversion"/>
  <conditionalFormatting sqref="P4:P1118">
    <cfRule type="cellIs" dxfId="57" priority="3" operator="greaterThan">
      <formula>0</formula>
    </cfRule>
    <cfRule type="cellIs" dxfId="56" priority="4" operator="lessThan">
      <formula>0</formula>
    </cfRule>
  </conditionalFormatting>
  <conditionalFormatting sqref="T3:T1118">
    <cfRule type="cellIs" dxfId="55" priority="1" operator="lessThan">
      <formula>0</formula>
    </cfRule>
  </conditionalFormatting>
  <conditionalFormatting sqref="T4:T1118">
    <cfRule type="cellIs" dxfId="54" priority="2" operator="greaterThan">
      <formula>0</formula>
    </cfRule>
  </conditionalFormatting>
  <pageMargins left="0.2" right="0.2" top="0.7" bottom="0.2" header="0.3" footer="0.3"/>
  <pageSetup paperSize="9" scale="27" fitToHeight="0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228C-B407-409C-9151-1511C365FA3E}">
  <dimension ref="A1:M50"/>
  <sheetViews>
    <sheetView zoomScale="130" zoomScaleNormal="130" workbookViewId="0">
      <selection activeCell="D1" sqref="D1"/>
    </sheetView>
  </sheetViews>
  <sheetFormatPr defaultRowHeight="14.25" x14ac:dyDescent="0.2"/>
  <cols>
    <col min="1" max="1" width="5.5703125" style="1" bestFit="1" customWidth="1"/>
    <col min="2" max="2" width="11.85546875" style="1" bestFit="1" customWidth="1"/>
    <col min="3" max="3" width="12.7109375" style="1" bestFit="1" customWidth="1"/>
    <col min="4" max="4" width="24.42578125" style="1" bestFit="1" customWidth="1"/>
    <col min="5" max="5" width="20.42578125" style="1" customWidth="1"/>
    <col min="6" max="6" width="6.7109375" style="1" bestFit="1" customWidth="1"/>
    <col min="7" max="7" width="11.85546875" style="1" bestFit="1" customWidth="1"/>
    <col min="8" max="8" width="12.7109375" style="1" bestFit="1" customWidth="1"/>
    <col min="9" max="9" width="13.42578125" style="1" bestFit="1" customWidth="1"/>
    <col min="10" max="10" width="9" style="1" bestFit="1" customWidth="1"/>
    <col min="11" max="11" width="10.140625" style="1" bestFit="1" customWidth="1"/>
    <col min="12" max="12" width="11.85546875" style="1" bestFit="1" customWidth="1"/>
    <col min="13" max="13" width="13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5.75" x14ac:dyDescent="0.25">
      <c r="A1" s="90"/>
      <c r="B1" s="91"/>
      <c r="C1" s="92"/>
      <c r="D1" s="101" t="s">
        <v>100</v>
      </c>
      <c r="E1" s="105"/>
    </row>
    <row r="2" spans="1:13" ht="15.75" x14ac:dyDescent="0.2">
      <c r="A2" s="226" t="s">
        <v>25</v>
      </c>
      <c r="B2" s="226"/>
      <c r="C2" s="227"/>
      <c r="D2" s="227"/>
      <c r="E2" s="94"/>
      <c r="F2" s="231">
        <f>Таблица2133990[[#Totals],[2]]+-Таблица2133990[[#Totals],[16]]</f>
        <v>-6929599.9831039906</v>
      </c>
      <c r="G2" s="231"/>
    </row>
    <row r="3" spans="1:13" ht="15" customHeight="1" x14ac:dyDescent="0.2">
      <c r="A3" s="228" t="s">
        <v>27</v>
      </c>
      <c r="B3" s="228" t="s">
        <v>9</v>
      </c>
      <c r="C3" s="59" t="s">
        <v>19</v>
      </c>
      <c r="D3" s="60" t="s">
        <v>102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22" t="s">
        <v>46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23"/>
      <c r="M4" s="223"/>
    </row>
    <row r="5" spans="1:13" ht="15" x14ac:dyDescent="0.2">
      <c r="A5" s="228"/>
      <c r="B5" s="228"/>
      <c r="C5" s="63">
        <f>Таблица2133990[[#Totals],[2]]</f>
        <v>130570000</v>
      </c>
      <c r="D5" s="64"/>
      <c r="E5" s="106">
        <f>SUM(Таблица2133990[4])</f>
        <v>0</v>
      </c>
      <c r="F5" s="233"/>
      <c r="G5" s="233"/>
      <c r="H5" s="233"/>
      <c r="I5" s="224"/>
      <c r="J5" s="224"/>
      <c r="K5" s="65">
        <f>Таблица2133990[[#Totals],[1132]]</f>
        <v>112</v>
      </c>
      <c r="L5" s="224"/>
      <c r="M5" s="65">
        <f>Таблица2133990[[#Totals],[16]]</f>
        <v>137499599.98310399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/>
      <c r="C7" s="70">
        <v>45570000</v>
      </c>
      <c r="D7" s="18"/>
      <c r="E7" s="76"/>
      <c r="F7" s="71">
        <f>Таблица2133990[[#This Row],[ ]]</f>
        <v>1</v>
      </c>
      <c r="G7" s="18">
        <v>46197</v>
      </c>
      <c r="H7" s="72" t="s">
        <v>43</v>
      </c>
      <c r="I7" s="73" t="s">
        <v>71</v>
      </c>
      <c r="J7" s="74">
        <v>31.103999999999999</v>
      </c>
      <c r="K7" s="75">
        <v>18</v>
      </c>
      <c r="L7" s="76">
        <v>732542.43799999997</v>
      </c>
      <c r="M7" s="76">
        <f>Таблица2133990[[#This Row],[113]]*(Таблица2133990[[#This Row],[15]])</f>
        <v>22784999.991551999</v>
      </c>
    </row>
    <row r="8" spans="1:13" x14ac:dyDescent="0.2">
      <c r="A8" s="68">
        <v>2</v>
      </c>
      <c r="B8" s="77">
        <v>46206</v>
      </c>
      <c r="C8" s="76">
        <v>85000000</v>
      </c>
      <c r="D8" s="18" t="s">
        <v>78</v>
      </c>
      <c r="E8" s="76"/>
      <c r="F8" s="71">
        <f>Таблица2133990[[#This Row],[ ]]</f>
        <v>2</v>
      </c>
      <c r="G8" s="69">
        <v>46197</v>
      </c>
      <c r="H8" s="78" t="s">
        <v>48</v>
      </c>
      <c r="I8" s="78" t="s">
        <v>71</v>
      </c>
      <c r="J8" s="78">
        <v>31.103999999999999</v>
      </c>
      <c r="K8" s="76">
        <v>18</v>
      </c>
      <c r="L8" s="76">
        <v>732542.43799999997</v>
      </c>
      <c r="M8" s="76">
        <f>Таблица2133990[[#This Row],[113]]*(Таблица2133990[[#This Row],[15]])</f>
        <v>22784999.991551999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Таблица2133990[[#This Row],[ ]]</f>
        <v>3</v>
      </c>
      <c r="G9" s="69">
        <v>46206</v>
      </c>
      <c r="H9" s="78" t="s">
        <v>150</v>
      </c>
      <c r="I9" s="78" t="s">
        <v>71</v>
      </c>
      <c r="J9" s="78">
        <v>32.832000000000001</v>
      </c>
      <c r="K9" s="76">
        <v>19</v>
      </c>
      <c r="L9" s="79">
        <v>700000</v>
      </c>
      <c r="M9" s="76">
        <f>Таблица2133990[[#This Row],[113]]*(Таблица2133990[[#This Row],[15]])</f>
        <v>22982400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Таблица2133990[[#This Row],[ ]]</f>
        <v>4</v>
      </c>
      <c r="G10" s="69">
        <v>46206</v>
      </c>
      <c r="H10" s="78" t="s">
        <v>151</v>
      </c>
      <c r="I10" s="78" t="s">
        <v>71</v>
      </c>
      <c r="J10" s="78">
        <v>32.832000000000001</v>
      </c>
      <c r="K10" s="76">
        <v>19</v>
      </c>
      <c r="L10" s="79">
        <v>700000</v>
      </c>
      <c r="M10" s="76">
        <f>Таблица2133990[[#This Row],[113]]*(Таблица2133990[[#This Row],[15]])</f>
        <v>22982400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Таблица2133990[[#This Row],[ ]]</f>
        <v>5</v>
      </c>
      <c r="G11" s="69">
        <v>46206</v>
      </c>
      <c r="H11" s="78" t="s">
        <v>157</v>
      </c>
      <c r="I11" s="78" t="s">
        <v>71</v>
      </c>
      <c r="J11" s="78">
        <v>32.832000000000001</v>
      </c>
      <c r="K11" s="76">
        <v>19</v>
      </c>
      <c r="L11" s="79">
        <v>700000</v>
      </c>
      <c r="M11" s="76">
        <f>Таблица2133990[[#This Row],[113]]*(Таблица2133990[[#This Row],[15]])</f>
        <v>22982400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Таблица2133990[[#This Row],[ ]]</f>
        <v>6</v>
      </c>
      <c r="G12" s="69">
        <v>46206</v>
      </c>
      <c r="H12" s="78" t="s">
        <v>156</v>
      </c>
      <c r="I12" s="78" t="s">
        <v>71</v>
      </c>
      <c r="J12" s="78">
        <v>32.832000000000001</v>
      </c>
      <c r="K12" s="76">
        <v>19</v>
      </c>
      <c r="L12" s="79">
        <v>700000</v>
      </c>
      <c r="M12" s="76">
        <f>Таблица2133990[[#This Row],[113]]*(Таблица2133990[[#This Row],[15]])</f>
        <v>22982400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Таблица2133990[[#This Row],[ ]]</f>
        <v>7</v>
      </c>
      <c r="G13" s="69"/>
      <c r="H13" s="78"/>
      <c r="I13" s="78"/>
      <c r="J13" s="78"/>
      <c r="K13" s="79"/>
      <c r="L13" s="76"/>
      <c r="M13" s="76">
        <f>Таблица2133990[[#This Row],[113]]*(Таблица2133990[[#This Row],[15]])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Таблица2133990[[#This Row],[ ]]</f>
        <v>8</v>
      </c>
      <c r="G14" s="69"/>
      <c r="H14" s="78"/>
      <c r="I14" s="78"/>
      <c r="J14" s="78"/>
      <c r="K14" s="79"/>
      <c r="L14" s="76"/>
      <c r="M14" s="76">
        <f>Таблица2133990[[#This Row],[113]]*(Таблица2133990[[#This Row],[15]])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Таблица2133990[[#This Row],[ ]]</f>
        <v>9</v>
      </c>
      <c r="G15" s="69"/>
      <c r="H15" s="78"/>
      <c r="I15" s="78"/>
      <c r="J15" s="78"/>
      <c r="K15" s="79"/>
      <c r="L15" s="76"/>
      <c r="M15" s="76">
        <f>Таблица2133990[[#This Row],[113]]*(Таблица2133990[[#This Row],[15]])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Таблица2133990[[#This Row],[ ]]</f>
        <v>10</v>
      </c>
      <c r="G16" s="69"/>
      <c r="H16" s="78"/>
      <c r="I16" s="78"/>
      <c r="J16" s="78"/>
      <c r="K16" s="79"/>
      <c r="L16" s="76"/>
      <c r="M16" s="76">
        <f>Таблица2133990[[#This Row],[113]]*(Таблица2133990[[#This Row],[15]])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Таблица2133990[[#This Row],[ ]]</f>
        <v>11</v>
      </c>
      <c r="G17" s="69"/>
      <c r="H17" s="78"/>
      <c r="I17" s="78"/>
      <c r="J17" s="78"/>
      <c r="K17" s="79"/>
      <c r="L17" s="76"/>
      <c r="M17" s="76">
        <f>Таблица2133990[[#This Row],[113]]*(Таблица2133990[[#This Row],[15]])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Таблица2133990[[#This Row],[ ]]</f>
        <v>12</v>
      </c>
      <c r="G18" s="69"/>
      <c r="H18" s="78"/>
      <c r="I18" s="78"/>
      <c r="J18" s="78"/>
      <c r="K18" s="79"/>
      <c r="L18" s="76"/>
      <c r="M18" s="76">
        <f>Таблица2133990[[#This Row],[113]]*(Таблица2133990[[#This Row],[15]])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Таблица2133990[[#This Row],[ ]]</f>
        <v>13</v>
      </c>
      <c r="G19" s="69"/>
      <c r="H19" s="78"/>
      <c r="I19" s="78"/>
      <c r="J19" s="78"/>
      <c r="K19" s="79"/>
      <c r="L19" s="76"/>
      <c r="M19" s="76">
        <f>Таблица2133990[[#This Row],[113]]*(Таблица2133990[[#This Row],[15]])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Таблица2133990[[#This Row],[ ]]</f>
        <v>14</v>
      </c>
      <c r="G20" s="69"/>
      <c r="H20" s="78"/>
      <c r="I20" s="78"/>
      <c r="J20" s="78"/>
      <c r="K20" s="79"/>
      <c r="L20" s="76"/>
      <c r="M20" s="76">
        <f>Таблица2133990[[#This Row],[113]]*(Таблица2133990[[#This Row],[15]])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Таблица2133990[[#This Row],[ ]]</f>
        <v>15</v>
      </c>
      <c r="G21" s="69"/>
      <c r="H21" s="78"/>
      <c r="I21" s="78"/>
      <c r="J21" s="78"/>
      <c r="K21" s="79"/>
      <c r="L21" s="76"/>
      <c r="M21" s="76">
        <f>Таблица2133990[[#This Row],[113]]*(Таблица2133990[[#This Row],[15]])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Таблица2133990[[#This Row],[ ]]</f>
        <v>16</v>
      </c>
      <c r="G22" s="69"/>
      <c r="H22" s="78"/>
      <c r="I22" s="78"/>
      <c r="J22" s="78"/>
      <c r="K22" s="79"/>
      <c r="L22" s="76"/>
      <c r="M22" s="76">
        <f>Таблица2133990[[#This Row],[113]]*(Таблица2133990[[#This Row],[15]])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Таблица2133990[[#This Row],[ ]]</f>
        <v>17</v>
      </c>
      <c r="G23" s="69"/>
      <c r="H23" s="78"/>
      <c r="I23" s="78"/>
      <c r="J23" s="78"/>
      <c r="K23" s="79"/>
      <c r="L23" s="76"/>
      <c r="M23" s="76">
        <f>Таблица2133990[[#This Row],[113]]*(Таблица2133990[[#This Row],[15]])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Таблица2133990[[#This Row],[ ]]</f>
        <v>18</v>
      </c>
      <c r="G24" s="69"/>
      <c r="H24" s="78"/>
      <c r="I24" s="78"/>
      <c r="J24" s="78"/>
      <c r="K24" s="79"/>
      <c r="L24" s="76"/>
      <c r="M24" s="76">
        <f>Таблица2133990[[#This Row],[113]]*(Таблица2133990[[#This Row],[15]])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Таблица2133990[[#This Row],[ ]]</f>
        <v>19</v>
      </c>
      <c r="G25" s="69"/>
      <c r="H25" s="78"/>
      <c r="I25" s="78"/>
      <c r="J25" s="78"/>
      <c r="K25" s="79"/>
      <c r="L25" s="76"/>
      <c r="M25" s="76">
        <f>Таблица2133990[[#This Row],[113]]*(Таблица2133990[[#This Row],[15]])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Таблица2133990[[#This Row],[ ]]</f>
        <v>20</v>
      </c>
      <c r="G26" s="69"/>
      <c r="H26" s="78"/>
      <c r="I26" s="78"/>
      <c r="J26" s="78"/>
      <c r="K26" s="79"/>
      <c r="L26" s="76"/>
      <c r="M26" s="76">
        <f>Таблица2133990[[#This Row],[113]]*(Таблица2133990[[#This Row],[15]])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Таблица2133990[[#This Row],[ ]]</f>
        <v>21</v>
      </c>
      <c r="G27" s="69"/>
      <c r="H27" s="78"/>
      <c r="I27" s="78"/>
      <c r="J27" s="78"/>
      <c r="K27" s="79"/>
      <c r="L27" s="76"/>
      <c r="M27" s="76">
        <f>Таблица2133990[[#This Row],[113]]*(Таблица2133990[[#This Row],[15]])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Таблица2133990[[#This Row],[ ]]</f>
        <v>22</v>
      </c>
      <c r="G28" s="69"/>
      <c r="H28" s="78"/>
      <c r="I28" s="78"/>
      <c r="J28" s="78"/>
      <c r="K28" s="79"/>
      <c r="L28" s="76"/>
      <c r="M28" s="76">
        <f>Таблица2133990[[#This Row],[113]]*(Таблица2133990[[#This Row],[15]])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Таблица2133990[[#This Row],[ ]]</f>
        <v>23</v>
      </c>
      <c r="G29" s="69"/>
      <c r="H29" s="78"/>
      <c r="I29" s="78"/>
      <c r="J29" s="78"/>
      <c r="K29" s="79"/>
      <c r="L29" s="76"/>
      <c r="M29" s="76">
        <f>Таблица2133990[[#This Row],[113]]*(Таблица2133990[[#This Row],[15]])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Таблица2133990[[#This Row],[ ]]</f>
        <v>24</v>
      </c>
      <c r="G30" s="69"/>
      <c r="H30" s="78"/>
      <c r="I30" s="78"/>
      <c r="J30" s="78"/>
      <c r="K30" s="79"/>
      <c r="L30" s="76"/>
      <c r="M30" s="76">
        <f>Таблица2133990[[#This Row],[113]]*(Таблица2133990[[#This Row],[15]])</f>
        <v>0</v>
      </c>
    </row>
    <row r="31" spans="1:13" x14ac:dyDescent="0.2">
      <c r="A31" s="68">
        <v>25</v>
      </c>
      <c r="B31" s="77"/>
      <c r="C31" s="80"/>
      <c r="D31" s="81"/>
      <c r="E31" s="80"/>
      <c r="F31" s="71">
        <f>Таблица2133990[[#This Row],[ ]]</f>
        <v>25</v>
      </c>
      <c r="G31" s="69"/>
      <c r="H31" s="78"/>
      <c r="I31" s="78"/>
      <c r="J31" s="78"/>
      <c r="K31" s="79"/>
      <c r="L31" s="76"/>
      <c r="M31" s="76">
        <f>Таблица2133990[[#This Row],[113]]*(Таблица2133990[[#This Row],[15]])</f>
        <v>0</v>
      </c>
    </row>
    <row r="32" spans="1:13" x14ac:dyDescent="0.2">
      <c r="A32" s="68">
        <v>26</v>
      </c>
      <c r="B32" s="77"/>
      <c r="C32" s="80"/>
      <c r="D32" s="80"/>
      <c r="E32" s="80"/>
      <c r="F32" s="71">
        <f>Таблица2133990[[#This Row],[ ]]</f>
        <v>26</v>
      </c>
      <c r="G32" s="69"/>
      <c r="H32" s="78"/>
      <c r="I32" s="78"/>
      <c r="J32" s="78"/>
      <c r="K32" s="79"/>
      <c r="L32" s="76"/>
      <c r="M32" s="76">
        <f>Таблица2133990[[#This Row],[113]]*(Таблица2133990[[#This Row],[15]])</f>
        <v>0</v>
      </c>
    </row>
    <row r="33" spans="1:13" x14ac:dyDescent="0.2">
      <c r="A33" s="68">
        <v>27</v>
      </c>
      <c r="B33" s="77"/>
      <c r="C33" s="80"/>
      <c r="D33" s="80"/>
      <c r="E33" s="80"/>
      <c r="F33" s="71">
        <f>Таблица2133990[[#This Row],[ ]]</f>
        <v>27</v>
      </c>
      <c r="G33" s="69"/>
      <c r="H33" s="78"/>
      <c r="I33" s="78"/>
      <c r="J33" s="78"/>
      <c r="K33" s="79"/>
      <c r="L33" s="76"/>
      <c r="M33" s="76">
        <f>Таблица2133990[[#This Row],[113]]*(Таблица2133990[[#This Row],[15]])</f>
        <v>0</v>
      </c>
    </row>
    <row r="34" spans="1:13" x14ac:dyDescent="0.2">
      <c r="A34" s="68">
        <v>28</v>
      </c>
      <c r="B34" s="77"/>
      <c r="C34" s="80"/>
      <c r="D34" s="80"/>
      <c r="E34" s="80"/>
      <c r="F34" s="71">
        <f>Таблица2133990[[#This Row],[ ]]</f>
        <v>28</v>
      </c>
      <c r="G34" s="69"/>
      <c r="H34" s="78"/>
      <c r="I34" s="78"/>
      <c r="J34" s="78"/>
      <c r="K34" s="79"/>
      <c r="L34" s="76"/>
      <c r="M34" s="76">
        <f>Таблица2133990[[#This Row],[113]]*(Таблица2133990[[#This Row],[15]])</f>
        <v>0</v>
      </c>
    </row>
    <row r="35" spans="1:13" x14ac:dyDescent="0.2">
      <c r="A35" s="68">
        <v>29</v>
      </c>
      <c r="B35" s="77"/>
      <c r="C35" s="80"/>
      <c r="D35" s="80"/>
      <c r="E35" s="80"/>
      <c r="F35" s="71">
        <f>Таблица2133990[[#This Row],[ ]]</f>
        <v>29</v>
      </c>
      <c r="G35" s="69"/>
      <c r="H35" s="78"/>
      <c r="I35" s="78"/>
      <c r="J35" s="78"/>
      <c r="K35" s="79"/>
      <c r="L35" s="76"/>
      <c r="M35" s="76">
        <f>Таблица2133990[[#This Row],[113]]*(Таблица2133990[[#This Row],[15]])</f>
        <v>0</v>
      </c>
    </row>
    <row r="36" spans="1:13" x14ac:dyDescent="0.2">
      <c r="A36" s="68">
        <v>30</v>
      </c>
      <c r="B36" s="77"/>
      <c r="C36" s="80"/>
      <c r="D36" s="80"/>
      <c r="E36" s="80"/>
      <c r="F36" s="71">
        <f>Таблица2133990[[#This Row],[ ]]</f>
        <v>30</v>
      </c>
      <c r="G36" s="69"/>
      <c r="H36" s="78"/>
      <c r="I36" s="78"/>
      <c r="J36" s="78"/>
      <c r="K36" s="79"/>
      <c r="L36" s="76"/>
      <c r="M36" s="76">
        <f>Таблица2133990[[#This Row],[113]]*(Таблица2133990[[#This Row],[15]])</f>
        <v>0</v>
      </c>
    </row>
    <row r="37" spans="1:13" x14ac:dyDescent="0.2">
      <c r="A37" s="68">
        <v>31</v>
      </c>
      <c r="B37" s="77"/>
      <c r="C37" s="80"/>
      <c r="D37" s="80"/>
      <c r="E37" s="80"/>
      <c r="F37" s="71">
        <f>Таблица2133990[[#This Row],[ ]]</f>
        <v>31</v>
      </c>
      <c r="G37" s="69"/>
      <c r="H37" s="78"/>
      <c r="I37" s="78"/>
      <c r="J37" s="78"/>
      <c r="K37" s="79"/>
      <c r="L37" s="76"/>
      <c r="M37" s="76">
        <f>Таблица2133990[[#This Row],[113]]*(Таблица2133990[[#This Row],[15]])</f>
        <v>0</v>
      </c>
    </row>
    <row r="38" spans="1:13" x14ac:dyDescent="0.2">
      <c r="A38" s="68">
        <v>32</v>
      </c>
      <c r="B38" s="77"/>
      <c r="C38" s="80"/>
      <c r="D38" s="80"/>
      <c r="E38" s="80"/>
      <c r="F38" s="71">
        <f>Таблица2133990[[#This Row],[ ]]</f>
        <v>32</v>
      </c>
      <c r="G38" s="69"/>
      <c r="H38" s="78"/>
      <c r="I38" s="78"/>
      <c r="J38" s="78"/>
      <c r="K38" s="79"/>
      <c r="L38" s="76"/>
      <c r="M38" s="76">
        <f>Таблица2133990[[#This Row],[113]]*(Таблица2133990[[#This Row],[15]])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Таблица2133990[[#This Row],[ ]]</f>
        <v>33</v>
      </c>
      <c r="G39" s="69"/>
      <c r="H39" s="78"/>
      <c r="I39" s="78"/>
      <c r="J39" s="78"/>
      <c r="K39" s="79"/>
      <c r="L39" s="76"/>
      <c r="M39" s="76">
        <f>Таблица2133990[[#This Row],[113]]*(Таблица2133990[[#This Row],[15]])</f>
        <v>0</v>
      </c>
    </row>
    <row r="40" spans="1:13" x14ac:dyDescent="0.2">
      <c r="A40" s="68">
        <v>34</v>
      </c>
      <c r="B40" s="77"/>
      <c r="C40" s="80"/>
      <c r="D40" s="80"/>
      <c r="E40" s="80"/>
      <c r="F40" s="71">
        <f>Таблица2133990[[#This Row],[ ]]</f>
        <v>34</v>
      </c>
      <c r="G40" s="69"/>
      <c r="H40" s="78"/>
      <c r="I40" s="78"/>
      <c r="J40" s="78"/>
      <c r="K40" s="79"/>
      <c r="L40" s="76"/>
      <c r="M40" s="76">
        <f>Таблица2133990[[#This Row],[113]]*(Таблица2133990[[#This Row],[15]])</f>
        <v>0</v>
      </c>
    </row>
    <row r="41" spans="1:13" x14ac:dyDescent="0.2">
      <c r="A41" s="68">
        <v>35</v>
      </c>
      <c r="B41" s="77"/>
      <c r="C41" s="80"/>
      <c r="D41" s="80"/>
      <c r="E41" s="80"/>
      <c r="F41" s="71">
        <f>Таблица2133990[[#This Row],[ ]]</f>
        <v>35</v>
      </c>
      <c r="G41" s="69"/>
      <c r="H41" s="78"/>
      <c r="I41" s="78"/>
      <c r="J41" s="78"/>
      <c r="K41" s="79"/>
      <c r="L41" s="76"/>
      <c r="M41" s="76">
        <f>Таблица2133990[[#This Row],[113]]*(Таблица2133990[[#This Row],[15]])</f>
        <v>0</v>
      </c>
    </row>
    <row r="42" spans="1:13" x14ac:dyDescent="0.2">
      <c r="A42" s="68">
        <v>36</v>
      </c>
      <c r="B42" s="77"/>
      <c r="C42" s="80"/>
      <c r="D42" s="80"/>
      <c r="E42" s="80"/>
      <c r="F42" s="71">
        <f>Таблица2133990[[#This Row],[ ]]</f>
        <v>36</v>
      </c>
      <c r="G42" s="69"/>
      <c r="H42" s="78"/>
      <c r="I42" s="78"/>
      <c r="J42" s="78"/>
      <c r="K42" s="79"/>
      <c r="L42" s="76"/>
      <c r="M42" s="76">
        <f>Таблица2133990[[#This Row],[113]]*(Таблица2133990[[#This Row],[15]])</f>
        <v>0</v>
      </c>
    </row>
    <row r="43" spans="1:13" x14ac:dyDescent="0.2">
      <c r="A43" s="68">
        <v>37</v>
      </c>
      <c r="B43" s="77"/>
      <c r="C43" s="80"/>
      <c r="D43" s="80"/>
      <c r="E43" s="80"/>
      <c r="F43" s="71">
        <f>Таблица2133990[[#This Row],[ ]]</f>
        <v>37</v>
      </c>
      <c r="G43" s="69"/>
      <c r="H43" s="78"/>
      <c r="I43" s="78"/>
      <c r="J43" s="78"/>
      <c r="K43" s="79"/>
      <c r="L43" s="76"/>
      <c r="M43" s="76">
        <f>Таблица2133990[[#This Row],[113]]*(Таблица2133990[[#This Row],[15]])</f>
        <v>0</v>
      </c>
    </row>
    <row r="44" spans="1:13" x14ac:dyDescent="0.2">
      <c r="A44" s="68">
        <v>38</v>
      </c>
      <c r="B44" s="77"/>
      <c r="C44" s="80"/>
      <c r="D44" s="80"/>
      <c r="E44" s="80"/>
      <c r="F44" s="71">
        <f>Таблица2133990[[#This Row],[ ]]</f>
        <v>38</v>
      </c>
      <c r="G44" s="69"/>
      <c r="H44" s="78"/>
      <c r="I44" s="78"/>
      <c r="J44" s="78"/>
      <c r="K44" s="79"/>
      <c r="L44" s="76"/>
      <c r="M44" s="76">
        <f>Таблица2133990[[#This Row],[113]]*(Таблица2133990[[#This Row],[15]])</f>
        <v>0</v>
      </c>
    </row>
    <row r="45" spans="1:13" x14ac:dyDescent="0.2">
      <c r="A45" s="68">
        <v>39</v>
      </c>
      <c r="B45" s="77"/>
      <c r="C45" s="80"/>
      <c r="D45" s="80"/>
      <c r="E45" s="80"/>
      <c r="F45" s="71">
        <f>Таблица2133990[[#This Row],[ ]]</f>
        <v>39</v>
      </c>
      <c r="G45" s="69"/>
      <c r="H45" s="78"/>
      <c r="I45" s="78"/>
      <c r="J45" s="78"/>
      <c r="K45" s="79"/>
      <c r="L45" s="76"/>
      <c r="M45" s="76">
        <f>Таблица2133990[[#This Row],[113]]*(Таблица2133990[[#This Row],[15]])</f>
        <v>0</v>
      </c>
    </row>
    <row r="46" spans="1:13" x14ac:dyDescent="0.2">
      <c r="A46" s="68">
        <v>40</v>
      </c>
      <c r="B46" s="77"/>
      <c r="C46" s="80"/>
      <c r="D46" s="80"/>
      <c r="E46" s="80"/>
      <c r="F46" s="71">
        <f>Таблица2133990[[#This Row],[ ]]</f>
        <v>40</v>
      </c>
      <c r="G46" s="69"/>
      <c r="H46" s="78"/>
      <c r="I46" s="78"/>
      <c r="J46" s="78"/>
      <c r="K46" s="79"/>
      <c r="L46" s="76"/>
      <c r="M46" s="76">
        <f>Таблица2133990[[#This Row],[113]]*(Таблица2133990[[#This Row],[15]])</f>
        <v>0</v>
      </c>
    </row>
    <row r="47" spans="1:13" x14ac:dyDescent="0.2">
      <c r="A47" s="68">
        <v>41</v>
      </c>
      <c r="B47" s="77"/>
      <c r="C47" s="80"/>
      <c r="D47" s="80"/>
      <c r="E47" s="80"/>
      <c r="F47" s="71">
        <f>Таблица2133990[[#This Row],[ ]]</f>
        <v>41</v>
      </c>
      <c r="G47" s="69"/>
      <c r="H47" s="78"/>
      <c r="I47" s="78"/>
      <c r="J47" s="78"/>
      <c r="K47" s="79"/>
      <c r="L47" s="76"/>
      <c r="M47" s="76">
        <f>Таблица2133990[[#This Row],[113]]*(Таблица2133990[[#This Row],[15]])</f>
        <v>0</v>
      </c>
    </row>
    <row r="48" spans="1:13" x14ac:dyDescent="0.2">
      <c r="A48" s="68">
        <v>42</v>
      </c>
      <c r="B48" s="77"/>
      <c r="C48" s="80"/>
      <c r="D48" s="80"/>
      <c r="E48" s="80"/>
      <c r="F48" s="71">
        <f>Таблица2133990[[#This Row],[ ]]</f>
        <v>42</v>
      </c>
      <c r="G48" s="69"/>
      <c r="H48" s="78"/>
      <c r="I48" s="78"/>
      <c r="J48" s="78"/>
      <c r="K48" s="79"/>
      <c r="L48" s="76"/>
      <c r="M48" s="76">
        <f>Таблица2133990[[#This Row],[113]]*(Таблица2133990[[#This Row],[15]])</f>
        <v>0</v>
      </c>
    </row>
    <row r="49" spans="1:13" x14ac:dyDescent="0.2">
      <c r="A49" s="68">
        <v>43</v>
      </c>
      <c r="B49" s="77"/>
      <c r="C49" s="80"/>
      <c r="D49" s="80"/>
      <c r="E49" s="80"/>
      <c r="F49" s="71">
        <f>Таблица2133990[[#This Row],[ ]]</f>
        <v>43</v>
      </c>
      <c r="G49" s="69"/>
      <c r="H49" s="78"/>
      <c r="I49" s="78"/>
      <c r="J49" s="78"/>
      <c r="K49" s="79"/>
      <c r="L49" s="76"/>
      <c r="M49" s="76">
        <f>Таблица2133990[[#This Row],[113]]*(Таблица2133990[[#This Row],[15]])</f>
        <v>0</v>
      </c>
    </row>
    <row r="50" spans="1:13" x14ac:dyDescent="0.2">
      <c r="A50" s="82"/>
      <c r="B50" s="83"/>
      <c r="C50" s="84">
        <f>SUBTOTAL(109,Таблица2133990[2])</f>
        <v>130570000</v>
      </c>
      <c r="D50" s="84"/>
      <c r="E50" s="84"/>
      <c r="F50" s="83"/>
      <c r="G50" s="85"/>
      <c r="H50" s="86"/>
      <c r="I50" s="86"/>
      <c r="J50" s="86"/>
      <c r="K50" s="87">
        <f>SUBTOTAL(109,Таблица2133990[1132])</f>
        <v>112</v>
      </c>
      <c r="L50" s="88"/>
      <c r="M50" s="88">
        <f>SUBTOTAL(109,Таблица2133990[16])</f>
        <v>137499599.98310399</v>
      </c>
    </row>
  </sheetData>
  <mergeCells count="14">
    <mergeCell ref="L3:L5"/>
    <mergeCell ref="M3:M4"/>
    <mergeCell ref="A2:B2"/>
    <mergeCell ref="C2:D2"/>
    <mergeCell ref="A3:A5"/>
    <mergeCell ref="B3:B5"/>
    <mergeCell ref="E3:E4"/>
    <mergeCell ref="F2:G2"/>
    <mergeCell ref="K3:K4"/>
    <mergeCell ref="F3:F5"/>
    <mergeCell ref="G3:G5"/>
    <mergeCell ref="H3:H5"/>
    <mergeCell ref="I3:I5"/>
    <mergeCell ref="J3:J5"/>
  </mergeCells>
  <phoneticPr fontId="2" type="noConversion"/>
  <hyperlinks>
    <hyperlink ref="D1" location="'Свод Завод'!A1" display="1-Урганч Тамирлаш" xr:uid="{350DB2AB-DB6C-4F69-94B5-18F3ECD7956C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0D70-3982-4CB4-95B2-AF3D3CDF05F3}">
  <dimension ref="A1:M50"/>
  <sheetViews>
    <sheetView zoomScale="85" zoomScaleNormal="85" workbookViewId="0">
      <pane ySplit="6" topLeftCell="A7" activePane="bottomLeft" state="frozen"/>
      <selection pane="bottomLeft" activeCell="D1" sqref="D1"/>
    </sheetView>
  </sheetViews>
  <sheetFormatPr defaultRowHeight="14.25" x14ac:dyDescent="0.2"/>
  <cols>
    <col min="1" max="1" width="6.5703125" style="1" bestFit="1" customWidth="1"/>
    <col min="2" max="2" width="11.5703125" style="1" bestFit="1" customWidth="1"/>
    <col min="3" max="3" width="13.42578125" style="1" bestFit="1" customWidth="1"/>
    <col min="4" max="4" width="26.425781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2.8554687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8"/>
      <c r="B1" s="98"/>
      <c r="C1" s="99" t="s">
        <v>26</v>
      </c>
      <c r="D1" s="100" t="s">
        <v>101</v>
      </c>
      <c r="E1" s="105"/>
    </row>
    <row r="2" spans="1:13" ht="18" x14ac:dyDescent="0.2">
      <c r="A2" s="234" t="s">
        <v>25</v>
      </c>
      <c r="B2" s="234"/>
      <c r="C2" s="235"/>
      <c r="D2" s="235"/>
      <c r="E2" s="94"/>
      <c r="F2" s="236">
        <f>Таблица213399028[[#Totals],[2]]+-Таблица213399028[[#Totals],[16]]</f>
        <v>0</v>
      </c>
      <c r="G2" s="236"/>
    </row>
    <row r="3" spans="1:13" ht="15" customHeight="1" x14ac:dyDescent="0.2">
      <c r="A3" s="228" t="s">
        <v>27</v>
      </c>
      <c r="B3" s="228" t="s">
        <v>9</v>
      </c>
      <c r="C3" s="89" t="s">
        <v>19</v>
      </c>
      <c r="D3" s="89" t="s">
        <v>28</v>
      </c>
      <c r="E3" s="229" t="s">
        <v>109</v>
      </c>
      <c r="F3" s="225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2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Таблица213399028[[#Totals],[2]]</f>
        <v>67737600</v>
      </c>
      <c r="D5" s="64"/>
      <c r="E5" s="106">
        <f>SUM(Таблица213399028[4])</f>
        <v>0</v>
      </c>
      <c r="F5" s="224"/>
      <c r="G5" s="233"/>
      <c r="H5" s="233"/>
      <c r="I5" s="224"/>
      <c r="J5" s="224"/>
      <c r="K5" s="65">
        <f>Таблица213399028[[#Totals],[1132]]</f>
        <v>56</v>
      </c>
      <c r="L5" s="233"/>
      <c r="M5" s="96">
        <f>Таблица213399028[[#Totals],[16]]</f>
        <v>67737600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46205</v>
      </c>
      <c r="C7" s="70">
        <v>67737600</v>
      </c>
      <c r="D7" s="18" t="s">
        <v>135</v>
      </c>
      <c r="E7" s="76"/>
      <c r="F7" s="71">
        <f>Таблица213399028[[#This Row],[ ]]</f>
        <v>1</v>
      </c>
      <c r="G7" s="18">
        <v>46197</v>
      </c>
      <c r="H7" s="72" t="s">
        <v>49</v>
      </c>
      <c r="I7" s="73" t="s">
        <v>71</v>
      </c>
      <c r="J7" s="74">
        <v>31.103999999999999</v>
      </c>
      <c r="K7" s="75">
        <v>18</v>
      </c>
      <c r="L7" s="71">
        <v>700000</v>
      </c>
      <c r="M7" s="76">
        <f>Таблица213399028[[#This Row],[113]]*Таблица213399028[[#This Row],[15]]</f>
        <v>21772800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Таблица213399028[[#This Row],[ ]]</f>
        <v>2</v>
      </c>
      <c r="G8" s="69">
        <v>46197</v>
      </c>
      <c r="H8" s="78" t="s">
        <v>51</v>
      </c>
      <c r="I8" s="78" t="s">
        <v>71</v>
      </c>
      <c r="J8" s="78">
        <v>32.832000000000001</v>
      </c>
      <c r="K8" s="76">
        <v>19</v>
      </c>
      <c r="L8" s="79">
        <v>700000</v>
      </c>
      <c r="M8" s="76">
        <f>Таблица213399028[[#This Row],[113]]*Таблица213399028[[#This Row],[15]]</f>
        <v>22982400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Таблица213399028[[#This Row],[ ]]</f>
        <v>3</v>
      </c>
      <c r="G9" s="69">
        <v>46198</v>
      </c>
      <c r="H9" s="78" t="s">
        <v>65</v>
      </c>
      <c r="I9" s="78" t="s">
        <v>71</v>
      </c>
      <c r="J9" s="78">
        <v>32.832000000000001</v>
      </c>
      <c r="K9" s="76">
        <v>19</v>
      </c>
      <c r="L9" s="79">
        <v>700000</v>
      </c>
      <c r="M9" s="76">
        <f>Таблица213399028[[#This Row],[113]]*Таблица213399028[[#This Row],[15]]</f>
        <v>22982400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Таблица213399028[[#This Row],[ ]]</f>
        <v>4</v>
      </c>
      <c r="G10" s="69"/>
      <c r="H10" s="78"/>
      <c r="I10" s="78"/>
      <c r="J10" s="78"/>
      <c r="K10" s="76"/>
      <c r="L10" s="79"/>
      <c r="M10" s="76">
        <f>Таблица213399028[[#This Row],[113]]*Таблица213399028[[#This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Таблица213399028[[#This Row],[ ]]</f>
        <v>5</v>
      </c>
      <c r="G11" s="69"/>
      <c r="H11" s="78"/>
      <c r="I11" s="78"/>
      <c r="J11" s="78"/>
      <c r="K11" s="76"/>
      <c r="L11" s="79"/>
      <c r="M11" s="76">
        <f>Таблица213399028[[#This Row],[113]]*Таблица213399028[[#This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Таблица213399028[[#This Row],[ ]]</f>
        <v>6</v>
      </c>
      <c r="G12" s="69"/>
      <c r="H12" s="78"/>
      <c r="I12" s="78"/>
      <c r="J12" s="78"/>
      <c r="K12" s="76"/>
      <c r="L12" s="79"/>
      <c r="M12" s="76">
        <f>Таблица213399028[[#This Row],[113]]*Таблица213399028[[#This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Таблица213399028[[#This Row],[ ]]</f>
        <v>7</v>
      </c>
      <c r="G13" s="69"/>
      <c r="H13" s="78"/>
      <c r="I13" s="78"/>
      <c r="J13" s="78"/>
      <c r="K13" s="79"/>
      <c r="L13" s="76"/>
      <c r="M13" s="76">
        <f>Таблица213399028[[#This Row],[113]]*Таблица213399028[[#This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Таблица213399028[[#This Row],[ ]]</f>
        <v>8</v>
      </c>
      <c r="G14" s="69"/>
      <c r="H14" s="78"/>
      <c r="I14" s="78"/>
      <c r="J14" s="78"/>
      <c r="K14" s="79"/>
      <c r="L14" s="76"/>
      <c r="M14" s="76">
        <f>Таблица213399028[[#This Row],[113]]*Таблица213399028[[#This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Таблица213399028[[#This Row],[ ]]</f>
        <v>9</v>
      </c>
      <c r="G15" s="69"/>
      <c r="H15" s="78"/>
      <c r="I15" s="78"/>
      <c r="J15" s="78"/>
      <c r="K15" s="79"/>
      <c r="L15" s="76"/>
      <c r="M15" s="76">
        <f>Таблица213399028[[#This Row],[113]]*Таблица213399028[[#This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Таблица213399028[[#This Row],[ ]]</f>
        <v>10</v>
      </c>
      <c r="G16" s="69"/>
      <c r="H16" s="78"/>
      <c r="I16" s="78"/>
      <c r="J16" s="78"/>
      <c r="K16" s="79"/>
      <c r="L16" s="76"/>
      <c r="M16" s="76">
        <f>Таблица213399028[[#This Row],[113]]*Таблица213399028[[#This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Таблица213399028[[#This Row],[ ]]</f>
        <v>11</v>
      </c>
      <c r="G17" s="69"/>
      <c r="H17" s="78"/>
      <c r="I17" s="78"/>
      <c r="J17" s="78"/>
      <c r="K17" s="79"/>
      <c r="L17" s="76"/>
      <c r="M17" s="76">
        <f>Таблица213399028[[#This Row],[113]]*Таблица213399028[[#This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Таблица213399028[[#This Row],[ ]]</f>
        <v>12</v>
      </c>
      <c r="G18" s="69"/>
      <c r="H18" s="78"/>
      <c r="I18" s="78"/>
      <c r="J18" s="78"/>
      <c r="K18" s="79"/>
      <c r="L18" s="76"/>
      <c r="M18" s="76">
        <f>Таблица213399028[[#This Row],[113]]*Таблица213399028[[#This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Таблица213399028[[#This Row],[ ]]</f>
        <v>13</v>
      </c>
      <c r="G19" s="69"/>
      <c r="H19" s="78"/>
      <c r="I19" s="78"/>
      <c r="J19" s="78"/>
      <c r="K19" s="79"/>
      <c r="L19" s="76"/>
      <c r="M19" s="76">
        <f>Таблица213399028[[#This Row],[113]]*Таблица213399028[[#This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Таблица213399028[[#This Row],[ ]]</f>
        <v>14</v>
      </c>
      <c r="G20" s="69"/>
      <c r="H20" s="78"/>
      <c r="I20" s="78"/>
      <c r="J20" s="78"/>
      <c r="K20" s="79"/>
      <c r="L20" s="76"/>
      <c r="M20" s="76">
        <f>Таблица213399028[[#This Row],[113]]*Таблица213399028[[#This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Таблица213399028[[#This Row],[ ]]</f>
        <v>15</v>
      </c>
      <c r="G21" s="69"/>
      <c r="H21" s="78"/>
      <c r="I21" s="78"/>
      <c r="J21" s="78"/>
      <c r="K21" s="79"/>
      <c r="L21" s="76"/>
      <c r="M21" s="76">
        <f>Таблица213399028[[#This Row],[113]]*Таблица213399028[[#This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Таблица213399028[[#This Row],[ ]]</f>
        <v>16</v>
      </c>
      <c r="G22" s="69"/>
      <c r="H22" s="78"/>
      <c r="I22" s="78"/>
      <c r="J22" s="78"/>
      <c r="K22" s="79"/>
      <c r="L22" s="76"/>
      <c r="M22" s="76">
        <f>Таблица213399028[[#This Row],[113]]*Таблица213399028[[#This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Таблица213399028[[#This Row],[ ]]</f>
        <v>17</v>
      </c>
      <c r="G23" s="69"/>
      <c r="H23" s="78"/>
      <c r="I23" s="78"/>
      <c r="J23" s="78"/>
      <c r="K23" s="79"/>
      <c r="L23" s="76"/>
      <c r="M23" s="76">
        <f>Таблица213399028[[#This Row],[113]]*Таблица213399028[[#This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Таблица213399028[[#This Row],[ ]]</f>
        <v>18</v>
      </c>
      <c r="G24" s="69"/>
      <c r="H24" s="78"/>
      <c r="I24" s="78"/>
      <c r="J24" s="78"/>
      <c r="K24" s="79"/>
      <c r="L24" s="76"/>
      <c r="M24" s="76">
        <f>Таблица213399028[[#This Row],[113]]*Таблица213399028[[#This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Таблица213399028[[#This Row],[ ]]</f>
        <v>19</v>
      </c>
      <c r="G25" s="69"/>
      <c r="H25" s="78"/>
      <c r="I25" s="78"/>
      <c r="J25" s="78"/>
      <c r="K25" s="79"/>
      <c r="L25" s="76"/>
      <c r="M25" s="76">
        <f>Таблица213399028[[#This Row],[113]]*Таблица213399028[[#This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Таблица213399028[[#This Row],[ ]]</f>
        <v>20</v>
      </c>
      <c r="G26" s="69"/>
      <c r="H26" s="78"/>
      <c r="I26" s="78"/>
      <c r="J26" s="78"/>
      <c r="K26" s="79"/>
      <c r="L26" s="76"/>
      <c r="M26" s="76">
        <f>Таблица213399028[[#This Row],[113]]*Таблица213399028[[#This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Таблица213399028[[#This Row],[ ]]</f>
        <v>21</v>
      </c>
      <c r="G27" s="69"/>
      <c r="H27" s="78"/>
      <c r="I27" s="78"/>
      <c r="J27" s="78"/>
      <c r="K27" s="79"/>
      <c r="L27" s="76"/>
      <c r="M27" s="76">
        <f>Таблица213399028[[#This Row],[113]]*Таблица213399028[[#This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Таблица213399028[[#This Row],[ ]]</f>
        <v>22</v>
      </c>
      <c r="G28" s="69"/>
      <c r="H28" s="78"/>
      <c r="I28" s="78"/>
      <c r="J28" s="78"/>
      <c r="K28" s="79"/>
      <c r="L28" s="76"/>
      <c r="M28" s="76">
        <f>Таблица213399028[[#This Row],[113]]*Таблица213399028[[#This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Таблица213399028[[#This Row],[ ]]</f>
        <v>23</v>
      </c>
      <c r="G29" s="69"/>
      <c r="H29" s="78"/>
      <c r="I29" s="78"/>
      <c r="J29" s="78"/>
      <c r="K29" s="79"/>
      <c r="L29" s="76"/>
      <c r="M29" s="76">
        <f>Таблица213399028[[#This Row],[113]]*Таблица213399028[[#This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Таблица213399028[[#This Row],[ ]]</f>
        <v>24</v>
      </c>
      <c r="G30" s="69"/>
      <c r="H30" s="78"/>
      <c r="I30" s="78"/>
      <c r="J30" s="78"/>
      <c r="K30" s="79"/>
      <c r="L30" s="76"/>
      <c r="M30" s="76">
        <f>Таблица213399028[[#This Row],[113]]*Таблица213399028[[#This Row],[15]]</f>
        <v>0</v>
      </c>
    </row>
    <row r="31" spans="1:13" x14ac:dyDescent="0.2">
      <c r="A31" s="68">
        <v>25</v>
      </c>
      <c r="B31" s="77"/>
      <c r="C31" s="80"/>
      <c r="D31" s="81"/>
      <c r="E31" s="80"/>
      <c r="F31" s="71">
        <f>Таблица213399028[[#This Row],[ ]]</f>
        <v>25</v>
      </c>
      <c r="G31" s="69"/>
      <c r="H31" s="78"/>
      <c r="I31" s="78"/>
      <c r="J31" s="78"/>
      <c r="K31" s="79"/>
      <c r="L31" s="76"/>
      <c r="M31" s="76">
        <f>Таблица213399028[[#This Row],[113]]*Таблица213399028[[#This Row],[15]]</f>
        <v>0</v>
      </c>
    </row>
    <row r="32" spans="1:13" x14ac:dyDescent="0.2">
      <c r="A32" s="68">
        <v>26</v>
      </c>
      <c r="B32" s="77"/>
      <c r="C32" s="80"/>
      <c r="D32" s="80"/>
      <c r="E32" s="80"/>
      <c r="F32" s="71">
        <f>Таблица213399028[[#This Row],[ ]]</f>
        <v>26</v>
      </c>
      <c r="G32" s="69"/>
      <c r="H32" s="78"/>
      <c r="I32" s="78"/>
      <c r="J32" s="78"/>
      <c r="K32" s="79"/>
      <c r="L32" s="76"/>
      <c r="M32" s="76">
        <f>Таблица213399028[[#This Row],[113]]*Таблица213399028[[#This Row],[15]]</f>
        <v>0</v>
      </c>
    </row>
    <row r="33" spans="1:13" x14ac:dyDescent="0.2">
      <c r="A33" s="68">
        <v>27</v>
      </c>
      <c r="B33" s="77"/>
      <c r="C33" s="80"/>
      <c r="D33" s="80"/>
      <c r="E33" s="80"/>
      <c r="F33" s="71">
        <f>Таблица213399028[[#This Row],[ ]]</f>
        <v>27</v>
      </c>
      <c r="G33" s="69"/>
      <c r="H33" s="78"/>
      <c r="I33" s="78"/>
      <c r="J33" s="78"/>
      <c r="K33" s="79"/>
      <c r="L33" s="76"/>
      <c r="M33" s="76">
        <f>Таблица213399028[[#This Row],[113]]*Таблица213399028[[#This Row],[15]]</f>
        <v>0</v>
      </c>
    </row>
    <row r="34" spans="1:13" x14ac:dyDescent="0.2">
      <c r="A34" s="68">
        <v>28</v>
      </c>
      <c r="B34" s="77"/>
      <c r="C34" s="80"/>
      <c r="D34" s="80"/>
      <c r="E34" s="80"/>
      <c r="F34" s="71">
        <f>Таблица213399028[[#This Row],[ ]]</f>
        <v>28</v>
      </c>
      <c r="G34" s="69"/>
      <c r="H34" s="78"/>
      <c r="I34" s="78"/>
      <c r="J34" s="78"/>
      <c r="K34" s="79"/>
      <c r="L34" s="76"/>
      <c r="M34" s="76">
        <f>Таблица213399028[[#This Row],[113]]*Таблица213399028[[#This Row],[15]]</f>
        <v>0</v>
      </c>
    </row>
    <row r="35" spans="1:13" x14ac:dyDescent="0.2">
      <c r="A35" s="68">
        <v>29</v>
      </c>
      <c r="B35" s="77"/>
      <c r="C35" s="80"/>
      <c r="D35" s="80"/>
      <c r="E35" s="80"/>
      <c r="F35" s="71">
        <f>Таблица213399028[[#This Row],[ ]]</f>
        <v>29</v>
      </c>
      <c r="G35" s="69"/>
      <c r="H35" s="78"/>
      <c r="I35" s="78"/>
      <c r="J35" s="78"/>
      <c r="K35" s="79"/>
      <c r="L35" s="76"/>
      <c r="M35" s="76">
        <f>Таблица213399028[[#This Row],[113]]*Таблица213399028[[#This Row],[15]]</f>
        <v>0</v>
      </c>
    </row>
    <row r="36" spans="1:13" x14ac:dyDescent="0.2">
      <c r="A36" s="68">
        <v>30</v>
      </c>
      <c r="B36" s="77"/>
      <c r="C36" s="80"/>
      <c r="D36" s="80"/>
      <c r="E36" s="80"/>
      <c r="F36" s="71">
        <f>Таблица213399028[[#This Row],[ ]]</f>
        <v>30</v>
      </c>
      <c r="G36" s="69"/>
      <c r="H36" s="78"/>
      <c r="I36" s="78"/>
      <c r="J36" s="78"/>
      <c r="K36" s="79"/>
      <c r="L36" s="76"/>
      <c r="M36" s="76">
        <f>Таблица213399028[[#This Row],[113]]*Таблица213399028[[#This Row],[15]]</f>
        <v>0</v>
      </c>
    </row>
    <row r="37" spans="1:13" x14ac:dyDescent="0.2">
      <c r="A37" s="68">
        <v>31</v>
      </c>
      <c r="B37" s="77"/>
      <c r="C37" s="80"/>
      <c r="D37" s="80"/>
      <c r="E37" s="80"/>
      <c r="F37" s="71">
        <f>Таблица213399028[[#This Row],[ ]]</f>
        <v>31</v>
      </c>
      <c r="G37" s="69"/>
      <c r="H37" s="78"/>
      <c r="I37" s="78"/>
      <c r="J37" s="78"/>
      <c r="K37" s="79"/>
      <c r="L37" s="76"/>
      <c r="M37" s="76">
        <f>Таблица213399028[[#This Row],[113]]*Таблица213399028[[#This Row],[15]]</f>
        <v>0</v>
      </c>
    </row>
    <row r="38" spans="1:13" x14ac:dyDescent="0.2">
      <c r="A38" s="68">
        <v>32</v>
      </c>
      <c r="B38" s="77"/>
      <c r="C38" s="80"/>
      <c r="D38" s="80"/>
      <c r="E38" s="80"/>
      <c r="F38" s="71">
        <f>Таблица213399028[[#This Row],[ ]]</f>
        <v>32</v>
      </c>
      <c r="G38" s="69"/>
      <c r="H38" s="78"/>
      <c r="I38" s="78"/>
      <c r="J38" s="78"/>
      <c r="K38" s="79"/>
      <c r="L38" s="76"/>
      <c r="M38" s="76">
        <f>Таблица213399028[[#This Row],[113]]*Таблица213399028[[#This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Таблица213399028[[#This Row],[ ]]</f>
        <v>33</v>
      </c>
      <c r="G39" s="69"/>
      <c r="H39" s="78"/>
      <c r="I39" s="78"/>
      <c r="J39" s="78"/>
      <c r="K39" s="79"/>
      <c r="L39" s="76"/>
      <c r="M39" s="76">
        <f>Таблица213399028[[#This Row],[113]]*Таблица213399028[[#This Row],[15]]</f>
        <v>0</v>
      </c>
    </row>
    <row r="40" spans="1:13" x14ac:dyDescent="0.2">
      <c r="A40" s="68">
        <v>34</v>
      </c>
      <c r="B40" s="77"/>
      <c r="C40" s="80"/>
      <c r="D40" s="80"/>
      <c r="E40" s="80"/>
      <c r="F40" s="71">
        <f>Таблица213399028[[#This Row],[ ]]</f>
        <v>34</v>
      </c>
      <c r="G40" s="69"/>
      <c r="H40" s="78"/>
      <c r="I40" s="78"/>
      <c r="J40" s="78"/>
      <c r="K40" s="79"/>
      <c r="L40" s="76"/>
      <c r="M40" s="76">
        <f>Таблица213399028[[#This Row],[113]]*Таблица213399028[[#This Row],[15]]</f>
        <v>0</v>
      </c>
    </row>
    <row r="41" spans="1:13" x14ac:dyDescent="0.2">
      <c r="A41" s="68">
        <v>35</v>
      </c>
      <c r="B41" s="77"/>
      <c r="C41" s="80"/>
      <c r="D41" s="80"/>
      <c r="E41" s="80"/>
      <c r="F41" s="71">
        <f>Таблица213399028[[#This Row],[ ]]</f>
        <v>35</v>
      </c>
      <c r="G41" s="69"/>
      <c r="H41" s="78"/>
      <c r="I41" s="78"/>
      <c r="J41" s="78"/>
      <c r="K41" s="79"/>
      <c r="L41" s="76"/>
      <c r="M41" s="76">
        <f>Таблица213399028[[#This Row],[113]]*Таблица213399028[[#This Row],[15]]</f>
        <v>0</v>
      </c>
    </row>
    <row r="42" spans="1:13" x14ac:dyDescent="0.2">
      <c r="A42" s="68">
        <v>36</v>
      </c>
      <c r="B42" s="77"/>
      <c r="C42" s="80"/>
      <c r="D42" s="80"/>
      <c r="E42" s="80"/>
      <c r="F42" s="71">
        <f>Таблица213399028[[#This Row],[ ]]</f>
        <v>36</v>
      </c>
      <c r="G42" s="69"/>
      <c r="H42" s="78"/>
      <c r="I42" s="78"/>
      <c r="J42" s="78"/>
      <c r="K42" s="79"/>
      <c r="L42" s="76"/>
      <c r="M42" s="76">
        <f>Таблица213399028[[#This Row],[113]]*Таблица213399028[[#This Row],[15]]</f>
        <v>0</v>
      </c>
    </row>
    <row r="43" spans="1:13" x14ac:dyDescent="0.2">
      <c r="A43" s="68">
        <v>37</v>
      </c>
      <c r="B43" s="77"/>
      <c r="C43" s="80"/>
      <c r="D43" s="80"/>
      <c r="E43" s="80"/>
      <c r="F43" s="71">
        <f>Таблица213399028[[#This Row],[ ]]</f>
        <v>37</v>
      </c>
      <c r="G43" s="69"/>
      <c r="H43" s="78"/>
      <c r="I43" s="78"/>
      <c r="J43" s="78"/>
      <c r="K43" s="79"/>
      <c r="L43" s="76"/>
      <c r="M43" s="76">
        <f>Таблица213399028[[#This Row],[113]]*Таблица213399028[[#This Row],[15]]</f>
        <v>0</v>
      </c>
    </row>
    <row r="44" spans="1:13" x14ac:dyDescent="0.2">
      <c r="A44" s="68">
        <v>38</v>
      </c>
      <c r="B44" s="77"/>
      <c r="C44" s="80"/>
      <c r="D44" s="80"/>
      <c r="E44" s="80"/>
      <c r="F44" s="71">
        <f>Таблица213399028[[#This Row],[ ]]</f>
        <v>38</v>
      </c>
      <c r="G44" s="69"/>
      <c r="H44" s="78"/>
      <c r="I44" s="78"/>
      <c r="J44" s="78"/>
      <c r="K44" s="79"/>
      <c r="L44" s="76"/>
      <c r="M44" s="76">
        <f>Таблица213399028[[#This Row],[113]]*Таблица213399028[[#This Row],[15]]</f>
        <v>0</v>
      </c>
    </row>
    <row r="45" spans="1:13" x14ac:dyDescent="0.2">
      <c r="A45" s="68">
        <v>39</v>
      </c>
      <c r="B45" s="77"/>
      <c r="C45" s="80"/>
      <c r="D45" s="80"/>
      <c r="E45" s="80"/>
      <c r="F45" s="71">
        <f>Таблица213399028[[#This Row],[ ]]</f>
        <v>39</v>
      </c>
      <c r="G45" s="69"/>
      <c r="H45" s="78"/>
      <c r="I45" s="78"/>
      <c r="J45" s="78"/>
      <c r="K45" s="79"/>
      <c r="L45" s="76"/>
      <c r="M45" s="76">
        <f>Таблица213399028[[#This Row],[113]]*Таблица213399028[[#This Row],[15]]</f>
        <v>0</v>
      </c>
    </row>
    <row r="46" spans="1:13" x14ac:dyDescent="0.2">
      <c r="A46" s="68">
        <v>40</v>
      </c>
      <c r="B46" s="77"/>
      <c r="C46" s="80"/>
      <c r="D46" s="80"/>
      <c r="E46" s="80"/>
      <c r="F46" s="71">
        <f>Таблица213399028[[#This Row],[ ]]</f>
        <v>40</v>
      </c>
      <c r="G46" s="69"/>
      <c r="H46" s="78"/>
      <c r="I46" s="78"/>
      <c r="J46" s="78"/>
      <c r="K46" s="79"/>
      <c r="L46" s="76"/>
      <c r="M46" s="76">
        <f>Таблица213399028[[#This Row],[113]]*Таблица213399028[[#This Row],[15]]</f>
        <v>0</v>
      </c>
    </row>
    <row r="47" spans="1:13" x14ac:dyDescent="0.2">
      <c r="A47" s="68">
        <v>41</v>
      </c>
      <c r="B47" s="77"/>
      <c r="C47" s="80"/>
      <c r="D47" s="80"/>
      <c r="E47" s="80"/>
      <c r="F47" s="71">
        <f>Таблица213399028[[#This Row],[ ]]</f>
        <v>41</v>
      </c>
      <c r="G47" s="69"/>
      <c r="H47" s="78"/>
      <c r="I47" s="78"/>
      <c r="J47" s="78"/>
      <c r="K47" s="79"/>
      <c r="L47" s="76"/>
      <c r="M47" s="76">
        <f>Таблица213399028[[#This Row],[113]]*Таблица213399028[[#This Row],[15]]</f>
        <v>0</v>
      </c>
    </row>
    <row r="48" spans="1:13" x14ac:dyDescent="0.2">
      <c r="A48" s="68">
        <v>42</v>
      </c>
      <c r="B48" s="77"/>
      <c r="C48" s="80"/>
      <c r="D48" s="80"/>
      <c r="E48" s="80"/>
      <c r="F48" s="71">
        <f>Таблица213399028[[#This Row],[ ]]</f>
        <v>42</v>
      </c>
      <c r="G48" s="69"/>
      <c r="H48" s="78"/>
      <c r="I48" s="78"/>
      <c r="J48" s="78"/>
      <c r="K48" s="79"/>
      <c r="L48" s="76"/>
      <c r="M48" s="76">
        <f>Таблица213399028[[#This Row],[113]]*Таблица213399028[[#This Row],[15]]</f>
        <v>0</v>
      </c>
    </row>
    <row r="49" spans="1:13" x14ac:dyDescent="0.2">
      <c r="A49" s="68">
        <v>43</v>
      </c>
      <c r="B49" s="77"/>
      <c r="C49" s="80"/>
      <c r="D49" s="80"/>
      <c r="E49" s="80"/>
      <c r="F49" s="71">
        <f>Таблица213399028[[#This Row],[ ]]</f>
        <v>43</v>
      </c>
      <c r="G49" s="69"/>
      <c r="H49" s="78"/>
      <c r="I49" s="78"/>
      <c r="J49" s="78"/>
      <c r="K49" s="79"/>
      <c r="L49" s="76"/>
      <c r="M49" s="76">
        <f>Таблица213399028[[#This Row],[113]]*Таблица213399028[[#This Row],[15]]</f>
        <v>0</v>
      </c>
    </row>
    <row r="50" spans="1:13" x14ac:dyDescent="0.2">
      <c r="A50" s="82"/>
      <c r="B50" s="83"/>
      <c r="C50" s="84">
        <f>SUBTOTAL(109,Таблица213399028[2])</f>
        <v>67737600</v>
      </c>
      <c r="D50" s="84"/>
      <c r="E50" s="84"/>
      <c r="F50" s="83"/>
      <c r="G50" s="85"/>
      <c r="H50" s="86"/>
      <c r="I50" s="86"/>
      <c r="J50" s="86"/>
      <c r="K50" s="86">
        <f>SUBTOTAL(109,Таблица213399028[1132])</f>
        <v>56</v>
      </c>
      <c r="L50" s="88"/>
      <c r="M50" s="88">
        <f>SUBTOTAL(109,Таблица213399028[16])</f>
        <v>67737600</v>
      </c>
    </row>
  </sheetData>
  <mergeCells count="14">
    <mergeCell ref="E3:E4"/>
    <mergeCell ref="J3:J5"/>
    <mergeCell ref="L3:L5"/>
    <mergeCell ref="M3:M4"/>
    <mergeCell ref="A2:B2"/>
    <mergeCell ref="C2:D2"/>
    <mergeCell ref="A3:A5"/>
    <mergeCell ref="B3:B5"/>
    <mergeCell ref="K3:K4"/>
    <mergeCell ref="F2:G2"/>
    <mergeCell ref="F3:F5"/>
    <mergeCell ref="G3:G5"/>
    <mergeCell ref="H3:H5"/>
    <mergeCell ref="I3:I5"/>
  </mergeCells>
  <phoneticPr fontId="2" type="noConversion"/>
  <hyperlinks>
    <hyperlink ref="D1" location="'Свод Завод'!A1" display="1-Инвест Холдинг" xr:uid="{F16F3C39-D4A2-4140-8AAA-3B50DB3850AE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D770-7880-4130-B7B4-D9CD78366CDF}">
  <dimension ref="A1:M50"/>
  <sheetViews>
    <sheetView zoomScale="85" zoomScaleNormal="85" workbookViewId="0">
      <pane ySplit="6" topLeftCell="A7" activePane="bottomLeft" state="frozen"/>
      <selection pane="bottomLeft" activeCell="D1" sqref="D1"/>
    </sheetView>
  </sheetViews>
  <sheetFormatPr defaultRowHeight="14.25" x14ac:dyDescent="0.2"/>
  <cols>
    <col min="1" max="1" width="6.5703125" style="1" bestFit="1" customWidth="1"/>
    <col min="2" max="2" width="11.5703125" style="1" bestFit="1" customWidth="1"/>
    <col min="3" max="3" width="13.425781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0"/>
      <c r="B1" s="91"/>
      <c r="C1" s="92" t="s">
        <v>26</v>
      </c>
      <c r="D1" s="93" t="s">
        <v>146</v>
      </c>
      <c r="E1" s="105"/>
    </row>
    <row r="2" spans="1:13" ht="20.25" x14ac:dyDescent="0.2">
      <c r="A2" s="226" t="s">
        <v>25</v>
      </c>
      <c r="B2" s="226"/>
      <c r="C2" s="227"/>
      <c r="D2" s="227"/>
      <c r="E2" s="94"/>
      <c r="F2" s="237">
        <f>Таблица213399029[[#Totals],[2]]+-Таблица213399029[[#Totals],[16]]</f>
        <v>0</v>
      </c>
      <c r="G2" s="238"/>
    </row>
    <row r="3" spans="1:13" ht="15" customHeight="1" x14ac:dyDescent="0.2">
      <c r="A3" s="228" t="s">
        <v>27</v>
      </c>
      <c r="B3" s="228" t="s">
        <v>9</v>
      </c>
      <c r="C3" s="89" t="s">
        <v>19</v>
      </c>
      <c r="D3" s="8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Таблица213399029[[#Totals],[2]]</f>
        <v>72394560</v>
      </c>
      <c r="D5" s="64"/>
      <c r="E5" s="106">
        <f>SUM(Таблица213399029[4])</f>
        <v>0</v>
      </c>
      <c r="F5" s="233"/>
      <c r="G5" s="233"/>
      <c r="H5" s="233"/>
      <c r="I5" s="224"/>
      <c r="J5" s="224"/>
      <c r="K5" s="65">
        <f>Таблица213399029[[#Totals],[1132]]</f>
        <v>57</v>
      </c>
      <c r="L5" s="233"/>
      <c r="M5" s="96">
        <f>Таблица213399029[[#Totals],[16]]</f>
        <v>72394560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46205</v>
      </c>
      <c r="C7" s="70">
        <v>72394560</v>
      </c>
      <c r="D7" s="18" t="s">
        <v>137</v>
      </c>
      <c r="E7" s="76"/>
      <c r="F7" s="71">
        <f>Таблица213399029[[#This Row],[ ]]</f>
        <v>1</v>
      </c>
      <c r="G7" s="18">
        <v>46198</v>
      </c>
      <c r="H7" s="72" t="s">
        <v>66</v>
      </c>
      <c r="I7" s="73" t="s">
        <v>71</v>
      </c>
      <c r="J7" s="74">
        <v>32.832000000000001</v>
      </c>
      <c r="K7" s="75">
        <v>19</v>
      </c>
      <c r="L7" s="71">
        <v>735000</v>
      </c>
      <c r="M7" s="76">
        <f>Таблица213399029[[#This Row],[113]]*Таблица213399029[[#This Row],[15]]</f>
        <v>24131520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Таблица213399029[[#This Row],[ ]]</f>
        <v>2</v>
      </c>
      <c r="G8" s="69">
        <v>46198</v>
      </c>
      <c r="H8" s="78" t="s">
        <v>67</v>
      </c>
      <c r="I8" s="78" t="s">
        <v>71</v>
      </c>
      <c r="J8" s="78">
        <v>32.832000000000001</v>
      </c>
      <c r="K8" s="76">
        <v>19</v>
      </c>
      <c r="L8" s="79">
        <v>735000</v>
      </c>
      <c r="M8" s="76">
        <f>Таблица213399029[[#This Row],[113]]*Таблица213399029[[#This Row],[15]]</f>
        <v>24131520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Таблица213399029[[#This Row],[ ]]</f>
        <v>3</v>
      </c>
      <c r="G9" s="69">
        <v>46198</v>
      </c>
      <c r="H9" s="78" t="s">
        <v>68</v>
      </c>
      <c r="I9" s="78" t="s">
        <v>71</v>
      </c>
      <c r="J9" s="78">
        <v>32.832000000000001</v>
      </c>
      <c r="K9" s="76">
        <v>19</v>
      </c>
      <c r="L9" s="79">
        <v>735000</v>
      </c>
      <c r="M9" s="76">
        <f>Таблица213399029[[#This Row],[113]]*Таблица213399029[[#This Row],[15]]</f>
        <v>24131520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Таблица213399029[[#This Row],[ ]]</f>
        <v>4</v>
      </c>
      <c r="G10" s="69"/>
      <c r="H10" s="78"/>
      <c r="I10" s="78"/>
      <c r="J10" s="78"/>
      <c r="K10" s="76"/>
      <c r="L10" s="79"/>
      <c r="M10" s="76">
        <f>Таблица213399029[[#This Row],[113]]*Таблица213399029[[#This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Таблица213399029[[#This Row],[ ]]</f>
        <v>5</v>
      </c>
      <c r="G11" s="69"/>
      <c r="H11" s="78"/>
      <c r="I11" s="78"/>
      <c r="J11" s="78"/>
      <c r="K11" s="76"/>
      <c r="L11" s="79"/>
      <c r="M11" s="76">
        <f>Таблица213399029[[#This Row],[113]]*Таблица213399029[[#This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Таблица213399029[[#This Row],[ ]]</f>
        <v>6</v>
      </c>
      <c r="G12" s="69"/>
      <c r="H12" s="78"/>
      <c r="I12" s="78"/>
      <c r="J12" s="78"/>
      <c r="K12" s="76"/>
      <c r="L12" s="79"/>
      <c r="M12" s="76">
        <f>Таблица213399029[[#This Row],[113]]*Таблица213399029[[#This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Таблица213399029[[#This Row],[ ]]</f>
        <v>7</v>
      </c>
      <c r="G13" s="69"/>
      <c r="H13" s="78"/>
      <c r="I13" s="78"/>
      <c r="J13" s="78"/>
      <c r="K13" s="79"/>
      <c r="L13" s="76"/>
      <c r="M13" s="76">
        <f>Таблица213399029[[#This Row],[113]]*Таблица213399029[[#This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Таблица213399029[[#This Row],[ ]]</f>
        <v>8</v>
      </c>
      <c r="G14" s="69"/>
      <c r="H14" s="78"/>
      <c r="I14" s="78"/>
      <c r="J14" s="78"/>
      <c r="K14" s="79"/>
      <c r="L14" s="76"/>
      <c r="M14" s="76">
        <f>Таблица213399029[[#This Row],[113]]*Таблица213399029[[#This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Таблица213399029[[#This Row],[ ]]</f>
        <v>9</v>
      </c>
      <c r="G15" s="69"/>
      <c r="H15" s="78"/>
      <c r="I15" s="78"/>
      <c r="J15" s="78"/>
      <c r="K15" s="79"/>
      <c r="L15" s="76"/>
      <c r="M15" s="76">
        <f>Таблица213399029[[#This Row],[113]]*Таблица213399029[[#This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Таблица213399029[[#This Row],[ ]]</f>
        <v>10</v>
      </c>
      <c r="G16" s="69"/>
      <c r="H16" s="78"/>
      <c r="I16" s="78"/>
      <c r="J16" s="78"/>
      <c r="K16" s="79"/>
      <c r="L16" s="76"/>
      <c r="M16" s="76">
        <f>Таблица213399029[[#This Row],[113]]*Таблица213399029[[#This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Таблица213399029[[#This Row],[ ]]</f>
        <v>11</v>
      </c>
      <c r="G17" s="69"/>
      <c r="H17" s="78"/>
      <c r="I17" s="78"/>
      <c r="J17" s="78"/>
      <c r="K17" s="79"/>
      <c r="L17" s="76"/>
      <c r="M17" s="76">
        <f>Таблица213399029[[#This Row],[113]]*Таблица213399029[[#This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Таблица213399029[[#This Row],[ ]]</f>
        <v>12</v>
      </c>
      <c r="G18" s="69"/>
      <c r="H18" s="78"/>
      <c r="I18" s="78"/>
      <c r="J18" s="78"/>
      <c r="K18" s="79"/>
      <c r="L18" s="76"/>
      <c r="M18" s="76">
        <f>Таблица213399029[[#This Row],[113]]*Таблица213399029[[#This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Таблица213399029[[#This Row],[ ]]</f>
        <v>13</v>
      </c>
      <c r="G19" s="69"/>
      <c r="H19" s="78"/>
      <c r="I19" s="78"/>
      <c r="J19" s="78"/>
      <c r="K19" s="79"/>
      <c r="L19" s="76"/>
      <c r="M19" s="76">
        <f>Таблица213399029[[#This Row],[113]]*Таблица213399029[[#This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Таблица213399029[[#This Row],[ ]]</f>
        <v>14</v>
      </c>
      <c r="G20" s="69"/>
      <c r="H20" s="78"/>
      <c r="I20" s="78"/>
      <c r="J20" s="78"/>
      <c r="K20" s="79"/>
      <c r="L20" s="76"/>
      <c r="M20" s="76">
        <f>Таблица213399029[[#This Row],[113]]*Таблица213399029[[#This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Таблица213399029[[#This Row],[ ]]</f>
        <v>15</v>
      </c>
      <c r="G21" s="69"/>
      <c r="H21" s="78"/>
      <c r="I21" s="78"/>
      <c r="J21" s="78"/>
      <c r="K21" s="79"/>
      <c r="L21" s="76"/>
      <c r="M21" s="76">
        <f>Таблица213399029[[#This Row],[113]]*Таблица213399029[[#This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Таблица213399029[[#This Row],[ ]]</f>
        <v>16</v>
      </c>
      <c r="G22" s="69"/>
      <c r="H22" s="78"/>
      <c r="I22" s="78"/>
      <c r="J22" s="78"/>
      <c r="K22" s="79"/>
      <c r="L22" s="76"/>
      <c r="M22" s="76">
        <f>Таблица213399029[[#This Row],[113]]*Таблица213399029[[#This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Таблица213399029[[#This Row],[ ]]</f>
        <v>17</v>
      </c>
      <c r="G23" s="69"/>
      <c r="H23" s="78"/>
      <c r="I23" s="78"/>
      <c r="J23" s="78"/>
      <c r="K23" s="79"/>
      <c r="L23" s="76"/>
      <c r="M23" s="76">
        <f>Таблица213399029[[#This Row],[113]]*Таблица213399029[[#This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Таблица213399029[[#This Row],[ ]]</f>
        <v>18</v>
      </c>
      <c r="G24" s="69"/>
      <c r="H24" s="78"/>
      <c r="I24" s="78"/>
      <c r="J24" s="78"/>
      <c r="K24" s="79"/>
      <c r="L24" s="76"/>
      <c r="M24" s="76">
        <f>Таблица213399029[[#This Row],[113]]*Таблица213399029[[#This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Таблица213399029[[#This Row],[ ]]</f>
        <v>19</v>
      </c>
      <c r="G25" s="69"/>
      <c r="H25" s="78"/>
      <c r="I25" s="78"/>
      <c r="J25" s="78"/>
      <c r="K25" s="79"/>
      <c r="L25" s="76"/>
      <c r="M25" s="76">
        <f>Таблица213399029[[#This Row],[113]]*Таблица213399029[[#This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Таблица213399029[[#This Row],[ ]]</f>
        <v>20</v>
      </c>
      <c r="G26" s="69"/>
      <c r="H26" s="78"/>
      <c r="I26" s="78"/>
      <c r="J26" s="78"/>
      <c r="K26" s="79"/>
      <c r="L26" s="76"/>
      <c r="M26" s="76">
        <f>Таблица213399029[[#This Row],[113]]*Таблица213399029[[#This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Таблица213399029[[#This Row],[ ]]</f>
        <v>21</v>
      </c>
      <c r="G27" s="69"/>
      <c r="H27" s="78"/>
      <c r="I27" s="78"/>
      <c r="J27" s="78"/>
      <c r="K27" s="79"/>
      <c r="L27" s="76"/>
      <c r="M27" s="76">
        <f>Таблица213399029[[#This Row],[113]]*Таблица213399029[[#This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Таблица213399029[[#This Row],[ ]]</f>
        <v>22</v>
      </c>
      <c r="G28" s="69"/>
      <c r="H28" s="78"/>
      <c r="I28" s="78"/>
      <c r="J28" s="78"/>
      <c r="K28" s="79"/>
      <c r="L28" s="76"/>
      <c r="M28" s="76">
        <f>Таблица213399029[[#This Row],[113]]*Таблица213399029[[#This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Таблица213399029[[#This Row],[ ]]</f>
        <v>23</v>
      </c>
      <c r="G29" s="69"/>
      <c r="H29" s="78"/>
      <c r="I29" s="78"/>
      <c r="J29" s="78"/>
      <c r="K29" s="79"/>
      <c r="L29" s="76"/>
      <c r="M29" s="76">
        <f>Таблица213399029[[#This Row],[113]]*Таблица213399029[[#This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Таблица213399029[[#This Row],[ ]]</f>
        <v>24</v>
      </c>
      <c r="G30" s="69"/>
      <c r="H30" s="78"/>
      <c r="I30" s="78"/>
      <c r="J30" s="78"/>
      <c r="K30" s="79"/>
      <c r="L30" s="76"/>
      <c r="M30" s="76">
        <f>Таблица213399029[[#This Row],[113]]*Таблица213399029[[#This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Таблица213399029[[#This Row],[ ]]</f>
        <v>25</v>
      </c>
      <c r="G31" s="69"/>
      <c r="H31" s="78"/>
      <c r="I31" s="78"/>
      <c r="J31" s="78"/>
      <c r="K31" s="79"/>
      <c r="L31" s="76"/>
      <c r="M31" s="76">
        <f>Таблица213399029[[#This Row],[113]]*Таблица213399029[[#This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Таблица213399029[[#This Row],[ ]]</f>
        <v>26</v>
      </c>
      <c r="G32" s="69"/>
      <c r="H32" s="78"/>
      <c r="I32" s="78"/>
      <c r="J32" s="78"/>
      <c r="K32" s="79"/>
      <c r="L32" s="76"/>
      <c r="M32" s="76">
        <f>Таблица213399029[[#This Row],[113]]*Таблица213399029[[#This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Таблица213399029[[#This Row],[ ]]</f>
        <v>27</v>
      </c>
      <c r="G33" s="69"/>
      <c r="H33" s="78"/>
      <c r="I33" s="78"/>
      <c r="J33" s="78"/>
      <c r="K33" s="79"/>
      <c r="L33" s="76"/>
      <c r="M33" s="76">
        <f>Таблица213399029[[#This Row],[113]]*Таблица213399029[[#This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Таблица213399029[[#This Row],[ ]]</f>
        <v>28</v>
      </c>
      <c r="G34" s="69"/>
      <c r="H34" s="78"/>
      <c r="I34" s="78"/>
      <c r="J34" s="78"/>
      <c r="K34" s="79"/>
      <c r="L34" s="76"/>
      <c r="M34" s="76">
        <f>Таблица213399029[[#This Row],[113]]*Таблица213399029[[#This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Таблица213399029[[#This Row],[ ]]</f>
        <v>29</v>
      </c>
      <c r="G35" s="69"/>
      <c r="H35" s="78"/>
      <c r="I35" s="78"/>
      <c r="J35" s="78"/>
      <c r="K35" s="79"/>
      <c r="L35" s="76"/>
      <c r="M35" s="76">
        <f>Таблица213399029[[#This Row],[113]]*Таблица213399029[[#This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Таблица213399029[[#This Row],[ ]]</f>
        <v>30</v>
      </c>
      <c r="G36" s="69"/>
      <c r="H36" s="78"/>
      <c r="I36" s="78"/>
      <c r="J36" s="78"/>
      <c r="K36" s="79"/>
      <c r="L36" s="76"/>
      <c r="M36" s="76">
        <f>Таблица213399029[[#This Row],[113]]*Таблица213399029[[#This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Таблица213399029[[#This Row],[ ]]</f>
        <v>31</v>
      </c>
      <c r="G37" s="69"/>
      <c r="H37" s="78"/>
      <c r="I37" s="78"/>
      <c r="J37" s="78"/>
      <c r="K37" s="79"/>
      <c r="L37" s="76"/>
      <c r="M37" s="76">
        <f>Таблица213399029[[#This Row],[113]]*Таблица213399029[[#This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Таблица213399029[[#This Row],[ ]]</f>
        <v>32</v>
      </c>
      <c r="G38" s="69"/>
      <c r="H38" s="78"/>
      <c r="I38" s="78"/>
      <c r="J38" s="78"/>
      <c r="K38" s="79"/>
      <c r="L38" s="76"/>
      <c r="M38" s="76">
        <f>Таблица213399029[[#This Row],[113]]*Таблица213399029[[#This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Таблица213399029[[#This Row],[ ]]</f>
        <v>33</v>
      </c>
      <c r="G39" s="69"/>
      <c r="H39" s="78"/>
      <c r="I39" s="78"/>
      <c r="J39" s="78"/>
      <c r="K39" s="79"/>
      <c r="L39" s="76"/>
      <c r="M39" s="76">
        <f>Таблица213399029[[#This Row],[113]]*Таблица213399029[[#This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Таблица213399029[[#This Row],[ ]]</f>
        <v>34</v>
      </c>
      <c r="G40" s="69"/>
      <c r="H40" s="78"/>
      <c r="I40" s="78"/>
      <c r="J40" s="78"/>
      <c r="K40" s="79"/>
      <c r="L40" s="76"/>
      <c r="M40" s="76">
        <f>Таблица213399029[[#This Row],[113]]*Таблица213399029[[#This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Таблица213399029[[#This Row],[ ]]</f>
        <v>35</v>
      </c>
      <c r="G41" s="69"/>
      <c r="H41" s="78"/>
      <c r="I41" s="78"/>
      <c r="J41" s="78"/>
      <c r="K41" s="79"/>
      <c r="L41" s="76"/>
      <c r="M41" s="76">
        <f>Таблица213399029[[#This Row],[113]]*Таблица213399029[[#This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Таблица213399029[[#This Row],[ ]]</f>
        <v>36</v>
      </c>
      <c r="G42" s="69"/>
      <c r="H42" s="78"/>
      <c r="I42" s="78"/>
      <c r="J42" s="78"/>
      <c r="K42" s="79"/>
      <c r="L42" s="76"/>
      <c r="M42" s="76">
        <f>Таблица213399029[[#This Row],[113]]*Таблица213399029[[#This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Таблица213399029[[#This Row],[ ]]</f>
        <v>37</v>
      </c>
      <c r="G43" s="69"/>
      <c r="H43" s="78"/>
      <c r="I43" s="78"/>
      <c r="J43" s="78"/>
      <c r="K43" s="79"/>
      <c r="L43" s="76"/>
      <c r="M43" s="76">
        <f>Таблица213399029[[#This Row],[113]]*Таблица213399029[[#This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Таблица213399029[[#This Row],[ ]]</f>
        <v>38</v>
      </c>
      <c r="G44" s="69"/>
      <c r="H44" s="78"/>
      <c r="I44" s="78"/>
      <c r="J44" s="78"/>
      <c r="K44" s="79"/>
      <c r="L44" s="76"/>
      <c r="M44" s="76">
        <f>Таблица213399029[[#This Row],[113]]*Таблица213399029[[#This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Таблица213399029[[#This Row],[ ]]</f>
        <v>39</v>
      </c>
      <c r="G45" s="69"/>
      <c r="H45" s="78"/>
      <c r="I45" s="78"/>
      <c r="J45" s="78"/>
      <c r="K45" s="79"/>
      <c r="L45" s="76"/>
      <c r="M45" s="76">
        <f>Таблица213399029[[#This Row],[113]]*Таблица213399029[[#This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Таблица213399029[[#This Row],[ ]]</f>
        <v>40</v>
      </c>
      <c r="G46" s="69"/>
      <c r="H46" s="78"/>
      <c r="I46" s="78"/>
      <c r="J46" s="78"/>
      <c r="K46" s="79"/>
      <c r="L46" s="76"/>
      <c r="M46" s="76">
        <f>Таблица213399029[[#This Row],[113]]*Таблица213399029[[#This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Таблица213399029[[#This Row],[ ]]</f>
        <v>41</v>
      </c>
      <c r="G47" s="69"/>
      <c r="H47" s="78"/>
      <c r="I47" s="78"/>
      <c r="J47" s="78"/>
      <c r="K47" s="79"/>
      <c r="L47" s="76"/>
      <c r="M47" s="76">
        <f>Таблица213399029[[#This Row],[113]]*Таблица213399029[[#This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Таблица213399029[[#This Row],[ ]]</f>
        <v>42</v>
      </c>
      <c r="G48" s="69"/>
      <c r="H48" s="78"/>
      <c r="I48" s="78"/>
      <c r="J48" s="78"/>
      <c r="K48" s="79"/>
      <c r="L48" s="76"/>
      <c r="M48" s="76">
        <f>Таблица213399029[[#This Row],[113]]*Таблица213399029[[#This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Таблица213399029[[#This Row],[ ]]</f>
        <v>43</v>
      </c>
      <c r="G49" s="69"/>
      <c r="H49" s="78"/>
      <c r="I49" s="78"/>
      <c r="J49" s="78"/>
      <c r="K49" s="79"/>
      <c r="L49" s="76"/>
      <c r="M49" s="76">
        <f>Таблица213399029[[#This Row],[113]]*Таблица213399029[[#This Row],[15]]</f>
        <v>0</v>
      </c>
    </row>
    <row r="50" spans="1:13" x14ac:dyDescent="0.2">
      <c r="A50" s="82"/>
      <c r="B50" s="45"/>
      <c r="C50" s="76">
        <f>SUBTOTAL(109,Таблица213399029[2])</f>
        <v>72394560</v>
      </c>
      <c r="D50" s="76"/>
      <c r="E50" s="84"/>
      <c r="F50" s="83"/>
      <c r="G50" s="85"/>
      <c r="H50" s="86"/>
      <c r="I50" s="86"/>
      <c r="J50" s="86"/>
      <c r="K50" s="86">
        <f>SUBTOTAL(109,Таблица213399029[1132])</f>
        <v>57</v>
      </c>
      <c r="L50" s="88"/>
      <c r="M50" s="88">
        <f>SUBTOTAL(109,Таблица213399029[16])</f>
        <v>72394560</v>
      </c>
    </row>
  </sheetData>
  <mergeCells count="14">
    <mergeCell ref="A3:A5"/>
    <mergeCell ref="B3:B5"/>
    <mergeCell ref="F3:F5"/>
    <mergeCell ref="A2:B2"/>
    <mergeCell ref="C2:D2"/>
    <mergeCell ref="E3:E4"/>
    <mergeCell ref="M3:M4"/>
    <mergeCell ref="F2:G2"/>
    <mergeCell ref="G3:G5"/>
    <mergeCell ref="H3:H5"/>
    <mergeCell ref="I3:I5"/>
    <mergeCell ref="J3:J5"/>
    <mergeCell ref="L3:L5"/>
    <mergeCell ref="K3:K4"/>
  </mergeCells>
  <phoneticPr fontId="2" type="noConversion"/>
  <hyperlinks>
    <hyperlink ref="D1" location="'Свод Завод'!A1" display="1-Индира Расулбек" xr:uid="{0E9EFF6F-E493-43F3-A256-95663EEDB8B8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C9E7-6F11-4180-9DCA-2D0E4C510406}">
  <dimension ref="A1:M50"/>
  <sheetViews>
    <sheetView zoomScale="85" zoomScaleNormal="85" workbookViewId="0">
      <pane ySplit="6" topLeftCell="A7" activePane="bottomLeft" state="frozen"/>
      <selection activeCell="D1" sqref="D1"/>
      <selection pane="bottomLeft" activeCell="D1" sqref="D1"/>
    </sheetView>
  </sheetViews>
  <sheetFormatPr defaultRowHeight="14.25" x14ac:dyDescent="0.2"/>
  <cols>
    <col min="1" max="1" width="6.5703125" style="1" bestFit="1" customWidth="1"/>
    <col min="2" max="2" width="11.5703125" style="1" bestFit="1" customWidth="1"/>
    <col min="3" max="3" width="13.425781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5.75" x14ac:dyDescent="0.25">
      <c r="A1" s="90"/>
      <c r="B1" s="91"/>
      <c r="C1" s="92" t="s">
        <v>26</v>
      </c>
      <c r="D1" s="132" t="s">
        <v>130</v>
      </c>
      <c r="E1" s="105"/>
    </row>
    <row r="2" spans="1:13" ht="20.25" x14ac:dyDescent="0.2">
      <c r="A2" s="226" t="s">
        <v>25</v>
      </c>
      <c r="B2" s="226"/>
      <c r="C2" s="227"/>
      <c r="D2" s="227"/>
      <c r="E2" s="129"/>
      <c r="F2" s="237">
        <f>Таблица2133990291011[[#Totals],[2]]+-Таблица2133990291011[[#Totals],[16]]</f>
        <v>8700480</v>
      </c>
      <c r="G2" s="238"/>
    </row>
    <row r="3" spans="1:13" ht="15" customHeight="1" x14ac:dyDescent="0.2">
      <c r="A3" s="228" t="s">
        <v>27</v>
      </c>
      <c r="B3" s="228" t="s">
        <v>9</v>
      </c>
      <c r="C3" s="130" t="s">
        <v>19</v>
      </c>
      <c r="D3" s="130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Таблица2133990291011[[#Totals],[2]]</f>
        <v>32832000</v>
      </c>
      <c r="D5" s="64"/>
      <c r="E5" s="106">
        <f>SUM(Таблица2133990291011[4])</f>
        <v>0</v>
      </c>
      <c r="F5" s="233"/>
      <c r="G5" s="233"/>
      <c r="H5" s="233"/>
      <c r="I5" s="224"/>
      <c r="J5" s="224"/>
      <c r="K5" s="65">
        <f>Таблица2133990291011[[#Totals],[1132]]</f>
        <v>19</v>
      </c>
      <c r="L5" s="233"/>
      <c r="M5" s="131">
        <f>Таблица2133990291011[[#Totals],[16]]</f>
        <v>24131520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46211</v>
      </c>
      <c r="C7" s="70">
        <v>32832000</v>
      </c>
      <c r="D7" s="18" t="s">
        <v>129</v>
      </c>
      <c r="E7" s="76"/>
      <c r="F7" s="71">
        <f>Таблица2133990291011[[#This Row],[ ]]</f>
        <v>1</v>
      </c>
      <c r="G7" s="18">
        <v>46203</v>
      </c>
      <c r="H7" s="72" t="s">
        <v>127</v>
      </c>
      <c r="I7" s="73" t="s">
        <v>71</v>
      </c>
      <c r="J7" s="74">
        <v>32.832000000000001</v>
      </c>
      <c r="K7" s="75">
        <v>19</v>
      </c>
      <c r="L7" s="71">
        <v>735000</v>
      </c>
      <c r="M7" s="76">
        <f>Таблица2133990291011[[#This Row],[113]]*Таблица2133990291011[[#This Row],[15]]</f>
        <v>24131520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Таблица2133990291011[[#This Row],[ ]]</f>
        <v>2</v>
      </c>
      <c r="G8" s="69"/>
      <c r="H8" s="78"/>
      <c r="I8" s="78"/>
      <c r="J8" s="78"/>
      <c r="K8" s="76"/>
      <c r="L8" s="79"/>
      <c r="M8" s="76">
        <f>Таблица2133990291011[[#This Row],[113]]*Таблица2133990291011[[#This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Таблица2133990291011[[#This Row],[ ]]</f>
        <v>3</v>
      </c>
      <c r="G9" s="69"/>
      <c r="H9" s="78"/>
      <c r="I9" s="78"/>
      <c r="J9" s="78"/>
      <c r="K9" s="76"/>
      <c r="L9" s="79"/>
      <c r="M9" s="76">
        <f>Таблица2133990291011[[#This Row],[113]]*Таблица2133990291011[[#This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Таблица2133990291011[[#This Row],[ ]]</f>
        <v>4</v>
      </c>
      <c r="G10" s="69"/>
      <c r="H10" s="78"/>
      <c r="I10" s="78"/>
      <c r="J10" s="78"/>
      <c r="K10" s="76"/>
      <c r="L10" s="79"/>
      <c r="M10" s="76">
        <f>Таблица2133990291011[[#This Row],[113]]*Таблица2133990291011[[#This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Таблица2133990291011[[#This Row],[ ]]</f>
        <v>5</v>
      </c>
      <c r="G11" s="69"/>
      <c r="H11" s="78"/>
      <c r="I11" s="78"/>
      <c r="J11" s="78"/>
      <c r="K11" s="76"/>
      <c r="L11" s="79"/>
      <c r="M11" s="76">
        <f>Таблица2133990291011[[#This Row],[113]]*Таблица2133990291011[[#This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Таблица2133990291011[[#This Row],[ ]]</f>
        <v>6</v>
      </c>
      <c r="G12" s="69"/>
      <c r="H12" s="78"/>
      <c r="I12" s="78"/>
      <c r="J12" s="78"/>
      <c r="K12" s="76"/>
      <c r="L12" s="79"/>
      <c r="M12" s="76">
        <f>Таблица2133990291011[[#This Row],[113]]*Таблица2133990291011[[#This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Таблица2133990291011[[#This Row],[ ]]</f>
        <v>7</v>
      </c>
      <c r="G13" s="69"/>
      <c r="H13" s="78"/>
      <c r="I13" s="78"/>
      <c r="J13" s="78"/>
      <c r="K13" s="79"/>
      <c r="L13" s="76"/>
      <c r="M13" s="76">
        <f>Таблица2133990291011[[#This Row],[113]]*Таблица2133990291011[[#This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Таблица2133990291011[[#This Row],[ ]]</f>
        <v>8</v>
      </c>
      <c r="G14" s="69"/>
      <c r="H14" s="78"/>
      <c r="I14" s="78"/>
      <c r="J14" s="78"/>
      <c r="K14" s="79"/>
      <c r="L14" s="76"/>
      <c r="M14" s="76">
        <f>Таблица2133990291011[[#This Row],[113]]*Таблица2133990291011[[#This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Таблица2133990291011[[#This Row],[ ]]</f>
        <v>9</v>
      </c>
      <c r="G15" s="69"/>
      <c r="H15" s="78"/>
      <c r="I15" s="78"/>
      <c r="J15" s="78"/>
      <c r="K15" s="79"/>
      <c r="L15" s="76"/>
      <c r="M15" s="76">
        <f>Таблица2133990291011[[#This Row],[113]]*Таблица2133990291011[[#This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Таблица2133990291011[[#This Row],[ ]]</f>
        <v>10</v>
      </c>
      <c r="G16" s="69"/>
      <c r="H16" s="78"/>
      <c r="I16" s="78"/>
      <c r="J16" s="78"/>
      <c r="K16" s="79"/>
      <c r="L16" s="76"/>
      <c r="M16" s="76">
        <f>Таблица2133990291011[[#This Row],[113]]*Таблица2133990291011[[#This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Таблица2133990291011[[#This Row],[ ]]</f>
        <v>11</v>
      </c>
      <c r="G17" s="69"/>
      <c r="H17" s="78"/>
      <c r="I17" s="78"/>
      <c r="J17" s="78"/>
      <c r="K17" s="79"/>
      <c r="L17" s="76"/>
      <c r="M17" s="76">
        <f>Таблица2133990291011[[#This Row],[113]]*Таблица2133990291011[[#This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Таблица2133990291011[[#This Row],[ ]]</f>
        <v>12</v>
      </c>
      <c r="G18" s="69"/>
      <c r="H18" s="78"/>
      <c r="I18" s="78"/>
      <c r="J18" s="78"/>
      <c r="K18" s="79"/>
      <c r="L18" s="76"/>
      <c r="M18" s="76">
        <f>Таблица2133990291011[[#This Row],[113]]*Таблица2133990291011[[#This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Таблица2133990291011[[#This Row],[ ]]</f>
        <v>13</v>
      </c>
      <c r="G19" s="69"/>
      <c r="H19" s="78"/>
      <c r="I19" s="78"/>
      <c r="J19" s="78"/>
      <c r="K19" s="79"/>
      <c r="L19" s="76"/>
      <c r="M19" s="76">
        <f>Таблица2133990291011[[#This Row],[113]]*Таблица2133990291011[[#This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Таблица2133990291011[[#This Row],[ ]]</f>
        <v>14</v>
      </c>
      <c r="G20" s="69"/>
      <c r="H20" s="78"/>
      <c r="I20" s="78"/>
      <c r="J20" s="78"/>
      <c r="K20" s="79"/>
      <c r="L20" s="76"/>
      <c r="M20" s="76">
        <f>Таблица2133990291011[[#This Row],[113]]*Таблица2133990291011[[#This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Таблица2133990291011[[#This Row],[ ]]</f>
        <v>15</v>
      </c>
      <c r="G21" s="69"/>
      <c r="H21" s="78"/>
      <c r="I21" s="78"/>
      <c r="J21" s="78"/>
      <c r="K21" s="79"/>
      <c r="L21" s="76"/>
      <c r="M21" s="76">
        <f>Таблица2133990291011[[#This Row],[113]]*Таблица2133990291011[[#This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Таблица2133990291011[[#This Row],[ ]]</f>
        <v>16</v>
      </c>
      <c r="G22" s="69"/>
      <c r="H22" s="78"/>
      <c r="I22" s="78"/>
      <c r="J22" s="78"/>
      <c r="K22" s="79"/>
      <c r="L22" s="76"/>
      <c r="M22" s="76">
        <f>Таблица2133990291011[[#This Row],[113]]*Таблица2133990291011[[#This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Таблица2133990291011[[#This Row],[ ]]</f>
        <v>17</v>
      </c>
      <c r="G23" s="69"/>
      <c r="H23" s="78"/>
      <c r="I23" s="78"/>
      <c r="J23" s="78"/>
      <c r="K23" s="79"/>
      <c r="L23" s="76"/>
      <c r="M23" s="76">
        <f>Таблица2133990291011[[#This Row],[113]]*Таблица2133990291011[[#This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Таблица2133990291011[[#This Row],[ ]]</f>
        <v>18</v>
      </c>
      <c r="G24" s="69"/>
      <c r="H24" s="78"/>
      <c r="I24" s="78"/>
      <c r="J24" s="78"/>
      <c r="K24" s="79"/>
      <c r="L24" s="76"/>
      <c r="M24" s="76">
        <f>Таблица2133990291011[[#This Row],[113]]*Таблица2133990291011[[#This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Таблица2133990291011[[#This Row],[ ]]</f>
        <v>19</v>
      </c>
      <c r="G25" s="69"/>
      <c r="H25" s="78"/>
      <c r="I25" s="78"/>
      <c r="J25" s="78"/>
      <c r="K25" s="79"/>
      <c r="L25" s="76"/>
      <c r="M25" s="76">
        <f>Таблица2133990291011[[#This Row],[113]]*Таблица2133990291011[[#This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Таблица2133990291011[[#This Row],[ ]]</f>
        <v>20</v>
      </c>
      <c r="G26" s="69"/>
      <c r="H26" s="78"/>
      <c r="I26" s="78"/>
      <c r="J26" s="78"/>
      <c r="K26" s="79"/>
      <c r="L26" s="76"/>
      <c r="M26" s="76">
        <f>Таблица2133990291011[[#This Row],[113]]*Таблица2133990291011[[#This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Таблица2133990291011[[#This Row],[ ]]</f>
        <v>21</v>
      </c>
      <c r="G27" s="69"/>
      <c r="H27" s="78"/>
      <c r="I27" s="78"/>
      <c r="J27" s="78"/>
      <c r="K27" s="79"/>
      <c r="L27" s="76"/>
      <c r="M27" s="76">
        <f>Таблица2133990291011[[#This Row],[113]]*Таблица2133990291011[[#This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Таблица2133990291011[[#This Row],[ ]]</f>
        <v>22</v>
      </c>
      <c r="G28" s="69"/>
      <c r="H28" s="78"/>
      <c r="I28" s="78"/>
      <c r="J28" s="78"/>
      <c r="K28" s="79"/>
      <c r="L28" s="76"/>
      <c r="M28" s="76">
        <f>Таблица2133990291011[[#This Row],[113]]*Таблица2133990291011[[#This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Таблица2133990291011[[#This Row],[ ]]</f>
        <v>23</v>
      </c>
      <c r="G29" s="69"/>
      <c r="H29" s="78"/>
      <c r="I29" s="78"/>
      <c r="J29" s="78"/>
      <c r="K29" s="79"/>
      <c r="L29" s="76"/>
      <c r="M29" s="76">
        <f>Таблица2133990291011[[#This Row],[113]]*Таблица2133990291011[[#This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Таблица2133990291011[[#This Row],[ ]]</f>
        <v>24</v>
      </c>
      <c r="G30" s="69"/>
      <c r="H30" s="78"/>
      <c r="I30" s="78"/>
      <c r="J30" s="78"/>
      <c r="K30" s="79"/>
      <c r="L30" s="76"/>
      <c r="M30" s="76">
        <f>Таблица2133990291011[[#This Row],[113]]*Таблица2133990291011[[#This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Таблица2133990291011[[#This Row],[ ]]</f>
        <v>25</v>
      </c>
      <c r="G31" s="69"/>
      <c r="H31" s="78"/>
      <c r="I31" s="78"/>
      <c r="J31" s="78"/>
      <c r="K31" s="79"/>
      <c r="L31" s="76"/>
      <c r="M31" s="76">
        <f>Таблица2133990291011[[#This Row],[113]]*Таблица2133990291011[[#This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Таблица2133990291011[[#This Row],[ ]]</f>
        <v>26</v>
      </c>
      <c r="G32" s="69"/>
      <c r="H32" s="78"/>
      <c r="I32" s="78"/>
      <c r="J32" s="78"/>
      <c r="K32" s="79"/>
      <c r="L32" s="76"/>
      <c r="M32" s="76">
        <f>Таблица2133990291011[[#This Row],[113]]*Таблица2133990291011[[#This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Таблица2133990291011[[#This Row],[ ]]</f>
        <v>27</v>
      </c>
      <c r="G33" s="69"/>
      <c r="H33" s="78"/>
      <c r="I33" s="78"/>
      <c r="J33" s="78"/>
      <c r="K33" s="79"/>
      <c r="L33" s="76"/>
      <c r="M33" s="76">
        <f>Таблица2133990291011[[#This Row],[113]]*Таблица2133990291011[[#This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Таблица2133990291011[[#This Row],[ ]]</f>
        <v>28</v>
      </c>
      <c r="G34" s="69"/>
      <c r="H34" s="78"/>
      <c r="I34" s="78"/>
      <c r="J34" s="78"/>
      <c r="K34" s="79"/>
      <c r="L34" s="76"/>
      <c r="M34" s="76">
        <f>Таблица2133990291011[[#This Row],[113]]*Таблица2133990291011[[#This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Таблица2133990291011[[#This Row],[ ]]</f>
        <v>29</v>
      </c>
      <c r="G35" s="69"/>
      <c r="H35" s="78"/>
      <c r="I35" s="78"/>
      <c r="J35" s="78"/>
      <c r="K35" s="79"/>
      <c r="L35" s="76"/>
      <c r="M35" s="76">
        <f>Таблица2133990291011[[#This Row],[113]]*Таблица2133990291011[[#This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Таблица2133990291011[[#This Row],[ ]]</f>
        <v>30</v>
      </c>
      <c r="G36" s="69"/>
      <c r="H36" s="78"/>
      <c r="I36" s="78"/>
      <c r="J36" s="78"/>
      <c r="K36" s="79"/>
      <c r="L36" s="76"/>
      <c r="M36" s="76">
        <f>Таблица2133990291011[[#This Row],[113]]*Таблица2133990291011[[#This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Таблица2133990291011[[#This Row],[ ]]</f>
        <v>31</v>
      </c>
      <c r="G37" s="69"/>
      <c r="H37" s="78"/>
      <c r="I37" s="78"/>
      <c r="J37" s="78"/>
      <c r="K37" s="79"/>
      <c r="L37" s="76"/>
      <c r="M37" s="76">
        <f>Таблица2133990291011[[#This Row],[113]]*Таблица2133990291011[[#This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Таблица2133990291011[[#This Row],[ ]]</f>
        <v>32</v>
      </c>
      <c r="G38" s="69"/>
      <c r="H38" s="78"/>
      <c r="I38" s="78"/>
      <c r="J38" s="78"/>
      <c r="K38" s="79"/>
      <c r="L38" s="76"/>
      <c r="M38" s="76">
        <f>Таблица2133990291011[[#This Row],[113]]*Таблица2133990291011[[#This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Таблица2133990291011[[#This Row],[ ]]</f>
        <v>33</v>
      </c>
      <c r="G39" s="69"/>
      <c r="H39" s="78"/>
      <c r="I39" s="78"/>
      <c r="J39" s="78"/>
      <c r="K39" s="79"/>
      <c r="L39" s="76"/>
      <c r="M39" s="76">
        <f>Таблица2133990291011[[#This Row],[113]]*Таблица2133990291011[[#This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Таблица2133990291011[[#This Row],[ ]]</f>
        <v>34</v>
      </c>
      <c r="G40" s="69"/>
      <c r="H40" s="78"/>
      <c r="I40" s="78"/>
      <c r="J40" s="78"/>
      <c r="K40" s="79"/>
      <c r="L40" s="76"/>
      <c r="M40" s="76">
        <f>Таблица2133990291011[[#This Row],[113]]*Таблица2133990291011[[#This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Таблица2133990291011[[#This Row],[ ]]</f>
        <v>35</v>
      </c>
      <c r="G41" s="69"/>
      <c r="H41" s="78"/>
      <c r="I41" s="78"/>
      <c r="J41" s="78"/>
      <c r="K41" s="79"/>
      <c r="L41" s="76"/>
      <c r="M41" s="76">
        <f>Таблица2133990291011[[#This Row],[113]]*Таблица2133990291011[[#This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Таблица2133990291011[[#This Row],[ ]]</f>
        <v>36</v>
      </c>
      <c r="G42" s="69"/>
      <c r="H42" s="78"/>
      <c r="I42" s="78"/>
      <c r="J42" s="78"/>
      <c r="K42" s="79"/>
      <c r="L42" s="76"/>
      <c r="M42" s="76">
        <f>Таблица2133990291011[[#This Row],[113]]*Таблица2133990291011[[#This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Таблица2133990291011[[#This Row],[ ]]</f>
        <v>37</v>
      </c>
      <c r="G43" s="69"/>
      <c r="H43" s="78"/>
      <c r="I43" s="78"/>
      <c r="J43" s="78"/>
      <c r="K43" s="79"/>
      <c r="L43" s="76"/>
      <c r="M43" s="76">
        <f>Таблица2133990291011[[#This Row],[113]]*Таблица2133990291011[[#This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Таблица2133990291011[[#This Row],[ ]]</f>
        <v>38</v>
      </c>
      <c r="G44" s="69"/>
      <c r="H44" s="78"/>
      <c r="I44" s="78"/>
      <c r="J44" s="78"/>
      <c r="K44" s="79"/>
      <c r="L44" s="76"/>
      <c r="M44" s="76">
        <f>Таблица2133990291011[[#This Row],[113]]*Таблица2133990291011[[#This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Таблица2133990291011[[#This Row],[ ]]</f>
        <v>39</v>
      </c>
      <c r="G45" s="69"/>
      <c r="H45" s="78"/>
      <c r="I45" s="78"/>
      <c r="J45" s="78"/>
      <c r="K45" s="79"/>
      <c r="L45" s="76"/>
      <c r="M45" s="76">
        <f>Таблица2133990291011[[#This Row],[113]]*Таблица2133990291011[[#This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Таблица2133990291011[[#This Row],[ ]]</f>
        <v>40</v>
      </c>
      <c r="G46" s="69"/>
      <c r="H46" s="78"/>
      <c r="I46" s="78"/>
      <c r="J46" s="78"/>
      <c r="K46" s="79"/>
      <c r="L46" s="76"/>
      <c r="M46" s="76">
        <f>Таблица2133990291011[[#This Row],[113]]*Таблица2133990291011[[#This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Таблица2133990291011[[#This Row],[ ]]</f>
        <v>41</v>
      </c>
      <c r="G47" s="69"/>
      <c r="H47" s="78"/>
      <c r="I47" s="78"/>
      <c r="J47" s="78"/>
      <c r="K47" s="79"/>
      <c r="L47" s="76"/>
      <c r="M47" s="76">
        <f>Таблица2133990291011[[#This Row],[113]]*Таблица2133990291011[[#This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Таблица2133990291011[[#This Row],[ ]]</f>
        <v>42</v>
      </c>
      <c r="G48" s="69"/>
      <c r="H48" s="78"/>
      <c r="I48" s="78"/>
      <c r="J48" s="78"/>
      <c r="K48" s="79"/>
      <c r="L48" s="76"/>
      <c r="M48" s="76">
        <f>Таблица2133990291011[[#This Row],[113]]*Таблица2133990291011[[#This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Таблица2133990291011[[#This Row],[ ]]</f>
        <v>43</v>
      </c>
      <c r="G49" s="69"/>
      <c r="H49" s="78"/>
      <c r="I49" s="78"/>
      <c r="J49" s="78"/>
      <c r="K49" s="79"/>
      <c r="L49" s="76"/>
      <c r="M49" s="76">
        <f>Таблица2133990291011[[#This Row],[113]]*Таблица2133990291011[[#This Row],[15]]</f>
        <v>0</v>
      </c>
    </row>
    <row r="50" spans="1:13" x14ac:dyDescent="0.2">
      <c r="A50" s="82"/>
      <c r="B50" s="45"/>
      <c r="C50" s="76">
        <f>SUBTOTAL(109,Таблица2133990291011[2])</f>
        <v>32832000</v>
      </c>
      <c r="D50" s="76"/>
      <c r="E50" s="84"/>
      <c r="F50" s="83"/>
      <c r="G50" s="85"/>
      <c r="H50" s="86"/>
      <c r="I50" s="86"/>
      <c r="J50" s="86"/>
      <c r="K50" s="86">
        <f>SUBTOTAL(109,Таблица2133990291011[1132])</f>
        <v>19</v>
      </c>
      <c r="L50" s="88"/>
      <c r="M50" s="88">
        <f>SUBTOTAL(109,Таблица2133990291011[16])</f>
        <v>24131520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hyperlinks>
    <hyperlink ref="D1" location="'Свод Завод'!A1" display="1-Индира Расулбек" xr:uid="{3DBDDDDC-C108-4472-8CB8-28B94D411C5E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67F8-4B68-468D-AB24-61BF4DF5B38D}">
  <dimension ref="A1:M50"/>
  <sheetViews>
    <sheetView zoomScale="145" zoomScaleNormal="145" workbookViewId="0">
      <pane ySplit="6" topLeftCell="A7" activePane="bottomLeft" state="frozen"/>
      <selection activeCell="D1" sqref="D1"/>
      <selection pane="bottomLeft" activeCell="B10" sqref="B10"/>
    </sheetView>
  </sheetViews>
  <sheetFormatPr defaultRowHeight="14.25" x14ac:dyDescent="0.2"/>
  <cols>
    <col min="1" max="1" width="6.5703125" style="1" bestFit="1" customWidth="1"/>
    <col min="2" max="2" width="11.5703125" style="1" bestFit="1" customWidth="1"/>
    <col min="3" max="3" width="13.425781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11.570312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0"/>
      <c r="B1" s="91"/>
      <c r="C1" s="92" t="s">
        <v>26</v>
      </c>
      <c r="D1" s="93" t="s">
        <v>125</v>
      </c>
      <c r="E1" s="105"/>
    </row>
    <row r="2" spans="1:13" ht="20.25" x14ac:dyDescent="0.2">
      <c r="A2" s="226" t="s">
        <v>25</v>
      </c>
      <c r="B2" s="226"/>
      <c r="C2" s="227"/>
      <c r="D2" s="227"/>
      <c r="E2" s="121"/>
      <c r="F2" s="237">
        <f>Таблица21339902910[[#Totals],[2]]+-Таблица21339902910[[#Totals],[16]]</f>
        <v>-24983520</v>
      </c>
      <c r="G2" s="238"/>
    </row>
    <row r="3" spans="1:13" ht="15" customHeight="1" x14ac:dyDescent="0.2">
      <c r="A3" s="228" t="s">
        <v>27</v>
      </c>
      <c r="B3" s="228" t="s">
        <v>9</v>
      </c>
      <c r="C3" s="122" t="s">
        <v>19</v>
      </c>
      <c r="D3" s="122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Таблица21339902910[[#Totals],[2]]</f>
        <v>68916000</v>
      </c>
      <c r="D5" s="64"/>
      <c r="E5" s="106">
        <f>SUM(Таблица21339902910[4])</f>
        <v>0</v>
      </c>
      <c r="F5" s="233"/>
      <c r="G5" s="233"/>
      <c r="H5" s="233"/>
      <c r="I5" s="224"/>
      <c r="J5" s="224"/>
      <c r="K5" s="65">
        <f>Таблица21339902910[[#Totals],[1132]]</f>
        <v>76</v>
      </c>
      <c r="L5" s="233"/>
      <c r="M5" s="123">
        <f>Таблица21339902910[[#Totals],[16]]</f>
        <v>93899520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46203</v>
      </c>
      <c r="C7" s="70">
        <v>22703000</v>
      </c>
      <c r="D7" s="18" t="s">
        <v>124</v>
      </c>
      <c r="E7" s="76"/>
      <c r="F7" s="71">
        <f>Таблица21339902910[[#This Row],[ ]]</f>
        <v>1</v>
      </c>
      <c r="G7" s="18">
        <v>46204</v>
      </c>
      <c r="H7" s="72" t="s">
        <v>128</v>
      </c>
      <c r="I7" s="73" t="s">
        <v>71</v>
      </c>
      <c r="J7" s="74">
        <v>32.832000000000001</v>
      </c>
      <c r="K7" s="75">
        <v>19</v>
      </c>
      <c r="L7" s="76">
        <v>730000</v>
      </c>
      <c r="M7" s="76">
        <f>Таблица21339902910[[#This Row],[113]]*Таблица21339902910[[#This Row],[15]]</f>
        <v>23967360</v>
      </c>
    </row>
    <row r="8" spans="1:13" x14ac:dyDescent="0.2">
      <c r="A8" s="68">
        <v>2</v>
      </c>
      <c r="B8" s="77">
        <v>46203</v>
      </c>
      <c r="C8" s="76">
        <v>25231000</v>
      </c>
      <c r="D8" s="18" t="s">
        <v>124</v>
      </c>
      <c r="E8" s="76"/>
      <c r="F8" s="71">
        <f>Таблица21339902910[[#This Row],[ ]]</f>
        <v>2</v>
      </c>
      <c r="G8" s="69">
        <v>46205</v>
      </c>
      <c r="H8" s="78" t="s">
        <v>138</v>
      </c>
      <c r="I8" s="78" t="s">
        <v>83</v>
      </c>
      <c r="J8" s="78">
        <v>32.832000000000001</v>
      </c>
      <c r="K8" s="76">
        <v>19</v>
      </c>
      <c r="L8" s="79">
        <v>730000</v>
      </c>
      <c r="M8" s="76">
        <f>Таблица21339902910[[#This Row],[113]]*Таблица21339902910[[#This Row],[15]]</f>
        <v>23967360</v>
      </c>
    </row>
    <row r="9" spans="1:13" x14ac:dyDescent="0.2">
      <c r="A9" s="68">
        <v>3</v>
      </c>
      <c r="B9" s="77">
        <v>46241</v>
      </c>
      <c r="C9" s="76">
        <v>20982000</v>
      </c>
      <c r="D9" s="18" t="s">
        <v>124</v>
      </c>
      <c r="E9" s="76"/>
      <c r="F9" s="71">
        <f>Таблица21339902910[[#This Row],[ ]]</f>
        <v>3</v>
      </c>
      <c r="G9" s="69">
        <v>46214</v>
      </c>
      <c r="H9" s="78" t="s">
        <v>162</v>
      </c>
      <c r="I9" s="78" t="s">
        <v>204</v>
      </c>
      <c r="J9" s="78">
        <v>32.832000000000001</v>
      </c>
      <c r="K9" s="76">
        <v>19</v>
      </c>
      <c r="L9" s="79">
        <v>700000</v>
      </c>
      <c r="M9" s="76">
        <f>Таблица21339902910[[#This Row],[113]]*Таблица21339902910[[#This Row],[15]]</f>
        <v>22982400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Таблица21339902910[[#This Row],[ ]]</f>
        <v>4</v>
      </c>
      <c r="G10" s="69">
        <v>46212</v>
      </c>
      <c r="H10" s="78" t="s">
        <v>70</v>
      </c>
      <c r="I10" s="78" t="s">
        <v>204</v>
      </c>
      <c r="J10" s="78">
        <v>32.832000000000001</v>
      </c>
      <c r="K10" s="76">
        <v>19</v>
      </c>
      <c r="L10" s="79">
        <v>700000</v>
      </c>
      <c r="M10" s="76">
        <f>Таблица21339902910[[#This Row],[113]]*Таблица21339902910[[#This Row],[15]]</f>
        <v>22982400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Таблица21339902910[[#This Row],[ ]]</f>
        <v>5</v>
      </c>
      <c r="G11" s="69"/>
      <c r="H11" s="78"/>
      <c r="I11" s="78"/>
      <c r="J11" s="78"/>
      <c r="K11" s="76"/>
      <c r="L11" s="79"/>
      <c r="M11" s="76">
        <f>Таблица21339902910[[#This Row],[113]]*Таблица21339902910[[#This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Таблица21339902910[[#This Row],[ ]]</f>
        <v>6</v>
      </c>
      <c r="G12" s="69"/>
      <c r="H12" s="78"/>
      <c r="I12" s="78"/>
      <c r="J12" s="78"/>
      <c r="K12" s="76"/>
      <c r="L12" s="79"/>
      <c r="M12" s="76">
        <f>Таблица21339902910[[#This Row],[113]]*Таблица21339902910[[#This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Таблица21339902910[[#This Row],[ ]]</f>
        <v>7</v>
      </c>
      <c r="G13" s="69"/>
      <c r="H13" s="78"/>
      <c r="I13" s="78"/>
      <c r="J13" s="78"/>
      <c r="K13" s="79"/>
      <c r="L13" s="76"/>
      <c r="M13" s="76">
        <f>Таблица21339902910[[#This Row],[113]]*Таблица21339902910[[#This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Таблица21339902910[[#This Row],[ ]]</f>
        <v>8</v>
      </c>
      <c r="G14" s="69"/>
      <c r="H14" s="78"/>
      <c r="I14" s="78"/>
      <c r="J14" s="78"/>
      <c r="K14" s="79"/>
      <c r="L14" s="76"/>
      <c r="M14" s="76">
        <f>Таблица21339902910[[#This Row],[113]]*Таблица21339902910[[#This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Таблица21339902910[[#This Row],[ ]]</f>
        <v>9</v>
      </c>
      <c r="G15" s="69"/>
      <c r="H15" s="78"/>
      <c r="I15" s="78"/>
      <c r="J15" s="78"/>
      <c r="K15" s="79"/>
      <c r="L15" s="76"/>
      <c r="M15" s="76">
        <f>Таблица21339902910[[#This Row],[113]]*Таблица21339902910[[#This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Таблица21339902910[[#This Row],[ ]]</f>
        <v>10</v>
      </c>
      <c r="G16" s="69"/>
      <c r="H16" s="78"/>
      <c r="I16" s="78"/>
      <c r="J16" s="78"/>
      <c r="K16" s="79"/>
      <c r="L16" s="76"/>
      <c r="M16" s="76">
        <f>Таблица21339902910[[#This Row],[113]]*Таблица21339902910[[#This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Таблица21339902910[[#This Row],[ ]]</f>
        <v>11</v>
      </c>
      <c r="G17" s="69"/>
      <c r="H17" s="78"/>
      <c r="I17" s="78"/>
      <c r="J17" s="78"/>
      <c r="K17" s="79"/>
      <c r="L17" s="76"/>
      <c r="M17" s="76">
        <f>Таблица21339902910[[#This Row],[113]]*Таблица21339902910[[#This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Таблица21339902910[[#This Row],[ ]]</f>
        <v>12</v>
      </c>
      <c r="G18" s="69"/>
      <c r="H18" s="78"/>
      <c r="I18" s="78"/>
      <c r="J18" s="78"/>
      <c r="K18" s="79"/>
      <c r="L18" s="76"/>
      <c r="M18" s="76">
        <f>Таблица21339902910[[#This Row],[113]]*Таблица21339902910[[#This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Таблица21339902910[[#This Row],[ ]]</f>
        <v>13</v>
      </c>
      <c r="G19" s="69"/>
      <c r="H19" s="78"/>
      <c r="I19" s="78"/>
      <c r="J19" s="78"/>
      <c r="K19" s="79"/>
      <c r="L19" s="76"/>
      <c r="M19" s="76">
        <f>Таблица21339902910[[#This Row],[113]]*Таблица21339902910[[#This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Таблица21339902910[[#This Row],[ ]]</f>
        <v>14</v>
      </c>
      <c r="G20" s="69"/>
      <c r="H20" s="78"/>
      <c r="I20" s="78"/>
      <c r="J20" s="78"/>
      <c r="K20" s="79"/>
      <c r="L20" s="76"/>
      <c r="M20" s="76">
        <f>Таблица21339902910[[#This Row],[113]]*Таблица21339902910[[#This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Таблица21339902910[[#This Row],[ ]]</f>
        <v>15</v>
      </c>
      <c r="G21" s="69"/>
      <c r="H21" s="78"/>
      <c r="I21" s="78"/>
      <c r="J21" s="78"/>
      <c r="K21" s="79"/>
      <c r="L21" s="76"/>
      <c r="M21" s="76">
        <f>Таблица21339902910[[#This Row],[113]]*Таблица21339902910[[#This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Таблица21339902910[[#This Row],[ ]]</f>
        <v>16</v>
      </c>
      <c r="G22" s="69"/>
      <c r="H22" s="78"/>
      <c r="I22" s="78"/>
      <c r="J22" s="78"/>
      <c r="K22" s="79"/>
      <c r="L22" s="76"/>
      <c r="M22" s="76">
        <f>Таблица21339902910[[#This Row],[113]]*Таблица21339902910[[#This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Таблица21339902910[[#This Row],[ ]]</f>
        <v>17</v>
      </c>
      <c r="G23" s="69"/>
      <c r="H23" s="78"/>
      <c r="I23" s="78"/>
      <c r="J23" s="78"/>
      <c r="K23" s="79"/>
      <c r="L23" s="76"/>
      <c r="M23" s="76">
        <f>Таблица21339902910[[#This Row],[113]]*Таблица21339902910[[#This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Таблица21339902910[[#This Row],[ ]]</f>
        <v>18</v>
      </c>
      <c r="G24" s="69"/>
      <c r="H24" s="78"/>
      <c r="I24" s="78"/>
      <c r="J24" s="78"/>
      <c r="K24" s="79"/>
      <c r="L24" s="76"/>
      <c r="M24" s="76">
        <f>Таблица21339902910[[#This Row],[113]]*Таблица21339902910[[#This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Таблица21339902910[[#This Row],[ ]]</f>
        <v>19</v>
      </c>
      <c r="G25" s="69"/>
      <c r="H25" s="78"/>
      <c r="I25" s="78"/>
      <c r="J25" s="78"/>
      <c r="K25" s="79"/>
      <c r="L25" s="76"/>
      <c r="M25" s="76">
        <f>Таблица21339902910[[#This Row],[113]]*Таблица21339902910[[#This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Таблица21339902910[[#This Row],[ ]]</f>
        <v>20</v>
      </c>
      <c r="G26" s="69"/>
      <c r="H26" s="78"/>
      <c r="I26" s="78"/>
      <c r="J26" s="78"/>
      <c r="K26" s="79"/>
      <c r="L26" s="76"/>
      <c r="M26" s="76">
        <f>Таблица21339902910[[#This Row],[113]]*Таблица21339902910[[#This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Таблица21339902910[[#This Row],[ ]]</f>
        <v>21</v>
      </c>
      <c r="G27" s="69"/>
      <c r="H27" s="78"/>
      <c r="I27" s="78"/>
      <c r="J27" s="78"/>
      <c r="K27" s="79"/>
      <c r="L27" s="76"/>
      <c r="M27" s="76">
        <f>Таблица21339902910[[#This Row],[113]]*Таблица21339902910[[#This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Таблица21339902910[[#This Row],[ ]]</f>
        <v>22</v>
      </c>
      <c r="G28" s="69"/>
      <c r="H28" s="78"/>
      <c r="I28" s="78"/>
      <c r="J28" s="78"/>
      <c r="K28" s="79"/>
      <c r="L28" s="76"/>
      <c r="M28" s="76">
        <f>Таблица21339902910[[#This Row],[113]]*Таблица21339902910[[#This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Таблица21339902910[[#This Row],[ ]]</f>
        <v>23</v>
      </c>
      <c r="G29" s="69"/>
      <c r="H29" s="78"/>
      <c r="I29" s="78"/>
      <c r="J29" s="78"/>
      <c r="K29" s="79"/>
      <c r="L29" s="76"/>
      <c r="M29" s="76">
        <f>Таблица21339902910[[#This Row],[113]]*Таблица21339902910[[#This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Таблица21339902910[[#This Row],[ ]]</f>
        <v>24</v>
      </c>
      <c r="G30" s="69"/>
      <c r="H30" s="78"/>
      <c r="I30" s="78"/>
      <c r="J30" s="78"/>
      <c r="K30" s="79"/>
      <c r="L30" s="76"/>
      <c r="M30" s="76">
        <f>Таблица21339902910[[#This Row],[113]]*Таблица21339902910[[#This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Таблица21339902910[[#This Row],[ ]]</f>
        <v>25</v>
      </c>
      <c r="G31" s="69"/>
      <c r="H31" s="78"/>
      <c r="I31" s="78"/>
      <c r="J31" s="78"/>
      <c r="K31" s="79"/>
      <c r="L31" s="76"/>
      <c r="M31" s="76">
        <f>Таблица21339902910[[#This Row],[113]]*Таблица21339902910[[#This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Таблица21339902910[[#This Row],[ ]]</f>
        <v>26</v>
      </c>
      <c r="G32" s="69"/>
      <c r="H32" s="78"/>
      <c r="I32" s="78"/>
      <c r="J32" s="78"/>
      <c r="K32" s="79"/>
      <c r="L32" s="76"/>
      <c r="M32" s="76">
        <f>Таблица21339902910[[#This Row],[113]]*Таблица21339902910[[#This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Таблица21339902910[[#This Row],[ ]]</f>
        <v>27</v>
      </c>
      <c r="G33" s="69"/>
      <c r="H33" s="78"/>
      <c r="I33" s="78"/>
      <c r="J33" s="78"/>
      <c r="K33" s="79"/>
      <c r="L33" s="76"/>
      <c r="M33" s="76">
        <f>Таблица21339902910[[#This Row],[113]]*Таблица21339902910[[#This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Таблица21339902910[[#This Row],[ ]]</f>
        <v>28</v>
      </c>
      <c r="G34" s="69"/>
      <c r="H34" s="78"/>
      <c r="I34" s="78"/>
      <c r="J34" s="78"/>
      <c r="K34" s="79"/>
      <c r="L34" s="76"/>
      <c r="M34" s="76">
        <f>Таблица21339902910[[#This Row],[113]]*Таблица21339902910[[#This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Таблица21339902910[[#This Row],[ ]]</f>
        <v>29</v>
      </c>
      <c r="G35" s="69"/>
      <c r="H35" s="78"/>
      <c r="I35" s="78"/>
      <c r="J35" s="78"/>
      <c r="K35" s="79"/>
      <c r="L35" s="76"/>
      <c r="M35" s="76">
        <f>Таблица21339902910[[#This Row],[113]]*Таблица21339902910[[#This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Таблица21339902910[[#This Row],[ ]]</f>
        <v>30</v>
      </c>
      <c r="G36" s="69"/>
      <c r="H36" s="78"/>
      <c r="I36" s="78"/>
      <c r="J36" s="78"/>
      <c r="K36" s="79"/>
      <c r="L36" s="76"/>
      <c r="M36" s="76">
        <f>Таблица21339902910[[#This Row],[113]]*Таблица21339902910[[#This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Таблица21339902910[[#This Row],[ ]]</f>
        <v>31</v>
      </c>
      <c r="G37" s="69"/>
      <c r="H37" s="78"/>
      <c r="I37" s="78"/>
      <c r="J37" s="78"/>
      <c r="K37" s="79"/>
      <c r="L37" s="76"/>
      <c r="M37" s="76">
        <f>Таблица21339902910[[#This Row],[113]]*Таблица21339902910[[#This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Таблица21339902910[[#This Row],[ ]]</f>
        <v>32</v>
      </c>
      <c r="G38" s="69"/>
      <c r="H38" s="78"/>
      <c r="I38" s="78"/>
      <c r="J38" s="78"/>
      <c r="K38" s="79"/>
      <c r="L38" s="76"/>
      <c r="M38" s="76">
        <f>Таблица21339902910[[#This Row],[113]]*Таблица21339902910[[#This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Таблица21339902910[[#This Row],[ ]]</f>
        <v>33</v>
      </c>
      <c r="G39" s="69"/>
      <c r="H39" s="78"/>
      <c r="I39" s="78"/>
      <c r="J39" s="78"/>
      <c r="K39" s="79"/>
      <c r="L39" s="76"/>
      <c r="M39" s="76">
        <f>Таблица21339902910[[#This Row],[113]]*Таблица21339902910[[#This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Таблица21339902910[[#This Row],[ ]]</f>
        <v>34</v>
      </c>
      <c r="G40" s="69"/>
      <c r="H40" s="78"/>
      <c r="I40" s="78"/>
      <c r="J40" s="78"/>
      <c r="K40" s="79"/>
      <c r="L40" s="76"/>
      <c r="M40" s="76">
        <f>Таблица21339902910[[#This Row],[113]]*Таблица21339902910[[#This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Таблица21339902910[[#This Row],[ ]]</f>
        <v>35</v>
      </c>
      <c r="G41" s="69"/>
      <c r="H41" s="78"/>
      <c r="I41" s="78"/>
      <c r="J41" s="78"/>
      <c r="K41" s="79"/>
      <c r="L41" s="76"/>
      <c r="M41" s="76">
        <f>Таблица21339902910[[#This Row],[113]]*Таблица21339902910[[#This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Таблица21339902910[[#This Row],[ ]]</f>
        <v>36</v>
      </c>
      <c r="G42" s="69"/>
      <c r="H42" s="78"/>
      <c r="I42" s="78"/>
      <c r="J42" s="78"/>
      <c r="K42" s="79"/>
      <c r="L42" s="76"/>
      <c r="M42" s="76">
        <f>Таблица21339902910[[#This Row],[113]]*Таблица21339902910[[#This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Таблица21339902910[[#This Row],[ ]]</f>
        <v>37</v>
      </c>
      <c r="G43" s="69"/>
      <c r="H43" s="78"/>
      <c r="I43" s="78"/>
      <c r="J43" s="78"/>
      <c r="K43" s="79"/>
      <c r="L43" s="76"/>
      <c r="M43" s="76">
        <f>Таблица21339902910[[#This Row],[113]]*Таблица21339902910[[#This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Таблица21339902910[[#This Row],[ ]]</f>
        <v>38</v>
      </c>
      <c r="G44" s="69"/>
      <c r="H44" s="78"/>
      <c r="I44" s="78"/>
      <c r="J44" s="78"/>
      <c r="K44" s="79"/>
      <c r="L44" s="76"/>
      <c r="M44" s="76">
        <f>Таблица21339902910[[#This Row],[113]]*Таблица21339902910[[#This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Таблица21339902910[[#This Row],[ ]]</f>
        <v>39</v>
      </c>
      <c r="G45" s="69"/>
      <c r="H45" s="78"/>
      <c r="I45" s="78"/>
      <c r="J45" s="78"/>
      <c r="K45" s="79"/>
      <c r="L45" s="76"/>
      <c r="M45" s="76">
        <f>Таблица21339902910[[#This Row],[113]]*Таблица21339902910[[#This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Таблица21339902910[[#This Row],[ ]]</f>
        <v>40</v>
      </c>
      <c r="G46" s="69"/>
      <c r="H46" s="78"/>
      <c r="I46" s="78"/>
      <c r="J46" s="78"/>
      <c r="K46" s="79"/>
      <c r="L46" s="76"/>
      <c r="M46" s="76">
        <f>Таблица21339902910[[#This Row],[113]]*Таблица21339902910[[#This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Таблица21339902910[[#This Row],[ ]]</f>
        <v>41</v>
      </c>
      <c r="G47" s="69"/>
      <c r="H47" s="78"/>
      <c r="I47" s="78"/>
      <c r="J47" s="78"/>
      <c r="K47" s="79"/>
      <c r="L47" s="76"/>
      <c r="M47" s="76">
        <f>Таблица21339902910[[#This Row],[113]]*Таблица21339902910[[#This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Таблица21339902910[[#This Row],[ ]]</f>
        <v>42</v>
      </c>
      <c r="G48" s="69"/>
      <c r="H48" s="78"/>
      <c r="I48" s="78"/>
      <c r="J48" s="78"/>
      <c r="K48" s="79"/>
      <c r="L48" s="76"/>
      <c r="M48" s="76">
        <f>Таблица21339902910[[#This Row],[113]]*Таблица21339902910[[#This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Таблица21339902910[[#This Row],[ ]]</f>
        <v>43</v>
      </c>
      <c r="G49" s="69"/>
      <c r="H49" s="78"/>
      <c r="I49" s="78"/>
      <c r="J49" s="78"/>
      <c r="K49" s="79"/>
      <c r="L49" s="76"/>
      <c r="M49" s="76">
        <f>Таблица21339902910[[#This Row],[113]]*Таблица21339902910[[#This Row],[15]]</f>
        <v>0</v>
      </c>
    </row>
    <row r="50" spans="1:13" x14ac:dyDescent="0.2">
      <c r="A50" s="82"/>
      <c r="B50" s="45"/>
      <c r="C50" s="76">
        <f>SUBTOTAL(109,Таблица21339902910[2])</f>
        <v>68916000</v>
      </c>
      <c r="D50" s="76"/>
      <c r="E50" s="84"/>
      <c r="F50" s="83"/>
      <c r="G50" s="85"/>
      <c r="H50" s="86"/>
      <c r="I50" s="86"/>
      <c r="J50" s="86"/>
      <c r="K50" s="86">
        <f>SUBTOTAL(109,Таблица21339902910[1132])</f>
        <v>76</v>
      </c>
      <c r="L50" s="88"/>
      <c r="M50" s="88">
        <f>SUBTOTAL(109,Таблица21339902910[16])</f>
        <v>93899520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hyperlinks>
    <hyperlink ref="D1" location="'Свод Завод'!A1" display="1-Индира Расулбек" xr:uid="{7F569A9D-E5DA-43A7-A079-2B53CA6B7D7E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ECEA-3AF6-4AB5-8190-BB1F26262A10}">
  <dimension ref="A1:M50"/>
  <sheetViews>
    <sheetView zoomScale="85" zoomScaleNormal="85" workbookViewId="0">
      <pane ySplit="6" topLeftCell="A7" activePane="bottomLeft" state="frozen"/>
      <selection activeCell="D1" sqref="D1"/>
      <selection pane="bottomLeft" activeCell="D1" sqref="D1"/>
    </sheetView>
  </sheetViews>
  <sheetFormatPr defaultRowHeight="14.25" x14ac:dyDescent="0.2"/>
  <cols>
    <col min="1" max="1" width="6.5703125" style="1" bestFit="1" customWidth="1"/>
    <col min="2" max="2" width="11.5703125" style="1" bestFit="1" customWidth="1"/>
    <col min="3" max="3" width="13.425781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11.570312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0"/>
      <c r="B1" s="91"/>
      <c r="C1" s="92" t="s">
        <v>26</v>
      </c>
      <c r="D1" s="93" t="s">
        <v>141</v>
      </c>
      <c r="E1" s="105"/>
    </row>
    <row r="2" spans="1:13" ht="20.25" x14ac:dyDescent="0.2">
      <c r="A2" s="226" t="s">
        <v>25</v>
      </c>
      <c r="B2" s="226"/>
      <c r="C2" s="227"/>
      <c r="D2" s="227"/>
      <c r="E2" s="134"/>
      <c r="F2" s="237">
        <f>Таблица2133990291012[[#Totals],[2]]+-Таблица2133990291012[[#Totals],[16]]</f>
        <v>-23967360</v>
      </c>
      <c r="G2" s="238"/>
    </row>
    <row r="3" spans="1:13" ht="15" customHeight="1" x14ac:dyDescent="0.2">
      <c r="A3" s="228" t="s">
        <v>27</v>
      </c>
      <c r="B3" s="228" t="s">
        <v>9</v>
      </c>
      <c r="C3" s="135" t="s">
        <v>19</v>
      </c>
      <c r="D3" s="135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Таблица2133990291012[[#Totals],[2]]</f>
        <v>0</v>
      </c>
      <c r="D5" s="64"/>
      <c r="E5" s="106">
        <f>SUM(Таблица2133990291012[4])</f>
        <v>0</v>
      </c>
      <c r="F5" s="233"/>
      <c r="G5" s="233"/>
      <c r="H5" s="233"/>
      <c r="I5" s="224"/>
      <c r="J5" s="224"/>
      <c r="K5" s="65">
        <f>Таблица2133990291012[[#Totals],[1132]]</f>
        <v>19</v>
      </c>
      <c r="L5" s="233"/>
      <c r="M5" s="136">
        <f>Таблица2133990291012[[#Totals],[16]]</f>
        <v>23967360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/>
      <c r="C7" s="70"/>
      <c r="D7" s="18"/>
      <c r="E7" s="76"/>
      <c r="F7" s="71">
        <f>Таблица2133990291012[[#This Row],[ ]]</f>
        <v>1</v>
      </c>
      <c r="G7" s="18">
        <v>46204</v>
      </c>
      <c r="H7" s="72" t="s">
        <v>131</v>
      </c>
      <c r="I7" s="73" t="s">
        <v>71</v>
      </c>
      <c r="J7" s="74">
        <v>32.832000000000001</v>
      </c>
      <c r="K7" s="75">
        <v>19</v>
      </c>
      <c r="L7" s="76">
        <v>730000</v>
      </c>
      <c r="M7" s="76">
        <f>Таблица2133990291012[[#This Row],[113]]*Таблица2133990291012[[#This Row],[15]]</f>
        <v>23967360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Таблица2133990291012[[#This Row],[ ]]</f>
        <v>2</v>
      </c>
      <c r="G8" s="69"/>
      <c r="H8" s="78"/>
      <c r="I8" s="78"/>
      <c r="J8" s="78"/>
      <c r="K8" s="76"/>
      <c r="L8" s="79"/>
      <c r="M8" s="76">
        <f>Таблица2133990291012[[#This Row],[113]]*Таблица2133990291012[[#This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Таблица2133990291012[[#This Row],[ ]]</f>
        <v>3</v>
      </c>
      <c r="G9" s="69"/>
      <c r="H9" s="78"/>
      <c r="I9" s="78"/>
      <c r="J9" s="78"/>
      <c r="K9" s="76"/>
      <c r="L9" s="79"/>
      <c r="M9" s="76">
        <f>Таблица2133990291012[[#This Row],[113]]*Таблица2133990291012[[#This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Таблица2133990291012[[#This Row],[ ]]</f>
        <v>4</v>
      </c>
      <c r="G10" s="69"/>
      <c r="H10" s="78"/>
      <c r="I10" s="78"/>
      <c r="J10" s="78"/>
      <c r="K10" s="76"/>
      <c r="L10" s="79"/>
      <c r="M10" s="76">
        <f>Таблица2133990291012[[#This Row],[113]]*Таблица2133990291012[[#This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Таблица2133990291012[[#This Row],[ ]]</f>
        <v>5</v>
      </c>
      <c r="G11" s="69"/>
      <c r="H11" s="78"/>
      <c r="I11" s="78"/>
      <c r="J11" s="78"/>
      <c r="K11" s="76"/>
      <c r="L11" s="79"/>
      <c r="M11" s="76">
        <f>Таблица2133990291012[[#This Row],[113]]*Таблица2133990291012[[#This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Таблица2133990291012[[#This Row],[ ]]</f>
        <v>6</v>
      </c>
      <c r="G12" s="69"/>
      <c r="H12" s="78"/>
      <c r="I12" s="78"/>
      <c r="J12" s="78"/>
      <c r="K12" s="76"/>
      <c r="L12" s="79"/>
      <c r="M12" s="76">
        <f>Таблица2133990291012[[#This Row],[113]]*Таблица2133990291012[[#This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Таблица2133990291012[[#This Row],[ ]]</f>
        <v>7</v>
      </c>
      <c r="G13" s="69"/>
      <c r="H13" s="78"/>
      <c r="I13" s="78"/>
      <c r="J13" s="78"/>
      <c r="K13" s="79"/>
      <c r="L13" s="76"/>
      <c r="M13" s="76">
        <f>Таблица2133990291012[[#This Row],[113]]*Таблица2133990291012[[#This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Таблица2133990291012[[#This Row],[ ]]</f>
        <v>8</v>
      </c>
      <c r="G14" s="69"/>
      <c r="H14" s="78"/>
      <c r="I14" s="78"/>
      <c r="J14" s="78"/>
      <c r="K14" s="79"/>
      <c r="L14" s="76"/>
      <c r="M14" s="76">
        <f>Таблица2133990291012[[#This Row],[113]]*Таблица2133990291012[[#This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Таблица2133990291012[[#This Row],[ ]]</f>
        <v>9</v>
      </c>
      <c r="G15" s="69"/>
      <c r="H15" s="78"/>
      <c r="I15" s="78"/>
      <c r="J15" s="78"/>
      <c r="K15" s="79"/>
      <c r="L15" s="76"/>
      <c r="M15" s="76">
        <f>Таблица2133990291012[[#This Row],[113]]*Таблица2133990291012[[#This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Таблица2133990291012[[#This Row],[ ]]</f>
        <v>10</v>
      </c>
      <c r="G16" s="69"/>
      <c r="H16" s="78"/>
      <c r="I16" s="78"/>
      <c r="J16" s="78"/>
      <c r="K16" s="79"/>
      <c r="L16" s="76"/>
      <c r="M16" s="76">
        <f>Таблица2133990291012[[#This Row],[113]]*Таблица2133990291012[[#This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Таблица2133990291012[[#This Row],[ ]]</f>
        <v>11</v>
      </c>
      <c r="G17" s="69"/>
      <c r="H17" s="78"/>
      <c r="I17" s="78"/>
      <c r="J17" s="78"/>
      <c r="K17" s="79"/>
      <c r="L17" s="76"/>
      <c r="M17" s="76">
        <f>Таблица2133990291012[[#This Row],[113]]*Таблица2133990291012[[#This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Таблица2133990291012[[#This Row],[ ]]</f>
        <v>12</v>
      </c>
      <c r="G18" s="69"/>
      <c r="H18" s="78"/>
      <c r="I18" s="78"/>
      <c r="J18" s="78"/>
      <c r="K18" s="79"/>
      <c r="L18" s="76"/>
      <c r="M18" s="76">
        <f>Таблица2133990291012[[#This Row],[113]]*Таблица2133990291012[[#This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Таблица2133990291012[[#This Row],[ ]]</f>
        <v>13</v>
      </c>
      <c r="G19" s="69"/>
      <c r="H19" s="78"/>
      <c r="I19" s="78"/>
      <c r="J19" s="78"/>
      <c r="K19" s="79"/>
      <c r="L19" s="76"/>
      <c r="M19" s="76">
        <f>Таблица2133990291012[[#This Row],[113]]*Таблица2133990291012[[#This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Таблица2133990291012[[#This Row],[ ]]</f>
        <v>14</v>
      </c>
      <c r="G20" s="69"/>
      <c r="H20" s="78"/>
      <c r="I20" s="78"/>
      <c r="J20" s="78"/>
      <c r="K20" s="79"/>
      <c r="L20" s="76"/>
      <c r="M20" s="76">
        <f>Таблица2133990291012[[#This Row],[113]]*Таблица2133990291012[[#This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Таблица2133990291012[[#This Row],[ ]]</f>
        <v>15</v>
      </c>
      <c r="G21" s="69"/>
      <c r="H21" s="78"/>
      <c r="I21" s="78"/>
      <c r="J21" s="78"/>
      <c r="K21" s="79"/>
      <c r="L21" s="76"/>
      <c r="M21" s="76">
        <f>Таблица2133990291012[[#This Row],[113]]*Таблица2133990291012[[#This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Таблица2133990291012[[#This Row],[ ]]</f>
        <v>16</v>
      </c>
      <c r="G22" s="69"/>
      <c r="H22" s="78"/>
      <c r="I22" s="78"/>
      <c r="J22" s="78"/>
      <c r="K22" s="79"/>
      <c r="L22" s="76"/>
      <c r="M22" s="76">
        <f>Таблица2133990291012[[#This Row],[113]]*Таблица2133990291012[[#This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Таблица2133990291012[[#This Row],[ ]]</f>
        <v>17</v>
      </c>
      <c r="G23" s="69"/>
      <c r="H23" s="78"/>
      <c r="I23" s="78"/>
      <c r="J23" s="78"/>
      <c r="K23" s="79"/>
      <c r="L23" s="76"/>
      <c r="M23" s="76">
        <f>Таблица2133990291012[[#This Row],[113]]*Таблица2133990291012[[#This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Таблица2133990291012[[#This Row],[ ]]</f>
        <v>18</v>
      </c>
      <c r="G24" s="69"/>
      <c r="H24" s="78"/>
      <c r="I24" s="78"/>
      <c r="J24" s="78"/>
      <c r="K24" s="79"/>
      <c r="L24" s="76"/>
      <c r="M24" s="76">
        <f>Таблица2133990291012[[#This Row],[113]]*Таблица2133990291012[[#This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Таблица2133990291012[[#This Row],[ ]]</f>
        <v>19</v>
      </c>
      <c r="G25" s="69"/>
      <c r="H25" s="78"/>
      <c r="I25" s="78"/>
      <c r="J25" s="78"/>
      <c r="K25" s="79"/>
      <c r="L25" s="76"/>
      <c r="M25" s="76">
        <f>Таблица2133990291012[[#This Row],[113]]*Таблица2133990291012[[#This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Таблица2133990291012[[#This Row],[ ]]</f>
        <v>20</v>
      </c>
      <c r="G26" s="69"/>
      <c r="H26" s="78"/>
      <c r="I26" s="78"/>
      <c r="J26" s="78"/>
      <c r="K26" s="79"/>
      <c r="L26" s="76"/>
      <c r="M26" s="76">
        <f>Таблица2133990291012[[#This Row],[113]]*Таблица2133990291012[[#This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Таблица2133990291012[[#This Row],[ ]]</f>
        <v>21</v>
      </c>
      <c r="G27" s="69"/>
      <c r="H27" s="78"/>
      <c r="I27" s="78"/>
      <c r="J27" s="78"/>
      <c r="K27" s="79"/>
      <c r="L27" s="76"/>
      <c r="M27" s="76">
        <f>Таблица2133990291012[[#This Row],[113]]*Таблица2133990291012[[#This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Таблица2133990291012[[#This Row],[ ]]</f>
        <v>22</v>
      </c>
      <c r="G28" s="69"/>
      <c r="H28" s="78"/>
      <c r="I28" s="78"/>
      <c r="J28" s="78"/>
      <c r="K28" s="79"/>
      <c r="L28" s="76"/>
      <c r="M28" s="76">
        <f>Таблица2133990291012[[#This Row],[113]]*Таблица2133990291012[[#This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Таблица2133990291012[[#This Row],[ ]]</f>
        <v>23</v>
      </c>
      <c r="G29" s="69"/>
      <c r="H29" s="78"/>
      <c r="I29" s="78"/>
      <c r="J29" s="78"/>
      <c r="K29" s="79"/>
      <c r="L29" s="76"/>
      <c r="M29" s="76">
        <f>Таблица2133990291012[[#This Row],[113]]*Таблица2133990291012[[#This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Таблица2133990291012[[#This Row],[ ]]</f>
        <v>24</v>
      </c>
      <c r="G30" s="69"/>
      <c r="H30" s="78"/>
      <c r="I30" s="78"/>
      <c r="J30" s="78"/>
      <c r="K30" s="79"/>
      <c r="L30" s="76"/>
      <c r="M30" s="76">
        <f>Таблица2133990291012[[#This Row],[113]]*Таблица2133990291012[[#This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Таблица2133990291012[[#This Row],[ ]]</f>
        <v>25</v>
      </c>
      <c r="G31" s="69"/>
      <c r="H31" s="78"/>
      <c r="I31" s="78"/>
      <c r="J31" s="78"/>
      <c r="K31" s="79"/>
      <c r="L31" s="76"/>
      <c r="M31" s="76">
        <f>Таблица2133990291012[[#This Row],[113]]*Таблица2133990291012[[#This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Таблица2133990291012[[#This Row],[ ]]</f>
        <v>26</v>
      </c>
      <c r="G32" s="69"/>
      <c r="H32" s="78"/>
      <c r="I32" s="78"/>
      <c r="J32" s="78"/>
      <c r="K32" s="79"/>
      <c r="L32" s="76"/>
      <c r="M32" s="76">
        <f>Таблица2133990291012[[#This Row],[113]]*Таблица2133990291012[[#This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Таблица2133990291012[[#This Row],[ ]]</f>
        <v>27</v>
      </c>
      <c r="G33" s="69"/>
      <c r="H33" s="78"/>
      <c r="I33" s="78"/>
      <c r="J33" s="78"/>
      <c r="K33" s="79"/>
      <c r="L33" s="76"/>
      <c r="M33" s="76">
        <f>Таблица2133990291012[[#This Row],[113]]*Таблица2133990291012[[#This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Таблица2133990291012[[#This Row],[ ]]</f>
        <v>28</v>
      </c>
      <c r="G34" s="69"/>
      <c r="H34" s="78"/>
      <c r="I34" s="78"/>
      <c r="J34" s="78"/>
      <c r="K34" s="79"/>
      <c r="L34" s="76"/>
      <c r="M34" s="76">
        <f>Таблица2133990291012[[#This Row],[113]]*Таблица2133990291012[[#This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Таблица2133990291012[[#This Row],[ ]]</f>
        <v>29</v>
      </c>
      <c r="G35" s="69"/>
      <c r="H35" s="78"/>
      <c r="I35" s="78"/>
      <c r="J35" s="78"/>
      <c r="K35" s="79"/>
      <c r="L35" s="76"/>
      <c r="M35" s="76">
        <f>Таблица2133990291012[[#This Row],[113]]*Таблица2133990291012[[#This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Таблица2133990291012[[#This Row],[ ]]</f>
        <v>30</v>
      </c>
      <c r="G36" s="69"/>
      <c r="H36" s="78"/>
      <c r="I36" s="78"/>
      <c r="J36" s="78"/>
      <c r="K36" s="79"/>
      <c r="L36" s="76"/>
      <c r="M36" s="76">
        <f>Таблица2133990291012[[#This Row],[113]]*Таблица2133990291012[[#This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Таблица2133990291012[[#This Row],[ ]]</f>
        <v>31</v>
      </c>
      <c r="G37" s="69"/>
      <c r="H37" s="78"/>
      <c r="I37" s="78"/>
      <c r="J37" s="78"/>
      <c r="K37" s="79"/>
      <c r="L37" s="76"/>
      <c r="M37" s="76">
        <f>Таблица2133990291012[[#This Row],[113]]*Таблица2133990291012[[#This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Таблица2133990291012[[#This Row],[ ]]</f>
        <v>32</v>
      </c>
      <c r="G38" s="69"/>
      <c r="H38" s="78"/>
      <c r="I38" s="78"/>
      <c r="J38" s="78"/>
      <c r="K38" s="79"/>
      <c r="L38" s="76"/>
      <c r="M38" s="76">
        <f>Таблица2133990291012[[#This Row],[113]]*Таблица2133990291012[[#This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Таблица2133990291012[[#This Row],[ ]]</f>
        <v>33</v>
      </c>
      <c r="G39" s="69"/>
      <c r="H39" s="78"/>
      <c r="I39" s="78"/>
      <c r="J39" s="78"/>
      <c r="K39" s="79"/>
      <c r="L39" s="76"/>
      <c r="M39" s="76">
        <f>Таблица2133990291012[[#This Row],[113]]*Таблица2133990291012[[#This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Таблица2133990291012[[#This Row],[ ]]</f>
        <v>34</v>
      </c>
      <c r="G40" s="69"/>
      <c r="H40" s="78"/>
      <c r="I40" s="78"/>
      <c r="J40" s="78"/>
      <c r="K40" s="79"/>
      <c r="L40" s="76"/>
      <c r="M40" s="76">
        <f>Таблица2133990291012[[#This Row],[113]]*Таблица2133990291012[[#This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Таблица2133990291012[[#This Row],[ ]]</f>
        <v>35</v>
      </c>
      <c r="G41" s="69"/>
      <c r="H41" s="78"/>
      <c r="I41" s="78"/>
      <c r="J41" s="78"/>
      <c r="K41" s="79"/>
      <c r="L41" s="76"/>
      <c r="M41" s="76">
        <f>Таблица2133990291012[[#This Row],[113]]*Таблица2133990291012[[#This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Таблица2133990291012[[#This Row],[ ]]</f>
        <v>36</v>
      </c>
      <c r="G42" s="69"/>
      <c r="H42" s="78"/>
      <c r="I42" s="78"/>
      <c r="J42" s="78"/>
      <c r="K42" s="79"/>
      <c r="L42" s="76"/>
      <c r="M42" s="76">
        <f>Таблица2133990291012[[#This Row],[113]]*Таблица2133990291012[[#This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Таблица2133990291012[[#This Row],[ ]]</f>
        <v>37</v>
      </c>
      <c r="G43" s="69"/>
      <c r="H43" s="78"/>
      <c r="I43" s="78"/>
      <c r="J43" s="78"/>
      <c r="K43" s="79"/>
      <c r="L43" s="76"/>
      <c r="M43" s="76">
        <f>Таблица2133990291012[[#This Row],[113]]*Таблица2133990291012[[#This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Таблица2133990291012[[#This Row],[ ]]</f>
        <v>38</v>
      </c>
      <c r="G44" s="69"/>
      <c r="H44" s="78"/>
      <c r="I44" s="78"/>
      <c r="J44" s="78"/>
      <c r="K44" s="79"/>
      <c r="L44" s="76"/>
      <c r="M44" s="76">
        <f>Таблица2133990291012[[#This Row],[113]]*Таблица2133990291012[[#This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Таблица2133990291012[[#This Row],[ ]]</f>
        <v>39</v>
      </c>
      <c r="G45" s="69"/>
      <c r="H45" s="78"/>
      <c r="I45" s="78"/>
      <c r="J45" s="78"/>
      <c r="K45" s="79"/>
      <c r="L45" s="76"/>
      <c r="M45" s="76">
        <f>Таблица2133990291012[[#This Row],[113]]*Таблица2133990291012[[#This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Таблица2133990291012[[#This Row],[ ]]</f>
        <v>40</v>
      </c>
      <c r="G46" s="69"/>
      <c r="H46" s="78"/>
      <c r="I46" s="78"/>
      <c r="J46" s="78"/>
      <c r="K46" s="79"/>
      <c r="L46" s="76"/>
      <c r="M46" s="76">
        <f>Таблица2133990291012[[#This Row],[113]]*Таблица2133990291012[[#This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Таблица2133990291012[[#This Row],[ ]]</f>
        <v>41</v>
      </c>
      <c r="G47" s="69"/>
      <c r="H47" s="78"/>
      <c r="I47" s="78"/>
      <c r="J47" s="78"/>
      <c r="K47" s="79"/>
      <c r="L47" s="76"/>
      <c r="M47" s="76">
        <f>Таблица2133990291012[[#This Row],[113]]*Таблица2133990291012[[#This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Таблица2133990291012[[#This Row],[ ]]</f>
        <v>42</v>
      </c>
      <c r="G48" s="69"/>
      <c r="H48" s="78"/>
      <c r="I48" s="78"/>
      <c r="J48" s="78"/>
      <c r="K48" s="79"/>
      <c r="L48" s="76"/>
      <c r="M48" s="76">
        <f>Таблица2133990291012[[#This Row],[113]]*Таблица2133990291012[[#This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Таблица2133990291012[[#This Row],[ ]]</f>
        <v>43</v>
      </c>
      <c r="G49" s="69"/>
      <c r="H49" s="78"/>
      <c r="I49" s="78"/>
      <c r="J49" s="78"/>
      <c r="K49" s="79"/>
      <c r="L49" s="76"/>
      <c r="M49" s="76">
        <f>Таблица2133990291012[[#This Row],[113]]*Таблица2133990291012[[#This Row],[15]]</f>
        <v>0</v>
      </c>
    </row>
    <row r="50" spans="1:13" x14ac:dyDescent="0.2">
      <c r="A50" s="82"/>
      <c r="B50" s="45"/>
      <c r="C50" s="76">
        <f>SUBTOTAL(109,Таблица2133990291012[2])</f>
        <v>0</v>
      </c>
      <c r="D50" s="76"/>
      <c r="E50" s="84"/>
      <c r="F50" s="83"/>
      <c r="G50" s="85"/>
      <c r="H50" s="86"/>
      <c r="I50" s="86"/>
      <c r="J50" s="86"/>
      <c r="K50" s="86">
        <f>SUBTOTAL(109,Таблица2133990291012[1132])</f>
        <v>19</v>
      </c>
      <c r="L50" s="88"/>
      <c r="M50" s="88">
        <f>SUBTOTAL(109,Таблица2133990291012[16])</f>
        <v>23967360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hyperlinks>
    <hyperlink ref="D1" location="'Свод Завод'!A1" display="1-Индира Расулбек" xr:uid="{B86070B0-F749-4F49-9D73-7C2F69FA703D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7981-A6C6-4802-BCE8-AC9E50AAE551}">
  <dimension ref="A1:M50"/>
  <sheetViews>
    <sheetView zoomScale="145" zoomScaleNormal="145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1.7109375" style="1" bestFit="1" customWidth="1"/>
    <col min="3" max="3" width="14.1406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4.1406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0"/>
      <c r="B1" s="91"/>
      <c r="C1" s="92" t="s">
        <v>26</v>
      </c>
      <c r="D1" s="93" t="s">
        <v>104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94"/>
      <c r="F2" s="237">
        <f>Таблица2133990294[[#Totals],[2]]+-Таблица2133990294[[#Totals],[16]]</f>
        <v>0</v>
      </c>
      <c r="G2" s="238"/>
    </row>
    <row r="3" spans="1:13" ht="15" customHeight="1" x14ac:dyDescent="0.2">
      <c r="A3" s="228" t="s">
        <v>27</v>
      </c>
      <c r="B3" s="228" t="s">
        <v>9</v>
      </c>
      <c r="C3" s="89" t="s">
        <v>19</v>
      </c>
      <c r="D3" s="8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Таблица2133990294[[#Totals],[2]]</f>
        <v>121824000</v>
      </c>
      <c r="D5" s="64"/>
      <c r="E5" s="106">
        <f>SUM(Таблица2133990294[4])</f>
        <v>0</v>
      </c>
      <c r="F5" s="233"/>
      <c r="G5" s="233"/>
      <c r="H5" s="233"/>
      <c r="I5" s="224"/>
      <c r="J5" s="224"/>
      <c r="K5" s="65">
        <f>Таблица2133990294[[#Totals],[1132]]</f>
        <v>94</v>
      </c>
      <c r="L5" s="233"/>
      <c r="M5" s="96">
        <f>Таблица2133990294[[#Totals],[16]]</f>
        <v>121824000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46202</v>
      </c>
      <c r="C7" s="70">
        <v>47952000</v>
      </c>
      <c r="D7" s="18" t="s">
        <v>115</v>
      </c>
      <c r="E7" s="76"/>
      <c r="F7" s="71">
        <f>Таблица2133990294[[#This Row],[ ]]</f>
        <v>1</v>
      </c>
      <c r="G7" s="18">
        <v>46198</v>
      </c>
      <c r="H7" s="72" t="s">
        <v>69</v>
      </c>
      <c r="I7" s="73" t="s">
        <v>71</v>
      </c>
      <c r="J7" s="74">
        <v>32.832000000000001</v>
      </c>
      <c r="K7" s="75">
        <v>19</v>
      </c>
      <c r="L7" s="79">
        <v>750000</v>
      </c>
      <c r="M7" s="76">
        <f>Таблица2133990294[[#This Row],[113]]*Таблица2133990294[[#This Row],[15]]</f>
        <v>24624000</v>
      </c>
    </row>
    <row r="8" spans="1:13" x14ac:dyDescent="0.2">
      <c r="A8" s="68">
        <v>2</v>
      </c>
      <c r="B8" s="77">
        <v>46205</v>
      </c>
      <c r="C8" s="76">
        <v>73872000</v>
      </c>
      <c r="D8" s="18" t="s">
        <v>145</v>
      </c>
      <c r="E8" s="76"/>
      <c r="F8" s="71">
        <f>Таблица2133990294[[#This Row],[ ]]</f>
        <v>2</v>
      </c>
      <c r="G8" s="69">
        <v>46198</v>
      </c>
      <c r="H8" s="78" t="s">
        <v>70</v>
      </c>
      <c r="I8" s="78" t="s">
        <v>71</v>
      </c>
      <c r="J8" s="78">
        <v>31.103999999999999</v>
      </c>
      <c r="K8" s="76">
        <v>18</v>
      </c>
      <c r="L8" s="79">
        <v>750000</v>
      </c>
      <c r="M8" s="76">
        <f>Таблица2133990294[[#This Row],[113]]*Таблица2133990294[[#This Row],[15]]</f>
        <v>23328000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Таблица2133990294[[#This Row],[ ]]</f>
        <v>3</v>
      </c>
      <c r="G9" s="69">
        <v>46204</v>
      </c>
      <c r="H9" s="78" t="s">
        <v>132</v>
      </c>
      <c r="I9" s="78" t="s">
        <v>71</v>
      </c>
      <c r="J9" s="78">
        <v>32.832000000000001</v>
      </c>
      <c r="K9" s="76">
        <v>19</v>
      </c>
      <c r="L9" s="79">
        <v>750000</v>
      </c>
      <c r="M9" s="76">
        <f>Таблица2133990294[[#This Row],[113]]*Таблица2133990294[[#This Row],[15]]</f>
        <v>24624000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Таблица2133990294[[#This Row],[ ]]</f>
        <v>4</v>
      </c>
      <c r="G10" s="69">
        <v>46204</v>
      </c>
      <c r="H10" s="78" t="s">
        <v>134</v>
      </c>
      <c r="I10" s="78" t="s">
        <v>83</v>
      </c>
      <c r="J10" s="78">
        <v>32.832000000000001</v>
      </c>
      <c r="K10" s="76">
        <v>19</v>
      </c>
      <c r="L10" s="79">
        <v>750000</v>
      </c>
      <c r="M10" s="76">
        <f>Таблица2133990294[[#This Row],[113]]*Таблица2133990294[[#This Row],[15]]</f>
        <v>24624000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Таблица2133990294[[#This Row],[ ]]</f>
        <v>5</v>
      </c>
      <c r="G11" s="69">
        <v>46204</v>
      </c>
      <c r="H11" s="78" t="s">
        <v>136</v>
      </c>
      <c r="I11" s="78" t="s">
        <v>83</v>
      </c>
      <c r="J11" s="78">
        <v>32.832000000000001</v>
      </c>
      <c r="K11" s="76">
        <v>19</v>
      </c>
      <c r="L11" s="79">
        <v>750000</v>
      </c>
      <c r="M11" s="76">
        <f>Таблица2133990294[[#This Row],[113]]*Таблица2133990294[[#This Row],[15]]</f>
        <v>24624000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Таблица2133990294[[#This Row],[ ]]</f>
        <v>6</v>
      </c>
      <c r="G12" s="69"/>
      <c r="H12" s="78"/>
      <c r="I12" s="78"/>
      <c r="J12" s="78"/>
      <c r="K12" s="76"/>
      <c r="L12" s="79"/>
      <c r="M12" s="76">
        <f>Таблица2133990294[[#This Row],[113]]*Таблица2133990294[[#This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Таблица2133990294[[#This Row],[ ]]</f>
        <v>7</v>
      </c>
      <c r="G13" s="69"/>
      <c r="H13" s="78"/>
      <c r="I13" s="78"/>
      <c r="J13" s="78"/>
      <c r="K13" s="79"/>
      <c r="L13" s="76"/>
      <c r="M13" s="76">
        <f>Таблица2133990294[[#This Row],[113]]*Таблица2133990294[[#This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Таблица2133990294[[#This Row],[ ]]</f>
        <v>8</v>
      </c>
      <c r="G14" s="69"/>
      <c r="H14" s="78"/>
      <c r="I14" s="78"/>
      <c r="J14" s="78"/>
      <c r="K14" s="79"/>
      <c r="L14" s="76"/>
      <c r="M14" s="76">
        <f>Таблица2133990294[[#This Row],[113]]*Таблица2133990294[[#This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Таблица2133990294[[#This Row],[ ]]</f>
        <v>9</v>
      </c>
      <c r="G15" s="69"/>
      <c r="H15" s="78"/>
      <c r="I15" s="78"/>
      <c r="J15" s="78"/>
      <c r="K15" s="79"/>
      <c r="L15" s="76"/>
      <c r="M15" s="76">
        <f>Таблица2133990294[[#This Row],[113]]*Таблица2133990294[[#This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Таблица2133990294[[#This Row],[ ]]</f>
        <v>10</v>
      </c>
      <c r="G16" s="69"/>
      <c r="H16" s="78"/>
      <c r="I16" s="78"/>
      <c r="J16" s="78"/>
      <c r="K16" s="79"/>
      <c r="L16" s="76"/>
      <c r="M16" s="76">
        <f>Таблица2133990294[[#This Row],[113]]*Таблица2133990294[[#This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Таблица2133990294[[#This Row],[ ]]</f>
        <v>11</v>
      </c>
      <c r="G17" s="69"/>
      <c r="H17" s="78"/>
      <c r="I17" s="78"/>
      <c r="J17" s="78"/>
      <c r="K17" s="79"/>
      <c r="L17" s="76"/>
      <c r="M17" s="76">
        <f>Таблица2133990294[[#This Row],[113]]*Таблица2133990294[[#This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Таблица2133990294[[#This Row],[ ]]</f>
        <v>12</v>
      </c>
      <c r="G18" s="69"/>
      <c r="H18" s="78"/>
      <c r="I18" s="78"/>
      <c r="J18" s="78"/>
      <c r="K18" s="79"/>
      <c r="L18" s="76"/>
      <c r="M18" s="76">
        <f>Таблица2133990294[[#This Row],[113]]*Таблица2133990294[[#This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Таблица2133990294[[#This Row],[ ]]</f>
        <v>13</v>
      </c>
      <c r="G19" s="69"/>
      <c r="H19" s="78"/>
      <c r="I19" s="78"/>
      <c r="J19" s="78"/>
      <c r="K19" s="79"/>
      <c r="L19" s="76"/>
      <c r="M19" s="76">
        <f>Таблица2133990294[[#This Row],[113]]*Таблица2133990294[[#This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Таблица2133990294[[#This Row],[ ]]</f>
        <v>14</v>
      </c>
      <c r="G20" s="69"/>
      <c r="H20" s="78"/>
      <c r="I20" s="78"/>
      <c r="J20" s="78"/>
      <c r="K20" s="79"/>
      <c r="L20" s="76"/>
      <c r="M20" s="76">
        <f>Таблица2133990294[[#This Row],[113]]*Таблица2133990294[[#This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Таблица2133990294[[#This Row],[ ]]</f>
        <v>15</v>
      </c>
      <c r="G21" s="69"/>
      <c r="H21" s="78"/>
      <c r="I21" s="78"/>
      <c r="J21" s="78"/>
      <c r="K21" s="79"/>
      <c r="L21" s="76"/>
      <c r="M21" s="76">
        <f>Таблица2133990294[[#This Row],[113]]*Таблица2133990294[[#This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Таблица2133990294[[#This Row],[ ]]</f>
        <v>16</v>
      </c>
      <c r="G22" s="69"/>
      <c r="H22" s="78"/>
      <c r="I22" s="78"/>
      <c r="J22" s="78"/>
      <c r="K22" s="79"/>
      <c r="L22" s="76"/>
      <c r="M22" s="76">
        <f>Таблица2133990294[[#This Row],[113]]*Таблица2133990294[[#This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Таблица2133990294[[#This Row],[ ]]</f>
        <v>17</v>
      </c>
      <c r="G23" s="69"/>
      <c r="H23" s="78"/>
      <c r="I23" s="78"/>
      <c r="J23" s="78"/>
      <c r="K23" s="79"/>
      <c r="L23" s="76"/>
      <c r="M23" s="76">
        <f>Таблица2133990294[[#This Row],[113]]*Таблица2133990294[[#This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Таблица2133990294[[#This Row],[ ]]</f>
        <v>18</v>
      </c>
      <c r="G24" s="69"/>
      <c r="H24" s="78"/>
      <c r="I24" s="78"/>
      <c r="J24" s="78"/>
      <c r="K24" s="79"/>
      <c r="L24" s="76"/>
      <c r="M24" s="76">
        <f>Таблица2133990294[[#This Row],[113]]*Таблица2133990294[[#This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Таблица2133990294[[#This Row],[ ]]</f>
        <v>19</v>
      </c>
      <c r="G25" s="69"/>
      <c r="H25" s="78"/>
      <c r="I25" s="78"/>
      <c r="J25" s="78"/>
      <c r="K25" s="79"/>
      <c r="L25" s="76"/>
      <c r="M25" s="76">
        <f>Таблица2133990294[[#This Row],[113]]*Таблица2133990294[[#This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Таблица2133990294[[#This Row],[ ]]</f>
        <v>20</v>
      </c>
      <c r="G26" s="69"/>
      <c r="H26" s="78"/>
      <c r="I26" s="78"/>
      <c r="J26" s="78"/>
      <c r="K26" s="79"/>
      <c r="L26" s="76"/>
      <c r="M26" s="76">
        <f>Таблица2133990294[[#This Row],[113]]*Таблица2133990294[[#This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Таблица2133990294[[#This Row],[ ]]</f>
        <v>21</v>
      </c>
      <c r="G27" s="69"/>
      <c r="H27" s="78"/>
      <c r="I27" s="78"/>
      <c r="J27" s="78"/>
      <c r="K27" s="79"/>
      <c r="L27" s="76"/>
      <c r="M27" s="76">
        <f>Таблица2133990294[[#This Row],[113]]*Таблица2133990294[[#This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Таблица2133990294[[#This Row],[ ]]</f>
        <v>22</v>
      </c>
      <c r="G28" s="69"/>
      <c r="H28" s="78"/>
      <c r="I28" s="78"/>
      <c r="J28" s="78"/>
      <c r="K28" s="79"/>
      <c r="L28" s="76"/>
      <c r="M28" s="76">
        <f>Таблица2133990294[[#This Row],[113]]*Таблица2133990294[[#This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Таблица2133990294[[#This Row],[ ]]</f>
        <v>23</v>
      </c>
      <c r="G29" s="69"/>
      <c r="H29" s="78"/>
      <c r="I29" s="78"/>
      <c r="J29" s="78"/>
      <c r="K29" s="79"/>
      <c r="L29" s="76"/>
      <c r="M29" s="76">
        <f>Таблица2133990294[[#This Row],[113]]*Таблица2133990294[[#This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Таблица2133990294[[#This Row],[ ]]</f>
        <v>24</v>
      </c>
      <c r="G30" s="69"/>
      <c r="H30" s="78"/>
      <c r="I30" s="78"/>
      <c r="J30" s="78"/>
      <c r="K30" s="79"/>
      <c r="L30" s="76"/>
      <c r="M30" s="76">
        <f>Таблица2133990294[[#This Row],[113]]*Таблица2133990294[[#This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Таблица2133990294[[#This Row],[ ]]</f>
        <v>25</v>
      </c>
      <c r="G31" s="69"/>
      <c r="H31" s="78"/>
      <c r="I31" s="78"/>
      <c r="J31" s="78"/>
      <c r="K31" s="79"/>
      <c r="L31" s="76"/>
      <c r="M31" s="76">
        <f>Таблица2133990294[[#This Row],[113]]*Таблица2133990294[[#This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Таблица2133990294[[#This Row],[ ]]</f>
        <v>26</v>
      </c>
      <c r="G32" s="69"/>
      <c r="H32" s="78"/>
      <c r="I32" s="78"/>
      <c r="J32" s="78"/>
      <c r="K32" s="79"/>
      <c r="L32" s="76"/>
      <c r="M32" s="76">
        <f>Таблица2133990294[[#This Row],[113]]*Таблица2133990294[[#This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Таблица2133990294[[#This Row],[ ]]</f>
        <v>27</v>
      </c>
      <c r="G33" s="69"/>
      <c r="H33" s="78"/>
      <c r="I33" s="78"/>
      <c r="J33" s="78"/>
      <c r="K33" s="79"/>
      <c r="L33" s="76"/>
      <c r="M33" s="76">
        <f>Таблица2133990294[[#This Row],[113]]*Таблица2133990294[[#This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Таблица2133990294[[#This Row],[ ]]</f>
        <v>28</v>
      </c>
      <c r="G34" s="69"/>
      <c r="H34" s="78"/>
      <c r="I34" s="78"/>
      <c r="J34" s="78"/>
      <c r="K34" s="79"/>
      <c r="L34" s="76"/>
      <c r="M34" s="76">
        <f>Таблица2133990294[[#This Row],[113]]*Таблица2133990294[[#This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Таблица2133990294[[#This Row],[ ]]</f>
        <v>29</v>
      </c>
      <c r="G35" s="69"/>
      <c r="H35" s="78"/>
      <c r="I35" s="78"/>
      <c r="J35" s="78"/>
      <c r="K35" s="79"/>
      <c r="L35" s="76"/>
      <c r="M35" s="76">
        <f>Таблица2133990294[[#This Row],[113]]*Таблица2133990294[[#This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Таблица2133990294[[#This Row],[ ]]</f>
        <v>30</v>
      </c>
      <c r="G36" s="69"/>
      <c r="H36" s="78"/>
      <c r="I36" s="78"/>
      <c r="J36" s="78"/>
      <c r="K36" s="79"/>
      <c r="L36" s="76"/>
      <c r="M36" s="76">
        <f>Таблица2133990294[[#This Row],[113]]*Таблица2133990294[[#This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Таблица2133990294[[#This Row],[ ]]</f>
        <v>31</v>
      </c>
      <c r="G37" s="69"/>
      <c r="H37" s="78"/>
      <c r="I37" s="78"/>
      <c r="J37" s="78"/>
      <c r="K37" s="79"/>
      <c r="L37" s="76"/>
      <c r="M37" s="76">
        <f>Таблица2133990294[[#This Row],[113]]*Таблица2133990294[[#This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Таблица2133990294[[#This Row],[ ]]</f>
        <v>32</v>
      </c>
      <c r="G38" s="69"/>
      <c r="H38" s="78"/>
      <c r="I38" s="78"/>
      <c r="J38" s="78"/>
      <c r="K38" s="79"/>
      <c r="L38" s="76"/>
      <c r="M38" s="76">
        <f>Таблица2133990294[[#This Row],[113]]*Таблица2133990294[[#This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Таблица2133990294[[#This Row],[ ]]</f>
        <v>33</v>
      </c>
      <c r="G39" s="69"/>
      <c r="H39" s="78"/>
      <c r="I39" s="78"/>
      <c r="J39" s="78"/>
      <c r="K39" s="79"/>
      <c r="L39" s="76"/>
      <c r="M39" s="76">
        <f>Таблица2133990294[[#This Row],[113]]*Таблица2133990294[[#This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Таблица2133990294[[#This Row],[ ]]</f>
        <v>34</v>
      </c>
      <c r="G40" s="69"/>
      <c r="H40" s="78"/>
      <c r="I40" s="78"/>
      <c r="J40" s="78"/>
      <c r="K40" s="79"/>
      <c r="L40" s="76"/>
      <c r="M40" s="76">
        <f>Таблица2133990294[[#This Row],[113]]*Таблица2133990294[[#This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Таблица2133990294[[#This Row],[ ]]</f>
        <v>35</v>
      </c>
      <c r="G41" s="69"/>
      <c r="H41" s="78"/>
      <c r="I41" s="78"/>
      <c r="J41" s="78"/>
      <c r="K41" s="79"/>
      <c r="L41" s="76"/>
      <c r="M41" s="76">
        <f>Таблица2133990294[[#This Row],[113]]*Таблица2133990294[[#This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Таблица2133990294[[#This Row],[ ]]</f>
        <v>36</v>
      </c>
      <c r="G42" s="69"/>
      <c r="H42" s="78"/>
      <c r="I42" s="78"/>
      <c r="J42" s="78"/>
      <c r="K42" s="79"/>
      <c r="L42" s="76"/>
      <c r="M42" s="76">
        <f>Таблица2133990294[[#This Row],[113]]*Таблица2133990294[[#This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Таблица2133990294[[#This Row],[ ]]</f>
        <v>37</v>
      </c>
      <c r="G43" s="69"/>
      <c r="H43" s="78"/>
      <c r="I43" s="78"/>
      <c r="J43" s="78"/>
      <c r="K43" s="79"/>
      <c r="L43" s="76"/>
      <c r="M43" s="76">
        <f>Таблица2133990294[[#This Row],[113]]*Таблица2133990294[[#This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Таблица2133990294[[#This Row],[ ]]</f>
        <v>38</v>
      </c>
      <c r="G44" s="69"/>
      <c r="H44" s="78"/>
      <c r="I44" s="78"/>
      <c r="J44" s="78"/>
      <c r="K44" s="79"/>
      <c r="L44" s="76"/>
      <c r="M44" s="76">
        <f>Таблица2133990294[[#This Row],[113]]*Таблица2133990294[[#This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Таблица2133990294[[#This Row],[ ]]</f>
        <v>39</v>
      </c>
      <c r="G45" s="69"/>
      <c r="H45" s="78"/>
      <c r="I45" s="78"/>
      <c r="J45" s="78"/>
      <c r="K45" s="79"/>
      <c r="L45" s="76"/>
      <c r="M45" s="76">
        <f>Таблица2133990294[[#This Row],[113]]*Таблица2133990294[[#This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Таблица2133990294[[#This Row],[ ]]</f>
        <v>40</v>
      </c>
      <c r="G46" s="69"/>
      <c r="H46" s="78"/>
      <c r="I46" s="78"/>
      <c r="J46" s="78"/>
      <c r="K46" s="79"/>
      <c r="L46" s="76"/>
      <c r="M46" s="76">
        <f>Таблица2133990294[[#This Row],[113]]*Таблица2133990294[[#This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Таблица2133990294[[#This Row],[ ]]</f>
        <v>41</v>
      </c>
      <c r="G47" s="69"/>
      <c r="H47" s="78"/>
      <c r="I47" s="78"/>
      <c r="J47" s="78"/>
      <c r="K47" s="79"/>
      <c r="L47" s="76"/>
      <c r="M47" s="76">
        <f>Таблица2133990294[[#This Row],[113]]*Таблица2133990294[[#This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Таблица2133990294[[#This Row],[ ]]</f>
        <v>42</v>
      </c>
      <c r="G48" s="69"/>
      <c r="H48" s="78"/>
      <c r="I48" s="78"/>
      <c r="J48" s="78"/>
      <c r="K48" s="79"/>
      <c r="L48" s="76"/>
      <c r="M48" s="76">
        <f>Таблица2133990294[[#This Row],[113]]*Таблица2133990294[[#This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Таблица2133990294[[#This Row],[ ]]</f>
        <v>43</v>
      </c>
      <c r="G49" s="69"/>
      <c r="H49" s="78"/>
      <c r="I49" s="78"/>
      <c r="J49" s="78"/>
      <c r="K49" s="79"/>
      <c r="L49" s="76"/>
      <c r="M49" s="76">
        <f>Таблица2133990294[[#This Row],[113]]*Таблица2133990294[[#This Row],[15]]</f>
        <v>0</v>
      </c>
    </row>
    <row r="50" spans="1:13" x14ac:dyDescent="0.2">
      <c r="A50" s="82"/>
      <c r="B50" s="45"/>
      <c r="C50" s="76">
        <f>SUBTOTAL(109,Таблица2133990294[2])</f>
        <v>121824000</v>
      </c>
      <c r="D50" s="76"/>
      <c r="E50" s="84"/>
      <c r="F50" s="83"/>
      <c r="G50" s="85"/>
      <c r="H50" s="86"/>
      <c r="I50" s="86"/>
      <c r="J50" s="86"/>
      <c r="K50" s="86">
        <f>SUBTOTAL(109,Таблица2133990294[1132])</f>
        <v>94</v>
      </c>
      <c r="L50" s="88"/>
      <c r="M50" s="88">
        <f>SUBTOTAL(109,Таблица2133990294[16])</f>
        <v>121824000</v>
      </c>
    </row>
  </sheetData>
  <mergeCells count="14">
    <mergeCell ref="H3:H5"/>
    <mergeCell ref="I3:I5"/>
    <mergeCell ref="J3:J5"/>
    <mergeCell ref="L3:L5"/>
    <mergeCell ref="M3:M4"/>
    <mergeCell ref="K3:K4"/>
    <mergeCell ref="A2:B2"/>
    <mergeCell ref="C2:D2"/>
    <mergeCell ref="F2:G2"/>
    <mergeCell ref="A3:A5"/>
    <mergeCell ref="B3:B5"/>
    <mergeCell ref="F3:F5"/>
    <mergeCell ref="G3:G5"/>
    <mergeCell ref="E3:E4"/>
  </mergeCells>
  <phoneticPr fontId="2" type="noConversion"/>
  <hyperlinks>
    <hyperlink ref="D1" location="'Свод Завод'!A1" display="1-Индира Расулбек" xr:uid="{125FC9F8-57A9-4E3F-AC8A-35E4C03B6249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0608-B1E7-4C23-853C-2A9FCFF619A7}">
  <dimension ref="A1:M50"/>
  <sheetViews>
    <sheetView zoomScale="145" zoomScaleNormal="145" workbookViewId="0">
      <selection activeCell="C10" sqref="C10"/>
    </sheetView>
  </sheetViews>
  <sheetFormatPr defaultRowHeight="14.25" x14ac:dyDescent="0.2"/>
  <cols>
    <col min="1" max="1" width="6.5703125" style="1" bestFit="1" customWidth="1"/>
    <col min="2" max="2" width="11.7109375" style="1" bestFit="1" customWidth="1"/>
    <col min="3" max="3" width="14.1406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4.1406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0"/>
      <c r="B1" s="91"/>
      <c r="C1" s="92" t="s">
        <v>26</v>
      </c>
      <c r="D1" s="93" t="s">
        <v>173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60"/>
      <c r="F2" s="237">
        <f>Таблица213399029414[[#Totals],[2]]+-Таблица213399029414[[#Totals],[16]]</f>
        <v>86082400</v>
      </c>
      <c r="G2" s="238"/>
    </row>
    <row r="3" spans="1:13" ht="15" customHeight="1" x14ac:dyDescent="0.2">
      <c r="A3" s="228" t="s">
        <v>27</v>
      </c>
      <c r="B3" s="228" t="s">
        <v>9</v>
      </c>
      <c r="C3" s="161" t="s">
        <v>19</v>
      </c>
      <c r="D3" s="161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Таблица213399029414[[#Totals],[2]]</f>
        <v>86082400</v>
      </c>
      <c r="D5" s="64"/>
      <c r="E5" s="106">
        <f>SUM(Таблица213399029414[4])</f>
        <v>0</v>
      </c>
      <c r="F5" s="233"/>
      <c r="G5" s="233"/>
      <c r="H5" s="233"/>
      <c r="I5" s="224"/>
      <c r="J5" s="224"/>
      <c r="K5" s="65">
        <f>Таблица213399029414[[#Totals],[1132]]</f>
        <v>0</v>
      </c>
      <c r="L5" s="233"/>
      <c r="M5" s="162">
        <f>Таблица213399029414[[#Totals],[16]]</f>
        <v>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46209</v>
      </c>
      <c r="C7" s="70">
        <v>20982400</v>
      </c>
      <c r="D7" s="18" t="s">
        <v>169</v>
      </c>
      <c r="E7" s="76"/>
      <c r="F7" s="71">
        <f>Таблица213399029414[[#This Row],[ ]]</f>
        <v>1</v>
      </c>
      <c r="G7" s="18"/>
      <c r="H7" s="72"/>
      <c r="I7" s="73"/>
      <c r="J7" s="74"/>
      <c r="K7" s="75"/>
      <c r="L7" s="79"/>
      <c r="M7" s="76">
        <f>Таблица213399029414[[#This Row],[113]]*Таблица213399029414[[#This Row],[15]]</f>
        <v>0</v>
      </c>
    </row>
    <row r="8" spans="1:13" x14ac:dyDescent="0.2">
      <c r="A8" s="68">
        <v>2</v>
      </c>
      <c r="B8" s="77">
        <v>46209</v>
      </c>
      <c r="C8" s="76">
        <v>2100000</v>
      </c>
      <c r="D8" s="18" t="s">
        <v>180</v>
      </c>
      <c r="E8" s="76"/>
      <c r="F8" s="71">
        <f>Таблица213399029414[[#This Row],[ ]]</f>
        <v>2</v>
      </c>
      <c r="G8" s="69"/>
      <c r="H8" s="78"/>
      <c r="I8" s="78"/>
      <c r="J8" s="78"/>
      <c r="K8" s="76"/>
      <c r="L8" s="79"/>
      <c r="M8" s="76">
        <f>Таблица213399029414[[#This Row],[113]]*Таблица213399029414[[#This Row],[15]]</f>
        <v>0</v>
      </c>
    </row>
    <row r="9" spans="1:13" x14ac:dyDescent="0.2">
      <c r="A9" s="68">
        <v>3</v>
      </c>
      <c r="B9" s="77">
        <v>46211</v>
      </c>
      <c r="C9" s="76">
        <v>63000000</v>
      </c>
      <c r="D9" s="18" t="s">
        <v>169</v>
      </c>
      <c r="E9" s="76"/>
      <c r="F9" s="71">
        <f>Таблица213399029414[[#This Row],[ ]]</f>
        <v>3</v>
      </c>
      <c r="G9" s="69"/>
      <c r="H9" s="78"/>
      <c r="I9" s="78"/>
      <c r="J9" s="78"/>
      <c r="K9" s="76"/>
      <c r="L9" s="79"/>
      <c r="M9" s="76">
        <f>Таблица213399029414[[#This Row],[113]]*Таблица213399029414[[#This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Таблица213399029414[[#This Row],[ ]]</f>
        <v>4</v>
      </c>
      <c r="G10" s="69"/>
      <c r="H10" s="78"/>
      <c r="I10" s="78"/>
      <c r="J10" s="78"/>
      <c r="K10" s="76"/>
      <c r="L10" s="79"/>
      <c r="M10" s="76">
        <f>Таблица213399029414[[#This Row],[113]]*Таблица213399029414[[#This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Таблица213399029414[[#This Row],[ ]]</f>
        <v>5</v>
      </c>
      <c r="G11" s="69"/>
      <c r="H11" s="78"/>
      <c r="I11" s="78"/>
      <c r="J11" s="78"/>
      <c r="K11" s="76"/>
      <c r="L11" s="79"/>
      <c r="M11" s="76">
        <f>Таблица213399029414[[#This Row],[113]]*Таблица213399029414[[#This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Таблица213399029414[[#This Row],[ ]]</f>
        <v>6</v>
      </c>
      <c r="G12" s="69"/>
      <c r="H12" s="78"/>
      <c r="I12" s="78"/>
      <c r="J12" s="78"/>
      <c r="K12" s="76"/>
      <c r="L12" s="79"/>
      <c r="M12" s="76">
        <f>Таблица213399029414[[#This Row],[113]]*Таблица213399029414[[#This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Таблица213399029414[[#This Row],[ ]]</f>
        <v>7</v>
      </c>
      <c r="G13" s="69"/>
      <c r="H13" s="78"/>
      <c r="I13" s="78"/>
      <c r="J13" s="78"/>
      <c r="K13" s="79"/>
      <c r="L13" s="76"/>
      <c r="M13" s="76">
        <f>Таблица213399029414[[#This Row],[113]]*Таблица213399029414[[#This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Таблица213399029414[[#This Row],[ ]]</f>
        <v>8</v>
      </c>
      <c r="G14" s="69"/>
      <c r="H14" s="78"/>
      <c r="I14" s="78"/>
      <c r="J14" s="78"/>
      <c r="K14" s="79"/>
      <c r="L14" s="76"/>
      <c r="M14" s="76">
        <f>Таблица213399029414[[#This Row],[113]]*Таблица213399029414[[#This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Таблица213399029414[[#This Row],[ ]]</f>
        <v>9</v>
      </c>
      <c r="G15" s="69"/>
      <c r="H15" s="78"/>
      <c r="I15" s="78"/>
      <c r="J15" s="78"/>
      <c r="K15" s="79"/>
      <c r="L15" s="76"/>
      <c r="M15" s="76">
        <f>Таблица213399029414[[#This Row],[113]]*Таблица213399029414[[#This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Таблица213399029414[[#This Row],[ ]]</f>
        <v>10</v>
      </c>
      <c r="G16" s="69"/>
      <c r="H16" s="78"/>
      <c r="I16" s="78"/>
      <c r="J16" s="78"/>
      <c r="K16" s="79"/>
      <c r="L16" s="76"/>
      <c r="M16" s="76">
        <f>Таблица213399029414[[#This Row],[113]]*Таблица213399029414[[#This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Таблица213399029414[[#This Row],[ ]]</f>
        <v>11</v>
      </c>
      <c r="G17" s="69"/>
      <c r="H17" s="78"/>
      <c r="I17" s="78"/>
      <c r="J17" s="78"/>
      <c r="K17" s="79"/>
      <c r="L17" s="76"/>
      <c r="M17" s="76">
        <f>Таблица213399029414[[#This Row],[113]]*Таблица213399029414[[#This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Таблица213399029414[[#This Row],[ ]]</f>
        <v>12</v>
      </c>
      <c r="G18" s="69"/>
      <c r="H18" s="78"/>
      <c r="I18" s="78"/>
      <c r="J18" s="78"/>
      <c r="K18" s="79"/>
      <c r="L18" s="76"/>
      <c r="M18" s="76">
        <f>Таблица213399029414[[#This Row],[113]]*Таблица213399029414[[#This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Таблица213399029414[[#This Row],[ ]]</f>
        <v>13</v>
      </c>
      <c r="G19" s="69"/>
      <c r="H19" s="78"/>
      <c r="I19" s="78"/>
      <c r="J19" s="78"/>
      <c r="K19" s="79"/>
      <c r="L19" s="76"/>
      <c r="M19" s="76">
        <f>Таблица213399029414[[#This Row],[113]]*Таблица213399029414[[#This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Таблица213399029414[[#This Row],[ ]]</f>
        <v>14</v>
      </c>
      <c r="G20" s="69"/>
      <c r="H20" s="78"/>
      <c r="I20" s="78"/>
      <c r="J20" s="78"/>
      <c r="K20" s="79"/>
      <c r="L20" s="76"/>
      <c r="M20" s="76">
        <f>Таблица213399029414[[#This Row],[113]]*Таблица213399029414[[#This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Таблица213399029414[[#This Row],[ ]]</f>
        <v>15</v>
      </c>
      <c r="G21" s="69"/>
      <c r="H21" s="78"/>
      <c r="I21" s="78"/>
      <c r="J21" s="78"/>
      <c r="K21" s="79"/>
      <c r="L21" s="76"/>
      <c r="M21" s="76">
        <f>Таблица213399029414[[#This Row],[113]]*Таблица213399029414[[#This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Таблица213399029414[[#This Row],[ ]]</f>
        <v>16</v>
      </c>
      <c r="G22" s="69"/>
      <c r="H22" s="78"/>
      <c r="I22" s="78"/>
      <c r="J22" s="78"/>
      <c r="K22" s="79"/>
      <c r="L22" s="76"/>
      <c r="M22" s="76">
        <f>Таблица213399029414[[#This Row],[113]]*Таблица213399029414[[#This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Таблица213399029414[[#This Row],[ ]]</f>
        <v>17</v>
      </c>
      <c r="G23" s="69"/>
      <c r="H23" s="78"/>
      <c r="I23" s="78"/>
      <c r="J23" s="78"/>
      <c r="K23" s="79"/>
      <c r="L23" s="76"/>
      <c r="M23" s="76">
        <f>Таблица213399029414[[#This Row],[113]]*Таблица213399029414[[#This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Таблица213399029414[[#This Row],[ ]]</f>
        <v>18</v>
      </c>
      <c r="G24" s="69"/>
      <c r="H24" s="78"/>
      <c r="I24" s="78"/>
      <c r="J24" s="78"/>
      <c r="K24" s="79"/>
      <c r="L24" s="76"/>
      <c r="M24" s="76">
        <f>Таблица213399029414[[#This Row],[113]]*Таблица213399029414[[#This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Таблица213399029414[[#This Row],[ ]]</f>
        <v>19</v>
      </c>
      <c r="G25" s="69"/>
      <c r="H25" s="78"/>
      <c r="I25" s="78"/>
      <c r="J25" s="78"/>
      <c r="K25" s="79"/>
      <c r="L25" s="76"/>
      <c r="M25" s="76">
        <f>Таблица213399029414[[#This Row],[113]]*Таблица213399029414[[#This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Таблица213399029414[[#This Row],[ ]]</f>
        <v>20</v>
      </c>
      <c r="G26" s="69"/>
      <c r="H26" s="78"/>
      <c r="I26" s="78"/>
      <c r="J26" s="78"/>
      <c r="K26" s="79"/>
      <c r="L26" s="76"/>
      <c r="M26" s="76">
        <f>Таблица213399029414[[#This Row],[113]]*Таблица213399029414[[#This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Таблица213399029414[[#This Row],[ ]]</f>
        <v>21</v>
      </c>
      <c r="G27" s="69"/>
      <c r="H27" s="78"/>
      <c r="I27" s="78"/>
      <c r="J27" s="78"/>
      <c r="K27" s="79"/>
      <c r="L27" s="76"/>
      <c r="M27" s="76">
        <f>Таблица213399029414[[#This Row],[113]]*Таблица213399029414[[#This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Таблица213399029414[[#This Row],[ ]]</f>
        <v>22</v>
      </c>
      <c r="G28" s="69"/>
      <c r="H28" s="78"/>
      <c r="I28" s="78"/>
      <c r="J28" s="78"/>
      <c r="K28" s="79"/>
      <c r="L28" s="76"/>
      <c r="M28" s="76">
        <f>Таблица213399029414[[#This Row],[113]]*Таблица213399029414[[#This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Таблица213399029414[[#This Row],[ ]]</f>
        <v>23</v>
      </c>
      <c r="G29" s="69"/>
      <c r="H29" s="78"/>
      <c r="I29" s="78"/>
      <c r="J29" s="78"/>
      <c r="K29" s="79"/>
      <c r="L29" s="76"/>
      <c r="M29" s="76">
        <f>Таблица213399029414[[#This Row],[113]]*Таблица213399029414[[#This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Таблица213399029414[[#This Row],[ ]]</f>
        <v>24</v>
      </c>
      <c r="G30" s="69"/>
      <c r="H30" s="78"/>
      <c r="I30" s="78"/>
      <c r="J30" s="78"/>
      <c r="K30" s="79"/>
      <c r="L30" s="76"/>
      <c r="M30" s="76">
        <f>Таблица213399029414[[#This Row],[113]]*Таблица213399029414[[#This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Таблица213399029414[[#This Row],[ ]]</f>
        <v>25</v>
      </c>
      <c r="G31" s="69"/>
      <c r="H31" s="78"/>
      <c r="I31" s="78"/>
      <c r="J31" s="78"/>
      <c r="K31" s="79"/>
      <c r="L31" s="76"/>
      <c r="M31" s="76">
        <f>Таблица213399029414[[#This Row],[113]]*Таблица213399029414[[#This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Таблица213399029414[[#This Row],[ ]]</f>
        <v>26</v>
      </c>
      <c r="G32" s="69"/>
      <c r="H32" s="78"/>
      <c r="I32" s="78"/>
      <c r="J32" s="78"/>
      <c r="K32" s="79"/>
      <c r="L32" s="76"/>
      <c r="M32" s="76">
        <f>Таблица213399029414[[#This Row],[113]]*Таблица213399029414[[#This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Таблица213399029414[[#This Row],[ ]]</f>
        <v>27</v>
      </c>
      <c r="G33" s="69"/>
      <c r="H33" s="78"/>
      <c r="I33" s="78"/>
      <c r="J33" s="78"/>
      <c r="K33" s="79"/>
      <c r="L33" s="76"/>
      <c r="M33" s="76">
        <f>Таблица213399029414[[#This Row],[113]]*Таблица213399029414[[#This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Таблица213399029414[[#This Row],[ ]]</f>
        <v>28</v>
      </c>
      <c r="G34" s="69"/>
      <c r="H34" s="78"/>
      <c r="I34" s="78"/>
      <c r="J34" s="78"/>
      <c r="K34" s="79"/>
      <c r="L34" s="76"/>
      <c r="M34" s="76">
        <f>Таблица213399029414[[#This Row],[113]]*Таблица213399029414[[#This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Таблица213399029414[[#This Row],[ ]]</f>
        <v>29</v>
      </c>
      <c r="G35" s="69"/>
      <c r="H35" s="78"/>
      <c r="I35" s="78"/>
      <c r="J35" s="78"/>
      <c r="K35" s="79"/>
      <c r="L35" s="76"/>
      <c r="M35" s="76">
        <f>Таблица213399029414[[#This Row],[113]]*Таблица213399029414[[#This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Таблица213399029414[[#This Row],[ ]]</f>
        <v>30</v>
      </c>
      <c r="G36" s="69"/>
      <c r="H36" s="78"/>
      <c r="I36" s="78"/>
      <c r="J36" s="78"/>
      <c r="K36" s="79"/>
      <c r="L36" s="76"/>
      <c r="M36" s="76">
        <f>Таблица213399029414[[#This Row],[113]]*Таблица213399029414[[#This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Таблица213399029414[[#This Row],[ ]]</f>
        <v>31</v>
      </c>
      <c r="G37" s="69"/>
      <c r="H37" s="78"/>
      <c r="I37" s="78"/>
      <c r="J37" s="78"/>
      <c r="K37" s="79"/>
      <c r="L37" s="76"/>
      <c r="M37" s="76">
        <f>Таблица213399029414[[#This Row],[113]]*Таблица213399029414[[#This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Таблица213399029414[[#This Row],[ ]]</f>
        <v>32</v>
      </c>
      <c r="G38" s="69"/>
      <c r="H38" s="78"/>
      <c r="I38" s="78"/>
      <c r="J38" s="78"/>
      <c r="K38" s="79"/>
      <c r="L38" s="76"/>
      <c r="M38" s="76">
        <f>Таблица213399029414[[#This Row],[113]]*Таблица213399029414[[#This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Таблица213399029414[[#This Row],[ ]]</f>
        <v>33</v>
      </c>
      <c r="G39" s="69"/>
      <c r="H39" s="78"/>
      <c r="I39" s="78"/>
      <c r="J39" s="78"/>
      <c r="K39" s="79"/>
      <c r="L39" s="76"/>
      <c r="M39" s="76">
        <f>Таблица213399029414[[#This Row],[113]]*Таблица213399029414[[#This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Таблица213399029414[[#This Row],[ ]]</f>
        <v>34</v>
      </c>
      <c r="G40" s="69"/>
      <c r="H40" s="78"/>
      <c r="I40" s="78"/>
      <c r="J40" s="78"/>
      <c r="K40" s="79"/>
      <c r="L40" s="76"/>
      <c r="M40" s="76">
        <f>Таблица213399029414[[#This Row],[113]]*Таблица213399029414[[#This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Таблица213399029414[[#This Row],[ ]]</f>
        <v>35</v>
      </c>
      <c r="G41" s="69"/>
      <c r="H41" s="78"/>
      <c r="I41" s="78"/>
      <c r="J41" s="78"/>
      <c r="K41" s="79"/>
      <c r="L41" s="76"/>
      <c r="M41" s="76">
        <f>Таблица213399029414[[#This Row],[113]]*Таблица213399029414[[#This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Таблица213399029414[[#This Row],[ ]]</f>
        <v>36</v>
      </c>
      <c r="G42" s="69"/>
      <c r="H42" s="78"/>
      <c r="I42" s="78"/>
      <c r="J42" s="78"/>
      <c r="K42" s="79"/>
      <c r="L42" s="76"/>
      <c r="M42" s="76">
        <f>Таблица213399029414[[#This Row],[113]]*Таблица213399029414[[#This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Таблица213399029414[[#This Row],[ ]]</f>
        <v>37</v>
      </c>
      <c r="G43" s="69"/>
      <c r="H43" s="78"/>
      <c r="I43" s="78"/>
      <c r="J43" s="78"/>
      <c r="K43" s="79"/>
      <c r="L43" s="76"/>
      <c r="M43" s="76">
        <f>Таблица213399029414[[#This Row],[113]]*Таблица213399029414[[#This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Таблица213399029414[[#This Row],[ ]]</f>
        <v>38</v>
      </c>
      <c r="G44" s="69"/>
      <c r="H44" s="78"/>
      <c r="I44" s="78"/>
      <c r="J44" s="78"/>
      <c r="K44" s="79"/>
      <c r="L44" s="76"/>
      <c r="M44" s="76">
        <f>Таблица213399029414[[#This Row],[113]]*Таблица213399029414[[#This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Таблица213399029414[[#This Row],[ ]]</f>
        <v>39</v>
      </c>
      <c r="G45" s="69"/>
      <c r="H45" s="78"/>
      <c r="I45" s="78"/>
      <c r="J45" s="78"/>
      <c r="K45" s="79"/>
      <c r="L45" s="76"/>
      <c r="M45" s="76">
        <f>Таблица213399029414[[#This Row],[113]]*Таблица213399029414[[#This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Таблица213399029414[[#This Row],[ ]]</f>
        <v>40</v>
      </c>
      <c r="G46" s="69"/>
      <c r="H46" s="78"/>
      <c r="I46" s="78"/>
      <c r="J46" s="78"/>
      <c r="K46" s="79"/>
      <c r="L46" s="76"/>
      <c r="M46" s="76">
        <f>Таблица213399029414[[#This Row],[113]]*Таблица213399029414[[#This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Таблица213399029414[[#This Row],[ ]]</f>
        <v>41</v>
      </c>
      <c r="G47" s="69"/>
      <c r="H47" s="78"/>
      <c r="I47" s="78"/>
      <c r="J47" s="78"/>
      <c r="K47" s="79"/>
      <c r="L47" s="76"/>
      <c r="M47" s="76">
        <f>Таблица213399029414[[#This Row],[113]]*Таблица213399029414[[#This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Таблица213399029414[[#This Row],[ ]]</f>
        <v>42</v>
      </c>
      <c r="G48" s="69"/>
      <c r="H48" s="78"/>
      <c r="I48" s="78"/>
      <c r="J48" s="78"/>
      <c r="K48" s="79"/>
      <c r="L48" s="76"/>
      <c r="M48" s="76">
        <f>Таблица213399029414[[#This Row],[113]]*Таблица213399029414[[#This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Таблица213399029414[[#This Row],[ ]]</f>
        <v>43</v>
      </c>
      <c r="G49" s="69"/>
      <c r="H49" s="78"/>
      <c r="I49" s="78"/>
      <c r="J49" s="78"/>
      <c r="K49" s="79"/>
      <c r="L49" s="76"/>
      <c r="M49" s="76">
        <f>Таблица213399029414[[#This Row],[113]]*Таблица213399029414[[#This Row],[15]]</f>
        <v>0</v>
      </c>
    </row>
    <row r="50" spans="1:13" x14ac:dyDescent="0.2">
      <c r="A50" s="82"/>
      <c r="B50" s="45"/>
      <c r="C50" s="76">
        <f>SUBTOTAL(109,Таблица213399029414[2])</f>
        <v>86082400</v>
      </c>
      <c r="D50" s="76"/>
      <c r="E50" s="84"/>
      <c r="F50" s="83"/>
      <c r="G50" s="85"/>
      <c r="H50" s="86"/>
      <c r="I50" s="86"/>
      <c r="J50" s="86"/>
      <c r="K50" s="86">
        <f>SUBTOTAL(109,Таблица213399029414[1132])</f>
        <v>0</v>
      </c>
      <c r="L50" s="88"/>
      <c r="M50" s="88">
        <f>SUBTOTAL(109,Таблица213399029414[16])</f>
        <v>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hyperlinks>
    <hyperlink ref="D1" location="'Свод Завод'!A1" display="1-Индира Расулбек" xr:uid="{229ADD2D-E5A3-4038-B811-65AD9EF553A3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4FA1-5D65-45B0-8591-202B989B3074}">
  <dimension ref="A1:M50"/>
  <sheetViews>
    <sheetView zoomScale="145" zoomScaleNormal="145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1.7109375" style="1" bestFit="1" customWidth="1"/>
    <col min="3" max="3" width="14.140625" style="1" bestFit="1" customWidth="1"/>
    <col min="4" max="4" width="28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7.7109375" style="1" bestFit="1" customWidth="1"/>
    <col min="11" max="11" width="11.28515625" style="1" bestFit="1" customWidth="1"/>
    <col min="12" max="12" width="10.42578125" style="1" bestFit="1" customWidth="1"/>
    <col min="13" max="13" width="14.1406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x14ac:dyDescent="0.25">
      <c r="A1" s="90"/>
      <c r="B1" s="91"/>
      <c r="C1" s="92" t="s">
        <v>26</v>
      </c>
      <c r="D1" s="93" t="s">
        <v>173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75"/>
      <c r="F2" s="237">
        <f>Таблица21339902941420[[#Totals],[2]]+-Таблица21339902941420[[#Totals],[16]]</f>
        <v>-782400</v>
      </c>
      <c r="G2" s="238"/>
    </row>
    <row r="3" spans="1:13" ht="15" customHeight="1" x14ac:dyDescent="0.2">
      <c r="A3" s="228" t="s">
        <v>27</v>
      </c>
      <c r="B3" s="228" t="s">
        <v>9</v>
      </c>
      <c r="C3" s="176" t="s">
        <v>19</v>
      </c>
      <c r="D3" s="176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Таблица21339902941420[[#Totals],[2]]</f>
        <v>22200000</v>
      </c>
      <c r="D5" s="64"/>
      <c r="E5" s="106">
        <f>SUM(Таблица21339902941420[4])</f>
        <v>0</v>
      </c>
      <c r="F5" s="233"/>
      <c r="G5" s="233"/>
      <c r="H5" s="233"/>
      <c r="I5" s="224"/>
      <c r="J5" s="224"/>
      <c r="K5" s="65">
        <f>Таблица21339902941420[[#Totals],[1132]]</f>
        <v>19</v>
      </c>
      <c r="L5" s="233"/>
      <c r="M5" s="177">
        <f>Таблица21339902941420[[#Totals],[16]]</f>
        <v>22982400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46212</v>
      </c>
      <c r="C7" s="70">
        <v>22200000</v>
      </c>
      <c r="D7" s="18" t="s">
        <v>161</v>
      </c>
      <c r="E7" s="76"/>
      <c r="F7" s="71">
        <f>Таблица21339902941420[[#This Row],[ ]]</f>
        <v>1</v>
      </c>
      <c r="G7" s="18">
        <v>46212</v>
      </c>
      <c r="H7" s="72" t="s">
        <v>211</v>
      </c>
      <c r="I7" s="73" t="s">
        <v>213</v>
      </c>
      <c r="J7" s="74">
        <v>32.832000000000001</v>
      </c>
      <c r="K7" s="75">
        <v>19</v>
      </c>
      <c r="L7" s="79">
        <v>700000</v>
      </c>
      <c r="M7" s="76">
        <f>Таблица21339902941420[[#This Row],[113]]*Таблица21339902941420[[#This Row],[15]]</f>
        <v>22982400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Таблица21339902941420[[#This Row],[ ]]</f>
        <v>2</v>
      </c>
      <c r="G8" s="69"/>
      <c r="H8" s="78"/>
      <c r="I8" s="78"/>
      <c r="J8" s="78"/>
      <c r="K8" s="76"/>
      <c r="L8" s="79"/>
      <c r="M8" s="76">
        <f>Таблица21339902941420[[#This Row],[113]]*Таблица21339902941420[[#This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Таблица21339902941420[[#This Row],[ ]]</f>
        <v>3</v>
      </c>
      <c r="G9" s="69"/>
      <c r="H9" s="78"/>
      <c r="I9" s="78"/>
      <c r="J9" s="78"/>
      <c r="K9" s="76"/>
      <c r="L9" s="79"/>
      <c r="M9" s="76">
        <f>Таблица21339902941420[[#This Row],[113]]*Таблица21339902941420[[#This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Таблица21339902941420[[#This Row],[ ]]</f>
        <v>4</v>
      </c>
      <c r="G10" s="69"/>
      <c r="H10" s="78"/>
      <c r="I10" s="78"/>
      <c r="J10" s="78"/>
      <c r="K10" s="76"/>
      <c r="L10" s="79"/>
      <c r="M10" s="76">
        <f>Таблица21339902941420[[#This Row],[113]]*Таблица21339902941420[[#This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Таблица21339902941420[[#This Row],[ ]]</f>
        <v>5</v>
      </c>
      <c r="G11" s="69"/>
      <c r="H11" s="78"/>
      <c r="I11" s="78"/>
      <c r="J11" s="78"/>
      <c r="K11" s="76"/>
      <c r="L11" s="79"/>
      <c r="M11" s="76">
        <f>Таблица21339902941420[[#This Row],[113]]*Таблица21339902941420[[#This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Таблица21339902941420[[#This Row],[ ]]</f>
        <v>6</v>
      </c>
      <c r="G12" s="69"/>
      <c r="H12" s="78"/>
      <c r="I12" s="78"/>
      <c r="J12" s="78"/>
      <c r="K12" s="76"/>
      <c r="L12" s="79"/>
      <c r="M12" s="76">
        <f>Таблица21339902941420[[#This Row],[113]]*Таблица21339902941420[[#This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Таблица21339902941420[[#This Row],[ ]]</f>
        <v>7</v>
      </c>
      <c r="G13" s="69"/>
      <c r="H13" s="78"/>
      <c r="I13" s="78"/>
      <c r="J13" s="78"/>
      <c r="K13" s="79"/>
      <c r="L13" s="76"/>
      <c r="M13" s="76">
        <f>Таблица21339902941420[[#This Row],[113]]*Таблица21339902941420[[#This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Таблица21339902941420[[#This Row],[ ]]</f>
        <v>8</v>
      </c>
      <c r="G14" s="69"/>
      <c r="H14" s="78"/>
      <c r="I14" s="78"/>
      <c r="J14" s="78"/>
      <c r="K14" s="79"/>
      <c r="L14" s="76"/>
      <c r="M14" s="76">
        <f>Таблица21339902941420[[#This Row],[113]]*Таблица21339902941420[[#This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Таблица21339902941420[[#This Row],[ ]]</f>
        <v>9</v>
      </c>
      <c r="G15" s="69"/>
      <c r="H15" s="78"/>
      <c r="I15" s="78"/>
      <c r="J15" s="78"/>
      <c r="K15" s="79"/>
      <c r="L15" s="76"/>
      <c r="M15" s="76">
        <f>Таблица21339902941420[[#This Row],[113]]*Таблица21339902941420[[#This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Таблица21339902941420[[#This Row],[ ]]</f>
        <v>10</v>
      </c>
      <c r="G16" s="69"/>
      <c r="H16" s="78"/>
      <c r="I16" s="78"/>
      <c r="J16" s="78"/>
      <c r="K16" s="79"/>
      <c r="L16" s="76"/>
      <c r="M16" s="76">
        <f>Таблица21339902941420[[#This Row],[113]]*Таблица21339902941420[[#This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Таблица21339902941420[[#This Row],[ ]]</f>
        <v>11</v>
      </c>
      <c r="G17" s="69"/>
      <c r="H17" s="78"/>
      <c r="I17" s="78"/>
      <c r="J17" s="78"/>
      <c r="K17" s="79"/>
      <c r="L17" s="76"/>
      <c r="M17" s="76">
        <f>Таблица21339902941420[[#This Row],[113]]*Таблица21339902941420[[#This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Таблица21339902941420[[#This Row],[ ]]</f>
        <v>12</v>
      </c>
      <c r="G18" s="69"/>
      <c r="H18" s="78"/>
      <c r="I18" s="78"/>
      <c r="J18" s="78"/>
      <c r="K18" s="79"/>
      <c r="L18" s="76"/>
      <c r="M18" s="76">
        <f>Таблица21339902941420[[#This Row],[113]]*Таблица21339902941420[[#This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Таблица21339902941420[[#This Row],[ ]]</f>
        <v>13</v>
      </c>
      <c r="G19" s="69"/>
      <c r="H19" s="78"/>
      <c r="I19" s="78"/>
      <c r="J19" s="78"/>
      <c r="K19" s="79"/>
      <c r="L19" s="76"/>
      <c r="M19" s="76">
        <f>Таблица21339902941420[[#This Row],[113]]*Таблица21339902941420[[#This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Таблица21339902941420[[#This Row],[ ]]</f>
        <v>14</v>
      </c>
      <c r="G20" s="69"/>
      <c r="H20" s="78"/>
      <c r="I20" s="78"/>
      <c r="J20" s="78"/>
      <c r="K20" s="79"/>
      <c r="L20" s="76"/>
      <c r="M20" s="76">
        <f>Таблица21339902941420[[#This Row],[113]]*Таблица21339902941420[[#This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Таблица21339902941420[[#This Row],[ ]]</f>
        <v>15</v>
      </c>
      <c r="G21" s="69"/>
      <c r="H21" s="78"/>
      <c r="I21" s="78"/>
      <c r="J21" s="78"/>
      <c r="K21" s="79"/>
      <c r="L21" s="76"/>
      <c r="M21" s="76">
        <f>Таблица21339902941420[[#This Row],[113]]*Таблица21339902941420[[#This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Таблица21339902941420[[#This Row],[ ]]</f>
        <v>16</v>
      </c>
      <c r="G22" s="69"/>
      <c r="H22" s="78"/>
      <c r="I22" s="78"/>
      <c r="J22" s="78"/>
      <c r="K22" s="79"/>
      <c r="L22" s="76"/>
      <c r="M22" s="76">
        <f>Таблица21339902941420[[#This Row],[113]]*Таблица21339902941420[[#This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Таблица21339902941420[[#This Row],[ ]]</f>
        <v>17</v>
      </c>
      <c r="G23" s="69"/>
      <c r="H23" s="78"/>
      <c r="I23" s="78"/>
      <c r="J23" s="78"/>
      <c r="K23" s="79"/>
      <c r="L23" s="76"/>
      <c r="M23" s="76">
        <f>Таблица21339902941420[[#This Row],[113]]*Таблица21339902941420[[#This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Таблица21339902941420[[#This Row],[ ]]</f>
        <v>18</v>
      </c>
      <c r="G24" s="69"/>
      <c r="H24" s="78"/>
      <c r="I24" s="78"/>
      <c r="J24" s="78"/>
      <c r="K24" s="79"/>
      <c r="L24" s="76"/>
      <c r="M24" s="76">
        <f>Таблица21339902941420[[#This Row],[113]]*Таблица21339902941420[[#This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Таблица21339902941420[[#This Row],[ ]]</f>
        <v>19</v>
      </c>
      <c r="G25" s="69"/>
      <c r="H25" s="78"/>
      <c r="I25" s="78"/>
      <c r="J25" s="78"/>
      <c r="K25" s="79"/>
      <c r="L25" s="76"/>
      <c r="M25" s="76">
        <f>Таблица21339902941420[[#This Row],[113]]*Таблица21339902941420[[#This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Таблица21339902941420[[#This Row],[ ]]</f>
        <v>20</v>
      </c>
      <c r="G26" s="69"/>
      <c r="H26" s="78"/>
      <c r="I26" s="78"/>
      <c r="J26" s="78"/>
      <c r="K26" s="79"/>
      <c r="L26" s="76"/>
      <c r="M26" s="76">
        <f>Таблица21339902941420[[#This Row],[113]]*Таблица21339902941420[[#This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Таблица21339902941420[[#This Row],[ ]]</f>
        <v>21</v>
      </c>
      <c r="G27" s="69"/>
      <c r="H27" s="78"/>
      <c r="I27" s="78"/>
      <c r="J27" s="78"/>
      <c r="K27" s="79"/>
      <c r="L27" s="76"/>
      <c r="M27" s="76">
        <f>Таблица21339902941420[[#This Row],[113]]*Таблица21339902941420[[#This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Таблица21339902941420[[#This Row],[ ]]</f>
        <v>22</v>
      </c>
      <c r="G28" s="69"/>
      <c r="H28" s="78"/>
      <c r="I28" s="78"/>
      <c r="J28" s="78"/>
      <c r="K28" s="79"/>
      <c r="L28" s="76"/>
      <c r="M28" s="76">
        <f>Таблица21339902941420[[#This Row],[113]]*Таблица21339902941420[[#This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Таблица21339902941420[[#This Row],[ ]]</f>
        <v>23</v>
      </c>
      <c r="G29" s="69"/>
      <c r="H29" s="78"/>
      <c r="I29" s="78"/>
      <c r="J29" s="78"/>
      <c r="K29" s="79"/>
      <c r="L29" s="76"/>
      <c r="M29" s="76">
        <f>Таблица21339902941420[[#This Row],[113]]*Таблица21339902941420[[#This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Таблица21339902941420[[#This Row],[ ]]</f>
        <v>24</v>
      </c>
      <c r="G30" s="69"/>
      <c r="H30" s="78"/>
      <c r="I30" s="78"/>
      <c r="J30" s="78"/>
      <c r="K30" s="79"/>
      <c r="L30" s="76"/>
      <c r="M30" s="76">
        <f>Таблица21339902941420[[#This Row],[113]]*Таблица21339902941420[[#This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Таблица21339902941420[[#This Row],[ ]]</f>
        <v>25</v>
      </c>
      <c r="G31" s="69"/>
      <c r="H31" s="78"/>
      <c r="I31" s="78"/>
      <c r="J31" s="78"/>
      <c r="K31" s="79"/>
      <c r="L31" s="76"/>
      <c r="M31" s="76">
        <f>Таблица21339902941420[[#This Row],[113]]*Таблица21339902941420[[#This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Таблица21339902941420[[#This Row],[ ]]</f>
        <v>26</v>
      </c>
      <c r="G32" s="69"/>
      <c r="H32" s="78"/>
      <c r="I32" s="78"/>
      <c r="J32" s="78"/>
      <c r="K32" s="79"/>
      <c r="L32" s="76"/>
      <c r="M32" s="76">
        <f>Таблица21339902941420[[#This Row],[113]]*Таблица21339902941420[[#This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Таблица21339902941420[[#This Row],[ ]]</f>
        <v>27</v>
      </c>
      <c r="G33" s="69"/>
      <c r="H33" s="78"/>
      <c r="I33" s="78"/>
      <c r="J33" s="78"/>
      <c r="K33" s="79"/>
      <c r="L33" s="76"/>
      <c r="M33" s="76">
        <f>Таблица21339902941420[[#This Row],[113]]*Таблица21339902941420[[#This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Таблица21339902941420[[#This Row],[ ]]</f>
        <v>28</v>
      </c>
      <c r="G34" s="69"/>
      <c r="H34" s="78"/>
      <c r="I34" s="78"/>
      <c r="J34" s="78"/>
      <c r="K34" s="79"/>
      <c r="L34" s="76"/>
      <c r="M34" s="76">
        <f>Таблица21339902941420[[#This Row],[113]]*Таблица21339902941420[[#This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Таблица21339902941420[[#This Row],[ ]]</f>
        <v>29</v>
      </c>
      <c r="G35" s="69"/>
      <c r="H35" s="78"/>
      <c r="I35" s="78"/>
      <c r="J35" s="78"/>
      <c r="K35" s="79"/>
      <c r="L35" s="76"/>
      <c r="M35" s="76">
        <f>Таблица21339902941420[[#This Row],[113]]*Таблица21339902941420[[#This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Таблица21339902941420[[#This Row],[ ]]</f>
        <v>30</v>
      </c>
      <c r="G36" s="69"/>
      <c r="H36" s="78"/>
      <c r="I36" s="78"/>
      <c r="J36" s="78"/>
      <c r="K36" s="79"/>
      <c r="L36" s="76"/>
      <c r="M36" s="76">
        <f>Таблица21339902941420[[#This Row],[113]]*Таблица21339902941420[[#This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Таблица21339902941420[[#This Row],[ ]]</f>
        <v>31</v>
      </c>
      <c r="G37" s="69"/>
      <c r="H37" s="78"/>
      <c r="I37" s="78"/>
      <c r="J37" s="78"/>
      <c r="K37" s="79"/>
      <c r="L37" s="76"/>
      <c r="M37" s="76">
        <f>Таблица21339902941420[[#This Row],[113]]*Таблица21339902941420[[#This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Таблица21339902941420[[#This Row],[ ]]</f>
        <v>32</v>
      </c>
      <c r="G38" s="69"/>
      <c r="H38" s="78"/>
      <c r="I38" s="78"/>
      <c r="J38" s="78"/>
      <c r="K38" s="79"/>
      <c r="L38" s="76"/>
      <c r="M38" s="76">
        <f>Таблица21339902941420[[#This Row],[113]]*Таблица21339902941420[[#This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Таблица21339902941420[[#This Row],[ ]]</f>
        <v>33</v>
      </c>
      <c r="G39" s="69"/>
      <c r="H39" s="78"/>
      <c r="I39" s="78"/>
      <c r="J39" s="78"/>
      <c r="K39" s="79"/>
      <c r="L39" s="76"/>
      <c r="M39" s="76">
        <f>Таблица21339902941420[[#This Row],[113]]*Таблица21339902941420[[#This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Таблица21339902941420[[#This Row],[ ]]</f>
        <v>34</v>
      </c>
      <c r="G40" s="69"/>
      <c r="H40" s="78"/>
      <c r="I40" s="78"/>
      <c r="J40" s="78"/>
      <c r="K40" s="79"/>
      <c r="L40" s="76"/>
      <c r="M40" s="76">
        <f>Таблица21339902941420[[#This Row],[113]]*Таблица21339902941420[[#This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Таблица21339902941420[[#This Row],[ ]]</f>
        <v>35</v>
      </c>
      <c r="G41" s="69"/>
      <c r="H41" s="78"/>
      <c r="I41" s="78"/>
      <c r="J41" s="78"/>
      <c r="K41" s="79"/>
      <c r="L41" s="76"/>
      <c r="M41" s="76">
        <f>Таблица21339902941420[[#This Row],[113]]*Таблица21339902941420[[#This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Таблица21339902941420[[#This Row],[ ]]</f>
        <v>36</v>
      </c>
      <c r="G42" s="69"/>
      <c r="H42" s="78"/>
      <c r="I42" s="78"/>
      <c r="J42" s="78"/>
      <c r="K42" s="79"/>
      <c r="L42" s="76"/>
      <c r="M42" s="76">
        <f>Таблица21339902941420[[#This Row],[113]]*Таблица21339902941420[[#This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Таблица21339902941420[[#This Row],[ ]]</f>
        <v>37</v>
      </c>
      <c r="G43" s="69"/>
      <c r="H43" s="78"/>
      <c r="I43" s="78"/>
      <c r="J43" s="78"/>
      <c r="K43" s="79"/>
      <c r="L43" s="76"/>
      <c r="M43" s="76">
        <f>Таблица21339902941420[[#This Row],[113]]*Таблица21339902941420[[#This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Таблица21339902941420[[#This Row],[ ]]</f>
        <v>38</v>
      </c>
      <c r="G44" s="69"/>
      <c r="H44" s="78"/>
      <c r="I44" s="78"/>
      <c r="J44" s="78"/>
      <c r="K44" s="79"/>
      <c r="L44" s="76"/>
      <c r="M44" s="76">
        <f>Таблица21339902941420[[#This Row],[113]]*Таблица21339902941420[[#This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Таблица21339902941420[[#This Row],[ ]]</f>
        <v>39</v>
      </c>
      <c r="G45" s="69"/>
      <c r="H45" s="78"/>
      <c r="I45" s="78"/>
      <c r="J45" s="78"/>
      <c r="K45" s="79"/>
      <c r="L45" s="76"/>
      <c r="M45" s="76">
        <f>Таблица21339902941420[[#This Row],[113]]*Таблица21339902941420[[#This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Таблица21339902941420[[#This Row],[ ]]</f>
        <v>40</v>
      </c>
      <c r="G46" s="69"/>
      <c r="H46" s="78"/>
      <c r="I46" s="78"/>
      <c r="J46" s="78"/>
      <c r="K46" s="79"/>
      <c r="L46" s="76"/>
      <c r="M46" s="76">
        <f>Таблица21339902941420[[#This Row],[113]]*Таблица21339902941420[[#This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Таблица21339902941420[[#This Row],[ ]]</f>
        <v>41</v>
      </c>
      <c r="G47" s="69"/>
      <c r="H47" s="78"/>
      <c r="I47" s="78"/>
      <c r="J47" s="78"/>
      <c r="K47" s="79"/>
      <c r="L47" s="76"/>
      <c r="M47" s="76">
        <f>Таблица21339902941420[[#This Row],[113]]*Таблица21339902941420[[#This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Таблица21339902941420[[#This Row],[ ]]</f>
        <v>42</v>
      </c>
      <c r="G48" s="69"/>
      <c r="H48" s="78"/>
      <c r="I48" s="78"/>
      <c r="J48" s="78"/>
      <c r="K48" s="79"/>
      <c r="L48" s="76"/>
      <c r="M48" s="76">
        <f>Таблица21339902941420[[#This Row],[113]]*Таблица21339902941420[[#This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Таблица21339902941420[[#This Row],[ ]]</f>
        <v>43</v>
      </c>
      <c r="G49" s="69"/>
      <c r="H49" s="78"/>
      <c r="I49" s="78"/>
      <c r="J49" s="78"/>
      <c r="K49" s="79"/>
      <c r="L49" s="76"/>
      <c r="M49" s="76">
        <f>Таблица21339902941420[[#This Row],[113]]*Таблица21339902941420[[#This Row],[15]]</f>
        <v>0</v>
      </c>
    </row>
    <row r="50" spans="1:13" x14ac:dyDescent="0.2">
      <c r="A50" s="82"/>
      <c r="B50" s="45"/>
      <c r="C50" s="76">
        <f>SUBTOTAL(109,Таблица21339902941420[2])</f>
        <v>22200000</v>
      </c>
      <c r="D50" s="76"/>
      <c r="E50" s="84"/>
      <c r="F50" s="83"/>
      <c r="G50" s="85"/>
      <c r="H50" s="86"/>
      <c r="I50" s="86"/>
      <c r="J50" s="86"/>
      <c r="K50" s="86">
        <f>SUBTOTAL(109,Таблица21339902941420[1132])</f>
        <v>19</v>
      </c>
      <c r="L50" s="88"/>
      <c r="M50" s="88">
        <f>SUBTOTAL(109,Таблица21339902941420[16])</f>
        <v>22982400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hyperlinks>
    <hyperlink ref="D1" location="'Свод Завод'!A1" display="1-Индира Расулбек" xr:uid="{5D458BBE-D49D-4190-A2AC-EDCF521BCA64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6367-0AB8-4796-A524-98414BC0096F}">
  <sheetPr>
    <pageSetUpPr fitToPage="1"/>
  </sheetPr>
  <dimension ref="A1:Q50"/>
  <sheetViews>
    <sheetView zoomScale="115" zoomScaleNormal="115" workbookViewId="0">
      <selection activeCell="E16" sqref="E16"/>
    </sheetView>
  </sheetViews>
  <sheetFormatPr defaultRowHeight="14.25" x14ac:dyDescent="0.2"/>
  <cols>
    <col min="1" max="1" width="6.5703125" style="1" bestFit="1" customWidth="1"/>
    <col min="2" max="2" width="11.85546875" style="1" bestFit="1" customWidth="1"/>
    <col min="3" max="3" width="14.140625" style="1" bestFit="1" customWidth="1"/>
    <col min="4" max="4" width="39.140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7.7109375" style="1" bestFit="1" customWidth="1"/>
    <col min="11" max="11" width="11.28515625" style="1" bestFit="1" customWidth="1"/>
    <col min="12" max="12" width="11.5703125" style="1" bestFit="1" customWidth="1"/>
    <col min="13" max="13" width="14.28515625" style="1" bestFit="1" customWidth="1"/>
    <col min="14" max="14" width="10.5703125" style="1" bestFit="1" customWidth="1"/>
    <col min="15" max="16" width="9.140625" style="1"/>
    <col min="17" max="17" width="11.140625" style="1" bestFit="1" customWidth="1"/>
    <col min="18" max="16384" width="9.140625" style="1"/>
  </cols>
  <sheetData>
    <row r="1" spans="1:17" ht="18" customHeight="1" x14ac:dyDescent="0.3">
      <c r="A1" s="90"/>
      <c r="B1" s="91"/>
      <c r="C1" s="92" t="s">
        <v>26</v>
      </c>
      <c r="D1" s="111" t="s">
        <v>105</v>
      </c>
      <c r="E1" s="105"/>
      <c r="H1" s="1" t="s">
        <v>177</v>
      </c>
      <c r="I1" s="1">
        <f>SUMIFS(C:C,D:D,J1)</f>
        <v>25900000</v>
      </c>
      <c r="J1" s="18" t="s">
        <v>176</v>
      </c>
    </row>
    <row r="2" spans="1:17" ht="20.25" x14ac:dyDescent="0.2">
      <c r="A2" s="226" t="s">
        <v>25</v>
      </c>
      <c r="B2" s="226"/>
      <c r="C2" s="227"/>
      <c r="D2" s="227"/>
      <c r="E2" s="94"/>
      <c r="F2" s="237">
        <f>Таблица21339902946[[#Totals],[2]]+-Таблица21339902946[[#Totals],[16]]</f>
        <v>-32881200</v>
      </c>
      <c r="G2" s="238"/>
    </row>
    <row r="3" spans="1:17" ht="15" customHeight="1" x14ac:dyDescent="0.2">
      <c r="A3" s="228" t="s">
        <v>27</v>
      </c>
      <c r="B3" s="228" t="s">
        <v>9</v>
      </c>
      <c r="C3" s="89" t="s">
        <v>19</v>
      </c>
      <c r="D3" s="8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7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7" ht="15.75" x14ac:dyDescent="0.2">
      <c r="A5" s="228"/>
      <c r="B5" s="228"/>
      <c r="C5" s="95">
        <f>Таблица21339902946[[#Totals],[2]]</f>
        <v>366373200</v>
      </c>
      <c r="D5" s="64"/>
      <c r="E5" s="106">
        <f>SUM(Таблица21339902946[4])</f>
        <v>0</v>
      </c>
      <c r="F5" s="233"/>
      <c r="G5" s="233"/>
      <c r="H5" s="233"/>
      <c r="I5" s="224"/>
      <c r="J5" s="224"/>
      <c r="K5" s="65">
        <f>Таблица21339902946[[#Totals],[1132]]</f>
        <v>322</v>
      </c>
      <c r="L5" s="233"/>
      <c r="M5" s="96">
        <f>Таблица21339902946[[#Totals],[16]]</f>
        <v>399254400</v>
      </c>
    </row>
    <row r="6" spans="1:17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  <c r="N6" s="187" t="s">
        <v>243</v>
      </c>
    </row>
    <row r="7" spans="1:17" ht="15" x14ac:dyDescent="0.2">
      <c r="A7" s="68">
        <v>1</v>
      </c>
      <c r="B7" s="69">
        <v>46198</v>
      </c>
      <c r="C7" s="70">
        <v>23328000</v>
      </c>
      <c r="D7" s="18" t="s">
        <v>79</v>
      </c>
      <c r="E7" s="76"/>
      <c r="F7" s="71">
        <f>Таблица21339902946[[#This Row],[ ]]</f>
        <v>1</v>
      </c>
      <c r="G7" s="18">
        <v>46197</v>
      </c>
      <c r="H7" s="188" t="s">
        <v>50</v>
      </c>
      <c r="I7" s="73" t="s">
        <v>71</v>
      </c>
      <c r="J7" s="74">
        <v>31.103999999999999</v>
      </c>
      <c r="K7" s="75">
        <v>18</v>
      </c>
      <c r="L7" s="76">
        <v>750000</v>
      </c>
      <c r="M7" s="76">
        <f>Таблица21339902946[[#This Row],[113]]*Таблица21339902946[[#This Row],[15]]</f>
        <v>23328000</v>
      </c>
      <c r="N7" s="185"/>
    </row>
    <row r="8" spans="1:17" x14ac:dyDescent="0.2">
      <c r="A8" s="68">
        <v>2</v>
      </c>
      <c r="B8" s="77">
        <v>46202</v>
      </c>
      <c r="C8" s="19">
        <v>24624000</v>
      </c>
      <c r="D8" s="18" t="s">
        <v>111</v>
      </c>
      <c r="E8" s="76"/>
      <c r="F8" s="71">
        <f>Таблица21339902946[[#This Row],[ ]]</f>
        <v>2</v>
      </c>
      <c r="G8" s="69">
        <v>46200</v>
      </c>
      <c r="H8" s="189" t="s">
        <v>82</v>
      </c>
      <c r="I8" s="78" t="s">
        <v>83</v>
      </c>
      <c r="J8" s="78">
        <v>32.832000000000001</v>
      </c>
      <c r="K8" s="76">
        <v>19</v>
      </c>
      <c r="L8" s="76">
        <v>750000</v>
      </c>
      <c r="M8" s="76">
        <f>Таблица21339902946[[#This Row],[113]]*Таблица21339902946[[#This Row],[15]]</f>
        <v>24624000</v>
      </c>
      <c r="N8" s="184"/>
    </row>
    <row r="9" spans="1:17" x14ac:dyDescent="0.2">
      <c r="A9" s="68">
        <v>3</v>
      </c>
      <c r="B9" s="77">
        <v>46203</v>
      </c>
      <c r="C9" s="19">
        <v>73872000</v>
      </c>
      <c r="D9" s="18" t="s">
        <v>120</v>
      </c>
      <c r="E9" s="76"/>
      <c r="F9" s="71">
        <f>Таблица21339902946[[#This Row],[ ]]</f>
        <v>3</v>
      </c>
      <c r="G9" s="69">
        <v>46200</v>
      </c>
      <c r="H9" s="189" t="s">
        <v>84</v>
      </c>
      <c r="I9" s="78" t="s">
        <v>83</v>
      </c>
      <c r="J9" s="78">
        <v>32.832000000000001</v>
      </c>
      <c r="K9" s="76">
        <v>19</v>
      </c>
      <c r="L9" s="76">
        <v>750000</v>
      </c>
      <c r="M9" s="76">
        <f>Таблица21339902946[[#This Row],[113]]*Таблица21339902946[[#This Row],[15]]</f>
        <v>24624000</v>
      </c>
      <c r="N9" s="184"/>
    </row>
    <row r="10" spans="1:17" x14ac:dyDescent="0.2">
      <c r="A10" s="68">
        <v>4</v>
      </c>
      <c r="B10" s="77">
        <v>46206</v>
      </c>
      <c r="C10" s="19">
        <v>24624000</v>
      </c>
      <c r="D10" s="18" t="s">
        <v>155</v>
      </c>
      <c r="E10" s="76"/>
      <c r="F10" s="71">
        <f>Таблица21339902946[[#This Row],[ ]]</f>
        <v>4</v>
      </c>
      <c r="G10" s="69">
        <v>46200</v>
      </c>
      <c r="H10" s="189" t="s">
        <v>85</v>
      </c>
      <c r="I10" s="78" t="s">
        <v>71</v>
      </c>
      <c r="J10" s="78">
        <v>32.832000000000001</v>
      </c>
      <c r="K10" s="76">
        <v>19</v>
      </c>
      <c r="L10" s="76">
        <v>750000</v>
      </c>
      <c r="M10" s="76">
        <f>Таблица21339902946[[#This Row],[113]]*Таблица21339902946[[#This Row],[15]]</f>
        <v>24624000</v>
      </c>
      <c r="N10" s="184"/>
    </row>
    <row r="11" spans="1:17" x14ac:dyDescent="0.2">
      <c r="A11" s="68">
        <v>5</v>
      </c>
      <c r="B11" s="77">
        <v>46209</v>
      </c>
      <c r="C11" s="19">
        <v>61447200</v>
      </c>
      <c r="D11" s="18" t="s">
        <v>175</v>
      </c>
      <c r="E11" s="76"/>
      <c r="F11" s="71">
        <f>Таблица21339902946[[#This Row],[ ]]</f>
        <v>5</v>
      </c>
      <c r="G11" s="69">
        <v>46200</v>
      </c>
      <c r="H11" s="189" t="s">
        <v>86</v>
      </c>
      <c r="I11" s="78" t="s">
        <v>71</v>
      </c>
      <c r="J11" s="78">
        <v>32.832000000000001</v>
      </c>
      <c r="K11" s="76">
        <v>19</v>
      </c>
      <c r="L11" s="76">
        <v>750000</v>
      </c>
      <c r="M11" s="76">
        <f>Таблица21339902946[[#This Row],[113]]*Таблица21339902946[[#This Row],[15]]</f>
        <v>24624000</v>
      </c>
      <c r="N11" s="184"/>
    </row>
    <row r="12" spans="1:17" x14ac:dyDescent="0.2">
      <c r="A12" s="68">
        <v>6</v>
      </c>
      <c r="B12" s="77">
        <v>46206</v>
      </c>
      <c r="C12" s="19">
        <v>7500000</v>
      </c>
      <c r="D12" s="18" t="s">
        <v>176</v>
      </c>
      <c r="E12" s="76"/>
      <c r="F12" s="71">
        <f>Таблица21339902946[[#This Row],[ ]]</f>
        <v>6</v>
      </c>
      <c r="G12" s="69">
        <v>46204</v>
      </c>
      <c r="H12" s="189" t="s">
        <v>133</v>
      </c>
      <c r="I12" s="78" t="s">
        <v>71</v>
      </c>
      <c r="J12" s="78">
        <v>32.832000000000001</v>
      </c>
      <c r="K12" s="76">
        <v>19</v>
      </c>
      <c r="L12" s="76">
        <v>750000</v>
      </c>
      <c r="M12" s="76">
        <f>Таблица21339902946[[#This Row],[113]]*Таблица21339902946[[#This Row],[15]]</f>
        <v>24624000</v>
      </c>
      <c r="N12" s="184"/>
    </row>
    <row r="13" spans="1:17" x14ac:dyDescent="0.2">
      <c r="A13" s="68">
        <v>7</v>
      </c>
      <c r="B13" s="77">
        <v>46210</v>
      </c>
      <c r="C13" s="19">
        <v>41965000</v>
      </c>
      <c r="D13" s="18" t="s">
        <v>195</v>
      </c>
      <c r="E13" s="76"/>
      <c r="F13" s="71">
        <f>Таблица21339902946[[#This Row],[ ]]</f>
        <v>7</v>
      </c>
      <c r="G13" s="69">
        <v>46206</v>
      </c>
      <c r="H13" s="189" t="s">
        <v>153</v>
      </c>
      <c r="I13" s="78" t="s">
        <v>71</v>
      </c>
      <c r="J13" s="78">
        <v>32.832000000000001</v>
      </c>
      <c r="K13" s="79">
        <v>19</v>
      </c>
      <c r="L13" s="76">
        <v>700000</v>
      </c>
      <c r="M13" s="76">
        <f>Таблица21339902946[[#This Row],[113]]*Таблица21339902946[[#This Row],[15]]</f>
        <v>22982400</v>
      </c>
      <c r="N13" s="184">
        <v>2500000</v>
      </c>
    </row>
    <row r="14" spans="1:17" x14ac:dyDescent="0.2">
      <c r="A14" s="68">
        <v>8</v>
      </c>
      <c r="B14" s="77">
        <v>46210</v>
      </c>
      <c r="C14" s="19">
        <v>4000000</v>
      </c>
      <c r="D14" s="18" t="s">
        <v>176</v>
      </c>
      <c r="E14" s="76"/>
      <c r="F14" s="71">
        <f>Таблица21339902946[[#This Row],[ ]]</f>
        <v>8</v>
      </c>
      <c r="G14" s="69">
        <v>46206</v>
      </c>
      <c r="H14" s="189" t="s">
        <v>158</v>
      </c>
      <c r="I14" s="78" t="s">
        <v>83</v>
      </c>
      <c r="J14" s="78">
        <v>32.832000000000001</v>
      </c>
      <c r="K14" s="79">
        <v>19</v>
      </c>
      <c r="L14" s="76">
        <v>700000</v>
      </c>
      <c r="M14" s="76">
        <f>Таблица21339902946[[#This Row],[113]]*Таблица21339902946[[#This Row],[15]]</f>
        <v>22982400</v>
      </c>
      <c r="N14" s="184">
        <v>2500000</v>
      </c>
      <c r="Q14" s="20">
        <v>24624000</v>
      </c>
    </row>
    <row r="15" spans="1:17" x14ac:dyDescent="0.2">
      <c r="A15" s="68">
        <v>9</v>
      </c>
      <c r="B15" s="77">
        <v>46213</v>
      </c>
      <c r="C15" s="19">
        <v>20810000</v>
      </c>
      <c r="D15" s="18" t="s">
        <v>237</v>
      </c>
      <c r="E15" s="76"/>
      <c r="F15" s="71">
        <f>Таблица21339902946[[#This Row],[ ]]</f>
        <v>9</v>
      </c>
      <c r="G15" s="69">
        <v>46206</v>
      </c>
      <c r="H15" s="189" t="s">
        <v>160</v>
      </c>
      <c r="I15" s="78" t="s">
        <v>71</v>
      </c>
      <c r="J15" s="78">
        <v>32.832000000000001</v>
      </c>
      <c r="K15" s="79">
        <v>19</v>
      </c>
      <c r="L15" s="76">
        <v>700000</v>
      </c>
      <c r="M15" s="76">
        <f>Таблица21339902946[[#This Row],[113]]*Таблица21339902946[[#This Row],[15]]</f>
        <v>22982400</v>
      </c>
      <c r="N15" s="184">
        <v>2500000</v>
      </c>
      <c r="Q15" s="20">
        <v>61447200</v>
      </c>
    </row>
    <row r="16" spans="1:17" x14ac:dyDescent="0.2">
      <c r="A16" s="68">
        <v>10</v>
      </c>
      <c r="B16" s="77">
        <v>46213</v>
      </c>
      <c r="C16" s="19">
        <v>46620000</v>
      </c>
      <c r="D16" s="18" t="s">
        <v>175</v>
      </c>
      <c r="E16" s="76"/>
      <c r="F16" s="71">
        <f>Таблица21339902946[[#This Row],[ ]]</f>
        <v>10</v>
      </c>
      <c r="G16" s="69">
        <v>46209</v>
      </c>
      <c r="H16" s="189" t="s">
        <v>187</v>
      </c>
      <c r="I16" s="78" t="s">
        <v>71</v>
      </c>
      <c r="J16" s="78">
        <v>32.832000000000001</v>
      </c>
      <c r="K16" s="79">
        <v>19</v>
      </c>
      <c r="L16" s="76">
        <v>700000</v>
      </c>
      <c r="M16" s="76">
        <f>Таблица21339902946[[#This Row],[113]]*Таблица21339902946[[#This Row],[15]]</f>
        <v>22982400</v>
      </c>
      <c r="N16" s="184">
        <v>2000000</v>
      </c>
      <c r="Q16" s="76">
        <v>7500000</v>
      </c>
    </row>
    <row r="17" spans="1:17" x14ac:dyDescent="0.2">
      <c r="A17" s="68">
        <v>11</v>
      </c>
      <c r="B17" s="77">
        <v>46213</v>
      </c>
      <c r="C17" s="19">
        <v>7500000</v>
      </c>
      <c r="D17" s="18" t="s">
        <v>176</v>
      </c>
      <c r="E17" s="76"/>
      <c r="F17" s="71">
        <f>Таблица21339902946[[#This Row],[ ]]</f>
        <v>11</v>
      </c>
      <c r="G17" s="69">
        <v>46210</v>
      </c>
      <c r="H17" s="189" t="s">
        <v>196</v>
      </c>
      <c r="I17" s="78" t="s">
        <v>71</v>
      </c>
      <c r="J17" s="78">
        <v>32.832000000000001</v>
      </c>
      <c r="K17" s="79">
        <v>19</v>
      </c>
      <c r="L17" s="76">
        <v>700000</v>
      </c>
      <c r="M17" s="76">
        <f>Таблица21339902946[[#This Row],[113]]*Таблица21339902946[[#This Row],[15]]</f>
        <v>22982400</v>
      </c>
      <c r="N17" s="184">
        <v>2000000</v>
      </c>
      <c r="Q17" s="20">
        <v>41965000</v>
      </c>
    </row>
    <row r="18" spans="1:17" x14ac:dyDescent="0.2">
      <c r="A18" s="68">
        <v>12</v>
      </c>
      <c r="B18" s="77">
        <v>46214</v>
      </c>
      <c r="C18" s="76">
        <v>4400000</v>
      </c>
      <c r="D18" s="18" t="s">
        <v>176</v>
      </c>
      <c r="E18" s="76"/>
      <c r="F18" s="71">
        <f>Таблица21339902946[[#This Row],[ ]]</f>
        <v>12</v>
      </c>
      <c r="G18" s="69">
        <v>46210</v>
      </c>
      <c r="H18" s="189" t="s">
        <v>200</v>
      </c>
      <c r="I18" s="78" t="s">
        <v>83</v>
      </c>
      <c r="J18" s="78">
        <v>32.832000000000001</v>
      </c>
      <c r="K18" s="79">
        <v>19</v>
      </c>
      <c r="L18" s="76">
        <v>700000</v>
      </c>
      <c r="M18" s="76">
        <f>Таблица21339902946[[#This Row],[113]]*Таблица21339902946[[#This Row],[15]]</f>
        <v>22982400</v>
      </c>
      <c r="N18" s="184">
        <v>2500000</v>
      </c>
      <c r="Q18" s="76">
        <v>4000000</v>
      </c>
    </row>
    <row r="19" spans="1:17" x14ac:dyDescent="0.2">
      <c r="A19" s="68">
        <v>13</v>
      </c>
      <c r="B19" s="77">
        <v>46216</v>
      </c>
      <c r="C19" s="76">
        <v>23183000</v>
      </c>
      <c r="D19" s="78" t="s">
        <v>273</v>
      </c>
      <c r="E19" s="76"/>
      <c r="F19" s="71">
        <f>Таблица21339902946[[#This Row],[ ]]</f>
        <v>13</v>
      </c>
      <c r="G19" s="69">
        <v>46210</v>
      </c>
      <c r="H19" s="189" t="s">
        <v>134</v>
      </c>
      <c r="I19" s="78" t="s">
        <v>83</v>
      </c>
      <c r="J19" s="78">
        <v>32.832000000000001</v>
      </c>
      <c r="K19" s="79">
        <v>19</v>
      </c>
      <c r="L19" s="76">
        <v>700000</v>
      </c>
      <c r="M19" s="76">
        <f>Таблица21339902946[[#This Row],[113]]*Таблица21339902946[[#This Row],[15]]</f>
        <v>22982400</v>
      </c>
      <c r="N19" s="184">
        <v>2500000</v>
      </c>
      <c r="Q19" s="20">
        <v>20810000</v>
      </c>
    </row>
    <row r="20" spans="1:17" x14ac:dyDescent="0.2">
      <c r="A20" s="68">
        <v>14</v>
      </c>
      <c r="B20" s="77">
        <v>46216</v>
      </c>
      <c r="C20" s="76">
        <v>2500000</v>
      </c>
      <c r="D20" s="18" t="s">
        <v>176</v>
      </c>
      <c r="E20" s="76"/>
      <c r="F20" s="71">
        <f>Таблица21339902946[[#This Row],[ ]]</f>
        <v>14</v>
      </c>
      <c r="G20" s="69">
        <v>46211</v>
      </c>
      <c r="H20" s="189" t="s">
        <v>202</v>
      </c>
      <c r="I20" s="78" t="s">
        <v>71</v>
      </c>
      <c r="J20" s="78">
        <v>32.832000000000001</v>
      </c>
      <c r="K20" s="79">
        <v>19</v>
      </c>
      <c r="L20" s="76">
        <v>700000</v>
      </c>
      <c r="M20" s="76">
        <f>Таблица21339902946[[#This Row],[113]]*Таблица21339902946[[#This Row],[15]]</f>
        <v>22982400</v>
      </c>
      <c r="N20" s="184">
        <v>2500000</v>
      </c>
      <c r="Q20" s="20">
        <v>46620000</v>
      </c>
    </row>
    <row r="21" spans="1:17" x14ac:dyDescent="0.2">
      <c r="A21" s="68">
        <v>15</v>
      </c>
      <c r="B21" s="77"/>
      <c r="C21" s="76"/>
      <c r="D21" s="78"/>
      <c r="E21" s="76"/>
      <c r="F21" s="71">
        <f>Таблица21339902946[[#This Row],[ ]]</f>
        <v>15</v>
      </c>
      <c r="G21" s="69">
        <v>46214</v>
      </c>
      <c r="H21" s="189" t="s">
        <v>220</v>
      </c>
      <c r="I21" s="78" t="s">
        <v>71</v>
      </c>
      <c r="J21" s="78">
        <v>32.832000000000001</v>
      </c>
      <c r="K21" s="79">
        <v>19</v>
      </c>
      <c r="L21" s="76">
        <v>700000</v>
      </c>
      <c r="M21" s="76">
        <f>Таблица21339902946[[#This Row],[113]]*Таблица21339902946[[#This Row],[15]]</f>
        <v>22982400</v>
      </c>
      <c r="N21" s="184">
        <v>2200000</v>
      </c>
      <c r="Q21" s="76">
        <v>2200000</v>
      </c>
    </row>
    <row r="22" spans="1:17" x14ac:dyDescent="0.2">
      <c r="A22" s="68">
        <v>16</v>
      </c>
      <c r="B22" s="77"/>
      <c r="C22" s="76"/>
      <c r="D22" s="78"/>
      <c r="E22" s="76"/>
      <c r="F22" s="71">
        <f>Таблица21339902946[[#This Row],[ ]]</f>
        <v>16</v>
      </c>
      <c r="G22" s="69">
        <v>46214</v>
      </c>
      <c r="H22" s="78" t="s">
        <v>252</v>
      </c>
      <c r="I22" s="78" t="s">
        <v>83</v>
      </c>
      <c r="J22" s="78">
        <v>32.832000000000001</v>
      </c>
      <c r="K22" s="79">
        <v>19</v>
      </c>
      <c r="L22" s="76">
        <v>700000</v>
      </c>
      <c r="M22" s="76">
        <f>Таблица21339902946[[#This Row],[113]]*Таблица21339902946[[#This Row],[15]]</f>
        <v>22982400</v>
      </c>
      <c r="N22" s="184">
        <v>2200000</v>
      </c>
      <c r="Q22" s="76">
        <v>2200000</v>
      </c>
    </row>
    <row r="23" spans="1:17" x14ac:dyDescent="0.2">
      <c r="A23" s="68">
        <v>17</v>
      </c>
      <c r="B23" s="77"/>
      <c r="C23" s="76"/>
      <c r="D23" s="18"/>
      <c r="E23" s="76"/>
      <c r="F23" s="71">
        <f>Таблица21339902946[[#This Row],[ ]]</f>
        <v>17</v>
      </c>
      <c r="G23" s="69">
        <v>46216</v>
      </c>
      <c r="H23" s="78" t="s">
        <v>265</v>
      </c>
      <c r="I23" s="78" t="s">
        <v>71</v>
      </c>
      <c r="J23" s="78">
        <v>32.832000000000001</v>
      </c>
      <c r="K23" s="79">
        <v>19</v>
      </c>
      <c r="L23" s="76">
        <v>700000</v>
      </c>
      <c r="M23" s="76">
        <f>Таблица21339902946[[#This Row],[113]]*Таблица21339902946[[#This Row],[15]]</f>
        <v>22982400</v>
      </c>
      <c r="N23" s="184">
        <v>2500000</v>
      </c>
      <c r="Q23" s="76">
        <v>2500000</v>
      </c>
    </row>
    <row r="24" spans="1:17" x14ac:dyDescent="0.2">
      <c r="A24" s="68">
        <v>18</v>
      </c>
      <c r="B24" s="77"/>
      <c r="C24" s="76"/>
      <c r="D24" s="18"/>
      <c r="E24" s="76"/>
      <c r="F24" s="71">
        <f>Таблица21339902946[[#This Row],[ ]]</f>
        <v>18</v>
      </c>
      <c r="G24" s="69"/>
      <c r="H24" s="78"/>
      <c r="I24" s="78"/>
      <c r="J24" s="78"/>
      <c r="K24" s="79"/>
      <c r="L24" s="76"/>
      <c r="M24" s="76">
        <f>Таблица21339902946[[#This Row],[113]]*Таблица21339902946[[#This Row],[15]]</f>
        <v>0</v>
      </c>
      <c r="N24" s="184"/>
      <c r="Q24" s="76">
        <v>2799800</v>
      </c>
    </row>
    <row r="25" spans="1:17" x14ac:dyDescent="0.2">
      <c r="A25" s="68">
        <v>19</v>
      </c>
      <c r="B25" s="77"/>
      <c r="C25" s="76"/>
      <c r="D25" s="18"/>
      <c r="E25" s="76"/>
      <c r="F25" s="71">
        <f>Таблица21339902946[[#This Row],[ ]]</f>
        <v>19</v>
      </c>
      <c r="G25" s="69"/>
      <c r="H25" s="78"/>
      <c r="I25" s="78"/>
      <c r="J25" s="78"/>
      <c r="K25" s="79"/>
      <c r="L25" s="76"/>
      <c r="M25" s="76">
        <f>Таблица21339902946[[#This Row],[113]]*Таблица21339902946[[#This Row],[15]]</f>
        <v>0</v>
      </c>
      <c r="N25" s="184"/>
    </row>
    <row r="26" spans="1:17" x14ac:dyDescent="0.2">
      <c r="A26" s="68">
        <v>20</v>
      </c>
      <c r="B26" s="77"/>
      <c r="C26" s="76"/>
      <c r="D26" s="18"/>
      <c r="E26" s="76"/>
      <c r="F26" s="71">
        <f>Таблица21339902946[[#This Row],[ ]]</f>
        <v>20</v>
      </c>
      <c r="G26" s="69"/>
      <c r="H26" s="78"/>
      <c r="I26" s="78"/>
      <c r="J26" s="78"/>
      <c r="K26" s="79"/>
      <c r="L26" s="76"/>
      <c r="M26" s="76">
        <f>Таблица21339902946[[#This Row],[113]]*Таблица21339902946[[#This Row],[15]]</f>
        <v>0</v>
      </c>
      <c r="N26" s="184"/>
    </row>
    <row r="27" spans="1:17" x14ac:dyDescent="0.2">
      <c r="A27" s="68">
        <v>21</v>
      </c>
      <c r="B27" s="77"/>
      <c r="C27" s="76"/>
      <c r="D27" s="18"/>
      <c r="E27" s="76"/>
      <c r="F27" s="71">
        <f>Таблица21339902946[[#This Row],[ ]]</f>
        <v>21</v>
      </c>
      <c r="G27" s="69"/>
      <c r="H27" s="78"/>
      <c r="I27" s="78"/>
      <c r="J27" s="78"/>
      <c r="K27" s="79"/>
      <c r="L27" s="76"/>
      <c r="M27" s="76">
        <f>Таблица21339902946[[#This Row],[113]]*Таблица21339902946[[#This Row],[15]]</f>
        <v>0</v>
      </c>
      <c r="N27" s="184"/>
    </row>
    <row r="28" spans="1:17" x14ac:dyDescent="0.2">
      <c r="A28" s="68">
        <v>22</v>
      </c>
      <c r="B28" s="77"/>
      <c r="C28" s="76"/>
      <c r="D28" s="18"/>
      <c r="E28" s="76"/>
      <c r="F28" s="71">
        <f>Таблица21339902946[[#This Row],[ ]]</f>
        <v>22</v>
      </c>
      <c r="G28" s="69"/>
      <c r="H28" s="78"/>
      <c r="I28" s="78"/>
      <c r="J28" s="78"/>
      <c r="K28" s="79"/>
      <c r="L28" s="76"/>
      <c r="M28" s="76">
        <f>Таблица21339902946[[#This Row],[113]]*Таблица21339902946[[#This Row],[15]]</f>
        <v>0</v>
      </c>
      <c r="N28" s="184"/>
    </row>
    <row r="29" spans="1:17" x14ac:dyDescent="0.2">
      <c r="A29" s="68">
        <v>23</v>
      </c>
      <c r="B29" s="77"/>
      <c r="C29" s="76"/>
      <c r="D29" s="18"/>
      <c r="E29" s="76"/>
      <c r="F29" s="71">
        <f>Таблица21339902946[[#This Row],[ ]]</f>
        <v>23</v>
      </c>
      <c r="G29" s="69"/>
      <c r="H29" s="78"/>
      <c r="I29" s="78"/>
      <c r="J29" s="78"/>
      <c r="K29" s="79"/>
      <c r="L29" s="76"/>
      <c r="M29" s="76">
        <f>Таблица21339902946[[#This Row],[113]]*Таблица21339902946[[#This Row],[15]]</f>
        <v>0</v>
      </c>
      <c r="N29" s="184"/>
    </row>
    <row r="30" spans="1:17" x14ac:dyDescent="0.2">
      <c r="A30" s="68">
        <v>24</v>
      </c>
      <c r="B30" s="77"/>
      <c r="C30" s="76"/>
      <c r="D30" s="18"/>
      <c r="E30" s="76"/>
      <c r="F30" s="71">
        <f>Таблица21339902946[[#This Row],[ ]]</f>
        <v>24</v>
      </c>
      <c r="G30" s="69"/>
      <c r="H30" s="78"/>
      <c r="I30" s="78"/>
      <c r="J30" s="78"/>
      <c r="K30" s="79"/>
      <c r="L30" s="76"/>
      <c r="M30" s="76">
        <f>Таблица21339902946[[#This Row],[113]]*Таблица21339902946[[#This Row],[15]]</f>
        <v>0</v>
      </c>
      <c r="N30" s="184"/>
    </row>
    <row r="31" spans="1:17" x14ac:dyDescent="0.2">
      <c r="A31" s="68">
        <v>25</v>
      </c>
      <c r="B31" s="77"/>
      <c r="C31" s="76"/>
      <c r="D31" s="97"/>
      <c r="E31" s="80"/>
      <c r="F31" s="71">
        <f>Таблица21339902946[[#This Row],[ ]]</f>
        <v>25</v>
      </c>
      <c r="G31" s="69"/>
      <c r="H31" s="78"/>
      <c r="I31" s="78"/>
      <c r="J31" s="78"/>
      <c r="K31" s="79"/>
      <c r="L31" s="76"/>
      <c r="M31" s="76">
        <f>Таблица21339902946[[#This Row],[113]]*Таблица21339902946[[#This Row],[15]]</f>
        <v>0</v>
      </c>
      <c r="N31" s="184"/>
    </row>
    <row r="32" spans="1:17" x14ac:dyDescent="0.2">
      <c r="A32" s="68">
        <v>26</v>
      </c>
      <c r="B32" s="77"/>
      <c r="C32" s="76"/>
      <c r="D32" s="76"/>
      <c r="E32" s="80"/>
      <c r="F32" s="71">
        <f>Таблица21339902946[[#This Row],[ ]]</f>
        <v>26</v>
      </c>
      <c r="G32" s="69"/>
      <c r="H32" s="78"/>
      <c r="I32" s="78"/>
      <c r="J32" s="78"/>
      <c r="K32" s="79"/>
      <c r="L32" s="76"/>
      <c r="M32" s="76">
        <f>Таблица21339902946[[#This Row],[113]]*Таблица21339902946[[#This Row],[15]]</f>
        <v>0</v>
      </c>
      <c r="N32" s="184"/>
    </row>
    <row r="33" spans="1:14" x14ac:dyDescent="0.2">
      <c r="A33" s="68">
        <v>27</v>
      </c>
      <c r="B33" s="77"/>
      <c r="C33" s="76"/>
      <c r="D33" s="76"/>
      <c r="E33" s="80"/>
      <c r="F33" s="71">
        <f>Таблица21339902946[[#This Row],[ ]]</f>
        <v>27</v>
      </c>
      <c r="G33" s="69"/>
      <c r="H33" s="78"/>
      <c r="I33" s="78"/>
      <c r="J33" s="78"/>
      <c r="K33" s="79"/>
      <c r="L33" s="76"/>
      <c r="M33" s="76">
        <f>Таблица21339902946[[#This Row],[113]]*Таблица21339902946[[#This Row],[15]]</f>
        <v>0</v>
      </c>
      <c r="N33" s="184"/>
    </row>
    <row r="34" spans="1:14" x14ac:dyDescent="0.2">
      <c r="A34" s="68">
        <v>28</v>
      </c>
      <c r="B34" s="77"/>
      <c r="C34" s="76"/>
      <c r="D34" s="76"/>
      <c r="E34" s="80"/>
      <c r="F34" s="71">
        <f>Таблица21339902946[[#This Row],[ ]]</f>
        <v>28</v>
      </c>
      <c r="G34" s="69"/>
      <c r="H34" s="78"/>
      <c r="I34" s="78"/>
      <c r="J34" s="78"/>
      <c r="K34" s="79"/>
      <c r="L34" s="76"/>
      <c r="M34" s="76">
        <f>Таблица21339902946[[#This Row],[113]]*Таблица21339902946[[#This Row],[15]]</f>
        <v>0</v>
      </c>
      <c r="N34" s="184"/>
    </row>
    <row r="35" spans="1:14" x14ac:dyDescent="0.2">
      <c r="A35" s="68">
        <v>29</v>
      </c>
      <c r="B35" s="77"/>
      <c r="C35" s="76"/>
      <c r="D35" s="76"/>
      <c r="E35" s="80"/>
      <c r="F35" s="71">
        <f>Таблица21339902946[[#This Row],[ ]]</f>
        <v>29</v>
      </c>
      <c r="G35" s="69"/>
      <c r="H35" s="78"/>
      <c r="I35" s="78"/>
      <c r="J35" s="78"/>
      <c r="K35" s="79"/>
      <c r="L35" s="76"/>
      <c r="M35" s="76">
        <f>Таблица21339902946[[#This Row],[113]]*Таблица21339902946[[#This Row],[15]]</f>
        <v>0</v>
      </c>
      <c r="N35" s="184"/>
    </row>
    <row r="36" spans="1:14" x14ac:dyDescent="0.2">
      <c r="A36" s="68">
        <v>30</v>
      </c>
      <c r="B36" s="77"/>
      <c r="C36" s="76"/>
      <c r="D36" s="76"/>
      <c r="E36" s="80"/>
      <c r="F36" s="71">
        <f>Таблица21339902946[[#This Row],[ ]]</f>
        <v>30</v>
      </c>
      <c r="G36" s="69"/>
      <c r="H36" s="78"/>
      <c r="I36" s="78"/>
      <c r="J36" s="78"/>
      <c r="K36" s="79"/>
      <c r="L36" s="76"/>
      <c r="M36" s="76">
        <f>Таблица21339902946[[#This Row],[113]]*Таблица21339902946[[#This Row],[15]]</f>
        <v>0</v>
      </c>
      <c r="N36" s="184"/>
    </row>
    <row r="37" spans="1:14" x14ac:dyDescent="0.2">
      <c r="A37" s="68">
        <v>31</v>
      </c>
      <c r="B37" s="77"/>
      <c r="C37" s="76"/>
      <c r="D37" s="76"/>
      <c r="E37" s="80"/>
      <c r="F37" s="71">
        <f>Таблица21339902946[[#This Row],[ ]]</f>
        <v>31</v>
      </c>
      <c r="G37" s="69"/>
      <c r="H37" s="78"/>
      <c r="I37" s="78"/>
      <c r="J37" s="78"/>
      <c r="K37" s="79"/>
      <c r="L37" s="76"/>
      <c r="M37" s="76">
        <f>Таблица21339902946[[#This Row],[113]]*Таблица21339902946[[#This Row],[15]]</f>
        <v>0</v>
      </c>
      <c r="N37" s="184"/>
    </row>
    <row r="38" spans="1:14" x14ac:dyDescent="0.2">
      <c r="A38" s="68">
        <v>32</v>
      </c>
      <c r="B38" s="77"/>
      <c r="C38" s="76"/>
      <c r="D38" s="76"/>
      <c r="E38" s="80"/>
      <c r="F38" s="71">
        <f>Таблица21339902946[[#This Row],[ ]]</f>
        <v>32</v>
      </c>
      <c r="G38" s="69"/>
      <c r="H38" s="78"/>
      <c r="I38" s="78"/>
      <c r="J38" s="78"/>
      <c r="K38" s="79"/>
      <c r="L38" s="76"/>
      <c r="M38" s="76">
        <f>Таблица21339902946[[#This Row],[113]]*Таблица21339902946[[#This Row],[15]]</f>
        <v>0</v>
      </c>
      <c r="N38" s="184"/>
    </row>
    <row r="39" spans="1:14" x14ac:dyDescent="0.2">
      <c r="A39" s="68">
        <v>33</v>
      </c>
      <c r="B39" s="77"/>
      <c r="C39" s="76"/>
      <c r="D39" s="18"/>
      <c r="E39" s="76"/>
      <c r="F39" s="71">
        <f>Таблица21339902946[[#This Row],[ ]]</f>
        <v>33</v>
      </c>
      <c r="G39" s="69"/>
      <c r="H39" s="78"/>
      <c r="I39" s="78"/>
      <c r="J39" s="78"/>
      <c r="K39" s="79"/>
      <c r="L39" s="76"/>
      <c r="M39" s="76">
        <f>Таблица21339902946[[#This Row],[113]]*Таблица21339902946[[#This Row],[15]]</f>
        <v>0</v>
      </c>
      <c r="N39" s="184"/>
    </row>
    <row r="40" spans="1:14" x14ac:dyDescent="0.2">
      <c r="A40" s="68">
        <v>34</v>
      </c>
      <c r="B40" s="77"/>
      <c r="C40" s="76"/>
      <c r="D40" s="76"/>
      <c r="E40" s="80"/>
      <c r="F40" s="71">
        <f>Таблица21339902946[[#This Row],[ ]]</f>
        <v>34</v>
      </c>
      <c r="G40" s="69"/>
      <c r="H40" s="78"/>
      <c r="I40" s="78"/>
      <c r="J40" s="78"/>
      <c r="K40" s="79"/>
      <c r="L40" s="76"/>
      <c r="M40" s="76">
        <f>Таблица21339902946[[#This Row],[113]]*Таблица21339902946[[#This Row],[15]]</f>
        <v>0</v>
      </c>
      <c r="N40" s="184"/>
    </row>
    <row r="41" spans="1:14" x14ac:dyDescent="0.2">
      <c r="A41" s="68">
        <v>35</v>
      </c>
      <c r="B41" s="77"/>
      <c r="C41" s="76"/>
      <c r="D41" s="76"/>
      <c r="E41" s="80"/>
      <c r="F41" s="71">
        <f>Таблица21339902946[[#This Row],[ ]]</f>
        <v>35</v>
      </c>
      <c r="G41" s="69"/>
      <c r="H41" s="78"/>
      <c r="I41" s="78"/>
      <c r="J41" s="78"/>
      <c r="K41" s="79"/>
      <c r="L41" s="76"/>
      <c r="M41" s="76">
        <f>Таблица21339902946[[#This Row],[113]]*Таблица21339902946[[#This Row],[15]]</f>
        <v>0</v>
      </c>
      <c r="N41" s="184"/>
    </row>
    <row r="42" spans="1:14" x14ac:dyDescent="0.2">
      <c r="A42" s="68">
        <v>36</v>
      </c>
      <c r="B42" s="77"/>
      <c r="C42" s="76"/>
      <c r="D42" s="76"/>
      <c r="E42" s="80"/>
      <c r="F42" s="71">
        <f>Таблица21339902946[[#This Row],[ ]]</f>
        <v>36</v>
      </c>
      <c r="G42" s="69"/>
      <c r="H42" s="78"/>
      <c r="I42" s="78"/>
      <c r="J42" s="78"/>
      <c r="K42" s="79"/>
      <c r="L42" s="76"/>
      <c r="M42" s="76">
        <f>Таблица21339902946[[#This Row],[113]]*Таблица21339902946[[#This Row],[15]]</f>
        <v>0</v>
      </c>
      <c r="N42" s="184"/>
    </row>
    <row r="43" spans="1:14" x14ac:dyDescent="0.2">
      <c r="A43" s="68">
        <v>37</v>
      </c>
      <c r="B43" s="77"/>
      <c r="C43" s="76"/>
      <c r="D43" s="76"/>
      <c r="E43" s="80"/>
      <c r="F43" s="71">
        <f>Таблица21339902946[[#This Row],[ ]]</f>
        <v>37</v>
      </c>
      <c r="G43" s="69"/>
      <c r="H43" s="78"/>
      <c r="I43" s="78"/>
      <c r="J43" s="78"/>
      <c r="K43" s="79"/>
      <c r="L43" s="76"/>
      <c r="M43" s="76">
        <f>Таблица21339902946[[#This Row],[113]]*Таблица21339902946[[#This Row],[15]]</f>
        <v>0</v>
      </c>
      <c r="N43" s="184"/>
    </row>
    <row r="44" spans="1:14" x14ac:dyDescent="0.2">
      <c r="A44" s="68">
        <v>38</v>
      </c>
      <c r="B44" s="77"/>
      <c r="C44" s="76"/>
      <c r="D44" s="76"/>
      <c r="E44" s="80"/>
      <c r="F44" s="71">
        <f>Таблица21339902946[[#This Row],[ ]]</f>
        <v>38</v>
      </c>
      <c r="G44" s="69"/>
      <c r="H44" s="78"/>
      <c r="I44" s="78"/>
      <c r="J44" s="78"/>
      <c r="K44" s="79"/>
      <c r="L44" s="76"/>
      <c r="M44" s="76">
        <f>Таблица21339902946[[#This Row],[113]]*Таблица21339902946[[#This Row],[15]]</f>
        <v>0</v>
      </c>
      <c r="N44" s="184"/>
    </row>
    <row r="45" spans="1:14" x14ac:dyDescent="0.2">
      <c r="A45" s="68">
        <v>39</v>
      </c>
      <c r="B45" s="77"/>
      <c r="C45" s="76"/>
      <c r="D45" s="76"/>
      <c r="E45" s="80"/>
      <c r="F45" s="71">
        <f>Таблица21339902946[[#This Row],[ ]]</f>
        <v>39</v>
      </c>
      <c r="G45" s="69"/>
      <c r="H45" s="78"/>
      <c r="I45" s="78"/>
      <c r="J45" s="78"/>
      <c r="K45" s="79"/>
      <c r="L45" s="76"/>
      <c r="M45" s="76">
        <f>Таблица21339902946[[#This Row],[113]]*Таблица21339902946[[#This Row],[15]]</f>
        <v>0</v>
      </c>
      <c r="N45" s="184"/>
    </row>
    <row r="46" spans="1:14" x14ac:dyDescent="0.2">
      <c r="A46" s="68">
        <v>40</v>
      </c>
      <c r="B46" s="77"/>
      <c r="C46" s="76"/>
      <c r="D46" s="76"/>
      <c r="E46" s="80"/>
      <c r="F46" s="71">
        <f>Таблица21339902946[[#This Row],[ ]]</f>
        <v>40</v>
      </c>
      <c r="G46" s="69"/>
      <c r="H46" s="78"/>
      <c r="I46" s="78"/>
      <c r="J46" s="78"/>
      <c r="K46" s="79"/>
      <c r="L46" s="76"/>
      <c r="M46" s="76">
        <f>Таблица21339902946[[#This Row],[113]]*Таблица21339902946[[#This Row],[15]]</f>
        <v>0</v>
      </c>
      <c r="N46" s="184"/>
    </row>
    <row r="47" spans="1:14" x14ac:dyDescent="0.2">
      <c r="A47" s="68">
        <v>41</v>
      </c>
      <c r="B47" s="77"/>
      <c r="C47" s="76"/>
      <c r="D47" s="76"/>
      <c r="E47" s="80"/>
      <c r="F47" s="71">
        <f>Таблица21339902946[[#This Row],[ ]]</f>
        <v>41</v>
      </c>
      <c r="G47" s="69"/>
      <c r="H47" s="78"/>
      <c r="I47" s="78"/>
      <c r="J47" s="78"/>
      <c r="K47" s="79"/>
      <c r="L47" s="76"/>
      <c r="M47" s="76">
        <f>Таблица21339902946[[#This Row],[113]]*Таблица21339902946[[#This Row],[15]]</f>
        <v>0</v>
      </c>
      <c r="N47" s="184"/>
    </row>
    <row r="48" spans="1:14" x14ac:dyDescent="0.2">
      <c r="A48" s="68">
        <v>42</v>
      </c>
      <c r="B48" s="77"/>
      <c r="C48" s="76"/>
      <c r="D48" s="76"/>
      <c r="E48" s="80"/>
      <c r="F48" s="71">
        <f>Таблица21339902946[[#This Row],[ ]]</f>
        <v>42</v>
      </c>
      <c r="G48" s="69"/>
      <c r="H48" s="78"/>
      <c r="I48" s="78"/>
      <c r="J48" s="78"/>
      <c r="K48" s="79"/>
      <c r="L48" s="76"/>
      <c r="M48" s="76">
        <f>Таблица21339902946[[#This Row],[113]]*Таблица21339902946[[#This Row],[15]]</f>
        <v>0</v>
      </c>
      <c r="N48" s="184"/>
    </row>
    <row r="49" spans="1:14" x14ac:dyDescent="0.2">
      <c r="A49" s="68">
        <v>43</v>
      </c>
      <c r="B49" s="77"/>
      <c r="C49" s="76"/>
      <c r="D49" s="76"/>
      <c r="E49" s="80"/>
      <c r="F49" s="71">
        <f>Таблица21339902946[[#This Row],[ ]]</f>
        <v>43</v>
      </c>
      <c r="G49" s="69"/>
      <c r="H49" s="78"/>
      <c r="I49" s="78"/>
      <c r="J49" s="78"/>
      <c r="K49" s="79"/>
      <c r="L49" s="76"/>
      <c r="M49" s="76">
        <f>Таблица21339902946[[#This Row],[113]]*Таблица21339902946[[#This Row],[15]]</f>
        <v>0</v>
      </c>
      <c r="N49" s="186"/>
    </row>
    <row r="50" spans="1:14" x14ac:dyDescent="0.2">
      <c r="A50" s="82"/>
      <c r="B50" s="45"/>
      <c r="C50" s="76">
        <f>SUBTOTAL(109,Таблица21339902946[2])</f>
        <v>366373200</v>
      </c>
      <c r="D50" s="76"/>
      <c r="E50" s="84"/>
      <c r="F50" s="83"/>
      <c r="G50" s="85"/>
      <c r="H50" s="86"/>
      <c r="I50" s="86"/>
      <c r="J50" s="86"/>
      <c r="K50" s="86">
        <f>SUBTOTAL(109,Таблица21339902946[1132])</f>
        <v>322</v>
      </c>
      <c r="L50" s="88"/>
      <c r="M50" s="88">
        <f>SUBTOTAL(109,Таблица21339902946[16])</f>
        <v>399254400</v>
      </c>
      <c r="N50" s="86"/>
    </row>
  </sheetData>
  <mergeCells count="14">
    <mergeCell ref="M3:M4"/>
    <mergeCell ref="A2:B2"/>
    <mergeCell ref="C2:D2"/>
    <mergeCell ref="F2:G2"/>
    <mergeCell ref="A3:A5"/>
    <mergeCell ref="B3:B5"/>
    <mergeCell ref="F3:F5"/>
    <mergeCell ref="G3:G5"/>
    <mergeCell ref="E3:E4"/>
    <mergeCell ref="H3:H5"/>
    <mergeCell ref="I3:I5"/>
    <mergeCell ref="J3:J5"/>
    <mergeCell ref="K3:K4"/>
    <mergeCell ref="L3:L5"/>
  </mergeCells>
  <phoneticPr fontId="2" type="noConversion"/>
  <hyperlinks>
    <hyperlink ref="D1" location="'Свод Завод'!R4" display="3-Сулаймон Ога Хазарасп" xr:uid="{C8221C20-6BB5-4F9E-9D9D-9CF3E0A782F7}"/>
  </hyperlinks>
  <pageMargins left="0.7" right="0.7" top="0.75" bottom="0.75" header="0.3" footer="0.3"/>
  <pageSetup paperSize="9" scale="56" orientation="landscape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7086-DFF7-4579-8D4C-8B059F2D88F9}">
  <dimension ref="A1:M50"/>
  <sheetViews>
    <sheetView zoomScale="145" zoomScaleNormal="145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1.85546875" style="1" bestFit="1" customWidth="1"/>
    <col min="3" max="3" width="12.855468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11.5703125" style="1" bestFit="1" customWidth="1"/>
    <col min="13" max="13" width="14.285156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118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08"/>
      <c r="F2" s="237">
        <f>Таблица213399029469[[#Totals],[2]]+-Таблица213399029469[[#Totals],[16]]</f>
        <v>0</v>
      </c>
      <c r="G2" s="238"/>
    </row>
    <row r="3" spans="1:13" ht="15" customHeight="1" x14ac:dyDescent="0.2">
      <c r="A3" s="228" t="s">
        <v>27</v>
      </c>
      <c r="B3" s="228" t="s">
        <v>9</v>
      </c>
      <c r="C3" s="109" t="s">
        <v>19</v>
      </c>
      <c r="D3" s="10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Таблица213399029469[[#Totals],[2]]</f>
        <v>47934720</v>
      </c>
      <c r="D5" s="64"/>
      <c r="E5" s="106">
        <f>SUM(Таблица213399029469[4])</f>
        <v>0</v>
      </c>
      <c r="F5" s="233"/>
      <c r="G5" s="233"/>
      <c r="H5" s="233"/>
      <c r="I5" s="224"/>
      <c r="J5" s="224"/>
      <c r="K5" s="65">
        <f>Таблица213399029469[[#Totals],[1132]]</f>
        <v>38</v>
      </c>
      <c r="L5" s="233"/>
      <c r="M5" s="110">
        <f>Таблица213399029469[[#Totals],[16]]</f>
        <v>47934720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46206</v>
      </c>
      <c r="C7" s="70">
        <v>47934720</v>
      </c>
      <c r="D7" s="18" t="s">
        <v>148</v>
      </c>
      <c r="E7" s="76"/>
      <c r="F7" s="71">
        <f>Таблица213399029469[[#This Row],[ ]]</f>
        <v>1</v>
      </c>
      <c r="G7" s="18">
        <v>46203</v>
      </c>
      <c r="H7" s="72" t="s">
        <v>86</v>
      </c>
      <c r="I7" s="73" t="s">
        <v>71</v>
      </c>
      <c r="J7" s="74">
        <v>32.832000000000001</v>
      </c>
      <c r="K7" s="75">
        <v>19</v>
      </c>
      <c r="L7" s="76">
        <v>730000</v>
      </c>
      <c r="M7" s="76">
        <f>Таблица213399029469[[#This Row],[113]]*Таблица213399029469[[#This Row],[15]]</f>
        <v>23967360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Таблица213399029469[[#This Row],[ ]]</f>
        <v>2</v>
      </c>
      <c r="G8" s="69">
        <v>46203</v>
      </c>
      <c r="H8" s="78" t="s">
        <v>119</v>
      </c>
      <c r="I8" s="78" t="s">
        <v>71</v>
      </c>
      <c r="J8" s="78">
        <v>32.832000000000001</v>
      </c>
      <c r="K8" s="76">
        <v>19</v>
      </c>
      <c r="L8" s="76">
        <v>730000</v>
      </c>
      <c r="M8" s="76">
        <f>Таблица213399029469[[#This Row],[113]]*Таблица213399029469[[#This Row],[15]]</f>
        <v>23967360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Таблица213399029469[[#This Row],[ ]]</f>
        <v>3</v>
      </c>
      <c r="G9" s="69"/>
      <c r="H9" s="78"/>
      <c r="I9" s="78"/>
      <c r="J9" s="78"/>
      <c r="K9" s="76"/>
      <c r="L9" s="79"/>
      <c r="M9" s="76">
        <f>Таблица213399029469[[#This Row],[113]]*Таблица213399029469[[#This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Таблица213399029469[[#This Row],[ ]]</f>
        <v>4</v>
      </c>
      <c r="G10" s="69"/>
      <c r="H10" s="78"/>
      <c r="I10" s="78"/>
      <c r="J10" s="78"/>
      <c r="K10" s="76"/>
      <c r="L10" s="79"/>
      <c r="M10" s="76">
        <f>Таблица213399029469[[#This Row],[113]]*Таблица213399029469[[#This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Таблица213399029469[[#This Row],[ ]]</f>
        <v>5</v>
      </c>
      <c r="G11" s="69"/>
      <c r="H11" s="78"/>
      <c r="I11" s="78"/>
      <c r="J11" s="78"/>
      <c r="K11" s="76"/>
      <c r="L11" s="79"/>
      <c r="M11" s="76">
        <f>Таблица213399029469[[#This Row],[113]]*Таблица213399029469[[#This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Таблица213399029469[[#This Row],[ ]]</f>
        <v>6</v>
      </c>
      <c r="G12" s="69"/>
      <c r="H12" s="78"/>
      <c r="I12" s="78"/>
      <c r="J12" s="78"/>
      <c r="K12" s="76"/>
      <c r="L12" s="79"/>
      <c r="M12" s="76">
        <f>Таблица213399029469[[#This Row],[113]]*Таблица213399029469[[#This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Таблица213399029469[[#This Row],[ ]]</f>
        <v>7</v>
      </c>
      <c r="G13" s="69"/>
      <c r="H13" s="78"/>
      <c r="I13" s="78"/>
      <c r="J13" s="78"/>
      <c r="K13" s="79"/>
      <c r="L13" s="76"/>
      <c r="M13" s="76">
        <f>Таблица213399029469[[#This Row],[113]]*Таблица213399029469[[#This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Таблица213399029469[[#This Row],[ ]]</f>
        <v>8</v>
      </c>
      <c r="G14" s="69"/>
      <c r="H14" s="78"/>
      <c r="I14" s="78"/>
      <c r="J14" s="78"/>
      <c r="K14" s="79"/>
      <c r="L14" s="76"/>
      <c r="M14" s="76">
        <f>Таблица213399029469[[#This Row],[113]]*Таблица213399029469[[#This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Таблица213399029469[[#This Row],[ ]]</f>
        <v>9</v>
      </c>
      <c r="G15" s="69"/>
      <c r="H15" s="78"/>
      <c r="I15" s="78"/>
      <c r="J15" s="78"/>
      <c r="K15" s="79"/>
      <c r="L15" s="76"/>
      <c r="M15" s="76">
        <f>Таблица213399029469[[#This Row],[113]]*Таблица213399029469[[#This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Таблица213399029469[[#This Row],[ ]]</f>
        <v>10</v>
      </c>
      <c r="G16" s="69"/>
      <c r="H16" s="78"/>
      <c r="I16" s="78"/>
      <c r="J16" s="78"/>
      <c r="K16" s="79"/>
      <c r="L16" s="76"/>
      <c r="M16" s="76">
        <f>Таблица213399029469[[#This Row],[113]]*Таблица213399029469[[#This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Таблица213399029469[[#This Row],[ ]]</f>
        <v>11</v>
      </c>
      <c r="G17" s="69"/>
      <c r="H17" s="78"/>
      <c r="I17" s="78"/>
      <c r="J17" s="78"/>
      <c r="K17" s="79"/>
      <c r="L17" s="76"/>
      <c r="M17" s="76">
        <f>Таблица213399029469[[#This Row],[113]]*Таблица213399029469[[#This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Таблица213399029469[[#This Row],[ ]]</f>
        <v>12</v>
      </c>
      <c r="G18" s="69"/>
      <c r="H18" s="78"/>
      <c r="I18" s="78"/>
      <c r="J18" s="78"/>
      <c r="K18" s="79"/>
      <c r="L18" s="76"/>
      <c r="M18" s="76">
        <f>Таблица213399029469[[#This Row],[113]]*Таблица213399029469[[#This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Таблица213399029469[[#This Row],[ ]]</f>
        <v>13</v>
      </c>
      <c r="G19" s="69"/>
      <c r="H19" s="78"/>
      <c r="I19" s="78"/>
      <c r="J19" s="78"/>
      <c r="K19" s="79"/>
      <c r="L19" s="76"/>
      <c r="M19" s="76">
        <f>Таблица213399029469[[#This Row],[113]]*Таблица213399029469[[#This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Таблица213399029469[[#This Row],[ ]]</f>
        <v>14</v>
      </c>
      <c r="G20" s="69"/>
      <c r="H20" s="78"/>
      <c r="I20" s="78"/>
      <c r="J20" s="78"/>
      <c r="K20" s="79"/>
      <c r="L20" s="76"/>
      <c r="M20" s="76">
        <f>Таблица213399029469[[#This Row],[113]]*Таблица213399029469[[#This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Таблица213399029469[[#This Row],[ ]]</f>
        <v>15</v>
      </c>
      <c r="G21" s="69"/>
      <c r="H21" s="78"/>
      <c r="I21" s="78"/>
      <c r="J21" s="78"/>
      <c r="K21" s="79"/>
      <c r="L21" s="76"/>
      <c r="M21" s="76">
        <f>Таблица213399029469[[#This Row],[113]]*Таблица213399029469[[#This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Таблица213399029469[[#This Row],[ ]]</f>
        <v>16</v>
      </c>
      <c r="G22" s="69"/>
      <c r="H22" s="78"/>
      <c r="I22" s="78"/>
      <c r="J22" s="78"/>
      <c r="K22" s="79"/>
      <c r="L22" s="76"/>
      <c r="M22" s="76">
        <f>Таблица213399029469[[#This Row],[113]]*Таблица213399029469[[#This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Таблица213399029469[[#This Row],[ ]]</f>
        <v>17</v>
      </c>
      <c r="G23" s="69"/>
      <c r="H23" s="78"/>
      <c r="I23" s="78"/>
      <c r="J23" s="78"/>
      <c r="K23" s="79"/>
      <c r="L23" s="76"/>
      <c r="M23" s="76">
        <f>Таблица213399029469[[#This Row],[113]]*Таблица213399029469[[#This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Таблица213399029469[[#This Row],[ ]]</f>
        <v>18</v>
      </c>
      <c r="G24" s="69"/>
      <c r="H24" s="78"/>
      <c r="I24" s="78"/>
      <c r="J24" s="78"/>
      <c r="K24" s="79"/>
      <c r="L24" s="76"/>
      <c r="M24" s="76">
        <f>Таблица213399029469[[#This Row],[113]]*Таблица213399029469[[#This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Таблица213399029469[[#This Row],[ ]]</f>
        <v>19</v>
      </c>
      <c r="G25" s="69"/>
      <c r="H25" s="78"/>
      <c r="I25" s="78"/>
      <c r="J25" s="78"/>
      <c r="K25" s="79"/>
      <c r="L25" s="76"/>
      <c r="M25" s="76">
        <f>Таблица213399029469[[#This Row],[113]]*Таблица213399029469[[#This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Таблица213399029469[[#This Row],[ ]]</f>
        <v>20</v>
      </c>
      <c r="G26" s="69"/>
      <c r="H26" s="78"/>
      <c r="I26" s="78"/>
      <c r="J26" s="78"/>
      <c r="K26" s="79"/>
      <c r="L26" s="76"/>
      <c r="M26" s="76">
        <f>Таблица213399029469[[#This Row],[113]]*Таблица213399029469[[#This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Таблица213399029469[[#This Row],[ ]]</f>
        <v>21</v>
      </c>
      <c r="G27" s="69"/>
      <c r="H27" s="78"/>
      <c r="I27" s="78"/>
      <c r="J27" s="78"/>
      <c r="K27" s="79"/>
      <c r="L27" s="76"/>
      <c r="M27" s="76">
        <f>Таблица213399029469[[#This Row],[113]]*Таблица213399029469[[#This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Таблица213399029469[[#This Row],[ ]]</f>
        <v>22</v>
      </c>
      <c r="G28" s="69"/>
      <c r="H28" s="78"/>
      <c r="I28" s="78"/>
      <c r="J28" s="78"/>
      <c r="K28" s="79"/>
      <c r="L28" s="76"/>
      <c r="M28" s="76">
        <f>Таблица213399029469[[#This Row],[113]]*Таблица213399029469[[#This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Таблица213399029469[[#This Row],[ ]]</f>
        <v>23</v>
      </c>
      <c r="G29" s="69"/>
      <c r="H29" s="78"/>
      <c r="I29" s="78"/>
      <c r="J29" s="78"/>
      <c r="K29" s="79"/>
      <c r="L29" s="76"/>
      <c r="M29" s="76">
        <f>Таблица213399029469[[#This Row],[113]]*Таблица213399029469[[#This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Таблица213399029469[[#This Row],[ ]]</f>
        <v>24</v>
      </c>
      <c r="G30" s="69"/>
      <c r="H30" s="78"/>
      <c r="I30" s="78"/>
      <c r="J30" s="78"/>
      <c r="K30" s="79"/>
      <c r="L30" s="76"/>
      <c r="M30" s="76">
        <f>Таблица213399029469[[#This Row],[113]]*Таблица213399029469[[#This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Таблица213399029469[[#This Row],[ ]]</f>
        <v>25</v>
      </c>
      <c r="G31" s="69"/>
      <c r="H31" s="78"/>
      <c r="I31" s="78"/>
      <c r="J31" s="78"/>
      <c r="K31" s="79"/>
      <c r="L31" s="76"/>
      <c r="M31" s="76">
        <f>Таблица213399029469[[#This Row],[113]]*Таблица213399029469[[#This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Таблица213399029469[[#This Row],[ ]]</f>
        <v>26</v>
      </c>
      <c r="G32" s="69"/>
      <c r="H32" s="78"/>
      <c r="I32" s="78"/>
      <c r="J32" s="78"/>
      <c r="K32" s="79"/>
      <c r="L32" s="76"/>
      <c r="M32" s="76">
        <f>Таблица213399029469[[#This Row],[113]]*Таблица213399029469[[#This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Таблица213399029469[[#This Row],[ ]]</f>
        <v>27</v>
      </c>
      <c r="G33" s="69"/>
      <c r="H33" s="78"/>
      <c r="I33" s="78"/>
      <c r="J33" s="78"/>
      <c r="K33" s="79"/>
      <c r="L33" s="76"/>
      <c r="M33" s="76">
        <f>Таблица213399029469[[#This Row],[113]]*Таблица213399029469[[#This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Таблица213399029469[[#This Row],[ ]]</f>
        <v>28</v>
      </c>
      <c r="G34" s="69"/>
      <c r="H34" s="78"/>
      <c r="I34" s="78"/>
      <c r="J34" s="78"/>
      <c r="K34" s="79"/>
      <c r="L34" s="76"/>
      <c r="M34" s="76">
        <f>Таблица213399029469[[#This Row],[113]]*Таблица213399029469[[#This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Таблица213399029469[[#This Row],[ ]]</f>
        <v>29</v>
      </c>
      <c r="G35" s="69"/>
      <c r="H35" s="78"/>
      <c r="I35" s="78"/>
      <c r="J35" s="78"/>
      <c r="K35" s="79"/>
      <c r="L35" s="76"/>
      <c r="M35" s="76">
        <f>Таблица213399029469[[#This Row],[113]]*Таблица213399029469[[#This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Таблица213399029469[[#This Row],[ ]]</f>
        <v>30</v>
      </c>
      <c r="G36" s="69"/>
      <c r="H36" s="78"/>
      <c r="I36" s="78"/>
      <c r="J36" s="78"/>
      <c r="K36" s="79"/>
      <c r="L36" s="76"/>
      <c r="M36" s="76">
        <f>Таблица213399029469[[#This Row],[113]]*Таблица213399029469[[#This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Таблица213399029469[[#This Row],[ ]]</f>
        <v>31</v>
      </c>
      <c r="G37" s="69"/>
      <c r="H37" s="78"/>
      <c r="I37" s="78"/>
      <c r="J37" s="78"/>
      <c r="K37" s="79"/>
      <c r="L37" s="76"/>
      <c r="M37" s="76">
        <f>Таблица213399029469[[#This Row],[113]]*Таблица213399029469[[#This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Таблица213399029469[[#This Row],[ ]]</f>
        <v>32</v>
      </c>
      <c r="G38" s="69"/>
      <c r="H38" s="78"/>
      <c r="I38" s="78"/>
      <c r="J38" s="78"/>
      <c r="K38" s="79"/>
      <c r="L38" s="76"/>
      <c r="M38" s="76">
        <f>Таблица213399029469[[#This Row],[113]]*Таблица213399029469[[#This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Таблица213399029469[[#This Row],[ ]]</f>
        <v>33</v>
      </c>
      <c r="G39" s="69"/>
      <c r="H39" s="78"/>
      <c r="I39" s="78"/>
      <c r="J39" s="78"/>
      <c r="K39" s="79"/>
      <c r="L39" s="76"/>
      <c r="M39" s="76">
        <f>Таблица213399029469[[#This Row],[113]]*Таблица213399029469[[#This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Таблица213399029469[[#This Row],[ ]]</f>
        <v>34</v>
      </c>
      <c r="G40" s="69"/>
      <c r="H40" s="78"/>
      <c r="I40" s="78"/>
      <c r="J40" s="78"/>
      <c r="K40" s="79"/>
      <c r="L40" s="76"/>
      <c r="M40" s="76">
        <f>Таблица213399029469[[#This Row],[113]]*Таблица213399029469[[#This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Таблица213399029469[[#This Row],[ ]]</f>
        <v>35</v>
      </c>
      <c r="G41" s="69"/>
      <c r="H41" s="78"/>
      <c r="I41" s="78"/>
      <c r="J41" s="78"/>
      <c r="K41" s="79"/>
      <c r="L41" s="76"/>
      <c r="M41" s="76">
        <f>Таблица213399029469[[#This Row],[113]]*Таблица213399029469[[#This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Таблица213399029469[[#This Row],[ ]]</f>
        <v>36</v>
      </c>
      <c r="G42" s="69"/>
      <c r="H42" s="78"/>
      <c r="I42" s="78"/>
      <c r="J42" s="78"/>
      <c r="K42" s="79"/>
      <c r="L42" s="76"/>
      <c r="M42" s="76">
        <f>Таблица213399029469[[#This Row],[113]]*Таблица213399029469[[#This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Таблица213399029469[[#This Row],[ ]]</f>
        <v>37</v>
      </c>
      <c r="G43" s="69"/>
      <c r="H43" s="78"/>
      <c r="I43" s="78"/>
      <c r="J43" s="78"/>
      <c r="K43" s="79"/>
      <c r="L43" s="76"/>
      <c r="M43" s="76">
        <f>Таблица213399029469[[#This Row],[113]]*Таблица213399029469[[#This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Таблица213399029469[[#This Row],[ ]]</f>
        <v>38</v>
      </c>
      <c r="G44" s="69"/>
      <c r="H44" s="78"/>
      <c r="I44" s="78"/>
      <c r="J44" s="78"/>
      <c r="K44" s="79"/>
      <c r="L44" s="76"/>
      <c r="M44" s="76">
        <f>Таблица213399029469[[#This Row],[113]]*Таблица213399029469[[#This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Таблица213399029469[[#This Row],[ ]]</f>
        <v>39</v>
      </c>
      <c r="G45" s="69"/>
      <c r="H45" s="78"/>
      <c r="I45" s="78"/>
      <c r="J45" s="78"/>
      <c r="K45" s="79"/>
      <c r="L45" s="76"/>
      <c r="M45" s="76">
        <f>Таблица213399029469[[#This Row],[113]]*Таблица213399029469[[#This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Таблица213399029469[[#This Row],[ ]]</f>
        <v>40</v>
      </c>
      <c r="G46" s="69"/>
      <c r="H46" s="78"/>
      <c r="I46" s="78"/>
      <c r="J46" s="78"/>
      <c r="K46" s="79"/>
      <c r="L46" s="76"/>
      <c r="M46" s="76">
        <f>Таблица213399029469[[#This Row],[113]]*Таблица213399029469[[#This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Таблица213399029469[[#This Row],[ ]]</f>
        <v>41</v>
      </c>
      <c r="G47" s="69"/>
      <c r="H47" s="78"/>
      <c r="I47" s="78"/>
      <c r="J47" s="78"/>
      <c r="K47" s="79"/>
      <c r="L47" s="76"/>
      <c r="M47" s="76">
        <f>Таблица213399029469[[#This Row],[113]]*Таблица213399029469[[#This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Таблица213399029469[[#This Row],[ ]]</f>
        <v>42</v>
      </c>
      <c r="G48" s="69"/>
      <c r="H48" s="78"/>
      <c r="I48" s="78"/>
      <c r="J48" s="78"/>
      <c r="K48" s="79"/>
      <c r="L48" s="76"/>
      <c r="M48" s="76">
        <f>Таблица213399029469[[#This Row],[113]]*Таблица213399029469[[#This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Таблица213399029469[[#This Row],[ ]]</f>
        <v>43</v>
      </c>
      <c r="G49" s="69"/>
      <c r="H49" s="78"/>
      <c r="I49" s="78"/>
      <c r="J49" s="78"/>
      <c r="K49" s="79"/>
      <c r="L49" s="76"/>
      <c r="M49" s="76">
        <f>Таблица213399029469[[#This Row],[113]]*Таблица213399029469[[#This Row],[15]]</f>
        <v>0</v>
      </c>
    </row>
    <row r="50" spans="1:13" x14ac:dyDescent="0.2">
      <c r="A50" s="82"/>
      <c r="B50" s="45"/>
      <c r="C50" s="76">
        <f>SUBTOTAL(109,Таблица213399029469[2])</f>
        <v>47934720</v>
      </c>
      <c r="D50" s="76"/>
      <c r="E50" s="84"/>
      <c r="F50" s="83"/>
      <c r="G50" s="85"/>
      <c r="H50" s="86"/>
      <c r="I50" s="86"/>
      <c r="J50" s="86"/>
      <c r="K50" s="86">
        <f>SUBTOTAL(109,Таблица213399029469[1132])</f>
        <v>38</v>
      </c>
      <c r="L50" s="88"/>
      <c r="M50" s="88">
        <f>SUBTOTAL(109,Таблица213399029469[16])</f>
        <v>47934720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hyperlinks>
    <hyperlink ref="D1" location="'Свод Завод'!R4" display="3-Сулаймон Ога Хазарасп" xr:uid="{EF1A8F58-48F3-4416-ACDF-6B6DE0976938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4C7F-002C-4052-B399-DF48249B2525}">
  <dimension ref="A1:P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1.85546875" style="1" bestFit="1" customWidth="1"/>
    <col min="3" max="3" width="14.2851562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11.5703125" style="1" bestFit="1" customWidth="1"/>
    <col min="13" max="13" width="14.28515625" style="1" bestFit="1" customWidth="1"/>
    <col min="14" max="14" width="10.5703125" style="1" bestFit="1" customWidth="1"/>
    <col min="15" max="15" width="9.42578125" style="1" bestFit="1" customWidth="1"/>
    <col min="16" max="16" width="11.85546875" style="1" bestFit="1" customWidth="1"/>
    <col min="17" max="16384" width="9.140625" style="1"/>
  </cols>
  <sheetData>
    <row r="1" spans="1:16" ht="18" customHeight="1" x14ac:dyDescent="0.3">
      <c r="A1" s="90"/>
      <c r="B1" s="91"/>
      <c r="C1" s="92" t="s">
        <v>26</v>
      </c>
      <c r="D1" s="111" t="s">
        <v>174</v>
      </c>
      <c r="E1" s="105"/>
      <c r="H1" s="1" t="s">
        <v>177</v>
      </c>
      <c r="I1" s="1">
        <f>SUMIFS(C:C,D:D,J1)</f>
        <v>2000000</v>
      </c>
      <c r="J1" s="18" t="s">
        <v>176</v>
      </c>
    </row>
    <row r="2" spans="1:16" ht="20.25" x14ac:dyDescent="0.2">
      <c r="A2" s="226" t="s">
        <v>25</v>
      </c>
      <c r="B2" s="226"/>
      <c r="C2" s="227"/>
      <c r="D2" s="227"/>
      <c r="E2" s="160"/>
      <c r="F2" s="237">
        <f>Таблица21339902946915[[#Totals],[2]]+-Таблица21339902946915[[#Totals],[16]]</f>
        <v>0</v>
      </c>
      <c r="G2" s="238"/>
    </row>
    <row r="3" spans="1:16" ht="15" customHeight="1" x14ac:dyDescent="0.2">
      <c r="A3" s="228" t="s">
        <v>27</v>
      </c>
      <c r="B3" s="228" t="s">
        <v>9</v>
      </c>
      <c r="C3" s="161" t="s">
        <v>19</v>
      </c>
      <c r="D3" s="161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6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6" ht="15.75" x14ac:dyDescent="0.2">
      <c r="A5" s="228"/>
      <c r="B5" s="228"/>
      <c r="C5" s="95">
        <f>Таблица21339902946915[[#Totals],[2]]</f>
        <v>68947200</v>
      </c>
      <c r="D5" s="64"/>
      <c r="E5" s="106">
        <f>SUM(Таблица21339902946915[4])</f>
        <v>0</v>
      </c>
      <c r="F5" s="233"/>
      <c r="G5" s="233"/>
      <c r="H5" s="233"/>
      <c r="I5" s="224"/>
      <c r="J5" s="224"/>
      <c r="K5" s="65">
        <f>Таблица21339902946915[[#Totals],[1132]]</f>
        <v>57</v>
      </c>
      <c r="L5" s="233"/>
      <c r="M5" s="162">
        <f>Таблица21339902946915[[#Totals],[16]]</f>
        <v>68947200</v>
      </c>
    </row>
    <row r="6" spans="1:16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  <c r="N6" s="187" t="s">
        <v>243</v>
      </c>
      <c r="P6" s="49"/>
    </row>
    <row r="7" spans="1:16" ht="15" x14ac:dyDescent="0.2">
      <c r="A7" s="68">
        <v>1</v>
      </c>
      <c r="B7" s="69">
        <v>46209</v>
      </c>
      <c r="C7" s="70">
        <v>20982400</v>
      </c>
      <c r="D7" s="18" t="s">
        <v>170</v>
      </c>
      <c r="E7" s="76"/>
      <c r="F7" s="71">
        <f>Таблица21339902946915[[#This Row],[ ]]</f>
        <v>1</v>
      </c>
      <c r="G7" s="18">
        <v>46209</v>
      </c>
      <c r="H7" s="72" t="s">
        <v>134</v>
      </c>
      <c r="I7" s="73" t="s">
        <v>71</v>
      </c>
      <c r="J7" s="74">
        <v>32.832000000000001</v>
      </c>
      <c r="K7" s="75">
        <v>19</v>
      </c>
      <c r="L7" s="76">
        <v>700000</v>
      </c>
      <c r="M7" s="76">
        <f>Таблица21339902946915[[#This Row],[113]]*Таблица21339902946915[[#This Row],[15]]</f>
        <v>22982400</v>
      </c>
      <c r="N7" s="185"/>
    </row>
    <row r="8" spans="1:16" x14ac:dyDescent="0.2">
      <c r="A8" s="68">
        <v>2</v>
      </c>
      <c r="B8" s="69">
        <v>46209</v>
      </c>
      <c r="C8" s="76">
        <v>2000000</v>
      </c>
      <c r="D8" s="18" t="s">
        <v>176</v>
      </c>
      <c r="E8" s="76"/>
      <c r="F8" s="71">
        <f>Таблица21339902946915[[#This Row],[ ]]</f>
        <v>2</v>
      </c>
      <c r="G8" s="18">
        <v>46209</v>
      </c>
      <c r="H8" s="72" t="s">
        <v>134</v>
      </c>
      <c r="I8" s="73" t="s">
        <v>71</v>
      </c>
      <c r="J8" s="74">
        <v>32.832000000000001</v>
      </c>
      <c r="K8" s="75">
        <v>19</v>
      </c>
      <c r="L8" s="76">
        <v>700000</v>
      </c>
      <c r="M8" s="76">
        <f>Таблица21339902946915[[#This Row],[113]]*Таблица21339902946915[[#This Row],[15]]</f>
        <v>22982400</v>
      </c>
      <c r="N8" s="184">
        <v>2200000</v>
      </c>
    </row>
    <row r="9" spans="1:16" x14ac:dyDescent="0.2">
      <c r="A9" s="68">
        <v>3</v>
      </c>
      <c r="B9" s="193">
        <v>46213</v>
      </c>
      <c r="C9" s="194">
        <v>41564800</v>
      </c>
      <c r="D9" s="195" t="s">
        <v>170</v>
      </c>
      <c r="E9" s="76"/>
      <c r="F9" s="71">
        <f>Таблица21339902946915[[#This Row],[ ]]</f>
        <v>3</v>
      </c>
      <c r="G9" s="18">
        <v>46217</v>
      </c>
      <c r="H9" s="72" t="s">
        <v>266</v>
      </c>
      <c r="I9" s="73" t="s">
        <v>83</v>
      </c>
      <c r="J9" s="74">
        <v>32.832000000000001</v>
      </c>
      <c r="K9" s="75">
        <v>19</v>
      </c>
      <c r="L9" s="76">
        <v>700000</v>
      </c>
      <c r="M9" s="76">
        <f>Таблица21339902946915[[#This Row],[113]]*Таблица21339902946915[[#This Row],[15]]</f>
        <v>22982400</v>
      </c>
      <c r="N9" s="184">
        <v>2500000</v>
      </c>
    </row>
    <row r="10" spans="1:16" x14ac:dyDescent="0.2">
      <c r="A10" s="68">
        <v>4</v>
      </c>
      <c r="B10" s="193">
        <v>46213</v>
      </c>
      <c r="C10" s="194">
        <v>4620000</v>
      </c>
      <c r="D10" s="195" t="s">
        <v>170</v>
      </c>
      <c r="E10" s="76"/>
      <c r="F10" s="71">
        <f>Таблица21339902946915[[#This Row],[ ]]</f>
        <v>4</v>
      </c>
      <c r="G10" s="69"/>
      <c r="H10" s="78"/>
      <c r="I10" s="78"/>
      <c r="J10" s="78"/>
      <c r="K10" s="76"/>
      <c r="L10" s="79"/>
      <c r="M10" s="76">
        <f>Таблица21339902946915[[#This Row],[113]]*Таблица21339902946915[[#This Row],[15]]</f>
        <v>0</v>
      </c>
      <c r="N10" s="184"/>
      <c r="O10" s="192"/>
    </row>
    <row r="11" spans="1:16" x14ac:dyDescent="0.2">
      <c r="A11" s="68">
        <v>5</v>
      </c>
      <c r="B11" s="77">
        <v>46213</v>
      </c>
      <c r="C11" s="76">
        <v>-220000</v>
      </c>
      <c r="D11" s="18" t="s">
        <v>253</v>
      </c>
      <c r="E11" s="76"/>
      <c r="F11" s="71">
        <f>Таблица21339902946915[[#This Row],[ ]]</f>
        <v>5</v>
      </c>
      <c r="G11" s="69"/>
      <c r="H11" s="78"/>
      <c r="I11" s="78"/>
      <c r="J11" s="78"/>
      <c r="K11" s="76"/>
      <c r="L11" s="79"/>
      <c r="M11" s="76">
        <f>Таблица21339902946915[[#This Row],[113]]*Таблица21339902946915[[#This Row],[15]]</f>
        <v>0</v>
      </c>
      <c r="N11" s="184"/>
    </row>
    <row r="12" spans="1:16" x14ac:dyDescent="0.2">
      <c r="A12" s="68">
        <v>6</v>
      </c>
      <c r="B12" s="77"/>
      <c r="C12" s="76"/>
      <c r="D12" s="18"/>
      <c r="E12" s="76"/>
      <c r="F12" s="71">
        <f>Таблица21339902946915[[#This Row],[ ]]</f>
        <v>6</v>
      </c>
      <c r="G12" s="69"/>
      <c r="H12" s="78"/>
      <c r="I12" s="78"/>
      <c r="J12" s="78"/>
      <c r="K12" s="76"/>
      <c r="L12" s="79"/>
      <c r="M12" s="76">
        <f>Таблица21339902946915[[#This Row],[113]]*Таблица21339902946915[[#This Row],[15]]</f>
        <v>0</v>
      </c>
      <c r="N12" s="184"/>
    </row>
    <row r="13" spans="1:16" x14ac:dyDescent="0.2">
      <c r="A13" s="68">
        <v>7</v>
      </c>
      <c r="B13" s="77"/>
      <c r="C13" s="76"/>
      <c r="D13" s="18"/>
      <c r="E13" s="76"/>
      <c r="F13" s="71">
        <f>Таблица21339902946915[[#This Row],[ ]]</f>
        <v>7</v>
      </c>
      <c r="G13" s="69"/>
      <c r="H13" s="78"/>
      <c r="I13" s="78"/>
      <c r="J13" s="78"/>
      <c r="K13" s="79"/>
      <c r="L13" s="76"/>
      <c r="M13" s="76">
        <f>Таблица21339902946915[[#This Row],[113]]*Таблица21339902946915[[#This Row],[15]]</f>
        <v>0</v>
      </c>
      <c r="N13" s="184"/>
    </row>
    <row r="14" spans="1:16" x14ac:dyDescent="0.2">
      <c r="A14" s="68">
        <v>8</v>
      </c>
      <c r="B14" s="77"/>
      <c r="C14" s="76"/>
      <c r="D14" s="18"/>
      <c r="E14" s="76"/>
      <c r="F14" s="71">
        <f>Таблица21339902946915[[#This Row],[ ]]</f>
        <v>8</v>
      </c>
      <c r="G14" s="69"/>
      <c r="H14" s="78"/>
      <c r="I14" s="78"/>
      <c r="J14" s="78"/>
      <c r="K14" s="79"/>
      <c r="L14" s="76"/>
      <c r="M14" s="76">
        <f>Таблица21339902946915[[#This Row],[113]]*Таблица21339902946915[[#This Row],[15]]</f>
        <v>0</v>
      </c>
      <c r="N14" s="184"/>
    </row>
    <row r="15" spans="1:16" x14ac:dyDescent="0.2">
      <c r="A15" s="68">
        <v>9</v>
      </c>
      <c r="B15" s="77"/>
      <c r="C15" s="76"/>
      <c r="D15" s="18"/>
      <c r="E15" s="76"/>
      <c r="F15" s="71">
        <f>Таблица21339902946915[[#This Row],[ ]]</f>
        <v>9</v>
      </c>
      <c r="G15" s="69"/>
      <c r="H15" s="78"/>
      <c r="I15" s="78"/>
      <c r="J15" s="78"/>
      <c r="K15" s="79"/>
      <c r="L15" s="76"/>
      <c r="M15" s="76">
        <f>Таблица21339902946915[[#This Row],[113]]*Таблица21339902946915[[#This Row],[15]]</f>
        <v>0</v>
      </c>
      <c r="N15" s="184"/>
    </row>
    <row r="16" spans="1:16" x14ac:dyDescent="0.2">
      <c r="A16" s="68">
        <v>10</v>
      </c>
      <c r="B16" s="77"/>
      <c r="C16" s="76"/>
      <c r="D16" s="18"/>
      <c r="E16" s="76"/>
      <c r="F16" s="71">
        <f>Таблица21339902946915[[#This Row],[ ]]</f>
        <v>10</v>
      </c>
      <c r="G16" s="69"/>
      <c r="H16" s="78"/>
      <c r="I16" s="78"/>
      <c r="J16" s="78"/>
      <c r="K16" s="79"/>
      <c r="L16" s="76"/>
      <c r="M16" s="76">
        <f>Таблица21339902946915[[#This Row],[113]]*Таблица21339902946915[[#This Row],[15]]</f>
        <v>0</v>
      </c>
      <c r="N16" s="184"/>
    </row>
    <row r="17" spans="1:14" x14ac:dyDescent="0.2">
      <c r="A17" s="68">
        <v>11</v>
      </c>
      <c r="B17" s="77"/>
      <c r="C17" s="76"/>
      <c r="D17" s="18"/>
      <c r="E17" s="76"/>
      <c r="F17" s="71">
        <f>Таблица21339902946915[[#This Row],[ ]]</f>
        <v>11</v>
      </c>
      <c r="G17" s="69"/>
      <c r="H17" s="78"/>
      <c r="I17" s="78"/>
      <c r="J17" s="78"/>
      <c r="K17" s="79"/>
      <c r="L17" s="76"/>
      <c r="M17" s="76">
        <f>Таблица21339902946915[[#This Row],[113]]*Таблица21339902946915[[#This Row],[15]]</f>
        <v>0</v>
      </c>
      <c r="N17" s="184"/>
    </row>
    <row r="18" spans="1:14" x14ac:dyDescent="0.2">
      <c r="A18" s="68">
        <v>12</v>
      </c>
      <c r="B18" s="77"/>
      <c r="C18" s="76"/>
      <c r="D18" s="18"/>
      <c r="E18" s="76"/>
      <c r="F18" s="71">
        <f>Таблица21339902946915[[#This Row],[ ]]</f>
        <v>12</v>
      </c>
      <c r="G18" s="69"/>
      <c r="H18" s="78"/>
      <c r="I18" s="78"/>
      <c r="J18" s="78"/>
      <c r="K18" s="79"/>
      <c r="L18" s="76"/>
      <c r="M18" s="76">
        <f>Таблица21339902946915[[#This Row],[113]]*Таблица21339902946915[[#This Row],[15]]</f>
        <v>0</v>
      </c>
      <c r="N18" s="184"/>
    </row>
    <row r="19" spans="1:14" x14ac:dyDescent="0.2">
      <c r="A19" s="68">
        <v>13</v>
      </c>
      <c r="B19" s="77"/>
      <c r="C19" s="76"/>
      <c r="D19" s="18"/>
      <c r="E19" s="76"/>
      <c r="F19" s="71">
        <f>Таблица21339902946915[[#This Row],[ ]]</f>
        <v>13</v>
      </c>
      <c r="G19" s="69"/>
      <c r="H19" s="78"/>
      <c r="I19" s="78"/>
      <c r="J19" s="78"/>
      <c r="K19" s="79"/>
      <c r="L19" s="76"/>
      <c r="M19" s="76">
        <f>Таблица21339902946915[[#This Row],[113]]*Таблица21339902946915[[#This Row],[15]]</f>
        <v>0</v>
      </c>
      <c r="N19" s="184"/>
    </row>
    <row r="20" spans="1:14" x14ac:dyDescent="0.2">
      <c r="A20" s="68">
        <v>14</v>
      </c>
      <c r="B20" s="77"/>
      <c r="C20" s="76"/>
      <c r="D20" s="18"/>
      <c r="E20" s="76"/>
      <c r="F20" s="71">
        <f>Таблица21339902946915[[#This Row],[ ]]</f>
        <v>14</v>
      </c>
      <c r="G20" s="69"/>
      <c r="H20" s="78"/>
      <c r="I20" s="78"/>
      <c r="J20" s="78"/>
      <c r="K20" s="79"/>
      <c r="L20" s="76"/>
      <c r="M20" s="76">
        <f>Таблица21339902946915[[#This Row],[113]]*Таблица21339902946915[[#This Row],[15]]</f>
        <v>0</v>
      </c>
      <c r="N20" s="184"/>
    </row>
    <row r="21" spans="1:14" x14ac:dyDescent="0.2">
      <c r="A21" s="68">
        <v>15</v>
      </c>
      <c r="B21" s="77"/>
      <c r="C21" s="76"/>
      <c r="D21" s="18"/>
      <c r="E21" s="76"/>
      <c r="F21" s="71">
        <f>Таблица21339902946915[[#This Row],[ ]]</f>
        <v>15</v>
      </c>
      <c r="G21" s="69"/>
      <c r="H21" s="78"/>
      <c r="I21" s="78"/>
      <c r="J21" s="78"/>
      <c r="K21" s="79"/>
      <c r="L21" s="76"/>
      <c r="M21" s="76">
        <f>Таблица21339902946915[[#This Row],[113]]*Таблица21339902946915[[#This Row],[15]]</f>
        <v>0</v>
      </c>
      <c r="N21" s="184"/>
    </row>
    <row r="22" spans="1:14" x14ac:dyDescent="0.2">
      <c r="A22" s="68">
        <v>16</v>
      </c>
      <c r="B22" s="77"/>
      <c r="C22" s="76"/>
      <c r="D22" s="18"/>
      <c r="E22" s="76"/>
      <c r="F22" s="71">
        <f>Таблица21339902946915[[#This Row],[ ]]</f>
        <v>16</v>
      </c>
      <c r="G22" s="69"/>
      <c r="H22" s="78"/>
      <c r="I22" s="78"/>
      <c r="J22" s="78"/>
      <c r="K22" s="79"/>
      <c r="L22" s="76"/>
      <c r="M22" s="76">
        <f>Таблица21339902946915[[#This Row],[113]]*Таблица21339902946915[[#This Row],[15]]</f>
        <v>0</v>
      </c>
      <c r="N22" s="184"/>
    </row>
    <row r="23" spans="1:14" x14ac:dyDescent="0.2">
      <c r="A23" s="68">
        <v>17</v>
      </c>
      <c r="B23" s="77"/>
      <c r="C23" s="76"/>
      <c r="D23" s="18"/>
      <c r="E23" s="76"/>
      <c r="F23" s="71">
        <f>Таблица21339902946915[[#This Row],[ ]]</f>
        <v>17</v>
      </c>
      <c r="G23" s="69"/>
      <c r="H23" s="78"/>
      <c r="I23" s="78"/>
      <c r="J23" s="78"/>
      <c r="K23" s="79"/>
      <c r="L23" s="76"/>
      <c r="M23" s="76">
        <f>Таблица21339902946915[[#This Row],[113]]*Таблица21339902946915[[#This Row],[15]]</f>
        <v>0</v>
      </c>
      <c r="N23" s="184"/>
    </row>
    <row r="24" spans="1:14" x14ac:dyDescent="0.2">
      <c r="A24" s="68">
        <v>18</v>
      </c>
      <c r="B24" s="77"/>
      <c r="C24" s="76"/>
      <c r="D24" s="18"/>
      <c r="E24" s="76"/>
      <c r="F24" s="71">
        <f>Таблица21339902946915[[#This Row],[ ]]</f>
        <v>18</v>
      </c>
      <c r="G24" s="69"/>
      <c r="H24" s="78"/>
      <c r="I24" s="78"/>
      <c r="J24" s="78"/>
      <c r="K24" s="79"/>
      <c r="L24" s="76"/>
      <c r="M24" s="76">
        <f>Таблица21339902946915[[#This Row],[113]]*Таблица21339902946915[[#This Row],[15]]</f>
        <v>0</v>
      </c>
      <c r="N24" s="184"/>
    </row>
    <row r="25" spans="1:14" x14ac:dyDescent="0.2">
      <c r="A25" s="68">
        <v>19</v>
      </c>
      <c r="B25" s="77"/>
      <c r="C25" s="76"/>
      <c r="D25" s="18"/>
      <c r="E25" s="76"/>
      <c r="F25" s="71">
        <f>Таблица21339902946915[[#This Row],[ ]]</f>
        <v>19</v>
      </c>
      <c r="G25" s="69"/>
      <c r="H25" s="78"/>
      <c r="I25" s="78"/>
      <c r="J25" s="78"/>
      <c r="K25" s="79"/>
      <c r="L25" s="76"/>
      <c r="M25" s="76">
        <f>Таблица21339902946915[[#This Row],[113]]*Таблица21339902946915[[#This Row],[15]]</f>
        <v>0</v>
      </c>
      <c r="N25" s="184"/>
    </row>
    <row r="26" spans="1:14" x14ac:dyDescent="0.2">
      <c r="A26" s="68">
        <v>20</v>
      </c>
      <c r="B26" s="77"/>
      <c r="C26" s="76"/>
      <c r="D26" s="18"/>
      <c r="E26" s="76"/>
      <c r="F26" s="71">
        <f>Таблица21339902946915[[#This Row],[ ]]</f>
        <v>20</v>
      </c>
      <c r="G26" s="69"/>
      <c r="H26" s="78"/>
      <c r="I26" s="78"/>
      <c r="J26" s="78"/>
      <c r="K26" s="79"/>
      <c r="L26" s="76"/>
      <c r="M26" s="76">
        <f>Таблица21339902946915[[#This Row],[113]]*Таблица21339902946915[[#This Row],[15]]</f>
        <v>0</v>
      </c>
      <c r="N26" s="184"/>
    </row>
    <row r="27" spans="1:14" x14ac:dyDescent="0.2">
      <c r="A27" s="68">
        <v>21</v>
      </c>
      <c r="B27" s="77"/>
      <c r="C27" s="76"/>
      <c r="D27" s="18"/>
      <c r="E27" s="76"/>
      <c r="F27" s="71">
        <f>Таблица21339902946915[[#This Row],[ ]]</f>
        <v>21</v>
      </c>
      <c r="G27" s="69"/>
      <c r="H27" s="78"/>
      <c r="I27" s="78"/>
      <c r="J27" s="78"/>
      <c r="K27" s="79"/>
      <c r="L27" s="76"/>
      <c r="M27" s="76">
        <f>Таблица21339902946915[[#This Row],[113]]*Таблица21339902946915[[#This Row],[15]]</f>
        <v>0</v>
      </c>
      <c r="N27" s="184"/>
    </row>
    <row r="28" spans="1:14" x14ac:dyDescent="0.2">
      <c r="A28" s="68">
        <v>22</v>
      </c>
      <c r="B28" s="77"/>
      <c r="C28" s="76"/>
      <c r="D28" s="18"/>
      <c r="E28" s="76"/>
      <c r="F28" s="71">
        <f>Таблица21339902946915[[#This Row],[ ]]</f>
        <v>22</v>
      </c>
      <c r="G28" s="69"/>
      <c r="H28" s="78"/>
      <c r="I28" s="78"/>
      <c r="J28" s="78"/>
      <c r="K28" s="79"/>
      <c r="L28" s="76"/>
      <c r="M28" s="76">
        <f>Таблица21339902946915[[#This Row],[113]]*Таблица21339902946915[[#This Row],[15]]</f>
        <v>0</v>
      </c>
      <c r="N28" s="184"/>
    </row>
    <row r="29" spans="1:14" x14ac:dyDescent="0.2">
      <c r="A29" s="68">
        <v>23</v>
      </c>
      <c r="B29" s="77"/>
      <c r="C29" s="76"/>
      <c r="D29" s="18"/>
      <c r="E29" s="76"/>
      <c r="F29" s="71">
        <f>Таблица21339902946915[[#This Row],[ ]]</f>
        <v>23</v>
      </c>
      <c r="G29" s="69"/>
      <c r="H29" s="78"/>
      <c r="I29" s="78"/>
      <c r="J29" s="78"/>
      <c r="K29" s="79"/>
      <c r="L29" s="76"/>
      <c r="M29" s="76">
        <f>Таблица21339902946915[[#This Row],[113]]*Таблица21339902946915[[#This Row],[15]]</f>
        <v>0</v>
      </c>
      <c r="N29" s="184"/>
    </row>
    <row r="30" spans="1:14" x14ac:dyDescent="0.2">
      <c r="A30" s="68">
        <v>24</v>
      </c>
      <c r="B30" s="77"/>
      <c r="C30" s="76"/>
      <c r="D30" s="18"/>
      <c r="E30" s="76"/>
      <c r="F30" s="71">
        <f>Таблица21339902946915[[#This Row],[ ]]</f>
        <v>24</v>
      </c>
      <c r="G30" s="69"/>
      <c r="H30" s="78"/>
      <c r="I30" s="78"/>
      <c r="J30" s="78"/>
      <c r="K30" s="79"/>
      <c r="L30" s="76"/>
      <c r="M30" s="76">
        <f>Таблица21339902946915[[#This Row],[113]]*Таблица21339902946915[[#This Row],[15]]</f>
        <v>0</v>
      </c>
      <c r="N30" s="184"/>
    </row>
    <row r="31" spans="1:14" x14ac:dyDescent="0.2">
      <c r="A31" s="68">
        <v>25</v>
      </c>
      <c r="B31" s="77"/>
      <c r="C31" s="76"/>
      <c r="D31" s="97"/>
      <c r="E31" s="80"/>
      <c r="F31" s="71">
        <f>Таблица21339902946915[[#This Row],[ ]]</f>
        <v>25</v>
      </c>
      <c r="G31" s="69"/>
      <c r="H31" s="78"/>
      <c r="I31" s="78"/>
      <c r="J31" s="78"/>
      <c r="K31" s="79"/>
      <c r="L31" s="76"/>
      <c r="M31" s="76">
        <f>Таблица21339902946915[[#This Row],[113]]*Таблица21339902946915[[#This Row],[15]]</f>
        <v>0</v>
      </c>
      <c r="N31" s="184"/>
    </row>
    <row r="32" spans="1:14" x14ac:dyDescent="0.2">
      <c r="A32" s="68">
        <v>26</v>
      </c>
      <c r="B32" s="77"/>
      <c r="C32" s="76"/>
      <c r="D32" s="76"/>
      <c r="E32" s="80"/>
      <c r="F32" s="71">
        <f>Таблица21339902946915[[#This Row],[ ]]</f>
        <v>26</v>
      </c>
      <c r="G32" s="69"/>
      <c r="H32" s="78"/>
      <c r="I32" s="78"/>
      <c r="J32" s="78"/>
      <c r="K32" s="79"/>
      <c r="L32" s="76"/>
      <c r="M32" s="76">
        <f>Таблица21339902946915[[#This Row],[113]]*Таблица21339902946915[[#This Row],[15]]</f>
        <v>0</v>
      </c>
      <c r="N32" s="184"/>
    </row>
    <row r="33" spans="1:14" x14ac:dyDescent="0.2">
      <c r="A33" s="68">
        <v>27</v>
      </c>
      <c r="B33" s="77"/>
      <c r="C33" s="76"/>
      <c r="D33" s="76"/>
      <c r="E33" s="80"/>
      <c r="F33" s="71">
        <f>Таблица21339902946915[[#This Row],[ ]]</f>
        <v>27</v>
      </c>
      <c r="G33" s="69"/>
      <c r="H33" s="78"/>
      <c r="I33" s="78"/>
      <c r="J33" s="78"/>
      <c r="K33" s="79"/>
      <c r="L33" s="76"/>
      <c r="M33" s="76">
        <f>Таблица21339902946915[[#This Row],[113]]*Таблица21339902946915[[#This Row],[15]]</f>
        <v>0</v>
      </c>
      <c r="N33" s="184"/>
    </row>
    <row r="34" spans="1:14" x14ac:dyDescent="0.2">
      <c r="A34" s="68">
        <v>28</v>
      </c>
      <c r="B34" s="77"/>
      <c r="C34" s="76"/>
      <c r="D34" s="76"/>
      <c r="E34" s="80"/>
      <c r="F34" s="71">
        <f>Таблица21339902946915[[#This Row],[ ]]</f>
        <v>28</v>
      </c>
      <c r="G34" s="69"/>
      <c r="H34" s="78"/>
      <c r="I34" s="78"/>
      <c r="J34" s="78"/>
      <c r="K34" s="79"/>
      <c r="L34" s="76"/>
      <c r="M34" s="76">
        <f>Таблица21339902946915[[#This Row],[113]]*Таблица21339902946915[[#This Row],[15]]</f>
        <v>0</v>
      </c>
      <c r="N34" s="184"/>
    </row>
    <row r="35" spans="1:14" x14ac:dyDescent="0.2">
      <c r="A35" s="68">
        <v>29</v>
      </c>
      <c r="B35" s="77"/>
      <c r="C35" s="76"/>
      <c r="D35" s="76"/>
      <c r="E35" s="80"/>
      <c r="F35" s="71">
        <f>Таблица21339902946915[[#This Row],[ ]]</f>
        <v>29</v>
      </c>
      <c r="G35" s="69"/>
      <c r="H35" s="78"/>
      <c r="I35" s="78"/>
      <c r="J35" s="78"/>
      <c r="K35" s="79"/>
      <c r="L35" s="76"/>
      <c r="M35" s="76">
        <f>Таблица21339902946915[[#This Row],[113]]*Таблица21339902946915[[#This Row],[15]]</f>
        <v>0</v>
      </c>
      <c r="N35" s="184"/>
    </row>
    <row r="36" spans="1:14" x14ac:dyDescent="0.2">
      <c r="A36" s="68">
        <v>30</v>
      </c>
      <c r="B36" s="77"/>
      <c r="C36" s="76"/>
      <c r="D36" s="76"/>
      <c r="E36" s="80"/>
      <c r="F36" s="71">
        <f>Таблица21339902946915[[#This Row],[ ]]</f>
        <v>30</v>
      </c>
      <c r="G36" s="69"/>
      <c r="H36" s="78"/>
      <c r="I36" s="78"/>
      <c r="J36" s="78"/>
      <c r="K36" s="79"/>
      <c r="L36" s="76"/>
      <c r="M36" s="76">
        <f>Таблица21339902946915[[#This Row],[113]]*Таблица21339902946915[[#This Row],[15]]</f>
        <v>0</v>
      </c>
      <c r="N36" s="184"/>
    </row>
    <row r="37" spans="1:14" x14ac:dyDescent="0.2">
      <c r="A37" s="68">
        <v>31</v>
      </c>
      <c r="B37" s="77"/>
      <c r="C37" s="76"/>
      <c r="D37" s="76"/>
      <c r="E37" s="80"/>
      <c r="F37" s="71">
        <f>Таблица21339902946915[[#This Row],[ ]]</f>
        <v>31</v>
      </c>
      <c r="G37" s="69"/>
      <c r="H37" s="78"/>
      <c r="I37" s="78"/>
      <c r="J37" s="78"/>
      <c r="K37" s="79"/>
      <c r="L37" s="76"/>
      <c r="M37" s="76">
        <f>Таблица21339902946915[[#This Row],[113]]*Таблица21339902946915[[#This Row],[15]]</f>
        <v>0</v>
      </c>
      <c r="N37" s="184"/>
    </row>
    <row r="38" spans="1:14" x14ac:dyDescent="0.2">
      <c r="A38" s="68">
        <v>32</v>
      </c>
      <c r="B38" s="77"/>
      <c r="C38" s="76"/>
      <c r="D38" s="76"/>
      <c r="E38" s="80"/>
      <c r="F38" s="71">
        <f>Таблица21339902946915[[#This Row],[ ]]</f>
        <v>32</v>
      </c>
      <c r="G38" s="69"/>
      <c r="H38" s="78"/>
      <c r="I38" s="78"/>
      <c r="J38" s="78"/>
      <c r="K38" s="79"/>
      <c r="L38" s="76"/>
      <c r="M38" s="76">
        <f>Таблица21339902946915[[#This Row],[113]]*Таблица21339902946915[[#This Row],[15]]</f>
        <v>0</v>
      </c>
      <c r="N38" s="184"/>
    </row>
    <row r="39" spans="1:14" x14ac:dyDescent="0.2">
      <c r="A39" s="68">
        <v>33</v>
      </c>
      <c r="B39" s="77"/>
      <c r="C39" s="76"/>
      <c r="D39" s="18"/>
      <c r="E39" s="76"/>
      <c r="F39" s="71">
        <f>Таблица21339902946915[[#This Row],[ ]]</f>
        <v>33</v>
      </c>
      <c r="G39" s="69"/>
      <c r="H39" s="78"/>
      <c r="I39" s="78"/>
      <c r="J39" s="78"/>
      <c r="K39" s="79"/>
      <c r="L39" s="76"/>
      <c r="M39" s="76">
        <f>Таблица21339902946915[[#This Row],[113]]*Таблица21339902946915[[#This Row],[15]]</f>
        <v>0</v>
      </c>
      <c r="N39" s="184"/>
    </row>
    <row r="40" spans="1:14" x14ac:dyDescent="0.2">
      <c r="A40" s="68">
        <v>34</v>
      </c>
      <c r="B40" s="77"/>
      <c r="C40" s="76"/>
      <c r="D40" s="76"/>
      <c r="E40" s="80"/>
      <c r="F40" s="71">
        <f>Таблица21339902946915[[#This Row],[ ]]</f>
        <v>34</v>
      </c>
      <c r="G40" s="69"/>
      <c r="H40" s="78"/>
      <c r="I40" s="78"/>
      <c r="J40" s="78"/>
      <c r="K40" s="79"/>
      <c r="L40" s="76"/>
      <c r="M40" s="76">
        <f>Таблица21339902946915[[#This Row],[113]]*Таблица21339902946915[[#This Row],[15]]</f>
        <v>0</v>
      </c>
      <c r="N40" s="184"/>
    </row>
    <row r="41" spans="1:14" x14ac:dyDescent="0.2">
      <c r="A41" s="68">
        <v>35</v>
      </c>
      <c r="B41" s="77"/>
      <c r="C41" s="76"/>
      <c r="D41" s="76"/>
      <c r="E41" s="80"/>
      <c r="F41" s="71">
        <f>Таблица21339902946915[[#This Row],[ ]]</f>
        <v>35</v>
      </c>
      <c r="G41" s="69"/>
      <c r="H41" s="78"/>
      <c r="I41" s="78"/>
      <c r="J41" s="78"/>
      <c r="K41" s="79"/>
      <c r="L41" s="76"/>
      <c r="M41" s="76">
        <f>Таблица21339902946915[[#This Row],[113]]*Таблица21339902946915[[#This Row],[15]]</f>
        <v>0</v>
      </c>
      <c r="N41" s="184"/>
    </row>
    <row r="42" spans="1:14" x14ac:dyDescent="0.2">
      <c r="A42" s="68">
        <v>36</v>
      </c>
      <c r="B42" s="77"/>
      <c r="C42" s="76"/>
      <c r="D42" s="76"/>
      <c r="E42" s="80"/>
      <c r="F42" s="71">
        <f>Таблица21339902946915[[#This Row],[ ]]</f>
        <v>36</v>
      </c>
      <c r="G42" s="69"/>
      <c r="H42" s="78"/>
      <c r="I42" s="78"/>
      <c r="J42" s="78"/>
      <c r="K42" s="79"/>
      <c r="L42" s="76"/>
      <c r="M42" s="76">
        <f>Таблица21339902946915[[#This Row],[113]]*Таблица21339902946915[[#This Row],[15]]</f>
        <v>0</v>
      </c>
      <c r="N42" s="184"/>
    </row>
    <row r="43" spans="1:14" x14ac:dyDescent="0.2">
      <c r="A43" s="68">
        <v>37</v>
      </c>
      <c r="B43" s="77"/>
      <c r="C43" s="76"/>
      <c r="D43" s="76"/>
      <c r="E43" s="80"/>
      <c r="F43" s="71">
        <f>Таблица21339902946915[[#This Row],[ ]]</f>
        <v>37</v>
      </c>
      <c r="G43" s="69"/>
      <c r="H43" s="78"/>
      <c r="I43" s="78"/>
      <c r="J43" s="78"/>
      <c r="K43" s="79"/>
      <c r="L43" s="76"/>
      <c r="M43" s="76">
        <f>Таблица21339902946915[[#This Row],[113]]*Таблица21339902946915[[#This Row],[15]]</f>
        <v>0</v>
      </c>
      <c r="N43" s="184"/>
    </row>
    <row r="44" spans="1:14" x14ac:dyDescent="0.2">
      <c r="A44" s="68">
        <v>38</v>
      </c>
      <c r="B44" s="77"/>
      <c r="C44" s="76"/>
      <c r="D44" s="76"/>
      <c r="E44" s="80"/>
      <c r="F44" s="71">
        <f>Таблица21339902946915[[#This Row],[ ]]</f>
        <v>38</v>
      </c>
      <c r="G44" s="69"/>
      <c r="H44" s="78"/>
      <c r="I44" s="78"/>
      <c r="J44" s="78"/>
      <c r="K44" s="79"/>
      <c r="L44" s="76"/>
      <c r="M44" s="76">
        <f>Таблица21339902946915[[#This Row],[113]]*Таблица21339902946915[[#This Row],[15]]</f>
        <v>0</v>
      </c>
      <c r="N44" s="184"/>
    </row>
    <row r="45" spans="1:14" x14ac:dyDescent="0.2">
      <c r="A45" s="68">
        <v>39</v>
      </c>
      <c r="B45" s="77"/>
      <c r="C45" s="76"/>
      <c r="D45" s="76"/>
      <c r="E45" s="80"/>
      <c r="F45" s="71">
        <f>Таблица21339902946915[[#This Row],[ ]]</f>
        <v>39</v>
      </c>
      <c r="G45" s="69"/>
      <c r="H45" s="78"/>
      <c r="I45" s="78"/>
      <c r="J45" s="78"/>
      <c r="K45" s="79"/>
      <c r="L45" s="76"/>
      <c r="M45" s="76">
        <f>Таблица21339902946915[[#This Row],[113]]*Таблица21339902946915[[#This Row],[15]]</f>
        <v>0</v>
      </c>
      <c r="N45" s="184"/>
    </row>
    <row r="46" spans="1:14" x14ac:dyDescent="0.2">
      <c r="A46" s="68">
        <v>40</v>
      </c>
      <c r="B46" s="77"/>
      <c r="C46" s="76"/>
      <c r="D46" s="76"/>
      <c r="E46" s="80"/>
      <c r="F46" s="71">
        <f>Таблица21339902946915[[#This Row],[ ]]</f>
        <v>40</v>
      </c>
      <c r="G46" s="69"/>
      <c r="H46" s="78"/>
      <c r="I46" s="78"/>
      <c r="J46" s="78"/>
      <c r="K46" s="79"/>
      <c r="L46" s="76"/>
      <c r="M46" s="76">
        <f>Таблица21339902946915[[#This Row],[113]]*Таблица21339902946915[[#This Row],[15]]</f>
        <v>0</v>
      </c>
      <c r="N46" s="184"/>
    </row>
    <row r="47" spans="1:14" x14ac:dyDescent="0.2">
      <c r="A47" s="68">
        <v>41</v>
      </c>
      <c r="B47" s="77"/>
      <c r="C47" s="76"/>
      <c r="D47" s="76"/>
      <c r="E47" s="80"/>
      <c r="F47" s="71">
        <f>Таблица21339902946915[[#This Row],[ ]]</f>
        <v>41</v>
      </c>
      <c r="G47" s="69"/>
      <c r="H47" s="78"/>
      <c r="I47" s="78"/>
      <c r="J47" s="78"/>
      <c r="K47" s="79"/>
      <c r="L47" s="76"/>
      <c r="M47" s="76">
        <f>Таблица21339902946915[[#This Row],[113]]*Таблица21339902946915[[#This Row],[15]]</f>
        <v>0</v>
      </c>
      <c r="N47" s="184"/>
    </row>
    <row r="48" spans="1:14" x14ac:dyDescent="0.2">
      <c r="A48" s="68">
        <v>42</v>
      </c>
      <c r="B48" s="77"/>
      <c r="C48" s="76"/>
      <c r="D48" s="76"/>
      <c r="E48" s="80"/>
      <c r="F48" s="71">
        <f>Таблица21339902946915[[#This Row],[ ]]</f>
        <v>42</v>
      </c>
      <c r="G48" s="69"/>
      <c r="H48" s="78"/>
      <c r="I48" s="78"/>
      <c r="J48" s="78"/>
      <c r="K48" s="79"/>
      <c r="L48" s="76"/>
      <c r="M48" s="76">
        <f>Таблица21339902946915[[#This Row],[113]]*Таблица21339902946915[[#This Row],[15]]</f>
        <v>0</v>
      </c>
      <c r="N48" s="184"/>
    </row>
    <row r="49" spans="1:14" x14ac:dyDescent="0.2">
      <c r="A49" s="68">
        <v>43</v>
      </c>
      <c r="B49" s="77"/>
      <c r="C49" s="76"/>
      <c r="D49" s="76"/>
      <c r="E49" s="80"/>
      <c r="F49" s="71">
        <f>Таблица21339902946915[[#This Row],[ ]]</f>
        <v>43</v>
      </c>
      <c r="G49" s="69"/>
      <c r="H49" s="78"/>
      <c r="I49" s="78"/>
      <c r="J49" s="78"/>
      <c r="K49" s="79"/>
      <c r="L49" s="76"/>
      <c r="M49" s="76">
        <f>Таблица21339902946915[[#This Row],[113]]*Таблица21339902946915[[#This Row],[15]]</f>
        <v>0</v>
      </c>
      <c r="N49" s="186"/>
    </row>
    <row r="50" spans="1:14" x14ac:dyDescent="0.2">
      <c r="A50" s="82"/>
      <c r="B50" s="45"/>
      <c r="C50" s="76">
        <f>SUBTOTAL(109,Таблица21339902946915[2])</f>
        <v>68947200</v>
      </c>
      <c r="D50" s="76"/>
      <c r="E50" s="84"/>
      <c r="F50" s="83"/>
      <c r="G50" s="85"/>
      <c r="H50" s="86"/>
      <c r="I50" s="86"/>
      <c r="J50" s="86"/>
      <c r="K50" s="86">
        <f>SUBTOTAL(109,Таблица21339902946915[1132])</f>
        <v>57</v>
      </c>
      <c r="L50" s="88"/>
      <c r="M50" s="88">
        <f>SUBTOTAL(109,Таблица21339902946915[16])</f>
        <v>68947200</v>
      </c>
      <c r="N50" s="86"/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5"/>
    <mergeCell ref="K3:K4"/>
    <mergeCell ref="L3:L5"/>
  </mergeCells>
  <phoneticPr fontId="2" type="noConversion"/>
  <hyperlinks>
    <hyperlink ref="D1" location="'Свод Завод'!R4" display="3-Сулаймон Ога Хазарасп" xr:uid="{240FC374-4E3E-4502-84E4-FC4DAB30C32B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CA3E-4BFB-4CDC-A1E3-1D2051819878}">
  <dimension ref="A1:M50"/>
  <sheetViews>
    <sheetView zoomScale="130" zoomScaleNormal="13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11.570312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106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94"/>
      <c r="F2" s="237">
        <f>Таблица213399029467[[#Totals],[2]]+-Таблица213399029467[[#Totals],[16]]</f>
        <v>0</v>
      </c>
      <c r="G2" s="238"/>
    </row>
    <row r="3" spans="1:13" ht="15" customHeight="1" x14ac:dyDescent="0.2">
      <c r="A3" s="228" t="s">
        <v>27</v>
      </c>
      <c r="B3" s="228" t="s">
        <v>9</v>
      </c>
      <c r="C3" s="89" t="s">
        <v>19</v>
      </c>
      <c r="D3" s="8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23"/>
      <c r="K4" s="232"/>
      <c r="L4" s="233"/>
      <c r="M4" s="224"/>
    </row>
    <row r="5" spans="1:13" ht="15.75" x14ac:dyDescent="0.2">
      <c r="A5" s="228"/>
      <c r="B5" s="228"/>
      <c r="C5" s="95">
        <f>Таблица213399029467[[#Totals],[2]]</f>
        <v>49904640</v>
      </c>
      <c r="D5" s="64"/>
      <c r="E5" s="106">
        <f>SUM(Таблица213399029467[4])</f>
        <v>0</v>
      </c>
      <c r="F5" s="233"/>
      <c r="G5" s="233"/>
      <c r="H5" s="233"/>
      <c r="I5" s="224"/>
      <c r="J5" s="224"/>
      <c r="K5" s="65">
        <f>Таблица213399029467[[#Totals],[1132]]</f>
        <v>38</v>
      </c>
      <c r="L5" s="233"/>
      <c r="M5" s="96">
        <f>Таблица213399029467[[#Totals],[16]]</f>
        <v>49904640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46206</v>
      </c>
      <c r="C7" s="70">
        <v>49904640</v>
      </c>
      <c r="D7" s="18" t="s">
        <v>149</v>
      </c>
      <c r="E7" s="76"/>
      <c r="F7" s="71">
        <f>Таблица213399029467[[#This Row],[ ]]</f>
        <v>1</v>
      </c>
      <c r="G7" s="18">
        <v>46200</v>
      </c>
      <c r="H7" s="72" t="s">
        <v>94</v>
      </c>
      <c r="I7" s="73" t="s">
        <v>71</v>
      </c>
      <c r="J7" s="74">
        <v>32.832000000000001</v>
      </c>
      <c r="K7" s="75">
        <v>19</v>
      </c>
      <c r="L7" s="76">
        <v>760000</v>
      </c>
      <c r="M7" s="76">
        <f>Таблица213399029467[[#This Row],[113]]*Таблица213399029467[[#This Row],[15]]</f>
        <v>24952320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Таблица213399029467[[#This Row],[ ]]</f>
        <v>2</v>
      </c>
      <c r="G8" s="69">
        <v>46201</v>
      </c>
      <c r="H8" s="78" t="s">
        <v>110</v>
      </c>
      <c r="I8" s="78" t="s">
        <v>71</v>
      </c>
      <c r="J8" s="78">
        <v>32.832000000000001</v>
      </c>
      <c r="K8" s="76">
        <v>19</v>
      </c>
      <c r="L8" s="76">
        <v>760000</v>
      </c>
      <c r="M8" s="76">
        <f>Таблица213399029467[[#This Row],[113]]*Таблица213399029467[[#This Row],[15]]</f>
        <v>24952320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Таблица213399029467[[#This Row],[ ]]</f>
        <v>3</v>
      </c>
      <c r="G9" s="69"/>
      <c r="H9" s="78"/>
      <c r="I9" s="78"/>
      <c r="J9" s="78"/>
      <c r="K9" s="76"/>
      <c r="L9" s="79"/>
      <c r="M9" s="76">
        <f>Таблица213399029467[[#This Row],[113]]*Таблица213399029467[[#This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Таблица213399029467[[#This Row],[ ]]</f>
        <v>4</v>
      </c>
      <c r="G10" s="69"/>
      <c r="H10" s="78"/>
      <c r="I10" s="78"/>
      <c r="J10" s="78"/>
      <c r="K10" s="76"/>
      <c r="L10" s="79"/>
      <c r="M10" s="76">
        <f>Таблица213399029467[[#This Row],[113]]*Таблица213399029467[[#This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Таблица213399029467[[#This Row],[ ]]</f>
        <v>5</v>
      </c>
      <c r="G11" s="69"/>
      <c r="H11" s="78"/>
      <c r="I11" s="78"/>
      <c r="J11" s="78"/>
      <c r="K11" s="76"/>
      <c r="L11" s="79"/>
      <c r="M11" s="76">
        <f>Таблица213399029467[[#This Row],[113]]*Таблица213399029467[[#This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Таблица213399029467[[#This Row],[ ]]</f>
        <v>6</v>
      </c>
      <c r="G12" s="69"/>
      <c r="H12" s="78"/>
      <c r="I12" s="78"/>
      <c r="J12" s="78"/>
      <c r="K12" s="76"/>
      <c r="L12" s="79"/>
      <c r="M12" s="76">
        <f>Таблица213399029467[[#This Row],[113]]*Таблица213399029467[[#This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Таблица213399029467[[#This Row],[ ]]</f>
        <v>7</v>
      </c>
      <c r="G13" s="69"/>
      <c r="H13" s="78"/>
      <c r="I13" s="78"/>
      <c r="J13" s="78"/>
      <c r="K13" s="79"/>
      <c r="L13" s="76"/>
      <c r="M13" s="76">
        <f>Таблица213399029467[[#This Row],[113]]*Таблица213399029467[[#This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Таблица213399029467[[#This Row],[ ]]</f>
        <v>8</v>
      </c>
      <c r="G14" s="69"/>
      <c r="H14" s="78"/>
      <c r="I14" s="78"/>
      <c r="J14" s="78"/>
      <c r="K14" s="79"/>
      <c r="L14" s="76"/>
      <c r="M14" s="76">
        <f>Таблица213399029467[[#This Row],[113]]*Таблица213399029467[[#This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Таблица213399029467[[#This Row],[ ]]</f>
        <v>9</v>
      </c>
      <c r="G15" s="69"/>
      <c r="H15" s="78"/>
      <c r="I15" s="78"/>
      <c r="J15" s="78"/>
      <c r="K15" s="79"/>
      <c r="L15" s="76"/>
      <c r="M15" s="76">
        <f>Таблица213399029467[[#This Row],[113]]*Таблица213399029467[[#This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Таблица213399029467[[#This Row],[ ]]</f>
        <v>10</v>
      </c>
      <c r="G16" s="69"/>
      <c r="H16" s="78"/>
      <c r="I16" s="78"/>
      <c r="J16" s="78"/>
      <c r="K16" s="79"/>
      <c r="L16" s="76"/>
      <c r="M16" s="76">
        <f>Таблица213399029467[[#This Row],[113]]*Таблица213399029467[[#This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Таблица213399029467[[#This Row],[ ]]</f>
        <v>11</v>
      </c>
      <c r="G17" s="69"/>
      <c r="H17" s="78"/>
      <c r="I17" s="78"/>
      <c r="J17" s="78"/>
      <c r="K17" s="79"/>
      <c r="L17" s="76"/>
      <c r="M17" s="76">
        <f>Таблица213399029467[[#This Row],[113]]*Таблица213399029467[[#This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Таблица213399029467[[#This Row],[ ]]</f>
        <v>12</v>
      </c>
      <c r="G18" s="69"/>
      <c r="H18" s="78"/>
      <c r="I18" s="78"/>
      <c r="J18" s="78"/>
      <c r="K18" s="79"/>
      <c r="L18" s="76"/>
      <c r="M18" s="76">
        <f>Таблица213399029467[[#This Row],[113]]*Таблица213399029467[[#This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Таблица213399029467[[#This Row],[ ]]</f>
        <v>13</v>
      </c>
      <c r="G19" s="69"/>
      <c r="H19" s="78"/>
      <c r="I19" s="78"/>
      <c r="J19" s="78"/>
      <c r="K19" s="79"/>
      <c r="L19" s="76"/>
      <c r="M19" s="76">
        <f>Таблица213399029467[[#This Row],[113]]*Таблица213399029467[[#This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Таблица213399029467[[#This Row],[ ]]</f>
        <v>14</v>
      </c>
      <c r="G20" s="69"/>
      <c r="H20" s="78"/>
      <c r="I20" s="78"/>
      <c r="J20" s="78"/>
      <c r="K20" s="79"/>
      <c r="L20" s="76"/>
      <c r="M20" s="76">
        <f>Таблица213399029467[[#This Row],[113]]*Таблица213399029467[[#This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Таблица213399029467[[#This Row],[ ]]</f>
        <v>15</v>
      </c>
      <c r="G21" s="69"/>
      <c r="H21" s="78"/>
      <c r="I21" s="78"/>
      <c r="J21" s="78"/>
      <c r="K21" s="79"/>
      <c r="L21" s="76"/>
      <c r="M21" s="76">
        <f>Таблица213399029467[[#This Row],[113]]*Таблица213399029467[[#This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Таблица213399029467[[#This Row],[ ]]</f>
        <v>16</v>
      </c>
      <c r="G22" s="69"/>
      <c r="H22" s="78"/>
      <c r="I22" s="78"/>
      <c r="J22" s="78"/>
      <c r="K22" s="79"/>
      <c r="L22" s="76"/>
      <c r="M22" s="76">
        <f>Таблица213399029467[[#This Row],[113]]*Таблица213399029467[[#This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Таблица213399029467[[#This Row],[ ]]</f>
        <v>17</v>
      </c>
      <c r="G23" s="69"/>
      <c r="H23" s="78"/>
      <c r="I23" s="78"/>
      <c r="J23" s="78"/>
      <c r="K23" s="79"/>
      <c r="L23" s="76"/>
      <c r="M23" s="76">
        <f>Таблица213399029467[[#This Row],[113]]*Таблица213399029467[[#This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Таблица213399029467[[#This Row],[ ]]</f>
        <v>18</v>
      </c>
      <c r="G24" s="69"/>
      <c r="H24" s="78"/>
      <c r="I24" s="78"/>
      <c r="J24" s="78"/>
      <c r="K24" s="79"/>
      <c r="L24" s="76"/>
      <c r="M24" s="76">
        <f>Таблица213399029467[[#This Row],[113]]*Таблица213399029467[[#This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Таблица213399029467[[#This Row],[ ]]</f>
        <v>19</v>
      </c>
      <c r="G25" s="69"/>
      <c r="H25" s="78"/>
      <c r="I25" s="78"/>
      <c r="J25" s="78"/>
      <c r="K25" s="79"/>
      <c r="L25" s="76"/>
      <c r="M25" s="76">
        <f>Таблица213399029467[[#This Row],[113]]*Таблица213399029467[[#This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Таблица213399029467[[#This Row],[ ]]</f>
        <v>20</v>
      </c>
      <c r="G26" s="69"/>
      <c r="H26" s="78"/>
      <c r="I26" s="78"/>
      <c r="J26" s="78"/>
      <c r="K26" s="79"/>
      <c r="L26" s="76"/>
      <c r="M26" s="76">
        <f>Таблица213399029467[[#This Row],[113]]*Таблица213399029467[[#This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Таблица213399029467[[#This Row],[ ]]</f>
        <v>21</v>
      </c>
      <c r="G27" s="69"/>
      <c r="H27" s="78"/>
      <c r="I27" s="78"/>
      <c r="J27" s="78"/>
      <c r="K27" s="79"/>
      <c r="L27" s="76"/>
      <c r="M27" s="76">
        <f>Таблица213399029467[[#This Row],[113]]*Таблица213399029467[[#This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Таблица213399029467[[#This Row],[ ]]</f>
        <v>22</v>
      </c>
      <c r="G28" s="69"/>
      <c r="H28" s="78"/>
      <c r="I28" s="78"/>
      <c r="J28" s="78"/>
      <c r="K28" s="79"/>
      <c r="L28" s="76"/>
      <c r="M28" s="76">
        <f>Таблица213399029467[[#This Row],[113]]*Таблица213399029467[[#This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Таблица213399029467[[#This Row],[ ]]</f>
        <v>23</v>
      </c>
      <c r="G29" s="69"/>
      <c r="H29" s="78"/>
      <c r="I29" s="78"/>
      <c r="J29" s="78"/>
      <c r="K29" s="79"/>
      <c r="L29" s="76"/>
      <c r="M29" s="76">
        <f>Таблица213399029467[[#This Row],[113]]*Таблица213399029467[[#This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Таблица213399029467[[#This Row],[ ]]</f>
        <v>24</v>
      </c>
      <c r="G30" s="69"/>
      <c r="H30" s="78"/>
      <c r="I30" s="78"/>
      <c r="J30" s="78"/>
      <c r="K30" s="79"/>
      <c r="L30" s="76"/>
      <c r="M30" s="76">
        <f>Таблица213399029467[[#This Row],[113]]*Таблица213399029467[[#This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Таблица213399029467[[#This Row],[ ]]</f>
        <v>25</v>
      </c>
      <c r="G31" s="69"/>
      <c r="H31" s="78"/>
      <c r="I31" s="78"/>
      <c r="J31" s="78"/>
      <c r="K31" s="79"/>
      <c r="L31" s="76"/>
      <c r="M31" s="76">
        <f>Таблица213399029467[[#This Row],[113]]*Таблица213399029467[[#This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Таблица213399029467[[#This Row],[ ]]</f>
        <v>26</v>
      </c>
      <c r="G32" s="69"/>
      <c r="H32" s="78"/>
      <c r="I32" s="78"/>
      <c r="J32" s="78"/>
      <c r="K32" s="79"/>
      <c r="L32" s="76"/>
      <c r="M32" s="76">
        <f>Таблица213399029467[[#This Row],[113]]*Таблица213399029467[[#This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Таблица213399029467[[#This Row],[ ]]</f>
        <v>27</v>
      </c>
      <c r="G33" s="69"/>
      <c r="H33" s="78"/>
      <c r="I33" s="78"/>
      <c r="J33" s="78"/>
      <c r="K33" s="79"/>
      <c r="L33" s="76"/>
      <c r="M33" s="76">
        <f>Таблица213399029467[[#This Row],[113]]*Таблица213399029467[[#This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Таблица213399029467[[#This Row],[ ]]</f>
        <v>28</v>
      </c>
      <c r="G34" s="69"/>
      <c r="H34" s="78"/>
      <c r="I34" s="78"/>
      <c r="J34" s="78"/>
      <c r="K34" s="79"/>
      <c r="L34" s="76"/>
      <c r="M34" s="76">
        <f>Таблица213399029467[[#This Row],[113]]*Таблица213399029467[[#This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Таблица213399029467[[#This Row],[ ]]</f>
        <v>29</v>
      </c>
      <c r="G35" s="69"/>
      <c r="H35" s="78"/>
      <c r="I35" s="78"/>
      <c r="J35" s="78"/>
      <c r="K35" s="79"/>
      <c r="L35" s="76"/>
      <c r="M35" s="76">
        <f>Таблица213399029467[[#This Row],[113]]*Таблица213399029467[[#This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Таблица213399029467[[#This Row],[ ]]</f>
        <v>30</v>
      </c>
      <c r="G36" s="69"/>
      <c r="H36" s="78"/>
      <c r="I36" s="78"/>
      <c r="J36" s="78"/>
      <c r="K36" s="79"/>
      <c r="L36" s="76"/>
      <c r="M36" s="76">
        <f>Таблица213399029467[[#This Row],[113]]*Таблица213399029467[[#This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Таблица213399029467[[#This Row],[ ]]</f>
        <v>31</v>
      </c>
      <c r="G37" s="69"/>
      <c r="H37" s="78"/>
      <c r="I37" s="78"/>
      <c r="J37" s="78"/>
      <c r="K37" s="79"/>
      <c r="L37" s="76"/>
      <c r="M37" s="76">
        <f>Таблица213399029467[[#This Row],[113]]*Таблица213399029467[[#This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Таблица213399029467[[#This Row],[ ]]</f>
        <v>32</v>
      </c>
      <c r="G38" s="69"/>
      <c r="H38" s="78"/>
      <c r="I38" s="78"/>
      <c r="J38" s="78"/>
      <c r="K38" s="79"/>
      <c r="L38" s="76"/>
      <c r="M38" s="76">
        <f>Таблица213399029467[[#This Row],[113]]*Таблица213399029467[[#This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Таблица213399029467[[#This Row],[ ]]</f>
        <v>33</v>
      </c>
      <c r="G39" s="69"/>
      <c r="H39" s="78"/>
      <c r="I39" s="78"/>
      <c r="J39" s="78"/>
      <c r="K39" s="79"/>
      <c r="L39" s="76"/>
      <c r="M39" s="76">
        <f>Таблица213399029467[[#This Row],[113]]*Таблица213399029467[[#This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Таблица213399029467[[#This Row],[ ]]</f>
        <v>34</v>
      </c>
      <c r="G40" s="69"/>
      <c r="H40" s="78"/>
      <c r="I40" s="78"/>
      <c r="J40" s="78"/>
      <c r="K40" s="79"/>
      <c r="L40" s="76"/>
      <c r="M40" s="76">
        <f>Таблица213399029467[[#This Row],[113]]*Таблица213399029467[[#This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Таблица213399029467[[#This Row],[ ]]</f>
        <v>35</v>
      </c>
      <c r="G41" s="69"/>
      <c r="H41" s="78"/>
      <c r="I41" s="78"/>
      <c r="J41" s="78"/>
      <c r="K41" s="79"/>
      <c r="L41" s="76"/>
      <c r="M41" s="76">
        <f>Таблица213399029467[[#This Row],[113]]*Таблица213399029467[[#This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Таблица213399029467[[#This Row],[ ]]</f>
        <v>36</v>
      </c>
      <c r="G42" s="69"/>
      <c r="H42" s="78"/>
      <c r="I42" s="78"/>
      <c r="J42" s="78"/>
      <c r="K42" s="79"/>
      <c r="L42" s="76"/>
      <c r="M42" s="76">
        <f>Таблица213399029467[[#This Row],[113]]*Таблица213399029467[[#This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Таблица213399029467[[#This Row],[ ]]</f>
        <v>37</v>
      </c>
      <c r="G43" s="69"/>
      <c r="H43" s="78"/>
      <c r="I43" s="78"/>
      <c r="J43" s="78"/>
      <c r="K43" s="79"/>
      <c r="L43" s="76"/>
      <c r="M43" s="76">
        <f>Таблица213399029467[[#This Row],[113]]*Таблица213399029467[[#This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Таблица213399029467[[#This Row],[ ]]</f>
        <v>38</v>
      </c>
      <c r="G44" s="69"/>
      <c r="H44" s="78"/>
      <c r="I44" s="78"/>
      <c r="J44" s="78"/>
      <c r="K44" s="79"/>
      <c r="L44" s="76"/>
      <c r="M44" s="76">
        <f>Таблица213399029467[[#This Row],[113]]*Таблица213399029467[[#This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Таблица213399029467[[#This Row],[ ]]</f>
        <v>39</v>
      </c>
      <c r="G45" s="69"/>
      <c r="H45" s="78"/>
      <c r="I45" s="78"/>
      <c r="J45" s="78"/>
      <c r="K45" s="79"/>
      <c r="L45" s="76"/>
      <c r="M45" s="76">
        <f>Таблица213399029467[[#This Row],[113]]*Таблица213399029467[[#This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Таблица213399029467[[#This Row],[ ]]</f>
        <v>40</v>
      </c>
      <c r="G46" s="69"/>
      <c r="H46" s="78"/>
      <c r="I46" s="78"/>
      <c r="J46" s="78"/>
      <c r="K46" s="79"/>
      <c r="L46" s="76"/>
      <c r="M46" s="76">
        <f>Таблица213399029467[[#This Row],[113]]*Таблица213399029467[[#This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Таблица213399029467[[#This Row],[ ]]</f>
        <v>41</v>
      </c>
      <c r="G47" s="69"/>
      <c r="H47" s="78"/>
      <c r="I47" s="78"/>
      <c r="J47" s="78"/>
      <c r="K47" s="79"/>
      <c r="L47" s="76"/>
      <c r="M47" s="76">
        <f>Таблица213399029467[[#This Row],[113]]*Таблица213399029467[[#This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Таблица213399029467[[#This Row],[ ]]</f>
        <v>42</v>
      </c>
      <c r="G48" s="69"/>
      <c r="H48" s="78"/>
      <c r="I48" s="78"/>
      <c r="J48" s="78"/>
      <c r="K48" s="79"/>
      <c r="L48" s="76"/>
      <c r="M48" s="76">
        <f>Таблица213399029467[[#This Row],[113]]*Таблица213399029467[[#This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Таблица213399029467[[#This Row],[ ]]</f>
        <v>43</v>
      </c>
      <c r="G49" s="69"/>
      <c r="H49" s="78"/>
      <c r="I49" s="78"/>
      <c r="J49" s="78"/>
      <c r="K49" s="79"/>
      <c r="L49" s="76"/>
      <c r="M49" s="76">
        <f>Таблица213399029467[[#This Row],[113]]*Таблица213399029467[[#This Row],[15]]</f>
        <v>0</v>
      </c>
    </row>
    <row r="50" spans="1:13" x14ac:dyDescent="0.2">
      <c r="A50" s="82"/>
      <c r="B50" s="45"/>
      <c r="C50" s="76">
        <f>SUBTOTAL(109,Таблица213399029467[2])</f>
        <v>49904640</v>
      </c>
      <c r="D50" s="76"/>
      <c r="E50" s="84"/>
      <c r="F50" s="83"/>
      <c r="G50" s="85"/>
      <c r="H50" s="86"/>
      <c r="I50" s="86"/>
      <c r="J50" s="86"/>
      <c r="K50" s="86">
        <f>SUBTOTAL(109,Таблица213399029467[1132])</f>
        <v>38</v>
      </c>
      <c r="L50" s="88"/>
      <c r="M50" s="88">
        <f>SUBTOTAL(109,Таблица213399029467[16])</f>
        <v>49904640</v>
      </c>
    </row>
  </sheetData>
  <mergeCells count="14">
    <mergeCell ref="M3:M4"/>
    <mergeCell ref="A2:B2"/>
    <mergeCell ref="C2:D2"/>
    <mergeCell ref="F2:G2"/>
    <mergeCell ref="A3:A5"/>
    <mergeCell ref="B3:B5"/>
    <mergeCell ref="F3:F5"/>
    <mergeCell ref="G3:G5"/>
    <mergeCell ref="E3:E4"/>
    <mergeCell ref="H3:H5"/>
    <mergeCell ref="I3:I5"/>
    <mergeCell ref="J3:J5"/>
    <mergeCell ref="K3:K4"/>
    <mergeCell ref="L3:L5"/>
  </mergeCells>
  <phoneticPr fontId="2" type="noConversion"/>
  <hyperlinks>
    <hyperlink ref="D1" location="'Свод Завод'!Y4" display="4-Гайрат Штб" xr:uid="{9611602A-BDC3-410F-9738-54731D521DFA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6390-7669-419C-BA83-0E85DD48C89E}">
  <dimension ref="A1:M50"/>
  <sheetViews>
    <sheetView zoomScaleNormal="100" workbookViewId="0"/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107</v>
      </c>
      <c r="E1" s="105"/>
      <c r="H1" s="1" t="s">
        <v>177</v>
      </c>
      <c r="I1" s="1">
        <f>SUMIFS(C:C,D:D,J1)</f>
        <v>4000000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94"/>
      <c r="F2" s="237">
        <f>Таблица2133990294678[[#Totals],[2]]+-Таблица2133990294678[[#Totals],[16]]</f>
        <v>0.62080000340938568</v>
      </c>
      <c r="G2" s="238"/>
    </row>
    <row r="3" spans="1:13" ht="15" customHeight="1" x14ac:dyDescent="0.2">
      <c r="A3" s="228" t="s">
        <v>27</v>
      </c>
      <c r="B3" s="228" t="s">
        <v>9</v>
      </c>
      <c r="C3" s="89" t="s">
        <v>19</v>
      </c>
      <c r="D3" s="8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Таблица2133990294678[[#Totals],[2]]</f>
        <v>69929800</v>
      </c>
      <c r="D5" s="64"/>
      <c r="E5" s="106">
        <f>SUM(Таблица2133990294678[4])</f>
        <v>0</v>
      </c>
      <c r="F5" s="233"/>
      <c r="G5" s="233"/>
      <c r="H5" s="233"/>
      <c r="I5" s="224"/>
      <c r="J5" s="154">
        <f>SUM(Таблица2133990294678[113])</f>
        <v>98.496000000000009</v>
      </c>
      <c r="K5" s="65">
        <f>Таблица2133990294678[[#Totals],[1132]]</f>
        <v>57</v>
      </c>
      <c r="L5" s="233"/>
      <c r="M5" s="96">
        <f>Таблица2133990294678[[#Totals],[16]]</f>
        <v>69929799.379199997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46202</v>
      </c>
      <c r="C7" s="70">
        <v>23965000</v>
      </c>
      <c r="D7" s="18" t="s">
        <v>112</v>
      </c>
      <c r="E7" s="76"/>
      <c r="F7" s="71">
        <f>Таблица2133990294678[[#This Row],[ ]]</f>
        <v>1</v>
      </c>
      <c r="G7" s="18">
        <v>46200</v>
      </c>
      <c r="H7" s="72" t="s">
        <v>49</v>
      </c>
      <c r="I7" s="73" t="s">
        <v>71</v>
      </c>
      <c r="J7" s="74">
        <v>32.832000000000001</v>
      </c>
      <c r="K7" s="75">
        <v>19</v>
      </c>
      <c r="L7" s="71">
        <v>729928.1</v>
      </c>
      <c r="M7" s="76">
        <f>Таблица2133990294678[[#This Row],[113]]*Таблица2133990294678[[#This Row],[15]]</f>
        <v>23964999.3792</v>
      </c>
    </row>
    <row r="8" spans="1:13" x14ac:dyDescent="0.2">
      <c r="A8" s="68">
        <v>2</v>
      </c>
      <c r="B8" s="77">
        <v>46206</v>
      </c>
      <c r="C8" s="76">
        <v>41964800</v>
      </c>
      <c r="D8" s="18" t="s">
        <v>112</v>
      </c>
      <c r="E8" s="76"/>
      <c r="F8" s="71">
        <f>Таблица2133990294678[[#This Row],[ ]]</f>
        <v>2</v>
      </c>
      <c r="G8" s="69">
        <v>46206</v>
      </c>
      <c r="H8" s="78" t="s">
        <v>134</v>
      </c>
      <c r="I8" s="78" t="s">
        <v>71</v>
      </c>
      <c r="J8" s="78">
        <v>32.832000000000001</v>
      </c>
      <c r="K8" s="76">
        <v>19</v>
      </c>
      <c r="L8" s="79">
        <v>700000</v>
      </c>
      <c r="M8" s="76">
        <f>Таблица2133990294678[[#This Row],[113]]*Таблица2133990294678[[#This Row],[15]]</f>
        <v>22982400</v>
      </c>
    </row>
    <row r="9" spans="1:13" x14ac:dyDescent="0.2">
      <c r="A9" s="68">
        <v>3</v>
      </c>
      <c r="B9" s="77"/>
      <c r="C9" s="76">
        <v>4000000</v>
      </c>
      <c r="D9" s="18" t="s">
        <v>176</v>
      </c>
      <c r="E9" s="76"/>
      <c r="F9" s="71">
        <f>Таблица2133990294678[[#This Row],[ ]]</f>
        <v>3</v>
      </c>
      <c r="G9" s="69">
        <v>46206</v>
      </c>
      <c r="H9" s="78" t="s">
        <v>154</v>
      </c>
      <c r="I9" s="78" t="s">
        <v>71</v>
      </c>
      <c r="J9" s="78">
        <v>32.832000000000001</v>
      </c>
      <c r="K9" s="76">
        <v>19</v>
      </c>
      <c r="L9" s="79">
        <v>700000</v>
      </c>
      <c r="M9" s="76">
        <f>Таблица2133990294678[[#This Row],[113]]*Таблица2133990294678[[#This Row],[15]]</f>
        <v>22982400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Таблица2133990294678[[#This Row],[ ]]</f>
        <v>4</v>
      </c>
      <c r="G10" s="69"/>
      <c r="H10" s="78"/>
      <c r="I10" s="78"/>
      <c r="J10" s="78"/>
      <c r="K10" s="76"/>
      <c r="L10" s="79"/>
      <c r="M10" s="76">
        <f>Таблица2133990294678[[#This Row],[113]]*Таблица2133990294678[[#This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Таблица2133990294678[[#This Row],[ ]]</f>
        <v>5</v>
      </c>
      <c r="G11" s="69"/>
      <c r="H11" s="78"/>
      <c r="I11" s="78"/>
      <c r="J11" s="78"/>
      <c r="K11" s="76"/>
      <c r="L11" s="79"/>
      <c r="M11" s="76">
        <f>Таблица2133990294678[[#This Row],[113]]*Таблица2133990294678[[#This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Таблица2133990294678[[#This Row],[ ]]</f>
        <v>6</v>
      </c>
      <c r="G12" s="69"/>
      <c r="H12" s="78"/>
      <c r="I12" s="78"/>
      <c r="J12" s="78"/>
      <c r="K12" s="76"/>
      <c r="L12" s="79"/>
      <c r="M12" s="76">
        <f>Таблица2133990294678[[#This Row],[113]]*Таблица2133990294678[[#This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Таблица2133990294678[[#This Row],[ ]]</f>
        <v>7</v>
      </c>
      <c r="G13" s="69"/>
      <c r="H13" s="78"/>
      <c r="I13" s="78"/>
      <c r="J13" s="78"/>
      <c r="K13" s="79"/>
      <c r="L13" s="76"/>
      <c r="M13" s="76">
        <f>Таблица2133990294678[[#This Row],[113]]*Таблица2133990294678[[#This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Таблица2133990294678[[#This Row],[ ]]</f>
        <v>8</v>
      </c>
      <c r="G14" s="69"/>
      <c r="H14" s="78"/>
      <c r="I14" s="78"/>
      <c r="J14" s="78"/>
      <c r="K14" s="79"/>
      <c r="L14" s="76"/>
      <c r="M14" s="76">
        <f>Таблица2133990294678[[#This Row],[113]]*Таблица2133990294678[[#This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Таблица2133990294678[[#This Row],[ ]]</f>
        <v>9</v>
      </c>
      <c r="G15" s="69"/>
      <c r="H15" s="78"/>
      <c r="I15" s="78"/>
      <c r="J15" s="78"/>
      <c r="K15" s="79"/>
      <c r="L15" s="76"/>
      <c r="M15" s="76">
        <f>Таблица2133990294678[[#This Row],[113]]*Таблица2133990294678[[#This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Таблица2133990294678[[#This Row],[ ]]</f>
        <v>10</v>
      </c>
      <c r="G16" s="69"/>
      <c r="H16" s="78"/>
      <c r="I16" s="78"/>
      <c r="J16" s="78"/>
      <c r="K16" s="79"/>
      <c r="L16" s="76"/>
      <c r="M16" s="76">
        <f>Таблица2133990294678[[#This Row],[113]]*Таблица2133990294678[[#This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Таблица2133990294678[[#This Row],[ ]]</f>
        <v>11</v>
      </c>
      <c r="G17" s="69"/>
      <c r="H17" s="78"/>
      <c r="I17" s="78"/>
      <c r="J17" s="78"/>
      <c r="K17" s="79"/>
      <c r="L17" s="76"/>
      <c r="M17" s="76">
        <f>Таблица2133990294678[[#This Row],[113]]*Таблица2133990294678[[#This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Таблица2133990294678[[#This Row],[ ]]</f>
        <v>12</v>
      </c>
      <c r="G18" s="69"/>
      <c r="H18" s="78"/>
      <c r="I18" s="78"/>
      <c r="J18" s="78"/>
      <c r="K18" s="79"/>
      <c r="L18" s="76"/>
      <c r="M18" s="76">
        <f>Таблица2133990294678[[#This Row],[113]]*Таблица2133990294678[[#This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Таблица2133990294678[[#This Row],[ ]]</f>
        <v>13</v>
      </c>
      <c r="G19" s="69"/>
      <c r="H19" s="78"/>
      <c r="I19" s="78"/>
      <c r="J19" s="78"/>
      <c r="K19" s="79"/>
      <c r="L19" s="76"/>
      <c r="M19" s="76">
        <f>Таблица2133990294678[[#This Row],[113]]*Таблица2133990294678[[#This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Таблица2133990294678[[#This Row],[ ]]</f>
        <v>14</v>
      </c>
      <c r="G20" s="69"/>
      <c r="H20" s="78"/>
      <c r="I20" s="78"/>
      <c r="J20" s="78"/>
      <c r="K20" s="79"/>
      <c r="L20" s="76"/>
      <c r="M20" s="76">
        <f>Таблица2133990294678[[#This Row],[113]]*Таблица2133990294678[[#This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Таблица2133990294678[[#This Row],[ ]]</f>
        <v>15</v>
      </c>
      <c r="G21" s="69"/>
      <c r="H21" s="78"/>
      <c r="I21" s="78"/>
      <c r="J21" s="78"/>
      <c r="K21" s="79"/>
      <c r="L21" s="76"/>
      <c r="M21" s="76">
        <f>Таблица2133990294678[[#This Row],[113]]*Таблица2133990294678[[#This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Таблица2133990294678[[#This Row],[ ]]</f>
        <v>16</v>
      </c>
      <c r="G22" s="69"/>
      <c r="H22" s="78"/>
      <c r="I22" s="78"/>
      <c r="J22" s="78"/>
      <c r="K22" s="79"/>
      <c r="L22" s="76"/>
      <c r="M22" s="76">
        <f>Таблица2133990294678[[#This Row],[113]]*Таблица2133990294678[[#This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Таблица2133990294678[[#This Row],[ ]]</f>
        <v>17</v>
      </c>
      <c r="G23" s="69"/>
      <c r="H23" s="78"/>
      <c r="I23" s="78"/>
      <c r="J23" s="78"/>
      <c r="K23" s="79"/>
      <c r="L23" s="76"/>
      <c r="M23" s="76">
        <f>Таблица2133990294678[[#This Row],[113]]*Таблица2133990294678[[#This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Таблица2133990294678[[#This Row],[ ]]</f>
        <v>18</v>
      </c>
      <c r="G24" s="69"/>
      <c r="H24" s="78"/>
      <c r="I24" s="78"/>
      <c r="J24" s="78"/>
      <c r="K24" s="79"/>
      <c r="L24" s="76"/>
      <c r="M24" s="76">
        <f>Таблица2133990294678[[#This Row],[113]]*Таблица2133990294678[[#This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Таблица2133990294678[[#This Row],[ ]]</f>
        <v>19</v>
      </c>
      <c r="G25" s="69"/>
      <c r="H25" s="78"/>
      <c r="I25" s="78"/>
      <c r="J25" s="78"/>
      <c r="K25" s="79"/>
      <c r="L25" s="76"/>
      <c r="M25" s="76">
        <f>Таблица2133990294678[[#This Row],[113]]*Таблица2133990294678[[#This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Таблица2133990294678[[#This Row],[ ]]</f>
        <v>20</v>
      </c>
      <c r="G26" s="69"/>
      <c r="H26" s="78"/>
      <c r="I26" s="78"/>
      <c r="J26" s="78"/>
      <c r="K26" s="79"/>
      <c r="L26" s="76"/>
      <c r="M26" s="76">
        <f>Таблица2133990294678[[#This Row],[113]]*Таблица2133990294678[[#This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Таблица2133990294678[[#This Row],[ ]]</f>
        <v>21</v>
      </c>
      <c r="G27" s="69"/>
      <c r="H27" s="78"/>
      <c r="I27" s="78"/>
      <c r="J27" s="78"/>
      <c r="K27" s="79"/>
      <c r="L27" s="76"/>
      <c r="M27" s="76">
        <f>Таблица2133990294678[[#This Row],[113]]*Таблица2133990294678[[#This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Таблица2133990294678[[#This Row],[ ]]</f>
        <v>22</v>
      </c>
      <c r="G28" s="69"/>
      <c r="H28" s="78"/>
      <c r="I28" s="78"/>
      <c r="J28" s="78"/>
      <c r="K28" s="79"/>
      <c r="L28" s="76"/>
      <c r="M28" s="76">
        <f>Таблица2133990294678[[#This Row],[113]]*Таблица2133990294678[[#This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Таблица2133990294678[[#This Row],[ ]]</f>
        <v>23</v>
      </c>
      <c r="G29" s="69"/>
      <c r="H29" s="78"/>
      <c r="I29" s="78"/>
      <c r="J29" s="78"/>
      <c r="K29" s="79"/>
      <c r="L29" s="76"/>
      <c r="M29" s="76">
        <f>Таблица2133990294678[[#This Row],[113]]*Таблица2133990294678[[#This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Таблица2133990294678[[#This Row],[ ]]</f>
        <v>24</v>
      </c>
      <c r="G30" s="69"/>
      <c r="H30" s="78"/>
      <c r="I30" s="78"/>
      <c r="J30" s="78"/>
      <c r="K30" s="79"/>
      <c r="L30" s="76"/>
      <c r="M30" s="76">
        <f>Таблица2133990294678[[#This Row],[113]]*Таблица2133990294678[[#This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Таблица2133990294678[[#This Row],[ ]]</f>
        <v>25</v>
      </c>
      <c r="G31" s="69"/>
      <c r="H31" s="78"/>
      <c r="I31" s="78"/>
      <c r="J31" s="78"/>
      <c r="K31" s="79"/>
      <c r="L31" s="76"/>
      <c r="M31" s="76">
        <f>Таблица2133990294678[[#This Row],[113]]*Таблица2133990294678[[#This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Таблица2133990294678[[#This Row],[ ]]</f>
        <v>26</v>
      </c>
      <c r="G32" s="69"/>
      <c r="H32" s="78"/>
      <c r="I32" s="78"/>
      <c r="J32" s="78"/>
      <c r="K32" s="79"/>
      <c r="L32" s="76"/>
      <c r="M32" s="76">
        <f>Таблица2133990294678[[#This Row],[113]]*Таблица2133990294678[[#This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Таблица2133990294678[[#This Row],[ ]]</f>
        <v>27</v>
      </c>
      <c r="G33" s="69"/>
      <c r="H33" s="78"/>
      <c r="I33" s="78"/>
      <c r="J33" s="78"/>
      <c r="K33" s="79"/>
      <c r="L33" s="76"/>
      <c r="M33" s="76">
        <f>Таблица2133990294678[[#This Row],[113]]*Таблица2133990294678[[#This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Таблица2133990294678[[#This Row],[ ]]</f>
        <v>28</v>
      </c>
      <c r="G34" s="69"/>
      <c r="H34" s="78"/>
      <c r="I34" s="78"/>
      <c r="J34" s="78"/>
      <c r="K34" s="79"/>
      <c r="L34" s="76"/>
      <c r="M34" s="76">
        <f>Таблица2133990294678[[#This Row],[113]]*Таблица2133990294678[[#This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Таблица2133990294678[[#This Row],[ ]]</f>
        <v>29</v>
      </c>
      <c r="G35" s="69"/>
      <c r="H35" s="78"/>
      <c r="I35" s="78"/>
      <c r="J35" s="78"/>
      <c r="K35" s="79"/>
      <c r="L35" s="76"/>
      <c r="M35" s="76">
        <f>Таблица2133990294678[[#This Row],[113]]*Таблица2133990294678[[#This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Таблица2133990294678[[#This Row],[ ]]</f>
        <v>30</v>
      </c>
      <c r="G36" s="69"/>
      <c r="H36" s="78"/>
      <c r="I36" s="78"/>
      <c r="J36" s="78"/>
      <c r="K36" s="79"/>
      <c r="L36" s="76"/>
      <c r="M36" s="76">
        <f>Таблица2133990294678[[#This Row],[113]]*Таблица2133990294678[[#This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Таблица2133990294678[[#This Row],[ ]]</f>
        <v>31</v>
      </c>
      <c r="G37" s="69"/>
      <c r="H37" s="78"/>
      <c r="I37" s="78"/>
      <c r="J37" s="78"/>
      <c r="K37" s="79"/>
      <c r="L37" s="76"/>
      <c r="M37" s="76">
        <f>Таблица2133990294678[[#This Row],[113]]*Таблица2133990294678[[#This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Таблица2133990294678[[#This Row],[ ]]</f>
        <v>32</v>
      </c>
      <c r="G38" s="69"/>
      <c r="H38" s="78"/>
      <c r="I38" s="78"/>
      <c r="J38" s="78"/>
      <c r="K38" s="79"/>
      <c r="L38" s="76"/>
      <c r="M38" s="76">
        <f>Таблица2133990294678[[#This Row],[113]]*Таблица2133990294678[[#This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Таблица2133990294678[[#This Row],[ ]]</f>
        <v>33</v>
      </c>
      <c r="G39" s="69"/>
      <c r="H39" s="78"/>
      <c r="I39" s="78"/>
      <c r="J39" s="78"/>
      <c r="K39" s="79"/>
      <c r="L39" s="76"/>
      <c r="M39" s="76">
        <f>Таблица2133990294678[[#This Row],[113]]*Таблица2133990294678[[#This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Таблица2133990294678[[#This Row],[ ]]</f>
        <v>34</v>
      </c>
      <c r="G40" s="69"/>
      <c r="H40" s="78"/>
      <c r="I40" s="78"/>
      <c r="J40" s="78"/>
      <c r="K40" s="79"/>
      <c r="L40" s="76"/>
      <c r="M40" s="76">
        <f>Таблица2133990294678[[#This Row],[113]]*Таблица2133990294678[[#This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Таблица2133990294678[[#This Row],[ ]]</f>
        <v>35</v>
      </c>
      <c r="G41" s="69"/>
      <c r="H41" s="78"/>
      <c r="I41" s="78"/>
      <c r="J41" s="78"/>
      <c r="K41" s="79"/>
      <c r="L41" s="76"/>
      <c r="M41" s="76">
        <f>Таблица2133990294678[[#This Row],[113]]*Таблица2133990294678[[#This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Таблица2133990294678[[#This Row],[ ]]</f>
        <v>36</v>
      </c>
      <c r="G42" s="69"/>
      <c r="H42" s="78"/>
      <c r="I42" s="78"/>
      <c r="J42" s="78"/>
      <c r="K42" s="79"/>
      <c r="L42" s="76"/>
      <c r="M42" s="76">
        <f>Таблица2133990294678[[#This Row],[113]]*Таблица2133990294678[[#This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Таблица2133990294678[[#This Row],[ ]]</f>
        <v>37</v>
      </c>
      <c r="G43" s="69"/>
      <c r="H43" s="78"/>
      <c r="I43" s="78"/>
      <c r="J43" s="78"/>
      <c r="K43" s="79"/>
      <c r="L43" s="76"/>
      <c r="M43" s="76">
        <f>Таблица2133990294678[[#This Row],[113]]*Таблица2133990294678[[#This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Таблица2133990294678[[#This Row],[ ]]</f>
        <v>38</v>
      </c>
      <c r="G44" s="69"/>
      <c r="H44" s="78"/>
      <c r="I44" s="78"/>
      <c r="J44" s="78"/>
      <c r="K44" s="79"/>
      <c r="L44" s="76"/>
      <c r="M44" s="76">
        <f>Таблица2133990294678[[#This Row],[113]]*Таблица2133990294678[[#This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Таблица2133990294678[[#This Row],[ ]]</f>
        <v>39</v>
      </c>
      <c r="G45" s="69"/>
      <c r="H45" s="78"/>
      <c r="I45" s="78"/>
      <c r="J45" s="78"/>
      <c r="K45" s="79"/>
      <c r="L45" s="76"/>
      <c r="M45" s="76">
        <f>Таблица2133990294678[[#This Row],[113]]*Таблица2133990294678[[#This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Таблица2133990294678[[#This Row],[ ]]</f>
        <v>40</v>
      </c>
      <c r="G46" s="69"/>
      <c r="H46" s="78"/>
      <c r="I46" s="78"/>
      <c r="J46" s="78"/>
      <c r="K46" s="79"/>
      <c r="L46" s="76"/>
      <c r="M46" s="76">
        <f>Таблица2133990294678[[#This Row],[113]]*Таблица2133990294678[[#This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Таблица2133990294678[[#This Row],[ ]]</f>
        <v>41</v>
      </c>
      <c r="G47" s="69"/>
      <c r="H47" s="78"/>
      <c r="I47" s="78"/>
      <c r="J47" s="78"/>
      <c r="K47" s="79"/>
      <c r="L47" s="76"/>
      <c r="M47" s="76">
        <f>Таблица2133990294678[[#This Row],[113]]*Таблица2133990294678[[#This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Таблица2133990294678[[#This Row],[ ]]</f>
        <v>42</v>
      </c>
      <c r="G48" s="69"/>
      <c r="H48" s="78"/>
      <c r="I48" s="78"/>
      <c r="J48" s="78"/>
      <c r="K48" s="79"/>
      <c r="L48" s="76"/>
      <c r="M48" s="76">
        <f>Таблица2133990294678[[#This Row],[113]]*Таблица2133990294678[[#This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Таблица2133990294678[[#This Row],[ ]]</f>
        <v>43</v>
      </c>
      <c r="G49" s="69"/>
      <c r="H49" s="78"/>
      <c r="I49" s="78"/>
      <c r="J49" s="78"/>
      <c r="K49" s="79"/>
      <c r="L49" s="76"/>
      <c r="M49" s="76">
        <f>Таблица2133990294678[[#This Row],[113]]*Таблица2133990294678[[#This Row],[15]]</f>
        <v>0</v>
      </c>
    </row>
    <row r="50" spans="1:13" x14ac:dyDescent="0.2">
      <c r="A50" s="82"/>
      <c r="B50" s="45"/>
      <c r="C50" s="76">
        <f>SUBTOTAL(109,Таблица2133990294678[2])</f>
        <v>69929800</v>
      </c>
      <c r="D50" s="76"/>
      <c r="E50" s="84"/>
      <c r="F50" s="83"/>
      <c r="G50" s="85"/>
      <c r="H50" s="86"/>
      <c r="I50" s="86"/>
      <c r="J50" s="86"/>
      <c r="K50" s="86">
        <f>SUBTOTAL(109,Таблица2133990294678[1132])</f>
        <v>57</v>
      </c>
      <c r="L50" s="88"/>
      <c r="M50" s="88">
        <f>SUBTOTAL(109,Таблица2133990294678[16])</f>
        <v>69929799.379199997</v>
      </c>
    </row>
  </sheetData>
  <mergeCells count="14">
    <mergeCell ref="M3:M4"/>
    <mergeCell ref="A2:B2"/>
    <mergeCell ref="C2:D2"/>
    <mergeCell ref="F2:G2"/>
    <mergeCell ref="A3:A5"/>
    <mergeCell ref="B3:B5"/>
    <mergeCell ref="F3:F5"/>
    <mergeCell ref="G3:G5"/>
    <mergeCell ref="E3:E4"/>
    <mergeCell ref="H3:H5"/>
    <mergeCell ref="I3:I5"/>
    <mergeCell ref="K3:K4"/>
    <mergeCell ref="L3:L5"/>
    <mergeCell ref="J3:J4"/>
  </mergeCells>
  <phoneticPr fontId="2" type="noConversion"/>
  <hyperlinks>
    <hyperlink ref="D1" location="'Свод Завод'!Y4" display="4-Рустам Шпик" xr:uid="{B1827448-F59C-4983-B5DF-49F11A071849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5A51-3938-412D-B6D2-760D9D4D0FB8}">
  <dimension ref="A1:M50"/>
  <sheetViews>
    <sheetView zoomScaleNormal="100" workbookViewId="0">
      <selection activeCell="H12" sqref="H12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21.7109375" style="1" bestFit="1" customWidth="1"/>
    <col min="9" max="9" width="13.42578125" style="1" bestFit="1" customWidth="1"/>
    <col min="10" max="10" width="17.7109375" style="1" bestFit="1" customWidth="1"/>
    <col min="11" max="12" width="11.2851562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263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96"/>
      <c r="F2" s="237">
        <f>Таблица213399029467826[[#Totals],[2]]+-Таблица213399029467826[[#Totals],[16]]</f>
        <v>-22982400</v>
      </c>
      <c r="G2" s="238"/>
    </row>
    <row r="3" spans="1:13" ht="15" customHeight="1" x14ac:dyDescent="0.2">
      <c r="A3" s="228" t="s">
        <v>27</v>
      </c>
      <c r="B3" s="228" t="s">
        <v>9</v>
      </c>
      <c r="C3" s="197" t="s">
        <v>19</v>
      </c>
      <c r="D3" s="197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Таблица213399029467826[[#Totals],[2]]</f>
        <v>0</v>
      </c>
      <c r="D5" s="64"/>
      <c r="E5" s="106">
        <f>SUM(Таблица213399029467826[4])</f>
        <v>0</v>
      </c>
      <c r="F5" s="233"/>
      <c r="G5" s="233"/>
      <c r="H5" s="233"/>
      <c r="I5" s="224"/>
      <c r="J5" s="154">
        <f>SUM(Таблица213399029467826[113])</f>
        <v>32.832000000000001</v>
      </c>
      <c r="K5" s="65">
        <f>Таблица213399029467826[[#Totals],[1132]]</f>
        <v>19</v>
      </c>
      <c r="L5" s="233"/>
      <c r="M5" s="198">
        <f>Таблица213399029467826[[#Totals],[16]]</f>
        <v>22982400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/>
      <c r="C7" s="70"/>
      <c r="D7" s="18"/>
      <c r="E7" s="76"/>
      <c r="F7" s="71">
        <f>Таблица213399029467826[[#This Row],[ ]]</f>
        <v>1</v>
      </c>
      <c r="G7" s="18">
        <v>46185</v>
      </c>
      <c r="H7" s="72" t="s">
        <v>255</v>
      </c>
      <c r="I7" s="73" t="s">
        <v>71</v>
      </c>
      <c r="J7" s="74">
        <v>32.832000000000001</v>
      </c>
      <c r="K7" s="75">
        <v>19</v>
      </c>
      <c r="L7" s="76">
        <v>700000</v>
      </c>
      <c r="M7" s="76">
        <f>Таблица213399029467826[[#This Row],[113]]*Таблица213399029467826[[#This Row],[15]]</f>
        <v>22982400</v>
      </c>
    </row>
    <row r="8" spans="1:13" x14ac:dyDescent="0.2">
      <c r="A8" s="68">
        <v>2</v>
      </c>
      <c r="B8" s="77"/>
      <c r="C8" s="76"/>
      <c r="D8" s="18"/>
      <c r="E8" s="76"/>
      <c r="F8" s="71">
        <f>Таблица213399029467826[[#This Row],[ ]]</f>
        <v>2</v>
      </c>
      <c r="G8" s="69"/>
      <c r="H8" s="78"/>
      <c r="I8" s="78"/>
      <c r="J8" s="78"/>
      <c r="K8" s="76"/>
      <c r="L8" s="79"/>
      <c r="M8" s="76">
        <f>Таблица213399029467826[[#This Row],[113]]*Таблица213399029467826[[#This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Таблица213399029467826[[#This Row],[ ]]</f>
        <v>3</v>
      </c>
      <c r="G9" s="69"/>
      <c r="H9" s="78"/>
      <c r="I9" s="78"/>
      <c r="J9" s="78"/>
      <c r="K9" s="76"/>
      <c r="L9" s="79"/>
      <c r="M9" s="76">
        <f>Таблица213399029467826[[#This Row],[113]]*Таблица213399029467826[[#This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Таблица213399029467826[[#This Row],[ ]]</f>
        <v>4</v>
      </c>
      <c r="G10" s="69"/>
      <c r="H10" s="78"/>
      <c r="I10" s="78"/>
      <c r="J10" s="78"/>
      <c r="K10" s="76"/>
      <c r="L10" s="79"/>
      <c r="M10" s="76">
        <f>Таблица213399029467826[[#This Row],[113]]*Таблица213399029467826[[#This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Таблица213399029467826[[#This Row],[ ]]</f>
        <v>5</v>
      </c>
      <c r="G11" s="69"/>
      <c r="H11" s="78"/>
      <c r="I11" s="78"/>
      <c r="J11" s="78"/>
      <c r="K11" s="76"/>
      <c r="L11" s="79"/>
      <c r="M11" s="76">
        <f>Таблица213399029467826[[#This Row],[113]]*Таблица213399029467826[[#This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Таблица213399029467826[[#This Row],[ ]]</f>
        <v>6</v>
      </c>
      <c r="G12" s="69"/>
      <c r="H12" s="78"/>
      <c r="I12" s="78"/>
      <c r="J12" s="78"/>
      <c r="K12" s="76"/>
      <c r="L12" s="79"/>
      <c r="M12" s="76">
        <f>Таблица213399029467826[[#This Row],[113]]*Таблица213399029467826[[#This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Таблица213399029467826[[#This Row],[ ]]</f>
        <v>7</v>
      </c>
      <c r="G13" s="69"/>
      <c r="H13" s="78"/>
      <c r="I13" s="78"/>
      <c r="J13" s="78"/>
      <c r="K13" s="79"/>
      <c r="L13" s="76"/>
      <c r="M13" s="76">
        <f>Таблица213399029467826[[#This Row],[113]]*Таблица213399029467826[[#This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Таблица213399029467826[[#This Row],[ ]]</f>
        <v>8</v>
      </c>
      <c r="G14" s="69"/>
      <c r="H14" s="78"/>
      <c r="I14" s="78"/>
      <c r="J14" s="78"/>
      <c r="K14" s="79"/>
      <c r="L14" s="76"/>
      <c r="M14" s="76">
        <f>Таблица213399029467826[[#This Row],[113]]*Таблица213399029467826[[#This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Таблица213399029467826[[#This Row],[ ]]</f>
        <v>9</v>
      </c>
      <c r="G15" s="69"/>
      <c r="H15" s="78"/>
      <c r="I15" s="78"/>
      <c r="J15" s="78"/>
      <c r="K15" s="79"/>
      <c r="L15" s="76"/>
      <c r="M15" s="76">
        <f>Таблица213399029467826[[#This Row],[113]]*Таблица213399029467826[[#This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Таблица213399029467826[[#This Row],[ ]]</f>
        <v>10</v>
      </c>
      <c r="G16" s="69"/>
      <c r="H16" s="78"/>
      <c r="I16" s="78"/>
      <c r="J16" s="78"/>
      <c r="K16" s="79"/>
      <c r="L16" s="76"/>
      <c r="M16" s="76">
        <f>Таблица213399029467826[[#This Row],[113]]*Таблица213399029467826[[#This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Таблица213399029467826[[#This Row],[ ]]</f>
        <v>11</v>
      </c>
      <c r="G17" s="69"/>
      <c r="H17" s="78"/>
      <c r="I17" s="78"/>
      <c r="J17" s="78"/>
      <c r="K17" s="79"/>
      <c r="L17" s="76"/>
      <c r="M17" s="76">
        <f>Таблица213399029467826[[#This Row],[113]]*Таблица213399029467826[[#This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Таблица213399029467826[[#This Row],[ ]]</f>
        <v>12</v>
      </c>
      <c r="G18" s="69"/>
      <c r="H18" s="78"/>
      <c r="I18" s="78"/>
      <c r="J18" s="78"/>
      <c r="K18" s="79"/>
      <c r="L18" s="76"/>
      <c r="M18" s="76">
        <f>Таблица213399029467826[[#This Row],[113]]*Таблица213399029467826[[#This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Таблица213399029467826[[#This Row],[ ]]</f>
        <v>13</v>
      </c>
      <c r="G19" s="69"/>
      <c r="H19" s="78"/>
      <c r="I19" s="78"/>
      <c r="J19" s="78"/>
      <c r="K19" s="79"/>
      <c r="L19" s="76"/>
      <c r="M19" s="76">
        <f>Таблица213399029467826[[#This Row],[113]]*Таблица213399029467826[[#This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Таблица213399029467826[[#This Row],[ ]]</f>
        <v>14</v>
      </c>
      <c r="G20" s="69"/>
      <c r="H20" s="78"/>
      <c r="I20" s="78"/>
      <c r="J20" s="78"/>
      <c r="K20" s="79"/>
      <c r="L20" s="76"/>
      <c r="M20" s="76">
        <f>Таблица213399029467826[[#This Row],[113]]*Таблица213399029467826[[#This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Таблица213399029467826[[#This Row],[ ]]</f>
        <v>15</v>
      </c>
      <c r="G21" s="69"/>
      <c r="H21" s="78"/>
      <c r="I21" s="78"/>
      <c r="J21" s="78"/>
      <c r="K21" s="79"/>
      <c r="L21" s="76"/>
      <c r="M21" s="76">
        <f>Таблица213399029467826[[#This Row],[113]]*Таблица213399029467826[[#This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Таблица213399029467826[[#This Row],[ ]]</f>
        <v>16</v>
      </c>
      <c r="G22" s="69"/>
      <c r="H22" s="78"/>
      <c r="I22" s="78"/>
      <c r="J22" s="78"/>
      <c r="K22" s="79"/>
      <c r="L22" s="76"/>
      <c r="M22" s="76">
        <f>Таблица213399029467826[[#This Row],[113]]*Таблица213399029467826[[#This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Таблица213399029467826[[#This Row],[ ]]</f>
        <v>17</v>
      </c>
      <c r="G23" s="69"/>
      <c r="H23" s="78"/>
      <c r="I23" s="78"/>
      <c r="J23" s="78"/>
      <c r="K23" s="79"/>
      <c r="L23" s="76"/>
      <c r="M23" s="76">
        <f>Таблица213399029467826[[#This Row],[113]]*Таблица213399029467826[[#This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Таблица213399029467826[[#This Row],[ ]]</f>
        <v>18</v>
      </c>
      <c r="G24" s="69"/>
      <c r="H24" s="78"/>
      <c r="I24" s="78"/>
      <c r="J24" s="78"/>
      <c r="K24" s="79"/>
      <c r="L24" s="76"/>
      <c r="M24" s="76">
        <f>Таблица213399029467826[[#This Row],[113]]*Таблица213399029467826[[#This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Таблица213399029467826[[#This Row],[ ]]</f>
        <v>19</v>
      </c>
      <c r="G25" s="69"/>
      <c r="H25" s="78"/>
      <c r="I25" s="78"/>
      <c r="J25" s="78"/>
      <c r="K25" s="79"/>
      <c r="L25" s="76"/>
      <c r="M25" s="76">
        <f>Таблица213399029467826[[#This Row],[113]]*Таблица213399029467826[[#This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Таблица213399029467826[[#This Row],[ ]]</f>
        <v>20</v>
      </c>
      <c r="G26" s="69"/>
      <c r="H26" s="78"/>
      <c r="I26" s="78"/>
      <c r="J26" s="78"/>
      <c r="K26" s="79"/>
      <c r="L26" s="76"/>
      <c r="M26" s="76">
        <f>Таблица213399029467826[[#This Row],[113]]*Таблица213399029467826[[#This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Таблица213399029467826[[#This Row],[ ]]</f>
        <v>21</v>
      </c>
      <c r="G27" s="69"/>
      <c r="H27" s="78"/>
      <c r="I27" s="78"/>
      <c r="J27" s="78"/>
      <c r="K27" s="79"/>
      <c r="L27" s="76"/>
      <c r="M27" s="76">
        <f>Таблица213399029467826[[#This Row],[113]]*Таблица213399029467826[[#This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Таблица213399029467826[[#This Row],[ ]]</f>
        <v>22</v>
      </c>
      <c r="G28" s="69"/>
      <c r="H28" s="78"/>
      <c r="I28" s="78"/>
      <c r="J28" s="78"/>
      <c r="K28" s="79"/>
      <c r="L28" s="76"/>
      <c r="M28" s="76">
        <f>Таблица213399029467826[[#This Row],[113]]*Таблица213399029467826[[#This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Таблица213399029467826[[#This Row],[ ]]</f>
        <v>23</v>
      </c>
      <c r="G29" s="69"/>
      <c r="H29" s="78"/>
      <c r="I29" s="78"/>
      <c r="J29" s="78"/>
      <c r="K29" s="79"/>
      <c r="L29" s="76"/>
      <c r="M29" s="76">
        <f>Таблица213399029467826[[#This Row],[113]]*Таблица213399029467826[[#This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Таблица213399029467826[[#This Row],[ ]]</f>
        <v>24</v>
      </c>
      <c r="G30" s="69"/>
      <c r="H30" s="78"/>
      <c r="I30" s="78"/>
      <c r="J30" s="78"/>
      <c r="K30" s="79"/>
      <c r="L30" s="76"/>
      <c r="M30" s="76">
        <f>Таблица213399029467826[[#This Row],[113]]*Таблица213399029467826[[#This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Таблица213399029467826[[#This Row],[ ]]</f>
        <v>25</v>
      </c>
      <c r="G31" s="69"/>
      <c r="H31" s="78"/>
      <c r="I31" s="78"/>
      <c r="J31" s="78"/>
      <c r="K31" s="79"/>
      <c r="L31" s="76"/>
      <c r="M31" s="76">
        <f>Таблица213399029467826[[#This Row],[113]]*Таблица213399029467826[[#This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Таблица213399029467826[[#This Row],[ ]]</f>
        <v>26</v>
      </c>
      <c r="G32" s="69"/>
      <c r="H32" s="78"/>
      <c r="I32" s="78"/>
      <c r="J32" s="78"/>
      <c r="K32" s="79"/>
      <c r="L32" s="76"/>
      <c r="M32" s="76">
        <f>Таблица213399029467826[[#This Row],[113]]*Таблица213399029467826[[#This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Таблица213399029467826[[#This Row],[ ]]</f>
        <v>27</v>
      </c>
      <c r="G33" s="69"/>
      <c r="H33" s="78"/>
      <c r="I33" s="78"/>
      <c r="J33" s="78"/>
      <c r="K33" s="79"/>
      <c r="L33" s="76"/>
      <c r="M33" s="76">
        <f>Таблица213399029467826[[#This Row],[113]]*Таблица213399029467826[[#This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Таблица213399029467826[[#This Row],[ ]]</f>
        <v>28</v>
      </c>
      <c r="G34" s="69"/>
      <c r="H34" s="78"/>
      <c r="I34" s="78"/>
      <c r="J34" s="78"/>
      <c r="K34" s="79"/>
      <c r="L34" s="76"/>
      <c r="M34" s="76">
        <f>Таблица213399029467826[[#This Row],[113]]*Таблица213399029467826[[#This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Таблица213399029467826[[#This Row],[ ]]</f>
        <v>29</v>
      </c>
      <c r="G35" s="69"/>
      <c r="H35" s="78"/>
      <c r="I35" s="78"/>
      <c r="J35" s="78"/>
      <c r="K35" s="79"/>
      <c r="L35" s="76"/>
      <c r="M35" s="76">
        <f>Таблица213399029467826[[#This Row],[113]]*Таблица213399029467826[[#This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Таблица213399029467826[[#This Row],[ ]]</f>
        <v>30</v>
      </c>
      <c r="G36" s="69"/>
      <c r="H36" s="78"/>
      <c r="I36" s="78"/>
      <c r="J36" s="78"/>
      <c r="K36" s="79"/>
      <c r="L36" s="76"/>
      <c r="M36" s="76">
        <f>Таблица213399029467826[[#This Row],[113]]*Таблица213399029467826[[#This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Таблица213399029467826[[#This Row],[ ]]</f>
        <v>31</v>
      </c>
      <c r="G37" s="69"/>
      <c r="H37" s="78"/>
      <c r="I37" s="78"/>
      <c r="J37" s="78"/>
      <c r="K37" s="79"/>
      <c r="L37" s="76"/>
      <c r="M37" s="76">
        <f>Таблица213399029467826[[#This Row],[113]]*Таблица213399029467826[[#This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Таблица213399029467826[[#This Row],[ ]]</f>
        <v>32</v>
      </c>
      <c r="G38" s="69"/>
      <c r="H38" s="78"/>
      <c r="I38" s="78"/>
      <c r="J38" s="78"/>
      <c r="K38" s="79"/>
      <c r="L38" s="76"/>
      <c r="M38" s="76">
        <f>Таблица213399029467826[[#This Row],[113]]*Таблица213399029467826[[#This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Таблица213399029467826[[#This Row],[ ]]</f>
        <v>33</v>
      </c>
      <c r="G39" s="69"/>
      <c r="H39" s="78"/>
      <c r="I39" s="78"/>
      <c r="J39" s="78"/>
      <c r="K39" s="79"/>
      <c r="L39" s="76"/>
      <c r="M39" s="76">
        <f>Таблица213399029467826[[#This Row],[113]]*Таблица213399029467826[[#This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Таблица213399029467826[[#This Row],[ ]]</f>
        <v>34</v>
      </c>
      <c r="G40" s="69"/>
      <c r="H40" s="78"/>
      <c r="I40" s="78"/>
      <c r="J40" s="78"/>
      <c r="K40" s="79"/>
      <c r="L40" s="76"/>
      <c r="M40" s="76">
        <f>Таблица213399029467826[[#This Row],[113]]*Таблица213399029467826[[#This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Таблица213399029467826[[#This Row],[ ]]</f>
        <v>35</v>
      </c>
      <c r="G41" s="69"/>
      <c r="H41" s="78"/>
      <c r="I41" s="78"/>
      <c r="J41" s="78"/>
      <c r="K41" s="79"/>
      <c r="L41" s="76"/>
      <c r="M41" s="76">
        <f>Таблица213399029467826[[#This Row],[113]]*Таблица213399029467826[[#This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Таблица213399029467826[[#This Row],[ ]]</f>
        <v>36</v>
      </c>
      <c r="G42" s="69"/>
      <c r="H42" s="78"/>
      <c r="I42" s="78"/>
      <c r="J42" s="78"/>
      <c r="K42" s="79"/>
      <c r="L42" s="76"/>
      <c r="M42" s="76">
        <f>Таблица213399029467826[[#This Row],[113]]*Таблица213399029467826[[#This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Таблица213399029467826[[#This Row],[ ]]</f>
        <v>37</v>
      </c>
      <c r="G43" s="69"/>
      <c r="H43" s="78"/>
      <c r="I43" s="78"/>
      <c r="J43" s="78"/>
      <c r="K43" s="79"/>
      <c r="L43" s="76"/>
      <c r="M43" s="76">
        <f>Таблица213399029467826[[#This Row],[113]]*Таблица213399029467826[[#This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Таблица213399029467826[[#This Row],[ ]]</f>
        <v>38</v>
      </c>
      <c r="G44" s="69"/>
      <c r="H44" s="78"/>
      <c r="I44" s="78"/>
      <c r="J44" s="78"/>
      <c r="K44" s="79"/>
      <c r="L44" s="76"/>
      <c r="M44" s="76">
        <f>Таблица213399029467826[[#This Row],[113]]*Таблица213399029467826[[#This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Таблица213399029467826[[#This Row],[ ]]</f>
        <v>39</v>
      </c>
      <c r="G45" s="69"/>
      <c r="H45" s="78"/>
      <c r="I45" s="78"/>
      <c r="J45" s="78"/>
      <c r="K45" s="79"/>
      <c r="L45" s="76"/>
      <c r="M45" s="76">
        <f>Таблица213399029467826[[#This Row],[113]]*Таблица213399029467826[[#This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Таблица213399029467826[[#This Row],[ ]]</f>
        <v>40</v>
      </c>
      <c r="G46" s="69"/>
      <c r="H46" s="78"/>
      <c r="I46" s="78"/>
      <c r="J46" s="78"/>
      <c r="K46" s="79"/>
      <c r="L46" s="76"/>
      <c r="M46" s="76">
        <f>Таблица213399029467826[[#This Row],[113]]*Таблица213399029467826[[#This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Таблица213399029467826[[#This Row],[ ]]</f>
        <v>41</v>
      </c>
      <c r="G47" s="69"/>
      <c r="H47" s="78"/>
      <c r="I47" s="78"/>
      <c r="J47" s="78"/>
      <c r="K47" s="79"/>
      <c r="L47" s="76"/>
      <c r="M47" s="76">
        <f>Таблица213399029467826[[#This Row],[113]]*Таблица213399029467826[[#This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Таблица213399029467826[[#This Row],[ ]]</f>
        <v>42</v>
      </c>
      <c r="G48" s="69"/>
      <c r="H48" s="78"/>
      <c r="I48" s="78"/>
      <c r="J48" s="78"/>
      <c r="K48" s="79"/>
      <c r="L48" s="76"/>
      <c r="M48" s="76">
        <f>Таблица213399029467826[[#This Row],[113]]*Таблица213399029467826[[#This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Таблица213399029467826[[#This Row],[ ]]</f>
        <v>43</v>
      </c>
      <c r="G49" s="69"/>
      <c r="H49" s="78"/>
      <c r="I49" s="78"/>
      <c r="J49" s="78"/>
      <c r="K49" s="79"/>
      <c r="L49" s="76"/>
      <c r="M49" s="76">
        <f>Таблица213399029467826[[#This Row],[113]]*Таблица213399029467826[[#This Row],[15]]</f>
        <v>0</v>
      </c>
    </row>
    <row r="50" spans="1:13" x14ac:dyDescent="0.2">
      <c r="A50" s="82"/>
      <c r="B50" s="45"/>
      <c r="C50" s="76">
        <f>SUBTOTAL(109,Таблица213399029467826[2])</f>
        <v>0</v>
      </c>
      <c r="D50" s="76"/>
      <c r="E50" s="84"/>
      <c r="F50" s="83"/>
      <c r="G50" s="85"/>
      <c r="H50" s="86"/>
      <c r="I50" s="86"/>
      <c r="J50" s="86"/>
      <c r="K50" s="86">
        <f>SUBTOTAL(109,Таблица213399029467826[1132])</f>
        <v>19</v>
      </c>
      <c r="L50" s="88"/>
      <c r="M50" s="88">
        <f>SUBTOTAL(109,Таблица213399029467826[16])</f>
        <v>22982400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D303-C368-485F-9C92-28D7367F9D83}">
  <dimension ref="A1:N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4.14062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21.7109375" style="1" bestFit="1" customWidth="1"/>
    <col min="9" max="9" width="13.42578125" style="1" bestFit="1" customWidth="1"/>
    <col min="10" max="10" width="17.7109375" style="1" bestFit="1" customWidth="1"/>
    <col min="11" max="11" width="11.28515625" style="1" bestFit="1" customWidth="1"/>
    <col min="12" max="12" width="8.85546875" style="1" bestFit="1" customWidth="1"/>
    <col min="13" max="13" width="14.140625" style="1" bestFit="1" customWidth="1"/>
    <col min="14" max="14" width="10.140625" style="1" bestFit="1" customWidth="1"/>
    <col min="15" max="16" width="9.140625" style="1"/>
    <col min="17" max="17" width="11.140625" style="1" bestFit="1" customWidth="1"/>
    <col min="18" max="16384" width="9.140625" style="1"/>
  </cols>
  <sheetData>
    <row r="1" spans="1:14" ht="18" customHeight="1" x14ac:dyDescent="0.3">
      <c r="A1" s="90"/>
      <c r="B1" s="91"/>
      <c r="C1" s="92" t="s">
        <v>26</v>
      </c>
      <c r="D1" s="111" t="s">
        <v>168</v>
      </c>
      <c r="E1" s="105"/>
      <c r="H1" s="1" t="s">
        <v>177</v>
      </c>
      <c r="I1" s="1">
        <f>SUMIFS(C:C,D:D,J1)</f>
        <v>18600000</v>
      </c>
      <c r="J1" s="18" t="s">
        <v>176</v>
      </c>
    </row>
    <row r="2" spans="1:14" ht="20.25" x14ac:dyDescent="0.2">
      <c r="A2" s="226" t="s">
        <v>25</v>
      </c>
      <c r="B2" s="226"/>
      <c r="C2" s="227"/>
      <c r="D2" s="227"/>
      <c r="E2" s="146"/>
      <c r="F2" s="237">
        <f>Таблица213399029467813[[#Totals],[2]]+-Таблица213399029467813[[#Totals],[16]]</f>
        <v>0</v>
      </c>
      <c r="G2" s="238"/>
    </row>
    <row r="3" spans="1:14" ht="15" customHeight="1" x14ac:dyDescent="0.2">
      <c r="A3" s="228" t="s">
        <v>27</v>
      </c>
      <c r="B3" s="228" t="s">
        <v>9</v>
      </c>
      <c r="C3" s="147" t="s">
        <v>19</v>
      </c>
      <c r="D3" s="147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4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4" ht="15.75" x14ac:dyDescent="0.2">
      <c r="A5" s="228"/>
      <c r="B5" s="228"/>
      <c r="C5" s="95">
        <f>Таблица213399029467813[[#Totals],[2]]</f>
        <v>206841600</v>
      </c>
      <c r="D5" s="64"/>
      <c r="E5" s="106">
        <f>SUM(Таблица213399029467813[4])</f>
        <v>0</v>
      </c>
      <c r="F5" s="233"/>
      <c r="G5" s="233"/>
      <c r="H5" s="233"/>
      <c r="I5" s="224"/>
      <c r="J5" s="154">
        <f>SUM(Таблица213399029467813[113])</f>
        <v>295.488</v>
      </c>
      <c r="K5" s="65">
        <f>Таблица213399029467813[[#Totals],[1132]]</f>
        <v>171</v>
      </c>
      <c r="L5" s="233"/>
      <c r="M5" s="148">
        <f>Таблица213399029467813[[#Totals],[16]]</f>
        <v>206841600</v>
      </c>
    </row>
    <row r="6" spans="1:14" ht="15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  <c r="N6" s="187" t="s">
        <v>243</v>
      </c>
    </row>
    <row r="7" spans="1:14" ht="15" x14ac:dyDescent="0.2">
      <c r="A7" s="68">
        <v>1</v>
      </c>
      <c r="B7" s="69">
        <v>46207</v>
      </c>
      <c r="C7" s="70">
        <v>62947200</v>
      </c>
      <c r="D7" s="18" t="s">
        <v>166</v>
      </c>
      <c r="E7" s="76"/>
      <c r="F7" s="71">
        <f>Таблица213399029467813[[#This Row],[ ]]</f>
        <v>1</v>
      </c>
      <c r="G7" s="18">
        <v>46206</v>
      </c>
      <c r="H7" s="72" t="s">
        <v>162</v>
      </c>
      <c r="I7" s="73" t="s">
        <v>71</v>
      </c>
      <c r="J7" s="74">
        <v>32.832000000000001</v>
      </c>
      <c r="K7" s="75">
        <v>19</v>
      </c>
      <c r="L7" s="71">
        <v>700000</v>
      </c>
      <c r="M7" s="76">
        <f>Таблица213399029467813[[#This Row],[113]]*Таблица213399029467813[[#This Row],[15]]</f>
        <v>22982400</v>
      </c>
      <c r="N7" s="185"/>
    </row>
    <row r="8" spans="1:14" x14ac:dyDescent="0.2">
      <c r="A8" s="68">
        <v>2</v>
      </c>
      <c r="B8" s="77">
        <v>46207</v>
      </c>
      <c r="C8" s="76">
        <v>6000000</v>
      </c>
      <c r="D8" s="18" t="s">
        <v>176</v>
      </c>
      <c r="E8" s="76"/>
      <c r="F8" s="71">
        <f>Таблица213399029467813[[#This Row],[ ]]</f>
        <v>2</v>
      </c>
      <c r="G8" s="69">
        <v>46206</v>
      </c>
      <c r="H8" s="78" t="s">
        <v>138</v>
      </c>
      <c r="I8" s="78" t="s">
        <v>71</v>
      </c>
      <c r="J8" s="78">
        <v>32.832000000000001</v>
      </c>
      <c r="K8" s="76">
        <v>19</v>
      </c>
      <c r="L8" s="79">
        <v>700000</v>
      </c>
      <c r="M8" s="76">
        <f>Таблица213399029467813[[#This Row],[113]]*Таблица213399029467813[[#This Row],[15]]</f>
        <v>22982400</v>
      </c>
      <c r="N8" s="184"/>
    </row>
    <row r="9" spans="1:14" x14ac:dyDescent="0.2">
      <c r="A9" s="68">
        <v>3</v>
      </c>
      <c r="B9" s="77">
        <v>46209</v>
      </c>
      <c r="C9" s="76">
        <v>2000000</v>
      </c>
      <c r="D9" s="18" t="s">
        <v>176</v>
      </c>
      <c r="E9" s="76"/>
      <c r="F9" s="71">
        <f>Таблица213399029467813[[#This Row],[ ]]</f>
        <v>3</v>
      </c>
      <c r="G9" s="69">
        <v>46206</v>
      </c>
      <c r="H9" s="78" t="s">
        <v>165</v>
      </c>
      <c r="I9" s="78" t="s">
        <v>83</v>
      </c>
      <c r="J9" s="78">
        <v>32.832000000000001</v>
      </c>
      <c r="K9" s="76">
        <v>19</v>
      </c>
      <c r="L9" s="79">
        <v>700000</v>
      </c>
      <c r="M9" s="76">
        <f>Таблица213399029467813[[#This Row],[113]]*Таблица213399029467813[[#This Row],[15]]</f>
        <v>22982400</v>
      </c>
      <c r="N9" s="184"/>
    </row>
    <row r="10" spans="1:14" ht="15" x14ac:dyDescent="0.2">
      <c r="A10" s="68">
        <v>4</v>
      </c>
      <c r="B10" s="69">
        <v>46207</v>
      </c>
      <c r="C10" s="70">
        <v>62947200</v>
      </c>
      <c r="D10" s="18" t="s">
        <v>166</v>
      </c>
      <c r="E10" s="76"/>
      <c r="F10" s="71">
        <f>Таблица213399029467813[[#This Row],[ ]]</f>
        <v>4</v>
      </c>
      <c r="G10" s="69">
        <v>46209</v>
      </c>
      <c r="H10" s="78" t="s">
        <v>188</v>
      </c>
      <c r="I10" s="78" t="s">
        <v>83</v>
      </c>
      <c r="J10" s="78">
        <v>32.832000000000001</v>
      </c>
      <c r="K10" s="76">
        <v>19</v>
      </c>
      <c r="L10" s="79">
        <v>700000</v>
      </c>
      <c r="M10" s="76">
        <f>Таблица213399029467813[[#This Row],[113]]*Таблица213399029467813[[#This Row],[15]]</f>
        <v>22982400</v>
      </c>
      <c r="N10" s="184"/>
    </row>
    <row r="11" spans="1:14" x14ac:dyDescent="0.2">
      <c r="A11" s="68">
        <v>5</v>
      </c>
      <c r="B11" s="77">
        <v>46209</v>
      </c>
      <c r="C11" s="76">
        <v>4000000</v>
      </c>
      <c r="D11" s="18" t="s">
        <v>176</v>
      </c>
      <c r="E11" s="76"/>
      <c r="F11" s="71">
        <f>Таблица213399029467813[[#This Row],[ ]]</f>
        <v>5</v>
      </c>
      <c r="G11" s="69">
        <v>46210</v>
      </c>
      <c r="H11" s="78" t="s">
        <v>189</v>
      </c>
      <c r="I11" s="78" t="s">
        <v>83</v>
      </c>
      <c r="J11" s="78">
        <v>32.832000000000001</v>
      </c>
      <c r="K11" s="76">
        <v>19</v>
      </c>
      <c r="L11" s="79">
        <v>700000</v>
      </c>
      <c r="M11" s="76">
        <f>Таблица213399029467813[[#This Row],[113]]*Таблица213399029467813[[#This Row],[15]]</f>
        <v>22982400</v>
      </c>
      <c r="N11" s="184"/>
    </row>
    <row r="12" spans="1:14" x14ac:dyDescent="0.2">
      <c r="A12" s="68">
        <v>6</v>
      </c>
      <c r="B12" s="77">
        <v>46216</v>
      </c>
      <c r="C12" s="76">
        <v>62347200</v>
      </c>
      <c r="D12" s="18" t="s">
        <v>166</v>
      </c>
      <c r="E12" s="76"/>
      <c r="F12" s="71">
        <f>Таблица213399029467813[[#This Row],[ ]]</f>
        <v>6</v>
      </c>
      <c r="G12" s="69">
        <v>46211</v>
      </c>
      <c r="H12" s="78" t="s">
        <v>208</v>
      </c>
      <c r="I12" s="78" t="s">
        <v>83</v>
      </c>
      <c r="J12" s="78">
        <v>32.832000000000001</v>
      </c>
      <c r="K12" s="76">
        <v>19</v>
      </c>
      <c r="L12" s="79">
        <v>700000</v>
      </c>
      <c r="M12" s="76">
        <f>Таблица213399029467813[[#This Row],[113]]*Таблица213399029467813[[#This Row],[15]]</f>
        <v>22982400</v>
      </c>
      <c r="N12" s="184"/>
    </row>
    <row r="13" spans="1:14" x14ac:dyDescent="0.2">
      <c r="A13" s="68">
        <v>7</v>
      </c>
      <c r="B13" s="77">
        <v>46216</v>
      </c>
      <c r="C13" s="76">
        <v>6600000</v>
      </c>
      <c r="D13" s="18" t="s">
        <v>176</v>
      </c>
      <c r="E13" s="76"/>
      <c r="F13" s="71">
        <f>Таблица213399029467813[[#This Row],[ ]]</f>
        <v>7</v>
      </c>
      <c r="G13" s="69">
        <v>46214</v>
      </c>
      <c r="H13" s="78" t="s">
        <v>250</v>
      </c>
      <c r="I13" s="78" t="s">
        <v>71</v>
      </c>
      <c r="J13" s="78">
        <v>32.832000000000001</v>
      </c>
      <c r="K13" s="79">
        <v>19</v>
      </c>
      <c r="L13" s="76">
        <v>700000</v>
      </c>
      <c r="M13" s="76">
        <f>Таблица213399029467813[[#This Row],[113]]*Таблица213399029467813[[#This Row],[15]]</f>
        <v>22982400</v>
      </c>
      <c r="N13" s="184">
        <v>2200000</v>
      </c>
    </row>
    <row r="14" spans="1:14" x14ac:dyDescent="0.2">
      <c r="A14" s="68">
        <v>8</v>
      </c>
      <c r="B14" s="77"/>
      <c r="C14" s="76"/>
      <c r="D14" s="18"/>
      <c r="E14" s="76"/>
      <c r="F14" s="71">
        <f>Таблица213399029467813[[#This Row],[ ]]</f>
        <v>8</v>
      </c>
      <c r="G14" s="69">
        <v>46216</v>
      </c>
      <c r="H14" s="78" t="s">
        <v>267</v>
      </c>
      <c r="I14" s="78" t="s">
        <v>83</v>
      </c>
      <c r="J14" s="78">
        <v>32.832000000000001</v>
      </c>
      <c r="K14" s="79">
        <v>19</v>
      </c>
      <c r="L14" s="76">
        <v>700000</v>
      </c>
      <c r="M14" s="76">
        <f>Таблица213399029467813[[#This Row],[113]]*Таблица213399029467813[[#This Row],[15]]</f>
        <v>22982400</v>
      </c>
      <c r="N14" s="184">
        <v>2300000</v>
      </c>
    </row>
    <row r="15" spans="1:14" x14ac:dyDescent="0.2">
      <c r="A15" s="68">
        <v>9</v>
      </c>
      <c r="B15" s="77"/>
      <c r="C15" s="76"/>
      <c r="D15" s="18"/>
      <c r="E15" s="76"/>
      <c r="F15" s="71">
        <f>Таблица213399029467813[[#This Row],[ ]]</f>
        <v>9</v>
      </c>
      <c r="G15" s="69">
        <v>46216</v>
      </c>
      <c r="H15" s="78" t="s">
        <v>255</v>
      </c>
      <c r="I15" s="78" t="s">
        <v>71</v>
      </c>
      <c r="J15" s="78">
        <v>32.832000000000001</v>
      </c>
      <c r="K15" s="79">
        <v>19</v>
      </c>
      <c r="L15" s="76">
        <v>700000</v>
      </c>
      <c r="M15" s="76">
        <f>Таблица213399029467813[[#This Row],[113]]*Таблица213399029467813[[#This Row],[15]]</f>
        <v>22982400</v>
      </c>
      <c r="N15" s="184">
        <v>2300000</v>
      </c>
    </row>
    <row r="16" spans="1:14" x14ac:dyDescent="0.2">
      <c r="A16" s="68">
        <v>10</v>
      </c>
      <c r="B16" s="77"/>
      <c r="C16" s="76"/>
      <c r="D16" s="18"/>
      <c r="E16" s="76"/>
      <c r="F16" s="71">
        <f>Таблица213399029467813[[#This Row],[ ]]</f>
        <v>10</v>
      </c>
      <c r="G16" s="69"/>
      <c r="H16" s="78"/>
      <c r="I16" s="78"/>
      <c r="J16" s="78"/>
      <c r="K16" s="79"/>
      <c r="L16" s="76"/>
      <c r="M16" s="76">
        <f>Таблица213399029467813[[#This Row],[113]]*Таблица213399029467813[[#This Row],[15]]</f>
        <v>0</v>
      </c>
      <c r="N16" s="184"/>
    </row>
    <row r="17" spans="1:14" x14ac:dyDescent="0.2">
      <c r="A17" s="68">
        <v>11</v>
      </c>
      <c r="B17" s="77"/>
      <c r="C17" s="76"/>
      <c r="D17" s="18"/>
      <c r="E17" s="76"/>
      <c r="F17" s="71">
        <f>Таблица213399029467813[[#This Row],[ ]]</f>
        <v>11</v>
      </c>
      <c r="G17" s="69"/>
      <c r="H17" s="78"/>
      <c r="I17" s="78"/>
      <c r="J17" s="78"/>
      <c r="K17" s="79"/>
      <c r="L17" s="76"/>
      <c r="M17" s="76">
        <f>Таблица213399029467813[[#This Row],[113]]*Таблица213399029467813[[#This Row],[15]]</f>
        <v>0</v>
      </c>
      <c r="N17" s="184"/>
    </row>
    <row r="18" spans="1:14" x14ac:dyDescent="0.2">
      <c r="A18" s="68">
        <v>12</v>
      </c>
      <c r="B18" s="77"/>
      <c r="C18" s="76"/>
      <c r="D18" s="18"/>
      <c r="E18" s="76"/>
      <c r="F18" s="71">
        <f>Таблица213399029467813[[#This Row],[ ]]</f>
        <v>12</v>
      </c>
      <c r="G18" s="69"/>
      <c r="H18" s="78"/>
      <c r="I18" s="78"/>
      <c r="J18" s="78"/>
      <c r="K18" s="79"/>
      <c r="L18" s="76"/>
      <c r="M18" s="76">
        <f>Таблица213399029467813[[#This Row],[113]]*Таблица213399029467813[[#This Row],[15]]</f>
        <v>0</v>
      </c>
      <c r="N18" s="184"/>
    </row>
    <row r="19" spans="1:14" x14ac:dyDescent="0.2">
      <c r="A19" s="68">
        <v>13</v>
      </c>
      <c r="B19" s="77"/>
      <c r="C19" s="76"/>
      <c r="D19" s="18"/>
      <c r="E19" s="76"/>
      <c r="F19" s="71">
        <f>Таблица213399029467813[[#This Row],[ ]]</f>
        <v>13</v>
      </c>
      <c r="G19" s="69"/>
      <c r="H19" s="78"/>
      <c r="I19" s="78"/>
      <c r="J19" s="78"/>
      <c r="K19" s="79"/>
      <c r="L19" s="76"/>
      <c r="M19" s="76">
        <f>Таблица213399029467813[[#This Row],[113]]*Таблица213399029467813[[#This Row],[15]]</f>
        <v>0</v>
      </c>
      <c r="N19" s="184"/>
    </row>
    <row r="20" spans="1:14" x14ac:dyDescent="0.2">
      <c r="A20" s="68">
        <v>14</v>
      </c>
      <c r="B20" s="77"/>
      <c r="C20" s="76"/>
      <c r="D20" s="18"/>
      <c r="E20" s="76"/>
      <c r="F20" s="71">
        <f>Таблица213399029467813[[#This Row],[ ]]</f>
        <v>14</v>
      </c>
      <c r="G20" s="69"/>
      <c r="H20" s="78"/>
      <c r="I20" s="78"/>
      <c r="J20" s="78"/>
      <c r="K20" s="79"/>
      <c r="L20" s="76"/>
      <c r="M20" s="76">
        <f>Таблица213399029467813[[#This Row],[113]]*Таблица213399029467813[[#This Row],[15]]</f>
        <v>0</v>
      </c>
      <c r="N20" s="184"/>
    </row>
    <row r="21" spans="1:14" x14ac:dyDescent="0.2">
      <c r="A21" s="68">
        <v>15</v>
      </c>
      <c r="B21" s="77"/>
      <c r="C21" s="76"/>
      <c r="D21" s="18"/>
      <c r="E21" s="76"/>
      <c r="F21" s="71">
        <f>Таблица213399029467813[[#This Row],[ ]]</f>
        <v>15</v>
      </c>
      <c r="G21" s="69"/>
      <c r="H21" s="78"/>
      <c r="I21" s="78"/>
      <c r="J21" s="78"/>
      <c r="K21" s="79"/>
      <c r="L21" s="76"/>
      <c r="M21" s="76">
        <f>Таблица213399029467813[[#This Row],[113]]*Таблица213399029467813[[#This Row],[15]]</f>
        <v>0</v>
      </c>
      <c r="N21" s="184"/>
    </row>
    <row r="22" spans="1:14" x14ac:dyDescent="0.2">
      <c r="A22" s="68">
        <v>16</v>
      </c>
      <c r="B22" s="77"/>
      <c r="C22" s="76"/>
      <c r="D22" s="18"/>
      <c r="E22" s="76"/>
      <c r="F22" s="71">
        <f>Таблица213399029467813[[#This Row],[ ]]</f>
        <v>16</v>
      </c>
      <c r="G22" s="69"/>
      <c r="H22" s="78"/>
      <c r="I22" s="78"/>
      <c r="J22" s="78"/>
      <c r="K22" s="79"/>
      <c r="L22" s="76"/>
      <c r="M22" s="76">
        <f>Таблица213399029467813[[#This Row],[113]]*Таблица213399029467813[[#This Row],[15]]</f>
        <v>0</v>
      </c>
      <c r="N22" s="184"/>
    </row>
    <row r="23" spans="1:14" x14ac:dyDescent="0.2">
      <c r="A23" s="68">
        <v>17</v>
      </c>
      <c r="B23" s="77"/>
      <c r="C23" s="76"/>
      <c r="D23" s="18"/>
      <c r="E23" s="76"/>
      <c r="F23" s="71">
        <f>Таблица213399029467813[[#This Row],[ ]]</f>
        <v>17</v>
      </c>
      <c r="G23" s="69"/>
      <c r="H23" s="78"/>
      <c r="I23" s="78"/>
      <c r="J23" s="78"/>
      <c r="K23" s="79"/>
      <c r="L23" s="76"/>
      <c r="M23" s="76">
        <f>Таблица213399029467813[[#This Row],[113]]*Таблица213399029467813[[#This Row],[15]]</f>
        <v>0</v>
      </c>
      <c r="N23" s="184"/>
    </row>
    <row r="24" spans="1:14" x14ac:dyDescent="0.2">
      <c r="A24" s="68">
        <v>18</v>
      </c>
      <c r="B24" s="77"/>
      <c r="C24" s="76"/>
      <c r="D24" s="18"/>
      <c r="E24" s="76"/>
      <c r="F24" s="71">
        <f>Таблица213399029467813[[#This Row],[ ]]</f>
        <v>18</v>
      </c>
      <c r="G24" s="69"/>
      <c r="H24" s="78"/>
      <c r="I24" s="78"/>
      <c r="J24" s="78"/>
      <c r="K24" s="79"/>
      <c r="L24" s="76"/>
      <c r="M24" s="76">
        <f>Таблица213399029467813[[#This Row],[113]]*Таблица213399029467813[[#This Row],[15]]</f>
        <v>0</v>
      </c>
      <c r="N24" s="184"/>
    </row>
    <row r="25" spans="1:14" x14ac:dyDescent="0.2">
      <c r="A25" s="68">
        <v>19</v>
      </c>
      <c r="B25" s="77"/>
      <c r="C25" s="76"/>
      <c r="D25" s="18"/>
      <c r="E25" s="76"/>
      <c r="F25" s="71">
        <f>Таблица213399029467813[[#This Row],[ ]]</f>
        <v>19</v>
      </c>
      <c r="G25" s="69"/>
      <c r="H25" s="78"/>
      <c r="I25" s="78"/>
      <c r="J25" s="78"/>
      <c r="K25" s="79"/>
      <c r="L25" s="76"/>
      <c r="M25" s="76">
        <f>Таблица213399029467813[[#This Row],[113]]*Таблица213399029467813[[#This Row],[15]]</f>
        <v>0</v>
      </c>
      <c r="N25" s="184"/>
    </row>
    <row r="26" spans="1:14" x14ac:dyDescent="0.2">
      <c r="A26" s="68">
        <v>20</v>
      </c>
      <c r="B26" s="77"/>
      <c r="C26" s="76"/>
      <c r="D26" s="18"/>
      <c r="E26" s="76"/>
      <c r="F26" s="71">
        <f>Таблица213399029467813[[#This Row],[ ]]</f>
        <v>20</v>
      </c>
      <c r="G26" s="69"/>
      <c r="H26" s="78"/>
      <c r="I26" s="78"/>
      <c r="J26" s="78"/>
      <c r="K26" s="79"/>
      <c r="L26" s="76"/>
      <c r="M26" s="76">
        <f>Таблица213399029467813[[#This Row],[113]]*Таблица213399029467813[[#This Row],[15]]</f>
        <v>0</v>
      </c>
      <c r="N26" s="184"/>
    </row>
    <row r="27" spans="1:14" x14ac:dyDescent="0.2">
      <c r="A27" s="68">
        <v>21</v>
      </c>
      <c r="B27" s="77"/>
      <c r="C27" s="76"/>
      <c r="D27" s="18"/>
      <c r="E27" s="76"/>
      <c r="F27" s="71">
        <f>Таблица213399029467813[[#This Row],[ ]]</f>
        <v>21</v>
      </c>
      <c r="G27" s="69"/>
      <c r="H27" s="78"/>
      <c r="I27" s="78"/>
      <c r="J27" s="78"/>
      <c r="K27" s="79"/>
      <c r="L27" s="76"/>
      <c r="M27" s="76">
        <f>Таблица213399029467813[[#This Row],[113]]*Таблица213399029467813[[#This Row],[15]]</f>
        <v>0</v>
      </c>
      <c r="N27" s="184"/>
    </row>
    <row r="28" spans="1:14" x14ac:dyDescent="0.2">
      <c r="A28" s="68">
        <v>22</v>
      </c>
      <c r="B28" s="77"/>
      <c r="C28" s="76"/>
      <c r="D28" s="18"/>
      <c r="E28" s="76"/>
      <c r="F28" s="71">
        <f>Таблица213399029467813[[#This Row],[ ]]</f>
        <v>22</v>
      </c>
      <c r="G28" s="69"/>
      <c r="H28" s="78"/>
      <c r="I28" s="78"/>
      <c r="J28" s="78"/>
      <c r="K28" s="79"/>
      <c r="L28" s="76"/>
      <c r="M28" s="76">
        <f>Таблица213399029467813[[#This Row],[113]]*Таблица213399029467813[[#This Row],[15]]</f>
        <v>0</v>
      </c>
      <c r="N28" s="184"/>
    </row>
    <row r="29" spans="1:14" x14ac:dyDescent="0.2">
      <c r="A29" s="68">
        <v>23</v>
      </c>
      <c r="B29" s="77"/>
      <c r="C29" s="76"/>
      <c r="D29" s="18"/>
      <c r="E29" s="76"/>
      <c r="F29" s="71">
        <f>Таблица213399029467813[[#This Row],[ ]]</f>
        <v>23</v>
      </c>
      <c r="G29" s="69"/>
      <c r="H29" s="78"/>
      <c r="I29" s="78"/>
      <c r="J29" s="78"/>
      <c r="K29" s="79"/>
      <c r="L29" s="76"/>
      <c r="M29" s="76">
        <f>Таблица213399029467813[[#This Row],[113]]*Таблица213399029467813[[#This Row],[15]]</f>
        <v>0</v>
      </c>
      <c r="N29" s="184"/>
    </row>
    <row r="30" spans="1:14" x14ac:dyDescent="0.2">
      <c r="A30" s="68">
        <v>24</v>
      </c>
      <c r="B30" s="77"/>
      <c r="C30" s="76"/>
      <c r="D30" s="18"/>
      <c r="E30" s="76"/>
      <c r="F30" s="71">
        <f>Таблица213399029467813[[#This Row],[ ]]</f>
        <v>24</v>
      </c>
      <c r="G30" s="69"/>
      <c r="H30" s="78"/>
      <c r="I30" s="78"/>
      <c r="J30" s="78"/>
      <c r="K30" s="79"/>
      <c r="L30" s="76"/>
      <c r="M30" s="76">
        <f>Таблица213399029467813[[#This Row],[113]]*Таблица213399029467813[[#This Row],[15]]</f>
        <v>0</v>
      </c>
      <c r="N30" s="184"/>
    </row>
    <row r="31" spans="1:14" x14ac:dyDescent="0.2">
      <c r="A31" s="68">
        <v>25</v>
      </c>
      <c r="B31" s="77"/>
      <c r="C31" s="76"/>
      <c r="D31" s="97"/>
      <c r="E31" s="80"/>
      <c r="F31" s="71">
        <f>Таблица213399029467813[[#This Row],[ ]]</f>
        <v>25</v>
      </c>
      <c r="G31" s="69"/>
      <c r="H31" s="78"/>
      <c r="I31" s="78"/>
      <c r="J31" s="78"/>
      <c r="K31" s="79"/>
      <c r="L31" s="76"/>
      <c r="M31" s="76">
        <f>Таблица213399029467813[[#This Row],[113]]*Таблица213399029467813[[#This Row],[15]]</f>
        <v>0</v>
      </c>
      <c r="N31" s="184"/>
    </row>
    <row r="32" spans="1:14" x14ac:dyDescent="0.2">
      <c r="A32" s="68">
        <v>26</v>
      </c>
      <c r="B32" s="77"/>
      <c r="C32" s="76"/>
      <c r="D32" s="76"/>
      <c r="E32" s="80"/>
      <c r="F32" s="71">
        <f>Таблица213399029467813[[#This Row],[ ]]</f>
        <v>26</v>
      </c>
      <c r="G32" s="69"/>
      <c r="H32" s="78"/>
      <c r="I32" s="78"/>
      <c r="J32" s="78"/>
      <c r="K32" s="79"/>
      <c r="L32" s="76"/>
      <c r="M32" s="76">
        <f>Таблица213399029467813[[#This Row],[113]]*Таблица213399029467813[[#This Row],[15]]</f>
        <v>0</v>
      </c>
      <c r="N32" s="184"/>
    </row>
    <row r="33" spans="1:14" x14ac:dyDescent="0.2">
      <c r="A33" s="68">
        <v>27</v>
      </c>
      <c r="B33" s="77"/>
      <c r="C33" s="76"/>
      <c r="D33" s="76"/>
      <c r="E33" s="80"/>
      <c r="F33" s="71">
        <f>Таблица213399029467813[[#This Row],[ ]]</f>
        <v>27</v>
      </c>
      <c r="G33" s="69"/>
      <c r="H33" s="78"/>
      <c r="I33" s="78"/>
      <c r="J33" s="78"/>
      <c r="K33" s="79"/>
      <c r="L33" s="76"/>
      <c r="M33" s="76">
        <f>Таблица213399029467813[[#This Row],[113]]*Таблица213399029467813[[#This Row],[15]]</f>
        <v>0</v>
      </c>
      <c r="N33" s="184"/>
    </row>
    <row r="34" spans="1:14" x14ac:dyDescent="0.2">
      <c r="A34" s="68">
        <v>28</v>
      </c>
      <c r="B34" s="77"/>
      <c r="C34" s="76"/>
      <c r="D34" s="76"/>
      <c r="E34" s="80"/>
      <c r="F34" s="71">
        <f>Таблица213399029467813[[#This Row],[ ]]</f>
        <v>28</v>
      </c>
      <c r="G34" s="69"/>
      <c r="H34" s="78"/>
      <c r="I34" s="78"/>
      <c r="J34" s="78"/>
      <c r="K34" s="79"/>
      <c r="L34" s="76"/>
      <c r="M34" s="76">
        <f>Таблица213399029467813[[#This Row],[113]]*Таблица213399029467813[[#This Row],[15]]</f>
        <v>0</v>
      </c>
      <c r="N34" s="184"/>
    </row>
    <row r="35" spans="1:14" x14ac:dyDescent="0.2">
      <c r="A35" s="68">
        <v>29</v>
      </c>
      <c r="B35" s="77"/>
      <c r="C35" s="76"/>
      <c r="D35" s="76"/>
      <c r="E35" s="80"/>
      <c r="F35" s="71">
        <f>Таблица213399029467813[[#This Row],[ ]]</f>
        <v>29</v>
      </c>
      <c r="G35" s="69"/>
      <c r="H35" s="78"/>
      <c r="I35" s="78"/>
      <c r="J35" s="78"/>
      <c r="K35" s="79"/>
      <c r="L35" s="76"/>
      <c r="M35" s="76">
        <f>Таблица213399029467813[[#This Row],[113]]*Таблица213399029467813[[#This Row],[15]]</f>
        <v>0</v>
      </c>
      <c r="N35" s="184"/>
    </row>
    <row r="36" spans="1:14" x14ac:dyDescent="0.2">
      <c r="A36" s="68">
        <v>30</v>
      </c>
      <c r="B36" s="77"/>
      <c r="C36" s="76"/>
      <c r="D36" s="76"/>
      <c r="E36" s="80"/>
      <c r="F36" s="71">
        <f>Таблица213399029467813[[#This Row],[ ]]</f>
        <v>30</v>
      </c>
      <c r="G36" s="69"/>
      <c r="H36" s="78"/>
      <c r="I36" s="78"/>
      <c r="J36" s="78"/>
      <c r="K36" s="79"/>
      <c r="L36" s="76"/>
      <c r="M36" s="76">
        <f>Таблица213399029467813[[#This Row],[113]]*Таблица213399029467813[[#This Row],[15]]</f>
        <v>0</v>
      </c>
      <c r="N36" s="184"/>
    </row>
    <row r="37" spans="1:14" x14ac:dyDescent="0.2">
      <c r="A37" s="68">
        <v>31</v>
      </c>
      <c r="B37" s="77"/>
      <c r="C37" s="76"/>
      <c r="D37" s="76"/>
      <c r="E37" s="80"/>
      <c r="F37" s="71">
        <f>Таблица213399029467813[[#This Row],[ ]]</f>
        <v>31</v>
      </c>
      <c r="G37" s="69"/>
      <c r="H37" s="78"/>
      <c r="I37" s="78"/>
      <c r="J37" s="78"/>
      <c r="K37" s="79"/>
      <c r="L37" s="76"/>
      <c r="M37" s="76">
        <f>Таблица213399029467813[[#This Row],[113]]*Таблица213399029467813[[#This Row],[15]]</f>
        <v>0</v>
      </c>
      <c r="N37" s="184"/>
    </row>
    <row r="38" spans="1:14" x14ac:dyDescent="0.2">
      <c r="A38" s="68">
        <v>32</v>
      </c>
      <c r="B38" s="77"/>
      <c r="C38" s="76"/>
      <c r="D38" s="76"/>
      <c r="E38" s="80"/>
      <c r="F38" s="71">
        <f>Таблица213399029467813[[#This Row],[ ]]</f>
        <v>32</v>
      </c>
      <c r="G38" s="69"/>
      <c r="H38" s="78"/>
      <c r="I38" s="78"/>
      <c r="J38" s="78"/>
      <c r="K38" s="79"/>
      <c r="L38" s="76"/>
      <c r="M38" s="76">
        <f>Таблица213399029467813[[#This Row],[113]]*Таблица213399029467813[[#This Row],[15]]</f>
        <v>0</v>
      </c>
      <c r="N38" s="184"/>
    </row>
    <row r="39" spans="1:14" x14ac:dyDescent="0.2">
      <c r="A39" s="68">
        <v>33</v>
      </c>
      <c r="B39" s="77"/>
      <c r="C39" s="76"/>
      <c r="D39" s="18"/>
      <c r="E39" s="76"/>
      <c r="F39" s="71">
        <f>Таблица213399029467813[[#This Row],[ ]]</f>
        <v>33</v>
      </c>
      <c r="G39" s="69"/>
      <c r="H39" s="78"/>
      <c r="I39" s="78"/>
      <c r="J39" s="78"/>
      <c r="K39" s="79"/>
      <c r="L39" s="76"/>
      <c r="M39" s="76">
        <f>Таблица213399029467813[[#This Row],[113]]*Таблица213399029467813[[#This Row],[15]]</f>
        <v>0</v>
      </c>
      <c r="N39" s="184"/>
    </row>
    <row r="40" spans="1:14" x14ac:dyDescent="0.2">
      <c r="A40" s="68">
        <v>34</v>
      </c>
      <c r="B40" s="77"/>
      <c r="C40" s="76"/>
      <c r="D40" s="76"/>
      <c r="E40" s="80"/>
      <c r="F40" s="71">
        <f>Таблица213399029467813[[#This Row],[ ]]</f>
        <v>34</v>
      </c>
      <c r="G40" s="69"/>
      <c r="H40" s="78"/>
      <c r="I40" s="78"/>
      <c r="J40" s="78"/>
      <c r="K40" s="79"/>
      <c r="L40" s="76"/>
      <c r="M40" s="76">
        <f>Таблица213399029467813[[#This Row],[113]]*Таблица213399029467813[[#This Row],[15]]</f>
        <v>0</v>
      </c>
      <c r="N40" s="184"/>
    </row>
    <row r="41" spans="1:14" x14ac:dyDescent="0.2">
      <c r="A41" s="68">
        <v>35</v>
      </c>
      <c r="B41" s="77"/>
      <c r="C41" s="76"/>
      <c r="D41" s="76"/>
      <c r="E41" s="80"/>
      <c r="F41" s="71">
        <f>Таблица213399029467813[[#This Row],[ ]]</f>
        <v>35</v>
      </c>
      <c r="G41" s="69"/>
      <c r="H41" s="78"/>
      <c r="I41" s="78"/>
      <c r="J41" s="78"/>
      <c r="K41" s="79"/>
      <c r="L41" s="76"/>
      <c r="M41" s="76">
        <f>Таблица213399029467813[[#This Row],[113]]*Таблица213399029467813[[#This Row],[15]]</f>
        <v>0</v>
      </c>
      <c r="N41" s="184"/>
    </row>
    <row r="42" spans="1:14" x14ac:dyDescent="0.2">
      <c r="A42" s="68">
        <v>36</v>
      </c>
      <c r="B42" s="77"/>
      <c r="C42" s="76"/>
      <c r="D42" s="76"/>
      <c r="E42" s="80"/>
      <c r="F42" s="71">
        <f>Таблица213399029467813[[#This Row],[ ]]</f>
        <v>36</v>
      </c>
      <c r="G42" s="69"/>
      <c r="H42" s="78"/>
      <c r="I42" s="78"/>
      <c r="J42" s="78"/>
      <c r="K42" s="79"/>
      <c r="L42" s="76"/>
      <c r="M42" s="76">
        <f>Таблица213399029467813[[#This Row],[113]]*Таблица213399029467813[[#This Row],[15]]</f>
        <v>0</v>
      </c>
      <c r="N42" s="184"/>
    </row>
    <row r="43" spans="1:14" x14ac:dyDescent="0.2">
      <c r="A43" s="68">
        <v>37</v>
      </c>
      <c r="B43" s="77"/>
      <c r="C43" s="76"/>
      <c r="D43" s="76"/>
      <c r="E43" s="80"/>
      <c r="F43" s="71">
        <f>Таблица213399029467813[[#This Row],[ ]]</f>
        <v>37</v>
      </c>
      <c r="G43" s="69"/>
      <c r="H43" s="78"/>
      <c r="I43" s="78"/>
      <c r="J43" s="78"/>
      <c r="K43" s="79"/>
      <c r="L43" s="76"/>
      <c r="M43" s="76">
        <f>Таблица213399029467813[[#This Row],[113]]*Таблица213399029467813[[#This Row],[15]]</f>
        <v>0</v>
      </c>
      <c r="N43" s="184"/>
    </row>
    <row r="44" spans="1:14" x14ac:dyDescent="0.2">
      <c r="A44" s="68">
        <v>38</v>
      </c>
      <c r="B44" s="77"/>
      <c r="C44" s="76"/>
      <c r="D44" s="76"/>
      <c r="E44" s="80"/>
      <c r="F44" s="71">
        <f>Таблица213399029467813[[#This Row],[ ]]</f>
        <v>38</v>
      </c>
      <c r="G44" s="69"/>
      <c r="H44" s="78"/>
      <c r="I44" s="78"/>
      <c r="J44" s="78"/>
      <c r="K44" s="79"/>
      <c r="L44" s="76"/>
      <c r="M44" s="76">
        <f>Таблица213399029467813[[#This Row],[113]]*Таблица213399029467813[[#This Row],[15]]</f>
        <v>0</v>
      </c>
      <c r="N44" s="184"/>
    </row>
    <row r="45" spans="1:14" x14ac:dyDescent="0.2">
      <c r="A45" s="68">
        <v>39</v>
      </c>
      <c r="B45" s="77"/>
      <c r="C45" s="76"/>
      <c r="D45" s="76"/>
      <c r="E45" s="80"/>
      <c r="F45" s="71">
        <f>Таблица213399029467813[[#This Row],[ ]]</f>
        <v>39</v>
      </c>
      <c r="G45" s="69"/>
      <c r="H45" s="78"/>
      <c r="I45" s="78"/>
      <c r="J45" s="78"/>
      <c r="K45" s="79"/>
      <c r="L45" s="76"/>
      <c r="M45" s="76">
        <f>Таблица213399029467813[[#This Row],[113]]*Таблица213399029467813[[#This Row],[15]]</f>
        <v>0</v>
      </c>
      <c r="N45" s="184"/>
    </row>
    <row r="46" spans="1:14" x14ac:dyDescent="0.2">
      <c r="A46" s="68">
        <v>40</v>
      </c>
      <c r="B46" s="77"/>
      <c r="C46" s="76"/>
      <c r="D46" s="76"/>
      <c r="E46" s="80"/>
      <c r="F46" s="71">
        <f>Таблица213399029467813[[#This Row],[ ]]</f>
        <v>40</v>
      </c>
      <c r="G46" s="69"/>
      <c r="H46" s="78"/>
      <c r="I46" s="78"/>
      <c r="J46" s="78"/>
      <c r="K46" s="79"/>
      <c r="L46" s="76"/>
      <c r="M46" s="76">
        <f>Таблица213399029467813[[#This Row],[113]]*Таблица213399029467813[[#This Row],[15]]</f>
        <v>0</v>
      </c>
      <c r="N46" s="184"/>
    </row>
    <row r="47" spans="1:14" x14ac:dyDescent="0.2">
      <c r="A47" s="68">
        <v>41</v>
      </c>
      <c r="B47" s="77"/>
      <c r="C47" s="76"/>
      <c r="D47" s="76"/>
      <c r="E47" s="80"/>
      <c r="F47" s="71">
        <f>Таблица213399029467813[[#This Row],[ ]]</f>
        <v>41</v>
      </c>
      <c r="G47" s="69"/>
      <c r="H47" s="78"/>
      <c r="I47" s="78"/>
      <c r="J47" s="78"/>
      <c r="K47" s="79"/>
      <c r="L47" s="76"/>
      <c r="M47" s="76">
        <f>Таблица213399029467813[[#This Row],[113]]*Таблица213399029467813[[#This Row],[15]]</f>
        <v>0</v>
      </c>
      <c r="N47" s="184"/>
    </row>
    <row r="48" spans="1:14" x14ac:dyDescent="0.2">
      <c r="A48" s="68">
        <v>42</v>
      </c>
      <c r="B48" s="77"/>
      <c r="C48" s="76"/>
      <c r="D48" s="76"/>
      <c r="E48" s="80"/>
      <c r="F48" s="71">
        <f>Таблица213399029467813[[#This Row],[ ]]</f>
        <v>42</v>
      </c>
      <c r="G48" s="69"/>
      <c r="H48" s="78"/>
      <c r="I48" s="78"/>
      <c r="J48" s="78"/>
      <c r="K48" s="79"/>
      <c r="L48" s="76"/>
      <c r="M48" s="76">
        <f>Таблица213399029467813[[#This Row],[113]]*Таблица213399029467813[[#This Row],[15]]</f>
        <v>0</v>
      </c>
      <c r="N48" s="184"/>
    </row>
    <row r="49" spans="1:14" x14ac:dyDescent="0.2">
      <c r="A49" s="68">
        <v>43</v>
      </c>
      <c r="B49" s="77"/>
      <c r="C49" s="76"/>
      <c r="D49" s="76"/>
      <c r="E49" s="80"/>
      <c r="F49" s="71">
        <f>Таблица213399029467813[[#This Row],[ ]]</f>
        <v>43</v>
      </c>
      <c r="G49" s="69"/>
      <c r="H49" s="78"/>
      <c r="I49" s="78"/>
      <c r="J49" s="78"/>
      <c r="K49" s="79"/>
      <c r="L49" s="76"/>
      <c r="M49" s="76">
        <f>Таблица213399029467813[[#This Row],[113]]*Таблица213399029467813[[#This Row],[15]]</f>
        <v>0</v>
      </c>
      <c r="N49" s="186"/>
    </row>
    <row r="50" spans="1:14" x14ac:dyDescent="0.2">
      <c r="A50" s="82"/>
      <c r="B50" s="45"/>
      <c r="C50" s="76">
        <f>SUBTOTAL(109,Таблица213399029467813[2])</f>
        <v>206841600</v>
      </c>
      <c r="D50" s="76"/>
      <c r="E50" s="84"/>
      <c r="F50" s="83"/>
      <c r="G50" s="85"/>
      <c r="H50" s="86"/>
      <c r="I50" s="86"/>
      <c r="J50" s="86"/>
      <c r="K50" s="86">
        <f>SUBTOTAL(109,Таблица213399029467813[1132])</f>
        <v>171</v>
      </c>
      <c r="L50" s="88"/>
      <c r="M50" s="88">
        <f>SUBTOTAL(109,Таблица213399029467813[16])</f>
        <v>206841600</v>
      </c>
      <c r="N50" s="86"/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phoneticPr fontId="2" type="noConversion"/>
  <hyperlinks>
    <hyperlink ref="D1" location="'Свод Завод'!Y4" display="4-Рустам Шпик" xr:uid="{49A9F8EF-CA58-4B29-BCEC-EFD156FD70C3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344E-401B-4737-A52C-5D41F9E20257}">
  <dimension ref="A1:M50"/>
  <sheetViews>
    <sheetView zoomScaleNormal="100" workbookViewId="0">
      <selection activeCell="I1" sqref="I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184</v>
      </c>
      <c r="E1" s="105"/>
      <c r="H1" s="1" t="s">
        <v>177</v>
      </c>
      <c r="I1" s="1">
        <f>SUMIFS(C:C,D:D,J1)</f>
        <v>4200000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60"/>
      <c r="F2" s="237">
        <f>Таблица21339902946781316[[#Totals],[2]]+-Таблица21339902946781316[[#Totals],[16]]</f>
        <v>21235200</v>
      </c>
      <c r="G2" s="238"/>
    </row>
    <row r="3" spans="1:13" ht="15" customHeight="1" x14ac:dyDescent="0.2">
      <c r="A3" s="228" t="s">
        <v>27</v>
      </c>
      <c r="B3" s="228" t="s">
        <v>9</v>
      </c>
      <c r="C3" s="161" t="s">
        <v>19</v>
      </c>
      <c r="D3" s="161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Таблица21339902946781316[[#Totals],[2]]</f>
        <v>67200000</v>
      </c>
      <c r="D5" s="64"/>
      <c r="E5" s="106">
        <f>SUM(Таблица21339902946781316[4])</f>
        <v>0</v>
      </c>
      <c r="F5" s="233"/>
      <c r="G5" s="233"/>
      <c r="H5" s="233"/>
      <c r="I5" s="224"/>
      <c r="J5" s="154">
        <f>SUM(Таблица21339902946781316[113])</f>
        <v>65.664000000000001</v>
      </c>
      <c r="K5" s="65">
        <f>Таблица21339902946781316[[#Totals],[1132]]</f>
        <v>38</v>
      </c>
      <c r="L5" s="233"/>
      <c r="M5" s="162">
        <f>Таблица21339902946781316[[#Totals],[16]]</f>
        <v>45964800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46209</v>
      </c>
      <c r="C7" s="70">
        <v>21000000</v>
      </c>
      <c r="D7" s="18" t="s">
        <v>183</v>
      </c>
      <c r="E7" s="76"/>
      <c r="F7" s="71">
        <f>Таблица21339902946781316[[#This Row],[ ]]</f>
        <v>1</v>
      </c>
      <c r="G7" s="18">
        <v>46209</v>
      </c>
      <c r="H7" s="72" t="s">
        <v>182</v>
      </c>
      <c r="I7" s="73" t="s">
        <v>71</v>
      </c>
      <c r="J7" s="74">
        <v>32.832000000000001</v>
      </c>
      <c r="K7" s="75">
        <v>19</v>
      </c>
      <c r="L7" s="71">
        <v>700000</v>
      </c>
      <c r="M7" s="76">
        <f>Таблица21339902946781316[[#This Row],[113]]*Таблица21339902946781316[[#This Row],[15]]</f>
        <v>22982400</v>
      </c>
    </row>
    <row r="8" spans="1:13" x14ac:dyDescent="0.2">
      <c r="A8" s="68">
        <v>2</v>
      </c>
      <c r="B8" s="69">
        <v>46209</v>
      </c>
      <c r="C8" s="76">
        <v>2000000</v>
      </c>
      <c r="D8" s="18" t="s">
        <v>176</v>
      </c>
      <c r="E8" s="76"/>
      <c r="F8" s="71">
        <f>Таблица21339902946781316[[#This Row],[ ]]</f>
        <v>2</v>
      </c>
      <c r="G8" s="69">
        <v>46213</v>
      </c>
      <c r="H8" s="78" t="s">
        <v>217</v>
      </c>
      <c r="I8" s="78" t="s">
        <v>83</v>
      </c>
      <c r="J8" s="78">
        <v>32.832000000000001</v>
      </c>
      <c r="K8" s="76">
        <v>19</v>
      </c>
      <c r="L8" s="79">
        <v>700000</v>
      </c>
      <c r="M8" s="76">
        <f>Таблица21339902946781316[[#This Row],[113]]*Таблица21339902946781316[[#This Row],[15]]</f>
        <v>22982400</v>
      </c>
    </row>
    <row r="9" spans="1:13" x14ac:dyDescent="0.2">
      <c r="A9" s="68">
        <v>3</v>
      </c>
      <c r="B9" s="69">
        <v>46212</v>
      </c>
      <c r="C9" s="76">
        <v>21000000</v>
      </c>
      <c r="D9" s="18" t="s">
        <v>234</v>
      </c>
      <c r="E9" s="76"/>
      <c r="F9" s="71">
        <f>Таблица21339902946781316[[#This Row],[ ]]</f>
        <v>3</v>
      </c>
      <c r="G9" s="69"/>
      <c r="H9" s="78"/>
      <c r="I9" s="78"/>
      <c r="J9" s="78"/>
      <c r="K9" s="76"/>
      <c r="L9" s="79"/>
      <c r="M9" s="76">
        <f>Таблица21339902946781316[[#This Row],[113]]*Таблица21339902946781316[[#This Row],[15]]</f>
        <v>0</v>
      </c>
    </row>
    <row r="10" spans="1:13" x14ac:dyDescent="0.2">
      <c r="A10" s="68">
        <v>4</v>
      </c>
      <c r="B10" s="69">
        <v>46213</v>
      </c>
      <c r="C10" s="76">
        <v>21000000</v>
      </c>
      <c r="D10" s="18" t="s">
        <v>234</v>
      </c>
      <c r="E10" s="76"/>
      <c r="F10" s="71">
        <f>Таблица21339902946781316[[#This Row],[ ]]</f>
        <v>4</v>
      </c>
      <c r="G10" s="69"/>
      <c r="H10" s="78"/>
      <c r="I10" s="78"/>
      <c r="J10" s="78"/>
      <c r="K10" s="76"/>
      <c r="L10" s="79"/>
      <c r="M10" s="76">
        <f>Таблица21339902946781316[[#This Row],[113]]*Таблица21339902946781316[[#This Row],[15]]</f>
        <v>0</v>
      </c>
    </row>
    <row r="11" spans="1:13" x14ac:dyDescent="0.2">
      <c r="A11" s="68">
        <v>5</v>
      </c>
      <c r="B11" s="69">
        <v>46213</v>
      </c>
      <c r="C11" s="76">
        <v>2200000</v>
      </c>
      <c r="D11" s="18" t="s">
        <v>176</v>
      </c>
      <c r="E11" s="76"/>
      <c r="F11" s="71">
        <f>Таблица21339902946781316[[#This Row],[ ]]</f>
        <v>5</v>
      </c>
      <c r="G11" s="69"/>
      <c r="H11" s="78"/>
      <c r="I11" s="78"/>
      <c r="J11" s="78"/>
      <c r="K11" s="76"/>
      <c r="L11" s="79"/>
      <c r="M11" s="76">
        <f>Таблица21339902946781316[[#This Row],[113]]*Таблица21339902946781316[[#This Row],[15]]</f>
        <v>0</v>
      </c>
    </row>
    <row r="12" spans="1:13" x14ac:dyDescent="0.2">
      <c r="A12" s="68">
        <v>6</v>
      </c>
      <c r="B12" s="69"/>
      <c r="C12" s="76"/>
      <c r="D12" s="18"/>
      <c r="E12" s="76"/>
      <c r="F12" s="71">
        <f>Таблица21339902946781316[[#This Row],[ ]]</f>
        <v>6</v>
      </c>
      <c r="G12" s="69"/>
      <c r="H12" s="78"/>
      <c r="I12" s="78"/>
      <c r="J12" s="78"/>
      <c r="K12" s="76"/>
      <c r="L12" s="79"/>
      <c r="M12" s="76">
        <f>Таблица21339902946781316[[#This Row],[113]]*Таблица21339902946781316[[#This Row],[15]]</f>
        <v>0</v>
      </c>
    </row>
    <row r="13" spans="1:13" x14ac:dyDescent="0.2">
      <c r="A13" s="68">
        <v>7</v>
      </c>
      <c r="B13" s="69"/>
      <c r="C13" s="76"/>
      <c r="D13" s="18"/>
      <c r="E13" s="76"/>
      <c r="F13" s="71">
        <f>Таблица21339902946781316[[#This Row],[ ]]</f>
        <v>7</v>
      </c>
      <c r="G13" s="69"/>
      <c r="H13" s="78"/>
      <c r="I13" s="78"/>
      <c r="J13" s="78"/>
      <c r="K13" s="79"/>
      <c r="L13" s="76"/>
      <c r="M13" s="76">
        <f>Таблица21339902946781316[[#This Row],[113]]*Таблица21339902946781316[[#This Row],[15]]</f>
        <v>0</v>
      </c>
    </row>
    <row r="14" spans="1:13" x14ac:dyDescent="0.2">
      <c r="A14" s="68">
        <v>8</v>
      </c>
      <c r="B14" s="69"/>
      <c r="C14" s="76"/>
      <c r="D14" s="18"/>
      <c r="E14" s="76"/>
      <c r="F14" s="71">
        <f>Таблица21339902946781316[[#This Row],[ ]]</f>
        <v>8</v>
      </c>
      <c r="G14" s="69"/>
      <c r="H14" s="78"/>
      <c r="I14" s="78"/>
      <c r="J14" s="78"/>
      <c r="K14" s="79"/>
      <c r="L14" s="76"/>
      <c r="M14" s="76">
        <f>Таблица21339902946781316[[#This Row],[113]]*Таблица21339902946781316[[#This Row],[15]]</f>
        <v>0</v>
      </c>
    </row>
    <row r="15" spans="1:13" x14ac:dyDescent="0.2">
      <c r="A15" s="68">
        <v>9</v>
      </c>
      <c r="B15" s="69"/>
      <c r="C15" s="76"/>
      <c r="D15" s="18"/>
      <c r="E15" s="76"/>
      <c r="F15" s="71">
        <f>Таблица21339902946781316[[#This Row],[ ]]</f>
        <v>9</v>
      </c>
      <c r="G15" s="69"/>
      <c r="H15" s="78"/>
      <c r="I15" s="78"/>
      <c r="J15" s="78"/>
      <c r="K15" s="79"/>
      <c r="L15" s="76"/>
      <c r="M15" s="76">
        <f>Таблица21339902946781316[[#This Row],[113]]*Таблица21339902946781316[[#This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Таблица21339902946781316[[#This Row],[ ]]</f>
        <v>10</v>
      </c>
      <c r="G16" s="69"/>
      <c r="H16" s="78"/>
      <c r="I16" s="78"/>
      <c r="J16" s="78"/>
      <c r="K16" s="79"/>
      <c r="L16" s="76"/>
      <c r="M16" s="76">
        <f>Таблица21339902946781316[[#This Row],[113]]*Таблица21339902946781316[[#This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Таблица21339902946781316[[#This Row],[ ]]</f>
        <v>11</v>
      </c>
      <c r="G17" s="69"/>
      <c r="H17" s="78"/>
      <c r="I17" s="78"/>
      <c r="J17" s="78"/>
      <c r="K17" s="79"/>
      <c r="L17" s="76"/>
      <c r="M17" s="76">
        <f>Таблица21339902946781316[[#This Row],[113]]*Таблица21339902946781316[[#This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Таблица21339902946781316[[#This Row],[ ]]</f>
        <v>12</v>
      </c>
      <c r="G18" s="69"/>
      <c r="H18" s="78"/>
      <c r="I18" s="78"/>
      <c r="J18" s="78"/>
      <c r="K18" s="79"/>
      <c r="L18" s="76"/>
      <c r="M18" s="76">
        <f>Таблица21339902946781316[[#This Row],[113]]*Таблица21339902946781316[[#This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Таблица21339902946781316[[#This Row],[ ]]</f>
        <v>13</v>
      </c>
      <c r="G19" s="69"/>
      <c r="H19" s="78"/>
      <c r="I19" s="78"/>
      <c r="J19" s="78"/>
      <c r="K19" s="79"/>
      <c r="L19" s="76"/>
      <c r="M19" s="76">
        <f>Таблица21339902946781316[[#This Row],[113]]*Таблица21339902946781316[[#This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Таблица21339902946781316[[#This Row],[ ]]</f>
        <v>14</v>
      </c>
      <c r="G20" s="69"/>
      <c r="H20" s="78"/>
      <c r="I20" s="78"/>
      <c r="J20" s="78"/>
      <c r="K20" s="79"/>
      <c r="L20" s="76"/>
      <c r="M20" s="76">
        <f>Таблица21339902946781316[[#This Row],[113]]*Таблица21339902946781316[[#This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Таблица21339902946781316[[#This Row],[ ]]</f>
        <v>15</v>
      </c>
      <c r="G21" s="69"/>
      <c r="H21" s="78"/>
      <c r="I21" s="78"/>
      <c r="J21" s="78"/>
      <c r="K21" s="79"/>
      <c r="L21" s="76"/>
      <c r="M21" s="76">
        <f>Таблица21339902946781316[[#This Row],[113]]*Таблица21339902946781316[[#This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Таблица21339902946781316[[#This Row],[ ]]</f>
        <v>16</v>
      </c>
      <c r="G22" s="69"/>
      <c r="H22" s="78"/>
      <c r="I22" s="78"/>
      <c r="J22" s="78"/>
      <c r="K22" s="79"/>
      <c r="L22" s="76"/>
      <c r="M22" s="76">
        <f>Таблица21339902946781316[[#This Row],[113]]*Таблица21339902946781316[[#This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Таблица21339902946781316[[#This Row],[ ]]</f>
        <v>17</v>
      </c>
      <c r="G23" s="69"/>
      <c r="H23" s="78"/>
      <c r="I23" s="78"/>
      <c r="J23" s="78"/>
      <c r="K23" s="79"/>
      <c r="L23" s="76"/>
      <c r="M23" s="76">
        <f>Таблица21339902946781316[[#This Row],[113]]*Таблица21339902946781316[[#This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Таблица21339902946781316[[#This Row],[ ]]</f>
        <v>18</v>
      </c>
      <c r="G24" s="69"/>
      <c r="H24" s="78"/>
      <c r="I24" s="78"/>
      <c r="J24" s="78"/>
      <c r="K24" s="79"/>
      <c r="L24" s="76"/>
      <c r="M24" s="76">
        <f>Таблица21339902946781316[[#This Row],[113]]*Таблица21339902946781316[[#This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Таблица21339902946781316[[#This Row],[ ]]</f>
        <v>19</v>
      </c>
      <c r="G25" s="69"/>
      <c r="H25" s="78"/>
      <c r="I25" s="78"/>
      <c r="J25" s="78"/>
      <c r="K25" s="79"/>
      <c r="L25" s="76"/>
      <c r="M25" s="76">
        <f>Таблица21339902946781316[[#This Row],[113]]*Таблица21339902946781316[[#This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Таблица21339902946781316[[#This Row],[ ]]</f>
        <v>20</v>
      </c>
      <c r="G26" s="69"/>
      <c r="H26" s="78"/>
      <c r="I26" s="78"/>
      <c r="J26" s="78"/>
      <c r="K26" s="79"/>
      <c r="L26" s="76"/>
      <c r="M26" s="76">
        <f>Таблица21339902946781316[[#This Row],[113]]*Таблица21339902946781316[[#This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Таблица21339902946781316[[#This Row],[ ]]</f>
        <v>21</v>
      </c>
      <c r="G27" s="69"/>
      <c r="H27" s="78"/>
      <c r="I27" s="78"/>
      <c r="J27" s="78"/>
      <c r="K27" s="79"/>
      <c r="L27" s="76"/>
      <c r="M27" s="76">
        <f>Таблица21339902946781316[[#This Row],[113]]*Таблица21339902946781316[[#This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Таблица21339902946781316[[#This Row],[ ]]</f>
        <v>22</v>
      </c>
      <c r="G28" s="69"/>
      <c r="H28" s="78"/>
      <c r="I28" s="78"/>
      <c r="J28" s="78"/>
      <c r="K28" s="79"/>
      <c r="L28" s="76"/>
      <c r="M28" s="76">
        <f>Таблица21339902946781316[[#This Row],[113]]*Таблица21339902946781316[[#This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Таблица21339902946781316[[#This Row],[ ]]</f>
        <v>23</v>
      </c>
      <c r="G29" s="69"/>
      <c r="H29" s="78"/>
      <c r="I29" s="78"/>
      <c r="J29" s="78"/>
      <c r="K29" s="79"/>
      <c r="L29" s="76"/>
      <c r="M29" s="76">
        <f>Таблица21339902946781316[[#This Row],[113]]*Таблица21339902946781316[[#This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Таблица21339902946781316[[#This Row],[ ]]</f>
        <v>24</v>
      </c>
      <c r="G30" s="69"/>
      <c r="H30" s="78"/>
      <c r="I30" s="78"/>
      <c r="J30" s="78"/>
      <c r="K30" s="79"/>
      <c r="L30" s="76"/>
      <c r="M30" s="76">
        <f>Таблица21339902946781316[[#This Row],[113]]*Таблица21339902946781316[[#This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Таблица21339902946781316[[#This Row],[ ]]</f>
        <v>25</v>
      </c>
      <c r="G31" s="69"/>
      <c r="H31" s="78"/>
      <c r="I31" s="78"/>
      <c r="J31" s="78"/>
      <c r="K31" s="79"/>
      <c r="L31" s="76"/>
      <c r="M31" s="76">
        <f>Таблица21339902946781316[[#This Row],[113]]*Таблица21339902946781316[[#This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Таблица21339902946781316[[#This Row],[ ]]</f>
        <v>26</v>
      </c>
      <c r="G32" s="69"/>
      <c r="H32" s="78"/>
      <c r="I32" s="78"/>
      <c r="J32" s="78"/>
      <c r="K32" s="79"/>
      <c r="L32" s="76"/>
      <c r="M32" s="76">
        <f>Таблица21339902946781316[[#This Row],[113]]*Таблица21339902946781316[[#This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Таблица21339902946781316[[#This Row],[ ]]</f>
        <v>27</v>
      </c>
      <c r="G33" s="69"/>
      <c r="H33" s="78"/>
      <c r="I33" s="78"/>
      <c r="J33" s="78"/>
      <c r="K33" s="79"/>
      <c r="L33" s="76"/>
      <c r="M33" s="76">
        <f>Таблица21339902946781316[[#This Row],[113]]*Таблица21339902946781316[[#This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Таблица21339902946781316[[#This Row],[ ]]</f>
        <v>28</v>
      </c>
      <c r="G34" s="69"/>
      <c r="H34" s="78"/>
      <c r="I34" s="78"/>
      <c r="J34" s="78"/>
      <c r="K34" s="79"/>
      <c r="L34" s="76"/>
      <c r="M34" s="76">
        <f>Таблица21339902946781316[[#This Row],[113]]*Таблица21339902946781316[[#This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Таблица21339902946781316[[#This Row],[ ]]</f>
        <v>29</v>
      </c>
      <c r="G35" s="69"/>
      <c r="H35" s="78"/>
      <c r="I35" s="78"/>
      <c r="J35" s="78"/>
      <c r="K35" s="79"/>
      <c r="L35" s="76"/>
      <c r="M35" s="76">
        <f>Таблица21339902946781316[[#This Row],[113]]*Таблица21339902946781316[[#This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Таблица21339902946781316[[#This Row],[ ]]</f>
        <v>30</v>
      </c>
      <c r="G36" s="69"/>
      <c r="H36" s="78"/>
      <c r="I36" s="78"/>
      <c r="J36" s="78"/>
      <c r="K36" s="79"/>
      <c r="L36" s="76"/>
      <c r="M36" s="76">
        <f>Таблица21339902946781316[[#This Row],[113]]*Таблица21339902946781316[[#This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Таблица21339902946781316[[#This Row],[ ]]</f>
        <v>31</v>
      </c>
      <c r="G37" s="69"/>
      <c r="H37" s="78"/>
      <c r="I37" s="78"/>
      <c r="J37" s="78"/>
      <c r="K37" s="79"/>
      <c r="L37" s="76"/>
      <c r="M37" s="76">
        <f>Таблица21339902946781316[[#This Row],[113]]*Таблица21339902946781316[[#This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Таблица21339902946781316[[#This Row],[ ]]</f>
        <v>32</v>
      </c>
      <c r="G38" s="69"/>
      <c r="H38" s="78"/>
      <c r="I38" s="78"/>
      <c r="J38" s="78"/>
      <c r="K38" s="79"/>
      <c r="L38" s="76"/>
      <c r="M38" s="76">
        <f>Таблица21339902946781316[[#This Row],[113]]*Таблица21339902946781316[[#This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Таблица21339902946781316[[#This Row],[ ]]</f>
        <v>33</v>
      </c>
      <c r="G39" s="69"/>
      <c r="H39" s="78"/>
      <c r="I39" s="78"/>
      <c r="J39" s="78"/>
      <c r="K39" s="79"/>
      <c r="L39" s="76"/>
      <c r="M39" s="76">
        <f>Таблица21339902946781316[[#This Row],[113]]*Таблица21339902946781316[[#This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Таблица21339902946781316[[#This Row],[ ]]</f>
        <v>34</v>
      </c>
      <c r="G40" s="69"/>
      <c r="H40" s="78"/>
      <c r="I40" s="78"/>
      <c r="J40" s="78"/>
      <c r="K40" s="79"/>
      <c r="L40" s="76"/>
      <c r="M40" s="76">
        <f>Таблица21339902946781316[[#This Row],[113]]*Таблица21339902946781316[[#This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Таблица21339902946781316[[#This Row],[ ]]</f>
        <v>35</v>
      </c>
      <c r="G41" s="69"/>
      <c r="H41" s="78"/>
      <c r="I41" s="78"/>
      <c r="J41" s="78"/>
      <c r="K41" s="79"/>
      <c r="L41" s="76"/>
      <c r="M41" s="76">
        <f>Таблица21339902946781316[[#This Row],[113]]*Таблица21339902946781316[[#This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Таблица21339902946781316[[#This Row],[ ]]</f>
        <v>36</v>
      </c>
      <c r="G42" s="69"/>
      <c r="H42" s="78"/>
      <c r="I42" s="78"/>
      <c r="J42" s="78"/>
      <c r="K42" s="79"/>
      <c r="L42" s="76"/>
      <c r="M42" s="76">
        <f>Таблица21339902946781316[[#This Row],[113]]*Таблица21339902946781316[[#This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Таблица21339902946781316[[#This Row],[ ]]</f>
        <v>37</v>
      </c>
      <c r="G43" s="69"/>
      <c r="H43" s="78"/>
      <c r="I43" s="78"/>
      <c r="J43" s="78"/>
      <c r="K43" s="79"/>
      <c r="L43" s="76"/>
      <c r="M43" s="76">
        <f>Таблица21339902946781316[[#This Row],[113]]*Таблица21339902946781316[[#This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Таблица21339902946781316[[#This Row],[ ]]</f>
        <v>38</v>
      </c>
      <c r="G44" s="69"/>
      <c r="H44" s="78"/>
      <c r="I44" s="78"/>
      <c r="J44" s="78"/>
      <c r="K44" s="79"/>
      <c r="L44" s="76"/>
      <c r="M44" s="76">
        <f>Таблица21339902946781316[[#This Row],[113]]*Таблица21339902946781316[[#This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Таблица21339902946781316[[#This Row],[ ]]</f>
        <v>39</v>
      </c>
      <c r="G45" s="69"/>
      <c r="H45" s="78"/>
      <c r="I45" s="78"/>
      <c r="J45" s="78"/>
      <c r="K45" s="79"/>
      <c r="L45" s="76"/>
      <c r="M45" s="76">
        <f>Таблица21339902946781316[[#This Row],[113]]*Таблица21339902946781316[[#This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Таблица21339902946781316[[#This Row],[ ]]</f>
        <v>40</v>
      </c>
      <c r="G46" s="69"/>
      <c r="H46" s="78"/>
      <c r="I46" s="78"/>
      <c r="J46" s="78"/>
      <c r="K46" s="79"/>
      <c r="L46" s="76"/>
      <c r="M46" s="76">
        <f>Таблица21339902946781316[[#This Row],[113]]*Таблица21339902946781316[[#This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Таблица21339902946781316[[#This Row],[ ]]</f>
        <v>41</v>
      </c>
      <c r="G47" s="69"/>
      <c r="H47" s="78"/>
      <c r="I47" s="78"/>
      <c r="J47" s="78"/>
      <c r="K47" s="79"/>
      <c r="L47" s="76"/>
      <c r="M47" s="76">
        <f>Таблица21339902946781316[[#This Row],[113]]*Таблица21339902946781316[[#This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Таблица21339902946781316[[#This Row],[ ]]</f>
        <v>42</v>
      </c>
      <c r="G48" s="69"/>
      <c r="H48" s="78"/>
      <c r="I48" s="78"/>
      <c r="J48" s="78"/>
      <c r="K48" s="79"/>
      <c r="L48" s="76"/>
      <c r="M48" s="76">
        <f>Таблица21339902946781316[[#This Row],[113]]*Таблица21339902946781316[[#This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Таблица21339902946781316[[#This Row],[ ]]</f>
        <v>43</v>
      </c>
      <c r="G49" s="69"/>
      <c r="H49" s="78"/>
      <c r="I49" s="78"/>
      <c r="J49" s="78"/>
      <c r="K49" s="79"/>
      <c r="L49" s="76"/>
      <c r="M49" s="76">
        <f>Таблица21339902946781316[[#This Row],[113]]*Таблица21339902946781316[[#This Row],[15]]</f>
        <v>0</v>
      </c>
    </row>
    <row r="50" spans="1:13" x14ac:dyDescent="0.2">
      <c r="A50" s="82"/>
      <c r="B50" s="45"/>
      <c r="C50" s="76">
        <f>SUBTOTAL(109,Таблица21339902946781316[2])</f>
        <v>67200000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SUBTOTAL(109,Таблица21339902946781316[1132])</f>
        <v>38</v>
      </c>
      <c r="L50" s="88"/>
      <c r="M50" s="88">
        <f>SUBTOTAL(109,Таблица21339902946781316[16])</f>
        <v>45964800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Y4" display="4-Рустам Шпик" xr:uid="{51109BD3-F3C9-4017-8ABD-0DAA717607C9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7149-6153-4E39-AE85-2D3868842998}">
  <dimension ref="A1:M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42578125" style="1" bestFit="1" customWidth="1"/>
    <col min="10" max="10" width="10" style="1" bestFit="1" customWidth="1"/>
    <col min="11" max="12" width="11.2851562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212</v>
      </c>
      <c r="E1" s="105"/>
      <c r="H1" s="1" t="s">
        <v>177</v>
      </c>
      <c r="I1" s="49">
        <f>SUMIFS(C:C,D:D,J1)</f>
        <v>8600000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75"/>
      <c r="F2" s="237">
        <f>Таблица2133990294678131619[[#Totals],[2]]+-Таблица2133990294678131619[[#Totals],[16]]</f>
        <v>200</v>
      </c>
      <c r="G2" s="238"/>
    </row>
    <row r="3" spans="1:13" ht="15" customHeight="1" x14ac:dyDescent="0.2">
      <c r="A3" s="228" t="s">
        <v>27</v>
      </c>
      <c r="B3" s="228" t="s">
        <v>9</v>
      </c>
      <c r="C3" s="176" t="s">
        <v>19</v>
      </c>
      <c r="D3" s="176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Таблица2133990294678131619[[#Totals],[2]]</f>
        <v>91929800</v>
      </c>
      <c r="D5" s="64"/>
      <c r="E5" s="106">
        <f>SUM(Таблица2133990294678131619[4])</f>
        <v>0</v>
      </c>
      <c r="F5" s="233"/>
      <c r="G5" s="233"/>
      <c r="H5" s="233"/>
      <c r="I5" s="224"/>
      <c r="J5" s="154">
        <f>SUM(Таблица2133990294678131619[113])</f>
        <v>131.328</v>
      </c>
      <c r="K5" s="65">
        <f>Таблица2133990294678131619[[#Totals],[1132]]</f>
        <v>76</v>
      </c>
      <c r="L5" s="233"/>
      <c r="M5" s="177">
        <f>Таблица2133990294678131619[[#Totals],[16]]</f>
        <v>91929600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46212</v>
      </c>
      <c r="C7" s="70">
        <v>41964800</v>
      </c>
      <c r="D7" s="18" t="s">
        <v>229</v>
      </c>
      <c r="E7" s="76"/>
      <c r="F7" s="71">
        <f>Таблица2133990294678131619[[#This Row],[ ]]</f>
        <v>1</v>
      </c>
      <c r="G7" s="18">
        <v>46213</v>
      </c>
      <c r="H7" s="72" t="s">
        <v>215</v>
      </c>
      <c r="I7" s="73" t="s">
        <v>71</v>
      </c>
      <c r="J7" s="74">
        <v>32.832000000000001</v>
      </c>
      <c r="K7" s="75">
        <v>19</v>
      </c>
      <c r="L7" s="76">
        <v>700000</v>
      </c>
      <c r="M7" s="76">
        <f>Таблица2133990294678131619[[#This Row],[113]]*Таблица2133990294678131619[[#This Row],[15]]</f>
        <v>22982400</v>
      </c>
    </row>
    <row r="8" spans="1:13" x14ac:dyDescent="0.2">
      <c r="A8" s="68">
        <v>2</v>
      </c>
      <c r="B8" s="69">
        <v>46213</v>
      </c>
      <c r="C8" s="76">
        <v>4000000</v>
      </c>
      <c r="D8" s="18" t="s">
        <v>176</v>
      </c>
      <c r="E8" s="76"/>
      <c r="F8" s="71">
        <f>Таблица2133990294678131619[[#This Row],[ ]]</f>
        <v>2</v>
      </c>
      <c r="G8" s="69">
        <v>46212</v>
      </c>
      <c r="H8" s="78" t="s">
        <v>162</v>
      </c>
      <c r="I8" s="73" t="s">
        <v>71</v>
      </c>
      <c r="J8" s="74">
        <v>32.832000000000001</v>
      </c>
      <c r="K8" s="75">
        <v>19</v>
      </c>
      <c r="L8" s="76">
        <v>700000</v>
      </c>
      <c r="M8" s="76">
        <f>Таблица2133990294678131619[[#This Row],[113]]*Таблица2133990294678131619[[#This Row],[15]]</f>
        <v>22982400</v>
      </c>
    </row>
    <row r="9" spans="1:13" x14ac:dyDescent="0.2">
      <c r="A9" s="68">
        <v>3</v>
      </c>
      <c r="B9" s="77">
        <v>46216</v>
      </c>
      <c r="C9" s="76">
        <v>41365000</v>
      </c>
      <c r="D9" s="18" t="s">
        <v>229</v>
      </c>
      <c r="E9" s="76"/>
      <c r="F9" s="71">
        <f>Таблица2133990294678131619[[#This Row],[ ]]</f>
        <v>3</v>
      </c>
      <c r="G9" s="69">
        <v>46216</v>
      </c>
      <c r="H9" s="78" t="s">
        <v>268</v>
      </c>
      <c r="I9" s="78" t="s">
        <v>71</v>
      </c>
      <c r="J9" s="78">
        <v>32.832000000000001</v>
      </c>
      <c r="K9" s="76">
        <v>19</v>
      </c>
      <c r="L9" s="79">
        <v>700000</v>
      </c>
      <c r="M9" s="76">
        <f>Таблица2133990294678131619[[#This Row],[113]]*Таблица2133990294678131619[[#This Row],[15]]</f>
        <v>22982400</v>
      </c>
    </row>
    <row r="10" spans="1:13" x14ac:dyDescent="0.2">
      <c r="A10" s="68">
        <v>4</v>
      </c>
      <c r="B10" s="77">
        <v>14</v>
      </c>
      <c r="C10" s="76">
        <v>4600000</v>
      </c>
      <c r="D10" s="18" t="s">
        <v>176</v>
      </c>
      <c r="E10" s="76"/>
      <c r="F10" s="71">
        <f>Таблица2133990294678131619[[#This Row],[ ]]</f>
        <v>4</v>
      </c>
      <c r="G10" s="69">
        <v>46217</v>
      </c>
      <c r="H10" s="78" t="s">
        <v>269</v>
      </c>
      <c r="I10" s="78" t="s">
        <v>71</v>
      </c>
      <c r="J10" s="78">
        <v>32.832000000000001</v>
      </c>
      <c r="K10" s="76">
        <v>19</v>
      </c>
      <c r="L10" s="79">
        <v>700000</v>
      </c>
      <c r="M10" s="76">
        <f>Таблица2133990294678131619[[#This Row],[113]]*Таблица2133990294678131619[[#This Row],[15]]</f>
        <v>22982400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Таблица2133990294678131619[[#This Row],[ ]]</f>
        <v>5</v>
      </c>
      <c r="G11" s="69"/>
      <c r="H11" s="78"/>
      <c r="I11" s="78"/>
      <c r="J11" s="78"/>
      <c r="K11" s="76"/>
      <c r="L11" s="79"/>
      <c r="M11" s="76">
        <f>Таблица2133990294678131619[[#This Row],[113]]*Таблица2133990294678131619[[#This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Таблица2133990294678131619[[#This Row],[ ]]</f>
        <v>6</v>
      </c>
      <c r="G12" s="69"/>
      <c r="H12" s="78"/>
      <c r="I12" s="78"/>
      <c r="J12" s="78"/>
      <c r="K12" s="76"/>
      <c r="L12" s="79"/>
      <c r="M12" s="76">
        <f>Таблица2133990294678131619[[#This Row],[113]]*Таблица2133990294678131619[[#This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Таблица2133990294678131619[[#This Row],[ ]]</f>
        <v>7</v>
      </c>
      <c r="G13" s="69"/>
      <c r="H13" s="78"/>
      <c r="I13" s="78"/>
      <c r="J13" s="78"/>
      <c r="K13" s="79"/>
      <c r="L13" s="76"/>
      <c r="M13" s="76">
        <f>Таблица2133990294678131619[[#This Row],[113]]*Таблица2133990294678131619[[#This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Таблица2133990294678131619[[#This Row],[ ]]</f>
        <v>8</v>
      </c>
      <c r="G14" s="69"/>
      <c r="H14" s="78"/>
      <c r="I14" s="78"/>
      <c r="J14" s="78"/>
      <c r="K14" s="79"/>
      <c r="L14" s="76"/>
      <c r="M14" s="76">
        <f>Таблица2133990294678131619[[#This Row],[113]]*Таблица2133990294678131619[[#This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Таблица2133990294678131619[[#This Row],[ ]]</f>
        <v>9</v>
      </c>
      <c r="G15" s="69"/>
      <c r="H15" s="78"/>
      <c r="I15" s="78"/>
      <c r="J15" s="78"/>
      <c r="K15" s="79"/>
      <c r="L15" s="76"/>
      <c r="M15" s="76">
        <f>Таблица2133990294678131619[[#This Row],[113]]*Таблица2133990294678131619[[#This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Таблица2133990294678131619[[#This Row],[ ]]</f>
        <v>10</v>
      </c>
      <c r="G16" s="69"/>
      <c r="H16" s="78"/>
      <c r="I16" s="78"/>
      <c r="J16" s="78"/>
      <c r="K16" s="79"/>
      <c r="L16" s="76"/>
      <c r="M16" s="76">
        <f>Таблица2133990294678131619[[#This Row],[113]]*Таблица2133990294678131619[[#This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Таблица2133990294678131619[[#This Row],[ ]]</f>
        <v>11</v>
      </c>
      <c r="G17" s="69"/>
      <c r="H17" s="78"/>
      <c r="I17" s="78"/>
      <c r="J17" s="78"/>
      <c r="K17" s="79"/>
      <c r="L17" s="76"/>
      <c r="M17" s="76">
        <f>Таблица2133990294678131619[[#This Row],[113]]*Таблица2133990294678131619[[#This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Таблица2133990294678131619[[#This Row],[ ]]</f>
        <v>12</v>
      </c>
      <c r="G18" s="69"/>
      <c r="H18" s="78"/>
      <c r="I18" s="78"/>
      <c r="J18" s="78"/>
      <c r="K18" s="79"/>
      <c r="L18" s="76"/>
      <c r="M18" s="76">
        <f>Таблица2133990294678131619[[#This Row],[113]]*Таблица2133990294678131619[[#This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Таблица2133990294678131619[[#This Row],[ ]]</f>
        <v>13</v>
      </c>
      <c r="G19" s="69"/>
      <c r="H19" s="78"/>
      <c r="I19" s="78"/>
      <c r="J19" s="78"/>
      <c r="K19" s="79"/>
      <c r="L19" s="76"/>
      <c r="M19" s="76">
        <f>Таблица2133990294678131619[[#This Row],[113]]*Таблица2133990294678131619[[#This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Таблица2133990294678131619[[#This Row],[ ]]</f>
        <v>14</v>
      </c>
      <c r="G20" s="69"/>
      <c r="H20" s="78"/>
      <c r="I20" s="78"/>
      <c r="J20" s="78"/>
      <c r="K20" s="79"/>
      <c r="L20" s="76"/>
      <c r="M20" s="76">
        <f>Таблица2133990294678131619[[#This Row],[113]]*Таблица2133990294678131619[[#This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Таблица2133990294678131619[[#This Row],[ ]]</f>
        <v>15</v>
      </c>
      <c r="G21" s="69"/>
      <c r="H21" s="78"/>
      <c r="I21" s="78"/>
      <c r="J21" s="78"/>
      <c r="K21" s="79"/>
      <c r="L21" s="76"/>
      <c r="M21" s="76">
        <f>Таблица2133990294678131619[[#This Row],[113]]*Таблица2133990294678131619[[#This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Таблица2133990294678131619[[#This Row],[ ]]</f>
        <v>16</v>
      </c>
      <c r="G22" s="69"/>
      <c r="H22" s="78"/>
      <c r="I22" s="78"/>
      <c r="J22" s="78"/>
      <c r="K22" s="79"/>
      <c r="L22" s="76"/>
      <c r="M22" s="76">
        <f>Таблица2133990294678131619[[#This Row],[113]]*Таблица2133990294678131619[[#This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Таблица2133990294678131619[[#This Row],[ ]]</f>
        <v>17</v>
      </c>
      <c r="G23" s="69"/>
      <c r="H23" s="78"/>
      <c r="I23" s="78"/>
      <c r="J23" s="78"/>
      <c r="K23" s="79"/>
      <c r="L23" s="76"/>
      <c r="M23" s="76">
        <f>Таблица2133990294678131619[[#This Row],[113]]*Таблица2133990294678131619[[#This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Таблица2133990294678131619[[#This Row],[ ]]</f>
        <v>18</v>
      </c>
      <c r="G24" s="69"/>
      <c r="H24" s="78"/>
      <c r="I24" s="78"/>
      <c r="J24" s="78"/>
      <c r="K24" s="79"/>
      <c r="L24" s="76"/>
      <c r="M24" s="76">
        <f>Таблица2133990294678131619[[#This Row],[113]]*Таблица2133990294678131619[[#This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Таблица2133990294678131619[[#This Row],[ ]]</f>
        <v>19</v>
      </c>
      <c r="G25" s="69"/>
      <c r="H25" s="78"/>
      <c r="I25" s="78"/>
      <c r="J25" s="78"/>
      <c r="K25" s="79"/>
      <c r="L25" s="76"/>
      <c r="M25" s="76">
        <f>Таблица2133990294678131619[[#This Row],[113]]*Таблица2133990294678131619[[#This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Таблица2133990294678131619[[#This Row],[ ]]</f>
        <v>20</v>
      </c>
      <c r="G26" s="69"/>
      <c r="H26" s="78"/>
      <c r="I26" s="78"/>
      <c r="J26" s="78"/>
      <c r="K26" s="79"/>
      <c r="L26" s="76"/>
      <c r="M26" s="76">
        <f>Таблица2133990294678131619[[#This Row],[113]]*Таблица2133990294678131619[[#This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Таблица2133990294678131619[[#This Row],[ ]]</f>
        <v>21</v>
      </c>
      <c r="G27" s="69"/>
      <c r="H27" s="78"/>
      <c r="I27" s="78"/>
      <c r="J27" s="78"/>
      <c r="K27" s="79"/>
      <c r="L27" s="76"/>
      <c r="M27" s="76">
        <f>Таблица2133990294678131619[[#This Row],[113]]*Таблица2133990294678131619[[#This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Таблица2133990294678131619[[#This Row],[ ]]</f>
        <v>22</v>
      </c>
      <c r="G28" s="69"/>
      <c r="H28" s="78"/>
      <c r="I28" s="78"/>
      <c r="J28" s="78"/>
      <c r="K28" s="79"/>
      <c r="L28" s="76"/>
      <c r="M28" s="76">
        <f>Таблица2133990294678131619[[#This Row],[113]]*Таблица2133990294678131619[[#This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Таблица2133990294678131619[[#This Row],[ ]]</f>
        <v>23</v>
      </c>
      <c r="G29" s="69"/>
      <c r="H29" s="78"/>
      <c r="I29" s="78"/>
      <c r="J29" s="78"/>
      <c r="K29" s="79"/>
      <c r="L29" s="76"/>
      <c r="M29" s="76">
        <f>Таблица2133990294678131619[[#This Row],[113]]*Таблица2133990294678131619[[#This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Таблица2133990294678131619[[#This Row],[ ]]</f>
        <v>24</v>
      </c>
      <c r="G30" s="69"/>
      <c r="H30" s="78"/>
      <c r="I30" s="78"/>
      <c r="J30" s="78"/>
      <c r="K30" s="79"/>
      <c r="L30" s="76"/>
      <c r="M30" s="76">
        <f>Таблица2133990294678131619[[#This Row],[113]]*Таблица2133990294678131619[[#This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Таблица2133990294678131619[[#This Row],[ ]]</f>
        <v>25</v>
      </c>
      <c r="G31" s="69"/>
      <c r="H31" s="78"/>
      <c r="I31" s="78"/>
      <c r="J31" s="78"/>
      <c r="K31" s="79"/>
      <c r="L31" s="76"/>
      <c r="M31" s="76">
        <f>Таблица2133990294678131619[[#This Row],[113]]*Таблица2133990294678131619[[#This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Таблица2133990294678131619[[#This Row],[ ]]</f>
        <v>26</v>
      </c>
      <c r="G32" s="69"/>
      <c r="H32" s="78"/>
      <c r="I32" s="78"/>
      <c r="J32" s="78"/>
      <c r="K32" s="79"/>
      <c r="L32" s="76"/>
      <c r="M32" s="76">
        <f>Таблица2133990294678131619[[#This Row],[113]]*Таблица2133990294678131619[[#This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Таблица2133990294678131619[[#This Row],[ ]]</f>
        <v>27</v>
      </c>
      <c r="G33" s="69"/>
      <c r="H33" s="78"/>
      <c r="I33" s="78"/>
      <c r="J33" s="78"/>
      <c r="K33" s="79"/>
      <c r="L33" s="76"/>
      <c r="M33" s="76">
        <f>Таблица2133990294678131619[[#This Row],[113]]*Таблица2133990294678131619[[#This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Таблица2133990294678131619[[#This Row],[ ]]</f>
        <v>28</v>
      </c>
      <c r="G34" s="69"/>
      <c r="H34" s="78"/>
      <c r="I34" s="78"/>
      <c r="J34" s="78"/>
      <c r="K34" s="79"/>
      <c r="L34" s="76"/>
      <c r="M34" s="76">
        <f>Таблица2133990294678131619[[#This Row],[113]]*Таблица2133990294678131619[[#This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Таблица2133990294678131619[[#This Row],[ ]]</f>
        <v>29</v>
      </c>
      <c r="G35" s="69"/>
      <c r="H35" s="78"/>
      <c r="I35" s="78"/>
      <c r="J35" s="78"/>
      <c r="K35" s="79"/>
      <c r="L35" s="76"/>
      <c r="M35" s="76">
        <f>Таблица2133990294678131619[[#This Row],[113]]*Таблица2133990294678131619[[#This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Таблица2133990294678131619[[#This Row],[ ]]</f>
        <v>30</v>
      </c>
      <c r="G36" s="69"/>
      <c r="H36" s="78"/>
      <c r="I36" s="78"/>
      <c r="J36" s="78"/>
      <c r="K36" s="79"/>
      <c r="L36" s="76"/>
      <c r="M36" s="76">
        <f>Таблица2133990294678131619[[#This Row],[113]]*Таблица2133990294678131619[[#This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Таблица2133990294678131619[[#This Row],[ ]]</f>
        <v>31</v>
      </c>
      <c r="G37" s="69"/>
      <c r="H37" s="78"/>
      <c r="I37" s="78"/>
      <c r="J37" s="78"/>
      <c r="K37" s="79"/>
      <c r="L37" s="76"/>
      <c r="M37" s="76">
        <f>Таблица2133990294678131619[[#This Row],[113]]*Таблица2133990294678131619[[#This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Таблица2133990294678131619[[#This Row],[ ]]</f>
        <v>32</v>
      </c>
      <c r="G38" s="69"/>
      <c r="H38" s="78"/>
      <c r="I38" s="78"/>
      <c r="J38" s="78"/>
      <c r="K38" s="79"/>
      <c r="L38" s="76"/>
      <c r="M38" s="76">
        <f>Таблица2133990294678131619[[#This Row],[113]]*Таблица2133990294678131619[[#This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Таблица2133990294678131619[[#This Row],[ ]]</f>
        <v>33</v>
      </c>
      <c r="G39" s="69"/>
      <c r="H39" s="78"/>
      <c r="I39" s="78"/>
      <c r="J39" s="78"/>
      <c r="K39" s="79"/>
      <c r="L39" s="76"/>
      <c r="M39" s="76">
        <f>Таблица2133990294678131619[[#This Row],[113]]*Таблица2133990294678131619[[#This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Таблица2133990294678131619[[#This Row],[ ]]</f>
        <v>34</v>
      </c>
      <c r="G40" s="69"/>
      <c r="H40" s="78"/>
      <c r="I40" s="78"/>
      <c r="J40" s="78"/>
      <c r="K40" s="79"/>
      <c r="L40" s="76"/>
      <c r="M40" s="76">
        <f>Таблица2133990294678131619[[#This Row],[113]]*Таблица2133990294678131619[[#This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Таблица2133990294678131619[[#This Row],[ ]]</f>
        <v>35</v>
      </c>
      <c r="G41" s="69"/>
      <c r="H41" s="78"/>
      <c r="I41" s="78"/>
      <c r="J41" s="78"/>
      <c r="K41" s="79"/>
      <c r="L41" s="76"/>
      <c r="M41" s="76">
        <f>Таблица2133990294678131619[[#This Row],[113]]*Таблица2133990294678131619[[#This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Таблица2133990294678131619[[#This Row],[ ]]</f>
        <v>36</v>
      </c>
      <c r="G42" s="69"/>
      <c r="H42" s="78"/>
      <c r="I42" s="78"/>
      <c r="J42" s="78"/>
      <c r="K42" s="79"/>
      <c r="L42" s="76"/>
      <c r="M42" s="76">
        <f>Таблица2133990294678131619[[#This Row],[113]]*Таблица2133990294678131619[[#This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Таблица2133990294678131619[[#This Row],[ ]]</f>
        <v>37</v>
      </c>
      <c r="G43" s="69"/>
      <c r="H43" s="78"/>
      <c r="I43" s="78"/>
      <c r="J43" s="78"/>
      <c r="K43" s="79"/>
      <c r="L43" s="76"/>
      <c r="M43" s="76">
        <f>Таблица2133990294678131619[[#This Row],[113]]*Таблица2133990294678131619[[#This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Таблица2133990294678131619[[#This Row],[ ]]</f>
        <v>38</v>
      </c>
      <c r="G44" s="69"/>
      <c r="H44" s="78"/>
      <c r="I44" s="78"/>
      <c r="J44" s="78"/>
      <c r="K44" s="79"/>
      <c r="L44" s="76"/>
      <c r="M44" s="76">
        <f>Таблица2133990294678131619[[#This Row],[113]]*Таблица2133990294678131619[[#This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Таблица2133990294678131619[[#This Row],[ ]]</f>
        <v>39</v>
      </c>
      <c r="G45" s="69"/>
      <c r="H45" s="78"/>
      <c r="I45" s="78"/>
      <c r="J45" s="78"/>
      <c r="K45" s="79"/>
      <c r="L45" s="76"/>
      <c r="M45" s="76">
        <f>Таблица2133990294678131619[[#This Row],[113]]*Таблица2133990294678131619[[#This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Таблица2133990294678131619[[#This Row],[ ]]</f>
        <v>40</v>
      </c>
      <c r="G46" s="69"/>
      <c r="H46" s="78"/>
      <c r="I46" s="78"/>
      <c r="J46" s="78"/>
      <c r="K46" s="79"/>
      <c r="L46" s="76"/>
      <c r="M46" s="76">
        <f>Таблица2133990294678131619[[#This Row],[113]]*Таблица2133990294678131619[[#This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Таблица2133990294678131619[[#This Row],[ ]]</f>
        <v>41</v>
      </c>
      <c r="G47" s="69"/>
      <c r="H47" s="78"/>
      <c r="I47" s="78"/>
      <c r="J47" s="78"/>
      <c r="K47" s="79"/>
      <c r="L47" s="76"/>
      <c r="M47" s="76">
        <f>Таблица2133990294678131619[[#This Row],[113]]*Таблица2133990294678131619[[#This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Таблица2133990294678131619[[#This Row],[ ]]</f>
        <v>42</v>
      </c>
      <c r="G48" s="69"/>
      <c r="H48" s="78"/>
      <c r="I48" s="78"/>
      <c r="J48" s="78"/>
      <c r="K48" s="79"/>
      <c r="L48" s="76"/>
      <c r="M48" s="76">
        <f>Таблица2133990294678131619[[#This Row],[113]]*Таблица2133990294678131619[[#This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Таблица2133990294678131619[[#This Row],[ ]]</f>
        <v>43</v>
      </c>
      <c r="G49" s="69"/>
      <c r="H49" s="78"/>
      <c r="I49" s="78"/>
      <c r="J49" s="78"/>
      <c r="K49" s="79"/>
      <c r="L49" s="76"/>
      <c r="M49" s="76">
        <f>Таблица2133990294678131619[[#This Row],[113]]*Таблица2133990294678131619[[#This Row],[15]]</f>
        <v>0</v>
      </c>
    </row>
    <row r="50" spans="1:13" x14ac:dyDescent="0.2">
      <c r="A50" s="82"/>
      <c r="B50" s="45"/>
      <c r="C50" s="76">
        <f>SUBTOTAL(109,Таблица2133990294678131619[2])</f>
        <v>91929800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SUBTOTAL(109,Таблица2133990294678131619[1132])</f>
        <v>76</v>
      </c>
      <c r="L50" s="88"/>
      <c r="M50" s="88">
        <f>SUBTOTAL(109,Таблица2133990294678131619[16])</f>
        <v>91929600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A1" display="5-Одилбек Ера хоус" xr:uid="{AB27D309-556A-4D4E-B634-6E333EEAD73A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DA95-6065-4F8E-95FF-41EB36134937}">
  <dimension ref="A1:M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8" width="10.140625" style="1" bestFit="1" customWidth="1"/>
    <col min="19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190</v>
      </c>
      <c r="E1" s="105"/>
      <c r="H1" s="1" t="s">
        <v>177</v>
      </c>
      <c r="I1" s="49">
        <f>SUMIFS(C:C,D:D,J1)</f>
        <v>4000000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63"/>
      <c r="F2" s="237">
        <f>Таблица213399029467813161718[[#Totals],[2]]+-Таблица213399029467813161718[[#Totals],[16]]</f>
        <v>0</v>
      </c>
      <c r="G2" s="238"/>
    </row>
    <row r="3" spans="1:13" ht="15" customHeight="1" x14ac:dyDescent="0.2">
      <c r="A3" s="228" t="s">
        <v>27</v>
      </c>
      <c r="B3" s="228" t="s">
        <v>9</v>
      </c>
      <c r="C3" s="164" t="s">
        <v>19</v>
      </c>
      <c r="D3" s="164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Таблица213399029467813161718[[#Totals],[2]]</f>
        <v>45964800</v>
      </c>
      <c r="D5" s="64"/>
      <c r="E5" s="106">
        <f>SUM(Таблица213399029467813161718[4])</f>
        <v>0</v>
      </c>
      <c r="F5" s="233"/>
      <c r="G5" s="233"/>
      <c r="H5" s="233"/>
      <c r="I5" s="224"/>
      <c r="J5" s="154">
        <f>SUM(Таблица213399029467813161718[113])</f>
        <v>65.664000000000001</v>
      </c>
      <c r="K5" s="65">
        <f>Таблица213399029467813161718[[#Totals],[1132]]</f>
        <v>38</v>
      </c>
      <c r="L5" s="233"/>
      <c r="M5" s="165">
        <f>Таблица213399029467813161718[[#Totals],[16]]</f>
        <v>45964800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46210</v>
      </c>
      <c r="C7" s="70">
        <v>40000000</v>
      </c>
      <c r="D7" s="18" t="s">
        <v>191</v>
      </c>
      <c r="E7" s="76"/>
      <c r="F7" s="71">
        <f>Таблица213399029467813161718[[#This Row],[ ]]</f>
        <v>1</v>
      </c>
      <c r="G7" s="18">
        <v>46210</v>
      </c>
      <c r="H7" s="72" t="s">
        <v>201</v>
      </c>
      <c r="I7" s="73" t="s">
        <v>83</v>
      </c>
      <c r="J7" s="74">
        <v>32.832000000000001</v>
      </c>
      <c r="K7" s="75">
        <v>19</v>
      </c>
      <c r="L7" s="71">
        <v>700000</v>
      </c>
      <c r="M7" s="76">
        <f>Таблица213399029467813161718[[#This Row],[113]]*Таблица213399029467813161718[[#This Row],[15]]</f>
        <v>22982400</v>
      </c>
    </row>
    <row r="8" spans="1:13" x14ac:dyDescent="0.2">
      <c r="A8" s="68">
        <v>2</v>
      </c>
      <c r="B8" s="69">
        <v>46210</v>
      </c>
      <c r="C8" s="76">
        <v>1964800</v>
      </c>
      <c r="D8" s="18" t="s">
        <v>191</v>
      </c>
      <c r="E8" s="76"/>
      <c r="F8" s="71">
        <f>Таблица213399029467813161718[[#This Row],[ ]]</f>
        <v>2</v>
      </c>
      <c r="G8" s="18">
        <v>46211</v>
      </c>
      <c r="H8" s="72" t="s">
        <v>207</v>
      </c>
      <c r="I8" s="73" t="s">
        <v>83</v>
      </c>
      <c r="J8" s="74">
        <v>32.832000000000001</v>
      </c>
      <c r="K8" s="75">
        <v>19</v>
      </c>
      <c r="L8" s="71">
        <v>700000</v>
      </c>
      <c r="M8" s="76">
        <f>Таблица213399029467813161718[[#This Row],[113]]*Таблица213399029467813161718[[#This Row],[15]]</f>
        <v>22982400</v>
      </c>
    </row>
    <row r="9" spans="1:13" x14ac:dyDescent="0.2">
      <c r="A9" s="68">
        <v>3</v>
      </c>
      <c r="B9" s="77">
        <v>46180</v>
      </c>
      <c r="C9" s="76">
        <v>2000000</v>
      </c>
      <c r="D9" s="18" t="s">
        <v>176</v>
      </c>
      <c r="E9" s="76"/>
      <c r="F9" s="71">
        <f>Таблица213399029467813161718[[#This Row],[ ]]</f>
        <v>3</v>
      </c>
      <c r="G9" s="69"/>
      <c r="H9" s="78"/>
      <c r="I9" s="78"/>
      <c r="J9" s="78"/>
      <c r="K9" s="76"/>
      <c r="L9" s="79"/>
      <c r="M9" s="76">
        <f>Таблица213399029467813161718[[#This Row],[113]]*Таблица213399029467813161718[[#This Row],[15]]</f>
        <v>0</v>
      </c>
    </row>
    <row r="10" spans="1:13" x14ac:dyDescent="0.2">
      <c r="A10" s="68">
        <v>4</v>
      </c>
      <c r="B10" s="77">
        <v>46211</v>
      </c>
      <c r="C10" s="76">
        <v>2000000</v>
      </c>
      <c r="D10" s="18" t="s">
        <v>176</v>
      </c>
      <c r="E10" s="76"/>
      <c r="F10" s="71">
        <f>Таблица213399029467813161718[[#This Row],[ ]]</f>
        <v>4</v>
      </c>
      <c r="G10" s="69"/>
      <c r="H10" s="78"/>
      <c r="I10" s="78"/>
      <c r="J10" s="78"/>
      <c r="K10" s="76"/>
      <c r="L10" s="79"/>
      <c r="M10" s="76">
        <f>Таблица213399029467813161718[[#This Row],[113]]*Таблица213399029467813161718[[#This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Таблица213399029467813161718[[#This Row],[ ]]</f>
        <v>5</v>
      </c>
      <c r="G11" s="69"/>
      <c r="H11" s="78"/>
      <c r="I11" s="78"/>
      <c r="J11" s="78"/>
      <c r="K11" s="76"/>
      <c r="L11" s="79"/>
      <c r="M11" s="76">
        <f>Таблица213399029467813161718[[#This Row],[113]]*Таблица213399029467813161718[[#This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Таблица213399029467813161718[[#This Row],[ ]]</f>
        <v>6</v>
      </c>
      <c r="G12" s="69"/>
      <c r="H12" s="78"/>
      <c r="I12" s="78"/>
      <c r="J12" s="78"/>
      <c r="K12" s="76"/>
      <c r="L12" s="79"/>
      <c r="M12" s="76">
        <f>Таблица213399029467813161718[[#This Row],[113]]*Таблица213399029467813161718[[#This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Таблица213399029467813161718[[#This Row],[ ]]</f>
        <v>7</v>
      </c>
      <c r="G13" s="69"/>
      <c r="H13" s="78"/>
      <c r="I13" s="78"/>
      <c r="J13" s="78"/>
      <c r="K13" s="79"/>
      <c r="L13" s="76"/>
      <c r="M13" s="76">
        <f>Таблица213399029467813161718[[#This Row],[113]]*Таблица213399029467813161718[[#This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Таблица213399029467813161718[[#This Row],[ ]]</f>
        <v>8</v>
      </c>
      <c r="G14" s="69"/>
      <c r="H14" s="78"/>
      <c r="I14" s="78"/>
      <c r="J14" s="78"/>
      <c r="K14" s="79"/>
      <c r="L14" s="76"/>
      <c r="M14" s="76">
        <f>Таблица213399029467813161718[[#This Row],[113]]*Таблица213399029467813161718[[#This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Таблица213399029467813161718[[#This Row],[ ]]</f>
        <v>9</v>
      </c>
      <c r="G15" s="69"/>
      <c r="H15" s="78"/>
      <c r="I15" s="78"/>
      <c r="J15" s="78"/>
      <c r="K15" s="79"/>
      <c r="L15" s="76"/>
      <c r="M15" s="76">
        <f>Таблица213399029467813161718[[#This Row],[113]]*Таблица213399029467813161718[[#This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Таблица213399029467813161718[[#This Row],[ ]]</f>
        <v>10</v>
      </c>
      <c r="G16" s="69"/>
      <c r="H16" s="78"/>
      <c r="I16" s="78"/>
      <c r="J16" s="78"/>
      <c r="K16" s="79"/>
      <c r="L16" s="76"/>
      <c r="M16" s="76">
        <f>Таблица213399029467813161718[[#This Row],[113]]*Таблица213399029467813161718[[#This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Таблица213399029467813161718[[#This Row],[ ]]</f>
        <v>11</v>
      </c>
      <c r="G17" s="69"/>
      <c r="H17" s="78"/>
      <c r="I17" s="78"/>
      <c r="J17" s="78"/>
      <c r="K17" s="79"/>
      <c r="L17" s="76"/>
      <c r="M17" s="76">
        <f>Таблица213399029467813161718[[#This Row],[113]]*Таблица213399029467813161718[[#This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Таблица213399029467813161718[[#This Row],[ ]]</f>
        <v>12</v>
      </c>
      <c r="G18" s="69"/>
      <c r="H18" s="78"/>
      <c r="I18" s="78"/>
      <c r="J18" s="78"/>
      <c r="K18" s="79"/>
      <c r="L18" s="76"/>
      <c r="M18" s="76">
        <f>Таблица213399029467813161718[[#This Row],[113]]*Таблица213399029467813161718[[#This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Таблица213399029467813161718[[#This Row],[ ]]</f>
        <v>13</v>
      </c>
      <c r="G19" s="69"/>
      <c r="H19" s="78"/>
      <c r="I19" s="78"/>
      <c r="J19" s="78"/>
      <c r="K19" s="79"/>
      <c r="L19" s="76"/>
      <c r="M19" s="76">
        <f>Таблица213399029467813161718[[#This Row],[113]]*Таблица213399029467813161718[[#This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Таблица213399029467813161718[[#This Row],[ ]]</f>
        <v>14</v>
      </c>
      <c r="G20" s="69"/>
      <c r="H20" s="78"/>
      <c r="I20" s="78"/>
      <c r="J20" s="78"/>
      <c r="K20" s="79"/>
      <c r="L20" s="76"/>
      <c r="M20" s="76">
        <f>Таблица213399029467813161718[[#This Row],[113]]*Таблица213399029467813161718[[#This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Таблица213399029467813161718[[#This Row],[ ]]</f>
        <v>15</v>
      </c>
      <c r="G21" s="69"/>
      <c r="H21" s="78"/>
      <c r="I21" s="78"/>
      <c r="J21" s="78"/>
      <c r="K21" s="79"/>
      <c r="L21" s="76"/>
      <c r="M21" s="76">
        <f>Таблица213399029467813161718[[#This Row],[113]]*Таблица213399029467813161718[[#This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Таблица213399029467813161718[[#This Row],[ ]]</f>
        <v>16</v>
      </c>
      <c r="G22" s="69"/>
      <c r="H22" s="78"/>
      <c r="I22" s="78"/>
      <c r="J22" s="78"/>
      <c r="K22" s="79"/>
      <c r="L22" s="76"/>
      <c r="M22" s="76">
        <f>Таблица213399029467813161718[[#This Row],[113]]*Таблица213399029467813161718[[#This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Таблица213399029467813161718[[#This Row],[ ]]</f>
        <v>17</v>
      </c>
      <c r="G23" s="69"/>
      <c r="H23" s="78"/>
      <c r="I23" s="78"/>
      <c r="J23" s="78"/>
      <c r="K23" s="79"/>
      <c r="L23" s="76"/>
      <c r="M23" s="76">
        <f>Таблица213399029467813161718[[#This Row],[113]]*Таблица213399029467813161718[[#This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Таблица213399029467813161718[[#This Row],[ ]]</f>
        <v>18</v>
      </c>
      <c r="G24" s="69"/>
      <c r="H24" s="78"/>
      <c r="I24" s="78"/>
      <c r="J24" s="78"/>
      <c r="K24" s="79"/>
      <c r="L24" s="76"/>
      <c r="M24" s="76">
        <f>Таблица213399029467813161718[[#This Row],[113]]*Таблица213399029467813161718[[#This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Таблица213399029467813161718[[#This Row],[ ]]</f>
        <v>19</v>
      </c>
      <c r="G25" s="69"/>
      <c r="H25" s="78"/>
      <c r="I25" s="78"/>
      <c r="J25" s="78"/>
      <c r="K25" s="79"/>
      <c r="L25" s="76"/>
      <c r="M25" s="76">
        <f>Таблица213399029467813161718[[#This Row],[113]]*Таблица213399029467813161718[[#This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Таблица213399029467813161718[[#This Row],[ ]]</f>
        <v>20</v>
      </c>
      <c r="G26" s="69"/>
      <c r="H26" s="78"/>
      <c r="I26" s="78"/>
      <c r="J26" s="78"/>
      <c r="K26" s="79"/>
      <c r="L26" s="76"/>
      <c r="M26" s="76">
        <f>Таблица213399029467813161718[[#This Row],[113]]*Таблица213399029467813161718[[#This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Таблица213399029467813161718[[#This Row],[ ]]</f>
        <v>21</v>
      </c>
      <c r="G27" s="69"/>
      <c r="H27" s="78"/>
      <c r="I27" s="78"/>
      <c r="J27" s="78"/>
      <c r="K27" s="79"/>
      <c r="L27" s="76"/>
      <c r="M27" s="76">
        <f>Таблица213399029467813161718[[#This Row],[113]]*Таблица213399029467813161718[[#This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Таблица213399029467813161718[[#This Row],[ ]]</f>
        <v>22</v>
      </c>
      <c r="G28" s="69"/>
      <c r="H28" s="78"/>
      <c r="I28" s="78"/>
      <c r="J28" s="78"/>
      <c r="K28" s="79"/>
      <c r="L28" s="76"/>
      <c r="M28" s="76">
        <f>Таблица213399029467813161718[[#This Row],[113]]*Таблица213399029467813161718[[#This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Таблица213399029467813161718[[#This Row],[ ]]</f>
        <v>23</v>
      </c>
      <c r="G29" s="69"/>
      <c r="H29" s="78"/>
      <c r="I29" s="78"/>
      <c r="J29" s="78"/>
      <c r="K29" s="79"/>
      <c r="L29" s="76"/>
      <c r="M29" s="76">
        <f>Таблица213399029467813161718[[#This Row],[113]]*Таблица213399029467813161718[[#This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Таблица213399029467813161718[[#This Row],[ ]]</f>
        <v>24</v>
      </c>
      <c r="G30" s="69"/>
      <c r="H30" s="78"/>
      <c r="I30" s="78"/>
      <c r="J30" s="78"/>
      <c r="K30" s="79"/>
      <c r="L30" s="76"/>
      <c r="M30" s="76">
        <f>Таблица213399029467813161718[[#This Row],[113]]*Таблица213399029467813161718[[#This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Таблица213399029467813161718[[#This Row],[ ]]</f>
        <v>25</v>
      </c>
      <c r="G31" s="69"/>
      <c r="H31" s="78"/>
      <c r="I31" s="78"/>
      <c r="J31" s="78"/>
      <c r="K31" s="79"/>
      <c r="L31" s="76"/>
      <c r="M31" s="76">
        <f>Таблица213399029467813161718[[#This Row],[113]]*Таблица213399029467813161718[[#This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Таблица213399029467813161718[[#This Row],[ ]]</f>
        <v>26</v>
      </c>
      <c r="G32" s="69"/>
      <c r="H32" s="78"/>
      <c r="I32" s="78"/>
      <c r="J32" s="78"/>
      <c r="K32" s="79"/>
      <c r="L32" s="76"/>
      <c r="M32" s="76">
        <f>Таблица213399029467813161718[[#This Row],[113]]*Таблица213399029467813161718[[#This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Таблица213399029467813161718[[#This Row],[ ]]</f>
        <v>27</v>
      </c>
      <c r="G33" s="69"/>
      <c r="H33" s="78"/>
      <c r="I33" s="78"/>
      <c r="J33" s="78"/>
      <c r="K33" s="79"/>
      <c r="L33" s="76"/>
      <c r="M33" s="76">
        <f>Таблица213399029467813161718[[#This Row],[113]]*Таблица213399029467813161718[[#This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Таблица213399029467813161718[[#This Row],[ ]]</f>
        <v>28</v>
      </c>
      <c r="G34" s="69"/>
      <c r="H34" s="78"/>
      <c r="I34" s="78"/>
      <c r="J34" s="78"/>
      <c r="K34" s="79"/>
      <c r="L34" s="76"/>
      <c r="M34" s="76">
        <f>Таблица213399029467813161718[[#This Row],[113]]*Таблица213399029467813161718[[#This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Таблица213399029467813161718[[#This Row],[ ]]</f>
        <v>29</v>
      </c>
      <c r="G35" s="69"/>
      <c r="H35" s="78"/>
      <c r="I35" s="78"/>
      <c r="J35" s="78"/>
      <c r="K35" s="79"/>
      <c r="L35" s="76"/>
      <c r="M35" s="76">
        <f>Таблица213399029467813161718[[#This Row],[113]]*Таблица213399029467813161718[[#This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Таблица213399029467813161718[[#This Row],[ ]]</f>
        <v>30</v>
      </c>
      <c r="G36" s="69"/>
      <c r="H36" s="78"/>
      <c r="I36" s="78"/>
      <c r="J36" s="78"/>
      <c r="K36" s="79"/>
      <c r="L36" s="76"/>
      <c r="M36" s="76">
        <f>Таблица213399029467813161718[[#This Row],[113]]*Таблица213399029467813161718[[#This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Таблица213399029467813161718[[#This Row],[ ]]</f>
        <v>31</v>
      </c>
      <c r="G37" s="69"/>
      <c r="H37" s="78"/>
      <c r="I37" s="78"/>
      <c r="J37" s="78"/>
      <c r="K37" s="79"/>
      <c r="L37" s="76"/>
      <c r="M37" s="76">
        <f>Таблица213399029467813161718[[#This Row],[113]]*Таблица213399029467813161718[[#This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Таблица213399029467813161718[[#This Row],[ ]]</f>
        <v>32</v>
      </c>
      <c r="G38" s="69"/>
      <c r="H38" s="78"/>
      <c r="I38" s="78"/>
      <c r="J38" s="78"/>
      <c r="K38" s="79"/>
      <c r="L38" s="76"/>
      <c r="M38" s="76">
        <f>Таблица213399029467813161718[[#This Row],[113]]*Таблица213399029467813161718[[#This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Таблица213399029467813161718[[#This Row],[ ]]</f>
        <v>33</v>
      </c>
      <c r="G39" s="69"/>
      <c r="H39" s="78"/>
      <c r="I39" s="78"/>
      <c r="J39" s="78"/>
      <c r="K39" s="79"/>
      <c r="L39" s="76"/>
      <c r="M39" s="76">
        <f>Таблица213399029467813161718[[#This Row],[113]]*Таблица213399029467813161718[[#This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Таблица213399029467813161718[[#This Row],[ ]]</f>
        <v>34</v>
      </c>
      <c r="G40" s="69"/>
      <c r="H40" s="78"/>
      <c r="I40" s="78"/>
      <c r="J40" s="78"/>
      <c r="K40" s="79"/>
      <c r="L40" s="76"/>
      <c r="M40" s="76">
        <f>Таблица213399029467813161718[[#This Row],[113]]*Таблица213399029467813161718[[#This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Таблица213399029467813161718[[#This Row],[ ]]</f>
        <v>35</v>
      </c>
      <c r="G41" s="69"/>
      <c r="H41" s="78"/>
      <c r="I41" s="78"/>
      <c r="J41" s="78"/>
      <c r="K41" s="79"/>
      <c r="L41" s="76"/>
      <c r="M41" s="76">
        <f>Таблица213399029467813161718[[#This Row],[113]]*Таблица213399029467813161718[[#This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Таблица213399029467813161718[[#This Row],[ ]]</f>
        <v>36</v>
      </c>
      <c r="G42" s="69"/>
      <c r="H42" s="78"/>
      <c r="I42" s="78"/>
      <c r="J42" s="78"/>
      <c r="K42" s="79"/>
      <c r="L42" s="76"/>
      <c r="M42" s="76">
        <f>Таблица213399029467813161718[[#This Row],[113]]*Таблица213399029467813161718[[#This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Таблица213399029467813161718[[#This Row],[ ]]</f>
        <v>37</v>
      </c>
      <c r="G43" s="69"/>
      <c r="H43" s="78"/>
      <c r="I43" s="78"/>
      <c r="J43" s="78"/>
      <c r="K43" s="79"/>
      <c r="L43" s="76"/>
      <c r="M43" s="76">
        <f>Таблица213399029467813161718[[#This Row],[113]]*Таблица213399029467813161718[[#This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Таблица213399029467813161718[[#This Row],[ ]]</f>
        <v>38</v>
      </c>
      <c r="G44" s="69"/>
      <c r="H44" s="78"/>
      <c r="I44" s="78"/>
      <c r="J44" s="78"/>
      <c r="K44" s="79"/>
      <c r="L44" s="76"/>
      <c r="M44" s="76">
        <f>Таблица213399029467813161718[[#This Row],[113]]*Таблица213399029467813161718[[#This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Таблица213399029467813161718[[#This Row],[ ]]</f>
        <v>39</v>
      </c>
      <c r="G45" s="69"/>
      <c r="H45" s="78"/>
      <c r="I45" s="78"/>
      <c r="J45" s="78"/>
      <c r="K45" s="79"/>
      <c r="L45" s="76"/>
      <c r="M45" s="76">
        <f>Таблица213399029467813161718[[#This Row],[113]]*Таблица213399029467813161718[[#This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Таблица213399029467813161718[[#This Row],[ ]]</f>
        <v>40</v>
      </c>
      <c r="G46" s="69"/>
      <c r="H46" s="78"/>
      <c r="I46" s="78"/>
      <c r="J46" s="78"/>
      <c r="K46" s="79"/>
      <c r="L46" s="76"/>
      <c r="M46" s="76">
        <f>Таблица213399029467813161718[[#This Row],[113]]*Таблица213399029467813161718[[#This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Таблица213399029467813161718[[#This Row],[ ]]</f>
        <v>41</v>
      </c>
      <c r="G47" s="69"/>
      <c r="H47" s="78"/>
      <c r="I47" s="78"/>
      <c r="J47" s="78"/>
      <c r="K47" s="79"/>
      <c r="L47" s="76"/>
      <c r="M47" s="76">
        <f>Таблица213399029467813161718[[#This Row],[113]]*Таблица213399029467813161718[[#This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Таблица213399029467813161718[[#This Row],[ ]]</f>
        <v>42</v>
      </c>
      <c r="G48" s="69"/>
      <c r="H48" s="78"/>
      <c r="I48" s="78"/>
      <c r="J48" s="78"/>
      <c r="K48" s="79"/>
      <c r="L48" s="76"/>
      <c r="M48" s="76">
        <f>Таблица213399029467813161718[[#This Row],[113]]*Таблица213399029467813161718[[#This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Таблица213399029467813161718[[#This Row],[ ]]</f>
        <v>43</v>
      </c>
      <c r="G49" s="69"/>
      <c r="H49" s="78"/>
      <c r="I49" s="78"/>
      <c r="J49" s="78"/>
      <c r="K49" s="79"/>
      <c r="L49" s="76"/>
      <c r="M49" s="76">
        <f>Таблица213399029467813161718[[#This Row],[113]]*Таблица213399029467813161718[[#This Row],[15]]</f>
        <v>0</v>
      </c>
    </row>
    <row r="50" spans="1:13" x14ac:dyDescent="0.2">
      <c r="A50" s="82"/>
      <c r="B50" s="45"/>
      <c r="C50" s="76">
        <f>SUBTOTAL(109,Таблица213399029467813161718[2])</f>
        <v>45964800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SUBTOTAL(109,Таблица213399029467813161718[1132])</f>
        <v>38</v>
      </c>
      <c r="L50" s="88"/>
      <c r="M50" s="88">
        <f>SUBTOTAL(109,Таблица213399029467813161718[16])</f>
        <v>45964800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Y4" display="4-Рустам Шпик" xr:uid="{928D79A7-DC70-4380-8623-7C13EF5EF1D8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E36F-E792-40CB-9AC9-FF2FA0B8F3F7}">
  <dimension ref="A1:N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4" width="10.140625" style="1" bestFit="1" customWidth="1"/>
    <col min="15" max="16" width="9.140625" style="1"/>
    <col min="17" max="17" width="11.140625" style="1" bestFit="1" customWidth="1"/>
    <col min="18" max="16384" width="9.140625" style="1"/>
  </cols>
  <sheetData>
    <row r="1" spans="1:14" ht="18" customHeight="1" x14ac:dyDescent="0.3">
      <c r="A1" s="90"/>
      <c r="B1" s="91"/>
      <c r="C1" s="92" t="s">
        <v>26</v>
      </c>
      <c r="D1" s="111" t="s">
        <v>239</v>
      </c>
      <c r="E1" s="105"/>
      <c r="H1" s="1" t="s">
        <v>177</v>
      </c>
      <c r="I1" s="49">
        <f>C8+C9</f>
        <v>4700000</v>
      </c>
      <c r="J1" s="18" t="s">
        <v>176</v>
      </c>
    </row>
    <row r="2" spans="1:14" ht="20.25" x14ac:dyDescent="0.2">
      <c r="A2" s="226" t="s">
        <v>25</v>
      </c>
      <c r="B2" s="226"/>
      <c r="C2" s="227"/>
      <c r="D2" s="227"/>
      <c r="E2" s="163"/>
      <c r="F2" s="237">
        <f>Таблица2133990294678131617[[#Totals],[2]]+-Таблица2133990294678131617[[#Totals],[16]]</f>
        <v>3735200</v>
      </c>
      <c r="G2" s="238"/>
    </row>
    <row r="3" spans="1:14" ht="15" customHeight="1" x14ac:dyDescent="0.2">
      <c r="A3" s="228" t="s">
        <v>27</v>
      </c>
      <c r="B3" s="228" t="s">
        <v>9</v>
      </c>
      <c r="C3" s="164" t="s">
        <v>19</v>
      </c>
      <c r="D3" s="164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4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4" ht="15.75" x14ac:dyDescent="0.2">
      <c r="A5" s="228"/>
      <c r="B5" s="228"/>
      <c r="C5" s="95">
        <f>Таблица2133990294678131617[[#Totals],[2]]</f>
        <v>49700000</v>
      </c>
      <c r="D5" s="64"/>
      <c r="E5" s="106">
        <f>SUM(Таблица2133990294678131617[4])</f>
        <v>0</v>
      </c>
      <c r="F5" s="233"/>
      <c r="G5" s="233"/>
      <c r="H5" s="233"/>
      <c r="I5" s="224"/>
      <c r="J5" s="154">
        <f>SUM(Таблица2133990294678131617[113])</f>
        <v>65.664000000000001</v>
      </c>
      <c r="K5" s="65">
        <f>Таблица2133990294678131617[[#Totals],[1132]]</f>
        <v>38</v>
      </c>
      <c r="L5" s="233"/>
      <c r="M5" s="165">
        <f>Таблица2133990294678131617[[#Totals],[16]]</f>
        <v>45964800</v>
      </c>
    </row>
    <row r="6" spans="1:14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  <c r="N6" s="187" t="s">
        <v>243</v>
      </c>
    </row>
    <row r="7" spans="1:14" ht="15" x14ac:dyDescent="0.2">
      <c r="A7" s="68">
        <v>1</v>
      </c>
      <c r="B7" s="69">
        <v>46212</v>
      </c>
      <c r="C7" s="70">
        <v>45000000</v>
      </c>
      <c r="D7" s="18" t="s">
        <v>235</v>
      </c>
      <c r="E7" s="76"/>
      <c r="F7" s="71">
        <f>Таблица2133990294678131617[[#This Row],[ ]]</f>
        <v>1</v>
      </c>
      <c r="G7" s="18">
        <v>46214</v>
      </c>
      <c r="H7" s="72" t="s">
        <v>249</v>
      </c>
      <c r="I7" s="73" t="s">
        <v>71</v>
      </c>
      <c r="J7" s="74">
        <v>32.832000000000001</v>
      </c>
      <c r="K7" s="75">
        <v>19</v>
      </c>
      <c r="L7" s="71">
        <v>700000</v>
      </c>
      <c r="M7" s="76">
        <f>Таблица2133990294678131617[[#This Row],[113]]*Таблица2133990294678131617[[#This Row],[15]]</f>
        <v>22982400</v>
      </c>
      <c r="N7" s="185">
        <v>2500000</v>
      </c>
    </row>
    <row r="8" spans="1:14" x14ac:dyDescent="0.2">
      <c r="A8" s="68">
        <v>2</v>
      </c>
      <c r="B8" s="69">
        <v>46214</v>
      </c>
      <c r="C8" s="76">
        <v>2500000</v>
      </c>
      <c r="D8" s="18" t="s">
        <v>238</v>
      </c>
      <c r="E8" s="76"/>
      <c r="F8" s="71">
        <f>Таблица2133990294678131617[[#This Row],[ ]]</f>
        <v>2</v>
      </c>
      <c r="G8" s="69">
        <v>46210</v>
      </c>
      <c r="H8" s="78" t="s">
        <v>206</v>
      </c>
      <c r="I8" s="78" t="s">
        <v>83</v>
      </c>
      <c r="J8" s="78">
        <v>32.832000000000001</v>
      </c>
      <c r="K8" s="76">
        <v>19</v>
      </c>
      <c r="L8" s="79">
        <v>700000</v>
      </c>
      <c r="M8" s="76">
        <f>Таблица2133990294678131617[[#This Row],[113]]*Таблица2133990294678131617[[#This Row],[15]]</f>
        <v>22982400</v>
      </c>
      <c r="N8" s="184">
        <v>2200000</v>
      </c>
    </row>
    <row r="9" spans="1:14" x14ac:dyDescent="0.2">
      <c r="A9" s="68">
        <v>3</v>
      </c>
      <c r="B9" s="77">
        <v>46210</v>
      </c>
      <c r="C9" s="76">
        <v>2200000</v>
      </c>
      <c r="D9" s="18" t="s">
        <v>238</v>
      </c>
      <c r="E9" s="76"/>
      <c r="F9" s="71">
        <f>Таблица2133990294678131617[[#This Row],[ ]]</f>
        <v>3</v>
      </c>
      <c r="G9" s="69"/>
      <c r="H9" s="78"/>
      <c r="I9" s="78"/>
      <c r="J9" s="78"/>
      <c r="K9" s="76"/>
      <c r="L9" s="79"/>
      <c r="M9" s="76">
        <f>Таблица2133990294678131617[[#This Row],[113]]*Таблица2133990294678131617[[#This Row],[15]]</f>
        <v>0</v>
      </c>
      <c r="N9" s="184"/>
    </row>
    <row r="10" spans="1:14" x14ac:dyDescent="0.2">
      <c r="A10" s="68">
        <v>4</v>
      </c>
      <c r="B10" s="77"/>
      <c r="C10" s="76"/>
      <c r="D10" s="18"/>
      <c r="E10" s="76"/>
      <c r="F10" s="71">
        <f>Таблица2133990294678131617[[#This Row],[ ]]</f>
        <v>4</v>
      </c>
      <c r="G10" s="69"/>
      <c r="H10" s="78"/>
      <c r="I10" s="78"/>
      <c r="J10" s="78"/>
      <c r="K10" s="76"/>
      <c r="L10" s="79"/>
      <c r="M10" s="76">
        <f>Таблица2133990294678131617[[#This Row],[113]]*Таблица2133990294678131617[[#This Row],[15]]</f>
        <v>0</v>
      </c>
      <c r="N10" s="184"/>
    </row>
    <row r="11" spans="1:14" x14ac:dyDescent="0.2">
      <c r="A11" s="68">
        <v>5</v>
      </c>
      <c r="B11" s="77"/>
      <c r="C11" s="76"/>
      <c r="D11" s="18"/>
      <c r="E11" s="76"/>
      <c r="F11" s="71">
        <f>Таблица2133990294678131617[[#This Row],[ ]]</f>
        <v>5</v>
      </c>
      <c r="G11" s="69"/>
      <c r="H11" s="78"/>
      <c r="I11" s="78"/>
      <c r="J11" s="78"/>
      <c r="K11" s="76"/>
      <c r="L11" s="79"/>
      <c r="M11" s="76">
        <f>Таблица2133990294678131617[[#This Row],[113]]*Таблица2133990294678131617[[#This Row],[15]]</f>
        <v>0</v>
      </c>
      <c r="N11" s="184"/>
    </row>
    <row r="12" spans="1:14" x14ac:dyDescent="0.2">
      <c r="A12" s="68">
        <v>6</v>
      </c>
      <c r="B12" s="77"/>
      <c r="C12" s="76"/>
      <c r="D12" s="18"/>
      <c r="E12" s="76"/>
      <c r="F12" s="71">
        <f>Таблица2133990294678131617[[#This Row],[ ]]</f>
        <v>6</v>
      </c>
      <c r="G12" s="69"/>
      <c r="H12" s="78"/>
      <c r="I12" s="78"/>
      <c r="J12" s="78"/>
      <c r="K12" s="76"/>
      <c r="L12" s="79"/>
      <c r="M12" s="76">
        <f>Таблица2133990294678131617[[#This Row],[113]]*Таблица2133990294678131617[[#This Row],[15]]</f>
        <v>0</v>
      </c>
      <c r="N12" s="184"/>
    </row>
    <row r="13" spans="1:14" x14ac:dyDescent="0.2">
      <c r="A13" s="68">
        <v>7</v>
      </c>
      <c r="B13" s="77"/>
      <c r="C13" s="76"/>
      <c r="D13" s="18"/>
      <c r="E13" s="76"/>
      <c r="F13" s="71">
        <f>Таблица2133990294678131617[[#This Row],[ ]]</f>
        <v>7</v>
      </c>
      <c r="G13" s="69"/>
      <c r="H13" s="78"/>
      <c r="I13" s="78"/>
      <c r="J13" s="78"/>
      <c r="K13" s="79"/>
      <c r="L13" s="76"/>
      <c r="M13" s="76">
        <f>Таблица2133990294678131617[[#This Row],[113]]*Таблица2133990294678131617[[#This Row],[15]]</f>
        <v>0</v>
      </c>
      <c r="N13" s="184"/>
    </row>
    <row r="14" spans="1:14" x14ac:dyDescent="0.2">
      <c r="A14" s="68">
        <v>8</v>
      </c>
      <c r="B14" s="77"/>
      <c r="C14" s="76"/>
      <c r="D14" s="18"/>
      <c r="E14" s="76"/>
      <c r="F14" s="71">
        <f>Таблица2133990294678131617[[#This Row],[ ]]</f>
        <v>8</v>
      </c>
      <c r="G14" s="69"/>
      <c r="H14" s="78"/>
      <c r="I14" s="78"/>
      <c r="J14" s="78"/>
      <c r="K14" s="79"/>
      <c r="L14" s="76"/>
      <c r="M14" s="76">
        <f>Таблица2133990294678131617[[#This Row],[113]]*Таблица2133990294678131617[[#This Row],[15]]</f>
        <v>0</v>
      </c>
      <c r="N14" s="184"/>
    </row>
    <row r="15" spans="1:14" x14ac:dyDescent="0.2">
      <c r="A15" s="68">
        <v>9</v>
      </c>
      <c r="B15" s="77"/>
      <c r="C15" s="76"/>
      <c r="D15" s="18"/>
      <c r="E15" s="76"/>
      <c r="F15" s="71">
        <f>Таблица2133990294678131617[[#This Row],[ ]]</f>
        <v>9</v>
      </c>
      <c r="G15" s="69"/>
      <c r="H15" s="78"/>
      <c r="I15" s="78"/>
      <c r="J15" s="78"/>
      <c r="K15" s="79"/>
      <c r="L15" s="76"/>
      <c r="M15" s="76">
        <f>Таблица2133990294678131617[[#This Row],[113]]*Таблица2133990294678131617[[#This Row],[15]]</f>
        <v>0</v>
      </c>
      <c r="N15" s="184"/>
    </row>
    <row r="16" spans="1:14" x14ac:dyDescent="0.2">
      <c r="A16" s="68">
        <v>10</v>
      </c>
      <c r="B16" s="77"/>
      <c r="C16" s="76"/>
      <c r="D16" s="18"/>
      <c r="E16" s="76"/>
      <c r="F16" s="71">
        <f>Таблица2133990294678131617[[#This Row],[ ]]</f>
        <v>10</v>
      </c>
      <c r="G16" s="69"/>
      <c r="H16" s="78"/>
      <c r="I16" s="78"/>
      <c r="J16" s="78"/>
      <c r="K16" s="79"/>
      <c r="L16" s="76"/>
      <c r="M16" s="76">
        <f>Таблица2133990294678131617[[#This Row],[113]]*Таблица2133990294678131617[[#This Row],[15]]</f>
        <v>0</v>
      </c>
      <c r="N16" s="184"/>
    </row>
    <row r="17" spans="1:14" x14ac:dyDescent="0.2">
      <c r="A17" s="68">
        <v>11</v>
      </c>
      <c r="B17" s="77"/>
      <c r="C17" s="76"/>
      <c r="D17" s="18"/>
      <c r="E17" s="76"/>
      <c r="F17" s="71">
        <f>Таблица2133990294678131617[[#This Row],[ ]]</f>
        <v>11</v>
      </c>
      <c r="G17" s="69"/>
      <c r="H17" s="78"/>
      <c r="I17" s="78"/>
      <c r="J17" s="78"/>
      <c r="K17" s="79"/>
      <c r="L17" s="76"/>
      <c r="M17" s="76">
        <f>Таблица2133990294678131617[[#This Row],[113]]*Таблица2133990294678131617[[#This Row],[15]]</f>
        <v>0</v>
      </c>
      <c r="N17" s="184"/>
    </row>
    <row r="18" spans="1:14" x14ac:dyDescent="0.2">
      <c r="A18" s="68">
        <v>12</v>
      </c>
      <c r="B18" s="77"/>
      <c r="C18" s="76"/>
      <c r="D18" s="18"/>
      <c r="E18" s="76"/>
      <c r="F18" s="71">
        <f>Таблица2133990294678131617[[#This Row],[ ]]</f>
        <v>12</v>
      </c>
      <c r="G18" s="69"/>
      <c r="H18" s="78"/>
      <c r="I18" s="78"/>
      <c r="J18" s="78"/>
      <c r="K18" s="79"/>
      <c r="L18" s="76"/>
      <c r="M18" s="76">
        <f>Таблица2133990294678131617[[#This Row],[113]]*Таблица2133990294678131617[[#This Row],[15]]</f>
        <v>0</v>
      </c>
      <c r="N18" s="184"/>
    </row>
    <row r="19" spans="1:14" x14ac:dyDescent="0.2">
      <c r="A19" s="68">
        <v>13</v>
      </c>
      <c r="B19" s="77"/>
      <c r="C19" s="76"/>
      <c r="D19" s="18"/>
      <c r="E19" s="76"/>
      <c r="F19" s="71">
        <f>Таблица2133990294678131617[[#This Row],[ ]]</f>
        <v>13</v>
      </c>
      <c r="G19" s="69"/>
      <c r="H19" s="78"/>
      <c r="I19" s="78"/>
      <c r="J19" s="78"/>
      <c r="K19" s="79"/>
      <c r="L19" s="76"/>
      <c r="M19" s="76">
        <f>Таблица2133990294678131617[[#This Row],[113]]*Таблица2133990294678131617[[#This Row],[15]]</f>
        <v>0</v>
      </c>
      <c r="N19" s="184"/>
    </row>
    <row r="20" spans="1:14" x14ac:dyDescent="0.2">
      <c r="A20" s="68">
        <v>14</v>
      </c>
      <c r="B20" s="77"/>
      <c r="C20" s="76"/>
      <c r="D20" s="18"/>
      <c r="E20" s="76"/>
      <c r="F20" s="71">
        <f>Таблица2133990294678131617[[#This Row],[ ]]</f>
        <v>14</v>
      </c>
      <c r="G20" s="69"/>
      <c r="H20" s="78"/>
      <c r="I20" s="78"/>
      <c r="J20" s="78"/>
      <c r="K20" s="79"/>
      <c r="L20" s="76"/>
      <c r="M20" s="76">
        <f>Таблица2133990294678131617[[#This Row],[113]]*Таблица2133990294678131617[[#This Row],[15]]</f>
        <v>0</v>
      </c>
      <c r="N20" s="184"/>
    </row>
    <row r="21" spans="1:14" x14ac:dyDescent="0.2">
      <c r="A21" s="68">
        <v>15</v>
      </c>
      <c r="B21" s="77"/>
      <c r="C21" s="76"/>
      <c r="D21" s="18"/>
      <c r="E21" s="76"/>
      <c r="F21" s="71">
        <f>Таблица2133990294678131617[[#This Row],[ ]]</f>
        <v>15</v>
      </c>
      <c r="G21" s="69"/>
      <c r="H21" s="78"/>
      <c r="I21" s="78"/>
      <c r="J21" s="78"/>
      <c r="K21" s="79"/>
      <c r="L21" s="76"/>
      <c r="M21" s="76">
        <f>Таблица2133990294678131617[[#This Row],[113]]*Таблица2133990294678131617[[#This Row],[15]]</f>
        <v>0</v>
      </c>
      <c r="N21" s="184"/>
    </row>
    <row r="22" spans="1:14" x14ac:dyDescent="0.2">
      <c r="A22" s="68">
        <v>16</v>
      </c>
      <c r="B22" s="77"/>
      <c r="C22" s="76"/>
      <c r="D22" s="18"/>
      <c r="E22" s="76"/>
      <c r="F22" s="71">
        <f>Таблица2133990294678131617[[#This Row],[ ]]</f>
        <v>16</v>
      </c>
      <c r="G22" s="69"/>
      <c r="H22" s="78"/>
      <c r="I22" s="78"/>
      <c r="J22" s="78"/>
      <c r="K22" s="79"/>
      <c r="L22" s="76"/>
      <c r="M22" s="76">
        <f>Таблица2133990294678131617[[#This Row],[113]]*Таблица2133990294678131617[[#This Row],[15]]</f>
        <v>0</v>
      </c>
      <c r="N22" s="184"/>
    </row>
    <row r="23" spans="1:14" x14ac:dyDescent="0.2">
      <c r="A23" s="68">
        <v>17</v>
      </c>
      <c r="B23" s="77"/>
      <c r="C23" s="76"/>
      <c r="D23" s="18"/>
      <c r="E23" s="76"/>
      <c r="F23" s="71">
        <f>Таблица2133990294678131617[[#This Row],[ ]]</f>
        <v>17</v>
      </c>
      <c r="G23" s="69"/>
      <c r="H23" s="78"/>
      <c r="I23" s="78"/>
      <c r="J23" s="78"/>
      <c r="K23" s="79"/>
      <c r="L23" s="76"/>
      <c r="M23" s="76">
        <f>Таблица2133990294678131617[[#This Row],[113]]*Таблица2133990294678131617[[#This Row],[15]]</f>
        <v>0</v>
      </c>
      <c r="N23" s="184"/>
    </row>
    <row r="24" spans="1:14" x14ac:dyDescent="0.2">
      <c r="A24" s="68">
        <v>18</v>
      </c>
      <c r="B24" s="77"/>
      <c r="C24" s="76"/>
      <c r="D24" s="18"/>
      <c r="E24" s="76"/>
      <c r="F24" s="71">
        <f>Таблица2133990294678131617[[#This Row],[ ]]</f>
        <v>18</v>
      </c>
      <c r="G24" s="69"/>
      <c r="H24" s="78"/>
      <c r="I24" s="78"/>
      <c r="J24" s="78"/>
      <c r="K24" s="79"/>
      <c r="L24" s="76"/>
      <c r="M24" s="76">
        <f>Таблица2133990294678131617[[#This Row],[113]]*Таблица2133990294678131617[[#This Row],[15]]</f>
        <v>0</v>
      </c>
      <c r="N24" s="184"/>
    </row>
    <row r="25" spans="1:14" x14ac:dyDescent="0.2">
      <c r="A25" s="68">
        <v>19</v>
      </c>
      <c r="B25" s="77"/>
      <c r="C25" s="76"/>
      <c r="D25" s="18"/>
      <c r="E25" s="76"/>
      <c r="F25" s="71">
        <f>Таблица2133990294678131617[[#This Row],[ ]]</f>
        <v>19</v>
      </c>
      <c r="G25" s="69"/>
      <c r="H25" s="78"/>
      <c r="I25" s="78"/>
      <c r="J25" s="78"/>
      <c r="K25" s="79"/>
      <c r="L25" s="76"/>
      <c r="M25" s="76">
        <f>Таблица2133990294678131617[[#This Row],[113]]*Таблица2133990294678131617[[#This Row],[15]]</f>
        <v>0</v>
      </c>
      <c r="N25" s="184"/>
    </row>
    <row r="26" spans="1:14" x14ac:dyDescent="0.2">
      <c r="A26" s="68">
        <v>20</v>
      </c>
      <c r="B26" s="77"/>
      <c r="C26" s="76"/>
      <c r="D26" s="18"/>
      <c r="E26" s="76"/>
      <c r="F26" s="71">
        <f>Таблица2133990294678131617[[#This Row],[ ]]</f>
        <v>20</v>
      </c>
      <c r="G26" s="69"/>
      <c r="H26" s="78"/>
      <c r="I26" s="78"/>
      <c r="J26" s="78"/>
      <c r="K26" s="79"/>
      <c r="L26" s="76"/>
      <c r="M26" s="76">
        <f>Таблица2133990294678131617[[#This Row],[113]]*Таблица2133990294678131617[[#This Row],[15]]</f>
        <v>0</v>
      </c>
      <c r="N26" s="184"/>
    </row>
    <row r="27" spans="1:14" x14ac:dyDescent="0.2">
      <c r="A27" s="68">
        <v>21</v>
      </c>
      <c r="B27" s="77"/>
      <c r="C27" s="76"/>
      <c r="D27" s="18"/>
      <c r="E27" s="76"/>
      <c r="F27" s="71">
        <f>Таблица2133990294678131617[[#This Row],[ ]]</f>
        <v>21</v>
      </c>
      <c r="G27" s="69"/>
      <c r="H27" s="78"/>
      <c r="I27" s="78"/>
      <c r="J27" s="78"/>
      <c r="K27" s="79"/>
      <c r="L27" s="76"/>
      <c r="M27" s="76">
        <f>Таблица2133990294678131617[[#This Row],[113]]*Таблица2133990294678131617[[#This Row],[15]]</f>
        <v>0</v>
      </c>
      <c r="N27" s="184"/>
    </row>
    <row r="28" spans="1:14" x14ac:dyDescent="0.2">
      <c r="A28" s="68">
        <v>22</v>
      </c>
      <c r="B28" s="77"/>
      <c r="C28" s="76"/>
      <c r="D28" s="18"/>
      <c r="E28" s="76"/>
      <c r="F28" s="71">
        <f>Таблица2133990294678131617[[#This Row],[ ]]</f>
        <v>22</v>
      </c>
      <c r="G28" s="69"/>
      <c r="H28" s="78"/>
      <c r="I28" s="78"/>
      <c r="J28" s="78"/>
      <c r="K28" s="79"/>
      <c r="L28" s="76"/>
      <c r="M28" s="76">
        <f>Таблица2133990294678131617[[#This Row],[113]]*Таблица2133990294678131617[[#This Row],[15]]</f>
        <v>0</v>
      </c>
      <c r="N28" s="184"/>
    </row>
    <row r="29" spans="1:14" x14ac:dyDescent="0.2">
      <c r="A29" s="68">
        <v>23</v>
      </c>
      <c r="B29" s="77"/>
      <c r="C29" s="76"/>
      <c r="D29" s="18"/>
      <c r="E29" s="76"/>
      <c r="F29" s="71">
        <f>Таблица2133990294678131617[[#This Row],[ ]]</f>
        <v>23</v>
      </c>
      <c r="G29" s="69"/>
      <c r="H29" s="78"/>
      <c r="I29" s="78"/>
      <c r="J29" s="78"/>
      <c r="K29" s="79"/>
      <c r="L29" s="76"/>
      <c r="M29" s="76">
        <f>Таблица2133990294678131617[[#This Row],[113]]*Таблица2133990294678131617[[#This Row],[15]]</f>
        <v>0</v>
      </c>
      <c r="N29" s="184"/>
    </row>
    <row r="30" spans="1:14" x14ac:dyDescent="0.2">
      <c r="A30" s="68">
        <v>24</v>
      </c>
      <c r="B30" s="77"/>
      <c r="C30" s="76"/>
      <c r="D30" s="18"/>
      <c r="E30" s="76"/>
      <c r="F30" s="71">
        <f>Таблица2133990294678131617[[#This Row],[ ]]</f>
        <v>24</v>
      </c>
      <c r="G30" s="69"/>
      <c r="H30" s="78"/>
      <c r="I30" s="78"/>
      <c r="J30" s="78"/>
      <c r="K30" s="79"/>
      <c r="L30" s="76"/>
      <c r="M30" s="76">
        <f>Таблица2133990294678131617[[#This Row],[113]]*Таблица2133990294678131617[[#This Row],[15]]</f>
        <v>0</v>
      </c>
      <c r="N30" s="184"/>
    </row>
    <row r="31" spans="1:14" x14ac:dyDescent="0.2">
      <c r="A31" s="68">
        <v>25</v>
      </c>
      <c r="B31" s="77"/>
      <c r="C31" s="76"/>
      <c r="D31" s="97"/>
      <c r="E31" s="80"/>
      <c r="F31" s="71">
        <f>Таблица2133990294678131617[[#This Row],[ ]]</f>
        <v>25</v>
      </c>
      <c r="G31" s="69"/>
      <c r="H31" s="78"/>
      <c r="I31" s="78"/>
      <c r="J31" s="78"/>
      <c r="K31" s="79"/>
      <c r="L31" s="76"/>
      <c r="M31" s="76">
        <f>Таблица2133990294678131617[[#This Row],[113]]*Таблица2133990294678131617[[#This Row],[15]]</f>
        <v>0</v>
      </c>
      <c r="N31" s="184"/>
    </row>
    <row r="32" spans="1:14" x14ac:dyDescent="0.2">
      <c r="A32" s="68">
        <v>26</v>
      </c>
      <c r="B32" s="77"/>
      <c r="C32" s="76"/>
      <c r="D32" s="76"/>
      <c r="E32" s="80"/>
      <c r="F32" s="71">
        <f>Таблица2133990294678131617[[#This Row],[ ]]</f>
        <v>26</v>
      </c>
      <c r="G32" s="69"/>
      <c r="H32" s="78"/>
      <c r="I32" s="78"/>
      <c r="J32" s="78"/>
      <c r="K32" s="79"/>
      <c r="L32" s="76"/>
      <c r="M32" s="76">
        <f>Таблица2133990294678131617[[#This Row],[113]]*Таблица2133990294678131617[[#This Row],[15]]</f>
        <v>0</v>
      </c>
      <c r="N32" s="184"/>
    </row>
    <row r="33" spans="1:14" x14ac:dyDescent="0.2">
      <c r="A33" s="68">
        <v>27</v>
      </c>
      <c r="B33" s="77"/>
      <c r="C33" s="76"/>
      <c r="D33" s="76"/>
      <c r="E33" s="80"/>
      <c r="F33" s="71">
        <f>Таблица2133990294678131617[[#This Row],[ ]]</f>
        <v>27</v>
      </c>
      <c r="G33" s="69"/>
      <c r="H33" s="78"/>
      <c r="I33" s="78"/>
      <c r="J33" s="78"/>
      <c r="K33" s="79"/>
      <c r="L33" s="76"/>
      <c r="M33" s="76">
        <f>Таблица2133990294678131617[[#This Row],[113]]*Таблица2133990294678131617[[#This Row],[15]]</f>
        <v>0</v>
      </c>
      <c r="N33" s="184"/>
    </row>
    <row r="34" spans="1:14" x14ac:dyDescent="0.2">
      <c r="A34" s="68">
        <v>28</v>
      </c>
      <c r="B34" s="77"/>
      <c r="C34" s="76"/>
      <c r="D34" s="76"/>
      <c r="E34" s="80"/>
      <c r="F34" s="71">
        <f>Таблица2133990294678131617[[#This Row],[ ]]</f>
        <v>28</v>
      </c>
      <c r="G34" s="69"/>
      <c r="H34" s="78"/>
      <c r="I34" s="78"/>
      <c r="J34" s="78"/>
      <c r="K34" s="79"/>
      <c r="L34" s="76"/>
      <c r="M34" s="76">
        <f>Таблица2133990294678131617[[#This Row],[113]]*Таблица2133990294678131617[[#This Row],[15]]</f>
        <v>0</v>
      </c>
      <c r="N34" s="184"/>
    </row>
    <row r="35" spans="1:14" x14ac:dyDescent="0.2">
      <c r="A35" s="68">
        <v>29</v>
      </c>
      <c r="B35" s="77"/>
      <c r="C35" s="76"/>
      <c r="D35" s="76"/>
      <c r="E35" s="80"/>
      <c r="F35" s="71">
        <f>Таблица2133990294678131617[[#This Row],[ ]]</f>
        <v>29</v>
      </c>
      <c r="G35" s="69"/>
      <c r="H35" s="78"/>
      <c r="I35" s="78"/>
      <c r="J35" s="78"/>
      <c r="K35" s="79"/>
      <c r="L35" s="76"/>
      <c r="M35" s="76">
        <f>Таблица2133990294678131617[[#This Row],[113]]*Таблица2133990294678131617[[#This Row],[15]]</f>
        <v>0</v>
      </c>
      <c r="N35" s="184"/>
    </row>
    <row r="36" spans="1:14" x14ac:dyDescent="0.2">
      <c r="A36" s="68">
        <v>30</v>
      </c>
      <c r="B36" s="77"/>
      <c r="C36" s="76"/>
      <c r="D36" s="76"/>
      <c r="E36" s="80"/>
      <c r="F36" s="71">
        <f>Таблица2133990294678131617[[#This Row],[ ]]</f>
        <v>30</v>
      </c>
      <c r="G36" s="69"/>
      <c r="H36" s="78"/>
      <c r="I36" s="78"/>
      <c r="J36" s="78"/>
      <c r="K36" s="79"/>
      <c r="L36" s="76"/>
      <c r="M36" s="76">
        <f>Таблица2133990294678131617[[#This Row],[113]]*Таблица2133990294678131617[[#This Row],[15]]</f>
        <v>0</v>
      </c>
      <c r="N36" s="184"/>
    </row>
    <row r="37" spans="1:14" x14ac:dyDescent="0.2">
      <c r="A37" s="68">
        <v>31</v>
      </c>
      <c r="B37" s="77"/>
      <c r="C37" s="76"/>
      <c r="D37" s="76"/>
      <c r="E37" s="80"/>
      <c r="F37" s="71">
        <f>Таблица2133990294678131617[[#This Row],[ ]]</f>
        <v>31</v>
      </c>
      <c r="G37" s="69"/>
      <c r="H37" s="78"/>
      <c r="I37" s="78"/>
      <c r="J37" s="78"/>
      <c r="K37" s="79"/>
      <c r="L37" s="76"/>
      <c r="M37" s="76">
        <f>Таблица2133990294678131617[[#This Row],[113]]*Таблица2133990294678131617[[#This Row],[15]]</f>
        <v>0</v>
      </c>
      <c r="N37" s="184"/>
    </row>
    <row r="38" spans="1:14" x14ac:dyDescent="0.2">
      <c r="A38" s="68">
        <v>32</v>
      </c>
      <c r="B38" s="77"/>
      <c r="C38" s="76"/>
      <c r="D38" s="76"/>
      <c r="E38" s="80"/>
      <c r="F38" s="71">
        <f>Таблица2133990294678131617[[#This Row],[ ]]</f>
        <v>32</v>
      </c>
      <c r="G38" s="69"/>
      <c r="H38" s="78"/>
      <c r="I38" s="78"/>
      <c r="J38" s="78"/>
      <c r="K38" s="79"/>
      <c r="L38" s="76"/>
      <c r="M38" s="76">
        <f>Таблица2133990294678131617[[#This Row],[113]]*Таблица2133990294678131617[[#This Row],[15]]</f>
        <v>0</v>
      </c>
      <c r="N38" s="184"/>
    </row>
    <row r="39" spans="1:14" x14ac:dyDescent="0.2">
      <c r="A39" s="68">
        <v>33</v>
      </c>
      <c r="B39" s="77"/>
      <c r="C39" s="76"/>
      <c r="D39" s="18"/>
      <c r="E39" s="76"/>
      <c r="F39" s="71">
        <f>Таблица2133990294678131617[[#This Row],[ ]]</f>
        <v>33</v>
      </c>
      <c r="G39" s="69"/>
      <c r="H39" s="78"/>
      <c r="I39" s="78"/>
      <c r="J39" s="78"/>
      <c r="K39" s="79"/>
      <c r="L39" s="76"/>
      <c r="M39" s="76">
        <f>Таблица2133990294678131617[[#This Row],[113]]*Таблица2133990294678131617[[#This Row],[15]]</f>
        <v>0</v>
      </c>
      <c r="N39" s="184"/>
    </row>
    <row r="40" spans="1:14" x14ac:dyDescent="0.2">
      <c r="A40" s="68">
        <v>34</v>
      </c>
      <c r="B40" s="77"/>
      <c r="C40" s="76"/>
      <c r="D40" s="76"/>
      <c r="E40" s="80"/>
      <c r="F40" s="71">
        <f>Таблица2133990294678131617[[#This Row],[ ]]</f>
        <v>34</v>
      </c>
      <c r="G40" s="69"/>
      <c r="H40" s="78"/>
      <c r="I40" s="78"/>
      <c r="J40" s="78"/>
      <c r="K40" s="79"/>
      <c r="L40" s="76"/>
      <c r="M40" s="76">
        <f>Таблица2133990294678131617[[#This Row],[113]]*Таблица2133990294678131617[[#This Row],[15]]</f>
        <v>0</v>
      </c>
      <c r="N40" s="184"/>
    </row>
    <row r="41" spans="1:14" x14ac:dyDescent="0.2">
      <c r="A41" s="68">
        <v>35</v>
      </c>
      <c r="B41" s="77"/>
      <c r="C41" s="76"/>
      <c r="D41" s="76"/>
      <c r="E41" s="80"/>
      <c r="F41" s="71">
        <f>Таблица2133990294678131617[[#This Row],[ ]]</f>
        <v>35</v>
      </c>
      <c r="G41" s="69"/>
      <c r="H41" s="78"/>
      <c r="I41" s="78"/>
      <c r="J41" s="78"/>
      <c r="K41" s="79"/>
      <c r="L41" s="76"/>
      <c r="M41" s="76">
        <f>Таблица2133990294678131617[[#This Row],[113]]*Таблица2133990294678131617[[#This Row],[15]]</f>
        <v>0</v>
      </c>
      <c r="N41" s="184"/>
    </row>
    <row r="42" spans="1:14" x14ac:dyDescent="0.2">
      <c r="A42" s="68">
        <v>36</v>
      </c>
      <c r="B42" s="77"/>
      <c r="C42" s="76"/>
      <c r="D42" s="76"/>
      <c r="E42" s="80"/>
      <c r="F42" s="71">
        <f>Таблица2133990294678131617[[#This Row],[ ]]</f>
        <v>36</v>
      </c>
      <c r="G42" s="69"/>
      <c r="H42" s="78"/>
      <c r="I42" s="78"/>
      <c r="J42" s="78"/>
      <c r="K42" s="79"/>
      <c r="L42" s="76"/>
      <c r="M42" s="76">
        <f>Таблица2133990294678131617[[#This Row],[113]]*Таблица2133990294678131617[[#This Row],[15]]</f>
        <v>0</v>
      </c>
      <c r="N42" s="184"/>
    </row>
    <row r="43" spans="1:14" x14ac:dyDescent="0.2">
      <c r="A43" s="68">
        <v>37</v>
      </c>
      <c r="B43" s="77"/>
      <c r="C43" s="76"/>
      <c r="D43" s="76"/>
      <c r="E43" s="80"/>
      <c r="F43" s="71">
        <f>Таблица2133990294678131617[[#This Row],[ ]]</f>
        <v>37</v>
      </c>
      <c r="G43" s="69"/>
      <c r="H43" s="78"/>
      <c r="I43" s="78"/>
      <c r="J43" s="78"/>
      <c r="K43" s="79"/>
      <c r="L43" s="76"/>
      <c r="M43" s="76">
        <f>Таблица2133990294678131617[[#This Row],[113]]*Таблица2133990294678131617[[#This Row],[15]]</f>
        <v>0</v>
      </c>
      <c r="N43" s="184"/>
    </row>
    <row r="44" spans="1:14" x14ac:dyDescent="0.2">
      <c r="A44" s="68">
        <v>38</v>
      </c>
      <c r="B44" s="77"/>
      <c r="C44" s="76"/>
      <c r="D44" s="76"/>
      <c r="E44" s="80"/>
      <c r="F44" s="71">
        <f>Таблица2133990294678131617[[#This Row],[ ]]</f>
        <v>38</v>
      </c>
      <c r="G44" s="69"/>
      <c r="H44" s="78"/>
      <c r="I44" s="78"/>
      <c r="J44" s="78"/>
      <c r="K44" s="79"/>
      <c r="L44" s="76"/>
      <c r="M44" s="76">
        <f>Таблица2133990294678131617[[#This Row],[113]]*Таблица2133990294678131617[[#This Row],[15]]</f>
        <v>0</v>
      </c>
      <c r="N44" s="184"/>
    </row>
    <row r="45" spans="1:14" x14ac:dyDescent="0.2">
      <c r="A45" s="68">
        <v>39</v>
      </c>
      <c r="B45" s="77"/>
      <c r="C45" s="76"/>
      <c r="D45" s="76"/>
      <c r="E45" s="80"/>
      <c r="F45" s="71">
        <f>Таблица2133990294678131617[[#This Row],[ ]]</f>
        <v>39</v>
      </c>
      <c r="G45" s="69"/>
      <c r="H45" s="78"/>
      <c r="I45" s="78"/>
      <c r="J45" s="78"/>
      <c r="K45" s="79"/>
      <c r="L45" s="76"/>
      <c r="M45" s="76">
        <f>Таблица2133990294678131617[[#This Row],[113]]*Таблица2133990294678131617[[#This Row],[15]]</f>
        <v>0</v>
      </c>
      <c r="N45" s="184"/>
    </row>
    <row r="46" spans="1:14" x14ac:dyDescent="0.2">
      <c r="A46" s="68">
        <v>40</v>
      </c>
      <c r="B46" s="77"/>
      <c r="C46" s="76"/>
      <c r="D46" s="76"/>
      <c r="E46" s="80"/>
      <c r="F46" s="71">
        <f>Таблица2133990294678131617[[#This Row],[ ]]</f>
        <v>40</v>
      </c>
      <c r="G46" s="69"/>
      <c r="H46" s="78"/>
      <c r="I46" s="78"/>
      <c r="J46" s="78"/>
      <c r="K46" s="79"/>
      <c r="L46" s="76"/>
      <c r="M46" s="76">
        <f>Таблица2133990294678131617[[#This Row],[113]]*Таблица2133990294678131617[[#This Row],[15]]</f>
        <v>0</v>
      </c>
      <c r="N46" s="184"/>
    </row>
    <row r="47" spans="1:14" x14ac:dyDescent="0.2">
      <c r="A47" s="68">
        <v>41</v>
      </c>
      <c r="B47" s="77"/>
      <c r="C47" s="76"/>
      <c r="D47" s="76"/>
      <c r="E47" s="80"/>
      <c r="F47" s="71">
        <f>Таблица2133990294678131617[[#This Row],[ ]]</f>
        <v>41</v>
      </c>
      <c r="G47" s="69"/>
      <c r="H47" s="78"/>
      <c r="I47" s="78"/>
      <c r="J47" s="78"/>
      <c r="K47" s="79"/>
      <c r="L47" s="76"/>
      <c r="M47" s="76">
        <f>Таблица2133990294678131617[[#This Row],[113]]*Таблица2133990294678131617[[#This Row],[15]]</f>
        <v>0</v>
      </c>
      <c r="N47" s="184"/>
    </row>
    <row r="48" spans="1:14" x14ac:dyDescent="0.2">
      <c r="A48" s="68">
        <v>42</v>
      </c>
      <c r="B48" s="77"/>
      <c r="C48" s="76"/>
      <c r="D48" s="76"/>
      <c r="E48" s="80"/>
      <c r="F48" s="71">
        <f>Таблица2133990294678131617[[#This Row],[ ]]</f>
        <v>42</v>
      </c>
      <c r="G48" s="69"/>
      <c r="H48" s="78"/>
      <c r="I48" s="78"/>
      <c r="J48" s="78"/>
      <c r="K48" s="79"/>
      <c r="L48" s="76"/>
      <c r="M48" s="76">
        <f>Таблица2133990294678131617[[#This Row],[113]]*Таблица2133990294678131617[[#This Row],[15]]</f>
        <v>0</v>
      </c>
      <c r="N48" s="184"/>
    </row>
    <row r="49" spans="1:14" x14ac:dyDescent="0.2">
      <c r="A49" s="68">
        <v>43</v>
      </c>
      <c r="B49" s="77"/>
      <c r="C49" s="76"/>
      <c r="D49" s="76"/>
      <c r="E49" s="80"/>
      <c r="F49" s="71">
        <f>Таблица2133990294678131617[[#This Row],[ ]]</f>
        <v>43</v>
      </c>
      <c r="G49" s="69"/>
      <c r="H49" s="78"/>
      <c r="I49" s="78"/>
      <c r="J49" s="78"/>
      <c r="K49" s="79"/>
      <c r="L49" s="76"/>
      <c r="M49" s="76">
        <f>Таблица2133990294678131617[[#This Row],[113]]*Таблица2133990294678131617[[#This Row],[15]]</f>
        <v>0</v>
      </c>
      <c r="N49" s="186"/>
    </row>
    <row r="50" spans="1:14" x14ac:dyDescent="0.2">
      <c r="A50" s="82"/>
      <c r="B50" s="45"/>
      <c r="C50" s="76">
        <f>SUBTOTAL(109,Таблица2133990294678131617[2])</f>
        <v>49700000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SUBTOTAL(109,Таблица2133990294678131617[1132])</f>
        <v>38</v>
      </c>
      <c r="L50" s="88"/>
      <c r="M50" s="88">
        <f>SUBTOTAL(109,Таблица2133990294678131617[16])</f>
        <v>45964800</v>
      </c>
      <c r="N50" s="86"/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phoneticPr fontId="2" type="noConversion"/>
  <hyperlinks>
    <hyperlink ref="D1" location="'Свод Завод'!A1" display="6-Отабек дамирчи" xr:uid="{DB8C8EE8-D32B-483C-B0B3-B8CFD64F588E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A0F1-2E1D-404B-B66D-0643C5BC09D4}">
  <dimension ref="A1:M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240</v>
      </c>
      <c r="E1" s="105"/>
      <c r="H1" s="1" t="s">
        <v>177</v>
      </c>
      <c r="I1" s="49">
        <f>C8</f>
        <v>2300000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78"/>
      <c r="F2" s="237">
        <f>Таблица213399029467813161721[[#Totals],[2]]+-Таблица213399029467813161721[[#Totals],[16]]</f>
        <v>-400</v>
      </c>
      <c r="G2" s="238"/>
    </row>
    <row r="3" spans="1:13" ht="15" customHeight="1" x14ac:dyDescent="0.2">
      <c r="A3" s="228" t="s">
        <v>27</v>
      </c>
      <c r="B3" s="228" t="s">
        <v>9</v>
      </c>
      <c r="C3" s="179" t="s">
        <v>19</v>
      </c>
      <c r="D3" s="17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Таблица213399029467813161721[[#Totals],[2]]</f>
        <v>22982000</v>
      </c>
      <c r="D5" s="64"/>
      <c r="E5" s="106">
        <f>SUM(Таблица213399029467813161721[4])</f>
        <v>0</v>
      </c>
      <c r="F5" s="233"/>
      <c r="G5" s="233"/>
      <c r="H5" s="233"/>
      <c r="I5" s="224"/>
      <c r="J5" s="154">
        <f>SUM(Таблица213399029467813161721[113])</f>
        <v>32.832000000000001</v>
      </c>
      <c r="K5" s="65">
        <f>Таблица213399029467813161721[[#Totals],[1132]]</f>
        <v>19</v>
      </c>
      <c r="L5" s="233"/>
      <c r="M5" s="180">
        <f>Таблица213399029467813161721[[#Totals],[16]]</f>
        <v>22982400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46213</v>
      </c>
      <c r="C7" s="70">
        <v>20682000</v>
      </c>
      <c r="D7" s="18" t="s">
        <v>236</v>
      </c>
      <c r="E7" s="76"/>
      <c r="F7" s="71">
        <f>Таблица213399029467813161721[[#This Row],[ ]]</f>
        <v>1</v>
      </c>
      <c r="G7" s="18">
        <v>46213</v>
      </c>
      <c r="H7" s="72" t="s">
        <v>242</v>
      </c>
      <c r="I7" s="73" t="s">
        <v>71</v>
      </c>
      <c r="J7" s="74">
        <v>32.832000000000001</v>
      </c>
      <c r="K7" s="75">
        <v>19</v>
      </c>
      <c r="L7" s="71">
        <v>700000</v>
      </c>
      <c r="M7" s="76">
        <f>Таблица213399029467813161721[[#This Row],[113]]*Таблица213399029467813161721[[#This Row],[15]]</f>
        <v>22982400</v>
      </c>
    </row>
    <row r="8" spans="1:13" x14ac:dyDescent="0.2">
      <c r="A8" s="68">
        <v>2</v>
      </c>
      <c r="B8" s="69">
        <v>46213</v>
      </c>
      <c r="C8" s="76">
        <v>2300000</v>
      </c>
      <c r="D8" s="18" t="s">
        <v>238</v>
      </c>
      <c r="E8" s="76"/>
      <c r="F8" s="71">
        <f>Таблица213399029467813161721[[#This Row],[ ]]</f>
        <v>2</v>
      </c>
      <c r="G8" s="69"/>
      <c r="H8" s="78"/>
      <c r="I8" s="78"/>
      <c r="J8" s="78"/>
      <c r="K8" s="76"/>
      <c r="L8" s="79"/>
      <c r="M8" s="76">
        <f>Таблица213399029467813161721[[#This Row],[113]]*Таблица213399029467813161721[[#This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Таблица213399029467813161721[[#This Row],[ ]]</f>
        <v>3</v>
      </c>
      <c r="G9" s="69"/>
      <c r="H9" s="78"/>
      <c r="I9" s="78"/>
      <c r="J9" s="78"/>
      <c r="K9" s="76"/>
      <c r="L9" s="79"/>
      <c r="M9" s="76">
        <f>Таблица213399029467813161721[[#This Row],[113]]*Таблица213399029467813161721[[#This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Таблица213399029467813161721[[#This Row],[ ]]</f>
        <v>4</v>
      </c>
      <c r="G10" s="69"/>
      <c r="H10" s="78"/>
      <c r="I10" s="78"/>
      <c r="J10" s="78"/>
      <c r="K10" s="76"/>
      <c r="L10" s="79"/>
      <c r="M10" s="76">
        <f>Таблица213399029467813161721[[#This Row],[113]]*Таблица213399029467813161721[[#This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Таблица213399029467813161721[[#This Row],[ ]]</f>
        <v>5</v>
      </c>
      <c r="G11" s="69"/>
      <c r="H11" s="78"/>
      <c r="I11" s="78"/>
      <c r="J11" s="78"/>
      <c r="K11" s="76"/>
      <c r="L11" s="79"/>
      <c r="M11" s="76">
        <f>Таблица213399029467813161721[[#This Row],[113]]*Таблица213399029467813161721[[#This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Таблица213399029467813161721[[#This Row],[ ]]</f>
        <v>6</v>
      </c>
      <c r="G12" s="69"/>
      <c r="H12" s="78"/>
      <c r="I12" s="78"/>
      <c r="J12" s="78"/>
      <c r="K12" s="76"/>
      <c r="L12" s="79"/>
      <c r="M12" s="76">
        <f>Таблица213399029467813161721[[#This Row],[113]]*Таблица213399029467813161721[[#This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Таблица213399029467813161721[[#This Row],[ ]]</f>
        <v>7</v>
      </c>
      <c r="G13" s="69"/>
      <c r="H13" s="78"/>
      <c r="I13" s="78"/>
      <c r="J13" s="78"/>
      <c r="K13" s="79"/>
      <c r="L13" s="76"/>
      <c r="M13" s="76">
        <f>Таблица213399029467813161721[[#This Row],[113]]*Таблица213399029467813161721[[#This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Таблица213399029467813161721[[#This Row],[ ]]</f>
        <v>8</v>
      </c>
      <c r="G14" s="69"/>
      <c r="H14" s="78"/>
      <c r="I14" s="78"/>
      <c r="J14" s="78"/>
      <c r="K14" s="79"/>
      <c r="L14" s="76"/>
      <c r="M14" s="76">
        <f>Таблица213399029467813161721[[#This Row],[113]]*Таблица213399029467813161721[[#This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Таблица213399029467813161721[[#This Row],[ ]]</f>
        <v>9</v>
      </c>
      <c r="G15" s="69"/>
      <c r="H15" s="78"/>
      <c r="I15" s="78"/>
      <c r="J15" s="78"/>
      <c r="K15" s="79"/>
      <c r="L15" s="76"/>
      <c r="M15" s="76">
        <f>Таблица213399029467813161721[[#This Row],[113]]*Таблица213399029467813161721[[#This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Таблица213399029467813161721[[#This Row],[ ]]</f>
        <v>10</v>
      </c>
      <c r="G16" s="69"/>
      <c r="H16" s="78"/>
      <c r="I16" s="78"/>
      <c r="J16" s="78"/>
      <c r="K16" s="79"/>
      <c r="L16" s="76"/>
      <c r="M16" s="76">
        <f>Таблица213399029467813161721[[#This Row],[113]]*Таблица213399029467813161721[[#This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Таблица213399029467813161721[[#This Row],[ ]]</f>
        <v>11</v>
      </c>
      <c r="G17" s="69"/>
      <c r="H17" s="78"/>
      <c r="I17" s="78"/>
      <c r="J17" s="78"/>
      <c r="K17" s="79"/>
      <c r="L17" s="76"/>
      <c r="M17" s="76">
        <f>Таблица213399029467813161721[[#This Row],[113]]*Таблица213399029467813161721[[#This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Таблица213399029467813161721[[#This Row],[ ]]</f>
        <v>12</v>
      </c>
      <c r="G18" s="69"/>
      <c r="H18" s="78"/>
      <c r="I18" s="78"/>
      <c r="J18" s="78"/>
      <c r="K18" s="79"/>
      <c r="L18" s="76"/>
      <c r="M18" s="76">
        <f>Таблица213399029467813161721[[#This Row],[113]]*Таблица213399029467813161721[[#This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Таблица213399029467813161721[[#This Row],[ ]]</f>
        <v>13</v>
      </c>
      <c r="G19" s="69"/>
      <c r="H19" s="78"/>
      <c r="I19" s="78"/>
      <c r="J19" s="78"/>
      <c r="K19" s="79"/>
      <c r="L19" s="76"/>
      <c r="M19" s="76">
        <f>Таблица213399029467813161721[[#This Row],[113]]*Таблица213399029467813161721[[#This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Таблица213399029467813161721[[#This Row],[ ]]</f>
        <v>14</v>
      </c>
      <c r="G20" s="69"/>
      <c r="H20" s="78"/>
      <c r="I20" s="78"/>
      <c r="J20" s="78"/>
      <c r="K20" s="79"/>
      <c r="L20" s="76"/>
      <c r="M20" s="76">
        <f>Таблица213399029467813161721[[#This Row],[113]]*Таблица213399029467813161721[[#This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Таблица213399029467813161721[[#This Row],[ ]]</f>
        <v>15</v>
      </c>
      <c r="G21" s="69"/>
      <c r="H21" s="78"/>
      <c r="I21" s="78"/>
      <c r="J21" s="78"/>
      <c r="K21" s="79"/>
      <c r="L21" s="76"/>
      <c r="M21" s="76">
        <f>Таблица213399029467813161721[[#This Row],[113]]*Таблица213399029467813161721[[#This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Таблица213399029467813161721[[#This Row],[ ]]</f>
        <v>16</v>
      </c>
      <c r="G22" s="69"/>
      <c r="H22" s="78"/>
      <c r="I22" s="78"/>
      <c r="J22" s="78"/>
      <c r="K22" s="79"/>
      <c r="L22" s="76"/>
      <c r="M22" s="76">
        <f>Таблица213399029467813161721[[#This Row],[113]]*Таблица213399029467813161721[[#This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Таблица213399029467813161721[[#This Row],[ ]]</f>
        <v>17</v>
      </c>
      <c r="G23" s="69"/>
      <c r="H23" s="78"/>
      <c r="I23" s="78"/>
      <c r="J23" s="78"/>
      <c r="K23" s="79"/>
      <c r="L23" s="76"/>
      <c r="M23" s="76">
        <f>Таблица213399029467813161721[[#This Row],[113]]*Таблица213399029467813161721[[#This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Таблица213399029467813161721[[#This Row],[ ]]</f>
        <v>18</v>
      </c>
      <c r="G24" s="69"/>
      <c r="H24" s="78"/>
      <c r="I24" s="78"/>
      <c r="J24" s="78"/>
      <c r="K24" s="79"/>
      <c r="L24" s="76"/>
      <c r="M24" s="76">
        <f>Таблица213399029467813161721[[#This Row],[113]]*Таблица213399029467813161721[[#This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Таблица213399029467813161721[[#This Row],[ ]]</f>
        <v>19</v>
      </c>
      <c r="G25" s="69"/>
      <c r="H25" s="78"/>
      <c r="I25" s="78"/>
      <c r="J25" s="78"/>
      <c r="K25" s="79"/>
      <c r="L25" s="76"/>
      <c r="M25" s="76">
        <f>Таблица213399029467813161721[[#This Row],[113]]*Таблица213399029467813161721[[#This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Таблица213399029467813161721[[#This Row],[ ]]</f>
        <v>20</v>
      </c>
      <c r="G26" s="69"/>
      <c r="H26" s="78"/>
      <c r="I26" s="78"/>
      <c r="J26" s="78"/>
      <c r="K26" s="79"/>
      <c r="L26" s="76"/>
      <c r="M26" s="76">
        <f>Таблица213399029467813161721[[#This Row],[113]]*Таблица213399029467813161721[[#This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Таблица213399029467813161721[[#This Row],[ ]]</f>
        <v>21</v>
      </c>
      <c r="G27" s="69"/>
      <c r="H27" s="78"/>
      <c r="I27" s="78"/>
      <c r="J27" s="78"/>
      <c r="K27" s="79"/>
      <c r="L27" s="76"/>
      <c r="M27" s="76">
        <f>Таблица213399029467813161721[[#This Row],[113]]*Таблица213399029467813161721[[#This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Таблица213399029467813161721[[#This Row],[ ]]</f>
        <v>22</v>
      </c>
      <c r="G28" s="69"/>
      <c r="H28" s="78"/>
      <c r="I28" s="78"/>
      <c r="J28" s="78"/>
      <c r="K28" s="79"/>
      <c r="L28" s="76"/>
      <c r="M28" s="76">
        <f>Таблица213399029467813161721[[#This Row],[113]]*Таблица213399029467813161721[[#This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Таблица213399029467813161721[[#This Row],[ ]]</f>
        <v>23</v>
      </c>
      <c r="G29" s="69"/>
      <c r="H29" s="78"/>
      <c r="I29" s="78"/>
      <c r="J29" s="78"/>
      <c r="K29" s="79"/>
      <c r="L29" s="76"/>
      <c r="M29" s="76">
        <f>Таблица213399029467813161721[[#This Row],[113]]*Таблица213399029467813161721[[#This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Таблица213399029467813161721[[#This Row],[ ]]</f>
        <v>24</v>
      </c>
      <c r="G30" s="69"/>
      <c r="H30" s="78"/>
      <c r="I30" s="78"/>
      <c r="J30" s="78"/>
      <c r="K30" s="79"/>
      <c r="L30" s="76"/>
      <c r="M30" s="76">
        <f>Таблица213399029467813161721[[#This Row],[113]]*Таблица213399029467813161721[[#This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Таблица213399029467813161721[[#This Row],[ ]]</f>
        <v>25</v>
      </c>
      <c r="G31" s="69"/>
      <c r="H31" s="78"/>
      <c r="I31" s="78"/>
      <c r="J31" s="78"/>
      <c r="K31" s="79"/>
      <c r="L31" s="76"/>
      <c r="M31" s="76">
        <f>Таблица213399029467813161721[[#This Row],[113]]*Таблица213399029467813161721[[#This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Таблица213399029467813161721[[#This Row],[ ]]</f>
        <v>26</v>
      </c>
      <c r="G32" s="69"/>
      <c r="H32" s="78"/>
      <c r="I32" s="78"/>
      <c r="J32" s="78"/>
      <c r="K32" s="79"/>
      <c r="L32" s="76"/>
      <c r="M32" s="76">
        <f>Таблица213399029467813161721[[#This Row],[113]]*Таблица213399029467813161721[[#This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Таблица213399029467813161721[[#This Row],[ ]]</f>
        <v>27</v>
      </c>
      <c r="G33" s="69"/>
      <c r="H33" s="78"/>
      <c r="I33" s="78"/>
      <c r="J33" s="78"/>
      <c r="K33" s="79"/>
      <c r="L33" s="76"/>
      <c r="M33" s="76">
        <f>Таблица213399029467813161721[[#This Row],[113]]*Таблица213399029467813161721[[#This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Таблица213399029467813161721[[#This Row],[ ]]</f>
        <v>28</v>
      </c>
      <c r="G34" s="69"/>
      <c r="H34" s="78"/>
      <c r="I34" s="78"/>
      <c r="J34" s="78"/>
      <c r="K34" s="79"/>
      <c r="L34" s="76"/>
      <c r="M34" s="76">
        <f>Таблица213399029467813161721[[#This Row],[113]]*Таблица213399029467813161721[[#This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Таблица213399029467813161721[[#This Row],[ ]]</f>
        <v>29</v>
      </c>
      <c r="G35" s="69"/>
      <c r="H35" s="78"/>
      <c r="I35" s="78"/>
      <c r="J35" s="78"/>
      <c r="K35" s="79"/>
      <c r="L35" s="76"/>
      <c r="M35" s="76">
        <f>Таблица213399029467813161721[[#This Row],[113]]*Таблица213399029467813161721[[#This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Таблица213399029467813161721[[#This Row],[ ]]</f>
        <v>30</v>
      </c>
      <c r="G36" s="69"/>
      <c r="H36" s="78"/>
      <c r="I36" s="78"/>
      <c r="J36" s="78"/>
      <c r="K36" s="79"/>
      <c r="L36" s="76"/>
      <c r="M36" s="76">
        <f>Таблица213399029467813161721[[#This Row],[113]]*Таблица213399029467813161721[[#This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Таблица213399029467813161721[[#This Row],[ ]]</f>
        <v>31</v>
      </c>
      <c r="G37" s="69"/>
      <c r="H37" s="78"/>
      <c r="I37" s="78"/>
      <c r="J37" s="78"/>
      <c r="K37" s="79"/>
      <c r="L37" s="76"/>
      <c r="M37" s="76">
        <f>Таблица213399029467813161721[[#This Row],[113]]*Таблица213399029467813161721[[#This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Таблица213399029467813161721[[#This Row],[ ]]</f>
        <v>32</v>
      </c>
      <c r="G38" s="69"/>
      <c r="H38" s="78"/>
      <c r="I38" s="78"/>
      <c r="J38" s="78"/>
      <c r="K38" s="79"/>
      <c r="L38" s="76"/>
      <c r="M38" s="76">
        <f>Таблица213399029467813161721[[#This Row],[113]]*Таблица213399029467813161721[[#This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Таблица213399029467813161721[[#This Row],[ ]]</f>
        <v>33</v>
      </c>
      <c r="G39" s="69"/>
      <c r="H39" s="78"/>
      <c r="I39" s="78"/>
      <c r="J39" s="78"/>
      <c r="K39" s="79"/>
      <c r="L39" s="76"/>
      <c r="M39" s="76">
        <f>Таблица213399029467813161721[[#This Row],[113]]*Таблица213399029467813161721[[#This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Таблица213399029467813161721[[#This Row],[ ]]</f>
        <v>34</v>
      </c>
      <c r="G40" s="69"/>
      <c r="H40" s="78"/>
      <c r="I40" s="78"/>
      <c r="J40" s="78"/>
      <c r="K40" s="79"/>
      <c r="L40" s="76"/>
      <c r="M40" s="76">
        <f>Таблица213399029467813161721[[#This Row],[113]]*Таблица213399029467813161721[[#This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Таблица213399029467813161721[[#This Row],[ ]]</f>
        <v>35</v>
      </c>
      <c r="G41" s="69"/>
      <c r="H41" s="78"/>
      <c r="I41" s="78"/>
      <c r="J41" s="78"/>
      <c r="K41" s="79"/>
      <c r="L41" s="76"/>
      <c r="M41" s="76">
        <f>Таблица213399029467813161721[[#This Row],[113]]*Таблица213399029467813161721[[#This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Таблица213399029467813161721[[#This Row],[ ]]</f>
        <v>36</v>
      </c>
      <c r="G42" s="69"/>
      <c r="H42" s="78"/>
      <c r="I42" s="78"/>
      <c r="J42" s="78"/>
      <c r="K42" s="79"/>
      <c r="L42" s="76"/>
      <c r="M42" s="76">
        <f>Таблица213399029467813161721[[#This Row],[113]]*Таблица213399029467813161721[[#This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Таблица213399029467813161721[[#This Row],[ ]]</f>
        <v>37</v>
      </c>
      <c r="G43" s="69"/>
      <c r="H43" s="78"/>
      <c r="I43" s="78"/>
      <c r="J43" s="78"/>
      <c r="K43" s="79"/>
      <c r="L43" s="76"/>
      <c r="M43" s="76">
        <f>Таблица213399029467813161721[[#This Row],[113]]*Таблица213399029467813161721[[#This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Таблица213399029467813161721[[#This Row],[ ]]</f>
        <v>38</v>
      </c>
      <c r="G44" s="69"/>
      <c r="H44" s="78"/>
      <c r="I44" s="78"/>
      <c r="J44" s="78"/>
      <c r="K44" s="79"/>
      <c r="L44" s="76"/>
      <c r="M44" s="76">
        <f>Таблица213399029467813161721[[#This Row],[113]]*Таблица213399029467813161721[[#This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Таблица213399029467813161721[[#This Row],[ ]]</f>
        <v>39</v>
      </c>
      <c r="G45" s="69"/>
      <c r="H45" s="78"/>
      <c r="I45" s="78"/>
      <c r="J45" s="78"/>
      <c r="K45" s="79"/>
      <c r="L45" s="76"/>
      <c r="M45" s="76">
        <f>Таблица213399029467813161721[[#This Row],[113]]*Таблица213399029467813161721[[#This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Таблица213399029467813161721[[#This Row],[ ]]</f>
        <v>40</v>
      </c>
      <c r="G46" s="69"/>
      <c r="H46" s="78"/>
      <c r="I46" s="78"/>
      <c r="J46" s="78"/>
      <c r="K46" s="79"/>
      <c r="L46" s="76"/>
      <c r="M46" s="76">
        <f>Таблица213399029467813161721[[#This Row],[113]]*Таблица213399029467813161721[[#This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Таблица213399029467813161721[[#This Row],[ ]]</f>
        <v>41</v>
      </c>
      <c r="G47" s="69"/>
      <c r="H47" s="78"/>
      <c r="I47" s="78"/>
      <c r="J47" s="78"/>
      <c r="K47" s="79"/>
      <c r="L47" s="76"/>
      <c r="M47" s="76">
        <f>Таблица213399029467813161721[[#This Row],[113]]*Таблица213399029467813161721[[#This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Таблица213399029467813161721[[#This Row],[ ]]</f>
        <v>42</v>
      </c>
      <c r="G48" s="69"/>
      <c r="H48" s="78"/>
      <c r="I48" s="78"/>
      <c r="J48" s="78"/>
      <c r="K48" s="79"/>
      <c r="L48" s="76"/>
      <c r="M48" s="76">
        <f>Таблица213399029467813161721[[#This Row],[113]]*Таблица213399029467813161721[[#This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Таблица213399029467813161721[[#This Row],[ ]]</f>
        <v>43</v>
      </c>
      <c r="G49" s="69"/>
      <c r="H49" s="78"/>
      <c r="I49" s="78"/>
      <c r="J49" s="78"/>
      <c r="K49" s="79"/>
      <c r="L49" s="76"/>
      <c r="M49" s="76">
        <f>Таблица213399029467813161721[[#This Row],[113]]*Таблица213399029467813161721[[#This Row],[15]]</f>
        <v>0</v>
      </c>
    </row>
    <row r="50" spans="1:13" x14ac:dyDescent="0.2">
      <c r="A50" s="82"/>
      <c r="B50" s="45"/>
      <c r="C50" s="76">
        <f>SUBTOTAL(109,Таблица213399029467813161721[2])</f>
        <v>22982000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SUBTOTAL(109,Таблица213399029467813161721[1132])</f>
        <v>19</v>
      </c>
      <c r="L50" s="88"/>
      <c r="M50" s="88">
        <f>SUBTOTAL(109,Таблица213399029467813161721[16])</f>
        <v>22982400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A1" display="5-Журат ога хонка" xr:uid="{76BF340F-639E-4AF5-800A-3E884A306F59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AB93-42D2-4BE8-8D04-53EDE6A6CFA3}">
  <dimension ref="A1:N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4.14062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4" width="11.28515625" style="1" bestFit="1" customWidth="1"/>
    <col min="15" max="16" width="9.140625" style="1"/>
    <col min="17" max="17" width="11.140625" style="1" bestFit="1" customWidth="1"/>
    <col min="18" max="16384" width="9.140625" style="1"/>
  </cols>
  <sheetData>
    <row r="1" spans="1:14" ht="18" customHeight="1" x14ac:dyDescent="0.3">
      <c r="A1" s="90"/>
      <c r="B1" s="91"/>
      <c r="C1" s="92" t="s">
        <v>26</v>
      </c>
      <c r="D1" s="111" t="s">
        <v>259</v>
      </c>
      <c r="E1" s="105"/>
      <c r="H1" s="1" t="s">
        <v>177</v>
      </c>
      <c r="I1" s="49">
        <f>C7</f>
        <v>4400000</v>
      </c>
      <c r="J1" s="18" t="s">
        <v>176</v>
      </c>
    </row>
    <row r="2" spans="1:14" ht="20.25" x14ac:dyDescent="0.2">
      <c r="A2" s="226" t="s">
        <v>25</v>
      </c>
      <c r="B2" s="226"/>
      <c r="C2" s="227"/>
      <c r="D2" s="227"/>
      <c r="E2" s="178"/>
      <c r="F2" s="237">
        <f>Таблица21339902946781316172122[[#Totals],[2]]+-Таблица21339902946781316172122[[#Totals],[16]]</f>
        <v>58435200</v>
      </c>
      <c r="G2" s="238"/>
    </row>
    <row r="3" spans="1:14" ht="15" customHeight="1" x14ac:dyDescent="0.2">
      <c r="A3" s="228" t="s">
        <v>27</v>
      </c>
      <c r="B3" s="228" t="s">
        <v>9</v>
      </c>
      <c r="C3" s="179" t="s">
        <v>19</v>
      </c>
      <c r="D3" s="179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4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4" ht="15.75" x14ac:dyDescent="0.2">
      <c r="A5" s="228"/>
      <c r="B5" s="228"/>
      <c r="C5" s="95">
        <f>Таблица21339902946781316172122[[#Totals],[2]]</f>
        <v>104400000</v>
      </c>
      <c r="D5" s="64"/>
      <c r="E5" s="106">
        <f>SUM(Таблица21339902946781316172122[4])</f>
        <v>0</v>
      </c>
      <c r="F5" s="233"/>
      <c r="G5" s="233"/>
      <c r="H5" s="233"/>
      <c r="I5" s="224"/>
      <c r="J5" s="154">
        <f>SUM(Таблица21339902946781316172122[113])</f>
        <v>65.664000000000001</v>
      </c>
      <c r="K5" s="65">
        <f>Таблица21339902946781316172122[[#Totals],[1132]]</f>
        <v>38</v>
      </c>
      <c r="L5" s="233"/>
      <c r="M5" s="180">
        <f>Таблица21339902946781316172122[[#Totals],[16]]</f>
        <v>45964800</v>
      </c>
    </row>
    <row r="6" spans="1:14" ht="15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  <c r="N6" s="187" t="s">
        <v>243</v>
      </c>
    </row>
    <row r="7" spans="1:14" ht="15" x14ac:dyDescent="0.2">
      <c r="A7" s="68">
        <v>1</v>
      </c>
      <c r="B7" s="69">
        <v>46215</v>
      </c>
      <c r="C7" s="70">
        <v>4400000</v>
      </c>
      <c r="D7" s="18" t="s">
        <v>260</v>
      </c>
      <c r="E7" s="76"/>
      <c r="F7" s="71">
        <f>Таблица21339902946781316172122[[#This Row],[ ]]</f>
        <v>1</v>
      </c>
      <c r="G7" s="18">
        <v>46215</v>
      </c>
      <c r="H7" s="72" t="s">
        <v>256</v>
      </c>
      <c r="I7" s="73" t="s">
        <v>71</v>
      </c>
      <c r="J7" s="74">
        <v>32.832000000000001</v>
      </c>
      <c r="K7" s="75">
        <v>19</v>
      </c>
      <c r="L7" s="71">
        <v>700000</v>
      </c>
      <c r="M7" s="76">
        <f>Таблица21339902946781316172122[[#This Row],[113]]*Таблица21339902946781316172122[[#This Row],[15]]</f>
        <v>22982400</v>
      </c>
      <c r="N7" s="185">
        <v>2200000</v>
      </c>
    </row>
    <row r="8" spans="1:14" x14ac:dyDescent="0.2">
      <c r="A8" s="68">
        <v>2</v>
      </c>
      <c r="B8" s="69">
        <v>46216</v>
      </c>
      <c r="C8" s="76">
        <v>100000000</v>
      </c>
      <c r="D8" s="18" t="s">
        <v>258</v>
      </c>
      <c r="E8" s="76"/>
      <c r="F8" s="71">
        <f>Таблица21339902946781316172122[[#This Row],[ ]]</f>
        <v>2</v>
      </c>
      <c r="G8" s="69">
        <v>46216</v>
      </c>
      <c r="H8" s="78" t="s">
        <v>257</v>
      </c>
      <c r="I8" s="78" t="s">
        <v>83</v>
      </c>
      <c r="J8" s="78">
        <v>32.832000000000001</v>
      </c>
      <c r="K8" s="76">
        <v>19</v>
      </c>
      <c r="L8" s="79">
        <v>700000</v>
      </c>
      <c r="M8" s="76">
        <f>Таблица21339902946781316172122[[#This Row],[113]]*Таблица21339902946781316172122[[#This Row],[15]]</f>
        <v>22982400</v>
      </c>
      <c r="N8" s="184">
        <v>2200000</v>
      </c>
    </row>
    <row r="9" spans="1:14" x14ac:dyDescent="0.2">
      <c r="A9" s="68">
        <v>3</v>
      </c>
      <c r="B9" s="77"/>
      <c r="C9" s="76"/>
      <c r="D9" s="18"/>
      <c r="E9" s="76"/>
      <c r="F9" s="71">
        <f>Таблица21339902946781316172122[[#This Row],[ ]]</f>
        <v>3</v>
      </c>
      <c r="G9" s="69"/>
      <c r="H9" s="78"/>
      <c r="I9" s="78"/>
      <c r="J9" s="78"/>
      <c r="K9" s="76"/>
      <c r="L9" s="79"/>
      <c r="M9" s="76">
        <f>Таблица21339902946781316172122[[#This Row],[113]]*Таблица21339902946781316172122[[#This Row],[15]]</f>
        <v>0</v>
      </c>
      <c r="N9" s="184"/>
    </row>
    <row r="10" spans="1:14" x14ac:dyDescent="0.2">
      <c r="A10" s="68">
        <v>4</v>
      </c>
      <c r="B10" s="77"/>
      <c r="C10" s="76"/>
      <c r="D10" s="18"/>
      <c r="E10" s="76"/>
      <c r="F10" s="71">
        <f>Таблица21339902946781316172122[[#This Row],[ ]]</f>
        <v>4</v>
      </c>
      <c r="G10" s="69"/>
      <c r="H10" s="78"/>
      <c r="I10" s="78"/>
      <c r="J10" s="78"/>
      <c r="K10" s="76"/>
      <c r="L10" s="79"/>
      <c r="M10" s="76">
        <f>Таблица21339902946781316172122[[#This Row],[113]]*Таблица21339902946781316172122[[#This Row],[15]]</f>
        <v>0</v>
      </c>
      <c r="N10" s="184"/>
    </row>
    <row r="11" spans="1:14" x14ac:dyDescent="0.2">
      <c r="A11" s="68">
        <v>5</v>
      </c>
      <c r="B11" s="77"/>
      <c r="C11" s="76"/>
      <c r="D11" s="18"/>
      <c r="E11" s="76"/>
      <c r="F11" s="71">
        <f>Таблица21339902946781316172122[[#This Row],[ ]]</f>
        <v>5</v>
      </c>
      <c r="G11" s="69"/>
      <c r="H11" s="78"/>
      <c r="I11" s="78"/>
      <c r="J11" s="78"/>
      <c r="K11" s="76"/>
      <c r="L11" s="79"/>
      <c r="M11" s="76">
        <f>Таблица21339902946781316172122[[#This Row],[113]]*Таблица21339902946781316172122[[#This Row],[15]]</f>
        <v>0</v>
      </c>
      <c r="N11" s="184"/>
    </row>
    <row r="12" spans="1:14" x14ac:dyDescent="0.2">
      <c r="A12" s="68">
        <v>6</v>
      </c>
      <c r="B12" s="77"/>
      <c r="C12" s="76"/>
      <c r="D12" s="18"/>
      <c r="E12" s="76"/>
      <c r="F12" s="71">
        <f>Таблица21339902946781316172122[[#This Row],[ ]]</f>
        <v>6</v>
      </c>
      <c r="G12" s="69"/>
      <c r="H12" s="78"/>
      <c r="I12" s="78"/>
      <c r="J12" s="78"/>
      <c r="K12" s="76"/>
      <c r="L12" s="79"/>
      <c r="M12" s="76">
        <f>Таблица21339902946781316172122[[#This Row],[113]]*Таблица21339902946781316172122[[#This Row],[15]]</f>
        <v>0</v>
      </c>
      <c r="N12" s="184"/>
    </row>
    <row r="13" spans="1:14" x14ac:dyDescent="0.2">
      <c r="A13" s="68">
        <v>7</v>
      </c>
      <c r="B13" s="77"/>
      <c r="C13" s="76"/>
      <c r="D13" s="18"/>
      <c r="E13" s="76"/>
      <c r="F13" s="71">
        <f>Таблица21339902946781316172122[[#This Row],[ ]]</f>
        <v>7</v>
      </c>
      <c r="G13" s="69"/>
      <c r="H13" s="78"/>
      <c r="I13" s="78"/>
      <c r="J13" s="78"/>
      <c r="K13" s="79"/>
      <c r="L13" s="76"/>
      <c r="M13" s="76">
        <f>Таблица21339902946781316172122[[#This Row],[113]]*Таблица21339902946781316172122[[#This Row],[15]]</f>
        <v>0</v>
      </c>
      <c r="N13" s="184"/>
    </row>
    <row r="14" spans="1:14" x14ac:dyDescent="0.2">
      <c r="A14" s="68">
        <v>8</v>
      </c>
      <c r="B14" s="77"/>
      <c r="C14" s="76"/>
      <c r="D14" s="18"/>
      <c r="E14" s="76"/>
      <c r="F14" s="71">
        <f>Таблица21339902946781316172122[[#This Row],[ ]]</f>
        <v>8</v>
      </c>
      <c r="G14" s="69"/>
      <c r="H14" s="78"/>
      <c r="I14" s="78"/>
      <c r="J14" s="78"/>
      <c r="K14" s="79"/>
      <c r="L14" s="76"/>
      <c r="M14" s="76">
        <f>Таблица21339902946781316172122[[#This Row],[113]]*Таблица21339902946781316172122[[#This Row],[15]]</f>
        <v>0</v>
      </c>
      <c r="N14" s="184"/>
    </row>
    <row r="15" spans="1:14" x14ac:dyDescent="0.2">
      <c r="A15" s="68">
        <v>9</v>
      </c>
      <c r="B15" s="77"/>
      <c r="C15" s="76"/>
      <c r="D15" s="18"/>
      <c r="E15" s="76"/>
      <c r="F15" s="71">
        <f>Таблица21339902946781316172122[[#This Row],[ ]]</f>
        <v>9</v>
      </c>
      <c r="G15" s="69"/>
      <c r="H15" s="78"/>
      <c r="I15" s="78"/>
      <c r="J15" s="78"/>
      <c r="K15" s="79"/>
      <c r="L15" s="76"/>
      <c r="M15" s="76">
        <f>Таблица21339902946781316172122[[#This Row],[113]]*Таблица21339902946781316172122[[#This Row],[15]]</f>
        <v>0</v>
      </c>
      <c r="N15" s="184"/>
    </row>
    <row r="16" spans="1:14" x14ac:dyDescent="0.2">
      <c r="A16" s="68">
        <v>10</v>
      </c>
      <c r="B16" s="77"/>
      <c r="C16" s="76"/>
      <c r="D16" s="18"/>
      <c r="E16" s="76"/>
      <c r="F16" s="71">
        <f>Таблица21339902946781316172122[[#This Row],[ ]]</f>
        <v>10</v>
      </c>
      <c r="G16" s="69"/>
      <c r="H16" s="78"/>
      <c r="I16" s="78"/>
      <c r="J16" s="78"/>
      <c r="K16" s="79"/>
      <c r="L16" s="76"/>
      <c r="M16" s="76">
        <f>Таблица21339902946781316172122[[#This Row],[113]]*Таблица21339902946781316172122[[#This Row],[15]]</f>
        <v>0</v>
      </c>
      <c r="N16" s="184"/>
    </row>
    <row r="17" spans="1:14" x14ac:dyDescent="0.2">
      <c r="A17" s="68">
        <v>11</v>
      </c>
      <c r="B17" s="77"/>
      <c r="C17" s="76"/>
      <c r="D17" s="18"/>
      <c r="E17" s="76"/>
      <c r="F17" s="71">
        <f>Таблица21339902946781316172122[[#This Row],[ ]]</f>
        <v>11</v>
      </c>
      <c r="G17" s="69"/>
      <c r="H17" s="78"/>
      <c r="I17" s="78"/>
      <c r="J17" s="78"/>
      <c r="K17" s="79"/>
      <c r="L17" s="76"/>
      <c r="M17" s="76">
        <f>Таблица21339902946781316172122[[#This Row],[113]]*Таблица21339902946781316172122[[#This Row],[15]]</f>
        <v>0</v>
      </c>
      <c r="N17" s="184"/>
    </row>
    <row r="18" spans="1:14" x14ac:dyDescent="0.2">
      <c r="A18" s="68">
        <v>12</v>
      </c>
      <c r="B18" s="77"/>
      <c r="C18" s="76"/>
      <c r="D18" s="18"/>
      <c r="E18" s="76"/>
      <c r="F18" s="71">
        <f>Таблица21339902946781316172122[[#This Row],[ ]]</f>
        <v>12</v>
      </c>
      <c r="G18" s="69"/>
      <c r="H18" s="78"/>
      <c r="I18" s="78"/>
      <c r="J18" s="78"/>
      <c r="K18" s="79"/>
      <c r="L18" s="76"/>
      <c r="M18" s="76">
        <f>Таблица21339902946781316172122[[#This Row],[113]]*Таблица21339902946781316172122[[#This Row],[15]]</f>
        <v>0</v>
      </c>
      <c r="N18" s="184"/>
    </row>
    <row r="19" spans="1:14" x14ac:dyDescent="0.2">
      <c r="A19" s="68">
        <v>13</v>
      </c>
      <c r="B19" s="77"/>
      <c r="C19" s="76"/>
      <c r="D19" s="18"/>
      <c r="E19" s="76"/>
      <c r="F19" s="71">
        <f>Таблица21339902946781316172122[[#This Row],[ ]]</f>
        <v>13</v>
      </c>
      <c r="G19" s="69"/>
      <c r="H19" s="78"/>
      <c r="I19" s="78"/>
      <c r="J19" s="78"/>
      <c r="K19" s="79"/>
      <c r="L19" s="76"/>
      <c r="M19" s="76">
        <f>Таблица21339902946781316172122[[#This Row],[113]]*Таблица21339902946781316172122[[#This Row],[15]]</f>
        <v>0</v>
      </c>
      <c r="N19" s="184"/>
    </row>
    <row r="20" spans="1:14" x14ac:dyDescent="0.2">
      <c r="A20" s="68">
        <v>14</v>
      </c>
      <c r="B20" s="77"/>
      <c r="C20" s="76"/>
      <c r="D20" s="18"/>
      <c r="E20" s="76"/>
      <c r="F20" s="71">
        <f>Таблица21339902946781316172122[[#This Row],[ ]]</f>
        <v>14</v>
      </c>
      <c r="G20" s="69"/>
      <c r="H20" s="78"/>
      <c r="I20" s="78"/>
      <c r="J20" s="78"/>
      <c r="K20" s="79"/>
      <c r="L20" s="76"/>
      <c r="M20" s="76">
        <f>Таблица21339902946781316172122[[#This Row],[113]]*Таблица21339902946781316172122[[#This Row],[15]]</f>
        <v>0</v>
      </c>
      <c r="N20" s="184"/>
    </row>
    <row r="21" spans="1:14" x14ac:dyDescent="0.2">
      <c r="A21" s="68">
        <v>15</v>
      </c>
      <c r="B21" s="77"/>
      <c r="C21" s="76"/>
      <c r="D21" s="18"/>
      <c r="E21" s="76"/>
      <c r="F21" s="71">
        <f>Таблица21339902946781316172122[[#This Row],[ ]]</f>
        <v>15</v>
      </c>
      <c r="G21" s="69"/>
      <c r="H21" s="78"/>
      <c r="I21" s="78"/>
      <c r="J21" s="78"/>
      <c r="K21" s="79"/>
      <c r="L21" s="76"/>
      <c r="M21" s="76">
        <f>Таблица21339902946781316172122[[#This Row],[113]]*Таблица21339902946781316172122[[#This Row],[15]]</f>
        <v>0</v>
      </c>
      <c r="N21" s="184"/>
    </row>
    <row r="22" spans="1:14" x14ac:dyDescent="0.2">
      <c r="A22" s="68">
        <v>16</v>
      </c>
      <c r="B22" s="77"/>
      <c r="C22" s="76"/>
      <c r="D22" s="18"/>
      <c r="E22" s="76"/>
      <c r="F22" s="71">
        <f>Таблица21339902946781316172122[[#This Row],[ ]]</f>
        <v>16</v>
      </c>
      <c r="G22" s="69"/>
      <c r="H22" s="78"/>
      <c r="I22" s="78"/>
      <c r="J22" s="78"/>
      <c r="K22" s="79"/>
      <c r="L22" s="76"/>
      <c r="M22" s="76">
        <f>Таблица21339902946781316172122[[#This Row],[113]]*Таблица21339902946781316172122[[#This Row],[15]]</f>
        <v>0</v>
      </c>
      <c r="N22" s="184"/>
    </row>
    <row r="23" spans="1:14" x14ac:dyDescent="0.2">
      <c r="A23" s="68">
        <v>17</v>
      </c>
      <c r="B23" s="77"/>
      <c r="C23" s="76"/>
      <c r="D23" s="18"/>
      <c r="E23" s="76"/>
      <c r="F23" s="71">
        <f>Таблица21339902946781316172122[[#This Row],[ ]]</f>
        <v>17</v>
      </c>
      <c r="G23" s="69"/>
      <c r="H23" s="78"/>
      <c r="I23" s="78"/>
      <c r="J23" s="78"/>
      <c r="K23" s="79"/>
      <c r="L23" s="76"/>
      <c r="M23" s="76">
        <f>Таблица21339902946781316172122[[#This Row],[113]]*Таблица21339902946781316172122[[#This Row],[15]]</f>
        <v>0</v>
      </c>
      <c r="N23" s="184"/>
    </row>
    <row r="24" spans="1:14" x14ac:dyDescent="0.2">
      <c r="A24" s="68">
        <v>18</v>
      </c>
      <c r="B24" s="77"/>
      <c r="C24" s="76"/>
      <c r="D24" s="18"/>
      <c r="E24" s="76"/>
      <c r="F24" s="71">
        <f>Таблица21339902946781316172122[[#This Row],[ ]]</f>
        <v>18</v>
      </c>
      <c r="G24" s="69"/>
      <c r="H24" s="78"/>
      <c r="I24" s="78"/>
      <c r="J24" s="78"/>
      <c r="K24" s="79"/>
      <c r="L24" s="76"/>
      <c r="M24" s="76">
        <f>Таблица21339902946781316172122[[#This Row],[113]]*Таблица21339902946781316172122[[#This Row],[15]]</f>
        <v>0</v>
      </c>
      <c r="N24" s="184"/>
    </row>
    <row r="25" spans="1:14" x14ac:dyDescent="0.2">
      <c r="A25" s="68">
        <v>19</v>
      </c>
      <c r="B25" s="77"/>
      <c r="C25" s="76"/>
      <c r="D25" s="18"/>
      <c r="E25" s="76"/>
      <c r="F25" s="71">
        <f>Таблица21339902946781316172122[[#This Row],[ ]]</f>
        <v>19</v>
      </c>
      <c r="G25" s="69"/>
      <c r="H25" s="78"/>
      <c r="I25" s="78"/>
      <c r="J25" s="78"/>
      <c r="K25" s="79"/>
      <c r="L25" s="76"/>
      <c r="M25" s="76">
        <f>Таблица21339902946781316172122[[#This Row],[113]]*Таблица21339902946781316172122[[#This Row],[15]]</f>
        <v>0</v>
      </c>
      <c r="N25" s="184"/>
    </row>
    <row r="26" spans="1:14" x14ac:dyDescent="0.2">
      <c r="A26" s="68">
        <v>20</v>
      </c>
      <c r="B26" s="77"/>
      <c r="C26" s="76"/>
      <c r="D26" s="18"/>
      <c r="E26" s="76"/>
      <c r="F26" s="71">
        <f>Таблица21339902946781316172122[[#This Row],[ ]]</f>
        <v>20</v>
      </c>
      <c r="G26" s="69"/>
      <c r="H26" s="78"/>
      <c r="I26" s="78"/>
      <c r="J26" s="78"/>
      <c r="K26" s="79"/>
      <c r="L26" s="76"/>
      <c r="M26" s="76">
        <f>Таблица21339902946781316172122[[#This Row],[113]]*Таблица21339902946781316172122[[#This Row],[15]]</f>
        <v>0</v>
      </c>
      <c r="N26" s="184"/>
    </row>
    <row r="27" spans="1:14" x14ac:dyDescent="0.2">
      <c r="A27" s="68">
        <v>21</v>
      </c>
      <c r="B27" s="77"/>
      <c r="C27" s="76"/>
      <c r="D27" s="18"/>
      <c r="E27" s="76"/>
      <c r="F27" s="71">
        <f>Таблица21339902946781316172122[[#This Row],[ ]]</f>
        <v>21</v>
      </c>
      <c r="G27" s="69"/>
      <c r="H27" s="78"/>
      <c r="I27" s="78"/>
      <c r="J27" s="78"/>
      <c r="K27" s="79"/>
      <c r="L27" s="76"/>
      <c r="M27" s="76">
        <f>Таблица21339902946781316172122[[#This Row],[113]]*Таблица21339902946781316172122[[#This Row],[15]]</f>
        <v>0</v>
      </c>
      <c r="N27" s="184"/>
    </row>
    <row r="28" spans="1:14" x14ac:dyDescent="0.2">
      <c r="A28" s="68">
        <v>22</v>
      </c>
      <c r="B28" s="77"/>
      <c r="C28" s="76"/>
      <c r="D28" s="18"/>
      <c r="E28" s="76"/>
      <c r="F28" s="71">
        <f>Таблица21339902946781316172122[[#This Row],[ ]]</f>
        <v>22</v>
      </c>
      <c r="G28" s="69"/>
      <c r="H28" s="78"/>
      <c r="I28" s="78"/>
      <c r="J28" s="78"/>
      <c r="K28" s="79"/>
      <c r="L28" s="76"/>
      <c r="M28" s="76">
        <f>Таблица21339902946781316172122[[#This Row],[113]]*Таблица21339902946781316172122[[#This Row],[15]]</f>
        <v>0</v>
      </c>
      <c r="N28" s="184"/>
    </row>
    <row r="29" spans="1:14" x14ac:dyDescent="0.2">
      <c r="A29" s="68">
        <v>23</v>
      </c>
      <c r="B29" s="77"/>
      <c r="C29" s="76"/>
      <c r="D29" s="18"/>
      <c r="E29" s="76"/>
      <c r="F29" s="71">
        <f>Таблица21339902946781316172122[[#This Row],[ ]]</f>
        <v>23</v>
      </c>
      <c r="G29" s="69"/>
      <c r="H29" s="78"/>
      <c r="I29" s="78"/>
      <c r="J29" s="78"/>
      <c r="K29" s="79"/>
      <c r="L29" s="76"/>
      <c r="M29" s="76">
        <f>Таблица21339902946781316172122[[#This Row],[113]]*Таблица21339902946781316172122[[#This Row],[15]]</f>
        <v>0</v>
      </c>
      <c r="N29" s="184"/>
    </row>
    <row r="30" spans="1:14" x14ac:dyDescent="0.2">
      <c r="A30" s="68">
        <v>24</v>
      </c>
      <c r="B30" s="77"/>
      <c r="C30" s="76"/>
      <c r="D30" s="18"/>
      <c r="E30" s="76"/>
      <c r="F30" s="71">
        <f>Таблица21339902946781316172122[[#This Row],[ ]]</f>
        <v>24</v>
      </c>
      <c r="G30" s="69"/>
      <c r="H30" s="78"/>
      <c r="I30" s="78"/>
      <c r="J30" s="78"/>
      <c r="K30" s="79"/>
      <c r="L30" s="76"/>
      <c r="M30" s="76">
        <f>Таблица21339902946781316172122[[#This Row],[113]]*Таблица21339902946781316172122[[#This Row],[15]]</f>
        <v>0</v>
      </c>
      <c r="N30" s="184"/>
    </row>
    <row r="31" spans="1:14" x14ac:dyDescent="0.2">
      <c r="A31" s="68">
        <v>25</v>
      </c>
      <c r="B31" s="77"/>
      <c r="C31" s="76"/>
      <c r="D31" s="97"/>
      <c r="E31" s="80"/>
      <c r="F31" s="71">
        <f>Таблица21339902946781316172122[[#This Row],[ ]]</f>
        <v>25</v>
      </c>
      <c r="G31" s="69"/>
      <c r="H31" s="78"/>
      <c r="I31" s="78"/>
      <c r="J31" s="78"/>
      <c r="K31" s="79"/>
      <c r="L31" s="76"/>
      <c r="M31" s="76">
        <f>Таблица21339902946781316172122[[#This Row],[113]]*Таблица21339902946781316172122[[#This Row],[15]]</f>
        <v>0</v>
      </c>
      <c r="N31" s="184"/>
    </row>
    <row r="32" spans="1:14" x14ac:dyDescent="0.2">
      <c r="A32" s="68">
        <v>26</v>
      </c>
      <c r="B32" s="77"/>
      <c r="C32" s="76"/>
      <c r="D32" s="76"/>
      <c r="E32" s="80"/>
      <c r="F32" s="71">
        <f>Таблица21339902946781316172122[[#This Row],[ ]]</f>
        <v>26</v>
      </c>
      <c r="G32" s="69"/>
      <c r="H32" s="78"/>
      <c r="I32" s="78"/>
      <c r="J32" s="78"/>
      <c r="K32" s="79"/>
      <c r="L32" s="76"/>
      <c r="M32" s="76">
        <f>Таблица21339902946781316172122[[#This Row],[113]]*Таблица21339902946781316172122[[#This Row],[15]]</f>
        <v>0</v>
      </c>
      <c r="N32" s="184"/>
    </row>
    <row r="33" spans="1:14" x14ac:dyDescent="0.2">
      <c r="A33" s="68">
        <v>27</v>
      </c>
      <c r="B33" s="77"/>
      <c r="C33" s="76"/>
      <c r="D33" s="76"/>
      <c r="E33" s="80"/>
      <c r="F33" s="71">
        <f>Таблица21339902946781316172122[[#This Row],[ ]]</f>
        <v>27</v>
      </c>
      <c r="G33" s="69"/>
      <c r="H33" s="78"/>
      <c r="I33" s="78"/>
      <c r="J33" s="78"/>
      <c r="K33" s="79"/>
      <c r="L33" s="76"/>
      <c r="M33" s="76">
        <f>Таблица21339902946781316172122[[#This Row],[113]]*Таблица21339902946781316172122[[#This Row],[15]]</f>
        <v>0</v>
      </c>
      <c r="N33" s="184"/>
    </row>
    <row r="34" spans="1:14" x14ac:dyDescent="0.2">
      <c r="A34" s="68">
        <v>28</v>
      </c>
      <c r="B34" s="77"/>
      <c r="C34" s="76"/>
      <c r="D34" s="76"/>
      <c r="E34" s="80"/>
      <c r="F34" s="71">
        <f>Таблица21339902946781316172122[[#This Row],[ ]]</f>
        <v>28</v>
      </c>
      <c r="G34" s="69"/>
      <c r="H34" s="78"/>
      <c r="I34" s="78"/>
      <c r="J34" s="78"/>
      <c r="K34" s="79"/>
      <c r="L34" s="76"/>
      <c r="M34" s="76">
        <f>Таблица21339902946781316172122[[#This Row],[113]]*Таблица21339902946781316172122[[#This Row],[15]]</f>
        <v>0</v>
      </c>
      <c r="N34" s="184"/>
    </row>
    <row r="35" spans="1:14" x14ac:dyDescent="0.2">
      <c r="A35" s="68">
        <v>29</v>
      </c>
      <c r="B35" s="77"/>
      <c r="C35" s="76"/>
      <c r="D35" s="76"/>
      <c r="E35" s="80"/>
      <c r="F35" s="71">
        <f>Таблица21339902946781316172122[[#This Row],[ ]]</f>
        <v>29</v>
      </c>
      <c r="G35" s="69"/>
      <c r="H35" s="78"/>
      <c r="I35" s="78"/>
      <c r="J35" s="78"/>
      <c r="K35" s="79"/>
      <c r="L35" s="76"/>
      <c r="M35" s="76">
        <f>Таблица21339902946781316172122[[#This Row],[113]]*Таблица21339902946781316172122[[#This Row],[15]]</f>
        <v>0</v>
      </c>
      <c r="N35" s="184"/>
    </row>
    <row r="36" spans="1:14" x14ac:dyDescent="0.2">
      <c r="A36" s="68">
        <v>30</v>
      </c>
      <c r="B36" s="77"/>
      <c r="C36" s="76"/>
      <c r="D36" s="76"/>
      <c r="E36" s="80"/>
      <c r="F36" s="71">
        <f>Таблица21339902946781316172122[[#This Row],[ ]]</f>
        <v>30</v>
      </c>
      <c r="G36" s="69"/>
      <c r="H36" s="78"/>
      <c r="I36" s="78"/>
      <c r="J36" s="78"/>
      <c r="K36" s="79"/>
      <c r="L36" s="76"/>
      <c r="M36" s="76">
        <f>Таблица21339902946781316172122[[#This Row],[113]]*Таблица21339902946781316172122[[#This Row],[15]]</f>
        <v>0</v>
      </c>
      <c r="N36" s="184"/>
    </row>
    <row r="37" spans="1:14" x14ac:dyDescent="0.2">
      <c r="A37" s="68">
        <v>31</v>
      </c>
      <c r="B37" s="77"/>
      <c r="C37" s="76"/>
      <c r="D37" s="76"/>
      <c r="E37" s="80"/>
      <c r="F37" s="71">
        <f>Таблица21339902946781316172122[[#This Row],[ ]]</f>
        <v>31</v>
      </c>
      <c r="G37" s="69"/>
      <c r="H37" s="78"/>
      <c r="I37" s="78"/>
      <c r="J37" s="78"/>
      <c r="K37" s="79"/>
      <c r="L37" s="76"/>
      <c r="M37" s="76">
        <f>Таблица21339902946781316172122[[#This Row],[113]]*Таблица21339902946781316172122[[#This Row],[15]]</f>
        <v>0</v>
      </c>
      <c r="N37" s="184"/>
    </row>
    <row r="38" spans="1:14" x14ac:dyDescent="0.2">
      <c r="A38" s="68">
        <v>32</v>
      </c>
      <c r="B38" s="77"/>
      <c r="C38" s="76"/>
      <c r="D38" s="76"/>
      <c r="E38" s="80"/>
      <c r="F38" s="71">
        <f>Таблица21339902946781316172122[[#This Row],[ ]]</f>
        <v>32</v>
      </c>
      <c r="G38" s="69"/>
      <c r="H38" s="78"/>
      <c r="I38" s="78"/>
      <c r="J38" s="78"/>
      <c r="K38" s="79"/>
      <c r="L38" s="76"/>
      <c r="M38" s="76">
        <f>Таблица21339902946781316172122[[#This Row],[113]]*Таблица21339902946781316172122[[#This Row],[15]]</f>
        <v>0</v>
      </c>
      <c r="N38" s="184"/>
    </row>
    <row r="39" spans="1:14" x14ac:dyDescent="0.2">
      <c r="A39" s="68">
        <v>33</v>
      </c>
      <c r="B39" s="77"/>
      <c r="C39" s="76"/>
      <c r="D39" s="18"/>
      <c r="E39" s="76"/>
      <c r="F39" s="71">
        <f>Таблица21339902946781316172122[[#This Row],[ ]]</f>
        <v>33</v>
      </c>
      <c r="G39" s="69"/>
      <c r="H39" s="78"/>
      <c r="I39" s="78"/>
      <c r="J39" s="78"/>
      <c r="K39" s="79"/>
      <c r="L39" s="76"/>
      <c r="M39" s="76">
        <f>Таблица21339902946781316172122[[#This Row],[113]]*Таблица21339902946781316172122[[#This Row],[15]]</f>
        <v>0</v>
      </c>
      <c r="N39" s="184"/>
    </row>
    <row r="40" spans="1:14" x14ac:dyDescent="0.2">
      <c r="A40" s="68">
        <v>34</v>
      </c>
      <c r="B40" s="77"/>
      <c r="C40" s="76"/>
      <c r="D40" s="76"/>
      <c r="E40" s="80"/>
      <c r="F40" s="71">
        <f>Таблица21339902946781316172122[[#This Row],[ ]]</f>
        <v>34</v>
      </c>
      <c r="G40" s="69"/>
      <c r="H40" s="78"/>
      <c r="I40" s="78"/>
      <c r="J40" s="78"/>
      <c r="K40" s="79"/>
      <c r="L40" s="76"/>
      <c r="M40" s="76">
        <f>Таблица21339902946781316172122[[#This Row],[113]]*Таблица21339902946781316172122[[#This Row],[15]]</f>
        <v>0</v>
      </c>
      <c r="N40" s="184"/>
    </row>
    <row r="41" spans="1:14" x14ac:dyDescent="0.2">
      <c r="A41" s="68">
        <v>35</v>
      </c>
      <c r="B41" s="77"/>
      <c r="C41" s="76"/>
      <c r="D41" s="76"/>
      <c r="E41" s="80"/>
      <c r="F41" s="71">
        <f>Таблица21339902946781316172122[[#This Row],[ ]]</f>
        <v>35</v>
      </c>
      <c r="G41" s="69"/>
      <c r="H41" s="78"/>
      <c r="I41" s="78"/>
      <c r="J41" s="78"/>
      <c r="K41" s="79"/>
      <c r="L41" s="76"/>
      <c r="M41" s="76">
        <f>Таблица21339902946781316172122[[#This Row],[113]]*Таблица21339902946781316172122[[#This Row],[15]]</f>
        <v>0</v>
      </c>
      <c r="N41" s="184"/>
    </row>
    <row r="42" spans="1:14" x14ac:dyDescent="0.2">
      <c r="A42" s="68">
        <v>36</v>
      </c>
      <c r="B42" s="77"/>
      <c r="C42" s="76"/>
      <c r="D42" s="76"/>
      <c r="E42" s="80"/>
      <c r="F42" s="71">
        <f>Таблица21339902946781316172122[[#This Row],[ ]]</f>
        <v>36</v>
      </c>
      <c r="G42" s="69"/>
      <c r="H42" s="78"/>
      <c r="I42" s="78"/>
      <c r="J42" s="78"/>
      <c r="K42" s="79"/>
      <c r="L42" s="76"/>
      <c r="M42" s="76">
        <f>Таблица21339902946781316172122[[#This Row],[113]]*Таблица21339902946781316172122[[#This Row],[15]]</f>
        <v>0</v>
      </c>
      <c r="N42" s="184"/>
    </row>
    <row r="43" spans="1:14" x14ac:dyDescent="0.2">
      <c r="A43" s="68">
        <v>37</v>
      </c>
      <c r="B43" s="77"/>
      <c r="C43" s="76"/>
      <c r="D43" s="76"/>
      <c r="E43" s="80"/>
      <c r="F43" s="71">
        <f>Таблица21339902946781316172122[[#This Row],[ ]]</f>
        <v>37</v>
      </c>
      <c r="G43" s="69"/>
      <c r="H43" s="78"/>
      <c r="I43" s="78"/>
      <c r="J43" s="78"/>
      <c r="K43" s="79"/>
      <c r="L43" s="76"/>
      <c r="M43" s="76">
        <f>Таблица21339902946781316172122[[#This Row],[113]]*Таблица21339902946781316172122[[#This Row],[15]]</f>
        <v>0</v>
      </c>
      <c r="N43" s="184"/>
    </row>
    <row r="44" spans="1:14" x14ac:dyDescent="0.2">
      <c r="A44" s="68">
        <v>38</v>
      </c>
      <c r="B44" s="77"/>
      <c r="C44" s="76"/>
      <c r="D44" s="76"/>
      <c r="E44" s="80"/>
      <c r="F44" s="71">
        <f>Таблица21339902946781316172122[[#This Row],[ ]]</f>
        <v>38</v>
      </c>
      <c r="G44" s="69"/>
      <c r="H44" s="78"/>
      <c r="I44" s="78"/>
      <c r="J44" s="78"/>
      <c r="K44" s="79"/>
      <c r="L44" s="76"/>
      <c r="M44" s="76">
        <f>Таблица21339902946781316172122[[#This Row],[113]]*Таблица21339902946781316172122[[#This Row],[15]]</f>
        <v>0</v>
      </c>
      <c r="N44" s="184"/>
    </row>
    <row r="45" spans="1:14" x14ac:dyDescent="0.2">
      <c r="A45" s="68">
        <v>39</v>
      </c>
      <c r="B45" s="77"/>
      <c r="C45" s="76"/>
      <c r="D45" s="76"/>
      <c r="E45" s="80"/>
      <c r="F45" s="71">
        <f>Таблица21339902946781316172122[[#This Row],[ ]]</f>
        <v>39</v>
      </c>
      <c r="G45" s="69"/>
      <c r="H45" s="78"/>
      <c r="I45" s="78"/>
      <c r="J45" s="78"/>
      <c r="K45" s="79"/>
      <c r="L45" s="76"/>
      <c r="M45" s="76">
        <f>Таблица21339902946781316172122[[#This Row],[113]]*Таблица21339902946781316172122[[#This Row],[15]]</f>
        <v>0</v>
      </c>
      <c r="N45" s="184"/>
    </row>
    <row r="46" spans="1:14" x14ac:dyDescent="0.2">
      <c r="A46" s="68">
        <v>40</v>
      </c>
      <c r="B46" s="77"/>
      <c r="C46" s="76"/>
      <c r="D46" s="76"/>
      <c r="E46" s="80"/>
      <c r="F46" s="71">
        <f>Таблица21339902946781316172122[[#This Row],[ ]]</f>
        <v>40</v>
      </c>
      <c r="G46" s="69"/>
      <c r="H46" s="78"/>
      <c r="I46" s="78"/>
      <c r="J46" s="78"/>
      <c r="K46" s="79"/>
      <c r="L46" s="76"/>
      <c r="M46" s="76">
        <f>Таблица21339902946781316172122[[#This Row],[113]]*Таблица21339902946781316172122[[#This Row],[15]]</f>
        <v>0</v>
      </c>
      <c r="N46" s="184"/>
    </row>
    <row r="47" spans="1:14" x14ac:dyDescent="0.2">
      <c r="A47" s="68">
        <v>41</v>
      </c>
      <c r="B47" s="77"/>
      <c r="C47" s="76"/>
      <c r="D47" s="76"/>
      <c r="E47" s="80"/>
      <c r="F47" s="71">
        <f>Таблица21339902946781316172122[[#This Row],[ ]]</f>
        <v>41</v>
      </c>
      <c r="G47" s="69"/>
      <c r="H47" s="78"/>
      <c r="I47" s="78"/>
      <c r="J47" s="78"/>
      <c r="K47" s="79"/>
      <c r="L47" s="76"/>
      <c r="M47" s="76">
        <f>Таблица21339902946781316172122[[#This Row],[113]]*Таблица21339902946781316172122[[#This Row],[15]]</f>
        <v>0</v>
      </c>
      <c r="N47" s="184"/>
    </row>
    <row r="48" spans="1:14" x14ac:dyDescent="0.2">
      <c r="A48" s="68">
        <v>42</v>
      </c>
      <c r="B48" s="77"/>
      <c r="C48" s="76"/>
      <c r="D48" s="76"/>
      <c r="E48" s="80"/>
      <c r="F48" s="71">
        <f>Таблица21339902946781316172122[[#This Row],[ ]]</f>
        <v>42</v>
      </c>
      <c r="G48" s="69"/>
      <c r="H48" s="78"/>
      <c r="I48" s="78"/>
      <c r="J48" s="78"/>
      <c r="K48" s="79"/>
      <c r="L48" s="76"/>
      <c r="M48" s="76">
        <f>Таблица21339902946781316172122[[#This Row],[113]]*Таблица21339902946781316172122[[#This Row],[15]]</f>
        <v>0</v>
      </c>
      <c r="N48" s="184"/>
    </row>
    <row r="49" spans="1:14" x14ac:dyDescent="0.2">
      <c r="A49" s="68">
        <v>43</v>
      </c>
      <c r="B49" s="77"/>
      <c r="C49" s="76"/>
      <c r="D49" s="76"/>
      <c r="E49" s="80"/>
      <c r="F49" s="71">
        <f>Таблица21339902946781316172122[[#This Row],[ ]]</f>
        <v>43</v>
      </c>
      <c r="G49" s="69"/>
      <c r="H49" s="78"/>
      <c r="I49" s="78"/>
      <c r="J49" s="78"/>
      <c r="K49" s="79"/>
      <c r="L49" s="76"/>
      <c r="M49" s="76">
        <f>Таблица21339902946781316172122[[#This Row],[113]]*Таблица21339902946781316172122[[#This Row],[15]]</f>
        <v>0</v>
      </c>
      <c r="N49" s="186"/>
    </row>
    <row r="50" spans="1:14" x14ac:dyDescent="0.2">
      <c r="A50" s="82"/>
      <c r="B50" s="45"/>
      <c r="C50" s="76">
        <f>SUBTOTAL(109,Таблица21339902946781316172122[2])</f>
        <v>104400000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SUBTOTAL(109,Таблица21339902946781316172122[1132])</f>
        <v>38</v>
      </c>
      <c r="L50" s="88"/>
      <c r="M50" s="88">
        <f>SUBTOTAL(109,Таблица21339902946781316172122[16])</f>
        <v>45964800</v>
      </c>
      <c r="N50" s="86"/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phoneticPr fontId="2" type="noConversion"/>
  <hyperlinks>
    <hyperlink ref="D1" location="'Свод Завод'!A1" display="6-Мамун Университети" xr:uid="{655ED99D-9BC7-415A-9606-78E4D70BD9CC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D24A-588B-41D7-9A59-D53CCD3DEADD}">
  <dimension ref="A1:Q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7" ht="18" customHeight="1" x14ac:dyDescent="0.3">
      <c r="A1" s="90"/>
      <c r="B1" s="91"/>
      <c r="C1" s="92" t="s">
        <v>26</v>
      </c>
      <c r="D1" s="111" t="s">
        <v>274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7" ht="20.25" x14ac:dyDescent="0.2">
      <c r="A2" s="226" t="s">
        <v>25</v>
      </c>
      <c r="B2" s="226"/>
      <c r="C2" s="227"/>
      <c r="D2" s="227"/>
      <c r="E2" s="196"/>
      <c r="F2" s="237">
        <f>Таблица2133990294678131617212223[[#Totals],[2]]+-Таблица2133990294678131617212223[[#Totals],[16]]</f>
        <v>40964800</v>
      </c>
      <c r="G2" s="238"/>
    </row>
    <row r="3" spans="1:17" ht="15" customHeight="1" x14ac:dyDescent="0.2">
      <c r="A3" s="228" t="s">
        <v>27</v>
      </c>
      <c r="B3" s="228" t="s">
        <v>9</v>
      </c>
      <c r="C3" s="197" t="s">
        <v>19</v>
      </c>
      <c r="D3" s="197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7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7" ht="15.75" x14ac:dyDescent="0.2">
      <c r="A5" s="228"/>
      <c r="B5" s="228"/>
      <c r="C5" s="95">
        <f>Таблица2133990294678131617212223[[#Totals],[2]]</f>
        <v>40964800</v>
      </c>
      <c r="D5" s="64"/>
      <c r="E5" s="106">
        <f>SUM(Таблица2133990294678131617212223[4])</f>
        <v>0</v>
      </c>
      <c r="F5" s="233"/>
      <c r="G5" s="233"/>
      <c r="H5" s="233"/>
      <c r="I5" s="224"/>
      <c r="J5" s="154">
        <f>SUM(Таблица2133990294678131617212223[113])</f>
        <v>0</v>
      </c>
      <c r="K5" s="65">
        <f>Таблица2133990294678131617212223[[#Totals],[1132]]</f>
        <v>0</v>
      </c>
      <c r="L5" s="233"/>
      <c r="M5" s="198">
        <f>Таблица2133990294678131617212223[[#Totals],[16]]</f>
        <v>0</v>
      </c>
    </row>
    <row r="6" spans="1:17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7" ht="15" x14ac:dyDescent="0.2">
      <c r="A7" s="68">
        <v>1</v>
      </c>
      <c r="B7" s="69">
        <v>46217</v>
      </c>
      <c r="C7" s="70">
        <v>40964800</v>
      </c>
      <c r="D7" s="18" t="s">
        <v>275</v>
      </c>
      <c r="E7" s="76"/>
      <c r="F7" s="71">
        <f>Таблица2133990294678131617212223[[#This Row],[ ]]</f>
        <v>1</v>
      </c>
      <c r="G7" s="18"/>
      <c r="H7" s="72"/>
      <c r="I7" s="73"/>
      <c r="J7" s="74"/>
      <c r="K7" s="75"/>
      <c r="L7" s="71"/>
      <c r="M7" s="76">
        <f>Таблица2133990294678131617212223[[#This Row],[113]]*Таблица2133990294678131617212223[[#This Row],[15]]</f>
        <v>0</v>
      </c>
    </row>
    <row r="8" spans="1:17" x14ac:dyDescent="0.2">
      <c r="A8" s="68">
        <v>2</v>
      </c>
      <c r="B8" s="69"/>
      <c r="C8" s="76"/>
      <c r="D8" s="18"/>
      <c r="E8" s="76"/>
      <c r="F8" s="71">
        <f>Таблица2133990294678131617212223[[#This Row],[ ]]</f>
        <v>2</v>
      </c>
      <c r="G8" s="69"/>
      <c r="H8" s="78"/>
      <c r="I8" s="78"/>
      <c r="J8" s="78"/>
      <c r="K8" s="76"/>
      <c r="L8" s="79"/>
      <c r="M8" s="76">
        <f>Таблица2133990294678131617212223[[#This Row],[113]]*Таблица2133990294678131617212223[[#This Row],[15]]</f>
        <v>0</v>
      </c>
    </row>
    <row r="9" spans="1:17" x14ac:dyDescent="0.2">
      <c r="A9" s="68">
        <v>3</v>
      </c>
      <c r="B9" s="77"/>
      <c r="C9" s="76"/>
      <c r="D9" s="18"/>
      <c r="E9" s="76"/>
      <c r="F9" s="71">
        <f>Таблица2133990294678131617212223[[#This Row],[ ]]</f>
        <v>3</v>
      </c>
      <c r="G9" s="69"/>
      <c r="H9" s="78"/>
      <c r="I9" s="78"/>
      <c r="J9" s="78"/>
      <c r="K9" s="76"/>
      <c r="L9" s="79"/>
      <c r="M9" s="76">
        <f>Таблица2133990294678131617212223[[#This Row],[113]]*Таблица2133990294678131617212223[[#This Row],[15]]</f>
        <v>0</v>
      </c>
      <c r="Q9" s="1" t="s">
        <v>274</v>
      </c>
    </row>
    <row r="10" spans="1:17" x14ac:dyDescent="0.2">
      <c r="A10" s="68">
        <v>4</v>
      </c>
      <c r="B10" s="77"/>
      <c r="C10" s="76"/>
      <c r="D10" s="18"/>
      <c r="E10" s="76"/>
      <c r="F10" s="71">
        <f>Таблица2133990294678131617212223[[#This Row],[ ]]</f>
        <v>4</v>
      </c>
      <c r="G10" s="69"/>
      <c r="H10" s="78"/>
      <c r="I10" s="78"/>
      <c r="J10" s="78"/>
      <c r="K10" s="76"/>
      <c r="L10" s="79"/>
      <c r="M10" s="76">
        <f>Таблица2133990294678131617212223[[#This Row],[113]]*Таблица2133990294678131617212223[[#This Row],[15]]</f>
        <v>0</v>
      </c>
    </row>
    <row r="11" spans="1:17" x14ac:dyDescent="0.2">
      <c r="A11" s="68">
        <v>5</v>
      </c>
      <c r="B11" s="77"/>
      <c r="C11" s="76"/>
      <c r="D11" s="18"/>
      <c r="E11" s="76"/>
      <c r="F11" s="71">
        <f>Таблица2133990294678131617212223[[#This Row],[ ]]</f>
        <v>5</v>
      </c>
      <c r="G11" s="69"/>
      <c r="H11" s="78"/>
      <c r="I11" s="78"/>
      <c r="J11" s="78"/>
      <c r="K11" s="76"/>
      <c r="L11" s="79"/>
      <c r="M11" s="76">
        <f>Таблица2133990294678131617212223[[#This Row],[113]]*Таблица2133990294678131617212223[[#This Row],[15]]</f>
        <v>0</v>
      </c>
    </row>
    <row r="12" spans="1:17" x14ac:dyDescent="0.2">
      <c r="A12" s="68">
        <v>6</v>
      </c>
      <c r="B12" s="77"/>
      <c r="C12" s="76"/>
      <c r="D12" s="18"/>
      <c r="E12" s="76"/>
      <c r="F12" s="71">
        <f>Таблица2133990294678131617212223[[#This Row],[ ]]</f>
        <v>6</v>
      </c>
      <c r="G12" s="69"/>
      <c r="H12" s="78"/>
      <c r="I12" s="78"/>
      <c r="J12" s="78"/>
      <c r="K12" s="76"/>
      <c r="L12" s="79"/>
      <c r="M12" s="76">
        <f>Таблица2133990294678131617212223[[#This Row],[113]]*Таблица2133990294678131617212223[[#This Row],[15]]</f>
        <v>0</v>
      </c>
    </row>
    <row r="13" spans="1:17" x14ac:dyDescent="0.2">
      <c r="A13" s="68">
        <v>7</v>
      </c>
      <c r="B13" s="77"/>
      <c r="C13" s="76"/>
      <c r="D13" s="18"/>
      <c r="E13" s="76"/>
      <c r="F13" s="71">
        <f>Таблица2133990294678131617212223[[#This Row],[ ]]</f>
        <v>7</v>
      </c>
      <c r="G13" s="69"/>
      <c r="H13" s="78"/>
      <c r="I13" s="78"/>
      <c r="J13" s="78"/>
      <c r="K13" s="79"/>
      <c r="L13" s="76"/>
      <c r="M13" s="76">
        <f>Таблица2133990294678131617212223[[#This Row],[113]]*Таблица2133990294678131617212223[[#This Row],[15]]</f>
        <v>0</v>
      </c>
    </row>
    <row r="14" spans="1:17" x14ac:dyDescent="0.2">
      <c r="A14" s="68">
        <v>8</v>
      </c>
      <c r="B14" s="77"/>
      <c r="C14" s="76"/>
      <c r="D14" s="18"/>
      <c r="E14" s="76"/>
      <c r="F14" s="71">
        <f>Таблица2133990294678131617212223[[#This Row],[ ]]</f>
        <v>8</v>
      </c>
      <c r="G14" s="69"/>
      <c r="H14" s="78"/>
      <c r="I14" s="78"/>
      <c r="J14" s="78"/>
      <c r="K14" s="79"/>
      <c r="L14" s="76"/>
      <c r="M14" s="76">
        <f>Таблица2133990294678131617212223[[#This Row],[113]]*Таблица2133990294678131617212223[[#This Row],[15]]</f>
        <v>0</v>
      </c>
    </row>
    <row r="15" spans="1:17" x14ac:dyDescent="0.2">
      <c r="A15" s="68">
        <v>9</v>
      </c>
      <c r="B15" s="77"/>
      <c r="C15" s="76"/>
      <c r="D15" s="18"/>
      <c r="E15" s="76"/>
      <c r="F15" s="71">
        <f>Таблица2133990294678131617212223[[#This Row],[ ]]</f>
        <v>9</v>
      </c>
      <c r="G15" s="69"/>
      <c r="H15" s="78"/>
      <c r="I15" s="78"/>
      <c r="J15" s="78"/>
      <c r="K15" s="79"/>
      <c r="L15" s="76"/>
      <c r="M15" s="76">
        <f>Таблица2133990294678131617212223[[#This Row],[113]]*Таблица2133990294678131617212223[[#This Row],[15]]</f>
        <v>0</v>
      </c>
    </row>
    <row r="16" spans="1:17" x14ac:dyDescent="0.2">
      <c r="A16" s="68">
        <v>10</v>
      </c>
      <c r="B16" s="77"/>
      <c r="C16" s="76"/>
      <c r="D16" s="18"/>
      <c r="E16" s="76"/>
      <c r="F16" s="71">
        <f>Таблица2133990294678131617212223[[#This Row],[ ]]</f>
        <v>10</v>
      </c>
      <c r="G16" s="69"/>
      <c r="H16" s="78"/>
      <c r="I16" s="78"/>
      <c r="J16" s="78"/>
      <c r="K16" s="79"/>
      <c r="L16" s="76"/>
      <c r="M16" s="76">
        <f>Таблица2133990294678131617212223[[#This Row],[113]]*Таблица2133990294678131617212223[[#This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Таблица2133990294678131617212223[[#This Row],[ ]]</f>
        <v>11</v>
      </c>
      <c r="G17" s="69"/>
      <c r="H17" s="78"/>
      <c r="I17" s="78"/>
      <c r="J17" s="78"/>
      <c r="K17" s="79"/>
      <c r="L17" s="76"/>
      <c r="M17" s="76">
        <f>Таблица2133990294678131617212223[[#This Row],[113]]*Таблица2133990294678131617212223[[#This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Таблица2133990294678131617212223[[#This Row],[ ]]</f>
        <v>12</v>
      </c>
      <c r="G18" s="69"/>
      <c r="H18" s="78"/>
      <c r="I18" s="78"/>
      <c r="J18" s="78"/>
      <c r="K18" s="79"/>
      <c r="L18" s="76"/>
      <c r="M18" s="76">
        <f>Таблица2133990294678131617212223[[#This Row],[113]]*Таблица2133990294678131617212223[[#This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Таблица2133990294678131617212223[[#This Row],[ ]]</f>
        <v>13</v>
      </c>
      <c r="G19" s="69"/>
      <c r="H19" s="78"/>
      <c r="I19" s="78"/>
      <c r="J19" s="78"/>
      <c r="K19" s="79"/>
      <c r="L19" s="76"/>
      <c r="M19" s="76">
        <f>Таблица2133990294678131617212223[[#This Row],[113]]*Таблица2133990294678131617212223[[#This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Таблица2133990294678131617212223[[#This Row],[ ]]</f>
        <v>14</v>
      </c>
      <c r="G20" s="69"/>
      <c r="H20" s="78"/>
      <c r="I20" s="78"/>
      <c r="J20" s="78"/>
      <c r="K20" s="79"/>
      <c r="L20" s="76"/>
      <c r="M20" s="76">
        <f>Таблица2133990294678131617212223[[#This Row],[113]]*Таблица2133990294678131617212223[[#This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Таблица2133990294678131617212223[[#This Row],[ ]]</f>
        <v>15</v>
      </c>
      <c r="G21" s="69"/>
      <c r="H21" s="78"/>
      <c r="I21" s="78"/>
      <c r="J21" s="78"/>
      <c r="K21" s="79"/>
      <c r="L21" s="76"/>
      <c r="M21" s="76">
        <f>Таблица2133990294678131617212223[[#This Row],[113]]*Таблица2133990294678131617212223[[#This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Таблица2133990294678131617212223[[#This Row],[ ]]</f>
        <v>16</v>
      </c>
      <c r="G22" s="69"/>
      <c r="H22" s="78"/>
      <c r="I22" s="78"/>
      <c r="J22" s="78"/>
      <c r="K22" s="79"/>
      <c r="L22" s="76"/>
      <c r="M22" s="76">
        <f>Таблица2133990294678131617212223[[#This Row],[113]]*Таблица2133990294678131617212223[[#This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Таблица2133990294678131617212223[[#This Row],[ ]]</f>
        <v>17</v>
      </c>
      <c r="G23" s="69"/>
      <c r="H23" s="78"/>
      <c r="I23" s="78"/>
      <c r="J23" s="78"/>
      <c r="K23" s="79"/>
      <c r="L23" s="76"/>
      <c r="M23" s="76">
        <f>Таблица2133990294678131617212223[[#This Row],[113]]*Таблица2133990294678131617212223[[#This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Таблица2133990294678131617212223[[#This Row],[ ]]</f>
        <v>18</v>
      </c>
      <c r="G24" s="69"/>
      <c r="H24" s="78"/>
      <c r="I24" s="78"/>
      <c r="J24" s="78"/>
      <c r="K24" s="79"/>
      <c r="L24" s="76"/>
      <c r="M24" s="76">
        <f>Таблица2133990294678131617212223[[#This Row],[113]]*Таблица2133990294678131617212223[[#This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Таблица2133990294678131617212223[[#This Row],[ ]]</f>
        <v>19</v>
      </c>
      <c r="G25" s="69"/>
      <c r="H25" s="78"/>
      <c r="I25" s="78"/>
      <c r="J25" s="78"/>
      <c r="K25" s="79"/>
      <c r="L25" s="76"/>
      <c r="M25" s="76">
        <f>Таблица2133990294678131617212223[[#This Row],[113]]*Таблица2133990294678131617212223[[#This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Таблица2133990294678131617212223[[#This Row],[ ]]</f>
        <v>20</v>
      </c>
      <c r="G26" s="69"/>
      <c r="H26" s="78"/>
      <c r="I26" s="78"/>
      <c r="J26" s="78"/>
      <c r="K26" s="79"/>
      <c r="L26" s="76"/>
      <c r="M26" s="76">
        <f>Таблица2133990294678131617212223[[#This Row],[113]]*Таблица2133990294678131617212223[[#This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Таблица2133990294678131617212223[[#This Row],[ ]]</f>
        <v>21</v>
      </c>
      <c r="G27" s="69"/>
      <c r="H27" s="78"/>
      <c r="I27" s="78"/>
      <c r="J27" s="78"/>
      <c r="K27" s="79"/>
      <c r="L27" s="76"/>
      <c r="M27" s="76">
        <f>Таблица2133990294678131617212223[[#This Row],[113]]*Таблица2133990294678131617212223[[#This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Таблица2133990294678131617212223[[#This Row],[ ]]</f>
        <v>22</v>
      </c>
      <c r="G28" s="69"/>
      <c r="H28" s="78"/>
      <c r="I28" s="78"/>
      <c r="J28" s="78"/>
      <c r="K28" s="79"/>
      <c r="L28" s="76"/>
      <c r="M28" s="76">
        <f>Таблица2133990294678131617212223[[#This Row],[113]]*Таблица2133990294678131617212223[[#This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Таблица2133990294678131617212223[[#This Row],[ ]]</f>
        <v>23</v>
      </c>
      <c r="G29" s="69"/>
      <c r="H29" s="78"/>
      <c r="I29" s="78"/>
      <c r="J29" s="78"/>
      <c r="K29" s="79"/>
      <c r="L29" s="76"/>
      <c r="M29" s="76">
        <f>Таблица2133990294678131617212223[[#This Row],[113]]*Таблица2133990294678131617212223[[#This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Таблица2133990294678131617212223[[#This Row],[ ]]</f>
        <v>24</v>
      </c>
      <c r="G30" s="69"/>
      <c r="H30" s="78"/>
      <c r="I30" s="78"/>
      <c r="J30" s="78"/>
      <c r="K30" s="79"/>
      <c r="L30" s="76"/>
      <c r="M30" s="76">
        <f>Таблица2133990294678131617212223[[#This Row],[113]]*Таблица2133990294678131617212223[[#This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Таблица2133990294678131617212223[[#This Row],[ ]]</f>
        <v>25</v>
      </c>
      <c r="G31" s="69"/>
      <c r="H31" s="78"/>
      <c r="I31" s="78"/>
      <c r="J31" s="78"/>
      <c r="K31" s="79"/>
      <c r="L31" s="76"/>
      <c r="M31" s="76">
        <f>Таблица2133990294678131617212223[[#This Row],[113]]*Таблица2133990294678131617212223[[#This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Таблица2133990294678131617212223[[#This Row],[ ]]</f>
        <v>26</v>
      </c>
      <c r="G32" s="69"/>
      <c r="H32" s="78"/>
      <c r="I32" s="78"/>
      <c r="J32" s="78"/>
      <c r="K32" s="79"/>
      <c r="L32" s="76"/>
      <c r="M32" s="76">
        <f>Таблица2133990294678131617212223[[#This Row],[113]]*Таблица2133990294678131617212223[[#This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Таблица2133990294678131617212223[[#This Row],[ ]]</f>
        <v>27</v>
      </c>
      <c r="G33" s="69"/>
      <c r="H33" s="78"/>
      <c r="I33" s="78"/>
      <c r="J33" s="78"/>
      <c r="K33" s="79"/>
      <c r="L33" s="76"/>
      <c r="M33" s="76">
        <f>Таблица2133990294678131617212223[[#This Row],[113]]*Таблица2133990294678131617212223[[#This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Таблица2133990294678131617212223[[#This Row],[ ]]</f>
        <v>28</v>
      </c>
      <c r="G34" s="69"/>
      <c r="H34" s="78"/>
      <c r="I34" s="78"/>
      <c r="J34" s="78"/>
      <c r="K34" s="79"/>
      <c r="L34" s="76"/>
      <c r="M34" s="76">
        <f>Таблица2133990294678131617212223[[#This Row],[113]]*Таблица2133990294678131617212223[[#This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Таблица2133990294678131617212223[[#This Row],[ ]]</f>
        <v>29</v>
      </c>
      <c r="G35" s="69"/>
      <c r="H35" s="78"/>
      <c r="I35" s="78"/>
      <c r="J35" s="78"/>
      <c r="K35" s="79"/>
      <c r="L35" s="76"/>
      <c r="M35" s="76">
        <f>Таблица2133990294678131617212223[[#This Row],[113]]*Таблица2133990294678131617212223[[#This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Таблица2133990294678131617212223[[#This Row],[ ]]</f>
        <v>30</v>
      </c>
      <c r="G36" s="69"/>
      <c r="H36" s="78"/>
      <c r="I36" s="78"/>
      <c r="J36" s="78"/>
      <c r="K36" s="79"/>
      <c r="L36" s="76"/>
      <c r="M36" s="76">
        <f>Таблица2133990294678131617212223[[#This Row],[113]]*Таблица2133990294678131617212223[[#This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Таблица2133990294678131617212223[[#This Row],[ ]]</f>
        <v>31</v>
      </c>
      <c r="G37" s="69"/>
      <c r="H37" s="78"/>
      <c r="I37" s="78"/>
      <c r="J37" s="78"/>
      <c r="K37" s="79"/>
      <c r="L37" s="76"/>
      <c r="M37" s="76">
        <f>Таблица2133990294678131617212223[[#This Row],[113]]*Таблица2133990294678131617212223[[#This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Таблица2133990294678131617212223[[#This Row],[ ]]</f>
        <v>32</v>
      </c>
      <c r="G38" s="69"/>
      <c r="H38" s="78"/>
      <c r="I38" s="78"/>
      <c r="J38" s="78"/>
      <c r="K38" s="79"/>
      <c r="L38" s="76"/>
      <c r="M38" s="76">
        <f>Таблица2133990294678131617212223[[#This Row],[113]]*Таблица2133990294678131617212223[[#This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Таблица2133990294678131617212223[[#This Row],[ ]]</f>
        <v>33</v>
      </c>
      <c r="G39" s="69"/>
      <c r="H39" s="78"/>
      <c r="I39" s="78"/>
      <c r="J39" s="78"/>
      <c r="K39" s="79"/>
      <c r="L39" s="76"/>
      <c r="M39" s="76">
        <f>Таблица2133990294678131617212223[[#This Row],[113]]*Таблица2133990294678131617212223[[#This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Таблица2133990294678131617212223[[#This Row],[ ]]</f>
        <v>34</v>
      </c>
      <c r="G40" s="69"/>
      <c r="H40" s="78"/>
      <c r="I40" s="78"/>
      <c r="J40" s="78"/>
      <c r="K40" s="79"/>
      <c r="L40" s="76"/>
      <c r="M40" s="76">
        <f>Таблица2133990294678131617212223[[#This Row],[113]]*Таблица2133990294678131617212223[[#This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Таблица2133990294678131617212223[[#This Row],[ ]]</f>
        <v>35</v>
      </c>
      <c r="G41" s="69"/>
      <c r="H41" s="78"/>
      <c r="I41" s="78"/>
      <c r="J41" s="78"/>
      <c r="K41" s="79"/>
      <c r="L41" s="76"/>
      <c r="M41" s="76">
        <f>Таблица2133990294678131617212223[[#This Row],[113]]*Таблица2133990294678131617212223[[#This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Таблица2133990294678131617212223[[#This Row],[ ]]</f>
        <v>36</v>
      </c>
      <c r="G42" s="69"/>
      <c r="H42" s="78"/>
      <c r="I42" s="78"/>
      <c r="J42" s="78"/>
      <c r="K42" s="79"/>
      <c r="L42" s="76"/>
      <c r="M42" s="76">
        <f>Таблица2133990294678131617212223[[#This Row],[113]]*Таблица2133990294678131617212223[[#This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Таблица2133990294678131617212223[[#This Row],[ ]]</f>
        <v>37</v>
      </c>
      <c r="G43" s="69"/>
      <c r="H43" s="78"/>
      <c r="I43" s="78"/>
      <c r="J43" s="78"/>
      <c r="K43" s="79"/>
      <c r="L43" s="76"/>
      <c r="M43" s="76">
        <f>Таблица2133990294678131617212223[[#This Row],[113]]*Таблица2133990294678131617212223[[#This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Таблица2133990294678131617212223[[#This Row],[ ]]</f>
        <v>38</v>
      </c>
      <c r="G44" s="69"/>
      <c r="H44" s="78"/>
      <c r="I44" s="78"/>
      <c r="J44" s="78"/>
      <c r="K44" s="79"/>
      <c r="L44" s="76"/>
      <c r="M44" s="76">
        <f>Таблица2133990294678131617212223[[#This Row],[113]]*Таблица2133990294678131617212223[[#This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Таблица2133990294678131617212223[[#This Row],[ ]]</f>
        <v>39</v>
      </c>
      <c r="G45" s="69"/>
      <c r="H45" s="78"/>
      <c r="I45" s="78"/>
      <c r="J45" s="78"/>
      <c r="K45" s="79"/>
      <c r="L45" s="76"/>
      <c r="M45" s="76">
        <f>Таблица2133990294678131617212223[[#This Row],[113]]*Таблица2133990294678131617212223[[#This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Таблица2133990294678131617212223[[#This Row],[ ]]</f>
        <v>40</v>
      </c>
      <c r="G46" s="69"/>
      <c r="H46" s="78"/>
      <c r="I46" s="78"/>
      <c r="J46" s="78"/>
      <c r="K46" s="79"/>
      <c r="L46" s="76"/>
      <c r="M46" s="76">
        <f>Таблица2133990294678131617212223[[#This Row],[113]]*Таблица2133990294678131617212223[[#This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Таблица2133990294678131617212223[[#This Row],[ ]]</f>
        <v>41</v>
      </c>
      <c r="G47" s="69"/>
      <c r="H47" s="78"/>
      <c r="I47" s="78"/>
      <c r="J47" s="78"/>
      <c r="K47" s="79"/>
      <c r="L47" s="76"/>
      <c r="M47" s="76">
        <f>Таблица2133990294678131617212223[[#This Row],[113]]*Таблица2133990294678131617212223[[#This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Таблица2133990294678131617212223[[#This Row],[ ]]</f>
        <v>42</v>
      </c>
      <c r="G48" s="69"/>
      <c r="H48" s="78"/>
      <c r="I48" s="78"/>
      <c r="J48" s="78"/>
      <c r="K48" s="79"/>
      <c r="L48" s="76"/>
      <c r="M48" s="76">
        <f>Таблица2133990294678131617212223[[#This Row],[113]]*Таблица2133990294678131617212223[[#This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Таблица2133990294678131617212223[[#This Row],[ ]]</f>
        <v>43</v>
      </c>
      <c r="G49" s="69"/>
      <c r="H49" s="78"/>
      <c r="I49" s="78"/>
      <c r="J49" s="78"/>
      <c r="K49" s="79"/>
      <c r="L49" s="76"/>
      <c r="M49" s="76">
        <f>Таблица2133990294678131617212223[[#This Row],[113]]*Таблица2133990294678131617212223[[#This Row],[15]]</f>
        <v>0</v>
      </c>
    </row>
    <row r="50" spans="1:13" x14ac:dyDescent="0.2">
      <c r="A50" s="82"/>
      <c r="B50" s="45"/>
      <c r="C50" s="76">
        <f>SUBTOTAL(109,Таблица2133990294678131617212223[2])</f>
        <v>40964800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SUBTOTAL(109,Таблица2133990294678131617212223[1132])</f>
        <v>0</v>
      </c>
      <c r="L50" s="88"/>
      <c r="M50" s="88">
        <f>SUBTOTAL(109,Таблица2133990294678131617212223[16])</f>
        <v>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A1" display="3-Уктир ога Шовот" xr:uid="{05290E8C-FD3E-4A58-B478-B330AB1F9276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E49A-FD95-43E8-9505-7E22F9BDC7AB}">
  <dimension ref="A1:M50"/>
  <sheetViews>
    <sheetView zoomScaleNormal="100" workbookViewId="0">
      <selection activeCell="D1" sqref="D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 t="s">
        <v>278</v>
      </c>
      <c r="E1" s="105"/>
      <c r="H1" s="1" t="s">
        <v>177</v>
      </c>
      <c r="I1" s="1">
        <f>SUMIFS(C:C,D:D,J1)</f>
        <v>2250000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96"/>
      <c r="F2" s="237">
        <f>Таблица213399029467813161721222324[[#Totals],[2]]+-Таблица213399029467813161721222324[[#Totals],[16]]</f>
        <v>-15894000</v>
      </c>
      <c r="G2" s="238"/>
    </row>
    <row r="3" spans="1:13" ht="15" customHeight="1" x14ac:dyDescent="0.2">
      <c r="A3" s="228" t="s">
        <v>27</v>
      </c>
      <c r="B3" s="228" t="s">
        <v>9</v>
      </c>
      <c r="C3" s="197" t="s">
        <v>19</v>
      </c>
      <c r="D3" s="197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Таблица213399029467813161721222324[[#Totals],[2]]</f>
        <v>2250000</v>
      </c>
      <c r="D5" s="64"/>
      <c r="E5" s="106">
        <f>SUM(Таблица213399029467813161721222324[4])</f>
        <v>0</v>
      </c>
      <c r="F5" s="233"/>
      <c r="G5" s="233"/>
      <c r="H5" s="233"/>
      <c r="I5" s="224"/>
      <c r="J5" s="154">
        <f>SUM(Таблица213399029467813161721222324[113])</f>
        <v>25.919999999999998</v>
      </c>
      <c r="K5" s="65">
        <f>Таблица213399029467813161721222324[[#Totals],[1132]]</f>
        <v>15</v>
      </c>
      <c r="L5" s="233"/>
      <c r="M5" s="198">
        <f>Таблица213399029467813161721222324[[#Totals],[16]]</f>
        <v>18144000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>
        <v>46216</v>
      </c>
      <c r="C7" s="70">
        <v>2250000</v>
      </c>
      <c r="D7" s="18" t="s">
        <v>176</v>
      </c>
      <c r="E7" s="76"/>
      <c r="F7" s="71">
        <f>Таблица213399029467813161721222324[[#This Row],[ ]]</f>
        <v>1</v>
      </c>
      <c r="G7" s="18">
        <v>46216</v>
      </c>
      <c r="H7" s="72" t="s">
        <v>276</v>
      </c>
      <c r="I7" s="73" t="s">
        <v>71</v>
      </c>
      <c r="J7" s="74">
        <v>25.919999999999998</v>
      </c>
      <c r="K7" s="75">
        <v>15</v>
      </c>
      <c r="L7" s="71">
        <v>700000</v>
      </c>
      <c r="M7" s="76">
        <f>Таблица213399029467813161721222324[[#This Row],[113]]*Таблица213399029467813161721222324[[#This Row],[15]]</f>
        <v>18144000</v>
      </c>
    </row>
    <row r="8" spans="1:13" x14ac:dyDescent="0.2">
      <c r="A8" s="68">
        <v>2</v>
      </c>
      <c r="B8" s="69"/>
      <c r="C8" s="76"/>
      <c r="D8" s="18"/>
      <c r="E8" s="76"/>
      <c r="F8" s="71">
        <f>Таблица213399029467813161721222324[[#This Row],[ ]]</f>
        <v>2</v>
      </c>
      <c r="G8" s="69"/>
      <c r="H8" s="78"/>
      <c r="I8" s="78"/>
      <c r="J8" s="78"/>
      <c r="K8" s="76"/>
      <c r="L8" s="79"/>
      <c r="M8" s="76">
        <f>Таблица213399029467813161721222324[[#This Row],[113]]*Таблица213399029467813161721222324[[#This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Таблица213399029467813161721222324[[#This Row],[ ]]</f>
        <v>3</v>
      </c>
      <c r="G9" s="69"/>
      <c r="H9" s="78"/>
      <c r="I9" s="78"/>
      <c r="J9" s="78"/>
      <c r="K9" s="76"/>
      <c r="L9" s="79"/>
      <c r="M9" s="76">
        <f>Таблица213399029467813161721222324[[#This Row],[113]]*Таблица213399029467813161721222324[[#This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Таблица213399029467813161721222324[[#This Row],[ ]]</f>
        <v>4</v>
      </c>
      <c r="G10" s="69"/>
      <c r="H10" s="78"/>
      <c r="I10" s="78"/>
      <c r="J10" s="78"/>
      <c r="K10" s="76"/>
      <c r="L10" s="79"/>
      <c r="M10" s="76">
        <f>Таблица213399029467813161721222324[[#This Row],[113]]*Таблица213399029467813161721222324[[#This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Таблица213399029467813161721222324[[#This Row],[ ]]</f>
        <v>5</v>
      </c>
      <c r="G11" s="69"/>
      <c r="H11" s="78"/>
      <c r="I11" s="78"/>
      <c r="J11" s="78"/>
      <c r="K11" s="76"/>
      <c r="L11" s="79"/>
      <c r="M11" s="76">
        <f>Таблица213399029467813161721222324[[#This Row],[113]]*Таблица213399029467813161721222324[[#This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Таблица213399029467813161721222324[[#This Row],[ ]]</f>
        <v>6</v>
      </c>
      <c r="G12" s="69"/>
      <c r="H12" s="78"/>
      <c r="I12" s="78"/>
      <c r="J12" s="78"/>
      <c r="K12" s="76"/>
      <c r="L12" s="79"/>
      <c r="M12" s="76">
        <f>Таблица213399029467813161721222324[[#This Row],[113]]*Таблица213399029467813161721222324[[#This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Таблица213399029467813161721222324[[#This Row],[ ]]</f>
        <v>7</v>
      </c>
      <c r="G13" s="69"/>
      <c r="H13" s="78"/>
      <c r="I13" s="78"/>
      <c r="J13" s="78"/>
      <c r="K13" s="79"/>
      <c r="L13" s="76"/>
      <c r="M13" s="76">
        <f>Таблица213399029467813161721222324[[#This Row],[113]]*Таблица213399029467813161721222324[[#This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Таблица213399029467813161721222324[[#This Row],[ ]]</f>
        <v>8</v>
      </c>
      <c r="G14" s="69"/>
      <c r="H14" s="78"/>
      <c r="I14" s="78"/>
      <c r="J14" s="78"/>
      <c r="K14" s="79"/>
      <c r="L14" s="76"/>
      <c r="M14" s="76">
        <f>Таблица213399029467813161721222324[[#This Row],[113]]*Таблица213399029467813161721222324[[#This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Таблица213399029467813161721222324[[#This Row],[ ]]</f>
        <v>9</v>
      </c>
      <c r="G15" s="69"/>
      <c r="H15" s="78"/>
      <c r="I15" s="78"/>
      <c r="J15" s="78"/>
      <c r="K15" s="79"/>
      <c r="L15" s="76"/>
      <c r="M15" s="76">
        <f>Таблица213399029467813161721222324[[#This Row],[113]]*Таблица213399029467813161721222324[[#This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Таблица213399029467813161721222324[[#This Row],[ ]]</f>
        <v>10</v>
      </c>
      <c r="G16" s="69"/>
      <c r="H16" s="78"/>
      <c r="I16" s="78"/>
      <c r="J16" s="78"/>
      <c r="K16" s="79"/>
      <c r="L16" s="76"/>
      <c r="M16" s="76">
        <f>Таблица213399029467813161721222324[[#This Row],[113]]*Таблица213399029467813161721222324[[#This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Таблица213399029467813161721222324[[#This Row],[ ]]</f>
        <v>11</v>
      </c>
      <c r="G17" s="69"/>
      <c r="H17" s="78"/>
      <c r="I17" s="78"/>
      <c r="J17" s="78"/>
      <c r="K17" s="79"/>
      <c r="L17" s="76"/>
      <c r="M17" s="76">
        <f>Таблица213399029467813161721222324[[#This Row],[113]]*Таблица213399029467813161721222324[[#This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Таблица213399029467813161721222324[[#This Row],[ ]]</f>
        <v>12</v>
      </c>
      <c r="G18" s="69"/>
      <c r="H18" s="78"/>
      <c r="I18" s="78"/>
      <c r="J18" s="78"/>
      <c r="K18" s="79"/>
      <c r="L18" s="76"/>
      <c r="M18" s="76">
        <f>Таблица213399029467813161721222324[[#This Row],[113]]*Таблица213399029467813161721222324[[#This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Таблица213399029467813161721222324[[#This Row],[ ]]</f>
        <v>13</v>
      </c>
      <c r="G19" s="69"/>
      <c r="H19" s="78"/>
      <c r="I19" s="78"/>
      <c r="J19" s="78"/>
      <c r="K19" s="79"/>
      <c r="L19" s="76"/>
      <c r="M19" s="76">
        <f>Таблица213399029467813161721222324[[#This Row],[113]]*Таблица213399029467813161721222324[[#This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Таблица213399029467813161721222324[[#This Row],[ ]]</f>
        <v>14</v>
      </c>
      <c r="G20" s="69"/>
      <c r="H20" s="78"/>
      <c r="I20" s="78"/>
      <c r="J20" s="78"/>
      <c r="K20" s="79"/>
      <c r="L20" s="76"/>
      <c r="M20" s="76">
        <f>Таблица213399029467813161721222324[[#This Row],[113]]*Таблица213399029467813161721222324[[#This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Таблица213399029467813161721222324[[#This Row],[ ]]</f>
        <v>15</v>
      </c>
      <c r="G21" s="69"/>
      <c r="H21" s="78"/>
      <c r="I21" s="78"/>
      <c r="J21" s="78"/>
      <c r="K21" s="79"/>
      <c r="L21" s="76"/>
      <c r="M21" s="76">
        <f>Таблица213399029467813161721222324[[#This Row],[113]]*Таблица213399029467813161721222324[[#This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Таблица213399029467813161721222324[[#This Row],[ ]]</f>
        <v>16</v>
      </c>
      <c r="G22" s="69"/>
      <c r="H22" s="78"/>
      <c r="I22" s="78"/>
      <c r="J22" s="78"/>
      <c r="K22" s="79"/>
      <c r="L22" s="76"/>
      <c r="M22" s="76">
        <f>Таблица213399029467813161721222324[[#This Row],[113]]*Таблица213399029467813161721222324[[#This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Таблица213399029467813161721222324[[#This Row],[ ]]</f>
        <v>17</v>
      </c>
      <c r="G23" s="69"/>
      <c r="H23" s="78"/>
      <c r="I23" s="78"/>
      <c r="J23" s="78"/>
      <c r="K23" s="79"/>
      <c r="L23" s="76"/>
      <c r="M23" s="76">
        <f>Таблица213399029467813161721222324[[#This Row],[113]]*Таблица213399029467813161721222324[[#This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Таблица213399029467813161721222324[[#This Row],[ ]]</f>
        <v>18</v>
      </c>
      <c r="G24" s="69"/>
      <c r="H24" s="78"/>
      <c r="I24" s="78"/>
      <c r="J24" s="78"/>
      <c r="K24" s="79"/>
      <c r="L24" s="76"/>
      <c r="M24" s="76">
        <f>Таблица213399029467813161721222324[[#This Row],[113]]*Таблица213399029467813161721222324[[#This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Таблица213399029467813161721222324[[#This Row],[ ]]</f>
        <v>19</v>
      </c>
      <c r="G25" s="69"/>
      <c r="H25" s="78"/>
      <c r="I25" s="78"/>
      <c r="J25" s="78"/>
      <c r="K25" s="79"/>
      <c r="L25" s="76"/>
      <c r="M25" s="76">
        <f>Таблица213399029467813161721222324[[#This Row],[113]]*Таблица213399029467813161721222324[[#This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Таблица213399029467813161721222324[[#This Row],[ ]]</f>
        <v>20</v>
      </c>
      <c r="G26" s="69"/>
      <c r="H26" s="78"/>
      <c r="I26" s="78"/>
      <c r="J26" s="78"/>
      <c r="K26" s="79"/>
      <c r="L26" s="76"/>
      <c r="M26" s="76">
        <f>Таблица213399029467813161721222324[[#This Row],[113]]*Таблица213399029467813161721222324[[#This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Таблица213399029467813161721222324[[#This Row],[ ]]</f>
        <v>21</v>
      </c>
      <c r="G27" s="69"/>
      <c r="H27" s="78"/>
      <c r="I27" s="78"/>
      <c r="J27" s="78"/>
      <c r="K27" s="79"/>
      <c r="L27" s="76"/>
      <c r="M27" s="76">
        <f>Таблица213399029467813161721222324[[#This Row],[113]]*Таблица213399029467813161721222324[[#This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Таблица213399029467813161721222324[[#This Row],[ ]]</f>
        <v>22</v>
      </c>
      <c r="G28" s="69"/>
      <c r="H28" s="78"/>
      <c r="I28" s="78"/>
      <c r="J28" s="78"/>
      <c r="K28" s="79"/>
      <c r="L28" s="76"/>
      <c r="M28" s="76">
        <f>Таблица213399029467813161721222324[[#This Row],[113]]*Таблица213399029467813161721222324[[#This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Таблица213399029467813161721222324[[#This Row],[ ]]</f>
        <v>23</v>
      </c>
      <c r="G29" s="69"/>
      <c r="H29" s="78"/>
      <c r="I29" s="78"/>
      <c r="J29" s="78"/>
      <c r="K29" s="79"/>
      <c r="L29" s="76"/>
      <c r="M29" s="76">
        <f>Таблица213399029467813161721222324[[#This Row],[113]]*Таблица213399029467813161721222324[[#This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Таблица213399029467813161721222324[[#This Row],[ ]]</f>
        <v>24</v>
      </c>
      <c r="G30" s="69"/>
      <c r="H30" s="78"/>
      <c r="I30" s="78"/>
      <c r="J30" s="78"/>
      <c r="K30" s="79"/>
      <c r="L30" s="76"/>
      <c r="M30" s="76">
        <f>Таблица213399029467813161721222324[[#This Row],[113]]*Таблица213399029467813161721222324[[#This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Таблица213399029467813161721222324[[#This Row],[ ]]</f>
        <v>25</v>
      </c>
      <c r="G31" s="69"/>
      <c r="H31" s="78"/>
      <c r="I31" s="78"/>
      <c r="J31" s="78"/>
      <c r="K31" s="79"/>
      <c r="L31" s="76"/>
      <c r="M31" s="76">
        <f>Таблица213399029467813161721222324[[#This Row],[113]]*Таблица213399029467813161721222324[[#This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Таблица213399029467813161721222324[[#This Row],[ ]]</f>
        <v>26</v>
      </c>
      <c r="G32" s="69"/>
      <c r="H32" s="78"/>
      <c r="I32" s="78"/>
      <c r="J32" s="78"/>
      <c r="K32" s="79"/>
      <c r="L32" s="76"/>
      <c r="M32" s="76">
        <f>Таблица213399029467813161721222324[[#This Row],[113]]*Таблица213399029467813161721222324[[#This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Таблица213399029467813161721222324[[#This Row],[ ]]</f>
        <v>27</v>
      </c>
      <c r="G33" s="69"/>
      <c r="H33" s="78"/>
      <c r="I33" s="78"/>
      <c r="J33" s="78"/>
      <c r="K33" s="79"/>
      <c r="L33" s="76"/>
      <c r="M33" s="76">
        <f>Таблица213399029467813161721222324[[#This Row],[113]]*Таблица213399029467813161721222324[[#This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Таблица213399029467813161721222324[[#This Row],[ ]]</f>
        <v>28</v>
      </c>
      <c r="G34" s="69"/>
      <c r="H34" s="78"/>
      <c r="I34" s="78"/>
      <c r="J34" s="78"/>
      <c r="K34" s="79"/>
      <c r="L34" s="76"/>
      <c r="M34" s="76">
        <f>Таблица213399029467813161721222324[[#This Row],[113]]*Таблица213399029467813161721222324[[#This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Таблица213399029467813161721222324[[#This Row],[ ]]</f>
        <v>29</v>
      </c>
      <c r="G35" s="69"/>
      <c r="H35" s="78"/>
      <c r="I35" s="78"/>
      <c r="J35" s="78"/>
      <c r="K35" s="79"/>
      <c r="L35" s="76"/>
      <c r="M35" s="76">
        <f>Таблица213399029467813161721222324[[#This Row],[113]]*Таблица213399029467813161721222324[[#This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Таблица213399029467813161721222324[[#This Row],[ ]]</f>
        <v>30</v>
      </c>
      <c r="G36" s="69"/>
      <c r="H36" s="78"/>
      <c r="I36" s="78"/>
      <c r="J36" s="78"/>
      <c r="K36" s="79"/>
      <c r="L36" s="76"/>
      <c r="M36" s="76">
        <f>Таблица213399029467813161721222324[[#This Row],[113]]*Таблица213399029467813161721222324[[#This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Таблица213399029467813161721222324[[#This Row],[ ]]</f>
        <v>31</v>
      </c>
      <c r="G37" s="69"/>
      <c r="H37" s="78"/>
      <c r="I37" s="78"/>
      <c r="J37" s="78"/>
      <c r="K37" s="79"/>
      <c r="L37" s="76"/>
      <c r="M37" s="76">
        <f>Таблица213399029467813161721222324[[#This Row],[113]]*Таблица213399029467813161721222324[[#This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Таблица213399029467813161721222324[[#This Row],[ ]]</f>
        <v>32</v>
      </c>
      <c r="G38" s="69"/>
      <c r="H38" s="78"/>
      <c r="I38" s="78"/>
      <c r="J38" s="78"/>
      <c r="K38" s="79"/>
      <c r="L38" s="76"/>
      <c r="M38" s="76">
        <f>Таблица213399029467813161721222324[[#This Row],[113]]*Таблица213399029467813161721222324[[#This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Таблица213399029467813161721222324[[#This Row],[ ]]</f>
        <v>33</v>
      </c>
      <c r="G39" s="69"/>
      <c r="H39" s="78"/>
      <c r="I39" s="78"/>
      <c r="J39" s="78"/>
      <c r="K39" s="79"/>
      <c r="L39" s="76"/>
      <c r="M39" s="76">
        <f>Таблица213399029467813161721222324[[#This Row],[113]]*Таблица213399029467813161721222324[[#This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Таблица213399029467813161721222324[[#This Row],[ ]]</f>
        <v>34</v>
      </c>
      <c r="G40" s="69"/>
      <c r="H40" s="78"/>
      <c r="I40" s="78"/>
      <c r="J40" s="78"/>
      <c r="K40" s="79"/>
      <c r="L40" s="76"/>
      <c r="M40" s="76">
        <f>Таблица213399029467813161721222324[[#This Row],[113]]*Таблица213399029467813161721222324[[#This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Таблица213399029467813161721222324[[#This Row],[ ]]</f>
        <v>35</v>
      </c>
      <c r="G41" s="69"/>
      <c r="H41" s="78"/>
      <c r="I41" s="78"/>
      <c r="J41" s="78"/>
      <c r="K41" s="79"/>
      <c r="L41" s="76"/>
      <c r="M41" s="76">
        <f>Таблица213399029467813161721222324[[#This Row],[113]]*Таблица213399029467813161721222324[[#This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Таблица213399029467813161721222324[[#This Row],[ ]]</f>
        <v>36</v>
      </c>
      <c r="G42" s="69"/>
      <c r="H42" s="78"/>
      <c r="I42" s="78"/>
      <c r="J42" s="78"/>
      <c r="K42" s="79"/>
      <c r="L42" s="76"/>
      <c r="M42" s="76">
        <f>Таблица213399029467813161721222324[[#This Row],[113]]*Таблица213399029467813161721222324[[#This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Таблица213399029467813161721222324[[#This Row],[ ]]</f>
        <v>37</v>
      </c>
      <c r="G43" s="69"/>
      <c r="H43" s="78"/>
      <c r="I43" s="78"/>
      <c r="J43" s="78"/>
      <c r="K43" s="79"/>
      <c r="L43" s="76"/>
      <c r="M43" s="76">
        <f>Таблица213399029467813161721222324[[#This Row],[113]]*Таблица213399029467813161721222324[[#This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Таблица213399029467813161721222324[[#This Row],[ ]]</f>
        <v>38</v>
      </c>
      <c r="G44" s="69"/>
      <c r="H44" s="78"/>
      <c r="I44" s="78"/>
      <c r="J44" s="78"/>
      <c r="K44" s="79"/>
      <c r="L44" s="76"/>
      <c r="M44" s="76">
        <f>Таблица213399029467813161721222324[[#This Row],[113]]*Таблица213399029467813161721222324[[#This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Таблица213399029467813161721222324[[#This Row],[ ]]</f>
        <v>39</v>
      </c>
      <c r="G45" s="69"/>
      <c r="H45" s="78"/>
      <c r="I45" s="78"/>
      <c r="J45" s="78"/>
      <c r="K45" s="79"/>
      <c r="L45" s="76"/>
      <c r="M45" s="76">
        <f>Таблица213399029467813161721222324[[#This Row],[113]]*Таблица213399029467813161721222324[[#This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Таблица213399029467813161721222324[[#This Row],[ ]]</f>
        <v>40</v>
      </c>
      <c r="G46" s="69"/>
      <c r="H46" s="78"/>
      <c r="I46" s="78"/>
      <c r="J46" s="78"/>
      <c r="K46" s="79"/>
      <c r="L46" s="76"/>
      <c r="M46" s="76">
        <f>Таблица213399029467813161721222324[[#This Row],[113]]*Таблица213399029467813161721222324[[#This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Таблица213399029467813161721222324[[#This Row],[ ]]</f>
        <v>41</v>
      </c>
      <c r="G47" s="69"/>
      <c r="H47" s="78"/>
      <c r="I47" s="78"/>
      <c r="J47" s="78"/>
      <c r="K47" s="79"/>
      <c r="L47" s="76"/>
      <c r="M47" s="76">
        <f>Таблица213399029467813161721222324[[#This Row],[113]]*Таблица213399029467813161721222324[[#This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Таблица213399029467813161721222324[[#This Row],[ ]]</f>
        <v>42</v>
      </c>
      <c r="G48" s="69"/>
      <c r="H48" s="78"/>
      <c r="I48" s="78"/>
      <c r="J48" s="78"/>
      <c r="K48" s="79"/>
      <c r="L48" s="76"/>
      <c r="M48" s="76">
        <f>Таблица213399029467813161721222324[[#This Row],[113]]*Таблица213399029467813161721222324[[#This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Таблица213399029467813161721222324[[#This Row],[ ]]</f>
        <v>43</v>
      </c>
      <c r="G49" s="69"/>
      <c r="H49" s="78"/>
      <c r="I49" s="78"/>
      <c r="J49" s="78"/>
      <c r="K49" s="79"/>
      <c r="L49" s="76"/>
      <c r="M49" s="76">
        <f>Таблица213399029467813161721222324[[#This Row],[113]]*Таблица213399029467813161721222324[[#This Row],[15]]</f>
        <v>0</v>
      </c>
    </row>
    <row r="50" spans="1:13" x14ac:dyDescent="0.2">
      <c r="A50" s="82"/>
      <c r="B50" s="45"/>
      <c r="C50" s="76">
        <f>SUBTOTAL(109,Таблица213399029467813161721222324[2])</f>
        <v>2250000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SUBTOTAL(109,Таблица213399029467813161721222324[1132])</f>
        <v>15</v>
      </c>
      <c r="L50" s="88"/>
      <c r="M50" s="88">
        <f>SUBTOTAL(109,Таблица213399029467813161721222324[16])</f>
        <v>18144000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A1" display="6-накд клент" xr:uid="{DEC56E1B-561E-4E16-A905-7D85F52454EE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E597-9F39-4D5E-9DA6-4A5E34A9D092}">
  <dimension ref="A1:M50"/>
  <sheetViews>
    <sheetView zoomScaleNormal="100" workbookViewId="0">
      <selection activeCell="I1" sqref="I1"/>
    </sheetView>
  </sheetViews>
  <sheetFormatPr defaultRowHeight="14.25" x14ac:dyDescent="0.2"/>
  <cols>
    <col min="1" max="1" width="6.5703125" style="1" bestFit="1" customWidth="1"/>
    <col min="2" max="2" width="12.140625" style="1" customWidth="1"/>
    <col min="3" max="3" width="12.7109375" style="1" bestFit="1" customWidth="1"/>
    <col min="4" max="4" width="37.28515625" style="1" bestFit="1" customWidth="1"/>
    <col min="5" max="5" width="20.42578125" style="1" customWidth="1"/>
    <col min="6" max="6" width="7.7109375" style="1" bestFit="1" customWidth="1"/>
    <col min="7" max="7" width="11.5703125" style="1" bestFit="1" customWidth="1"/>
    <col min="8" max="8" width="13.140625" style="1" bestFit="1" customWidth="1"/>
    <col min="9" max="9" width="13.5703125" style="1" bestFit="1" customWidth="1"/>
    <col min="10" max="10" width="10" style="1" bestFit="1" customWidth="1"/>
    <col min="11" max="11" width="11.28515625" style="1" bestFit="1" customWidth="1"/>
    <col min="12" max="12" width="8.85546875" style="1" bestFit="1" customWidth="1"/>
    <col min="13" max="13" width="13.42578125" style="1" bestFit="1" customWidth="1"/>
    <col min="14" max="16" width="9.140625" style="1"/>
    <col min="17" max="17" width="11.140625" style="1" bestFit="1" customWidth="1"/>
    <col min="18" max="16384" width="9.140625" style="1"/>
  </cols>
  <sheetData>
    <row r="1" spans="1:13" ht="18" customHeight="1" x14ac:dyDescent="0.3">
      <c r="A1" s="90"/>
      <c r="B1" s="91"/>
      <c r="C1" s="92" t="s">
        <v>26</v>
      </c>
      <c r="D1" s="111">
        <v>0</v>
      </c>
      <c r="E1" s="105"/>
      <c r="H1" s="1" t="s">
        <v>177</v>
      </c>
      <c r="I1" s="1">
        <f>SUMIFS(C:C,D:D,J1)</f>
        <v>0</v>
      </c>
      <c r="J1" s="18" t="s">
        <v>176</v>
      </c>
    </row>
    <row r="2" spans="1:13" ht="20.25" x14ac:dyDescent="0.2">
      <c r="A2" s="226" t="s">
        <v>25</v>
      </c>
      <c r="B2" s="226"/>
      <c r="C2" s="227"/>
      <c r="D2" s="227"/>
      <c r="E2" s="196"/>
      <c r="F2" s="237">
        <f>Таблица21339902946781316172122232425[[#Totals],[2]]+-Таблица21339902946781316172122232425[[#Totals],[16]]</f>
        <v>0</v>
      </c>
      <c r="G2" s="238"/>
    </row>
    <row r="3" spans="1:13" ht="15" customHeight="1" x14ac:dyDescent="0.2">
      <c r="A3" s="228" t="s">
        <v>27</v>
      </c>
      <c r="B3" s="228" t="s">
        <v>9</v>
      </c>
      <c r="C3" s="197" t="s">
        <v>19</v>
      </c>
      <c r="D3" s="197" t="s">
        <v>28</v>
      </c>
      <c r="E3" s="229" t="s">
        <v>109</v>
      </c>
      <c r="F3" s="233" t="s">
        <v>27</v>
      </c>
      <c r="G3" s="233" t="s">
        <v>9</v>
      </c>
      <c r="H3" s="233" t="s">
        <v>6</v>
      </c>
      <c r="I3" s="225" t="s">
        <v>54</v>
      </c>
      <c r="J3" s="222" t="s">
        <v>56</v>
      </c>
      <c r="K3" s="222" t="s">
        <v>103</v>
      </c>
      <c r="L3" s="233" t="s">
        <v>29</v>
      </c>
      <c r="M3" s="225" t="s">
        <v>19</v>
      </c>
    </row>
    <row r="4" spans="1:13" x14ac:dyDescent="0.2">
      <c r="A4" s="228"/>
      <c r="B4" s="228"/>
      <c r="C4" s="61"/>
      <c r="D4" s="62"/>
      <c r="E4" s="230"/>
      <c r="F4" s="233"/>
      <c r="G4" s="233"/>
      <c r="H4" s="233"/>
      <c r="I4" s="223"/>
      <c r="J4" s="239"/>
      <c r="K4" s="232"/>
      <c r="L4" s="233"/>
      <c r="M4" s="224"/>
    </row>
    <row r="5" spans="1:13" ht="15.75" x14ac:dyDescent="0.2">
      <c r="A5" s="228"/>
      <c r="B5" s="228"/>
      <c r="C5" s="95">
        <f>Таблица21339902946781316172122232425[[#Totals],[2]]</f>
        <v>0</v>
      </c>
      <c r="D5" s="64"/>
      <c r="E5" s="106">
        <f>SUM(Таблица21339902946781316172122232425[4])</f>
        <v>0</v>
      </c>
      <c r="F5" s="233"/>
      <c r="G5" s="233"/>
      <c r="H5" s="233"/>
      <c r="I5" s="224"/>
      <c r="J5" s="154">
        <f>SUM(Таблица21339902946781316172122232425[113])</f>
        <v>0</v>
      </c>
      <c r="K5" s="65">
        <f>Таблица21339902946781316172122232425[[#Totals],[1132]]</f>
        <v>0</v>
      </c>
      <c r="L5" s="233"/>
      <c r="M5" s="198">
        <f>Таблица21339902946781316172122232425[[#Totals],[16]]</f>
        <v>0</v>
      </c>
    </row>
    <row r="6" spans="1:13" x14ac:dyDescent="0.2">
      <c r="A6" s="66" t="s">
        <v>26</v>
      </c>
      <c r="B6" s="67" t="s">
        <v>30</v>
      </c>
      <c r="C6" s="67" t="s">
        <v>31</v>
      </c>
      <c r="D6" s="67" t="s">
        <v>32</v>
      </c>
      <c r="E6" s="67" t="s">
        <v>33</v>
      </c>
      <c r="F6" s="67" t="s">
        <v>34</v>
      </c>
      <c r="G6" s="67" t="s">
        <v>35</v>
      </c>
      <c r="H6" s="67" t="s">
        <v>36</v>
      </c>
      <c r="I6" s="67" t="s">
        <v>37</v>
      </c>
      <c r="J6" s="67" t="s">
        <v>38</v>
      </c>
      <c r="K6" s="67" t="s">
        <v>39</v>
      </c>
      <c r="L6" s="67" t="s">
        <v>40</v>
      </c>
      <c r="M6" s="67" t="s">
        <v>41</v>
      </c>
    </row>
    <row r="7" spans="1:13" ht="15" x14ac:dyDescent="0.2">
      <c r="A7" s="68">
        <v>1</v>
      </c>
      <c r="B7" s="69"/>
      <c r="C7" s="70"/>
      <c r="D7" s="18"/>
      <c r="E7" s="76"/>
      <c r="F7" s="71">
        <f>Таблица21339902946781316172122232425[[#This Row],[ ]]</f>
        <v>1</v>
      </c>
      <c r="G7" s="18"/>
      <c r="H7" s="72"/>
      <c r="I7" s="73"/>
      <c r="J7" s="74"/>
      <c r="K7" s="75"/>
      <c r="L7" s="71"/>
      <c r="M7" s="76">
        <f>Таблица21339902946781316172122232425[[#This Row],[113]]*Таблица21339902946781316172122232425[[#This Row],[15]]</f>
        <v>0</v>
      </c>
    </row>
    <row r="8" spans="1:13" x14ac:dyDescent="0.2">
      <c r="A8" s="68">
        <v>2</v>
      </c>
      <c r="B8" s="69"/>
      <c r="C8" s="76"/>
      <c r="D8" s="18"/>
      <c r="E8" s="76"/>
      <c r="F8" s="71">
        <f>Таблица21339902946781316172122232425[[#This Row],[ ]]</f>
        <v>2</v>
      </c>
      <c r="G8" s="69"/>
      <c r="H8" s="78"/>
      <c r="I8" s="78"/>
      <c r="J8" s="78"/>
      <c r="K8" s="76"/>
      <c r="L8" s="79"/>
      <c r="M8" s="76">
        <f>Таблица21339902946781316172122232425[[#This Row],[113]]*Таблица21339902946781316172122232425[[#This Row],[15]]</f>
        <v>0</v>
      </c>
    </row>
    <row r="9" spans="1:13" x14ac:dyDescent="0.2">
      <c r="A9" s="68">
        <v>3</v>
      </c>
      <c r="B9" s="77"/>
      <c r="C9" s="76"/>
      <c r="D9" s="18"/>
      <c r="E9" s="76"/>
      <c r="F9" s="71">
        <f>Таблица21339902946781316172122232425[[#This Row],[ ]]</f>
        <v>3</v>
      </c>
      <c r="G9" s="69"/>
      <c r="H9" s="78"/>
      <c r="I9" s="78"/>
      <c r="J9" s="78"/>
      <c r="K9" s="76"/>
      <c r="L9" s="79"/>
      <c r="M9" s="76">
        <f>Таблица21339902946781316172122232425[[#This Row],[113]]*Таблица21339902946781316172122232425[[#This Row],[15]]</f>
        <v>0</v>
      </c>
    </row>
    <row r="10" spans="1:13" x14ac:dyDescent="0.2">
      <c r="A10" s="68">
        <v>4</v>
      </c>
      <c r="B10" s="77"/>
      <c r="C10" s="76"/>
      <c r="D10" s="18"/>
      <c r="E10" s="76"/>
      <c r="F10" s="71">
        <f>Таблица21339902946781316172122232425[[#This Row],[ ]]</f>
        <v>4</v>
      </c>
      <c r="G10" s="69"/>
      <c r="H10" s="78"/>
      <c r="I10" s="78"/>
      <c r="J10" s="78"/>
      <c r="K10" s="76"/>
      <c r="L10" s="79"/>
      <c r="M10" s="76">
        <f>Таблица21339902946781316172122232425[[#This Row],[113]]*Таблица21339902946781316172122232425[[#This Row],[15]]</f>
        <v>0</v>
      </c>
    </row>
    <row r="11" spans="1:13" x14ac:dyDescent="0.2">
      <c r="A11" s="68">
        <v>5</v>
      </c>
      <c r="B11" s="77"/>
      <c r="C11" s="76"/>
      <c r="D11" s="18"/>
      <c r="E11" s="76"/>
      <c r="F11" s="71">
        <f>Таблица21339902946781316172122232425[[#This Row],[ ]]</f>
        <v>5</v>
      </c>
      <c r="G11" s="69"/>
      <c r="H11" s="78"/>
      <c r="I11" s="78"/>
      <c r="J11" s="78"/>
      <c r="K11" s="76"/>
      <c r="L11" s="79"/>
      <c r="M11" s="76">
        <f>Таблица21339902946781316172122232425[[#This Row],[113]]*Таблица21339902946781316172122232425[[#This Row],[15]]</f>
        <v>0</v>
      </c>
    </row>
    <row r="12" spans="1:13" x14ac:dyDescent="0.2">
      <c r="A12" s="68">
        <v>6</v>
      </c>
      <c r="B12" s="77"/>
      <c r="C12" s="76"/>
      <c r="D12" s="18"/>
      <c r="E12" s="76"/>
      <c r="F12" s="71">
        <f>Таблица21339902946781316172122232425[[#This Row],[ ]]</f>
        <v>6</v>
      </c>
      <c r="G12" s="69"/>
      <c r="H12" s="78"/>
      <c r="I12" s="78"/>
      <c r="J12" s="78"/>
      <c r="K12" s="76"/>
      <c r="L12" s="79"/>
      <c r="M12" s="76">
        <f>Таблица21339902946781316172122232425[[#This Row],[113]]*Таблица21339902946781316172122232425[[#This Row],[15]]</f>
        <v>0</v>
      </c>
    </row>
    <row r="13" spans="1:13" x14ac:dyDescent="0.2">
      <c r="A13" s="68">
        <v>7</v>
      </c>
      <c r="B13" s="77"/>
      <c r="C13" s="76"/>
      <c r="D13" s="18"/>
      <c r="E13" s="76"/>
      <c r="F13" s="71">
        <f>Таблица21339902946781316172122232425[[#This Row],[ ]]</f>
        <v>7</v>
      </c>
      <c r="G13" s="69"/>
      <c r="H13" s="78"/>
      <c r="I13" s="78"/>
      <c r="J13" s="78"/>
      <c r="K13" s="79"/>
      <c r="L13" s="76"/>
      <c r="M13" s="76">
        <f>Таблица21339902946781316172122232425[[#This Row],[113]]*Таблица21339902946781316172122232425[[#This Row],[15]]</f>
        <v>0</v>
      </c>
    </row>
    <row r="14" spans="1:13" x14ac:dyDescent="0.2">
      <c r="A14" s="68">
        <v>8</v>
      </c>
      <c r="B14" s="77"/>
      <c r="C14" s="76"/>
      <c r="D14" s="18"/>
      <c r="E14" s="76"/>
      <c r="F14" s="71">
        <f>Таблица21339902946781316172122232425[[#This Row],[ ]]</f>
        <v>8</v>
      </c>
      <c r="G14" s="69"/>
      <c r="H14" s="78"/>
      <c r="I14" s="78"/>
      <c r="J14" s="78"/>
      <c r="K14" s="79"/>
      <c r="L14" s="76"/>
      <c r="M14" s="76">
        <f>Таблица21339902946781316172122232425[[#This Row],[113]]*Таблица21339902946781316172122232425[[#This Row],[15]]</f>
        <v>0</v>
      </c>
    </row>
    <row r="15" spans="1:13" x14ac:dyDescent="0.2">
      <c r="A15" s="68">
        <v>9</v>
      </c>
      <c r="B15" s="77"/>
      <c r="C15" s="76"/>
      <c r="D15" s="18"/>
      <c r="E15" s="76"/>
      <c r="F15" s="71">
        <f>Таблица21339902946781316172122232425[[#This Row],[ ]]</f>
        <v>9</v>
      </c>
      <c r="G15" s="69"/>
      <c r="H15" s="78"/>
      <c r="I15" s="78"/>
      <c r="J15" s="78"/>
      <c r="K15" s="79"/>
      <c r="L15" s="76"/>
      <c r="M15" s="76">
        <f>Таблица21339902946781316172122232425[[#This Row],[113]]*Таблица21339902946781316172122232425[[#This Row],[15]]</f>
        <v>0</v>
      </c>
    </row>
    <row r="16" spans="1:13" x14ac:dyDescent="0.2">
      <c r="A16" s="68">
        <v>10</v>
      </c>
      <c r="B16" s="77"/>
      <c r="C16" s="76"/>
      <c r="D16" s="18"/>
      <c r="E16" s="76"/>
      <c r="F16" s="71">
        <f>Таблица21339902946781316172122232425[[#This Row],[ ]]</f>
        <v>10</v>
      </c>
      <c r="G16" s="69"/>
      <c r="H16" s="78"/>
      <c r="I16" s="78"/>
      <c r="J16" s="78"/>
      <c r="K16" s="79"/>
      <c r="L16" s="76"/>
      <c r="M16" s="76">
        <f>Таблица21339902946781316172122232425[[#This Row],[113]]*Таблица21339902946781316172122232425[[#This Row],[15]]</f>
        <v>0</v>
      </c>
    </row>
    <row r="17" spans="1:13" x14ac:dyDescent="0.2">
      <c r="A17" s="68">
        <v>11</v>
      </c>
      <c r="B17" s="77"/>
      <c r="C17" s="76"/>
      <c r="D17" s="18"/>
      <c r="E17" s="76"/>
      <c r="F17" s="71">
        <f>Таблица21339902946781316172122232425[[#This Row],[ ]]</f>
        <v>11</v>
      </c>
      <c r="G17" s="69"/>
      <c r="H17" s="78"/>
      <c r="I17" s="78"/>
      <c r="J17" s="78"/>
      <c r="K17" s="79"/>
      <c r="L17" s="76"/>
      <c r="M17" s="76">
        <f>Таблица21339902946781316172122232425[[#This Row],[113]]*Таблица21339902946781316172122232425[[#This Row],[15]]</f>
        <v>0</v>
      </c>
    </row>
    <row r="18" spans="1:13" x14ac:dyDescent="0.2">
      <c r="A18" s="68">
        <v>12</v>
      </c>
      <c r="B18" s="77"/>
      <c r="C18" s="76"/>
      <c r="D18" s="18"/>
      <c r="E18" s="76"/>
      <c r="F18" s="71">
        <f>Таблица21339902946781316172122232425[[#This Row],[ ]]</f>
        <v>12</v>
      </c>
      <c r="G18" s="69"/>
      <c r="H18" s="78"/>
      <c r="I18" s="78"/>
      <c r="J18" s="78"/>
      <c r="K18" s="79"/>
      <c r="L18" s="76"/>
      <c r="M18" s="76">
        <f>Таблица21339902946781316172122232425[[#This Row],[113]]*Таблица21339902946781316172122232425[[#This Row],[15]]</f>
        <v>0</v>
      </c>
    </row>
    <row r="19" spans="1:13" x14ac:dyDescent="0.2">
      <c r="A19" s="68">
        <v>13</v>
      </c>
      <c r="B19" s="77"/>
      <c r="C19" s="76"/>
      <c r="D19" s="18"/>
      <c r="E19" s="76"/>
      <c r="F19" s="71">
        <f>Таблица21339902946781316172122232425[[#This Row],[ ]]</f>
        <v>13</v>
      </c>
      <c r="G19" s="69"/>
      <c r="H19" s="78"/>
      <c r="I19" s="78"/>
      <c r="J19" s="78"/>
      <c r="K19" s="79"/>
      <c r="L19" s="76"/>
      <c r="M19" s="76">
        <f>Таблица21339902946781316172122232425[[#This Row],[113]]*Таблица21339902946781316172122232425[[#This Row],[15]]</f>
        <v>0</v>
      </c>
    </row>
    <row r="20" spans="1:13" x14ac:dyDescent="0.2">
      <c r="A20" s="68">
        <v>14</v>
      </c>
      <c r="B20" s="77"/>
      <c r="C20" s="76"/>
      <c r="D20" s="18"/>
      <c r="E20" s="76"/>
      <c r="F20" s="71">
        <f>Таблица21339902946781316172122232425[[#This Row],[ ]]</f>
        <v>14</v>
      </c>
      <c r="G20" s="69"/>
      <c r="H20" s="78"/>
      <c r="I20" s="78"/>
      <c r="J20" s="78"/>
      <c r="K20" s="79"/>
      <c r="L20" s="76"/>
      <c r="M20" s="76">
        <f>Таблица21339902946781316172122232425[[#This Row],[113]]*Таблица21339902946781316172122232425[[#This Row],[15]]</f>
        <v>0</v>
      </c>
    </row>
    <row r="21" spans="1:13" x14ac:dyDescent="0.2">
      <c r="A21" s="68">
        <v>15</v>
      </c>
      <c r="B21" s="77"/>
      <c r="C21" s="76"/>
      <c r="D21" s="18"/>
      <c r="E21" s="76"/>
      <c r="F21" s="71">
        <f>Таблица21339902946781316172122232425[[#This Row],[ ]]</f>
        <v>15</v>
      </c>
      <c r="G21" s="69"/>
      <c r="H21" s="78"/>
      <c r="I21" s="78"/>
      <c r="J21" s="78"/>
      <c r="K21" s="79"/>
      <c r="L21" s="76"/>
      <c r="M21" s="76">
        <f>Таблица21339902946781316172122232425[[#This Row],[113]]*Таблица21339902946781316172122232425[[#This Row],[15]]</f>
        <v>0</v>
      </c>
    </row>
    <row r="22" spans="1:13" x14ac:dyDescent="0.2">
      <c r="A22" s="68">
        <v>16</v>
      </c>
      <c r="B22" s="77"/>
      <c r="C22" s="76"/>
      <c r="D22" s="18"/>
      <c r="E22" s="76"/>
      <c r="F22" s="71">
        <f>Таблица21339902946781316172122232425[[#This Row],[ ]]</f>
        <v>16</v>
      </c>
      <c r="G22" s="69"/>
      <c r="H22" s="78"/>
      <c r="I22" s="78"/>
      <c r="J22" s="78"/>
      <c r="K22" s="79"/>
      <c r="L22" s="76"/>
      <c r="M22" s="76">
        <f>Таблица21339902946781316172122232425[[#This Row],[113]]*Таблица21339902946781316172122232425[[#This Row],[15]]</f>
        <v>0</v>
      </c>
    </row>
    <row r="23" spans="1:13" x14ac:dyDescent="0.2">
      <c r="A23" s="68">
        <v>17</v>
      </c>
      <c r="B23" s="77"/>
      <c r="C23" s="76"/>
      <c r="D23" s="18"/>
      <c r="E23" s="76"/>
      <c r="F23" s="71">
        <f>Таблица21339902946781316172122232425[[#This Row],[ ]]</f>
        <v>17</v>
      </c>
      <c r="G23" s="69"/>
      <c r="H23" s="78"/>
      <c r="I23" s="78"/>
      <c r="J23" s="78"/>
      <c r="K23" s="79"/>
      <c r="L23" s="76"/>
      <c r="M23" s="76">
        <f>Таблица21339902946781316172122232425[[#This Row],[113]]*Таблица21339902946781316172122232425[[#This Row],[15]]</f>
        <v>0</v>
      </c>
    </row>
    <row r="24" spans="1:13" x14ac:dyDescent="0.2">
      <c r="A24" s="68">
        <v>18</v>
      </c>
      <c r="B24" s="77"/>
      <c r="C24" s="76"/>
      <c r="D24" s="18"/>
      <c r="E24" s="76"/>
      <c r="F24" s="71">
        <f>Таблица21339902946781316172122232425[[#This Row],[ ]]</f>
        <v>18</v>
      </c>
      <c r="G24" s="69"/>
      <c r="H24" s="78"/>
      <c r="I24" s="78"/>
      <c r="J24" s="78"/>
      <c r="K24" s="79"/>
      <c r="L24" s="76"/>
      <c r="M24" s="76">
        <f>Таблица21339902946781316172122232425[[#This Row],[113]]*Таблица21339902946781316172122232425[[#This Row],[15]]</f>
        <v>0</v>
      </c>
    </row>
    <row r="25" spans="1:13" x14ac:dyDescent="0.2">
      <c r="A25" s="68">
        <v>19</v>
      </c>
      <c r="B25" s="77"/>
      <c r="C25" s="76"/>
      <c r="D25" s="18"/>
      <c r="E25" s="76"/>
      <c r="F25" s="71">
        <f>Таблица21339902946781316172122232425[[#This Row],[ ]]</f>
        <v>19</v>
      </c>
      <c r="G25" s="69"/>
      <c r="H25" s="78"/>
      <c r="I25" s="78"/>
      <c r="J25" s="78"/>
      <c r="K25" s="79"/>
      <c r="L25" s="76"/>
      <c r="M25" s="76">
        <f>Таблица21339902946781316172122232425[[#This Row],[113]]*Таблица21339902946781316172122232425[[#This Row],[15]]</f>
        <v>0</v>
      </c>
    </row>
    <row r="26" spans="1:13" x14ac:dyDescent="0.2">
      <c r="A26" s="68">
        <v>20</v>
      </c>
      <c r="B26" s="77"/>
      <c r="C26" s="76"/>
      <c r="D26" s="18"/>
      <c r="E26" s="76"/>
      <c r="F26" s="71">
        <f>Таблица21339902946781316172122232425[[#This Row],[ ]]</f>
        <v>20</v>
      </c>
      <c r="G26" s="69"/>
      <c r="H26" s="78"/>
      <c r="I26" s="78"/>
      <c r="J26" s="78"/>
      <c r="K26" s="79"/>
      <c r="L26" s="76"/>
      <c r="M26" s="76">
        <f>Таблица21339902946781316172122232425[[#This Row],[113]]*Таблица21339902946781316172122232425[[#This Row],[15]]</f>
        <v>0</v>
      </c>
    </row>
    <row r="27" spans="1:13" x14ac:dyDescent="0.2">
      <c r="A27" s="68">
        <v>21</v>
      </c>
      <c r="B27" s="77"/>
      <c r="C27" s="76"/>
      <c r="D27" s="18"/>
      <c r="E27" s="76"/>
      <c r="F27" s="71">
        <f>Таблица21339902946781316172122232425[[#This Row],[ ]]</f>
        <v>21</v>
      </c>
      <c r="G27" s="69"/>
      <c r="H27" s="78"/>
      <c r="I27" s="78"/>
      <c r="J27" s="78"/>
      <c r="K27" s="79"/>
      <c r="L27" s="76"/>
      <c r="M27" s="76">
        <f>Таблица21339902946781316172122232425[[#This Row],[113]]*Таблица21339902946781316172122232425[[#This Row],[15]]</f>
        <v>0</v>
      </c>
    </row>
    <row r="28" spans="1:13" x14ac:dyDescent="0.2">
      <c r="A28" s="68">
        <v>22</v>
      </c>
      <c r="B28" s="77"/>
      <c r="C28" s="76"/>
      <c r="D28" s="18"/>
      <c r="E28" s="76"/>
      <c r="F28" s="71">
        <f>Таблица21339902946781316172122232425[[#This Row],[ ]]</f>
        <v>22</v>
      </c>
      <c r="G28" s="69"/>
      <c r="H28" s="78"/>
      <c r="I28" s="78"/>
      <c r="J28" s="78"/>
      <c r="K28" s="79"/>
      <c r="L28" s="76"/>
      <c r="M28" s="76">
        <f>Таблица21339902946781316172122232425[[#This Row],[113]]*Таблица21339902946781316172122232425[[#This Row],[15]]</f>
        <v>0</v>
      </c>
    </row>
    <row r="29" spans="1:13" x14ac:dyDescent="0.2">
      <c r="A29" s="68">
        <v>23</v>
      </c>
      <c r="B29" s="77"/>
      <c r="C29" s="76"/>
      <c r="D29" s="18"/>
      <c r="E29" s="76"/>
      <c r="F29" s="71">
        <f>Таблица21339902946781316172122232425[[#This Row],[ ]]</f>
        <v>23</v>
      </c>
      <c r="G29" s="69"/>
      <c r="H29" s="78"/>
      <c r="I29" s="78"/>
      <c r="J29" s="78"/>
      <c r="K29" s="79"/>
      <c r="L29" s="76"/>
      <c r="M29" s="76">
        <f>Таблица21339902946781316172122232425[[#This Row],[113]]*Таблица21339902946781316172122232425[[#This Row],[15]]</f>
        <v>0</v>
      </c>
    </row>
    <row r="30" spans="1:13" x14ac:dyDescent="0.2">
      <c r="A30" s="68">
        <v>24</v>
      </c>
      <c r="B30" s="77"/>
      <c r="C30" s="76"/>
      <c r="D30" s="18"/>
      <c r="E30" s="76"/>
      <c r="F30" s="71">
        <f>Таблица21339902946781316172122232425[[#This Row],[ ]]</f>
        <v>24</v>
      </c>
      <c r="G30" s="69"/>
      <c r="H30" s="78"/>
      <c r="I30" s="78"/>
      <c r="J30" s="78"/>
      <c r="K30" s="79"/>
      <c r="L30" s="76"/>
      <c r="M30" s="76">
        <f>Таблица21339902946781316172122232425[[#This Row],[113]]*Таблица21339902946781316172122232425[[#This Row],[15]]</f>
        <v>0</v>
      </c>
    </row>
    <row r="31" spans="1:13" x14ac:dyDescent="0.2">
      <c r="A31" s="68">
        <v>25</v>
      </c>
      <c r="B31" s="77"/>
      <c r="C31" s="76"/>
      <c r="D31" s="97"/>
      <c r="E31" s="80"/>
      <c r="F31" s="71">
        <f>Таблица21339902946781316172122232425[[#This Row],[ ]]</f>
        <v>25</v>
      </c>
      <c r="G31" s="69"/>
      <c r="H31" s="78"/>
      <c r="I31" s="78"/>
      <c r="J31" s="78"/>
      <c r="K31" s="79"/>
      <c r="L31" s="76"/>
      <c r="M31" s="76">
        <f>Таблица21339902946781316172122232425[[#This Row],[113]]*Таблица21339902946781316172122232425[[#This Row],[15]]</f>
        <v>0</v>
      </c>
    </row>
    <row r="32" spans="1:13" x14ac:dyDescent="0.2">
      <c r="A32" s="68">
        <v>26</v>
      </c>
      <c r="B32" s="77"/>
      <c r="C32" s="76"/>
      <c r="D32" s="76"/>
      <c r="E32" s="80"/>
      <c r="F32" s="71">
        <f>Таблица21339902946781316172122232425[[#This Row],[ ]]</f>
        <v>26</v>
      </c>
      <c r="G32" s="69"/>
      <c r="H32" s="78"/>
      <c r="I32" s="78"/>
      <c r="J32" s="78"/>
      <c r="K32" s="79"/>
      <c r="L32" s="76"/>
      <c r="M32" s="76">
        <f>Таблица21339902946781316172122232425[[#This Row],[113]]*Таблица21339902946781316172122232425[[#This Row],[15]]</f>
        <v>0</v>
      </c>
    </row>
    <row r="33" spans="1:13" x14ac:dyDescent="0.2">
      <c r="A33" s="68">
        <v>27</v>
      </c>
      <c r="B33" s="77"/>
      <c r="C33" s="76"/>
      <c r="D33" s="76"/>
      <c r="E33" s="80"/>
      <c r="F33" s="71">
        <f>Таблица21339902946781316172122232425[[#This Row],[ ]]</f>
        <v>27</v>
      </c>
      <c r="G33" s="69"/>
      <c r="H33" s="78"/>
      <c r="I33" s="78"/>
      <c r="J33" s="78"/>
      <c r="K33" s="79"/>
      <c r="L33" s="76"/>
      <c r="M33" s="76">
        <f>Таблица21339902946781316172122232425[[#This Row],[113]]*Таблица21339902946781316172122232425[[#This Row],[15]]</f>
        <v>0</v>
      </c>
    </row>
    <row r="34" spans="1:13" x14ac:dyDescent="0.2">
      <c r="A34" s="68">
        <v>28</v>
      </c>
      <c r="B34" s="77"/>
      <c r="C34" s="76"/>
      <c r="D34" s="76"/>
      <c r="E34" s="80"/>
      <c r="F34" s="71">
        <f>Таблица21339902946781316172122232425[[#This Row],[ ]]</f>
        <v>28</v>
      </c>
      <c r="G34" s="69"/>
      <c r="H34" s="78"/>
      <c r="I34" s="78"/>
      <c r="J34" s="78"/>
      <c r="K34" s="79"/>
      <c r="L34" s="76"/>
      <c r="M34" s="76">
        <f>Таблица21339902946781316172122232425[[#This Row],[113]]*Таблица21339902946781316172122232425[[#This Row],[15]]</f>
        <v>0</v>
      </c>
    </row>
    <row r="35" spans="1:13" x14ac:dyDescent="0.2">
      <c r="A35" s="68">
        <v>29</v>
      </c>
      <c r="B35" s="77"/>
      <c r="C35" s="76"/>
      <c r="D35" s="76"/>
      <c r="E35" s="80"/>
      <c r="F35" s="71">
        <f>Таблица21339902946781316172122232425[[#This Row],[ ]]</f>
        <v>29</v>
      </c>
      <c r="G35" s="69"/>
      <c r="H35" s="78"/>
      <c r="I35" s="78"/>
      <c r="J35" s="78"/>
      <c r="K35" s="79"/>
      <c r="L35" s="76"/>
      <c r="M35" s="76">
        <f>Таблица21339902946781316172122232425[[#This Row],[113]]*Таблица21339902946781316172122232425[[#This Row],[15]]</f>
        <v>0</v>
      </c>
    </row>
    <row r="36" spans="1:13" x14ac:dyDescent="0.2">
      <c r="A36" s="68">
        <v>30</v>
      </c>
      <c r="B36" s="77"/>
      <c r="C36" s="76"/>
      <c r="D36" s="76"/>
      <c r="E36" s="80"/>
      <c r="F36" s="71">
        <f>Таблица21339902946781316172122232425[[#This Row],[ ]]</f>
        <v>30</v>
      </c>
      <c r="G36" s="69"/>
      <c r="H36" s="78"/>
      <c r="I36" s="78"/>
      <c r="J36" s="78"/>
      <c r="K36" s="79"/>
      <c r="L36" s="76"/>
      <c r="M36" s="76">
        <f>Таблица21339902946781316172122232425[[#This Row],[113]]*Таблица21339902946781316172122232425[[#This Row],[15]]</f>
        <v>0</v>
      </c>
    </row>
    <row r="37" spans="1:13" x14ac:dyDescent="0.2">
      <c r="A37" s="68">
        <v>31</v>
      </c>
      <c r="B37" s="77"/>
      <c r="C37" s="76"/>
      <c r="D37" s="76"/>
      <c r="E37" s="80"/>
      <c r="F37" s="71">
        <f>Таблица21339902946781316172122232425[[#This Row],[ ]]</f>
        <v>31</v>
      </c>
      <c r="G37" s="69"/>
      <c r="H37" s="78"/>
      <c r="I37" s="78"/>
      <c r="J37" s="78"/>
      <c r="K37" s="79"/>
      <c r="L37" s="76"/>
      <c r="M37" s="76">
        <f>Таблица21339902946781316172122232425[[#This Row],[113]]*Таблица21339902946781316172122232425[[#This Row],[15]]</f>
        <v>0</v>
      </c>
    </row>
    <row r="38" spans="1:13" x14ac:dyDescent="0.2">
      <c r="A38" s="68">
        <v>32</v>
      </c>
      <c r="B38" s="77"/>
      <c r="C38" s="76"/>
      <c r="D38" s="76"/>
      <c r="E38" s="80"/>
      <c r="F38" s="71">
        <f>Таблица21339902946781316172122232425[[#This Row],[ ]]</f>
        <v>32</v>
      </c>
      <c r="G38" s="69"/>
      <c r="H38" s="78"/>
      <c r="I38" s="78"/>
      <c r="J38" s="78"/>
      <c r="K38" s="79"/>
      <c r="L38" s="76"/>
      <c r="M38" s="76">
        <f>Таблица21339902946781316172122232425[[#This Row],[113]]*Таблица21339902946781316172122232425[[#This Row],[15]]</f>
        <v>0</v>
      </c>
    </row>
    <row r="39" spans="1:13" x14ac:dyDescent="0.2">
      <c r="A39" s="68">
        <v>33</v>
      </c>
      <c r="B39" s="77"/>
      <c r="C39" s="76"/>
      <c r="D39" s="18"/>
      <c r="E39" s="76"/>
      <c r="F39" s="71">
        <f>Таблица21339902946781316172122232425[[#This Row],[ ]]</f>
        <v>33</v>
      </c>
      <c r="G39" s="69"/>
      <c r="H39" s="78"/>
      <c r="I39" s="78"/>
      <c r="J39" s="78"/>
      <c r="K39" s="79"/>
      <c r="L39" s="76"/>
      <c r="M39" s="76">
        <f>Таблица21339902946781316172122232425[[#This Row],[113]]*Таблица21339902946781316172122232425[[#This Row],[15]]</f>
        <v>0</v>
      </c>
    </row>
    <row r="40" spans="1:13" x14ac:dyDescent="0.2">
      <c r="A40" s="68">
        <v>34</v>
      </c>
      <c r="B40" s="77"/>
      <c r="C40" s="76"/>
      <c r="D40" s="76"/>
      <c r="E40" s="80"/>
      <c r="F40" s="71">
        <f>Таблица21339902946781316172122232425[[#This Row],[ ]]</f>
        <v>34</v>
      </c>
      <c r="G40" s="69"/>
      <c r="H40" s="78"/>
      <c r="I40" s="78"/>
      <c r="J40" s="78"/>
      <c r="K40" s="79"/>
      <c r="L40" s="76"/>
      <c r="M40" s="76">
        <f>Таблица21339902946781316172122232425[[#This Row],[113]]*Таблица21339902946781316172122232425[[#This Row],[15]]</f>
        <v>0</v>
      </c>
    </row>
    <row r="41" spans="1:13" x14ac:dyDescent="0.2">
      <c r="A41" s="68">
        <v>35</v>
      </c>
      <c r="B41" s="77"/>
      <c r="C41" s="76"/>
      <c r="D41" s="76"/>
      <c r="E41" s="80"/>
      <c r="F41" s="71">
        <f>Таблица21339902946781316172122232425[[#This Row],[ ]]</f>
        <v>35</v>
      </c>
      <c r="G41" s="69"/>
      <c r="H41" s="78"/>
      <c r="I41" s="78"/>
      <c r="J41" s="78"/>
      <c r="K41" s="79"/>
      <c r="L41" s="76"/>
      <c r="M41" s="76">
        <f>Таблица21339902946781316172122232425[[#This Row],[113]]*Таблица21339902946781316172122232425[[#This Row],[15]]</f>
        <v>0</v>
      </c>
    </row>
    <row r="42" spans="1:13" x14ac:dyDescent="0.2">
      <c r="A42" s="68">
        <v>36</v>
      </c>
      <c r="B42" s="77"/>
      <c r="C42" s="76"/>
      <c r="D42" s="76"/>
      <c r="E42" s="80"/>
      <c r="F42" s="71">
        <f>Таблица21339902946781316172122232425[[#This Row],[ ]]</f>
        <v>36</v>
      </c>
      <c r="G42" s="69"/>
      <c r="H42" s="78"/>
      <c r="I42" s="78"/>
      <c r="J42" s="78"/>
      <c r="K42" s="79"/>
      <c r="L42" s="76"/>
      <c r="M42" s="76">
        <f>Таблица21339902946781316172122232425[[#This Row],[113]]*Таблица21339902946781316172122232425[[#This Row],[15]]</f>
        <v>0</v>
      </c>
    </row>
    <row r="43" spans="1:13" x14ac:dyDescent="0.2">
      <c r="A43" s="68">
        <v>37</v>
      </c>
      <c r="B43" s="77"/>
      <c r="C43" s="76"/>
      <c r="D43" s="76"/>
      <c r="E43" s="80"/>
      <c r="F43" s="71">
        <f>Таблица21339902946781316172122232425[[#This Row],[ ]]</f>
        <v>37</v>
      </c>
      <c r="G43" s="69"/>
      <c r="H43" s="78"/>
      <c r="I43" s="78"/>
      <c r="J43" s="78"/>
      <c r="K43" s="79"/>
      <c r="L43" s="76"/>
      <c r="M43" s="76">
        <f>Таблица21339902946781316172122232425[[#This Row],[113]]*Таблица21339902946781316172122232425[[#This Row],[15]]</f>
        <v>0</v>
      </c>
    </row>
    <row r="44" spans="1:13" x14ac:dyDescent="0.2">
      <c r="A44" s="68">
        <v>38</v>
      </c>
      <c r="B44" s="77"/>
      <c r="C44" s="76"/>
      <c r="D44" s="76"/>
      <c r="E44" s="80"/>
      <c r="F44" s="71">
        <f>Таблица21339902946781316172122232425[[#This Row],[ ]]</f>
        <v>38</v>
      </c>
      <c r="G44" s="69"/>
      <c r="H44" s="78"/>
      <c r="I44" s="78"/>
      <c r="J44" s="78"/>
      <c r="K44" s="79"/>
      <c r="L44" s="76"/>
      <c r="M44" s="76">
        <f>Таблица21339902946781316172122232425[[#This Row],[113]]*Таблица21339902946781316172122232425[[#This Row],[15]]</f>
        <v>0</v>
      </c>
    </row>
    <row r="45" spans="1:13" x14ac:dyDescent="0.2">
      <c r="A45" s="68">
        <v>39</v>
      </c>
      <c r="B45" s="77"/>
      <c r="C45" s="76"/>
      <c r="D45" s="76"/>
      <c r="E45" s="80"/>
      <c r="F45" s="71">
        <f>Таблица21339902946781316172122232425[[#This Row],[ ]]</f>
        <v>39</v>
      </c>
      <c r="G45" s="69"/>
      <c r="H45" s="78"/>
      <c r="I45" s="78"/>
      <c r="J45" s="78"/>
      <c r="K45" s="79"/>
      <c r="L45" s="76"/>
      <c r="M45" s="76">
        <f>Таблица21339902946781316172122232425[[#This Row],[113]]*Таблица21339902946781316172122232425[[#This Row],[15]]</f>
        <v>0</v>
      </c>
    </row>
    <row r="46" spans="1:13" x14ac:dyDescent="0.2">
      <c r="A46" s="68">
        <v>40</v>
      </c>
      <c r="B46" s="77"/>
      <c r="C46" s="76"/>
      <c r="D46" s="76"/>
      <c r="E46" s="80"/>
      <c r="F46" s="71">
        <f>Таблица21339902946781316172122232425[[#This Row],[ ]]</f>
        <v>40</v>
      </c>
      <c r="G46" s="69"/>
      <c r="H46" s="78"/>
      <c r="I46" s="78"/>
      <c r="J46" s="78"/>
      <c r="K46" s="79"/>
      <c r="L46" s="76"/>
      <c r="M46" s="76">
        <f>Таблица21339902946781316172122232425[[#This Row],[113]]*Таблица21339902946781316172122232425[[#This Row],[15]]</f>
        <v>0</v>
      </c>
    </row>
    <row r="47" spans="1:13" x14ac:dyDescent="0.2">
      <c r="A47" s="68">
        <v>41</v>
      </c>
      <c r="B47" s="77"/>
      <c r="C47" s="76"/>
      <c r="D47" s="76"/>
      <c r="E47" s="80"/>
      <c r="F47" s="71">
        <f>Таблица21339902946781316172122232425[[#This Row],[ ]]</f>
        <v>41</v>
      </c>
      <c r="G47" s="69"/>
      <c r="H47" s="78"/>
      <c r="I47" s="78"/>
      <c r="J47" s="78"/>
      <c r="K47" s="79"/>
      <c r="L47" s="76"/>
      <c r="M47" s="76">
        <f>Таблица21339902946781316172122232425[[#This Row],[113]]*Таблица21339902946781316172122232425[[#This Row],[15]]</f>
        <v>0</v>
      </c>
    </row>
    <row r="48" spans="1:13" x14ac:dyDescent="0.2">
      <c r="A48" s="68">
        <v>42</v>
      </c>
      <c r="B48" s="77"/>
      <c r="C48" s="76"/>
      <c r="D48" s="76"/>
      <c r="E48" s="80"/>
      <c r="F48" s="71">
        <f>Таблица21339902946781316172122232425[[#This Row],[ ]]</f>
        <v>42</v>
      </c>
      <c r="G48" s="69"/>
      <c r="H48" s="78"/>
      <c r="I48" s="78"/>
      <c r="J48" s="78"/>
      <c r="K48" s="79"/>
      <c r="L48" s="76"/>
      <c r="M48" s="76">
        <f>Таблица21339902946781316172122232425[[#This Row],[113]]*Таблица21339902946781316172122232425[[#This Row],[15]]</f>
        <v>0</v>
      </c>
    </row>
    <row r="49" spans="1:13" x14ac:dyDescent="0.2">
      <c r="A49" s="68">
        <v>43</v>
      </c>
      <c r="B49" s="77"/>
      <c r="C49" s="76"/>
      <c r="D49" s="76"/>
      <c r="E49" s="80"/>
      <c r="F49" s="71">
        <f>Таблица21339902946781316172122232425[[#This Row],[ ]]</f>
        <v>43</v>
      </c>
      <c r="G49" s="69"/>
      <c r="H49" s="78"/>
      <c r="I49" s="78"/>
      <c r="J49" s="78"/>
      <c r="K49" s="79"/>
      <c r="L49" s="76"/>
      <c r="M49" s="76">
        <f>Таблица21339902946781316172122232425[[#This Row],[113]]*Таблица21339902946781316172122232425[[#This Row],[15]]</f>
        <v>0</v>
      </c>
    </row>
    <row r="50" spans="1:13" x14ac:dyDescent="0.2">
      <c r="A50" s="82"/>
      <c r="B50" s="45"/>
      <c r="C50" s="76">
        <f>SUBTOTAL(109,Таблица21339902946781316172122232425[2])</f>
        <v>0</v>
      </c>
      <c r="D50" s="76"/>
      <c r="E50" s="84"/>
      <c r="F50" s="83"/>
      <c r="G50" s="85"/>
      <c r="H50" s="86"/>
      <c r="I50" s="86"/>
      <c r="J50" s="86"/>
      <c r="K50" s="86">
        <f>SUBTOTAL(109,Таблица21339902946781316172122232425[1132])</f>
        <v>0</v>
      </c>
      <c r="L50" s="88"/>
      <c r="M50" s="88">
        <f>SUBTOTAL(109,Таблица21339902946781316172122232425[16])</f>
        <v>0</v>
      </c>
    </row>
  </sheetData>
  <mergeCells count="14">
    <mergeCell ref="M3:M4"/>
    <mergeCell ref="A2:B2"/>
    <mergeCell ref="C2:D2"/>
    <mergeCell ref="F2:G2"/>
    <mergeCell ref="A3:A5"/>
    <mergeCell ref="B3:B5"/>
    <mergeCell ref="E3:E4"/>
    <mergeCell ref="F3:F5"/>
    <mergeCell ref="G3:G5"/>
    <mergeCell ref="H3:H5"/>
    <mergeCell ref="I3:I5"/>
    <mergeCell ref="J3:J4"/>
    <mergeCell ref="K3:K4"/>
    <mergeCell ref="L3:L5"/>
  </mergeCells>
  <hyperlinks>
    <hyperlink ref="D1" location="'Свод Завод'!Y4" display="4-Рустам Шпик" xr:uid="{AFB8B426-60CD-4287-8411-75E75386E821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Оплата Завод</vt:lpstr>
      <vt:lpstr>Свод Завод</vt:lpstr>
      <vt:lpstr>Оплата</vt:lpstr>
      <vt:lpstr>Товар</vt:lpstr>
      <vt:lpstr>1-Урганч Тамирлаш</vt:lpstr>
      <vt:lpstr>1-Инвест Холдинг</vt:lpstr>
      <vt:lpstr>1-Нормат Умидбек</vt:lpstr>
      <vt:lpstr>1-Ирригатсия темир бетон</vt:lpstr>
      <vt:lpstr>1-Фидато Груп</vt:lpstr>
      <vt:lpstr>1-Хонкага</vt:lpstr>
      <vt:lpstr>2-Гофур Хазорасп</vt:lpstr>
      <vt:lpstr>2-Шиддат маналит</vt:lpstr>
      <vt:lpstr>2-Дастон шопир </vt:lpstr>
      <vt:lpstr>3-Сулаймон Ога Хазарасп</vt:lpstr>
      <vt:lpstr>3-Мурод ога Урганч</vt:lpstr>
      <vt:lpstr>3-Сарвар ога Шовот</vt:lpstr>
      <vt:lpstr>4-Гайрат Штб</vt:lpstr>
      <vt:lpstr>4-Рустам Шпик</vt:lpstr>
      <vt:lpstr>4-Элликкала Бостон</vt:lpstr>
      <vt:lpstr>5-Жаср Версал</vt:lpstr>
      <vt:lpstr>5-Мустафо машал</vt:lpstr>
      <vt:lpstr>5-Одилбек Ера хоус</vt:lpstr>
      <vt:lpstr>6-Уткир мини</vt:lpstr>
      <vt:lpstr>6-Отабек дамирчи</vt:lpstr>
      <vt:lpstr>5-Журат ога хонка</vt:lpstr>
      <vt:lpstr>6-Мамун Университети</vt:lpstr>
      <vt:lpstr>3-Уктир ога Шовот</vt:lpstr>
      <vt:lpstr>6-накд клент</vt:lpstr>
      <vt:lpstr>0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2026-07-14T09:53:13Z</cp:lastPrinted>
  <dcterms:created xsi:type="dcterms:W3CDTF">2026-05-10T07:06:29Z</dcterms:created>
  <dcterms:modified xsi:type="dcterms:W3CDTF">2026-07-14T15:02:37Z</dcterms:modified>
</cp:coreProperties>
</file>